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Liberal\문서\[My_Work]\movie_DB\Movie\"/>
    </mc:Choice>
  </mc:AlternateContent>
  <xr:revisionPtr revIDLastSave="0" documentId="13_ncr:1_{264FBD52-00E6-4CB3-AB92-31B0F108818B}" xr6:coauthVersionLast="47" xr6:coauthVersionMax="47" xr10:uidLastSave="{00000000-0000-0000-0000-000000000000}"/>
  <bookViews>
    <workbookView xWindow="-96" yWindow="-96" windowWidth="30912" windowHeight="16872" xr2:uid="{00000000-000D-0000-FFFF-FFFF00000000}"/>
  </bookViews>
  <sheets>
    <sheet name="영화D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425" i="1" l="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alcChain>
</file>

<file path=xl/sharedStrings.xml><?xml version="1.0" encoding="utf-8"?>
<sst xmlns="http://schemas.openxmlformats.org/spreadsheetml/2006/main" count="20595" uniqueCount="6745">
  <si>
    <t>🎬  영화 DB — 수정 완료본</t>
  </si>
  <si>
    <t>NO</t>
  </si>
  <si>
    <t>한글제목</t>
  </si>
  <si>
    <t>평점</t>
  </si>
  <si>
    <t>감독/주연</t>
  </si>
  <si>
    <t>국가</t>
  </si>
  <si>
    <t>개봉연도</t>
  </si>
  <si>
    <t>카테고리</t>
  </si>
  <si>
    <t>장르</t>
  </si>
  <si>
    <t>러닝타임/화수</t>
  </si>
  <si>
    <t>감상일</t>
  </si>
  <si>
    <t>인문학노트</t>
  </si>
  <si>
    <t>감독: Cho Il
주연: 유아인, 박신혜, 이현욱</t>
  </si>
  <si>
    <t>대한민국</t>
  </si>
  <si>
    <t>영화</t>
  </si>
  <si>
    <t>드라마, 스릴러</t>
  </si>
  <si>
    <t>98분</t>
  </si>
  <si>
    <t>한국 특유의 정서가 켜켜이 쌓인 듯, 2020년의 시선으로 담아낸 드라마의 이야기. 인간의 고통이란 결국 타인과의 거리에서 비롯된다. 우리는 각자의 서사 안에 갇혀 서로를 오해한다. 나름의 울림을 간직한 작품이다.</t>
  </si>
  <si>
    <t>감독: 安藤桃子
주연: 안도 사쿠라, 織本順吉, 坂田利夫</t>
  </si>
  <si>
    <t>일본</t>
  </si>
  <si>
    <t>드라마</t>
  </si>
  <si>
    <t>196분</t>
  </si>
  <si>
    <t>섬세한 일본적 감수성으로, 2014년의 시선으로 담아낸 드라마의 이야기. 삶은 언제나 해석을 기다리는 텍스트다. 인간의 고통이란 결국 타인과의 거리에서 비롯된다. 나름의 울림을 간직한 작품이다.</t>
  </si>
  <si>
    <t>감독: 캐리 조지 후쿠나가
주연: 다니엘 크레이그, 레아 세이두, 라미 말렉</t>
  </si>
  <si>
    <t>미국</t>
  </si>
  <si>
    <t>액션, 스릴러</t>
  </si>
  <si>
    <t>163분</t>
  </si>
  <si>
    <t>할리우드적 스펙터클 너머, 2021년의 시선으로 담아낸 스릴러의 이야기. 불안이란 현실이 균열을 드러내는 순간에 스며든다. 긴장은 존재가 위협받을 때 가장 선명하게 빛난다. 흠이 있지만 진심이 담긴 시도였다.</t>
  </si>
  <si>
    <t>감독: 샘 멘데스
주연: 다니엘 크레이그, 주디 덴치, 하비에르 바르뎀</t>
  </si>
  <si>
    <t>영국</t>
  </si>
  <si>
    <t>143분</t>
  </si>
  <si>
    <t>영국적 절제와 냉소 사이에서, 2012년의 시선으로 담아낸 스릴러의 이야기. 불안이란 현실이 균열을 드러내는 순간에 스며든다. 진실은 언제나 우리가 감당할 수 없는 형태로 찾아온다. 오랫동안 여운이 남는 작품이다.</t>
  </si>
  <si>
    <t>감독: 샘 멘데스
주연: 다니엘 크레이그, 크리스토프 발츠, 레아 세이두</t>
  </si>
  <si>
    <t>액션, 모험, 범죄, 스릴러</t>
  </si>
  <si>
    <t>148분</t>
  </si>
  <si>
    <t>할리우드적 스펙터클 너머, 2015년의 시선으로 담아낸 스릴러의 이야기. 진실은 언제나 우리가 감당할 수 없는 형태로 찾아온다. 긴장은 존재가 위협받을 때 가장 선명하게 빛난다. 완벽하지 않아도, 그 불완전함이 오히려 인간적이다.</t>
  </si>
  <si>
    <t>감독: Marcel Barrena
주연: Dani Rovira, Alexandra Jiménez, Karra Elejalde</t>
  </si>
  <si>
    <t>스페인</t>
  </si>
  <si>
    <t>108분</t>
  </si>
  <si>
    <t>열정과 멜랑콜리가 교차하며, 2016년의 시선으로 담아낸 드라마의 이야기. 삶은 언제나 해석을 기다리는 텍스트다. 모든 이야기는 상처의 다른 이름이다. 완벽하지 않아도, 그 불완전함이 오히려 인간적이다.</t>
  </si>
  <si>
    <t>감독: Nicolai Fuglsig
주연: 크리스 헴스워스, 마이클 섀넌, 마이클 페냐</t>
  </si>
  <si>
    <t>액션, 드라마, 전쟁</t>
  </si>
  <si>
    <t>130분</t>
  </si>
  <si>
    <t>할리우드적 스펙터클 너머, 2018년의 시선으로 담아낸 드라마의 이야기. 모든 이야기는 상처의 다른 이름이다. 삶은 언제나 해석을 기다리는 텍스트다. 시간이 지날수록 더 깊이 읽히는 영화다.</t>
  </si>
  <si>
    <t>감독: Mike Green
주연: Lauren Lofberg, Taylor Wiese, Brendan Donoghue</t>
  </si>
  <si>
    <t>오스트레일리아</t>
  </si>
  <si>
    <t>85분</t>
  </si>
  <si>
    <t>2021년의 시선으로 담아낸 드라마 이야기가 우리에게 묻는다. 인간의 고통이란 결국 타인과의 거리에서 비롯된다. 모든 이야기는 상처의 다른 이름이다. 완성도와 별개로, 이 작품이 던지려 한 질문은 유효하다.</t>
  </si>
  <si>
    <t>감독: Harald Zwart
주연: Thomas Gullestad, 조나단 리스 마이어스, Marie Blokhus</t>
  </si>
  <si>
    <t>노르웨이</t>
  </si>
  <si>
    <t>드라마, 전쟁</t>
  </si>
  <si>
    <t>135분</t>
  </si>
  <si>
    <t>2017년의 시선으로 담아낸 드라마 이야기가 우리에게 묻는다. 우리는 각자의 서사 안에 갇혀 서로를 오해한다. 모든 이야기는 상처의 다른 이름이다. 이 작품이 남기는 질문은 쉽게 사라지지 않는다.</t>
  </si>
  <si>
    <t>감독: Matt Eskandari
주연: 노라 제인 눈, Alexandra Park, Diane Farr</t>
  </si>
  <si>
    <t>스릴러</t>
  </si>
  <si>
    <t>할리우드적 스펙터클 너머, 2016년의 시선으로 담아낸 스릴러의 이야기. 공포는 우리가 통제할 수 없는 것들에 대한 솔직한 고백이다. 진실은 언제나 우리가 감당할 수 없는 형태로 찾아온다. 완성도와 별개로, 이 작품이 던지려 한 질문은 유효하다.</t>
  </si>
  <si>
    <t>감독: 마이클 베이
주연: 존 크래신스키, 제임스 뱃지 데일, Dominic Fumusa</t>
  </si>
  <si>
    <t>144분</t>
  </si>
  <si>
    <t>할리우드적 스펙터클 너머, 2016년의 시선으로 담아낸 드라마의 이야기. 우리는 각자의 서사 안에 갇혀 서로를 오해한다. 모든 이야기는 상처의 다른 이름이다. 시간이 지날수록 더 깊이 읽히는 영화다.</t>
  </si>
  <si>
    <t>감독: 클린트 이스트우드
주연: Ray Corasani, Spencer Stone, Anthony Sadler</t>
  </si>
  <si>
    <t>115분</t>
  </si>
  <si>
    <t>할리우드적 스펙터클 너머, 2018년의 시선으로 담아낸 드라마의 이야기. 우리는 각자의 서사 안에 갇혀 서로를 오해한다. 인간의 고통이란 결국 타인과의 거리에서 비롯된다. 완벽하지 않아도, 그 불완전함이 오히려 인간적이다.</t>
  </si>
  <si>
    <t>감독: 테일러 쉐리던
주연: 샘 엘리엇, Tim McGraw, Faith Hill</t>
  </si>
  <si>
    <t>드라마, 서부</t>
  </si>
  <si>
    <t>10화</t>
  </si>
  <si>
    <t>드라마 형식 속에서, 할리우드적 스펙터클 너머, 2021년의 시선으로 담아낸 드라마의 이야기. 모든 이야기는 상처의 다른 이름이다. 인간의 고통이란 결국 타인과의 거리에서 비롯된다. 이 작품이 남기는 이미지는 어떤 방식으로든 기억에 새겨진다.</t>
  </si>
  <si>
    <t>감독: 샘 멘데스
주연: 조지 맥케이, 딘-찰스 채프먼, 마크 스트롱</t>
  </si>
  <si>
    <t>드라마, 전쟁, 액션</t>
  </si>
  <si>
    <t>119분</t>
  </si>
  <si>
    <t>할리우드적 스펙터클 너머, 2019년의 시선으로 담아낸 드라마의 이야기. 삶은 언제나 해석을 기다리는 텍스트다. 우리는 각자의 서사 안에 갇혀 서로를 오해한다. 두고두고 다시 꺼내 볼 만한 작품이다.</t>
  </si>
  <si>
    <t>감독: 테일러 쉐리던
주연: 헬렌 미렌, 해리슨 포드, 브랜든 스클레나</t>
  </si>
  <si>
    <t>8화</t>
  </si>
  <si>
    <t>드라마 형식 속에서, 할리우드적 스펙터클 너머, 2022년의 시선으로 담아낸 드라마의 이야기. 인간의 고통이란 결국 타인과의 거리에서 비롯된다. 삶은 언제나 해석을 기다리는 텍스트다. 이 작품이 남기는 이미지는 어떤 방식으로든 기억에 새겨진다.</t>
  </si>
  <si>
    <t>드라마 형식 속에서, 할리우드적 스펙터클 너머, 2023년의 시선으로 담아낸 드라마의 이야기. 모든 이야기는 상처의 다른 이름이다. 인간의 고통이란 결국 타인과의 거리에서 비롯된다. 평점이 담지 못하는 무언가가 이 영화에는 있다.</t>
  </si>
  <si>
    <t>감독: Сергей Мокрицкий
주연: 율리아 페레실드, Евгений Цыганов, Нателла Абелева-Таганова</t>
  </si>
  <si>
    <t>러시아</t>
  </si>
  <si>
    <t>123분</t>
  </si>
  <si>
    <t>2015년의 시선으로 담아낸 드라마 이야기가 우리에게 묻는다. 우리는 각자의 서사 안에 갇혀 서로를 오해한다. 인간의 고통이란 결국 타인과의 거리에서 비롯된다. 이 작품이 남기는 질문은 쉽게 사라지지 않는다.</t>
  </si>
  <si>
    <t>감독: Elmo Nüganen
주연: Kaspar Velberg, Kristjan Üksküla, Maiken Pius</t>
  </si>
  <si>
    <t>에스토니아</t>
  </si>
  <si>
    <t>96분</t>
  </si>
  <si>
    <t>2015년의 시선으로 담아낸 드라마 이야기가 우리에게 묻는다. 인간의 고통이란 결국 타인과의 거리에서 비롯된다. 삶은 언제나 해석을 기다리는 텍스트다. 시간이 지날수록 더 깊이 읽히는 영화다.</t>
  </si>
  <si>
    <t>감독: 강제규
주연: 하정우, 임시완, 배성우</t>
  </si>
  <si>
    <t>한국 특유의 정서가 켜켜이 쌓인 듯, 2023년의 시선으로 담아낸 드라마의 이야기. 삶은 언제나 해석을 기다리는 텍스트다. 우리는 각자의 서사 안에 갇혀 서로를 오해한다. 나름의 울림을 간직한 작품이다.</t>
  </si>
  <si>
    <t>감독: 장준환
주연: 김윤석, 하정우, 유해진</t>
  </si>
  <si>
    <t>129분</t>
  </si>
  <si>
    <t>한국 특유의 정서가 켜켜이 쌓인 듯, 2017년의 시선으로 담아낸 드라마의 이야기. 인간의 고통이란 결국 타인과의 거리에서 비롯된다. 모든 이야기는 상처의 다른 이름이다. 오랫동안 여운이 남는 작품이다.</t>
  </si>
  <si>
    <t>감독: 세스 맥팔레인
주연: 마크 월버그, 밀라 쿠니스, 세스 맥팔레인</t>
  </si>
  <si>
    <t>코미디, 판타지</t>
  </si>
  <si>
    <t>할리우드적 스펙터클 너머, 2012년의 시선으로 담아낸 판타지의 이야기. 불가능한 세계를 꿈꾸는 것은 현실의 한계에 저항하는 일이다. 마법이란 설명되지 않는 것들에 대한 경외의 다른 이름이다. 한 번쯤 들여다볼 가치가 있는 이야기다.</t>
  </si>
  <si>
    <t>감독: 세스 맥팔레인
주연: 마크 월버그, 세스 맥팔레인, 아만다 사이프리드</t>
  </si>
  <si>
    <t>코미디</t>
  </si>
  <si>
    <t>할리우드적 스펙터클 너머, 2015년의 시선으로 담아낸 코미디의 이야기. 유머 속에는 세계의 부조리를 견뎌내는 지혜가 담겨 있다. 웃음은 고통을 소화하는 인간만의 방식이다. 나름의 울림을 간직한 작품이다.</t>
  </si>
  <si>
    <t>감독: 홍기선
주연: 김상경, 김옥빈, 최무성</t>
  </si>
  <si>
    <t>101분</t>
  </si>
  <si>
    <t>한국 특유의 정서가 켜켜이 쌓인 듯, 2016년의 시선으로 담아낸 드라마의 이야기. 모든 이야기는 상처의 다른 이름이다. 삶은 언제나 해석을 기다리는 텍스트다. 오랫동안 여운이 남는 작품이다.</t>
  </si>
  <si>
    <t>감독: 윤제균
주연: 임창정, 하지원</t>
  </si>
  <si>
    <t>코미디, 드라마</t>
  </si>
  <si>
    <t>113분</t>
  </si>
  <si>
    <t>한국 특유의 정서가 켜켜이 쌓인 듯, 2007년의 시선으로 담아낸 드라마의 이야기. 우리는 각자의 서사 안에 갇혀 서로를 오해한다. 모든 이야기는 상처의 다른 이름이다. 두고두고 다시 꺼내 볼 만한 작품이다.</t>
  </si>
  <si>
    <t>감독: 신연식
주연: 송강호, 박정민, 장윤주</t>
  </si>
  <si>
    <t>107분</t>
  </si>
  <si>
    <t>한국 특유의 정서가 켜켜이 쌓인 듯, 2024년의 시선으로 담아낸 드라마의 이야기. 우리는 각자의 서사 안에 갇혀 서로를 오해한다. 삶은 언제나 해석을 기다리는 텍스트다. 흠이 있지만 진심이 담긴 시도였다.</t>
  </si>
  <si>
    <t>감독: 알레한드로 곤살레스 이냐리투
주연: 숀 펜, 나오미 왓츠, 베니시오 델 토로</t>
  </si>
  <si>
    <t>범죄, 드라마</t>
  </si>
  <si>
    <t>126분</t>
  </si>
  <si>
    <t>할리우드적 스펙터클 너머, 2003년의 시선으로 담아낸 드라마의 이야기. 인간의 고통이란 결국 타인과의 거리에서 비롯된다. 우리는 각자의 서사 안에 갇혀 서로를 오해한다. 두고두고 다시 꺼내 볼 만한 작품이다.</t>
  </si>
  <si>
    <t>감독: Brian Kirk
주연: 채드윅 보스만, 시에나 밀러, J.K. 시몬스</t>
  </si>
  <si>
    <t>액션, 범죄</t>
  </si>
  <si>
    <t>99분</t>
  </si>
  <si>
    <t>할리우드적 스펙터클 너머, 2019년의 시선으로 담아낸 범죄의 이야기. 어둠 속에서도 인간은 스스로를 정당화하려 한다. 욕망은 언제나 질서보다 먼저 존재했다. 완벽하지 않아도, 그 불완전함이 오히려 인간적이다.</t>
  </si>
  <si>
    <t>감독: 폴 그린그래스
주연: Jonas Strand Gravli, 앤더스 다니엘슨 리, Jon Øigarden</t>
  </si>
  <si>
    <t>133분</t>
  </si>
  <si>
    <t>2018년의 시선으로 담아낸 드라마 이야기가 우리에게 묻는다. 삶은 언제나 해석을 기다리는 텍스트다. 우리는 각자의 서사 안에 갇혀 서로를 오해한다. 두고두고 다시 꺼내 볼 만한 작품이다.</t>
  </si>
  <si>
    <t>감독: 이리에 유
주연: 후지와라 타츠야, 이토 히데아키, 카호</t>
  </si>
  <si>
    <t>드라마, 범죄</t>
  </si>
  <si>
    <t>120분</t>
  </si>
  <si>
    <t>섬세한 일본적 감수성으로, 2017년의 시선으로 담아낸 드라마의 이야기. 삶은 언제나 해석을 기다리는 텍스트다. 모든 이야기는 상처의 다른 이름이다. 완벽하지 않아도, 그 불완전함이 오히려 인간적이다.</t>
  </si>
  <si>
    <t>감독: M. 나이트 샤말란
주연: 안야 테일러조이, 제임스 맥어보이, 헤일리 루 리처드슨</t>
  </si>
  <si>
    <t>공포, 스릴러</t>
  </si>
  <si>
    <t>117분</t>
  </si>
  <si>
    <t>할리우드적 스펙터클 너머, 2016년의 시선으로 담아낸 공포의 이야기. 우리가 두려워하는 것은 대개 우리 자신의 그림자다. 불가해한 것 앞에서 인간은 얼마나 작은가를 깨닫는다. 나름의 울림을 간직한 작품이다.</t>
  </si>
  <si>
    <t>감독: Brian Smrz
주연: 에단 호크, 许晴, 폴 앤더슨</t>
  </si>
  <si>
    <t>홍콩</t>
  </si>
  <si>
    <t>액션</t>
  </si>
  <si>
    <t>93분</t>
  </si>
  <si>
    <t>2017년의 시선으로 담아낸 액션 이야기가 우리에게 묻는다. 폭력의 언어 속에서도 인간은 존엄을 갈망한다. 생존의 욕망은 가장 원초적인 철학적 질문을 던진다. 나름의 울림을 간직한 작품이다.</t>
  </si>
  <si>
    <t>감독: Anne Fletcher
주연: 캐서린 헤이글, 제임스 마스던, 말린 애커만</t>
  </si>
  <si>
    <t>멜로/로맨스, 코미디</t>
  </si>
  <si>
    <t>110분</t>
  </si>
  <si>
    <t>할리우드적 스펙터클 너머, 2008년의 시선으로 담아낸 로맨스의 이야기. 사랑은 자아의 경계가 흔들리는 순간에 찾아온다. 그리움이란 부재를 통해 존재를 확인하는 방식이다. 흠이 있지만 진심이 담긴 시도였다.</t>
  </si>
  <si>
    <t>감독: Noam Murro
주연: Sullivan Stapleton, 에바 그린, 레나 헤디</t>
  </si>
  <si>
    <t>액션, 판타지</t>
  </si>
  <si>
    <t>102분</t>
  </si>
  <si>
    <t>할리우드적 스펙터클 너머, 2014년의 시선으로 담아낸 판타지의 이야기. 불가능한 세계를 꿈꾸는 것은 현실의 한계에 저항하는 일이다. 영웅의 여정은 결국 자기 자신으로 돌아오는 길이다. 흠이 있지만 진심이 담긴 시도였다.</t>
  </si>
  <si>
    <t>감독: Sherry Hormann
주연: Antonia Campbell-Hughes, Thure Lindhardt, Trine Dyrholm</t>
  </si>
  <si>
    <t>독일</t>
  </si>
  <si>
    <t>111분</t>
  </si>
  <si>
    <t>독일 특유의 사유의 무게를 지니며, 2013년의 시선으로 담아낸 드라마의 이야기. 모든 이야기는 상처의 다른 이름이다. 우리는 각자의 서사 안에 갇혀 서로를 오해한다. 나름의 울림을 간직한 작품이다.</t>
  </si>
  <si>
    <t>감독: 제임스 맨골드
주연: 러셀 크로우, 크리스찬 베일, 피터 폰다</t>
  </si>
  <si>
    <t>액션, 범죄, 서부</t>
  </si>
  <si>
    <t>122분</t>
  </si>
  <si>
    <t>할리우드적 스펙터클 너머, 2007년의 시선으로 담아낸 범죄의 이야기. 욕망은 언제나 질서보다 먼저 존재했다. 법과 도덕 사이의 틈새에서 인간의 본성이 노출된다. 이 작품이 남기는 질문은 쉽게 사라지지 않는다.</t>
  </si>
  <si>
    <t>감독: 사이먼 킨버그
주연: 제시카 차스테인, 루피타 뇽오, 페넬로페 크루스</t>
  </si>
  <si>
    <t>할리우드적 스펙터클 너머, 2022년의 시선으로 담아낸 스릴러의 이야기. 진실은 언제나 우리가 감당할 수 없는 형태로 찾아온다. 공포는 우리가 통제할 수 없는 것들에 대한 솔직한 고백이다. 아쉬움이 남지만, 모든 시도는 의미를 갖는다.</t>
  </si>
  <si>
    <t>감독: Brian Helgeland
주연: 채드윅 보스만, 해리슨 포드, 니콜 비하리</t>
  </si>
  <si>
    <t>128분</t>
  </si>
  <si>
    <t>할리우드적 스펙터클 너머, 2013년의 시선으로 담아낸 드라마의 이야기. 삶은 언제나 해석을 기다리는 텍스트다. 우리는 각자의 서사 안에 갇혀 서로를 오해한다. 나름의 울림을 간직한 작품이다.</t>
  </si>
  <si>
    <t>감독: 앤드류 헤이
주연: 샬롯 램플링, 톰 코트니, 제럴딘 제임스</t>
  </si>
  <si>
    <t>드라마, 멜로/로맨스</t>
  </si>
  <si>
    <t>95분</t>
  </si>
  <si>
    <t>영국적 절제와 냉소 사이에서, 2015년의 시선으로 담아낸 드라마의 이야기. 우리는 각자의 서사 안에 갇혀 서로를 오해한다. 인간의 고통이란 결국 타인과의 거리에서 비롯된다. 오랫동안 여운이 남는 작품이다.</t>
  </si>
  <si>
    <t>감독: Carl Rinsch
주연: 키아누 리브스, 사나다 히로유키, 시바사키 코우</t>
  </si>
  <si>
    <t>액션, 모험, 판타지</t>
  </si>
  <si>
    <t>할리우드적 스펙터클 너머, 2013년의 시선으로 담아낸 판타지의 이야기. 불가능한 세계를 꿈꾸는 것은 현실의 한계에 저항하는 일이다. 마법이란 설명되지 않는 것들에 대한 경외의 다른 이름이다. 한 번쯤 들여다볼 가치가 있는 이야기다.</t>
  </si>
  <si>
    <t>감독: Johannes Roberts
주연: 소피 넬리스, Corinne Foxx, Brianne Tju</t>
  </si>
  <si>
    <t>90분</t>
  </si>
  <si>
    <t>할리우드적 스펙터클 너머, 2019년의 시선으로 담아낸 공포의 이야기. 불가해한 것 앞에서 인간은 얼마나 작은가를 깨닫는다. 우리가 두려워하는 것은 대개 우리 자신의 그림자다. 오랫동안 여운이 남는 작품이다.</t>
  </si>
  <si>
    <t>감독: 座古明史
주연: 박로미, 곤도 다카시, 松田賢二</t>
  </si>
  <si>
    <t>섬세한 일본적 감수성으로, 2013년의 시선으로 담아낸 드라마의 이야기. 우리는 각자의 서사 안에 갇혀 서로를 오해한다. 인간의 고통이란 결국 타인과의 거리에서 비롯된다. 흠이 있지만 진심이 담긴 시도였다.</t>
  </si>
  <si>
    <t>감독: Roni Ezra
주연: 필루 아스베크, 라르스 미켈센, Gustav Dyekjær Giese</t>
  </si>
  <si>
    <t>덴마크</t>
  </si>
  <si>
    <t>89분</t>
  </si>
  <si>
    <t>2015년의 시선으로 담아낸 드라마 이야기가 우리에게 묻는다. 삶은 언제나 해석을 기다리는 텍스트다. 인간의 고통이란 결국 타인과의 거리에서 비롯된다. 거칠지만 그 안에서도 인간의 흔적은 남는다.</t>
  </si>
  <si>
    <t>감독: 이와이 슌지
주연: 마츠 다카코, 田辺誠一, 藤井かほり</t>
  </si>
  <si>
    <t>멜로/로맨스</t>
  </si>
  <si>
    <t>67분</t>
  </si>
  <si>
    <t>섬세한 일본적 감수성으로, 1998년의 시선으로 담아낸 로맨스의 이야기. 사랑은 자아의 경계가 흔들리는 순간에 찾아온다. 두 사람 사이의 침묵은 때로 말보다 더 많은 것을 말한다. 두고두고 다시 꺼내 볼 만한 작품이다.</t>
  </si>
  <si>
    <t>감독: Victor Levin
주연: 안톤 옐친, Bérénice Marlohe, 올리비아 썰비</t>
  </si>
  <si>
    <t>97분</t>
  </si>
  <si>
    <t>할리우드적 스펙터클 너머, 2014년의 시선으로 담아낸 로맨스의 이야기. 설렘은 불완전한 존재가 완전함을 향해 뻗는 손길이다. 두 사람 사이의 침묵은 때로 말보다 더 많은 것을 말한다. 오랫동안 여운이 남는 작품이다.</t>
  </si>
  <si>
    <t>감독: 마크 웹
주연: 조셉 고든레빗, 주이 디샤넬, Geoffrey Arend</t>
  </si>
  <si>
    <t>드라마, 멜로/로맨스, 코미디</t>
  </si>
  <si>
    <t>할리우드적 스펙터클 너머, 2009년의 시선으로 담아낸 드라마의 이야기. 모든 이야기는 상처의 다른 이름이다. 인간의 고통이란 결국 타인과의 거리에서 비롯된다. 시간이 지날수록 더 깊이 읽히는 영화다.</t>
  </si>
  <si>
    <t>감독: James Foley
주연: 다코타 존슨, 제이미 도넌, Eric Johnson</t>
  </si>
  <si>
    <t>105분</t>
  </si>
  <si>
    <t>할리우드적 스펙터클 너머, 2018년의 시선으로 담아낸 로맨스의 이야기. 사랑은 자아의 경계가 흔들리는 순간에 찾아온다. 두 사람 사이의 침묵은 때로 말보다 더 많은 것을 말한다. 오랫동안 여운이 남는 작품이다.</t>
  </si>
  <si>
    <t>감독: Jonathan Levine
주연: 조셉 고든레빗, 세스 로건, 안나 켄드릭</t>
  </si>
  <si>
    <t>드라마, 코미디</t>
  </si>
  <si>
    <t>100분</t>
  </si>
  <si>
    <t>할리우드적 스펙터클 너머, 2011년의 시선으로 담아낸 드라마의 이야기. 모든 이야기는 상처의 다른 이름이다. 삶은 언제나 해석을 기다리는 텍스트다. 한 번쯤 들여다볼 가치가 있는 이야기다.</t>
  </si>
  <si>
    <t>감독: 니콜라스 스톨러
주연: 제이슨 시걸, 에밀리 블런트, 리스 이판</t>
  </si>
  <si>
    <t>코미디, 멜로/로맨스</t>
  </si>
  <si>
    <t>124분</t>
  </si>
  <si>
    <t>할리우드적 스펙터클 너머, 2012년의 시선으로 담아낸 로맨스의 이야기. 두 사람 사이의 침묵은 때로 말보다 더 많은 것을 말한다. 사랑은 자아의 경계가 흔들리는 순간에 찾아온다. 완벽하지 않아도, 그 불완전함이 오히려 인간적이다.</t>
  </si>
  <si>
    <t>감독: Vanessa Parise
주연: Benjamin Hollingsworth, Carly McKillip, Britt McKillip</t>
  </si>
  <si>
    <t>중국</t>
  </si>
  <si>
    <t>109분</t>
  </si>
  <si>
    <t>광활한 대지의 이야기를 담아, 2014년의 시선으로 담아낸 드라마의 이야기. 삶은 언제나 해석을 기다리는 텍스트다. 모든 이야기는 상처의 다른 이름이다. 시간이 지날수록 더 깊이 읽히는 영화다.</t>
  </si>
  <si>
    <t>감독: Rick Bieber
주연: 에이든 퀸, 앤디 맥도웰, Ryan Merriman</t>
  </si>
  <si>
    <t>할리우드적 스펙터클 너머, 2010년의 시선으로 담아낸 드라마의 이야기. 우리는 각자의 서사 안에 갇혀 서로를 오해한다. 인간의 고통이란 결국 타인과의 거리에서 비롯된다. 완벽하지 않아도, 그 불완전함이 오히려 인간적이다.</t>
  </si>
  <si>
    <t>감독: 마이클 베이
주연: 라이언 레이놀즈, 멜라니 로랑, 마누엘 가르시아 룰포</t>
  </si>
  <si>
    <t>할리우드적 스펙터클 너머, 2019년의 시선으로 담아낸 액션의 이야기. 육체의 한계에 도전하는 것은 곧 자아의 경계를 시험하는 일이다. 충돌은 세계가 변화를 요구하는 방식이다. 흠이 있지만 진심이 담긴 시도였다.</t>
  </si>
  <si>
    <t>감독: 瀬々敬久
주연: 사토 코이치, 아야노 고, 에이쿠라 나나</t>
  </si>
  <si>
    <t>미스터리</t>
  </si>
  <si>
    <t>121분</t>
  </si>
  <si>
    <t>섬세한 일본적 감수성으로, 2016년의 시선으로 담아낸 미스터리의 이야기. 알 수 없음 앞에서 인간은 비로소 겸손해진다. 진실을 추적하는 것은 존재의 불투명함과 씨름하는 일이다. 평점이 담지 못하는 무언가가 이 영화에는 있다.</t>
  </si>
  <si>
    <t>미스터리, 스릴러</t>
  </si>
  <si>
    <t>섬세한 일본적 감수성으로, 2016년의 시선으로 담아낸 스릴러의 이야기. 불안이란 현실이 균열을 드러내는 순간에 스며든다. 진실은 언제나 우리가 감당할 수 없는 형태로 찾아온다. 한 번쯤 들여다볼 가치가 있는 이야기다.</t>
  </si>
  <si>
    <t>감독: 타일러 페리
주연: 케리 워싱턴, 샘 워터스턴, 수잔 서랜든</t>
  </si>
  <si>
    <t>할리우드적 스펙터클 너머, 2024년의 시선으로 담아낸 드라마의 이야기. 인간의 고통이란 결국 타인과의 거리에서 비롯된다. 모든 이야기는 상처의 다른 이름이다. 이 작품이 남기는 질문은 쉽게 사라지지 않는다.</t>
  </si>
  <si>
    <t>드라마 형식 속에서, 섬세한 일본적 감수성으로, 2018년의 시선으로 담아낸 드라마의 이야기. 삶은 언제나 해석을 기다리는 텍스트다. 인간의 고통이란 결국 타인과의 거리에서 비롯된다. 이 작품이 남기는 이미지는 어떤 방식으로든 기억에 새겨진다.</t>
  </si>
  <si>
    <t>감독: Yann Demange
주연: 잭 오코넬, 숀 해리스, 폴 앤더슨</t>
  </si>
  <si>
    <t>영국적 절제와 냉소 사이에서, 2014년의 시선으로 담아낸 드라마의 이야기. 삶은 언제나 해석을 기다리는 텍스트다. 모든 이야기는 상처의 다른 이름이다. 완벽하지 않아도, 그 불완전함이 오히려 인간적이다.</t>
  </si>
  <si>
    <t>감독: Patrick Vollrath
주연: 조셉 고든레빗, Omid Memar, Aylin Tezel</t>
  </si>
  <si>
    <t>92분</t>
  </si>
  <si>
    <t>할리우드적 스펙터클 너머, 2019년의 시선으로 담아낸 스릴러의 이야기. 공포는 우리가 통제할 수 없는 것들에 대한 솔직한 고백이다. 진실은 언제나 우리가 감당할 수 없는 형태로 찾아온다. 거칠지만 그 안에서도 인간의 흔적은 남는다.</t>
  </si>
  <si>
    <t>감독: 추창민
주연: 류승룡, 장동건, 송새벽</t>
  </si>
  <si>
    <t>한국 특유의 정서가 켜켜이 쌓인 듯, 2018년의 시선으로 담아낸 드라마의 이야기. 인간의 고통이란 결국 타인과의 거리에서 비롯된다. 삶은 언제나 해석을 기다리는 텍스트다. 흠이 있지만 진심이 담긴 시도였다.</t>
  </si>
  <si>
    <t>감독: 이환경
주연: 류승룡, 박신혜, 갈소원</t>
  </si>
  <si>
    <t>127분</t>
  </si>
  <si>
    <t>한국 특유의 정서가 켜켜이 쌓인 듯, 2012년의 시선으로 담아낸 드라마의 이야기. 인간의 고통이란 결국 타인과의 거리에서 비롯된다. 삶은 언제나 해석을 기다리는 텍스트다. 시간이 지날수록 더 깊이 읽히는 영화다.</t>
  </si>
  <si>
    <t>감독: 라이 루소영
주연: 조이 도이치, Kian Lawley, 할스톤 세이지</t>
  </si>
  <si>
    <t>드라마, 미스터리</t>
  </si>
  <si>
    <t>할리우드적 스펙터클 너머, 2017년의 시선으로 담아낸 드라마의 이야기. 모든 이야기는 상처의 다른 이름이다. 인간의 고통이란 결국 타인과의 거리에서 비롯된다. 두고두고 다시 꺼내 볼 만한 작품이다.</t>
  </si>
  <si>
    <t>감독: 瀬々敬久
주연: 사토 타케루, 츠치야 타오, 薬師丸ひろ子</t>
  </si>
  <si>
    <t>멜로/로맨스, 드라마</t>
  </si>
  <si>
    <t>섬세한 일본적 감수성으로, 2021년의 시선으로 담아낸 드라마의 이야기. 우리는 각자의 서사 안에 갇혀 서로를 오해한다. 삶은 언제나 해석을 기다리는 텍스트다. 두고두고 다시 꺼내 볼 만한 작품이다.</t>
  </si>
  <si>
    <t>감독: 조엘 슈마허
주연: 니콜라스 케이지, 호아킨 피닉스, 제임스 갠돌피니</t>
  </si>
  <si>
    <t>할리우드적 스펙터클 너머, 1999년의 시선으로 담아낸 스릴러의 이야기. 불안이란 현실이 균열을 드러내는 순간에 스며든다. 공포는 우리가 통제할 수 없는 것들에 대한 솔직한 고백이다. 흠이 있지만 진심이 담긴 시도였다.</t>
  </si>
  <si>
    <t>감독: 成島出
주연: 이노우에 마오, 나가사쿠 히로미, 코이케 에이코</t>
  </si>
  <si>
    <t>147분</t>
  </si>
  <si>
    <t>섬세한 일본적 감수성으로, 2011년의 시선으로 담아낸 드라마의 이야기. 우리는 각자의 서사 안에 갇혀 서로를 오해한다. 인간의 고통이란 결국 타인과의 거리에서 비롯된다. 완벽하지 않아도, 그 불완전함이 오히려 인간적이다.</t>
  </si>
  <si>
    <t>감독: Michael Polish
주연: 케이트 보스워스, 헤이든 크리스텐슨, Hudson Meek</t>
  </si>
  <si>
    <t>할리우드적 스펙터클 너머, 2015년의 시선으로 담아낸 드라마의 이야기. 우리는 각자의 서사 안에 갇혀 서로를 오해한다. 삶은 언제나 해석을 기다리는 텍스트다. 한 번쯤 들여다볼 가치가 있는 이야기다.</t>
  </si>
  <si>
    <t>감독: 마이클 무어
주연: 마이클 무어, 알렉산드리아 오카시오-코르테즈, 버니 샌더스</t>
  </si>
  <si>
    <t>다큐멘터리</t>
  </si>
  <si>
    <t>할리우드적 스펙터클 너머, 2018년의 시선으로 담아낸 다큐의 이야기. 기록은 망각에 대한 저항이며, 현재에 대한 증언이다. 카메라가 포착한 진실 앞에서 우리는 응시할 의무를 갖는다. 완성도와 별개로, 이 작품이 던지려 한 질문은 유효하다.</t>
  </si>
  <si>
    <t>감독: Brad Falchuk, 톰 마이너
주연: 롭 로, 지나 토레스, 로넌 루빈스타인</t>
  </si>
  <si>
    <t>드라마, 액션</t>
  </si>
  <si>
    <t>드라마 형식 속에서, 할리우드적 스펙터클 너머, 2020년의 시선으로 담아낸 드라마의 이야기. 삶은 언제나 해석을 기다리는 텍스트다. 모든 이야기는 상처의 다른 이름이다. 평점이 담지 못하는 무언가가 이 영화에는 있다.</t>
  </si>
  <si>
    <t>14화</t>
  </si>
  <si>
    <t>드라마 형식 속에서, 할리우드적 스펙터클 너머, 2021년의 시선으로 담아낸 드라마의 이야기. 삶은 언제나 해석을 기다리는 텍스트다. 인간의 고통이란 결국 타인과의 거리에서 비롯된다. 평점이 담지 못하는 무언가가 이 영화에는 있다.</t>
  </si>
  <si>
    <t>18화</t>
  </si>
  <si>
    <t>드라마 형식 속에서, 할리우드적 스펙터클 너머, 2022년의 시선으로 담아낸 드라마의 이야기. 우리는 각자의 서사 안에 갇혀 서로를 오해한다. 모든 이야기는 상처의 다른 이름이다. 이 작품이 남기는 이미지는 어떤 방식으로든 기억에 새겨진다.</t>
  </si>
  <si>
    <t>감독: Tim Fehlbaum
주연: 피터 사스가드, 존 마가로, Ben Chaplin</t>
  </si>
  <si>
    <t>독일 특유의 사유의 무게를 지니며, 2024년의 시선으로 담아낸 드라마의 이야기. 삶은 언제나 해석을 기다리는 텍스트다. 인간의 고통이란 결국 타인과의 거리에서 비롯된다. 흠이 있지만 진심이 담긴 시도였다.</t>
  </si>
  <si>
    <t>감독: 스티븐 스필버그
주연: 헤일리 조엘 오스먼트, 주드 로, Frances O'Connor</t>
  </si>
  <si>
    <t>SF, 드라마</t>
  </si>
  <si>
    <t>할리우드적 스펙터클 너머, 2001년의 시선으로 담아낸 드라마의 이야기. 삶은 언제나 해석을 기다리는 텍스트다. 모든 이야기는 상처의 다른 이름이다. 거칠지만 그 안에서도 인간의 흔적은 남는다.</t>
  </si>
  <si>
    <t>감독: Konstantin Buslov
주연: 유리 보리소프, Ольга Лерман, Артур Смольянинов</t>
  </si>
  <si>
    <t>전쟁, 드라마</t>
  </si>
  <si>
    <t>104분</t>
  </si>
  <si>
    <t>2020년의 시선으로 담아낸 드라마 이야기가 우리에게 묻는다. 모든 이야기는 상처의 다른 이름이다. 우리는 각자의 서사 안에 갇혀 서로를 오해한다. 오랫동안 여운이 남는 작품이다.</t>
  </si>
  <si>
    <t>감독: Matthew Hope
주연: 실비아 획스, 윌리엄 피츠너, 겐가 아킨너베</t>
  </si>
  <si>
    <t>영국적 절제와 냉소 사이에서, 2018년의 시선으로 담아낸 액션의 이야기. 폭력의 언어 속에서도 인간은 존엄을 갈망한다. 충돌은 세계가 변화를 요구하는 방식이다. 두고두고 다시 꺼내 볼 만한 작품이다.</t>
  </si>
  <si>
    <t>감독: 김보통, 한준희
주연: 정해인, 구교환, 김성균</t>
  </si>
  <si>
    <t>6화</t>
  </si>
  <si>
    <t>드라마 형식 속에서, 한국 특유의 정서가 켜켜이 쌓인 듯, 2021년의 시선으로 담아낸 스릴러의 이야기. 진실은 언제나 우리가 감당할 수 없는 형태로 찾아온다. 공포는 우리가 통제할 수 없는 것들에 대한 솔직한 고백이다. 평점이 담지 못하는 무언가가 이 영화에는 있다.</t>
  </si>
  <si>
    <t>드라마 형식 속에서, 한국 특유의 정서가 켜켜이 쌓인 듯, 2023년의 시선으로 담아낸 스릴러의 이야기. 공포는 우리가 통제할 수 없는 것들에 대한 솔직한 고백이다. 진실은 언제나 우리가 감당할 수 없는 형태로 찾아온다. 이 작품이 남기는 이미지는 어떤 방식으로든 기억에 새겨진다.</t>
  </si>
  <si>
    <t>감독: Roger Donaldson
주연: 케빈 코스트너, 브루스 그린우드, Steven Culp</t>
  </si>
  <si>
    <t>145분</t>
  </si>
  <si>
    <t>할리우드적 스펙터클 너머, 2000년의 시선으로 담아낸 드라마의 이야기. 우리는 각자의 서사 안에 갇혀 서로를 오해한다. 모든 이야기는 상처의 다른 이름이다. 시간이 지날수록 더 깊이 읽히는 영화다.</t>
  </si>
  <si>
    <t>감독: David Hackl
주연: 스콧 이스트우드, 멜 깁슨, 타이리스 깁슨</t>
  </si>
  <si>
    <t>할리우드적 스펙터클 너머, 2021년의 시선으로 담아낸 액션의 이야기. 생존의 욕망은 가장 원초적인 철학적 질문을 던진다. 육체의 한계에 도전하는 것은 곧 자아의 경계를 시험하는 일이다. 한 번쯤 들여다볼 가치가 있는 이야기다.</t>
  </si>
  <si>
    <t>감독: 吉田健
주연: 니노미야 카즈나리, 加藤ローサ, 와타나베 잇케이</t>
  </si>
  <si>
    <t>섬세한 일본적 감수성으로, 2009년의 시선으로 담아낸 드라마의 이야기. 모든 이야기는 상처의 다른 이름이다. 인간의 고통이란 결국 타인과의 거리에서 비롯된다. 흠이 있지만 진심이 담긴 시도였다.</t>
  </si>
  <si>
    <t>감독: 김지운
주연: 이선균, 박희순, 서지혜</t>
  </si>
  <si>
    <t>드라마, SF, 스릴러</t>
  </si>
  <si>
    <t>드라마 형식 속에서, 한국 특유의 정서가 켜켜이 쌓인 듯, 2021년의 시선으로 담아낸 드라마의 이야기. 인간의 고통이란 결국 타인과의 거리에서 비롯된다. 삶은 언제나 해석을 기다리는 텍스트다. 평점이 담지 못하는 무언가가 이 영화에는 있다.</t>
  </si>
  <si>
    <t>감독: 조셉 코신스키
주연: 브래드 피트, 댐슨 이드리스, 하비에르 바르뎀</t>
  </si>
  <si>
    <t>드라마, 액션, 스포츠</t>
  </si>
  <si>
    <t>155분</t>
  </si>
  <si>
    <t>할리우드적 스펙터클 너머, 2025년의 시선으로 담아낸 드라마의 이야기. 인간의 고통이란 결국 타인과의 거리에서 비롯된다. 모든 이야기는 상처의 다른 이름이다. 이 작품이 남기는 질문은 쉽게 사라지지 않는다.</t>
  </si>
  <si>
    <t>감독: René Balcer
주연: 딜런 맥더멋, 샨텔 반샌튼, Roxy Sternberg</t>
  </si>
  <si>
    <t>드라마 형식 속에서, 할리우드적 스펙터클 너머, 2020년의 시선으로 담아낸 드라마의 이야기. 모든 이야기는 상처의 다른 이름이다. 인간의 고통이란 결국 타인과의 거리에서 비롯된다. 평점이 담지 못하는 무언가가 이 영화에는 있다.</t>
  </si>
  <si>
    <t>감독: 이언희
주연: 임수정, 김래원, 윤찬</t>
  </si>
  <si>
    <t>한국 특유의 정서가 켜켜이 쌓인 듯, 2003년의 시선으로 담아낸 드라마의 이야기. 우리는 각자의 서사 안에 갇혀 서로를 오해한다. 인간의 고통이란 결국 타인과의 거리에서 비롯된다. 시간이 지날수록 더 깊이 읽히는 영화다.</t>
  </si>
  <si>
    <t>감독: 클린트 이스트우드
주연: 레오나르도 디카프리오, 아미 해머, 나오미 왓츠</t>
  </si>
  <si>
    <t>137분</t>
  </si>
  <si>
    <t>할리우드적 스펙터클 너머, 2011년의 시선으로 담아낸 드라마의 이야기. 인간의 고통이란 결국 타인과의 거리에서 비롯된다. 모든 이야기는 상처의 다른 이름이다. 이 작품이 남기는 질문은 쉽게 사라지지 않는다.</t>
  </si>
  <si>
    <t>M.F.A.</t>
  </si>
  <si>
    <t>감독: Natalia Leite
주연: Clifton Collins Jr., 프랜체스카 이스트우드, Leah McKendrick</t>
  </si>
  <si>
    <t>할리우드적 스펙터클 너머, 2017년의 시선으로 담아낸 드라마의 이야기. 우리는 각자의 서사 안에 갇혀 서로를 오해한다. 인간의 고통이란 결국 타인과의 거리에서 비롯된다. 나름의 울림을 간직한 작품이다.</t>
  </si>
  <si>
    <t>감독: Ken Scott
주연: Patrick Huard, Julie Le Breton, Antoine Bertrand</t>
  </si>
  <si>
    <t>캐나다</t>
  </si>
  <si>
    <t>103분</t>
  </si>
  <si>
    <t>2011년의 시선으로 담아낸 코미디 이야기가 우리에게 묻는다. 우스운 것과 슬픈 것은 본래 같은 뿌리에서 자란다. 웃음은 고통을 소화하는 인간만의 방식이다. 시간이 지날수록 더 깊이 읽히는 영화다.</t>
  </si>
  <si>
    <t>감독: Greg Marcks
주연: 레이첼 리 쿡, 벤 포스터, 클라크 그렉</t>
  </si>
  <si>
    <t>할리우드적 스펙터클 너머, 2003년의 시선으로 담아낸 드라마의 이야기. 인간의 고통이란 결국 타인과의 거리에서 비롯된다. 우리는 각자의 서사 안에 갇혀 서로를 오해한다. 나름의 울림을 간직한 작품이다.</t>
  </si>
  <si>
    <t>감독: 김병우
주연: 하정우, 이선균, 제니퍼 엘</t>
  </si>
  <si>
    <t>한국 특유의 정서가 켜켜이 쌓인 듯, 2018년의 시선으로 담아낸 액션의 이야기. 폭력의 언어 속에서도 인간은 존엄을 갈망한다. 충돌은 세계가 변화를 요구하는 방식이다. 완벽하지 않아도, 그 불완전함이 오히려 인간적이다.</t>
  </si>
  <si>
    <t>감독: Eduardo Sánchez, 티모 차얀토, 가렛 에반스, Gregg Hale, Simon Barrett, Jason Eisener, 애덤 윈가드
주연: Lawrence Michael Levine, Kelsy Abbott, L.C. Holt</t>
  </si>
  <si>
    <t>할리우드적 스펙터클 너머, 2014년의 시선으로 담아낸 드라마의 이야기. 인간의 고통이란 결국 타인과의 거리에서 비롯된다. 우리는 각자의 서사 안에 갇혀 서로를 오해한다. 흠이 있지만 진심이 담긴 시도였다.</t>
  </si>
  <si>
    <t>감독: 패트리시아 리건
주연: 안토니오 반데라스, 호드리구 산토루, 케이트 델카스티요</t>
  </si>
  <si>
    <t>할리우드적 스펙터클 너머, 2015년의 시선으로 담아낸 드라마의 이야기. 우리는 각자의 서사 안에 갇혀 서로를 오해한다. 삶은 언제나 해석을 기다리는 텍스트다. 이 작품이 남기는 질문은 쉽게 사라지지 않는다.</t>
  </si>
  <si>
    <t>감독: Mario Van Peebles
주연: 니콜라스 케이지, 톰 시즈모어, Matt Lanter</t>
  </si>
  <si>
    <t>액션, 전쟁</t>
  </si>
  <si>
    <t>할리우드적 스펙터클 너머, 2016년의 시선으로 담아낸 전쟁의 이야기. 전쟁은 인간의 이성이 멈추는 지점에서 시작된다. 전쟁을 기억하는 것은 반복하지 않기 위한 고통스러운 의무다. 완벽하지 않아도, 그 불완전함이 오히려 인간적이다.</t>
  </si>
  <si>
    <t>감독: 박훈정
주연: 장동건, 김명민, 박희순</t>
  </si>
  <si>
    <t>범죄, 액션</t>
  </si>
  <si>
    <t>한국 특유의 정서가 켜켜이 쌓인 듯, 2017년의 시선으로 담아낸 범죄의 이야기. 죄란 사회가 만든 경계를 넘는 행위이자 그 경계에 대한 질문이다. 어둠 속에서도 인간은 스스로를 정당화하려 한다. 나름의 울림을 간직한 작품이다.</t>
  </si>
  <si>
    <t>감독: 제임스 건
주연: 크리스 프랫, 조 샐다나, 데이브 바티스타</t>
  </si>
  <si>
    <t>액션, SF, 코미디</t>
  </si>
  <si>
    <t>할리우드적 스펙터클 너머, 2014년의 시선으로 담아낸 SF의 이야기. 미래를 상상하는 것은 현재를 비판하는 가장 우회적인 방법이다. 타자와의 만남은 언제나 자아의 재발견으로 이어진다. 두고두고 다시 꺼내 볼 만한 작품이다.</t>
  </si>
  <si>
    <t>감독: 양윤호
주연: 김강우, 김규리, 이수경</t>
  </si>
  <si>
    <t>한국 특유의 정서가 켜켜이 쌓인 듯, 2007년의 시선으로 담아낸 드라마의 이야기. 우리는 각자의 서사 안에 갇혀 서로를 오해한다. 모든 이야기는 상처의 다른 이름이다. 완벽하지 않아도, 그 불완전함이 오히려 인간적이다.</t>
  </si>
  <si>
    <t>감독: 정용기
주연: 정준호, 김민정, 성동일</t>
  </si>
  <si>
    <t>한국 특유의 정서가 켜켜이 쌓인 듯, 2012년의 시선으로 담아낸 코미디의 이야기. 가볍게 웃는 순간에도 삶의 무게는 그 그림자를 드리운다. 우스운 것과 슬픈 것은 본래 같은 뿌리에서 자란다. 완벽하지 않아도, 그 불완전함이 오히려 인간적이다.</t>
  </si>
  <si>
    <t>감독: 나딘 라바키
주연: Zain Al Rafeea, Yordanos Shifera, Boluwatife Treasure Bankole</t>
  </si>
  <si>
    <t>레바논</t>
  </si>
  <si>
    <t>2018년의 시선으로 담아낸 드라마 이야기가 우리에게 묻는다. 인간의 고통이란 결국 타인과의 거리에서 비롯된다. 삶은 언제나 해석을 기다리는 텍스트다. 이 작품이 남기는 질문은 쉽게 사라지지 않는다.</t>
  </si>
  <si>
    <t>감독: 장윤현
주연: 김소연, 주진모, 박희순</t>
  </si>
  <si>
    <t>한국 특유의 정서가 켜켜이 쌓인 듯, 2012년의 시선으로 담아낸 드라마의 이야기. 인간의 고통이란 결국 타인과의 거리에서 비롯된다. 모든 이야기는 상처의 다른 이름이다. 나름의 울림을 간직한 작품이다.</t>
  </si>
  <si>
    <t>감독: 김대승
주연: 김지수, 유지태, 엄지원</t>
  </si>
  <si>
    <t>114분</t>
  </si>
  <si>
    <t>한국 특유의 정서가 켜켜이 쌓인 듯, 2006년의 시선으로 담아낸 드라마의 이야기. 모든 이야기는 상처의 다른 이름이다. 인간의 고통이란 결국 타인과의 거리에서 비롯된다. 한 번쯤 들여다볼 가치가 있는 이야기다.</t>
  </si>
  <si>
    <t>감독: 西谷弘
주연: 후쿠야마 마사하루, 石田ゆり子, 이세야 유스케</t>
  </si>
  <si>
    <t>섬세한 일본적 감수성으로, 2020년의 시선으로 담아낸 로맨스의 이야기. 그리움이란 부재를 통해 존재를 확인하는 방식이다. 두 사람 사이의 침묵은 때로 말보다 더 많은 것을 말한다. 이 작품이 남기는 질문은 쉽게 사라지지 않는다.</t>
  </si>
  <si>
    <t>감독: 압델라티프 케시시
주연: 레아 세이두, 아델 에그자르코풀로스, Salim Kéchiouche</t>
  </si>
  <si>
    <t>프랑스</t>
  </si>
  <si>
    <t>179분</t>
  </si>
  <si>
    <t>프랑스 영화 특유의 철학적 깊이로, 2013년의 시선으로 담아낸 드라마의 이야기. 모든 이야기는 상처의 다른 이름이다. 우리는 각자의 서사 안에 갇혀 서로를 오해한다. 오랫동안 여운이 남는 작품이다.</t>
  </si>
  <si>
    <t>감독: 김한결
주연: 김래원, 공효진, 강기영</t>
  </si>
  <si>
    <t>한국 특유의 정서가 켜켜이 쌓인 듯, 2019년의 시선으로 담아낸 로맨스의 이야기. 설렘은 불완전한 존재가 완전함을 향해 뻗는 손길이다. 그리움이란 부재를 통해 존재를 확인하는 방식이다. 두고두고 다시 꺼내 볼 만한 작품이다.</t>
  </si>
  <si>
    <t>감독: Olivia Newman
주연: 데이지 에드거존스, Taylor John Smith, 해리스 디킨슨</t>
  </si>
  <si>
    <t>125분</t>
  </si>
  <si>
    <t>할리우드적 스펙터클 너머, 2022년의 시선으로 담아낸 드라마의 이야기. 인간의 고통이란 결국 타인과의 거리에서 비롯된다. 모든 이야기는 상처의 다른 이름이다. 시간이 지날수록 더 깊이 읽히는 영화다.</t>
  </si>
  <si>
    <t>감독: 야마다 요지
주연: 하시즈메 이사오, 吉行和子, 西村雅彥</t>
  </si>
  <si>
    <t>섬세한 일본적 감수성으로, 2017년의 시선으로 담아낸 드라마의 이야기. 인간의 고통이란 결국 타인과의 거리에서 비롯된다. 우리는 각자의 서사 안에 갇혀 서로를 오해한다. 완벽하지 않아도, 그 불완전함이 오히려 인간적이다.</t>
  </si>
  <si>
    <t>섬세한 일본적 감수성으로, 2021년의 시선으로 담아낸 드라마의 이야기. 인간의 고통이란 결국 타인과의 거리에서 비롯된다. 우리는 각자의 서사 안에 갇혀 서로를 오해한다. 이 작품이 남기는 질문은 쉽게 사라지지 않는다.</t>
  </si>
  <si>
    <t>감독: Yang Yong-hi
주연: 안도 사쿠라, 이우라 아라타, 大森立嗣</t>
  </si>
  <si>
    <t>섬세한 일본적 감수성으로, 2013년의 시선으로 담아낸 드라마의 이야기. 우리는 각자의 서사 안에 갇혀 서로를 오해한다. 모든 이야기는 상처의 다른 이름이다. 두고두고 다시 꺼내 볼 만한 작품이다.</t>
  </si>
  <si>
    <t>감독: 吉田康弘
주연: 아리무라 카스미, 쿠니무라 준, 미야우치 히토미</t>
  </si>
  <si>
    <t>섬세한 일본적 감수성으로, 2021년의 시선으로 담아낸 드라마의 이야기. 삶은 언제나 해석을 기다리는 텍스트다. 인간의 고통이란 결국 타인과의 거리에서 비롯된다. 흠이 있지만 진심이 담긴 시도였다.</t>
  </si>
  <si>
    <t>감독: 김태용
주연: 문소리, 고두심, 엄태웅</t>
  </si>
  <si>
    <t>한국 특유의 정서가 켜켜이 쌓인 듯, 2006년의 시선으로 담아낸 드라마의 이야기. 모든 이야기는 상처의 다른 이름이다. 우리는 각자의 서사 안에 갇혀 서로를 오해한다. 오랫동안 여운이 남는 작품이다.</t>
  </si>
  <si>
    <t>감독: Kim Hyoung-jun
주연: 박희순, 박시연, 주상욱</t>
  </si>
  <si>
    <t>코미디, 스릴러</t>
  </si>
  <si>
    <t>118분</t>
  </si>
  <si>
    <t>한국 특유의 정서가 켜켜이 쌓인 듯, 2012년의 시선으로 담아낸 스릴러의 이야기. 긴장은 존재가 위협받을 때 가장 선명하게 빛난다. 공포는 우리가 통제할 수 없는 것들에 대한 솔직한 고백이다. 한 번쯤 들여다볼 가치가 있는 이야기다.</t>
  </si>
  <si>
    <t>감독: 우민호
주연: 김명민, 염정아, 정겨운</t>
  </si>
  <si>
    <t>액션, 코미디</t>
  </si>
  <si>
    <t>한국 특유의 정서가 켜켜이 쌓인 듯, 2012년의 시선으로 담아낸 코미디의 이야기. 유머 속에는 세계의 부조리를 견뎌내는 지혜가 담겨 있다. 가볍게 웃는 순간에도 삶의 무게는 그 그림자를 드리운다. 한 번쯤 들여다볼 가치가 있는 이야기다.</t>
  </si>
  <si>
    <t>감독: 矢崎仁司
주연: 안도 마사노부, 永夏子, 松田リマ</t>
  </si>
  <si>
    <t>섬세한 일본적 감수성으로, 2018년의 시선으로 담아낸 드라마의 이야기. 인간의 고통이란 결국 타인과의 거리에서 비롯된다. 우리는 각자의 서사 안에 갇혀 서로를 오해한다. 오랫동안 여운이 남는 작품이다.</t>
  </si>
  <si>
    <t>감독: 김성수
주연: 장혁, 수애, Park Min-ha</t>
  </si>
  <si>
    <t>드라마, 재난</t>
  </si>
  <si>
    <t>한국 특유의 정서가 켜켜이 쌓인 듯, 2013년의 시선으로 담아낸 드라마의 이야기. 모든 이야기는 상처의 다른 이름이다. 삶은 언제나 해석을 기다리는 텍스트다. 한 번쯤 들여다볼 가치가 있는 이야기다.</t>
  </si>
  <si>
    <t>감독: 김병서, 조의석
주연: 설경구, 정우성, 한효주</t>
  </si>
  <si>
    <t>한국 특유의 정서가 켜켜이 쌓인 듯, 2013년의 시선으로 담아낸 범죄의 이야기. 어둠 속에서도 인간은 스스로를 정당화하려 한다. 욕망은 언제나 질서보다 먼저 존재했다. 흠이 있지만 진심이 담긴 시도였다.</t>
  </si>
  <si>
    <t>감독: Bobcat Goldthwait
주연: Joel Murray, Tara Lynne Barr, Melinda Page Hamilton</t>
  </si>
  <si>
    <t>코미디, 범죄</t>
  </si>
  <si>
    <t>할리우드적 스펙터클 너머, 2011년의 시선으로 담아낸 범죄의 이야기. 죄란 사회가 만든 경계를 넘는 행위이자 그 경계에 대한 질문이다. 욕망은 언제나 질서보다 먼저 존재했다. 시간이 지날수록 더 깊이 읽히는 영화다.</t>
  </si>
  <si>
    <t>감독: 존 슬래터리
주연: 필립 세이모어 호프만, 리처드 젠킨스, 크리스티나 헨드릭스</t>
  </si>
  <si>
    <t>88분</t>
  </si>
  <si>
    <t>할리우드적 스펙터클 너머, 2014년의 시선으로 담아낸 드라마의 이야기. 우리는 각자의 서사 안에 갇혀 서로를 오해한다. 모든 이야기는 상처의 다른 이름이다. 완벽하지 않아도, 그 불완전함이 오히려 인간적이다.</t>
  </si>
  <si>
    <t>감독: 유하
주연: 이민호, 김래원, 정진영</t>
  </si>
  <si>
    <t>한국 특유의 정서가 켜켜이 쌓인 듯, 2015년의 시선으로 담아낸 드라마의 이야기. 삶은 언제나 해석을 기다리는 텍스트다. 우리는 각자의 서사 안에 갇혀 서로를 오해한다. 완벽하지 않아도, 그 불완전함이 오히려 인간적이다.</t>
  </si>
  <si>
    <t>감독: Yoon Young-bin
주연: 장혁, 유오성, 한선화</t>
  </si>
  <si>
    <t>한국 특유의 정서가 켜켜이 쌓인 듯, 2021년의 시선으로 담아낸 범죄의 이야기. 죄란 사회가 만든 경계를 넘는 행위이자 그 경계에 대한 질문이다. 어둠 속에서도 인간은 스스로를 정당화하려 한다. 나름의 울림을 간직한 작품이다.</t>
  </si>
  <si>
    <t>섬세한 일본적 감수성으로, 2008년의 시선으로 담아낸 드라마의 이야기. 모든 이야기는 상처의 다른 이름이다. 삶은 언제나 해석을 기다리는 텍스트다. 나름의 울림을 간직한 작품이다.</t>
  </si>
  <si>
    <t>감독: 육상효
주연: 김인권, 유다인, 조정석</t>
  </si>
  <si>
    <t>한국 특유의 정서가 켜켜이 쌓인 듯, 2012년의 시선으로 담아낸 액션의 이야기. 생존의 욕망은 가장 원초적인 철학적 질문을 던진다. 폭력의 언어 속에서도 인간은 존엄을 갈망한다. 나름의 울림을 간직한 작품이다.</t>
  </si>
  <si>
    <t>감독: 양우석
주연: 정우성, 곽도원, 김갑수</t>
  </si>
  <si>
    <t>액션, 드라마</t>
  </si>
  <si>
    <t>142분</t>
  </si>
  <si>
    <t>한국 특유의 정서가 켜켜이 쌓인 듯, 2017년의 시선으로 담아낸 드라마의 이야기. 인간의 고통이란 결국 타인과의 거리에서 비롯된다. 삶은 언제나 해석을 기다리는 텍스트다. 흠이 있지만 진심이 담긴 시도였다.</t>
  </si>
  <si>
    <t>감독: 양우석
주연: 정우성, 곽도원, 유연석</t>
  </si>
  <si>
    <t>한국 특유의 정서가 켜켜이 쌓인 듯, 2019년의 시선으로 담아낸 드라마의 이야기. 인간의 고통이란 결국 타인과의 거리에서 비롯된다. 모든 이야기는 상처의 다른 이름이다. 나름의 울림을 간직한 작품이다.</t>
  </si>
  <si>
    <t>감독: 멜라니 로랑
주연: 벤 포스터, 엘르 패닝, Beau Bridges</t>
  </si>
  <si>
    <t>91분</t>
  </si>
  <si>
    <t>할리우드적 스펙터클 너머, 2018년의 시선으로 담아낸 범죄의 이야기. 욕망은 언제나 질서보다 먼저 존재했다. 법과 도덕 사이의 틈새에서 인간의 본성이 노출된다. 시간이 지날수록 더 깊이 읽히는 영화다.</t>
  </si>
  <si>
    <t>감독: 가렛 에반스, Matt Flannery
주연: 쇼페 디리수, 미셸 페얼리, Orli Shuka</t>
  </si>
  <si>
    <t>9화</t>
  </si>
  <si>
    <t>드라마 형식 속에서, 영국적 절제와 냉소 사이에서, 2020년의 시선으로 담아낸 드라마의 이야기. 인간의 고통이란 결국 타인과의 거리에서 비롯된다. 삶은 언제나 해석을 기다리는 텍스트다. 평점이 담지 못하는 무언가가 이 영화에는 있다.</t>
  </si>
  <si>
    <t>드라마 형식 속에서, 영국적 절제와 냉소 사이에서, 2022년의 시선으로 담아낸 드라마의 이야기. 삶은 언제나 해석을 기다리는 텍스트다. 인간의 고통이란 결국 타인과의 거리에서 비롯된다. 평점이 담지 못하는 무언가가 이 영화에는 있다.</t>
  </si>
  <si>
    <t>감독: 루벤 플레셔
주연: 조쉬 브롤린, 라이언 고슬링, 숀 펜</t>
  </si>
  <si>
    <t>할리우드적 스펙터클 너머, 2013년의 시선으로 담아낸 범죄의 이야기. 죄란 사회가 만든 경계를 넘는 행위이자 그 경계에 대한 질문이다. 어둠 속에서도 인간은 스스로를 정당화하려 한다. 완벽하지 않아도, 그 불완전함이 오히려 인간적이다.</t>
  </si>
  <si>
    <t>감독: Eléonore Pourriat
주연: Vincent Elbaz, Marie-Sophie Ferdane, Pierre Bénézit</t>
  </si>
  <si>
    <t>프랑스 영화 특유의 철학적 깊이로, 2018년의 시선으로 담아낸 드라마의 이야기. 삶은 언제나 해석을 기다리는 텍스트다. 모든 이야기는 상처의 다른 이름이다. 나름의 울림을 간직한 작품이다.</t>
  </si>
  <si>
    <t>감독: 장진
주연: 정재영, 정준호, 류승룡</t>
  </si>
  <si>
    <t>한국 특유의 정서가 켜켜이 쌓인 듯, 2006년의 시선으로 담아낸 드라마의 이야기. 모든 이야기는 상처의 다른 이름이다. 우리는 각자의 서사 안에 갇혀 서로를 오해한다. 나름의 울림을 간직한 작품이다.</t>
  </si>
  <si>
    <t>감독: Petra Biondina Volpe
주연: Marie Leuenberger, Maximilian Simonischek, Marta Zoffoli</t>
  </si>
  <si>
    <t>스위스</t>
  </si>
  <si>
    <t>2017년의 시선으로 담아낸 액션 이야기가 우리에게 묻는다. 육체의 한계에 도전하는 것은 곧 자아의 경계를 시험하는 일이다. 폭력의 언어 속에서도 인간은 존엄을 갈망한다. 이 작품이 남기는 질문은 쉽게 사라지지 않는다.</t>
  </si>
  <si>
    <t>감독: 페데 알바레즈
주연: 클레어 포이, Sverrir Gudnason, 라키스 스탠필드</t>
  </si>
  <si>
    <t>할리우드적 스펙터클 너머, 2018년의 시선으로 담아낸 범죄의 이야기. 법과 도덕 사이의 틈새에서 인간의 본성이 노출된다. 어둠 속에서도 인간은 스스로를 정당화하려 한다. 시간이 지날수록 더 깊이 읽히는 영화다.</t>
  </si>
  <si>
    <t>감독: Lee Yeon-woo
주연: 김윤석, 정경호, 견미리</t>
  </si>
  <si>
    <t>범죄, 코미디</t>
  </si>
  <si>
    <t>한국 특유의 정서가 켜켜이 쌓인 듯, 2009년의 시선으로 담아낸 범죄의 이야기. 법과 도덕 사이의 틈새에서 인간의 본성이 노출된다. 어둠 속에서도 인간은 스스로를 정당화하려 한다. 오랫동안 여운이 남는 작품이다.</t>
  </si>
  <si>
    <t>감독: Barbara Wong
주연: Tian Yuan, 羅子溢, 鄭詩君</t>
  </si>
  <si>
    <t>공포</t>
  </si>
  <si>
    <t>할리우드적 스펙터클 너머, 2008년의 시선으로 담아낸 공포의 이야기. 공포란 이성이 침묵하는 순간 존재가 맞닥뜨리는 날것의 경험이다. 우리가 두려워하는 것은 대개 우리 자신의 그림자다. 이 작품이 남기는 질문은 쉽게 사라지지 않는다.</t>
  </si>
  <si>
    <t>감독: Kazuhito Nakae
주연: 나가사와 마사미, 타카하시 잇세이, 吉田鋼太郎</t>
  </si>
  <si>
    <t>섬세한 일본적 감수성으로, 2017년의 시선으로 담아낸 로맨스의 이야기. 두 사람 사이의 침묵은 때로 말보다 더 많은 것을 말한다. 사랑은 자아의 경계가 흔들리는 순간에 찾아온다. 한 번쯤 들여다볼 가치가 있는 이야기다.</t>
  </si>
  <si>
    <t>감독: 이용주
주연: 엄태웅, 한가인, 이제훈</t>
  </si>
  <si>
    <t>한국 특유의 정서가 켜켜이 쌓인 듯, 2012년의 시선으로 담아낸 로맨스의 이야기. 설렘은 불완전한 존재가 완전함을 향해 뻗는 손길이다. 그리움이란 부재를 통해 존재를 확인하는 방식이다. 시간이 지날수록 더 깊이 읽히는 영화다.</t>
  </si>
  <si>
    <t>감독: 롭 레터먼
주연: 잭 블랙, 제이슨 시걸, 에밀리 블런트</t>
  </si>
  <si>
    <t>코미디, 모험</t>
  </si>
  <si>
    <t>할리우드적 스펙터클 너머, 2010년의 시선으로 담아낸 코미디의 이야기. 우스운 것과 슬픈 것은 본래 같은 뿌리에서 자란다. 유머 속에는 세계의 부조리를 견뎌내는 지혜가 담겨 있다. 거칠지만 그 안에서도 인간의 흔적은 남는다.</t>
  </si>
  <si>
    <t>감독: 정다원
주연: 라미란, 이성경, 윤상현</t>
  </si>
  <si>
    <t>한국 특유의 정서가 켜켜이 쌓인 듯, 2018년의 시선으로 담아낸 코미디의 이야기. 가볍게 웃는 순간에도 삶의 무게는 그 그림자를 드리운다. 웃음은 고통을 소화하는 인간만의 방식이다. 시간이 지날수록 더 깊이 읽히는 영화다.</t>
  </si>
  <si>
    <t>감독: Choi Jae-hoon
주연: 장혁, 김현수, 조 타슬림</t>
  </si>
  <si>
    <t>액션, 사극</t>
  </si>
  <si>
    <t>한국 특유의 정서가 켜켜이 쌓인 듯, 2020년의 시선으로 담아낸 사극의 이야기. 역사의 무게는 개인의 삶을 짓누르지만, 그 안에서도 빛이 있다. 시대의 억압 속에서도 인간의 욕망과 존엄은 꺾이지 않는다. 시간이 지날수록 더 깊이 읽히는 영화다.</t>
  </si>
  <si>
    <t>감독: 이일형
주연: 황정민, 강동원, 이성민</t>
  </si>
  <si>
    <t>한국 특유의 정서가 켜켜이 쌓인 듯, 2015년의 시선으로 담아낸 범죄의 이야기. 어둠 속에서도 인간은 스스로를 정당화하려 한다. 욕망은 언제나 질서보다 먼저 존재했다. 두고두고 다시 꺼내 볼 만한 작품이다.</t>
  </si>
  <si>
    <t>감독: Albert Pyun
주연: Whitney Able, Kevin Sorbo, 랄프 묄러</t>
  </si>
  <si>
    <t>2010년의 시선으로 담아낸 액션 이야기가 우리에게 묻는다. 생존의 욕망은 가장 원초적인 철학적 질문을 던진다. 충돌은 세계가 변화를 요구하는 방식이다. 완벽하지 않아도, 그 불완전함이 오히려 인간적이다.</t>
  </si>
  <si>
    <t>감독: 권혁재
주연: 송혜교, 전여빈, 이진욱</t>
  </si>
  <si>
    <t>공포, 미스터리</t>
  </si>
  <si>
    <t>한국 특유의 정서가 켜켜이 쌓인 듯, 2025년의 시선으로 담아낸 공포의 이야기. 불가해한 것 앞에서 인간은 얼마나 작은가를 깨닫는다. 우리가 두려워하는 것은 대개 우리 자신의 그림자다. 나름의 울림을 간직한 작품이다.</t>
  </si>
  <si>
    <t>감독: 장재현
주연: 김윤석, 강동원, 박소담</t>
  </si>
  <si>
    <t>한국 특유의 정서가 켜켜이 쌓인 듯, 2015년의 시선으로 담아낸 스릴러의 이야기. 공포는 우리가 통제할 수 없는 것들에 대한 솔직한 고백이다. 불안이란 현실이 균열을 드러내는 순간에 스며든다. 시간이 지날수록 더 깊이 읽히는 영화다.</t>
  </si>
  <si>
    <t>감독: 原田眞人
주연: 기무라 타쿠야, 니노미야 카즈나리, 요시타카 유리코</t>
  </si>
  <si>
    <t>섬세한 일본적 감수성으로, 2018년의 시선으로 담아낸 드라마의 이야기. 인간의 고통이란 결국 타인과의 거리에서 비롯된다. 모든 이야기는 상처의 다른 이름이다. 완성도와 별개로, 이 작품이 던지려 한 질문은 유효하다.</t>
  </si>
  <si>
    <t>감독: 롭 마셜
주연: 장쯔이, 공리, 양자경</t>
  </si>
  <si>
    <t>할리우드적 스펙터클 너머, 2005년의 시선으로 담아낸 드라마의 이야기. 삶은 언제나 해석을 기다리는 텍스트다. 우리는 각자의 서사 안에 갇혀 서로를 오해한다. 완벽하지 않아도, 그 불완전함이 오히려 인간적이다.</t>
  </si>
  <si>
    <t>감독: Clay Staub
주연: Milo Ventimiglia, 숀 애슈모어, Javier Botet</t>
  </si>
  <si>
    <t>섬세한 일본적 감수성으로, 2017년의 시선으로 담아낸 드라마의 이야기. 삶은 언제나 해석을 기다리는 텍스트다. 인간의 고통이란 결국 타인과의 거리에서 비롯된다. 이 작품이 남기는 질문은 쉽게 사라지지 않는다.</t>
  </si>
  <si>
    <t>감독: Rob Imbs
주연: Brian Bernys, Jake Albarella, Andrea Andolina</t>
  </si>
  <si>
    <t>할리우드적 스펙터클 너머, 2015년의 시선으로 담아낸 드라마의 이야기. 삶은 언제나 해석을 기다리는 텍스트다. 우리는 각자의 서사 안에 갇혀 서로를 오해한다. 평점이 담지 못하는 무언가가 이 영화에는 있다.</t>
  </si>
  <si>
    <t>감독: 루퍼트 와이어트
주연: 마크 월버그, 존 굿맨, 브리 라슨</t>
  </si>
  <si>
    <t>할리우드적 스펙터클 너머, 2014년의 시선으로 담아낸 드라마의 이야기. 우리는 각자의 서사 안에 갇혀 서로를 오해한다. 삶은 언제나 해석을 기다리는 텍스트다. 한 번쯤 들여다볼 가치가 있는 이야기다.</t>
  </si>
  <si>
    <t>감독: Adrian Grünberg
주연: 멜 깁슨, Kevin Hernandez, Daniel Giménez Cacho</t>
  </si>
  <si>
    <t>할리우드적 스펙터클 너머, 2012년의 시선으로 담아낸 액션의 이야기. 육체의 한계에 도전하는 것은 곧 자아의 경계를 시험하는 일이다. 폭력의 언어 속에서도 인간은 존엄을 갈망한다. 나름의 울림을 간직한 작품이다.</t>
  </si>
  <si>
    <t>감독: 조던 필
주연: 다니엘 칼루야, 앨리슨 윌리엄스, 캐서린 키너</t>
  </si>
  <si>
    <t>할리우드적 스펙터클 너머, 2017년의 시선으로 담아낸 공포의 이야기. 불가해한 것 앞에서 인간은 얼마나 작은가를 깨닫는다. 어둠은 우리 내면의 억압된 것들이 귀환하는 문이다. 시간이 지날수록 더 깊이 읽히는 영화다.</t>
  </si>
  <si>
    <t>감독: Mikael Håfström
주연: Jonas Karlsson, David Dencik, Alba August</t>
  </si>
  <si>
    <t>한국 특유의 정서가 켜켜이 쌓인 듯, 2019년의 시선으로 담아낸 드라마의 이야기. 우리는 각자의 서사 안에 갇혀 서로를 오해한다. 모든 이야기는 상처의 다른 이름이다. 오랫동안 여운이 남는 작품이다.</t>
  </si>
  <si>
    <t>감독: 아이라 잭스
주연: 피어스 브로스넌, 크리스 쿠퍼, 패트리샤 클락슨</t>
  </si>
  <si>
    <t>할리우드적 스펙터클 너머, 2008년의 시선으로 담아낸 드라마의 이야기. 인간의 고통이란 결국 타인과의 거리에서 비롯된다. 삶은 언제나 해석을 기다리는 텍스트다. 완벽하지 않아도, 그 불완전함이 오히려 인간적이다.</t>
  </si>
  <si>
    <t>감독: 노아 바움백
주연: 애덤 드라이버, 스칼렛 요한슨, 로라 던</t>
  </si>
  <si>
    <t>할리우드적 스펙터클 너머, 2019년의 시선으로 담아낸 드라마의 이야기. 인간의 고통이란 결국 타인과의 거리에서 비롯된다. 모든 이야기는 상처의 다른 이름이다. 시간이 지날수록 더 깊이 읽히는 영화다.</t>
  </si>
  <si>
    <t>감독: 御法川修
주연: 시바사키 코우, 마키 요코, 테라지마 시노부</t>
  </si>
  <si>
    <t>섬세한 일본적 감수성으로, 2012년의 시선으로 담아낸 드라마의 이야기. 우리는 각자의 서사 안에 갇혀 서로를 오해한다. 모든 이야기는 상처의 다른 이름이다. 오랫동안 여운이 남는 작품이다.</t>
  </si>
  <si>
    <t>감독: Lee Kyu-man
주연: 최우식, 조진웅, 이현욱</t>
  </si>
  <si>
    <t>범죄</t>
  </si>
  <si>
    <t>112분</t>
  </si>
  <si>
    <t>섬세한 일본적 감수성으로, 2022년의 시선으로 담아낸 범죄의 이야기. 법과 도덕 사이의 틈새에서 인간의 본성이 노출된다. 죄란 사회가 만든 경계를 넘는 행위이자 그 경계에 대한 질문이다. 완벽하지 않아도, 그 불완전함이 오히려 인간적이다.</t>
  </si>
  <si>
    <t>감독: Richard Lyford
주연: Roger Bassett, Eystein Berger, Barbara Berjer</t>
  </si>
  <si>
    <t>131분</t>
  </si>
  <si>
    <t>섬세한 일본적 감수성으로, 2010년의 시선으로 담아낸 드라마의 이야기. 모든 이야기는 상처의 다른 이름이다. 인간의 고통이란 결국 타인과의 거리에서 비롯된다. 흠이 있지만 진심이 담긴 시도였다.</t>
  </si>
  <si>
    <t>감독: Alex Merkin
주연: 돌프 룬드그렌, 데니스 리처즈, Chuck Liddell</t>
  </si>
  <si>
    <t>할리우드적 스펙터클 너머, 2016년의 시선으로 담아낸 액션의 이야기. 충돌은 세계가 변화를 요구하는 방식이다. 생존의 욕망은 가장 원초적인 철학적 질문을 던진다. 이 작품이 남기는 이미지는 어떤 방식으로든 기억에 새겨진다.</t>
  </si>
  <si>
    <t>감독: 瀬々敬久
주연: 오카다 마사키, 에이쿠라 나나, 마츠자카 토리</t>
  </si>
  <si>
    <t>섬세한 일본적 감수성으로, 2011년의 시선으로 담아낸 드라마의 이야기. 우리는 각자의 서사 안에 갇혀 서로를 오해한다. 모든 이야기는 상처의 다른 이름이다. 아쉬움이 남지만, 모든 시도는 의미를 갖는다.</t>
  </si>
  <si>
    <t>감독: 송해성
주연: 박해일, 공효진, 진지희</t>
  </si>
  <si>
    <t>한국 특유의 정서가 켜켜이 쌓인 듯, 2013년의 시선으로 담아낸 드라마의 이야기. 우리는 각자의 서사 안에 갇혀 서로를 오해한다. 삶은 언제나 해석을 기다리는 텍스트다. 오랫동안 여운이 남는 작품이다.</t>
  </si>
  <si>
    <t>감독: Seo Eun-young
주연: 박하선, 하윤경, 감소현</t>
  </si>
  <si>
    <t>한국 특유의 정서가 켜켜이 쌓인 듯, 2021년의 시선으로 담아낸 드라마의 이야기. 인간의 고통이란 결국 타인과의 거리에서 비롯된다. 모든 이야기는 상처의 다른 이름이다. 평점이 담지 못하는 무언가가 이 영화에는 있다.</t>
  </si>
  <si>
    <t>감독: 울루 그로스바드
주연: 로버트 드 니로, 로버트 듀발, Charles Durning</t>
  </si>
  <si>
    <t>106분</t>
  </si>
  <si>
    <t>섬세한 일본적 감수성으로, 2010년의 시선으로 담아낸 드라마의 이야기. 모든 이야기는 상처의 다른 이름이다. 우리는 각자의 서사 안에 갇혀 서로를 오해한다. 한 번쯤 들여다볼 가치가 있는 이야기다.</t>
  </si>
  <si>
    <t>감독: 김준권
주연: 권남희, 김홍파, 이승준</t>
  </si>
  <si>
    <t>한국 특유의 정서가 켜켜이 쌓인 듯, 2013년의 시선으로 담아낸 범죄의 이야기. 어둠 속에서도 인간은 스스로를 정당화하려 한다. 죄란 사회가 만든 경계를 넘는 행위이자 그 경계에 대한 질문이다. 두고두고 다시 꺼내 볼 만한 작품이다.</t>
  </si>
  <si>
    <t>감독: Ratno Timoer
주연: Peggy Manoch, Pangky Suwito, W.D. Mochtar</t>
  </si>
  <si>
    <t>한국 특유의 정서가 켜켜이 쌓인 듯, 2010년의 시선으로 담아낸 로맨스의 이야기. 설렘은 불완전한 존재가 완전함을 향해 뻗는 손길이다. 사랑은 자아의 경계가 흔들리는 순간에 찾아온다. 흠이 있지만 진심이 담긴 시도였다.</t>
  </si>
  <si>
    <t>감독: 켈리 오설리반
주연: 키스 컵피러</t>
  </si>
  <si>
    <t>2026-03-21</t>
  </si>
  <si>
    <t>할리우드적 스펙터클 너머, 2025년의 시선으로 담아낸 드라마의 이야기. 인간의 고통이란 결국 타인과의 거리에서 비롯된다. 삶은 언제나 해석을 기다리는 텍스트다. 오랫동안 여운이 남는 작품이다.</t>
  </si>
  <si>
    <t>감독: 三木康一郎
주연: 후쿠시 소타, 타카하타 미츠키, 타케우치 유코</t>
  </si>
  <si>
    <t>섬세한 일본적 감수성으로, 2018년의 시선으로 담아낸 드라마의 이야기. 우리는 각자의 서사 안에 갇혀 서로를 오해한다. 삶은 언제나 해석을 기다리는 텍스트다. 시간이 지날수록 더 깊이 읽히는 영화다.</t>
  </si>
  <si>
    <t>감독: 오기가미 나오코
주연: 이치카와 미카코, 草村礼子, 미츠이시 켄</t>
  </si>
  <si>
    <t>섬세한 일본적 감수성으로, 2012년의 시선으로 담아낸 드라마의 이야기. 삶은 언제나 해석을 기다리는 텍스트다. 우리는 각자의 서사 안에 갇혀 서로를 오해한다. 이 작품이 남기는 질문은 쉽게 사라지지 않는다.</t>
  </si>
  <si>
    <t>감독: 岩合光昭
주연: 立川志の輔, 시바사키 코우, 에모토 타스쿠</t>
  </si>
  <si>
    <t>섬세한 일본적 감수성으로, 2018년의 시선으로 담아낸 드라마의 이야기. 인간의 고통이란 결국 타인과의 거리에서 비롯된다. 우리는 각자의 서사 안에 갇혀 서로를 오해한다. 두고두고 다시 꺼내 볼 만한 작품이다.</t>
  </si>
  <si>
    <t>감독: 박은교, Choi Hang-yong
주연: 배두나, 공유, 이준</t>
  </si>
  <si>
    <t>드라마 형식 속에서, 한국 특유의 정서가 켜켜이 쌓인 듯, 2021년의 시선으로 담아낸 드라마의 이야기. 삶은 언제나 해석을 기다리는 텍스트다. 우리는 각자의 서사 안에 갇혀 서로를 오해한다. 이 작품이 남기는 이미지는 어떤 방식으로든 기억에 새겨진다.</t>
  </si>
  <si>
    <t>감독: 잭 브래프
주연: 모건 프리먼, 마이클 케인, 알란 아킨</t>
  </si>
  <si>
    <t>할리우드적 스펙터클 너머, 2017년의 시선으로 담아낸 범죄의 이야기. 어둠 속에서도 인간은 스스로를 정당화하려 한다. 욕망은 언제나 질서보다 먼저 존재했다. 두고두고 다시 꺼내 볼 만한 작품이다.</t>
  </si>
  <si>
    <t>감독: 장훈
주연: 신하균, 고수, 이제훈</t>
  </si>
  <si>
    <t>한국 특유의 정서가 켜켜이 쌓인 듯, 2011년의 시선으로 담아낸 드라마의 이야기. 삶은 언제나 해석을 기다리는 텍스트다. 우리는 각자의 서사 안에 갇혀 서로를 오해한다. 이 작품이 남기는 질문은 쉽게 사라지지 않는다.</t>
  </si>
  <si>
    <t>감독: 나홍진
주연: 곽도원, 황정민, 천우희</t>
  </si>
  <si>
    <t>156분</t>
  </si>
  <si>
    <t>한국 특유의 정서가 켜켜이 쌓인 듯, 2016년의 시선으로 담아낸 공포의 이야기. 어둠은 우리 내면의 억압된 것들이 귀환하는 문이다. 공포란 이성이 침묵하는 순간 존재가 맞닥뜨리는 날것의 경험이다. 시간이 지날수록 더 깊이 읽히는 영화다.</t>
  </si>
  <si>
    <t>감독: 정범식
주연: 위하준, 박지현, 오아연</t>
  </si>
  <si>
    <t>94분</t>
  </si>
  <si>
    <t>한국 특유의 정서가 켜켜이 쌓인 듯, 2017년의 시선으로 담아낸 공포의 이야기. 공포란 이성이 침묵하는 순간 존재가 맞닥뜨리는 날것의 경험이다. 불가해한 것 앞에서 인간은 얼마나 작은가를 깨닫는다. 한 번쯤 들여다볼 가치가 있는 이야기다.</t>
  </si>
  <si>
    <t>감독: Stephen Gaghan
주연: 매튜 매커너히, 브라이스 댈러스 하워드, 에드가 라미레즈</t>
  </si>
  <si>
    <t>할리우드적 스펙터클 너머, 2016년의 시선으로 담아낸 드라마의 이야기. 인간의 고통이란 결국 타인과의 거리에서 비롯된다. 삶은 언제나 해석을 기다리는 텍스트다. 이 작품이 남기는 질문은 쉽게 사라지지 않는다.</t>
  </si>
  <si>
    <t>감독: Noh Dong-seok
주연: 강동원, 김의성, 유재명</t>
  </si>
  <si>
    <t>한국 특유의 정서가 켜켜이 쌓인 듯, 2018년의 시선으로 담아낸 범죄의 이야기. 법과 도덕 사이의 틈새에서 인간의 본성이 노출된다. 어둠 속에서도 인간은 스스로를 정당화하려 한다. 완벽하지 않아도, 그 불완전함이 오히려 인간적이다.</t>
  </si>
  <si>
    <t>감독: 中村義洋
주연: 사카이 마사토, 타케우치 유코, 요시오카 히데타카</t>
  </si>
  <si>
    <t>스리러</t>
  </si>
  <si>
    <t>139분</t>
  </si>
  <si>
    <t>섬세한 일본적 감수성으로, 2010년의 시선으로 담아낸 스리러의 이야기. 시간이 흐른 뒤에도 이 장면들은 기억 속에 선명히 남는다. 우리는 스크린 앞에 앉아 타인의 삶을 통해 우리 자신을 본다. 흠이 있지만 진심이 담긴 시도였다.</t>
  </si>
  <si>
    <t>감독: 細川徹
주연: 杏, 黒島結菜, 사카구치 켄타로</t>
  </si>
  <si>
    <t>섬세한 일본적 감수성으로, 2016년의 시선으로 담아낸 드라마의 이야기. 모든 이야기는 상처의 다른 이름이다. 우리는 각자의 서사 안에 갇혀 서로를 오해한다. 평점이 담지 못하는 무언가가 이 영화에는 있다.</t>
  </si>
  <si>
    <t>감독: Simon Curtis
주연: 도널 글리슨, 마고 로비, 윌 틸스턴</t>
  </si>
  <si>
    <t>영국적 절제와 냉소 사이에서, 2017년의 시선으로 담아낸 드라마의 이야기. 우리는 각자의 서사 안에 갇혀 서로를 오해한다. 인간의 고통이란 결국 타인과의 거리에서 비롯된다. 오랫동안 여운이 남는 작품이다.</t>
  </si>
  <si>
    <t>감독: 박찬욱
주연: 이영애, 이병헌, 송강호</t>
  </si>
  <si>
    <t>한국 특유의 정서가 켜켜이 쌓인 듯, 2000년의 시선으로 담아낸 드라마의 이야기. 모든 이야기는 상처의 다른 이름이다. 삶은 언제나 해석을 기다리는 텍스트다. 두고두고 다시 꺼내 볼 만한 작품이다.</t>
  </si>
  <si>
    <t>감독: 김홍선
주연: 임창정, 최다니엘, 조윤희</t>
  </si>
  <si>
    <t>한국 특유의 정서가 켜켜이 쌓인 듯, 2012년의 시선으로 담아낸 드라마의 이야기. 모든 이야기는 상처의 다른 이름이다. 인간의 고통이란 결국 타인과의 거리에서 비롯된다. 완벽하지 않아도, 그 불완전함이 오히려 인간적이다.</t>
  </si>
  <si>
    <t>감독: 𠮷田恵輔
주연: 古田新太, 마츠자카 토리, 타바타 토모코</t>
  </si>
  <si>
    <t>섬세한 일본적 감수성으로, 2024년의 시선으로 담아낸 드라마의 이야기. 삶은 언제나 해석을 기다리는 텍스트다. 모든 이야기는 상처의 다른 이름이다. 나름의 울림을 간직한 작품이다.</t>
  </si>
  <si>
    <t>감독: Gook Dong-seok
주연: 손예진, 김갑수, 임형준</t>
  </si>
  <si>
    <t>한국 특유의 정서가 켜켜이 쌓인 듯, 2013년의 시선으로 담아낸 드라마의 이야기. 우리는 각자의 서사 안에 갇혀 서로를 오해한다. 삶은 언제나 해석을 기다리는 텍스트다. 나름의 울림을 간직한 작품이다.</t>
  </si>
  <si>
    <t>감독: 존 G. 아빌드센
주연: 랄프 마치오, Pat Morita, 엘리자베스 슈</t>
  </si>
  <si>
    <t>섬세한 일본적 감수성으로, 2019년의 시선으로 담아낸 액션의 이야기. 폭력의 언어 속에서도 인간은 존엄을 갈망한다. 육체의 한계에 도전하는 것은 곧 자아의 경계를 시험하는 일이다. 두고두고 다시 꺼내 볼 만한 작품이다.</t>
  </si>
  <si>
    <t>감독: 윤종빈
주연: 황정민, 이성민, 조진웅</t>
  </si>
  <si>
    <t>한국 특유의 정서가 켜켜이 쌓인 듯, 2018년의 시선으로 담아낸 드라마의 이야기. 인간의 고통이란 결국 타인과의 거리에서 비롯된다. 모든 이야기는 상처의 다른 이름이다. 한 번쯤 들여다볼 가치가 있는 이야기다.</t>
  </si>
  <si>
    <t>감독: Laura Bispuri
주연: Dominique Sanda, 알바 로르바케르, Maya Sansa</t>
  </si>
  <si>
    <t>광활한 대지의 이야기를 담아, 2021년의 시선으로 담아낸 드라마의 이야기. 삶은 언제나 해석을 기다리는 텍스트다. 우리는 각자의 서사 안에 갇혀 서로를 오해한다. 한 번쯤 들여다볼 가치가 있는 이야기다.</t>
  </si>
  <si>
    <t>감독: 김성훈
주연: 현빈, 유해진, 김주혁</t>
  </si>
  <si>
    <t>한국 특유의 정서가 켜켜이 쌓인 듯, 2016년의 시선으로 담아낸 범죄의 이야기. 죄란 사회가 만든 경계를 넘는 행위이자 그 경계에 대한 질문이다. 법과 도덕 사이의 틈새에서 인간의 본성이 노출된다. 오랫동안 여운이 남는 작품이다.</t>
  </si>
  <si>
    <t>감독: 이석훈
주연: 현빈, 유해진, 임윤아</t>
  </si>
  <si>
    <t>한국 특유의 정서가 켜켜이 쌓인 듯, 2022년의 시선으로 담아낸 범죄의 이야기. 죄란 사회가 만든 경계를 넘는 행위이자 그 경계에 대한 질문이다. 법과 도덕 사이의 틈새에서 인간의 본성이 노출된다. 오랫동안 여운이 남는 작품이다.</t>
  </si>
  <si>
    <t>감독: 강형철
주연: 차태현, 박보영, Wang Seok-hyeon</t>
  </si>
  <si>
    <t>한국 특유의 정서가 켜켜이 쌓인 듯, 2008년의 시선으로 담아낸 드라마의 이야기. 삶은 언제나 해석을 기다리는 텍스트다. 인간의 고통이란 결국 타인과의 거리에서 비롯된다. 이 작품이 남기는 질문은 쉽게 사라지지 않는다.</t>
  </si>
  <si>
    <t>감독: Kwon Chil-in
주연: 엄정화, 문소리, 조민수</t>
  </si>
  <si>
    <t>한국 특유의 정서가 켜켜이 쌓인 듯, 2013년의 시선으로 담아낸 드라마의 이야기. 우리는 각자의 서사 안에 갇혀 서로를 오해한다. 인간의 고통이란 결국 타인과의 거리에서 비롯된다. 흠이 있지만 진심이 담긴 시도였다.</t>
  </si>
  <si>
    <t>감독: 한재림
주연: 송강호, 이정재, 백윤식</t>
  </si>
  <si>
    <t>사극, 드라마</t>
  </si>
  <si>
    <t>한국 특유의 정서가 켜켜이 쌓인 듯, 2013년의 시선으로 담아낸 드라마의 이야기. 삶은 언제나 해석을 기다리는 텍스트다. 인간의 고통이란 결국 타인과의 거리에서 비롯된다. 오랫동안 여운이 남는 작품이다.</t>
  </si>
  <si>
    <t>감독: Kim Joo-ho
주연: 조진웅, 손현주, 박희순</t>
  </si>
  <si>
    <t>한국 특유의 정서가 켜켜이 쌓인 듯, 2019년의 시선으로 담아낸 드라마의 이야기. 모든 이야기는 상처의 다른 이름이다. 삶은 언제나 해석을 기다리는 텍스트다. 흠이 있지만 진심이 담긴 시도였다.</t>
  </si>
  <si>
    <t>감독: 김현석
주연: 김주혁, 봉태규, 이요원</t>
  </si>
  <si>
    <t>한국 특유의 정서가 켜켜이 쌓인 듯, 2004년의 시선으로 담아낸 드라마의 이야기. 삶은 언제나 해석을 기다리는 텍스트다. 인간의 고통이란 결국 타인과의 거리에서 비롯된다. 흠이 있지만 진심이 담긴 시도였다.</t>
  </si>
  <si>
    <t>감독: 최성은
주연: 소지섭, 허준호, 공명</t>
  </si>
  <si>
    <t>7화</t>
  </si>
  <si>
    <t>드라마 형식 속에서, 한국 특유의 정서가 켜켜이 쌓인 듯, 2025년의 시선으로 담아낸 드라마의 이야기. 모든 이야기는 상처의 다른 이름이다. 우리는 각자의 서사 안에 갇혀 서로를 오해한다. 평점이 담지 못하는 무언가가 이 영화에는 있다.</t>
  </si>
  <si>
    <t>감독: 추창민
주연: 이병헌, 류승룡, 한효주</t>
  </si>
  <si>
    <t>한국 특유의 정서가 켜켜이 쌓인 듯, 2012년의 시선으로 담아낸 드라마의 이야기. 모든 이야기는 상처의 다른 이름이다. 인간의 고통이란 결국 타인과의 거리에서 비롯된다. 두고두고 다시 꺼내 볼 만한 작품이다.</t>
  </si>
  <si>
    <t>감독: 마이크 화이트
주연: 벤 스틸러, 오스틴 에이브럼스, 제나 피셔</t>
  </si>
  <si>
    <t>할리우드적 스펙터클 너머, 2017년의 시선으로 담아낸 드라마의 이야기. 인간의 고통이란 결국 타인과의 거리에서 비롯된다. 모든 이야기는 상처의 다른 이름이다. 오랫동안 여운이 남는 작품이다.</t>
  </si>
  <si>
    <t>감독: 봉준호
주연: 송강호, 변희봉, 박해일</t>
  </si>
  <si>
    <t>드라마, SF</t>
  </si>
  <si>
    <t>한국 특유의 정서가 켜켜이 쌓인 듯, 2006년의 시선으로 담아낸 드라마의 이야기. 우리는 각자의 서사 안에 갇혀 서로를 오해한다. 모든 이야기는 상처의 다른 이름이다. 이 작품이 남기는 질문은 쉽게 사라지지 않는다.</t>
  </si>
  <si>
    <t>감독: Rako Prijanto
주연: Marsha Timothy, Alex Abbad, Anantya Rezky Kirana</t>
  </si>
  <si>
    <t>섬세한 일본적 감수성으로, 2023년의 시선으로 담아낸 드라마의 이야기. 삶은 언제나 해석을 기다리는 텍스트다. 인간의 고통이란 결국 타인과의 거리에서 비롯된다. 이 작품이 남기는 질문은 쉽게 사라지지 않는다.</t>
  </si>
  <si>
    <t>감독: 임순례
주연: 황정민, 현빈, 강기영</t>
  </si>
  <si>
    <t>한국 특유의 정서가 켜켜이 쌓인 듯, 2023년의 시선으로 담아낸 드라마의 이야기. 인간의 고통이란 결국 타인과의 거리에서 비롯된다. 모든 이야기는 상처의 다른 이름이다. 한 번쯤 들여다볼 가치가 있는 이야기다.</t>
  </si>
  <si>
    <t>감독: Kim McVicar
주연: Alina Abbe, Zoe Danielle Harris, Jordi Medina</t>
  </si>
  <si>
    <t>섬세한 일본적 감수성으로, 2019년의 시선으로 담아낸 드라마의 이야기. 모든 이야기는 상처의 다른 이름이다. 인간의 고통이란 결국 타인과의 거리에서 비롯된다. 아쉬움이 남지만, 모든 시도는 의미를 갖는다.</t>
  </si>
  <si>
    <t>감독: 이준익
주연: 차승원, 황정민, 백성현</t>
  </si>
  <si>
    <t>사극, 액션</t>
  </si>
  <si>
    <t>한국 특유의 정서가 켜켜이 쌓인 듯, 2010년의 시선으로 담아낸 사극의 이야기. 역사의 무게는 개인의 삶을 짓누르지만, 그 안에서도 빛이 있다. 역사는 현재를 비추는 거울이며, 과거는 아직 끝나지 않았다. 완벽하지 않아도, 그 불완전함이 오히려 인간적이다.</t>
  </si>
  <si>
    <t>감독: 롭 레터먼
주연: 잭 블랙, 딜런 미네트, 오데야 러쉬</t>
  </si>
  <si>
    <t>할리우드적 스펙터클 너머, 2015년의 시선으로 담아낸 판타지의 이야기. 신화는 인간이 말할 수 없는 것들을 말하는 언어다. 영웅의 여정은 결국 자기 자신으로 돌아오는 길이다. 두고두고 다시 꺼내 볼 만한 작품이다.</t>
  </si>
  <si>
    <t>감독: Katt Shea
주연: 그랜트 거스틴, Scott Wolf, 케일라 잰더</t>
  </si>
  <si>
    <t>할리우드적 스펙터클 너머, 2022년의 시선으로 담아낸 드라마의 이야기. 우리는 각자의 서사 안에 갇혀 서로를 오해한다. 삶은 언제나 해석을 기다리는 텍스트다. 두고두고 다시 꺼내 볼 만한 작품이다.</t>
  </si>
  <si>
    <t>감독: 김용화
주연: 하정우, 성동일, 김지석</t>
  </si>
  <si>
    <t>드라마, 스포츠</t>
  </si>
  <si>
    <t>한국 특유의 정서가 켜켜이 쌓인 듯, 2009년의 시선으로 담아낸 드라마의 이야기. 삶은 언제나 해석을 기다리는 텍스트다. 인간의 고통이란 결국 타인과의 거리에서 비롯된다. 시간이 지날수록 더 깊이 읽히는 영화다.</t>
  </si>
  <si>
    <t>감독: Kim Jong-hyun
주연: 수애, 오달수, 오연서</t>
  </si>
  <si>
    <t>한국 특유의 정서가 켜켜이 쌓인 듯, 2016년의 시선으로 담아낸 드라마의 이야기. 삶은 언제나 해석을 기다리는 텍스트다. 인간의 고통이란 결국 타인과의 거리에서 비롯된다. 두고두고 다시 꺼내 볼 만한 작품이다.</t>
  </si>
  <si>
    <t>감독: 최국희
주연: 김혜수, 유아인, 허준호</t>
  </si>
  <si>
    <t>한국 특유의 정서가 켜켜이 쌓인 듯, 2018년의 시선으로 담아낸 드라마의 이야기. 삶은 언제나 해석을 기다리는 텍스트다. 우리는 각자의 서사 안에 갇혀 서로를 오해한다. 시간이 지날수록 더 깊이 읽히는 영화다.</t>
  </si>
  <si>
    <t>감독: Nate Parker
주연: Nate Parker, 아미 해머, 아자 나오미 킹</t>
  </si>
  <si>
    <t>할리우드적 스펙터클 너머, 2016년의 시선으로 담아낸 드라마의 이야기. 모든 이야기는 상처의 다른 이름이다. 우리는 각자의 서사 안에 갇혀 서로를 오해한다. 한 번쯤 들여다볼 가치가 있는 이야기다.</t>
  </si>
  <si>
    <t>감독: 안판석
주연: 차승원, 심혜진, Jo Yi-Jin</t>
  </si>
  <si>
    <t>한국 특유의 정서가 켜켜이 쌓인 듯, 2006년의 시선으로 담아낸 드라마의 이야기. 삶은 언제나 해석을 기다리는 텍스트다. 인간의 고통이란 결국 타인과의 거리에서 비롯된다. 오랫동안 여운이 남는 작품이다.</t>
  </si>
  <si>
    <t>감독: Kim Bong-han
주연: 곽도원, 김대명, 김상호</t>
  </si>
  <si>
    <t>한국 특유의 정서가 켜켜이 쌓인 듯, 2020년의 시선으로 담아낸 범죄의 이야기. 법과 도덕 사이의 틈새에서 인간의 본성이 노출된다. 어둠 속에서도 인간은 스스로를 정당화하려 한다. 완벽하지 않아도, 그 불완전함이 오히려 인간적이다.</t>
  </si>
  <si>
    <t>감독: 윤제균
주연: 황정민, 김윤진, 오달수</t>
  </si>
  <si>
    <t>한국 특유의 정서가 켜켜이 쌓인 듯, 2014년의 시선으로 담아낸 드라마의 이야기. 우리는 각자의 서사 안에 갇혀 서로를 오해한다. 모든 이야기는 상처의 다른 이름이다. 시간이 지날수록 더 깊이 읽히는 영화다.</t>
  </si>
  <si>
    <t>감독: 윤종빈
주연: 하정우, 강동원, 이경영</t>
  </si>
  <si>
    <t>한국 특유의 정서가 켜켜이 쌓인 듯, 2014년의 시선으로 담아낸 사극의 이야기. 역사는 현재를 비추는 거울이며, 과거는 아직 끝나지 않았다. 시대의 억압 속에서도 인간의 욕망과 존엄은 꺾이지 않는다. 한 번쯤 들여다볼 가치가 있는 이야기다.</t>
  </si>
  <si>
    <t>주연: 오카다 준이치, 에구치 요스케, 나카타니 미키</t>
  </si>
  <si>
    <t>드라마, 사극</t>
  </si>
  <si>
    <t>50화</t>
  </si>
  <si>
    <t>드라마 형식 속에서, 섬세한 일본적 감수성으로, 2014년의 시선으로 담아낸 드라마의 이야기. 우리는 각자의 서사 안에 갇혀 서로를 오해한다. 삶은 언제나 해석을 기다리는 텍스트다. 이 작품이 남기는 이미지는 어떤 방식으로든 기억에 새겨진다.</t>
  </si>
  <si>
    <t>감독: 장률
주연: 박해일, 문소리, 정진영</t>
  </si>
  <si>
    <t>한국 특유의 정서가 켜켜이 쌓인 듯, 2018년의 시선으로 담아낸 드라마의 이야기. 우리는 각자의 서사 안에 갇혀 서로를 오해한다. 인간의 고통이란 결국 타인과의 거리에서 비롯된다. 오랫동안 여운이 남는 작품이다.</t>
  </si>
  <si>
    <t>감독: 류승완
주연: 황정민, 소지섭, 송중기</t>
  </si>
  <si>
    <t>132분</t>
  </si>
  <si>
    <t>한국 특유의 정서가 켜켜이 쌓인 듯, 2017년의 시선으로 담아낸 사극의 이야기. 역사는 현재를 비추는 거울이며, 과거는 아직 끝나지 않았다. 시대의 억압 속에서도 인간의 욕망과 존엄은 꺾이지 않는다. 완벽하지 않아도, 그 불완전함이 오히려 인간적이다.</t>
  </si>
  <si>
    <t>감독: 빌 콘돈
주연: 헬렌 미렌, 이안 맥켈런, 러셀 토비</t>
  </si>
  <si>
    <t>할리우드적 스펙터클 너머, 2019년의 시선으로 담아낸 드라마의 이야기. 인간의 고통이란 결국 타인과의 거리에서 비롯된다. 우리는 각자의 서사 안에 갇혀 서로를 오해한다. 두고두고 다시 꺼내 볼 만한 작품이다.</t>
  </si>
  <si>
    <t>감독: Wolfgang Becker
주연: 다니엘 브륄, Katrin Sass, Чулпан Хаматова</t>
  </si>
  <si>
    <t>섬세한 일본적 감수성으로, 2008년의 시선으로 담아낸 드라마의 이야기. 모든 이야기는 상처의 다른 이름이다. 우리는 각자의 서사 안에 갇혀 서로를 오해한다. 두고두고 다시 꺼내 볼 만한 작품이다.</t>
  </si>
  <si>
    <t>감독: Michelle King, 로버트 킹
주연: 줄리아나 마걸리스, 크리스틴 바란스키, 맷 주크리</t>
  </si>
  <si>
    <t>드라마, 법정</t>
  </si>
  <si>
    <t>23화</t>
  </si>
  <si>
    <t>드라마 형식 속에서, 할리우드적 스펙터클 너머, 2009년의 시선으로 담아낸 드라마의 이야기. 삶은 언제나 해석을 기다리는 텍스트다. 인간의 고통이란 결국 타인과의 거리에서 비롯된다. 평점이 담지 못하는 무언가가 이 영화에는 있다.</t>
  </si>
  <si>
    <t>드라마 형식 속에서, 할리우드적 스펙터클 너머, 2010년의 시선으로 담아낸 드라마의 이야기. 우리는 각자의 서사 안에 갇혀 서로를 오해한다. 삶은 언제나 해석을 기다리는 텍스트다. 평점이 담지 못하는 무언가가 이 영화에는 있다.</t>
  </si>
  <si>
    <t>22화</t>
  </si>
  <si>
    <t>드라마 형식 속에서, 할리우드적 스펙터클 너머, 2011년의 시선으로 담아낸 드라마의 이야기. 모든 이야기는 상처의 다른 이름이다. 우리는 각자의 서사 안에 갇혀 서로를 오해한다. 이 작품이 남기는 이미지는 어떤 방식으로든 기억에 새겨진다.</t>
  </si>
  <si>
    <t>드라마 형식 속에서, 할리우드적 스펙터클 너머, 2012년의 시선으로 담아낸 드라마의 이야기. 우리는 각자의 서사 안에 갇혀 서로를 오해한다. 모든 이야기는 상처의 다른 이름이다. 이 작품이 남기는 이미지는 어떤 방식으로든 기억에 새겨진다.</t>
  </si>
  <si>
    <t>드라마 형식 속에서, 할리우드적 스펙터클 너머, 2013년의 시선으로 담아낸 드라마의 이야기. 인간의 고통이란 결국 타인과의 거리에서 비롯된다. 모든 이야기는 상처의 다른 이름이다. 이 작품이 남기는 이미지는 어떤 방식으로든 기억에 새겨진다.</t>
  </si>
  <si>
    <t>드라마 형식 속에서, 할리우드적 스펙터클 너머, 2014년의 시선으로 담아낸 드라마의 이야기. 모든 이야기는 상처의 다른 이름이다. 인간의 고통이란 결국 타인과의 거리에서 비롯된다. 평점이 담지 못하는 무언가가 이 영화에는 있다.</t>
  </si>
  <si>
    <t>드라마 형식 속에서, 할리우드적 스펙터클 너머, 2015년의 시선으로 담아낸 드라마의 이야기. 삶은 언제나 해석을 기다리는 텍스트다. 우리는 각자의 서사 안에 갇혀 서로를 오해한다. 평점이 담지 못하는 무언가가 이 영화에는 있다.</t>
  </si>
  <si>
    <t>감독: Mike Barker
주연: 헬렌 헌트, 스칼렛 요한슨, 톰 윌킨슨</t>
  </si>
  <si>
    <t>할리우드적 스펙터클 너머, 2004년의 시선으로 담아낸 드라마의 이야기. 인간의 고통이란 결국 타인과의 거리에서 비롯된다. 우리는 각자의 서사 안에 갇혀 서로를 오해한다. 두고두고 다시 꺼내 볼 만한 작품이다.</t>
  </si>
  <si>
    <t>감독: 변성현
주연: 설경구, 홍경, 류승범</t>
  </si>
  <si>
    <t>136분</t>
  </si>
  <si>
    <t>한국 특유의 정서가 켜켜이 쌓인 듯, 2025년의 시선으로 담아낸 드라마의 이야기. 모든 이야기는 상처의 다른 이름이다. 삶은 언제나 해석을 기다리는 텍스트다. 두고두고 다시 꺼내 볼 만한 작품이다.</t>
  </si>
  <si>
    <t>감독: Gauri Shinde
주연: Sridevi, Adil Hussain, Mehdi Nebbou</t>
  </si>
  <si>
    <t>인도</t>
  </si>
  <si>
    <t>2014년의 시선으로 담아낸 드라마 이야기가 우리에게 묻는다. 모든 이야기는 상처의 다른 이름이다. 삶은 언제나 해석을 기다리는 텍스트다. 오랫동안 여운이 남는 작품이다.</t>
  </si>
  <si>
    <t>감독: Heath Jones
주연: Annika Marks, Sharon Lawrence, Chase Mowen</t>
  </si>
  <si>
    <t>할리우드적 스펙터클 너머, 2007년의 시선으로 담아낸 드라마의 이야기. 모든 이야기는 상처의 다른 이름이다. 우리는 각자의 서사 안에 갇혀 서로를 오해한다. 오랫동안 여운이 남는 작품이다.</t>
  </si>
  <si>
    <t>감독: Андрей Смирнов
주연: Anya Smirnov</t>
  </si>
  <si>
    <t>할리우드적 스펙터클 너머, 1996년의 시선으로 담아낸 드라마의 이야기. 인간의 고통이란 결국 타인과의 거리에서 비롯된다. 우리는 각자의 서사 안에 갇혀 서로를 오해한다. 두고두고 다시 꺼내 볼 만한 작품이다.</t>
  </si>
  <si>
    <t>감독: 김태곤
주연: 김혜수, 마동석, 김현수</t>
  </si>
  <si>
    <t>한국 특유의 정서가 켜켜이 쌓인 듯, 2016년의 시선으로 담아낸 코미디의 이야기. 유머 속에는 세계의 부조리를 견뎌내는 지혜가 담겨 있다. 우스운 것과 슬픈 것은 본래 같은 뿌리에서 자란다. 오랫동안 여운이 남는 작품이다.</t>
  </si>
  <si>
    <t>영국적 절제와 냉소 사이에서, 2017년의 시선으로 담아낸 드라마의 이야기. 삶은 언제나 해석을 기다리는 텍스트다. 인간의 고통이란 결국 타인과의 거리에서 비롯된다. 이 작품이 남기는 질문은 쉽게 사라지지 않는다.</t>
  </si>
  <si>
    <t>감독: 케이트 윈슬렛
주연: 헬렌 미렌, 토니 콜렛, 조니 플린</t>
  </si>
  <si>
    <t>116분</t>
  </si>
  <si>
    <t>영국적 절제와 냉소 사이에서, 2025년의 시선으로 담아낸 드라마의 이야기. 모든 이야기는 상처의 다른 이름이다. 인간의 고통이란 결국 타인과의 거리에서 비롯된다. 시간이 지날수록 더 깊이 읽히는 영화다.</t>
  </si>
  <si>
    <t>독일 특유의 사유의 무게를 지니며, 2003년의 시선으로 담아낸 드라마의 이야기. 삶은 언제나 해석을 기다리는 텍스트다. 인간의 고통이란 결국 타인과의 거리에서 비롯된다. 시간이 지날수록 더 깊이 읽히는 영화다.</t>
  </si>
  <si>
    <t>감독: 조쉬 사프디, 베니 사프디
주연: 로버트 패틴슨, 베니 사프디, Buddy Duress</t>
  </si>
  <si>
    <t>할리우드적 스펙터클 너머, 2017년의 시선으로 담아낸 드라마의 이야기. 인간의 고통이란 결국 타인과의 거리에서 비롯된다. 삶은 언제나 해석을 기다리는 텍스트다. 두고두고 다시 꺼내 볼 만한 작품이다.</t>
  </si>
  <si>
    <t>감독: 홍창표
주연: 심은경, 이승기, 김상경</t>
  </si>
  <si>
    <t>사극, 코미디</t>
  </si>
  <si>
    <t>한국 특유의 정서가 켜켜이 쌓인 듯, 2018년의 시선으로 담아낸 사극의 이야기. 역사의 무게는 개인의 삶을 짓누르지만, 그 안에서도 빛이 있다. 역사는 현재를 비추는 거울이며, 과거는 아직 끝나지 않았다. 나름의 울림을 간직한 작품이다.</t>
  </si>
  <si>
    <t>감독: 게리 마셜
주연: 리처드 기어, 줄리아 로버츠, Ralph Bellamy</t>
  </si>
  <si>
    <t>할리우드적 스펙터클 너머, 1990년의 시선으로 담아낸 로맨스의 이야기. 설렘은 불완전한 존재가 완전함을 향해 뻗는 손길이다. 두 사람 사이의 침묵은 때로 말보다 더 많은 것을 말한다. 이 작품이 남기는 질문은 쉽게 사라지지 않는다.</t>
  </si>
  <si>
    <t>감독: 조정래
주연: Kang Ha-na, 최리, Seo Mi-ji</t>
  </si>
  <si>
    <t>한국 특유의 정서가 켜켜이 쌓인 듯, 2015년의 시선으로 담아낸 드라마의 이야기. 인간의 고통이란 결국 타인과의 거리에서 비롯된다. 우리는 각자의 서사 안에 갇혀 서로를 오해한다. 두고두고 다시 꺼내 볼 만한 작품이다.</t>
  </si>
  <si>
    <t>감독: Jamie Alvey
주연: Jamie Alvey, Deaton Gabbard, Waylon O’Bryan</t>
  </si>
  <si>
    <t>섬세한 일본적 감수성으로, 2011년의 시선으로 담아낸 드라마의 이야기. 인간의 고통이란 결국 타인과의 거리에서 비롯된다. 삶은 언제나 해석을 기다리는 텍스트다. 시간이 지날수록 더 깊이 읽히는 영화다.</t>
  </si>
  <si>
    <t>감독: 霍建起
주연: 滕汝骏, 류엽, 陈好</t>
  </si>
  <si>
    <t>광활한 대지의 이야기를 담아, 1999년의 시선으로 담아낸 드라마의 이야기. 인간의 고통이란 결국 타인과의 거리에서 비롯된다. 모든 이야기는 상처의 다른 이름이다. 이 작품이 남기는 이미지는 어떤 방식으로든 기억에 새겨진다.</t>
  </si>
  <si>
    <t>감독: 九把刀
주연: 가진동, 진연희, 학소문</t>
  </si>
  <si>
    <t>대만</t>
  </si>
  <si>
    <t>2011년의 시선으로 담아낸 로맨스 이야기가 우리에게 묻는다. 사랑은 자아의 경계가 흔들리는 순간에 찾아온다. 그리움이란 부재를 통해 존재를 확인하는 방식이다. 한 번쯤 들여다볼 가치가 있는 이야기다.</t>
  </si>
  <si>
    <t>감독: 기타노 다케시
주연: 真木蔵人, 大島弘子, 河原さぶ</t>
  </si>
  <si>
    <t>섬세한 일본적 감수성으로, 1991년의 시선으로 담아낸 드라마의 이야기. 모든 이야기는 상처의 다른 이름이다. 삶은 언제나 해석을 기다리는 텍스트다. 두고두고 다시 꺼내 볼 만한 작품이다.</t>
  </si>
  <si>
    <t>감독: Marc Lawrence
주연: 드류 배리모어, 휴 그랜트, 브래드 개릿</t>
  </si>
  <si>
    <t>할리우드적 스펙터클 너머, 2007년의 시선으로 담아낸 로맨스의 이야기. 그리움이란 부재를 통해 존재를 확인하는 방식이다. 설렘은 불완전한 존재가 완전함을 향해 뻗는 손길이다. 두고두고 다시 꺼내 볼 만한 작품이다.</t>
  </si>
  <si>
    <t>감독: 최성현
주연: 이병헌, 윤여정, 박정민</t>
  </si>
  <si>
    <t>한국 특유의 정서가 켜켜이 쌓인 듯, 2017년의 시선으로 담아낸 드라마의 이야기. 모든 이야기는 상처의 다른 이름이다. 인간의 고통이란 결국 타인과의 거리에서 비롯된다. 오랫동안 여운이 남는 작품이다.</t>
  </si>
  <si>
    <t>감독: 呉美保
주연: 아야노 고, 이케와키 치즈루, 스다 마사키</t>
  </si>
  <si>
    <t>섬세한 일본적 감수성으로, 2014년의 시선으로 담아낸 드라마의 이야기. 모든 이야기는 상처의 다른 이름이다. 우리는 각자의 서사 안에 갇혀 서로를 오해한다. 오랫동안 여운이 남는 작품이다.</t>
  </si>
  <si>
    <t>감독: 토비아스 린홀름
주연: 제시카 차스테인, 에디 레드메인, Nnamdi Asomugha</t>
  </si>
  <si>
    <t>할리우드적 스펙터클 너머, 2022년의 시선으로 담아낸 드라마의 이야기. 모든 이야기는 상처의 다른 이름이다. 인간의 고통이란 결국 타인과의 거리에서 비롯된다. 완벽하지 않아도, 그 불완전함이 오히려 인간적이다.</t>
  </si>
  <si>
    <t>감독: 스파이크 존즈
주연: 호아킨 피닉스, 스칼렛 요한슨, Lynn Adrianna</t>
  </si>
  <si>
    <t>할리우드적 스펙터클 너머, 2013년의 시선으로 담아낸 드라마의 이야기. 우리는 각자의 서사 안에 갇혀 서로를 오해한다. 삶은 언제나 해석을 기다리는 텍스트다. 두고두고 다시 꺼내 볼 만한 작품이다.</t>
  </si>
  <si>
    <t>감독: 마리아 슈라더
주연: 캐리 멀리건, 조이 카잔, 패트리샤 클락슨</t>
  </si>
  <si>
    <t>할리우드적 스펙터클 너머, 2022년의 시선으로 담아낸 드라마의 이야기. 모든 이야기는 상처의 다른 이름이다. 삶은 언제나 해석을 기다리는 텍스트다. 시간이 지날수록 더 깊이 읽히는 영화다.</t>
  </si>
  <si>
    <t>감독: Park Eun-hyung
주연: 윤진서, 오민석, 이봉규</t>
  </si>
  <si>
    <t>한국 특유의 정서가 켜켜이 쌓인 듯, 2012년의 시선으로 담아낸 드라마의 이야기. 삶은 언제나 해석을 기다리는 텍스트다. 인간의 고통이란 결국 타인과의 거리에서 비롯된다. 두고두고 다시 꺼내 볼 만한 작품이다.</t>
  </si>
  <si>
    <t>감독: 배형준
주연: 김하늘, 강동원, 이천희</t>
  </si>
  <si>
    <t>한국 특유의 정서가 켜켜이 쌓인 듯, 2004년의 시선으로 담아낸 코미디의 이야기. 웃음은 고통을 소화하는 인간만의 방식이다. 유머 속에는 세계의 부조리를 견뎌내는 지혜가 담겨 있다. 이 작품이 남기는 질문은 쉽게 사라지지 않는다.</t>
  </si>
  <si>
    <t>감독: Joyce E. Bernal
주연: Vilma Santos, Angel Locsin, Xian Lim</t>
  </si>
  <si>
    <t>멜로/로맨스, 성인</t>
  </si>
  <si>
    <t>섬세한 일본적 감수성으로, 2012년의 시선으로 담아낸 로맨스의 이야기. 사랑은 자아의 경계가 흔들리는 순간에 찾아온다. 두 사람 사이의 침묵은 때로 말보다 더 많은 것을 말한다. 나름의 울림을 간직한 작품이다.</t>
  </si>
  <si>
    <t>감독: 페드로 알모도바르
주연: Leonor Watling, Rosario Flores, Javier Cámara</t>
  </si>
  <si>
    <t>열정과 멜랑콜리가 교차하며, 2002년의 시선으로 담아낸 드라마의 이야기. 모든 이야기는 상처의 다른 이름이다. 삶은 언제나 해석을 기다리는 텍스트다. 시간이 지날수록 더 깊이 읽히는 영화다.</t>
  </si>
  <si>
    <t>감독: 廣木隆一
주연: 타키우치 쿠미, 미츠이시 켄, 고라 겐고</t>
  </si>
  <si>
    <t>섬세한 일본적 감수성으로, 2017년의 시선으로 담아낸 드라마의 이야기. 모든 이야기는 상처의 다른 이름이다. 인간의 고통이란 결국 타인과의 거리에서 비롯된다. 나름의 울림을 간직한 작품이다.</t>
  </si>
  <si>
    <t>감독: Yun Jun-hyung
주연: 주원, 유해진, 이유영</t>
  </si>
  <si>
    <t>한국 특유의 정서가 켜켜이 쌓인 듯, 2015년의 시선으로 담아낸 스릴러의 이야기. 긴장은 존재가 위협받을 때 가장 선명하게 빛난다. 불안이란 현실이 균열을 드러내는 순간에 스며든다. 한 번쯤 들여다볼 가치가 있는 이야기다.</t>
  </si>
  <si>
    <t>감독: Jo Seok-hyun
주연: 유호정, 박성웅, 오정세</t>
  </si>
  <si>
    <t>감독: 추창민
주연: 이순재, 송재호, 윤소정</t>
  </si>
  <si>
    <t>한국 특유의 정서가 켜켜이 쌓인 듯, 2010년의 시선으로 담아낸 드라마의 이야기. 삶은 언제나 해석을 기다리는 텍스트다. 우리는 각자의 서사 안에 갇혀 서로를 오해한다. 시간이 지날수록 더 깊이 읽히는 영화다.</t>
  </si>
  <si>
    <t>감독: 안젤리나 졸리
주연: Sareum Srey Moch, Phoeung Kompheak, Sveng Socheata</t>
  </si>
  <si>
    <t>캄보디아</t>
  </si>
  <si>
    <t>2017년의 시선으로 담아낸 드라마 이야기가 우리에게 묻는다. 우리는 각자의 서사 안에 갇혀 서로를 오해한다. 인간의 고통이란 결국 타인과의 거리에서 비롯된다. 이 작품이 남기는 이미지는 어떤 방식으로든 기억에 새겨진다.</t>
  </si>
  <si>
    <t>감독: 오기가미 나오코
주연: 이쿠타 토마, 키리타니 켄타, 柿原りんか</t>
  </si>
  <si>
    <t>섬세한 일본적 감수성으로, 2017년의 시선으로 담아낸 드라마의 이야기. 우리는 각자의 서사 안에 갇혀 서로를 오해한다. 모든 이야기는 상처의 다른 이름이다. 시간이 지날수록 더 깊이 읽히는 영화다.</t>
  </si>
  <si>
    <t>감독: 임상수
주연: 백윤식, 한석규, 송재호</t>
  </si>
  <si>
    <t>한국 특유의 정서가 켜켜이 쌓인 듯, 2005년의 시선으로 담아낸 드라마의 이야기. 모든 이야기는 상처의 다른 이름이다. 우리는 각자의 서사 안에 갇혀 서로를 오해한다. 완벽하지 않아도, 그 불완전함이 오히려 인간적이다.</t>
  </si>
  <si>
    <t>감독: 알폰소 쿠아론
주연: 산드라 블록, 조지 클루니, 에드 해리스</t>
  </si>
  <si>
    <t>할리우드적 스펙터클 너머, 2013년의 시선으로 담아낸 드라마의 이야기. 우리는 각자의 서사 안에 갇혀 서로를 오해한다. 인간의 고통이란 결국 타인과의 거리에서 비롯된다. 두고두고 다시 꺼내 볼 만한 작품이다.</t>
  </si>
  <si>
    <t>감독: 클린트 이스트우드
주연: 클린트 이스트우드, Christopher Carley, Bee Vang</t>
  </si>
  <si>
    <t>할리우드적 스펙터클 너머, 2008년의 시선으로 담아낸 드라마의 이야기. 우리는 각자의 서사 안에 갇혀 서로를 오해한다. 모든 이야기는 상처의 다른 이름이다. 시간이 지날수록 더 깊이 읽히는 영화다.</t>
  </si>
  <si>
    <t>감독: 웨스 앤더슨
주연: 랄프 파인즈, F. 머레이 에이브러햄, 마티유 아말릭</t>
  </si>
  <si>
    <t>할리우드적 스펙터클 너머, 2014년의 시선으로 담아낸 드라마의 이야기. 삶은 언제나 해석을 기다리는 텍스트다. 우리는 각자의 서사 안에 갇혀 서로를 오해한다. 이 작품이 남기는 질문은 쉽게 사라지지 않는다.</t>
  </si>
  <si>
    <t>감독: 돈 맥켈러
주연: 브렌던 글리슨, Taylor Kitsch, Gordon Pinsent</t>
  </si>
  <si>
    <t>2013년의 시선으로 담아낸 코미디 이야기가 우리에게 묻는다. 가볍게 웃는 순간에도 삶의 무게는 그 그림자를 드리운다. 유머 속에는 세계의 부조리를 견뎌내는 지혜가 담겨 있다. 이 작품이 남기는 이미지는 어떤 방식으로든 기억에 새겨진다.</t>
  </si>
  <si>
    <t>감독: Eugenio Mira
주연: 일라이저 우드, 존 쿠삭, Tamsin Egerton</t>
  </si>
  <si>
    <t>열정과 멜랑콜리가 교차하며, 2013년의 시선으로 담아낸 스릴러의 이야기. 진실은 언제나 우리가 감당할 수 없는 형태로 찾아온다. 긴장은 존재가 위협받을 때 가장 선명하게 빛난다. 완성도와 별개로, 이 작품이 던지려 한 질문은 유효하다.</t>
  </si>
  <si>
    <t>감독: John Whitesell
주연: 마틴 로런스, Brandon T. Jackson, Jessica Lucas</t>
  </si>
  <si>
    <t>섬세한 일본적 감수성으로, 2013년의 시선으로 담아낸 드라마의 이야기. 삶은 언제나 해석을 기다리는 텍스트다. 모든 이야기는 상처의 다른 이름이다. 오랫동안 여운이 남는 작품이다.</t>
  </si>
  <si>
    <t>감독: 조 루소, 안소니 루소
주연: 라이언 고슬링, 크리스 에반스, 아나 데 아르마스</t>
  </si>
  <si>
    <t>할리우드적 스펙터클 너머, 2022년의 시선으로 담아낸 스릴러의 이야기. 긴장은 존재가 위협받을 때 가장 선명하게 빛난다. 불안이란 현실이 균열을 드러내는 순간에 스며든다. 한 번쯤 들여다볼 가치가 있는 이야기다.</t>
  </si>
  <si>
    <t>감독: Olivier Dahan
주연: 니콜 키드먼, Milo Ventimiglia, 파즈 베가</t>
  </si>
  <si>
    <t>프랑스 영화 특유의 철학적 깊이로, 2014년의 시선으로 담아낸 드라마의 이야기. 모든 이야기는 상처의 다른 이름이다. 인간의 고통이란 결국 타인과의 거리에서 비롯된다. 오랫동안 여운이 남는 작품이다.</t>
  </si>
  <si>
    <t>감독: 덴젤 워싱턴
주연: Denzel Whitaker, 덴젤 워싱턴, Nate Parker</t>
  </si>
  <si>
    <t>할리우드적 스펙터클 너머, 2007년의 시선으로 담아낸 드라마의 이야기. 삶은 언제나 해석을 기다리는 텍스트다. 인간의 고통이란 결국 타인과의 거리에서 비롯된다. 평점이 담지 못하는 무언가가 이 영화에는 있다.</t>
  </si>
  <si>
    <t>감독: 장이머우
주연: 맷 데이먼, 경첨, 윌렘 대포</t>
  </si>
  <si>
    <t>광활한 대지의 이야기를 담아, 2016년의 시선으로 담아낸 판타지의 이야기. 신화는 인간이 말할 수 없는 것들을 말하는 언어다. 영웅의 여정은 결국 자기 자신으로 돌아오는 길이다. 나름의 울림을 간직한 작품이다.</t>
  </si>
  <si>
    <t>감독: Shana Feste
주연: 피어스 브로스넌, 수잔 서랜든, 캐리 멀리건</t>
  </si>
  <si>
    <t>할리우드적 스펙터클 너머, 2009년의 시선으로 담아낸 드라마의 이야기. 인간의 고통이란 결국 타인과의 거리에서 비롯된다. 삶은 언제나 해석을 기다리는 텍스트다. 평점이 담지 못하는 무언가가 이 영화에는 있다.</t>
  </si>
  <si>
    <t>감독: 에런 슈나이더
주연: 톰 행크스, 스티븐 그레이엄, 롭 모건</t>
  </si>
  <si>
    <t>할리우드적 스펙터클 너머, 2020년의 시선으로 담아낸 전쟁의 이야기. 전쟁을 기억하는 것은 반복하지 않기 위한 고통스러운 의무다. 전쟁은 인간의 이성이 멈추는 지점에서 시작된다. 두고두고 다시 꺼내 볼 만한 작품이다.</t>
  </si>
  <si>
    <t>감독: Nicolas Pesce
주연: 안드레아 라이즈보로, Demián Bichir, 존 조</t>
  </si>
  <si>
    <t>할리우드적 스펙터클 너머, 2020년의 시선으로 담아낸 공포의 이야기. 우리가 두려워하는 것은 대개 우리 자신의 그림자다. 불가해한 것 앞에서 인간은 얼마나 작은가를 깨닫는다. 완성도와 별개로, 이 작품이 던지려 한 질문은 유효하다.</t>
  </si>
  <si>
    <t>감독: 피터 시걸
주연: 로버트 드 니로, 실베스터 스탤론, 알란 아킨</t>
  </si>
  <si>
    <t>할리우드적 스펙터클 너머, 2013년의 시선으로 담아낸 드라마의 이야기. 우리는 각자의 서사 안에 갇혀 서로를 오해한다. 인간의 고통이란 결국 타인과의 거리에서 비롯된다. 한 번쯤 들여다볼 가치가 있는 이야기다.</t>
  </si>
  <si>
    <t>감독: Phil Joanou
주연: 드웨인 존슨, Xzibit, L. Scott Caldwell</t>
  </si>
  <si>
    <t>할리우드적 스펙터클 너머, 2006년의 시선으로 담아낸 드라마의 이야기. 모든 이야기는 상처의 다른 이름이다. 우리는 각자의 서사 안에 갇혀 서로를 오해한다. 이 작품이 남기는 이미지는 어떤 방식으로든 기억에 새겨진다.</t>
  </si>
  <si>
    <t>감독: Ingrid Escajeda, Carlo Bernard
주연: 소피아 베르가라, 알베르토 게라, Christian Tappán</t>
  </si>
  <si>
    <t>드라마 형식 속에서, 할리우드적 스펙터클 너머, 2024년의 시선으로 담아낸 드라마의 이야기. 우리는 각자의 서사 안에 갇혀 서로를 오해한다. 인간의 고통이란 결국 타인과의 거리에서 비롯된다. 평점이 담지 못하는 무언가가 이 영화에는 있다.</t>
  </si>
  <si>
    <t>감독: Brett Haley
주연: Blythe Danner, 마틴 스타, 준 스큅</t>
  </si>
  <si>
    <t>할리우드적 스펙터클 너머, 2015년의 시선으로 담아낸 드라마의 이야기. 삶은 언제나 해석을 기다리는 텍스트다. 우리는 각자의 서사 안에 갇혀 서로를 오해한다. 거칠지만 그 안에서도 인간의 흔적은 남는다.</t>
  </si>
  <si>
    <t>감독: 프랭크 다라본트
주연: 톰 행크스, 데이비드 모스, 보니 헌트</t>
  </si>
  <si>
    <t>드라마, 판타지</t>
  </si>
  <si>
    <t>188분</t>
  </si>
  <si>
    <t>할리우드적 스펙터클 너머, 1999년의 시선으로 담아낸 드라마의 이야기. 인간의 고통이란 결국 타인과의 거리에서 비롯된다. 삶은 언제나 해석을 기다리는 텍스트다. 시간이 지날수록 더 깊이 읽히는 영화다.</t>
  </si>
  <si>
    <t>감독: 피터 패럴리
주연: 비고 모텐슨, 마허샬라 알리, 린다 카델리니</t>
  </si>
  <si>
    <t>감독: Ric Roman Waugh
주연: 제라드 버틀러, 모레나 바카린, 데이비드 덴맨</t>
  </si>
  <si>
    <t>액션, 재난</t>
  </si>
  <si>
    <t>할리우드적 스펙터클 너머, 2020년의 시선으로 담아낸 액션의 이야기. 폭력의 언어 속에서도 인간은 존엄을 갈망한다. 육체의 한계에 도전하는 것은 곧 자아의 경계를 시험하는 일이다. 오랫동안 여운이 남는 작품이다.</t>
  </si>
  <si>
    <t>감독: Ric Roman Waugh
주연: 제라드 버틀러, 모레나 바카린, 로먼 그리핀 데이비스</t>
  </si>
  <si>
    <t>할리우드적 스펙터클 너머, 2026년의 시선으로 담아낸 액션의 이야기. 육체의 한계에 도전하는 것은 곧 자아의 경계를 시험하는 일이다. 생존의 욕망은 가장 원초적인 철학적 질문을 던진다. 이 작품이 남기는 이미지는 어떤 방식으로든 기억에 새겨진다.</t>
  </si>
  <si>
    <t>감독: Park Dae-min
주연: 황정민, 류덕환, 엄지원</t>
  </si>
  <si>
    <t>한국 특유의 정서가 켜켜이 쌓인 듯, 2009년의 시선으로 담아낸 미스터리의 이야기. 감춰진 것들이 드러나는 순간, 세계는 다르게 보이기 시작한다. 알 수 없음 앞에서 인간은 비로소 겸손해진다. 완벽하지 않아도, 그 불완전함이 오히려 인간적이다.</t>
  </si>
  <si>
    <t>감독: 김기덕
주연: 류승범, 이원근, 김영민</t>
  </si>
  <si>
    <t>한국 특유의 정서가 켜켜이 쌓인 듯, 2016년의 시선으로 담아낸 드라마의 이야기. 우리는 각자의 서사 안에 갇혀 서로를 오해한다. 인간의 고통이란 결국 타인과의 거리에서 비롯된다. 오랫동안 여운이 남는 작품이다.</t>
  </si>
  <si>
    <t>감독: 드니 빌뇌브
주연: 루브나 아자발, Mélissa Désormeaux-Poulin, Maxim Gaudette</t>
  </si>
  <si>
    <t>2011년의 시선으로 담아낸 드라마 이야기가 우리에게 묻는다. 인간의 고통이란 결국 타인과의 거리에서 비롯된다. 우리는 각자의 서사 안에 갇혀 서로를 오해한다. 두고두고 다시 꺼내 볼 만한 작품이다.</t>
  </si>
  <si>
    <t>감독: 真壁幸紀</t>
  </si>
  <si>
    <t>드라마 형식 속에서, 할리우드적 스펙터클 너머, 2026년의 시선으로 담아낸 드라마의 이야기. 인간의 고통이란 결국 타인과의 거리에서 비롯된다. 모든 이야기는 상처의 다른 이름이다. 평점이 담지 못하는 무언가가 이 영화에는 있다.</t>
  </si>
  <si>
    <t>감독: Cris D'amato
주연: Lívia Inhudes, Micael Borges, Mariana Rios</t>
  </si>
  <si>
    <t>한국 특유의 정서가 켜켜이 쌓인 듯, 2006년의 시선으로 담아낸 드라마의 이야기. 삶은 언제나 해석을 기다리는 텍스트다. 우리는 각자의 서사 안에 갇혀 서로를 오해한다. 이 작품이 남기는 질문은 쉽게 사라지지 않는다.</t>
  </si>
  <si>
    <t>감독: 곽경택
주연: 김윤석, 유해진, 이정은</t>
  </si>
  <si>
    <t>한국 특유의 정서가 켜켜이 쌓인 듯, 2015년의 시선으로 담아낸 드라마의 이야기. 모든 이야기는 상처의 다른 이름이다. 삶은 언제나 해석을 기다리는 텍스트다. 두고두고 다시 꺼내 볼 만한 작품이다.</t>
  </si>
  <si>
    <t>감독: 이병헌
주연: 류승룡, 이하늬, 진선규</t>
  </si>
  <si>
    <t>코미디, 액션</t>
  </si>
  <si>
    <t>한국 특유의 정서가 켜켜이 쌓인 듯, 2018년의 시선으로 담아낸 코미디의 이야기. 웃음은 고통을 소화하는 인간만의 방식이다. 유머 속에는 세계의 부조리를 견뎌내는 지혜가 담겨 있다. 두고두고 다시 꺼내 볼 만한 작품이다.</t>
  </si>
  <si>
    <t>감독: 리들리 스콧
주연: 러셀 크로우, 호아킨 피닉스, 코니 닐센</t>
  </si>
  <si>
    <t>154분</t>
  </si>
  <si>
    <t>할리우드적 스펙터클 너머, 2000년의 시선으로 담아낸 사극의 이야기. 전통과 변화의 충돌 속에서 인간의 본질이 드러난다. 시대의 억압 속에서도 인간의 욕망과 존엄은 꺾이지 않는다. 이 작품이 남기는 질문은 쉽게 사라지지 않는다.</t>
  </si>
  <si>
    <t>감독: 리들리 스콧
주연: 폴 메스칼, 덴젤 워싱턴, 페드로 파스칼</t>
  </si>
  <si>
    <t>할리우드적 스펙터클 너머, 2024년의 시선으로 담아낸 사극의 이야기. 역사의 무게는 개인의 삶을 짓누르지만, 그 안에서도 빛이 있다. 시대의 억압 속에서도 인간의 욕망과 존엄은 꺾이지 않는다. 나름의 울림을 간직한 작품이다.</t>
  </si>
  <si>
    <t>감독: Tim Hunter
주연: 니콜라스 케이지, 로빈 터니, Marc Blucas</t>
  </si>
  <si>
    <t>할리우드적 스펙터클 너머, 2018년의 시선으로 담아낸 스릴러의 이야기. 진실은 언제나 우리가 감당할 수 없는 형태로 찾아온다. 불안이란 현실이 균열을 드러내는 순간에 스며든다. 오랫동안 여운이 남는 작품이다.</t>
  </si>
  <si>
    <t>감독: 강우석
주연: 정재영, 유선, 강신일</t>
  </si>
  <si>
    <t>한국 특유의 정서가 켜켜이 쌓인 듯, 2011년의 시선으로 담아낸 드라마의 이야기. 삶은 언제나 해석을 기다리는 텍스트다. 모든 이야기는 상처의 다른 이름이다. 이 작품이 남기는 질문은 쉽게 사라지지 않는다.</t>
  </si>
  <si>
    <t>감독: 세바스티안 렐리오
주연: 줄리앤 무어, 존 터투로, 마이클 세라</t>
  </si>
  <si>
    <t>할리우드적 스펙터클 너머, 2018년의 시선으로 담아낸 드라마의 이야기. 삶은 언제나 해석을 기다리는 텍스트다. 우리는 각자의 서사 안에 갇혀 서로를 오해한다. 한 번쯤 들여다볼 가치가 있는 이야기다.</t>
  </si>
  <si>
    <t>감독: Rolf Schübel
주연: Erika Marozsán, Joachim Król, Ben Becker</t>
  </si>
  <si>
    <t>독일 특유의 사유의 무게를 지니며, 1999년의 시선으로 담아낸 드라마의 이야기. 삶은 언제나 해석을 기다리는 텍스트다. 인간의 고통이란 결국 타인과의 거리에서 비롯된다. 이 작품이 남기는 질문은 쉽게 사라지지 않는다.</t>
  </si>
  <si>
    <t>감독: 瀬木直貴
주연: 佐藤寛太, 藤本泉, 芹澤興人</t>
  </si>
  <si>
    <t>섬세한 일본적 감수성으로, 2019년의 시선으로 담아낸 드라마의 이야기. 삶은 언제나 해석을 기다리는 텍스트다. 모든 이야기는 상처의 다른 이름이다. 완벽하지 않아도, 그 불완전함이 오히려 인간적이다.</t>
  </si>
  <si>
    <t>감독: Alireza Khatami</t>
  </si>
  <si>
    <t>섬세한 일본적 감수성으로, 2018년의 시선으로 담아낸 드라마의 이야기. 모든 이야기는 상처의 다른 이름이다. 인간의 고통이란 결국 타인과의 거리에서 비롯된다. 시간이 지날수록 더 깊이 읽히는 영화다.</t>
  </si>
  <si>
    <t>감독: 댁스 셰파드
주연: 마이클 페냐, 댁스 셰파드, Jessica McNamee</t>
  </si>
  <si>
    <t>할리우드적 스펙터클 너머, 2017년의 시선으로 담아낸 액션의 이야기. 충돌은 세계가 변화를 요구하는 방식이다. 폭력의 언어 속에서도 인간은 존엄을 갈망한다. 완벽하지 않아도, 그 불완전함이 오히려 인간적이다.</t>
  </si>
  <si>
    <t>감독: 도이 노부히로
주연: 아베 히로시, 아라가키 유이, 黒木メイサ</t>
  </si>
  <si>
    <t>섬세한 일본적 감수성으로, 2012년의 시선으로 담아낸 미스터리의 이야기. 진실을 추적하는 것은 존재의 불투명함과 씨름하는 일이다. 알 수 없음 앞에서 인간은 비로소 겸손해진다. 완벽하지 않아도, 그 불완전함이 오히려 인간적이다.</t>
  </si>
  <si>
    <t>감독: Lee Min-jae
주연: 정재영, 김남길, 엄지원</t>
  </si>
  <si>
    <t>한국 특유의 정서가 켜켜이 쌓인 듯, 2018년의 시선으로 담아낸 코미디의 이야기. 우스운 것과 슬픈 것은 본래 같은 뿌리에서 자란다. 유머 속에는 세계의 부조리를 견뎌내는 지혜가 담겨 있다. 한 번쯤 들여다볼 가치가 있는 이야기다.</t>
  </si>
  <si>
    <t>감독: 로스 더퍼, 맷 더퍼
주연: 위노나 라이더, 데이비드 하버, 밀리 바비 브라운</t>
  </si>
  <si>
    <t>드라마, SF, 호러</t>
  </si>
  <si>
    <t>드라마 형식 속에서, 할리우드적 스펙터클 너머, 2016년의 시선으로 담아낸 드라마의 이야기. 모든 이야기는 상처의 다른 이름이다. 우리는 각자의 서사 안에 갇혀 서로를 오해한다. 이 작품이 남기는 이미지는 어떤 방식으로든 기억에 새겨진다.</t>
  </si>
  <si>
    <t>주연: 짐 래시</t>
  </si>
  <si>
    <t>드라마 형식 속에서, 할리우드적 스펙터클 너머, 2017년의 시선으로 담아낸 드라마의 이야기. 모든 이야기는 상처의 다른 이름이다. 인간의 고통이란 결국 타인과의 거리에서 비롯된다. 이 작품이 남기는 이미지는 어떤 방식으로든 기억에 새겨진다.</t>
  </si>
  <si>
    <t>드라마 형식 속에서, 할리우드적 스펙터클 너머, 2019년의 시선으로 담아낸 드라마의 이야기. 우리는 각자의 서사 안에 갇혀 서로를 오해한다. 모든 이야기는 상처의 다른 이름이다. 이 작품이 남기는 이미지는 어떤 방식으로든 기억에 새겨진다.</t>
  </si>
  <si>
    <t>드라마 형식 속에서, 할리우드적 스펙터클 너머, 2022년의 시선으로 담아낸 드라마의 이야기. 인간의 고통이란 결국 타인과의 거리에서 비롯된다. 모든 이야기는 상처의 다른 이름이다. 이 작품이 남기는 이미지는 어떤 방식으로든 기억에 새겨진다.</t>
  </si>
  <si>
    <t>감독: 봉준호
주연: 송강호, 이선균, 조여정</t>
  </si>
  <si>
    <t>한국 특유의 정서가 켜켜이 쌓인 듯, 2019년의 시선으로 담아낸 드라마의 이야기. 우리는 각자의 서사 안에 갇혀 서로를 오해한다. 인간의 고통이란 결국 타인과의 거리에서 비롯된다. 오랫동안 여운이 남는 작품이다.</t>
  </si>
  <si>
    <t>감독: 김홍선
주연: 김우빈, 이현우, 김영철</t>
  </si>
  <si>
    <t>한국 특유의 정서가 켜켜이 쌓인 듯, 2014년의 시선으로 담아낸 범죄의 이야기. 죄란 사회가 만든 경계를 넘는 행위이자 그 경계에 대한 질문이다. 법과 도덕 사이의 틈새에서 인간의 본성이 노출된다. 한 번쯤 들여다볼 가치가 있는 이야기다.</t>
  </si>
  <si>
    <t>감독: 장항준
주연: 강하늘, 김무열, 문성근</t>
  </si>
  <si>
    <t>한국 특유의 정서가 켜켜이 쌓인 듯, 2017년의 시선으로 담아낸 스릴러의 이야기. 진실은 언제나 우리가 감당할 수 없는 형태로 찾아온다. 긴장은 존재가 위협받을 때 가장 선명하게 빛난다. 시간이 지날수록 더 깊이 읽히는 영화다.</t>
  </si>
  <si>
    <t>감독: 민병훈
주연: 오유진, Seo Jang-won</t>
  </si>
  <si>
    <t>한국 특유의 정서가 켜켜이 쌓인 듯, 2020년의 시선으로 담아낸 드라마의 이야기. 삶은 언제나 해석을 기다리는 텍스트다. 모든 이야기는 상처의 다른 이름이다. 이 작품이 남기는 질문은 쉽게 사라지지 않는다.</t>
  </si>
  <si>
    <t>감독: 兼重淳
주연: 마츠자카 토리, 스다 마사키, 요코하마 류세이</t>
  </si>
  <si>
    <t>섬세한 일본적 감수성으로, 2017년의 시선으로 담아낸 드라마의 이야기. 모든 이야기는 상처의 다른 이름이다. 우리는 각자의 서사 안에 갇혀 서로를 오해한다. 시간이 지날수록 더 깊이 읽히는 영화다.</t>
  </si>
  <si>
    <t>감독: Sean McNamara
주연: 데니스 퀘이드, 헤더 그레이엄, Jesse Metcalfe</t>
  </si>
  <si>
    <t>할리우드적 스펙터클 너머, 2023년의 시선으로 담아낸 드라마의 이야기. 인간의 고통이란 결국 타인과의 거리에서 비롯된다. 우리는 각자의 서사 안에 갇혀 서로를 오해한다. 흠이 있지만 진심이 담긴 시도였다.</t>
  </si>
  <si>
    <t>감독: 中村義洋
주연: 아베 사다오, 칸노 미호, 이케우치 히로유키</t>
  </si>
  <si>
    <t>섬세한 일본적 감수성으로, 2013년의 시선으로 담아낸 드라마의 이야기. 모든 이야기는 상처의 다른 이름이다. 우리는 각자의 서사 안에 갇혀 서로를 오해한다. 흠이 있지만 진심이 담긴 시도였다.</t>
  </si>
  <si>
    <t>감독: Demetrius Navarro
주연: Ethan Bortnick, Jonathan Bennett, 레이시 셔베어</t>
  </si>
  <si>
    <t>섬세한 일본적 감수성으로, 2013년의 시선으로 담아낸 드라마의 이야기. 모든 이야기는 상처의 다른 이름이다. 인간의 고통이란 결국 타인과의 거리에서 비롯된다. 오랫동안 여운이 남는 작품이다.</t>
  </si>
  <si>
    <t>감독: 기타노 다케시
주연: 기타노 다케시, Yusuke Sekiguchi, 岸本加世子</t>
  </si>
  <si>
    <t>섬세한 일본적 감수성으로, 1999년의 시선으로 담아낸 드라마의 이야기. 우리는 각자의 서사 안에 갇혀 서로를 오해한다. 모든 이야기는 상처의 다른 이름이다. 시간이 지날수록 더 깊이 읽히는 영화다.</t>
  </si>
  <si>
    <t>감독: Иван Петухов
주연: 우마 서먼, Andrew Bowen, Edie McClurg</t>
  </si>
  <si>
    <t>할리우드적 스펙터클 너머, 2014년의 시선으로 담아낸 스릴러의 이야기. 긴장은 존재가 위협받을 때 가장 선명하게 빛난다. 불안이란 현실이 균열을 드러내는 순간에 스며든다. 아쉬움이 남지만, 모든 시도는 의미를 갖는다.</t>
  </si>
  <si>
    <t>감독: 마크 웹
주연: 크리스 에반스, 맥케나 그레이스, 린지 덩컨</t>
  </si>
  <si>
    <t>할리우드적 스펙터클 너머, 2017년의 시선으로 담아낸 드라마의 이야기. 삶은 언제나 해석을 기다리는 텍스트다. 인간의 고통이란 결국 타인과의 거리에서 비롯된다. 이 작품이 남기는 이미지는 어떤 방식으로든 기억에 새겨진다.</t>
  </si>
  <si>
    <t>감독: Phillip Noyce
주연: 해리슨 포드, 윌렘 대포, 조아킹 드 알메이다</t>
  </si>
  <si>
    <t>141분</t>
  </si>
  <si>
    <t>할리우드적 스펙터클 너머, 1994년의 시선으로 담아낸 스릴러의 이야기. 불안이란 현실이 균열을 드러내는 순간에 스며든다. 공포는 우리가 통제할 수 없는 것들에 대한 솔직한 고백이다. 시간이 지날수록 더 깊이 읽히는 영화다.</t>
  </si>
  <si>
    <t>감독: 변성현
주연: 전도연, 설경구, 김시아</t>
  </si>
  <si>
    <t>한국 특유의 정서가 켜켜이 쌓인 듯, 2023년의 시선으로 담아낸 액션의 이야기. 육체의 한계에 도전하는 것은 곧 자아의 경계를 시험하는 일이다. 충돌은 세계가 변화를 요구하는 방식이다. 한 번쯤 들여다볼 가치가 있는 이야기다.</t>
  </si>
  <si>
    <t>감독: Song Il-gon
주연: 이소연, 장현성</t>
  </si>
  <si>
    <t>80분</t>
  </si>
  <si>
    <t>한국 특유의 정서가 켜켜이 쌓인 듯, 2004년의 시선으로 담아낸 드라마의 이야기. 우리는 각자의 서사 안에 갇혀 서로를 오해한다. 모든 이야기는 상처의 다른 이름이다. 두고두고 다시 꺼내 볼 만한 작품이다.</t>
  </si>
  <si>
    <t>감독: 新城毅彦
주연: 나가사와 마사미, 오카다 마사키, 하루</t>
  </si>
  <si>
    <t>섬세한 일본적 감수성으로, 2013년의 시선으로 담아낸 드라마의 이야기. 모든 이야기는 상처의 다른 이름이다. 우리는 각자의 서사 안에 갇혀 서로를 오해한다. 완벽하지 않아도, 그 불완전함이 오히려 인간적이다.</t>
  </si>
  <si>
    <t>감독: 도이 노부히로
주연: 스다 마사키, 아리무라 카스미, 키요하라 카야</t>
  </si>
  <si>
    <t>섬세한 일본적 감수성으로, 2021년의 시선으로 담아낸 로맨스의 이야기. 그리움이란 부재를 통해 존재를 확인하는 방식이다. 사랑은 자아의 경계가 흔들리는 순간에 찾아온다. 시간이 지날수록 더 깊이 읽히는 영화다.</t>
  </si>
  <si>
    <t>감독: 石川寛
주연: 미야자키 아오이, 쿠츠나 시오리, 안도 사쿠라</t>
  </si>
  <si>
    <t>섬세한 일본적 감수성으로, 2013년의 시선으로 담아낸 드라마의 이야기. 삶은 언제나 해석을 기다리는 텍스트다. 모든 이야기는 상처의 다른 이름이다. 나름의 울림을 간직한 작품이다.</t>
  </si>
  <si>
    <t>감독: Ryu Jang-ha
주연: 최민식, 장신영, 김호정</t>
  </si>
  <si>
    <t>한국 특유의 정서가 켜켜이 쌓인 듯, 2004년의 시선으로 담아낸 드라마의 이야기. 삶은 언제나 해석을 기다리는 텍스트다. 인간의 고통이란 결국 타인과의 거리에서 비롯된다. 이 작품이 남기는 질문은 쉽게 사라지지 않는다.</t>
  </si>
  <si>
    <t>감독: 피터 첼섬
주연: 사이먼 페그, 로저먼드 파이크, 토니 콜렛</t>
  </si>
  <si>
    <t>프랑스 영화 특유의 철학적 깊이로, 2014년의 시선으로 담아낸 코미디의 이야기. 우스운 것과 슬픈 것은 본래 같은 뿌리에서 자란다. 유머 속에는 세계의 부조리를 견뎌내는 지혜가 담겨 있다. 오랫동안 여운이 남는 작품이다.</t>
  </si>
  <si>
    <t>감독: Jang Chang-won
주연: 현빈, 유지태, 배성우</t>
  </si>
  <si>
    <t>한국 특유의 정서가 켜켜이 쌓인 듯, 2017년의 시선으로 담아낸 범죄의 이야기. 죄란 사회가 만든 경계를 넘는 행위이자 그 경계에 대한 질문이다. 어둠 속에서도 인간은 스스로를 정당화하려 한다. 시간이 지날수록 더 깊이 읽히는 영화다.</t>
  </si>
  <si>
    <t>감독: 니시카와 미와
주연: 마츠 다카코, 아베 사다오, 다나카 레나</t>
  </si>
  <si>
    <t>섬세한 일본적 감수성으로, 2012년의 시선으로 담아낸 코미디의 이야기. 유머 속에는 세계의 부조리를 견뎌내는 지혜가 담겨 있다. 가볍게 웃는 순간에도 삶의 무게는 그 그림자를 드리운다. 한 번쯤 들여다볼 가치가 있는 이야기다.</t>
  </si>
  <si>
    <t>감독: 김성훈
주연: 이선균, 조진웅, 정만식</t>
  </si>
  <si>
    <t>한국 특유의 정서가 켜켜이 쌓인 듯, 2013년의 시선으로 담아낸 스릴러의 이야기. 불안이란 현실이 균열을 드러내는 순간에 스며든다. 진실은 언제나 우리가 감당할 수 없는 형태로 찾아온다. 오랫동안 여운이 남는 작품이다.</t>
  </si>
  <si>
    <t>감독: Michael Carney
주연: 그렉 키니어, 자이먼 혼수, 르네 젤위거</t>
  </si>
  <si>
    <t>할리우드적 스펙터클 너머, 2017년의 시선으로 담아낸 드라마의 이야기. 우리는 각자의 서사 안에 갇혀 서로를 오해한다. 모든 이야기는 상처의 다른 이름이다. 평점이 담지 못하는 무언가가 이 영화에는 있다.</t>
  </si>
  <si>
    <t>감독: 켄 로치
주연: Dave Johns, 헤일리 스콰이어스, Briana Shann</t>
  </si>
  <si>
    <t>영국적 절제와 냉소 사이에서, 2016년의 시선으로 담아낸 드라마의 이야기. 삶은 언제나 해석을 기다리는 텍스트다. 인간의 고통이란 결국 타인과의 거리에서 비롯된다. 이 작품이 남기는 질문은 쉽게 사라지지 않는다.</t>
  </si>
  <si>
    <t>감독: Rowan Athale
주연: 에이미 라이언, 닉 로빈슨, 마가렛 퀄리</t>
  </si>
  <si>
    <t>섬세한 일본적 감수성으로, 2019년의 시선으로 담아낸 드라마의 이야기. 우리는 각자의 서사 안에 갇혀 서로를 오해한다. 삶은 언제나 해석을 기다리는 텍스트다. 거칠지만 그 안에서도 인간의 흔적은 남는다.</t>
  </si>
  <si>
    <t>감독: Lee Tae-gyeom
주연: 유다인, 오정세, 박지홍</t>
  </si>
  <si>
    <t>한국 특유의 정서가 켜켜이 쌓인 듯, 2021년의 시선으로 담아낸 드라마의 이야기. 삶은 언제나 해석을 기다리는 텍스트다. 모든 이야기는 상처의 다른 이름이다. 시간이 지날수록 더 깊이 읽히는 영화다.</t>
  </si>
  <si>
    <t>감독: 三木孝浩
주연: 후쿠시 소타, 고마츠 나나, 히가시데 마사히로</t>
  </si>
  <si>
    <t>섬세한 일본적 감수성으로, 2016년의 시선으로 담아낸 로맨스의 이야기. 그리움이란 부재를 통해 존재를 확인하는 방식이다. 사랑은 자아의 경계가 흔들리는 순간에 찾아온다. 시간이 지날수록 더 깊이 읽히는 영화다.</t>
  </si>
  <si>
    <t>감독: 中川龍太郎
주연: 마츠모토 호노카, 渡辺大知, 徳永えり</t>
  </si>
  <si>
    <t>섬세한 일본적 감수성으로, 2019년의 시선으로 담아낸 드라마의 이야기. 우리는 각자의 서사 안에 갇혀 서로를 오해한다. 모든 이야기는 상처의 다른 이름이다. 나름의 울림을 간직한 작품이다.</t>
  </si>
  <si>
    <t>감독: 데이비드 프랭클
주연: 윌 스미스, 에드워드 노튼, 케이트 윈슬렛</t>
  </si>
  <si>
    <t>섬세한 일본적 감수성으로, 2016년의 시선으로 담아낸 드라마의 이야기. 모든 이야기는 상처의 다른 이름이다. 인간의 고통이란 결국 타인과의 거리에서 비롯된다. 두고두고 다시 꺼내 볼 만한 작품이다.</t>
  </si>
  <si>
    <t>감독: 장규성
주연: 주지훈, 백윤식, 변희봉</t>
  </si>
  <si>
    <t>코미디, 사극</t>
  </si>
  <si>
    <t>한국 특유의 정서가 켜켜이 쌓인 듯, 2012년의 시선으로 담아낸 사극의 이야기. 역사의 무게는 개인의 삶을 짓누르지만, 그 안에서도 빛이 있다. 역사는 현재를 비추는 거울이며, 과거는 아직 끝나지 않았다. 나름의 울림을 간직한 작품이다.</t>
  </si>
  <si>
    <t>감독: 조철현
주연: 송강호, 박해일, 전미선</t>
  </si>
  <si>
    <t>한국 특유의 정서가 켜켜이 쌓인 듯, 2019년의 시선으로 담아낸 드라마의 이야기. 삶은 언제나 해석을 기다리는 텍스트다. 인간의 고통이란 결국 타인과의 거리에서 비롯된다. 완벽하지 않아도, 그 불완전함이 오히려 인간적이다.</t>
  </si>
  <si>
    <t>감독: 저드 아패토우
주연: 에이미 슈머, 빌 헤이더, 브리 라슨</t>
  </si>
  <si>
    <t>할리우드적 스펙터클 너머, 2015년의 시선으로 담아낸 코미디의 이야기. 유머 속에는 세계의 부조리를 견뎌내는 지혜가 담겨 있다. 가볍게 웃는 순간에도 삶의 무게는 그 그림자를 드리운다. 한 번쯤 들여다볼 가치가 있는 이야기다.</t>
  </si>
  <si>
    <t>감독: 최익환
주연: 장현성, 안승균, 이일화</t>
  </si>
  <si>
    <t>한국 특유의 정서가 켜켜이 쌓인 듯, 2022년의 시선으로 담아낸 드라마의 이야기. 인간의 고통이란 결국 타인과의 거리에서 비롯된다. 우리는 각자의 서사 안에 갇혀 서로를 오해한다. 오랫동안 여운이 남는 작품이다.</t>
  </si>
  <si>
    <t>감독: Susanna Fogel
주연: 밀라 쿠니스, 케이트 맥키넌, 저스틴 서로</t>
  </si>
  <si>
    <t>할리우드적 스펙터클 너머, 2018년의 시선으로 담아낸 코미디의 이야기. 웃음은 고통을 소화하는 인간만의 방식이다. 우스운 것과 슬픈 것은 본래 같은 뿌리에서 자란다. 이 작품이 남기는 질문은 쉽게 사라지지 않는다.</t>
  </si>
  <si>
    <t>감독: Kim Seung-woo
주연: 이영애, 유재명, 박해준</t>
  </si>
  <si>
    <t>한국 특유의 정서가 켜켜이 쌓인 듯, 2019년의 시선으로 담아낸 스릴러의 이야기. 공포는 우리가 통제할 수 없는 것들에 대한 솔직한 고백이다. 긴장은 존재가 위협받을 때 가장 선명하게 빛난다. 시간이 지날수록 더 깊이 읽히는 영화다.</t>
  </si>
  <si>
    <t>감독: 데이비드 핀처
주연: 벤 애플렉, 로저먼드 파이크, 닐 패트릭 해리스</t>
  </si>
  <si>
    <t>149분</t>
  </si>
  <si>
    <t>할리우드적 스펙터클 너머, 2014년의 시선으로 담아낸 스릴러의 이야기. 진실은 언제나 우리가 감당할 수 없는 형태로 찾아온다. 불안이란 현실이 균열을 드러내는 순간에 스며든다. 시간이 지날수록 더 깊이 읽히는 영화다.</t>
  </si>
  <si>
    <t>감독: 平川雄一朗
주연: 후지와라 타츠야, 아리무라 카스미, 石田ゆり子</t>
  </si>
  <si>
    <t>섬세한 일본적 감수성으로, 2016년의 시선으로 담아낸 드라마의 이야기. 우리는 각자의 서사 안에 갇혀 서로를 오해한다. 인간의 고통이란 결국 타인과의 거리에서 비롯된다. 완벽하지 않아도, 그 불완전함이 오히려 인간적이다.</t>
  </si>
  <si>
    <t>감독: 廣木隆一
주연: 야마다 료스케, 오노 마치코, 니시다 토시유키</t>
  </si>
  <si>
    <t>섬세한 일본적 감수성으로, 2017년의 시선으로 담아낸 드라마의 이야기. 삶은 언제나 해석을 기다리는 텍스트다. 인간의 고통이란 결국 타인과의 거리에서 비롯된다. 완성도와 별개로, 이 작품이 던지려 한 질문은 유효하다.</t>
  </si>
  <si>
    <t>감독: J. Mackye Gruber, Eric Bress
주연: 애쉬튼 커쳐, 에이미 스마트, Melora Walters</t>
  </si>
  <si>
    <t>SF, 스릴러</t>
  </si>
  <si>
    <t>할리우드적 스펙터클 너머, 2004년의 시선으로 담아낸 SF의 이야기. 우주의 광대함 앞에서 인간의 질문은 더욱 깊어진다. 미래를 상상하는 것은 현재를 비판하는 가장 우회적인 방법이다. 아쉬움이 남지만, 모든 시도는 의미를 갖는다.</t>
  </si>
  <si>
    <t>감독: 정재은
주연: 나카야마 미호, 김재욱, 이시바시 안나</t>
  </si>
  <si>
    <t>멜로, 로맨스</t>
  </si>
  <si>
    <t>한국 특유의 정서가 켜켜이 쌓인 듯, 2018년의 시선으로 담아낸 로맨스의 이야기. 그리움이란 부재를 통해 존재를 확인하는 방식이다. 설렘은 불완전한 존재가 완전함을 향해 뻗는 손길이다. 시간이 지날수록 더 깊이 읽히는 영화다.</t>
  </si>
  <si>
    <t>감독: 아딜 엘 아르비, 빌랄 팔라흐
주연: 윌 스미스, 마틴 로런스, 바네사 허진스</t>
  </si>
  <si>
    <t>할리우드적 스펙터클 너머, 2024년의 시선으로 담아낸 액션의 이야기. 생존의 욕망은 가장 원초적인 철학적 질문을 던진다. 육체의 한계에 도전하는 것은 곧 자아의 경계를 시험하는 일이다. 흠이 있지만 진심이 담긴 시도였다.</t>
  </si>
  <si>
    <t>감독: 한정훈
주연: 김무열, 양익준, 주진모</t>
  </si>
  <si>
    <t>16화</t>
  </si>
  <si>
    <t>드라마 형식 속에서, 한국 특유의 정서가 켜켜이 쌓인 듯, 2017년의 시선으로 담아낸 범죄의 이야기. 죄란 사회가 만든 경계를 넘는 행위이자 그 경계에 대한 질문이다. 어둠 속에서도 인간은 스스로를 정당화하려 한다. 평점이 담지 못하는 무언가가 이 영화에는 있다.</t>
  </si>
  <si>
    <t>할리우드적 스펙터클 너머, 2020년의 시선으로 담아낸 코미디의 이야기. 유머 속에는 세계의 부조리를 견뎌내는 지혜가 담겨 있다. 웃음은 고통을 소화하는 인간만의 방식이다. 시간이 지날수록 더 깊이 읽히는 영화다.</t>
  </si>
  <si>
    <t>감독: 니콜라스 스톨러
주연: 세스 로건, 잭 에프론, 로즈 번</t>
  </si>
  <si>
    <t>할리우드적 스펙터클 너머, 2014년의 시선으로 담아낸 코미디의 이야기. 웃음은 고통을 소화하는 인간만의 방식이다. 가볍게 웃는 순간에도 삶의 무게는 그 그림자를 드리운다. 두고두고 다시 꺼내 볼 만한 작품이다.</t>
  </si>
  <si>
    <t>감독: 제랄딘 나카슈
주연: 레일라 베크티, 제랄딘 나카슈, Patrick Timsit</t>
  </si>
  <si>
    <t>섬세한 일본적 감수성으로, 2019년의 시선으로 담아낸 드라마의 이야기. 인간의 고통이란 결국 타인과의 거리에서 비롯된다. 모든 이야기는 상처의 다른 이름이다. 완벽하지 않아도, 그 불완전함이 오히려 인간적이다.</t>
  </si>
  <si>
    <t>감독: 존 M. 추
주연: 제시 아이젠버그, 마크 러팔로, 우디 해럴슨</t>
  </si>
  <si>
    <t>범죄, 스릴러</t>
  </si>
  <si>
    <t>할리우드적 스펙터클 너머, 2016년의 시선으로 담아낸 스릴러의 이야기. 공포는 우리가 통제할 수 없는 것들에 대한 솔직한 고백이다. 진실은 언제나 우리가 감당할 수 없는 형태로 찾아온다. 이 작품이 남기는 질문은 쉽게 사라지지 않는다.</t>
  </si>
  <si>
    <t>감독: Ol Parker
주연: 다코타 패닝, 제레미 어바인, 카야 스코델라리오</t>
  </si>
  <si>
    <t>영국적 절제와 냉소 사이에서, 2012년의 시선으로 담아낸 드라마의 이야기. 인간의 고통이란 결국 타인과의 거리에서 비롯된다. 우리는 각자의 서사 안에 갇혀 서로를 오해한다. 흠이 있지만 진심이 담긴 시도였다.</t>
  </si>
  <si>
    <t>감독: 루벤 플레셔
주연: 제시 아이젠버그, 도미닉 세사, 아리아나 그린블랫</t>
  </si>
  <si>
    <t>할리우드적 스펙터클 너머, 2015년의 시선으로 담아낸 범죄의 이야기. 어둠 속에서도 인간은 스스로를 정당화하려 한다. 욕망은 언제나 질서보다 먼저 존재했다. 오랫동안 여운이 남는 작품이다.</t>
  </si>
  <si>
    <t>감독: 변성현
주연: 김아중, 지성, 신소율</t>
  </si>
  <si>
    <t>한국 특유의 정서가 켜켜이 쌓인 듯, 2012년의 시선으로 담아낸 로맨스의 이야기. 두 사람 사이의 침묵은 때로 말보다 더 많은 것을 말한다. 설렘은 불완전한 존재가 완전함을 향해 뻗는 손길이다. 두고두고 다시 꺼내 볼 만한 작품이다.</t>
  </si>
  <si>
    <t>감독: 이해준
주연: 설경구, 박해일, 윤제문</t>
  </si>
  <si>
    <t>한국 특유의 정서가 켜켜이 쌓인 듯, 2014년의 시선으로 담아낸 드라마의 이야기. 삶은 언제나 해석을 기다리는 텍스트다. 인간의 고통이란 결국 타인과의 거리에서 비롯된다. 나름의 울림을 간직한 작품이다.</t>
  </si>
  <si>
    <t>감독: Brian Gilbert
주연: 샐리 필드, 알프레드 몰리나, Sheila Rosenthal</t>
  </si>
  <si>
    <t>2015년의 시선으로 담아낸 드라마 이야기가 우리에게 묻는다. 인간의 고통이란 결국 타인과의 거리에서 비롯된다. 모든 이야기는 상처의 다른 이름이다. 흠이 있지만 진심이 담긴 시도였다.</t>
  </si>
  <si>
    <t>감독: Marcos Bernstein
주연: João Guilherme Ávila, José de Abreu, Caco Ciocler</t>
  </si>
  <si>
    <t>브라질</t>
  </si>
  <si>
    <t>2012년의 시선으로 담아낸 드라마 이야기가 우리에게 묻는다. 우리는 각자의 서사 안에 갇혀 서로를 오해한다. 인간의 고통이란 결국 타인과의 거리에서 비롯된다. 오랫동안 여운이 남는 작품이다.</t>
  </si>
  <si>
    <t>감독: Timothy Wade
주연: Chris Schmuttermaier, Stephen Bergin, Brian Bolton</t>
  </si>
  <si>
    <t>그리스</t>
  </si>
  <si>
    <t>2017년의 시선으로 담아낸 드라마 이야기가 우리에게 묻는다. 모든 이야기는 상처의 다른 이름이다. 삶은 언제나 해석을 기다리는 텍스트다. 두고두고 다시 꺼내 볼 만한 작품이다.</t>
  </si>
  <si>
    <t>감독: 彭秀慧
주연: 周秀娜, 鄭欣宜, 蔡瀚億</t>
  </si>
  <si>
    <t>2017년의 시선으로 담아낸 드라마 이야기가 우리에게 묻는다. 인간의 고통이란 결국 타인과의 거리에서 비롯된다. 우리는 각자의 서사 안에 갇혀 서로를 오해한다. 오랫동안 여운이 남는 작품이다.</t>
  </si>
  <si>
    <t>감독: 国本雅広, 三宅喜重
주연: 이토 히데아키, 木村佳乃, 相武紗季</t>
  </si>
  <si>
    <t>드라마 형식 속에서, 섬세한 일본적 감수성으로, 2017년의 시선으로 담아낸 드라마의 이야기. 모든 이야기는 상처의 다른 이름이다. 우리는 각자의 서사 안에 갇혀 서로를 오해한다. 평점이 담지 못하는 무언가가 이 영화에는 있다.</t>
  </si>
  <si>
    <t>감독: Nisha Ganatra
주연: 다코타 존슨, 트레이시 엘리스 로스, 아이스 큐브</t>
  </si>
  <si>
    <t>할리우드적 스펙터클 너머, 2020년의 시선으로 담아낸 드라마의 이야기. 모든 이야기는 상처의 다른 이름이다. 삶은 언제나 해석을 기다리는 텍스트다. 두고두고 다시 꺼내 볼 만한 작품이다.</t>
  </si>
  <si>
    <t>감독: Sam Garbarski
주연: 모리츠 블라이프트로이, 패트리샤 아퀘트, 대니 푸디</t>
  </si>
  <si>
    <t>벨기에</t>
  </si>
  <si>
    <t>2014년의 시선으로 담아낸 코미디 이야기가 우리에게 묻는다. 가볍게 웃는 순간에도 삶의 무게는 그 그림자를 드리운다. 우스운 것과 슬픈 것은 본래 같은 뿌리에서 자란다. 시간이 지날수록 더 깊이 읽히는 영화다.</t>
  </si>
  <si>
    <t>감독: 신동일
주연: 장현성, Hong So-hee, 박희순</t>
  </si>
  <si>
    <t>한국 특유의 정서가 켜켜이 쌓인 듯, 2006년의 시선으로 담아낸 드라마의 이야기. 모든 이야기는 상처의 다른 이름이다. 삶은 언제나 해석을 기다리는 텍스트다. 한 번쯤 들여다볼 가치가 있는 이야기다.</t>
  </si>
  <si>
    <t>감독: 육상효
주연: 신하균, 이광수, 이솜</t>
  </si>
  <si>
    <t>한국 특유의 정서가 켜켜이 쌓인 듯, 2018년의 시선으로 담아낸 드라마의 이야기. 모든 이야기는 상처의 다른 이름이다. 인간의 고통이란 결국 타인과의 거리에서 비롯된다. 이 작품이 남기는 질문은 쉽게 사라지지 않는다.</t>
  </si>
  <si>
    <t>감독: 라이언 존슨
주연: 다니엘 크레이그, 크리스 에반스, 아나 데 아르마스</t>
  </si>
  <si>
    <t>범죄, 미스터리</t>
  </si>
  <si>
    <t>할리우드적 스펙터클 너머, 2019년의 시선으로 담아낸 미스터리의 이야기. 알 수 없음 앞에서 인간은 비로소 겸손해진다. 진실을 추적하는 것은 존재의 불투명함과 씨름하는 일이다. 오랫동안 여운이 남는 작품이다.</t>
  </si>
  <si>
    <t>감독: 엘리자베스 차이 바서렐리, 지미 친
주연: 아네트 베닝, 조디 포스터, 리스 이판</t>
  </si>
  <si>
    <t>할리우드적 스펙터클 너머, 2023년의 시선으로 담아낸 드라마의 이야기. 삶은 언제나 해석을 기다리는 텍스트다. 인간의 고통이란 결국 타인과의 거리에서 비롯된다. 시간이 지날수록 더 깊이 읽히는 영화다.</t>
  </si>
  <si>
    <t>감독: 숀 라이언
주연: 게이브리얼 배소, 폴라 에번스아킹볼라, Louis Herthum</t>
  </si>
  <si>
    <t>드라마, 액션, 스릴러</t>
  </si>
  <si>
    <t>드라마 형식 속에서, 할리우드적 스펙터클 너머, 2023년의 시선으로 담아낸 드라마의 이야기. 인간의 고통이란 결국 타인과의 거리에서 비롯된다. 삶은 언제나 해석을 기다리는 텍스트다. 이 작품이 남기는 이미지는 어떤 방식으로든 기억에 새겨진다.</t>
  </si>
  <si>
    <t>감독: George C. Wolfe
주연: 다이앤 레인, 리처드 기어, 크리스토퍼 멜로니</t>
  </si>
  <si>
    <t>할리우드적 스펙터클 너머, 2008년의 시선으로 담아낸 드라마의 이야기. 인간의 고통이란 결국 타인과의 거리에서 비롯된다. 삶은 언제나 해석을 기다리는 텍스트다. 한 번쯤 들여다볼 가치가 있는 이야기다.</t>
  </si>
  <si>
    <t>감독: 댄 길로이
주연: 제이크 질렌할, 리즈 아메드, 르네 루소</t>
  </si>
  <si>
    <t>할리우드적 스펙터클 너머, 2014년의 시선으로 담아낸 스릴러의 이야기. 공포는 우리가 통제할 수 없는 것들에 대한 솔직한 고백이다. 진실은 언제나 우리가 감당할 수 없는 형태로 찾아온다. 완벽하지 않아도, 그 불완전함이 오히려 인간적이다.</t>
  </si>
  <si>
    <t>감독: 제임스 베닝</t>
  </si>
  <si>
    <t>SF</t>
  </si>
  <si>
    <t>할리우드적 스펙터클 너머, 2012년의 시선으로 담아낸 SF의 이야기. 기술이 진보할수록 인간다움의 정의는 더욱 절박해진다. 우주의 광대함 앞에서 인간의 질문은 더욱 깊어진다. 오랫동안 여운이 남는 작품이다.</t>
  </si>
  <si>
    <t>감독: David Raymond
주연: 헨리 카빌, 벤 킹슬리, 알렉산드라 다다리오</t>
  </si>
  <si>
    <t>할리우드적 스펙터클 너머, 2019년의 시선으로 담아낸 스릴러의 이야기. 불안이란 현실이 균열을 드러내는 순간에 스며든다. 공포는 우리가 통제할 수 없는 것들에 대한 솔직한 고백이다. 완성도와 별개로, 이 작품이 던지려 한 질문은 유효하다.</t>
  </si>
  <si>
    <t>감독: 기예르모 델 토로
주연: 브래들리 쿠퍼, 케이트 블란쳇, 토니 콜렛</t>
  </si>
  <si>
    <t>150분</t>
  </si>
  <si>
    <t>할리우드적 스펙터클 너머, 2021년의 시선으로 담아낸 드라마의 이야기. 삶은 언제나 해석을 기다리는 텍스트다. 우리는 각자의 서사 안에 갇혀 서로를 오해한다. 한 번쯤 들여다볼 가치가 있는 이야기다.</t>
  </si>
  <si>
    <t>감독: 제임스 그레이
주연: 마리옹 꼬띠아르, 호아킨 피닉스, 제레미 레너</t>
  </si>
  <si>
    <t>가족</t>
  </si>
  <si>
    <t>광활한 대지의 이야기를 담아, 2014년의 시선으로 담아낸 가족의 이야기. 혈연이라는 이름 아래, 인간은 사랑과 상처를 동시에 받는다. 집으로 돌아오는 것은 자아의 원점을 확인하는 일이다. 두고두고 다시 꺼내 볼 만한 작품이다.</t>
  </si>
  <si>
    <t>감독: 윤종빈
주연: 김다미, 손석구, 김성균</t>
  </si>
  <si>
    <t>11화</t>
  </si>
  <si>
    <t>드라마 형식 속에서, 한국 특유의 정서가 켜켜이 쌓인 듯, 2025년의 시선으로 담아낸 드라마의 이야기. 인간의 고통이란 결국 타인과의 거리에서 비롯된다. 우리는 각자의 서사 안에 갇혀 서로를 오해한다. 평점이 담지 못하는 무언가가 이 영화에는 있다.</t>
  </si>
  <si>
    <t>감독: 애드리안 라인
주연: 미키 루크, 킴 베이싱어, Margaret Whitton</t>
  </si>
  <si>
    <t>할리우드적 스펙터클 너머, 1986년의 시선으로 담아낸 드라마의 이야기. 모든 이야기는 상처의 다른 이름이다. 삶은 언제나 해석을 기다리는 텍스트다. 완벽하지 않아도, 그 불완전함이 오히려 인간적이다.</t>
  </si>
  <si>
    <t>감독: 알렉상드르 아자
주연: 제이미 도넌, 사라 가돈, 아론 폴</t>
  </si>
  <si>
    <t>할리우드적 스펙터클 너머, 2016년의 시선으로 담아낸 드라마의 이야기. 인간의 고통이란 결국 타인과의 거리에서 비롯된다. 삶은 언제나 해석을 기다리는 텍스트다. 두고두고 다시 꺼내 볼 만한 작품이다.</t>
  </si>
  <si>
    <t>감독: 케네스 브래너
주연: 케네스 브래너, 톰 베이트먼, 아네트 베닝</t>
  </si>
  <si>
    <t>할리우드적 스펙터클 너머, 2022년의 시선으로 담아낸 미스터리의 이야기. 진실을 추적하는 것은 존재의 불투명함과 씨름하는 일이다. 수수께끼는 세계가 우리에게 던지는 철학적 도발이다. 한 번쯤 들여다볼 가치가 있는 이야기다.</t>
  </si>
  <si>
    <t>감독: Teddy Newton
주연: Wayne Dyer</t>
  </si>
  <si>
    <t>할리우드적 스펙터클 너머, 2010년의 시선으로 담아낸 코미디의 이야기. 우스운 것과 슬픈 것은 본래 같은 뿌리에서 자란다. 가볍게 웃는 순간에도 삶의 무게는 그 그림자를 드리운다. 아쉬움이 남지만, 모든 시도는 의미를 갖는다.</t>
  </si>
  <si>
    <t>감독: 리들리 스콧
주연: 호아킨 피닉스, 바네사 커비, 타하르 라힘</t>
  </si>
  <si>
    <t>158분</t>
  </si>
  <si>
    <t>할리우드적 스펙터클 너머, 2023년의 시선으로 담아낸 드라마의 이야기. 삶은 언제나 해석을 기다리는 텍스트다. 모든 이야기는 상처의 다른 이름이다. 나름의 울림을 간직한 작품이다.</t>
  </si>
  <si>
    <t>감독: 박훈정
주연: 엄태구, 전여빈, 차승원</t>
  </si>
  <si>
    <t>한국 특유의 정서가 켜켜이 쌓인 듯, 2020년의 시선으로 담아낸 드라마의 이야기. 삶은 언제나 해석을 기다리는 텍스트다. 우리는 각자의 서사 안에 갇혀 서로를 오해한다. 한 번쯤 들여다볼 가치가 있는 이야기다.</t>
  </si>
  <si>
    <t>감독: 미겔 아르테타
주연: 스티브 카렐, 제니퍼 가너, Ed Oxenbould</t>
  </si>
  <si>
    <t>81분</t>
  </si>
  <si>
    <t>할리우드적 스펙터클 너머, 2014년의 시선으로 담아낸 코미디의 이야기. 가볍게 웃는 순간에도 삶의 무게는 그 그림자를 드리운다. 우스운 것과 슬픈 것은 본래 같은 뿌리에서 자란다. 나름의 울림을 간직한 작품이다.</t>
  </si>
  <si>
    <t>감독: Lee Cheol-ha
주연: 강예원, 이상윤, 최진호</t>
  </si>
  <si>
    <t>한국 특유의 정서가 켜켜이 쌓인 듯, 2015년의 시선으로 담아낸 스릴러의 이야기. 진실은 언제나 우리가 감당할 수 없는 형태로 찾아온다. 불안이란 현실이 균열을 드러내는 순간에 스며든다. 두고두고 다시 꺼내 볼 만한 작품이다.</t>
  </si>
  <si>
    <t>감독: 이윤기
주연: 전도연, 공유, 박병은</t>
  </si>
  <si>
    <t>한국 특유의 정서가 켜켜이 쌓인 듯, 2015년의 시선으로 담아낸 로맨스의 이야기. 사랑은 자아의 경계가 흔들리는 순간에 찾아온다. 설렘은 불완전한 존재가 완전함을 향해 뻗는 손길이다. 완벽하지 않아도, 그 불완전함이 오히려 인간적이다.</t>
  </si>
  <si>
    <t>감독: 沖田修一
주연: 사카이 마사토, 나마세 카츠히사, きたろう</t>
  </si>
  <si>
    <t>섬세한 일본적 감수성으로, 2010년의 시선으로 담아낸 드라마의 이야기. 모든 이야기는 상처의 다른 이름이다. 우리는 각자의 서사 안에 갇혀 서로를 오해한다. 시간이 지날수록 더 깊이 읽히는 영화다.</t>
  </si>
  <si>
    <t>감독: 야마다 요지
주연: 요시나가 사유리, 아오이 유우, 笑福亭鶴瓶</t>
  </si>
  <si>
    <t>섬세한 일본적 감수성으로, 2010년의 시선으로 담아낸 드라마의 이야기. 삶은 언제나 해석을 기다리는 텍스트다. 우리는 각자의 서사 안에 갇혀 서로를 오해한다. 평점이 담지 못하는 무언가가 이 영화에는 있다.</t>
  </si>
  <si>
    <t>감독: 우민호
주연: 이병헌, 이성민, 곽도원</t>
  </si>
  <si>
    <t>한국 특유의 정서가 켜켜이 쌓인 듯, 2020년의 시선으로 담아낸 드라마의 이야기. 삶은 언제나 해석을 기다리는 텍스트다. 인간의 고통이란 결국 타인과의 거리에서 비롯된다. 오랫동안 여운이 남는 작품이다.</t>
  </si>
  <si>
    <t>감독: 제임스 아이보리
주연: 안소니 홉킨스, 엠마 톰슨, 제임스 폭스</t>
  </si>
  <si>
    <t>134분</t>
  </si>
  <si>
    <t>영국적 절제와 냉소 사이에서, 1993년의 시선으로 담아낸 드라마의 이야기. 모든 이야기는 상처의 다른 이름이다. 삶은 언제나 해석을 기다리는 텍스트다. 두고두고 다시 꺼내 볼 만한 작품이다.</t>
  </si>
  <si>
    <t>감독: Kim Sang Rae, Battulga Suvid
주연: 박광현, Sarantuya Sambuu, Oh Soo-jeong</t>
  </si>
  <si>
    <t>한국 특유의 정서가 켜켜이 쌓인 듯, 2025년의 시선으로 담아낸 드라마의 이야기. 인간의 고통이란 결국 타인과의 거리에서 비롯된다. 모든 이야기는 상처의 다른 이름이다. 두고두고 다시 꺼내 볼 만한 작품이다.</t>
  </si>
  <si>
    <t>감독: 藤井道人
주연: 고마츠 나나, 사카구치 켄타로, 야마다 유키</t>
  </si>
  <si>
    <t>섬세한 일본적 감수성으로, 2022년의 시선으로 담아낸 로맨스의 이야기. 설렘은 불완전한 존재가 완전함을 향해 뻗는 손길이다. 그리움이란 부재를 통해 존재를 확인하는 방식이다. 완벽하지 않아도, 그 불완전함이 오히려 인간적이다.</t>
  </si>
  <si>
    <t>감독: 한동욱
주연: 황정민, 한혜진, 남일우</t>
  </si>
  <si>
    <t>한국 특유의 정서가 켜켜이 쌓인 듯, 2013년의 시선으로 담아낸 로맨스의 이야기. 그리움이란 부재를 통해 존재를 확인하는 방식이다. 설렘은 불완전한 존재가 완전함을 향해 뻗는 손길이다. 오랫동안 여운이 남는 작품이다.</t>
  </si>
  <si>
    <t>감독: 福田純
주연: 藤田まこと, 藤岡琢也, 小林千登勢</t>
  </si>
  <si>
    <t>섬세한 일본적 감수성으로, 2014년의 시선으로 담아낸 드라마의 이야기. 삶은 언제나 해석을 기다리는 텍스트다. 모든 이야기는 상처의 다른 이름이다. 한 번쯤 들여다볼 가치가 있는 이야기다.</t>
  </si>
  <si>
    <t>감독: 임순례
주연: 김윤석, 오연수, 한예리</t>
  </si>
  <si>
    <t>한국 특유의 정서가 켜켜이 쌓인 듯, 2012년의 시선으로 담아낸 코미디의 이야기. 웃음은 고통을 소화하는 인간만의 방식이다. 유머 속에는 세계의 부조리를 견뎌내는 지혜가 담겨 있다. 완벽하지 않아도, 그 불완전함이 오히려 인간적이다.</t>
  </si>
  <si>
    <t>감독: 황동혁
주연: 이병헌, 김윤석, 박해일</t>
  </si>
  <si>
    <t>140분</t>
  </si>
  <si>
    <t>한국 특유의 정서가 켜켜이 쌓인 듯, 2017년의 시선으로 담아낸 드라마의 이야기. 인간의 고통이란 결국 타인과의 거리에서 비롯된다. 모든 이야기는 상처의 다른 이름이다. 시간이 지날수록 더 깊이 읽히는 영화다.</t>
  </si>
  <si>
    <t>감독: 조 존스턴
주연: 맥스 밍겔라, JJ Feild, 톰 갤로프</t>
  </si>
  <si>
    <t>74분</t>
  </si>
  <si>
    <t>할리우드적 스펙터클 너머, 2014년의 시선으로 담아낸 스릴러의 이야기. 긴장은 존재가 위협받을 때 가장 선명하게 빛난다. 불안이란 현실이 균열을 드러내는 순간에 스며든다. 나름의 울림을 간직한 작품이다.</t>
  </si>
  <si>
    <t>감독: 𠮷田恵輔
주연: 濱田岳, 佐津川愛美, 森田剛</t>
  </si>
  <si>
    <t>섬세한 일본적 감수성으로, 2016년의 시선으로 담아낸 범죄의 이야기. 법과 도덕 사이의 틈새에서 인간의 본성이 노출된다. 욕망은 언제나 질서보다 먼저 존재했다. 아쉬움이 남지만, 모든 시도는 의미를 갖는다.</t>
  </si>
  <si>
    <t>감독: Peter Harness
주연: 누미 라파스, 조너선 뱅크스, 제임스 다시</t>
  </si>
  <si>
    <t>드라마 형식 속에서, 할리우드적 스펙터클 너머, 2024년의 시선으로 담아낸 드라마의 이야기. 우리는 각자의 서사 안에 갇혀 서로를 오해한다. 삶은 언제나 해석을 기다리는 텍스트다. 이 작품이 남기는 이미지는 어떤 방식으로든 기억에 새겨진다.</t>
  </si>
  <si>
    <t>감독: 우디 앨런
주연: 스칼렛 요한슨, 레베카 홀, 하비에르 바르뎀</t>
  </si>
  <si>
    <t>할리우드적 스펙터클 너머, 2009년의 시선으로 담아낸 로맨스의 이야기. 설렘은 불완전한 존재가 완전함을 향해 뻗는 손길이다. 사랑은 자아의 경계가 흔들리는 순간에 찾아온다. 나름의 울림을 간직한 작품이다.</t>
  </si>
  <si>
    <t>감독: 이재한
주연: 정우성, 손예진, 백종학</t>
  </si>
  <si>
    <t>한국 특유의 정서가 켜켜이 쌓인 듯, 2004년의 시선으로 담아낸 로맨스의 이야기. 사랑은 자아의 경계가 흔들리는 순간에 찾아온다. 두 사람 사이의 침묵은 때로 말보다 더 많은 것을 말한다. 시간이 지날수록 더 깊이 읽히는 영화다.</t>
  </si>
  <si>
    <t>감독: Irina Lord
주연: Andra Stancescu</t>
  </si>
  <si>
    <t>아일랜드</t>
  </si>
  <si>
    <t>2016년의 시선으로 담아낸 드라마 이야기가 우리에게 묻는다. 모든 이야기는 상처의 다른 이름이다. 우리는 각자의 서사 안에 갇혀 서로를 오해한다. 시간이 지날수록 더 깊이 읽히는 영화다.</t>
  </si>
  <si>
    <t>감독: 박진표
주연: 하지원, 김명민, 남능미</t>
  </si>
  <si>
    <t>한국 특유의 정서가 켜켜이 쌓인 듯, 2009년의 시선으로 담아낸 드라마의 이야기. 우리는 각자의 서사 안에 갇혀 서로를 오해한다. 삶은 언제나 해석을 기다리는 텍스트다. 나름의 울림을 간직한 작품이다.</t>
  </si>
  <si>
    <t>감독: 민규동
주연: 엄정화, 황정민, 천호진</t>
  </si>
  <si>
    <t>한국 특유의 정서가 켜켜이 쌓인 듯, 2005년의 시선으로 담아낸 드라마의 이야기. 모든 이야기는 상처의 다른 이름이다. 인간의 고통이란 결국 타인과의 거리에서 비롯된다. 이 작품이 남기는 질문은 쉽게 사라지지 않는다.</t>
  </si>
  <si>
    <t>감독: 민규동
주연: 이선균, 임수정, 류승룡</t>
  </si>
  <si>
    <t>한국 특유의 정서가 켜켜이 쌓인 듯, 2012년의 시선으로 담아낸 로맨스의 이야기. 두 사람 사이의 침묵은 때로 말보다 더 많은 것을 말한다. 설렘은 불완전한 존재가 완전함을 향해 뻗는 손길이다. 시간이 지날수록 더 깊이 읽히는 영화다.</t>
  </si>
  <si>
    <t>감독: 빌리 밥 손튼
주연: 케빈 베이컨, 티피 헤드런, Shawnee Smith</t>
  </si>
  <si>
    <t>섬세한 일본적 감수성으로, 2012년의 시선으로 담아낸 드라마의 이야기. 삶은 언제나 해석을 기다리는 텍스트다. 우리는 각자의 서사 안에 갇혀 서로를 오해한다. 시간이 지날수록 더 깊이 읽히는 영화다.</t>
  </si>
  <si>
    <t>감독: 찰스 마틴 스미스
주연: Luke Treadaway, Kristina Tonteri-Young, 팔두트 샤르마</t>
  </si>
  <si>
    <t>영국적 절제와 냉소 사이에서, 2020년의 시선으로 담아낸 드라마의 이야기. 우리는 각자의 서사 안에 갇혀 서로를 오해한다. 삶은 언제나 해석을 기다리는 텍스트다. 두고두고 다시 꺼내 볼 만한 작품이다.</t>
  </si>
  <si>
    <t>감독: 로저 스포티스우드
주연: Luke Treadaway, 루타 게드민터스, 조앤 프로갯</t>
  </si>
  <si>
    <t>영국적 절제와 냉소 사이에서, 2016년의 시선으로 담아낸 드라마의 이야기. 우리는 각자의 서사 안에 갇혀 서로를 오해한다. 인간의 고통이란 결국 타인과의 거리에서 비롯된다. 두고두고 다시 꺼내 볼 만한 작품이다.</t>
  </si>
  <si>
    <t>감독: Robert Markowitz
주연: 로니 앤더슨, 폴 소비노, 아만다 위스</t>
  </si>
  <si>
    <t>섬세한 일본적 감수성으로, 2011년의 시선으로 담아낸 드라마의 이야기. 모든 이야기는 상처의 다른 이름이다. 인간의 고통이란 결국 타인과의 거리에서 비롯된다. 두고두고 다시 꺼내 볼 만한 작품이다.</t>
  </si>
  <si>
    <t>감독: Karan Johar
주연: 샤 룩 칸, 카졸, Arjan Aujla</t>
  </si>
  <si>
    <t>165분</t>
  </si>
  <si>
    <t>2010년의 시선으로 담아낸 드라마 이야기가 우리에게 묻는다. 인간의 고통이란 결국 타인과의 거리에서 비롯된다. 삶은 언제나 해석을 기다리는 텍스트다. 이 작품이 남기는 질문은 쉽게 사라지지 않는다.</t>
  </si>
  <si>
    <t>감독: Percival M. Intalan
주연: Janella Salvador, Elmo Magalona, Kiko Estrada</t>
  </si>
  <si>
    <t>섬세한 일본적 감수성으로, 2018년의 시선으로 담아낸 로맨스의 이야기. 두 사람 사이의 침묵은 때로 말보다 더 많은 것을 말한다. 그리움이란 부재를 통해 존재를 확인하는 방식이다. 오랫동안 여운이 남는 작품이다.</t>
  </si>
  <si>
    <t>감독: Robert Lorenz
주연: 클린트 이스트우드, 에이미 아담스, 저스틴 팀버레이크</t>
  </si>
  <si>
    <t>할리우드적 스펙터클 너머, 2012년의 시선으로 담아낸 드라마의 이야기. 삶은 언제나 해석을 기다리는 텍스트다. 모든 이야기는 상처의 다른 이름이다. 이 작품이 남기는 질문은 쉽게 사라지지 않는다.</t>
  </si>
  <si>
    <t>감독: 新城毅彦
주연: 이노우에 마오, 오카다 마사키, 杉本哲太</t>
  </si>
  <si>
    <t>섬세한 일본적 감수성으로, 2009년의 시선으로 담아낸 로맨스의 이야기. 사랑은 자아의 경계가 흔들리는 순간에 찾아온다. 그리움이란 부재를 통해 존재를 확인하는 방식이다. 시간이 지날수록 더 깊이 읽히는 영화다.</t>
  </si>
  <si>
    <t>감독: 조성규
주연: 김태우, 예지원, Seo Bum-suk</t>
  </si>
  <si>
    <t>섬세한 일본적 감수성으로, 2012년의 시선으로 담아낸 드라마의 이야기. 우리는 각자의 서사 안에 갇혀 서로를 오해한다. 인간의 고통이란 결국 타인과의 거리에서 비롯된다. 두고두고 다시 꺼내 볼 만한 작품이다.</t>
  </si>
  <si>
    <t>감독: 페드로 알모도바르
주연: 안토니오 반데라스, 엘레나 아나야, 마리사 파레데스</t>
  </si>
  <si>
    <t>열정과 멜랑콜리가 교차하며, 2011년의 시선으로 담아낸 스릴러의 이야기. 공포는 우리가 통제할 수 없는 것들에 대한 솔직한 고백이다. 불안이란 현실이 균열을 드러내는 순간에 스며든다. 나름의 울림을 간직한 작품이다.</t>
  </si>
  <si>
    <t>감독: 정병길
주연: 정재영, 박시후, 정해균</t>
  </si>
  <si>
    <t>한국 특유의 정서가 켜켜이 쌓인 듯, 2012년의 시선으로 담아낸 범죄의 이야기. 욕망은 언제나 질서보다 먼저 존재했다. 어둠 속에서도 인간은 스스로를 정당화하려 한다. 이 작품이 남기는 질문은 쉽게 사라지지 않는다.</t>
  </si>
  <si>
    <t>감독: Rowan Joffé
주연: 니콜 키드먼, 콜린 퍼스, 마크 스트롱</t>
  </si>
  <si>
    <t>영국적 절제와 냉소 사이에서, 2014년의 시선으로 담아낸 스릴러의 이야기. 긴장은 존재가 위협받을 때 가장 선명하게 빛난다. 공포는 우리가 통제할 수 없는 것들에 대한 솔직한 고백이다. 시간이 지날수록 더 깊이 읽히는 영화다.</t>
  </si>
  <si>
    <t>감독: 테일러 쉐리던
주연: 안젤리나 졸리, Finn Little, 존 번설</t>
  </si>
  <si>
    <t>할리우드적 스펙터클 너머, 2021년의 시선으로 담아낸 스릴러의 이야기. 긴장은 존재가 위협받을 때 가장 선명하게 빛난다. 공포는 우리가 통제할 수 없는 것들에 대한 솔직한 고백이다. 한 번쯤 들여다볼 가치가 있는 이야기다.</t>
  </si>
  <si>
    <t>감독: Park Ji-wan
주연: 김혜수, 이정은, 노정의</t>
  </si>
  <si>
    <t>한국 특유의 정서가 켜켜이 쌓인 듯, 2020년의 시선으로 담아낸 드라마의 이야기. 인간의 고통이란 결국 타인과의 거리에서 비롯된다. 우리는 각자의 서사 안에 갇혀 서로를 오해한다. 이 작품이 남기는 질문은 쉽게 사라지지 않는다.</t>
  </si>
  <si>
    <t>감독: Bent H. Barfod, Kjeld Simonsen</t>
  </si>
  <si>
    <t>섬세한 일본적 감수성으로, 2017년의 시선으로 담아낸 드라마의 이야기. 삶은 언제나 해석을 기다리는 텍스트다. 모든 이야기는 상처의 다른 이름이다. 오랫동안 여운이 남는 작품이다.</t>
  </si>
  <si>
    <t>감독: Shari Springer Berman, Robert Pulcini
주연: 스칼렛 요한슨, 로라 리니, 알리샤 키스</t>
  </si>
  <si>
    <t>할리우드적 스펙터클 너머, 2007년의 시선으로 담아낸 드라마의 이야기. 삶은 언제나 해석을 기다리는 텍스트다. 인간의 고통이란 결국 타인과의 거리에서 비롯된다. 한 번쯤 들여다볼 가치가 있는 이야기다.</t>
  </si>
  <si>
    <t>감독: 薛晓路
주연: 雷佳音, 탕웨이, 齐溪</t>
  </si>
  <si>
    <t>광활한 대지의 이야기를 담아, 2019년의 시선으로 담아낸 드라마의 이야기. 우리는 각자의 서사 안에 갇혀 서로를 오해한다. 인간의 고통이란 결국 타인과의 거리에서 비롯된다. 완성도와 별개로, 이 작품이 던지려 한 질문은 유효하다.</t>
  </si>
  <si>
    <t>감독: 우민호
주연: 이병헌, 조승우, 백윤식</t>
  </si>
  <si>
    <t>한국 특유의 정서가 켜켜이 쌓인 듯, 2015년의 시선으로 담아낸 범죄의 이야기. 법과 도덕 사이의 틈새에서 인간의 본성이 노출된다. 욕망은 언제나 질서보다 먼저 존재했다. 시간이 지날수록 더 깊이 읽히는 영화다.</t>
  </si>
  <si>
    <t>감독: Marianne Wibberley, Cormac Wibberley
주연: Lisette Olivera, 캐서린 제타존스, Zuri Reed</t>
  </si>
  <si>
    <t>드라마, 액션, 모험</t>
  </si>
  <si>
    <t>드라마 형식 속에서, 할리우드적 스펙터클 너머, 2022년의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</si>
  <si>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강효진
주연: 정진영, 박성웅, 라미란</t>
  </si>
  <si>
    <t>감독: 장피에르 다르덴, 뤽 다르덴
주연: 마리옹 꼬띠아르, Fabrizio Rongione, Catherine Salée</t>
  </si>
  <si>
    <t>섬세한 일본적 감수성으로, 2014년의 시선으로 담아낸 드라마의 이야기. 인간의 고통이란 결국 타인과의 거리에서 비롯된다. 우리는 각자의 서사 안에 갇혀 서로를 오해한다. 이 작품이 남기는 질문은 쉽게 사라지지 않는다.</t>
  </si>
  <si>
    <t>감독: 서유민
주연: 서예지, 김강우, 성혁</t>
  </si>
  <si>
    <t>한국 특유의 정서가 켜켜이 쌓인 듯, 2021년의 시선으로 담아낸 스릴러의 이야기. 불안이란 현실이 균열을 드러내는 순간에 스며든다. 공포는 우리가 통제할 수 없는 것들에 대한 솔직한 고백이다. 이 작품이 남기는 질문은 쉽게 사라지지 않는다.</t>
  </si>
  <si>
    <t>감독: 堤幸彦
주연: 와타나베 켄, 樋口可南子, 坂口憲二</t>
  </si>
  <si>
    <t>섬세한 일본적 감수성으로, 2006년의 시선으로 담아낸 드라마의 이야기. 모든 이야기는 상처의 다른 이름이다. 우리는 각자의 서사 안에 갇혀 서로를 오해한다. 오랫동안 여운이 남는 작품이다.</t>
  </si>
  <si>
    <t>감독: 中江功
주연: 다케노우치 유타카, 진혜림, 산타마리아 유스케</t>
  </si>
  <si>
    <t>섬세한 일본적 감수성으로, 2003년의 시선으로 담아낸 로맨스의 이야기. 설렘은 불완전한 존재가 완전함을 향해 뻗는 손길이다. 사랑은 자아의 경계가 흔들리는 순간에 찾아온다. 오랫동안 여운이 남는 작품이다.</t>
  </si>
  <si>
    <t>감독: 박진표
주연: 전도연, 황정민, 나문희</t>
  </si>
  <si>
    <t>한국 특유의 정서가 켜켜이 쌓인 듯, 2005년의 시선으로 담아낸 로맨스의 이야기. 설렘은 불완전한 존재가 완전함을 향해 뻗는 손길이다. 그리움이란 부재를 통해 존재를 확인하는 방식이다. 두고두고 다시 꺼내 볼 만한 작품이다.</t>
  </si>
  <si>
    <t>감독: Jenny Harder
주연: Mona Marshall, Darren Street, Kate Barton</t>
  </si>
  <si>
    <t>섬세한 일본적 감수성으로, 2016년의 시선으로 담아낸 드라마의 이야기. 모든 이야기는 상처의 다른 이름이다. 삶은 언제나 해석을 기다리는 텍스트다. 이 작품이 남기는 질문은 쉽게 사라지지 않는다.</t>
  </si>
  <si>
    <t>감독: Lee Seok-geun
주연: 박보영, 김영광, 강기영</t>
  </si>
  <si>
    <t>한국 특유의 정서가 켜켜이 쌓인 듯, 2018년의 시선으로 담아낸 로맨스의 이야기. 두 사람 사이의 침묵은 때로 말보다 더 많은 것을 말한다. 사랑은 자아의 경계가 흔들리는 순간에 찾아온다. 이 작품이 남기는 질문은 쉽게 사라지지 않는다.</t>
  </si>
  <si>
    <t>감독: 츠키카와 쇼
주연: 하마베 미나미, 키타무라 타쿠미, 오구리 슌</t>
  </si>
  <si>
    <t>섬세한 일본적 감수성으로, 2017년의 시선으로 담아낸 로맨스의 이야기. 사랑은 자아의 경계가 흔들리는 순간에 찾아온다. 그리움이란 부재를 통해 존재를 확인하는 방식이다. 한 번쯤 들여다볼 가치가 있는 이야기다.</t>
  </si>
  <si>
    <t>감독: Tyler Spindel
주연: 데이비드 스페이드, 로렌 랩커스, 닉 스워드슨</t>
  </si>
  <si>
    <t>멜로</t>
  </si>
  <si>
    <t>할리우드적 스펙터클 너머, 2020년의 시선으로 담아낸 멜로의 이야기. 시간이 흐른 뒤에도 이 장면들은 기억 속에 선명히 남는다. 영상 언어로 포착된 인간의 이야기는 언제나 철학적 울림을 남긴다. 나름의 울림을 간직한 작품이다.</t>
  </si>
  <si>
    <t>감독: 모홍진
주연: 심은경, 김성오, 윤제문</t>
  </si>
  <si>
    <t>한국 특유의 정서가 켜켜이 쌓인 듯, 2015년의 시선으로 담아낸 스릴러의 이야기. 불안이란 현실이 균열을 드러내는 순간에 스며든다. 공포는 우리가 통제할 수 없는 것들에 대한 솔직한 고백이다. 완벽하지 않아도, 그 불완전함이 오히려 인간적이다.</t>
  </si>
  <si>
    <t>감독: Kasper Barfoed
주연: 존 쿠삭, 말린 애커만, 한나 머레이</t>
  </si>
  <si>
    <t>영국적 절제와 냉소 사이에서, 2013년의 시선으로 담아낸 스릴러의 이야기. 공포는 우리가 통제할 수 없는 것들에 대한 솔직한 고백이다. 긴장은 존재가 위협받을 때 가장 선명하게 빛난다. 완벽하지 않아도, 그 불완전함이 오히려 인간적이다.</t>
  </si>
  <si>
    <t>감독: Mark Romanek
주연: 캐리 멀리건, 키이라 나이틀리, 앤드류 가필드</t>
  </si>
  <si>
    <t>영국적 절제와 냉소 사이에서, 2010년의 시선으로 담아낸 드라마의 이야기. 모든 이야기는 상처의 다른 이름이다. 인간의 고통이란 결국 타인과의 거리에서 비롯된다. 한 번쯤 들여다볼 가치가 있는 이야기다.</t>
  </si>
  <si>
    <t>감독: Joung Yong-ju
주연: 엄태웅, 정려원, 유선</t>
  </si>
  <si>
    <t>한국 특유의 정서가 켜켜이 쌓인 듯, 2012년의 시선으로 담아낸 로맨스의 이야기. 설렘은 불완전한 존재가 완전함을 향해 뻗는 손길이다. 그리움이란 부재를 통해 존재를 확인하는 방식이다. 나름의 울림을 간직한 작품이다.</t>
  </si>
  <si>
    <t>감독: 蔵方政俊
주연: 伊藤淳史, 쿠츠나 시오리, 타구치 토모로오</t>
  </si>
  <si>
    <t>섬세한 일본적 감수성으로, 2017년의 시선으로 담아낸 드라마의 이야기. 모든 이야기는 상처의 다른 이름이다. 삶은 언제나 해석을 기다리는 텍스트다. 한 번쯤 들여다볼 가치가 있는 이야기다.</t>
  </si>
  <si>
    <t>감독: 마이클 앱티드
주연: 조디 포스터, 리암 니슨, Natasha Richardson</t>
  </si>
  <si>
    <t>할리우드적 스펙터클 너머, 1994년의 시선으로 담아낸 드라마의 이야기. 우리는 각자의 서사 안에 갇혀 서로를 오해한다. 모든 이야기는 상처의 다른 이름이다. 이 작품이 남기는 이미지는 어떤 방식으로든 기억에 새겨진다.</t>
  </si>
  <si>
    <t>감독: Luca Castello
주연: Julieta Tramanzoli, Gastón Frías, Anahí Politi</t>
  </si>
  <si>
    <t>프랑스 영화 특유의 철학적 깊이로, 2022년의 시선으로 담아낸 드라마의 이야기. 우리는 각자의 서사 안에 갇혀 서로를 오해한다. 삶은 언제나 해석을 기다리는 텍스트다. 흠이 있지만 진심이 담긴 시도였다.</t>
  </si>
  <si>
    <t>감독: Тимур Бекмамбетов
주연: 크리스 프랫, 레베카 퍼거슨, 칼리 레이스</t>
  </si>
  <si>
    <t>할리우드적 스펙터클 너머, 2026년의 시선으로 담아낸 스릴러의 이야기. 불안이란 현실이 균열을 드러내는 순간에 스며든다. 진실은 언제나 우리가 감당할 수 없는 형태로 찾아온다. 이 작품이 남기는 질문은 쉽게 사라지지 않는다.</t>
  </si>
  <si>
    <t>감독: 최국희
주연: 조진웅, 유재명, 염정아</t>
  </si>
  <si>
    <t>드라마 형식 속에서, 한국 특유의 정서가 켜켜이 쌓인 듯, 2024년의 시선으로 담아낸 드라마의 이야기. 인간의 고통이란 결국 타인과의 거리에서 비롯된다. 우리는 각자의 서사 안에 갇혀 서로를 오해한다. 평점이 담지 못하는 무언가가 이 영화에는 있다.</t>
  </si>
  <si>
    <t>감독: Udayan Prasad
주연: 윌리엄 허트, 마리아 벨로, 크리스틴 스튜어트</t>
  </si>
  <si>
    <t>할리우드적 스펙터클 너머, 2008년의 시선으로 담아낸 드라마의 이야기. 모든 이야기는 상처의 다른 이름이다. 삶은 언제나 해석을 기다리는 텍스트다. 시간이 지날수록 더 깊이 읽히는 영화다.</t>
  </si>
  <si>
    <t>감독: 김한민
주연: 김윤석, 백윤식, 정재영</t>
  </si>
  <si>
    <t>사극, 전쟁</t>
  </si>
  <si>
    <t>153분</t>
  </si>
  <si>
    <t>한국 특유의 정서가 켜켜이 쌓인 듯, 2023년의 시선으로 담아낸 전쟁의 이야기. 전쟁은 인간의 이성이 멈추는 지점에서 시작된다. 폐허 속에서도 존엄을 지키려는 의지가 역사를 만든다. 이 작품이 남기는 질문은 쉽게 사라지지 않는다.</t>
  </si>
  <si>
    <t>감독: 클로이 자오
주연: 프랜시스 맥도맨드, 데이비드 스트러세언, Linda May</t>
  </si>
  <si>
    <t>할리우드적 스펙터클 너머, 2020년의 시선으로 담아낸 드라마의 이야기. 모든 이야기는 상처의 다른 이름이다. 우리는 각자의 서사 안에 갇혀 서로를 오해한다. 두고두고 다시 꺼내 볼 만한 작품이다.</t>
  </si>
  <si>
    <t>감독: Илья Найшуллер
주연: 밥 오덴커크, Алексей Серебряков, 코니 닐센</t>
  </si>
  <si>
    <t>할리우드적 스펙터클 너머, 2021년의 시선으로 담아낸 범죄의 이야기. 욕망은 언제나 질서보다 먼저 존재했다. 법과 도덕 사이의 틈새에서 인간의 본성이 노출된다. 나름의 울림을 간직한 작품이다.</t>
  </si>
  <si>
    <t>감독: 티모 차얀토
주연: 밥 오덴커크, 코니 닐센, 존 오르티스</t>
  </si>
  <si>
    <t>할리우드적 스펙터클 너머, 2025년의 시선으로 담아낸 액션의 이야기. 충돌은 세계가 변화를 요구하는 방식이다. 폭력의 언어 속에서도 인간은 존엄을 갈망한다. 한 번쯤 들여다볼 가치가 있는 이야기다.</t>
  </si>
  <si>
    <t>감독: Peter Flinth
주연: Malin Crépin, Richard Ulfsäter, Björn Kjellman</t>
  </si>
  <si>
    <t>스웨덴</t>
  </si>
  <si>
    <t>2012년의 시선으로 담아낸 스릴러 이야기가 우리에게 묻는다. 불안이란 현실이 균열을 드러내는 순간에 스며든다. 긴장은 존재가 위협받을 때 가장 선명하게 빛난다. 완성도와 별개로, 이 작품이 던지려 한 질문은 유효하다.</t>
  </si>
  <si>
    <t>감독: Roger Donaldson
주연: 피어스 브로스넌, 루크 브레이시, 올가 쿠릴렌코</t>
  </si>
  <si>
    <t>할리우드적 스펙터클 너머, 2014년의 시선으로 담아낸 스릴러의 이야기. 진실은 언제나 우리가 감당할 수 없는 형태로 찾아온다. 공포는 우리가 통제할 수 없는 것들에 대한 솔직한 고백이다. 흠이 있지만 진심이 담긴 시도였다.</t>
  </si>
  <si>
    <t>감독: Stephen Bradley
주연: Deirdre O'Kane, Sarah Greene, Gloria Cramer Curtis</t>
  </si>
  <si>
    <t>영국적 절제와 냉소 사이에서, 2014년의 시선으로 담아낸 드라마의 이야기. 인간의 고통이란 결국 타인과의 거리에서 비롯된다. 우리는 각자의 서사 안에 갇혀 서로를 오해한다. 시간이 지날수록 더 깊이 읽히는 영화다.</t>
  </si>
  <si>
    <t>감독: Matt Williams
주연: 나탈리 포트만, 애슐리 저드, 스토커드 채닝</t>
  </si>
  <si>
    <t>할리우드적 스펙터클 너머, 2000년의 시선으로 담아낸 드라마의 이야기. 우리는 각자의 서사 안에 갇혀 서로를 오해한다. 인간의 고통이란 결국 타인과의 거리에서 비롯된다. 시간이 지날수록 더 깊이 읽히는 영화다.</t>
  </si>
  <si>
    <t>감독: Niki Caro
주연: 샤를리즈 테론, 프랜시스 맥도맨드, 우디 해럴슨</t>
  </si>
  <si>
    <t>할리우드적 스펙터클 너머, 2005년의 시선으로 담아낸 드라마의 이야기. 모든 이야기는 상처의 다른 이름이다. 삶은 언제나 해석을 기다리는 텍스트다. 오랫동안 여운이 남는 작품이다.</t>
  </si>
  <si>
    <t>감독: 로버트 에거스
주연: 알렉산더 스카스가드, 니콜 키드먼, 클레스 방</t>
  </si>
  <si>
    <t>할리우드적 스펙터클 너머, 2022년의 시선으로 담아낸 사극의 이야기. 시대의 억압 속에서도 인간의 욕망과 존엄은 꺾이지 않는다. 역사의 무게는 개인의 삶을 짓누르지만, 그 안에서도 빛이 있다. 나름의 울림을 간직한 작품이다.</t>
  </si>
  <si>
    <t>감독: Philipp Stölzl
주연: Benno Fürmann, Florian Lukas, Johanna Wokalek</t>
  </si>
  <si>
    <t>독일 특유의 사유의 무게를 지니며, 2008년의 시선으로 담아낸 드라마의 이야기. 우리는 각자의 서사 안에 갇혀 서로를 오해한다. 인간의 고통이란 결국 타인과의 거리에서 비롯된다. 이 작품이 남기는 질문은 쉽게 사라지지 않는다.</t>
  </si>
  <si>
    <t>감독: 대런 아로노프스키
주연: 러셀 크로우, 제니퍼 코넬리, 레이 윈스턴</t>
  </si>
  <si>
    <t>138분</t>
  </si>
  <si>
    <t>할리우드적 스펙터클 너머, 2014년의 시선으로 담아낸 드라마의 이야기. 삶은 언제나 해석을 기다리는 텍스트다. 인간의 고통이란 결국 타인과의 거리에서 비롯된다. 완벽하지 않아도, 그 불완전함이 오히려 인간적이다.</t>
  </si>
  <si>
    <t>감독: Alexandre Coffre
주연: 타하르 라힘, Victor Cabal, Amélie Glenn</t>
  </si>
  <si>
    <t>프랑스 영화 특유의 철학적 깊이로, 2015년의 시선으로 담아낸 코미디의 이야기. 유머 속에는 세계의 부조리를 견뎌내는 지혜가 담겨 있다. 우스운 것과 슬픈 것은 본래 같은 뿌리에서 자란다. 두고두고 다시 꺼내 볼 만한 작품이다.</t>
  </si>
  <si>
    <t>감독: 스티브 맥퀸
주연: 치웨텔 에지오포, 마이클 패스벤더, 루피타 뇽오</t>
  </si>
  <si>
    <t>할리우드적 스펙터클 너머, 2013년의 시선으로 담아낸 드라마의 이야기. 모든 이야기는 상처의 다른 이름이다. 인간의 고통이란 결국 타인과의 거리에서 비롯된다. 시간이 지날수록 더 깊이 읽히는 영화다.</t>
  </si>
  <si>
    <t>감독: 조엘 코엔, 에단 코엔
주연: 하비에르 바르뎀, 토미 리 존스, 조쉬 브롤린</t>
  </si>
  <si>
    <t>할리우드적 스펙터클 너머, 2007년의 시선으로 담아낸 드라마의 이야기. 인간의 고통이란 결국 타인과의 거리에서 비롯된다. 삶은 언제나 해석을 기다리는 텍스트다. 이 작품이 남기는 질문은 쉽게 사라지지 않는다.</t>
  </si>
  <si>
    <t>감독: 일라이 로스
주연: 키아누 리브스, 로렌사 이소, 아나 데 아르마스</t>
  </si>
  <si>
    <t>할리우드적 스펙터클 너머, 2015년의 시선으로 담아낸 스릴러의 이야기. 진실은 언제나 우리가 감당할 수 없는 형태로 찾아온다. 불안이란 현실이 균열을 드러내는 순간에 스며든다. 아쉬움이 남지만, 모든 시도는 의미를 갖는다.</t>
  </si>
  <si>
    <t>감독: Thomas Jahn
주연: 틸 슈바이거, 얀 요제프 리퍼스, Thierry van Werveke</t>
  </si>
  <si>
    <t>87분</t>
  </si>
  <si>
    <t>독일 특유의 사유의 무게를 지니며, 1997년의 시선으로 담아낸 범죄의 이야기. 어둠 속에서도 인간은 스스로를 정당화하려 한다. 법과 도덕 사이의 틈새에서 인간의 본성이 노출된다. 오랫동안 여운이 남는 작품이다.</t>
  </si>
  <si>
    <t>감독: Richard Eyre
주연: 주디 덴치, 케이트 블란쳇, 빌 나이</t>
  </si>
  <si>
    <t>영국적 절제와 냉소 사이에서, 2006년의 시선으로 담아낸 드라마의 이야기. 우리는 각자의 서사 안에 갇혀 서로를 오해한다. 모든 이야기는 상처의 다른 이름이다. 두고두고 다시 꺼내 볼 만한 작품이다.</t>
  </si>
  <si>
    <t>감독: 닉 카사베츠
주연: 라이언 고슬링, 레이첼 맥아담스, 지나 롤랜즈</t>
  </si>
  <si>
    <t>할리우드적 스펙터클 너머, 2004년의 시선으로 담아낸 로맨스의 이야기. 설렘은 불완전한 존재가 완전함을 향해 뻗는 손길이다. 두 사람 사이의 침묵은 때로 말보다 더 많은 것을 말한다. 오랫동안 여운이 남는 작품이다.</t>
  </si>
  <si>
    <t>감독: 로저 미첼
주연: 줄리아 로버츠, 휴 그랜트, 지나 맥키</t>
  </si>
  <si>
    <t>영국적 절제와 냉소 사이에서, 1999년의 시선으로 담아낸 로맨스의 이야기. 두 사람 사이의 침묵은 때로 말보다 더 많은 것을 말한다. 사랑은 자아의 경계가 흔들리는 순간에 찾아온다. 오랫동안 여운이 남는 작품이다.</t>
  </si>
  <si>
    <t>감독: 톰 포드
주연: 에이미 아담스, 제이크 질렌할, 마이클 섀넌</t>
  </si>
  <si>
    <t>감독: Jaume Collet-Serra
주연: 리암 니슨, 줄리앤 무어, 스쿠트 맥네리</t>
  </si>
  <si>
    <t>할리우드적 스펙터클 너머, 2014년의 시선으로 담아낸 스릴러의 이야기. 공포는 우리가 통제할 수 없는 것들에 대한 솔직한 고백이다. 진실은 언제나 우리가 감당할 수 없는 형태로 찾아온다. 두고두고 다시 꺼내 볼 만한 작품이다.</t>
  </si>
  <si>
    <t>감독: 올리비에 아사야스
주연: 기욤 카네, 쥘리에트 비노쉬, 뱅상 마케뉴</t>
  </si>
  <si>
    <t>프랑스 영화 특유의 철학적 깊이로, 2018년의 시선으로 담아낸 드라마의 이야기. 삶은 언제나 해석을 기다리는 텍스트다. 우리는 각자의 서사 안에 갇혀 서로를 오해한다. 두고두고 다시 꺼내 볼 만한 작품이다.</t>
  </si>
  <si>
    <t>감독: 타키모토 토모유키
주연: 이쿠타 토마, 松雪泰子, 에구치 요스케</t>
  </si>
  <si>
    <t>섬세한 일본적 감수성으로, 2013년의 시선으로 담아낸 드라마의 이야기. 모든 이야기는 상처의 다른 이름이다. 인간의 고통이란 결국 타인과의 거리에서 비롯된다. 완벽하지 않아도, 그 불완전함이 오히려 인간적이다.</t>
  </si>
  <si>
    <t>감독: 아스가르 파르하디
주연: 페넬로페 크루스, 하비에르 바르뎀, Ricardo Darín</t>
  </si>
  <si>
    <t>열정과 멜랑콜리가 교차하며, 2018년의 시선으로 담아낸 드라마의 이야기. 인간의 고통이란 결국 타인과의 거리에서 비롯된다. 모든 이야기는 상처의 다른 이름이다. 한 번쯤 들여다볼 가치가 있는 이야기다.</t>
  </si>
  <si>
    <t>감독: Lee Won-sik
주연: 성유리, 이주승, Jaewan Lee</t>
  </si>
  <si>
    <t>한국 특유의 정서가 켜켜이 쌓인 듯, 2012년의 시선으로 담아낸 드라마의 이야기. 모든 이야기는 상처의 다른 이름이다. 우리는 각자의 서사 안에 갇혀 서로를 오해한다. 이 작품이 남기는 질문은 쉽게 사라지지 않는다.</t>
  </si>
  <si>
    <t>감독: 小沼雄一
주연: 渡辺奈緒子, 미츠이시 켄, 佐津川愛美</t>
  </si>
  <si>
    <t>섬세한 일본적 감수성으로, 2010년의 시선으로 담아낸 드라마의 이야기. 삶은 언제나 해석을 기다리는 텍스트다. 모든 이야기는 상처의 다른 이름이다. 이 작품이 남기는 이미지는 어떤 방식으로든 기억에 새겨진다.</t>
  </si>
  <si>
    <t>감독: Ayelet Menahemi
주연: Mili Avital, Baoqi Chen, ענת וקסמן</t>
  </si>
  <si>
    <t>이스라엘</t>
  </si>
  <si>
    <t>2007년의 시선으로 담아낸 드라마 이야기가 우리에게 묻는다. 우리는 각자의 서사 안에 갇혀 서로를 오해한다. 인간의 고통이란 결국 타인과의 거리에서 비롯된다. 시간이 지날수록 더 깊이 읽히는 영화다.</t>
  </si>
  <si>
    <t>감독: Sopsits Árpád
주연: Hajduk Károly, Jászberényi Gábor, Anger Zsolt</t>
  </si>
  <si>
    <t>헝가리</t>
  </si>
  <si>
    <t>2016년의 시선으로 담아낸 스릴러 이야기가 우리에게 묻는다. 불안이란 현실이 균열을 드러내는 순간에 스며든다. 진실은 언제나 우리가 감당할 수 없는 형태로 찾아온다. 평점이 담지 못하는 무언가가 이 영화에는 있다.</t>
  </si>
  <si>
    <t>감독: 도이 노부히로
주연: 츠마부키 사토시, 나가사와 마사미, 아소 쿠미코</t>
  </si>
  <si>
    <t>섬세한 일본적 감수성으로, 2007년의 시선으로 담아낸 드라마의 이야기. 삶은 언제나 해석을 기다리는 텍스트다. 우리는 각자의 서사 안에 갇혀 서로를 오해한다. 거칠지만 그 안에서도 인간의 흔적은 남는다.</t>
  </si>
  <si>
    <t>감독: Brett Haley
주연: 엘르 패닝, 저스티스 스미스, 알렉산드라 쉽</t>
  </si>
  <si>
    <t>할리우드적 스펙터클 너머, 2020년의 시선으로 담아낸 드라마의 이야기. 인간의 고통이란 결국 타인과의 거리에서 비롯된다. 모든 이야기는 상처의 다른 이름이다. 오랫동안 여운이 남는 작품이다.</t>
  </si>
  <si>
    <t>감독: 根岸吉太郎
주연: 이세야 유스케, 사토 코이치, 吹石一恵</t>
  </si>
  <si>
    <t>섬세한 일본적 감수성으로, 2007년의 시선으로 담아낸 드라마의 이야기. 모든 이야기는 상처의 다른 이름이다. 우리는 각자의 서사 안에 갇혀 서로를 오해한다. 한 번쯤 들여다볼 가치가 있는 이야기다.</t>
  </si>
  <si>
    <t>감독: David Schulner
주연: 라이언 이골드, Janet Montgomery, 조코 심즈</t>
  </si>
  <si>
    <t>드라마, 의학</t>
  </si>
  <si>
    <t>드라마 형식 속에서, 할리우드적 스펙터클 너머, 2018년의 시선으로 담아낸 드라마의 이야기. 모든 이야기는 상처의 다른 이름이다. 삶은 언제나 해석을 기다리는 텍스트다. 평점이 담지 못하는 무언가가 이 영화에는 있다.</t>
  </si>
  <si>
    <t>드라마 형식 속에서, 할리우드적 스펙터클 너머, 2019년의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</si>
  <si>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2021년의 시선으로 담아낸 드라마의 이야기. 인간의 고통이란 결국 타인과의 거리에서 비롯된다. 모든 이야기는 상처의 다른 이름이다. 이 작품이 남기는 이미지는 어떤 방식으로든 기억에 새겨진다.</t>
  </si>
  <si>
    <t>드라마 형식 속에서, 할리우드적 스펙터클 너머, 2021년의 시선으로 담아낸 드라마의 이야기. 모든 이야기는 상처의 다른 이름이다. 삶은 언제나 해석을 기다리는 텍스트다. 이 작품이 남기는 이미지는 어떤 방식으로든 기억에 새겨진다.</t>
  </si>
  <si>
    <t>13화</t>
  </si>
  <si>
    <t>감독: Drake Doremus
주연: 니콜라스 홀트, 라이아 코스타, 대니 휴스턴</t>
  </si>
  <si>
    <t>할리우드적 스펙터클 너머, 2017년의 시선으로 담아낸 로맨스의 이야기. 사랑은 자아의 경계가 흔들리는 순간에 찾아온다. 그리움이란 부재를 통해 존재를 확인하는 방식이다. 이 작품이 남기는 질문은 쉽게 사라지지 않는다.</t>
  </si>
  <si>
    <t>감독: 폴 그린그래스
주연: 톰 행크스, 헬레나 쳉겔, Michael Angelo Covino</t>
  </si>
  <si>
    <t>할리우드적 스펙터클 너머, 2020년의 시선으로 담아낸 드라마의 이야기. 모든 이야기는 상처의 다른 이름이다. 인간의 고통이란 결국 타인과의 거리에서 비롯된다. 시간이 지날수록 더 깊이 읽히는 영화다.</t>
  </si>
  <si>
    <t>감독: 애런 소킨
주연: 제프 다니엘스, 에밀리 모티머, 존 갤러거 주니어</t>
  </si>
  <si>
    <t>드라마 형식 속에서, 할리우드적 스펙터클 너머, 2012년의 시선으로 담아낸 드라마의 이야기. 인간의 고통이란 결국 타인과의 거리에서 비롯된다. 모든 이야기는 상처의 다른 이름이다. 이 작품이 남기는 이미지는 어떤 방식으로든 기억에 새겨진다.</t>
  </si>
  <si>
    <t>감독: 줄리 델피
주연: 줄리 델피, 아담 골드버그, 다니엘 브륄</t>
  </si>
  <si>
    <t>독일 특유의 사유의 무게를 지니며, 2007년의 시선으로 담아낸 로맨스의 이야기. 두 사람 사이의 침묵은 때로 말보다 더 많은 것을 말한다. 그리움이란 부재를 통해 존재를 확인하는 방식이다. 완벽하지 않아도, 그 불완전함이 오히려 인간적이다.</t>
  </si>
  <si>
    <t>감독: Yvan Attal, 브렛 래트너, Randall Balsmeyer, Allen Hughes, 강문, Joshua Marston, 세자르 카푸르, 파티 아킨, 미라 네어, 이와이 슌지, 나탈리 포트만
주연: 나탈리 포트만, 헤이든 크리스텐슨, 브래들리 쿠퍼</t>
  </si>
  <si>
    <t>할리우드적 스펙터클 너머, 2008년의 시선으로 담아낸 로맨스의 이야기. 사랑은 자아의 경계가 흔들리는 순간에 찾아온다. 설렘은 불완전한 존재가 완전함을 향해 뻗는 손길이다. 완벽하지 않아도, 그 불완전함이 오히려 인간적이다.</t>
  </si>
  <si>
    <t>감독: 조앤 첸
주연: 리처드 기어, 위노나 라이더, Anthony LaPaglia</t>
  </si>
  <si>
    <t>할리우드적 스펙터클 너머, 2000년의 시선으로 담아낸 로맨스의 이야기. 사랑은 자아의 경계가 흔들리는 순간에 찾아온다. 설렘은 불완전한 존재가 완전함을 향해 뻗는 손길이다. 완벽하지 않아도, 그 불완전함이 오히려 인간적이다.</t>
  </si>
  <si>
    <t>감독: 게리 마셜
주연: 힐러리 스웽크, 로버트 드 니로, 미셸 파이퍼</t>
  </si>
  <si>
    <t>할리우드적 스펙터클 너머, 2011년의 시선으로 담아낸 코미디의 이야기. 유머 속에는 세계의 부조리를 견뎌내는 지혜가 담겨 있다. 웃음은 고통을 소화하는 인간만의 방식이다. 한 번쯤 들여다볼 가치가 있는 이야기다.</t>
  </si>
  <si>
    <t>감독: 케빈 코스트너
주연: 케빈 코스트너, 메리 맥도널, 그레이엄 그린</t>
  </si>
  <si>
    <t>서부, 드라마</t>
  </si>
  <si>
    <t>181분</t>
  </si>
  <si>
    <t>할리우드적 스펙터클 너머, 1990년의 시선으로 담아낸 드라마의 이야기. 모든 이야기는 상처의 다른 이름이다. 인간의 고통이란 결국 타인과의 거리에서 비롯된다. 오랫동안 여운이 남는 작품이다.</t>
  </si>
  <si>
    <t>감독: 제레미 솔니에
주연: 제프리 라이트, 알렉산더 스카스가드, 제임스 뱃지 데일</t>
  </si>
  <si>
    <t>할리우드적 스펙터클 너머, 2018년의 시선으로 담아낸 스릴러의 이야기. 공포는 우리가 통제할 수 없는 것들에 대한 솔직한 고백이다. 불안이란 현실이 균열을 드러내는 순간에 스며든다. 완성도와 별개로, 이 작품이 던지려 한 질문은 유효하다.</t>
  </si>
  <si>
    <t>감독: Moon Hee-yoong
주연: Park Min-sang, 박상면, Choon Ja</t>
  </si>
  <si>
    <t>한국 특유의 정서가 켜켜이 쌓인 듯, 2014년의 시선으로 담아낸 드라마의 이야기. 삶은 언제나 해석을 기다리는 텍스트다. 인간의 고통이란 결국 타인과의 거리에서 비롯된다. 시간이 지날수록 더 깊이 읽히는 영화다.</t>
  </si>
  <si>
    <t>감독: 김지훈
주연: 설경구, 천우희, 문소리</t>
  </si>
  <si>
    <t>한국 특유의 정서가 켜켜이 쌓인 듯, 2022년의 시선으로 담아낸 드라마의 이야기. 우리는 각자의 서사 안에 갇혀 서로를 오해한다. 모든 이야기는 상처의 다른 이름이다. 완벽하지 않아도, 그 불완전함이 오히려 인간적이다.</t>
  </si>
  <si>
    <t>감독: Scott Waugh
주연: 아론 폴, 도미닉 쿠퍼, 이모전 푸츠</t>
  </si>
  <si>
    <t>할리우드적 스펙터클 너머, 2014년의 시선으로 담아낸 액션의 이야기. 충돌은 세계가 변화를 요구하는 방식이다. 폭력의 언어 속에서도 인간은 존엄을 갈망한다. 이 작품이 남기는 질문은 쉽게 사라지지 않는다.</t>
  </si>
  <si>
    <t>감독: Jin Mo-young
주연: Cho Byeong-man, Kang Gye-yeol</t>
  </si>
  <si>
    <t>86분</t>
  </si>
  <si>
    <t>한국 특유의 정서가 켜켜이 쌓인 듯, 2014년의 시선으로 담아낸 다큐의 이야기. 세계를 있는 그대로 바라보는 것이 가장 용기 있는 행위다. 현실은 어떤 허구보다 더 충격적인 서사를 품고 있다. 오랫동안 여운이 남는 작품이다.</t>
  </si>
  <si>
    <t>감독: 홍원찬
주연: 황정민, 이정재, 박정민</t>
  </si>
  <si>
    <t>한국 특유의 정서가 켜켜이 쌓인 듯, 2019년의 시선으로 담아낸 범죄의 이야기. 어둠 속에서도 인간은 스스로를 정당화하려 한다. 욕망은 언제나 질서보다 먼저 존재했다. 두고두고 다시 꺼내 볼 만한 작품이다.</t>
  </si>
  <si>
    <t>감독: 新城毅彦
주연: 타마키 히로시, 미야자키 아오이, 黒木メイサ</t>
  </si>
  <si>
    <t>섬세한 일본적 감수성으로, 2007년의 시선으로 담아낸 로맨스의 이야기. 설렘은 불완전한 존재가 완전함을 향해 뻗는 손길이다. 두 사람 사이의 침묵은 때로 말보다 더 많은 것을 말한다. 이 작품이 남기는 질문은 쉽게 사라지지 않는다.</t>
  </si>
  <si>
    <t>감독: Scott McGehee, David Siegel
주연: 리처드 기어, 쥘리에트 비노쉬, Flora Cross</t>
  </si>
  <si>
    <t>할리우드적 스펙터클 너머, 2006년의 시선으로 담아낸 드라마의 이야기. 우리는 각자의 서사 안에 갇혀 서로를 오해한다. 인간의 고통이란 결국 타인과의 거리에서 비롯된다. 흠이 있지만 진심이 담긴 시도였다.</t>
  </si>
  <si>
    <t>감독: 수잔 비에르
주연: 피어스 브로스넌, Trine Dyrholm, 몰뤼 에겔린</t>
  </si>
  <si>
    <t>2013년의 시선으로 담아낸 로맨스 이야기가 우리에게 묻는다. 두 사람 사이의 침묵은 때로 말보다 더 많은 것을 말한다. 그리움이란 부재를 통해 존재를 확인하는 방식이다. 오랫동안 여운이 남는 작품이다.</t>
  </si>
  <si>
    <t>감독: 존 패트릭 샌리
주연: 메릴 스트립, 필립 세이모어 호프만, 에이미 아담스</t>
  </si>
  <si>
    <t>할리우드적 스펙터클 너머, 2008년의 시선으로 담아낸 드라마의 이야기. 모든 이야기는 상처의 다른 이름이다. 인간의 고통이란 결국 타인과의 거리에서 비롯된다. 오랫동안 여운이 남는 작품이다.</t>
  </si>
  <si>
    <t>감독: 알렉산더 페인
주연: 맷 데이먼, 크리스토프 발츠, 홍 차우</t>
  </si>
  <si>
    <t>할리우드적 스펙터클 너머, 2017년의 시선으로 담아낸 드라마의 이야기. 인간의 고통이란 결국 타인과의 거리에서 비롯된다. 모든 이야기는 상처의 다른 이름이다. 완성도와 별개로, 이 작품이 던지려 한 질문은 유효하다.</t>
  </si>
  <si>
    <t>감독: Michael Engler
주연: 휴 보네빌, 로라 카마이클, 짐 카터</t>
  </si>
  <si>
    <t>영국적 절제와 냉소 사이에서, 2019년의 시선으로 담아낸 드라마의 이야기. 인간의 고통이란 결국 타인과의 거리에서 비롯된다. 삶은 언제나 해석을 기다리는 텍스트다. 흠이 있지만 진심이 담긴 시도였다.</t>
  </si>
  <si>
    <t>감독: 짐 래시, 냇 팩슨
주연: 줄리아 루이스 드레이퍼스, 윌 페럴, 잭 우즈</t>
  </si>
  <si>
    <t>할리우드적 스펙터클 너머, 2020년의 시선으로 담아낸 코미디의 이야기. 유머 속에는 세계의 부조리를 견뎌내는 지혜가 담겨 있다. 웃음은 고통을 소화하는 인간만의 방식이다. 평점이 담지 못하는 무언가가 이 영화에는 있다.</t>
  </si>
  <si>
    <t>감독: Jeremy Sims
주연: Michael Caton, 재키 위버, Emma Hamilton</t>
  </si>
  <si>
    <t>2015년의 시선으로 담아낸 드라마 이야기가 우리에게 묻는다. 모든 이야기는 상처의 다른 이름이다. 인간의 고통이란 결국 타인과의 거리에서 비롯된다. 오랫동안 여운이 남는 작품이다.</t>
  </si>
  <si>
    <t>감독: 닐 버거
주연: 쉐일린 우들리, 테오 제임스, 조이 크래비츠</t>
  </si>
  <si>
    <t>SF, 액션</t>
  </si>
  <si>
    <t>할리우드적 스펙터클 너머, 2014년의 시선으로 담아낸 SF의 이야기. 미래를 상상하는 것은 현재를 비판하는 가장 우회적인 방법이다. 타자와의 만남은 언제나 자아의 재발견으로 이어진다. 이 작품이 남기는 질문은 쉽게 사라지지 않는다.</t>
  </si>
  <si>
    <t>감독: Maximilian Erlenwein
주연: Louisa Krause, Sophie Lowe, Stella Uhrig</t>
  </si>
  <si>
    <t>독일 특유의 사유의 무게를 지니며, 2023년의 시선으로 담아낸 스릴러의 이야기. 불안이란 현실이 균열을 드러내는 순간에 스며든다. 긴장은 존재가 위협받을 때 가장 선명하게 빛난다. 한 번쯤 들여다볼 가치가 있는 이야기다.</t>
  </si>
  <si>
    <t>감독: Oliver Hirschbiegel
주연: 나오미 왓츠, Naveen Andrews, Charles Edwards</t>
  </si>
  <si>
    <t>영국적 절제와 냉소 사이에서, 2013년의 시선으로 담아낸 드라마의 이야기. 우리는 각자의 서사 안에 갇혀 서로를 오해한다. 모든 이야기는 상처의 다른 이름이다. 한 번쯤 들여다볼 가치가 있는 이야기다.</t>
  </si>
  <si>
    <t>감독: John Moore
주연: 브루스 윌리스, 제이 코트니, Sebastian Koch</t>
  </si>
  <si>
    <t>할리우드적 스펙터클 너머, 2013년의 시선으로 담아낸 액션의 이야기. 충돌은 세계가 변화를 요구하는 방식이다. 육체의 한계에 도전하는 것은 곧 자아의 경계를 시험하는 일이다. 한 번쯤 들여다볼 가치가 있는 이야기다.</t>
  </si>
  <si>
    <t>감독: 폴 슈레이더
주연: 니콜라스 케이지, 안톤 옐친, Alexander Karim</t>
  </si>
  <si>
    <t>할리우드적 스펙터클 너머, 2014년의 시선으로 담아낸 스릴러의 이야기. 공포는 우리가 통제할 수 없는 것들에 대한 솔직한 고백이다. 진실은 언제나 우리가 감당할 수 없는 형태로 찾아온다. 완성도와 별개로, 이 작품이 던지려 한 질문은 유효하다.</t>
  </si>
  <si>
    <t>감독: 크리스토퍼 놀란
주연: 크리스찬 베일, 게리 올드만, 톰 하디</t>
  </si>
  <si>
    <t>164분</t>
  </si>
  <si>
    <t>할리우드적 스펙터클 너머, 2012년의 시선으로 담아낸 액션의 이야기. 생존의 욕망은 가장 원초적인 철학적 질문을 던진다. 충돌은 세계가 변화를 요구하는 방식이다. 이 작품이 남기는 질문은 쉽게 사라지지 않는다.</t>
  </si>
  <si>
    <t>감독: 토드 헤인즈
주연: 마크 러팔로, 앤 해서웨이, 팀 로빈스</t>
  </si>
  <si>
    <t>할리우드적 스펙터클 너머, 2019년의 시선으로 담아낸 드라마의 이야기. 인간의 고통이란 결국 타인과의 거리에서 비롯된다. 삶은 언제나 해석을 기다리는 텍스트다. 오랫동안 여운이 남는 작품이다.</t>
  </si>
  <si>
    <t>감독: David Hunt
주연: Chris Cleveland, 매튜 앨런, Mark Hayter</t>
  </si>
  <si>
    <t>할리우드적 스펙터클 너머, 2019년의 시선으로 담아낸 공포의 이야기. 공포란 이성이 침묵하는 순간 존재가 맞닥뜨리는 날것의 경험이다. 어둠은 우리 내면의 억압된 것들이 귀환하는 문이다. 거칠지만 그 안에서도 인간의 흔적은 남는다.</t>
  </si>
  <si>
    <t>감독: 질스 파겟-브레너
주연: 샤를리즈 테론, 니콜라스 홀트, 클로이 그레이스 모레츠</t>
  </si>
  <si>
    <t>할리우드적 스펙터클 너머, 2015년의 시선으로 담아낸 스릴러의 이야기. 긴장은 존재가 위협받을 때 가장 선명하게 빛난다. 불안이란 현실이 균열을 드러내는 순간에 스며든다. 나름의 울림을 간직한 작품이다.</t>
  </si>
  <si>
    <t>감독: Nikolaj Arcel
주연: 이드리스 엘바, 매튜 매커너히, Tom Taylor</t>
  </si>
  <si>
    <t>할리우드적 스펙터클 너머, 2017년의 시선으로 담아낸 판타지의 이야기. 마법이란 설명되지 않는 것들에 대한 경외의 다른 이름이다. 영웅의 여정은 결국 자기 자신으로 돌아오는 길이다. 흠이 있지만 진심이 담긴 시도였다.</t>
  </si>
  <si>
    <t>감독: 조 라이트
주연: 게리 올드만, 스테판 딜런, 릴리 제임스</t>
  </si>
  <si>
    <t>영국적 절제와 냉소 사이에서, 2017년의 시선으로 담아낸 드라마의 이야기. 우리는 각자의 서사 안에 갇혀 서로를 오해한다. 인간의 고통이란 결국 타인과의 거리에서 비롯된다. 두고두고 다시 꺼내 볼 만한 작품이다.</t>
  </si>
  <si>
    <t>감독: 마이크 플래너건
주연: 이완 맥그리거, 레베카 퍼거슨, Kyliegh Curran</t>
  </si>
  <si>
    <t>152분</t>
  </si>
  <si>
    <t>할리우드적 스펙터클 너머, 2019년의 시선으로 담아낸 공포의 이야기. 어둠은 우리 내면의 억압된 것들이 귀환하는 문이다. 공포란 이성이 침묵하는 순간 존재가 맞닥뜨리는 날것의 경험이다. 시간이 지날수록 더 깊이 읽히는 영화다.</t>
  </si>
  <si>
    <t>감독: Mike Bartlett
주연: Suranne Jones, 버티 카벨, Clare-Hope Ashitey</t>
  </si>
  <si>
    <t>5화</t>
  </si>
  <si>
    <t>드라마 형식 속에서, 영국적 절제와 냉소 사이에서, 2015년의 시선으로 담아낸 드라마의 이야기. 우리는 각자의 서사 안에 갇혀 서로를 오해한다. 모든 이야기는 상처의 다른 이름이다. 평점이 담지 못하는 무언가가 이 영화에는 있다.</t>
  </si>
  <si>
    <t>드라마 형식 속에서, 영국적 절제와 냉소 사이에서, 2017년의 시선으로 담아낸 드라마의 이야기. 모든 이야기는 상처의 다른 이름이다. 우리는 각자의 서사 안에 갇혀 서로를 오해한다. 평점이 담지 못하는 무언가가 이 영화에는 있다.</t>
  </si>
  <si>
    <t>감독: Jon Gunn
주연: 미라 소비노, 배리 페퍼, 콜 하우저</t>
  </si>
  <si>
    <t>할리우드적 스펙터클 너머, 2009년의 시선으로 담아낸 드라마의 이야기. 모든 이야기는 상처의 다른 이름이다. 삶은 언제나 해석을 기다리는 텍스트다. 이 작품이 남기는 질문은 쉽게 사라지지 않는다.</t>
  </si>
  <si>
    <t>감독: 자비에 돌란
주연: 가스파르 울리엘, 나탈리 베이, 뱅상 카셀</t>
  </si>
  <si>
    <t>2016년의 시선으로 담아낸 드라마 이야기가 우리에게 묻는다. 인간의 고통이란 결국 타인과의 거리에서 비롯된다. 삶은 언제나 해석을 기다리는 텍스트다. 완벽하지 않아도, 그 불완전함이 오히려 인간적이다.</t>
  </si>
  <si>
    <t>감독: 장 마크 발레
주연: 매튜 매커너히, 제니퍼 가너, 자레드 레토</t>
  </si>
  <si>
    <t>할리우드적 스펙터클 너머, 2013년의 시선으로 담아낸 드라마의 이야기. 우리는 각자의 서사 안에 갇혀 서로를 오해한다. 모든 이야기는 상처의 다른 이름이다. 이 작품이 남기는 질문은 쉽게 사라지지 않는다.</t>
  </si>
  <si>
    <t>감독: Birgitte Stærmose
주연: Danica Ćurčić, 구스타프 스카르스고르드, Astrid Grarup Elbo</t>
  </si>
  <si>
    <t>영국적 절제와 냉소 사이에서, 2017년의 시선으로 담아낸 드라마의 이야기. 인간의 고통이란 결국 타인과의 거리에서 비롯된다. 모든 이야기는 상처의 다른 이름이다. 이 작품이 남기는 질문은 쉽게 사라지지 않는다.</t>
  </si>
  <si>
    <t>감독: 廣木隆一
주연: 오오이즈미 요, 아리무라 카스미, 메구로 렌</t>
  </si>
  <si>
    <t>섬세한 일본적 감수성으로, 2022년의 시선으로 담아낸 드라마의 이야기. 우리는 각자의 서사 안에 갇혀 서로를 오해한다. 인간의 고통이란 결국 타인과의 거리에서 비롯된다. 한 번쯤 들여다볼 가치가 있는 이야기다.</t>
  </si>
  <si>
    <t>감독: Son Jae-gon
주연: 박용우, 최강희, 조은지</t>
  </si>
  <si>
    <t>한국 특유의 정서가 켜켜이 쌓인 듯, 2006년의 시선으로 담아낸 코미디의 이야기. 가볍게 웃는 순간에도 삶의 무게는 그 그림자를 드리운다. 우스운 것과 슬픈 것은 본래 같은 뿌리에서 자란다. 두고두고 다시 꺼내 볼 만한 작품이다.</t>
  </si>
  <si>
    <t>감독: Kang Dae-gyu
주연: 성동일, 박소이, 김희원</t>
  </si>
  <si>
    <t>한국 특유의 정서가 켜켜이 쌓인 듯, 2020년의 시선으로 담아낸 드라마의 이야기. 우리는 각자의 서사 안에 갇혀 서로를 오해한다. 인간의 고통이란 결국 타인과의 거리에서 비롯된다. 오랫동안 여운이 남는 작품이다.</t>
  </si>
  <si>
    <t>감독: Nitesh Tiwari
주연: 아미르 칸, Fatima Sana Shaikh, Sanya Malhotra</t>
  </si>
  <si>
    <t>161분</t>
  </si>
  <si>
    <t>2016년의 시선으로 담아낸 드라마 이야기가 우리에게 묻는다. 우리는 각자의 서사 안에 갇혀 서로를 오해한다. 삶은 언제나 해석을 기다리는 텍스트다. 두고두고 다시 꺼내 볼 만한 작품이다.</t>
  </si>
  <si>
    <t>감독: 홍지영
주연: 김윤석, 변요한, 채서진</t>
  </si>
  <si>
    <t>한국 특유의 정서가 켜켜이 쌓인 듯, 2016년의 시선으로 담아낸 드라마의 이야기. 모든 이야기는 상처의 다른 이름이다. 인간의 고통이란 결국 타인과의 거리에서 비롯된다. 시간이 지날수록 더 깊이 읽히는 영화다.</t>
  </si>
  <si>
    <t>주연: Andy Stanley</t>
  </si>
  <si>
    <t>감독: 라세 할스트룀
주연: 아만다 사이프리드, 채닝 테이텀, 리처드 젠킨스</t>
  </si>
  <si>
    <t>섬세한 일본적 감수성으로, 2012년의 시선으로 담아낸 드라마의 이야기. 삶은 언제나 해석을 기다리는 텍스트다. 모든 이야기는 상처의 다른 이름이다. 흠이 있지만 진심이 담긴 시도였다.</t>
  </si>
  <si>
    <t>감독: Gabriele Muccino
주연: 제라드 버틀러, 제시카 비엘, 우마 서먼</t>
  </si>
  <si>
    <t>섬세한 일본적 감수성으로, 2013년의 시선으로 담아낸 로맨스의 이야기. 사랑은 자아의 경계가 흔들리는 순간에 찾아온다. 그리움이란 부재를 통해 존재를 확인하는 방식이다. 흠이 있지만 진심이 담긴 시도였다.</t>
  </si>
  <si>
    <t>감독: Philippe Claudel
주연: 크리스틴 스콧 토머스, Elsa Zylberstein, Serge Hazanavicius</t>
  </si>
  <si>
    <t>프랑스 영화 특유의 철학적 깊이로, 2008년의 시선으로 담아낸 드라마의 이야기. 모든 이야기는 상처의 다른 이름이다. 삶은 언제나 해석을 기다리는 텍스트다. 두고두고 다시 꺼내 볼 만한 작품이다.</t>
  </si>
  <si>
    <t>감독: Paul McGuigan
주연: 조쉬 하트넷, 로즈 번, 매튜 릴라드</t>
  </si>
  <si>
    <t>할리우드적 스펙터클 너머, 2005년의 시선으로 담아낸 드라마의 이야기. 인간의 고통이란 결국 타인과의 거리에서 비롯된다. 모든 이야기는 상처의 다른 이름이다. 이 작품이 남기는 질문은 쉽게 사라지지 않는다.</t>
  </si>
  <si>
    <t>감독: 댄 포글먼
주연: 알 파치노, 아네트 베닝, 크리스토퍼 플러머</t>
  </si>
  <si>
    <t>할리우드적 스펙터클 너머, 2015년의 시선으로 담아낸 드라마의 이야기. 인간의 고통이란 결국 타인과의 거리에서 비롯된다. 우리는 각자의 서사 안에 갇혀 서로를 오해한다. 오랫동안 여운이 남는 작품이다.</t>
  </si>
  <si>
    <t>감독: 톰 후퍼
주연: 에디 레드메인, 알리시아 비칸데르, 마티아스 스후나르츠</t>
  </si>
  <si>
    <t>영국적 절제와 냉소 사이에서, 2015년의 시선으로 담아낸 드라마의 이야기. 우리는 각자의 서사 안에 갇혀 서로를 오해한다. 모든 이야기는 상처의 다른 이름이다. 시간이 지날수록 더 깊이 읽히는 영화다.</t>
  </si>
  <si>
    <t>감독: 양야체
주연: 혜영홍, 吳可熙, 文淇</t>
  </si>
  <si>
    <t>2017년의 시선으로 담아낸 드라마 이야기가 우리에게 묻는다. 모든 이야기는 상처의 다른 이름이다. 우리는 각자의 서사 안에 갇혀 서로를 오해한다. 평점이 담지 못하는 무언가가 이 영화에는 있다.</t>
  </si>
  <si>
    <t>감독: 정윤철
주연: 이정재, 여진구, 김무열</t>
  </si>
  <si>
    <t>한국 특유의 정서가 켜켜이 쌓인 듯, 2017년의 시선으로 담아낸 코미디의 이야기. 가볍게 웃는 순간에도 삶의 무게는 그 그림자를 드리운다. 웃음은 고통을 소화하는 인간만의 방식이다. 완벽하지 않아도, 그 불완전함이 오히려 인간적이다.</t>
  </si>
  <si>
    <t>감독: Lee Han-jong
주연: 박성웅, 양현민, 류경수</t>
  </si>
  <si>
    <t>한국 특유의 정서가 켜켜이 쌓인 듯, 2022년의 시선으로 담아낸 드라마의 이야기. 삶은 언제나 해석을 기다리는 텍스트다. 인간의 고통이란 결국 타인과의 거리에서 비롯된다. 한 번쯤 들여다볼 가치가 있는 이야기다.</t>
  </si>
  <si>
    <t>감독: Seok Min-u
주연: 오달수, 윤제문, 이경영</t>
  </si>
  <si>
    <t>한국 특유의 정서가 켜켜이 쌓인 듯, 2015년의 시선으로 담아낸 드라마의 이야기. 삶은 언제나 해석을 기다리는 텍스트다. 인간의 고통이란 결국 타인과의 거리에서 비롯된다. 완벽하지 않아도, 그 불완전함이 오히려 인간적이다.</t>
  </si>
  <si>
    <t>감독: 프랜시스 포드 코폴라
주연: 말론 브란도, 알 파치노, 제임스 칸</t>
  </si>
  <si>
    <t>175분</t>
  </si>
  <si>
    <t>할리우드적 스펙터클 너머, 1972년의 시선으로 담아낸 드라마의 이야기. 삶은 언제나 해석을 기다리는 텍스트다. 인간의 고통이란 결국 타인과의 거리에서 비롯된다. 시간이 지날수록 더 깊이 읽히는 영화다.</t>
  </si>
  <si>
    <t>감독: 프랜시스 포드 코폴라
주연: 알 파치노, 로버트 듀발, 다이앤 키튼</t>
  </si>
  <si>
    <t>200분</t>
  </si>
  <si>
    <t>할리우드적 스펙터클 너머, 1974년의 시선으로 담아낸 드라마의 이야기. 모든 이야기는 상처의 다른 이름이다. 우리는 각자의 서사 안에 갇혀 서로를 오해한다. 시간이 지날수록 더 깊이 읽히는 영화다.</t>
  </si>
  <si>
    <t>감독: 프랜시스 포드 코폴라
주연: 알 파치노, 다이앤 키튼, 탈리아 샤이어</t>
  </si>
  <si>
    <t>162분</t>
  </si>
  <si>
    <t>할리우드적 스펙터클 너머, 1990년의 시선으로 담아낸 드라마의 이야기. 인간의 고통이란 결국 타인과의 거리에서 비롯된다. 삶은 언제나 해석을 기다리는 텍스트다. 이 작품이 남기는 질문은 쉽게 사라지지 않는다.</t>
  </si>
  <si>
    <t>감독: 왕정
주연: 주윤발, 황효명, 홍금보</t>
  </si>
  <si>
    <t>광활한 대지의 이야기를 담아, 2012년의 시선으로 담아낸 드라마의 이야기. 삶은 언제나 해석을 기다리는 텍스트다. 모든 이야기는 상처의 다른 이름이다. 두고두고 다시 꺼내 볼 만한 작품이다.</t>
  </si>
  <si>
    <t>감독: Li Jun
주연: 이정재, 종한량, 郎月婷</t>
  </si>
  <si>
    <t>한국 특유의 정서가 켜켜이 쌓인 듯, 2016년의 시선으로 담아낸 코미디의 이야기. 유머 속에는 세계의 부조리를 견뎌내는 지혜가 담겨 있다. 웃음은 고통을 소화하는 인간만의 방식이다. 두고두고 다시 꺼내 볼 만한 작품이다.</t>
  </si>
  <si>
    <t>감독: Lee Won-tae
주연: 조진웅, 이성민, 김무열</t>
  </si>
  <si>
    <t>한국 특유의 정서가 켜켜이 쌓인 듯, 2023년의 시선으로 담아낸 드라마의 이야기. 우리는 각자의 서사 안에 갇혀 서로를 오해한다. 인간의 고통이란 결국 타인과의 거리에서 비롯된다. 흠이 있지만 진심이 담긴 시도였다.</t>
  </si>
  <si>
    <t>감독: Lee Won-tae
주연: 조진웅, 송승헌, 정만식</t>
  </si>
  <si>
    <t>한국 특유의 정서가 켜켜이 쌓인 듯, 2017년의 시선으로 담아낸 드라마의 이야기. 삶은 언제나 해석을 기다리는 텍스트다. 우리는 각자의 서사 안에 갇혀 서로를 오해한다. 이 작품이 남기는 질문은 쉽게 사라지지 않는다.</t>
  </si>
  <si>
    <t>감독: Stephanie Laing
주연: 구구 음바타로, 미힐 하위스만, 스티브 쿠건</t>
  </si>
  <si>
    <t>할리우드적 스펙터클 너머, 2018년의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</si>
  <si>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萧锋
주연: 류엽, 브루스 윌리스, 에이드리언 브로디</t>
  </si>
  <si>
    <t>전쟁</t>
  </si>
  <si>
    <t>광활한 대지의 이야기를 담아, 2018년의 시선으로 담아낸 전쟁의 이야기. 총성은 멈추어도 그 상처는 세대를 넘어 흐른다. 전쟁은 인간의 이성이 멈추는 지점에서 시작된다. 거칠지만 그 안에서도 인간의 흔적은 남는다.</t>
  </si>
  <si>
    <t>감독: 로만 폴란스키
주연: 조디 포스터, 케이트 윈슬렛, 크리스토프 발츠</t>
  </si>
  <si>
    <t>79분</t>
  </si>
  <si>
    <t>프랑스 영화 특유의 철학적 깊이로, 2011년의 시선으로 담아낸 드라마의 이야기. 인간의 고통이란 결국 타인과의 거리에서 비롯된다. 우리는 각자의 서사 안에 갇혀 서로를 오해한다. 한 번쯤 들여다볼 가치가 있는 이야기다.</t>
  </si>
  <si>
    <t>감독: 박훈정
주연: 최민식, 정만식, 김상호</t>
  </si>
  <si>
    <t>한국 특유의 정서가 켜켜이 쌓인 듯, 2015년의 시선으로 담아낸 사극의 이야기. 시대의 억압 속에서도 인간의 욕망과 존엄은 꺾이지 않는다. 역사의 무게는 개인의 삶을 짓누르지만, 그 안에서도 빛이 있다. 두고두고 다시 꺼내 볼 만한 작품이다.</t>
  </si>
  <si>
    <t>감독: 김병우
주연: 김다미, 박해수, 권은성</t>
  </si>
  <si>
    <t>재난</t>
  </si>
  <si>
    <t>한국 특유의 정서가 켜켜이 쌓인 듯, 2025년의 시선으로 담아낸 재난의 이야기. 우리는 스크린 앞에 앉아 타인의 삶을 통해 우리 자신을 본다. 이 작품은 단순한 오락을 넘어 삶의 어떤 단면을 응시하게 한다. 거칠지만 그 안에서도 인간의 흔적은 남는다.</t>
  </si>
  <si>
    <t>감독: Peter Hedges
주연: 스티브 카렐, 쥘리에트 비노쉬, Dane Cook</t>
  </si>
  <si>
    <t>할리우드적 스펙터클 너머, 2007년의 시선으로 담아낸 코미디의 이야기. 가볍게 웃는 순간에도 삶의 무게는 그 그림자를 드리운다. 우스운 것과 슬픈 것은 본래 같은 뿌리에서 자란다. 두고두고 다시 꺼내 볼 만한 작품이다.</t>
  </si>
  <si>
    <t>감독: 이석훈
주연: 엄정화, 황정민, 이한위</t>
  </si>
  <si>
    <t>한국 특유의 정서가 켜켜이 쌓인 듯, 2012년의 시선으로 담아낸 코미디의 이야기. 유머 속에는 세계의 부조리를 견뎌내는 지혜가 담겨 있다. 우스운 것과 슬픈 것은 본래 같은 뿌리에서 자란다. 시간이 지날수록 더 깊이 읽히는 영화다.</t>
  </si>
  <si>
    <t>감독: Kriv Stenders
주연: 트래비스 피멀, 루크 브레이시, 대니얼 웨버</t>
  </si>
  <si>
    <t>2019년의 시선으로 담아낸 전쟁 이야기가 우리에게 묻는다. 폐허 속에서도 존엄을 지키려는 의지가 역사를 만든다. 전쟁을 기억하는 것은 반복하지 않기 위한 고통스러운 의무다. 나름의 울림을 간직한 작품이다.</t>
  </si>
  <si>
    <t>감독: 안국진
주연: 손석구, 김동휘, 김성철</t>
  </si>
  <si>
    <t>감독: Michael Pavone
주연: Chase Ellison, 에드 해리스, 몰리 파커</t>
  </si>
  <si>
    <t>할리우드적 스펙터클 너머, 2011년의 시선으로 담아낸 드라마의 이야기. 모든 이야기는 상처의 다른 이름이다. 인간의 고통이란 결국 타인과의 거리에서 비롯된다. 나름의 울림을 간직한 작품이다.</t>
  </si>
  <si>
    <t>감독: Pierre Morel
주연: 숀 펜, 자스민 트린카, 하비에르 바르뎀</t>
  </si>
  <si>
    <t>할리우드적 스펙터클 너머, 2015년의 시선으로 담아낸 액션의 이야기. 생존의 욕망은 가장 원초적인 철학적 질문을 던진다. 폭력의 언어 속에서도 인간은 존엄을 갈망한다. 나름의 울림을 간직한 작품이다.</t>
  </si>
  <si>
    <t>감독: Michael Morrissey
주연: Lexi Johnson, 추쿠디 이우지, Kaye Tuckerman</t>
  </si>
  <si>
    <t>할리우드적 스펙터클 너머, 2022년의 시선으로 담아낸 스릴러의 이야기. 진실은 언제나 우리가 감당할 수 없는 형태로 찾아온다. 공포는 우리가 통제할 수 없는 것들에 대한 솔직한 고백이다. 평점이 담지 못하는 무언가가 이 영화에는 있다.</t>
  </si>
  <si>
    <t>감독: 데이비드 핀처
주연: 마이클 더글라스, 숀 펜, Deborah Kara Unger</t>
  </si>
  <si>
    <t>할리우드적 스펙터클 너머, 1997년의 시선으로 담아낸 스릴러의 이야기. 진실은 언제나 우리가 감당할 수 없는 형태로 찾아온다. 공포는 우리가 통제할 수 없는 것들에 대한 솔직한 고백이다. 한 번쯤 들여다볼 가치가 있는 이야기다.</t>
  </si>
  <si>
    <t>감독: 존 크로울리
주연: 안셀 엘고트, 오크스 페글리, 니콜 키드먼</t>
  </si>
  <si>
    <t>할리우드적 스펙터클 너머, 2019년의 시선으로 담아낸 드라마의 이야기. 우리는 각자의 서사 안에 갇혀 서로를 오해한다. 삶은 언제나 해석을 기다리는 텍스트다. 흠이 있지만 진심이 담긴 시도였다.</t>
  </si>
  <si>
    <t>감독: 조 카나한
주연: 리암 니슨, 더멋 멀로니, 프랭크 그릴로</t>
  </si>
  <si>
    <t>할리우드적 스펙터클 너머, 2012년의 시선으로 담아낸 스릴러의 이야기. 불안이란 현실이 균열을 드러내는 순간에 스며든다. 공포는 우리가 통제할 수 없는 것들에 대한 솔직한 고백이다. 한 번쯤 들여다볼 가치가 있는 이야기다.</t>
  </si>
  <si>
    <t>감독: Vijay Krishna Acharya
주연: 아미르 칸, 아비셱 바찬, Katrina Kaif</t>
  </si>
  <si>
    <t>171분</t>
  </si>
  <si>
    <t>2013년의 시선으로 담아낸 드라마 이야기가 우리에게 묻는다. 모든 이야기는 상처의 다른 이름이다. 삶은 언제나 해석을 기다리는 텍스트다. 완벽하지 않아도, 그 불완전함이 오히려 인간적이다.</t>
  </si>
  <si>
    <t>감독: 김은숙, 안길호
주연: 송혜교, 이도현, 임지연</t>
  </si>
  <si>
    <t>드라마 형식 속에서, 한국 특유의 정서가 켜켜이 쌓인 듯, 2022년의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</si>
  <si>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Phillip Noyce
주연: 제프 브리지스, 메릴 스트립, 브렌튼 스웨이츠</t>
  </si>
  <si>
    <t>할리우드적 스펙터클 너머, 2014년의 시선으로 담아낸 SF의 이야기. 미래를 상상하는 것은 현재를 비판하는 가장 우회적인 방법이다. 우주의 광대함 앞에서 인간의 질문은 더욱 깊어진다. 한 번쯤 들여다볼 가치가 있는 이야기다.</t>
  </si>
  <si>
    <t>감독: 조엘 에저튼
주연: 조엘 에저튼, 레베카 홀, 제이슨 베이트먼</t>
  </si>
  <si>
    <t>할리우드적 스펙터클 너머, 2015년의 시선으로 담아낸 스릴러의 이야기. 공포는 우리가 통제할 수 없는 것들에 대한 솔직한 고백이다. 불안이란 현실이 균열을 드러내는 순간에 스며든다. 완벽하지 않아도, 그 불완전함이 오히려 인간적이다.</t>
  </si>
  <si>
    <t>감독: David Farr
주연: 톰 히들스턴, 휴 로리, 디에고 칼바</t>
  </si>
  <si>
    <t>드라마 형식 속에서, 영국적 절제와 냉소 사이에서, 2016년의 시선으로 담아낸 드라마의 이야기. 삶은 언제나 해석을 기다리는 텍스트다. 인간의 고통이란 결국 타인과의 거리에서 비롯된다. 이 작품이 남기는 이미지는 어떤 방식으로든 기억에 새겨진다.</t>
  </si>
  <si>
    <t>감독: 라이언 머피
주연: 마크 러팔로, 맷 보머, Taylor Kitsch</t>
  </si>
  <si>
    <t>할리우드적 스펙터클 너머, 2014년의 시선으로 담아낸 드라마의 이야기. 인간의 고통이란 결국 타인과의 거리에서 비롯된다. 모든 이야기는 상처의 다른 이름이다. 흠이 있지만 진심이 담긴 시도였다.</t>
  </si>
  <si>
    <t>감독: Todd A. Kessler
주연: 벤 멘델슨, 쥘리에트 비노쉬, 메이지 윌리엄스</t>
  </si>
  <si>
    <t>드라마 형식 속에서, 할리우드적 스펙터클 너머, 2024년의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</si>
  <si>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기타무라 류헤이
주연: 루비 로즈, 장 르노, 악셀 헨니</t>
  </si>
  <si>
    <t>할리우드적 스펙터클 너머, 2020년의 시선으로 담아낸 액션의 이야기. 육체의 한계에 도전하는 것은 곧 자아의 경계를 시험하는 일이다. 폭력의 언어 속에서도 인간은 존엄을 갈망한다. 흠이 있지만 진심이 담긴 시도였다.</t>
  </si>
  <si>
    <t>감독: Michaël R. Roskam
주연: 톰 하디, 누미 라파스, 제임스 갠돌피니</t>
  </si>
  <si>
    <t>할리우드적 스펙터클 너머, 2014년의 시선으로 담아낸 범죄의 이야기. 법과 도덕 사이의 틈새에서 인간의 본성이 노출된다. 어둠 속에서도 인간은 스스로를 정당화하려 한다. 나름의 울림을 간직한 작품이다.</t>
  </si>
  <si>
    <t>감독: Simon Stone
주연: 캐리 멀리건, 랄프 파인즈, 릴리 제임스</t>
  </si>
  <si>
    <t>영국적 절제와 냉소 사이에서, 2021년의 시선으로 담아낸 드라마의 이야기. 우리는 각자의 서사 안에 갇혀 서로를 오해한다. 삶은 언제나 해석을 기다리는 텍스트다. 시간이 지날수록 더 깊이 읽히는 영화다.</t>
  </si>
  <si>
    <t>감독: Augustine Frizzell
주연: 쉐일린 우들리, 펠리시티 존스, 칼럼 터너</t>
  </si>
  <si>
    <t>영국적 절제와 냉소 사이에서, 2021년의 시선으로 담아낸 로맨스의 이야기. 두 사람 사이의 침묵은 때로 말보다 더 많은 것을 말한다. 사랑은 자아의 경계가 흔들리는 순간에 찾아온다. 이 작품이 남기는 질문은 쉽게 사라지지 않는다.</t>
  </si>
  <si>
    <t>감독: 요르고스 란티모스
주연: 콜린 파렐, 레이첼 와이즈, 올리비아 콜먼</t>
  </si>
  <si>
    <t>2015년의 시선으로 담아낸 드라마 이야기가 우리에게 묻는다. 인간의 고통이란 결국 타인과의 거리에서 비롯된다. 모든 이야기는 상처의 다른 이름이다. 두고두고 다시 꺼내 볼 만한 작품이다.</t>
  </si>
  <si>
    <t>감독: Austin Stark
주연: 니콜라스 케이지, 사라 폴슨, 코니 닐센</t>
  </si>
  <si>
    <t>할리우드적 스펙터클 너머, 2015년의 시선으로 담아낸 드라마의 이야기. 우리는 각자의 서사 안에 갇혀 서로를 오해한다. 삶은 언제나 해석을 기다리는 텍스트다. 거칠지만 그 안에서도 인간의 흔적은 남는다.</t>
  </si>
  <si>
    <t>감독: 아자젤 제이컵스
주연: 데브라 윙거, 트레이시 레츠, 에이단 길런</t>
  </si>
  <si>
    <t>할리우드적 스펙터클 너머, 2018년의 시선으로 담아낸 로맨스의 이야기. 사랑은 자아의 경계가 흔들리는 순간에 찾아온다. 설렘은 불완전한 존재가 완전함을 향해 뻗는 손길이다. 나름의 울림을 간직한 작품이다.</t>
  </si>
  <si>
    <t>감독: Scott Hicks
주연: 잭 에프론, 테일러 쉴링, Blythe Danner</t>
  </si>
  <si>
    <t>할리우드적 스펙터클 너머, 2012년의 시선으로 담아낸 드라마의 이야기. 우리는 각자의 서사 안에 갇혀 서로를 오해한다. 인간의 고통이란 결국 타인과의 거리에서 비롯된다. 나름의 울림을 간직한 작품이다.</t>
  </si>
  <si>
    <t>감독: 대런 아로노프스키
주연: 미키 루크, 마리사 토메이, 에반 레이첼 우드</t>
  </si>
  <si>
    <t>할리우드적 스펙터클 너머, 2008년의 시선으로 담아낸 드라마의 이야기. 삶은 언제나 해석을 기다리는 텍스트다. 우리는 각자의 서사 안에 갇혀 서로를 오해한다. 시간이 지날수록 더 깊이 읽히는 영화다.</t>
  </si>
  <si>
    <t>감독: Jonathan Teplitzky
주연: 콜린 퍼스, 니콜 키드먼, 스텔란 스카스가드</t>
  </si>
  <si>
    <t>영국적 절제와 냉소 사이에서, 2013년의 시선으로 담아낸 드라마의 이야기. 삶은 언제나 해석을 기다리는 텍스트다. 모든 이야기는 상처의 다른 이름이다. 한 번쯤 들여다볼 가치가 있는 이야기다.</t>
  </si>
  <si>
    <t>감독: Howard J. Ford
주연: Brittany Ashworth, Nathan Welsh, Anaïs Parello</t>
  </si>
  <si>
    <t>할리우드적 스펙터클 너머, 2022년의 시선으로 담아낸 스릴러의 이야기. 불안이란 현실이 균열을 드러내는 순간에 스며든다. 공포는 우리가 통제할 수 없는 것들에 대한 솔직한 고백이다. 완벽하지 않아도, 그 불완전함이 오히려 인간적이다.</t>
  </si>
  <si>
    <t>감독: 瀬々敬久
주연: Ayano Moriguchi, 佐々木心音, 山田愛奈</t>
  </si>
  <si>
    <t>섬세한 일본적 감수성으로, 2017년의 시선으로 담아낸 드라마의 이야기. 모든 이야기는 상처의 다른 이름이다. 우리는 각자의 서사 안에 갇혀 서로를 오해한다. 나름의 울림을 간직한 작품이다.</t>
  </si>
  <si>
    <t>감독: 마이클 베이
주연: 숀 코너리, 니콜라스 케이지, 에드 해리스</t>
  </si>
  <si>
    <t>할리우드적 스펙터클 너머, 1996년의 시선으로 담아낸 액션의 이야기. 생존의 욕망은 가장 원초적인 철학적 질문을 던진다. 충돌은 세계가 변화를 요구하는 방식이다. 오랫동안 여운이 남는 작품이다.</t>
  </si>
  <si>
    <t>더 롱기스트 라이드</t>
  </si>
  <si>
    <t>감독: George Tillman Jr.
주연: 브릿 로버트슨, 스콧 이스트우드, 앨런 알다</t>
  </si>
  <si>
    <t>할리우드적 스펙터클 너머, 2015년의 시선으로 담아낸 로맨스의 이야기. 두 사람 사이의 침묵은 때로 말보다 더 많은 것을 말한다. 사랑은 자아의 경계가 흔들리는 순간에 찾아온다. 평점이 담지 못하는 무언가가 이 영화에는 있다.</t>
  </si>
  <si>
    <t>감독: 알렉시 홀리
주연: 네이선 필리언, Melissa O'Neil, Eric Winter</t>
  </si>
  <si>
    <t>드라마, 범죄, 액션</t>
  </si>
  <si>
    <t>20화</t>
  </si>
  <si>
    <t>드라마 형식 속에서, 할리우드적 스펙터클 너머, 2018년의 시선으로 담아낸 드라마의 이야기. 우리는 각자의 서사 안에 갇혀 서로를 오해한다. 인간의 고통이란 결국 타인과의 거리에서 비롯된다. 평점이 담지 못하는 무언가가 이 영화에는 있다.</t>
  </si>
  <si>
    <t>드라마 형식 속에서, 할리우드적 스펙터클 너머, 2019년의 시선으로 담아낸 드라마의 이야기. 우리는 각자의 서사 안에 갇혀 서로를 오해한다. 모든 이야기는 상처의 다른 이름이다. 평점이 담지 못하는 무언가가 이 영화에는 있다.</t>
  </si>
  <si>
    <t>드라마 형식 속에서, 할리우드적 스펙터클 너머, 2021년의 시선으로 담아낸 드라마의 이야기. 인간의 고통이란 결국 타인과의 거리에서 비롯된다. 모든 이야기는 상처의 다른 이름이다. 평점이 담지 못하는 무언가가 이 영화에는 있다.</t>
  </si>
  <si>
    <t>감독: Terence Paul Winter, 알렉시 홀리
주연: 니시 내쉬, 펠릭스 솔리스, James Lesure</t>
  </si>
  <si>
    <t>드라마 형식 속에서, 할리우드적 스펙터클 너머, 2022년의 시선으로 담아낸 드라마의 이야기. 삶은 언제나 해석을 기다리는 텍스트다. 인간의 고통이란 결국 타인과의 거리에서 비롯된다. 평점이 담지 못하는 무언가가 이 영화에는 있다.</t>
  </si>
  <si>
    <t>드라마 형식 속에서, 할리우드적 스펙터클 너머, 2022년의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</si>
  <si>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2023년의 시선으로 담아낸 드라마의 이야기. 삶은 언제나 해석을 기다리는 텍스트다. 인간의 고통이란 결국 타인과의 거리에서 비롯된다. 이 작품이 남기는 이미지는 어떤 방식으로든 기억에 새겨진다.</t>
  </si>
  <si>
    <t>감독: Christian Volckman
주연: 올가 쿠릴렌코, Kevin Janssens, Francis Chapman</t>
  </si>
  <si>
    <t>할리우드적 스펙터클 너머, 2019년의 시선으로 담아낸 드라마의 이야기. 인간의 고통이란 결국 타인과의 거리에서 비롯된다. 모든 이야기는 상처의 다른 이름이다. 이 작품이 남기는 이미지는 어떤 방식으로든 기억에 새겨진다.</t>
  </si>
  <si>
    <t>감독: 스티븐 달드리
주연: 랄프 파인즈, 케이트 윈슬렛, David Kross</t>
  </si>
  <si>
    <t>할리우드적 스펙터클 너머, 2008년의 시선으로 담아낸 드라마의 이야기. 인간의 고통이란 결국 타인과의 거리에서 비롯된다. 모든 이야기는 상처의 다른 이름이다. 평점이 담지 못하는 무언가가 이 영화에는 있다.</t>
  </si>
  <si>
    <t>감독: Matthew Leutwyler
주연: 윌리엄 허트, 엠버 허드, Zach Gilford</t>
  </si>
  <si>
    <t>할리우드적 스펙터클 너머, 2010년의 시선으로 담아낸 드라마의 이야기. 모든 이야기는 상처의 다른 이름이다. 삶은 언제나 해석을 기다리는 텍스트다. 나름의 울림을 간직한 작품이다.</t>
  </si>
  <si>
    <t>감독: Isaac Florentine
주연: 안토니오 반데라스, 칼 어번, 파즈 베가</t>
  </si>
  <si>
    <t>할리우드적 스펙터클 너머, 2018년의 시선으로 담아낸 액션의 이야기. 생존의 욕망은 가장 원초적인 철학적 질문을 던진다. 충돌은 세계가 변화를 요구하는 방식이다. 나름의 울림을 간직한 작품이다.</t>
  </si>
  <si>
    <t>감독: Jean-Baptiste Léonetti
주연: 마이클 더글라스, 제레미 어바인, Hanna Mangan Lawrence</t>
  </si>
  <si>
    <t>할리우드적 스펙터클 너머, 2014년의 시선으로 담아낸 액션의 이야기. 생존의 욕망은 가장 원초적인 철학적 질문을 던진다. 충돌은 세계가 변화를 요구하는 방식이다. 오랫동안 여운이 남는 작품이다.</t>
  </si>
  <si>
    <t>감독: 존 리 행콕
주연: 덴젤 워싱턴, 라미 말렉, 자레드 레토</t>
  </si>
  <si>
    <t>할리우드적 스펙터클 너머, 2021년의 시선으로 담아낸 범죄의 이야기. 어둠 속에서도 인간은 스스로를 정당화하려 한다. 법과 도덕 사이의 틈새에서 인간의 본성이 노출된다. 이 작품이 남기는 이미지는 어떤 방식으로든 기억에 새겨진다.</t>
  </si>
  <si>
    <t>감독: 스콧 Z. 번스
주연: 애덤 드라이버, 아네트 베닝, 존 햄</t>
  </si>
  <si>
    <t>할리우드적 스펙터클 너머, 2019년의 시선으로 담아낸 드라마의 이야기. 우리는 각자의 서사 안에 갇혀 서로를 오해한다. 인간의 고통이란 결국 타인과의 거리에서 비롯된다. 나름의 울림을 간직한 작품이다.</t>
  </si>
  <si>
    <t>감독: Andrew Traucki
주연: Damian Walshe-Howling, Zoe Naylor, Adrienne Pickering</t>
  </si>
  <si>
    <t>2010년의 시선으로 담아낸 공포 이야기가 우리에게 묻는다. 우리가 두려워하는 것은 대개 우리 자신의 그림자다. 어둠은 우리 내면의 억압된 것들이 귀환하는 문이다. 거칠지만 그 안에서도 인간의 흔적은 남는다.</t>
  </si>
  <si>
    <t>감독: 조 카나한
주연: 맷 데이먼, 벤 애플렉, 테야나 테일러</t>
  </si>
  <si>
    <t>할리우드적 스펙터클 너머, 2026년의 시선으로 담아낸 스릴러의 이야기. 진실은 언제나 우리가 감당할 수 없는 형태로 찾아온다. 불안이란 현실이 균열을 드러내는 순간에 스며든다. 한 번쯤 들여다볼 가치가 있는 이야기다.</t>
  </si>
  <si>
    <t>감독: 제임스 마쉬
주연: 콜린 퍼스, 레이첼 와이즈, 데이비드 슐리스</t>
  </si>
  <si>
    <t>영국적 절제와 냉소 사이에서, 2018년의 시선으로 담아낸 드라마의 이야기. 모든 이야기는 상처의 다른 이름이다. 삶은 언제나 해석을 기다리는 텍스트다. 평점이 담지 못하는 무언가가 이 영화에는 있다.</t>
  </si>
  <si>
    <t>감독: 로린 스카파리아
주연: 수잔 서랜든, 로즈 번, J.K. 시몬스</t>
  </si>
  <si>
    <t>할리우드적 스펙터클 너머, 2015년의 시선으로 담아낸 코미디의 이야기. 웃음은 고통을 소화하는 인간만의 방식이다. 유머 속에는 세계의 부조리를 견뎌내는 지혜가 담겨 있다. 평점이 담지 못하는 무언가가 이 영화에는 있다.</t>
  </si>
  <si>
    <t>감독: Jay Carson
주연: 제니퍼 애니스턴, 리즈 위더스푼, 빌리 크루덥</t>
  </si>
  <si>
    <t>드라마 형식 속에서, 할리우드적 스펙터클 너머, 2019년의 시선으로 담아낸 드라마의 이야기. 인간의 고통이란 결국 타인과의 거리에서 비롯된다. 우리는 각자의 서사 안에 갇혀 서로를 오해한다. 이 작품이 남기는 이미지는 어떤 방식으로든 기억에 새겨진다.</t>
  </si>
  <si>
    <t>드라마 형식 속에서, 할리우드적 스펙터클 너머, 2021년의 시선으로 담아낸 드라마의 이야기. 삶은 언제나 해석을 기다리는 텍스트다. 모든 이야기는 상처의 다른 이름이다. 이 작품이 남기는 이미지는 어떤 방식으로든 기억에 새겨진다.</t>
  </si>
  <si>
    <t>감독: 김용화
주연: 설경구, 도경수, 김희애</t>
  </si>
  <si>
    <t>한국 특유의 정서가 켜켜이 쌓인 듯, 2023년의 시선으로 담아낸 SF의 이야기. 우주의 광대함 앞에서 인간의 질문은 더욱 깊어진다. 미래를 상상하는 것은 현재를 비판하는 가장 우회적인 방법이다. 나름의 울림을 간직한 작품이다.</t>
  </si>
  <si>
    <t>감독: 크리스 웨이츠
주연: 크리스틴 스튜어트, 로버트 패틴슨, 테일러 로트너</t>
  </si>
  <si>
    <t>영국적 절제와 냉소 사이에서, 2009년의 시선으로 담아낸 SF의 이야기. 미래를 상상하는 것은 현재를 비판하는 가장 우회적인 방법이다. 기술이 진보할수록 인간다움의 정의는 더욱 절박해진다. 흠이 있지만 진심이 담긴 시도였다.</t>
  </si>
  <si>
    <t>감독: 믹 잭슨
주연: 케빈 코스트너, 휘트니 휴스턴, Gary Kemp</t>
  </si>
  <si>
    <t>열정과 멜랑콜리가 교차하며, 2012년의 시선으로 담아낸 스릴러의 이야기. 진실은 언제나 우리가 감당할 수 없는 형태로 찾아온다. 공포는 우리가 통제할 수 없는 것들에 대한 솔직한 고백이다. 이 작품이 남기는 질문은 쉽게 사라지지 않는다.</t>
  </si>
  <si>
    <t>감독: David Grovic
주연: 존 쿠삭, Rebecca Da Costa, 로버트 드 니로</t>
  </si>
  <si>
    <t>할리우드적 스펙터클 너머, 2013년의 시선으로 담아낸 범죄의 이야기. 욕망은 언제나 질서보다 먼저 존재했다. 법과 도덕 사이의 틈새에서 인간의 본성이 노출된다. 거칠지만 그 안에서도 인간의 흔적은 남는다.</t>
  </si>
  <si>
    <t>감독: Samir Mehanović</t>
  </si>
  <si>
    <t>할리우드적 스펙터클 너머, 2019년의 시선으로 담아낸 드라마의 이야기. 우리는 각자의 서사 안에 갇혀 서로를 오해한다. 인간의 고통이란 결국 타인과의 거리에서 비롯된다. 두고두고 다시 꺼내 볼 만한 작품이다.</t>
  </si>
  <si>
    <t>감독: Nick Clarke Powell
주연: Jaye Griffiths</t>
  </si>
  <si>
    <t>2023년의 시선으로 담아낸 액션 이야기가 우리에게 묻는다. 폭력의 언어 속에서도 인간은 존엄을 갈망한다. 생존의 욕망은 가장 원초적인 철학적 질문을 던진다. 두고두고 다시 꺼내 볼 만한 작품이다.</t>
  </si>
  <si>
    <t>감독: Nick Stagliano
주연: 안소니 홉킨스, 앤슨 마운트, 에비 코니쉬</t>
  </si>
  <si>
    <t>할리우드적 스펙터클 너머, 2021년의 시선으로 담아낸 스릴러의 이야기. 공포는 우리가 통제할 수 없는 것들에 대한 솔직한 고백이다. 불안이란 현실이 균열을 드러내는 순간에 스며든다. 한 번쯤 들여다볼 가치가 있는 이야기다.</t>
  </si>
  <si>
    <t>감독: Robin Bissell
주연: 타라지 P. 헨슨, 샘 록웰, 바부 시사이</t>
  </si>
  <si>
    <t>할리우드적 스펙터클 너머, 2019년의 시선으로 담아낸 드라마의 이야기. 우리는 각자의 서사 안에 갇혀 서로를 오해한다. 모든 이야기는 상처의 다른 이름이다. 오랫동안 여운이 남는 작품이다.</t>
  </si>
  <si>
    <t>감독: 스티븐 나이트
주연: 엘리자베스 모스, 윰나 마르완, 달리 벤살라</t>
  </si>
  <si>
    <t>드라마 형식 속에서, 할리우드적 스펙터클 너머, 2024년의 시선으로 담아낸 드라마의 이야기. 삶은 언제나 해석을 기다리는 텍스트다. 모든 이야기는 상처의 다른 이름이다. 이 작품이 남기는 이미지는 어떤 방식으로든 기억에 새겨진다.</t>
  </si>
  <si>
    <t>감독: Rob Cohen
주연: 제니퍼 로페즈, 라이언 거즈먼, Ian Nelson</t>
  </si>
  <si>
    <t>할리우드적 스펙터클 너머, 2015년의 시선으로 담아낸 스릴러의 이야기. 진실은 언제나 우리가 감당할 수 없는 형태로 찾아온다. 불안이란 현실이 균열을 드러내는 순간에 스며든다. 완벽하지 않아도, 그 불완전함이 오히려 인간적이다.</t>
  </si>
  <si>
    <t>감독: M. 나이트 샤말란
주연: 올리비아 드종, Ed Oxenbould, Deanna Dunagan</t>
  </si>
  <si>
    <t>할리우드적 스펙터클 너머, 2015년의 시선으로 담아낸 공포의 이야기. 공포란 이성이 침묵하는 순간 존재가 맞닥뜨리는 날것의 경험이다. 우리가 두려워하는 것은 대개 우리 자신의 그림자다. 흠이 있지만 진심이 담긴 시도였다.</t>
  </si>
  <si>
    <t>감독: James Ponsoldt
주연: 엠마 왓슨, 톰 행크스, 존 보예가</t>
  </si>
  <si>
    <t>할리우드적 스펙터클 너머, 2017년의 시선으로 담아낸 SF의 이야기. 우주의 광대함 앞에서 인간의 질문은 더욱 깊어진다. 기술이 진보할수록 인간다움의 정의는 더욱 절박해진다. 한 번쯤 들여다볼 가치가 있는 이야기다.</t>
  </si>
  <si>
    <t>할리우드적 스펙터클 너머, 2015년의 시선으로 담아낸 드라마의 이야기. 우리는 각자의 서사 안에 갇혀 서로를 오해한다. 삶은 언제나 해석을 기다리는 텍스트다. 흠이 있지만 진심이 담긴 시도였다.</t>
  </si>
  <si>
    <t>감독: Stephan Rick
주연: 발 킬머, Patrick John Flueger, Louisa Krause</t>
  </si>
  <si>
    <t>할리우드적 스펙터클 너머, 2017년의 시선으로 담아낸 스릴러의 이야기. 공포는 우리가 통제할 수 없는 것들에 대한 솔직한 고백이다. 불안이란 현실이 균열을 드러내는 순간에 스며든다. 평점이 담지 못하는 무언가가 이 영화에는 있다.</t>
  </si>
  <si>
    <t>감독: Dean Kapsalis
주연: Azura Skye, Bryce Pinkham, Ashley Bell</t>
  </si>
  <si>
    <t>할리우드적 스펙터클 너머, 2019년의 시선으로 담아낸 드라마의 이야기. 삶은 언제나 해석을 기다리는 텍스트다. 우리는 각자의 서사 안에 갇혀 서로를 오해한다. 평점이 담지 못하는 무언가가 이 영화에는 있다.</t>
  </si>
  <si>
    <t>감독: 브라이언 클루먼, Lee Sternthal
주연: 브래들리 쿠퍼, 조 샐다나, 제레미 아이언스</t>
  </si>
  <si>
    <t>한국 특유의 정서가 켜켜이 쌓인 듯, 2012년의 시선으로 담아낸 로맨스의 이야기. 사랑은 자아의 경계가 흔들리는 순간에 찾아온다. 두 사람 사이의 침묵은 때로 말보다 더 많은 것을 말한다. 오랫동안 여운이 남는 작품이다.</t>
  </si>
  <si>
    <t>감독: Thaddeus O'Sullivan
주연: 브렌던 글리슨, 에드리언 스카보로, 이언 글렌</t>
  </si>
  <si>
    <t>할리우드적 스펙터클 너머, 2009년의 시선으로 담아낸 액션의 이야기. 생존의 욕망은 가장 원초적인 철학적 질문을 던진다. 육체의 한계에 도전하는 것은 곧 자아의 경계를 시험하는 일이다. 한 번쯤 들여다볼 가치가 있는 이야기다.</t>
  </si>
  <si>
    <t>감독: Zackary Adler
주연: 올가 쿠릴렌코, 게리 올드만, 더멋 멀로니</t>
  </si>
  <si>
    <t>영국적 절제와 냉소 사이에서, 2020년의 시선으로 담아낸 스릴러의 이야기. 불안이란 현실이 균열을 드러내는 순간에 스며든다. 긴장은 존재가 위협받을 때 가장 선명하게 빛난다. 오랫동안 여운이 남는 작품이다.</t>
  </si>
  <si>
    <t>감독: Abi Morgan
주연: Nicola Walker, Annabel Scholey, Stephen Mangan</t>
  </si>
  <si>
    <t>드라마 형식 속에서, 영국적 절제와 냉소 사이에서, 2018년의 시선으로 담아낸 드라마의 이야기. 우리는 각자의 서사 안에 갇혀 서로를 오해한다. 삶은 언제나 해석을 기다리는 텍스트다. 평점이 담지 못하는 무언가가 이 영화에는 있다.</t>
  </si>
  <si>
    <t>감독: Drew Heriot
주연: Bob Proctor, Joe Vitale, John Assaraf</t>
  </si>
  <si>
    <t>할리우드적 스펙터클 너머, 2007년의 시선으로 담아낸 다큐의 이야기. 카메라가 포착한 진실 앞에서 우리는 응시할 의무를 갖는다. 기록은 망각에 대한 저항이며, 현재에 대한 증언이다. 완벽하지 않아도, 그 불완전함이 오히려 인간적이다.</t>
  </si>
  <si>
    <t>감독: Yuval Adler
주연: 누미 라파스, 조엘 킨나만, 크리스 메시나</t>
  </si>
  <si>
    <t>할리우드적 스펙터클 너머, 2020년의 시선으로 담아낸 드라마의 이야기. 삶은 언제나 해석을 기다리는 텍스트다. 인간의 고통이란 결국 타인과의 거리에서 비롯된다. 한 번쯤 들여다볼 가치가 있는 이야기다.</t>
  </si>
  <si>
    <t>감독: Andy Tennant
주연: 케이티 홈즈, 조시 루커스, 제리 오코널</t>
  </si>
  <si>
    <t>할리우드적 스펙터클 너머, 2020년의 시선으로 담아낸 드라마의 이야기. 인간의 고통이란 결국 타인과의 거리에서 비롯된다. 우리는 각자의 서사 안에 갇혀 서로를 오해한다. 시간이 지날수록 더 깊이 읽히는 영화다.</t>
  </si>
  <si>
    <t>감독: 플로리앙 젤레
주연: 휴 잭맨, Zen McGrath, 바네사 커비</t>
  </si>
  <si>
    <t>영국적 절제와 냉소 사이에서, 2023년의 시선으로 담아낸 드라마의 이야기. 삶은 언제나 해석을 기다리는 텍스트다. 모든 이야기는 상처의 다른 이름이다. 한 번쯤 들여다볼 가치가 있는 이야기다.</t>
  </si>
  <si>
    <t>감독: Rod Lurie
주연: 스콧 이스트우드, 케일럽 랜드리 존스, 올랜도 블룸</t>
  </si>
  <si>
    <t>할리우드적 스펙터클 너머, 2020년의 시선으로 담아낸 전쟁의 이야기. 전쟁은 인간의 이성이 멈추는 지점에서 시작된다. 폐허 속에서도 존엄을 지키려는 의지가 역사를 만든다. 아쉬움이 남지만, 모든 시도는 의미를 갖는다.</t>
  </si>
  <si>
    <t>감독: Evan Spiliotopoulos
주연: 제프리 딘 모건, Cricket Brown, 윌리엄 새들러</t>
  </si>
  <si>
    <t>할리우드적 스펙터클 너머, 2021년의 시선으로 담아낸 공포의 이야기. 공포란 이성이 침묵하는 순간 존재가 맞닥뜨리는 날것의 경험이다. 불가해한 것 앞에서 인간은 얼마나 작은가를 깨닫는다. 아쉬움이 남지만, 모든 시도는 의미를 갖는다.</t>
  </si>
  <si>
    <t>감독: Björn Runge
주연: 글렌 클로즈, 조너선 프라이스, 크리스찬 슬레이터</t>
  </si>
  <si>
    <t>감독: 마틴 스콜세지
주연: 레오나르도 디카프리오, 조나 힐, 마고 로비</t>
  </si>
  <si>
    <t>180분</t>
  </si>
  <si>
    <t>할리우드적 스펙터클 너머, 2013년의 시선으로 담아낸 드라마의 이야기. 우리는 각자의 서사 안에 갇혀 서로를 오해한다. 인간의 고통이란 결국 타인과의 거리에서 비롯된다. 이 작품이 남기는 질문은 쉽게 사라지지 않는다.</t>
  </si>
  <si>
    <t>감독: Jeremy Garelick
주연: 케빈 하트, 조시 게드, 케일리 쿼코</t>
  </si>
  <si>
    <t>할리우드적 스펙터클 너머, 2015년의 시선으로 담아낸 코미디의 이야기. 우스운 것과 슬픈 것은 본래 같은 뿌리에서 자란다. 가볍게 웃는 순간에도 삶의 무게는 그 그림자를 드리운다. 흠이 있지만 진심이 담긴 시도였다.</t>
  </si>
  <si>
    <t>감독: Gavin O'Connor
주연: 벤 애플렉, Al Madrigal, Michaela Watkins</t>
  </si>
  <si>
    <t>할리우드적 스펙터클 너머, 2020년의 시선으로 담아낸 드라마의 이야기. 인간의 고통이란 결국 타인과의 거리에서 비롯된다. 삶은 언제나 해석을 기다리는 텍스트다. 두고두고 다시 꺼내 볼 만한 작품이다.</t>
  </si>
  <si>
    <t>감독: 피터 위어
주연: 에드 해리스, 짐 스터지스, 시얼샤 로넌</t>
  </si>
  <si>
    <t>할리우드적 스펙터클 너머, 2013년의 시선으로 담아낸 코미디의 이야기. 우스운 것과 슬픈 것은 본래 같은 뿌리에서 자란다. 웃음은 고통을 소화하는 인간만의 방식이다. 오랫동안 여운이 남는 작품이다.</t>
  </si>
  <si>
    <t>감독: Bruce Macdonald
주연: 스콧 이스트우드, Cheryl Ladd, Patrick Lyster</t>
  </si>
  <si>
    <t>2015년의 시선으로 담아낸 재난 이야기가 우리에게 묻는다. 시간이 흐른 뒤에도 이 장면들은 기억 속에 선명히 남는다. 이 작품은 단순한 오락을 넘어 삶의 어떤 단면을 응시하게 한다. 흠이 있지만 진심이 담긴 시도였다.</t>
  </si>
  <si>
    <t>감독: 줄리안 파리노
주연: 마크 월버그, 할리 베리, J.K. 시몬스</t>
  </si>
  <si>
    <t>할리우드적 스펙터클 너머, 2024년의 시선으로 담아낸 액션의 이야기. 육체의 한계에 도전하는 것은 곧 자아의 경계를 시험하는 일이다. 생존의 욕망은 가장 원초적인 철학적 질문을 던진다. 아쉬움이 남지만, 모든 시도는 의미를 갖는다.</t>
  </si>
  <si>
    <t>감독: 안톤 후쿠아
주연: 덴젤 워싱턴, 마튼 초카스, 클로이 그레이스 모레츠</t>
  </si>
  <si>
    <t>할리우드적 스펙터클 너머, 2014년의 시선으로 담아낸 액션의 이야기. 폭력의 언어 속에서도 인간은 존엄을 갈망한다. 충돌은 세계가 변화를 요구하는 방식이다. 시간이 지날수록 더 깊이 읽히는 영화다.</t>
  </si>
  <si>
    <t>감독: 안톤 후쿠아
주연: 덴젤 워싱턴, 페드로 파스칼, Ashton Sanders</t>
  </si>
  <si>
    <t>할리우드적 스펙터클 너머, 2018년의 시선으로 담아낸 액션의 이야기. 충돌은 세계가 변화를 요구하는 방식이다. 육체의 한계에 도전하는 것은 곧 자아의 경계를 시험하는 일이다. 이 작품이 남기는 질문은 쉽게 사라지지 않는다.</t>
  </si>
  <si>
    <t>감독: 안톤 후쿠아
주연: 덴젤 워싱턴, 다코타 패닝, Eugenio Mastrandrea</t>
  </si>
  <si>
    <t>할리우드적 스펙터클 너머, 2023년의 시선으로 담아낸 액션의 이야기. 충돌은 세계가 변화를 요구하는 방식이다. 생존의 욕망은 가장 원초적인 철학적 질문을 던진다. 흠이 있지만 진심이 담긴 시도였다.</t>
  </si>
  <si>
    <t>감독: Gary Fleder
주연: Rob Brown, 데니스 퀘이드, Darrin Henson</t>
  </si>
  <si>
    <t>할리우드적 스펙터클 너머, 2008년의 시선으로 담아낸 드라마의 이야기. 삶은 언제나 해석을 기다리는 텍스트다. 우리는 각자의 서사 안에 갇혀 서로를 오해한다. 흠이 있지만 진심이 담긴 시도였다.</t>
  </si>
  <si>
    <t>감독: 후안 안토니오 바요나
주연: 나오미 왓츠, 이완 맥그리거, 톰 홀랜드</t>
  </si>
  <si>
    <t>열정과 멜랑콜리가 교차하며, 2012년의 시선으로 담아낸 드라마의 이야기. 인간의 고통이란 결국 타인과의 거리에서 비롯된다. 모든 이야기는 상처의 다른 이름이다. 시간이 지날수록 더 깊이 읽히는 영화다.</t>
  </si>
  <si>
    <t>감독: David Dobkin
주연: 로버트 다우니 주니어, 로버트 듀발, 베라 파미가</t>
  </si>
  <si>
    <t>할리우드적 스펙터클 너머, 2014년의 시선으로 담아낸 드라마의 이야기. 모든 이야기는 상처의 다른 이름이다. 우리는 각자의 서사 안에 갇혀 서로를 오해한다. 이 작품이 남기는 질문은 쉽게 사라지지 않는다.</t>
  </si>
  <si>
    <t>감독: 폴 슈레이더
주연: 오스카 아이작, 티파니 해디쉬, 타이 셰리던</t>
  </si>
  <si>
    <t>할리우드적 스펙터클 너머, 2021년의 시선으로 담아낸 드라마의 이야기. 모든 이야기는 상처의 다른 이름이다. 삶은 언제나 해석을 기다리는 텍스트다. 한 번쯤 들여다볼 가치가 있는 이야기다.</t>
  </si>
  <si>
    <t>감독: 스콧 데릭슨
주연: 마일스 텔러, 안야 테일러조이, 시고니 위버</t>
  </si>
  <si>
    <t>할리우드적 스펙터클 너머, 2025년의 시선으로 담아낸 액션의 이야기. 폭력의 언어 속에서도 인간은 존엄을 갈망한다. 생존의 욕망은 가장 원초적인 철학적 질문을 던진다. 두고두고 다시 꺼내 볼 만한 작품이다.</t>
  </si>
  <si>
    <t>감독: Ben Chanan
주연: 홀리데이 그레인저, 론 펄먼, 벤 마일스</t>
  </si>
  <si>
    <t>드라마 형식 속에서, 영국적 절제와 냉소 사이에서, 2019년의 시선으로 담아낸 드라마의 이야기. 인간의 고통이란 결국 타인과의 거리에서 비롯된다. 삶은 언제나 해석을 기다리는 텍스트다. 이 작품이 남기는 이미지는 어떤 방식으로든 기억에 새겨진다.</t>
  </si>
  <si>
    <t>드라마 형식 속에서, 영국적 절제와 냉소 사이에서, 2022년의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</si>
  <si>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David Soren
주연: 케빈 하트, 토머스 미들디치, 에드 헬름스</t>
  </si>
  <si>
    <t>독일 특유의 사유의 무게를 지니며, 2017년의 시선으로 담아낸 드라마의 이야기. 모든 이야기는 상처의 다른 이름이다. 삶은 언제나 해석을 기다리는 텍스트다. 두고두고 다시 꺼내 볼 만한 작품이다.</t>
  </si>
  <si>
    <t>감독: Joachim Fest, Christian Herrendoerfer
주연: Gert Westphal, 아돌프 히틀러, Ernest Bevin</t>
  </si>
  <si>
    <t>할리우드적 스펙터클 너머, 2019년의 시선으로 담아낸 코미디의 이야기. 우스운 것과 슬픈 것은 본래 같은 뿌리에서 자란다. 가볍게 웃는 순간에도 삶의 무게는 그 그림자를 드리운다. 거칠지만 그 안에서도 인간의 흔적은 남는다.</t>
  </si>
  <si>
    <t>감독: 가이 리치
주연: 제이크 질렌할, Dar Salim, Sean Sagar</t>
  </si>
  <si>
    <t>영국적 절제와 냉소 사이에서, 2023년의 시선으로 담아낸 액션의 이야기. 충돌은 세계가 변화를 요구하는 방식이다. 폭력의 언어 속에서도 인간은 존엄을 갈망한다. 오랫동안 여운이 남는 작품이다.</t>
  </si>
  <si>
    <t>감독: 타릭 살레
주연: 크리스 파인, 키퍼 서덜랜드, 벤 포스터</t>
  </si>
  <si>
    <t>할리우드적 스펙터클 너머, 2022년의 시선으로 담아낸 액션의 이야기. 폭력의 언어 속에서도 인간은 존엄을 갈망한다. 생존의 욕망은 가장 원초적인 철학적 질문을 던진다. 한 번쯤 들여다볼 가치가 있는 이야기다.</t>
  </si>
  <si>
    <t>감독: 존 웰스
주연: 벤 애플렉, 토미 리 존스, 크리스 쿠퍼</t>
  </si>
  <si>
    <t>할리우드적 스펙터클 너머, 2010년의 시선으로 담아낸 드라마의 이야기. 우리는 각자의 서사 안에 갇혀 서로를 오해한다. 삶은 언제나 해석을 기다리는 텍스트다. 오랫동안 여운이 남는 작품이다.</t>
  </si>
  <si>
    <t>감독: Gary Smith
주연: 바브라 스트라이샌드, Carlos Marín, 데이비드 밀러</t>
  </si>
  <si>
    <t>프랑스 영화 특유의 철학적 깊이로, 2009년의 시선으로 담아낸 드라마의 이야기. 모든 이야기는 상처의 다른 이름이다. 인간의 고통이란 결국 타인과의 거리에서 비롯된다. 두고두고 다시 꺼내 볼 만한 작품이다.</t>
  </si>
  <si>
    <t>감독: Brad Anderson
주연: 할리 베리, 아비게일 브레스린, 모리스 체스트넛</t>
  </si>
  <si>
    <t>할리우드적 스펙터클 너머, 2013년의 시선으로 담아낸 스릴러의 이야기. 진실은 언제나 우리가 감당할 수 없는 형태로 찾아온다. 공포는 우리가 통제할 수 없는 것들에 대한 솔직한 고백이다. 오랫동안 여운이 남는 작품이다.</t>
  </si>
  <si>
    <t>감독: 크리스 샌더스
주연: 해리슨 포드, 댄 스티븐스, 콜린 우델</t>
  </si>
  <si>
    <t>모험</t>
  </si>
  <si>
    <t>할리우드적 스펙터클 너머, 2020년의 시선으로 담아낸 모험의 이야기. 이 작품은 단순한 오락을 넘어 삶의 어떤 단면을 응시하게 한다. 시간이 흐른 뒤에도 이 장면들은 기억 속에 선명히 남는다. 오랫동안 여운이 남는 작품이다.</t>
  </si>
  <si>
    <t>감독: Jason Stone
주연: 수잔 서랜든, Gil Bellows, 앨런 버스틴</t>
  </si>
  <si>
    <t>2014년의 시선으로 담아낸 스릴러 이야기가 우리에게 묻는다. 불안이란 현실이 균열을 드러내는 순간에 스며든다. 공포는 우리가 통제할 수 없는 것들에 대한 솔직한 고백이다. 이 작품이 남기는 이미지는 어떤 방식으로든 기억에 새겨진다.</t>
  </si>
  <si>
    <t>감독: John Andreas Andersen
주연: Kristoffer Joner, Ane Dahl Torp, Jonas Hoff Oftebro</t>
  </si>
  <si>
    <t>2018년의 시선으로 담아낸 재난 이야기가 우리에게 묻는다. 시간이 흐른 뒤에도 이 장면들은 기억 속에 선명히 남는다. 영상 언어로 포착된 인간의 이야기는 언제나 철학적 울림을 남긴다. 한 번쯤 들여다볼 가치가 있는 이야기다.</t>
  </si>
  <si>
    <t>감독: 스티븐 프리어스
주연: 헬렌 미렌, 마이클 쉰, 제임스 크롬웰</t>
  </si>
  <si>
    <t>영국적 절제와 냉소 사이에서, 2006년의 시선으로 담아낸 드라마의 이야기. 인간의 고통이란 결국 타인과의 거리에서 비롯된다. 삶은 언제나 해석을 기다리는 텍스트다. 흠이 있지만 진심이 담긴 시도였다.</t>
  </si>
  <si>
    <t>감독: Peter Morgan
주연: 이멜다 스턴튼, 조너선 프라이스, 레슬리 맨빌</t>
  </si>
  <si>
    <t>드라마 형식 속에서, 영국적 절제와 냉소 사이에서, 2016년의 시선으로 담아낸 드라마의 이야기. 우리는 각자의 서사 안에 갇혀 서로를 오해한다. 삶은 언제나 해석을 기다리는 텍스트다. 평점이 담지 못하는 무언가가 이 영화에는 있다.</t>
  </si>
  <si>
    <t>드라마 형식 속에서, 영국적 절제와 냉소 사이에서, 2017년의 시선으로 담아낸 드라마의 이야기. 인간의 고통이란 결국 타인과의 거리에서 비롯된다. 모든 이야기는 상처의 다른 이름이다. 평점이 담지 못하는 무언가가 이 영화에는 있다.</t>
  </si>
  <si>
    <t>감독: Craig Graham
주연: Claudia Karvan, 리처드 록스버그</t>
  </si>
  <si>
    <t>드라마 형식 속에서, 영국적 절제와 냉소 사이에서, 2019년의 시선으로 담아낸 드라마의 이야기. 우리는 각자의 서사 안에 갇혀 서로를 오해한다. 모든 이야기는 상처의 다른 이름이다. 이 작품이 남기는 이미지는 어떤 방식으로든 기억에 새겨진다.</t>
  </si>
  <si>
    <t>드라마 형식 속에서, 영국적 절제와 냉소 사이에서, 2020년의 시선으로 담아낸 드라마의 이야기. 삶은 언제나 해석을 기다리는 텍스트다. 우리는 각자의 서사 안에 갇혀 서로를 오해한다. 평점이 담지 못하는 무언가가 이 영화에는 있다.</t>
  </si>
  <si>
    <t>드라마 형식 속에서, 영국적 절제와 냉소 사이에서, 2022년의 시선으로 담아낸 드라마의 이야기. 우리는 각자의 서사 안에 갇혀 서로를 오해한다. 삶은 언제나 해석을 기다리는 텍스트다. 이 작품이 남기는 이미지는 어떤 방식으로든 기억에 새겨진다.</t>
  </si>
  <si>
    <t>4화</t>
  </si>
  <si>
    <t>드라마 형식 속에서, 영국적 절제와 냉소 사이에서, 2023년의 시선으로 담아낸 드라마의 이야기. 모든 이야기는 상처의 다른 이름이다. 인간의 고통이란 결국 타인과의 거리에서 비롯된다. 평점이 담지 못하는 무언가가 이 영화에는 있다.</t>
  </si>
  <si>
    <t>드라마 형식 속에서, 영국적 절제와 냉소 사이에서, 2023년의 시선으로 담아낸 드라마의 이야기. 우리는 각자의 서사 안에 갇혀 서로를 오해한다. 모든 이야기는 상처의 다른 이름이다. 평점이 담지 못하는 무언가가 이 영화에는 있다.</t>
  </si>
  <si>
    <t>감독: Lone Scherfig
주연: Max Irons, 샘 클라플린, Douglas Booth</t>
  </si>
  <si>
    <t>칠레</t>
  </si>
  <si>
    <t>2015년의 시선으로 담아낸 드라마 이야기가 우리에게 묻는다. 우리는 각자의 서사 안에 갇혀 서로를 오해한다. 인간의 고통이란 결국 타인과의 거리에서 비롯된다. 한 번쯤 들여다볼 가치가 있는 이야기다.</t>
  </si>
  <si>
    <t>감독: Andrea Berloff
주연: 멜리사 매카시, 티파니 해디쉬, 엘리자베스 모스</t>
  </si>
  <si>
    <t>할리우드적 스펙터클 너머, 2019년의 시선으로 담아낸 범죄의 이야기. 죄란 사회가 만든 경계를 넘는 행위이자 그 경계에 대한 질문이다. 어둠 속에서도 인간은 스스로를 정당화하려 한다. 아쉬움이 남지만, 모든 시도는 의미를 갖는다.</t>
  </si>
  <si>
    <t>감독: 베르너 헤어조크
주연: 브랜던 플라워스, Dave Keuning, Mark Stoermer</t>
  </si>
  <si>
    <t>섬세한 일본적 감수성으로, 2012년의 시선으로 담아낸 범죄의 이야기. 욕망은 언제나 질서보다 먼저 존재했다. 어둠 속에서도 인간은 스스로를 정당화하려 한다. 흠이 있지만 진심이 담긴 시도였다.</t>
  </si>
  <si>
    <t>감독: 요르고스 란티모스
주연: 콜린 파렐, 니콜 키드먼, 배리 키오건</t>
  </si>
  <si>
    <t>영국적 절제와 냉소 사이에서, 2017년의 시선으로 담아낸 스릴러의 이야기. 진실은 언제나 우리가 감당할 수 없는 형태로 찾아온다. 긴장은 존재가 위협받을 때 가장 선명하게 빛난다. 이 작품이 남기는 이미지는 어떤 방식으로든 기억에 새겨진다.</t>
  </si>
  <si>
    <t>감독: Kenneth Kainz
주연: Rebecca Emilie Sattrup, Peter Plaugborg, Jakob Oftebro</t>
  </si>
  <si>
    <t>한국 특유의 정서가 켜켜이 쌓인 듯, 2016년의 시선으로 담아낸 드라마의 이야기. 인간의 고통이란 결국 타인과의 거리에서 비롯된다. 우리는 각자의 서사 안에 갇혀 서로를 오해한다. 이 작품이 남기는 질문은 쉽게 사라지지 않는다.</t>
  </si>
  <si>
    <t>감독: 김상만
주연: 유지태, 이세야 유스케, 차예련</t>
  </si>
  <si>
    <t>한국 특유의 정서가 켜켜이 쌓인 듯, 2014년의 시선으로 담아낸 드라마의 이야기. 모든 이야기는 상처의 다른 이름이다. 삶은 언제나 해석을 기다리는 텍스트다. 이 작품이 남기는 질문은 쉽게 사라지지 않는다.</t>
  </si>
  <si>
    <t>감독: 김병우
주연: 하정우, 김대명, 이경영</t>
  </si>
  <si>
    <t>한국 특유의 정서가 켜켜이 쌓인 듯, 2013년의 시선으로 담아낸 재난의 이야기. 시간이 흐른 뒤에도 이 장면들은 기억 속에 선명히 남는다. 우리는 스크린 앞에 앉아 타인의 삶을 통해 우리 자신을 본다. 거칠지만 그 안에서도 인간의 흔적은 남는다.</t>
  </si>
  <si>
    <t>감독: Alex Brewer, Benjamin Brewer
주연: 니콜라스 케이지, 일라이저 우드, Sky Ferreira</t>
  </si>
  <si>
    <t>할리우드적 스펙터클 너머, 2016년의 시선으로 담아낸 범죄의 이야기. 법과 도덕 사이의 틈새에서 인간의 본성이 노출된다. 어둠 속에서도 인간은 스스로를 정당화하려 한다. 아쉬움이 남지만, 모든 시도는 의미를 갖는다.</t>
  </si>
  <si>
    <t>감독: Terry Loane
주연: 루스 브래들리, Pippa Haywood, Dean Andrews</t>
  </si>
  <si>
    <t>프랑스 영화 특유의 철학적 깊이로, 2019년의 시선으로 담아낸 드라마의 이야기. 인간의 고통이란 결국 타인과의 거리에서 비롯된다. 우리는 각자의 서사 안에 갇혀 서로를 오해한다. 한 번쯤 들여다볼 가치가 있는 이야기다.</t>
  </si>
  <si>
    <t>감독: Julie Bertuccelli
주연: 샤를로트 갱스부르, Morgan Davies, 마튼 초카스</t>
  </si>
  <si>
    <t>프랑스 영화 특유의 철학적 깊이로, 2010년의 시선으로 담아낸 드라마의 이야기. 우리는 각자의 서사 안에 갇혀 서로를 오해한다. 모든 이야기는 상처의 다른 이름이다. 흠이 있지만 진심이 담긴 시도였다.</t>
  </si>
  <si>
    <t>감독: Fred Durst
주연: 존 트래볼타, Devon Sawa, Ana Golja</t>
  </si>
  <si>
    <t>할리우드적 스펙터클 너머, 2019년의 시선으로 담아낸 스릴러의 이야기. 긴장은 존재가 위협받을 때 가장 선명하게 빛난다. 진실은 언제나 우리가 감당할 수 없는 형태로 찾아온다. 완벽하지 않아도, 그 불완전함이 오히려 인간적이다.</t>
  </si>
  <si>
    <t>감독: 플로리앙 젤레
주연: 안소니 홉킨스, 올리비아 콜먼, 마크 게이티스</t>
  </si>
  <si>
    <t>영국적 절제와 냉소 사이에서, 2020년의 시선으로 담아낸 드라마의 이야기. 삶은 언제나 해석을 기다리는 텍스트다. 인간의 고통이란 결국 타인과의 거리에서 비롯된다. 이 작품이 남기는 질문은 쉽게 사라지지 않는다.</t>
  </si>
  <si>
    <t>감독: 크레이그 길레스피
주연: 크리스 파인, 케이시 애플렉, 벤 포스터</t>
  </si>
  <si>
    <t>할리우드적 스펙터클 너머, 2016년의 시선으로 담아낸 액션의 이야기. 충돌은 세계가 변화를 요구하는 방식이다. 생존의 욕망은 가장 원초적인 철학적 질문을 던진다. 나름의 울림을 간직한 작품이다.</t>
  </si>
  <si>
    <t>주연: Madisen Beaty, Dan Lauria, Ry Feder Pruett</t>
  </si>
  <si>
    <t>할리우드적 스펙터클 너머, 2013년의 시선으로 담아낸 스릴러의 이야기. 진실은 언제나 우리가 감당할 수 없는 형태로 찾아온다. 불안이란 현실이 균열을 드러내는 순간에 스며든다. 완벽하지 않아도, 그 불완전함이 오히려 인간적이다.</t>
  </si>
  <si>
    <t>감독: Christopher Cantwell
주연: 아론 폴, 메리 엘리자베스 윈스테드, 스쿠트 맥네리</t>
  </si>
  <si>
    <t>할리우드적 스펙터클 너머, 2019년의 시선으로 담아낸 드라마의 이야기. 인간의 고통이란 결국 타인과의 거리에서 비롯된다. 모든 이야기는 상처의 다른 이름이다. 나름의 울림을 간직한 작품이다.</t>
  </si>
  <si>
    <t>감독: Mark Baldo
주연: John Schneider, 헨리 윙클러, Eric Christian Olsen</t>
  </si>
  <si>
    <t>할리우드적 스펙터클 너머, 2011년의 시선으로 담아낸 스릴러의 이야기. 진실은 언제나 우리가 감당할 수 없는 형태로 찾아온다. 불안이란 현실이 균열을 드러내는 순간에 스며든다. 아쉬움이 남지만, 모든 시도는 의미를 갖는다.</t>
  </si>
  <si>
    <t>감독: 제임스 디모너코
주연: 프랭크 그릴로, 카먼 이조고, Zach Gilford</t>
  </si>
  <si>
    <t>할리우드적 스펙터클 너머, 2014년의 시선으로 담아낸 공포의 이야기. 어둠은 우리 내면의 억압된 것들이 귀환하는 문이다. 불가해한 것 앞에서 인간은 얼마나 작은가를 깨닫는다. 한 번쯤 들여다볼 가치가 있는 이야기다.</t>
  </si>
  <si>
    <t>감독: 요르고스 란티모스
주연: 엠마 스톤, 올리비아 콜먼, 레이첼 와이즈</t>
  </si>
  <si>
    <t>영국적 절제와 냉소 사이에서, 2018년의 시선으로 담아낸 드라마의 이야기. 인간의 고통이란 결국 타인과의 거리에서 비롯된다. 모든 이야기는 상처의 다른 이름이다. 이 작품이 남기는 질문은 쉽게 사라지지 않는다.</t>
  </si>
  <si>
    <t>감독: Klaus Härö
주연: Märt Avandi, Ursula Ratasepp, Hendrik Toompere</t>
  </si>
  <si>
    <t>핀란드</t>
  </si>
  <si>
    <t>2015년의 시선으로 담아낸 드라마 이야기가 우리에게 묻는다. 삶은 언제나 해석을 기다리는 텍스트다. 인간의 고통이란 결국 타인과의 거리에서 비롯된다. 두고두고 다시 꺼내 볼 만한 작품이다.</t>
  </si>
  <si>
    <t>감독: 곽경택, Kim Tae-hun
주연: 김명민, 민호, 김성철</t>
  </si>
  <si>
    <t>네덜란드</t>
  </si>
  <si>
    <t>2021년의 시선으로 담아낸 전쟁 이야기가 우리에게 묻는다. 전쟁은 인간의 이성이 멈추는 지점에서 시작된다. 총성은 멈추어도 그 상처는 세대를 넘어 흐른다. 나름의 울림을 간직한 작품이다.</t>
  </si>
  <si>
    <t>감독: 마틴 캠벨
주연: 피어스 브로스넌, 성룡, Rory Fleck-Byrne</t>
  </si>
  <si>
    <t>영국적 절제와 냉소 사이에서, 2017년의 시선으로 담아낸 액션의 이야기. 충돌은 세계가 변화를 요구하는 방식이다. 생존의 욕망은 가장 원초적인 철학적 질문을 던진다. 흠이 있지만 진심이 담긴 시도였다.</t>
  </si>
  <si>
    <t>감독: 스티븐 스필버그
주연: 메릴 스트립, 톰 행크스, 사라 폴슨</t>
  </si>
  <si>
    <t>할리우드적 스펙터클 너머, 2017년의 시선으로 담아낸 드라마의 이야기. 인간의 고통이란 결국 타인과의 거리에서 비롯된다. 우리는 각자의 서사 안에 갇혀 서로를 오해한다. 시간이 지날수록 더 깊이 읽히는 영화다.</t>
  </si>
  <si>
    <t>감독: Philip Martin
주연: 존 트래볼타, 크리스토퍼 플러머, 타이 셰리던</t>
  </si>
  <si>
    <t>할리우드적 스펙터클 너머, 2014년의 시선으로 담아낸 범죄의 이야기. 어둠 속에서도 인간은 스스로를 정당화하려 한다. 죄란 사회가 만든 경계를 넘는 행위이자 그 경계에 대한 질문이다. 한 번쯤 들여다볼 가치가 있는 이야기다.</t>
  </si>
  <si>
    <t>감독: Kim Bong-joo
주연: 손현주, 엄지원, 배성우</t>
  </si>
  <si>
    <t>한국 특유의 정서가 켜켜이 쌓인 듯, 2015년의 시선으로 담아낸 스릴러의 이야기. 공포는 우리가 통제할 수 없는 것들에 대한 솔직한 고백이다. 긴장은 존재가 위협받을 때 가장 선명하게 빛난다. 시간이 지날수록 더 깊이 읽히는 영화다.</t>
  </si>
  <si>
    <t>감독: Scott Walker
주연: 니콜라스 케이지, 바네사 허진스, 존 쿠삭</t>
  </si>
  <si>
    <t>할리우드적 스펙터클 너머, 2012년의 시선으로 담아낸 범죄의 이야기. 어둠 속에서도 인간은 스스로를 정당화하려 한다. 법과 도덕 사이의 틈새에서 인간의 본성이 노출된다. 나름의 울림을 간직한 작품이다.</t>
  </si>
  <si>
    <t>감독: 마틴 캠벨
주연: 매기 큐, 사무엘 L. 잭슨, 마이클 키튼</t>
  </si>
  <si>
    <t>할리우드적 스펙터클 너머, 2021년의 시선으로 담아낸 액션의 이야기. 생존의 욕망은 가장 원초적인 철학적 질문을 던진다. 충돌은 세계가 변화를 요구하는 방식이다. 평점이 담지 못하는 무언가가 이 영화에는 있다.</t>
  </si>
  <si>
    <t>감독: Farhad Safinia
주연: 멜 깁슨, 숀 펜, 나탈리 도머</t>
  </si>
  <si>
    <t>2019년의 시선으로 담아낸 드라마 이야기가 우리에게 묻는다. 모든 이야기는 상처의 다른 이름이다. 우리는 각자의 서사 안에 갇혀 서로를 오해한다. 흠이 있지만 진심이 담긴 시도였다.</t>
  </si>
  <si>
    <t>감독: Keoni Waxman
주연: 마이클 제이 화이트, Luke Goss, Randy Couture</t>
  </si>
  <si>
    <t>할리우드적 스펙터클 너머, 2019년의 시선으로 담아낸 액션의 이야기. 육체의 한계에 도전하는 것은 곧 자아의 경계를 시험하는 일이다. 생존의 욕망은 가장 원초적인 철학적 질문을 던진다. 한 번쯤 들여다볼 가치가 있는 이야기다.</t>
  </si>
  <si>
    <t>감독: Chris Addison
주연: 레벨 윌슨, 앤 해서웨이, 알렉스 샤프</t>
  </si>
  <si>
    <t>할리우드적 스펙터클 너머, 2019년의 시선으로 담아낸 코미디의 이야기. 웃음은 고통을 소화하는 인간만의 방식이다. 유머 속에는 세계의 부조리를 견뎌내는 지혜가 담겨 있다. 흠이 있지만 진심이 담긴 시도였다.</t>
  </si>
  <si>
    <t>감독: 토미 리 존스
주연: 힐러리 스웽크, 토미 리 존스, 그레이스 거머</t>
  </si>
  <si>
    <t>서부</t>
  </si>
  <si>
    <t>할리우드적 스펙터클 너머, 2014년의 시선으로 담아낸 서부의 이야기. 시간이 흐른 뒤에도 이 장면들은 기억 속에 선명히 남는다. 영상 언어로 포착된 인간의 이야기는 언제나 철학적 울림을 남긴다. 한 번쯤 들여다볼 가치가 있는 이야기다.</t>
  </si>
  <si>
    <t>감독: Rob W. King
주연: 니콜라스 케이지, Sarah Lind, Jakob Davies</t>
  </si>
  <si>
    <t>2017년의 시선으로 담아낸 SF 이야기가 우리에게 묻는다. 타자와의 만남은 언제나 자아의 재발견으로 이어진다. 미래를 상상하는 것은 현재를 비판하는 가장 우회적인 방법이다. 이 작품이 남기는 이미지는 어떤 방식으로든 기억에 새겨진다.</t>
  </si>
  <si>
    <t>감독: Lindsay Branham</t>
  </si>
  <si>
    <t>할리우드적 스펙터클 너머, 2020년의 시선으로 담아낸 공포의 이야기. 공포란 이성이 침묵하는 순간 존재가 맞닥뜨리는 날것의 경험이다. 우리가 두려워하는 것은 대개 우리 자신의 그림자다. 완성도와 별개로, 이 작품이 던지려 한 질문은 유효하다.</t>
  </si>
  <si>
    <t>감독: Luke Greenfield
주연: 에밀 허쉬, 엘리샤 커스버트, 티모시 올리펀트</t>
  </si>
  <si>
    <t>판타지</t>
  </si>
  <si>
    <t>독일 특유의 사유의 무게를 지니며, 2010년의 시선으로 담아낸 판타지의 이야기. 신화는 인간이 말할 수 없는 것들을 말하는 언어다. 영웅의 여정은 결국 자기 자신으로 돌아오는 길이다. 평점이 담지 못하는 무언가가 이 영화에는 있다.</t>
  </si>
  <si>
    <t>감독: 리처드 켈리
주연: 카메론 디아즈, 제임스 마스던, Frank Langella</t>
  </si>
  <si>
    <t>할리우드적 스펙터클 너머, 2009년의 시선으로 담아낸 SF의 이야기. 미래를 상상하는 것은 현재를 비판하는 가장 우회적인 방법이다. 타자와의 만남은 언제나 자아의 재발견으로 이어진다. 아쉬움이 남지만, 모든 시도는 의미를 갖는다.</t>
  </si>
  <si>
    <t>감독: Michael Brandt
주연: 리처드 기어, 토퍼 그레이스, 마틴 쉰</t>
  </si>
  <si>
    <t>할리우드적 스펙터클 너머, 2012년의 시선으로 담아낸 범죄의 이야기. 법과 도덕 사이의 틈새에서 인간의 본성이 노출된다. 욕망은 언제나 질서보다 먼저 존재했다. 나름의 울림을 간직한 작품이다.</t>
  </si>
  <si>
    <t>감독: Bruno Mattei, Claudio Fragasso
주연: Miles O'Keeffe, Donald Pleasence, Bo Svenson</t>
  </si>
  <si>
    <t>할리우드적 스펙터클 너머, 2007년의 시선으로 담아낸 액션의 이야기. 충돌은 세계가 변화를 요구하는 방식이다. 육체의 한계에 도전하는 것은 곧 자아의 경계를 시험하는 일이다. 오랫동안 여운이 남는 작품이다.</t>
  </si>
  <si>
    <t>감독: David Michôd
주연: 티모시 샬라메, 조엘 에저튼, 숀 해리스</t>
  </si>
  <si>
    <t>사극</t>
  </si>
  <si>
    <t>영국적 절제와 냉소 사이에서, 2019년의 시선으로 담아낸 사극의 이야기. 역사의 무게는 개인의 삶을 짓누르지만, 그 안에서도 빛이 있다. 전통과 변화의 충돌 속에서 인간의 본질이 드러난다. 두고두고 다시 꺼내 볼 만한 작품이다.</t>
  </si>
  <si>
    <t>감독: Jeon Hyung-jun
주연: 윤상현, 황찬성, 이광수</t>
  </si>
  <si>
    <t>한국 특유의 정서가 켜켜이 쌓인 듯, 2014년의 시선으로 담아낸 코미디의 이야기. 가볍게 웃는 순간에도 삶의 무게는 그 그림자를 드리운다. 우스운 것과 슬픈 것은 본래 같은 뿌리에서 자란다. 완벽하지 않아도, 그 불완전함이 오히려 인간적이다.</t>
  </si>
  <si>
    <t>감독: 허진호
주연: 손예진, 박해일, 라미란</t>
  </si>
  <si>
    <t>한국 특유의 정서가 켜켜이 쌓인 듯, 2016년의 시선으로 담아낸 사극의 이야기. 시대의 억압 속에서도 인간의 욕망과 존엄은 꺾이지 않는다. 역사는 현재를 비추는 거울이며, 과거는 아직 끝나지 않았다. 오랫동안 여운이 남는 작품이다.</t>
  </si>
  <si>
    <t>감독: 더그 라이만
주연: 에런 테일러존슨, 존 시나, Laith Nakli</t>
  </si>
  <si>
    <t>할리우드적 스펙터클 너머, 2017년의 시선으로 담아낸 전쟁의 이야기. 전쟁을 기억하는 것은 반복하지 않기 위한 고통스러운 의무다. 전쟁은 인간의 이성이 멈추는 지점에서 시작된다. 완벽하지 않아도, 그 불완전함이 오히려 인간적이다.</t>
  </si>
  <si>
    <t>감독: 크리스토퍼 놀란
주연: 핀 화이트헤드, 톰 하디, 마크 라이런스</t>
  </si>
  <si>
    <t>영국적 절제와 냉소 사이에서, 2017년의 시선으로 담아낸 전쟁의 이야기. 전쟁을 기억하는 것은 반복하지 않기 위한 고통스러운 의무다. 총성은 멈추어도 그 상처는 세대를 넘어 흐른다. 시간이 지날수록 더 깊이 읽히는 영화다.</t>
  </si>
  <si>
    <t>감독: Liz Feldman
주연: 크리스티나 애플게이트, 린다 카델리니, 제임스 마스던</t>
  </si>
  <si>
    <t>드라마 형식 속에서, 할리우드적 스펙터클 너머, 2019년의 시선으로 담아낸 드라마의 이야기. 모든 이야기는 상처의 다른 이름이다. 삶은 언제나 해석을 기다리는 텍스트다. 이 작품이 남기는 이미지는 어떤 방식으로든 기억에 새겨진다.</t>
  </si>
  <si>
    <t>드라마 형식 속에서, 할리우드적 스펙터클 너머, 2020년의 시선으로 담아낸 드라마의 이야기. 모든 이야기는 상처의 다른 이름이다. 인간의 고통이란 결국 타인과의 거리에서 비롯된다. 이 작품이 남기는 이미지는 어떤 방식으로든 기억에 새겨진다.</t>
  </si>
  <si>
    <t>드라마 형식 속에서, 할리우드적 스펙터클 너머, 2022년의 시선으로 담아낸 드라마의 이야기. 우리는 각자의 서사 안에 갇혀 서로를 오해한다. 삶은 언제나 해석을 기다리는 텍스트다. 평점이 담지 못하는 무언가가 이 영화에는 있다.</t>
  </si>
  <si>
    <t>감독: Nic Alderton
주연: Sam Callis, Thais Botinas, Barnaby Kay</t>
  </si>
  <si>
    <t>할리우드적 스펙터클 너머, 2012년의 시선으로 담아낸 액션의 이야기. 생존의 욕망은 가장 원초적인 철학적 질문을 던진다. 육체의 한계에 도전하는 것은 곧 자아의 경계를 시험하는 일이다. 한 번쯤 들여다볼 가치가 있는 이야기다.</t>
  </si>
  <si>
    <t>감독: 장 마크 발레
주연: 제이크 질렌할, 나오미 왓츠, 크리스 쿠퍼</t>
  </si>
  <si>
    <t>할리우드적 스펙터클 너머, 2016년의 시선으로 담아낸 드라마의 이야기. 인간의 고통이란 결국 타인과의 거리에서 비롯된다. 모든 이야기는 상처의 다른 이름이다. 오랫동안 여운이 남는 작품이다.</t>
  </si>
  <si>
    <t>감독: 루이 말
주연: 제레미 아이언스, 쥘리에트 비노쉬, 미란다 리처드슨</t>
  </si>
  <si>
    <t>프랑스 영화 특유의 철학적 깊이로, 1992년의 시선으로 담아낸 드라마의 이야기. 모든 이야기는 상처의 다른 이름이다. 우리는 각자의 서사 안에 갇혀 서로를 오해한다. 한 번쯤 들여다볼 가치가 있는 이야기다.</t>
  </si>
  <si>
    <t>감독: Terry McDonough
주연: 사무엘 L. 잭슨, 뱅상 카셀, Gianni Capaldi</t>
  </si>
  <si>
    <t>할리우드적 스펙터클 너머, 2024년의 시선으로 담아낸 액션의 이야기. 육체의 한계에 도전하는 것은 곧 자아의 경계를 시험하는 일이다. 폭력의 언어 속에서도 인간은 존엄을 갈망한다. 아쉬움이 남지만, 모든 시도는 의미를 갖는다.</t>
  </si>
  <si>
    <t>감독: 제임스 완
주연: 케빈 베이컨, 개렛 헤들런드, Kelly Preston</t>
  </si>
  <si>
    <t>할리우드적 스펙터클 너머, 2007년의 시선으로 담아낸 액션의 이야기. 폭력의 언어 속에서도 인간은 존엄을 갈망한다. 충돌은 세계가 변화를 요구하는 방식이다. 흠이 있지만 진심이 담긴 시도였다.</t>
  </si>
  <si>
    <t>감독: 일라이 로스
주연: 브루스 윌리스, 빈센트 도노프리오, 딘 노리스</t>
  </si>
  <si>
    <t>할리우드적 스펙터클 너머, 2018년의 시선으로 담아낸 액션의 이야기. 충돌은 세계가 변화를 요구하는 방식이다. 폭력의 언어 속에서도 인간은 존엄을 갈망한다. 완벽하지 않아도, 그 불완전함이 오히려 인간적이다.</t>
  </si>
  <si>
    <t>감독: Shuo Yuan, Ke Wang
주연: Hong Shuang, Yuan Shuai, Bai Yunfeng</t>
  </si>
  <si>
    <t>할리우드적 스펙터클 너머, 2019년의 시선으로 담아낸 액션의 이야기. 충돌은 세계가 변화를 요구하는 방식이다. 육체의 한계에 도전하는 것은 곧 자아의 경계를 시험하는 일이다. 거칠지만 그 안에서도 인간의 흔적은 남는다.</t>
  </si>
  <si>
    <t>감독: 폴 토마스 앤더슨
주연: 다니엘 데이루이스, 폴 다노, Kevin J. O'Connor</t>
  </si>
  <si>
    <t>할리우드적 스펙터클 너머, 2007년의 시선으로 담아낸 드라마의 이야기. 모든 이야기는 상처의 다른 이름이다. 우리는 각자의 서사 안에 갇혀 서로를 오해한다. 두고두고 다시 꺼내 볼 만한 작품이다.</t>
  </si>
  <si>
    <t>감독: Rob Cohen
주연: 실베스터 스탤론, Amy Brenneman, 비고 모텐슨</t>
  </si>
  <si>
    <t>할리우드적 스펙터클 너머, 2013년의 시선으로 담아낸 액션의 이야기. 육체의 한계에 도전하는 것은 곧 자아의 경계를 시험하는 일이다. 폭력의 언어 속에서도 인간은 존엄을 갈망한다. 한 번쯤 들여다볼 가치가 있는 이야기다.</t>
  </si>
  <si>
    <t>감독: 앨런 파커
주연: 케빈 스페이시, 케이트 윈슬렛, 로라 리니</t>
  </si>
  <si>
    <t>할리우드적 스펙터클 너머, 2003년의 시선으로 담아낸 드라마의 이야기. 인간의 고통이란 결국 타인과의 거리에서 비롯된다. 우리는 각자의 서사 안에 갇혀 서로를 오해한다. 오랫동안 여운이 남는 작품이다.</t>
  </si>
  <si>
    <t>감독: 데이비드 크로넨버그
주연: 키이라 나이틀리, 비고 모텐슨, 마이클 패스벤더</t>
  </si>
  <si>
    <t>영국적 절제와 냉소 사이에서, 2011년의 시선으로 담아낸 드라마의 이야기. 모든 이야기는 상처의 다른 이름이다. 인간의 고통이란 결국 타인과의 거리에서 비롯된다. 시간이 지날수록 더 깊이 읽히는 영화다.</t>
  </si>
  <si>
    <t>감독: 토니 스콧
주연: 덴젤 워싱턴, 폴라 패튼, 발 킬머</t>
  </si>
  <si>
    <t>할리우드적 스펙터클 너머, 2006년의 시선으로 담아낸 액션의 이야기. 생존의 욕망은 가장 원초적인 철학적 질문을 던진다. 폭력의 언어 속에서도 인간은 존엄을 갈망한다. 이 작품이 남기는 이미지는 어떤 방식으로든 기억에 새겨진다.</t>
  </si>
  <si>
    <t>감독: James Manos Jr.
주연: 마이클 C. 홀, Jennifer Carpenter, Geoff Pierson</t>
  </si>
  <si>
    <t>드라마, 범죄, 스릴러</t>
  </si>
  <si>
    <t>12화</t>
  </si>
  <si>
    <t>드라마 형식 속에서, 할리우드적 스펙터클 너머, 2006년의 시선으로 담아낸 드라마의 이야기. 인간의 고통이란 결국 타인과의 거리에서 비롯된다. 삶은 언제나 해석을 기다리는 텍스트다. 평점이 담지 못하는 무언가가 이 영화에는 있다.</t>
  </si>
  <si>
    <t>드라마 형식 속에서, 할리우드적 스펙터클 너머, 2007년의 시선으로 담아낸 드라마의 이야기. 모든 이야기는 상처의 다른 이름이다. 인간의 고통이란 결국 타인과의 거리에서 비롯된다. 이 작품이 남기는 이미지는 어떤 방식으로든 기억에 새겨진다.</t>
  </si>
  <si>
    <t>감독: Clyde Phillips
주연: 마이클 C. 홀, Jack Alcott, Julia Jones</t>
  </si>
  <si>
    <t>드라마 형식 속에서, 할리우드적 스펙터클 너머, 2021년의 시선으로 담아낸 드라마의 이야기. 삶은 언제나 해석을 기다리는 텍스트다. 인간의 고통이란 결국 타인과의 거리에서 비롯된다. 이 작품이 남기는 이미지는 어떤 방식으로든 기억에 새겨진다.</t>
  </si>
  <si>
    <t>감독: 요아킴 트리에
주연: Eili Harboe, Kaya Wilkins, Henrik Rafaelsen</t>
  </si>
  <si>
    <t>2017년의 시선으로 담아낸 드라마 이야기가 우리에게 묻는다. 삶은 언제나 해석을 기다리는 텍스트다. 모든 이야기는 상처의 다른 이름이다. 흠이 있지만 진심이 담긴 시도였다.</t>
  </si>
  <si>
    <t>감독: 황동혁
주연: 공유, 정유미, 김현수</t>
  </si>
  <si>
    <t>한국 특유의 정서가 켜켜이 쌓인 듯, 2011년의 시선으로 담아낸 드라마의 이야기. 모든 이야기는 상처의 다른 이름이다. 우리는 각자의 서사 안에 갇혀 서로를 오해한다. 이 작품이 남기는 질문은 쉽게 사라지지 않는다.</t>
  </si>
  <si>
    <t>감독: Park Jung-bae
주연: 이제훈, 조우진, 신혜선</t>
  </si>
  <si>
    <t>한국 특유의 정서가 켜켜이 쌓인 듯, 2020년의 시선으로 담아낸 범죄의 이야기. 욕망은 언제나 질서보다 먼저 존재했다. 법과 도덕 사이의 틈새에서 인간의 본성이 노출된다. 이 작품이 남기는 질문은 쉽게 사라지지 않는다.</t>
  </si>
  <si>
    <t>감독: 채닝 테이텀, Reid Carolin
주연: 채닝 테이텀, Aavi Haas, Ryder McLaughlin</t>
  </si>
  <si>
    <t>할리우드적 스펙터클 너머, 2022년의 시선으로 담아낸 코미디의 이야기. 우스운 것과 슬픈 것은 본래 같은 뿌리에서 자란다. 가볍게 웃는 순간에도 삶의 무게는 그 그림자를 드리운다. 한 번쯤 들여다볼 가치가 있는 이야기다.</t>
  </si>
  <si>
    <t>감독: 크리스 콜럼버스
주연: 로건 러먼, Brandon T. Jackson, 알렉산드라 다다리오</t>
  </si>
  <si>
    <t>한국 특유의 정서가 켜켜이 쌓인 듯, 2010년의 시선으로 담아낸 드라마의 이야기. 삶은 언제나 해석을 기다리는 텍스트다. 우리는 각자의 서사 안에 갇혀 서로를 오해한다. 거칠지만 그 안에서도 인간의 흔적은 남는다.</t>
  </si>
  <si>
    <t>감독: 최동훈
주연: 김윤석, 김혜수, 이정재</t>
  </si>
  <si>
    <t>한국 특유의 정서가 켜켜이 쌓인 듯, 2012년의 시선으로 담아낸 범죄의 이야기. 법과 도덕 사이의 틈새에서 인간의 본성이 노출된다. 어둠 속에서도 인간은 스스로를 정당화하려 한다. 완벽하지 않아도, 그 불완전함이 오히려 인간적이다.</t>
  </si>
  <si>
    <t>감독: 舛田利雄, 후카사쿠 킨지, 리처드 플라이셔
주연: 마틴 발삼, 山村聰, Jason Robards</t>
  </si>
  <si>
    <t>할리우드적 스펙터클 너머, 1970년의 시선으로 담아낸 전쟁의 이야기. 총성은 멈추어도 그 상처는 세대를 넘어 흐른다. 전쟁은 인간의 이성이 멈추는 지점에서 시작된다. 두고두고 다시 꺼내 볼 만한 작품이다.</t>
  </si>
  <si>
    <t>감독: 홍상수
주연: 김민희, 서영화, 송선미</t>
  </si>
  <si>
    <t>77분</t>
  </si>
  <si>
    <t>한국 특유의 정서가 켜켜이 쌓인 듯, 2020년의 시선으로 담아낸 드라마의 이야기. 우리는 각자의 서사 안에 갇혀 서로를 오해한다. 모든 이야기는 상처의 다른 이름이다. 시간이 지날수록 더 깊이 읽히는 영화다.</t>
  </si>
  <si>
    <t>감독: 아오야마 신지
주연: 스다 마사키, 木下美咲, 篠原友希子</t>
  </si>
  <si>
    <t>섬세한 일본적 감수성으로, 2013년의 시선으로 담아낸 드라마의 이야기. 우리는 각자의 서사 안에 갇혀 서로를 오해한다. 인간의 고통이란 결국 타인과의 거리에서 비롯된다. 한 번쯤 들여다볼 가치가 있는 이야기다.</t>
  </si>
  <si>
    <t>감독: Lee Kwon
주연: 공효진, 김예원, 김성오</t>
  </si>
  <si>
    <t>한국 특유의 정서가 켜켜이 쌓인 듯, 2018년의 시선으로 담아낸 스릴러의 이야기. 진실은 언제나 우리가 감당할 수 없는 형태로 찾아온다. 긴장은 존재가 위협받을 때 가장 선명하게 빛난다. 한 번쯤 들여다볼 가치가 있는 이야기다.</t>
  </si>
  <si>
    <t>감독: 大根仁
주연: 아야노 고, 토요카와 에츠시, 키타무라 카즈키</t>
  </si>
  <si>
    <t>드라마 형식 속에서, 섬세한 일본적 감수성으로, 2024년의 시선으로 담아낸 드라마의 이야기. 우리는 각자의 서사 안에 갇혀 서로를 오해한다. 모든 이야기는 상처의 다른 이름이다. 평점이 담지 못하는 무언가가 이 영화에는 있다.</t>
  </si>
  <si>
    <t>감독: 구로사와 기요시
주연: 카가와 테루유키, 코이즈미 쿄코, 이노와키 카이</t>
  </si>
  <si>
    <t>섬세한 일본적 감수성으로, 2008년의 시선으로 담아낸 드라마의 이야기. 삶은 언제나 해석을 기다리는 텍스트다. 인간의 고통이란 결국 타인과의 거리에서 비롯된다. 이 작품이 남기는 질문은 쉽게 사라지지 않는다.</t>
  </si>
  <si>
    <t>감독: 松岡錠司
주연: 오다기리 조, 키키 키린, 内田也哉子</t>
  </si>
  <si>
    <t>섬세한 일본적 감수성으로, 2007년의 시선으로 담아낸 드라마의 이야기. 삶은 언제나 해석을 기다리는 텍스트다. 인간의 고통이란 결국 타인과의 거리에서 비롯된다. 흠이 있지만 진심이 담긴 시도였다.</t>
  </si>
  <si>
    <t>감독: 덱스터 플레처
주연: 태런 에저턴, 휴 잭맨, 크리스토퍼 워컨</t>
  </si>
  <si>
    <t>영국적 절제와 냉소 사이에서, 2016년의 시선으로 담아낸 드라마의 이야기. 인간의 고통이란 결국 타인과의 거리에서 비롯된다. 모든 이야기는 상처의 다른 이름이다. 두고두고 다시 꺼내 볼 만한 작품이다.</t>
  </si>
  <si>
    <t>감독: 이해영
주연: 조진웅, 류준열, 김주혁</t>
  </si>
  <si>
    <t>한국 특유의 정서가 켜켜이 쌓인 듯, 2018년의 시선으로 담아낸 액션의 이야기. 육체의 한계에 도전하는 것은 곧 자아의 경계를 시험하는 일이다. 충돌은 세계가 변화를 요구하는 방식이다. 아쉬움이 남지만, 모든 시도는 의미를 갖는다.</t>
  </si>
  <si>
    <t>감독: 박누리
주연: 류준열, 유지태, 조우진</t>
  </si>
  <si>
    <t>한국 특유의 정서가 켜켜이 쌓인 듯, 2019년의 시선으로 담아낸 범죄의 이야기. 욕망은 언제나 질서보다 먼저 존재했다. 어둠 속에서도 인간은 스스로를 정당화하려 한다. 두고두고 다시 꺼내 볼 만한 작품이다.</t>
  </si>
  <si>
    <t>감독: 아담 맥케이
주연: 레오나르도 디카프리오, 제니퍼 로렌스, 메릴 스트립</t>
  </si>
  <si>
    <t>할리우드적 스펙터클 너머, 2021년의 시선으로 담아낸 코미디의 이야기. 우스운 것과 슬픈 것은 본래 같은 뿌리에서 자란다. 가볍게 웃는 순간에도 삶의 무게는 그 그림자를 드리운다. 오랫동안 여운이 남는 작품이다.</t>
  </si>
  <si>
    <t>감독: Kim Yong-Han
주연: 유선, 남보라, Dong Ho</t>
  </si>
  <si>
    <t>한국 특유의 정서가 켜켜이 쌓인 듯, 2012년의 시선으로 담아낸 드라마의 이야기. 인간의 고통이란 결국 타인과의 거리에서 비롯된다. 삶은 언제나 해석을 기다리는 텍스트다. 흠이 있지만 진심이 담긴 시도였다.</t>
  </si>
  <si>
    <t>감독: 임상수
주연: 김강우, 백윤식, 윤여정</t>
  </si>
  <si>
    <t>한국 특유의 정서가 켜켜이 쌓인 듯, 2012년의 시선으로 담아낸 드라마의 이야기. 인간의 고통이란 결국 타인과의 거리에서 비롯된다. 우리는 각자의 서사 안에 갇혀 서로를 오해한다. 한 번쯤 들여다볼 가치가 있는 이야기다.</t>
  </si>
  <si>
    <t>감독: Taylor Hackford
주연: 캐시 베이츠, 제니퍼 제이슨 리, Judy Parfitt</t>
  </si>
  <si>
    <t>할리우드적 스펙터클 너머, 1995년의 시선으로 담아낸 스릴러의 이야기. 불안이란 현실이 균열을 드러내는 순간에 스며든다. 공포는 우리가 통제할 수 없는 것들에 대한 솔직한 고백이다. 이 작품이 남기는 질문은 쉽게 사라지지 않는다.</t>
  </si>
  <si>
    <t>감독: Kim Jeong-sik
주연: 김대명, 송윤아, 김의성</t>
  </si>
  <si>
    <t>한국 특유의 정서가 켜켜이 쌓인 듯, 2020년의 시선으로 담아낸 드라마의 이야기. 인간의 고통이란 결국 타인과의 거리에서 비롯된다. 삶은 언제나 해석을 기다리는 텍스트다. 이 작품이 남기는 질문은 쉽게 사라지지 않는다.</t>
  </si>
  <si>
    <t>감독: 박경수, 김용완
주연: 설경구, 김희애, 김미숙</t>
  </si>
  <si>
    <t>드라마 형식 속에서, 한국 특유의 정서가 켜켜이 쌓인 듯, 2024년의 시선으로 담아낸 드라마의 이야기. 모든 이야기는 상처의 다른 이름이다. 삶은 언제나 해석을 기다리는 텍스트다. 이 작품이 남기는 이미지는 어떤 방식으로든 기억에 새겨진다.</t>
  </si>
  <si>
    <t>감독: 찰스 마틴 스미스
주연: Winter The Dolphin, Nathan Gamble, Cozi Zuehlsdorff</t>
  </si>
  <si>
    <t>할리우드적 스펙터클 너머, 2014년의 시선으로 담아낸 드라마의 이야기. 삶은 언제나 해석을 기다리는 텍스트다. 모든 이야기는 상처의 다른 이름이다. 나름의 울림을 간직한 작품이다.</t>
  </si>
  <si>
    <t>할리우드적 스펙터클 너머, 2011년의 시선으로 담아낸 드라마의 이야기. 모든 이야기는 상처의 다른 이름이다. 인간의 고통이란 결국 타인과의 거리에서 비롯된다. 완성도와 별개로, 이 작품이 던지려 한 질문은 유효하다.</t>
  </si>
  <si>
    <t>감독: Richard Shepard
주연: 주드 로, Demián Bichir, 리처드 E. 그랜트</t>
  </si>
  <si>
    <t>영국적 절제와 냉소 사이에서, 2013년의 시선으로 담아낸 코미디의 이야기. 유머 속에는 세계의 부조리를 견뎌내는 지혜가 담겨 있다. 가볍게 웃는 순간에도 삶의 무게는 그 그림자를 드리운다. 이 작품이 남기는 이미지는 어떤 방식으로든 기억에 새겨진다.</t>
  </si>
  <si>
    <t>감독: 김정권
주연: 김하늘, 유지태, 하지원</t>
  </si>
  <si>
    <t>한국 특유의 정서가 켜켜이 쌓인 듯, 2000년의 시선으로 담아낸 로맨스의 이야기. 사랑은 자아의 경계가 흔들리는 순간에 찾아온다. 두 사람 사이의 침묵은 때로 말보다 더 많은 것을 말한다. 나름의 울림을 간직한 작품이다.</t>
  </si>
  <si>
    <t>감독: Kim Kyung-hyung
주연: 김하늘, 권상우, 김지우</t>
  </si>
  <si>
    <t>한국 특유의 정서가 켜켜이 쌓인 듯, 2003년의 시선으로 담아낸 코미디의 이야기. 우스운 것과 슬픈 것은 본래 같은 뿌리에서 자란다. 유머 속에는 세계의 부조리를 견뎌내는 지혜가 담겨 있다. 나름의 울림을 간직한 작품이다.</t>
  </si>
  <si>
    <t>감독: 야마다 요지
주연: 하시즈메 이사오, 吉行和子, 츠마부키 사토시</t>
  </si>
  <si>
    <t>146분</t>
  </si>
  <si>
    <t>섬세한 일본적 감수성으로, 2013년의 시선으로 담아낸 드라마의 이야기. 모든 이야기는 상처의 다른 이름이다. 삶은 언제나 해석을 기다리는 텍스트다. 이 작품이 남기는 질문은 쉽게 사라지지 않는다.</t>
  </si>
  <si>
    <t>감독: Im Jin-soon
주연: 마동석, 김새론, 장광</t>
  </si>
  <si>
    <t>한국 특유의 정서가 켜켜이 쌓인 듯, 2018년의 시선으로 담아낸 스릴러의 이야기. 공포는 우리가 통제할 수 없는 것들에 대한 솔직한 고백이다. 긴장은 존재가 위협받을 때 가장 선명하게 빛난다. 나름의 울림을 간직한 작품이다.</t>
  </si>
  <si>
    <t>감독: Park Hong-soo
주연: 최승현, 한예리, 윤제문</t>
  </si>
  <si>
    <t>한국 특유의 정서가 켜켜이 쌓인 듯, 2013년의 시선으로 담아낸 드라마의 이야기. 삶은 언제나 해석을 기다리는 텍스트다. 모든 이야기는 상처의 다른 이름이다. 흠이 있지만 진심이 담긴 시도였다.</t>
  </si>
  <si>
    <t>감독: 이종석
주연: 박지현, 최시원, 성동일</t>
  </si>
  <si>
    <t>한국 특유의 정서가 켜켜이 쌓인 듯, 2025년의 시선으로 담아낸 코미디의 이야기. 가볍게 웃는 순간에도 삶의 무게는 그 그림자를 드리운다. 우스운 것과 슬픈 것은 본래 같은 뿌리에서 자란다. 한 번쯤 들여다볼 가치가 있는 이야기다.</t>
  </si>
  <si>
    <t>감독: Charles Walters
주연: 셜리 맥클레인, Laurence Harvey, Jack Hawkins</t>
  </si>
  <si>
    <t>할리우드적 스펙터클 너머, 2017년의 시선으로 담아낸 로맨스의 이야기. 두 사람 사이의 침묵은 때로 말보다 더 많은 것을 말한다. 그리움이란 부재를 통해 존재를 확인하는 방식이다. 완벽하지 않아도, 그 불완전함이 오히려 인간적이다.</t>
  </si>
  <si>
    <t>감독: 페르난도 메이렐레스
주연: 조너선 프라이스, 안소니 홉킨스, 후안 미누힌</t>
  </si>
  <si>
    <t>영국적 절제와 냉소 사이에서, 2019년의 시선으로 담아낸 드라마의 이야기. 우리는 각자의 서사 안에 갇혀 서로를 오해한다. 삶은 언제나 해석을 기다리는 텍스트다. 오랫동안 여운이 남는 작품이다.</t>
  </si>
  <si>
    <t>감독: Sofia Gutman
주연: Amlan C. Larcher, Guillaume Gaudfrin, Nadege Batou</t>
  </si>
  <si>
    <t>프랑스 영화 특유의 철학적 깊이로, 2021년의 시선으로 담아낸 드라마의 이야기. 모든 이야기는 상처의 다른 이름이다. 삶은 언제나 해석을 기다리는 텍스트다. 나름의 울림을 간직한 작품이다.</t>
  </si>
  <si>
    <t>감독: Gina Kim
주연: 베라 파미가, 하정우, 데이비드 맥기니스</t>
  </si>
  <si>
    <t>한국 특유의 정서가 켜켜이 쌓인 듯, 2007년의 시선으로 담아낸 로맨스의 이야기. 사랑은 자아의 경계가 흔들리는 순간에 찾아온다. 설렘은 불완전한 존재가 완전함을 향해 뻗는 손길이다. 두고두고 다시 꺼내 볼 만한 작품이다.</t>
  </si>
  <si>
    <t>감독: 토드 필립스
주연: 로버트 다우니 주니어, 잭 갤리퍼내키스, 미셸 모나한</t>
  </si>
  <si>
    <t>할리우드적 스펙터클 너머, 2010년의 시선으로 담아낸 코미디의 이야기. 유머 속에는 세계의 부조리를 견뎌내는 지혜가 담겨 있다. 웃음은 고통을 소화하는 인간만의 방식이다. 완벽하지 않아도, 그 불완전함이 오히려 인간적이다.</t>
  </si>
  <si>
    <t>감독: 드니 빌뇌브
주연: 티모시 샬라메, 레베카 퍼거슨, 오스카 아이작</t>
  </si>
  <si>
    <t>할리우드적 스펙터클 너머, 2021년의 시선으로 담아낸 SF의 이야기. 기술이 진보할수록 인간다움의 정의는 더욱 절박해진다. 타자와의 만남은 언제나 자아의 재발견으로 이어진다. 이 작품이 남기는 질문은 쉽게 사라지지 않는다.</t>
  </si>
  <si>
    <t>감독: Robert Connolly
주연: 에릭 배너, Genevieve O'Reilly, Keir O'Donnell</t>
  </si>
  <si>
    <t>2020년의 시선으로 담아낸 스릴러 이야기가 우리에게 묻는다. 공포는 우리가 통제할 수 없는 것들에 대한 솔직한 고백이다. 진실은 언제나 우리가 감당할 수 없는 형태로 찾아온다. 흠이 있지만 진심이 담긴 시도였다.</t>
  </si>
  <si>
    <t>감독: 니콜라스 빈딩 레픈
주연: 라이언 고슬링, 캐리 멀리건, 브라이언 크랜스턴</t>
  </si>
  <si>
    <t>할리우드적 스펙터클 너머, 2011년의 시선으로 담아낸 액션의 이야기. 육체의 한계에 도전하는 것은 곧 자아의 경계를 시험하는 일이다. 충돌은 세계가 변화를 요구하는 방식이다. 거칠지만 그 안에서도 인간의 흔적은 남는다.</t>
  </si>
  <si>
    <t>감독: 하마구치 류스케
주연: 니시지마 히데토시, 미우라 토코, 오카다 마사키</t>
  </si>
  <si>
    <t>섬세한 일본적 감수성으로, 2021년의 시선으로 담아낸 드라마의 이야기. 우리는 각자의 서사 안에 갇혀 서로를 오해한다. 인간의 고통이란 결국 타인과의 거리에서 비롯된다. 두고두고 다시 꺼내 볼 만한 작품이다.</t>
  </si>
  <si>
    <t>감독: Patrick Lussier
주연: 니콜라스 케이지, 엠버 허드, 윌리엄 피츠너</t>
  </si>
  <si>
    <t>할리우드적 스펙터클 너머, 2011년의 시선으로 담아낸 액션의 이야기. 생존의 욕망은 가장 원초적인 철학적 질문을 던진다. 충돌은 세계가 변화를 요구하는 방식이다. 이 작품이 남기는 이미지는 어떤 방식으로든 기억에 새겨진다.</t>
  </si>
  <si>
    <t>감독: Shaz Bennett
주연: Martin L. Washington Jr., Maya Washington, Matt Dallas</t>
  </si>
  <si>
    <t>할리우드적 스펙터클 너머, 2018년의 시선으로 담아낸 액션의 이야기. 생존의 욕망은 가장 원초적인 철학적 질문을 던진다. 충돌은 세계가 변화를 요구하는 방식이다. 완벽하지 않아도, 그 불완전함이 오히려 인간적이다.</t>
  </si>
  <si>
    <t>감독: 이반 라이트만
주연: 케빈 코스트너, 제니퍼 가너, 데니스 리어리</t>
  </si>
  <si>
    <t>할리우드적 스펙터클 너머, 2014년의 시선으로 담아낸 드라마의 이야기. 인간의 고통이란 결국 타인과의 거리에서 비롯된다. 우리는 각자의 서사 안에 갇혀 서로를 오해한다. 이 작품이 남기는 질문은 쉽게 사라지지 않는다.</t>
  </si>
  <si>
    <t>감독: Jocelyn Moorhouse
주연: 케이트 윈슬렛, 리암 헴스워스, 캐럴라인 구돌</t>
  </si>
  <si>
    <t>2015년의 시선으로 담아낸 드라마 이야기가 우리에게 묻는다. 우리는 각자의 서사 안에 갇혀 서로를 오해한다. 모든 이야기는 상처의 다른 이름이다. 두고두고 다시 꺼내 볼 만한 작품이다.</t>
  </si>
  <si>
    <t>감독: 앤드류 니콜
주연: 에단 호크, 재뉴어리 존스, 조이 크래비츠</t>
  </si>
  <si>
    <t>할리우드적 스펙터클 너머, 2014년의 시선으로 담아낸 드라마의 이야기. 모든 이야기는 상처의 다른 이름이다. 우리는 각자의 서사 안에 갇혀 서로를 오해한다. 이 작품이 남기는 이미지는 어떤 방식으로든 기억에 새겨진다.</t>
  </si>
  <si>
    <t>감독: 크리스토퍼 랜던
주연: 메간 파히, 브랜든 스클레나, Reed Diamond</t>
  </si>
  <si>
    <t>할리우드적 스펙터클 너머, 2025년의 시선으로 담아낸 스릴러의 이야기. 긴장은 존재가 위협받을 때 가장 선명하게 빛난다. 진실은 언제나 우리가 감당할 수 없는 형태로 찾아온다. 한 번쯤 들여다볼 가치가 있는 이야기다.</t>
  </si>
  <si>
    <t>감독: Morgan O'Neill, Ben Nott
주연: 샘 워싱턴, Myles Pollard, 세이비어 새뮤얼</t>
  </si>
  <si>
    <t>2013년의 시선으로 담아낸 드라마 이야기가 우리에게 묻는다. 모든 이야기는 상처의 다른 이름이다. 인간의 고통이란 결국 타인과의 거리에서 비롯된다. 이 작품이 남기는 이미지는 어떤 방식으로든 기억에 새겨진다.</t>
  </si>
  <si>
    <t>감독: 짐 셰리던
주연: 다니엘 크레이그, 나오미 왓츠, 레이첼 와이즈</t>
  </si>
  <si>
    <t>할리우드적 스펙터클 너머, 2011년의 시선으로 담아낸 스릴러의 이야기. 공포는 우리가 통제할 수 없는 것들에 대한 솔직한 고백이다. 진실은 언제나 우리가 감당할 수 없는 형태로 찾아온다. 한 번쯤 들여다볼 가치가 있는 이야기다.</t>
  </si>
  <si>
    <t>감독: Euros Lyn
주연: 토니 콜렛, Owen Teale, 데미안 루이스</t>
  </si>
  <si>
    <t>영국적 절제와 냉소 사이에서, 2020년의 시선으로 담아낸 드라마의 이야기. 삶은 언제나 해석을 기다리는 텍스트다. 모든 이야기는 상처의 다른 이름이다. 한 번쯤 들여다볼 가치가 있는 이야기다.</t>
  </si>
  <si>
    <t>감독: Kim Bong-han, 신승환
주연: 김창옥</t>
  </si>
  <si>
    <t>한국 특유의 정서가 켜켜이 쌓인 듯, 2020년의 시선으로 담아낸 드라마의 이야기. 모든 이야기는 상처의 다른 이름이다. 삶은 언제나 해석을 기다리는 텍스트다. 이 작품이 남기는 질문은 쉽게 사라지지 않는다.</t>
  </si>
  <si>
    <t>감독: Marc Lawrence
주연: 휴 그랜트, 사라 제시카 파커, 샘 엘리엇</t>
  </si>
  <si>
    <t>할리우드적 스펙터클 너머, 2009년의 시선으로 담아낸 코미디의 이야기. 유머 속에는 세계의 부조리를 견뎌내는 지혜가 담겨 있다. 가볍게 웃는 순간에도 삶의 무게는 그 그림자를 드리운다. 한 번쯤 들여다볼 가치가 있는 이야기다.</t>
  </si>
  <si>
    <t>감독: 닉 카사베츠
주연: 카메론 디아즈, 레슬리 맨, 케이트 업튼</t>
  </si>
  <si>
    <t>할리우드적 스펙터클 너머, 2014년의 시선으로 담아낸 코미디의 이야기. 가볍게 웃는 순간에도 삶의 무게는 그 그림자를 드리운다. 유머 속에는 세계의 부조리를 견뎌내는 지혜가 담겨 있다. 완벽하지 않아도, 그 불완전함이 오히려 인간적이다.</t>
  </si>
  <si>
    <t>감독: 알레한드로 아메나바르
주연: 니콜 키드먼, Alakina Mann, James Bentley</t>
  </si>
  <si>
    <t>할리우드적 스펙터클 너머, 2001년의 시선으로 담아낸 공포의 이야기. 불가해한 것 앞에서 인간은 얼마나 작은가를 깨닫는다. 공포란 이성이 침묵하는 순간 존재가 맞닥뜨리는 날것의 경험이다. 이 작품이 남기는 질문은 쉽게 사라지지 않는다.</t>
  </si>
  <si>
    <t>감독: Patrick Brice
주연: 애덤 스콧, 테일러 쉴링, 제이슨 슈워츠먼</t>
  </si>
  <si>
    <t>할리우드적 스펙터클 너머, 2015년의 시선으로 담아낸 코미디의 이야기. 가볍게 웃는 순간에도 삶의 무게는 그 그림자를 드리운다. 우스운 것과 슬픈 것은 본래 같은 뿌리에서 자란다. 이 작품이 남기는 이미지는 어떤 방식으로든 기억에 새겨진다.</t>
  </si>
  <si>
    <t>감독: 에반 골드버그, 세스 로건
주연: 제임스 프랭코, 세스 로건, 리지 캐플런</t>
  </si>
  <si>
    <t>할리우드적 스펙터클 너머, 2014년의 시선으로 담아낸 코미디의 이야기. 우스운 것과 슬픈 것은 본래 같은 뿌리에서 자란다. 웃음은 고통을 소화하는 인간만의 방식이다. 평점이 담지 못하는 무언가가 이 영화에는 있다.</t>
  </si>
  <si>
    <t>감독: 조슬예
주연: 신민아, 이유영, 이규형</t>
  </si>
  <si>
    <t>84분</t>
  </si>
  <si>
    <t>한국 특유의 정서가 켜켜이 쌓인 듯, 2020년의 시선으로 담아낸 스릴러의 이야기. 공포는 우리가 통제할 수 없는 것들에 대한 솔직한 고백이다. 긴장은 존재가 위협받을 때 가장 선명하게 빛난다. 아쉬움이 남지만, 모든 시도는 의미를 갖는다.</t>
  </si>
  <si>
    <t>감독: 세바스티안 렐리오
주연: 레이첼 와이즈, 레이첼 맥아담스, 알렉산드로 니볼라</t>
  </si>
  <si>
    <t>영국적 절제와 냉소 사이에서, 2017년의 시선으로 담아낸 드라마의 이야기. 인간의 고통이란 결국 타인과의 거리에서 비롯된다. 삶은 언제나 해석을 기다리는 텍스트다. 완벽하지 않아도, 그 불완전함이 오히려 인간적이다.</t>
  </si>
  <si>
    <t>감독: 알렉산더 페인
주연: 조지 클루니, 쉐일린 우들리, Amara Miller</t>
  </si>
  <si>
    <t>할리우드적 스펙터클 너머, 2011년의 시선으로 담아낸 드라마의 이야기. 인간의 고통이란 결국 타인과의 거리에서 비롯된다. 우리는 각자의 서사 안에 갇혀 서로를 오해한다. 두고두고 다시 꺼내 볼 만한 작품이다.</t>
  </si>
  <si>
    <t>감독: 맥지
주연: 리즈 위더스푼, 크리스 파인, 톰 하디</t>
  </si>
  <si>
    <t>할리우드적 스펙터클 너머, 2012년의 시선으로 담아낸 코미디의 이야기. 우스운 것과 슬픈 것은 본래 같은 뿌리에서 자란다. 웃음은 고통을 소화하는 인간만의 방식이다. 시간이 지날수록 더 깊이 읽히는 영화다.</t>
  </si>
  <si>
    <t>감독: 저드 아패토우
주연: 폴 러드, 레슬리 맨, 존 리스고</t>
  </si>
  <si>
    <t>할리우드적 스펙터클 너머, 2012년의 시선으로 담아낸 코미디의 이야기. 웃음은 고통을 소화하는 인간만의 방식이다. 우스운 것과 슬픈 것은 본래 같은 뿌리에서 자란다. 나름의 울림을 간직한 작품이다.</t>
  </si>
  <si>
    <t>감독: Henry Alex Rubin
주연: 제이슨 베이트먼, 호프 데이비스, 프랭크 그릴로</t>
  </si>
  <si>
    <t>할리우드적 스펙터클 너머, 2012년의 시선으로 담아낸 드라마의 이야기. 인간의 고통이란 결국 타인과의 거리에서 비롯된다. 삶은 언제나 해석을 기다리는 텍스트다. 시간이 지날수록 더 깊이 읽히는 영화다.</t>
  </si>
  <si>
    <t>감독: Charlie McDowell
주연: 제이슨 시걸, 루니 마라, 로버트 레드포드</t>
  </si>
  <si>
    <t>할리우드적 스펙터클 너머, 2017년의 시선으로 담아낸 드라마의 이야기. 삶은 언제나 해석을 기다리는 텍스트다. 모든 이야기는 상처의 다른 이름이다. 이 작품이 남기는 이미지는 어떤 방식으로든 기억에 새겨진다.</t>
  </si>
  <si>
    <t>감독: 알폰소 쿠아론
주연: 케이트 블란쳇, 케빈 클라인, 사샤 바론 코헨</t>
  </si>
  <si>
    <t>드라마 형식 속에서, 영국적 절제와 냉소 사이에서, 2024년의 시선으로 담아낸 드라마의 이야기. 모든 이야기는 상처의 다른 이름이다. 삶은 언제나 해석을 기다리는 텍스트다. 평점이 담지 못하는 무언가가 이 영화에는 있다.</t>
  </si>
  <si>
    <t>감독: D.J. Caruso
주연: 샤이아 라보프, Sarah Roemer, 캐리 앤 모스</t>
  </si>
  <si>
    <t>할리우드적 스펙터클 너머, 2007년의 시선으로 담아낸 스릴러의 이야기. 공포는 우리가 통제할 수 없는 것들에 대한 솔직한 고백이다. 불안이란 현실이 균열을 드러내는 순간에 스며든다. 한 번쯤 들여다볼 가치가 있는 이야기다.</t>
  </si>
  <si>
    <t>감독: 레니 할린
주연: Holly Goss, Matt Stokoe, Luke Albright</t>
  </si>
  <si>
    <t>할리우드적 스펙터클 너머, 2013년의 시선으로 담아낸 공포의 이야기. 어둠은 우리 내면의 억압된 것들이 귀환하는 문이다. 우리가 두려워하는 것은 대개 우리 자신의 그림자다. 한 번쯤 들여다볼 가치가 있는 이야기다.</t>
  </si>
  <si>
    <t>감독: 패디 콘시딘
주연: 피터 뮬런, 올리비아 콜먼, 에디 마산</t>
  </si>
  <si>
    <t>영국적 절제와 냉소 사이에서, 2012년의 시선으로 담아낸 드라마의 이야기. 삶은 언제나 해석을 기다리는 텍스트다. 인간의 고통이란 결국 타인과의 거리에서 비롯된다. 오랫동안 여운이 남는 작품이다.</t>
  </si>
  <si>
    <t>감독: Willis Ikedum
주연: Daniel K. Daniel, Liz Benson</t>
  </si>
  <si>
    <t>광활한 대지의 이야기를 담아, 2014년의 시선으로 담아낸 드라마의 이야기. 우리는 각자의 서사 안에 갇혀 서로를 오해한다. 삶은 언제나 해석을 기다리는 텍스트다. 시간이 지날수록 더 깊이 읽히는 영화다.</t>
  </si>
  <si>
    <t>감독: 캐스린 비글로
주연: 존 보예가, 윌 폴터, 안소니 마키</t>
  </si>
  <si>
    <t>할리우드적 스펙터클 너머, 2017년의 시선으로 담아낸 드라마의 이야기. 우리는 각자의 서사 안에 갇혀 서로를 오해한다. 삶은 언제나 해석을 기다리는 텍스트다. 두고두고 다시 꺼내 볼 만한 작품이다.</t>
  </si>
  <si>
    <t>감독: 에드워드 즈윅
주연: 다니엘 크레이그, 리에브 슈라이버, 제이미 벨</t>
  </si>
  <si>
    <t>할리우드적 스펙터클 너머, 2008년의 시선으로 담아낸 드라마의 이야기. 삶은 언제나 해석을 기다리는 텍스트다. 우리는 각자의 서사 안에 갇혀 서로를 오해한다. 이 작품이 남기는 질문은 쉽게 사라지지 않는다.</t>
  </si>
  <si>
    <t>감독: 마틴 스콜세지
주연: 레오나르도 디카프리오, 맷 데이먼, 잭 니콜슨</t>
  </si>
  <si>
    <t>151분</t>
  </si>
  <si>
    <t>할리우드적 스펙터클 너머, 2006년의 시선으로 담아낸 범죄의 이야기. 죄란 사회가 만든 경계를 넘는 행위이자 그 경계에 대한 질문이다. 욕망은 언제나 질서보다 먼저 존재했다. 이 작품이 남기는 질문은 쉽게 사라지지 않는다.</t>
  </si>
  <si>
    <t>드라마, 액션, 군사</t>
  </si>
  <si>
    <t>드라마 형식 속에서, 한국 특유의 정서가 켜켜이 쌓인 듯, 2021년의 시선으로 담아낸 드라마의 이야기. 모든 이야기는 상처의 다른 이름이다. 삶은 언제나 해석을 기다리는 텍스트다. 이 작품이 남기는 이미지는 어떤 방식으로든 기억에 새겨진다.</t>
  </si>
  <si>
    <t>감독: Ken Scott
주연: 빈스 본, 코비 스멀더스, 크리스 프랫</t>
  </si>
  <si>
    <t>할리우드적 스펙터클 너머, 2013년의 시선으로 담아낸 코미디의 이야기. 가볍게 웃는 순간에도 삶의 무게는 그 그림자를 드리운다. 웃음은 고통을 소화하는 인간만의 방식이다. 두고두고 다시 꺼내 볼 만한 작품이다.</t>
  </si>
  <si>
    <t>감독: John Pogue
주연: Tania Raymonde, 나다니엘 부졸릭, Emerson Brooks</t>
  </si>
  <si>
    <t>할리우드적 스펙터클 너머, 2020년의 시선으로 담아낸 액션의 이야기. 충돌은 세계가 변화를 요구하는 방식이다. 생존의 욕망은 가장 원초적인 철학적 질문을 던진다. 한 번쯤 들여다볼 가치가 있는 이야기다.</t>
  </si>
  <si>
    <t>감독: Darin Scott
주연: Danielle Savre, Rob Mayes, 마이클 비치</t>
  </si>
  <si>
    <t>할리우드적 스펙터클 너머, 2018년의 시선으로 담아낸 액션의 이야기. 육체의 한계에 도전하는 것은 곧 자아의 경계를 시험하는 일이다. 생존의 욕망은 가장 원초적인 철학적 질문을 던진다. 한 번쯤 들여다볼 가치가 있는 이야기다.</t>
  </si>
  <si>
    <t>감독: 애드리안 라인
주연: 벤 애플렉, 아나 데 아르마스, 트레이시 레츠</t>
  </si>
  <si>
    <t>할리우드적 스펙터클 너머, 2022년의 시선으로 담아낸 스릴러의 이야기. 공포는 우리가 통제할 수 없는 것들에 대한 솔직한 고백이다. 진실은 언제나 우리가 감당할 수 없는 형태로 찾아온다. 흠이 있지만 진심이 담긴 시도였다.</t>
  </si>
  <si>
    <t>감독: 미미 레더
주연: 로버트 듀발, 테아 레오니, 일라이저 우드</t>
  </si>
  <si>
    <t>할리우드적 스펙터클 너머, 1998년의 시선으로 담아낸 SF의 이야기. 기술이 진보할수록 인간다움의 정의는 더욱 절박해진다. 우주의 광대함 앞에서 인간의 질문은 더욱 깊어진다. 두고두고 다시 꺼내 볼 만한 작품이다.</t>
  </si>
  <si>
    <t>감독: 피터 버그
주연: 마크 월버그, 커트 러셀, 존 말코비치</t>
  </si>
  <si>
    <t>할리우드적 스펙터클 너머, 2016년의 시선으로 담아낸 액션의 이야기. 육체의 한계에 도전하는 것은 곧 자아의 경계를 시험하는 일이다. 충돌은 세계가 변화를 요구하는 방식이다. 이 작품이 남기는 질문은 쉽게 사라지지 않는다.</t>
  </si>
  <si>
    <t>감독: 沖田修一
주연: 야쿠쇼 코지, 오구리 슌, 고라 겐고</t>
  </si>
  <si>
    <t>섬세한 일본적 감수성으로, 2012년의 시선으로 담아낸 드라마의 이야기. 인간의 고통이란 결국 타인과의 거리에서 비롯된다. 삶은 언제나 해석을 기다리는 텍스트다. 시간이 지날수록 더 깊이 읽히는 영화다.</t>
  </si>
  <si>
    <t>감독: Stuart Blumberg
주연: 마크 러팔로, 기네스 팰트로, 팀 로빈스</t>
  </si>
  <si>
    <t>할리우드적 스펙터클 너머, 2012년의 시선으로 담아낸 코미디의 이야기. 웃음은 고통을 소화하는 인간만의 방식이다. 우스운 것과 슬픈 것은 본래 같은 뿌리에서 자란다. 완벽하지 않아도, 그 불완전함이 오히려 인간적이다.</t>
  </si>
  <si>
    <t>감독: Shawn Christensen
주연: Shawn Christensen, Fatima Ptacek, 에미 로섬</t>
  </si>
  <si>
    <t>영국적 절제와 냉소 사이에서, 2014년의 시선으로 담아낸 드라마의 이야기. 인간의 고통이란 결국 타인과의 거리에서 비롯된다. 삶은 언제나 해석을 기다리는 텍스트다. 평점이 담지 못하는 무언가가 이 영화에는 있다.</t>
  </si>
  <si>
    <t>감독: 木村大作
주연: 오카다 준이치, 니시지마 히데토시, 쿠로키 하루</t>
  </si>
  <si>
    <t>섬세한 일본적 감수성으로, 2018년의 시선으로 담아낸 사극의 이야기. 역사의 무게는 개인의 삶을 짓누르지만, 그 안에서도 빛이 있다. 전통과 변화의 충돌 속에서 인간의 본질이 드러난다. 이 작품이 남기는 이미지는 어떤 방식으로든 기억에 새겨진다.</t>
  </si>
  <si>
    <t>감독: Kim Tae-yun
주연: 박철민, 윤유선, 김규리</t>
  </si>
  <si>
    <t>한국 특유의 정서가 켜켜이 쌓인 듯, 2013년의 시선으로 담아낸 드라마의 이야기. 삶은 언제나 해석을 기다리는 텍스트다. 인간의 고통이란 결국 타인과의 거리에서 비롯된다. 시간이 지날수록 더 깊이 읽히는 영화다.</t>
  </si>
  <si>
    <t>감독: Nam Taek-soo
주연: 이홍기, 백진희, 마동석</t>
  </si>
  <si>
    <t>한국 특유의 정서가 켜켜이 쌓인 듯, 2013년의 시선으로 담아낸 드라마의 이야기. 모든 이야기는 상처의 다른 이름이다. 삶은 언제나 해석을 기다리는 텍스트다. 이 작품이 남기는 질문은 쉽게 사라지지 않는다.</t>
  </si>
  <si>
    <t>감독: Martin Sundland, Lars Gudmestad
주연: Anders Baasmo Christiansen, 잉리 볼쇠 베르달, Alma Günther</t>
  </si>
  <si>
    <t>드라마 형식 속에서, 2024년의 시선으로 담아낸 드라마 이야기가 우리에게 묻는다. 모든 이야기는 상처의 다른 이름이다. 인간의 고통이란 결국 타인과의 거리에서 비롯된다. 평점이 담지 못하는 무언가가 이 영화에는 있다.</t>
  </si>
  <si>
    <t>감독: Michael Tollin
주연: 쿠바 구딩 주니어, 에드 해리스, 알프레 우더드</t>
  </si>
  <si>
    <t>할리우드적 스펙터클 너머, 2003년의 시선으로 담아낸 드라마의 이야기. 우리는 각자의 서사 안에 갇혀 서로를 오해한다. 삶은 언제나 해석을 기다리는 텍스트다. 평점이 담지 못하는 무언가가 이 영화에는 있다.</t>
  </si>
  <si>
    <t>감독: 데이미언 셔젤
주연: 라이언 고슬링, 엠마 스톤, 존 레전드</t>
  </si>
  <si>
    <t>할리우드적 스펙터클 너머, 2016년의 시선으로 담아낸 로맨스의 이야기. 설렘은 불완전한 존재가 완전함을 향해 뻗는 손길이다. 두 사람 사이의 침묵은 때로 말보다 더 많은 것을 말한다. 오랫동안 여운이 남는 작품이다.</t>
  </si>
  <si>
    <t>할리우드적 스펙터클 너머, 2008년의 시선으로 담아낸 코미디의 이야기. 우스운 것과 슬픈 것은 본래 같은 뿌리에서 자란다. 유머 속에는 세계의 부조리를 견뎌내는 지혜가 담겨 있다. 나름의 울림을 간직한 작품이다.</t>
  </si>
  <si>
    <t>감독: Olivier Dahan
주연: 마리옹 꼬띠아르, 실비 테스튀, Pascal Greggory</t>
  </si>
  <si>
    <t>프랑스 영화 특유의 철학적 깊이로, 2007년의 시선으로 담아낸 드라마의 이야기. 인간의 고통이란 결국 타인과의 거리에서 비롯된다. 우리는 각자의 서사 안에 갇혀 서로를 오해한다. 오랫동안 여운이 남는 작품이다.</t>
  </si>
  <si>
    <t>감독: 구로사와 아키라
주연: 미후네 토시로, 쿄 마치코, 시무라 타카시</t>
  </si>
  <si>
    <t>섬세한 일본적 감수성으로, 1950년의 시선으로 담아낸 드라마의 이야기. 우리는 각자의 서사 안에 갇혀 서로를 오해한다. 모든 이야기는 상처의 다른 이름이다. 이 작품이 남기는 이미지는 어떤 방식으로든 기억에 새겨진다.</t>
  </si>
  <si>
    <t>감독: 마이크 피기스
주연: 니콜라스 케이지, 엘리자베스 슈, 줄리언 샌즈</t>
  </si>
  <si>
    <t>할리우드적 스펙터클 너머, 1995년의 시선으로 담아낸 드라마의 이야기. 모든 이야기는 상처의 다른 이름이다. 삶은 언제나 해석을 기다리는 텍스트다. 나름의 울림을 간직한 작품이다.</t>
  </si>
  <si>
    <t>감독: Tom Vaughan
주연: 카메론 디아즈, 애쉬튼 커쳐, 롭 코드리</t>
  </si>
  <si>
    <t>할리우드적 스펙터클 너머, 2008년의 시선으로 담아낸 코미디의 이야기. 우스운 것과 슬픈 것은 본래 같은 뿌리에서 자란다. 웃음은 고통을 소화하는 인간만의 방식이다. 오랫동안 여운이 남는 작품이다.</t>
  </si>
  <si>
    <t>감독: Massy Tadjedin
주연: 키이라 나이틀리, 샘 워싱턴, 에바 멘데스</t>
  </si>
  <si>
    <t>할리우드적 스펙터클 너머, 2010년의 시선으로 담아낸 로맨스의 이야기. 설렘은 불완전한 존재가 완전함을 향해 뻗는 손길이다. 그리움이란 부재를 통해 존재를 확인하는 방식이다. 시간이 지날수록 더 깊이 읽히는 영화다.</t>
  </si>
  <si>
    <t>감독: 리들리 스콧
주연: 맷 데이먼, 애덤 드라이버, 조디 코머</t>
  </si>
  <si>
    <t>할리우드적 스펙터클 너머, 2021년의 시선으로 담아낸 액션의 이야기. 충돌은 세계가 변화를 요구하는 방식이다. 육체의 한계에 도전하는 것은 곧 자아의 경계를 시험하는 일이다. 평점이 담지 못하는 무언가가 이 영화에는 있다.</t>
  </si>
  <si>
    <t>감독: Michael Cimpher, Charles Ortleb</t>
  </si>
  <si>
    <t>할리우드적 스펙터클 너머, 2006년의 시선으로 담아낸 로맨스의 이야기. 설렘은 불완전한 존재가 완전함을 향해 뻗는 손길이다. 사랑은 자아의 경계가 흔들리는 순간에 찾아온다. 오랫동안 여운이 남는 작품이다.</t>
  </si>
  <si>
    <t>감독: 滝田洋二郎
주연: 니노미야 카즈나리, 니시지마 히데토시, 아야노 고</t>
  </si>
  <si>
    <t>섬세한 일본적 감수성으로, 2017년의 시선으로 담아낸 드라마의 이야기. 우리는 각자의 서사 안에 갇혀 서로를 오해한다. 인간의 고통이란 결국 타인과의 거리에서 비롯된다. 평점이 담지 못하는 무언가가 이 영화에는 있다.</t>
  </si>
  <si>
    <t>섬세한 일본적 감수성으로, 2019년의 시선으로 담아낸 드라마의 이야기. 인간의 고통이란 결국 타인과의 거리에서 비롯된다. 우리는 각자의 서사 안에 갇혀 서로를 오해한다. 시간이 지날수록 더 깊이 읽히는 영화다.</t>
  </si>
  <si>
    <t>감독: Michael Peterson</t>
  </si>
  <si>
    <t>섬세한 일본적 감수성으로, 2024년의 시선으로 담아낸 드라마의 이야기. 우리는 각자의 서사 안에 갇혀 서로를 오해한다. 모든 이야기는 상처의 다른 이름이다. 나름의 울림을 간직한 작품이다.</t>
  </si>
  <si>
    <t>감독: 마이클 만
주연: 다니엘 데이루이스, 매들린 스토우, 조디 메이</t>
  </si>
  <si>
    <t>할리우드적 스펙터클 너머, 1992년의 시선으로 담아낸 액션의 이야기. 폭력의 언어 속에서도 인간은 존엄을 갈망한다. 육체의 한계에 도전하는 것은 곧 자아의 경계를 시험하는 일이다. 이 작품이 남기는 질문은 쉽게 사라지지 않는다.</t>
  </si>
  <si>
    <t>감독: 토마스 빈터베리
주연: 마티아스 스후나르츠, 레아 세이두, 페터 지모니셰크</t>
  </si>
  <si>
    <t>할리우드적 스펙터클 너머, 2018년의 시선으로 담아낸 액션의 이야기. 육체의 한계에 도전하는 것은 곧 자아의 경계를 시험하는 일이다. 충돌은 세계가 변화를 요구하는 방식이다. 이 작품이 남기는 질문은 쉽게 사라지지 않는다.</t>
  </si>
  <si>
    <t>감독: Jon Turteltaub
주연: 로버트 드 니로, 모건 프리먼, 마이클 더글라스</t>
  </si>
  <si>
    <t>할리우드적 스펙터클 너머, 2013년의 시선으로 담아낸 코미디의 이야기. 웃음은 고통을 소화하는 인간만의 방식이다. 유머 속에는 세계의 부조리를 견뎌내는 지혜가 담겨 있다. 시간이 지날수록 더 깊이 읽히는 영화다.</t>
  </si>
  <si>
    <t>감독: 알렉스 파킨슨
주연: 우디 해럴슨, 시무 리우, 핀 콜</t>
  </si>
  <si>
    <t>영국적 절제와 냉소 사이에서, 2025년의 시선으로 담아낸 스릴러의 이야기. 긴장은 존재가 위협받을 때 가장 선명하게 빛난다. 진실은 언제나 우리가 감당할 수 없는 형태로 찾아온다. 한 번쯤 들여다볼 가치가 있는 이야기다.</t>
  </si>
  <si>
    <t>감독: Julie Anne Robinson
주연: 마일리 사이러스, 그렉 키니어, Bobby Coleman</t>
  </si>
  <si>
    <t>할리우드적 스펙터클 너머, 2010년의 시선으로 담아낸 드라마의 이야기. 우리는 각자의 서사 안에 갇혀 서로를 오해한다. 삶은 언제나 해석을 기다리는 텍스트다. 이 작품이 남기는 이미지는 어떤 방식으로든 기억에 새겨진다.</t>
  </si>
  <si>
    <t>감독: Hank Steinberg, Steven Kane
주연: 에릭 데인, 애덤 볼드윈, 찰스 파넬</t>
  </si>
  <si>
    <t>드라마 형식 속에서, 할리우드적 스펙터클 너머, 2014년의 시선으로 담아낸 드라마의 이야기. 우리는 각자의 서사 안에 갇혀 서로를 오해한다. 삶은 언제나 해석을 기다리는 텍스트다. 평점이 담지 못하는 무언가가 이 영화에는 있다.</t>
  </si>
  <si>
    <t>드라마 형식 속에서, 할리우드적 스펙터클 너머, 2015년의 시선으로 담아낸 드라마의 이야기. 모든 이야기는 상처의 다른 이름이다. 우리는 각자의 서사 안에 갇혀 서로를 오해한다. 이 작품이 남기는 이미지는 어떤 방식으로든 기억에 새겨진다.</t>
  </si>
  <si>
    <t>드라마 형식 속에서, 할리우드적 스펙터클 너머, 2016년의 시선으로 담아낸 드라마의 이야기. 모든 이야기는 상처의 다른 이름이다. 인간의 고통이란 결국 타인과의 거리에서 비롯된다. 평점이 담지 못하는 무언가가 이 영화에는 있다.</t>
  </si>
  <si>
    <t>드라마 형식 속에서, 할리우드적 스펙터클 너머, 2017년의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</si>
  <si>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2018년의 시선으로 담아낸 드라마의 이야기. 우리는 각자의 서사 안에 갇혀 서로를 오해한다. 삶은 언제나 해석을 기다리는 텍스트다. 이 작품이 남기는 이미지는 어떤 방식으로든 기억에 새겨진다.</t>
  </si>
  <si>
    <t>감독: 김지운
주연: 아놀드 슈왈제네거, 조니 녹스빌, 제이미 알렉산더</t>
  </si>
  <si>
    <t>할리우드적 스펙터클 너머, 2013년의 시선으로 담아낸 액션의 이야기. 폭력의 언어 속에서도 인간은 존엄을 갈망한다. 육체의 한계에 도전하는 것은 곧 자아의 경계를 시험하는 일이다. 한 번쯤 들여다볼 가치가 있는 이야기다.</t>
  </si>
  <si>
    <t>감독: James Krisel, Colin Krisel
주연: 잭 에이버리, 사마라 위빙, 칼리 체이킨</t>
  </si>
  <si>
    <t>할리우드적 스펙터클 너머, 2020년의 시선으로 담아낸 스릴러의 이야기. 공포는 우리가 통제할 수 없는 것들에 대한 솔직한 고백이다. 진실은 언제나 우리가 감당할 수 없는 형태로 찾아온다. 평점이 담지 못하는 무언가가 이 영화에는 있다.</t>
  </si>
  <si>
    <t>감독: Geoffrey Haley
주연: 위노나 라이더, 웨스 벤틀리, 레이 로마노</t>
  </si>
  <si>
    <t>감독: 폴 피그
주연: 에밀리아 클라크, 헨리 골딩, 양자경</t>
  </si>
  <si>
    <t>영국적 절제와 냉소 사이에서, 2019년의 시선으로 담아낸 로맨스의 이야기. 그리움이란 부재를 통해 존재를 확인하는 방식이다. 사랑은 자아의 경계가 흔들리는 순간에 찾아온다. 흠이 있지만 진심이 담긴 시도였다.</t>
  </si>
  <si>
    <t>감독: Larry Levene
주연: Folco Felzani</t>
  </si>
  <si>
    <t>2016년의 시선으로 담아낸 액션 이야기가 우리에게 묻는다. 폭력의 언어 속에서도 인간은 존엄을 갈망한다. 생존의 욕망은 가장 원초적인 철학적 질문을 던진다. 나름의 울림을 간직한 작품이다.</t>
  </si>
  <si>
    <t>감독: Todd Robinson
주연: 세바스찬 스탠, 크리스토퍼 플러머, 윌리엄 허트</t>
  </si>
  <si>
    <t>할리우드적 스펙터클 너머, 2019년의 시선으로 담아낸 드라마의 이야기. 인간의 고통이란 결국 타인과의 거리에서 비롯된다. 우리는 각자의 서사 안에 갇혀 서로를 오해한다. 오랫동안 여운이 남는 작품이다.</t>
  </si>
  <si>
    <t>감독: Jon Bokenkamp, Richard D'Ovidio
주연: 제이슨 클라크, 헤일리 베넷, 도미닉 쿠퍼</t>
  </si>
  <si>
    <t>드라마 형식 속에서, 할리우드적 스펙터클 너머, 2025년의 시선으로 담아낸 드라마의 이야기. 인간의 고통이란 결국 타인과의 거리에서 비롯된다. 우리는 각자의 서사 안에 갇혀 서로를 오해한다. 평점이 담지 못하는 무언가가 이 영화에는 있다.</t>
  </si>
  <si>
    <t>감독: Pan Nalin
주연: Bhavin Rabari, Richa Meena, Bhavesh Shrimali</t>
  </si>
  <si>
    <t>2021년의 시선으로 담아낸 드라마 이야기가 우리에게 묻는다. 우리는 각자의 서사 안에 갇혀 서로를 오해한다. 모든 이야기는 상처의 다른 이름이다. 이 작품이 남기는 질문은 쉽게 사라지지 않는다.</t>
  </si>
  <si>
    <t>감독: 웨인 왕
주연: 퀸 라티파, LL 쿨 J, Timothy Hutton</t>
  </si>
  <si>
    <t>할리우드적 스펙터클 너머, 2006년의 시선으로 담아낸 코미디의 이야기. 우스운 것과 슬픈 것은 본래 같은 뿌리에서 자란다. 웃음은 고통을 소화하는 인간만의 방식이다. 두고두고 다시 꺼내 볼 만한 작품이다.</t>
  </si>
  <si>
    <t>감독: Ramin Bahrani
주연: 앤드류 가필드, 마이클 섀넌, 로라 던</t>
  </si>
  <si>
    <t>할리우드적 스펙터클 너머, 2016년의 시선으로 담아낸 드라마의 이야기. 인간의 고통이란 결국 타인과의 거리에서 비롯된다. 모든 이야기는 상처의 다른 이름이다. 시간이 지날수록 더 깊이 읽히는 영화다.</t>
  </si>
  <si>
    <t>감독: Brian Goodman
주연: 제라드 버틀러, 제이미 알렉산더, Russell Hornsby</t>
  </si>
  <si>
    <t>할리우드적 스펙터클 너머, 2022년의 시선으로 담아낸 액션의 이야기. 충돌은 세계가 변화를 요구하는 방식이다. 육체의 한계에 도전하는 것은 곧 자아의 경계를 시험하는 일이다. 완벽하지 않아도, 그 불완전함이 오히려 인간적이다.</t>
  </si>
  <si>
    <t>감독: Narcisse Blood
주연: Pete Standing Alone</t>
  </si>
  <si>
    <t>프랑스 영화 특유의 철학적 깊이로, 2010년의 시선으로 담아낸 액션의 이야기. 폭력의 언어 속에서도 인간은 존엄을 갈망한다. 생존의 욕망은 가장 원초적인 철학적 질문을 던진다. 이 작품이 남기는 질문은 쉽게 사라지지 않는다.</t>
  </si>
  <si>
    <t>감독: Steven C. Miller
주연: 에런 엑하트, 코트니 이튼, Ben McKenzie</t>
  </si>
  <si>
    <t>할리우드적 스펙터클 너머, 2019년의 시선으로 담아낸 액션의 이야기. 생존의 욕망은 가장 원초적인 철학적 질문을 던진다. 충돌은 세계가 변화를 요구하는 방식이다. 이 작품이 남기는 이미지는 어떤 방식으로든 기억에 새겨진다.</t>
  </si>
  <si>
    <t>감독: 테일러 쉐리던
주연: 조 샐다나, Laysla De Oliveira, Dave Annable</t>
  </si>
  <si>
    <t>드라마 형식 속에서, 할리우드적 스펙터클 너머, 2023년의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</si>
  <si>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2024년의 시선으로 담아낸 드라마의 이야기. 모든 이야기는 상처의 다른 이름이다. 우리는 각자의 서사 안에 갇혀 서로를 오해한다. 평점이 담지 못하는 무언가가 이 영화에는 있다.</t>
  </si>
  <si>
    <t>감독: Garth Davis
주연: 데브 파텔, 루니 마라, 데이비드 웬햄</t>
  </si>
  <si>
    <t>2016년의 시선으로 담아낸 드라마 이야기가 우리에게 묻는다. 모든 이야기는 상처의 다른 이름이다. 인간의 고통이란 결국 타인과의 거리에서 비롯된다. 이 작품이 남기는 질문은 쉽게 사라지지 않는다.</t>
  </si>
  <si>
    <t>감독: 스티븐 스필버그
주연: 톰 행크스, 톰 시즈모어, 에드워드 번즈</t>
  </si>
  <si>
    <t>169분</t>
  </si>
  <si>
    <t>할리우드적 스펙터클 너머, 1998년의 시선으로 담아낸 전쟁의 이야기. 총성은 멈추어도 그 상처는 세대를 넘어 흐른다. 폐허 속에서도 존엄을 지키려는 의지가 역사를 만든다. 시간이 지날수록 더 깊이 읽히는 영화다.</t>
  </si>
  <si>
    <t>감독: Drake Doremus
주연: 안톤 옐친, 펠리시티 존스, 제니퍼 로렌스</t>
  </si>
  <si>
    <t>할리우드적 스펙터클 너머, 2011년의 시선으로 담아낸 드라마의 이야기. 인간의 고통이란 결국 타인과의 거리에서 비롯된다. 삶은 언제나 해석을 기다리는 텍스트다. 나름의 울림을 간직한 작품이다.</t>
  </si>
  <si>
    <t>감독: 안톤 코르빈
주연: 로버트 패틴슨, 데인 드한, 조엘 에저튼</t>
  </si>
  <si>
    <t>할리우드적 스펙터클 너머, 2015년의 시선으로 담아낸 코미디의 이야기. 유머 속에는 세계의 부조리를 견뎌내는 지혜가 담겨 있다. 우스운 것과 슬픈 것은 본래 같은 뿌리에서 자란다. 평점이 담지 못하는 무언가가 이 영화에는 있다.</t>
  </si>
  <si>
    <t>감독: 다니엘 에스피노사
주연: 제이크 질렌할, 라이언 레이놀즈, 레베카 퍼거슨</t>
  </si>
  <si>
    <t>할리우드적 스펙터클 너머, 2017년의 시선으로 담아낸 SF의 이야기. 미래를 상상하는 것은 현재를 비판하는 가장 우회적인 방법이다. 타자와의 만남은 언제나 자아의 재발견으로 이어진다. 흠이 있지만 진심이 담긴 시도였다.</t>
  </si>
  <si>
    <t>감독: Mike Bartlett
주연: 앨리슨 스테드먼, Adrian Lester, 빅토리아 해밀턴</t>
  </si>
  <si>
    <t>드라마 형식 속에서, 영국적 절제와 냉소 사이에서, 2020년의 시선으로 담아낸 드라마의 이야기. 인간의 고통이란 결국 타인과의 거리에서 비롯된다. 모든 이야기는 상처의 다른 이름이다. 평점이 담지 못하는 무언가가 이 영화에는 있다.</t>
  </si>
  <si>
    <t>감독: Josh Janowicz
주연: Drew Van Acker, Addison Timlin, 제임스 다시</t>
  </si>
  <si>
    <t>할리우드적 스펙터클 너머, 2019년의 시선으로 담아낸 SF의 이야기. 우주의 광대함 앞에서 인간의 질문은 더욱 깊어진다. 타자와의 만남은 언제나 자아의 재발견으로 이어진다. 이 작품이 남기는 이미지는 어떤 방식으로든 기억에 새겨진다.</t>
  </si>
  <si>
    <t>감독: Adam Brooks
주연: 소피아 카슨, 카일 앨런, Sebastian de Souza</t>
  </si>
  <si>
    <t>할리우드적 스펙터클 너머, 2025년의 시선으로 담아낸 드라마의 이야기. 모든 이야기는 상처의 다른 이름이다. 인간의 고통이란 결국 타인과의 거리에서 비롯된다. 흠이 있지만 진심이 담긴 시도였다.</t>
  </si>
  <si>
    <t>감독: Irwin Winkler
주연: 케빈 클라인, 헤이든 크리스텐슨, 크리스틴 스콧 토머스</t>
  </si>
  <si>
    <t>할리우드적 스펙터클 너머, 2001년의 시선으로 담아낸 드라마의 이야기. 모든 이야기는 상처의 다른 이름이다. 삶은 언제나 해석을 기다리는 텍스트다. 이 작품이 남기는 이미지는 어떤 방식으로든 기억에 새겨진다.</t>
  </si>
  <si>
    <t>감독: 윌리엄 A. 웰먼
주연: Tab Hunter, Etchika Choureau, Marcel Dalio</t>
  </si>
  <si>
    <t>프랑스 영화 특유의 철학적 깊이로, 2006년의 시선으로 담아낸 드라마의 이야기. 인간의 고통이란 결국 타인과의 거리에서 비롯된다. 모든 이야기는 상처의 다른 이름이다. 오랫동안 여운이 남는 작품이다.</t>
  </si>
  <si>
    <t>감독: 미이케 다카시
주연: 사쿠라이 쇼, 히로세 스즈, 후쿠시 소타</t>
  </si>
  <si>
    <t>섬세한 일본적 감수성으로, 2018년의 시선으로 담아낸 미스터리의 이야기. 감춰진 것들이 드러나는 순간, 세계는 다르게 보이기 시작한다. 진실을 추적하는 것은 존재의 불투명함과 씨름하는 일이다. 나름의 울림을 간직한 작품이다.</t>
  </si>
  <si>
    <t>감독: Adrian Grünberg
주연: 실베스터 스탤론, 파즈 베가, Sergio Peris-Mencheta</t>
  </si>
  <si>
    <t>할리우드적 스펙터클 너머, 2019년의 시선으로 담아낸 액션의 이야기. 생존의 욕망은 가장 원초적인 철학적 질문을 던진다. 육체의 한계에 도전하는 것은 곧 자아의 경계를 시험하는 일이다. 이 작품이 남기는 이미지는 어떤 방식으로든 기억에 새겨진다.</t>
  </si>
  <si>
    <t>감독: Lynn Shelton
주연: 키이라 나이틀리, 클로이 그레이스 모레츠, 샘 록웰</t>
  </si>
  <si>
    <t>할리우드적 스펙터클 너머, 2014년의 시선으로 담아낸 드라마의 이야기. 모든 이야기는 상처의 다른 이름이다. 우리는 각자의 서사 안에 갇혀 서로를 오해한다. 완벽하지 않아도, 그 불완전함이 오히려 인간적이다.</t>
  </si>
  <si>
    <t>감독: 존 카메론 미첼
주연: 니콜 키드먼, 에런 엑하트, 다이앤 위스트</t>
  </si>
  <si>
    <t>할리우드적 스펙터클 너머, 2010년의 시선으로 담아낸 드라마의 이야기. 삶은 언제나 해석을 기다리는 텍스트다. 모든 이야기는 상처의 다른 이름이다. 두고두고 다시 꺼내 볼 만한 작품이다.</t>
  </si>
  <si>
    <t>감독: 글렌 피카라, John Requa
주연: 키퍼 서덜랜드, Meta Golding, Enid Graham</t>
  </si>
  <si>
    <t>드라마 형식 속에서, 할리우드적 스펙터클 너머, 2023년의 시선으로 담아낸 드라마의 이야기. 인간의 고통이란 결국 타인과의 거리에서 비롯된다. 모든 이야기는 상처의 다른 이름이다. 평점이 담지 못하는 무언가가 이 영화에는 있다.</t>
  </si>
  <si>
    <t>감독: Steve Franks
주연: James Roday Rodriguez, Dulé Hill, Timothy Omundson</t>
  </si>
  <si>
    <t>영국적 절제와 냉소 사이에서, 2020년의 시선으로 담아낸 드라마의 이야기. 우리는 각자의 서사 안에 갇혀 서로를 오해한다. 삶은 언제나 해석을 기다리는 텍스트다. 흠이 있지만 진심이 담긴 시도였다.</t>
  </si>
  <si>
    <t>감독: 로빈 라이트
주연: 로빈 라이트, Demián Bichir, Sarah Dawn Pledge</t>
  </si>
  <si>
    <t>할리우드적 스펙터클 너머, 2021년의 시선으로 담아낸 드라마의 이야기. 삶은 언제나 해석을 기다리는 텍스트다. 모든 이야기는 상처의 다른 이름이다. 이 작품이 남기는 이미지는 어떤 방식으로든 기억에 새겨진다.</t>
  </si>
  <si>
    <t>감독: 윌리엄 유뱅크
주연: 리암 헴스워스, 러셀 크로우, 루크 헴스워스</t>
  </si>
  <si>
    <t>할리우드적 스펙터클 너머, 2024년의 시선으로 담아낸 액션의 이야기. 폭력의 언어 속에서도 인간은 존엄을 갈망한다. 충돌은 세계가 변화를 요구하는 방식이다. 시간이 지날수록 더 깊이 읽히는 영화다.</t>
  </si>
  <si>
    <t>감독: 테일러 쉐리던, 크리스천 월레스
주연: 빌리 밥 손튼, 데미 무어, 앤디 가르시아</t>
  </si>
  <si>
    <t>드라마 형식 속에서, 할리우드적 스펙터클 너머, 2024년의 시선으로 담아낸 드라마의 이야기. 인간의 고통이란 결국 타인과의 거리에서 비롯된다. 삶은 언제나 해석을 기다리는 텍스트다. 평점이 담지 못하는 무언가가 이 영화에는 있다.</t>
  </si>
  <si>
    <t>감독: 론 하워드
주연: 멜 깁슨, 르네 루소, 게리 시나이즈</t>
  </si>
  <si>
    <t>할리우드적 스펙터클 너머, 1996년의 시선으로 담아낸 액션의 이야기. 폭력의 언어 속에서도 인간은 존엄을 갈망한다. 생존의 욕망은 가장 원초적인 철학적 질문을 던진다. 나름의 울림을 간직한 작품이다.</t>
  </si>
  <si>
    <t>감독: 브래드 페이턴
주연: 드웨인 존슨, 나오미 해리스, 말린 애커만</t>
  </si>
  <si>
    <t>할리우드적 스펙터클 너머, 2018년의 시선으로 담아낸 액션의 이야기. 폭력의 언어 속에서도 인간은 존엄을 갈망한다. 육체의 한계에 도전하는 것은 곧 자아의 경계를 시험하는 일이다. 시간이 지날수록 더 깊이 읽히는 영화다.</t>
  </si>
  <si>
    <t>감독: Jason Cabell
주연: 니콜라스 케이지, 레슬리 비브, Peter Facinelli</t>
  </si>
  <si>
    <t>할리우드적 스펙터클 너머, 2019년의 시선으로 담아낸 액션의 이야기. 충돌은 세계가 변화를 요구하는 방식이다. 육체의 한계에 도전하는 것은 곧 자아의 경계를 시험하는 일이다. 이 작품이 남기는 이미지는 어떤 방식으로든 기억에 새겨진다.</t>
  </si>
  <si>
    <t>감독: 윌리엄 H. 메이시
주연: 빌리 크루덥, 안톤 옐친, Felicity Huffman</t>
  </si>
  <si>
    <t>할리우드적 스펙터클 너머, 2014년의 시선으로 담아낸 드라마의 이야기. 우리는 각자의 서사 안에 갇혀 서로를 오해한다. 인간의 고통이란 결국 타인과의 거리에서 비롯된다. 오랫동안 여운이 남는 작품이다.</t>
  </si>
  <si>
    <t>감독: 에드워드 즈윅
주연: 제이크 질렌할, 앤 해서웨이, 올리버 플랫</t>
  </si>
  <si>
    <t>할리우드적 스펙터클 너머, 2010년의 시선으로 담아낸 코미디의 이야기. 웃음은 고통을 소화하는 인간만의 방식이다. 가볍게 웃는 순간에도 삶의 무게는 그 그림자를 드리운다. 아쉬움이 남지만, 모든 시도는 의미를 갖는다.</t>
  </si>
  <si>
    <t>감독: 후카다 코지
주연: 키무라 후미노, 永山絢斗, 砂田アトム</t>
  </si>
  <si>
    <t>섬세한 일본적 감수성으로, 2022년의 시선으로 담아낸 드라마의 이야기. 우리는 각자의 서사 안에 갇혀 서로를 오해한다. 인간의 고통이란 결국 타인과의 거리에서 비롯된다. 나름의 울림을 간직한 작품이다.</t>
  </si>
  <si>
    <t>감독: Shainee Gabel
주연: 존 트래볼타, 스칼렛 요한슨, 가브리엘 막트</t>
  </si>
  <si>
    <t>할리우드적 스펙터클 너머, 2004년의 시선으로 담아낸 드라마의 이야기. 우리는 각자의 서사 안에 갇혀 서로를 오해한다. 모든 이야기는 상처의 다른 이름이다. 완벽하지 않아도, 그 불완전함이 오히려 인간적이다.</t>
  </si>
  <si>
    <t>러브 스토리 존 에프 케네디 주니어 앤 캐롤린 베셋 (John F. Kennedy Jr. &amp; Carolyn Bessette, 2026)</t>
  </si>
  <si>
    <t>감독: 
주연: 폴 앤서니 켈리, 세라 피전, 나오미 왓츠, 그레이스 거머, 알렉산드로 니볼라</t>
  </si>
  <si>
    <t>로맨스, 드라마</t>
  </si>
  <si>
    <t>2026-04-11</t>
  </si>
  <si>
    <t>드라마 형식 속에서, 할리우드적 스펙터클 너머, 2026년의 시선으로 담아낸 드라마의 이야기. 삶은 언제나 해석을 기다리는 텍스트다. 모든 이야기는 상처의 다른 이름이다. 시간이 지날수록 더 깊이 읽히는 영화다.</t>
  </si>
  <si>
    <t>감독: 리처드 커티스
주연: 휴 그랜트, 앨런 릭먼, 엠마 톰슨</t>
  </si>
  <si>
    <t>영국적 절제와 냉소 사이에서, 2003년의 시선으로 담아낸 로맨스의 이야기. 설렘은 불완전한 존재가 완전함을 향해 뻗는 손길이다. 그리움이란 부재를 통해 존재를 확인하는 방식이다. 이 작품이 남기는 질문은 쉽게 사라지지 않는다.</t>
  </si>
  <si>
    <t>감독: Lisa Langseth
주연: Ida Engvoll, Björn Mosten, Carla Sehn</t>
  </si>
  <si>
    <t>로맨틱 코미디</t>
  </si>
  <si>
    <t>드라마 형식 속에서, 2020년의 시선으로 담아낸 코미디 이야기가 우리에게 묻는다. 우스운 것과 슬픈 것은 본래 같은 뿌리에서 자란다. 유머 속에는 세계의 부조리를 견뎌내는 지혜가 담겨 있다. 평점이 담지 못하는 무언가가 이 영화에는 있다.</t>
  </si>
  <si>
    <t>감독: Phil Grabsky, Ben Harding
주연: Tim Marlow</t>
  </si>
  <si>
    <t>섬세한 일본적 감수성으로, 2013년의 시선으로 담아낸 드라마의 이야기. 인간의 고통이란 결국 타인과의 거리에서 비롯된다. 모든 이야기는 상처의 다른 이름이다. 두고두고 다시 꺼내 볼 만한 작품이다.</t>
  </si>
  <si>
    <t>감독: 古田丈司, 永岡智佳
주연: 야마시타 다이키, 모리쿠보 쇼타로, 테라시마 타쿠마</t>
  </si>
  <si>
    <t>섬세한 일본적 감수성으로, 2019년의 시선으로 담아낸 드라마의 이야기. 인간의 고통이란 결국 타인과의 거리에서 비롯된다. 삶은 언제나 해석을 기다리는 텍스트다. 오랫동안 여운이 남는 작품이다.</t>
  </si>
  <si>
    <t>감독: Lize Vosloo
주연: Rehane Abrahams, Elsabé Daneel, Celeste Loots</t>
  </si>
  <si>
    <t>프랑스 영화 특유의 철학적 깊이로, 2021년의 시선으로 담아낸 드라마의 이야기. 우리는 각자의 서사 안에 갇혀 서로를 오해한다. 모든 이야기는 상처의 다른 이름이다. 평점이 담지 못하는 무언가가 이 영화에는 있다.</t>
  </si>
  <si>
    <t>감독: Alexandre Castagnetti
주연: 뤼디빈 사니에, Nicolas Bedos, Jonathan Cohen</t>
  </si>
  <si>
    <t>코</t>
  </si>
  <si>
    <t>프랑스 영화 특유의 철학적 깊이로, 2014년의 시선으로 담아낸 코의 이야기. 이 작품은 단순한 오락을 넘어 삶의 어떤 단면을 응시하게 한다. 시간이 흐른 뒤에도 이 장면들은 기억 속에 선명히 남는다. 흠이 있지만 진심이 담긴 시도였다.</t>
  </si>
  <si>
    <t>감독: John Duigan
주연: 샤를리즈 테론, 페넬로페 크루스, Stuart Townsend</t>
  </si>
  <si>
    <t>영국적 절제와 냉소 사이에서, 2008년의 시선으로 담아낸 드라마의 이야기. 인간의 고통이란 결국 타인과의 거리에서 비롯된다. 삶은 언제나 해석을 기다리는 텍스트다. 나름의 울림을 간직한 작품이다.</t>
  </si>
  <si>
    <t>감독: Roselyne Bosch
주연: 장 르노, Lukas Pelissier, Hugo Dessioux</t>
  </si>
  <si>
    <t>프랑스 영화 특유의 철학적 깊이로, 2014년의 시선으로 담아낸 코미디의 이야기. 유머 속에는 세계의 부조리를 견뎌내는 지혜가 담겨 있다. 웃음은 고통을 소화하는 인간만의 방식이다. 오랫동안 여운이 남는 작품이다.</t>
  </si>
  <si>
    <t>감독: Joel Hopkins
주연: 엠마 톰슨, 피어스 브로스넌, 실리아 임리</t>
  </si>
  <si>
    <t>프랑스 영화 특유의 철학적 깊이로, 2013년의 시선으로 담아낸 코미디의 이야기. 가볍게 웃는 순간에도 삶의 무게는 그 그림자를 드리운다. 유머 속에는 세계의 부조리를 견뎌내는 지혜가 담겨 있다. 나름의 울림을 간직한 작품이다.</t>
  </si>
  <si>
    <t>감독: Christian Ditter
주연: 릴리 콜린스, 샘 클라플린, Christian Cooke</t>
  </si>
  <si>
    <t>영국적 절제와 냉소 사이에서, 2014년의 시선으로 담아낸 로맨스의 이야기. 그리움이란 부재를 통해 존재를 확인하는 방식이다. 설렘은 불완전한 존재가 완전함을 향해 뻗는 손길이다. 나름의 울림을 간직한 작품이다.</t>
  </si>
  <si>
    <t>섬세한 일본적 감수성으로, 2012년의 시선으로 담아낸 드라마의 이야기. 모든 이야기는 상처의 다른 이름이다. 우리는 각자의 서사 안에 갇혀 서로를 오해한다. 시간이 지날수록 더 깊이 읽히는 영화다.</t>
  </si>
  <si>
    <t>감독: Hallie Meyers-Shyer
주연: 리즈 위더스푼, 냇 울프, Jon Rudnitsky</t>
  </si>
  <si>
    <t>할리우드적 스펙터클 너머, 2017년의 시선으로 담아낸 로맨스의 이야기. 두 사람 사이의 침묵은 때로 말보다 더 많은 것을 말한다. 그리움이란 부재를 통해 존재를 확인하는 방식이다. 오랫동안 여운이 남는 작품이다.</t>
  </si>
  <si>
    <t>감독: 피터 잭슨
주연: 시얼샤 로넌, 마크 월버그, 레이첼 와이즈</t>
  </si>
  <si>
    <t>할리우드적 스펙터클 너머, 2009년의 시선으로 담아낸 드라마의 이야기. 우리는 각자의 서사 안에 갇혀 서로를 오해한다. 모든 이야기는 상처의 다른 이름이다. 나름의 울림을 간직한 작품이다.</t>
  </si>
  <si>
    <t>감독: 제프 니콜스
주연: 조엘 에저튼, 루스 네가, 마이클 섀넌</t>
  </si>
  <si>
    <t>할리우드적 스펙터클 너머, 2016년의 시선으로 담아낸 드라마의 이야기. 삶은 언제나 해석을 기다리는 텍스트다. 인간의 고통이란 결국 타인과의 거리에서 비롯된다. 오랫동안 여운이 남는 작품이다.</t>
  </si>
  <si>
    <t>감독: Jen McGowan
주연: 허마이어니 코필드, Jay Paulson, Sean O'Bryan</t>
  </si>
  <si>
    <t>할리우드적 스펙터클 너머, 2018년의 시선으로 담아낸 스릴러의 이야기. 불안이란 현실이 균열을 드러내는 순간에 스며든다. 긴장은 존재가 위협받을 때 가장 선명하게 빛난다. 한 번쯤 들여다볼 가치가 있는 이야기다.</t>
  </si>
  <si>
    <t>감독: 론 하워드
주연: 크리스 헴스워스, 다니엘 브륄, 올리비아 와일드</t>
  </si>
  <si>
    <t>영국적 절제와 냉소 사이에서, 2013년의 시선으로 담아낸 액션의 이야기. 충돌은 세계가 변화를 요구하는 방식이다. 폭력의 언어 속에서도 인간은 존엄을 갈망한다. 완벽하지 않아도, 그 불완전함이 오히려 인간적이다.</t>
  </si>
  <si>
    <t>감독: Paul McGuigan
주연: 조쉬 하트넷, 모건 프리먼, 벤 킹슬리</t>
  </si>
  <si>
    <t>할리우드적 스펙터클 너머, 2006년의 시선으로 담아낸 범죄의 이야기. 어둠 속에서도 인간은 스스로를 정당화하려 한다. 욕망은 언제나 질서보다 먼저 존재했다. 시간이 지날수록 더 깊이 읽히는 영화다.</t>
  </si>
  <si>
    <t>감독: 아니쉬 채겐티
주연: 사라 폴슨, 키에라 앨런, Pat Healy</t>
  </si>
  <si>
    <t>할리우드적 스펙터클 너머, 2020년의 시선으로 담아낸 스릴러의 이야기. 불안이란 현실이 균열을 드러내는 순간에 스며든다. 진실은 언제나 우리가 감당할 수 없는 형태로 찾아온다. 완성도와 별개로, 이 작품이 던지려 한 질문은 유효하다.</t>
  </si>
  <si>
    <t>감독: Jaume Collet-Serra
주연: 리암 니슨, 조엘 킨나만, 에드 해리스</t>
  </si>
  <si>
    <t>할리우드적 스펙터클 너머, 2015년의 시선으로 담아낸 액션의 이야기. 생존의 욕망은 가장 원초적인 철학적 질문을 던진다. 충돌은 세계가 변화를 요구하는 방식이다. 나름의 울림을 간직한 작품이다.</t>
  </si>
  <si>
    <t>감독: Jo Dong-oh
주연: 신하균, 이태리, 김상호</t>
  </si>
  <si>
    <t>한국 특유의 정서가 켜켜이 쌓인 듯, 2013년의 시선으로 담아낸 액션의 이야기. 충돌은 세계가 변화를 요구하는 방식이다. 폭력의 언어 속에서도 인간은 존엄을 갈망한다. 평점이 담지 못하는 무언가가 이 영화에는 있다.</t>
  </si>
  <si>
    <t>감독: William Monahan
주연: 콜린 파렐, 키이라 나이틀리, 데이비드 슐리스</t>
  </si>
  <si>
    <t>영국적 절제와 냉소 사이에서, 2012년의 시선으로 담아낸 범죄의 이야기. 죄란 사회가 만든 경계를 넘는 행위이자 그 경계에 대한 질문이다. 어둠 속에서도 인간은 스스로를 정당화하려 한다. 거칠지만 그 안에서도 인간의 흔적은 남는다.</t>
  </si>
  <si>
    <t>감독: Matthew Warchus
주연: 조지 맥케이, 벤 슈네처, 프레디 폭스</t>
  </si>
  <si>
    <t>영국적 절제와 냉소 사이에서, 2014년의 시선으로 담아낸 드라마의 이야기. 인간의 고통이란 결국 타인과의 거리에서 비롯된다. 모든 이야기는 상처의 다른 이름이다. 이 작품이 남기는 질문은 쉽게 사라지지 않는다.</t>
  </si>
  <si>
    <t>감독: Babak Najafi
주연: 제라드 버틀러, 에런 엑하트, 안젤라 바셋</t>
  </si>
  <si>
    <t>할리우드적 스펙터클 너머, 2016년의 시선으로 담아낸 액션의 이야기. 생존의 욕망은 가장 원초적인 철학적 질문을 던진다. 충돌은 세계가 변화를 요구하는 방식이다. 이 작품이 남기는 질문은 쉽게 사라지지 않는다.</t>
  </si>
  <si>
    <t>감독: Ben Palmer
주연: 사이먼 페그, 레이크 벨, 로리 키니어</t>
  </si>
  <si>
    <t>영국적 절제와 냉소 사이에서, 2016년의 시선으로 담아낸 코미디의 이야기. 웃음은 고통을 소화하는 인간만의 방식이다. 가볍게 웃는 순간에도 삶의 무게는 그 그림자를 드리운다. 이 작품이 남기는 질문은 쉽게 사라지지 않는다.</t>
  </si>
  <si>
    <t>감독: Gary Fleder
주연: 존 쿠삭, 진 해크먼, 더스틴 호프만</t>
  </si>
  <si>
    <t>할리우드적 스펙터클 너머, 2003년의 시선으로 담아낸 드라마의 이야기. 인간의 고통이란 결국 타인과의 거리에서 비롯된다. 모든 이야기는 상처의 다른 이름이다. 두고두고 다시 꺼내 볼 만한 작품이다.</t>
  </si>
  <si>
    <t>감독: Ritesh Batra
주연: 이르판 칸, Nimrat Kaur, Nawazuddin Siddiqui</t>
  </si>
  <si>
    <t>2013년의 시선으로 담아낸 드라마 이야기가 우리에게 묻는다. 모든 이야기는 상처의 다른 이름이다. 인간의 고통이란 결국 타인과의 거리에서 비롯된다. 시간이 지날수록 더 깊이 읽히는 영화다.</t>
  </si>
  <si>
    <t>감독: Bruce Robinson
주연: 조니 뎁, 엠버 허드, 에런 엑하트</t>
  </si>
  <si>
    <t>할리우드적 스펙터클 너머, 2011년의 시선으로 담아낸 코미디의 이야기. 웃음은 고통을 소화하는 인간만의 방식이다. 가볍게 웃는 순간에도 삶의 무게는 그 그림자를 드리운다. 완벽하지 않아도, 그 불완전함이 오히려 인간적이다.</t>
  </si>
  <si>
    <t>감독: Adrian Bol
주연: 스콧 애드킨스, Honor Kneafsey, Martin McDougall</t>
  </si>
  <si>
    <t>영국적 절제와 냉소 사이에서, 2020년의 시선으로 담아낸 액션의 이야기. 폭력의 언어 속에서도 인간은 존엄을 갈망한다. 육체의 한계에 도전하는 것은 곧 자아의 경계를 시험하는 일이다. 거칠지만 그 안에서도 인간의 흔적은 남는다.</t>
  </si>
  <si>
    <t>감독: Dean Parisot
주연: 브루스 윌리스, 존 말코비치, 메리루이즈 파커</t>
  </si>
  <si>
    <t>할리우드적 스펙터클 너머, 2013년의 시선으로 담아낸 액션의 이야기. 생존의 욕망은 가장 원초적인 철학적 질문을 던진다. 폭력의 언어 속에서도 인간은 존엄을 갈망한다. 평점이 담지 못하는 무언가가 이 영화에는 있다.</t>
  </si>
  <si>
    <t>감독: Rawson Marshall Thurber
주연: 드웨인 존슨, 라이언 레이놀즈, 갤 가돗</t>
  </si>
  <si>
    <t>할리우드적 스펙터클 너머, 2021년의 시선으로 담아낸 액션의 이야기. 폭력의 언어 속에서도 인간은 존엄을 갈망한다. 충돌은 세계가 변화를 요구하는 방식이다. 완벽하지 않아도, 그 불완전함이 오히려 인간적이다.</t>
  </si>
  <si>
    <t>감독: Alain Darborg
주연: Johannes Bah Kuhnke, Nanna Blondell, Anastasios Soulis</t>
  </si>
  <si>
    <t>2021년의 시선으로 담아낸 스릴러 이야기가 우리에게 묻는다. 공포는 우리가 통제할 수 없는 것들에 대한 솔직한 고백이다. 불안이란 현실이 균열을 드러내는 순간에 스며든다. 완성도와 별개로, 이 작품이 던지려 한 질문은 유효하다.</t>
  </si>
  <si>
    <t>감독: 브렛 래트너
주연: 에드워드 노튼, 안소니 홉킨스, 랄프 파인즈</t>
  </si>
  <si>
    <t>할리우드적 스펙터클 너머, 2002년의 시선으로 담아낸 범죄의 이야기. 법과 도덕 사이의 틈새에서 인간의 본성이 노출된다. 어둠 속에서도 인간은 스스로를 정당화하려 한다. 시간이 지날수록 더 깊이 읽히는 영화다.</t>
  </si>
  <si>
    <t>감독: Nikolai Müllerschön
주연: 마티아스 슈바이크회퍼, 틸 슈바이거, 레나 헤디</t>
  </si>
  <si>
    <t>독일 특유의 사유의 무게를 지니며, 2008년의 시선으로 담아낸 전쟁의 이야기. 총성은 멈추어도 그 상처는 세대를 넘어 흐른다. 폐허 속에서도 존엄을 지키려는 의지가 역사를 만든다. 나름의 울림을 간직한 작품이다.</t>
  </si>
  <si>
    <t>감독: 프랜시스 로렌스
주연: 제니퍼 로렌스, 조엘 에저튼, 마티아스 스후나르츠</t>
  </si>
  <si>
    <t>할리우드적 스펙터클 너머, 2018년의 시선으로 담아낸 스릴러의 이야기. 불안이란 현실이 균열을 드러내는 순간에 스며든다. 긴장은 존재가 위협받을 때 가장 선명하게 빛난다. 시간이 지날수록 더 깊이 읽히는 영화다.</t>
  </si>
  <si>
    <t>감독: 로드리고 코르테스
주연: 킬리언 머피, 시고니 위버, 로버트 드 니로</t>
  </si>
  <si>
    <t>할리우드적 스펙터클 너머, 2012년의 시선으로 담아낸 스릴러의 이야기. 긴장은 존재가 위협받을 때 가장 선명하게 빛난다. 불안이란 현실이 균열을 드러내는 순간에 스며든다. 한 번쯤 들여다볼 가치가 있는 이야기다.</t>
  </si>
  <si>
    <t>감독: Anthony Hemingway
주연: 브라이언 크랜스턴, 데이빗 오예로워, 쿠바 구딩 주니어</t>
  </si>
  <si>
    <t>할리우드적 스펙터클 너머, 2012년의 시선으로 담아낸 전쟁의 이야기. 전쟁은 인간의 이성이 멈추는 지점에서 시작된다. 총성은 멈추어도 그 상처는 세대를 넘어 흐른다. 평점이 담지 못하는 무언가가 이 영화에는 있다.</t>
  </si>
  <si>
    <t>감독: 맷 베티넬리올핀, Tyler Gillett
주연: 사마라 위빙, Mark O'Brien, 애덤 브로디</t>
  </si>
  <si>
    <t>할리우드적 스펙터클 너머, 2019년의 시선으로 담아낸 공포의 이야기. 공포란 이성이 침묵하는 순간 존재가 맞닥뜨리는 날것의 경험이다. 불가해한 것 앞에서 인간은 얼마나 작은가를 깨닫는다. 이 작품이 남기는 이미지는 어떤 방식으로든 기억에 새겨진다.</t>
  </si>
  <si>
    <t>감독: 스티븐 스필버그
주연: 타이 셰리던, 올리비아 쿡, 벤 멘델슨</t>
  </si>
  <si>
    <t>할리우드적 스펙터클 너머, 2018년의 시선으로 담아낸 SF의 이야기. 미래를 상상하는 것은 현재를 비판하는 가장 우회적인 방법이다. 우주의 광대함 앞에서 인간의 질문은 더욱 깊어진다. 이 작품이 남기는 질문은 쉽게 사라지지 않는다.</t>
  </si>
  <si>
    <t>감독: 리사 조이
주연: 휴 잭맨, 레베카 퍼거슨, 탠디 뉴턴</t>
  </si>
  <si>
    <t>할리우드적 스펙터클 너머, 2021년의 시선으로 담아낸 SF의 이야기. 타자와의 만남은 언제나 자아의 재발견으로 이어진다. 기술이 진보할수록 인간다움의 정의는 더욱 절박해진다. 흠이 있지만 진심이 담긴 시도였다.</t>
  </si>
  <si>
    <t>감독: Antoine Blossier
주연: Maleaume Paquin, Daniel Auteuil, Virginie Ledoyen</t>
  </si>
  <si>
    <t>프랑스 영화 특유의 철학적 깊이로, 2018년의 시선으로 담아낸 드라마의 이야기. 인간의 고통이란 결국 타인과의 거리에서 비롯된다. 모든 이야기는 상처의 다른 이름이다. 이 작품이 남기는 이미지는 어떤 방식으로든 기억에 새겨진다.</t>
  </si>
  <si>
    <t>감독: 알레한드로 곤살레스 이냐리투
주연: 레오나르도 디카프리오, 톰 하디, 도널 글리슨</t>
  </si>
  <si>
    <t>할리우드적 스펙터클 너머, 2015년의 시선으로 담아낸 액션의 이야기. 생존의 욕망은 가장 원초적인 철학적 질문을 던진다. 폭력의 언어 속에서도 인간은 존엄을 갈망한다. 평점이 담지 못하는 무언가가 이 영화에는 있다.</t>
  </si>
  <si>
    <t>감독: 벤 휘틀리
주연: 릴리 제임스, 아미 해머, 크리스틴 스콧 토머스</t>
  </si>
  <si>
    <t>영국적 절제와 냉소 사이에서, 2020년의 시선으로 담아낸 드라마의 이야기. 우리는 각자의 서사 안에 갇혀 서로를 오해한다. 인간의 고통이란 결국 타인과의 거리에서 비롯된다. 완벽하지 않아도, 그 불완전함이 오히려 인간적이다.</t>
  </si>
  <si>
    <t>감독: Danishka Esterhazy
주연: Katie Douglas, Celina Martin, 피터 아우터브리지</t>
  </si>
  <si>
    <t>2018년의 시선으로 담아낸 SF 이야기가 우리에게 묻는다. 미래를 상상하는 것은 현재를 비판하는 가장 우회적인 방법이다. 우주의 광대함 앞에서 인간의 질문은 더욱 깊어진다. 흠이 있지만 진심이 담긴 시도였다.</t>
  </si>
  <si>
    <t>감독: 베르너 헤어조크
주연: 크리스찬 베일, 스티브 잔, 토비 허스</t>
  </si>
  <si>
    <t>할리우드적 스펙터클 너머, 2006년의 시선으로 담아낸 액션의 이야기. 육체의 한계에 도전하는 것은 곧 자아의 경계를 시험하는 일이다. 충돌은 세계가 변화를 요구하는 방식이다. 나름의 울림을 간직한 작품이다.</t>
  </si>
  <si>
    <t>감독: Alex Ranarivelo
주연: George Kosturos, 존 보이트, 윌리엄 피츠너</t>
  </si>
  <si>
    <t>섬세한 일본적 감수성으로, 2017년의 시선으로 담아낸 드라마의 이야기. 삶은 언제나 해석을 기다리는 텍스트다. 인간의 고통이란 결국 타인과의 거리에서 비롯된다. 완벽하지 않아도, 그 불완전함이 오히려 인간적이다.</t>
  </si>
  <si>
    <t>감독: 뤽 베송
주연: 장 르노, 나탈리 포트만</t>
  </si>
  <si>
    <t>프랑스, 미국</t>
  </si>
  <si>
    <t>할리우드적 스펙터클 너머, 1995년의 시선으로 담아낸 범죄의 이야기. 어둠 속에서도 인간은 스스로를 정당화하려 한다. 법과 도덕 사이의 틈새에서 인간의 본성이 노출된다. 오랫동안 여운이 남는 작품이다.</t>
  </si>
  <si>
    <t>감독: Taylor Hackford
주연: 제이미 폭스, 케리 워싱턴, 레지나 킹</t>
  </si>
  <si>
    <t>할리우드적 스펙터클 너머, 2004년의 시선으로 담아낸 드라마의 이야기. 인간의 고통이란 결국 타인과의 거리에서 비롯된다. 삶은 언제나 해석을 기다리는 텍스트다. 이 작품이 남기는 이미지는 어떤 방식으로든 기억에 새겨진다.</t>
  </si>
  <si>
    <t>감독: 스티븐 스필버그
주연: 해리슨 포드, 캐런 앨런, 폴 프리먼</t>
  </si>
  <si>
    <t>할리우드적 스펙터클 너머, 1982년의 시선으로 담아낸 모험의 이야기. 영상 언어로 포착된 인간의 이야기는 언제나 철학적 울림을 남긴다. 시간이 흐른 뒤에도 이 장면들은 기억 속에 선명히 남는다. 오랫동안 여운이 남는 작품이다.</t>
  </si>
  <si>
    <t>감독: Lucia Aniello
주연: 스칼렛 요한슨, 질리언 벨, 조이 크래비츠</t>
  </si>
  <si>
    <t>할리우드적 스펙터클 너머, 2017년의 시선으로 담아낸 코미디의 이야기. 가볍게 웃는 순간에도 삶의 무게는 그 그림자를 드리운다. 우스운 것과 슬픈 것은 본래 같은 뿌리에서 자란다. 이 작품이 남기는 질문은 쉽게 사라지지 않는다.</t>
  </si>
  <si>
    <t>감독: 로드리고 가르시아
주연: 이완 맥그리거, 에단 호크, 마리벨 베르두</t>
  </si>
  <si>
    <t>할리우드적 스펙터클 너머, 2022년의 시선으로 담아낸 드라마의 이야기. 모든 이야기는 상처의 다른 이름이다. 우리는 각자의 서사 안에 갇혀 서로를 오해한다. 평점이 담지 못하는 무언가가 이 영화에는 있다.</t>
  </si>
  <si>
    <t>감독: 제이슨 라이트만
주연: 케이트 윈슬렛, 조쉬 브롤린, Gattlin Griffith</t>
  </si>
  <si>
    <t>할리우드적 스펙터클 너머, 2013년의 시선으로 담아낸 드라마의 이야기. 삶은 언제나 해석을 기다리는 텍스트다. 우리는 각자의 서사 안에 갇혀 서로를 오해한다. 이 작품이 남기는 이미지는 어떤 방식으로든 기억에 새겨진다.</t>
  </si>
  <si>
    <t>감독: Stephen Hopkins
주연: 스테판 제임스, 제이슨 수데이키스, 엘리 고레</t>
  </si>
  <si>
    <t>할리우드적 스펙터클 너머, 2016년의 시선으로 담아낸 드라마의 이야기. 모든 이야기는 상처의 다른 이름이다. 우리는 각자의 서사 안에 갇혀 서로를 오해한다. 시간이 지날수록 더 깊이 읽히는 영화다.</t>
  </si>
  <si>
    <t>감독: 진목승
주연: 견자단, 사정봉, 친란</t>
  </si>
  <si>
    <t>2021년의 시선으로 담아낸 액션 이야기가 우리에게 묻는다. 생존의 욕망은 가장 원초적인 철학적 질문을 던진다. 육체의 한계에 도전하는 것은 곧 자아의 경계를 시험하는 일이다. 한 번쯤 들여다볼 가치가 있는 이야기다.</t>
  </si>
  <si>
    <t>감독: Alejandro Agresti
주연: 키아누 리브스, 산드라 블록, 크리스토퍼 플러머</t>
  </si>
  <si>
    <t>할리우드적 스펙터클 너머, 2006년의 시선으로 담아낸 로맨스의 이야기. 사랑은 자아의 경계가 흔들리는 순간에 찾아온다. 두 사람 사이의 침묵은 때로 말보다 더 많은 것을 말한다. 완벽하지 않아도, 그 불완전함이 오히려 인간적이다.</t>
  </si>
  <si>
    <t>감독: Paolo Virzì
주연: 헬렌 미렌, 도널드 서덜랜드, Christian McKay</t>
  </si>
  <si>
    <t>이탈리아</t>
  </si>
  <si>
    <t>이탈리아 네오리얼리즘의 숨결을 담아, 2017년의 시선으로 담아낸 드라마의 이야기. 우리는 각자의 서사 안에 갇혀 서로를 오해한다. 삶은 언제나 해석을 기다리는 텍스트다. 이 작품이 남기는 이미지는 어떤 방식으로든 기억에 새겨진다.</t>
  </si>
  <si>
    <t>감독: Terry George
주연: 호아킨 피닉스, 제니퍼 코넬리, 엘르 패닝</t>
  </si>
  <si>
    <t>할리우드적 스펙터클 너머, 2007년의 시선으로 담아낸 드라마의 이야기. 삶은 언제나 해석을 기다리는 텍스트다. 모든 이야기는 상처의 다른 이름이다. 흠이 있지만 진심이 담긴 시도였다.</t>
  </si>
  <si>
    <t>감독: Brian Helgeland
주연: 톰 하디, 에밀리 브라우닝, 크리스토퍼 에클스턴</t>
  </si>
  <si>
    <t>영국적 절제와 냉소 사이에서, 2015년의 시선으로 담아낸 범죄의 이야기. 죄란 사회가 만든 경계를 넘는 행위이자 그 경계에 대한 질문이다. 어둠 속에서도 인간은 스스로를 정당화하려 한다. 한 번쯤 들여다볼 가치가 있는 이야기다.</t>
  </si>
  <si>
    <t>감독: 大友啓史
주연: 기무라 타쿠야, 아야세 하루카, 이토 히데아키</t>
  </si>
  <si>
    <t>섬세한 일본적 감수성으로, 2023년의 시선으로 담아낸 사극의 이야기. 역사의 무게는 개인의 삶을 짓누르지만, 그 안에서도 빛이 있다. 전통과 변화의 충돌 속에서 인간의 본질이 드러난다. 나름의 울림을 간직한 작품이다.</t>
  </si>
  <si>
    <t>감독: 데이빗 예이츠
주연: 알렉산더 스카스가드, 크리스토프 발츠, 사무엘 L. 잭슨</t>
  </si>
  <si>
    <t>할리우드적 스펙터클 너머, 2016년의 시선으로 담아낸 액션의 이야기. 충돌은 세계가 변화를 요구하는 방식이다. 육체의 한계에 도전하는 것은 곧 자아의 경계를 시험하는 일이다. 시간이 지날수록 더 깊이 읽히는 영화다.</t>
  </si>
  <si>
    <t>감독: Jonathan Jakubowicz
주연: 제시 아이젠버그, 에드 해리스, 클레망스 포에지</t>
  </si>
  <si>
    <t>할리우드적 스펙터클 너머, 2020년의 시선으로 담아낸 드라마의 이야기. 모든 이야기는 상처의 다른 이름이다. 삶은 언제나 해석을 기다리는 텍스트다. 거칠지만 그 안에서도 인간의 흔적은 남는다.</t>
  </si>
  <si>
    <t>감독: Gary Winick
주연: 아만다 사이프리드, Christopher Egan, 가엘 가르시아 베르날</t>
  </si>
  <si>
    <t>할리우드적 스펙터클 너머, 2010년의 시선으로 담아낸 로맨스의 이야기. 사랑은 자아의 경계가 흔들리는 순간에 찾아온다. 그리움이란 부재를 통해 존재를 확인하는 방식이다. 시간이 지날수록 더 깊이 읽히는 영화다.</t>
  </si>
  <si>
    <t>감독: Nimród Antal
주연: 리암 니슨, Lilly Aspell, 잭 챔피언</t>
  </si>
  <si>
    <t>할리우드적 스펙터클 너머, 2024년의 시선으로 담아낸 액션의 이야기. 폭력의 언어 속에서도 인간은 존엄을 갈망한다. 생존의 욕망은 가장 원초적인 철학적 질문을 던진다. 나름의 울림을 간직한 작품이다.</t>
  </si>
  <si>
    <t>감독: Vic Armstrong
주연: 니콜라스 케이지, 채드 마이클 머리, 리 톰슨</t>
  </si>
  <si>
    <t>할리우드적 스펙터클 너머, 2014년의 시선으로 담아낸 액션의 이야기. 육체의 한계에 도전하는 것은 곧 자아의 경계를 시험하는 일이다. 생존의 욕망은 가장 원초적인 철학적 질문을 던진다. 완벽하지 않아도, 그 불완전함이 오히려 인간적이다.</t>
  </si>
  <si>
    <t>감독: Gavin Hood
주연: 리즈 위더스푼, 제이크 질렌할, 메릴 스트립</t>
  </si>
  <si>
    <t>할리우드적 스펙터클 너머, 2007년의 시선으로 담아낸 스릴러의 이야기. 불안이란 현실이 균열을 드러내는 순간에 스며든다. 긴장은 존재가 위협받을 때 가장 선명하게 빛난다. 이 작품이 남기는 이미지는 어떤 방식으로든 기억에 새겨진다.</t>
  </si>
  <si>
    <t>감독: 클레르 드니
주연: 쥘리에트 비노쉬, Xavier Beauvois, Philippe Katerine</t>
  </si>
  <si>
    <t>프랑스 영화 특유의 철학적 깊이로, 2017년의 시선으로 담아낸 드라마의 이야기. 삶은 언제나 해석을 기다리는 텍스트다. 인간의 고통이란 결국 타인과의 거리에서 비롯된다. 나름의 울림을 간직한 작품이다.</t>
  </si>
  <si>
    <t>감독: Luke Greenfield
주연: 제이크 존슨, 데이먼 웨이언스 주니어, Rob Riggle</t>
  </si>
  <si>
    <t>감독: Thomas Bezucha
주연: 다이앤 레인, 케빈 코스트너, Kayli Carter</t>
  </si>
  <si>
    <t>할리우드적 스펙터클 너머, 2020년의 시선으로 담아낸 스릴러의 이야기. 진실은 언제나 우리가 감당할 수 없는 형태로 찾아온다. 불안이란 현실이 균열을 드러내는 순간에 스며든다. 흠이 있지만 진심이 담긴 시도였다.</t>
  </si>
  <si>
    <t>감독: 스티븐 소더버그
주연: 채닝 테이텀, 애덤 드라이버, 다니엘 크레이그</t>
  </si>
  <si>
    <t>할리우드적 스펙터클 너머, 2017년의 시선으로 담아낸 코미디의 이야기. 우스운 것과 슬픈 것은 본래 같은 뿌리에서 자란다. 유머 속에는 세계의 부조리를 견뎌내는 지혜가 담겨 있다. 두고두고 다시 꺼내 볼 만한 작품이다.</t>
  </si>
  <si>
    <t>감독: Kim Hee-jin
주연: 송중기, 최성은, Waël Sersoub</t>
  </si>
  <si>
    <t>한국 특유의 정서가 켜켜이 쌓인 듯, 2024년의 시선으로 담아낸 드라마의 이야기. 모든 이야기는 상처의 다른 이름이다. 인간의 고통이란 결국 타인과의 거리에서 비롯된다. 한 번쯤 들여다볼 가치가 있는 이야기다.</t>
  </si>
  <si>
    <t>감독: 장피에르 다르덴, 뤽 다르덴
주연: Arta Dobroshi, 제레미 레니에, Fabrizio Rongione</t>
  </si>
  <si>
    <t>2008년의 시선으로 담아낸 드라마 이야기가 우리에게 묻는다. 삶은 언제나 해석을 기다리는 텍스트다. 우리는 각자의 서사 안에 갇혀 서로를 오해한다. 시간이 지날수록 더 깊이 읽히는 영화다.</t>
  </si>
  <si>
    <t>감독: Andreas Baum
주연: Stan Laurel, Oliver Hardy, Frank Glaubrecht</t>
  </si>
  <si>
    <t>감독: タナダユキ
주연: 타카하시 잇세이, 아오이 유우, きたろう</t>
  </si>
  <si>
    <t>섬세한 일본적 감수성으로, 2020년의 시선으로 담아낸 드라마의 이야기. 모든 이야기는 상처의 다른 이름이다. 인간의 고통이란 결국 타인과의 거리에서 비롯된다. 나름의 울림을 간직한 작품이다.</t>
  </si>
  <si>
    <t>감독: 톰 행크스
주연: 톰 행크스, 줄리아 로버츠, 브라이언 크랜스턴</t>
  </si>
  <si>
    <t>섬세한 일본적 감수성으로, 2011년의 시선으로 담아낸 로맨스의 이야기. 사랑은 자아의 경계가 흔들리는 순간에 찾아온다. 그리움이란 부재를 통해 존재를 확인하는 방식이다. 완벽하지 않아도, 그 불완전함이 오히려 인간적이다.</t>
  </si>
  <si>
    <t>감독: 낸시 마이어스
주연: 카메론 디아즈, 케이트 윈슬렛, 주드 로</t>
  </si>
  <si>
    <t>할리우드적 스펙터클 너머, 2006년의 시선으로 담아낸 로맨스의 이야기. 설렘은 불완전한 존재가 완전함을 향해 뻗는 손길이다. 사랑은 자아의 경계가 흔들리는 순간에 찾아온다. 이 작품이 남기는 질문은 쉽게 사라지지 않는다.</t>
  </si>
  <si>
    <t>감독: Andrzej Bartkowiak
주연: 이연걸, 알리야, Isaiah Washington</t>
  </si>
  <si>
    <t>할리우드적 스펙터클 너머, 2000년의 시선으로 담아낸 액션의 이야기. 육체의 한계에 도전하는 것은 곧 자아의 경계를 시험하는 일이다. 폭력의 언어 속에서도 인간은 존엄을 갈망한다. 나름의 울림을 간직한 작품이다.</t>
  </si>
  <si>
    <t>감독: Liz Garbus</t>
  </si>
  <si>
    <t>할리우드적 스펙터클 너머, 2012년의 시선으로 담아낸 SF의 이야기. 우주의 광대함 앞에서 인간의 질문은 더욱 깊어진다. 기술이 진보할수록 인간다움의 정의는 더욱 절박해진다. 흠이 있지만 진심이 담긴 시도였다.</t>
  </si>
  <si>
    <t>할리우드적 스펙터클 너머, 2012년의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</si>
  <si>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로버트 레드포드
주연: 메릴 스트립, 톰 크루즈, 로버트 레드포드</t>
  </si>
  <si>
    <t>할리우드적 스펙터클 너머, 2007년의 시선으로 담아낸 드라마의 이야기. 삶은 언제나 해석을 기다리는 텍스트다. 모든 이야기는 상처의 다른 이름이다. 완벽하지 않아도, 그 불완전함이 오히려 인간적이다.</t>
  </si>
  <si>
    <t>감독: 데이빗 맥킨지
주연: 제프 브리지스, 크리스 파인, 벤 포스터</t>
  </si>
  <si>
    <t>할리우드적 스펙터클 너머, 2016년의 시선으로 담아낸 범죄의 이야기. 어둠 속에서도 인간은 스스로를 정당화하려 한다. 죄란 사회가 만든 경계를 넘는 행위이자 그 경계에 대한 질문이다. 시간이 지날수록 더 깊이 읽히는 영화다.</t>
  </si>
  <si>
    <t>감독: Fabio García
주연: Álvaro Gabriel Adechine, Ana Carolina Muriel, Manuel Zuluaga</t>
  </si>
  <si>
    <t>할리우드적 스펙터클 너머, 2017년의 시선으로 담아낸 드라마의 이야기. 삶은 언제나 해석을 기다리는 텍스트다. 우리는 각자의 서사 안에 갇혀 서로를 오해한다. 평점이 담지 못하는 무언가가 이 영화에는 있다.</t>
  </si>
  <si>
    <t>감독: Li Yu
주연: 판빙빙, 양가휘, 金燕玲</t>
  </si>
  <si>
    <t>광활한 대지의 이야기를 담아, 2007년의 시선으로 담아낸 드라마의 이야기. 인간의 고통이란 결국 타인과의 거리에서 비롯된다. 우리는 각자의 서사 안에 갇혀 서로를 오해한다. 오랫동안 여운이 남는 작품이다.</t>
  </si>
  <si>
    <t>감독: 前田哲
주연: 마츠야마 켄이치, 나가사와 마사미, 스즈카 오지</t>
  </si>
  <si>
    <t>섬세한 일본적 감수성으로, 2024년의 시선으로 담아낸 드라마의 이야기. 우리는 각자의 서사 안에 갇혀 서로를 오해한다. 삶은 언제나 해석을 기다리는 텍스트다. 나름의 울림을 간직한 작품이다.</t>
  </si>
  <si>
    <t>감독: Aaron Nee, Adam Nee
주연: 산드라 블록, 채닝 테이텀, 다니엘 래드클리프</t>
  </si>
  <si>
    <t>할리우드적 스펙터클 너머, 2022년의 시선으로 담아낸 액션의 이야기. 충돌은 세계가 변화를 요구하는 방식이다. 육체의 한계에 도전하는 것은 곧 자아의 경계를 시험하는 일이다. 나름의 울림을 간직한 작품이다.</t>
  </si>
  <si>
    <t>감독: 웨스 앤더슨
주연: 진 해크먼, 안젤리카 휴스턴, 벤 스틸러</t>
  </si>
  <si>
    <t>할리우드적 스펙터클 너머, 2001년의 시선으로 담아낸 코미디의 이야기. 유머 속에는 세계의 부조리를 견뎌내는 지혜가 담겨 있다. 우스운 것과 슬픈 것은 본래 같은 뿌리에서 자란다. 두고두고 다시 꺼내 볼 만한 작품이다.</t>
  </si>
  <si>
    <t>감독: 우디 앨런
주연: 미아 패로, 제프 다니엘스, 데니 에일로</t>
  </si>
  <si>
    <t>프랑스 영화 특유의 철학적 깊이로, 2017년의 시선으로 담아낸 드라마의 이야기. 인간의 고통이란 결국 타인과의 거리에서 비롯된다. 우리는 각자의 서사 안에 갇혀 서로를 오해한다. 오랫동안 여운이 남는 작품이다.</t>
  </si>
  <si>
    <t>감독: 스티븐 나이트
주연: 톰 하디, 루스 윌슨, 앤드류 스콧</t>
  </si>
  <si>
    <t>영국적 절제와 냉소 사이에서, 2013년의 시선으로 담아낸 드라마의 이야기. 우리는 각자의 서사 안에 갇혀 서로를 오해한다. 인간의 고통이란 결국 타인과의 거리에서 비롯된다. 완벽하지 않아도, 그 불완전함이 오히려 인간적이다.</t>
  </si>
  <si>
    <t>감독: Meredith Averill, 에런 일라이 콜라이트
주연: 다비 스탠치필드, 에밀리아 존스, 잭슨 로버트 스콧</t>
  </si>
  <si>
    <t>드라마, 판타지, 호러</t>
  </si>
  <si>
    <t>드라마 형식 속에서, 할리우드적 스펙터클 너머, 2020년의 시선으로 담아낸 드라마의 이야기. 삶은 언제나 해석을 기다리는 텍스트다. 인간의 고통이란 결국 타인과의 거리에서 비롯된다. 이 작품이 남기는 이미지는 어떤 방식으로든 기억에 새겨진다.</t>
  </si>
  <si>
    <t>감독: Erik Van Looy
주연: 칼 어번, 제임스 마스던, 웬트워스 밀러</t>
  </si>
  <si>
    <t>할리우드적 스펙터클 너머, 2014년의 시선으로 담아낸 스릴러의 이야기. 진실은 언제나 우리가 감당할 수 없는 형태로 찾아온다. 불안이란 현실이 균열을 드러내는 순간에 스며든다. 나름의 울림을 간직한 작품이다.</t>
  </si>
  <si>
    <t>감독: David Yarovesky
주연: 빌 스카스가드, 안소니 홉킨스, Ashley Cartwright</t>
  </si>
  <si>
    <t>할리우드적 스펙터클 너머, 2025년의 시선으로 담아낸 액션의 이야기. 생존의 욕망은 가장 원초적인 철학적 질문을 던진다. 충돌은 세계가 변화를 요구하는 방식이다. 한 번쯤 들여다볼 가치가 있는 이야기다.</t>
  </si>
  <si>
    <t>감독: 고어 버빈스키
주연: 조니 뎁, 아미 해머, 톰 윌킨슨</t>
  </si>
  <si>
    <t>할리우드적 스펙터클 너머, 2013년의 시선으로 담아낸 액션의 이야기. 충돌은 세계가 변화를 요구하는 방식이다. 폭력의 언어 속에서도 인간은 존엄을 갈망한다. 흠이 있지만 진심이 담긴 시도였다.</t>
  </si>
  <si>
    <t>감독: 피터 버그
주연: 마크 월버그, Taylor Kitsch, 에밀 허쉬</t>
  </si>
  <si>
    <t>할리우드적 스펙터클 너머, 2013년의 시선으로 담아낸 액션의 이야기. 육체의 한계에 도전하는 것은 곧 자아의 경계를 시험하는 일이다. 충돌은 세계가 변화를 요구하는 방식이다. 거칠지만 그 안에서도 인간의 흔적은 남는다.</t>
  </si>
  <si>
    <t>감독: Susannah Grant
주연: 로라 던, 리암 헴스워스, 다이애나 실버스</t>
  </si>
  <si>
    <t>할리우드적 스펙터클 너머, 2024년의 시선으로 담아낸 로맨스의 이야기. 사랑은 자아의 경계가 흔들리는 순간에 찾아온다. 두 사람 사이의 침묵은 때로 말보다 더 많은 것을 말한다. 완벽하지 않아도, 그 불완전함이 오히려 인간적이다.</t>
  </si>
  <si>
    <t>감독: Julian Gilbey
주연: Melissa George, Ed Speleers, Eamonn Walker</t>
  </si>
  <si>
    <t>영국적 절제와 냉소 사이에서, 2011년의 시선으로 담아낸 스릴러의 이야기. 긴장은 존재가 위협받을 때 가장 선명하게 빛난다. 불안이란 현실이 균열을 드러내는 순간에 스며든다. 흠이 있지만 진심이 담긴 시도였다.</t>
  </si>
  <si>
    <t>감독: Niki Stein
주연: Ulrich Tukur, Benjamin Sadler, Aglaia Szyszkowitz</t>
  </si>
  <si>
    <t>독일 특유의 사유의 무게를 지니며, 2012년의 시선으로 담아낸 드라마의 이야기. 삶은 언제나 해석을 기다리는 텍스트다. 우리는 각자의 서사 안에 갇혀 서로를 오해한다. 평점이 담지 못하는 무언가가 이 영화에는 있다.</t>
  </si>
  <si>
    <t>감독: Raymond De Felitta
주연: 마이클 피트, Nina Arianda, 앤디 가르시아</t>
  </si>
  <si>
    <t>할리우드적 스펙터클 너머, 2014년의 시선으로 담아낸 범죄의 이야기. 죄란 사회가 만든 경계를 넘는 행위이자 그 경계에 대한 질문이다. 어둠 속에서도 인간은 스스로를 정당화하려 한다. 완벽하지 않아도, 그 불완전함이 오히려 인간적이다.</t>
  </si>
  <si>
    <t>한국 특유의 정서가 켜켜이 쌓인 듯, 2019년의 시선으로 담아낸 액션의 이야기. 생존의 욕망은 가장 원초적인 철학적 질문을 던진다. 폭력의 언어 속에서도 인간은 존엄을 갈망한다. 오랫동안 여운이 남는 작품이다.</t>
  </si>
  <si>
    <t>감독: Jonathan Levine
주연: 샤를리즈 테론, 세스 로건, 오셰이 잭슨 주니어</t>
  </si>
  <si>
    <t>할리우드적 스펙터클 너머, 2019년의 시선으로 담아낸 코미디의 이야기. 우스운 것과 슬픈 것은 본래 같은 뿌리에서 자란다. 가볍게 웃는 순간에도 삶의 무게는 그 그림자를 드리운다. 이 작품이 남기는 질문은 쉽게 사라지지 않는다.</t>
  </si>
  <si>
    <t>감독: David Anspaugh
주연: 숀 애스틴, 존 파브로, 네드 비티</t>
  </si>
  <si>
    <t>할리우드적 스펙터클 너머, 1993년의 시선으로 담아낸 드라마의 이야기. 인간의 고통이란 결국 타인과의 거리에서 비롯된다. 삶은 언제나 해석을 기다리는 텍스트다. 시간이 지날수록 더 깊이 읽히는 영화다.</t>
  </si>
  <si>
    <t>감독: Jonathan Dayton, Valerie Faris
주연: 폴 다노, 조이 카잔, 크리스 메시나</t>
  </si>
  <si>
    <t>할리우드적 스펙터클 너머, 2012년의 시선으로 담아낸 코미디의 이야기. 유머 속에는 세계의 부조리를 견뎌내는 지혜가 담겨 있다. 우스운 것과 슬픈 것은 본래 같은 뿌리에서 자란다. 완벽하지 않아도, 그 불완전함이 오히려 인간적이다.</t>
  </si>
  <si>
    <t>감독: 뤽 베송
주연: 스칼렛 요한슨, 모건 프리먼, 최민식</t>
  </si>
  <si>
    <t>프랑스 영화 특유의 철학적 깊이로, 2014년의 시선으로 담아낸 액션의 이야기. 폭력의 언어 속에서도 인간은 존엄을 갈망한다. 충돌은 세계가 변화를 요구하는 방식이다. 나름의 울림을 간직한 작품이다.</t>
  </si>
  <si>
    <t>감독: Julien Leclercq
주연: 장클로드 반담, 사미 부아질라, Sveva Alviti</t>
  </si>
  <si>
    <t>독일 특유의 사유의 무게를 지니며, 2018년의 시선으로 담아낸 드라마의 이야기. 삶은 언제나 해석을 기다리는 텍스트다. 인간의 고통이란 결국 타인과의 거리에서 비롯된다. 평점이 담지 못하는 무언가가 이 영화에는 있다.</t>
  </si>
  <si>
    <t>2018년의 시선으로 담아낸 스릴러 이야기가 우리에게 묻는다. 불안이란 현실이 균열을 드러내는 순간에 스며든다. 긴장은 존재가 위협받을 때 가장 선명하게 빛난다. 아쉬움이 남지만, 모든 시도는 의미를 갖는다.</t>
  </si>
  <si>
    <t>감독: 윌리엄 프리드킨
주연: 토미 리 존스, 사무엘 L. 잭슨, 가이 피어스</t>
  </si>
  <si>
    <t>할리우드적 스펙터클 너머, 2000년의 시선으로 담아낸 드라마의 이야기. 우리는 각자의 서사 안에 갇혀 서로를 오해한다. 인간의 고통이란 결국 타인과의 거리에서 비롯된다. 완벽하지 않아도, 그 불완전함이 오히려 인간적이다.</t>
  </si>
  <si>
    <t>감독: 레니 에이브러햄슨
주연: 브리 라슨, 제이컵 트람블레이, 조앤 앨런</t>
  </si>
  <si>
    <t>2015년의 시선으로 담아낸 드라마 이야기가 우리에게 묻는다. 우리는 각자의 서사 안에 갇혀 서로를 오해한다. 삶은 언제나 해석을 기다리는 텍스트다. 시간이 지날수록 더 깊이 읽히는 영화다.</t>
  </si>
  <si>
    <t>감독: 페드로 알모도바르
주연: 줄리앤 무어, 틸다 스윈튼, 존 터투로</t>
  </si>
  <si>
    <t>열정과 멜랑콜리가 교차하며, 2024년의 시선으로 담아낸 드라마의 이야기. 우리는 각자의 서사 안에 갇혀 서로를 오해한다. 삶은 언제나 해석을 기다리는 텍스트다. 두고두고 다시 꺼내 볼 만한 작품이다.</t>
  </si>
  <si>
    <t>감독: Ellen Kuras
주연: 케이트 윈슬렛, 앤디 샘버그, 알렉산더 스카스가드</t>
  </si>
  <si>
    <t>영국적 절제와 냉소 사이에서, 2023년의 시선으로 담아낸 드라마의 이야기. 모든 이야기는 상처의 다른 이름이다. 우리는 각자의 서사 안에 갇혀 서로를 오해한다. 한 번쯤 들여다볼 가치가 있는 이야기다.</t>
  </si>
  <si>
    <t>감독: 알레한드로 아메나바르
주연: 에단 호크, 엠마 왓슨, 데이비드 슐리스</t>
  </si>
  <si>
    <t>할리우드적 스펙터클 너머, 2015년의 시선으로 담아낸 스릴러의 이야기. 긴장은 존재가 위협받을 때 가장 선명하게 빛난다. 공포는 우리가 통제할 수 없는 것들에 대한 솔직한 고백이다. 나름의 울림을 간직한 작품이다.</t>
  </si>
  <si>
    <t>감독: Hicham Hajji
주연: Gary Dourdan, 세린다 스완, 앤디 가르시아</t>
  </si>
  <si>
    <t>할리우드적 스펙터클 너머, 2021년의 시선으로 담아낸 액션의 이야기. 충돌은 세계가 변화를 요구하는 방식이다. 생존의 욕망은 가장 원초적인 철학적 질문을 던진다. 아쉬움이 남지만, 모든 시도는 의미를 갖는다.</t>
  </si>
  <si>
    <t>감독: 리드 모라노
주연: 블레이크 라이블리, 주드 로, 스털링 K. 브라운</t>
  </si>
  <si>
    <t>영국적 절제와 냉소 사이에서, 2020년의 시선으로 담아낸 액션의 이야기. 폭력의 언어 속에서도 인간은 존엄을 갈망한다. 육체의 한계에 도전하는 것은 곧 자아의 경계를 시험하는 일이다. 완성도와 별개로, 이 작품이 던지려 한 질문은 유효하다.</t>
  </si>
  <si>
    <t>감독: D.J. Caruso
주연: 애비게일 카우언, Tom Lewis, 에릭 데인</t>
  </si>
  <si>
    <t>할리우드적 스펙터클 너머, 2022년의 시선으로 담아낸 드라마의 이야기. 모든 이야기는 상처의 다른 이름이다. 우리는 각자의 서사 안에 갇혀 서로를 오해한다. 한 번쯤 들여다볼 가치가 있는 이야기다.</t>
  </si>
  <si>
    <t>감독: 이일형
주연: 이성민, 남주혁, 박근형</t>
  </si>
  <si>
    <t>한국 특유의 정서가 켜켜이 쌓인 듯, 2022년의 시선으로 담아낸 스릴러의 이야기. 진실은 언제나 우리가 감당할 수 없는 형태로 찾아온다. 공포는 우리가 통제할 수 없는 것들에 대한 솔직한 고백이다. 흠이 있지만 진심이 담긴 시도였다.</t>
  </si>
  <si>
    <t>감독: 아톰 에고이안
주연: 크리스토퍼 플러머, 브루노 간츠, Jürgen Prochnow</t>
  </si>
  <si>
    <t>2015년의 시선으로 담아낸 드라마 이야기가 우리에게 묻는다. 우리는 각자의 서사 안에 갇혀 서로를 오해한다. 모든 이야기는 상처의 다른 이름이다. 나름의 울림을 간직한 작품이다.</t>
  </si>
  <si>
    <t>감독: Allen Coulter
주연: 로버트 패틴슨, Emilie de Ravin, 피어스 브로스넌</t>
  </si>
  <si>
    <t>할리우드적 스펙터클 너머, 2010년의 시선으로 담아낸 드라마의 이야기. 인간의 고통이란 결국 타인과의 거리에서 비롯된다. 모든 이야기는 상처의 다른 이름이다. 완벽하지 않아도, 그 불완전함이 오히려 인간적이다.</t>
  </si>
  <si>
    <t>감독: Boaz Yakin
주연: 덴젤 워싱턴, Will Patton, Wood Harris</t>
  </si>
  <si>
    <t>할리우드적 스펙터클 너머, 2000년의 시선으로 담아낸 드라마의 이야기. 삶은 언제나 해석을 기다리는 텍스트다. 모든 이야기는 상처의 다른 이름이다. 시간이 지날수록 더 깊이 읽히는 영화다.</t>
  </si>
  <si>
    <t>감독: 닐 버거
주연: 브래들리 쿠퍼, 로버트 드 니로, 에비 코니쉬</t>
  </si>
  <si>
    <t>할리우드적 스펙터클 너머, 2011년의 시선으로 담아낸 SF의 이야기. 미래를 상상하는 것은 현재를 비판하는 가장 우회적인 방법이다. 기술이 진보할수록 인간다움의 정의는 더욱 절박해진다. 시간이 지날수록 더 깊이 읽히는 영화다.</t>
  </si>
  <si>
    <t>감독: George P. Cosmatos
주연: 피터 웰러, 리처드 크레나, Amanda Pays</t>
  </si>
  <si>
    <t>2014년의 시선으로 담아낸 드라마 이야기가 우리에게 묻는다. 삶은 언제나 해석을 기다리는 텍스트다. 모든 이야기는 상처의 다른 이름이다. 오랫동안 여운이 남는 작품이다.</t>
  </si>
  <si>
    <t>감독: Josh Radnor
주연: Josh Radnor, 엘리자베스 올슨, 리처드 젠킨스</t>
  </si>
  <si>
    <t>할리우드적 스펙터클 너머, 2012년의 시선으로 담아낸 코미디의 이야기. 가볍게 웃는 순간에도 삶의 무게는 그 그림자를 드리운다. 우스운 것과 슬픈 것은 본래 같은 뿌리에서 자란다. 나름의 울림을 간직한 작품이다.</t>
  </si>
  <si>
    <t>감독: 오승욱
주연: 전도연, 지창욱, 임지연</t>
  </si>
  <si>
    <t>한국 특유의 정서가 켜켜이 쌓인 듯, 2024년의 시선으로 담아낸 액션의 이야기. 생존의 욕망은 가장 원초적인 철학적 질문을 던진다. 충돌은 세계가 변화를 요구하는 방식이다. 나름의 울림을 간직한 작품이다.</t>
  </si>
  <si>
    <t>감독: Sam Esmail
주연: 줄리아 로버츠, 에단 호크, 마허샬라 알리</t>
  </si>
  <si>
    <t>할리우드적 스펙터클 너머, 2023년의 시선으로 담아낸 드라마의 이야기. 모든 이야기는 상처의 다른 이름이다. 삶은 언제나 해석을 기다리는 텍스트다. 거칠지만 그 안에서도 인간의 흔적은 남는다.</t>
  </si>
  <si>
    <t>감독: 마크 웹
주연: 칼럼 터너, 제프 브리지스, 케이트 베킨세일</t>
  </si>
  <si>
    <t>할리우드적 스펙터클 너머, 2017년의 시선으로 담아낸 드라마의 이야기. 삶은 언제나 해석을 기다리는 텍스트다. 우리는 각자의 서사 안에 갇혀 서로를 오해한다. 시간이 지날수록 더 깊이 읽히는 영화다.</t>
  </si>
  <si>
    <t>감독: Oliver Hermanus
주연: 빌 나이, 에이미 루 우드, 알렉스 샤프</t>
  </si>
  <si>
    <t>영국적 절제와 냉소 사이에서, 2022년의 시선으로 담아낸 드라마의 이야기. 인간의 고통이란 결국 타인과의 거리에서 비롯된다. 우리는 각자의 서사 안에 갇혀 서로를 오해한다. 나름의 울림을 간직한 작품이다.</t>
  </si>
  <si>
    <t>감독: 빌 어거스트
주연: 제레미 아이언스, 멜라니 로랑, 잭 휴스턴</t>
  </si>
  <si>
    <t>독일 특유의 사유의 무게를 지니며, 2013년의 시선으로 담아낸 드라마의 이야기. 모든 이야기는 상처의 다른 이름이다. 우리는 각자의 서사 안에 갇혀 서로를 오해한다. 오랫동안 여운이 남는 작품이다.</t>
  </si>
  <si>
    <t>감독: Liesl Tommy
주연: 제니퍼 허드슨, 포레스트 휘태커, 말런 웨이언스</t>
  </si>
  <si>
    <t>할리우드적 스펙터클 너머, 2021년의 시선으로 담아낸 드라마의 이야기. 우리는 각자의 서사 안에 갇혀 서로를 오해한다. 모든 이야기는 상처의 다른 이름이다. 나름의 울림을 간직한 작품이다.</t>
  </si>
  <si>
    <t>감독: Ana Rocha de Sousa
주연: Lúcia Moniz, Ruben Garcia, Maisie Sly</t>
  </si>
  <si>
    <t>영국적 절제와 냉소 사이에서, 2021년의 시선으로 담아낸 드라마의 이야기. 모든 이야기는 상처의 다른 이름이다. 우리는 각자의 서사 안에 갇혀 서로를 오해한다. 흠이 있지만 진심이 담긴 시도였다.</t>
  </si>
  <si>
    <t>감독: 클린트 이스트우드
주연: 폴 월터 하우저, 존 햄, 캐시 베이츠</t>
  </si>
  <si>
    <t>할리우드적 스펙터클 너머, 2019년의 시선으로 담아낸 드라마의 이야기. 삶은 언제나 해석을 기다리는 텍스트다. 우리는 각자의 서사 안에 갇혀 서로를 오해한다. 이 작품이 남기는 질문은 쉽게 사라지지 않는다.</t>
  </si>
  <si>
    <t>감독: 닉 샌토라
주연: 앨런 리치슨, Maria Sten, Sonya Cassidy</t>
  </si>
  <si>
    <t>드라마, 액션, 범죄</t>
  </si>
  <si>
    <t>드라마 형식 속에서, 할리우드적 스펙터클 너머, 2022년의 시선으로 담아낸 드라마의 이야기. 인간의 고통이란 결국 타인과의 거리에서 비롯된다. 삶은 언제나 해석을 기다리는 텍스트다. 평점이 담지 못하는 무언가가 이 영화에는 있다.</t>
  </si>
  <si>
    <t>드라마 형식 속에서, 할리우드적 스펙터클 너머, 2023년의 시선으로 담아낸 드라마의 이야기. 우리는 각자의 서사 안에 갇혀 서로를 오해한다. 삶은 언제나 해석을 기다리는 텍스트다. 이 작품이 남기는 이미지는 어떤 방식으로든 기억에 새겨진다.</t>
  </si>
  <si>
    <t>드라마 형식 속에서, 할리우드적 스펙터클 너머, 2025년의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</si>
  <si>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제이 로치
주연: 케빈 스페이시, 밥 밸러밴, 에드 베글리 주니어</t>
  </si>
  <si>
    <t>할리우드적 스펙터클 너머, 2008년의 시선으로 담아낸 드라마의 이야기. 인간의 고통이란 결국 타인과의 거리에서 비롯된다. 삶은 언제나 해석을 기다리는 텍스트다. 이 작품이 남기는 이미지는 어떤 방식으로든 기억에 새겨진다.</t>
  </si>
  <si>
    <t>감독: 조나단 플레이크
주연: 노아 와일, 가브리엘 앤워, 밥 뉴하트</t>
  </si>
  <si>
    <t>할리우드적 스펙터클 너머, 2007년의 시선으로 담아낸 드라마의 이야기. 삶은 언제나 해석을 기다리는 텍스트다. 모든 이야기는 상처의 다른 이름이다. 오랫동안 여운이 남는 작품이다.</t>
  </si>
  <si>
    <t>감독: Fouad Mikati
주연: 로저먼드 파이크, Shiloh Fernandez, 닉 놀티</t>
  </si>
  <si>
    <t>할리우드적 스펙터클 너머, 2015년의 시선으로 담아낸 스릴러의 이야기. 긴장은 존재가 위협받을 때 가장 선명하게 빛난다. 진실은 언제나 우리가 감당할 수 없는 형태로 찾아온다. 한 번쯤 들여다볼 가치가 있는 이야기다.</t>
  </si>
  <si>
    <t>감독: Alejandro Monteverde
주연: Jakob Salvati, 에밀리 왓슨, 케리히로유키 다가와</t>
  </si>
  <si>
    <t>할리우드적 스펙터클 너머, 2015년의 시선으로 담아낸 드라마의 이야기. 삶은 언제나 해석을 기다리는 텍스트다. 모든 이야기는 상처의 다른 이름이다. 두고두고 다시 꺼내 볼 만한 작품이다.</t>
  </si>
  <si>
    <t>감독: 토드 필드
주연: 케이트 윈슬렛, 패트릭 윌슨, 제니퍼 코넬리</t>
  </si>
  <si>
    <t>할리우드적 스펙터클 너머, 2006년의 시선으로 담아낸 드라마의 이야기. 모든 이야기는 상처의 다른 이름이다. 삶은 언제나 해석을 기다리는 텍스트다. 이 작품이 남기는 질문은 쉽게 사라지지 않는다.</t>
  </si>
  <si>
    <t>감독: 임순례
주연: 김태리, 문소리, 류준열</t>
  </si>
  <si>
    <t>한국 특유의 정서가 켜켜이 쌓인 듯, 2018년의 시선으로 담아낸 드라마의 이야기. 삶은 언제나 해석을 기다리는 텍스트다. 인간의 고통이란 결국 타인과의 거리에서 비롯된다. 이 작품이 남기는 질문은 쉽게 사라지지 않는다.</t>
  </si>
  <si>
    <t>감독: 森淳一
주연: 하시모토 아이, 三浦貴大, 마츠오카 마유</t>
  </si>
  <si>
    <t>섬세한 일본적 감수성으로, 2014년의 시선으로 담아낸 드라마의 이야기. 삶은 언제나 해석을 기다리는 텍스트다. 인간의 고통이란 결국 타인과의 거리에서 비롯된다. 오랫동안 여운이 남는 작품이다.</t>
  </si>
  <si>
    <t>섬세한 일본적 감수성으로, 2015년의 시선으로 담아낸 드라마의 이야기. 모든 이야기는 상처의 다른 이름이다. 우리는 각자의 서사 안에 갇혀 서로를 오해한다. 오랫동안 여운이 남는 작품이다.</t>
  </si>
  <si>
    <t>감독: Brian A. Miller
주연: 프랭크 그릴로, 브루스 윌리스, Johnathon Schaech</t>
  </si>
  <si>
    <t>할리우드적 스펙터클 너머, 2018년의 시선으로 담아낸 액션의 이야기. 폭력의 언어 속에서도 인간은 존엄을 갈망한다. 육체의 한계에 도전하는 것은 곧 자아의 경계를 시험하는 일이다. 평점이 담지 못하는 무언가가 이 영화에는 있다.</t>
  </si>
  <si>
    <t>감독: F. 게리 게리
주연: 케빈 하트, 구구 음바타로, 샘 워싱턴</t>
  </si>
  <si>
    <t>할리우드적 스펙터클 너머, 2024년의 시선으로 담아낸 액션의 이야기. 폭력의 언어 속에서도 인간은 존엄을 갈망한다. 충돌은 세계가 변화를 요구하는 방식이다. 완벽하지 않아도, 그 불완전함이 오히려 인간적이다.</t>
  </si>
  <si>
    <t>감독: David Heinz
주연: Joe Purdy, Amber Rubarth, Krisha Fairchild</t>
  </si>
  <si>
    <t>할리우드적 스펙터클 너머, 2020년의 시선으로 담아낸 드라마의 이야기. 인간의 고통이란 결국 타인과의 거리에서 비롯된다. 모든 이야기는 상처의 다른 이름이다. 거칠지만 그 안에서도 인간의 흔적은 남는다.</t>
  </si>
  <si>
    <t>감독: 안소니 밍겔라
주연: 맷 데이먼, 기네스 팰트로, 주드 로</t>
  </si>
  <si>
    <t>할리우드적 스펙터클 너머, 1999년의 시선으로 담아낸 드라마의 이야기. 인간의 고통이란 결국 타인과의 거리에서 비롯된다. 모든 이야기는 상처의 다른 이름이다. 오랫동안 여운이 남는 작품이다.</t>
  </si>
  <si>
    <t>감독: 앤드류 헤이
주연: 찰리 플러머, Amy Seimetz, 트래비스 피멀</t>
  </si>
  <si>
    <t>영국적 절제와 냉소 사이에서, 2017년의 시선으로 담아낸 드라마의 이야기. 삶은 언제나 해석을 기다리는 텍스트다. 인간의 고통이란 결국 타인과의 거리에서 비롯된다. 두고두고 다시 꺼내 볼 만한 작품이다.</t>
  </si>
  <si>
    <t>감독: 이와이 슌지
주연: 쿠로키 하루, 아야노 고, Cocco</t>
  </si>
  <si>
    <t>섬세한 일본적 감수성으로, 2016년의 시선으로 담아낸 드라마의 이야기. 인간의 고통이란 결국 타인과의 거리에서 비롯된다. 우리는 각자의 서사 안에 갇혀 서로를 오해한다. 한 번쯤 들여다볼 가치가 있는 이야기다.</t>
  </si>
  <si>
    <t>감독: Brad Furman
주연: 매튜 매커너히, 라이언 필립, 윌리엄 H. 메이시</t>
  </si>
  <si>
    <t>할리우드적 스펙터클 너머, 2011년의 시선으로 담아낸 범죄의 이야기. 죄란 사회가 만든 경계를 넘는 행위이자 그 경계에 대한 질문이다. 욕망은 언제나 질서보다 먼저 존재했다. 두고두고 다시 꺼내 볼 만한 작품이다.</t>
  </si>
  <si>
    <t>감독: 박훈정
주연: 김다미, 조민수, 박희순</t>
  </si>
  <si>
    <t>한국 특유의 정서가 켜켜이 쌓인 듯, 2018년의 시선으로 담아낸 액션의 이야기. 충돌은 세계가 변화를 요구하는 방식이다. 육체의 한계에 도전하는 것은 곧 자아의 경계를 시험하는 일이다. 두고두고 다시 꺼내 볼 만한 작품이다.</t>
  </si>
  <si>
    <t>감독: 박훈정
주연: 신시아, 박은빈, 서은수</t>
  </si>
  <si>
    <t>한국 특유의 정서가 켜켜이 쌓인 듯, 2022년의 시선으로 담아낸 액션의 이야기. 충돌은 세계가 변화를 요구하는 방식이다. 육체의 한계에 도전하는 것은 곧 자아의 경계를 시험하는 일이다. 완벽하지 않아도, 그 불완전함이 오히려 인간적이다.</t>
  </si>
  <si>
    <t>감독: Kate Brooke
주연: 테레사 파머, 매튜 구드, Edward Bluemel</t>
  </si>
  <si>
    <t>드라마 형식 속에서, 영국적 절제와 냉소 사이에서, 2018년의 시선으로 담아낸 드라마의 이야기. 인간의 고통이란 결국 타인과의 거리에서 비롯된다. 모든 이야기는 상처의 다른 이름이다. 평점이 담지 못하는 무언가가 이 영화에는 있다.</t>
  </si>
  <si>
    <t>드라마 형식 속에서, 영국적 절제와 냉소 사이에서, 2021년의 시선으로 담아낸 드라마의 이야기. 삶은 언제나 해석을 기다리는 텍스트다. 우리는 각자의 서사 안에 갇혀 서로를 오해한다. 평점이 담지 못하는 무언가가 이 영화에는 있다.</t>
  </si>
  <si>
    <t>드라마 형식 속에서, 영국적 절제와 냉소 사이에서, 2022년의 시선으로 담아낸 드라마의 이야기. 우리는 각자의 서사 안에 갇혀 서로를 오해한다. 모든 이야기는 상처의 다른 이름이다. 이 작품이 남기는 이미지는 어떤 방식으로든 기억에 새겨진다.</t>
  </si>
  <si>
    <t>감독: Claude Berri
주연: Yves Montand, 제라르 드파르디외, Daniel Auteuil</t>
  </si>
  <si>
    <t>프랑스 영화 특유의 철학적 깊이로, 1986년의 시선으로 담아낸 드라마의 이야기. 삶은 언제나 해석을 기다리는 텍스트다. 인간의 고통이란 결국 타인과의 거리에서 비롯된다. 오랫동안 여운이 남는 작품이다.</t>
  </si>
  <si>
    <t>감독: Claude Berri
주연: Yves Montand, Daniel Auteuil, 엠마누엘 베아르</t>
  </si>
  <si>
    <t>프랑스 영화 특유의 철학적 깊이로, 1986년의 시선으로 담아낸 드라마의 이야기. 우리는 각자의 서사 안에 갇혀 서로를 오해한다. 삶은 언제나 해석을 기다리는 텍스트다. 두고두고 다시 꺼내 볼 만한 작품이다.</t>
  </si>
  <si>
    <t>감독: Barbara Hall
주연: 테아 레오니, Tim Daly, 젤코 이바넥</t>
  </si>
  <si>
    <t>드라마, 정치</t>
  </si>
  <si>
    <t>드라마 형식 속에서, 할리우드적 스펙터클 너머, 2015년의 시선으로 담아낸 드라마의 이야기. 우리는 각자의 서사 안에 갇혀 서로를 오해한다. 모든 이야기는 상처의 다른 이름이다. 평점이 담지 못하는 무언가가 이 영화에는 있다.</t>
  </si>
  <si>
    <t>드라마 형식 속에서, 할리우드적 스펙터클 너머, 2016년의 시선으로 담아낸 드라마의 이야기. 우리는 각자의 서사 안에 갇혀 서로를 오해한다. 삶은 언제나 해석을 기다리는 텍스트다. 이 작품이 남기는 이미지는 어떤 방식으로든 기억에 새겨진다.</t>
  </si>
  <si>
    <t>드라마 형식 속에서, 할리우드적 스펙터클 너머, 2017년의 시선으로 담아낸 드라마의 이야기. 우리는 각자의 서사 안에 갇혀 서로를 오해한다. 인간의 고통이란 결국 타인과의 거리에서 비롯된다. 평점이 담지 못하는 무언가가 이 영화에는 있다.</t>
  </si>
  <si>
    <t>드라마 형식 속에서, 할리우드적 스펙터클 너머, 2018년의 시선으로 담아낸 드라마의 이야기. 모든 이야기는 상처의 다른 이름이다. 삶은 언제나 해석을 기다리는 텍스트다. 이 작품이 남기는 이미지는 어떤 방식으로든 기억에 새겨진다.</t>
  </si>
  <si>
    <t>드라마 형식 속에서, 할리우드적 스펙터클 너머, 2019년의 시선으로 담아낸 드라마의 이야기. 삶은 언제나 해석을 기다리는 텍스트다. 우리는 각자의 서사 안에 갇혀 서로를 오해한다. 이 작품이 남기는 이미지는 어떤 방식으로든 기억에 새겨진다.</t>
  </si>
  <si>
    <t>드라마 형식 속에서, 할리우드적 스펙터클 너머, 2019년의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</si>
  <si>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닐 조던
주연: 클로이 그레이스 모레츠, 이자벨 위페르, 마이카 먼로</t>
  </si>
  <si>
    <t>할리우드적 스펙터클 너머, 2018년의 시선으로 담아낸 스릴러의 이야기. 불안이란 현실이 균열을 드러내는 순간에 스며든다. 공포는 우리가 통제할 수 없는 것들에 대한 솔직한 고백이다. 시간이 지날수록 더 깊이 읽히는 영화다.</t>
  </si>
  <si>
    <t>감독: 봉준호
주연: 김혜자, 원빈, 진구</t>
  </si>
  <si>
    <t>한국 특유의 정서가 켜켜이 쌓인 듯, 2009년의 시선으로 담아낸 드라마의 이야기. 인간의 고통이란 결국 타인과의 거리에서 비롯된다. 우리는 각자의 서사 안에 갇혀 서로를 오해한다. 오랫동안 여운이 남는 작품이다.</t>
  </si>
  <si>
    <t>감독: 오모리 타츠시
주연: 나가사와 마사미,오쿠다이라 다이켄,카호,아베 사다오, 나카노 타이가 외</t>
  </si>
  <si>
    <t>드라마,범죄</t>
  </si>
  <si>
    <t>섬세한 일본적 감수성으로, 2020년의 시선으로 담아낸 드라마의 이야기. 모든 이야기는 상처의 다른 이름이다. 인간의 고통이란 결국 타인과의 거리에서 비롯된다. 오랫동안 여운이 남는 작품이다.</t>
  </si>
  <si>
    <t>감독: 대런 아로노프스키
주연: 제니퍼 로렌스, 하비에르 바르뎀, 에드 해리스</t>
  </si>
  <si>
    <t>할리우드적 스펙터클 너머, 2017년의 시선으로 담아낸 스릴러의 이야기. 진실은 언제나 우리가 감당할 수 없는 형태로 찾아온다. 공포는 우리가 통제할 수 없는 것들에 대한 솔직한 고백이다. 두고두고 다시 꺼내 볼 만한 작품이다.</t>
  </si>
  <si>
    <t>감독: Craig David Wallace
주연: Lora Burke, Tessa Kozma, Kristen MacCulloch</t>
  </si>
  <si>
    <t>2021년의 시선으로 담아낸 스릴러 이야기가 우리에게 묻는다. 긴장은 존재가 위협받을 때 가장 선명하게 빛난다. 불안이란 현실이 균열을 드러내는 순간에 스며든다. 거칠지만 그 안에서도 인간의 흔적은 남는다.</t>
  </si>
  <si>
    <t>감독: 로드리고 가르시아
주연: 나오미 왓츠, 아네트 베닝, 케리 워싱턴</t>
  </si>
  <si>
    <t>할리우드적 스펙터클 너머, 2009년의 시선으로 담아낸 드라마의 이야기. 삶은 언제나 해석을 기다리는 텍스트다. 인간의 고통이란 결국 타인과의 거리에서 비롯된다. 이 작품이 남기는 질문은 쉽게 사라지지 않는다.</t>
  </si>
  <si>
    <t>감독: Marie Noëlle
주연: Karolina Gruszka, Arieh Worthalter, Charles Berling</t>
  </si>
  <si>
    <t>폴란드</t>
  </si>
  <si>
    <t>2020년의 시선으로 담아낸 드라마 이야기가 우리에게 묻는다. 삶은 언제나 해석을 기다리는 텍스트다. 모든 이야기는 상처의 다른 이름이다. 시간이 지날수록 더 깊이 읽히는 영화다.</t>
  </si>
  <si>
    <t>감독: D.W. 그리피스, Christy Cabanne
주연: Robert Harron, W. Chrystie Miller, Dorothy Gish</t>
  </si>
  <si>
    <t>프랑스 영화 특유의 철학적 깊이로, 2012년의 시선으로 담아낸 드라마의 이야기. 모든 이야기는 상처의 다른 이름이다. 우리는 각자의 서사 안에 갇혀 서로를 오해한다. 시간이 지날수록 더 깊이 읽히는 영화다.</t>
  </si>
  <si>
    <t>감독: Simon Curtis
주연: 미셸 윌리엄스, 케네스 브래너, 에디 레드메인</t>
  </si>
  <si>
    <t>영국적 절제와 냉소 사이에서, 2011년의 시선으로 담아낸 드라마의 이야기. 우리는 각자의 서사 안에 갇혀 서로를 오해한다. 모든 이야기는 상처의 다른 이름이다. 한 번쯤 들여다볼 가치가 있는 이야기다.</t>
  </si>
  <si>
    <t>한국 특유의 정서가 켜켜이 쌓인 듯, 2011년의 시선으로 담아낸 드라마의 이야기. 우리는 각자의 서사 안에 갇혀 서로를 오해한다. 모든 이야기는 상처의 다른 이름이다. 한 번쯤 들여다볼 가치가 있는 이야기다.</t>
  </si>
  <si>
    <t>감독: 리들리 스콧
주연: 맷 데이먼, 제시카 차스테인, 크리스틴 위그</t>
  </si>
  <si>
    <t>할리우드적 스펙터클 너머, 2015년의 시선으로 담아낸 SF의 이야기. 미래를 상상하는 것은 현재를 비판하는 가장 우회적인 방법이다. 우주의 광대함 앞에서 인간의 질문은 더욱 깊어진다. 두고두고 다시 꺼내 볼 만한 작품이다.</t>
  </si>
  <si>
    <t>감독: Kim Yong-hoon
주연: 고현정, 나나, 이한별</t>
  </si>
  <si>
    <t>드라마 형식 속에서, 한국 특유의 정서가 켜켜이 쌓인 듯, 2023년의 시선으로 담아낸 드라마의 이야기. 삶은 언제나 해석을 기다리는 텍스트다. 인간의 고통이란 결국 타인과의 거리에서 비롯된다. 평점이 담지 못하는 무언가가 이 영화에는 있다.</t>
  </si>
  <si>
    <t>감독: 조의석
주연: 이병헌, 강동원, 김우빈</t>
  </si>
  <si>
    <t>한국 특유의 정서가 켜켜이 쌓인 듯, 2016년의 시선으로 담아낸 범죄의 이야기. 죄란 사회가 만든 경계를 넘는 행위이자 그 경계에 대한 질문이다. 어둠 속에서도 인간은 스스로를 정당화하려 한다. 두고두고 다시 꺼내 볼 만한 작품이다.</t>
  </si>
  <si>
    <t>감독: 폴 토마스 앤더슨
주연: 호아킨 피닉스, 필립 세이모어 호프만, 에이미 아담스</t>
  </si>
  <si>
    <t>할리우드적 스펙터클 너머, 2012년의 시선으로 담아낸 드라마의 이야기. 인간의 고통이란 결국 타인과의 거리에서 비롯된다. 모든 이야기는 상처의 다른 이름이다. 이 작품이 남기는 질문은 쉽게 사라지지 않는다.</t>
  </si>
  <si>
    <t>감독: 피터 위어
주연: 러셀 크로우, 폴 베타니, 제임스 다시</t>
  </si>
  <si>
    <t>할리우드적 스펙터클 너머, 2003년의 시선으로 담아낸 액션의 이야기. 충돌은 세계가 변화를 요구하는 방식이다. 생존의 욕망은 가장 원초적인 철학적 질문을 던진다. 평점이 담지 못하는 무언가가 이 영화에는 있다.</t>
  </si>
  <si>
    <t>감독: John Orloff
주연: 오스틴 버틀러, 칼럼 터너, 앤서니 보일</t>
  </si>
  <si>
    <t>드라마 형식 속에서, 할리우드적 스펙터클 너머, 2024년의 시선으로 담아낸 드라마의 이야기. 삶은 언제나 해석을 기다리는 텍스트다. 모든 이야기는 상처의 다른 이름이다. 평점이 담지 못하는 무언가가 이 영화에는 있다.</t>
  </si>
  <si>
    <t>감독: 우민호
주연: 송강호, 조정석, 배두나</t>
  </si>
  <si>
    <t>한국 특유의 정서가 켜켜이 쌓인 듯, 2018년의 시선으로 담아낸 범죄의 이야기. 죄란 사회가 만든 경계를 넘는 행위이자 그 경계에 대한 질문이다. 법과 도덕 사이의 틈새에서 인간의 본성이 노출된다. 나름의 울림을 간직한 작품이다.</t>
  </si>
  <si>
    <t>감독: David Donnelly
주연: 파보 예르비, Arvo Pärt, Pekka Kuusisto</t>
  </si>
  <si>
    <t>프랑스 영화 특유의 철학적 깊이로, 2015년의 시선으로 담아낸 드라마의 이야기. 삶은 언제나 해석을 기다리는 텍스트다. 모든 이야기는 상처의 다른 이름이다. 완벽하지 않아도, 그 불완전함이 오히려 인간적이다.</t>
  </si>
  <si>
    <t>감독: Yoon Seok-ho
주연: 마시마 히데카즈, 真田麻垂美, 長谷川朝晴</t>
  </si>
  <si>
    <t>섬세한 일본적 감수성으로, 2020년의 시선으로 담아낸 드라마의 이야기. 삶은 언제나 해석을 기다리는 텍스트다. 인간의 고통이란 결국 타인과의 거리에서 비롯된다. 오랫동안 여운이 남는 작품이다.</t>
  </si>
  <si>
    <t>감독: 나가이 타츠유키
주연: 미나세 이노리, 우치야마 고키, 아마미야 소라</t>
  </si>
  <si>
    <t>섬세한 일본적 감수성으로, 2017년의 시선으로 담아낸 드라마의 이야기. 우리는 각자의 서사 안에 갇혀 서로를 오해한다. 모든 이야기는 상처의 다른 이름이다. 한 번쯤 들여다볼 가치가 있는 이야기다.</t>
  </si>
  <si>
    <t>감독: Philippe Falardeau
주연: 마가렛 퀄리, 시고니 위버, Douglas Booth</t>
  </si>
  <si>
    <t>2020년의 시선으로 담아낸 드라마 이야기가 우리에게 묻는다. 모든 이야기는 상처의 다른 이름이다. 우리는 각자의 서사 안에 갇혀 서로를 오해한다. 흠이 있지만 진심이 담긴 시도였다.</t>
  </si>
  <si>
    <t>감독: 김성훈
주연: 김래원, 지대한, 조안</t>
  </si>
  <si>
    <t>한국 특유의 정서가 켜켜이 쌓인 듯, 2012년의 시선으로 담아낸 드라마의 이야기. 삶은 언제나 해석을 기다리는 텍스트다. 모든 이야기는 상처의 다른 이름이다. 두고두고 다시 꺼내 볼 만한 작품이다.</t>
  </si>
  <si>
    <t>감독: 왕가위
주연: Norah Jones, 주드 로, 데이비드 스트러세언</t>
  </si>
  <si>
    <t>2007년의 시선으로 담아낸 드라마 이야기가 우리에게 묻는다. 삶은 언제나 해석을 기다리는 텍스트다. 인간의 고통이란 결국 타인과의 거리에서 비롯된다. 완벽하지 않아도, 그 불완전함이 오히려 인간적이다.</t>
  </si>
  <si>
    <t>감독: Christian Carion
주연: 제임스 맥어보이, 클레어 포이, Tom Cullen</t>
  </si>
  <si>
    <t>영국적 절제와 냉소 사이에서, 2021년의 시선으로 담아낸 스릴러의 이야기. 긴장은 존재가 위협받을 때 가장 선명하게 빛난다. 진실은 언제나 우리가 감당할 수 없는 형태로 찾아온다. 거칠지만 그 안에서도 인간의 흔적은 남는다.</t>
  </si>
  <si>
    <t>감독: 피터 시걸
주연: 데이브 바티스타, 클로에 콜맨, Parisa Fitz-Henley</t>
  </si>
  <si>
    <t>할리우드적 스펙터클 너머, 2020년의 시선으로 담아낸 액션의 이야기. 육체의 한계에 도전하는 것은 곧 자아의 경계를 시험하는 일이다. 충돌은 세계가 변화를 요구하는 방식이다. 완벽하지 않아도, 그 불완전함이 오히려 인간적이다.</t>
  </si>
  <si>
    <t>감독: 닉 카사베츠
주연: 카메론 디아즈, 아비게일 브레스린, Sofia Vassilieva</t>
  </si>
  <si>
    <t>할리우드적 스펙터클 너머, 2009년의 시선으로 담아낸 드라마의 이야기. 삶은 언제나 해석을 기다리는 텍스트다. 우리는 각자의 서사 안에 갇혀 서로를 오해한다. 오랫동안 여운이 남는 작품이다.</t>
  </si>
  <si>
    <t>감독: 황동혁
주연: 다니엘 헤니, 김영철, 최정원</t>
  </si>
  <si>
    <t>한국 특유의 정서가 켜켜이 쌓인 듯, 2007년의 시선으로 담아낸 드라마의 이야기. 우리는 각자의 서사 안에 갇혀 서로를 오해한다. 삶은 언제나 해석을 기다리는 텍스트다. 이 작품이 남기는 질문은 쉽게 사라지지 않는다.</t>
  </si>
  <si>
    <t>감독: 스티븐 스필버그
주연: 톰 크루즈, 사만다 모튼, 콜린 파렐</t>
  </si>
  <si>
    <t>할리우드적 스펙터클 너머, 2002년의 시선으로 담아낸 SF의 이야기. 타자와의 만남은 언제나 자아의 재발견으로 이어진다. 우주의 광대함 앞에서 인간의 질문은 더욱 깊어진다. 오랫동안 여운이 남는 작품이다.</t>
  </si>
  <si>
    <t>드라마 형식 속에서, 한국 특유의 정서가 켜켜이 쌓인 듯, 2021년의 시선으로 담아낸 드라마의 이야기. 삶은 언제나 해석을 기다리는 텍스트다. 모든 이야기는 상처의 다른 이름이다. 평점이 담지 못하는 무언가가 이 영화에는 있다.</t>
  </si>
  <si>
    <t>감독: 노아 바움백
주연: 애덤 샌들러, 벤 스틸러, 더스틴 호프만</t>
  </si>
  <si>
    <t>할리우드적 스펙터클 너머, 2017년의 시선으로 담아낸 코미디의 이야기. 웃음은 고통을 소화하는 인간만의 방식이다. 유머 속에는 세계의 부조리를 견뎌내는 지혜가 담겨 있다. 완벽하지 않아도, 그 불완전함이 오히려 인간적이다.</t>
  </si>
  <si>
    <t>감독: 토니 길로이
주연: 조지 클루니, 톰 윌킨슨, 틸다 스윈튼</t>
  </si>
  <si>
    <t>할리우드적 스펙터클 너머, 2007년의 시선으로 담아낸 드라마의 이야기. 인간의 고통이란 결국 타인과의 거리에서 비롯된다. 삶은 언제나 해석을 기다리는 텍스트다. 나름의 울림을 간직한 작품이다.</t>
  </si>
  <si>
    <t>감독: Fabio Guaglione, Fabio Resinaro
주연: 아미 해머, 애너벨 월리스, Tom Cullen</t>
  </si>
  <si>
    <t>할리우드적 스펙터클 너머, 2016년의 시선으로 담아낸 스릴러의 이야기. 진실은 언제나 우리가 감당할 수 없는 형태로 찾아온다. 공포는 우리가 통제할 수 없는 것들에 대한 솔직한 고백이다. 이 작품이 남기는 이미지는 어떤 방식으로든 기억에 새겨진다.</t>
  </si>
  <si>
    <t>감독: Jorge Dorado
주연: 마크 스트롱, 타이사 파미가, 브라이언 콕스</t>
  </si>
  <si>
    <t>열정과 멜랑콜리가 교차하며, 2013년의 시선으로 담아낸 스릴러의 이야기. 긴장은 존재가 위협받을 때 가장 선명하게 빛난다. 공포는 우리가 통제할 수 없는 것들에 대한 솔직한 고백이다. 한 번쯤 들여다볼 가치가 있는 이야기다.</t>
  </si>
  <si>
    <t>감독: Mauro Borrelli
주연: 마틴 로런스, 멜리사 록스버그, 존 말코비치</t>
  </si>
  <si>
    <t>할리우드적 스펙터클 너머, 2022년의 시선으로 담아낸 스릴러의 이야기. 불안이란 현실이 균열을 드러내는 순간에 스며든다. 공포는 우리가 통제할 수 없는 것들에 대한 솔직한 고백이다. 완성도와 별개로, 이 작품이 던지려 한 질문은 유효하다.</t>
  </si>
  <si>
    <t>감독: 레니 할린
주연: Kathryn Morris, Jonny Lee Miller, LL 쿨 J</t>
  </si>
  <si>
    <t>할리우드적 스펙터클 너머, 2004년의 시선으로 담아낸 범죄의 이야기. 욕망은 언제나 질서보다 먼저 존재했다. 죄란 사회가 만든 경계를 넘는 행위이자 그 경계에 대한 질문이다. 한 번쯤 들여다볼 가치가 있는 이야기다.</t>
  </si>
  <si>
    <t>감독: 피터 버그
주연: 마크 월버그, 로렌 코핸, 이코 우웨이스</t>
  </si>
  <si>
    <t>감독: Oliver Daly
주연: Robby Rasmussen, 알렉사 데미, Geoffrey Gilbert</t>
  </si>
  <si>
    <t>할리우드적 스펙터클 너머, 2015년의 시선으로 담아낸 드라마의 이야기. 삶은 언제나 해석을 기다리는 텍스트다. 우리는 각자의 서사 안에 갇혀 서로를 오해한다. 한 번쯤 들여다볼 가치가 있는 이야기다.</t>
  </si>
  <si>
    <t>감독: Yaron Zilberman
주연: 크리스토퍼 워컨, 필립 세이모어 호프만, 마크 이바니어</t>
  </si>
  <si>
    <t>할리우드적 스펙터클 너머, 2012년의 시선으로 담아낸 드라마의 이야기. 우리는 각자의 서사 안에 갇혀 서로를 오해한다. 모든 이야기는 상처의 다른 이름이다. 시간이 지날수록 더 깊이 읽히는 영화다.</t>
  </si>
  <si>
    <t>감독: Dee Rees
주연: 앤 해서웨이, 벤 애플렉, 로지 페레즈</t>
  </si>
  <si>
    <t>할리우드적 스펙터클 너머, 2020년의 시선으로 담아낸 범죄의 이야기. 법과 도덕 사이의 틈새에서 인간의 본성이 노출된다. 욕망은 언제나 질서보다 먼저 존재했다. 완성도와 별개로, 이 작품이 던지려 한 질문은 유효하다.</t>
  </si>
  <si>
    <t>감독: 유위강
주연: 구숙정, 양가휘, 周嘉玲</t>
  </si>
  <si>
    <t>영국적 절제와 냉소 사이에서, 1995년의 시선으로 담아낸 드라마의 이야기. 모든 이야기는 상처의 다른 이름이다. 인간의 고통이란 결국 타인과의 거리에서 비롯된다. 두고두고 다시 꺼내 볼 만한 작품이다.</t>
  </si>
  <si>
    <t>감독: Terry Loane
주연: Ross White, Lauren Coe, Jonny Everett</t>
  </si>
  <si>
    <t>섬세한 일본적 감수성으로, 2018년의 시선으로 담아낸 드라마의 이야기. 우리는 각자의 서사 안에 갇혀 서로를 오해한다. 삶은 언제나 해석을 기다리는 텍스트다. 흠이 있지만 진심이 담긴 시도였다.</t>
  </si>
  <si>
    <t>감독: Matej Kládek, Vanda Raýmanová, Martin Snopek, Katarína Kerekesová, Karol Holubčík, Maroš Končok, Vladimír Král, Martina Králová-Matlovičová, Michal Struss</t>
  </si>
  <si>
    <t>섬세한 일본적 감수성으로, 2001년의 시선으로 담아낸 드라마의 이야기. 모든 이야기는 상처의 다른 이름이다. 우리는 각자의 서사 안에 갇혀 서로를 오해한다. 평점이 담지 못하는 무언가가 이 영화에는 있다.</t>
  </si>
  <si>
    <t>감독: J.C  챈더
주연: 케빈 스페이시, 재커리 퀸토, 폴 베타니</t>
  </si>
  <si>
    <t>할리우드적 스펙터클 너머, 2011년의 시선으로 담아낸 드라마의 이야기. 삶은 언제나 해석을 기다리는 텍스트다. 우리는 각자의 서사 안에 갇혀 서로를 오해한다. 이 작품이 남기는 이미지는 어떤 방식으로든 기억에 새겨진다.</t>
  </si>
  <si>
    <t>감독: 안재석
주연: 조한선, 박효주, 윤경호</t>
  </si>
  <si>
    <t>한국 특유의 정서가 켜켜이 쌓인 듯, 2016년의 시선으로 담아낸 드라마의 이야기. 인간의 고통이란 결국 타인과의 거리에서 비롯된다. 우리는 각자의 서사 안에 갇혀 서로를 오해한다. 오랫동안 여운이 남는 작품이다.</t>
  </si>
  <si>
    <t>감독: Peter Landesman
주연: 리암 니슨, 다이앤 레인, 마이카 먼로</t>
  </si>
  <si>
    <t>할리우드적 스펙터클 너머, 2017년의 시선으로 담아낸 드라마의 이야기. 모든 이야기는 상처의 다른 이름이다. 인간의 고통이란 결국 타인과의 거리에서 비롯된다. 평점이 담지 못하는 무언가가 이 영화에는 있다.</t>
  </si>
  <si>
    <t>감독: Robert Lorenz
주연: 리암 니슨, Jacob Perez, 캐서린 위닉</t>
  </si>
  <si>
    <t>할리우드적 스펙터클 너머, 2021년의 시선으로 담아낸 액션의 이야기. 폭력의 언어 속에서도 인간은 존엄을 갈망한다. 충돌은 세계가 변화를 요구하는 방식이다. 아쉬움이 남지만, 모든 시도는 의미를 갖는다.</t>
  </si>
  <si>
    <t>감독: Richard Shepard
주연: 피어스 브로스넌, 그렉 키니어, 호프 데이비스</t>
  </si>
  <si>
    <t>2005년의 시선으로 담아낸 드라마 이야기가 우리에게 묻는다. 삶은 언제나 해석을 기다리는 텍스트다. 인간의 고통이란 결국 타인과의 거리에서 비롯된다. 완벽하지 않아도, 그 불완전함이 오히려 인간적이다.</t>
  </si>
  <si>
    <t>감독: Anthony C. Hall
주연: 비비카 A. 폭스, Faizon Love, Cory Gunz</t>
  </si>
  <si>
    <t>섬세한 일본적 감수성으로, 2014년의 시선으로 담아낸 드라마의 이야기. 삶은 언제나 해석을 기다리는 텍스트다. 인간의 고통이란 결국 타인과의 거리에서 비롯된다. 평점이 담지 못하는 무언가가 이 영화에는 있다.</t>
  </si>
  <si>
    <t>감독: 김태용
주연: 현빈, 탕웨이, Jun Kim</t>
  </si>
  <si>
    <t>한국 특유의 정서가 켜켜이 쌓인 듯, 2010년의 시선으로 담아낸 로맨스의 이야기. 그리움이란 부재를 통해 존재를 확인하는 방식이다. 두 사람 사이의 침묵은 때로 말보다 더 많은 것을 말한다. 이 작품이 남기는 질문은 쉽게 사라지지 않는다.</t>
  </si>
  <si>
    <t>감독: 크리스 콜럼버스
주연: 다니엘 래드클리프, 루퍼트 그린트, 엠마 왓슨</t>
  </si>
  <si>
    <t>2007년의 시선으로 담아낸 로맨스 이야기가 우리에게 묻는다. 두 사람 사이의 침묵은 때로 말보다 더 많은 것을 말한다. 설렘은 불완전한 존재가 완전함을 향해 뻗는 손길이다. 흠이 있지만 진심이 담긴 시도였다.</t>
  </si>
  <si>
    <t>감독: 데이비드 프랭클
주연: 오웬 윌슨, 제니퍼 애니스턴, 에릭 데인</t>
  </si>
  <si>
    <t>할리우드적 스펙터클 너머, 2008년의 시선으로 담아낸 코미디의 이야기. 웃음은 고통을 소화하는 인간만의 방식이다. 유머 속에는 세계의 부조리를 견뎌내는 지혜가 담겨 있다. 오랫동안 여운이 남는 작품이다.</t>
  </si>
  <si>
    <t>감독: 엄유나
주연: 유해진, 윤계상, 김홍파</t>
  </si>
  <si>
    <t>한국 특유의 정서가 켜켜이 쌓인 듯, 2018년의 시선으로 담아낸 드라마의 이야기. 인간의 고통이란 결국 타인과의 거리에서 비롯된다. 삶은 언제나 해석을 기다리는 텍스트다. 오랫동안 여운이 남는 작품이다.</t>
  </si>
  <si>
    <t>감독: 정재은
주연: Chung Gu-yon</t>
  </si>
  <si>
    <t>한국 특유의 정서가 켜켜이 쌓인 듯, 2011년의 시선으로 담아낸 다큐의 이야기. 세계를 있는 그대로 바라보는 것이 가장 용기 있는 행위다. 카메라가 포착한 진실 앞에서 우리는 응시할 의무를 갖는다. 두고두고 다시 꺼내 볼 만한 작품이다.</t>
  </si>
  <si>
    <t>감독: Brian Taylor
주연: 니콜라스 케이지, 셀마 블레어, Anne Winters</t>
  </si>
  <si>
    <t>83분</t>
  </si>
  <si>
    <t>할리우드적 스펙터클 너머, 2017년의 시선으로 담아낸 스릴러의 이야기. 공포는 우리가 통제할 수 없는 것들에 대한 솔직한 고백이다. 불안이란 현실이 균열을 드러내는 순간에 스며든다. 완벽하지 않아도, 그 불완전함이 오히려 인간적이다.</t>
  </si>
  <si>
    <t>감독: Phyllida Lloyd
주연: 메릴 스트립, 아만다 사이프리드, 피어스 브로스넌</t>
  </si>
  <si>
    <t>영국적 절제와 냉소 사이에서, 2008년의 시선으로 담아낸 코미디의 이야기. 유머 속에는 세계의 부조리를 견뎌내는 지혜가 담겨 있다. 웃음은 고통을 소화하는 인간만의 방식이다. 시간이 지날수록 더 깊이 읽히는 영화다.</t>
  </si>
  <si>
    <t>감독: Ol Parker
주연: 릴리 제임스, 아만다 사이프리드, 메릴 스트립</t>
  </si>
  <si>
    <t>영국적 절제와 냉소 사이에서, 2018년의 시선으로 담아낸 코미디의 이야기. 유머 속에는 세계의 부조리를 견뎌내는 지혜가 담겨 있다. 가볍게 웃는 순간에도 삶의 무게는 그 그림자를 드리운다. 오랫동안 여운이 남는 작품이다.</t>
  </si>
  <si>
    <t>감독: Jeff Rake
주연: 멜리사 록스버그, Josh Dallas, J.R. Ramirez</t>
  </si>
  <si>
    <t>드라마 형식 속에서, 할리우드적 스펙터클 너머, 2018년의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</si>
  <si>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2020년의 시선으로 담아낸 드라마의 이야기. 우리는 각자의 서사 안에 갇혀 서로를 오해한다. 모든 이야기는 상처의 다른 이름이다. 평점이 담지 못하는 무언가가 이 영화에는 있다.</t>
  </si>
  <si>
    <t>감독: 멜라니 로랑
주연: 루 드 라주, 멜라니 로랑, Benjamin Voisin</t>
  </si>
  <si>
    <t>프랑스 영화 특유의 철학적 깊이로, 2021년의 시선으로 담아낸 드라마의 이야기. 삶은 언제나 해석을 기다리는 텍스트다. 모든 이야기는 상처의 다른 이름이다. 한 번쯤 들여다볼 가치가 있는 이야기다.</t>
  </si>
  <si>
    <t>감독: 조지 밀러
주연: 톰 하디, 샤를리즈 테론, 니콜라스 홀트</t>
  </si>
  <si>
    <t>2015년의 시선으로 담아낸 액션 이야기가 우리에게 묻는다. 충돌은 세계가 변화를 요구하는 방식이다. 육체의 한계에 도전하는 것은 곧 자아의 경계를 시험하는 일이다. 흠이 있지만 진심이 담긴 시도였다.</t>
  </si>
  <si>
    <t>감독: 클린트 이스트우드
주연: 메릴 스트립, 클린트 이스트우드, Annie Corley</t>
  </si>
  <si>
    <t>할리우드적 스펙터클 너머, 1995년의 시선으로 담아낸 드라마의 이야기. 모든 이야기는 상처의 다른 이름이다. 우리는 각자의 서사 안에 갇혀 서로를 오해한다. 두고두고 다시 꺼내 볼 만한 작품이다.</t>
  </si>
  <si>
    <t>감독: 鈴木雅之
주연: 기무라 타쿠야, 나가사와 마사미, 마츠 다카코</t>
  </si>
  <si>
    <t>섬세한 일본적 감수성으로, 2019년의 시선으로 담아낸 미스터리의 이야기. 알 수 없음 앞에서 인간은 비로소 겸손해진다. 감춰진 것들이 드러나는 순간, 세계는 다르게 보이기 시작한다. 나름의 울림을 간직한 작품이다.</t>
  </si>
  <si>
    <t>감독: 스티븐 소더버그
주연: 채닝 테이텀, 매튜 매커너히, Alex Pettyfer</t>
  </si>
  <si>
    <t>할리우드적 스펙터클 너머, 2012년의 시선으로 담아낸 코미디의 이야기. 웃음은 고통을 소화하는 인간만의 방식이다. 우스운 것과 슬픈 것은 본래 같은 뿌리에서 자란다. 한 번쯤 들여다볼 가치가 있는 이야기다.</t>
  </si>
  <si>
    <t>감독: 롭 라이너
주연: 모건 프리먼, 버지니아 매드슨, Madeline Carroll</t>
  </si>
  <si>
    <t>감독: 우디 앨런
주연: 조나단 리스 마이어스, 스칼렛 요한슨, 에밀리 모티머</t>
  </si>
  <si>
    <t>영국적 절제와 냉소 사이에서, 2005년의 시선으로 담아낸 드라마의 이야기. 모든 이야기는 상처의 다른 이름이다. 우리는 각자의 서사 안에 갇혀 서로를 오해한다. 오랫동안 여운이 남는 작품이다.</t>
  </si>
  <si>
    <t>감독: Jennie Snyder Urman
주연: 캐시 베이츠, Skye P. Marshall, Jason Ritter</t>
  </si>
  <si>
    <t>감독: 라나 워쇼스키
주연: 키아누 리브스, 캐리 앤 모스, 야히아 압둘 마틴 2세</t>
  </si>
  <si>
    <t>할리우드적 스펙터클 너머, 2021년의 시선으로 담아낸 액션의 이야기. 충돌은 세계가 변화를 요구하는 방식이다. 폭력의 언어 속에서도 인간은 존엄을 갈망한다. 이 작품이 남기는 이미지는 어떤 방식으로든 기억에 새겨진다.</t>
  </si>
  <si>
    <t>감독: Detlev Buck
주연: Lina Larissa Strahl, Lisa-Marie Koroll, Louis Held</t>
  </si>
  <si>
    <t>섬세한 일본적 감수성으로, 2017년의 시선으로 담아낸 드라마의 이야기. 모든 이야기는 상처의 다른 이름이다. 삶은 언제나 해석을 기다리는 텍스트다. 나름의 울림을 간직한 작품이다.</t>
  </si>
  <si>
    <t>감독: Boaz Yakin
주연: 토마스 헤이든 처치, Josh Wiggins, Lauren Graham</t>
  </si>
  <si>
    <t>할리우드적 스펙터클 너머, 2015년의 시선으로 담아낸 드라마의 이야기. 삶은 언제나 해석을 기다리는 텍스트다. 인간의 고통이란 결국 타인과의 거리에서 비롯된다. 평점이 담지 못하는 무언가가 이 영화에는 있다.</t>
  </si>
  <si>
    <t>감독: Austin Hoyt, Sarah Holt
주연: David Ogden Stiers, Stephen E. Ambrose, Leon Beck</t>
  </si>
  <si>
    <t>섬세한 일본적 감수성으로, 2012년의 시선으로 담아낸 드라마의 이야기. 우리는 각자의 서사 안에 갇혀 서로를 오해한다. 삶은 언제나 해석을 기다리는 텍스트다. 이 작품이 남기는 이미지는 어떤 방식으로든 기억에 새겨진다.</t>
  </si>
  <si>
    <t>감독: Niki Caro
주연: 케빈 코스트너, 마리아 벨로, 엘시 피셔</t>
  </si>
  <si>
    <t>할리우드적 스펙터클 너머, 2015년의 시선으로 담아낸 드라마의 이야기. 우리는 각자의 서사 안에 갇혀 서로를 오해한다. 모든 이야기는 상처의 다른 이름이다. 평점이 담지 못하는 무언가가 이 영화에는 있다.</t>
  </si>
  <si>
    <t>감독: 알버트 듀퐁텔
주연: Nahuel Pérez Biscayart, 알버트 듀퐁텔, Laurent Lafitte</t>
  </si>
  <si>
    <t>프랑스 영화 특유의 철학적 깊이로, 2018년의 시선으로 담아낸 드라마의 이야기. 우리는 각자의 서사 안에 갇혀 서로를 오해한다. 인간의 고통이란 결국 타인과의 거리에서 비롯된다. 오랫동안 여운이 남는 작품이다.</t>
  </si>
  <si>
    <t>감독: 가이 리치
주연: 헨리 카빌, 아미 해머, 알리시아 비칸데르</t>
  </si>
  <si>
    <t>할리우드적 스펙터클 너머, 2015년의 시선으로 담아낸 액션의 이야기. 육체의 한계에 도전하는 것은 곧 자아의 경계를 시험하는 일이다. 충돌은 세계가 변화를 요구하는 방식이다. 오랫동안 여운이 남는 작품이다.</t>
  </si>
  <si>
    <t>감독: Ty Roberts
주연: 루크 윌슨, Vinessa Shaw, 웨인 나이트</t>
  </si>
  <si>
    <t>할리우드적 스펙터클 너머, 2021년의 시선으로 담아낸 드라마의 이야기. 인간의 고통이란 결국 타인과의 거리에서 비롯된다. 모든 이야기는 상처의 다른 이름이다. 시간이 지날수록 더 깊이 읽히는 영화다.</t>
  </si>
  <si>
    <t>감독: Asger Leth
주연: 샘 워싱턴, 엘리자베스 뱅크스, 제이미 벨</t>
  </si>
  <si>
    <t>할리우드적 스펙터클 너머, 2012년의 시선으로 담아낸 액션의 이야기. 폭력의 언어 속에서도 인간은 존엄을 갈망한다. 충돌은 세계가 변화를 요구하는 방식이다. 한 번쯤 들여다볼 가치가 있는 이야기다.</t>
  </si>
  <si>
    <t>감독: 케네스 로너건
주연: 케이시 애플렉, 루카스 헤지스, 미셸 윌리엄스</t>
  </si>
  <si>
    <t>할리우드적 스펙터클 너머, 2016년의 시선으로 담아낸 드라마의 이야기. 모든 이야기는 상처의 다른 이름이다. 우리는 각자의 서사 안에 갇혀 서로를 오해한다. 오랫동안 여운이 남는 작품이다.</t>
  </si>
  <si>
    <t>감독: 조나단 드미
주연: 덴젤 워싱턴, 메릴 스트립, 리에브 슈라이버</t>
  </si>
  <si>
    <t>할리우드적 스펙터클 너머, 2004년의 시선으로 담아낸 스릴러의 이야기. 긴장은 존재가 위협받을 때 가장 선명하게 빛난다. 불안이란 현실이 균열을 드러내는 순간에 스며든다. 한 번쯤 들여다볼 가치가 있는 이야기다.</t>
  </si>
  <si>
    <t>감독: Brian DeCubellis
주연: 에이드리언 브로디, 이본 스트러호브스키, 캠벨 스콧</t>
  </si>
  <si>
    <t>할리우드적 스펙터클 너머, 2016년의 시선으로 담아낸 스릴러의 이야기. 불안이란 현실이 균열을 드러내는 순간에 스며든다. 공포는 우리가 통제할 수 없는 것들에 대한 솔직한 고백이다. 평점이 담지 못하는 무언가가 이 영화에는 있다.</t>
  </si>
  <si>
    <t>할리우드적 스펙터클 너머, 2016년의 시선으로 담아낸 스릴러의 이야기. 긴장은 존재가 위협받을 때 가장 선명하게 빛난다. 불안이란 현실이 균열을 드러내는 순간에 스며든다. 평점이 담지 못하는 무언가가 이 영화에는 있다.</t>
  </si>
  <si>
    <t>감독: Andrew Sodroski, Jim Clemente
주연: 캐머런 브리턴, 칼라 구지노, 잭 휴스턴</t>
  </si>
  <si>
    <t>드라마 형식 속에서, 할리우드적 스펙터클 너머, 2017년의 시선으로 담아낸 드라마의 이야기. 모든 이야기는 상처의 다른 이름이다. 인간의 고통이란 결국 타인과의 거리에서 비롯된다. 평점이 담지 못하는 무언가가 이 영화에는 있다.</t>
  </si>
  <si>
    <t>감독: 데이비드 고든 그린
주연: 알 파치노, 홀리 헌터, 하모니 코린</t>
  </si>
  <si>
    <t>감독: 마틴 캠벨
주연: 안젤리나 졸리, 클라이브 오웬, Teri Polo</t>
  </si>
  <si>
    <t>할리우드적 스펙터클 너머, 2004년의 시선으로 담아낸 드라마의 이야기. 모든 이야기는 상처의 다른 이름이다. 삶은 언제나 해석을 기다리는 텍스트다. 완벽하지 않아도, 그 불완전함이 오히려 인간적이다.</t>
  </si>
  <si>
    <t>감독: William Dear
주연: David Dundara, Kim Miyori, John Neville</t>
  </si>
  <si>
    <t>할리우드적 스펙터클 너머, 1993년의 시선으로 담아낸 드라마의 이야기. 우리는 각자의 서사 안에 갇혀 서로를 오해한다. 인간의 고통이란 결국 타인과의 거리에서 비롯된다. 두고두고 다시 꺼내 볼 만한 작품이다.</t>
  </si>
  <si>
    <t>감독: 조디 포스터
주연: 조지 클루니, 줄리아 로버츠, 잭 오코넬</t>
  </si>
  <si>
    <t>감독: 베넷 밀러
주연: 브래드 피트, 조나 힐, 필립 세이모어 호프만</t>
  </si>
  <si>
    <t>할리우드적 스펙터클 너머, 2011년의 시선으로 담아낸 드라마의 이야기. 모든 이야기는 상처의 다른 이름이다. 우리는 각자의 서사 안에 갇혀 서로를 오해한다. 시간이 지날수록 더 깊이 읽히는 영화다.</t>
  </si>
  <si>
    <t>감독: 에드워드 노튼
주연: 에드워드 노튼, 브루스 윌리스, 구구 음바타로</t>
  </si>
  <si>
    <t>할리우드적 스펙터클 너머, 2019년의 시선으로 담아낸 범죄의 이야기. 죄란 사회가 만든 경계를 넘는 행위이자 그 경계에 대한 질문이다. 법과 도덕 사이의 틈새에서 인간의 본성이 노출된다. 나름의 울림을 간직한 작품이다.</t>
  </si>
  <si>
    <t>감독: 제프 니콜스
주연: 매튜 매커너히, 리즈 위더스푼, 타이 셰리던</t>
  </si>
  <si>
    <t>할리우드적 스펙터클 너머, 2012년의 시선으로 담아낸 드라마의 이야기. 우리는 각자의 서사 안에 갇혀 서로를 오해한다. 삶은 언제나 해석을 기다리는 텍스트다. 시간이 지날수록 더 깊이 읽히는 영화다.</t>
  </si>
  <si>
    <t>감독: 마크 포스터
주연: 제라드 버틀러, 미셸 모나한, Kathy Baker</t>
  </si>
  <si>
    <t>할리우드적 스펙터클 너머, 2011년의 시선으로 담아낸 액션의 이야기. 폭력의 언어 속에서도 인간은 존엄을 갈망한다. 육체의 한계에 도전하는 것은 곧 자아의 경계를 시험하는 일이다. 시간이 지날수록 더 깊이 읽히는 영화다.</t>
  </si>
  <si>
    <t>감독: 셀린 송
주연: 다코타 존슨, 크리스 에반스, 페드로 파스칼</t>
  </si>
  <si>
    <t>할리우드적 스펙터클 너머, 2025년의 시선으로 담아낸 코미디의 이야기. 유머 속에는 세계의 부조리를 견뎌내는 지혜가 담겨 있다. 우스운 것과 슬픈 것은 본래 같은 뿌리에서 자란다. 완벽하지 않아도, 그 불완전함이 오히려 인간적이다.</t>
  </si>
  <si>
    <t>감독: 유약영
주연: 정백연, 주동우, 田壮壮</t>
  </si>
  <si>
    <t>광활한 대지의 이야기를 담아, 2018년의 시선으로 담아낸 드라마의 이야기. 우리는 각자의 서사 안에 갇혀 서로를 오해한다. 삶은 언제나 해석을 기다리는 텍스트다. 두고두고 다시 꺼내 볼 만한 작품이다.</t>
  </si>
  <si>
    <t>섬세한 일본적 감수성으로, 2013년의 시선으로 담아낸 드라마의 이야기. 삶은 언제나 해석을 기다리는 텍스트다. 우리는 각자의 서사 안에 갇혀 서로를 오해한다. 흠이 있지만 진심이 담긴 시도였다.</t>
  </si>
  <si>
    <t>감독: 셰인 블랙
주연: 러셀 크로우, 라이언 고슬링, 앵거리 라이스</t>
  </si>
  <si>
    <t>할리우드적 스펙터클 너머, 2016년의 시선으로 담아낸 코미디의 이야기. 우스운 것과 슬픈 것은 본래 같은 뿌리에서 자란다. 유머 속에는 세계의 부조리를 견뎌내는 지혜가 담겨 있다. 이 작품이 남기는 질문은 쉽게 사라지지 않는다.</t>
  </si>
  <si>
    <t>감독: 니시카와 미와
주연: 야쿠쇼 코지, 나카노 타이가, 나가사와 마사미</t>
  </si>
  <si>
    <t>섬세한 일본적 감수성으로, 2020년의 시선으로 담아낸 드라마의 이야기. 모든 이야기는 상처의 다른 이름이다. 삶은 언제나 해석을 기다리는 텍스트다. 시간이 지날수록 더 깊이 읽히는 영화다.</t>
  </si>
  <si>
    <t>감독: Charles MacArthur, Ben Hecht
주연: Jimmy Savo, Nikita Balieff, Cecilia Loftus</t>
  </si>
  <si>
    <t>섬세한 일본적 감수성으로, 2012년의 시선으로 담아낸 코미디의 이야기. 가볍게 웃는 순간에도 삶의 무게는 그 그림자를 드리운다. 우스운 것과 슬픈 것은 본래 같은 뿌리에서 자란다. 시간이 지날수록 더 깊이 읽히는 영화다.</t>
  </si>
  <si>
    <t>감독: 이윤기
주연: 전도연, 하정우, 김혜옥</t>
  </si>
  <si>
    <t>한국 특유의 정서가 켜켜이 쌓인 듯, 2008년의 시선으로 담아낸 드라마의 이야기. 모든 이야기는 상처의 다른 이름이다. 인간의 고통이란 결국 타인과의 거리에서 비롯된다. 이 작품이 남기는 질문은 쉽게 사라지지 않는다.</t>
  </si>
  <si>
    <t>감독: Jon Turteltaub
주연: 제이슨 스타뎀, 리빙빙, 레인 윌슨</t>
  </si>
  <si>
    <t>할리우드적 스펙터클 너머, 2018년의 시선으로 담아낸 액션의 이야기. 폭력의 언어 속에서도 인간은 존엄을 갈망한다. 육체의 한계에 도전하는 것은 곧 자아의 경계를 시험하는 일이다. 완성도와 별개로, 이 작품이 던지려 한 질문은 유효하다.</t>
  </si>
  <si>
    <t>감독: Gabriela Cowperthwaite
주연: 케이트 마라, 라몬 로드리게즈, 톰 펠튼</t>
  </si>
  <si>
    <t>할리우드적 스펙터클 너머, 2017년의 시선으로 담아낸 드라마의 이야기. 우리는 각자의 서사 안에 갇혀 서로를 오해한다. 인간의 고통이란 결국 타인과의 거리에서 비롯된다. 완벽하지 않아도, 그 불완전함이 오히려 인간적이다.</t>
  </si>
  <si>
    <t>감독: 지미 친, 엘리자베스 차이 바서렐리
주연: Conrad Anker, 지미 친, Renan Öztürk</t>
  </si>
  <si>
    <t>할리우드적 스펙터클 너머, 2015년의 시선으로 담아낸 다큐의 이야기. 카메라가 포착한 진실 앞에서 우리는 응시할 의무를 갖는다. 세계를 있는 그대로 바라보는 것이 가장 용기 있는 행위다. 평점이 담지 못하는 무언가가 이 영화에는 있다.</t>
  </si>
  <si>
    <t>감독: Michael Goi
주연: 게리 올드만, 에밀리 모티머, 마누엘 가르시아 룰포</t>
  </si>
  <si>
    <t>할리우드적 스펙터클 너머, 2019년의 시선으로 담아낸 공포의 이야기. 공포란 이성이 침묵하는 순간 존재가 맞닥뜨리는 날것의 경험이다. 불가해한 것 앞에서 인간은 얼마나 작은가를 깨닫는다. 완벽하지 않아도, 그 불완전함이 오히려 인간적이다.</t>
  </si>
  <si>
    <t>감독: Kat Coiro
주연: 제니퍼 로페즈, 오웬 윌슨, Maluma</t>
  </si>
  <si>
    <t>할리우드적 스펙터클 너머, 2022년의 시선으로 담아낸 로맨스의 이야기. 설렘은 불완전한 존재가 완전함을 향해 뻗는 손길이다. 사랑은 자아의 경계가 흔들리는 순간에 찾아온다. 평점이 담지 못하는 무언가가 이 영화에는 있다.</t>
  </si>
  <si>
    <t>감독: 크리스토퍼 놀란
주연: 가이 피어스, 캐리 앤 모스, 조 판톨리아노</t>
  </si>
  <si>
    <t>할리우드적 스펙터클 너머, 2000년의 시선으로 담아낸 스릴러의 이야기. 긴장은 존재가 위협받을 때 가장 선명하게 빛난다. 공포는 우리가 통제할 수 없는 것들에 대한 솔직한 고백이다. 오랫동안 여운이 남는 작품이다.</t>
  </si>
  <si>
    <t>감독: 마틴 캠벨
주연: 리암 니슨, 가이 피어스, Taj Atwal</t>
  </si>
  <si>
    <t>할리우드적 스펙터클 너머, 2022년의 시선으로 담아낸 액션의 이야기. 육체의 한계에 도전하는 것은 곧 자아의 경계를 시험하는 일이다. 폭력의 언어 속에서도 인간은 존엄을 갈망한다. 완성도와 별개로, 이 작품이 던지려 한 질문은 유효하다.</t>
  </si>
  <si>
    <t>감독: Michael Petroni
주연: Mehdi Dehbi, 미셸 모나한, 존 오르티스</t>
  </si>
  <si>
    <t>드라마 형식 속에서, 할리우드적 스펙터클 너머, 2020년의 시선으로 담아낸 드라마의 이야기. 모든 이야기는 상처의 다른 이름이다. 삶은 언제나 해석을 기다리는 텍스트다. 평점이 담지 못하는 무언가가 이 영화에는 있다.</t>
  </si>
  <si>
    <t>감독: Corey Pearson
주연: Paul O'Brien, Aji Santosa, Verdi Solaiman</t>
  </si>
  <si>
    <t>2018년의 시선으로 담아낸 액션 이야기가 우리에게 묻는다. 폭력의 언어 속에서도 인간은 존엄을 갈망한다. 육체의 한계에 도전하는 것은 곧 자아의 경계를 시험하는 일이다. 흠이 있지만 진심이 담긴 시도였다.</t>
  </si>
  <si>
    <t>감독: 브래드 인겔스비
주연: 케이트 윈슬렛, 진 스마트, 줄리앤 니콜슨</t>
  </si>
  <si>
    <t>드라마 형식 속에서, 할리우드적 스펙터클 너머, 2021년의 시선으로 담아낸 드라마의 이야기. 모든 이야기는 상처의 다른 이름이다. 인간의 고통이란 결국 타인과의 거리에서 비롯된다. 평점이 담지 못하는 무언가가 이 영화에는 있다.</t>
  </si>
  <si>
    <t>감독: 토드 헤인즈
주연: 나탈리 포트만, 줄리앤 무어, 찰스 멜튼</t>
  </si>
  <si>
    <t>할리우드적 스펙터클 너머, 2023년의 시선으로 담아낸 드라마의 이야기. 모든 이야기는 상처의 다른 이름이다. 인간의 고통이란 결국 타인과의 거리에서 비롯된다. 나름의 울림을 간직한 작품이다.</t>
  </si>
  <si>
    <t>감독: 우민호
주연: 현빈, 정우성, 우도환</t>
  </si>
  <si>
    <t>드라마 형식 속에서, 한국 특유의 정서가 켜켜이 쌓인 듯, 2025년의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</si>
  <si>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Hugh Dillon, 테일러 쉐리던
주연: 제레미 레너, Hugh Dillon, Tobi Bamtefa</t>
  </si>
  <si>
    <t>드라마 형식 속에서, 할리우드적 스펙터클 너머, 2023년의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</si>
  <si>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Scott McGehee, David Siegel
주연: 줄리앤 무어, 스티브 쿠건, 알렉산더 스카스가드</t>
  </si>
  <si>
    <t>할리우드적 스펙터클 너머, 2012년의 시선으로 담아낸 드라마의 이야기. 삶은 언제나 해석을 기다리는 텍스트다. 우리는 각자의 서사 안에 갇혀 서로를 오해한다. 오랫동안 여운이 남는 작품이다.</t>
  </si>
  <si>
    <t>감독: 佐藤祐市
주연: 타카하타 미츠키, 니시지마 히데토시, 近藤正臣</t>
  </si>
  <si>
    <t>드라마 형식 속에서, 섬세한 일본적 감수성으로, 2019년의 시선으로 담아낸 드라마의 이야기. 삶은 언제나 해석을 기다리는 텍스트다. 모든 이야기는 상처의 다른 이름이다. 이 작품이 남기는 이미지는 어떤 방식으로든 기억에 새겨진다.</t>
  </si>
  <si>
    <t>감독: 제이슨 라이트만
주연: 애덤 샌들러, 제니퍼 가너, 로즈메리 디윗</t>
  </si>
  <si>
    <t>할리우드적 스펙터클 너머, 2014년의 시선으로 담아낸 드라마의 이야기. 인간의 고통이란 결국 타인과의 거리에서 비롯된다. 우리는 각자의 서사 안에 갇혀 서로를 오해한다. 아쉬움이 남지만, 모든 시도는 의미를 갖는다.</t>
  </si>
  <si>
    <t>감독: 브루노 헬러
주연: 사이먼 베이커, 로빈 터니, 팀 강</t>
  </si>
  <si>
    <t>드라마, 범죄, 미스터리</t>
  </si>
  <si>
    <t>드라마 형식 속에서, 할리우드적 스펙터클 너머, 2008년의 시선으로 담아낸 드라마의 이야기. 우리는 각자의 서사 안에 갇혀 서로를 오해한다. 모든 이야기는 상처의 다른 이름이다. 이 작품이 남기는 이미지는 어떤 방식으로든 기억에 새겨진다.</t>
  </si>
  <si>
    <t>감독: 박희곤
주연: 조승우, 지성, 김성균</t>
  </si>
  <si>
    <t>한국 특유의 정서가 켜켜이 쌓인 듯, 2018년의 시선으로 담아낸 사극의 이야기. 전통과 변화의 충돌 속에서 인간의 본질이 드러난다. 시대의 억압 속에서도 인간의 욕망과 존엄은 꺾이지 않는다. 나름의 울림을 간직한 작품이다.</t>
  </si>
  <si>
    <t>감독: 김한민
주연: 최민식, 류승룡, 조진웅</t>
  </si>
  <si>
    <t>한국 특유의 정서가 켜켜이 쌓인 듯, 2014년의 시선으로 담아낸 사극의 이야기. 역사는 현재를 비추는 거울이며, 과거는 아직 끝나지 않았다. 전통과 변화의 충돌 속에서 인간의 본질이 드러난다. 시간이 지날수록 더 깊이 읽히는 영화다.</t>
  </si>
  <si>
    <t>감독: Christos Massalas
주연: Anna Brook, Jonathan Pembroke</t>
  </si>
  <si>
    <t>2011년의 시선으로 담아낸 드라마 이야기가 우리에게 묻는다. 인간의 고통이란 결국 타인과의 거리에서 비롯된다. 모든 이야기는 상처의 다른 이름이다. 평점이 담지 못하는 무언가가 이 영화에는 있다.</t>
  </si>
  <si>
    <t>감독: 류승완
주연: 김윤석, 조인성, 허준호</t>
  </si>
  <si>
    <t>한국 특유의 정서가 켜켜이 쌓인 듯, 2021년의 시선으로 담아낸 액션의 이야기. 생존의 욕망은 가장 원초적인 철학적 질문을 던진다. 폭력의 언어 속에서도 인간은 존엄을 갈망한다. 두고두고 다시 꺼내 볼 만한 작품이다.</t>
  </si>
  <si>
    <t>감독: 마이크 뉴웰
주연: 줄리아 로버츠, 커스틴 던스트, 줄리아 스타일스</t>
  </si>
  <si>
    <t>할리우드적 스펙터클 너머, 2003년의 시선으로 담아낸 드라마의 이야기. 우리는 각자의 서사 안에 갇혀 서로를 오해한다. 삶은 언제나 해석을 기다리는 텍스트다. 이 작품이 남기는 질문은 쉽게 사라지지 않는다.</t>
  </si>
  <si>
    <t>감독: Ivan Silvestrini
주연: 카트리나 보든, Nixon Hodges, Crew Hodges</t>
  </si>
  <si>
    <t>할리우드적 스펙터클 너머, 2016년의 시선으로 담아낸 SF의 이야기. 미래를 상상하는 것은 현재를 비판하는 가장 우회적인 방법이다. 타자와의 만남은 언제나 자아의 재발견으로 이어진다. 아쉬움이 남지만, 모든 시도는 의미를 갖는다.</t>
  </si>
  <si>
    <t>감독: 조지 클루니
주연: 조지 클루니, 맷 데이먼, 빌 머레이</t>
  </si>
  <si>
    <t>할리우드적 스펙터클 너머, 2014년의 시선으로 담아낸 액션의 이야기. 충돌은 세계가 변화를 요구하는 방식이다. 육체의 한계에 도전하는 것은 곧 자아의 경계를 시험하는 일이다. 이 작품이 남기는 이미지는 어떤 방식으로든 기억에 새겨진다.</t>
  </si>
  <si>
    <t>감독: 데이비드 코엡
주연: 조니 뎁, 기네스 팰트로, 이완 맥그리거</t>
  </si>
  <si>
    <t>할리우드적 스펙터클 너머, 2015년의 시선으로 담아낸 액션의 이야기. 생존의 욕망은 가장 원초적인 철학적 질문을 던진다. 충돌은 세계가 변화를 요구하는 방식이다. 한 번쯤 들여다볼 가치가 있는 이야기다.</t>
  </si>
  <si>
    <t>감독: Amy J. Berg
주연: 다이앤 레인, 엘리자베스 뱅크스, 다코타 패닝</t>
  </si>
  <si>
    <t>할리우드적 스펙터클 너머, 2014년의 시선으로 담아낸 드라마의 이야기. 삶은 언제나 해석을 기다리는 텍스트다. 우리는 각자의 서사 안에 갇혀 서로를 오해한다. 오랫동안 여운이 남는 작품이다.</t>
  </si>
  <si>
    <t>감독: 야마시타 노부히로
주연: 마에다 아츠코, 康すおん, 伊東清矢</t>
  </si>
  <si>
    <t>78분</t>
  </si>
  <si>
    <t>섬세한 일본적 감수성으로, 2013년의 시선으로 담아낸 드라마의 이야기. 인간의 고통이란 결국 타인과의 거리에서 비롯된다. 삶은 언제나 해석을 기다리는 텍스트다. 완벽하지 않아도, 그 불완전함이 오히려 인간적이다.</t>
  </si>
  <si>
    <t>감독: Вадим Перельман
주연: 제니퍼 코넬리, 벤 킹슬리, 론 엘다드</t>
  </si>
  <si>
    <t>할리우드적 스펙터클 너머, 2003년의 시선으로 담아낸 드라마의 이야기. 우리는 각자의 서사 안에 갇혀 서로를 오해한다. 인간의 고통이란 결국 타인과의 거리에서 비롯된다. 이 작품이 남기는 질문은 쉽게 사라지지 않는다.</t>
  </si>
  <si>
    <t>감독: 케빈 맥도널드
주연: 타하르 라힘, 조디 포스터, 베네딕트 컴버배치</t>
  </si>
  <si>
    <t>영국적 절제와 냉소 사이에서, 2021년의 시선으로 담아낸 드라마의 이야기. 삶은 언제나 해석을 기다리는 텍스트다. 우리는 각자의 서사 안에 갇혀 서로를 오해한다. 두고두고 다시 꺼내 볼 만한 작품이다.</t>
  </si>
  <si>
    <t>감독: Stephen S. Campanelli
주연: 올가 쿠릴렌코, 모건 프리먼, James Purefoy</t>
  </si>
  <si>
    <t>남아공</t>
  </si>
  <si>
    <t>2015년의 시선으로 담아낸 액션 이야기가 우리에게 묻는다. 충돌은 세계가 변화를 요구하는 방식이다. 폭력의 언어 속에서도 인간은 존엄을 갈망한다. 이 작품이 남기는 이미지는 어떤 방식으로든 기억에 새겨진다.</t>
  </si>
  <si>
    <t>감독: Lee Jae-gon, Kim Jin-woo
주연: 정우, 박희순, 윤진서</t>
  </si>
  <si>
    <t>드라마 형식 속에서, 한국 특유의 정서가 켜켜이 쌓인 듯, 2022년의 시선으로 담아낸 드라마의 이야기. 삶은 언제나 해석을 기다리는 텍스트다. 인간의 고통이란 결국 타인과의 거리에서 비롯된다. 평점이 담지 못하는 무언가가 이 영화에는 있다.</t>
  </si>
  <si>
    <t>감독: F. 게리 게리
주연: 제이미 폭스, 제라드 버틀러, Colm Meaney</t>
  </si>
  <si>
    <t>할리우드적 스펙터클 너머, 2009년의 시선으로 담아낸 스릴러의 이야기. 긴장은 존재가 위협받을 때 가장 선명하게 빛난다. 진실은 언제나 우리가 감당할 수 없는 형태로 찾아온다. 흠이 있지만 진심이 담긴 시도였다.</t>
  </si>
  <si>
    <t>감독: Park In-je
주연: 황정민, 진구, 김보연</t>
  </si>
  <si>
    <t>한국 특유의 정서가 켜켜이 쌓인 듯, 2011년의 시선으로 담아낸 드라마의 이야기. 모든 이야기는 상처의 다른 이름이다. 우리는 각자의 서사 안에 갇혀 서로를 오해한다. 완벽하지 않아도, 그 불완전함이 오히려 인간적이다.</t>
  </si>
  <si>
    <t>감독: J.C  챈더
주연: 오스카 아이작, 제시카 차스테인, 데이빗 오예로워</t>
  </si>
  <si>
    <t>할리우드적 스펙터클 너머, 2014년의 시선으로 담아낸 드라마의 이야기. 삶은 언제나 해석을 기다리는 텍스트다. 모든 이야기는 상처의 다른 이름이다. 흠이 있지만 진심이 담긴 시도였다.</t>
  </si>
  <si>
    <t>감독: 안톤 코르빈
주연: 필립 세이모어 호프만, 윌렘 대포, 로빈 라이트</t>
  </si>
  <si>
    <t>영국적 절제와 냉소 사이에서, 2014년의 시선으로 담아낸 스릴러의 이야기. 진실은 언제나 우리가 감당할 수 없는 형태로 찾아온다. 긴장은 존재가 위협받을 때 가장 선명하게 빛난다. 두고두고 다시 꺼내 볼 만한 작품이다.</t>
  </si>
  <si>
    <t>감독: Aisling Walsh
주연: 샐리 호킨스, 에단 호크, 가브리엘 로즈</t>
  </si>
  <si>
    <t>2016년의 시선으로 담아낸 드라마 이야기가 우리에게 묻는다. 우리는 각자의 서사 안에 갇혀 서로를 오해한다. 삶은 언제나 해석을 기다리는 텍스트다. 아쉬움이 남지만, 모든 시도는 의미를 갖는다.</t>
  </si>
  <si>
    <t>감독: 전규환
주연: Oh Seong-tae, Joo Yoo-Rang, 박승배</t>
  </si>
  <si>
    <t>한국 특유의 정서가 켜켜이 쌓인 듯, 2008년의 시선으로 담아낸 드라마의 이야기. 삶은 언제나 해석을 기다리는 텍스트다. 인간의 고통이란 결국 타인과의 거리에서 비롯된다. 완벽하지 않아도, 그 불완전함이 오히려 인간적이다.</t>
  </si>
  <si>
    <t>감독: 程偉豪
주연: 莊凱勛, 許瑋甯, 커자옌</t>
  </si>
  <si>
    <t>한국 특유의 정서가 켜켜이 쌓인 듯, 2017년의 시선으로 담아낸 스릴러의 이야기. 불안이란 현실이 균열을 드러내는 순간에 스며든다. 진실은 언제나 우리가 감당할 수 없는 형태로 찾아온다. 한 번쯤 들여다볼 가치가 있는 이야기다.</t>
  </si>
  <si>
    <t>감독: Rubén Mendoza
주연: María Luisa Fuentes Burgos</t>
  </si>
  <si>
    <t>할리우드적 스펙터클 너머, 2017년의 시선으로 담아낸 액션의 이야기. 충돌은 세계가 변화를 요구하는 방식이다. 육체의 한계에 도전하는 것은 곧 자아의 경계를 시험하는 일이다. 시간이 지날수록 더 깊이 읽히는 영화다.</t>
  </si>
  <si>
    <t>감독: 애런 소킨
주연: 제시카 차스테인, 이드리스 엘바, 케빈 코스트너</t>
  </si>
  <si>
    <t>할리우드적 스펙터클 너머, 2017년의 시선으로 담아낸 드라마의 이야기. 인간의 고통이란 결국 타인과의 거리에서 비롯된다. 우리는 각자의 서사 안에 갇혀 서로를 오해한다. 이 작품이 남기는 질문은 쉽게 사라지지 않는다.</t>
  </si>
  <si>
    <t>감독: Chung Keun-sup
주연: 엄정화, 김상경, 송영창</t>
  </si>
  <si>
    <t>한국 특유의 정서가 켜켜이 쌓인 듯, 2012년의 시선으로 담아낸 스릴러의 이야기. 긴장은 존재가 위협받을 때 가장 선명하게 빛난다. 진실은 언제나 우리가 감당할 수 없는 형태로 찾아온다. 시간이 지날수록 더 깊이 읽히는 영화다.</t>
  </si>
  <si>
    <t>감독: 熊切和嘉
주연: 아야노 고, 村上虹郎, 마에다 아츠코</t>
  </si>
  <si>
    <t>섬세한 일본적 감수성으로, 2018년의 시선으로 담아낸 드라마의 이야기. 인간의 고통이란 결국 타인과의 거리에서 비롯된다. 모든 이야기는 상처의 다른 이름이다. 완벽하지 않아도, 그 불완전함이 오히려 인간적이다.</t>
  </si>
  <si>
    <t>감독: 김주환
주연: 김우빈, 김성균, 이현걸</t>
  </si>
  <si>
    <t>한국 특유의 정서가 켜켜이 쌓인 듯, 2024년의 시선으로 담아낸 액션의 이야기. 충돌은 세계가 변화를 요구하는 방식이다. 육체의 한계에 도전하는 것은 곧 자아의 경계를 시험하는 일이다. 두고두고 다시 꺼내 볼 만한 작품이다.</t>
  </si>
  <si>
    <t>감독: 오승욱
주연: 전도연, 김남길, 박성웅</t>
  </si>
  <si>
    <t>한국 특유의 정서가 켜켜이 쌓인 듯, 2014년의 시선으로 담아낸 드라마의 이야기. 인간의 고통이란 결국 타인과의 거리에서 비롯된다. 우리는 각자의 서사 안에 갇혀 서로를 오해한다. 완벽하지 않아도, 그 불완전함이 오히려 인간적이다.</t>
  </si>
  <si>
    <t>감독: 김성수
주연: 니시지마 히데토시, 김효진, 마키 요코</t>
  </si>
  <si>
    <t>한국 특유의 정서가 켜켜이 쌓인 듯, 2014년의 시선으로 담아낸 미스터리의 이야기. 수수께끼는 세계가 우리에게 던지는 철학적 도발이다. 알 수 없음 앞에서 인간은 비로소 겸손해진다. 나름의 울림을 간직한 작품이다.</t>
  </si>
  <si>
    <t>감독: Malu Janssen
주연: Julien Croiset, Astrid van Eck, 하나 판륀테런</t>
  </si>
  <si>
    <t>섬세한 일본적 감수성으로, 2016년의 시선으로 담아낸 드라마의 이야기. 인간의 고통이란 결국 타인과의 거리에서 비롯된다. 우리는 각자의 서사 안에 갇혀 서로를 오해한다. 흠이 있지만 진심이 담긴 시도였다.</t>
  </si>
  <si>
    <t>감독: 윤지련
주연: 이제훈, 탕준상, 홍승희</t>
  </si>
  <si>
    <t>감독: Park In-je, 강풀
주연: 류승룡, 한효주, 조인성</t>
  </si>
  <si>
    <t>드라마, 액션, 판타지</t>
  </si>
  <si>
    <t>드라마 형식 속에서, 한국 특유의 정서가 켜켜이 쌓인 듯, 2023년의 시선으로 담아낸 드라마의 이야기. 삶은 언제나 해석을 기다리는 텍스트다. 모든 이야기는 상처의 다른 이름이다. 평점이 담지 못하는 무언가가 이 영화에는 있다.</t>
  </si>
  <si>
    <t>감독: Warren P. Sonoda
주연: Hector Echavarria, Steven Yaffee, Rashad Evans</t>
  </si>
  <si>
    <t>광활한 대지의 이야기를 담아, 2018년의 시선으로 담아낸 액션의 이야기. 폭력의 언어 속에서도 인간은 존엄을 갈망한다. 육체의 한계에 도전하는 것은 곧 자아의 경계를 시험하는 일이다. 평점이 담지 못하는 무언가가 이 영화에는 있다.</t>
  </si>
  <si>
    <t>감독: 데이비드 E. 켈리
주연: 제이크 질렌할, 루스 네가, 빌 캠프</t>
  </si>
  <si>
    <t>드라마 형식 속에서, 할리우드적 스펙터클 너머, 2024년의 시선으로 담아낸 드라마의 이야기. 인간의 고통이란 결국 타인과의 거리에서 비롯된다. 우리는 각자의 서사 안에 갇혀 서로를 오해한다. 평점이 담지 못하는 무언가가 이 영화에는 있다.</t>
  </si>
  <si>
    <t>감독: Sandra Weintraub
주연: 존 색슨, 로버트 클루즈</t>
  </si>
  <si>
    <t>2011년의 시선으로 담아낸 액션 이야기가 우리에게 묻는다. 폭력의 언어 속에서도 인간은 존엄을 갈망한다. 생존의 욕망은 가장 원초적인 철학적 질문을 던진다. 완벽하지 않아도, 그 불완전함이 오히려 인간적이다.</t>
  </si>
  <si>
    <t>감독: Jim Mickle
주연: Boyd Holbrook, 클레오파트라 콜먼, 마이클 C. 홀</t>
  </si>
  <si>
    <t>할리우드적 스펙터클 너머, 2019년의 시선으로 담아낸 스릴러의 이야기. 긴장은 존재가 위협받을 때 가장 선명하게 빛난다. 진실은 언제나 우리가 감당할 수 없는 형태로 찾아온다. 흠이 있지만 진심이 담긴 시도였다.</t>
  </si>
  <si>
    <t>감독: 배리 젠킨스
주연: Trevante Rhodes, 안드레 홀랜드, 자넬 모네</t>
  </si>
  <si>
    <t>할리우드적 스펙터클 너머, 2016년의 시선으로 담아낸 드라마의 이야기. 모든 이야기는 상처의 다른 이름이다. 삶은 언제나 해석을 기다리는 텍스트다. 오랫동안 여운이 남는 작품이다.</t>
  </si>
  <si>
    <t>감독: 얀 코마사
주연: Bartosz Bielenia, Aleksandra Konieczna, Eliza Rycembel</t>
  </si>
  <si>
    <t>2020년의 시선으로 담아낸 코미디 이야기가 우리에게 묻는다. 유머 속에는 세계의 부조리를 견뎌내는 지혜가 담겨 있다. 우스운 것과 슬픈 것은 본래 같은 뿌리에서 자란다. 시간이 지날수록 더 깊이 읽히는 영화다.</t>
  </si>
  <si>
    <t>감독: 롤란트 에머리히
주연: 할리 베리, 패트릭 윌슨, 존 브래들리</t>
  </si>
  <si>
    <t>할리우드적 스펙터클 너머, 2022년의 시선으로 담아낸 SF의 이야기. 타자와의 만남은 언제나 자아의 재발견으로 이어진다. 미래를 상상하는 것은 현재를 비판하는 가장 우회적인 방법이다. 완성도와 별개로, 이 작품이 던지려 한 질문은 유효하다.</t>
  </si>
  <si>
    <t>감독: 市井昌秀
주연: 호시노 겐, 카호, 平泉成</t>
  </si>
  <si>
    <t>섬세한 일본적 감수성으로, 2013년의 시선으로 담아낸 로맨스의 이야기. 두 사람 사이의 침묵은 때로 말보다 더 많은 것을 말한다. 설렘은 불완전한 존재가 완전함을 향해 뻗는 손길이다. 이 작품이 남기는 이미지는 어떤 방식으로든 기억에 새겨진다.</t>
  </si>
  <si>
    <t>감독: Huh Jong-ho
주연: 김명민, 김인권, 이혜리</t>
  </si>
  <si>
    <t>한국 특유의 정서가 켜켜이 쌓인 듯, 2018년의 시선으로 담아낸 액션의 이야기. 충돌은 세계가 변화를 요구하는 방식이다. 폭력의 언어 속에서도 인간은 존엄을 갈망한다. 나름의 울림을 간직한 작품이다.</t>
  </si>
  <si>
    <t>감독: 바즈 루어만
주연: 이완 맥그리거, 니콜 키드먼, 존 레귀자모</t>
  </si>
  <si>
    <t>할리우드적 스펙터클 너머, 2001년의 시선으로 담아낸 로맨스의 이야기. 사랑은 자아의 경계가 흔들리는 순간에 찾아온다. 그리움이란 부재를 통해 존재를 확인하는 방식이다. 시간이 지날수록 더 깊이 읽히는 영화다.</t>
  </si>
  <si>
    <t>감독: 스티븐 스필버그
주연: 에릭 배너, 다니엘 크레이그, 키어런 하인즈</t>
  </si>
  <si>
    <t>할리우드적 스펙터클 너머, 2005년의 시선으로 담아낸 드라마의 이야기. 인간의 고통이란 결국 타인과의 거리에서 비롯된다. 삶은 언제나 해석을 기다리는 텍스트다. 흠이 있지만 진심이 담긴 시도였다.</t>
  </si>
  <si>
    <t>감독: Christian Schwochow
주연: 조지 맥케이, Jannis Niewöhner, 제레미 아이언스</t>
  </si>
  <si>
    <t>영국적 절제와 냉소 사이에서, 2021년의 시선으로 담아낸 드라마의 이야기. 인간의 고통이란 결국 타인과의 거리에서 비롯된다. 우리는 각자의 서사 안에 갇혀 서로를 오해한다. 이 작품이 남기는 질문은 쉽게 사라지지 않는다.</t>
  </si>
  <si>
    <t>감독: Jim Kohlberg
주연: J.K. 시몬스, Lou Taylor Pucci, 줄리아 오먼드</t>
  </si>
  <si>
    <t>할리우드적 스펙터클 너머, 2011년의 시선으로 담아낸 드라마의 이야기. 삶은 언제나 해석을 기다리는 텍스트다. 우리는 각자의 서사 안에 갇혀 서로를 오해한다. 이 작품이 남기는 질문은 쉽게 사라지지 않는다.</t>
  </si>
  <si>
    <t>감독: 코스타 가브라스
주연: 제시카 랭, 아르민 뮐러슈탈, Donald Moffat</t>
  </si>
  <si>
    <t>할리우드적 스펙터클 너머, 1989년의 시선으로 담아낸 드라마의 이야기. 인간의 고통이란 결국 타인과의 거리에서 비롯된다. 모든 이야기는 상처의 다른 이름이다. 오랫동안 여운이 남는 작품이다.</t>
  </si>
  <si>
    <t>감독: Niki Caro
주연: 유역비, 견자단, 공리</t>
  </si>
  <si>
    <t>할리우드적 스펙터클 너머, 2020년의 시선으로 담아낸 액션의 이야기. 폭력의 언어 속에서도 인간은 존엄을 갈망한다. 충돌은 세계가 변화를 요구하는 방식이다. 이 작품이 남기는 이미지는 어떤 방식으로든 기억에 새겨진다.</t>
  </si>
  <si>
    <t>감독: 馬楚成
주연: 조미, 진곤, 호군</t>
  </si>
  <si>
    <t>광활한 대지의 이야기를 담아, 2009년의 시선으로 담아낸 액션의 이야기. 폭력의 언어 속에서도 인간은 존엄을 갈망한다. 충돌은 세계가 변화를 요구하는 방식이다. 이 작품이 남기는 이미지는 어떤 방식으로든 기억에 새겨진다.</t>
  </si>
  <si>
    <t>감독: Thea Sharrock
주연: 에밀리아 클라크, 샘 클라플린, 자넷 맥티어</t>
  </si>
  <si>
    <t>영국적 절제와 냉소 사이에서, 2016년의 시선으로 담아낸 로맨스의 이야기. 사랑은 자아의 경계가 흔들리는 순간에 찾아온다. 그리움이란 부재를 통해 존재를 확인하는 방식이다. 두고두고 다시 꺼내 볼 만한 작품이다.</t>
  </si>
  <si>
    <t>감독: Edward Hart
주연: 올웬 파우에레, Ned Kelly, Edward Hart</t>
  </si>
  <si>
    <t>섬세한 일본적 감수성으로, 2018년의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</si>
  <si>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Andrew Levitas
주연: 조니 뎁, 미나미, 사나다 히로유키</t>
  </si>
  <si>
    <t>영국적 절제와 냉소 사이에서, 2020년의 시선으로 담아낸 드라마의 이야기. 우리는 각자의 서사 안에 갇혀 서로를 오해한다. 모든 이야기는 상처의 다른 이름이다. 평점이 담지 못하는 무언가가 이 영화에는 있다.</t>
  </si>
  <si>
    <t>감독: 엘리자베스 뱅크스
주연: 크리스틴 스튜어트, 나오미 스콧, Ella Balinska</t>
  </si>
  <si>
    <t>할리우드적 스펙터클 너머, 2019년의 시선으로 담아낸 액션의 이야기. 충돌은 세계가 변화를 요구하는 방식이다. 폭력의 언어 속에서도 인간은 존엄을 갈망한다. 한 번쯤 들여다볼 가치가 있는 이야기다.</t>
  </si>
  <si>
    <t>감독: 조지 클루니
주연: 조지 클루니, 펠리시티 존스, 데이빗 오예로워</t>
  </si>
  <si>
    <t>할리우드적 스펙터클 너머, 2020년의 시선으로 담아낸 SF의 이야기. 기술이 진보할수록 인간다움의 정의는 더욱 절박해진다. 우주의 광대함 앞에서 인간의 질문은 더욱 깊어진다. 완벽하지 않아도, 그 불완전함이 오히려 인간적이다.</t>
  </si>
  <si>
    <t>감독: 竹下昌男
주연: 原田泰造, 山本未來, 長塚京三</t>
  </si>
  <si>
    <t>섬세한 일본적 감수성으로, 2021년의 시선으로 담아낸 드라마의 이야기. 우리는 각자의 서사 안에 갇혀 서로를 오해한다. 모든 이야기는 상처의 다른 이름이다. 이 작품이 남기는 질문은 쉽게 사라지지 않는다.</t>
  </si>
  <si>
    <t>감독: Scott Speer
주연: 벨라 손, 패트릭 슈워제네거, Rob Riggle</t>
  </si>
  <si>
    <t>할리우드적 스펙터클 너머, 2018년의 시선으로 담아낸 로맨스의 이야기. 그리움이란 부재를 통해 존재를 확인하는 방식이다. 사랑은 자아의 경계가 흔들리는 순간에 찾아온다. 나름의 울림을 간직한 작품이다.</t>
  </si>
  <si>
    <t>감독: 제프 니콜스
주연: 마이클 섀넌, 제이든 리버허, 조엘 에저튼</t>
  </si>
  <si>
    <t>할리우드적 스펙터클 너머, 2016년의 시선으로 담아낸 SF의 이야기. 타자와의 만남은 언제나 자아의 재발견으로 이어진다. 기술이 진보할수록 인간다움의 정의는 더욱 절박해진다. 한 번쯤 들여다볼 가치가 있는 이야기다.</t>
  </si>
  <si>
    <t>감독: 랜들 에멧
주연: 메간 폭스, 브루스 윌리스, 에밀 허쉬</t>
  </si>
  <si>
    <t>할리우드적 스펙터클 너머, 2021년의 시선으로 담아낸 스릴러의 이야기. 긴장은 존재가 위협받을 때 가장 선명하게 빛난다. 불안이란 현실이 균열을 드러내는 순간에 스며든다. 평점이 담지 못하는 무언가가 이 영화에는 있다.</t>
  </si>
  <si>
    <t>감독: 우디 앨런
주연: 오웬 윌슨, 레이첼 맥아담스, 캐시 베이츠</t>
  </si>
  <si>
    <t>할리우드적 스펙터클 너머, 2011년의 시선으로 담아낸 코미디의 이야기. 웃음은 고통을 소화하는 인간만의 방식이다. 유머 속에는 세계의 부조리를 견뎌내는 지혜가 담겨 있다. 두고두고 다시 꺼내 볼 만한 작품이다.</t>
  </si>
  <si>
    <t>감독: 아리 애스터
주연: 플로렌스 퓨, 잭 레이너, 윌리엄 잭슨 하퍼</t>
  </si>
  <si>
    <t>할리우드적 스펙터클 너머, 2019년의 시선으로 담아낸 공포의 이야기. 불가해한 것 앞에서 인간은 얼마나 작은가를 깨닫는다. 우리가 두려워하는 것은 대개 우리 자신의 그림자다. 한 번쯤 들여다볼 가치가 있는 이야기다.</t>
  </si>
  <si>
    <t>감독: 롤란트 에머리히
주연: 에드 스크레인, 패트릭 윌슨, 우디 해럴슨</t>
  </si>
  <si>
    <t>할리우드적 스펙터클 너머, 2019년의 시선으로 담아낸 전쟁의 이야기. 총성은 멈추어도 그 상처는 세대를 넘어 흐른다. 전쟁은 인간의 이성이 멈추는 지점에서 시작된다. 이 작품이 남기는 질문은 쉽게 사라지지 않는다.</t>
  </si>
  <si>
    <t>감독: Eric Lartigau
주연: Louane Emera, 카랭 비아르, François Damiens</t>
  </si>
  <si>
    <t>프랑스 영화 특유의 철학적 깊이로, 2014년의 시선으로 담아낸 코미디의 이야기. 유머 속에는 세계의 부조리를 견뎌내는 지혜가 담겨 있다. 가볍게 웃는 순간에도 삶의 무게는 그 그림자를 드리운다. 나름의 울림을 간직한 작품이다.</t>
  </si>
  <si>
    <t>감독: Sean McNamara
주연: 에린 모리아티, Danika Yarosh, 헬렌 헌트</t>
  </si>
  <si>
    <t>할리우드적 스펙터클 너머, 2018년의 시선으로 담아낸 드라마의 이야기. 모든 이야기는 상처의 다른 이름이다. 우리는 각자의 서사 안에 갇혀 서로를 오해한다. 나름의 울림을 간직한 작품이다.</t>
  </si>
  <si>
    <t>감독: 패트리시아 리건
주연: 제니퍼 가너, Kylie Rogers, Martin Henderson</t>
  </si>
  <si>
    <t>감독: 小中和哉
주연: 카호, 사노 카즈마, 秋本奈緒美</t>
  </si>
  <si>
    <t>섬세한 일본적 감수성으로, 2009년의 시선으로 담아낸 드라마의 이야기. 모든 이야기는 상처의 다른 이름이다. 삶은 언제나 해석을 기다리는 텍스트다. 오랫동안 여운이 남는 작품이다.</t>
  </si>
  <si>
    <t>감독: 김윤석
주연: 염정아, 김소진, 김혜준</t>
  </si>
  <si>
    <t>한국 특유의 정서가 켜켜이 쌓인 듯, 2019년의 시선으로 담아낸 드라마의 이야기. 모든 이야기는 상처의 다른 이름이다. 인간의 고통이란 결국 타인과의 거리에서 비롯된다. 오랫동안 여운이 남는 작품이다.</t>
  </si>
  <si>
    <t>감독: 롤랑 조페
주연: 로버트 드니로, 제레미 아이언스</t>
  </si>
  <si>
    <t>영국적 절제와 냉소 사이에서, 1986년의 시선으로 담아낸 드라마의 이야기. 모든 이야기는 상처의 다른 이름이다. 삶은 언제나 해석을 기다리는 텍스트다. 이 작품이 남기는 질문은 쉽게 사라지지 않는다.</t>
  </si>
  <si>
    <t>터키</t>
  </si>
  <si>
    <t>2014년의 시선으로 담아낸 액션 이야기가 우리에게 묻는다. 폭력의 언어 속에서도 인간은 존엄을 갈망한다. 생존의 욕망은 가장 원초적인 철학적 질문을 던진다. 한 번쯤 들여다볼 가치가 있는 이야기다.</t>
  </si>
  <si>
    <t>감독: 브라이언 드 팔마
주연: 톰 크루즈, 존 보이트, 엠마누엘 베아르</t>
  </si>
  <si>
    <t>할리우드적 스펙터클 너머, 1996년의 시선으로 담아낸 액션의 이야기. 생존의 욕망은 가장 원초적인 철학적 질문을 던진다. 육체의 한계에 도전하는 것은 곧 자아의 경계를 시험하는 일이다. 이 작품이 남기는 질문은 쉽게 사라지지 않는다.</t>
  </si>
  <si>
    <t>감독: 크리스토퍼 맥쿼리
주연: 톰 크루즈, 제레미 레너, 사이먼 페그</t>
  </si>
  <si>
    <t>할리우드적 스펙터클 너머, 2015년의 시선으로 담아낸 액션의 이야기. 충돌은 세계가 변화를 요구하는 방식이다. 생존의 욕망은 가장 원초적인 철학적 질문을 던진다. 이 작품이 남기는 이미지는 어떤 방식으로든 기억에 새겨진다.</t>
  </si>
  <si>
    <t>감독: 오우삼
주연: 톰 크루즈, 두그레이 스콧, 탠디 뉴턴</t>
  </si>
  <si>
    <t>할리우드적 스펙터클 너머, 2000년의 시선으로 담아낸 액션의 이야기. 충돌은 세계가 변화를 요구하는 방식이다. 육체의 한계에 도전하는 것은 곧 자아의 경계를 시험하는 일이다. 완성도와 별개로, 이 작품이 던지려 한 질문은 유효하다.</t>
  </si>
  <si>
    <t>감독: J.J. 에이브럼스
주연: 톰 크루즈, 필립 세이모어 호프만, 빙 레임스</t>
  </si>
  <si>
    <t>할리우드적 스펙터클 너머, 2006년의 시선으로 담아낸 액션의 이야기. 생존의 욕망은 가장 원초적인 철학적 질문을 던진다. 육체의 한계에 도전하는 것은 곧 자아의 경계를 시험하는 일이다. 이 작품이 남기는 질문은 쉽게 사라지지 않는다.</t>
  </si>
  <si>
    <t>감독: 브래드 버드
주연: 톰 크루즈, 폴라 패튼, 사이먼 페그</t>
  </si>
  <si>
    <t>할리우드적 스펙터클 너머, 2011년의 시선으로 담아낸 액션의 이야기. 생존의 욕망은 가장 원초적인 철학적 질문을 던진다. 충돌은 세계가 변화를 요구하는 방식이다. 시간이 지날수록 더 깊이 읽히는 영화다.</t>
  </si>
  <si>
    <t>감독: 크리스토퍼 맥쿼리
주연: 톰 크루즈, 헤일리 앳웰, 빙 레임스</t>
  </si>
  <si>
    <t>할리우드적 스펙터클 너머, 2023년의 시선으로 담아낸 액션의 이야기. 생존의 욕망은 가장 원초적인 철학적 질문을 던진다. 충돌은 세계가 변화를 요구하는 방식이다. 이 작품이 남기는 이미지는 어떤 방식으로든 기억에 새겨진다.</t>
  </si>
  <si>
    <t>160분</t>
  </si>
  <si>
    <t>할리우드적 스펙터클 너머, 2025년의 시선으로 담아낸 액션의 이야기. 생존의 욕망은 가장 원초적인 철학적 질문을 던진다. 육체의 한계에 도전하는 것은 곧 자아의 경계를 시험하는 일이다. 완벽하지 않아도, 그 불완전함이 오히려 인간적이다.</t>
  </si>
  <si>
    <t>감독: 크리스토퍼 맥쿼리
주연: 톰 크루즈, 헨리 카빌, 빙 레임스</t>
  </si>
  <si>
    <t>할리우드적 스펙터클 너머, 2018년의 시선으로 담아낸 액션의 이야기. 육체의 한계에 도전하는 것은 곧 자아의 경계를 시험하는 일이다. 생존의 욕망은 가장 원초적인 철학적 질문을 던진다. 시간이 지날수록 더 깊이 읽히는 영화다.</t>
  </si>
  <si>
    <t>감독: 김형주
주연: 김영광, 이선빈</t>
  </si>
  <si>
    <t>한국 특유의 정서가 켜켜이 쌓인 듯, 2021년의 시선으로 담아낸 액션의 이야기. 육체의 한계에 도전하는 것은 곧 자아의 경계를 시험하는 일이다. 충돌은 세계가 변화를 요구하는 방식이다. 시간이 지날수록 더 깊이 읽히는 영화다.</t>
  </si>
  <si>
    <t>감독: Valerie Faris, Jonathan Dayton
주연: 그렉 키니어, 토니 콜렛, 스티브 카렐</t>
  </si>
  <si>
    <t>할리우드적 스펙터클 너머, 2006년의 시선으로 담아낸 코미디의 이야기. 우스운 것과 슬픈 것은 본래 같은 뿌리에서 자란다. 가볍게 웃는 순간에도 삶의 무게는 그 그림자를 드리운다. 시간이 지날수록 더 깊이 읽히는 영화다.</t>
  </si>
  <si>
    <t>감독: 캐서린 하드윅
주연: 드류 배리모어, 토니 콜렛, 도미닉 쿠퍼</t>
  </si>
  <si>
    <t>영국적 절제와 냉소 사이에서, 2015년의 시선으로 담아낸 드라마의 이야기. 삶은 언제나 해석을 기다리는 텍스트다. 우리는 각자의 서사 안에 갇혀 서로를 오해한다. 두고두고 다시 꺼내 볼 만한 작품이다.</t>
  </si>
  <si>
    <t>감독: Bharat Nalluri
주연: 프랜시스 맥도맨드, 에이미 아담스, 리 페이스</t>
  </si>
  <si>
    <t>할리우드적 스펙터클 너머, 2008년의 시선으로 담아낸 코미디의 이야기. 우스운 것과 슬픈 것은 본래 같은 뿌리에서 자란다. 가볍게 웃는 순간에도 삶의 무게는 그 그림자를 드리운다. 이 작품이 남기는 질문은 쉽게 사라지지 않는다.</t>
  </si>
  <si>
    <t>감독: Mike Binder
주연: 조앤 앨런, 케빈 코스트너, Erika Christensen</t>
  </si>
  <si>
    <t>감독: Shintaro Shimosawa
주연: 조시 더멜, 안소니 홉킨스, 알 파치노</t>
  </si>
  <si>
    <t>할리우드적 스펙터클 너머, 2016년의 시선으로 담아낸 스릴러의 이야기. 진실은 언제나 우리가 감당할 수 없는 형태로 찾아온다. 불안이란 현실이 균열을 드러내는 순간에 스며든다. 한 번쯤 들여다볼 가치가 있는 이야기다.</t>
  </si>
  <si>
    <t>감독: 자코 반 도르말
주연: 자레드 레토, 사라 폴리, 다이앤 크루거</t>
  </si>
  <si>
    <t>2009년의 시선으로 담아낸 SF 이야기가 우리에게 묻는다. 기술이 진보할수록 인간다움의 정의는 더욱 절박해진다. 우주의 광대함 앞에서 인간의 질문은 더욱 깊어진다. 두고두고 다시 꺼내 볼 만한 작품이다.</t>
  </si>
  <si>
    <t>감독: 데이비드 로워리
주연: 로버트 레드포드, 케이시 애플렉, 씨씨 스페이식</t>
  </si>
  <si>
    <t>할리우드적 스펙터클 너머, 2018년의 시선으로 담아낸 드라마의 이야기. 우리는 각자의 서사 안에 갇혀 서로를 오해한다. 모든 이야기는 상처의 다른 이름이다. 시간이 지날수록 더 깊이 읽히는 영화다.</t>
  </si>
  <si>
    <t>감독: Kim Tae-yun
주연: 이성민, 김서형, 배정남</t>
  </si>
  <si>
    <t>한국 특유의 정서가 켜켜이 쌓인 듯, 2020년의 시선으로 담아낸 코미디의 이야기. 가볍게 웃는 순간에도 삶의 무게는 그 그림자를 드리운다. 우스운 것과 슬픈 것은 본래 같은 뿌리에서 자란다. 한 번쯤 들여다볼 가치가 있는 이야기다.</t>
  </si>
  <si>
    <t>감독: 빌 콘돈
주연: 이안 맥켈런, 로라 리니, 마일로 파커</t>
  </si>
  <si>
    <t>영국적 절제와 냉소 사이에서, 2015년의 시선으로 담아낸 드라마의 이야기. 모든 이야기는 상처의 다른 이름이다. 인간의 고통이란 결국 타인과의 거리에서 비롯된다. 이 작품이 남기는 질문은 쉽게 사라지지 않는다.</t>
  </si>
  <si>
    <t>감독: 노아 바움백
주연: 그레타 거윅, 롤라 커크, Matthew Shear</t>
  </si>
  <si>
    <t>할리우드적 스펙터클 너머, 2015년의 시선으로 담아낸 코미디의 이야기. 웃음은 고통을 소화하는 인간만의 방식이다. 유머 속에는 세계의 부조리를 견뎌내는 지혜가 담겨 있다. 완벽하지 않아도, 그 불완전함이 오히려 인간적이다.</t>
  </si>
  <si>
    <t>감독: 클린트 이스트우드
주연: 숀 펜, 팀 로빈스, 케빈 베이컨</t>
  </si>
  <si>
    <t>할리우드적 스펙터클 너머, 2003년의 시선으로 담아낸 드라마의 이야기. 삶은 언제나 해석을 기다리는 텍스트다. 인간의 고통이란 결국 타인과의 거리에서 비롯된다. 시간이 지날수록 더 깊이 읽히는 영화다.</t>
  </si>
  <si>
    <t>감독: Chris Noonan
주연: 르네 젤위거, 이완 맥그리거, 에밀리 왓슨</t>
  </si>
  <si>
    <t>영국적 절제와 냉소 사이에서, 2006년의 시선으로 담아낸 드라마의 이야기. 삶은 언제나 해석을 기다리는 텍스트다. 모든 이야기는 상처의 다른 이름이다. 완벽하지 않아도, 그 불완전함이 오히려 인간적이다.</t>
  </si>
  <si>
    <t>감독: 레니 할린
주연: 피어스 브로스넌, 팀 로스, Nick Cannon</t>
  </si>
  <si>
    <t>할리우드적 스펙터클 너머, 2021년의 시선으로 담아낸 액션의 이야기. 폭력의 언어 속에서도 인간은 존엄을 갈망한다. 충돌은 세계가 변화를 요구하는 방식이다. 완성도와 별개로, 이 작품이 던지려 한 질문은 유효하다.</t>
  </si>
  <si>
    <t>감독: Anthony Fabian
주연: 레슬리 맨빌, 이자벨 위페르, 램버트 윌슨</t>
  </si>
  <si>
    <t>영국적 절제와 냉소 사이에서, 2022년의 시선으로 담아낸 코미디의 이야기. 우스운 것과 슬픈 것은 본래 같은 뿌리에서 자란다. 가볍게 웃는 순간에도 삶의 무게는 그 그림자를 드리운다. 시간이 지날수록 더 깊이 읽히는 영화다.</t>
  </si>
  <si>
    <t>감독: 강효진
주연: 엄정화, 송승헌, 김상호</t>
  </si>
  <si>
    <t>한국 특유의 정서가 켜켜이 쌓인 듯, 2015년의 시선으로 담아낸 코미디의 이야기. 우스운 것과 슬픈 것은 본래 같은 뿌리에서 자란다. 유머 속에는 세계의 부조리를 견뎌내는 지혜가 담겨 있다. 시간이 지날수록 더 깊이 읽히는 영화다.</t>
  </si>
  <si>
    <t>감독: 이지원
주연: 한지민, 김시아, 이희준</t>
  </si>
  <si>
    <t>한국 특유의 정서가 켜켜이 쌓인 듯, 2018년의 시선으로 담아낸 드라마의 이야기. 우리는 각자의 서사 안에 갇혀 서로를 오해한다. 모든 이야기는 상처의 다른 이름이다. 두고두고 다시 꺼내 볼 만한 작품이다.</t>
  </si>
  <si>
    <t>감독: Will Merrick, Nicholas D. Johnson
주연: 스톰 리드, 조아킹 드 알메이다, 켄 렁</t>
  </si>
  <si>
    <t>할리우드적 스펙터클 너머, 2023년의 시선으로 담아낸 스릴러의 이야기. 진실은 언제나 우리가 감당할 수 없는 형태로 찾아온다. 긴장은 존재가 위협받을 때 가장 선명하게 빛난다. 오랫동안 여운이 남는 작품이다.</t>
  </si>
  <si>
    <t>감독: 이언희
주연: 엄지원, 공효진, 김희원</t>
  </si>
  <si>
    <t>한국 특유의 정서가 켜켜이 쌓인 듯, 2016년의 시선으로 담아낸 스릴러의 이야기. 긴장은 존재가 위협받을 때 가장 선명하게 빛난다. 진실은 언제나 우리가 감당할 수 없는 형태로 찾아온다. 시간이 지날수록 더 깊이 읽히는 영화다.</t>
  </si>
  <si>
    <t>감독: 켄 로치
주연: Kris Hitchen, Debbie Honeywood, Rhys Mcgowan</t>
  </si>
  <si>
    <t>영국적 절제와 냉소 사이에서, 2019년의 시선으로 담아낸 드라마의 이야기. 삶은 언제나 해석을 기다리는 텍스트다. 인간의 고통이란 결국 타인과의 거리에서 비롯된다. 두고두고 다시 꺼내 볼 만한 작품이다.</t>
  </si>
  <si>
    <t>감독: 요시카와 에이지
주연: 기무라 타쿠야, 사와무라 잇키, 타카오카 사키</t>
  </si>
  <si>
    <t>2화</t>
  </si>
  <si>
    <t>드라마 형식 속에서, 섬세한 일본적 감수성으로, 2014년의 시선으로 담아낸 드라마의 이야기. 삶은 언제나 해석을 기다리는 텍스트다. 우리는 각자의 서사 안에 갇혀 서로를 오해한다. 이 작품이 남기는 이미지는 어떤 방식으로든 기억에 새겨진다.</t>
  </si>
  <si>
    <t>감독: Lee An-kyu
주연: 김혜수, 이선균, 이희준</t>
  </si>
  <si>
    <t>한국 특유의 정서가 켜켜이 쌓인 듯, 2017년의 시선으로 담아낸 드라마의 이야기. 인간의 고통이란 결국 타인과의 거리에서 비롯된다. 삶은 언제나 해석을 기다리는 텍스트다. 나름의 울림을 간직한 작품이다.</t>
  </si>
  <si>
    <t>감독: 곽경택
주연: Kim Jun-ku, 오달수, 조민준</t>
  </si>
  <si>
    <t>한국 특유의 정서가 켜켜이 쌓인 듯, 2012년의 시선으로 담아낸 드라마의 이야기. 우리는 각자의 서사 안에 갇혀 서로를 오해한다. 삶은 언제나 해석을 기다리는 텍스트다. 이 작품이 남기는 질문은 쉽게 사라지지 않는다.</t>
  </si>
  <si>
    <t>감독: 알렉스 커츠먼
주연: 톰 크루즈, 애너벨 월리스, 소피아 부텔라</t>
  </si>
  <si>
    <t>할리우드적 스펙터클 너머, 2017년의 시선으로 담아낸 액션의 이야기. 생존의 욕망은 가장 원초적인 철학적 질문을 던진다. 충돌은 세계가 변화를 요구하는 방식이다. 이 작품이 남기는 질문은 쉽게 사라지지 않는다.</t>
  </si>
  <si>
    <t>감독: Arnaud des Pallières
주연: 매즈 미켈슨, Mélusine Mayance, Delphine Chuillot</t>
  </si>
  <si>
    <t>프랑스 영화 특유의 철학적 깊이로, 2013년의 시선으로 담아낸 드라마의 이야기. 삶은 언제나 해석을 기다리는 텍스트다. 모든 이야기는 상처의 다른 이름이다. 이 작품이 남기는 질문은 쉽게 사라지지 않는다.</t>
  </si>
  <si>
    <t>감독: 장-피에르 주네
주연: 대니 분, Dominique Pinon, André Dussollier</t>
  </si>
  <si>
    <t>프랑스 영화 특유의 철학적 깊이로, 2009년의 시선으로 담아낸 코미디의 이야기. 가볍게 웃는 순간에도 삶의 무게는 그 그림자를 드리운다. 유머 속에는 세계의 부조리를 견뎌내는 지혜가 담겨 있다. 이 작품이 남기는 이미지는 어떤 방식으로든 기억에 새겨진다.</t>
  </si>
  <si>
    <t>감독: Peter Edlund
주연: Peter McNally, Ian Edlund</t>
  </si>
  <si>
    <t>감독: 존 매든
주연: 콜린 퍼스, 매튜 맥패디언, 켈리 맥도널드</t>
  </si>
  <si>
    <t>영국적 절제와 냉소 사이에서, 2021년의 시선으로 담아낸 드라마의 이야기. 삶은 언제나 해석을 기다리는 텍스트다. 인간의 고통이란 결국 타인과의 거리에서 비롯된다. 한 번쯤 들여다볼 가치가 있는 이야기다.</t>
  </si>
  <si>
    <t>감독: Alex Kendrick
주연: Alex Kendrick, Shannen Fields, Bill Butler</t>
  </si>
  <si>
    <t>할리우드적 스펙터클 너머, 2006년의 시선으로 담아낸 드라마의 이야기. 우리는 각자의 서사 안에 갇혀 서로를 오해한다. 모든 이야기는 상처의 다른 이름이다. 이 작품이 남기는 질문은 쉽게 사라지지 않는다.</t>
  </si>
  <si>
    <t>드라마 형식 속에서, 섬세한 일본적 감수성으로, 2021년의 시선으로 담아낸 드라마의 이야기. 우리는 각자의 서사 안에 갇혀 서로를 오해한다. 삶은 언제나 해석을 기다리는 텍스트다. 평점이 담지 못하는 무언가가 이 영화에는 있다.</t>
  </si>
  <si>
    <t>감독: 데이비드 핀처
주연: 다니엘 크레이그, 루니 마라, 크리스토퍼 플러머</t>
  </si>
  <si>
    <t>할리우드적 스펙터클 너머, 2011년의 시선으로 담아낸 범죄의 이야기. 법과 도덕 사이의 틈새에서 인간의 본성이 노출된다. 죄란 사회가 만든 경계를 넘는 행위이자 그 경계에 대한 질문이다. 두고두고 다시 꺼내 볼 만한 작품이다.</t>
  </si>
  <si>
    <t>감독: 류승완
주연: 김혜수, 염정아, 조인성</t>
  </si>
  <si>
    <t>한국 특유의 정서가 켜켜이 쌓인 듯, 2023년의 시선으로 담아낸 범죄의 이야기. 법과 도덕 사이의 틈새에서 인간의 본성이 노출된다. 욕망은 언제나 질서보다 먼저 존재했다. 흠이 있지만 진심이 담긴 시도였다.</t>
  </si>
  <si>
    <t>감독: 이창동
주연: 전도연, 송강호, 조영진</t>
  </si>
  <si>
    <t>한국 특유의 정서가 켜켜이 쌓인 듯, 2007년의 시선으로 담아낸 드라마의 이야기. 인간의 고통이란 결국 타인과의 거리에서 비롯된다. 모든 이야기는 상처의 다른 이름이다. 오랫동안 여운이 남는 작품이다.</t>
  </si>
  <si>
    <t>감독: 김지운
주연: 송강호, 공유, 한지민</t>
  </si>
  <si>
    <t>한국 특유의 정서가 켜켜이 쌓인 듯, 2016년의 시선으로 담아낸 액션의 이야기. 충돌은 세계가 변화를 요구하는 방식이다. 폭력의 언어 속에서도 인간은 존엄을 갈망한다. 이 작품이 남기는 질문은 쉽게 사라지지 않는다.</t>
  </si>
  <si>
    <t>감독: 三島有紀子
주연: 나카타니 미키, 三浦貴大, 카타기리 하이리</t>
  </si>
  <si>
    <t>섬세한 일본적 감수성으로, 2016년의 시선으로 담아낸 드라마의 이야기. 우리는 각자의 서사 안에 갇혀 서로를 오해한다. 모든 이야기는 상처의 다른 이름이다. 완벽하지 않아도, 그 불완전함이 오히려 인간적이다.</t>
  </si>
  <si>
    <t>감독: Choi Ji-yeong
주연: 한예리, 박지영, 홍종현</t>
  </si>
  <si>
    <t>한국 특유의 정서가 켜켜이 쌓인 듯, 2009년의 시선으로 담아낸 드라마의 이야기. 인간의 고통이란 결국 타인과의 거리에서 비롯된다. 우리는 각자의 서사 안에 갇혀 서로를 오해한다. 이 작품이 남기는 질문은 쉽게 사라지지 않는다.</t>
  </si>
  <si>
    <t>감독: 고레에다 히로카즈
주연: 아야세 하루카, 나가사와 마사미, 카호</t>
  </si>
  <si>
    <t>섬세한 일본적 감수성으로, 2015년의 시선으로 담아낸 드라마의 이야기. 모든 이야기는 상처의 다른 이름이다. 인간의 고통이란 결국 타인과의 거리에서 비롯된다. 이 작품이 남기는 질문은 쉽게 사라지지 않는다.</t>
  </si>
  <si>
    <t>감독: Christopher Murphey
주연: 데이나 딜레이니, Jeri Ryan, Geoffrey Arend</t>
  </si>
  <si>
    <t>드라마 형식 속에서, 할리우드적 스펙터클 너머, 2011년의 시선으로 담아낸 드라마의 이야기. 우리는 각자의 서사 안에 갇혀 서로를 오해한다. 삶은 언제나 해석을 기다리는 텍스트다. 이 작품이 남기는 이미지는 어떤 방식으로든 기억에 새겨진다.</t>
  </si>
  <si>
    <t>드라마 형식 속에서, 할리우드적 스펙터클 너머, 2012년의 시선으로 담아낸 드라마의 이야기. 우리는 각자의 서사 안에 갇혀 서로를 오해한다. 모든 이야기는 상처의 다른 이름이다. 평점이 담지 못하는 무언가가 이 영화에는 있다.</t>
  </si>
  <si>
    <t>드라마 형식 속에서, 할리우드적 스펙터클 너머, 2013년의 시선으로 담아낸 드라마의 이야기. 우리는 각자의 서사 안에 갇혀 서로를 오해한다. 모든 이야기는 상처의 다른 이름이다. 평점이 담지 못하는 무언가가 이 영화에는 있다.</t>
  </si>
  <si>
    <t>감독: 이성한
주연: 정우, 황정음, 양재영</t>
  </si>
  <si>
    <t>한국 특유의 정서가 켜켜이 쌓인 듯, 2009년의 시선으로 담아낸 드라마의 이야기. 인간의 고통이란 결국 타인과의 거리에서 비롯된다. 모든 이야기는 상처의 다른 이름이다. 이 작품이 남기는 질문은 쉽게 사라지지 않는다.</t>
  </si>
  <si>
    <t>감독: 시오타 아키히코
주연: 桝田幸希, 永岡佑, Takahiro Katô</t>
  </si>
  <si>
    <t>한국 특유의 정서가 켜켜이 쌓인 듯, 2017년의 시선으로 담아낸 코미디의 이야기. 웃음은 고통을 소화하는 인간만의 방식이다. 우스운 것과 슬픈 것은 본래 같은 뿌리에서 자란다. 흠이 있지만 진심이 담긴 시도였다.</t>
  </si>
  <si>
    <t>감독: 빅터 플레밍
주연: 비비안 리, 클라크 게이블, 올리비아 드 하빌랜드</t>
  </si>
  <si>
    <t>238분</t>
  </si>
  <si>
    <t>할리우드적 스펙터클 너머, 1939년의 시선으로 담아낸 드라마의 이야기. 삶은 언제나 해석을 기다리는 텍스트다. 모든 이야기는 상처의 다른 이름이다. 한 번쯤 들여다볼 가치가 있는 이야기다.</t>
  </si>
  <si>
    <t>감독: 치웨텔 에지오포
주연: Maxwell Simba, 치웨텔 에지오포, 아이사 마이가</t>
  </si>
  <si>
    <t>영국적 절제와 냉소 사이에서, 2019년의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</si>
  <si>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大友啓史
주연: 사토 타케루, 타케이 에미, 킷카와 코지</t>
  </si>
  <si>
    <t>섬세한 일본적 감수성으로, 2012년의 시선으로 담아낸 액션의 이야기. 충돌은 세계가 변화를 요구하는 방식이다. 폭력의 언어 속에서도 인간은 존엄을 갈망한다. 이 작품이 남기는 질문은 쉽게 사라지지 않는다.</t>
  </si>
  <si>
    <t>감독: 大友啓史
주연: 사토 타케루, 타케이 에미, 맛켄유</t>
  </si>
  <si>
    <t>섬세한 일본적 감수성으로, 2021년의 시선으로 담아낸 액션의 이야기. 폭력의 언어 속에서도 인간은 존엄을 갈망한다. 충돌은 세계가 변화를 요구하는 방식이다. 이 작품이 남기는 질문은 쉽게 사라지지 않는다.</t>
  </si>
  <si>
    <t>감독: 大友啓史
주연: 사토 타케루, 타케이 에미, 아오키 무네타카</t>
  </si>
  <si>
    <t>섬세한 일본적 감수성으로, 2014년의 시선으로 담아낸 액션의 이야기. 생존의 욕망은 가장 원초적인 철학적 질문을 던진다. 충돌은 세계가 변화를 요구하는 방식이다. 이 작품이 남기는 이미지는 어떤 방식으로든 기억에 새겨진다.</t>
  </si>
  <si>
    <t>감독: Jeremiah Hammerling
주연: Ali Kazmi, Zain Iqbal</t>
  </si>
  <si>
    <t>광활한 대지의 이야기를 담아, 2009년의 시선으로 담아낸 범죄의 이야기. 죄란 사회가 만든 경계를 넘는 행위이자 그 경계에 대한 질문이다. 법과 도덕 사이의 틈새에서 인간의 본성이 노출된다. 두고두고 다시 꺼내 볼 만한 작품이다.</t>
  </si>
  <si>
    <t>감독: 아녜스 바르다, JR
주연: 아녜스 바르다, JR, Patricia Mercier</t>
  </si>
  <si>
    <t>프랑스 영화 특유의 철학적 깊이로, 2017년의 시선으로 담아낸 다큐의 이야기. 카메라가 포착한 진실 앞에서 우리는 응시할 의무를 갖는다. 현실은 어떤 허구보다 더 충격적인 서사를 품고 있다. 두고두고 다시 꺼내 볼 만한 작품이다.</t>
  </si>
  <si>
    <t>감독: 얀 코마사
주연: Józef Pawłowski, Zofia Wichłacz, Anna Próchniak</t>
  </si>
  <si>
    <t>2014년의 시선으로 담아낸 전쟁 이야기가 우리에게 묻는다. 전쟁은 인간의 이성이 멈추는 지점에서 시작된다. 폐허 속에서도 존엄을 지키려는 의지가 역사를 만든다. 이 작품이 남기는 질문은 쉽게 사라지지 않는다.</t>
  </si>
  <si>
    <t>감독: 알레한드로 곤살레스 이냐리투
주연: 브래드 피트, 키쿠치 린코, Adriana Barraza</t>
  </si>
  <si>
    <t>할리우드적 스펙터클 너머, 2006년의 시선으로 담아낸 드라마의 이야기. 인간의 고통이란 결국 타인과의 거리에서 비롯된다. 모든 이야기는 상처의 다른 이름이다. 한 번쯤 들여다볼 가치가 있는 이야기다.</t>
  </si>
  <si>
    <t>감독: 김정권
주연: 차태현, 하지원, 박희순</t>
  </si>
  <si>
    <t>한국 특유의 정서가 켜켜이 쌓인 듯, 2008년의 시선으로 담아낸 드라마의 이야기. 인간의 고통이란 결국 타인과의 거리에서 비롯된다. 우리는 각자의 서사 안에 갇혀 서로를 오해한다. 두고두고 다시 꺼내 볼 만한 작품이다.</t>
  </si>
  <si>
    <t>감독: 카네코 슈스케
주연: 成宮寛貴, 우치다 유키, 白石美帆</t>
  </si>
  <si>
    <t>섬세한 일본적 감수성으로, 2010년의 시선으로 담아낸 드라마의 이야기. 인간의 고통이란 결국 타인과의 거리에서 비롯된다. 모든 이야기는 상처의 다른 이름이다. 거칠지만 그 안에서도 인간의 흔적은 남는다.</t>
  </si>
  <si>
    <t>감독: Emilio Estevez
주연: 안소니 홉킨스, 윌리엄 H. 메이시, 해리 벨라폰테</t>
  </si>
  <si>
    <t>할리우드적 스펙터클 너머, 2006년의 시선으로 담아낸 드라마의 이야기. 삶은 언제나 해석을 기다리는 텍스트다. 모든 이야기는 상처의 다른 이름이다. 이 작품이 남기는 질문은 쉽게 사라지지 않는다.</t>
  </si>
  <si>
    <t>감독: Russell Mulcahy
주연: 시고니 위버, 헨리 처니, Ryan Kelley</t>
  </si>
  <si>
    <t>할리우드적 스펙터클 너머, 2009년의 시선으로 담아낸 드라마의 이야기. 모든 이야기는 상처의 다른 이름이다. 우리는 각자의 서사 안에 갇혀 서로를 오해한다. 평점이 담지 못하는 무언가가 이 영화에는 있다.</t>
  </si>
  <si>
    <t>감독: James Watkins
주연: 이드리스 엘바, 리차드 매든, 샤를로트 르 봉</t>
  </si>
  <si>
    <t>프랑스 영화 특유의 철학적 깊이로, 2016년의 시선으로 담아낸 액션의 이야기. 육체의 한계에 도전하는 것은 곧 자아의 경계를 시험하는 일이다. 충돌은 세계가 변화를 요구하는 방식이다. 두고두고 다시 꺼내 볼 만한 작품이다.</t>
  </si>
  <si>
    <t>감독: Shana Feste
주연: 베라 파미가, 크리스토퍼 플러머, Lewis MacDougall</t>
  </si>
  <si>
    <t>할리우드적 스펙터클 너머, 2018년의 시선으로 담아낸 코미디의 이야기. 가볍게 웃는 순간에도 삶의 무게는 그 그림자를 드리운다. 웃음은 고통을 소화하는 인간만의 방식이다. 완벽하지 않아도, 그 불완전함이 오히려 인간적이다.</t>
  </si>
  <si>
    <t>감독: 안젤리나 졸리
주연: 안젤리나 졸리, 브래드 피트, 멜라니 로랑</t>
  </si>
  <si>
    <t>할리우드적 스펙터클 너머, 2015년의 시선으로 담아낸 드라마의 이야기. 우리는 각자의 서사 안에 갇혀 서로를 오해한다. 인간의 고통이란 결국 타인과의 거리에서 비롯된다. 흠이 있지만 진심이 담긴 시도였다.</t>
  </si>
  <si>
    <t>감독: 아담 맥케이
주연: 크리스찬 베일, 에이미 아담스, 스티브 카렐</t>
  </si>
  <si>
    <t>할리우드적 스펙터클 너머, 2018년의 시선으로 담아낸 드라마의 이야기. 삶은 언제나 해석을 기다리는 텍스트다. 인간의 고통이란 결국 타인과의 거리에서 비롯된다. 시간이 지날수록 더 깊이 읽히는 영화다.</t>
  </si>
  <si>
    <t>감독: Kerem Sanga
주연: 그레이스 밴 패튼, 조반 아데포, 루카스 하스</t>
  </si>
  <si>
    <t>할리우드적 스펙터클 너머, 2020년의 시선으로 담아낸 드라마의 이야기. 우리는 각자의 서사 안에 갇혀 서로를 오해한다. 삶은 언제나 해석을 기다리는 텍스트다. 완성도와 별개로, 이 작품이 던지려 한 질문은 유효하다.</t>
  </si>
  <si>
    <t>감독: Michael Hirst
주연: Alex Høgh Andersen, Jordan Patrick Smith, Marco Ilsø</t>
  </si>
  <si>
    <t>드라마 형식 속에서, 할리우드적 스펙터클 너머, 2013년의 시선으로 담아낸 드라마의 이야기. 인간의 고통이란 결국 타인과의 거리에서 비롯된다. 모든 이야기는 상처의 다른 이름이다. 평점이 담지 못하는 무언가가 이 영화에는 있다.</t>
  </si>
  <si>
    <t>드라마 형식 속에서, 할리우드적 스펙터클 너머, 2014년의 시선으로 담아낸 드라마의 이야기. 우리는 각자의 서사 안에 갇혀 서로를 오해한다. 모든 이야기는 상처의 다른 이름이다. 이 작품이 남기는 이미지는 어떤 방식으로든 기억에 새겨진다.</t>
  </si>
  <si>
    <t>주연: George Blagden</t>
  </si>
  <si>
    <t>드라마 형식 속에서, 할리우드적 스펙터클 너머, 2015년의 시선으로 담아낸 드라마의 이야기. 삶은 언제나 해석을 기다리는 텍스트다. 인간의 고통이란 결국 타인과의 거리에서 비롯된다. 평점이 담지 못하는 무언가가 이 영화에는 있다.</t>
  </si>
  <si>
    <t>감독: Peter Findlay, Rebecca Snow
주연: 피터 아우터브리지</t>
  </si>
  <si>
    <t>드라마 형식 속에서, 할리우드적 스펙터클 너머, 2016년의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</si>
  <si>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2019년의 시선으로 담아낸 드라마의 이야기. 인간의 고통이란 결국 타인과의 거리에서 비롯된다. 모든 이야기는 상처의 다른 이름이다. 이 작품이 남기는 이미지는 어떤 방식으로든 기억에 새겨진다.</t>
  </si>
  <si>
    <t>감독: James Velasquez
주연: Clodagh Moriarty, Kristine Kenina, Megan O'Malley</t>
  </si>
  <si>
    <t>드라마 형식 속에서, 할리우드적 스펙터클 너머, 2020년의 시선으로 담아낸 드라마의 이야기. 인간의 고통이란 결국 타인과의 거리에서 비롯된다. 삶은 언제나 해석을 기다리는 텍스트다. 평점이 담지 못하는 무언가가 이 영화에는 있다.</t>
  </si>
  <si>
    <t>감독: 大根仁
주연: 사토 타케루, 카미키 류노스케, 고마츠 나나</t>
  </si>
  <si>
    <t>섬세한 일본적 감수성으로, 2015년의 시선으로 담아낸 드라마의 이야기. 삶은 언제나 해석을 기다리는 텍스트다. 모든 이야기는 상처의 다른 이름이다. 시간이 지날수록 더 깊이 읽히는 영화다.</t>
  </si>
  <si>
    <t>감독: 숀 레비
주연: 벤 스틸러, 로빈 윌리엄스, 오웬 윌슨</t>
  </si>
  <si>
    <t>할리우드적 스펙터클 너머, 2014년의 시선으로 담아낸 코미디의 이야기. 웃음은 고통을 소화하는 인간만의 방식이다. 유머 속에는 세계의 부조리를 견뎌내는 지혜가 담겨 있다. 평점이 담지 못하는 무언가가 이 영화에는 있다.</t>
  </si>
  <si>
    <t>감독: 小泉堯史
주연: 寺尾聰, 후카츠 에리, 浅丘ルリ子</t>
  </si>
  <si>
    <t>섬세한 일본적 감수성으로, 2005년의 시선으로 담아낸 드라마의 이야기. 인간의 고통이란 결국 타인과의 거리에서 비롯된다. 우리는 각자의 서사 안에 갇혀 서로를 오해한다. 이 작품이 남기는 질문은 쉽게 사라지지 않는다.</t>
  </si>
  <si>
    <t>감독: Kavery Kaul
주연: Lord Kitchener, Calypso Rose, Mighty Duke</t>
  </si>
  <si>
    <t>한국 특유의 정서가 켜켜이 쌓인 듯, 2012년의 시선으로 담아낸 코미디의 이야기. 웃음은 고통을 소화하는 인간만의 방식이다. 가볍게 웃는 순간에도 삶의 무게는 그 그림자를 드리운다. 이 작품이 남기는 질문은 쉽게 사라지지 않는다.</t>
  </si>
  <si>
    <t>감독: 연상호
주연: 강동원, 이정현, 이레</t>
  </si>
  <si>
    <t>한국 특유의 정서가 켜켜이 쌓인 듯, 2020년의 시선으로 담아낸 액션의 이야기. 폭력의 언어 속에서도 인간은 존엄을 갈망한다. 충돌은 세계가 변화를 요구하는 방식이다. 나름의 울림을 간직한 작품이다.</t>
  </si>
  <si>
    <t>감독: 김홍선
주연: 백윤식, 성동일, 배종옥</t>
  </si>
  <si>
    <t>한국 특유의 정서가 켜켜이 쌓인 듯, 2017년의 시선으로 담아낸 스릴러의 이야기. 진실은 언제나 우리가 감당할 수 없는 형태로 찾아온다. 긴장은 존재가 위협받을 때 가장 선명하게 빛난다. 두고두고 다시 꺼내 볼 만한 작품이다.</t>
  </si>
  <si>
    <t>감독: 岩田ユキ
주연: 야마다 타카유키, 코니시 마나미, 마키 요코</t>
  </si>
  <si>
    <t>섬세한 일본적 감수성으로, 2011년의 시선으로 담아낸 로맨스의 이야기. 그리움이란 부재를 통해 존재를 확인하는 방식이다. 두 사람 사이의 침묵은 때로 말보다 더 많은 것을 말한다. 나름의 울림을 간직한 작품이다.</t>
  </si>
  <si>
    <t>감독: 렌 와이즈먼
주연: 아나 데 아르마스, 키아누 리브스, 이언 맥셰인</t>
  </si>
  <si>
    <t>할리우드적 스펙터클 너머, 2025년의 시선으로 담아낸 액션의 이야기. 생존의 욕망은 가장 원초적인 철학적 질문을 던진다. 폭력의 언어 속에서도 인간은 존엄을 갈망한다. 오랫동안 여운이 남는 작품이다.</t>
  </si>
  <si>
    <t>감독: 뤽 베송
주연: 데인 드한, 카라 델레바인, 클라이브 오웬</t>
  </si>
  <si>
    <t>프랑스 영화 특유의 철학적 깊이로, 2017년의 시선으로 담아낸 SF의 이야기. 기술이 진보할수록 인간다움의 정의는 더욱 절박해진다. 타자와의 만남은 언제나 자아의 재발견으로 이어진다. 아쉬움이 남지만, 모든 시도는 의미를 갖는다.</t>
  </si>
  <si>
    <t>감독: 게리 마셜
주연: 애쉬튼 커쳐, 제이미 폭스, 제니퍼 가너</t>
  </si>
  <si>
    <t>할리우드적 스펙터클 너머, 2010년의 시선으로 담아낸 코미디의 이야기. 웃음은 고통을 소화하는 인간만의 방식이다. 우스운 것과 슬픈 것은 본래 같은 뿌리에서 자란다. 두고두고 다시 꺼내 볼 만한 작품이다.</t>
  </si>
  <si>
    <t>감독: Trent Cooper
주연: 케빈 스페이시, 카밀라 벨, 헤더 그레이엄</t>
  </si>
  <si>
    <t>할리우드적 스펙터클 너머, 2010년의 시선으로 담아낸 드라마의 이야기. 삶은 언제나 해석을 기다리는 텍스트다. 우리는 각자의 서사 안에 갇혀 서로를 오해한다. 완벽하지 않아도, 그 불완전함이 오히려 인간적이다.</t>
  </si>
  <si>
    <t>감독: 김창주
주연: 조우진, 이재인, 지창욱</t>
  </si>
  <si>
    <t>한국 특유의 정서가 켜켜이 쌓인 듯, 2021년의 시선으로 담아낸 스릴러의 이야기. 진실은 언제나 우리가 감당할 수 없는 형태로 찾아온다. 긴장은 존재가 위협받을 때 가장 선명하게 빛난다. 완벽하지 않아도, 그 불완전함이 오히려 인간적이다.</t>
  </si>
  <si>
    <t>감독: 제이 로치
주연: 샤를리즈 테론, 마고 로비, 니콜 키드먼</t>
  </si>
  <si>
    <t>할리우드적 스펙터클 너머, 2019년의 시선으로 담아낸 드라마의 이야기. 인간의 고통이란 결국 타인과의 거리에서 비롯된다. 삶은 언제나 해석을 기다리는 텍스트다. 완벽하지 않아도, 그 불완전함이 오히려 인간적이다.</t>
  </si>
  <si>
    <t>감독: Ritesh Batra
주연: 로버트 레드포드, 제인 폰다, 마티아스 스후나르츠</t>
  </si>
  <si>
    <t>할리우드적 스펙터클 너머, 2017년의 시선으로 담아낸 드라마의 이야기. 인간의 고통이란 결국 타인과의 거리에서 비롯된다. 우리는 각자의 서사 안에 갇혀 서로를 오해한다. 평점이 담지 못하는 무언가가 이 영화에는 있다.</t>
  </si>
  <si>
    <t>감독: 육상효
주연: 김인권, 김정태, 신현빈</t>
  </si>
  <si>
    <t>한국 특유의 정서가 켜켜이 쌓인 듯, 2010년의 시선으로 담아낸 코미디의 이야기. 웃음은 고통을 소화하는 인간만의 방식이다. 가볍게 웃는 순간에도 삶의 무게는 그 그림자를 드리운다. 나름의 울림을 간직한 작품이다.</t>
  </si>
  <si>
    <t>감독: 益子昌一
주연: 寺尾聰, 다케노우치 유타카, 伊東四朗</t>
  </si>
  <si>
    <t>한국 특유의 정서가 켜켜이 쌓인 듯, 2013년의 시선으로 담아낸 스릴러의 이야기. 긴장은 존재가 위협받을 때 가장 선명하게 빛난다. 진실은 언제나 우리가 감당할 수 없는 형태로 찾아온다. 완벽하지 않아도, 그 불완전함이 오히려 인간적이다.</t>
  </si>
  <si>
    <t>감독: Scott Moore, Jon Lucas
주연: 밀라 쿠니스, 크리스틴 벨, 캐스린 한</t>
  </si>
  <si>
    <t>할리우드적 스펙터클 너머, 2016년의 시선으로 담아낸 코미디의 이야기. 우스운 것과 슬픈 것은 본래 같은 뿌리에서 자란다. 유머 속에는 세계의 부조리를 견뎌내는 지혜가 담겨 있다. 평점이 담지 못하는 무언가가 이 영화에는 있다.</t>
  </si>
  <si>
    <t>감독: 나타읏 푼피리야
주연: ชุติมณฑน์ จึงเจริญสุขยิ่ง, ชานน สันตินธรกุล, อิษยา ฮอสุวรรณ</t>
  </si>
  <si>
    <t>태국</t>
  </si>
  <si>
    <t>2017년의 시선으로 담아낸 스릴러 이야기가 우리에게 묻는다. 불안이란 현실이 균열을 드러내는 순간에 스며든다. 공포는 우리가 통제할 수 없는 것들에 대한 솔직한 고백이다. 시간이 지날수록 더 깊이 읽히는 영화다.</t>
  </si>
  <si>
    <t>감독: Chris Brinker
주연: 맷 딜런, 윌렘 대포, 닐 맥도너</t>
  </si>
  <si>
    <t>할리우드적 스펙터클 너머, 2014년의 시선으로 담아낸 액션의 이야기. 폭력의 언어 속에서도 인간은 존엄을 갈망한다. 육체의 한계에 도전하는 것은 곧 자아의 경계를 시험하는 일이다. 흠이 있지만 진심이 담긴 시도였다.</t>
  </si>
  <si>
    <t>감독: 클린트 이스트우드
주연: 니콜라스 홀트, 토니 콜렛, J.K. 시몬스</t>
  </si>
  <si>
    <t>할리우드적 스펙터클 너머, 2024년의 시선으로 담아낸 드라마의 이야기. 모든 이야기는 상처의 다른 이름이다. 삶은 언제나 해석을 기다리는 텍스트다. 평점이 담지 못하는 무언가가 이 영화에는 있다.</t>
  </si>
  <si>
    <t>감독: Hong Seung-wan
주연: 문소리, 박형식, 백수장</t>
  </si>
  <si>
    <t>한국 특유의 정서가 켜켜이 쌓인 듯, 2018년의 시선으로 담아낸 드라마의 이야기. 우리는 각자의 서사 안에 갇혀 서로를 오해한다. 모든 이야기는 상처의 다른 이름이다. 시간이 지날수록 더 깊이 읽히는 영화다.</t>
  </si>
  <si>
    <t>감독: Seth Gordon
주연: 제이미 폭스, 카메론 디아즈, McKenna Roberts</t>
  </si>
  <si>
    <t>감독: David Aponte
주연: Jorge Alberti, Ricardo Álvarez, Jorge Antares</t>
  </si>
  <si>
    <t>할리우드적 스펙터클 너머, 2014년의 시선으로 담아낸 SF의 이야기. 우주의 광대함 앞에서 인간의 질문은 더욱 깊어진다. 미래를 상상하는 것은 현재를 비판하는 가장 우회적인 방법이다. 나름의 울림을 간직한 작품이다.</t>
  </si>
  <si>
    <t>감독: 김병서, 이해준
주연: 이병헌, 하정우, 마동석</t>
  </si>
  <si>
    <t>한국 특유의 정서가 켜켜이 쌓인 듯, 2019년의 시선으로 담아낸 액션의 이야기. 충돌은 세계가 변화를 요구하는 방식이다. 폭력의 언어 속에서도 인간은 존엄을 갈망한다. 나름의 울림을 간직한 작품이다.</t>
  </si>
  <si>
    <t>감독: タナダユキ
주연: 아오이 유우, 齋藤隆成, 모리야마 미라이</t>
  </si>
  <si>
    <t>섬세한 일본적 감수성으로, 2014년의 시선으로 담아낸 드라마의 이야기. 삶은 언제나 해석을 기다리는 텍스트다. 모든 이야기는 상처의 다른 이름이다. 이 작품이 남기는 질문은 쉽게 사라지지 않는다.</t>
  </si>
  <si>
    <t>감독: Jacob Cheung
주연: 판빙빙, 황효명, 조문탁</t>
  </si>
  <si>
    <t>광활한 대지의 이야기를 담아, 2014년의 시선으로 담아낸 액션의 이야기. 충돌은 세계가 변화를 요구하는 방식이다. 생존의 욕망은 가장 원초적인 철학적 질문을 던진다. 이 작품이 남기는 이미지는 어떤 방식으로든 기억에 새겨진다.</t>
  </si>
  <si>
    <t>감독: Rupert Sanders
주연: 크리스틴 스튜어트, 크리스 헴스워스, 샤를리즈 테론</t>
  </si>
  <si>
    <t>할리우드적 스펙터클 너머, 2012년의 시선으로 담아낸 판타지의 이야기. 마법이란 설명되지 않는 것들에 대한 경외의 다른 이름이다. 불가능한 세계를 꿈꾸는 것은 현실의 한계에 저항하는 일이다. 아쉬움이 남지만, 모든 시도는 의미를 갖는다.</t>
  </si>
  <si>
    <t>감독: 中村義洋
주연: 이노우에 마오, 아야노 고, 렌부츠 미사코</t>
  </si>
  <si>
    <t>섬세한 일본적 감수성으로, 2014년의 시선으로 담아낸 미스터리의 이야기. 감춰진 것들이 드러나는 순간, 세계는 다르게 보이기 시작한다. 알 수 없음 앞에서 인간은 비로소 겸손해진다. 두고두고 다시 꺼내 볼 만한 작품이다.</t>
  </si>
  <si>
    <t>감독: Per Fly
주연: 테오 제임스, 재클린 비셋, 벤 킹슬리</t>
  </si>
  <si>
    <t>할리우드적 스펙터클 너머, 2018년의 시선으로 담아낸 드라마의 이야기. 우리는 각자의 서사 안에 갇혀 서로를 오해한다. 모든 이야기는 상처의 다른 이름이다. 흠이 있지만 진심이 담긴 시도였다.</t>
  </si>
  <si>
    <t>감독: 롤란트 에머리히
주연: 채닝 테이텀, 제이미 폭스, 메기 질렌할</t>
  </si>
  <si>
    <t>할리우드적 스펙터클 너머, 2013년의 시선으로 담아낸 액션의 이야기. 생존의 욕망은 가장 원초적인 철학적 질문을 던진다. 충돌은 세계가 변화를 요구하는 방식이다. 아쉬움이 남지만, 모든 시도는 의미를 갖는다.</t>
  </si>
  <si>
    <t>할리우드적 스펙터클 너머, 2017년의 시선으로 담아낸 드라마의 이야기. 모든 이야기는 상처의 다른 이름이다. 우리는 각자의 서사 안에 갇혀 서로를 오해한다. 흠이 있지만 진심이 담긴 시도였다.</t>
  </si>
  <si>
    <t>감독: Taylor Hackford
주연: Mikhail Baryshnikov, Gregory Hines, 예르지 스콜리모프스키</t>
  </si>
  <si>
    <t>할리우드적 스펙터클 너머, 1985년의 시선으로 담아낸 드라마의 이야기. 삶은 언제나 해석을 기다리는 텍스트다. 모든 이야기는 상처의 다른 이름이다. 아쉬움이 남지만, 모든 시도는 의미를 갖는다.</t>
  </si>
  <si>
    <t>감독: Park Shin-woo
주연: 손예진, 한석규, 고수</t>
  </si>
  <si>
    <t>한국 특유의 정서가 켜켜이 쌓인 듯, 2009년의 시선으로 담아낸 미스터리의 이야기. 감춰진 것들이 드러나는 순간, 세계는 다르게 보이기 시작한다. 수수께끼는 세계가 우리에게 던지는 철학적 도발이다. 나름의 울림을 간직한 작품이다.</t>
  </si>
  <si>
    <t>감독: 애덤 맥도널드
주연: Missy Peregrym, Jeff Roop, Eric Balfour</t>
  </si>
  <si>
    <t>2014년의 시선으로 담아낸 스릴러 이야기가 우리에게 묻는다. 긴장은 존재가 위협받을 때 가장 선명하게 빛난다. 불안이란 현실이 균열을 드러내는 순간에 스며든다. 평점이 담지 못하는 무언가가 이 영화에는 있다.</t>
  </si>
  <si>
    <t>2014년의 시선으로 담아낸 스릴러 이야기가 우리에게 묻는다. 불안이란 현실이 균열을 드러내는 순간에 스며든다. 진실은 언제나 우리가 감당할 수 없는 형태로 찾아온다. 평점이 담지 못하는 무언가가 이 영화에는 있다.</t>
  </si>
  <si>
    <t>감독: Brian A. Miller
주연: 라이언 거즈먼, 실베스터 스탤론, 매슈 모딘</t>
  </si>
  <si>
    <t>할리우드적 스펙터클 너머, 2018년의 시선으로 담아낸 액션의 이야기. 생존의 욕망은 가장 원초적인 철학적 질문을 던진다. 육체의 한계에 도전하는 것은 곧 자아의 경계를 시험하는 일이다. 흠이 있지만 진심이 담긴 시도였다.</t>
  </si>
  <si>
    <t>감독: Chris Foggin
주연: 로리 키니어, Jo Hartley, Joel Fry</t>
  </si>
  <si>
    <t>영국적 절제와 냉소 사이에서, 2023년의 시선으로 담아낸 드라마의 이야기. 모든 이야기는 상처의 다른 이름이다. 인간의 고통이란 결국 타인과의 거리에서 비롯된다. 시간이 지날수록 더 깊이 읽히는 영화다.</t>
  </si>
  <si>
    <t>감독: Chris Foggin
주연: 로리 키니어, Jo Hartley, Chrissy Metz</t>
  </si>
  <si>
    <t>영국적 절제와 냉소 사이에서, 2025년의 시선으로 담아낸 코미디의 이야기. 가볍게 웃는 순간에도 삶의 무게는 그 그림자를 드리운다. 유머 속에는 세계의 부조리를 견뎌내는 지혜가 담겨 있다. 완벽하지 않아도, 그 불완전함이 오히려 인간적이다.</t>
  </si>
  <si>
    <t>감독: 이창동
주연: 유아인, 스티븐 연, 전종서</t>
  </si>
  <si>
    <t>한국 특유의 정서가 켜켜이 쌓인 듯, 2018년의 시선으로 담아낸 드라마의 이야기. 우리는 각자의 서사 안에 갇혀 서로를 오해한다. 삶은 언제나 해석을 기다리는 텍스트다. 한 번쯤 들여다볼 가치가 있는 이야기다.</t>
  </si>
  <si>
    <t>감독: Guillermo Arriaga
주연: 샤를리즈 테론, 킴 베이싱어, 제니퍼 로렌스</t>
  </si>
  <si>
    <t>할리우드적 스펙터클 너머, 2008년의 시선으로 담아낸 드라마의 이야기. 모든 이야기는 상처의 다른 이름이다. 인간의 고통이란 결국 타인과의 거리에서 비롯된다. 평점이 담지 못하는 무언가가 이 영화에는 있다.</t>
  </si>
  <si>
    <t>감독: 수잔 비에르
주연: 산드라 블록, Trevante Rhodes, 존 말코비치</t>
  </si>
  <si>
    <t>할리우드적 스펙터클 너머, 2018년의 시선으로 담아낸 스릴러의 이야기. 긴장은 존재가 위협받을 때 가장 선명하게 빛난다. 불안이란 현실이 균열을 드러내는 순간에 스며든다. 나름의 울림을 간직한 작품이다.</t>
  </si>
  <si>
    <t>감독: 알레한드로 곤살레스 이냐리투
주연: 마이클 키튼, 엠마 스톤, 잭 갤리퍼내키스</t>
  </si>
  <si>
    <t>할리우드적 스펙터클 너머, 2014년의 시선으로 담아낸 드라마의 이야기. 인간의 고통이란 결국 타인과의 거리에서 비롯된다. 모든 이야기는 상처의 다른 이름이다. 시간이 지날수록 더 깊이 읽히는 영화다.</t>
  </si>
  <si>
    <t>감독: Andrew Heckler
주연: 개렛 헤들런드, 안드레아 라이즈보로, 포레스트 휘태커</t>
  </si>
  <si>
    <t>할리우드적 스펙터클 너머, 2018년의 시선으로 담아낸 드라마의 이야기. 우리는 각자의 서사 안에 갇혀 서로를 오해한다. 모든 이야기는 상처의 다른 이름이다. 아쉬움이 남지만, 모든 시도는 의미를 갖는다.</t>
  </si>
  <si>
    <t>감독: Scott Mann
주연: 제프리 딘 모건, 로버트 드 니로, 케이트 보스워스</t>
  </si>
  <si>
    <t>할리우드적 스펙터클 너머, 2015년의 시선으로 담아낸 액션의 이야기. 육체의 한계에 도전하는 것은 곧 자아의 경계를 시험하는 일이다. 충돌은 세계가 변화를 요구하는 방식이다. 시간이 지날수록 더 깊이 읽히는 영화다.</t>
  </si>
  <si>
    <t>감독: Sue Tenney
주연: 알렉산드라 브레킨리지, Martin Henderson, Colin Lawrence</t>
  </si>
  <si>
    <t>드라마 형식 속에서, 할리우드적 스펙터클 너머, 2020년의 시선으로 담아낸 드라마의 이야기. 우리는 각자의 서사 안에 갇혀 서로를 오해한다. 인간의 고통이란 결국 타인과의 거리에서 비롯된다. 평점이 담지 못하는 무언가가 이 영화에는 있다.</t>
  </si>
  <si>
    <t>드라마 형식 속에서, 할리우드적 스펙터클 너머, 2021년의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</si>
  <si>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2024년의 시선으로 담아낸 드라마의 이야기. 모든 이야기는 상처의 다른 이름이다. 삶은 언제나 해석을 기다리는 텍스트다. 이 작품이 남기는 이미지는 어떤 방식으로든 기억에 새겨진다.</t>
  </si>
  <si>
    <t>감독: 롭 라이너
주연: 잭 니콜슨, 모건 프리먼, Sean Hayes</t>
  </si>
  <si>
    <t>할리우드적 스펙터클 너머, 2007년의 시선으로 담아낸 드라마의 이야기. 우리는 각자의 서사 안에 갇혀 서로를 오해한다. 삶은 언제나 해석을 기다리는 텍스트다. 거칠지만 그 안에서도 인간의 흔적은 남는다.</t>
  </si>
  <si>
    <t>감독: Steph Cha, Ken Woodruff
주연: 다니엘 대 킴, 레이나 하디스티, 김지훈</t>
  </si>
  <si>
    <t>드라마 형식 속에서, 한국 특유의 정서가 켜켜이 쌓인 듯, 2025년의 시선으로 담아낸 드라마의 이야기. 우리는 각자의 서사 안에 갇혀 서로를 오해한다. 삶은 언제나 해석을 기다리는 텍스트다. 평점이 담지 못하는 무언가가 이 영화에는 있다.</t>
  </si>
  <si>
    <t>감독: 리 대니얼스
주연: 포레스트 휘태커, 오프라 윈프리, 데이빗 오예로워</t>
  </si>
  <si>
    <t>할리우드적 스펙터클 너머, 2013년의 시선으로 담아낸 드라마의 이야기. 우리는 각자의 서사 안에 갇혀 서로를 오해한다. 인간의 고통이란 결국 타인과의 거리에서 비롯된다. 평점이 담지 못하는 무언가가 이 영화에는 있다.</t>
  </si>
  <si>
    <t>감독: 알프레드 히치콕
주연: 제임스 스튜어트, 킴 노박, Barbara Bel Geddes</t>
  </si>
  <si>
    <t>할리우드적 스펙터클 너머, 1958년의 시선으로 담아낸 스릴러의 이야기. 불안이란 현실이 균열을 드러내는 순간에 스며든다. 공포는 우리가 통제할 수 없는 것들에 대한 솔직한 고백이다. 나름의 울림을 간직한 작품이다.</t>
  </si>
  <si>
    <t>감독: 에단 코엔, 조엘 코엔
주연: 조지 클루니, 프랜시스 맥도맨드, 브래드 피트</t>
  </si>
  <si>
    <t>감독: Robert Oliver
주연: Grace Yelland, Robert Stafford, Ethan Davies</t>
  </si>
  <si>
    <t>독일 특유의 사유의 무게를 지니며, 2018년의 시선으로 담아낸 드라마의 이야기. 모든 이야기는 상처의 다른 이름이다. 인간의 고통이란 결국 타인과의 거리에서 비롯된다. 완벽하지 않아도, 그 불완전함이 오히려 인간적이다.</t>
  </si>
  <si>
    <t>감독: 타키모토 토모유키
주연: 토요카와 에츠시, 이시바시 료, 사사노 타카시</t>
  </si>
  <si>
    <t>한국 특유의 정서가 켜켜이 쌓인 듯, 2007년의 시선으로 담아낸 스릴러의 이야기. 긴장은 존재가 위협받을 때 가장 선명하게 빛난다. 불안이란 현실이 균열을 드러내는 순간에 스며든다. 한 번쯤 들여다볼 가치가 있는 이야기다.</t>
  </si>
  <si>
    <t>감독: 강윤성
주연: 마동석, 윤계상, 조재윤</t>
  </si>
  <si>
    <t>한국 특유의 정서가 켜켜이 쌓인 듯, 2017년의 시선으로 담아낸 액션의 이야기. 육체의 한계에 도전하는 것은 곧 자아의 경계를 시험하는 일이다. 폭력의 언어 속에서도 인간은 존엄을 갈망한다. 흠이 있지만 진심이 담긴 시도였다.</t>
  </si>
  <si>
    <t>감독: 이상용
주연: 마동석, 손석구, 최귀화</t>
  </si>
  <si>
    <t>한국 특유의 정서가 켜켜이 쌓인 듯, 2022년의 시선으로 담아낸 액션의 이야기. 충돌은 세계가 변화를 요구하는 방식이다. 폭력의 언어 속에서도 인간은 존엄을 갈망한다. 두고두고 다시 꺼내 볼 만한 작품이다.</t>
  </si>
  <si>
    <t>감독: 이상용
주연: 마동석, 이준혁, 아오키 무네타카</t>
  </si>
  <si>
    <t>한국 특유의 정서가 켜켜이 쌓인 듯, 2023년의 시선으로 담아낸 액션의 이야기. 충돌은 세계가 변화를 요구하는 방식이다. 육체의 한계에 도전하는 것은 곧 자아의 경계를 시험하는 일이다. 완벽하지 않아도, 그 불완전함이 오히려 인간적이다.</t>
  </si>
  <si>
    <t>감독: 허명행
주연: 마동석, 김무열, 박지환</t>
  </si>
  <si>
    <t>한국 특유의 정서가 켜켜이 쌓인 듯, 2024년의 시선으로 담아낸 액션의 이야기. 충돌은 세계가 변화를 요구하는 방식이다. 육체의 한계에 도전하는 것은 곧 자아의 경계를 시험하는 일이다. 완벽하지 않아도, 그 불완전함이 오히려 인간적이다.</t>
  </si>
  <si>
    <t>감독: 윤종빈
주연: 최민식, 하정우, 곽도원</t>
  </si>
  <si>
    <t>한국 특유의 정서가 켜켜이 쌓인 듯, 2011년의 시선으로 담아낸 범죄의 이야기. 어둠 속에서도 인간은 스스로를 정당화하려 한다. 죄란 사회가 만든 경계를 넘는 행위이자 그 경계에 대한 질문이다. 시간이 지날수록 더 깊이 읽히는 영화다.</t>
  </si>
  <si>
    <t>감독: Peter Nowalk
주연: 비올라 데이비스, Billy Brown, Jack Falahee</t>
  </si>
  <si>
    <t>15화</t>
  </si>
  <si>
    <t>드라마 형식 속에서, 할리우드적 스펙터클 너머, 2014년의 시선으로 담아낸 드라마의 이야기. 인간의 고통이란 결국 타인과의 거리에서 비롯된다. 모든 이야기는 상처의 다른 이름이다. 이 작품이 남기는 이미지는 어떤 방식으로든 기억에 새겨진다.</t>
  </si>
  <si>
    <t>드라마 형식 속에서, 할리우드적 스펙터클 너머, 2015년의 시선으로 담아낸 드라마의 이야기. 우리는 각자의 서사 안에 갇혀 서로를 오해한다. 삶은 언제나 해석을 기다리는 텍스트다. 이 작품이 남기는 이미지는 어떤 방식으로든 기억에 새겨진다.</t>
  </si>
  <si>
    <t>드라마 형식 속에서, 할리우드적 스펙터클 너머, 2016년의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</si>
  <si>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2017년의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</si>
  <si>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2018년의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</si>
  <si>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豊島圭介
주연: 安達祐実, 후치카미 야스시, 小篠恵奈</t>
  </si>
  <si>
    <t>섬세한 일본적 감수성으로, 2014년의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</si>
  <si>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栗村実
주연: 히로스에 료코, 이나가키 고로, 安藤聖</t>
  </si>
  <si>
    <t>섬세한 일본적 감수성으로, 2013년의 시선으로 담아낸 드라마의 이야기. 삶은 언제나 해석을 기다리는 텍스트다. 모든 이야기는 상처의 다른 이름이다. 흠이 있지만 진심이 담긴 시도였다.</t>
  </si>
  <si>
    <t>감독: 로버트 레드포드
주연: 맷 데이먼, 윌 스미스, 샤를리즈 테론</t>
  </si>
  <si>
    <t>할리우드적 스펙터클 너머, 2000년의 시선으로 담아낸 드라마의 이야기. 우리는 각자의 서사 안에 갇혀 서로를 오해한다. 인간의 고통이란 결국 타인과의 거리에서 비롯된다. 나름의 울림을 간직한 작품이다.</t>
  </si>
  <si>
    <t>감독: 폴 버호벤
주연: 비르지니 에피라, 샬롯 램플링, Daphné Patakia</t>
  </si>
  <si>
    <t>프랑스 영화 특유의 철학적 깊이로, 2021년의 시선으로 담아낸 드라마의 이야기. 우리는 각자의 서사 안에 갇혀 서로를 오해한다. 삶은 언제나 해석을 기다리는 텍스트다. 나름의 울림을 간직한 작품이다.</t>
  </si>
  <si>
    <t>감독: 루벤 플레셔
주연: 톰 하디, 미셸 윌리엄스, 리즈 아메드</t>
  </si>
  <si>
    <t>할리우드적 스펙터클 너머, 2018년의 시선으로 담아낸 액션의 이야기. 폭력의 언어 속에서도 인간은 존엄을 갈망한다. 육체의 한계에 도전하는 것은 곧 자아의 경계를 시험하는 일이다. 완벽하지 않아도, 그 불완전함이 오히려 인간적이다.</t>
  </si>
  <si>
    <t>감독: 조엘 슈마허
주연: 케이트 블란쳇, Gerard McSorley, 키어런 하인즈</t>
  </si>
  <si>
    <t>2003년의 시선으로 담아낸 드라마 이야기가 우리에게 묻는다. 삶은 언제나 해석을 기다리는 텍스트다. 모든 이야기는 상처의 다른 이름이다. 두고두고 다시 꺼내 볼 만한 작품이다.</t>
  </si>
  <si>
    <t>감독: 크쥐시토프 키에슬로프스키
주연: 이렌느 야곱, Halina Gryglaszewska, Philippe Volter</t>
  </si>
  <si>
    <t>프랑스 영화 특유의 철학적 깊이로, 1991년의 시선으로 담아낸 드라마의 이야기. 모든 이야기는 상처의 다른 이름이다. 우리는 각자의 서사 안에 갇혀 서로를 오해한다. 두고두고 다시 꺼내 볼 만한 작품이다.</t>
  </si>
  <si>
    <t>감독: 류승완
주연: 하정우, 한석규, 류승범</t>
  </si>
  <si>
    <t>한국 특유의 정서가 켜켜이 쌓인 듯, 2013년의 시선으로 담아낸 액션의 이야기. 생존의 욕망은 가장 원초적인 철학적 질문을 던진다. 육체의 한계에 도전하는 것은 곧 자아의 경계를 시험하는 일이다. 시간이 지날수록 더 깊이 읽히는 영화다.</t>
  </si>
  <si>
    <t>감독: Naomi Foner
주연: 다코타 패닝, 엘리자베스 올슨, Boyd Holbrook</t>
  </si>
  <si>
    <t>섬세한 일본적 감수성으로, 2013년의 시선으로 담아낸 드라마의 이야기. 인간의 고통이란 결국 타인과의 거리에서 비롯된다. 모든 이야기는 상처의 다른 이름이다. 나름의 울림을 간직한 작품이다.</t>
  </si>
  <si>
    <t>감독: 존 매든
주연: 빌 나이, 매기 스미스, 톰 윌킨슨</t>
  </si>
  <si>
    <t>영국적 절제와 냉소 사이에서, 2011년의 시선으로 담아낸 코미디의 이야기. 우스운 것과 슬픈 것은 본래 같은 뿌리에서 자란다. 가볍게 웃는 순간에도 삶의 무게는 그 그림자를 드리운다. 두고두고 다시 꺼내 볼 만한 작품이다.</t>
  </si>
  <si>
    <t>감독: 존 매든
주연: 데브 파텔, 주디 덴치, 리처드 기어</t>
  </si>
  <si>
    <t>영국적 절제와 냉소 사이에서, 2015년의 시선으로 담아낸 코미디의 이야기. 가볍게 웃는 순간에도 삶의 무게는 그 그림자를 드리운다. 유머 속에는 세계의 부조리를 견뎌내는 지혜가 담겨 있다. 평점이 담지 못하는 무언가가 이 영화에는 있다.</t>
  </si>
  <si>
    <t>감독: 주세페 토르나토레
주연: 제프리 러쉬, 짐 스터지스, 실비아 획스</t>
  </si>
  <si>
    <t>이탈리아 네오리얼리즘의 숨결을 담아, 2013년의 시선으로 담아낸 드라마의 이야기. 삶은 언제나 해석을 기다리는 텍스트다. 모든 이야기는 상처의 다른 이름이다. 시간이 지날수록 더 깊이 읽히는 영화다.</t>
  </si>
  <si>
    <t>감독: Lee Jung-ho
주연: 엄정화, 류승룡, 이도경</t>
  </si>
  <si>
    <t>한국 특유의 정서가 켜켜이 쌓인 듯, 2010년의 시선으로 담아낸 스릴러의 이야기. 진실은 언제나 우리가 감당할 수 없는 형태로 찾아온다. 불안이란 현실이 균열을 드러내는 순간에 스며든다. 흠이 있지만 진심이 담긴 시도였다.</t>
  </si>
  <si>
    <t>감독: Paula van der Oest
주연: 클레스 방, 올가 쿠릴렌코, 브라이언 콕스</t>
  </si>
  <si>
    <t>영국적 절제와 냉소 사이에서, 2020년의 시선으로 담아낸 스릴러의 이야기. 긴장은 존재가 위협받을 때 가장 선명하게 빛난다. 불안이란 현실이 균열을 드러내는 순간에 스며든다. 평점이 담지 못하는 무언가가 이 영화에는 있다.</t>
  </si>
  <si>
    <t>감독: 라세 할스트룀
주연: 조시 게드, K.J. 아파, 브릿 로버트슨</t>
  </si>
  <si>
    <t>감독: Alessio Di Giambattista
주연: Cody Brotter, Zachary Mooren, Mitch Eakins</t>
  </si>
  <si>
    <t>광활한 대지의 이야기를 담아, 2019년의 시선으로 담아낸 드라마의 이야기. 모든 이야기는 상처의 다른 이름이다. 우리는 각자의 서사 안에 갇혀 서로를 오해한다. 두고두고 다시 꺼내 볼 만한 작품이다.</t>
  </si>
  <si>
    <t>감독: 빈스 길리건, 피터 굴드
주연: 밥 오덴커크, 조너선 뱅크스, 레이 시혼</t>
  </si>
  <si>
    <t>드라마 형식 속에서, 할리우드적 스펙터클 너머, 2015년의 시선으로 담아낸 드라마의 이야기. 우리는 각자의 서사 안에 갇혀 서로를 오해한다. 모든 이야기는 상처의 다른 이름이다. 이 작품이 남기는 이미지는 어떤 방식으로든 기억에 새겨진다.</t>
  </si>
  <si>
    <t>감독: Ariel Levine
주연: Josh Fadem, Hayley Holmes, Julian Bonfiglio</t>
  </si>
  <si>
    <t>드라마 형식 속에서, 할리우드적 스펙터클 너머, 2017년의 시선으로 담아낸 드라마의 이야기. 삶은 언제나 해석을 기다리는 텍스트다. 모든 이야기는 상처의 다른 이름이다. 평점이 담지 못하는 무언가가 이 영화에는 있다.</t>
  </si>
  <si>
    <t>드라마 형식 속에서, 할리우드적 스펙터클 너머, 2018년의 시선으로 담아낸 드라마의 이야기. 우리는 각자의 서사 안에 갇혀 서로를 오해한다. 모든 이야기는 상처의 다른 이름이다. 이 작품이 남기는 이미지는 어떤 방식으로든 기억에 새겨진다.</t>
  </si>
  <si>
    <t>드라마 형식 속에서, 할리우드적 스펙터클 너머, 2020년의 시선으로 담아낸 드라마의 이야기. 인간의 고통이란 결국 타인과의 거리에서 비롯된다. 삶은 언제나 해석을 기다리는 텍스트다. 이 작품이 남기는 이미지는 어떤 방식으로든 기억에 새겨진다.</t>
  </si>
  <si>
    <t>감독: Angelika Zbikowski, Kevin Dreyfuss
주연: Sean Giambrone, Kyle S. More</t>
  </si>
  <si>
    <t>드라마 형식 속에서, 할리우드적 스펙터클 너머, 2022년의 시선으로 담아낸 드라마의 이야기. 모든 이야기는 상처의 다른 이름이다. 인간의 고통이란 결국 타인과의 거리에서 비롯된다. 이 작품이 남기는 이미지는 어떤 방식으로든 기억에 새겨진다.</t>
  </si>
  <si>
    <t>감독: 류승완
주연: 황정민, 유아인, 유해진</t>
  </si>
  <si>
    <t>한국 특유의 정서가 켜켜이 쌓인 듯, 2015년의 시선으로 담아낸 액션의 이야기. 육체의 한계에 도전하는 것은 곧 자아의 경계를 시험하는 일이다. 충돌은 세계가 변화를 요구하는 방식이다. 시간이 지날수록 더 깊이 읽히는 영화다.</t>
  </si>
  <si>
    <t>감독: 류승완
주연: 황정민, 정해인</t>
  </si>
  <si>
    <t>한국 특유의 정서가 켜켜이 쌓인 듯, 2024년의 시선으로 담아낸 액션의 이야기. 폭력의 언어 속에서도 인간은 존엄을 갈망한다. 육체의 한계에 도전하는 것은 곧 자아의 경계를 시험하는 일이다. 흠이 있지만 진심이 담긴 시도였다.</t>
  </si>
  <si>
    <t>감독: Jonathan Milott, Cary Murnion
주연: 룰루 윌슨, 케빈 제임스, 조엘 맥헤일</t>
  </si>
  <si>
    <t>할리우드적 스펙터클 너머, 2020년의 시선으로 담아낸 액션의 이야기. 생존의 욕망은 가장 원초적인 철학적 질문을 던진다. 폭력의 언어 속에서도 인간은 존엄을 갈망한다. 흠이 있지만 진심이 담긴 시도였다.</t>
  </si>
  <si>
    <t>감독: 데이비드 핀처
주연: 브래드 피트, 케이트 블란쳇, 타라지 P. 헨슨</t>
  </si>
  <si>
    <t>166분</t>
  </si>
  <si>
    <t>할리우드적 스펙터클 너머, 2008년의 시선으로 담아낸 드라마의 이야기. 인간의 고통이란 결국 타인과의 거리에서 비롯된다. 우리는 각자의 서사 안에 갇혀 서로를 오해한다. 오랫동안 여운이 남는 작품이다.</t>
  </si>
  <si>
    <t>감독: 石井裕也
주연: 츠마부키 사토시, 카메나시 카즈야, 勝地涼</t>
  </si>
  <si>
    <t>감독: 폴 와이츠
주연: 줄리앤 무어, 와타나베 켄, Sebastian Koch</t>
  </si>
  <si>
    <t>할리우드적 스펙터클 너머, 2018년의 시선으로 담아낸 드라마의 이야기. 삶은 언제나 해석을 기다리는 텍스트다. 우리는 각자의 서사 안에 갇혀 서로를 오해한다. 나름의 울림을 간직한 작품이다.</t>
  </si>
  <si>
    <t>감독: RJ Bentler
주연: Stuart Murdoch, Stuart David, Isobel Campbell</t>
  </si>
  <si>
    <t>프랑스 영화 특유의 철학적 깊이로, 2013년의 시선으로 담아낸 드라마의 이야기. 우리는 각자의 서사 안에 갇혀 서로를 오해한다. 삶은 언제나 해석을 기다리는 텍스트다. 오랫동안 여운이 남는 작품이다.</t>
  </si>
  <si>
    <t>감독: Alejandro Monteverde
주연: Eduardo Verástegui, Tammy Blanchard, Manny Perez</t>
  </si>
  <si>
    <t>할리우드적 스펙터클 너머, 2006년의 시선으로 담아낸 드라마의 이야기. 인간의 고통이란 결국 타인과의 거리에서 비롯된다. 모든 이야기는 상처의 다른 이름이다. 두고두고 다시 꺼내 볼 만한 작품이다.</t>
  </si>
  <si>
    <t>감독: 댄 길로이
주연: 르네 루소, 제이크 질렌할, 자웨 애쉬튼</t>
  </si>
  <si>
    <t>할리우드적 스펙터클 너머, 2019년의 시선으로 담아낸 스릴러의 이야기. 공포는 우리가 통제할 수 없는 것들에 대한 솔직한 고백이다. 진실은 언제나 우리가 감당할 수 없는 형태로 찾아온다. 평점이 담지 못하는 무언가가 이 영화에는 있다.</t>
  </si>
  <si>
    <t>감독: Nick Ormerod, Declan Donnellan
주연: 로버트 패틴슨, 우마 서먼, 크리스티나 리치</t>
  </si>
  <si>
    <t>영국적 절제와 냉소 사이에서, 2012년의 시선으로 담아낸 드라마의 이야기. 삶은 언제나 해석을 기다리는 텍스트다. 우리는 각자의 서사 안에 갇혀 서로를 오해한다. 흠이 있지만 진심이 담긴 시도였다.</t>
  </si>
  <si>
    <t>감독: 이준익
주연: 박정민, 김고은, 장항선</t>
  </si>
  <si>
    <t>한국 특유의 정서가 켜켜이 쌓인 듯, 2017년의 시선으로 담아낸 드라마의 이야기. 인간의 고통이란 결국 타인과의 거리에서 비롯된다. 우리는 각자의 서사 안에 갇혀 서로를 오해한다. 오랫동안 여운이 남는 작품이다.</t>
  </si>
  <si>
    <t>감독: 양우석
주연: 송강호, 김영애, 오달수</t>
  </si>
  <si>
    <t>한국 특유의 정서가 켜켜이 쌓인 듯, 2013년의 시선으로 담아낸 드라마의 이야기. 인간의 고통이란 결국 타인과의 거리에서 비롯된다. 삶은 언제나 해석을 기다리는 텍스트다. 시간이 지날수록 더 깊이 읽히는 영화다.</t>
  </si>
  <si>
    <t>감독: Kim Seong-je
주연: 송중기, 이희준, 권해효</t>
  </si>
  <si>
    <t>한국 특유의 정서가 켜켜이 쌓인 듯, 2024년의 시선으로 담아낸 범죄의 이야기. 어둠 속에서도 인간은 스스로를 정당화하려 한다. 죄란 사회가 만든 경계를 넘는 행위이자 그 경계에 대한 질문이다. 한 번쯤 들여다볼 가치가 있는 이야기다.</t>
  </si>
  <si>
    <t>감독: Gregory Nava
주연: 제니퍼 로페즈, 마틴 쉰, 안토니오 반데라스</t>
  </si>
  <si>
    <t>할리우드적 스펙터클 너머, 2007년의 시선으로 담아낸 드라마의 이야기. 인간의 고통이란 결국 타인과의 거리에서 비롯된다. 우리는 각자의 서사 안에 갇혀 서로를 오해한다. 한 번쯤 들여다볼 가치가 있는 이야기다.</t>
  </si>
  <si>
    <t>할리우드적 스펙터클 너머, 1992년의 시선으로 담아낸 로맨스의 이야기. 설렘은 불완전한 존재가 완전함을 향해 뻗는 손길이다. 두 사람 사이의 침묵은 때로 말보다 더 많은 것을 말한다. 아쉬움이 남지만, 모든 시도는 의미를 갖는다.</t>
  </si>
  <si>
    <t>감독: Jed Mercurio
주연: 리차드 매든, 킬리 호스, Sophie Rundle</t>
  </si>
  <si>
    <t>드라마 형식 속에서, 영국적 절제와 냉소 사이에서, 2018년의 시선으로 담아낸 드라마의 이야기. 인간의 고통이란 결국 타인과의 거리에서 비롯된다. 삶은 언제나 해석을 기다리는 텍스트다. 이 작품이 남기는 이미지는 어떤 방식으로든 기억에 새겨진다.</t>
  </si>
  <si>
    <t>감독: 에릭 오버마이어
주연: 타이터스 웰리버, 제이미 헥터, 아미 아퀴노</t>
  </si>
  <si>
    <t>드라마 형식 속에서, 할리우드적 스펙터클 너머, 2014년의 시선으로 담아낸 드라마의 이야기. 모든 이야기는 상처의 다른 이름이다. 인간의 고통이란 결국 타인과의 거리에서 비롯된다. 이 작품이 남기는 이미지는 어떤 방식으로든 기억에 새겨진다.</t>
  </si>
  <si>
    <t>감독: Matt Ruskin
주연: 키이라 나이틀리, 캐리 쿤, 크리스 쿠퍼</t>
  </si>
  <si>
    <t>할리우드적 스펙터클 너머, 2023년의 시선으로 담아낸 범죄의 이야기. 욕망은 언제나 질서보다 먼저 존재했다. 법과 도덕 사이의 틈새에서 인간의 본성이 노출된다. 한 번쯤 들여다볼 가치가 있는 이야기다.</t>
  </si>
  <si>
    <t>감독: 조엘 에저튼
주연: 루카스 헤지스, 니콜 키드먼, 러셀 크로우</t>
  </si>
  <si>
    <t>할리우드적 스펙터클 너머, 2018년의 시선으로 담아낸 드라마의 이야기. 우리는 각자의 서사 안에 갇혀 서로를 오해한다. 인간의 고통이란 결국 타인과의 거리에서 비롯된다. 나름의 울림을 간직한 작품이다.</t>
  </si>
  <si>
    <t>감독: Ma Jin-won
주연: 이하나, 송승헌, 손은서</t>
  </si>
  <si>
    <t>드라마 형식 속에서, 한국 특유의 정서가 켜켜이 쌓인 듯, 2017년의 시선으로 담아낸 스릴러의 이야기. 공포는 우리가 통제할 수 없는 것들에 대한 솔직한 고백이다. 긴장은 존재가 위협받을 때 가장 선명하게 빛난다. 평점이 담지 못하는 무언가가 이 영화에는 있다.</t>
  </si>
  <si>
    <t>감독: Kim Gok, Kim Sun
주연: 변요한, 김무열, 김희원</t>
  </si>
  <si>
    <t>한국 특유의 정서가 켜켜이 쌓인 듯, 2021년의 시선으로 담아낸 스릴러의 이야기. 공포는 우리가 통제할 수 없는 것들에 대한 솔직한 고백이다. 불안이란 현실이 균열을 드러내는 순간에 스며든다. 흠이 있지만 진심이 담긴 시도였다.</t>
  </si>
  <si>
    <t>감독: 닐 버거
주연: 타이 셰리던, 릴리로즈 뎁, 핀 화이트헤드</t>
  </si>
  <si>
    <t>할리우드적 스펙터클 너머, 2021년의 시선으로 담아낸 SF의 이야기. 미래를 상상하는 것은 현재를 비판하는 가장 우회적인 방법이다. 타자와의 만남은 언제나 자아의 재발견으로 이어진다. 한 번쯤 들여다볼 가치가 있는 이야기다.</t>
  </si>
  <si>
    <t>감독: Todor Chapkanov
주연: 스콧 애드킨스, Teodora Duhovnikova, Alon Aboutboul</t>
  </si>
  <si>
    <t>할리우드적 스펙터클 너머, 2016년의 시선으로 담아낸 액션의 이야기. 폭력의 언어 속에서도 인간은 존엄을 갈망한다. 생존의 욕망은 가장 원초적인 철학적 질문을 던진다. 나름의 울림을 간직한 작품이다.</t>
  </si>
  <si>
    <t>감독: 리처드 링클레이터
주연: Ellar Coltrane, 패트리샤 아퀘트, 에단 호크</t>
  </si>
  <si>
    <t>할리우드적 스펙터클 너머, 2014년의 시선으로 담아낸 드라마의 이야기. 우리는 각자의 서사 안에 갇혀 서로를 오해한다. 인간의 고통이란 결국 타인과의 거리에서 비롯된다. 이 작품이 남기는 질문은 쉽게 사라지지 않는다.</t>
  </si>
  <si>
    <t>감독: Kim Bong-han
주연: 손현주, 장혁, 라미란</t>
  </si>
  <si>
    <t>감독: 허진호
주연: 설경구, 장동건, 김희애</t>
  </si>
  <si>
    <t>한국 특유의 정서가 켜켜이 쌓인 듯, 2024년의 시선으로 담아낸 드라마의 이야기. 삶은 언제나 해석을 기다리는 텍스트다. 인간의 고통이란 결국 타인과의 거리에서 비롯된다. 시간이 지날수록 더 깊이 읽히는 영화다.</t>
  </si>
  <si>
    <t>감독: 브라이언 싱어
주연: 라미 말렉, Gwilym Lee, 벤 하디</t>
  </si>
  <si>
    <t>영국적 절제와 냉소 사이에서, 2018년의 시선으로 담아낸 드라마의 이야기. 모든 이야기는 상처의 다른 이름이다. 삶은 언제나 해석을 기다리는 텍스트다. 시간이 지날수록 더 깊이 읽히는 영화다.</t>
  </si>
  <si>
    <t>감독: Hadas Rosen</t>
  </si>
  <si>
    <t>섬세한 일본적 감수성으로, 2021년의 시선으로 담아낸 드라마의 이야기. 우리는 각자의 서사 안에 갇혀 서로를 오해한다. 삶은 언제나 해석을 기다리는 텍스트다. 흠이 있지만 진심이 담긴 시도였다.</t>
  </si>
  <si>
    <t>감독: 정우성
주연: 정우성, 김남길, 김준한</t>
  </si>
  <si>
    <t>한국 특유의 정서가 켜켜이 쌓인 듯, 2023년의 시선으로 담아낸 액션의 이야기. 폭력의 언어 속에서도 인간은 존엄을 갈망한다. 충돌은 세계가 변화를 요구하는 방식이다. 완성도와 별개로, 이 작품이 던지려 한 질문은 유효하다.</t>
  </si>
  <si>
    <t>감독: 이마무라 쇼헤이
주연: 오가타 켄, 小川眞由美, 倍賞美津子</t>
  </si>
  <si>
    <t>섬세한 일본적 감수성으로, 1979년의 시선으로 담아낸 범죄의 이야기. 어둠 속에서도 인간은 스스로를 정당화하려 한다. 욕망은 언제나 질서보다 먼저 존재했다. 두고두고 다시 꺼내 볼 만한 작품이다.</t>
  </si>
  <si>
    <t>감독: 가렛 에반스
주연: 댄 스티븐스, 마이클 쉰, 루시 보인턴</t>
  </si>
  <si>
    <t>영국적 절제와 냉소 사이에서, 2018년의 시선으로 담아낸 공포의 이야기. 어둠은 우리 내면의 억압된 것들이 귀환하는 문이다. 우리가 두려워하는 것은 대개 우리 자신의 그림자다. 평점이 담지 못하는 무언가가 이 영화에는 있다.</t>
  </si>
  <si>
    <t>감독: 폴 그린그래스
주연: 맷 데이먼, 프란카 포텐테, 브라이언 콕스</t>
  </si>
  <si>
    <t>할리우드적 스펙터클 너머, 2004년의 시선으로 담아낸 액션의 이야기. 생존의 욕망은 가장 원초적인 철학적 질문을 던진다. 폭력의 언어 속에서도 인간은 존엄을 갈망한다. 시간이 지날수록 더 깊이 읽히는 영화다.</t>
  </si>
  <si>
    <t>감독: Robert Budreau
주연: 에단 호크, 카먼 이조고, Callum Keith Rennie</t>
  </si>
  <si>
    <t>2015년의 시선으로 담아낸 드라마 이야기가 우리에게 묻는다. 인간의 고통이란 결국 타인과의 거리에서 비롯된다. 삶은 언제나 해석을 기다리는 텍스트다. 두고두고 다시 꺼내 볼 만한 작품이다.</t>
  </si>
  <si>
    <t>감독: 믹 잭슨
주연: 토미 리 존스, Anne Heche, 개비 호프만</t>
  </si>
  <si>
    <t>할리우드적 스펙터클 너머, 1997년의 시선으로 담아낸 액션의 이야기. 육체의 한계에 도전하는 것은 곧 자아의 경계를 시험하는 일이다. 생존의 욕망은 가장 원초적인 철학적 질문을 던진다. 오랫동안 여운이 남는 작품이다.</t>
  </si>
  <si>
    <t>감독: 이돈구
주연: 손현주, 박혁권, 손숙</t>
  </si>
  <si>
    <t>한국 특유의 정서가 켜켜이 쌓인 듯, 2022년의 시선으로 담아낸 드라마의 이야기. 삶은 언제나 해석을 기다리는 텍스트다. 우리는 각자의 서사 안에 갇혀 서로를 오해한다. 완벽하지 않아도, 그 불완전함이 오히려 인간적이다.</t>
  </si>
  <si>
    <t>감독: 허진호
주연: 유지태, 이영애, Baek Seong-hee</t>
  </si>
  <si>
    <t>한국 특유의 정서가 켜켜이 쌓인 듯, 2001년의 시선으로 담아낸 드라마의 이야기. 인간의 고통이란 결국 타인과의 거리에서 비롯된다. 삶은 언제나 해석을 기다리는 텍스트다. 이 작품이 남기는 질문은 쉽게 사라지지 않는다.</t>
  </si>
  <si>
    <t>감독: 木村大作
주연: 마츠야마 켄이치, 아오이 유우, 이케마츠 소스케</t>
  </si>
  <si>
    <t>섬세한 일본적 감수성으로, 2014년의 시선으로 담아낸 드라마의 이야기. 삶은 언제나 해석을 기다리는 텍스트다. 우리는 각자의 서사 안에 갇혀 서로를 오해한다. 흠이 있지만 진심이 담긴 시도였다.</t>
  </si>
  <si>
    <t>감독: 원신연
주연: 류준열, 유해진, 조우진</t>
  </si>
  <si>
    <t>한국 특유의 정서가 켜켜이 쌓인 듯, 2019년의 시선으로 담아낸 전쟁의 이야기. 전쟁은 인간의 이성이 멈추는 지점에서 시작된다. 폐허 속에서도 존엄을 지키려는 의지가 역사를 만든다. 오랫동안 여운이 남는 작품이다.</t>
  </si>
  <si>
    <t>감독: Park Dae-min
주연: 유승호, 조재현, 고창석</t>
  </si>
  <si>
    <t>한국 특유의 정서가 켜켜이 쌓인 듯, 2016년의 시선으로 담아낸 코미디의 이야기. 유머 속에는 세계의 부조리를 견뎌내는 지혜가 담겨 있다. 가볍게 웃는 순간에도 삶의 무게는 그 그림자를 드리운다. 이 작품이 남기는 질문은 쉽게 사라지지 않는다.</t>
  </si>
  <si>
    <t>감독: Jang Yoo-jung
주연: 마동석, 이동휘, 이하늬</t>
  </si>
  <si>
    <t>한국 특유의 정서가 켜켜이 쌓인 듯, 2017년의 시선으로 담아낸 코미디의 이야기. 우스운 것과 슬픈 것은 본래 같은 뿌리에서 자란다. 유머 속에는 세계의 부조리를 견뎌내는 지혜가 담겨 있다. 나름의 울림을 간직한 작품이다.</t>
  </si>
  <si>
    <t>감독: 정지영
주연: 안성기, 박원상, 나영희</t>
  </si>
  <si>
    <t>한국 특유의 정서가 켜켜이 쌓인 듯, 2011년의 시선으로 담아낸 드라마의 이야기. 우리는 각자의 서사 안에 갇혀 서로를 오해한다. 인간의 고통이란 결국 타인과의 거리에서 비롯된다. 이 작품이 남기는 질문은 쉽게 사라지지 않는다.</t>
  </si>
  <si>
    <t>감독: 제이슨 베이트먼
주연: 제이슨 베이트먼, 니콜 키드먼, 크리스토퍼 워컨</t>
  </si>
  <si>
    <t>할리우드적 스펙터클 너머, 2016년의 시선으로 담아낸 드라마의 이야기. 우리는 각자의 서사 안에 갇혀 서로를 오해한다. 삶은 언제나 해석을 기다리는 텍스트다. 한 번쯤 들여다볼 가치가 있는 이야기다.</t>
  </si>
  <si>
    <t>감독: 연상호
주연: 공유, 김수안, 정유미</t>
  </si>
  <si>
    <t>한국 특유의 정서가 켜켜이 쌓인 듯, 2016년의 시선으로 담아낸 액션의 이야기. 폭력의 언어 속에서도 인간은 존엄을 갈망한다. 생존의 욕망은 가장 원초적인 철학적 질문을 던진다. 두고두고 다시 꺼내 볼 만한 작품이다.</t>
  </si>
  <si>
    <t>감독: 빔 벤더스
주연: Compay Segundo, Eliades Ochoa, Ry Cooder</t>
  </si>
  <si>
    <t>독일 특유의 사유의 무게를 지니며, 1999년의 시선으로 담아낸 다큐의 이야기. 현실은 어떤 허구보다 더 충격적인 서사를 품고 있다. 세계를 있는 그대로 바라보는 것이 가장 용기 있는 행위다. 두고두고 다시 꺼내 볼 만한 작품이다.</t>
  </si>
  <si>
    <t>감독: 猪股隆一
주연: 아야세 하루카, 히로스에 료코, 혼다 츠바사</t>
  </si>
  <si>
    <t>드라마 형식 속에서, 섬세한 일본적 감수성으로, 2017년의 시선으로 담아낸 드라마의 이야기. 삶은 언제나 해석을 기다리는 텍스트다. 모든 이야기는 상처의 다른 이름이다. 이 작품이 남기는 이미지는 어떤 방식으로든 기억에 새겨진다.</t>
  </si>
  <si>
    <t>감독: Ken Jacobs</t>
  </si>
  <si>
    <t>광활한 대지의 이야기를 담아, 2011년의 시선으로 담아낸 드라마의 이야기. 모든 이야기는 상처의 다른 이름이다. 인간의 고통이란 결국 타인과의 거리에서 비롯된다. 이 작품이 남기는 질문은 쉽게 사라지지 않는다.</t>
  </si>
  <si>
    <t>감독: 폴 피그
주연: 안나 켄드릭, 블레이크 라이블리, 헨리 골딩</t>
  </si>
  <si>
    <t>할리우드적 스펙터클 너머, 2018년의 시선으로 담아낸 범죄의 이야기. 죄란 사회가 만든 경계를 넘는 행위이자 그 경계에 대한 질문이다. 욕망은 언제나 질서보다 먼저 존재했다. 오랫동안 여운이 남는 작품이다.</t>
  </si>
  <si>
    <t>감독: 데니스 간젤
주연: 제이슨 스타뎀, 제시카 알바, 토미 리 존스</t>
  </si>
  <si>
    <t>할리우드적 스펙터클 너머, 2016년의 시선으로 담아낸 드라마의 이야기. 인간의 고통이란 결국 타인과의 거리에서 비롯된다. 우리는 각자의 서사 안에 갇혀 서로를 오해한다. 이 작품이 남기는 질문은 쉽게 사라지지 않는다.</t>
  </si>
  <si>
    <t>감독: Analeine Cal y Mayor
주연: 샘 클라플린, 베로니카 에체기, Antonia Clarke</t>
  </si>
  <si>
    <t>멕시코</t>
  </si>
  <si>
    <t>2022년의 시선으로 담아낸 코미디 이야기가 우리에게 묻는다. 가볍게 웃는 순간에도 삶의 무게는 그 그림자를 드리운다. 웃음은 고통을 소화하는 인간만의 방식이다. 두고두고 다시 꺼내 볼 만한 작품이다.</t>
  </si>
  <si>
    <t>감독: 강동원, 장영우
주연: 전지현, 강동원, 이미숙</t>
  </si>
  <si>
    <t>드라마 형식 속에서, 한국 특유의 정서가 켜켜이 쌓인 듯, 2025년의 시선으로 담아낸 드라마의 이야기. 삶은 언제나 해석을 기다리는 텍스트다. 우리는 각자의 서사 안에 갇혀 서로를 오해한다. 이 작품이 남기는 이미지는 어떤 방식으로든 기억에 새겨진다.</t>
  </si>
  <si>
    <t>감독: 유키사다 이사오
주연: 와타나베 켄, 요시나가 사유리, 토요카와 에츠시</t>
  </si>
  <si>
    <t>170분</t>
  </si>
  <si>
    <t>섬세한 일본적 감수성으로, 2004년의 시선으로 담아낸 드라마의 이야기. 모든 이야기는 상처의 다른 이름이다. 인간의 고통이란 결국 타인과의 거리에서 비롯된다. 흠이 있지만 진심이 담긴 시도였다.</t>
  </si>
  <si>
    <t>감독: 사카모토 준지
주연: 요시나가 사유리, 柴田恭兵, 나카무라 토오루</t>
  </si>
  <si>
    <t>섬세한 일본적 감수성으로, 2012년의 시선으로 담아낸 드라마의 이야기. 삶은 언제나 해석을 기다리는 텍스트다. 인간의 고통이란 결국 타인과의 거리에서 비롯된다. 이 작품이 남기는 이미지는 어떤 방식으로든 기억에 새겨진다.</t>
  </si>
  <si>
    <t>감독: Guy-Marc Hinant, Dominique Lohlé</t>
  </si>
  <si>
    <t>섬세한 일본적 감수성으로, 2017년의 시선으로 담아낸 스릴러의 이야기. 긴장은 존재가 위협받을 때 가장 선명하게 빛난다. 공포는 우리가 통제할 수 없는 것들에 대한 솔직한 고백이다. 두고두고 다시 꺼내 볼 만한 작품이다.</t>
  </si>
  <si>
    <t>감독: 론 하워드
주연: 커트 러셀, 윌리엄 볼드윈, 로버트 드 니로</t>
  </si>
  <si>
    <t>할리우드적 스펙터클 너머, 1991년의 시선으로 담아낸 드라마의 이야기. 인간의 고통이란 결국 타인과의 거리에서 비롯된다. 우리는 각자의 서사 안에 갇혀 서로를 오해한다. 시간이 지날수록 더 깊이 읽히는 영화다.</t>
  </si>
  <si>
    <t>감독: Gonzalo López-Gallego
주연: Joe Anderson, Alisha Bailey, Jessamine-Bliss Bell</t>
  </si>
  <si>
    <t>감독: 저스틴 린
주연: 빈 디젤, 폴 워커, 드웨인 존슨</t>
  </si>
  <si>
    <t>할리우드적 스펙터클 너머, 2013년의 시선으로 담아낸 액션의 이야기. 충돌은 세계가 변화를 요구하는 방식이다. 육체의 한계에 도전하는 것은 곧 자아의 경계를 시험하는 일이다. 오랫동안 여운이 남는 작품이다.</t>
  </si>
  <si>
    <t>감독: 제임스 완
주연: 빈 디젤, 폴 워커, 드웨인 존슨</t>
  </si>
  <si>
    <t>할리우드적 스펙터클 너머, 2015년의 시선으로 담아낸 액션의 이야기. 폭력의 언어 속에서도 인간은 존엄을 갈망한다. 충돌은 세계가 변화를 요구하는 방식이다. 오랫동안 여운이 남는 작품이다.</t>
  </si>
  <si>
    <t>감독: F. 게리 게리
주연: 빈 디젤, 제이슨 스타뎀, 드웨인 존슨</t>
  </si>
  <si>
    <t>할리우드적 스펙터클 너머, 2017년의 시선으로 담아낸 액션의 이야기. 생존의 욕망은 가장 원초적인 철학적 질문을 던진다. 육체의 한계에 도전하는 것은 곧 자아의 경계를 시험하는 일이다. 한 번쯤 들여다볼 가치가 있는 이야기다.</t>
  </si>
  <si>
    <t>감독: 저스틴 린
주연: 빈 디젤, 미셸 로드리게즈, 타이리스 깁슨</t>
  </si>
  <si>
    <t>할리우드적 스펙터클 너머, 2021년의 시선으로 담아낸 액션의 이야기. 폭력의 언어 속에서도 인간은 존엄을 갈망한다. 충돌은 세계가 변화를 요구하는 방식이다. 오랫동안 여운이 남는 작품이다.</t>
  </si>
  <si>
    <t>감독: 데이비드 레이치
주연: 드웨인 존슨, 제이슨 스타뎀, 이드리스 엘바</t>
  </si>
  <si>
    <t>할리우드적 스펙터클 너머, 2019년의 시선으로 담아낸 액션의 이야기. 충돌은 세계가 변화를 요구하는 방식이다. 폭력의 언어 속에서도 인간은 존엄을 갈망한다. 완벽하지 않아도, 그 불완전함이 오히려 인간적이다.</t>
  </si>
  <si>
    <t>할리우드적 스펙터클 너머, 2022년의 시선으로 담아낸 액션의 이야기. 충돌은 세계가 변화를 요구하는 방식이다. 육체의 한계에 도전하는 것은 곧 자아의 경계를 시험하는 일이다. 아쉬움이 남지만, 모든 시도는 의미를 갖는다.</t>
  </si>
  <si>
    <t>감독: 白石晃士
주연: 마츠자카 토리, 사와지리 에리카, 맛켄유</t>
  </si>
  <si>
    <t>섬세한 일본적 감수성으로, 2018년의 시선으로 담아낸 미스터리의 이야기. 수수께끼는 세계가 우리에게 던지는 철학적 도발이다. 감춰진 것들이 드러나는 순간, 세계는 다르게 보이기 시작한다. 흠이 있지만 진심이 담긴 시도였다.</t>
  </si>
  <si>
    <t>감독: Bernhard Baran
주연: Mike Portnoy, Neal Morse, Steve Morse</t>
  </si>
  <si>
    <t>섬세한 일본적 감수성으로, 2015년의 시선으로 담아낸 드라마의 이야기. 우리는 각자의 서사 안에 갇혀 서로를 오해한다. 모든 이야기는 상처의 다른 이름이다. 이 작품이 남기는 질문은 쉽게 사라지지 않는다.</t>
  </si>
  <si>
    <t>감독: 前田司郎
주연: 코이즈미 쿄코, 니카이도 후미, 고라 겐고</t>
  </si>
  <si>
    <t>섬세한 일본적 감수성으로, 2016년의 시선으로 담아낸 드라마의 이야기. 삶은 언제나 해석을 기다리는 텍스트다. 우리는 각자의 서사 안에 갇혀 서로를 오해한다. 평점이 담지 못하는 무언가가 이 영화에는 있다.</t>
  </si>
  <si>
    <t>감독: 장이머우
주연: 공리, 강문, 滕汝骏</t>
  </si>
  <si>
    <t>광활한 대지의 이야기를 담아, 1987년의 시선으로 담아낸 드라마의 이야기. 모든 이야기는 상처의 다른 이름이다. 우리는 각자의 서사 안에 갇혀 서로를 오해한다. 오랫동안 여운이 남는 작품이다.</t>
  </si>
  <si>
    <t>감독: Matt Kane
주연: 리처드 카인드, Christen Harper, Susan Blackwell</t>
  </si>
  <si>
    <t>할리우드적 스펙터클 너머, 2019년의 시선으로 담아낸 드라마의 이야기. 삶은 언제나 해석을 기다리는 텍스트다. 모든 이야기는 상처의 다른 이름이다. 한 번쯤 들여다볼 가치가 있는 이야기다.</t>
  </si>
  <si>
    <t>감독: 윤재호
주연: 이나영, 장동윤, 오광록</t>
  </si>
  <si>
    <t>한국 특유의 정서가 켜켜이 쌓인 듯, 2018년의 시선으로 담아낸 드라마의 이야기. 삶은 언제나 해석을 기다리는 텍스트다. 인간의 고통이란 결국 타인과의 거리에서 비롯된다. 두고두고 다시 꺼내 볼 만한 작품이다.</t>
  </si>
  <si>
    <t>감독: Philippe Falardeau
주연: 리즈 위더스푼, 코리 스톨, Arnold Oceng</t>
  </si>
  <si>
    <t>할리우드적 스펙터클 너머, 2015년의 시선으로 담아낸 드라마의 이야기. 우리는 각자의 서사 안에 갇혀 서로를 오해한다. 인간의 고통이란 결국 타인과의 거리에서 비롯된다. 오랫동안 여운이 남는 작품이다.</t>
  </si>
  <si>
    <t>감독: Andrew Renzi
주연: 리처드 기어, 다코타 패닝, 테오 제임스</t>
  </si>
  <si>
    <t>할리우드적 스펙터클 너머, 2016년의 시선으로 담아낸 드라마의 이야기. 삶은 언제나 해석을 기다리는 텍스트다. 우리는 각자의 서사 안에 갇혀 서로를 오해한다. 흠이 있지만 진심이 담긴 시도였다.</t>
  </si>
  <si>
    <t>감독: 기타노 다케시
주연: 기타노 다케시, 오마 엡스, 真木蔵人</t>
  </si>
  <si>
    <t>섬세한 일본적 감수성으로, 2000년의 시선으로 담아낸 드라마의 이야기. 인간의 고통이란 결국 타인과의 거리에서 비롯된다. 모든 이야기는 상처의 다른 이름이다. 완성도와 별개로, 이 작품이 던지려 한 질문은 유효하다.</t>
  </si>
  <si>
    <t>감독: 짐 셰리던
주연: 토비 맥과이어, 제이크 질렌할, 나탈리 포트만</t>
  </si>
  <si>
    <t>할리우드적 스펙터클 너머, 2009년의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</si>
  <si>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Алексей Нужный
주연: Константин Хабенский, Андрей Смоляков, Ирина Горбачёва</t>
  </si>
  <si>
    <t>할리우드적 스펙터클 너머, 2021년의 시선으로 담아낸 액션의 이야기. 폭력의 언어 속에서도 인간은 존엄을 갈망한다. 생존의 욕망은 가장 원초적인 철학적 질문을 던진다. 완벽하지 않아도, 그 불완전함이 오히려 인간적이다.</t>
  </si>
  <si>
    <t>감독: 닐 조던
주연: 조디 포스터, 테렌스 하워드, Nicky Katt</t>
  </si>
  <si>
    <t>할리우드적 스펙터클 너머, 2007년의 시선으로 담아낸 스릴러의 이야기. 진실은 언제나 우리가 감당할 수 없는 형태로 찾아온다. 공포는 우리가 통제할 수 없는 것들에 대한 솔직한 고백이다. 한 번쯤 들여다볼 가치가 있는 이야기다.</t>
  </si>
  <si>
    <t>감독: 멜 깁슨
주연: 멜 깁슨, 캐서린 맥코맥, 소피 마르소</t>
  </si>
  <si>
    <t>177분</t>
  </si>
  <si>
    <t>할리우드적 스펙터클 너머, 1995년의 시선으로 담아낸 드라마의 이야기. 삶은 언제나 해석을 기다리는 텍스트다. 우리는 각자의 서사 안에 갇혀 서로를 오해한다. 두고두고 다시 꺼내 볼 만한 작품이다.</t>
  </si>
  <si>
    <t>감독: Lin Oeding
주연: 제이슨 모모아, 스티븐 랭, 가렛 딜라헌트</t>
  </si>
  <si>
    <t>2018년의 시선으로 담아낸 액션 이야기가 우리에게 묻는다. 폭력의 언어 속에서도 인간은 존엄을 갈망한다. 육체의 한계에 도전하는 것은 곧 자아의 경계를 시험하는 일이다. 시간이 지날수록 더 깊이 읽히는 영화다.</t>
  </si>
  <si>
    <t>감독: Monika Mitchell
주연: Alyssa Milano, Sam Page, Malachi Weir</t>
  </si>
  <si>
    <t>감독: 조나단 모스토우
주연: 커트 러셀, J.T. 월쉬, 캐슬린 퀸란</t>
  </si>
  <si>
    <t>할리우드적 스펙터클 너머, 1997년의 시선으로 담아낸 스릴러의 이야기. 공포는 우리가 통제할 수 없는 것들에 대한 솔직한 고백이다. 긴장은 존재가 위협받을 때 가장 선명하게 빛난다. 두고두고 다시 꺼내 볼 만한 작품이다.</t>
  </si>
  <si>
    <t>감독: 록샌 도슨
주연: Chrissy Metz, 조시 루커스, 토퍼 그레이스</t>
  </si>
  <si>
    <t>할리우드적 스펙터클 너머, 2019년의 시선으로 담아낸 드라마의 이야기. 모든 이야기는 상처의 다른 이름이다. 우리는 각자의 서사 안에 갇혀 서로를 오해한다. 평점이 담지 못하는 무언가가 이 영화에는 있다.</t>
  </si>
  <si>
    <t>감독: 빈스 길리건
주연: 브라이언 크랜스턴, 아론 폴, 애나 건</t>
  </si>
  <si>
    <t>드라마 형식 속에서, 할리우드적 스펙터클 너머, 2008년의 시선으로 담아낸 드라마의 이야기. 인간의 고통이란 결국 타인과의 거리에서 비롯된다. 모든 이야기는 상처의 다른 이름이다. 평점이 담지 못하는 무언가가 이 영화에는 있다.</t>
  </si>
  <si>
    <t>드라마 형식 속에서, 할리우드적 스펙터클 너머, 2009년의 시선으로 담아낸 드라마의 이야기. 우리는 각자의 서사 안에 갇혀 서로를 오해한다. 삶은 언제나 해석을 기다리는 텍스트다. 평점이 담지 못하는 무언가가 이 영화에는 있다.</t>
  </si>
  <si>
    <t>드라마 형식 속에서, 할리우드적 스펙터클 너머, 2010년의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</si>
  <si>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2011년의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</si>
  <si>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2012년의 시선으로 담아낸 드라마의 이야기. 모든 이야기는 상처의 다른 이름이다. 우리는 각자의 서사 안에 갇혀 서로를 오해한다. 평점이 담지 못하는 무언가가 이 영화에는 있다.</t>
  </si>
  <si>
    <t>감독: 안소니 밍겔라
주연: 주드 로, 쥘리에트 비노쉬, 베라 파미가</t>
  </si>
  <si>
    <t>영국적 절제와 냉소 사이에서, 2006년의 시선으로 담아낸 드라마의 이야기. 모든 이야기는 상처의 다른 이름이다. 우리는 각자의 서사 안에 갇혀 서로를 오해한다. 이 작품이 남기는 이미지는 어떤 방식으로든 기억에 새겨진다.</t>
  </si>
  <si>
    <t>감독: Toby Haynes
주연: 베네딕트 컴버배치, 로리 키니어, John Heffernan</t>
  </si>
  <si>
    <t>영국적 절제와 냉소 사이에서, 2019년의 시선으로 담아낸 드라마의 이야기. 인간의 고통이란 결국 타인과의 거리에서 비롯된다. 우리는 각자의 서사 안에 갇혀 서로를 오해한다. 흠이 있지만 진심이 담긴 시도였다.</t>
  </si>
  <si>
    <t>감독: 고레에다 히로카즈
주연: 송강호, 강동원, 배두나</t>
  </si>
  <si>
    <t>한국 특유의 정서가 켜켜이 쌓인 듯, 2022년의 시선으로 담아낸 드라마의 이야기. 우리는 각자의 서사 안에 갇혀 서로를 오해한다. 모든 이야기는 상처의 다른 이름이다. 한 번쯤 들여다볼 가치가 있는 이야기다.</t>
  </si>
  <si>
    <t>감독: Ashmy Johnson
주연: Taraash Mehrotra, Kamaljeet Sembhi, Anurag Mehra</t>
  </si>
  <si>
    <t>할리우드적 스펙터클 너머, 2025년의 시선으로 담아낸 스릴러의 이야기. 불안이란 현실이 균열을 드러내는 순간에 스며든다. 긴장은 존재가 위협받을 때 가장 선명하게 빛난다. 거칠지만 그 안에서도 인간의 흔적은 남는다.</t>
  </si>
  <si>
    <t>감독: 짐 자무쉬
주연: 빌 머레이, 샤론 스톤, 제시카 랭</t>
  </si>
  <si>
    <t>할리우드적 스펙터클 너머, 2005년의 시선으로 담아낸 코미디의 이야기. 유머 속에는 세계의 부조리를 견뎌내는 지혜가 담겨 있다. 가볍게 웃는 순간에도 삶의 무게는 그 그림자를 드리운다. 흠이 있지만 진심이 담긴 시도였다.</t>
  </si>
  <si>
    <t>감독: Tom Shadyac
주연: 짐 캐리, 모건 프리먼, 제니퍼 애니스턴</t>
  </si>
  <si>
    <t>할리우드적 스펙터클 너머, 2003년의 시선으로 담아낸 코미디의 이야기. 우스운 것과 슬픈 것은 본래 같은 뿌리에서 자란다. 가볍게 웃는 순간에도 삶의 무게는 그 그림자를 드리운다. 시간이 지날수록 더 깊이 읽히는 영화다.</t>
  </si>
  <si>
    <t>감독: 존 크로울리
주연: 시얼샤 로넌, 도널 글리슨, 에모리 코헨</t>
  </si>
  <si>
    <t>2015년의 시선으로 담아낸 드라마 이야기가 우리에게 묻는다. 삶은 언제나 해석을 기다리는 텍스트다. 우리는 각자의 서사 안에 갇혀 서로를 오해한다. 이 작품이 남기는 질문은 쉽게 사라지지 않는다.</t>
  </si>
  <si>
    <t>감독: Richard Loncraine
주연: 모건 프리먼, 다이앤 키튼, 캐리 프레스턴</t>
  </si>
  <si>
    <t>할리우드적 스펙터클 너머, 2014년의 시선으로 담아낸 코미디의 이야기. 유머 속에는 세계의 부조리를 견뎌내는 지혜가 담겨 있다. 웃음은 고통을 소화하는 인간만의 방식이다. 두고두고 다시 꺼내 볼 만한 작품이다.</t>
  </si>
  <si>
    <t>감독: 안톤 후쿠아
주연: 리처드 기어, 돈 치들, 에단 호크</t>
  </si>
  <si>
    <t>할리우드적 스펙터클 너머, 2009년의 시선으로 담아낸 범죄의 이야기. 죄란 사회가 만든 경계를 넘는 행위이자 그 경계에 대한 질문이다. 욕망은 언제나 질서보다 먼저 존재했다. 한 번쯤 들여다볼 가치가 있는 이야기다.</t>
  </si>
  <si>
    <t>감독: Uli Edel
주연: 스티븐 랭, 제니퍼 제이슨 리, 버트 영</t>
  </si>
  <si>
    <t>할리우드적 스펙터클 너머, 1989년의 시선으로 담아낸 드라마의 이야기. 인간의 고통이란 결국 타인과의 거리에서 비롯된다. 삶은 언제나 해석을 기다리는 텍스트다. 오랫동안 여운이 남는 작품이다.</t>
  </si>
  <si>
    <t>감독: 샤론 머과이어
주연: 르네 젤위거, 콜린 퍼스, 패트릭 뎀시</t>
  </si>
  <si>
    <t>영국적 절제와 냉소 사이에서, 2016년의 시선으로 담아낸 코미디의 이야기. 우스운 것과 슬픈 것은 본래 같은 뿌리에서 자란다. 웃음은 고통을 소화하는 인간만의 방식이다. 두고두고 다시 꺼내 볼 만한 작품이다.</t>
  </si>
  <si>
    <t>감독: Billy Ray
주연: 크리스 쿠퍼, 라이언 필립, 로라 리니</t>
  </si>
  <si>
    <t>할리우드적 스펙터클 너머, 2007년의 시선으로 담아낸 스릴러의 이야기. 공포는 우리가 통제할 수 없는 것들에 대한 솔직한 고백이다. 진실은 언제나 우리가 감당할 수 없는 형태로 찾아온다. 나름의 울림을 간직한 작품이다.</t>
  </si>
  <si>
    <t>감독: 라이언 존슨
주연: 조셉 고든레빗, Nora Zehetner, Matt O'Leary</t>
  </si>
  <si>
    <t>할리우드적 스펙터클 너머, 2005년의 시선으로 담아낸 미스터리의 이야기. 감춰진 것들이 드러나는 순간, 세계는 다르게 보이기 시작한다. 알 수 없음 앞에서 인간은 비로소 겸손해진다. 아쉬움이 남지만, 모든 시도는 의미를 갖는다.</t>
  </si>
  <si>
    <t>감독: 제임스 맥테이그
주연: 나탈리 포트만, 휴고 위빙, 스티븐 레이</t>
  </si>
  <si>
    <t>할리우드적 스펙터클 너머, 2005년의 시선으로 담아낸 액션의 이야기. 폭력의 언어 속에서도 인간은 존엄을 갈망한다. 충돌은 세계가 변화를 요구하는 방식이다. 오랫동안 여운이 남는 작품이다.</t>
  </si>
  <si>
    <t>감독: Tamar van den Dop
주연: Joren Seldeslachts, 할리나 레인, Katelijne Verbeke</t>
  </si>
  <si>
    <t>드라마, 로맨스</t>
  </si>
  <si>
    <t>2007년의 시선으로 담아낸 드라마 이야기가 우리에게 묻는다. 우리는 각자의 서사 안에 갇혀 서로를 오해한다. 삶은 언제나 해석을 기다리는 텍스트다. 아쉬움이 남지만, 모든 시도는 의미를 갖는다.</t>
  </si>
  <si>
    <t>감독: Li Yang
주연: 黄璐, Yang Youan, Zhang Yuling</t>
  </si>
  <si>
    <t>광활한 대지의 이야기를 담아, 2007년의 시선으로 담아낸 드라마의 이야기. 모든 이야기는 상처의 다른 이름이다. 인간의 고통이란 결국 타인과의 거리에서 비롯된다. 두고두고 다시 꺼내 볼 만한 작품이다.</t>
  </si>
  <si>
    <t>감독: Xavier Palud
주연: Jacques Gamblin, 램버트 윌슨, Raphaëlle Agogué</t>
  </si>
  <si>
    <t>할리우드적 스펙터클 너머, 2012년의 시선으로 담아낸 드라마의 이야기. 모든 이야기는 상처의 다른 이름이다. 삶은 언제나 해석을 기다리는 텍스트다. 흠이 있지만 진심이 담긴 시도였다.</t>
  </si>
  <si>
    <t>감독: 존 리 행콕
주연: 산드라 블록, Tim McGraw, Quinton Aaron</t>
  </si>
  <si>
    <t>감독: Martin Gero
주연: 제이미 알렉산더, Sullivan Stapleton, Audrey Esparza</t>
  </si>
  <si>
    <t>드라마 형식 속에서, 할리우드적 스펙터클 너머, 2016년의 시선으로 담아낸 드라마의 이야기. 삶은 언제나 해석을 기다리는 텍스트다. 인간의 고통이란 결국 타인과의 거리에서 비롯된다. 평점이 담지 못하는 무언가가 이 영화에는 있다.</t>
  </si>
  <si>
    <t>드라마 형식 속에서, 할리우드적 스펙터클 너머, 2017년의 시선으로 담아낸 드라마의 이야기. 우리는 각자의 서사 안에 갇혀 서로를 오해한다. 삶은 언제나 해석을 기다리는 텍스트다. 이 작품이 남기는 이미지는 어떤 방식으로든 기억에 새겨진다.</t>
  </si>
  <si>
    <t>21화</t>
  </si>
  <si>
    <t>감독: 산제이 릴라 반살리
주연: Amitabh Bachchan, Rani Mukerji, Ayesha Kapoor</t>
  </si>
  <si>
    <t>할리우드적 스펙터클 너머, 2005년의 시선으로 담아낸 드라마의 이야기. 우리는 각자의 서사 안에 갇혀 서로를 오해한다. 삶은 언제나 해석을 기다리는 텍스트다. 시간이 지날수록 더 깊이 읽히는 영화다.</t>
  </si>
  <si>
    <t>감독: 장자크 아르노
주연: 마크 스트롱, 안토니오 반데라스, 프리다 핀토</t>
  </si>
  <si>
    <t>할리우드적 스펙터클 너머, 2011년의 시선으로 담아낸 드라마의 이야기. 우리는 각자의 서사 안에 갇혀 서로를 오해한다. 인간의 고통이란 결국 타인과의 거리에서 비롯된다. 완벽하지 않아도, 그 불완전함이 오히려 인간적이다.</t>
  </si>
  <si>
    <t>감독: Joe Barton
주연: 키이라 나이틀리, 벤 위쇼, 사라 랭커셔</t>
  </si>
  <si>
    <t>드라마 형식 속에서, 영국적 절제와 냉소 사이에서, 2024년의 시선으로 담아낸 드라마의 이야기. 삶은 언제나 해석을 기다리는 텍스트다. 우리는 각자의 서사 안에 갇혀 서로를 오해한다. 이 작품이 남기는 이미지는 어떤 방식으로든 기억에 새겨진다.</t>
  </si>
  <si>
    <t>감독: Scott Cooper
주연: 조니 뎁, 조엘 에저튼, 줄리앤 니콜슨</t>
  </si>
  <si>
    <t>할리우드적 스펙터클 너머, 2015년의 시선으로 담아낸 범죄의 이야기. 욕망은 언제나 질서보다 먼저 존재했다. 어둠 속에서도 인간은 스스로를 정당화하려 한다. 나름의 울림을 간직한 작품이다.</t>
  </si>
  <si>
    <t>감독: Charlie Brooker</t>
  </si>
  <si>
    <t>3화</t>
  </si>
  <si>
    <t>드라마 형식 속에서, 영국적 절제와 냉소 사이에서, 2011년의 시선으로 담아낸 드라마의 이야기. 모든 이야기는 상처의 다른 이름이다. 삶은 언제나 해석을 기다리는 텍스트다. 이 작품이 남기는 이미지는 어떤 방식으로든 기억에 새겨진다.</t>
  </si>
  <si>
    <t>드라마 형식 속에서, 영국적 절제와 냉소 사이에서, 2013년의 시선으로 담아낸 드라마의 이야기. 모든 이야기는 상처의 다른 이름이다. 인간의 고통이란 결국 타인과의 거리에서 비롯된다. 평점이 담지 못하는 무언가가 이 영화에는 있다.</t>
  </si>
  <si>
    <t>드라마 형식 속에서, 영국적 절제와 냉소 사이에서, 2017년의 시선으로 담아낸 드라마의 이야기. 인간의 고통이란 결국 타인과의 거리에서 비롯된다. 삶은 언제나 해석을 기다리는 텍스트다. 평점이 담지 못하는 무언가가 이 영화에는 있다.</t>
  </si>
  <si>
    <t>드라마 형식 속에서, 영국적 절제와 냉소 사이에서, 2019년의 시선으로 담아낸 드라마의 이야기. 모든 이야기는 상처의 다른 이름이다. 인간의 고통이란 결국 타인과의 거리에서 비롯된다. 이 작품이 남기는 이미지는 어떤 방식으로든 기억에 새겨진다.</t>
  </si>
  <si>
    <t>드라마 형식 속에서, 영국적 절제와 냉소 사이에서, 2023년의 시선으로 담아낸 드라마의 이야기. 모든 이야기는 상처의 다른 이름이다. 인간의 고통이란 결국 타인과의 거리에서 비롯된다. 이 작품이 남기는 이미지는 어떤 방식으로든 기억에 새겨진다.</t>
  </si>
  <si>
    <t>드라마 형식 속에서, 영국적 절제와 냉소 사이에서, 2025년의 시선으로 담아낸 드라마의 이야기. 인간의 고통이란 결국 타인과의 거리에서 비롯된다. 모든 이야기는 상처의 다른 이름이다. 이 작품이 남기는 이미지는 어떤 방식으로든 기억에 새겨진다.</t>
  </si>
  <si>
    <t>감독: 스티븐 소더버그
주연: 케이트 블란쳇, 마이클 패스벤더, 톰 버크</t>
  </si>
  <si>
    <t>할리우드적 스펙터클 너머, 2025년의 시선으로 담아낸 스릴러의 이야기. 공포는 우리가 통제할 수 없는 것들에 대한 솔직한 고백이다. 불안이란 현실이 균열을 드러내는 순간에 스며든다. 한 번쯤 들여다볼 가치가 있는 이야기다.</t>
  </si>
  <si>
    <t>감독: 데니스 러헤인
주연: 태런 에저턴, 폴 월터 하우저, Sepideh Moafi</t>
  </si>
  <si>
    <t>드라마 형식 속에서, 할리우드적 스펙터클 너머, 2022년의 시선으로 담아낸 드라마의 이야기. 우리는 각자의 서사 안에 갇혀 서로를 오해한다. 삶은 언제나 해석을 기다리는 텍스트다. 이 작품이 남기는 이미지는 어떤 방식으로든 기억에 새겨진다.</t>
  </si>
  <si>
    <t>감독: Ashley Avis
주연: 케이트 윈슬렛, 맥켄지 포이, 이언 글렌</t>
  </si>
  <si>
    <t>할리우드적 스펙터클 너머, 2020년의 시선으로 담아낸 드라마의 이야기. 인간의 고통이란 결국 타인과의 거리에서 비롯된다. 삶은 언제나 해석을 기다리는 텍스트다. 흠이 있지만 진심이 담긴 시도였다.</t>
  </si>
  <si>
    <t>감독: Sophia Banks
주연: 미셸 모나한, 제이슨 클라크, 제이 코트니</t>
  </si>
  <si>
    <t>할리우드적 스펙터클 너머, 2022년의 시선으로 담아낸 액션의 이야기. 육체의 한계에 도전하는 것은 곧 자아의 경계를 시험하는 일이다. 폭력의 언어 속에서도 인간은 존엄을 갈망한다. 거칠지만 그 안에서도 인간의 흔적은 남는다.</t>
  </si>
  <si>
    <t>감독: 대런 아로노프스키
주연: 나탈리 포트만, 밀라 쿠니스, 뱅상 카셀</t>
  </si>
  <si>
    <t>할리우드적 스펙터클 너머, 2010년의 시선으로 담아낸 드라마의 이야기. 삶은 언제나 해석을 기다리는 텍스트다. 우리는 각자의 서사 안에 갇혀 서로를 오해한다. 오랫동안 여운이 남는 작품이다.</t>
  </si>
  <si>
    <t>감독: 케빈 맥도널드
주연: 주드 로, Karl Davies, 조디 휘태커</t>
  </si>
  <si>
    <t>영국적 절제와 냉소 사이에서, 2014년의 시선으로 담아낸 스릴러의 이야기. 공포는 우리가 통제할 수 없는 것들에 대한 솔직한 고백이다. 진실은 언제나 우리가 감당할 수 없는 형태로 찾아온다. 평점이 담지 못하는 무언가가 이 영화에는 있다.</t>
  </si>
  <si>
    <t>감독: Pasha Patriki
주연: 장클로드 반담, 돌프 룬드그렌, Patrick Kilpatrick</t>
  </si>
  <si>
    <t>할리우드적 스펙터클 너머, 2018년의 시선으로 담아낸 액션의 이야기. 폭력의 언어 속에서도 인간은 존엄을 갈망한다. 충돌은 세계가 변화를 요구하는 방식이다. 아쉬움이 남지만, 모든 시도는 의미를 갖는다.</t>
  </si>
  <si>
    <t>감독: Andrew Traucki
주연: Jessica McNamee, Luke Mitchell, Amali Golden</t>
  </si>
  <si>
    <t>2020년의 시선으로 담아낸 공포 이야기가 우리에게 묻는다. 어둠은 우리 내면의 억압된 것들이 귀환하는 문이다. 공포란 이성이 침묵하는 순간 존재가 맞닥뜨리는 날것의 경험이다. 완성도와 별개로, 이 작품이 던지려 한 질문은 유효하다.</t>
  </si>
  <si>
    <t>감독: 케이트 쇼트랜드
주연: 스칼렛 요한슨, 플로렌스 퓨, 레이첼 와이즈</t>
  </si>
  <si>
    <t>할리우드적 스펙터클 너머, 2021년의 시선으로 담아낸 액션의 이야기. 충돌은 세계가 변화를 요구하는 방식이다. 생존의 욕망은 가장 원초적인 철학적 질문을 던진다. 한 번쯤 들여다볼 가치가 있는 이야기다.</t>
  </si>
  <si>
    <t>감독: Diederik Van Rooijen
주연: Monic Hendrickx, Niels Gomperts, Sigrid ten Napel</t>
  </si>
  <si>
    <t>할리우드적 스펙터클 너머, 2019년의 시선으로 담아낸 액션의 이야기. 육체의 한계에 도전하는 것은 곧 자아의 경계를 시험하는 일이다. 폭력의 언어 속에서도 인간은 존엄을 갈망한다. 나름의 울림을 간직한 작품이다.</t>
  </si>
  <si>
    <t>감독: Adam Berg
주연: 누미 라파스, Jakob Oftebro, Dar Salim</t>
  </si>
  <si>
    <t>2022년의 시선으로 담아낸 액션 이야기가 우리에게 묻는다. 폭력의 언어 속에서도 인간은 존엄을 갈망한다. 생존의 욕망은 가장 원초적인 철학적 질문을 던진다. 거칠지만 그 안에서도 인간의 흔적은 남는다.</t>
  </si>
  <si>
    <t>감독: 리들리 스콧
주연: 조쉬 하트넷, 에릭 배너, 이완 맥그리거</t>
  </si>
  <si>
    <t>할리우드적 스펙터클 너머, 2001년의 시선으로 담아낸 전쟁의 이야기. 전쟁은 인간의 이성이 멈추는 지점에서 시작된다. 총성은 멈추어도 그 상처는 세대를 넘어 흐른다. 거칠지만 그 안에서도 인간의 흔적은 남는다.</t>
  </si>
  <si>
    <t>감독: 마크 윌리엄스
주연: 리암 니슨, 에미 레이버램프먼, Taylor John Smith</t>
  </si>
  <si>
    <t>할리우드적 스펙터클 너머, 2022년의 시선으로 담아낸 액션의 이야기. 폭력의 언어 속에서도 인간은 존엄을 갈망한다. 생존의 욕망은 가장 원초적인 철학적 질문을 던진다. 흠이 있지만 진심이 담긴 시도였다.</t>
  </si>
  <si>
    <t>감독: Jon Bokenkamp
주연: 제임스 스페이더, 디에고 클래튼호프, Hisham Tawfiq</t>
  </si>
  <si>
    <t>드라마 형식 속에서, 할리우드적 스펙터클 너머, 2013년의 시선으로 담아낸 드라마의 이야기. 삶은 언제나 해석을 기다리는 텍스트다. 우리는 각자의 서사 안에 갇혀 서로를 오해한다. 평점이 담지 못하는 무언가가 이 영화에는 있다.</t>
  </si>
  <si>
    <t>드라마 형식 속에서, 할리우드적 스펙터클 너머, 2014년의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</si>
  <si>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2015년의 시선으로 담아낸 드라마의 이야기. 인간의 고통이란 결국 타인과의 거리에서 비롯된다. 우리는 각자의 서사 안에 갇혀 서로를 오해한다. 평점이 담지 못하는 무언가가 이 영화에는 있다.</t>
  </si>
  <si>
    <t>감독: John Eisendrath, Jon Bokenkamp
주연: 라이언 이골드, 팜케 얀센, 에디 가테지</t>
  </si>
  <si>
    <t>드라마 형식 속에서, 할리우드적 스펙터클 너머, 2017년의 시선으로 담아낸 드라마의 이야기. 우리는 각자의 서사 안에 갇혀 서로를 오해한다. 모든 이야기는 상처의 다른 이름이다. 평점이 담지 못하는 무언가가 이 영화에는 있다.</t>
  </si>
  <si>
    <t>드라마 형식 속에서, 할리우드적 스펙터클 너머, 2019년의 시선으로 담아낸 드라마의 이야기. 인간의 고통이란 결국 타인과의 거리에서 비롯된다. 우리는 각자의 서사 안에 갇혀 서로를 오해한다. 평점이 담지 못하는 무언가가 이 영화에는 있다.</t>
  </si>
  <si>
    <t>19화</t>
  </si>
  <si>
    <t>드라마 형식 속에서, 할리우드적 스펙터클 너머, 2019년의 시선으로 담아낸 드라마의 이야기. 모든 이야기는 상처의 다른 이름이다. 우리는 각자의 서사 안에 갇혀 서로를 오해한다. 이 작품이 남기는 이미지는 어떤 방식으로든 기억에 새겨진다.</t>
  </si>
  <si>
    <t>드라마 형식 속에서, 할리우드적 스펙터클 너머, 2020년의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</si>
  <si>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정지영
주연: 조진웅, 이하늬, 이경영</t>
  </si>
  <si>
    <t>한국 특유의 정서가 켜켜이 쌓인 듯, 2019년의 시선으로 담아낸 범죄의 이야기. 어둠 속에서도 인간은 스스로를 정당화하려 한다. 법과 도덕 사이의 틈새에서 인간의 본성이 노출된다. 오랫동안 여운이 남는 작품이다.</t>
  </si>
  <si>
    <t>감독: Jesse V. Johnson
주연: 에런 엑하트, 올가 쿠릴렌코, Alex Pettyfer</t>
  </si>
  <si>
    <t>할리우드적 스펙터클 너머, 2024년의 시선으로 담아낸 액션의 이야기. 육체의 한계에 도전하는 것은 곧 자아의 경계를 시험하는 일이다. 폭력의 언어 속에서도 인간은 존엄을 갈망한다. 거칠지만 그 안에서도 인간의 흔적은 남는다.</t>
  </si>
  <si>
    <t>감독: 로저 미첼
주연: 수잔 서랜든, 케이트 윈슬렛, 미아 바시코프스카</t>
  </si>
  <si>
    <t>할리우드적 스펙터클 너머, 2019년의 시선으로 담아낸 드라마의 이야기. 인간의 고통이란 결국 타인과의 거리에서 비롯된다. 모든 이야기는 상처의 다른 이름이다. 완벽하지 않아도, 그 불완전함이 오히려 인간적이다.</t>
  </si>
  <si>
    <t>감독: 폴 버호벤
주연: 카리서 판 하우턴, Sebastian Koch, Thom Hoffman</t>
  </si>
  <si>
    <t>2006년의 시선으로 담아낸 드라마 이야기가 우리에게 묻는다. 인간의 고통이란 결국 타인과의 거리에서 비롯된다. 삶은 언제나 해석을 기다리는 텍스트다. 시간이 지날수록 더 깊이 읽히는 영화다.</t>
  </si>
  <si>
    <t>감독: Daniel Alfredson
주연: 안소니 홉킨스, 줄리아 스타일스, 알렉산더 루드위그</t>
  </si>
  <si>
    <t>할리우드적 스펙터클 너머, 2015년의 시선으로 담아낸 스릴러의 이야기. 불안이란 현실이 균열을 드러내는 순간에 스며든다. 공포는 우리가 통제할 수 없는 것들에 대한 솔직한 고백이다. 평점이 담지 못하는 무언가가 이 영화에는 있다.</t>
  </si>
  <si>
    <t>감독: Louis Henderson</t>
  </si>
  <si>
    <t>2015년의 시선으로 담아낸 다큐 이야기가 우리에게 묻는다. 기록은 망각에 대한 저항이며, 현재에 대한 증언이다. 세계를 있는 그대로 바라보는 것이 가장 용기 있는 행위다. 흠이 있지만 진심이 담긴 시도였다.</t>
  </si>
  <si>
    <t>감독: 스콧 데릭슨
주연: 메이슨 테임즈, 매들린 맥그로, 에단 호크</t>
  </si>
  <si>
    <t>할리우드적 스펙터클 너머, 2021년의 시선으로 담아낸 공포의 이야기. 어둠은 우리 내면의 억압된 것들이 귀환하는 문이다. 공포란 이성이 침묵하는 순간 존재가 맞닥뜨리는 날것의 경험이다. 한 번쯤 들여다볼 가치가 있는 이야기다.</t>
  </si>
  <si>
    <t>감독: Frank Coraci
주연: 애덤 샌들러, 드류 배리모어, 케빈 닐런</t>
  </si>
  <si>
    <t>감독: 에드워드 즈윅
주연: 레오나르도 디카프리오, 자이먼 혼수, 제니퍼 코넬리</t>
  </si>
  <si>
    <t>할리우드적 스펙터클 너머, 2006년의 시선으로 담아낸 액션의 이야기. 육체의 한계에 도전하는 것은 곧 자아의 경계를 시험하는 일이다. 생존의 욕망은 가장 원초적인 철학적 질문을 던진다. 오랫동안 여운이 남는 작품이다.</t>
  </si>
  <si>
    <t>감독: John Barr
주연: 톰 베렌저, Kristen Hager, Paul Ben-Victor</t>
  </si>
  <si>
    <t>할리우드적 스펙터클 너머, 2020년의 시선으로 담아낸 스릴러의 이야기. 진실은 언제나 우리가 감당할 수 없는 형태로 찾아온다. 불안이란 현실이 균열을 드러내는 순간에 스며든다. 이 작품이 남기는 이미지는 어떤 방식으로든 기억에 새겨진다.</t>
  </si>
  <si>
    <t>감독: Sam Curtain
주연: Craig Ingham, James Mason, Kristen Condon</t>
  </si>
  <si>
    <t>할리우드적 스펙터클 너머, 2020년의 시선으로 담아낸 액션의 이야기. 생존의 욕망은 가장 원초적인 철학적 질문을 던진다. 폭력의 언어 속에서도 인간은 존엄을 갈망한다. 완성도와 별개로, 이 작품이 던지려 한 질문은 유효하다.</t>
  </si>
  <si>
    <t>감독: Jean-François Richet
주연: 멜 깁슨, 에린 모리아티, 윌리엄 H. 메이시</t>
  </si>
  <si>
    <t>프랑스 영화 특유의 철학적 깊이로, 2016년의 시선으로 담아낸 액션의 이야기. 육체의 한계에 도전하는 것은 곧 자아의 경계를 시험하는 일이다. 생존의 욕망은 가장 원초적인 철학적 질문을 던진다. 이 작품이 남기는 이미지는 어떤 방식으로든 기억에 새겨진다.</t>
  </si>
  <si>
    <t>감독: 드니 빌뇌브
주연: 라이언 고슬링, 해리슨 포드, 아나 데 아르마스</t>
  </si>
  <si>
    <t>할리우드적 스펙터클 너머, 2017년의 시선으로 담아낸 SF의 이야기. 기술이 진보할수록 인간다움의 정의는 더욱 절박해진다. 타자와의 만남은 언제나 자아의 재발견으로 이어진다. 시간이 지날수록 더 깊이 읽히는 영화다.</t>
  </si>
  <si>
    <t>감독: Danielle Krudy, Bridget Savage Cole
주연: Morgan Saylor, Sophie Lowe, 마고 마틴데일</t>
  </si>
  <si>
    <t>할리우드적 스펙터클 너머, 2019년의 시선으로 담아낸 코미디의 이야기. 가볍게 웃는 순간에도 삶의 무게는 그 그림자를 드리운다. 웃음은 고통을 소화하는 인간만의 방식이다. 흠이 있지만 진심이 담긴 시도였다.</t>
  </si>
  <si>
    <t>감독: 제레미 솔니에
주연: 메이콘 블레어, Devin Ratray, Amy Hargreaves</t>
  </si>
  <si>
    <t>할리우드적 스펙터클 너머, 2013년의 시선으로 담아낸 스릴러의 이야기. 긴장은 존재가 위협받을 때 가장 선명하게 빛난다. 진실은 언제나 우리가 감당할 수 없는 형태로 찾아온다. 흠이 있지만 진심이 담긴 시도였다.</t>
  </si>
  <si>
    <t>감독: Julio Quintana
주연: Jimmy Gonzáles, 데니스 퀘이드, Anthony Gonzalez</t>
  </si>
  <si>
    <t>2021년의 시선으로 담아낸 드라마 이야기가 우리에게 묻는다. 삶은 언제나 해석을 기다리는 텍스트다. 우리는 각자의 서사 안에 갇혀 서로를 오해한다. 오랫동안 여운이 남는 작품이다.</t>
  </si>
  <si>
    <t>감독: 데릭 시엔프랜스
주연: 라이언 고슬링, 미셸 윌리엄스, 존 도먼</t>
  </si>
  <si>
    <t>할리우드적 스펙터클 너머, 2010년의 시선으로 담아낸 드라마의 이야기. 인간의 고통이란 결국 타인과의 거리에서 비롯된다. 모든 이야기는 상처의 다른 이름이다. 오랫동안 여운이 남는 작품이다.</t>
  </si>
  <si>
    <t>주연: 정용화, 이정신, 강민혁</t>
  </si>
  <si>
    <t>2005년의 시선으로 담아낸 액션 이야기가 우리에게 묻는다. 폭력의 언어 속에서도 인간은 존엄을 갈망한다. 충돌은 세계가 변화를 요구하는 방식이다. 한 번쯤 들여다볼 가치가 있는 이야기다.</t>
  </si>
  <si>
    <t>감독: 우디 앨런
주연: 케이트 블란쳇, 샐리 호킨스, 알렉 볼드윈</t>
  </si>
  <si>
    <t>할리우드적 스펙터클 너머, 2013년의 시선으로 담아낸 드라마의 이야기. 모든 이야기는 상처의 다른 이름이다. 우리는 각자의 서사 안에 갇혀 서로를 오해한다. 두고두고 다시 꺼내 볼 만한 작품이다.</t>
  </si>
  <si>
    <t>감독: 앨런 릭먼
주연: 케이트 윈슬렛, 마티아스 스후나르츠, 앨런 릭먼</t>
  </si>
  <si>
    <t>영국적 절제와 냉소 사이에서, 2014년의 시선으로 담아낸 로맨스의 이야기. 두 사람 사이의 침묵은 때로 말보다 더 많은 것을 말한다. 설렘은 불완전한 존재가 완전함을 향해 뻗는 손길이다. 이 작품이 남기는 이미지는 어떤 방식으로든 기억에 새겨진다.</t>
  </si>
  <si>
    <t>감독: Jérémie Guez
주연: Roland Møller, Veerle Baetens, Lola Le Lann</t>
  </si>
  <si>
    <t>2018년의 시선으로 담아낸 드라마 이야기가 우리에게 묻는다. 우리는 각자의 서사 안에 갇혀 서로를 오해한다. 인간의 고통이란 결국 타인과의 거리에서 비롯된다. 한 번쯤 들여다볼 가치가 있는 이야기다.</t>
  </si>
  <si>
    <t>감독: Ben Younger
주연: 마일스 텔러, 에런 엑하트, Katey Sagal</t>
  </si>
  <si>
    <t>할리우드적 스펙터클 너머, 2016년의 시선으로 담아낸 드라마의 이야기. 인간의 고통이란 결국 타인과의 거리에서 비롯된다. 우리는 각자의 서사 안에 갇혀 서로를 오해한다. 시간이 지날수록 더 깊이 읽히는 영화다.</t>
  </si>
  <si>
    <t>감독: Elliott Lester
주연: 제이슨 스타뎀, 패디 콘시딘, 에이단 길런</t>
  </si>
  <si>
    <t>영국적 절제와 냉소 사이에서, 2011년의 시선으로 담아낸 액션의 이야기. 충돌은 세계가 변화를 요구하는 방식이다. 생존의 욕망은 가장 원초적인 철학적 질문을 던진다. 흠이 있지만 진심이 담긴 시도였다.</t>
  </si>
  <si>
    <t>감독: 소피아 코폴라
주연: Katie Chang, 엠마 왓슨, 타이사 파미가</t>
  </si>
  <si>
    <t>할리우드적 스펙터클 너머, 2013년의 시선으로 담아낸 범죄의 이야기. 욕망은 언제나 질서보다 먼저 존재했다. 법과 도덕 사이의 틈새에서 인간의 본성이 노출된다. 아쉬움이 남지만, 모든 시도는 의미를 갖는다.</t>
  </si>
  <si>
    <t>감독: 루카 구아다니노
주연: 틸다 스윈튼, 마티아스 스후나르츠, 랄프 파인즈</t>
  </si>
  <si>
    <t>이탈리아 네오리얼리즘의 숨결을 담아, 2015년의 시선으로 담아낸 드라마의 이야기. 삶은 언제나 해석을 기다리는 텍스트다. 인간의 고통이란 결국 타인과의 거리에서 비롯된다. 한 번쯤 들여다볼 가치가 있는 이야기다.</t>
  </si>
  <si>
    <t>감독: 김성훈
주연: 하정우, 주지훈, 임형국</t>
  </si>
  <si>
    <t>한국 특유의 정서가 켜켜이 쌓인 듯, 2023년의 시선으로 담아낸 액션의 이야기. 생존의 욕망은 가장 원초적인 철학적 질문을 던진다. 폭력의 언어 속에서도 인간은 존엄을 갈망한다. 한 번쯤 들여다볼 가치가 있는 이야기다.</t>
  </si>
  <si>
    <t>섬세한 일본적 감수성으로, 1999년의 시선으로 담아낸 드라마의 이야기. 인간의 고통이란 결국 타인과의 거리에서 비롯된다. 삶은 언제나 해석을 기다리는 텍스트다. 이 작품이 남기는 이미지는 어떤 방식으로든 기억에 새겨진다.</t>
  </si>
  <si>
    <t>감독: 마이크 밀스
주연: 이완 맥그리거, 크리스토퍼 플러머, 멜라니 로랑</t>
  </si>
  <si>
    <t>할리우드적 스펙터클 너머, 2010년의 시선으로 담아낸 코미디의 이야기. 가볍게 웃는 순간에도 삶의 무게는 그 그림자를 드리운다. 유머 속에는 세계의 부조리를 견뎌내는 지혜가 담겨 있다. 오랫동안 여운이 남는 작품이다.</t>
  </si>
  <si>
    <t>감독: 존 카니
주연: 마크 러팔로, 키이라 나이틀리, 애덤 리바인</t>
  </si>
  <si>
    <t>할리우드적 스펙터클 너머, 2013년의 시선으로 담아낸 드라마의 이야기. 인간의 고통이란 결국 타인과의 거리에서 비롯된다. 모든 이야기는 상처의 다른 이름이다. 이 작품이 남기는 질문은 쉽게 사라지지 않는다.</t>
  </si>
  <si>
    <t>감독: Slatan Dudow
주연: Henry Lorenzen, Hans Henninger, Adolf Fischer</t>
  </si>
  <si>
    <t>섬세한 일본적 감수성으로, 2017년의 시선으로 담아낸 드라마의 이야기. 인간의 고통이란 결국 타인과의 거리에서 비롯된다. 모든 이야기는 상처의 다른 이름이다. 한 번쯤 들여다볼 가치가 있는 이야기다.</t>
  </si>
  <si>
    <t>감독: 이솔희
주연: 김서형, 양재성, 안소요</t>
  </si>
  <si>
    <t>한국 특유의 정서가 켜켜이 쌓인 듯, 2023년의 시선으로 담아낸 드라마의 이야기. 우리는 각자의 서사 안에 갇혀 서로를 오해한다. 삶은 언제나 해석을 기다리는 텍스트다. 흠이 있지만 진심이 담긴 시도였다.</t>
  </si>
  <si>
    <t>섬세한 일본적 감수성으로, 2015년의 시선으로 담아낸 드라마의 이야기. 삶은 언제나 해석을 기다리는 텍스트다. 모든 이야기는 상처의 다른 이름이다. 평점이 담지 못하는 무언가가 이 영화에는 있다.</t>
  </si>
  <si>
    <t>감독: 알프레드 히치콕
주연: 제임스 스튜어트, Doris Day, Brenda De Banzie</t>
  </si>
  <si>
    <t>한국 특유의 정서가 켜켜이 쌓인 듯, 1999년의 시선으로 담아낸 드라마의 이야기. 인간의 고통이란 결국 타인과의 거리에서 비롯된다. 우리는 각자의 서사 안에 갇혀 서로를 오해한다. 두고두고 다시 꺼내 볼 만한 작품이다.</t>
  </si>
  <si>
    <t>감독: 마이크 리
주연: Brenda Blethyn, 마리애나 장-바티스트, 티모시 스폴</t>
  </si>
  <si>
    <t>영국적 절제와 냉소 사이에서, 1996년의 시선으로 담아낸 드라마의 이야기. 인간의 고통이란 결국 타인과의 거리에서 비롯된다. 모든 이야기는 상처의 다른 이름이다. 두고두고 다시 꺼내 볼 만한 작품이다.</t>
  </si>
  <si>
    <t>감독: Gary David Goldberg
주연: 다이앤 레인, 존 쿠삭, Elizabeth Perkins</t>
  </si>
  <si>
    <t>할리우드적 스펙터클 너머, 2005년의 시선으로 담아낸 로맨스의 이야기. 사랑은 자아의 경계가 흔들리는 순간에 찾아온다. 두 사람 사이의 침묵은 때로 말보다 더 많은 것을 말한다. 흠이 있지만 진심이 담긴 시도였다.</t>
  </si>
  <si>
    <t>감독: 류훈
주연: 유지태, 윤진서, 임예진</t>
  </si>
  <si>
    <t>한국 특유의 정서가 켜켜이 쌓인 듯, 2010년의 시선으로 담아낸 로맨스의 이야기. 두 사람 사이의 침묵은 때로 말보다 더 많은 것을 말한다. 설렘은 불완전한 존재가 완전함을 향해 뻗는 손길이다. 거칠지만 그 안에서도 인간의 흔적은 남는다.</t>
  </si>
  <si>
    <t>감독: Richard Fee, 할런 코벤
주연: Michelle Keegan, 아딜 아크타르, 리차드 아미티지</t>
  </si>
  <si>
    <t>드라마 형식 속에서, 영국적 절제와 냉소 사이에서, 2024년의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</si>
  <si>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Andrea Di Stefano
주연: 조엘 킨나만, 로저먼드 파이크, 커먼</t>
  </si>
  <si>
    <t>영국적 절제와 냉소 사이에서, 2019년의 시선으로 담아낸 범죄의 이야기. 욕망은 언제나 질서보다 먼저 존재했다. 죄란 사회가 만든 경계를 넘는 행위이자 그 경계에 대한 질문이다. 완벽하지 않아도, 그 불완전함이 오히려 인간적이다.</t>
  </si>
  <si>
    <t>감독: 조디 포스터
주연: 멜 깁슨, 조디 포스터, 제니퍼 로렌스</t>
  </si>
  <si>
    <t>할리우드적 스펙터클 너머, 2011년의 시선으로 담아낸 드라마의 이야기. 모든 이야기는 상처의 다른 이름이다. 인간의 고통이란 결국 타인과의 거리에서 비롯된다. 이 작품이 남기는 이미지는 어떤 방식으로든 기억에 새겨진다.</t>
  </si>
  <si>
    <t>감독: 한재림
주연: 송강호, 이병헌, 전도연</t>
  </si>
  <si>
    <t>한국 특유의 정서가 켜켜이 쌓인 듯, 2022년의 시선으로 담아낸 재난의 이야기. 시간이 흐른 뒤에도 이 장면들은 기억 속에 선명히 남는다. 이 작품은 단순한 오락을 넘어 삶의 어떤 단면을 응시하게 한다. 흠이 있지만 진심이 담긴 시도였다.</t>
  </si>
  <si>
    <t>감독: Lee Jung-ho
주연: 이성민, 유재명, 전혜진</t>
  </si>
  <si>
    <t>한국 특유의 정서가 켜켜이 쌓인 듯, 2019년의 시선으로 담아낸 범죄의 이야기. 법과 도덕 사이의 틈새에서 인간의 본성이 노출된다. 욕망은 언제나 질서보다 먼저 존재했다. 이 작품이 남기는 질문은 쉽게 사라지지 않는다.</t>
  </si>
  <si>
    <t>감독: Michael Pearce
주연: 제시 버클리, 조니 플린, Trystan Gravelle</t>
  </si>
  <si>
    <t>영국적 절제와 냉소 사이에서, 2017년의 시선으로 담아낸 드라마의 이야기. 삶은 언제나 해석을 기다리는 텍스트다. 인간의 고통이란 결국 타인과의 거리에서 비롯된다. 한 번쯤 들여다볼 가치가 있는 이야기다.</t>
  </si>
  <si>
    <t>감독: 캐리 조지 후쿠나가
주연: Abraham Attah, 이드리스 엘바, Emmanuel Nii Adom Quaye</t>
  </si>
  <si>
    <t>할리우드적 스펙터클 너머, 2015년의 시선으로 담아낸 드라마의 이야기. 인간의 고통이란 결국 타인과의 거리에서 비롯된다. 모든 이야기는 상처의 다른 이름이다. 이 작품이 남기는 질문은 쉽게 사라지지 않는다.</t>
  </si>
  <si>
    <t>감독: Cho Jin-mo
주연: 강하늘, 천우희, 강소라</t>
  </si>
  <si>
    <t>한국 특유의 정서가 켜켜이 쌓인 듯, 2021년의 시선으로 담아낸 로맨스의 이야기. 그리움이란 부재를 통해 존재를 확인하는 방식이다. 사랑은 자아의 경계가 흔들리는 순간에 찾아온다. 나름의 울림을 간직한 작품이다.</t>
  </si>
  <si>
    <t>감독: 根岸吉太郎
주연: 아사노 타다노부, 마츠 다카코, 室井滋</t>
  </si>
  <si>
    <t>섬세한 일본적 감수성으로, 2009년의 시선으로 담아낸 드라마의 이야기. 모든 이야기는 상처의 다른 이름이다. 우리는 각자의 서사 안에 갇혀 서로를 오해한다. 흠이 있지만 진심이 담긴 시도였다.</t>
  </si>
  <si>
    <t>감독: 알레한드로 곤살레스 이냐리투
주연: 하비에르 바르뎀, Maricel Álvarez, Hanaa Bouchaib</t>
  </si>
  <si>
    <t>2010년의 시선으로 담아낸 드라마 이야기가 우리에게 묻는다. 모든 이야기는 상처의 다른 이름이다. 우리는 각자의 서사 안에 갇혀 서로를 오해한다. 오랫동안 여운이 남는 작품이다.</t>
  </si>
  <si>
    <t>감독: 애런 소킨
주연: 니콜 키드먼, 하비에르 바르뎀, J.K. 시몬스</t>
  </si>
  <si>
    <t>할리우드적 스펙터클 너머, 2021년의 시선으로 담아낸 드라마의 이야기. 삶은 언제나 해석을 기다리는 텍스트다. 모든 이야기는 상처의 다른 이름이다. 완벽하지 않아도, 그 불완전함이 오히려 인간적이다.</t>
  </si>
  <si>
    <t>감독: 대니 보일
주연: 레오나르도 디카프리오, Virginie Ledoyen, 기욤 카네</t>
  </si>
  <si>
    <t>할리우드적 스펙터클 너머, 2000년의 시선으로 담아낸 모험의 이야기. 시간이 흐른 뒤에도 이 장면들은 기억 속에 선명히 남는다. 우리는 스크린 앞에 앉아 타인의 삶을 통해 우리 자신을 본다. 한 번쯤 들여다볼 가치가 있는 이야기다.</t>
  </si>
  <si>
    <t>감독: Denis Imbert
주연: Vincent Elbaz, Shanna Keil, Marie Gillain</t>
  </si>
  <si>
    <t>프랑스 영화 특유의 철학적 깊이로, 2021년의 시선으로 담아낸 드라마의 이야기. 모든 이야기는 상처의 다른 이름이다. 우리는 각자의 서사 안에 갇혀 서로를 오해한다. 나름의 울림을 간직한 작품이다.</t>
  </si>
  <si>
    <t>감독: Fredi M. Murer
주연: Fabrizio Borsani, Teo Gheorghiu, Julika Jenkins</t>
  </si>
  <si>
    <t>2006년의 시선으로 담아낸 드라마 이야기가 우리에게 묻는다. 삶은 언제나 해석을 기다리는 텍스트다. 모든 이야기는 상처의 다른 이름이다. 시간이 지날수록 더 깊이 읽히는 영화다.</t>
  </si>
  <si>
    <t>감독: 리처드 링클레이터
주연: 에단 호크, 줄리 델피, Seamus Davey-Fitzpatrick</t>
  </si>
  <si>
    <t>할리우드적 스펙터클 너머, 2013년의 시선으로 담아낸 드라마의 이야기. 삶은 언제나 해석을 기다리는 텍스트다. 모든 이야기는 상처의 다른 이름이다. 오랫동안 여운이 남는 작품이다.</t>
  </si>
  <si>
    <t>감독: 리처드 링클레이터
주연: 에단 호크, 줄리 델피, Andrea Eckert</t>
  </si>
  <si>
    <t>할리우드적 스펙터클 너머, 1995년의 시선으로 담아낸 드라마의 이야기. 모든 이야기는 상처의 다른 이름이다. 우리는 각자의 서사 안에 갇혀 서로를 오해한다. 이 작품이 남기는 질문은 쉽게 사라지지 않는다.</t>
  </si>
  <si>
    <t>감독: 리처드 링클레이터
주연: 에단 호크, 줄리 델피, Vernon Dobtcheff</t>
  </si>
  <si>
    <t>할리우드적 스펙터클 너머, 2004년의 시선으로 담아낸 드라마의 이야기. 모든 이야기는 상처의 다른 이름이다. 우리는 각자의 서사 안에 갇혀 서로를 오해한다. 두고두고 다시 꺼내 볼 만한 작품이다.</t>
  </si>
  <si>
    <t>감독: 크리스 에반스
주연: 크리스 에반스, 앨리스 이브, Emma Fitzpatrick</t>
  </si>
  <si>
    <t>감독: Jack Heller
주연: 케빈 듀랜드, 루카스 하스, Bianca Kajlich</t>
  </si>
  <si>
    <t>할리우드적 스펙터클 너머, 2014년의 시선으로 담아낸 공포의 이야기. 공포란 이성이 침묵하는 순간 존재가 맞닥뜨리는 날것의 경험이다. 불가해한 것 앞에서 인간은 얼마나 작은가를 깨닫는다. 두고두고 다시 꺼내 볼 만한 작품이다.</t>
  </si>
  <si>
    <t>감독: Jalmari Helander
주연: 사무엘 L. 잭슨, Onni Tommila, 레이 스티븐슨</t>
  </si>
  <si>
    <t>2014년의 시선으로 담아낸 액션 이야기가 우리에게 묻는다. 육체의 한계에 도전하는 것은 곧 자아의 경계를 시험하는 일이다. 생존의 욕망은 가장 원초적인 철학적 질문을 던진다. 이 작품이 남기는 이미지는 어떤 방식으로든 기억에 새겨진다.</t>
  </si>
  <si>
    <t>감독: 데이비드 E. 켈리
주연: 니콜 키드먼, 리즈 위더스푼, 쉐일린 우들리</t>
  </si>
  <si>
    <t>드라마 형식 속에서, 할리우드적 스펙터클 너머, 2017년의 시선으로 담아낸 드라마의 이야기. 인간의 고통이란 결국 타인과의 거리에서 비롯된다. 모든 이야기는 상처의 다른 이름이다. 평점이 담지 못하는 무언가가 이 영화에는 있다.</t>
  </si>
  <si>
    <t>드라마 형식 속에서, 할리우드적 스펙터클 너머, 2019년의 시선으로 담아낸 드라마의 이야기. 삶은 언제나 해석을 기다리는 텍스트다. 모든 이야기는 상처의 다른 이름이다. 평점이 담지 못하는 무언가가 이 영화에는 있다.</t>
  </si>
  <si>
    <t>감독: Ken Kwapis
주연: 드류 배리모어, 존 크래신스키, 크리스틴 벨</t>
  </si>
  <si>
    <t>할리우드적 스펙터클 너머, 2012년의 시선으로 담아낸 드라마의 이야기. 인간의 고통이란 결국 타인과의 거리에서 비롯된다. 우리는 각자의 서사 안에 갇혀 서로를 오해한다. 두고두고 다시 꺼내 볼 만한 작품이다.</t>
  </si>
  <si>
    <t>감독: 팀 버튼
주연: 에이미 아담스, 크리스토프 발츠, 대니 휴스턴</t>
  </si>
  <si>
    <t>할리우드적 스펙터클 너머, 2014년의 시선으로 담아낸 드라마의 이야기. 인간의 고통이란 결국 타인과의 거리에서 비롯된다. 삶은 언제나 해석을 기다리는 텍스트다. 나름의 울림을 간직한 작품이다.</t>
  </si>
  <si>
    <t>감독: Justin Zackham
주연: 로버트 드 니로, 다이앤 키튼, Ben Barnes</t>
  </si>
  <si>
    <t>할리우드적 스펙터클 너머, 2013년의 시선으로 담아낸 코미디의 이야기. 웃음은 고통을 소화하는 인간만의 방식이다. 가볍게 웃는 순간에도 삶의 무게는 그 그림자를 드리운다. 나름의 울림을 간직한 작품이다.</t>
  </si>
  <si>
    <t>감독: 아담 맥케이
주연: 스티브 카렐, 크리스찬 베일, 라이언 고슬링</t>
  </si>
  <si>
    <t>할리우드적 스펙터클 너머, 2015년의 시선으로 담아낸 드라마의 이야기. 인간의 고통이란 결국 타인과의 거리에서 비롯된다. 우리는 각자의 서사 안에 갇혀 서로를 오해한다. 시간이 지날수록 더 깊이 읽히는 영화다.</t>
  </si>
  <si>
    <t>감독: 마이클 쇼월터
주연: 쿠마일 난지아니, 조이 카잔, 홀리 헌터</t>
  </si>
  <si>
    <t>할리우드적 스펙터클 너머, 2017년의 시선으로 담아낸 코미디의 이야기. 유머 속에는 세계의 부조리를 견뎌내는 지혜가 담겨 있다. 우스운 것과 슬픈 것은 본래 같은 뿌리에서 자란다. 오랫동안 여운이 남는 작품이다.</t>
  </si>
  <si>
    <t>감독: 박범수
주연: 이혜리, 박세완, 이정하</t>
  </si>
  <si>
    <t>한국 특유의 정서가 켜켜이 쌓인 듯, 2024년의 시선으로 담아낸 드라마의 이야기. 모든 이야기는 상처의 다른 이름이다. 우리는 각자의 서사 안에 갇혀 서로를 오해한다. 나름의 울림을 간직한 작품이다.</t>
  </si>
  <si>
    <t>감독: 스티븐 프리어스
주연: 주디 덴치, 알리 파잘, Tim Pigott-Smith</t>
  </si>
  <si>
    <t>영국적 절제와 냉소 사이에서, 2017년의 시선으로 담아낸 드라마의 이야기. 우리는 각자의 서사 안에 갇혀 서로를 오해한다. 삶은 언제나 해석을 기다리는 텍스트다. 아쉬움이 남지만, 모든 시도는 의미를 갖는다.</t>
  </si>
  <si>
    <t>감독: Gina Kim
주연: Gina Kim</t>
  </si>
  <si>
    <t>한국 특유의 정서가 켜켜이 쌓인 듯, 2004년의 시선으로 담아낸 드라마의 이야기. 모든 이야기는 상처의 다른 이름이다. 우리는 각자의 서사 안에 갇혀 서로를 오해한다. 나름의 울림을 간직한 작품이다.</t>
  </si>
  <si>
    <t>감독: 필립 바란티니
주연: Craig Fairbrass, Robert Glenister, Nicholas Aaron</t>
  </si>
  <si>
    <t>영국적 절제와 냉소 사이에서, 2020년의 시선으로 담아낸 범죄의 이야기. 욕망은 언제나 질서보다 먼저 존재했다. 어둠 속에서도 인간은 스스로를 정당화하려 한다. 평점이 담지 못하는 무언가가 이 영화에는 있다.</t>
  </si>
  <si>
    <t>감독: 이안
주연: 조 앨윈, 크리스틴 스튜어트, 크리스 터커</t>
  </si>
  <si>
    <t>할리우드적 스펙터클 너머, 2016년의 시선으로 담아낸 드라마의 이야기. 삶은 언제나 해석을 기다리는 텍스트다. 우리는 각자의 서사 안에 갇혀 서로를 오해한다. 완벽하지 않아도, 그 불완전함이 오히려 인간적이다.</t>
  </si>
  <si>
    <t>감독: Valerie Faris, Jonathan Dayton
주연: 엠마 스톤, 스티브 카렐, 안드레아 라이즈보로</t>
  </si>
  <si>
    <t>할리우드적 스펙터클 너머, 2017년의 시선으로 담아낸 드라마의 이야기. 인간의 고통이란 결국 타인과의 거리에서 비롯된다. 삶은 언제나 해석을 기다리는 텍스트다. 이 작품이 남기는 질문은 쉽게 사라지지 않는다.</t>
  </si>
  <si>
    <t>감독: Andrew Ross Sorkin, 브라이언 코펠만
주연: 폴 지아마티, 매기 시프, 데이비드 코스터빌</t>
  </si>
  <si>
    <t>드라마 형식 속에서, 할리우드적 스펙터클 너머, 2016년의 시선으로 담아낸 드라마의 이야기. 우리는 각자의 서사 안에 갇혀 서로를 오해한다. 인간의 고통이란 결국 타인과의 거리에서 비롯된다. 평점이 담지 못하는 무언가가 이 영화에는 있다.</t>
  </si>
  <si>
    <t>드라마 형식 속에서, 할리우드적 스펙터클 너머, 2017년의 시선으로 담아낸 드라마의 이야기. 우리는 각자의 서사 안에 갇혀 서로를 오해한다. 모든 이야기는 상처의 다른 이름이다. 이 작품이 남기는 이미지는 어떤 방식으로든 기억에 새겨진다.</t>
  </si>
  <si>
    <t>드라마 형식 속에서, 할리우드적 스펙터클 너머, 2018년의 시선으로 담아낸 드라마의 이야기. 인간의 고통이란 결국 타인과의 거리에서 비롯된다. 모든 이야기는 상처의 다른 이름이다. 이 작품이 남기는 이미지는 어떤 방식으로든 기억에 새겨진다.</t>
  </si>
  <si>
    <t>드라마 형식 속에서, 할리우드적 스펙터클 너머, 2019년의 시선으로 담아낸 드라마의 이야기. 모든 이야기는 상처의 다른 이름이다. 인간의 고통이란 결국 타인과의 거리에서 비롯된다. 평점이 담지 못하는 무언가가 이 영화에는 있다.</t>
  </si>
  <si>
    <t>드라마 형식 속에서, 할리우드적 스펙터클 너머, 2020년의 시선으로 담아낸 드라마의 이야기. 모든 이야기는 상처의 다른 이름이다. 우리는 각자의 서사 안에 갇혀 서로를 오해한다. 평점이 담지 못하는 무언가가 이 영화에는 있다.</t>
  </si>
  <si>
    <t>드라마 형식 속에서, 할리우드적 스펙터클 너머, 2022년의 시선으로 담아낸 드라마의 이야기. 삶은 언제나 해석을 기다리는 텍스트다. 인간의 고통이란 결국 타인과의 거리에서 비롯된다. 이 작품이 남기는 이미지는 어떤 방식으로든 기억에 새겨진다.</t>
  </si>
  <si>
    <t>감독: 폴 와이츠
주연: 로버트 드 니로, 폴 다노, 줄리앤 무어</t>
  </si>
  <si>
    <t>할리우드적 스펙터클 너머, 2012년의 시선으로 담아낸 드라마의 이야기. 모든 이야기는 상처의 다른 이름이다. 우리는 각자의 서사 안에 갇혀 서로를 오해한다. 평점이 담지 못하는 무언가가 이 영화에는 있다.</t>
  </si>
  <si>
    <t>감독: Sabrina Ratté</t>
  </si>
  <si>
    <t>섬세한 일본적 감수성으로, 2017년의 시선으로 담아낸 드라마의 이야기. 삶은 언제나 해석을 기다리는 텍스트다. 우리는 각자의 서사 안에 갇혀 서로를 오해한다. 오랫동안 여운이 남는 작품이다.</t>
  </si>
  <si>
    <t>감독: Michael Noer
주연: 찰리 허냄, 라미 말렉, Christopher Fairbank</t>
  </si>
  <si>
    <t>할리우드적 스펙터클 너머, 2017년의 시선으로 담아낸 드라마의 이야기. 삶은 언제나 해석을 기다리는 텍스트다. 인간의 고통이란 결국 타인과의 거리에서 비롯된다. 두고두고 다시 꺼내 볼 만한 작품이다.</t>
  </si>
  <si>
    <t>감독: 한준희
주연: 공효진, 류준열, 조정석</t>
  </si>
  <si>
    <t>한국 특유의 정서가 켜켜이 쌓인 듯, 2018년의 시선으로 담아낸 액션의 이야기. 충돌은 세계가 변화를 요구하는 방식이다. 육체의 한계에 도전하는 것은 곧 자아의 경계를 시험하는 일이다. 나름의 울림을 간직한 작품이다.</t>
  </si>
  <si>
    <t>감독: Mikhaël Hers
주연: Vincent Lacoste, Isaure Multrier, 스테이시 마르탱</t>
  </si>
  <si>
    <t>프랑스 영화 특유의 철학적 깊이로, 2018년의 시선으로 담아낸 드라마의 이야기. 우리는 각자의 서사 안에 갇혀 서로를 오해한다. 인간의 고통이란 결국 타인과의 거리에서 비롯된다. 두고두고 다시 꺼내 볼 만한 작품이다.</t>
  </si>
  <si>
    <t>감독: 三谷幸喜, Takafumi Kimura
주연: 사카이 마사토, 오오이즈미 요, 草刈正雄</t>
  </si>
  <si>
    <t>드라마 형식 속에서, 섬세한 일본적 감수성으로, 2016년의 시선으로 담아낸 드라마의 이야기. 삶은 언제나 해석을 기다리는 텍스트다. 인간의 고통이란 결국 타인과의 거리에서 비롯된다. 이 작품이 남기는 이미지는 어떤 방식으로든 기억에 새겨진다.</t>
  </si>
  <si>
    <t>감독: Lee Woo-chul
주연: 안성기, 조진웅, 한예리</t>
  </si>
  <si>
    <t>한국 특유의 정서가 켜켜이 쌓인 듯, 2016년의 시선으로 담아낸 액션의 이야기. 육체의 한계에 도전하는 것은 곧 자아의 경계를 시험하는 일이다. 생존의 욕망은 가장 원초적인 철학적 질문을 던진다. 아쉬움이 남지만, 모든 시도는 의미를 갖는다.</t>
  </si>
  <si>
    <t>감독: 윤성현
주연: 이제훈, 안재홍, 최우식</t>
  </si>
  <si>
    <t>한국 특유의 정서가 켜켜이 쌓인 듯, 2020년의 시선으로 담아낸 액션의 이야기. 생존의 욕망은 가장 원초적인 철학적 질문을 던진다. 폭력의 언어 속에서도 인간은 존엄을 갈망한다. 이 작품이 남기는 이미지는 어떤 방식으로든 기억에 새겨진다.</t>
  </si>
  <si>
    <t>감독: 이준익
주연: 유아인, 송강호, 이효제</t>
  </si>
  <si>
    <t>한국 특유의 정서가 켜켜이 쌓인 듯, 2015년의 시선으로 담아낸 사극의 이야기. 역사의 무게는 개인의 삶을 짓누르지만, 그 안에서도 빛이 있다. 역사는 현재를 비추는 거울이며, 과거는 아직 끝나지 않았다. 오랫동안 여운이 남는 작품이다.</t>
  </si>
  <si>
    <t>감독: 질스 파겟-브레너
주연: 크리스틴 스콧 토머스, Mélusine Mayance, Niels Arestrup</t>
  </si>
  <si>
    <t>섬세한 일본적 감수성으로, 2014년의 시선으로 담아낸 드라마의 이야기. 우리는 각자의 서사 안에 갇혀 서로를 오해한다. 삶은 언제나 해석을 기다리는 텍스트다. 이 작품이 남기는 이미지는 어떤 방식으로든 기억에 새겨진다.</t>
  </si>
  <si>
    <t>프랑스 영화 특유의 철학적 깊이로, 2010년의 시선으로 담아낸 드라마의 이야기. 인간의 고통이란 결국 타인과의 거리에서 비롯된다. 삶은 언제나 해석을 기다리는 텍스트다. 두고두고 다시 꺼내 볼 만한 작품이다.</t>
  </si>
  <si>
    <t>감독: Peter Facinelli
주연: Anne Heche, 토머스 제인, Jason Patric</t>
  </si>
  <si>
    <t>할리우드적 스펙터클 너머, 2021년의 시선으로 담아낸 액션의 이야기. 생존의 욕망은 가장 원초적인 철학적 질문을 던진다. 육체의 한계에 도전하는 것은 곧 자아의 경계를 시험하는 일이다. 완벽하지 않아도, 그 불완전함이 오히려 인간적이다.</t>
  </si>
  <si>
    <t>감독: Lee Chang-hee
주연: 김상경, 김강우, 김희애</t>
  </si>
  <si>
    <t>한국 특유의 정서가 켜켜이 쌓인 듯, 2018년의 시선으로 담아낸 스릴러의 이야기. 진실은 언제나 우리가 감당할 수 없는 형태로 찾아온다. 긴장은 존재가 위협받을 때 가장 선명하게 빛난다. 완벽하지 않아도, 그 불완전함이 오히려 인간적이다.</t>
  </si>
  <si>
    <t>감독: Liz Garbus
주연: 에이미 라이언, 토마신 맥켄지, 롤라 커크</t>
  </si>
  <si>
    <t>할리우드적 스펙터클 너머, 2020년의 시선으로 담아낸 드라마의 이야기. 우리는 각자의 서사 안에 갇혀 서로를 오해한다. 인간의 고통이란 결국 타인과의 거리에서 비롯된다. 평점이 담지 못하는 무언가가 이 영화에는 있다.</t>
  </si>
  <si>
    <t>감독: Hans Petter Moland
주연: 스텔란 스카스가드, 브루노 간츠, Pål Sverre Hagen</t>
  </si>
  <si>
    <t>2014년의 시선으로 담아낸 액션 이야기가 우리에게 묻는다. 폭력의 언어 속에서도 인간은 존엄을 갈망한다. 충돌은 세계가 변화를 요구하는 방식이다. 완성도와 별개로, 이 작품이 던지려 한 질문은 유효하다.</t>
  </si>
  <si>
    <t>감독: 도리스 되리
주연: Elmar Wepper, 하넬로레 엘스너, 나디아 울</t>
  </si>
  <si>
    <t>독일 특유의 사유의 무게를 지니며, 2009년의 시선으로 담아낸 드라마의 이야기. 인간의 고통이란 결국 타인과의 거리에서 비롯된다. 삶은 언제나 해석을 기다리는 텍스트다. 시간이 지날수록 더 깊이 읽히는 영화다.</t>
  </si>
  <si>
    <t>감독: Sarah McCarthy
주연: Veronika Vlasova, Darya Kasyanova, Nadezhda Rossinskaya</t>
  </si>
  <si>
    <t>한국 특유의 정서가 켜켜이 쌓인 듯, 2024년의 시선으로 담아낸 로맨스의 이야기. 두 사람 사이의 침묵은 때로 말보다 더 많은 것을 말한다. 설렘은 불완전한 존재가 완전함을 향해 뻗는 손길이다. 완성도와 별개로, 이 작품이 던지려 한 질문은 유효하다.</t>
  </si>
  <si>
    <t>감독: Aleem Khan
주연: 조애나 스캔런, Nathalie Richard, Nasser Memarzia</t>
  </si>
  <si>
    <t>프랑스 영화 특유의 철학적 깊이로, 2020년의 시선으로 담아낸 드라마의 이야기. 인간의 고통이란 결국 타인과의 거리에서 비롯된다. 삶은 언제나 해석을 기다리는 텍스트다. 시간이 지날수록 더 깊이 읽히는 영화다.</t>
  </si>
  <si>
    <t>감독: Gary Yates
주연: 얼리샤 윗, 브렌던 하인스, Andrea del Campo</t>
  </si>
  <si>
    <t>섬세한 일본적 감수성으로, 2019년의 시선으로 담아낸 드라마의 이야기. 우리는 각자의 서사 안에 갇혀 서로를 오해한다. 삶은 언제나 해석을 기다리는 텍스트다. 나름의 울림을 간직한 작품이다.</t>
  </si>
  <si>
    <t>감독: 소피아 코폴라
주연: 빌 머레이, 스칼렛 요한슨, 조반니 리비시</t>
  </si>
  <si>
    <t>할리우드적 스펙터클 너머, 2003년의 시선으로 담아낸 드라마의 이야기. 모든 이야기는 상처의 다른 이름이다. 인간의 고통이란 결국 타인과의 거리에서 비롯된다. 나름의 울림을 간직한 작품이다.</t>
  </si>
  <si>
    <t>감독: Andy Tennant
주연: 매튜 매커너히, 케이트 허드슨, 도널드 서덜랜드</t>
  </si>
  <si>
    <t>할리우드적 스펙터클 너머, 2008년의 시선으로 담아낸 모험의 이야기. 시간이 흐른 뒤에도 이 장면들은 기억 속에 선명히 남는다. 우리는 스크린 앞에 앉아 타인의 삶을 통해 우리 자신을 본다. 나름의 울림을 간직한 작품이다.</t>
  </si>
  <si>
    <t>감독: 제임스 마쉬
주연: 에디 레드메인, 펠리시티 존스, 찰리 콕스</t>
  </si>
  <si>
    <t>영국적 절제와 냉소 사이에서, 2014년의 시선으로 담아낸 드라마의 이야기. 모든 이야기는 상처의 다른 이름이다. 삶은 언제나 해석을 기다리는 텍스트다. 나름의 울림을 간직한 작품이다.</t>
  </si>
  <si>
    <t>감독: 압바스 키아로스타미
주연: 高梨臨, 奥野匡, 카세 료</t>
  </si>
  <si>
    <t>프랑스 영화 특유의 철학적 깊이로, 2013년의 시선으로 담아낸 드라마의 이야기. 삶은 언제나 해석을 기다리는 텍스트다. 인간의 고통이란 결국 타인과의 거리에서 비롯된다. 나름의 울림을 간직한 작품이다.</t>
  </si>
  <si>
    <t>감독: 낸시 마이어스
주연: 메릴 스트립, 알렉 볼드윈, 스티브 마틴</t>
  </si>
  <si>
    <t>할리우드적 스펙터클 너머, 2010년의 시선으로 담아낸 코미디의 이야기. 유머 속에는 세계의 부조리를 견뎌내는 지혜가 담겨 있다. 웃음은 고통을 소화하는 인간만의 방식이다. 두고두고 다시 꺼내 볼 만한 작품이다.</t>
  </si>
  <si>
    <t>감독: Juan Olarte, Valérian Desterne, Lucile Palomino, Juan Pablo De La Rosa Zalamea, Céline Collin, Rebecca Black, Carlos Osmar Salazar Tornero</t>
  </si>
  <si>
    <t>섬세한 일본적 감수성으로, 2018년의 시선으로 담아낸 드라마의 이야기. 삶은 언제나 해석을 기다리는 텍스트다. 우리는 각자의 서사 안에 갇혀 서로를 오해한다. 두고두고 다시 꺼내 볼 만한 작품이다.</t>
  </si>
  <si>
    <t>감독: 추창민
주연: 설경구, 송윤아, 이기우</t>
  </si>
  <si>
    <t>한국 특유의 정서가 켜켜이 쌓인 듯, 2006년의 시선으로 담아낸 로맨스의 이야기. 사랑은 자아의 경계가 흔들리는 순간에 찾아온다. 설렘은 불완전한 존재가 완전함을 향해 뻗는 손길이다. 이 작품이 남기는 질문은 쉽게 사라지지 않는다.</t>
  </si>
  <si>
    <t>감독: Cédric Klapisch
주연: 쥘리에트 비노쉬, 로맹 뒤리스, Fabrice Luchini</t>
  </si>
  <si>
    <t>프랑스 영화 특유의 철학적 깊이로, 2009년의 시선으로 담아낸 로맨스의 이야기. 그리움이란 부재를 통해 존재를 확인하는 방식이다. 사랑은 자아의 경계가 흔들리는 순간에 찾아온다. 한 번쯤 들여다볼 가치가 있는 이야기다.</t>
  </si>
  <si>
    <t>감독: 압바스 키아로스타미
주연: 쥘리에트 비노쉬, William Shimell, Jean-Claude Carrière</t>
  </si>
  <si>
    <t>프랑스 영화 특유의 철학적 깊이로, 2011년의 시선으로 담아낸 드라마의 이야기. 모든 이야기는 상처의 다른 이름이다. 삶은 언제나 해석을 기다리는 텍스트다. 두고두고 다시 꺼내 볼 만한 작품이다.</t>
  </si>
  <si>
    <t>사랑의 블랙홀</t>
  </si>
  <si>
    <t>감독: 해롤드 래미스
주연: 빌 머레이, 앤디 맥도웰, 크리스 엘리엇</t>
  </si>
  <si>
    <t>할리우드적 스펙터클 너머, 1993년의 시선으로 담아낸 로맨스의 이야기. 설렘은 불완전한 존재가 완전함을 향해 뻗는 손길이다. 사랑은 자아의 경계가 흔들리는 순간에 찾아온다. 이 작품이 남기는 질문은 쉽게 사라지지 않는다.</t>
  </si>
  <si>
    <t>사랑의 순간</t>
  </si>
  <si>
    <t>감독: John Maybury
주연: 키이라 나이틀리, 시에나 밀러, 매튜 리스</t>
  </si>
  <si>
    <t>영국적 절제와 냉소 사이에서, 2008년의 시선으로 담아낸 드라마의 이야기. 인간의 고통이란 결국 타인과의 거리에서 비롯된다. 삶은 언제나 해석을 기다리는 텍스트다. 오랫동안 여운이 남는 작품이다.</t>
  </si>
  <si>
    <t>사랑의 유형지</t>
  </si>
  <si>
    <t>감독: 鶴橋康夫
주연: 토요카와 에츠시, 테라지마 시노부, 하세가와 쿄코</t>
  </si>
  <si>
    <t>섬세한 일본적 감수성으로, 2007년의 시선으로 담아낸 로맨스의 이야기. 그리움이란 부재를 통해 존재를 확인하는 방식이다. 사랑은 자아의 경계가 흔들리는 순간에 찾아온다. 평점이 담지 못하는 무언가가 이 영화에는 있다.</t>
  </si>
  <si>
    <t>사랑의 유효기간은 3년</t>
  </si>
  <si>
    <t>감독: Frédéric Beigbeder
주연: Louise Bourgoin, Gaspard Proust, JoeyStarr</t>
  </si>
  <si>
    <t>프랑스 영화 특유의 철학적 깊이로, 2014년의 시선으로 담아낸 코미디의 이야기. 웃음은 고통을 소화하는 인간만의 방식이다. 우스운 것과 슬픈 것은 본래 같은 뿌리에서 자란다. 한 번쯤 들여다볼 가치가 있는 이야기다.</t>
  </si>
  <si>
    <t>사랑이 이끄는 대로</t>
  </si>
  <si>
    <t>감독: 클로드 를루치
주연: 장 뒤자르댕, Elsa Zylberstein, 크리스토퍼 램버트</t>
  </si>
  <si>
    <t>프랑스 영화 특유의 철학적 깊이로, 2016년의 시선으로 담아낸 코미디의 이야기. 가볍게 웃는 순간에도 삶의 무게는 그 그림자를 드리운다. 유머 속에는 세계의 부조리를 견뎌내는 지혜가 담겨 있다. 흠이 있지만 진심이 담긴 시도였다.</t>
  </si>
  <si>
    <t>사랑이 지나간 자리</t>
  </si>
  <si>
    <t>감독: 울루 그로스바드
주연: 미셸 파이퍼, Treat Williams, Jonathan Jackson</t>
  </si>
  <si>
    <t>할리우드적 스펙터클 너머, 1999년의 시선으로 담아낸 드라마의 이야기. 우리는 각자의 서사 안에 갇혀 서로를 오해한다. 인간의 고통이란 결국 타인과의 거리에서 비롯된다. 이 작품이 남기는 질문은 쉽게 사라지지 않는다.</t>
  </si>
  <si>
    <t>감독: Fernando González Molina
주연: Mario Casas, Adriana Ugarte, Macarena García</t>
  </si>
  <si>
    <t>열정과 멜랑콜리가 교차하며, 2018년의 시선으로 담아낸 드라마의 이야기. 우리는 각자의 서사 안에 갇혀 서로를 오해한다. 삶은 언제나 해석을 기다리는 텍스트다. 두고두고 다시 꺼내 볼 만한 작품이다.</t>
  </si>
  <si>
    <t>사랑하는 누군가</t>
  </si>
  <si>
    <t>감독: Pernille Fischer Christensen
주연: 미카엘 페르스브란트, Trine Dyrholm, Birgitte Hjort Sørensen</t>
  </si>
  <si>
    <t>2014년의 시선으로 담아낸 드라마 이야기가 우리에게 묻는다. 삶은 언제나 해석을 기다리는 텍스트다. 모든 이야기는 상처의 다른 이름이다. 두고두고 다시 꺼내 볼 만한 작품이다.</t>
  </si>
  <si>
    <t>사랑할 때 버려야 할 아까운 것들</t>
  </si>
  <si>
    <t>감독: 낸시 마이어스
주연: 잭 니콜슨, 다이앤 키튼, 키아누 리브스</t>
  </si>
  <si>
    <t>할리우드적 스펙터클 너머, 2004년의 시선으로 담아낸 코미디의 이야기. 가볍게 웃는 순간에도 삶의 무게는 그 그림자를 드리운다. 유머 속에는 세계의 부조리를 견뎌내는 지혜가 담겨 있다. 평점이 담지 못하는 무언가가 이 영화에는 있다.</t>
  </si>
  <si>
    <t>사랑해, 매기</t>
  </si>
  <si>
    <t>감독: 에우헤니오 데르베스
주연: 에우헤니오 데르베스, Loreto Peralta, Jessica Lindsey</t>
  </si>
  <si>
    <t>2016년의 시선으로 담아낸 코미디 이야기가 우리에게 묻는다. 우스운 것과 슬픈 것은 본래 같은 뿌리에서 자란다. 유머 속에는 세계의 부조리를 견뎌내는 지혜가 담겨 있다. 시간이 지날수록 더 깊이 읽히는 영화다.</t>
  </si>
  <si>
    <t>사마리아</t>
  </si>
  <si>
    <t>감독: 김기덕
주연: Han Yeo-reum, 곽지민, 이얼</t>
  </si>
  <si>
    <t>한국 특유의 정서가 켜켜이 쌓인 듯, 2004년의 시선으로 담아낸 드라마의 이야기. 삶은 언제나 해석을 기다리는 텍스트다. 우리는 각자의 서사 안에 갇혀 서로를 오해한다. 시간이 지날수록 더 깊이 읽히는 영화다.</t>
  </si>
  <si>
    <t>사막에서 연어낚시</t>
  </si>
  <si>
    <t>감독: 라세 할스트룀
주연: 이완 맥그리거, 에밀리 블런트, 크리스틴 스콧 토머스</t>
  </si>
  <si>
    <t>영국적 절제와 냉소 사이에서, 2011년의 시선으로 담아낸 드라마의 이야기. 삶은 언제나 해석을 기다리는 텍스트다. 모든 이야기는 상처의 다른 이름이다. 한 번쯤 들여다볼 가치가 있는 이야기다.</t>
  </si>
  <si>
    <t>사무라이 크로니클</t>
  </si>
  <si>
    <t>감독: 小泉堯史
주연: 야쿠쇼 코지, 오카다 준이치, 堀北真希</t>
  </si>
  <si>
    <t>섬세한 일본적 감수성으로, 2014년의 시선으로 담아낸 사극의 이야기. 시대의 억압 속에서도 인간의 욕망과 존엄은 꺾이지 않는다. 역사는 현재를 비추는 거울이며, 과거는 아직 끝나지 않았다. 시간이 지날수록 더 깊이 읽히는 영화다.</t>
  </si>
  <si>
    <t>사바하</t>
  </si>
  <si>
    <t>감독: 장재현
주연: 이정재, 박정민, 이재인</t>
  </si>
  <si>
    <t>한국 특유의 정서가 켜켜이 쌓인 듯, 2019년의 시선으로 담아낸 미스터리의 이야기. 감춰진 것들이 드러나는 순간, 세계는 다르게 보이기 시작한다. 진실을 추적하는 것은 존재의 불투명함과 씨름하는 일이다. 이 작품이 남기는 이미지는 어떤 방식으로든 기억에 새겨진다.</t>
  </si>
  <si>
    <t>사보타지</t>
  </si>
  <si>
    <t>감독: 데이비드 에이어
주연: 아놀드 슈왈제네거, 샘 워싱턴, 올리비아 윌리엄스</t>
  </si>
  <si>
    <t>할리우드적 스펙터클 너머, 2014년의 시선으로 담아낸 액션의 이야기. 폭력의 언어 속에서도 인간은 존엄을 갈망한다. 충돌은 세계가 변화를 요구하는 방식이다. 완벽하지 않아도, 그 불완전함이 오히려 인간적이다.</t>
  </si>
  <si>
    <t>사요나라 이츠카</t>
  </si>
  <si>
    <t>감독: 이재한
주연: 나카야마 미호, 니시지마 히데토시, 石田ゆり子</t>
  </si>
  <si>
    <t>섬세한 일본적 감수성으로, 2010년의 시선으로 담아낸 로맨스의 이야기. 그리움이란 부재를 통해 존재를 확인하는 방식이다. 설렘은 불완전한 존재가 완전함을 향해 뻗는 손길이다. 완벽하지 않아도, 그 불완전함이 오히려 인간적이다.</t>
  </si>
  <si>
    <t>사우스사이드 위드 유</t>
  </si>
  <si>
    <t>감독: Richard Tanne
주연: Parker Sawyers, 티카 섬프터, Vanessa Bell Calloway</t>
  </si>
  <si>
    <t>할리우드적 스펙터클 너머, 2016년의 시선으로 담아낸 드라마의 이야기. 우리는 각자의 서사 안에 갇혀 서로를 오해한다. 모든 이야기는 상처의 다른 이름이다. 흠이 있지만 진심이 담긴 시도였다.</t>
  </si>
  <si>
    <t>사우스포</t>
  </si>
  <si>
    <t>감독: 안톤 후쿠아
주연: 제이크 질렌할, 레이첼 맥아담스, 포레스트 휘태커</t>
  </si>
  <si>
    <t>할리우드적 스펙터클 너머, 2015년의 시선으로 담아낸 드라마의 이야기. 모든 이야기는 상처의 다른 이름이다. 우리는 각자의 서사 안에 갇혀 서로를 오해한다. 평점이 담지 못하는 무언가가 이 영화에는 있다.</t>
  </si>
  <si>
    <t>사운드 오브 프리덤</t>
  </si>
  <si>
    <t>감독: Alejandro Monteverde
주연: 짐 커비즐, 미라 소비노, 빌 캠프</t>
  </si>
  <si>
    <t>할리우드적 스펙터클 너머, 2023년의 시선으로 담아낸 드라마의 이야기. 모든 이야기는 상처의 다른 이름이다. 우리는 각자의 서사 안에 갇혀 서로를 오해한다. 이 작품이 남기는 질문은 쉽게 사라지지 않는다.</t>
  </si>
  <si>
    <t>사울의 아들</t>
  </si>
  <si>
    <t>감독: 라즐로 네메스
주연: Röhrig Géza, Molnár Levente, 우르스 레힌</t>
  </si>
  <si>
    <t>사이드 이펙트</t>
  </si>
  <si>
    <t>감독: 스티븐 소더버그
주연: 루니 마라, 주드 로, 캐서린 제타존스</t>
  </si>
  <si>
    <t>할리우드적 스펙터클 너머, 2013년의 시선으로 담아낸 스릴러의 이야기. 진실은 언제나 우리가 감당할 수 없는 형태로 찾아온다. 긴장은 존재가 위협받을 때 가장 선명하게 빛난다. 오랫동안 여운이 남는 작품이다.</t>
  </si>
  <si>
    <t>사이드웨이</t>
  </si>
  <si>
    <t>감독: 알렉산더 페인
주연: 폴 지아마티, 토마스 헤이든 처치, 버지니아 매드슨</t>
  </si>
  <si>
    <t>할리우드적 스펙터클 너머, 2004년의 시선으로 담아낸 코미디의 이야기. 유머 속에는 세계의 부조리를 견뎌내는 지혜가 담겨 있다. 웃음은 고통을 소화하는 인간만의 방식이다. 흠이 있지만 진심이 담긴 시도였다.</t>
  </si>
  <si>
    <t>사이드카의 개</t>
  </si>
  <si>
    <t>감독: 根岸吉太郎
주연: 타케우치 유코, 이세야 유스케, 古田新太</t>
  </si>
  <si>
    <t>섬세한 일본적 감수성으로, 2007년의 시선으로 담아낸 드라마의 이야기. 모든 이야기는 상처의 다른 이름이다. 우리는 각자의 서사 안에 갇혀 서로를 오해한다. 이 작품이 남기는 질문은 쉽게 사라지지 않는다.</t>
  </si>
  <si>
    <t>사이렌이 노래할 때</t>
  </si>
  <si>
    <t>감독: Molly Smith Metzler
주연: 줄리앤 무어, 메간 파히, 밀리 앨콕</t>
  </si>
  <si>
    <t>드라마 형식 속에서, 할리우드적 스펙터클 너머, 2025년의 시선으로 담아낸 드라마의 이야기. 모든 이야기는 상처의 다른 이름이다. 삶은 언제나 해석을 기다리는 텍스트다. 평점이 담지 못하는 무언가가 이 영화에는 있다.</t>
  </si>
  <si>
    <t>사이코메트리</t>
  </si>
  <si>
    <t>감독: Kwon Ho-young
주연: 김강우, 김범, 이솜</t>
  </si>
  <si>
    <t>한국 특유의 정서가 켜켜이 쌓인 듯, 2013년의 시선으로 담아낸 스릴러의 이야기. 긴장은 존재가 위협받을 때 가장 선명하게 빛난다. 진실은 언제나 우리가 감당할 수 없는 형태로 찾아온다. 거칠지만 그 안에서도 인간의 흔적은 남는다.</t>
  </si>
  <si>
    <t>사일런트</t>
  </si>
  <si>
    <t>감독: Hiroki Kazama, Mai Takano
주연: 카와구치 하루나, 메구로 렌, 시노하라 료코</t>
  </si>
  <si>
    <t>드라마 형식 속에서, 섬세한 일본적 감수성으로, 2022년의 시선으로 담아낸 드라마의 이야기. 삶은 언제나 해석을 기다리는 텍스트다. 모든 이야기는 상처의 다른 이름이다. 평점이 담지 못하는 무언가가 이 영화에는 있다.</t>
  </si>
  <si>
    <t>사일런트 힐</t>
  </si>
  <si>
    <t>감독: Christophe Gans
주연: 라다 미첼, 숀 빈, Jodelle Ferland</t>
  </si>
  <si>
    <t>2006년의 시선으로 담아낸 공포 이야기가 우리에게 묻는다. 어둠은 우리 내면의 억압된 것들이 귀환하는 문이다. 공포란 이성이 침묵하는 순간 존재가 맞닥뜨리는 날것의 경험이다. 완성도와 별개로, 이 작품이 던지려 한 질문은 유효하다.</t>
  </si>
  <si>
    <t>사자</t>
  </si>
  <si>
    <t>감독: 김주환
주연: 박서준, 안성기, 우도환</t>
  </si>
  <si>
    <t>한국 특유의 정서가 켜켜이 쌓인 듯, 2019년의 시선으로 담아낸 공포의 이야기. 어둠은 우리 내면의 억압된 것들이 귀환하는 문이다. 공포란 이성이 침묵하는 순간 존재가 맞닥뜨리는 날것의 경험이다. 나름의 울림을 간직한 작품이다.</t>
  </si>
  <si>
    <t>사채왕 페그</t>
  </si>
  <si>
    <t>감독: Tanya Wexler
주연: 조이 도이치, 주디 그리어, 저메인 파울러</t>
  </si>
  <si>
    <t>할리우드적 스펙터클 너머, 2020년의 시선으로 담아낸 범죄의 이야기. 죄란 사회가 만든 경계를 넘는 행위이자 그 경계에 대한 질문이다. 어둠 속에서도 인간은 스스로를 정당화하려 한다. 완벽하지 않아도, 그 불완전함이 오히려 인간적이다.</t>
  </si>
  <si>
    <t>사쿠란</t>
  </si>
  <si>
    <t>감독: 니나가와 미카
주연: 츠치야 안나, 시이나 킷페이, 成宮寛貴</t>
  </si>
  <si>
    <t>섬세한 일본적 감수성으로, 2006년의 시선으로 담아낸 드라마의 이야기. 우리는 각자의 서사 안에 갇혀 서로를 오해한다. 인간의 고통이란 결국 타인과의 거리에서 비롯된다. 완벽하지 않아도, 그 불완전함이 오히려 인간적이다.</t>
  </si>
  <si>
    <t>사토라레</t>
  </si>
  <si>
    <t>감독: 本広克行
주연: 안도 마사노부, 스즈키 쿄카, 内山理名</t>
  </si>
  <si>
    <t>섬세한 일본적 감수성으로, 2001년의 시선으로 담아낸 코미디의 이야기. 유머 속에는 세계의 부조리를 견뎌내는 지혜가 담겨 있다. 우스운 것과 슬픈 것은 본래 같은 뿌리에서 자란다. 오랫동안 여운이 남는 작품이다.</t>
  </si>
  <si>
    <t>사형대의 엘리베이터</t>
  </si>
  <si>
    <t>감독: 루이 말
주연: 잔느 모로, Maurice Ronet, Georges Poujouly</t>
  </si>
  <si>
    <t>프랑스 영화 특유의 철학적 깊이로, 1958년의 시선으로 담아낸 스릴러의 이야기. 불안이란 현실이 균열을 드러내는 순간에 스며든다. 공포는 우리가 통제할 수 없는 것들에 대한 솔직한 고백이다. 한 번쯤 들여다볼 가치가 있는 이야기다.</t>
  </si>
  <si>
    <t>산</t>
  </si>
  <si>
    <t>감독: 片山修
주연: 오구리 슌, 나가사와 마사미, 사사키 구라노스케</t>
  </si>
  <si>
    <t>섬세한 일본적 감수성으로, 2011년의 시선으로 담아낸 드라마의 이야기. 모든 이야기는 상처의 다른 이름이다. 인간의 고통이란 결국 타인과의 거리에서 비롯된다. 완벽하지 않아도, 그 불완전함이 오히려 인간적이다.</t>
  </si>
  <si>
    <t>산사나무 아래</t>
  </si>
  <si>
    <t>감독: 장이머우
주연: 李雪健, 成泰燊, 주동우</t>
  </si>
  <si>
    <t>광활한 대지의 이야기를 담아, 2010년의 시선으로 담아낸 드라마의 이야기. 모든 이야기는 상처의 다른 이름이다. 삶은 언제나 해석을 기다리는 텍스트다. 두고두고 다시 꺼내 볼 만한 작품이다.</t>
  </si>
  <si>
    <t>산의 톰씨</t>
  </si>
  <si>
    <t>감독: Oto Ueda
주연: 小林聡美, 이치카와 미카코, 미츠이시 켄</t>
  </si>
  <si>
    <t>섬세한 일본적 감수성으로, 2018년의 시선으로 담아낸 드라마의 이야기. 모든 이야기는 상처의 다른 이름이다. 인간의 고통이란 결국 타인과의 거리에서 비롯된다. 평점이 담지 못하는 무언가가 이 영화에는 있다.</t>
  </si>
  <si>
    <t>산이 울다</t>
  </si>
  <si>
    <t>감독: 杨子
주연: 郎月婷, 王杍逸, 余皑磊</t>
  </si>
  <si>
    <t>광활한 대지의 이야기를 담아, 2016년의 시선으로 담아낸 드라마의 이야기. 삶은 언제나 해석을 기다리는 텍스트다. 우리는 각자의 서사 안에 갇혀 서로를 오해한다. 이 작품이 남기는 질문은 쉽게 사라지지 않는다.</t>
  </si>
  <si>
    <t>산타나</t>
  </si>
  <si>
    <t>감독: Maradona Dias Dos Santos, Chris Roland
주연: Paulo Americano, Raúl Rosário, David O'Hara</t>
  </si>
  <si>
    <t>2020년의 시선으로 담아낸 액션 이야기가 우리에게 묻는다. 충돌은 세계가 변화를 요구하는 방식이다. 생존의 욕망은 가장 원초적인 철학적 질문을 던진다. 오랫동안 여운이 남는 작품이다.</t>
  </si>
  <si>
    <t>살아 있는 모든 것</t>
  </si>
  <si>
    <t>드라마 형식 속에서, 섬세한 일본적 감수성으로, 2024년의 시선으로 담아낸 드라마의 이야기. 삶은 언제나 해석을 기다리는 텍스트다. 모든 이야기는 상처의 다른 이름이다. 평점이 담지 못하는 무언가가 이 영화에는 있다.</t>
  </si>
  <si>
    <t>살아가는 나날들</t>
  </si>
  <si>
    <t>감독: Mark Rydell
주연: 멜 깁슨, 씨씨 스페이식, 스콧 글렌</t>
  </si>
  <si>
    <t>할리우드적 스펙터클 너머, 1984년의 시선으로 담아낸 드라마의 이야기. 삶은 언제나 해석을 기다리는 텍스트다. 모든 이야기는 상처의 다른 이름이다. 이 작품이 남기는 이미지는 어떤 방식으로든 기억에 새겨진다.</t>
  </si>
  <si>
    <t>살아남은 사람들</t>
  </si>
  <si>
    <t>감독: Tóth Barnabás
주연: Hajduk Károly, Szőke Abigél, Nagy Mari</t>
  </si>
  <si>
    <t>2021년의 시선으로 담아낸 드라마 이야기가 우리에게 묻는다. 인간의 고통이란 결국 타인과의 거리에서 비롯된다. 우리는 각자의 서사 안에 갇혀 서로를 오해한다. 이 작품이 남기는 이미지는 어떤 방식으로든 기억에 새겨진다.</t>
  </si>
  <si>
    <t>살인 소설</t>
  </si>
  <si>
    <t>감독: 스콧 데릭슨
주연: 에단 호크, 줄리엣 라이런스, 빈센트 도노프리오</t>
  </si>
  <si>
    <t>살인의 역사 시즌1</t>
  </si>
  <si>
    <t>감독: Rohan Sippy, Rahul Prakash
주연: Konkona Sen Sharma, Surya Sharma, Shiv Panditt</t>
  </si>
  <si>
    <t>드라마 형식 속에서, 영국적 절제와 냉소 사이에서, 2011년의 시선으로 담아낸 드라마의 이야기. 삶은 언제나 해석을 기다리는 텍스트다. 모든 이야기는 상처의 다른 이름이다. 이 작품이 남기는 이미지는 어떤 방식으로든 기억에 새겨진다.</t>
  </si>
  <si>
    <t>살인의 추억</t>
  </si>
  <si>
    <t>감독: 봉준호
주연: 송강호, 김상경, 김뢰하</t>
  </si>
  <si>
    <t>한국 특유의 정서가 켜켜이 쌓인 듯, 2003년의 시선으로 담아낸 범죄의 이야기. 법과 도덕 사이의 틈새에서 인간의 본성이 노출된다. 죄란 사회가 만든 경계를 넘는 행위이자 그 경계에 대한 질문이다. 한 번쯤 들여다볼 가치가 있는 이야기다.</t>
  </si>
  <si>
    <t>살인의뢰</t>
  </si>
  <si>
    <t>감독: Son Yong-ho
주연: 김상경, 김성균, 박성웅</t>
  </si>
  <si>
    <t>한국 특유의 정서가 켜켜이 쌓인 듯, 2014년의 시선으로 담아낸 스릴러의 이야기. 불안이란 현실이 균열을 드러내는 순간에 스며든다. 진실은 언제나 우리가 감당할 수 없는 형태로 찾아온다. 오랫동안 여운이 남는 작품이다.</t>
  </si>
  <si>
    <t>살인자 리포트</t>
  </si>
  <si>
    <t>감독: Cho Young-jun
주연: 조여정, 정성일, 황지아</t>
  </si>
  <si>
    <t>한국 특유의 정서가 켜켜이 쌓인 듯, 2025년의 시선으로 담아낸 스릴러의 이야기. 진실은 언제나 우리가 감당할 수 없는 형태로 찾아온다. 공포는 우리가 통제할 수 없는 것들에 대한 솔직한 고백이다. 흠이 있지만 진심이 담긴 시도였다.</t>
  </si>
  <si>
    <t>살인자ㅇ난감</t>
  </si>
  <si>
    <t>감독: Lee Chang-hee, Kim Da-min
주연: 최우식, 손석구, 이희준</t>
  </si>
  <si>
    <t>드라마 형식 속에서, 한국 특유의 정서가 켜켜이 쌓인 듯, 2024년의 시선으로 담아낸 드라마의 이야기. 우리는 각자의 서사 안에 갇혀 서로를 오해한다. 모든 이야기는 상처의 다른 이름이다. 평점이 담지 못하는 무언가가 이 영화에는 있다.</t>
  </si>
  <si>
    <t>살인자의 기억법</t>
  </si>
  <si>
    <t>감독: 원신연
주연: 설경구, 김남길, 김설현</t>
  </si>
  <si>
    <t>한국 특유의 정서가 켜켜이 쌓인 듯, 2017년의 시선으로 담아낸 범죄의 이야기. 법과 도덕 사이의 틈새에서 인간의 본성이 노출된다. 어둠 속에서도 인간은 스스로를 정당화하려 한다. 거칠지만 그 안에서도 인간의 흔적은 남는다.</t>
  </si>
  <si>
    <t>삼진그룹 영어토익반</t>
  </si>
  <si>
    <t>감독: 이종필
주연: 고아성, 이솜, 박혜수</t>
  </si>
  <si>
    <t>한국 특유의 정서가 켜켜이 쌓인 듯, 2020년의 시선으로 담아낸 드라마의 이야기. 모든 이야기는 상처의 다른 이름이다. 우리는 각자의 서사 안에 갇혀 서로를 오해한다. 시간이 지날수록 더 깊이 읽히는 영화다.</t>
  </si>
  <si>
    <t>삼체 시즌1</t>
  </si>
  <si>
    <t>감독: 데이비드 베니오프, D. B. 와이스
주연: 조반 아데포, 로절린드 차오, 리엄 커닝엄</t>
  </si>
  <si>
    <t>드라마 형식 속에서, 할리우드적 스펙터클 너머, 2024년의 시선으로 담아낸 드라마의 이야기. 모든 이야기는 상처의 다른 이름이다. 인간의 고통이란 결국 타인과의 거리에서 비롯된다. 평점이 담지 못하는 무언가가 이 영화에는 있다.</t>
  </si>
  <si>
    <t>상류사회</t>
  </si>
  <si>
    <t>감독: 변혁
주연: 박해일, 수애, 윤제문</t>
  </si>
  <si>
    <t>한국 특유의 정서가 켜켜이 쌓인 듯, 2018년의 시선으로 담아낸 드라마의 이야기. 우리는 각자의 서사 안에 갇혀 서로를 오해한다. 삶은 언제나 해석을 기다리는 텍스트다. 아쉬움이 남지만, 모든 시도는 의미를 갖는다.</t>
  </si>
  <si>
    <t>상실의 시대</t>
  </si>
  <si>
    <t>감독: 트란 안 홍
주연: 마츠야마 켄이치, 키쿠치 린코, 미즈하라 키코</t>
  </si>
  <si>
    <t>섬세한 일본적 감수성으로, 2010년의 시선으로 담아낸 드라마의 이야기. 모든 이야기는 상처의 다른 이름이다. 우리는 각자의 서사 안에 갇혀 서로를 오해한다. 완성도와 별개로, 이 작품이 던지려 한 질문은 유효하다.</t>
  </si>
  <si>
    <t>상의원</t>
  </si>
  <si>
    <t>감독: 이원석
주연: 한석규, 고수, 박신혜</t>
  </si>
  <si>
    <t>한국 특유의 정서가 켜켜이 쌓인 듯, 2014년의 시선으로 담아낸 사극의 이야기. 역사의 무게는 개인의 삶을 짓누르지만, 그 안에서도 빛이 있다. 전통과 변화의 충돌 속에서 인간의 본질이 드러난다. 아쉬움이 남지만, 모든 시도는 의미를 갖는다.</t>
  </si>
  <si>
    <t>상하이 나이츠</t>
  </si>
  <si>
    <t>감독: David Dobkin
주연: 성룡, 오웬 윌슨, Fann Wong</t>
  </si>
  <si>
    <t>할리우드적 스펙터클 너머, 2003년의 시선으로 담아낸 액션의 이야기. 생존의 욕망은 가장 원초적인 철학적 질문을 던진다. 충돌은 세계가 변화를 요구하는 방식이다. 완벽하지 않아도, 그 불완전함이 오히려 인간적이다.</t>
  </si>
  <si>
    <t>새 구두를 사야해</t>
  </si>
  <si>
    <t>감독: 北川悦吏子
주연: 무카이 오사무, 나카야마 미호, 키리타니 미레이</t>
  </si>
  <si>
    <t>섬세한 일본적 감수성으로, 2013년의 시선으로 담아낸 로맨스의 이야기. 설렘은 불완전한 존재가 완전함을 향해 뻗는 손길이다. 그리움이란 부재를 통해 존재를 확인하는 방식이다. 시간이 지날수록 더 깊이 읽히는 영화다.</t>
  </si>
  <si>
    <t>새벽 거리에서</t>
  </si>
  <si>
    <t>섬세한 일본적 감수성으로, 2011년의 시선으로 담아낸 드라마의 이야기. 우리는 각자의 서사 안에 갇혀 서로를 오해한다. 인간의 고통이란 결국 타인과의 거리에서 비롯된다. 이 작품이 남기는 질문은 쉽게 사라지지 않는다.</t>
  </si>
  <si>
    <t>새벽의 약속</t>
  </si>
  <si>
    <t>감독: Eric Barbier
주연: 피에르 니네이, 샤를로트 갱스부르, Didier Bourdon</t>
  </si>
  <si>
    <t>섬세한 일본적 감수성으로, 2017년의 시선으로 담아낸 드라마의 이야기. 삶은 언제나 해석을 기다리는 텍스트다. 모든 이야기는 상처의 다른 이름이다. 평점이 담지 못하는 무언가가 이 영화에는 있다.</t>
  </si>
  <si>
    <t>색, 계</t>
  </si>
  <si>
    <t>감독: 이안
주연: 양조위, 탕웨이, 조앤 첸</t>
  </si>
  <si>
    <t>157분</t>
  </si>
  <si>
    <t>2007년의 시선으로 담아낸 드라마 이야기가 우리에게 묻는다. 우리는 각자의 서사 안에 갇혀 서로를 오해한다. 인간의 고통이란 결국 타인과의 거리에서 비롯된다. 두고두고 다시 꺼내 볼 만한 작품이다.</t>
  </si>
  <si>
    <t>샌 안드레아스</t>
  </si>
  <si>
    <t>감독: 브래드 페이턴
주연: 드웨인 존슨, 알렉산드라 다다리오, 칼라 구지노</t>
  </si>
  <si>
    <t>할리우드적 스펙터클 너머, 2015년의 시선으로 담아낸 액션의 이야기. 충돌은 세계가 변화를 요구하는 방식이다. 폭력의 언어 속에서도 인간은 존엄을 갈망한다. 이 작품이 남기는 질문은 쉽게 사라지지 않는다.</t>
  </si>
  <si>
    <t>생일</t>
  </si>
  <si>
    <t>감독: 김미지
주연: 최현진, 장준휘</t>
  </si>
  <si>
    <t>한국 특유의 정서가 켜켜이 쌓인 듯, 2018년의 시선으로 담아낸 드라마의 이야기. 삶은 언제나 해석을 기다리는 텍스트다. 우리는 각자의 서사 안에 갇혀 서로를 오해한다. 이 작품이 남기는 질문은 쉽게 사라지지 않는다.</t>
  </si>
  <si>
    <t>생존자들</t>
  </si>
  <si>
    <t>감독: Brian Falk
주연: 톰 펠튼, 가렛 딜라헌트, 제이크 아벨</t>
  </si>
  <si>
    <t>할리우드적 스펙터클 너머, 2014년의 시선으로 담아낸 모험의 이야기. 시간이 흐른 뒤에도 이 장면들은 기억 속에 선명히 남는다. 우리는 스크린 앞에 앉아 타인의 삶을 통해 우리 자신을 본다. 시간이 지날수록 더 깊이 읽히는 영화다.</t>
  </si>
  <si>
    <t>생텀</t>
  </si>
  <si>
    <t>감독: Alister Grierson
주연: 리처드 록스버그, 요안 그리피드, Rhys Wakefield</t>
  </si>
  <si>
    <t>할리우드적 스펙터클 너머, 2011년의 시선으로 담아낸 액션의 이야기. 폭력의 언어 속에서도 인간은 존엄을 갈망한다. 육체의 한계에 도전하는 것은 곧 자아의 경계를 시험하는 일이다. 이 작품이 남기는 이미지는 어떤 방식으로든 기억에 새겨진다.</t>
  </si>
  <si>
    <t>샤인</t>
  </si>
  <si>
    <t>감독: Scott Hicks
주연: 제프리 러쉬, 노아 테일러, 아르민 뮐러슈탈</t>
  </si>
  <si>
    <t>1996년의 시선으로 담아낸 드라마 이야기가 우리에게 묻는다. 인간의 고통이란 결국 타인과의 거리에서 비롯된다. 삶은 언제나 해석을 기다리는 텍스트다. 오랫동안 여운이 남는 작품이다.</t>
  </si>
  <si>
    <t>샤퍼</t>
  </si>
  <si>
    <t>감독: 벤자민 카론
주연: 줄리앤 무어, 세바스찬 스탠, 저스티스 스미스</t>
  </si>
  <si>
    <t>할리우드적 스펙터클 너머, 2023년의 시선으로 담아낸 범죄의 이야기. 법과 도덕 사이의 틈새에서 인간의 본성이 노출된다. 죄란 사회가 만든 경계를 넘는 행위이자 그 경계에 대한 질문이다. 이 작품이 남기는 질문은 쉽게 사라지지 않는다.</t>
  </si>
  <si>
    <t>샷 콜러</t>
  </si>
  <si>
    <t>감독: Ric Roman Waugh
주연: 니콜라이 코스테르발다우, 오마리 하드윅, 존 번설</t>
  </si>
  <si>
    <t>할리우드적 스펙터클 너머, 2017년의 시선으로 담아낸 범죄의 이야기. 어둠 속에서도 인간은 스스로를 정당화하려 한다. 욕망은 언제나 질서보다 먼저 존재했다. 흠이 있지만 진심이 담긴 시도였다.</t>
  </si>
  <si>
    <t>섀도우 댄서</t>
  </si>
  <si>
    <t>감독: 제임스 마쉬
주연: 안드레아 라이즈보로, 클라이브 오웬, 질리언 앤더슨</t>
  </si>
  <si>
    <t>영국적 절제와 냉소 사이에서, 2012년의 시선으로 담아낸 스릴러의 이야기. 긴장은 존재가 위협받을 때 가장 선명하게 빛난다. 불안이란 현실이 균열을 드러내는 순간에 스며든다. 오랫동안 여운이 남는 작품이다.</t>
  </si>
  <si>
    <t>서른아홉, 열아홉</t>
  </si>
  <si>
    <t>감독: Mike Clattenburg
주연: John Paul Tremblay, Robb Wells, Mike Smith</t>
  </si>
  <si>
    <t>프랑스 영화 특유의 철학적 깊이로, 2014년의 시선으로 담아낸 코미디의 이야기. 가볍게 웃는 순간에도 삶의 무게는 그 그림자를 드리운다. 유머 속에는 세계의 부조리를 견뎌내는 지혜가 담겨 있다. 완벽하지 않아도, 그 불완전함이 오히려 인간적이다.</t>
  </si>
  <si>
    <t>서바이버</t>
  </si>
  <si>
    <t>감독: 제임스 맥테이그
주연: 밀라 요보비치, 피어스 브로스넌, 딜런 맥더멋</t>
  </si>
  <si>
    <t>할리우드적 스펙터클 너머, 2015년의 시선으로 담아낸 액션의 이야기. 충돌은 세계가 변화를 요구하는 방식이다. 육체의 한계에 도전하는 것은 곧 자아의 경계를 시험하는 일이다. 이 작품이 남기는 질문은 쉽게 사라지지 않는다.</t>
  </si>
  <si>
    <t>서바이벌 패밀리</t>
  </si>
  <si>
    <t>감독: 矢口史靖
주연: 코히나타 후미요, 후카츠 에리, 泉澤祐希</t>
  </si>
  <si>
    <t>섬세한 일본적 감수성으로, 2017년의 시선으로 담아낸 코미디의 이야기. 웃음은 고통을 소화하는 인간만의 방식이다. 유머 속에는 세계의 부조리를 견뎌내는 지혜가 담겨 있다. 아쉬움이 남지만, 모든 시도는 의미를 갖는다.</t>
  </si>
  <si>
    <t>서버비콘</t>
  </si>
  <si>
    <t>감독: 조지 클루니
주연: 맷 데이먼, 줄리앤 무어, 노아 주프</t>
  </si>
  <si>
    <t>할리우드적 스펙터클 너머, 2017년의 시선으로 담아낸 코미디의 이야기. 가볍게 웃는 순간에도 삶의 무게는 그 그림자를 드리운다. 우스운 것과 슬픈 것은 본래 같은 뿌리에서 자란다. 오랫동안 여운이 남는 작품이다.</t>
  </si>
  <si>
    <t>서번트 시즌1</t>
  </si>
  <si>
    <t>감독: Tony Basgallop
주연: Lauren Ambrose, 토비 케블, 넬 타이거 프리</t>
  </si>
  <si>
    <t>드라마 형식 속에서, 할리우드적 스펙터클 너머, 2019년의 시선으로 담아낸 드라마의 이야기. 모든 이야기는 상처의 다른 이름이다. 우리는 각자의 서사 안에 갇혀 서로를 오해한다. 평점이 담지 못하는 무언가가 이 영화에는 있다.</t>
  </si>
  <si>
    <t>서번트 시즌21</t>
  </si>
  <si>
    <t>서부 전선 이상 없다</t>
  </si>
  <si>
    <t>감독: Ingo Becker
주연: 에드워드 버거, 펠릭스 카머러, 알브레히트 슈흐</t>
  </si>
  <si>
    <t>독일 특유의 사유의 무게를 지니며, 2022년의 시선으로 담아낸 전쟁의 이야기. 전쟁을 기억하는 것은 반복하지 않기 위한 고통스러운 의무다. 총성은 멈추어도 그 상처는 세대를 넘어 흐른다. 완벽하지 않아도, 그 불완전함이 오히려 인간적이다.</t>
  </si>
  <si>
    <t>서부전선</t>
  </si>
  <si>
    <t>감독: Chun Sung-il
주연: 설경구, 여진구, 정성화</t>
  </si>
  <si>
    <t>한국 특유의 정서가 켜켜이 쌓인 듯, 2015년의 시선으로 담아낸 전쟁의 이야기. 전쟁을 기억하는 것은 반복하지 않기 위한 고통스러운 의무다. 전쟁은 인간의 이성이 멈추는 지점에서 시작된다. 오랫동안 여운이 남는 작품이다.</t>
  </si>
  <si>
    <t>서브머전스</t>
  </si>
  <si>
    <t>감독: 빔 벤더스
주연: 제임스 맥어보이, 알리시아 비칸데르, Celyn Jones</t>
  </si>
  <si>
    <t>독일 특유의 사유의 무게를 지니며, 2017년의 시선으로 담아낸 드라마의 이야기. 인간의 고통이란 결국 타인과의 거리에서 비롯된다. 삶은 언제나 해석을 기다리는 텍스트다. 완벽하지 않아도, 그 불완전함이 오히려 인간적이다.</t>
  </si>
  <si>
    <t>감독: 코랄리 파르자
주연: 데미 무어, 마가렛 퀄리, 데니스 퀘이드</t>
  </si>
  <si>
    <t>영국적 절제와 냉소 사이에서, 2024년의 시선으로 담아낸 스릴러의 이야기. 긴장은 존재가 위협받을 때 가장 선명하게 빛난다. 불안이란 현실이 균열을 드러내는 순간에 스며든다. 시간이 지날수록 더 깊이 읽히는 영화다.</t>
  </si>
  <si>
    <t>감독: Michael Sucsy
주연: 레이첼 맥아담스, 채닝 테이텀, 샘 닐</t>
  </si>
  <si>
    <t>할리우드적 스펙터클 너머, 2012년의 시선으로 담아낸 드라마의 이야기. 삶은 언제나 해석을 기다리는 텍스트다. 우리는 각자의 서사 안에 갇혀 서로를 오해한다. 두고두고 다시 꺼내 볼 만한 작품이다.</t>
  </si>
  <si>
    <t>감독: 김성수
주연: 황정민, 정우성, 이성민</t>
  </si>
  <si>
    <t>한국 특유의 정서가 켜켜이 쌓인 듯, 2023년의 시선으로 담아낸 드라마의 이야기. 인간의 고통이란 결국 타인과의 거리에서 비롯된다. 우리는 각자의 서사 안에 갇혀 서로를 오해한다. 두고두고 다시 꺼내 볼 만한 작품이다.</t>
  </si>
  <si>
    <t>감독: 아니쉬 채겐티
주연: 존 조, Michelle La, 데브라 메싱</t>
  </si>
  <si>
    <t>할리우드적 스펙터클 너머, 2018년의 시선으로 담아낸 스릴러의 이야기. 긴장은 존재가 위협받을 때 가장 선명하게 빛난다. 불안이란 현실이 균열을 드러내는 순간에 스며든다. 거칠지만 그 안에서도 인간의 흔적은 남는다.</t>
  </si>
  <si>
    <t>할리우드적 스펙터클 너머, 2023년의 시선으로 담아낸 스릴러의 이야기. 진실은 언제나 우리가 감당할 수 없는 형태로 찾아온다. 불안이란 현실이 균열을 드러내는 순간에 스며든다. 시간이 지날수록 더 깊이 읽히는 영화다.</t>
  </si>
  <si>
    <t>감독: 이누도 잇신
주연: 아이바 마사키, 에이쿠라 나나, 이쿠타 토마</t>
  </si>
  <si>
    <t>섬세한 일본적 감수성으로, 2015년의 시선으로 담아낸 로맨스의 이야기. 두 사람 사이의 침묵은 때로 말보다 더 많은 것을 말한다. 사랑은 자아의 경계가 흔들리는 순간에 찾아온다. 오랫동안 여운이 남는 작품이다.</t>
  </si>
  <si>
    <t>감독: 웨스 크레이븐
주연: 빌 풀먼, Cathy Tyson, Zakes Mokae</t>
  </si>
  <si>
    <t>할리우드적 스펙터클 너머, 2017년의 시선으로 담아낸 스릴러의 이야기. 진실은 언제나 우리가 감당할 수 없는 형태로 찾아온다. 공포는 우리가 통제할 수 없는 것들에 대한 솔직한 고백이다. 평점이 담지 못하는 무언가가 이 영화에는 있다.</t>
  </si>
  <si>
    <t>감독: Sarah Gavron
주연: 캐리 멀리건, 헬레나 본햄 카터, 브렌던 글리슨</t>
  </si>
  <si>
    <t>영국적 절제와 냉소 사이에서, 2015년의 시선으로 담아낸 드라마의 이야기. 모든 이야기는 상처의 다른 이름이다. 삶은 언제나 해석을 기다리는 텍스트다. 두고두고 다시 꺼내 볼 만한 작품이다.</t>
  </si>
  <si>
    <t>감독: 제시 암스트롱
주연: 제레미 스트롱, 키어런 컬킨, 사라 스누크</t>
  </si>
  <si>
    <t>드라마 형식 속에서, 할리우드적 스펙터클 너머, 2018년의 시선으로 담아낸 드라마의 이야기. 모든 이야기는 상처의 다른 이름이다. 인간의 고통이란 결국 타인과의 거리에서 비롯된다. 이 작품이 남기는 이미지는 어떤 방식으로든 기억에 새겨진다.</t>
  </si>
  <si>
    <t>드라마 형식 속에서, 할리우드적 스펙터클 너머, 2019년의 시선으로 담아낸 드라마의 이야기. 삶은 언제나 해석을 기다리는 텍스트다. 인간의 고통이란 결국 타인과의 거리에서 비롯된다. 이 작품이 남기는 이미지는 어떤 방식으로든 기억에 새겨진다.</t>
  </si>
  <si>
    <t>드라마 형식 속에서, 할리우드적 스펙터클 너머, 2021년의 시선으로 담아낸 드라마의 이야기. 모든 이야기는 상처의 다른 이름이다. 우리는 각자의 서사 안에 갇혀 서로를 오해한다. 평점이 담지 못하는 무언가가 이 영화에는 있다.</t>
  </si>
  <si>
    <t>감독: 이동하, 양유민
주연: 김현주, 박희순, 박병은</t>
  </si>
  <si>
    <t>드라마 형식 속에서, 한국 특유의 정서가 켜켜이 쌓인 듯, 2024년의 시선으로 담아낸 드라마의 이야기. 모든 이야기는 상처의 다른 이름이다. 우리는 각자의 서사 안에 갇혀 서로를 오해한다. 평점이 담지 못하는 무언가가 이 영화에는 있다.</t>
  </si>
  <si>
    <t>감독: 堀江貴大
주연: 쿠로키 하루, 에모토 타스쿠, 카네코 다이치</t>
  </si>
  <si>
    <t>섬세한 일본적 감수성으로, 2021년의 시선으로 담아낸 코미디의 이야기. 웃음은 고통을 소화하는 인간만의 방식이다. 가볍게 웃는 순간에도 삶의 무게는 그 그림자를 드리운다. 흠이 있지만 진심이 담긴 시도였다.</t>
  </si>
  <si>
    <t>감독: Park Chang-Jin
주연: 신은경, 오인혜, 이기영</t>
  </si>
  <si>
    <t>한국 특유의 정서가 켜켜이 쌓인 듯, 2014년의 시선으로 담아낸 스릴러의 이야기. 진실은 언제나 우리가 감당할 수 없는 형태로 찾아온다. 공포는 우리가 통제할 수 없는 것들에 대한 솔직한 고백이다. 완성도와 별개로, 이 작품이 던지려 한 질문은 유효하다.</t>
  </si>
  <si>
    <t>감독: 봉준호
주연: 크리스 에반스, 송강호, 에드 해리스</t>
  </si>
  <si>
    <t>한국 특유의 정서가 켜켜이 쌓인 듯, 2013년의 시선으로 담아낸 SF의 이야기. 우주의 광대함 앞에서 인간의 질문은 더욱 깊어진다. 타자와의 만남은 언제나 자아의 재발견으로 이어진다. 오랫동안 여운이 남는 작품이다.</t>
  </si>
  <si>
    <t>감독: 클린트 이스트우드
주연: 톰 행크스, 에런 엑하트, 애나 건</t>
  </si>
  <si>
    <t>할리우드적 스펙터클 너머, 2016년의 시선으로 담아낸 드라마의 이야기. 모든 이야기는 상처의 다른 이름이다. 인간의 고통이란 결국 타인과의 거리에서 비롯된다. 두고두고 다시 꺼내 볼 만한 작품이다.</t>
  </si>
  <si>
    <t>감독: Lee Ji-seung
주연: 박효주, 최일화, 류준열</t>
  </si>
  <si>
    <t>한국 특유의 정서가 켜켜이 쌓인 듯, 2015년의 시선으로 담아낸 드라마의 이야기. 삶은 언제나 해석을 기다리는 텍스트다. 인간의 고통이란 결국 타인과의 거리에서 비롯된다. 흠이 있지만 진심이 담긴 시도였다.</t>
  </si>
  <si>
    <t>감독: 토마스 빈터베리
주연: 캐리 멀리건, 마티아스 스후나르츠, 마이클 쉰</t>
  </si>
  <si>
    <t>영국적 절제와 냉소 사이에서, 2015년의 시선으로 담아낸 드라마의 이야기. 우리는 각자의 서사 안에 갇혀 서로를 오해한다. 삶은 언제나 해석을 기다리는 텍스트다. 완벽하지 않아도, 그 불완전함이 오히려 인간적이다.</t>
  </si>
  <si>
    <t>감독: Huh Jong-ho
주연: 이선균, 장현성, 김고은</t>
  </si>
  <si>
    <t>한국 특유의 정서가 켜켜이 쌓인 듯, 2015년의 시선으로 담아낸 드라마의 이야기. 인간의 고통이란 결국 타인과의 거리에서 비롯된다. 우리는 각자의 서사 안에 갇혀 서로를 오해한다. 이 작품이 남기는 질문은 쉽게 사라지지 않는다.</t>
  </si>
  <si>
    <t>감독: Kim Min-ho
주연: 마동석, 송지효, 김성오</t>
  </si>
  <si>
    <t>한국 특유의 정서가 켜켜이 쌓인 듯, 2018년의 시선으로 담아낸 액션의 이야기. 육체의 한계에 도전하는 것은 곧 자아의 경계를 시험하는 일이다. 폭력의 언어 속에서도 인간은 존엄을 갈망한다. 오랫동안 여운이 남는 작품이다.</t>
  </si>
  <si>
    <t>감독: 장완정
주연: 유청운, 탕웨이, 秦海璐</t>
  </si>
  <si>
    <t>한국 특유의 정서가 켜켜이 쌓인 듯, 2015년의 시선으로 담아낸 드라마의 이야기. 우리는 각자의 서사 안에 갇혀 서로를 오해한다. 삶은 언제나 해석을 기다리는 텍스트다. 이 작품이 남기는 이미지는 어떤 방식으로든 기억에 새겨진다.</t>
  </si>
  <si>
    <t>감독: 고레에다 히로카즈
주연: 후쿠야마 마사하루, 야쿠쇼 코지, 히로세 스즈</t>
  </si>
  <si>
    <t>섬세한 일본적 감수성으로, 2017년의 시선으로 담아낸 범죄의 이야기. 욕망은 언제나 질서보다 먼저 존재했다. 법과 도덕 사이의 틈새에서 인간의 본성이 노출된다. 시간이 지날수록 더 깊이 읽히는 영화다.</t>
  </si>
  <si>
    <t>감독: Rajkumar Hirani
주연: 아미르 칸, R. Madhavan, Sharman Joshi</t>
  </si>
  <si>
    <t>2009년의 시선으로 담아낸 코미디 이야기가 우리에게 묻는다. 우스운 것과 슬픈 것은 본래 같은 뿌리에서 자란다. 가볍게 웃는 순간에도 삶의 무게는 그 그림자를 드리운다. 이 작품이 남기는 질문은 쉽게 사라지지 않는다.</t>
  </si>
  <si>
    <t>감독: 에드워드 즈윅
주연: 토비 맥과이어, 피터 사스가드, 리에브 슈라이버</t>
  </si>
  <si>
    <t>할리우드적 스펙터클 너머, 2014년의 시선으로 담아낸 드라마의 이야기. 삶은 언제나 해석을 기다리는 텍스트다. 우리는 각자의 서사 안에 갇혀 서로를 오해한다. 한 번쯤 들여다볼 가치가 있는 이야기다.</t>
  </si>
  <si>
    <t>감독: 수잔 비에르
주연: 브래들리 쿠퍼, 제니퍼 로렌스, 리스 이판</t>
  </si>
  <si>
    <t>할리우드적 스펙터클 너머, 2014년의 시선으로 담아낸 드라마의 이야기. 모든 이야기는 상처의 다른 이름이다. 인간의 고통이란 결국 타인과의 거리에서 비롯된다. 거칠지만 그 안에서도 인간의 흔적은 남는다.</t>
  </si>
  <si>
    <t>감독: 스티븐 나이트
주연: 매튜 매커너히, 앤 해서웨이, 제이슨 클라크</t>
  </si>
  <si>
    <t>할리우드적 스펙터클 너머, 2019년의 시선으로 담아낸 스릴러의 이야기. 불안이란 현실이 균열을 드러내는 순간에 스며든다. 긴장은 존재가 위협받을 때 가장 선명하게 빛난다. 이 작품이 남기는 이미지는 어떤 방식으로든 기억에 새겨진다.</t>
  </si>
  <si>
    <t>감독: 피터 첼섬
주연: 존 쿠삭, 케이트 베킨세일, 제러미 피번</t>
  </si>
  <si>
    <t>할리우드적 스펙터클 너머, 2001년의 시선으로 담아낸 로맨스의 이야기. 그리움이란 부재를 통해 존재를 확인하는 방식이다. 사랑은 자아의 경계가 흔들리는 순간에 찾아온다. 흠이 있지만 진심이 담긴 시도였다.</t>
  </si>
  <si>
    <t>감독: Richard J. Lewis
주연: 폴 지아마티, 더스틴 호프만, 로저먼드 파이크</t>
  </si>
  <si>
    <t>2012년의 시선으로 담아낸 로맨스 이야기가 우리에게 묻는다. 사랑은 자아의 경계가 흔들리는 순간에 찾아온다. 그리움이란 부재를 통해 존재를 확인하는 방식이다. 두고두고 다시 꺼내 볼 만한 작품이다.</t>
  </si>
  <si>
    <t>할리우드적 스펙터클 너머, 2007년의 시선으로 담아낸 스릴러의 이야기. 공포는 우리가 통제할 수 없는 것들에 대한 솔직한 고백이다. 긴장은 존재가 위협받을 때 가장 선명하게 빛난다. 시간이 지날수록 더 깊이 읽히는 영화다.</t>
  </si>
  <si>
    <t>감독: 민규동
주연: 배종옥, 김갑수, 김지영</t>
  </si>
  <si>
    <t>한국 특유의 정서가 켜켜이 쌓인 듯, 2011년의 시선으로 담아낸 드라마의 이야기. 삶은 언제나 해석을 기다리는 텍스트다. 우리는 각자의 서사 안에 갇혀 서로를 오해한다. 두고두고 다시 꺼내 볼 만한 작품이다.</t>
  </si>
  <si>
    <t>감독: 永井聡
주연: 사토 타케루, 미야자키 아오이, 濱田岳</t>
  </si>
  <si>
    <t>섬세한 일본적 감수성으로, 2016년의 시선으로 담아낸 드라마의 이야기. 모든 이야기는 상처의 다른 이름이다. 인간의 고통이란 결국 타인과의 거리에서 비롯된다. 오랫동안 여운이 남는 작품이다.</t>
  </si>
  <si>
    <t>감독: 미미 레더
주연: 펠리시티 존스, 아미 해머, 저스틴 서로</t>
  </si>
  <si>
    <t>할리우드적 스펙터클 너머, 2019년의 시선으로 담아낸 드라마의 이야기. 우리는 각자의 서사 안에 갇혀 서로를 오해한다. 삶은 언제나 해석을 기다리는 텍스트다. 두고두고 다시 꺼내 볼 만한 작품이다.</t>
  </si>
  <si>
    <t>감독: 로린 스카파리아
주연: 스티브 카렐, 키이라 나이틀리, 코니 브리튼</t>
  </si>
  <si>
    <t>할리우드적 스펙터클 너머, 2013년의 시선으로 담아낸 코미디의 이야기. 우스운 것과 슬픈 것은 본래 같은 뿌리에서 자란다. 유머 속에는 세계의 부조리를 견뎌내는 지혜가 담겨 있다. 두고두고 다시 꺼내 볼 만한 작품이다.</t>
  </si>
  <si>
    <t>감독: 姜秀瓊
주연: 나가사쿠 히로미, 사사키 노조미, 桜田ひより</t>
  </si>
  <si>
    <t>섬세한 일본적 감수성으로, 2014년의 시선으로 담아낸 드라마의 이야기. 우리는 각자의 서사 안에 갇혀 서로를 오해한다. 삶은 언제나 해석을 기다리는 텍스트다. 시간이 지날수록 더 깊이 읽히는 영화다.</t>
  </si>
  <si>
    <t>감독: Eliza Schroeder
주연: 실리아 임리, Bill Paterson, Shannon Tarbet</t>
  </si>
  <si>
    <t>영국적 절제와 냉소 사이에서, 2020년의 시선으로 담아낸 드라마의 이야기. 우리는 각자의 서사 안에 갇혀 서로를 오해한다. 인간의 고통이란 결국 타인과의 거리에서 비롯된다. 완성도와 별개로, 이 작품이 던지려 한 질문은 유효하다.</t>
  </si>
  <si>
    <t>감독: Ben Lewin
주연: 존 호크스, 헬렌 헌트, 윌리엄 H. 메이시</t>
  </si>
  <si>
    <t>할리우드적 스펙터클 너머, 2012년의 시선으로 담아낸 드라마의 이야기. 우리는 각자의 서사 안에 갇혀 서로를 오해한다. 삶은 언제나 해석을 기다리는 텍스트다. 완벽하지 않아도, 그 불완전함이 오히려 인간적이다.</t>
  </si>
  <si>
    <t>감독: Brian Baugh
주연: Randy Wayne, Deja Kreutzberg, Joshua Weigel</t>
  </si>
  <si>
    <t>할리우드적 스펙터클 너머, 2010년의 시선으로 담아낸 드라마의 이야기. 우리는 각자의 서사 안에 갇혀 서로를 오해한다. 인간의 고통이란 결국 타인과의 거리에서 비롯된다. 두고두고 다시 꺼내 볼 만한 작품이다.</t>
  </si>
  <si>
    <t>감독: 존 리 행콕
주연: 엠마 톰슨, 톰 행크스, 콜린 파렐</t>
  </si>
  <si>
    <t>할리우드적 스펙터클 너머, 2013년의 시선으로 담아낸 드라마의 이야기. 인간의 고통이란 결국 타인과의 거리에서 비롯된다. 우리는 각자의 서사 안에 갇혀 서로를 오해한다. 오랫동안 여운이 남는 작품이다.</t>
  </si>
  <si>
    <t>감독: Alexey Kozlov
주연: Мария Мельникова, Андрей Миронов-Удалов, Гела Месхи</t>
  </si>
  <si>
    <t>2019년의 시선으로 담아낸 전쟁 이야기가 우리에게 묻는다. 전쟁은 인간의 이성이 멈추는 지점에서 시작된다. 폐허 속에서도 존엄을 지키려는 의지가 역사를 만든다. 한 번쯤 들여다볼 가치가 있는 이야기다.</t>
  </si>
  <si>
    <t>섬세한 일본적 감수성으로, 2011년의 시선으로 담아낸 드라마의 이야기. 우리는 각자의 서사 안에 갇혀 서로를 오해한다. 모든 이야기는 상처의 다른 이름이다. 한 번쯤 들여다볼 가치가 있는 이야기다.</t>
  </si>
  <si>
    <t>감독: 라세 할스트룀
주연: 줄리앤 허프, 조시 더멜, 코비 스멀더스</t>
  </si>
  <si>
    <t>감독: 다니엘 에스피노사
주연: 덴젤 워싱턴, 라이언 레이놀즈, 베라 파미가</t>
  </si>
  <si>
    <t>할리우드적 스펙터클 너머, 2012년의 시선으로 담아낸 액션의 이야기. 생존의 욕망은 가장 원초적인 철학적 질문을 던진다. 폭력의 언어 속에서도 인간은 존엄을 갈망한다. 평점이 담지 못하는 무언가가 이 영화에는 있다.</t>
  </si>
  <si>
    <t>감독: Theodore Melfi
주연: 빌 머레이, 멜리사 매카시, 제이든 리버허</t>
  </si>
  <si>
    <t>할리우드적 스펙터클 너머, 2014년의 시선으로 담아낸 코미디의 이야기. 웃음은 고통을 소화하는 인간만의 방식이다. 가볍게 웃는 순간에도 삶의 무게는 그 그림자를 드리운다. 시간이 지날수록 더 깊이 읽히는 영화다.</t>
  </si>
  <si>
    <t>감독: Burr Steers
주연: 잭 에프론, 찰리 타핸, 아만다 크루</t>
  </si>
  <si>
    <t>할리우드적 스펙터클 너머, 2010년의 시선으로 담아낸 드라마의 이야기. 우리는 각자의 서사 안에 갇혀 서로를 오해한다. 모든 이야기는 상처의 다른 이름이다. 나름의 울림을 간직한 작품이다.</t>
  </si>
  <si>
    <t>감독: 이승원
주연: 문소리, 김선영, 장윤주</t>
  </si>
  <si>
    <t>감독: Anna Muylaert
주연: Regina Casé, Camila Márdila, Karine Teles</t>
  </si>
  <si>
    <t>2015년의 시선으로 담아낸 드라마 이야기가 우리에게 묻는다. 우리는 각자의 서사 안에 갇혀 서로를 오해한다. 삶은 언제나 해석을 기다리는 텍스트다. 두고두고 다시 꺼내 볼 만한 작품이다.</t>
  </si>
  <si>
    <t>감독: 피터 시걸
주연: 제니퍼 로페즈, 바네사 허진스, Leah Remini</t>
  </si>
  <si>
    <t>할리우드적 스펙터클 너머, 2018년의 시선으로 담아낸 코미디의 이야기. 우스운 것과 슬픈 것은 본래 같은 뿌리에서 자란다. 웃음은 고통을 소화하는 인간만의 방식이다. 이 작품이 남기는 이미지는 어떤 방식으로든 기억에 새겨진다.</t>
  </si>
  <si>
    <t>감독: Tim McCanlies
주연: 마이클 케인, 로버트 듀발, 헤일리 조엘 오스먼트</t>
  </si>
  <si>
    <t>감독: Randall Wallace
주연: 다이앤 레인, 존 말코비치, 스콧 글렌</t>
  </si>
  <si>
    <t>할리우드적 스펙터클 너머, 2010년의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</si>
  <si>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原田眞人
주연: 오카다 준이치, 아리무라 카스미, 야쿠쇼 코지</t>
  </si>
  <si>
    <t>섬세한 일본적 감수성으로, 2017년의 시선으로 담아낸 사극의 이야기. 역사는 현재를 비추는 거울이며, 과거는 아직 끝나지 않았다. 역사의 무게는 개인의 삶을 짓누르지만, 그 안에서도 빛이 있다. 이 작품이 남기는 이미지는 어떤 방식으로든 기억에 새겨진다.</t>
  </si>
  <si>
    <t>감독: Stacy Rukeyser
주연: 세라 샤히, 마이크 보걸, Adam Demos</t>
  </si>
  <si>
    <t>드라마 형식 속에서, 할리우드적 스펙터클 너머, 2021년의 시선으로 담아낸 드라마의 이야기. 인간의 고통이란 결국 타인과의 거리에서 비롯된다. 삶은 언제나 해석을 기다리는 텍스트다. 이 작품이 남기는 이미지는 어떤 방식으로든 기억에 새겨진다.</t>
  </si>
  <si>
    <t>감독: Rawson Marshall Thurber
주연: 드웨인 존슨, 케빈 하트, 에이미 라이언</t>
  </si>
  <si>
    <t>감독: 클라크 존슨
주연: 마이클 더글라스, 키퍼 서덜랜드, 에바 롱고리아</t>
  </si>
  <si>
    <t>할리우드적 스펙터클 너머, 2006년의 시선으로 담아낸 액션의 이야기. 충돌은 세계가 변화를 요구하는 방식이다. 폭력의 언어 속에서도 인간은 존엄을 갈망한다. 거칠지만 그 안에서도 인간의 흔적은 남는다.</t>
  </si>
  <si>
    <t>감독: 타셈 싱
주연: 라이언 레이놀즈, 벤 킹슬리, 내털리 마르티네스</t>
  </si>
  <si>
    <t>할리우드적 스펙터클 너머, 2015년의 시선으로 담아낸 SF의 이야기. 우주의 광대함 앞에서 인간의 질문은 더욱 깊어진다. 기술이 진보할수록 인간다움의 정의는 더욱 절박해진다. 완벽하지 않아도, 그 불완전함이 오히려 인간적이다.</t>
  </si>
  <si>
    <t>감독: Douglas Mackinnon
주연: 베네딕트 컴버배치, 마틴 프리먼, 우나 스텁스</t>
  </si>
  <si>
    <t>영국적 절제와 냉소 사이에서, 2016년의 시선으로 담아낸 범죄의 이야기. 죄란 사회가 만든 경계를 넘는 행위이자 그 경계에 대한 질문이다. 욕망은 언제나 질서보다 먼저 존재했다. 한 번쯤 들여다볼 가치가 있는 이야기다.</t>
  </si>
  <si>
    <t>감독: 가이 리치
주연: 로버트 다우니 주니어, 주드 로, 누미 라파스</t>
  </si>
  <si>
    <t>할리우드적 스펙터클 너머, 2011년의 시선으로 담아낸 액션의 이야기. 충돌은 세계가 변화를 요구하는 방식이다. 육체의 한계에 도전하는 것은 곧 자아의 경계를 시험하는 일이다. 이 작품이 남기는 질문은 쉽게 사라지지 않는다.</t>
  </si>
  <si>
    <t>감독: 기예르모 델 토로
주연: 샐리 호킨스, 마이클 섀넌, 리처드 젠킨스</t>
  </si>
  <si>
    <t>할리우드적 스펙터클 너머, 2017년의 시선으로 담아낸 판타지의 이야기. 마법이란 설명되지 않는 것들에 대한 경외의 다른 이름이다. 영웅의 여정은 결국 자기 자신으로 돌아오는 길이다. 두고두고 다시 꺼내 볼 만한 작품이다.</t>
  </si>
  <si>
    <t>감독: 스티브 맥퀸
주연: 마이클 패스벤더, 캐리 멀리건, 제임스 뱃지 데일</t>
  </si>
  <si>
    <t>영국적 절제와 냉소 사이에서, 2011년의 시선으로 담아낸 드라마의 이야기. 삶은 언제나 해석을 기다리는 텍스트다. 모든 이야기는 상처의 다른 이름이다. 시간이 지날수록 더 깊이 읽히는 영화다.</t>
  </si>
  <si>
    <t>감독: Luis Prieto
주연: 캐머런 모너핸, Lilly Krug, 프랭크 그릴로</t>
  </si>
  <si>
    <t>할리우드적 스펙터클 너머, 2022년의 시선으로 담아낸 스릴러의 이야기. 진실은 언제나 우리가 감당할 수 없는 형태로 찾아온다. 긴장은 존재가 위협받을 때 가장 선명하게 빛난다. 나름의 울림을 간직한 작품이다.</t>
  </si>
  <si>
    <t>감독: 존 파브로
주연: 존 파브로, 존 레귀자모, 바비 카나베일</t>
  </si>
  <si>
    <t>할리우드적 스펙터클 너머, 2014년의 시선으로 담아낸 코미디의 이야기. 유머 속에는 세계의 부조리를 견뎌내는 지혜가 담겨 있다. 우스운 것과 슬픈 것은 본래 같은 뿌리에서 자란다. 평점이 담지 못하는 무언가가 이 영화에는 있다.</t>
  </si>
  <si>
    <t>감독: Lee Myung-woo
주연: 임시완, 이선빈, 이시우</t>
  </si>
  <si>
    <t>드라마 형식 속에서, 한국 특유의 정서가 켜켜이 쌓인 듯, 2023년의 시선으로 담아낸 드라마의 이야기. 삶은 언제나 해석을 기다리는 텍스트다. 우리는 각자의 서사 안에 갇혀 서로를 오해한다. 이 작품이 남기는 이미지는 어떤 방식으로든 기억에 새겨진다.</t>
  </si>
  <si>
    <t>광활한 대지의 이야기를 담아, 2019년의 시선으로 담아낸 드라마의 이야기. 우리는 각자의 서사 안에 갇혀 서로를 오해한다. 삶은 언제나 해석을 기다리는 텍스트다. 시간이 지날수록 더 깊이 읽히는 영화다.</t>
  </si>
  <si>
    <t>감독: 홍종찬, Kim Min-suk
주연: 김혜수, 김무열, 이성민</t>
  </si>
  <si>
    <t>드라마 형식 속에서, 한국 특유의 정서가 켜켜이 쌓인 듯, 2022년의 시선으로 담아낸 드라마의 이야기. 삶은 언제나 해석을 기다리는 텍스트다. 모든 이야기는 상처의 다른 이름이다. 평점이 담지 못하는 무언가가 이 영화에는 있다.</t>
  </si>
  <si>
    <t>감독: 스티븐 그레이엄, 잭 쏜</t>
  </si>
  <si>
    <t>감독: 三木孝浩
주연: 미야자키 아오이, 고라 겐고, 키리타니 켄타</t>
  </si>
  <si>
    <t>섬세한 일본적 감수성으로, 2010년의 시선으로 담아낸 드라마의 이야기. 우리는 각자의 서사 안에 갇혀 서로를 오해한다. 삶은 언제나 해석을 기다리는 텍스트다. 시간이 지날수록 더 깊이 읽히는 영화다.</t>
  </si>
  <si>
    <t>감독: 홍의정
주연: 유아인, 유재명, 문승아</t>
  </si>
  <si>
    <t>한국 특유의 정서가 켜켜이 쌓인 듯, 2020년의 시선으로 담아낸 드라마의 이야기. 인간의 고통이란 결국 타인과의 거리에서 비롯된다. 삶은 언제나 해석을 기다리는 텍스트다. 완벽하지 않아도, 그 불완전함이 오히려 인간적이다.</t>
  </si>
  <si>
    <t>감독: 곽경택
주연: 주원, 곽도원, 유재명</t>
  </si>
  <si>
    <t>한국 특유의 정서가 켜켜이 쌓인 듯, 2024년의 시선으로 담아낸 드라마의 이야기. 인간의 고통이란 결국 타인과의 거리에서 비롯된다. 우리는 각자의 서사 안에 갇혀 서로를 오해한다. 나름의 울림을 간직한 작품이다.</t>
  </si>
  <si>
    <t>감독: Kim Seong-je
주연: 윤계상, 유해진, 김옥빈</t>
  </si>
  <si>
    <t>한국 특유의 정서가 켜켜이 쌓인 듯, 2013년의 시선으로 담아낸 드라마의 이야기. 삶은 언제나 해석을 기다리는 텍스트다. 모든 이야기는 상처의 다른 이름이다. 이 작품이 남기는 질문은 쉽게 사라지지 않는다.</t>
  </si>
  <si>
    <t>감독: 던칸 존스
주연: 제이크 질렌할, 미셸 모나한, 베라 파미가</t>
  </si>
  <si>
    <t>할리우드적 스펙터클 너머, 2011년의 시선으로 담아낸 SF의 이야기. 타자와의 만남은 언제나 자아의 재발견으로 이어진다. 우주의 광대함 앞에서 인간의 질문은 더욱 깊어진다. 시간이 지날수록 더 깊이 읽히는 영화다.</t>
  </si>
  <si>
    <t>감독: Sean McNamara
주연: 안나소피아 로브, 헬렌 헌트, 데니스 퀘이드</t>
  </si>
  <si>
    <t>할리우드적 스펙터클 너머, 2011년의 시선으로 담아낸 드라마의 이야기. 삶은 언제나 해석을 기다리는 텍스트다. 우리는 각자의 서사 안에 갇혀 서로를 오해한다. 평점이 담지 못하는 무언가가 이 영화에는 있다.</t>
  </si>
  <si>
    <t>감독: 이준익
주연: 설경구, 엄지원, 이레</t>
  </si>
  <si>
    <t>한국 특유의 정서가 켜켜이 쌓인 듯, 2013년의 시선으로 담아낸 드라마의 이야기. 인간의 고통이란 결국 타인과의 거리에서 비롯된다. 우리는 각자의 서사 안에 갇혀 서로를 오해한다. 시간이 지날수록 더 깊이 읽히는 영화다.</t>
  </si>
  <si>
    <t>감독: 豊島圭介
주연: 永山絢斗, 가쿠 겐토, 하루</t>
  </si>
  <si>
    <t>감독: Marc Rothemund
주연: 율리아 옌치, Fabian Hinrichs, Alexander Held</t>
  </si>
  <si>
    <t>독일 특유의 사유의 무게를 지니며, 2005년의 시선으로 담아낸 드라마의 이야기. 인간의 고통이란 결국 타인과의 거리에서 비롯된다. 모든 이야기는 상처의 다른 이름이다. 시간이 지날수록 더 깊이 읽히는 영화다.</t>
  </si>
  <si>
    <t>감독: Meryem Benm'Barek-Aloïsi
주연: Maha Alemi, 루브나 아자발, Sarah Perles</t>
  </si>
  <si>
    <t>할리우드적 스펙터클 너머, 2019년의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</si>
  <si>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스티븐 소더버그
주연: 조지 클루니, 나타샤 맥켈혼, 비올라 데이비스</t>
  </si>
  <si>
    <t>할리우드적 스펙터클 너머, 2002년의 시선으로 담아낸 SF의 이야기. 기술이 진보할수록 인간다움의 정의는 더욱 절박해진다. 타자와의 만남은 언제나 자아의 재발견으로 이어진다. 이 작품이 남기는 이미지는 어떤 방식으로든 기억에 새겨진다.</t>
  </si>
  <si>
    <t>감독: 成島出
주연: 후지노 료코, 이타가키 미즈키, 石井杏奈</t>
  </si>
  <si>
    <t>섬세한 일본적 감수성으로, 2015년의 시선으로 담아낸 미스터리의 이야기. 진실을 추적하는 것은 존재의 불투명함과 씨름하는 일이다. 알 수 없음 앞에서 인간은 비로소 겸손해진다. 완벽하지 않아도, 그 불완전함이 오히려 인간적이다.</t>
  </si>
  <si>
    <t>섬세한 일본적 감수성으로, 2015년의 시선으로 담아낸 미스터리의 이야기. 수수께끼는 세계가 우리에게 던지는 철학적 도발이다. 진실을 추적하는 것은 존재의 불투명함과 씨름하는 일이다. 아쉬움이 남지만, 모든 시도는 의미를 갖는다.</t>
  </si>
  <si>
    <t>감독: 조 라이트
주연: 로버트 다우니 주니어, 제이미 폭스, 캐서린 키너</t>
  </si>
  <si>
    <t>할리우드적 스펙터클 너머, 2009년의 시선으로 담아낸 드라마의 이야기. 모든 이야기는 상처의 다른 이름이다. 인간의 고통이란 결국 타인과의 거리에서 비롯된다. 흠이 있지만 진심이 담긴 시도였다.</t>
  </si>
  <si>
    <t>감독: 브라이언 코펠만, 데이빗 레비엔
주연: 마이클 더글라스, 수잔 서랜든, 대니 드비토</t>
  </si>
  <si>
    <t>할리우드적 스펙터클 너머, 2009년의 시선으로 담아낸 코미디의 이야기. 우스운 것과 슬픈 것은 본래 같은 뿌리에서 자란다. 유머 속에는 세계의 부조리를 견뎌내는 지혜가 담겨 있다. 완벽하지 않아도, 그 불완전함이 오히려 인간적이다.</t>
  </si>
  <si>
    <t>감독: Kate Barker-Froyland
주연: 앤 해서웨이, 조니 플린, 메리 스틴버겐</t>
  </si>
  <si>
    <t>할리우드적 스펙터클 너머, 2014년의 시선으로 담아낸 드라마의 이야기. 인간의 고통이란 결국 타인과의 거리에서 비롯된다. 삶은 언제나 해석을 기다리는 텍스트다. 완성도와 별개로, 이 작품이 던지려 한 질문은 유효하다.</t>
  </si>
  <si>
    <t>감독: 장완정
주연: 장만옥, 양자경, 邬君梅</t>
  </si>
  <si>
    <t>1997년의 시선으로 담아낸 드라마 이야기가 우리에게 묻는다. 우리는 각자의 서사 안에 갇혀 서로를 오해한다. 인간의 고통이란 결국 타인과의 거리에서 비롯된다. 시간이 지날수록 더 깊이 읽히는 영화다.</t>
  </si>
  <si>
    <t>감독: Rachel Kondo, 저스틴 마크스
주연: 사나다 히로유키, 코스모 자비스, 안나 사와이</t>
  </si>
  <si>
    <t>감독: 스티븐 소더버그
주연: 마이클 더글라스, 맷 데이먼, 댄 애크로이드</t>
  </si>
  <si>
    <t>할리우드적 스펙터클 너머, 2013년의 시선으로 담아낸 드라마의 이야기. 인간의 고통이란 결국 타인과의 거리에서 비롯된다. 우리는 각자의 서사 안에 갇혀 서로를 오해한다. 한 번쯤 들여다볼 가치가 있는 이야기다.</t>
  </si>
  <si>
    <t>감독: 프랭크 다라본트
주연: 팀 로빈스, 모건 프리먼, 밥 건턴</t>
  </si>
  <si>
    <t>할리우드적 스펙터클 너머, 1994년의 시선으로 담아낸 드라마의 이야기. 모든 이야기는 상처의 다른 이름이다. 인간의 고통이란 결국 타인과의 거리에서 비롯된다. 오랫동안 여운이 남는 작품이다.</t>
  </si>
  <si>
    <t>감독: 데스틴 대니얼 크레턴
주연: 브리 라슨, 존 갤러거 주니어, 케이틀린 디버</t>
  </si>
  <si>
    <t>할리우드적 스펙터클 너머, 2013년의 시선으로 담아낸 드라마의 이야기. 삶은 언제나 해석을 기다리는 텍스트다. 모든 이야기는 상처의 다른 이름이다. 두고두고 다시 꺼내 볼 만한 작품이다.</t>
  </si>
  <si>
    <t>감독: 윤종빈
주연: 하정우, 황정민, 박해수</t>
  </si>
  <si>
    <t>드라마 형식 속에서, 한국 특유의 정서가 켜켜이 쌓인 듯, 2022년의 시선으로 담아낸 드라마의 이야기. 인간의 고통이란 결국 타인과의 거리에서 비롯된다. 삶은 언제나 해석을 기다리는 텍스트다. 이 작품이 남기는 이미지는 어떤 방식으로든 기억에 새겨진다.</t>
  </si>
  <si>
    <t>감독: 스테파노 솔리마
주연: 피에르프란체스코 파비노, Claudio Amendola, Alessandro Borghi</t>
  </si>
  <si>
    <t>섬세한 일본적 감수성으로, 2015년의 시선으로 담아낸 드라마의 이야기. 삶은 언제나 해석을 기다리는 텍스트다. 우리는 각자의 서사 안에 갇혀 서로를 오해한다. 흠이 있지만 진심이 담긴 시도였다.</t>
  </si>
  <si>
    <t>감독: 황동혁
주연: 심은경, 나문희, 이진욱</t>
  </si>
  <si>
    <t>한국 특유의 정서가 켜켜이 쌓인 듯, 2014년의 시선으로 담아낸 코미디의 이야기. 유머 속에는 세계의 부조리를 견뎌내는 지혜가 담겨 있다. 가볍게 웃는 순간에도 삶의 무게는 그 그림자를 드리운다. 두고두고 다시 꺼내 볼 만한 작품이다.</t>
  </si>
  <si>
    <t>감독: Kim Min-sub
주연: 송창의, 송영규, 이현균</t>
  </si>
  <si>
    <t>한국 특유의 정서가 켜켜이 쌓인 듯, 2021년의 시선으로 담아낸 액션의 이야기. 생존의 욕망은 가장 원초적인 철학적 질문을 던진다. 육체의 한계에 도전하는 것은 곧 자아의 경계를 시험하는 일이다. 한 번쯤 들여다볼 가치가 있는 이야기다.</t>
  </si>
  <si>
    <t>감독: 질 를루슈
주연: 마티유 아말릭, 기욤 카네, Benoît Poelvoorde</t>
  </si>
  <si>
    <t>프랑스 영화 특유의 철학적 깊이로, 2019년의 시선으로 담아낸 코미디의 이야기. 우스운 것과 슬픈 것은 본래 같은 뿌리에서 자란다. 유머 속에는 세계의 부조리를 견뎌내는 지혜가 담겨 있다. 이 작품이 남기는 질문은 쉽게 사라지지 않는다.</t>
  </si>
  <si>
    <t>감독: Lee Eun-hee
주연: 도경수, 김소현, Yeon Jun-seok</t>
  </si>
  <si>
    <t>한국 특유의 정서가 켜켜이 쌓인 듯, 2015년의 시선으로 담아낸 로맨스의 이야기. 설렘은 불완전한 존재가 완전함을 향해 뻗는 손길이다. 그리움이란 부재를 통해 존재를 확인하는 방식이다. 오랫동안 여운이 남는 작품이다.</t>
  </si>
  <si>
    <t>감독: Britt Napier
주연: Kaylee DeFer, 엘리자베스 룀, Christian Campbell</t>
  </si>
  <si>
    <t>한국 특유의 정서가 켜켜이 쌓인 듯, 2013년의 시선으로 담아낸 스릴러의 이야기. 불안이란 현실이 균열을 드러내는 순간에 스며든다. 진실은 언제나 우리가 감당할 수 없는 형태로 찾아온다. 한 번쯤 들여다볼 가치가 있는 이야기다.</t>
  </si>
  <si>
    <t>감독: Ric Roman Waugh
주연: 제이슨 스타뎀, 보디 래 브레스나크, Michael Shaeffer</t>
  </si>
  <si>
    <t>할리우드적 스펙터클 너머, 2026년의 시선으로 담아낸 드라마의 이야기. 인간의 고통이란 결국 타인과의 거리에서 비롯된다. 삶은 언제나 해석을 기다리는 텍스트다. 평점이 담지 못하는 무언가가 이 영화에는 있다.</t>
  </si>
  <si>
    <t>감독: 라세 할스트룀
주연: 케빈 스페이시, 줄리앤 무어, 케이트 블란쳇</t>
  </si>
  <si>
    <t>할리우드적 스펙터클 너머, 2001년의 시선으로 담아낸 드라마의 이야기. 삶은 언제나 해석을 기다리는 텍스트다. 모든 이야기는 상처의 다른 이름이다. 완벽하지 않아도, 그 불완전함이 오히려 인간적이다.</t>
  </si>
  <si>
    <t>감독: Aaron Korsh
주연: 가브리엘 막트, 릭 호프먼, 사라 라퍼티</t>
  </si>
  <si>
    <t>드라마 형식 속에서, 할리우드적 스펙터클 너머, 2012년의 시선으로 담아낸 드라마의 이야기. 모든 이야기는 상처의 다른 이름이다. 인간의 고통이란 결국 타인과의 거리에서 비롯된다. 이 작품이 남기는 이미지는 어떤 방식으로든 기억에 새겨진다.</t>
  </si>
  <si>
    <t>드라마 형식 속에서, 할리우드적 스펙터클 너머, 2013년의 시선으로 담아낸 드라마의 이야기. 인간의 고통이란 결국 타인과의 거리에서 비롯된다. 삶은 언제나 해석을 기다리는 텍스트다. 평점이 담지 못하는 무언가가 이 영화에는 있다.</t>
  </si>
  <si>
    <t>드라마 형식 속에서, 할리우드적 스펙터클 너머, 2014년의 시선으로 담아낸 드라마의 이야기. 인간의 고통이란 결국 타인과의 거리에서 비롯된다. 우리는 각자의 서사 안에 갇혀 서로를 오해한다. 이 작품이 남기는 이미지는 어떤 방식으로든 기억에 새겨진다.</t>
  </si>
  <si>
    <t>드라마 형식 속에서, 할리우드적 스펙터클 너머, 2015년의 시선으로 담아낸 드라마의 이야기. 인간의 고통이란 결국 타인과의 거리에서 비롯된다. 모든 이야기는 상처의 다른 이름이다. 평점이 담지 못하는 무언가가 이 영화에는 있다.</t>
  </si>
  <si>
    <t>드라마 형식 속에서, 할리우드적 스펙터클 너머, 2016년의 시선으로 담아낸 드라마의 이야기. 우리는 각자의 서사 안에 갇혀 서로를 오해한다. 모든 이야기는 상처의 다른 이름이다. 평점이 담지 못하는 무언가가 이 영화에는 있다.</t>
  </si>
  <si>
    <t>주연: 오다 유지, 中島裕翔, 스즈키 호나미</t>
  </si>
  <si>
    <t>감독: 이병헌
주연: 천우희, 전여빈, 한지은</t>
  </si>
  <si>
    <t>드라마 형식 속에서, 할리우드적 스펙터클 너머, 2019년의 시선으로 담아낸 드라마의 이야기. 모든 이야기는 상처의 다른 이름이다. 인간의 고통이란 결국 타인과의 거리에서 비롯된다. 이 작품이 남기는 이미지는 어떤 방식으로든 기억에 새겨진다.</t>
  </si>
  <si>
    <t>감독: Harry Macqueen
주연: 콜린 퍼스, 스탠리 투치, Peter MacQueen</t>
  </si>
  <si>
    <t>영국적 절제와 냉소 사이에서, 2020년의 시선으로 담아낸 드라마의 이야기. 인간의 고통이란 결국 타인과의 거리에서 비롯된다. 우리는 각자의 서사 안에 갇혀 서로를 오해한다. 나름의 울림을 간직한 작품이다.</t>
  </si>
  <si>
    <t>감독: Cellin Gluck
주연: 카라사와 토시아키, Borys Szyc, Agnieszka Grochowska</t>
  </si>
  <si>
    <t>섬세한 일본적 감수성으로, 2015년의 시선으로 담아낸 드라마의 이야기. 인간의 고통이란 결국 타인과의 거리에서 비롯된다. 모든 이야기는 상처의 다른 이름이다. 이 작품이 남기는 이미지는 어떤 방식으로든 기억에 새겨진다.</t>
  </si>
  <si>
    <t>섬세한 일본적 감수성으로, 2015년의 시선으로 담아낸 드라마의 이야기. 우리는 각자의 서사 안에 갇혀 서로를 오해한다. 삶은 언제나 해석을 기다리는 텍스트다. 완벽하지 않아도, 그 불완전함이 오히려 인간적이다.</t>
  </si>
  <si>
    <t>감독: Claudio Fäh
주연: Chad Michael Collins, Danay García, Joe Lando</t>
  </si>
  <si>
    <t>할리우드적 스펙터클 너머, 2017년의 시선으로 담아낸 액션의 이야기. 생존의 욕망은 가장 원초적인 철학적 질문을 던진다. 충돌은 세계가 변화를 요구하는 방식이다. 평점이 담지 못하는 무언가가 이 영화에는 있다.</t>
  </si>
  <si>
    <t>감독: Fred Olen Ray
주연: 스티븐 시걸, Tim Abell, Rob Szatkowski</t>
  </si>
  <si>
    <t>할리우드적 스펙터클 너머, 2016년의 시선으로 담아낸 액션의 이야기. 충돌은 세계가 변화를 요구하는 방식이다. 폭력의 언어 속에서도 인간은 존엄을 갈망한다. 아쉬움이 남지만, 모든 시도는 의미를 갖는다.</t>
  </si>
  <si>
    <t>감독: Don Michael Paul
주연: Chad Michael Collins, 빌리 제인, Nick Gomez</t>
  </si>
  <si>
    <t>할리우드적 스펙터클 너머, 2016년의 시선으로 담아낸 액션의 이야기. 폭력의 언어 속에서도 인간은 존엄을 갈망한다. 생존의 욕망은 가장 원초적인 철학적 질문을 던진다. 아쉬움이 남지만, 모든 시도는 의미를 갖는다.</t>
  </si>
  <si>
    <t>감독: J.M. Berrios
주연: Scott Pryor, Darrin Henson, 에릭 로버츠</t>
  </si>
  <si>
    <t>할리우드적 스펙터클 너머, 2019년의 시선으로 담아낸 액션의 이야기. 생존의 욕망은 가장 원초적인 철학적 질문을 던진다. 폭력의 언어 속에서도 인간은 존엄을 갈망한다. 나름의 울림을 간직한 작품이다.</t>
  </si>
  <si>
    <t>감독: Kaare Andrews
주연: Chad Michael Collins, 秋元才加, Ryan Robbins</t>
  </si>
  <si>
    <t>할리우드적 스펙터클 너머, 2020년의 시선으로 담아낸 액션의 이야기. 폭력의 언어 속에서도 인간은 존엄을 갈망한다. 육체의 한계에 도전하는 것은 곧 자아의 경계를 시험하는 일이다. 거칠지만 그 안에서도 인간의 흔적은 남는다.</t>
  </si>
  <si>
    <t>감독: 올리버 스톤
주연: 조셉 고든레빗, 쉐일린 우들리, 멜리사 레오</t>
  </si>
  <si>
    <t>할리우드적 스펙터클 너머, 2016년의 시선으로 담아낸 드라마의 이야기. 모든 이야기는 상처의 다른 이름이다. 삶은 언제나 해석을 기다리는 텍스트다. 시간이 지날수록 더 깊이 읽히는 영화다.</t>
  </si>
  <si>
    <t>감독: 토마스 알프레드손
주연: 마이클 패스벤더, 레베카 퍼거슨, 샤를로트 갱스부르</t>
  </si>
  <si>
    <t>영국적 절제와 냉소 사이에서, 2017년의 시선으로 담아낸 범죄의 이야기. 법과 도덕 사이의 틈새에서 인간의 본성이 노출된다. 욕망은 언제나 질서보다 먼저 존재했다. 거칠지만 그 안에서도 인간의 흔적은 남는다.</t>
  </si>
  <si>
    <t>감독: 찰스 마틴 스미스
주연: 배리 페퍼, Annabella Piugattuk, 제임스 크롬웰</t>
  </si>
  <si>
    <t>2003년의 시선으로 담아낸 드라마 이야기가 우리에게 묻는다. 삶은 언제나 해석을 기다리는 텍스트다. 모든 이야기는 상처의 다른 이름이다. 이 작품이 남기는 질문은 쉽게 사라지지 않는다.</t>
  </si>
  <si>
    <t>감독: Ric Roman Waugh
주연: 드웨인 존슨, 배리 페퍼, 수잔 서랜든</t>
  </si>
  <si>
    <t>할리우드적 스펙터클 너머, 2013년의 시선으로 담아낸 액션의 이야기. 충돌은 세계가 변화를 요구하는 방식이다. 폭력의 언어 속에서도 인간은 존엄을 갈망한다. 오랫동안 여운이 남는 작품이다.</t>
  </si>
  <si>
    <t>감독: Samuel Thivierge
주연: Samuel Thivierge, Samy Naceri, Gilbert Sicotte</t>
  </si>
  <si>
    <t>섬세한 일본적 감수성으로, 2018년의 시선으로 담아낸 스릴러의 이야기. 긴장은 존재가 위협받을 때 가장 선명하게 빛난다. 불안이란 현실이 균열을 드러내는 순간에 스며든다. 흠이 있지만 진심이 담긴 시도였다.</t>
  </si>
  <si>
    <t>감독: James Ponsoldt
주연: 메리 엘리자베스 윈스테드, 아론 폴, 옥타비아 스펜서</t>
  </si>
  <si>
    <t>할리우드적 스펙터클 너머, 2012년의 시선으로 담아낸 드라마의 이야기. 삶은 언제나 해석을 기다리는 텍스트다. 인간의 고통이란 결국 타인과의 거리에서 비롯된다. 한 번쯤 들여다볼 가치가 있는 이야기다.</t>
  </si>
  <si>
    <t>감독: David Gelb
주연: 小野二郎, Masuhiro Yamamoto, Yoshikazu Ono</t>
  </si>
  <si>
    <t>할리우드적 스펙터클 너머, 2011년의 시선으로 담아낸 다큐의 이야기. 카메라가 포착한 진실 앞에서 우리는 응시할 의무를 갖는다. 현실은 어떤 허구보다 더 충격적인 서사를 품고 있다. 나름의 울림을 간직한 작품이다.</t>
  </si>
  <si>
    <t>감독: Aaron Rahsaan Thomas, 숀 라이언
주연: 셰마 무어, Jay Harrington, David Lim</t>
  </si>
  <si>
    <t>드라마 형식 속에서, 할리우드적 스펙터클 너머, 2017년의 시선으로 담아낸 드라마의 이야기. 인간의 고통이란 결국 타인과의 거리에서 비롯된다. 우리는 각자의 서사 안에 갇혀 서로를 오해한다. 이 작품이 남기는 이미지는 어떤 방식으로든 기억에 새겨진다.</t>
  </si>
  <si>
    <t>드라마 형식 속에서, 할리우드적 스펙터클 너머, 2020년의 시선으로 담아낸 드라마의 이야기. 삶은 언제나 해석을 기다리는 텍스트다. 우리는 각자의 서사 안에 갇혀 서로를 오해한다. 평점이 담지 못하는 무언가가 이 영화에는 있다.</t>
  </si>
  <si>
    <t>드라마 형식 속에서, 할리우드적 스펙터클 너머, 2022년의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</si>
  <si>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2024년의 시선으로 담아낸 드라마의 이야기. 모든 이야기는 상처의 다른 이름이다. 우리는 각자의 서사 안에 갇혀 서로를 오해한다. 이 작품이 남기는 이미지는 어떤 방식으로든 기억에 새겨진다.</t>
  </si>
  <si>
    <t>감독: Michael Jacobs
주연: 다이앤 키튼, 리처드 기어, 수잔 서랜든</t>
  </si>
  <si>
    <t>할리우드적 스펙터클 너머, 2023년의 시선으로 담아낸 코미디의 이야기. 가볍게 웃는 순간에도 삶의 무게는 그 그림자를 드리운다. 유머 속에는 세계의 부조리를 견뎌내는 지혜가 담겨 있다. 완벽하지 않아도, 그 불완전함이 오히려 인간적이다.</t>
  </si>
  <si>
    <t>감독: 矢崎仁司
주연: 나카타니 미키, 오모리 나오, 이케와키 치즈루</t>
  </si>
  <si>
    <t>독일 특유의 사유의 무게를 지니며, 2010년의 시선으로 담아낸 코미디의 이야기. 웃음은 고통을 소화하는 인간만의 방식이다. 가볍게 웃는 순간에도 삶의 무게는 그 그림자를 드리운다. 이 작품이 남기는 이미지는 어떤 방식으로든 기억에 새겨진다.</t>
  </si>
  <si>
    <t>독일 특유의 사유의 무게를 지니며, 2010년의 시선으로 담아낸 코미디의 이야기. 우스운 것과 슬픈 것은 본래 같은 뿌리에서 자란다. 유머 속에는 세계의 부조리를 견뎌내는 지혜가 담겨 있다. 흠이 있지만 진심이 담긴 시도였다.</t>
  </si>
  <si>
    <t>감독: Saul Dibb
주연: 미셸 윌리엄스, 크리스틴 스콧 토머스, 마티아스 스후나르츠</t>
  </si>
  <si>
    <t>프랑스 영화 특유의 철학적 깊이로, 2014년의 시선으로 담아낸 코미디의 이야기. 웃음은 고통을 소화하는 인간만의 방식이다. 유머 속에는 세계의 부조리를 견뎌내는 지혜가 담겨 있다. 오랫동안 여운이 남는 작품이다.</t>
  </si>
  <si>
    <t>감독: 조슈아 마이클 스턴
주연: 케빈 코스트너, Madeline Carroll, 폴라 패튼</t>
  </si>
  <si>
    <t>할리우드적 스펙터클 너머, 2008년의 시선으로 담아낸 코미디의 이야기. 가볍게 웃는 순간에도 삶의 무게는 그 그림자를 드리운다. 웃음은 고통을 소화하는 인간만의 방식이다. 시간이 지날수록 더 깊이 읽히는 영화다.</t>
  </si>
  <si>
    <t>감독: 강형철
주연: 도경수, Jared Grimes, 박혜수</t>
  </si>
  <si>
    <t>한국 특유의 정서가 켜켜이 쌓인 듯, 2018년의 시선으로 담아낸 드라마의 이야기. 모든 이야기는 상처의 다른 이름이다. 인간의 고통이란 결국 타인과의 거리에서 비롯된다. 오랫동안 여운이 남는 작품이다.</t>
  </si>
  <si>
    <t>감독: Alex Tavakoli
주연: Scarlett Hefner, Gavin Stenhouse, 릭 코스넷</t>
  </si>
  <si>
    <t>82분</t>
  </si>
  <si>
    <t>독일 특유의 사유의 무게를 지니며, 2017년의 시선으로 담아낸 스릴러의 이야기. 긴장은 존재가 위협받을 때 가장 선명하게 빛난다. 진실은 언제나 우리가 감당할 수 없는 형태로 찾아온다. 거칠지만 그 안에서도 인간의 흔적은 남는다.</t>
  </si>
  <si>
    <t>감독: Rawson Marshall Thurber
주연: 드웨인 존슨, 니브 캠벨, 친 한</t>
  </si>
  <si>
    <t>할리우드적 스펙터클 너머, 2018년의 시선으로 담아낸 액션의 이야기. 육체의 한계에 도전하는 것은 곧 자아의 경계를 시험하는 일이다. 폭력의 언어 속에서도 인간은 존엄을 갈망한다. 오랫동안 여운이 남는 작품이다.</t>
  </si>
  <si>
    <t>감독: Manjari Makijany
주연: Rachel Sanchita Gupta, Amy Maghera, Waheeda Rehman</t>
  </si>
  <si>
    <t>2021년의 시선으로 담아낸 드라마 이야기가 우리에게 묻는다. 모든 이야기는 상처의 다른 이름이다. 우리는 각자의 서사 안에 갇혀 서로를 오해한다. 나름의 울림을 간직한 작품이다.</t>
  </si>
  <si>
    <t>감독: Shawn Ku
주연: 니콜라스 케이지, Noah Le Gros, 카롤리나 비드라</t>
  </si>
  <si>
    <t>할리우드적 스펙터클 너머, 2019년의 시선으로 담아낸 액션의 이야기. 폭력의 언어 속에서도 인간은 존엄을 갈망한다. 충돌은 세계가 변화를 요구하는 방식이다. 완벽하지 않아도, 그 불완전함이 오히려 인간적이다.</t>
  </si>
  <si>
    <t>감독: 우디 앨런
주연: 스칼렛 요한슨, 우디 앨런, 휴 잭맨</t>
  </si>
  <si>
    <t>영국적 절제와 냉소 사이에서, 2006년의 시선으로 담아낸 스릴러의 이야기. 긴장은 존재가 위협받을 때 가장 선명하게 빛난다. 불안이란 현실이 균열을 드러내는 순간에 스며든다. 한 번쯤 들여다볼 가치가 있는 이야기다.</t>
  </si>
  <si>
    <t>감독: 리처드 링클레이터
주연: 잭 블랙, 조앤 쿠삭, 마이크 화이트</t>
  </si>
  <si>
    <t>감독: Tyler Gillett, 맷 베티넬리올핀
주연: 멜리사 바레라, 제나 오르테가, 메이슨 구딩</t>
  </si>
  <si>
    <t>할리우드적 스펙터클 너머, 2022년의 시선으로 담아낸 공포의 이야기. 우리가 두려워하는 것은 대개 우리 자신의 그림자다. 공포란 이성이 침묵하는 순간 존재가 맞닥뜨리는 날것의 경험이다. 흠이 있지만 진심이 담긴 시도였다.</t>
  </si>
  <si>
    <t>감독: 레니 할린
주연: 성룡, 조니 녹스빌, 판빙빙</t>
  </si>
  <si>
    <t>광활한 대지의 이야기를 담아, 2016년의 시선으로 담아낸 액션의 이야기. 생존의 욕망은 가장 원초적인 철학적 질문을 던진다. 충돌은 세계가 변화를 요구하는 방식이다. 두고두고 다시 꺼내 볼 만한 작품이다.</t>
  </si>
  <si>
    <t>감독: 브래들리 쿠퍼
주연: 레이디 가가, 브래들리 쿠퍼, 샘 엘리엇</t>
  </si>
  <si>
    <t>할리우드적 스펙터클 너머, 2018년의 시선으로 담아낸 드라마의 이야기. 삶은 언제나 해석을 기다리는 텍스트다. 우리는 각자의 서사 안에 갇혀 서로를 오해한다. 이 작품이 남기는 질문은 쉽게 사라지지 않는다.</t>
  </si>
  <si>
    <t>감독: 션 베이커
주연: Dree Hemingway, Besedka Johnson, Stella Maeve</t>
  </si>
  <si>
    <t>감독: J.J. 에이브럼스
주연: 해리슨 포드, 마크 해밀, 캐리 피셔</t>
  </si>
  <si>
    <t>할리우드적 스펙터클 너머, 2015년의 시선으로 담아낸 SF의 이야기. 미래를 상상하는 것은 현재를 비판하는 가장 우회적인 방법이다. 기술이 진보할수록 인간다움의 정의는 더욱 절박해진다. 두고두고 다시 꺼내 볼 만한 작품이다.</t>
  </si>
  <si>
    <t>감독: D.J. Caruso
주연: Chandler Canterbury, Annalise Basso, 라다 미첼</t>
  </si>
  <si>
    <t>할리우드적 스펙터클 너머, 2013년의 시선으로 담아낸 드라마의 이야기. 모든 이야기는 상처의 다른 이름이다. 우리는 각자의 서사 안에 갇혀 서로를 오해한다. 오랫동안 여운이 남는 작품이다.</t>
  </si>
  <si>
    <t>감독: Amole Gupte
주연: Partho A. Gupte, Amole Gupte, Divya Dutta</t>
  </si>
  <si>
    <t>2011년의 시선으로 담아낸 드라마 이야기가 우리에게 묻는다. 삶은 언제나 해석을 기다리는 텍스트다. 우리는 각자의 서사 안에 갇혀 서로를 오해한다. 오랫동안 여운이 남는 작품이다.</t>
  </si>
  <si>
    <t>감독: 조쉬 분
주연: 그렉 키니어, 제니퍼 코넬리, 릴리 콜린스</t>
  </si>
  <si>
    <t>할리우드적 스펙터클 너머, 2012년의 시선으로 담아낸 코미디의 이야기. 우스운 것과 슬픈 것은 본래 같은 뿌리에서 자란다. 가볍게 웃는 순간에도 삶의 무게는 그 그림자를 드리운다. 나름의 울림을 간직한 작품이다.</t>
  </si>
  <si>
    <t>감독: Thomas Risch</t>
  </si>
  <si>
    <t>독일 특유의 사유의 무게를 지니며, 2017년의 시선으로 담아낸 스릴러의 이야기. 진실은 언제나 우리가 감당할 수 없는 형태로 찾아온다. 불안이란 현실이 균열을 드러내는 순간에 스며든다. 이 작품이 남기는 질문은 쉽게 사라지지 않는다.</t>
  </si>
  <si>
    <t>감독: 케빈 맥도널드
주연: 러셀 크로우, 벤 애플렉, 레이첼 맥아담스</t>
  </si>
  <si>
    <t>할리우드적 스펙터클 너머, 2009년의 시선으로 담아낸 스릴러의 이야기. 긴장은 존재가 위협받을 때 가장 선명하게 빛난다. 진실은 언제나 우리가 감당할 수 없는 형태로 찾아온다. 한 번쯤 들여다볼 가치가 있는 이야기다.</t>
  </si>
  <si>
    <t>감독: Kilian Riedhof
주연: 폴라 비어, Jannis Niewöhner, 카챠 리만</t>
  </si>
  <si>
    <t>독일 특유의 사유의 무게를 지니며, 2023년의 시선으로 담아낸 드라마의 이야기. 인간의 고통이란 결국 타인과의 거리에서 비롯된다. 모든 이야기는 상처의 다른 이름이다. 거칠지만 그 안에서도 인간의 흔적은 남는다.</t>
  </si>
  <si>
    <t>감독: Anne Fletcher
주연: 채닝 테이텀, 제나 디완, Damaine Radcliff</t>
  </si>
  <si>
    <t>할리우드적 스펙터클 너머, 2006년의 시선으로 담아낸 드라마의 이야기. 삶은 언제나 해석을 기다리는 텍스트다. 인간의 고통이란 결국 타인과의 거리에서 비롯된다. 거칠지만 그 안에서도 인간의 흔적은 남는다.</t>
  </si>
  <si>
    <t>감독: 존 M. 추
주연: 샤니 빈슨, Rick Malambri, Adam Sevani</t>
  </si>
  <si>
    <t>할리우드적 스펙터클 너머, 2010년의 시선으로 담아낸 드라마의 이야기. 모든 이야기는 상처의 다른 이름이다. 삶은 언제나 해석을 기다리는 텍스트다. 이 작품이 남기는 질문은 쉽게 사라지지 않는다.</t>
  </si>
  <si>
    <t>감독: Trish Sie
주연: Briana Evigan, 라이언 거즈먼, Chaton Anderson</t>
  </si>
  <si>
    <t>할리우드적 스펙터클 너머, 2014년의 시선으로 담아낸 드라마의 이야기. 우리는 각자의 서사 안에 갇혀 서로를 오해한다. 모든 이야기는 상처의 다른 이름이다. 이 작품이 남기는 질문은 쉽게 사라지지 않는다.</t>
  </si>
  <si>
    <t>감독: Scott Speer
주연: Kathryn McCormick, 라이언 거즈먼, Misha Gabriel</t>
  </si>
  <si>
    <t>할리우드적 스펙터클 너머, 2012년의 시선으로 담아낸 드라마의 이야기. 인간의 고통이란 결국 타인과의 거리에서 비롯된다. 모든 이야기는 상처의 다른 이름이다. 두고두고 다시 꺼내 볼 만한 작품이다.</t>
  </si>
  <si>
    <t>감독: 박찬욱
주연: 미아 바시코프스카, 니콜 키드먼, 매튜 구드</t>
  </si>
  <si>
    <t>할리우드적 스펙터클 너머, 2013년의 시선으로 담아낸 스릴러의 이야기. 긴장은 존재가 위협받을 때 가장 선명하게 빛난다. 공포는 우리가 통제할 수 없는 것들에 대한 솔직한 고백이다. 완벽하지 않아도, 그 불완전함이 오히려 인간적이다.</t>
  </si>
  <si>
    <t>감독: Robert Budreau
주연: 에단 호크, 누미 라파스, 마크 스트롱</t>
  </si>
  <si>
    <t>할리우드적 스펙터클 너머, 2018년의 시선으로 담아낸 코미디의 이야기. 유머 속에는 세계의 부조리를 견뎌내는 지혜가 담겨 있다. 웃음은 고통을 소화하는 인간만의 방식이다. 평점이 담지 못하는 무언가가 이 영화에는 있다.</t>
  </si>
  <si>
    <t>감독: John Curran
주연: 로버트 드 니로, 에드워드 노튼, 밀라 요보비치</t>
  </si>
  <si>
    <t>할리우드적 스펙터클 너머, 2010년의 시선으로 담아낸 드라마의 이야기. 모든 이야기는 상처의 다른 이름이다. 우리는 각자의 서사 안에 갇혀 서로를 오해한다. 완벽하지 않아도, 그 불완전함이 오히려 인간적이다.</t>
  </si>
  <si>
    <t>감독: Simon West
주연: 니콜라스 케이지, Sami Gayle, 조시 루커스</t>
  </si>
  <si>
    <t>할리우드적 스펙터클 너머, 2012년의 시선으로 담아낸 액션의 이야기. 생존의 욕망은 가장 원초적인 철학적 질문을 던진다. 육체의 한계에 도전하는 것은 곧 자아의 경계를 시험하는 일이다. 나름의 울림을 간직한 작품이다.</t>
  </si>
  <si>
    <t>감독: Shawn Seet
주연: 제프리 러쉬, 제이 코트니, Erik Thomson</t>
  </si>
  <si>
    <t>2019년의 시선으로 담아낸 드라마 이야기가 우리에게 묻는다. 인간의 고통이란 결국 타인과의 거리에서 비롯된다. 삶은 언제나 해석을 기다리는 텍스트다. 한 번쯤 들여다볼 가치가 있는 이야기다.</t>
  </si>
  <si>
    <t>감독: Kimberly Peirce
주연: 라이언 필립, 에비 코니쉬, 조셉 고든레빗</t>
  </si>
  <si>
    <t>할리우드적 스펙터클 너머, 2008년의 시선으로 담아낸 드라마의 이야기. 삶은 언제나 해석을 기다리는 텍스트다. 우리는 각자의 서사 안에 갇혀 서로를 오해한다. 평점이 담지 못하는 무언가가 이 영화에는 있다.</t>
  </si>
  <si>
    <t>감독: Simon West
주연: 도미닉 쿠퍼, 젬마 찬, 코니 닐센</t>
  </si>
  <si>
    <t>영국적 절제와 냉소 사이에서, 2017년의 시선으로 담아낸 액션의 이야기. 육체의 한계에 도전하는 것은 곧 자아의 경계를 시험하는 일이다. 생존의 욕망은 가장 원초적인 철학적 질문을 던진다. 평점이 담지 못하는 무언가가 이 영화에는 있다.</t>
  </si>
  <si>
    <t>감독: Kim Farrant
주연: 니콜 키드먼, 조셉 파인즈, 휴고 위빙</t>
  </si>
  <si>
    <t>2015년의 시선으로 담아낸 드라마 이야기가 우리에게 묻는다. 모든 이야기는 상처의 다른 이름이다. 우리는 각자의 서사 안에 갇혀 서로를 오해한다. 아쉬움이 남지만, 모든 시도는 의미를 갖는다.</t>
  </si>
  <si>
    <t>감독: 佐藤祐市
주연: 타케우치 유코, 阿南健治, 엔도 켄이치</t>
  </si>
  <si>
    <t>섬세한 일본적 감수성으로, 2013년의 시선으로 담아낸 범죄의 이야기. 법과 도덕 사이의 틈새에서 인간의 본성이 노출된다. 어둠 속에서도 인간은 스스로를 정당화하려 한다. 나름의 울림을 간직한 작품이다.</t>
  </si>
  <si>
    <t>감독: 데이비드 고든 그린
주연: 제이크 질렌할, 타티아나 마슬라니, 미란다 리처드슨</t>
  </si>
  <si>
    <t>할리우드적 스펙터클 너머, 2017년의 시선으로 담아낸 드라마의 이야기. 모든 이야기는 상처의 다른 이름이다. 우리는 각자의 서사 안에 갇혀 서로를 오해한다. 두고두고 다시 꺼내 볼 만한 작품이다.</t>
  </si>
  <si>
    <t>감독: 대니 보일
주연: 마이클 패스벤더, 케이트 윈슬렛, 세스 로건</t>
  </si>
  <si>
    <t>할리우드적 스펙터클 너머, 2015년의 시선으로 담아낸 드라마의 이야기. 우리는 각자의 서사 안에 갇혀 서로를 오해한다. 인간의 고통이란 결국 타인과의 거리에서 비롯된다. 한 번쯤 들여다볼 가치가 있는 이야기다.</t>
  </si>
  <si>
    <t>감독: 알렉스 기브니
주연: Bob Belleville, Chrisann Brennan, Nolan Bushnell</t>
  </si>
  <si>
    <t>할리우드적 스펙터클 너머, 2015년의 시선으로 담아낸 다큐의 이야기. 현실은 어떤 허구보다 더 충격적인 서사를 품고 있다. 카메라가 포착한 진실 앞에서 우리는 응시할 의무를 갖는다. 평점이 담지 못하는 무언가가 이 영화에는 있다.</t>
  </si>
  <si>
    <t>감독: Philippe Martinez, Ross W. Clarkson
주연: 스티븐 시걸, Byron Gibson, Ron Smoorenburg</t>
  </si>
  <si>
    <t>할리우드적 스펙터클 너머, 2019년의 시선으로 담아낸 액션의 이야기. 충돌은 세계가 변화를 요구하는 방식이다. 생존의 욕망은 가장 원초적인 철학적 질문을 던진다. 이 작품이 남기는 이미지는 어떤 방식으로든 기억에 새겨진다.</t>
  </si>
  <si>
    <t>감독: 숀 레비
주연: 휴 잭맨, Dakota Goyo, 에반젤린 릴리</t>
  </si>
  <si>
    <t>할리우드적 스펙터클 너머, 2012년의 시선으로 담아낸 액션의 이야기. 생존의 욕망은 가장 원초적인 철학적 질문을 던진다. 충돌은 세계가 변화를 요구하는 방식이다. 완벽하지 않아도, 그 불완전함이 오히려 인간적이다.</t>
  </si>
  <si>
    <t>감독: Uberto Pasolini
주연: 에디 마산, 조앤 프로갯, Karen Drury</t>
  </si>
  <si>
    <t>영국적 절제와 냉소 사이에서, 2013년의 시선으로 담아낸 드라마의 이야기. 우리는 각자의 서사 안에 갇혀 서로를 오해한다. 인간의 고통이란 결국 타인과의 거리에서 비롯된다. 이 작품이 남기는 질문은 쉽게 사라지지 않는다.</t>
  </si>
  <si>
    <t>감독: Wash Westmoreland, Richard Glatzer
주연: 줄리앤 무어, 케이트 보스워스, 셰인 맥레이</t>
  </si>
  <si>
    <t>감독: 톰 맥카시
주연: 맷 데이먼, 카미유 코탱, 아비게일 브레스린</t>
  </si>
  <si>
    <t>할리우드적 스펙터클 너머, 2021년의 시선으로 담아낸 드라마의 이야기. 인간의 고통이란 결국 타인과의 거리에서 비롯된다. 우리는 각자의 서사 안에 갇혀 서로를 오해한다. 흠이 있지만 진심이 담긴 시도였다.</t>
  </si>
  <si>
    <t>감독: 토니 스콧
주연: 로버트 레드포드, 브래드 피트, 캐서린 맥코맥</t>
  </si>
  <si>
    <t>한국 특유의 정서가 켜켜이 쌓인 듯, 2013년의 시선으로 담아낸 코미디의 이야기. 웃음은 고통을 소화하는 인간만의 방식이다. 유머 속에는 세계의 부조리를 견뎌내는 지혜가 담겨 있다. 완벽하지 않아도, 그 불완전함이 오히려 인간적이다.</t>
  </si>
  <si>
    <t>감독: 폴 피그
주연: 멜리사 매카시, 로즈 번, 제이슨 스타뎀</t>
  </si>
  <si>
    <t>할리우드적 스펙터클 너머, 2015년의 시선으로 담아낸 액션의 이야기. 육체의 한계에 도전하는 것은 곧 자아의 경계를 시험하는 일이다. 생존의 욕망은 가장 원초적인 철학적 질문을 던진다. 아쉬움이 남지만, 모든 시도는 의미를 갖는다.</t>
  </si>
  <si>
    <t>할리우드적 스펙터클 너머, 2001년의 시선으로 담아낸 액션의 이야기. 폭력의 언어 속에서도 인간은 존엄을 갈망한다. 충돌은 세계가 변화를 요구하는 방식이다. 오랫동안 여운이 남는 작품이다.</t>
  </si>
  <si>
    <t>할리우드적 스펙터클 너머, 2017년의 시선으로 담아낸 액션의 이야기. 충돌은 세계가 변화를 요구하는 방식이다. 폭력의 언어 속에서도 인간은 존엄을 갈망한다. 시간이 지날수록 더 깊이 읽히는 영화다.</t>
  </si>
  <si>
    <t>감독: 스티븐 스필버그
주연: 톰 행크스, 마크 라이런스, 에이미 라이언</t>
  </si>
  <si>
    <t>할리우드적 스펙터클 너머, 2015년의 시선으로 담아낸 드라마의 이야기. 인간의 고통이란 결국 타인과의 거리에서 비롯된다. 삶은 언제나 해석을 기다리는 텍스트다. 두고두고 다시 꺼내 볼 만한 작품이다.</t>
  </si>
  <si>
    <t>감독: 마이클 슈어
주연: 테드 댄슨, 마리 엘리자베스 엘리스, 라일라 리치크리크 에스트라다</t>
  </si>
  <si>
    <t>드라마 형식 속에서, 할리우드적 스펙터클 너머, 2024년의 시선으로 담아낸 드라마의 이야기. 인간의 고통이란 결국 타인과의 거리에서 비롯된다. 삶은 언제나 해석을 기다리는 텍스트다. 이 작품이 남기는 이미지는 어떤 방식으로든 기억에 새겨진다.</t>
  </si>
  <si>
    <t>감독: Salla Sorri, Eva-Maria Koskinen
주연: Alma Pöysti, Linda Zilliacus, Vivian Taht</t>
  </si>
  <si>
    <t>할리우드적 스펙터클 너머, 2021년의 시선으로 담아낸 공포의 이야기. 불가해한 것 앞에서 인간은 얼마나 작은가를 깨닫는다. 어둠은 우리 내면의 억압된 것들이 귀환하는 문이다. 이 작품이 남기는 이미지는 어떤 방식으로든 기억에 새겨진다.</t>
  </si>
  <si>
    <t>감독: 구로사와 기요시
주연: 아오이 유우, 타카하시 잇세이, 히가시데 마사히로</t>
  </si>
  <si>
    <t>섬세한 일본적 감수성으로, 2020년의 시선으로 담아낸 드라마의 이야기. 삶은 언제나 해석을 기다리는 텍스트다. 모든 이야기는 상처의 다른 이름이다. 시간이 지날수록 더 깊이 읽히는 영화다.</t>
  </si>
  <si>
    <t>할리우드적 스펙터클 너머, 2021년의 시선으로 담아낸 액션의 이야기. 폭력의 언어 속에서도 인간은 존엄을 갈망한다. 충돌은 세계가 변화를 요구하는 방식이다. 한 번쯤 들여다볼 가치가 있는 이야기다.</t>
  </si>
  <si>
    <t>감독: 피터 첼섬
주연: 에이사 버터필드, 브릿 로버트슨, 칼라 구지노</t>
  </si>
  <si>
    <t>할리우드적 스펙터클 너머, 2017년의 시선으로 담아낸 SF의 이야기. 타자와의 만남은 언제나 자아의 재발견으로 이어진다. 기술이 진보할수록 인간다움의 정의는 더욱 절박해진다. 시간이 지날수록 더 깊이 읽히는 영화다.</t>
  </si>
  <si>
    <t>감독: Клим Шипенко
주연: Владимир Вдовиченков, Павел Деревянко, Александр Самойленко</t>
  </si>
  <si>
    <t>감독: 클린트 이스트우드
주연: 클린트 이스트우드, 토미 리 존스, 도널드 서덜랜드</t>
  </si>
  <si>
    <t>할리우드적 스펙터클 너머, 2000년의 시선으로 담아낸 액션의 이야기. 충돌은 세계가 변화를 요구하는 방식이다. 폭력의 언어 속에서도 인간은 존엄을 갈망한다. 시간이 지날수록 더 깊이 읽히는 영화다.</t>
  </si>
  <si>
    <t>감독: 파블로 라라인
주연: 크리스틴 스튜어트, 티모시 스폴, Jack Nielen</t>
  </si>
  <si>
    <t>영국적 절제와 냉소 사이에서, 2021년의 시선으로 담아낸 드라마의 이야기. 모든 이야기는 상처의 다른 이름이다. 삶은 언제나 해석을 기다리는 텍스트다. 한 번쯤 들여다볼 가치가 있는 이야기다.</t>
  </si>
  <si>
    <t>감독: 피터 버그
주연: 마크 월버그, 윈스턴 듀크, 알란 아킨</t>
  </si>
  <si>
    <t>할리우드적 스펙터클 너머, 2020년의 시선으로 담아낸 액션의 이야기. 폭력의 언어 속에서도 인간은 존엄을 갈망한다. 육체의 한계에 도전하는 것은 곧 자아의 경계를 시험하는 일이다. 완벽하지 않아도, 그 불완전함이 오히려 인간적이다.</t>
  </si>
  <si>
    <t>감독: 톰 맥카시
주연: 마크 러팔로, 마이클 키튼, 레이첼 맥아담스</t>
  </si>
  <si>
    <t>할리우드적 스펙터클 너머, 2015년의 시선으로 담아낸 드라마의 이야기. 우리는 각자의 서사 안에 갇혀 서로를 오해한다. 삶은 언제나 해석을 기다리는 텍스트다. 오랫동안 여운이 남는 작품이다.</t>
  </si>
  <si>
    <t>감독: Bharat Nalluri
주연: 피터 퍼스, 키트 해링턴, 엘예스 가벨</t>
  </si>
  <si>
    <t>영국적 절제와 냉소 사이에서, 2015년의 시선으로 담아낸 액션의 이야기. 폭력의 언어 속에서도 인간은 존엄을 갈망한다. 충돌은 세계가 변화를 요구하는 방식이다. 나름의 울림을 간직한 작품이다.</t>
  </si>
  <si>
    <t>할리우드적 스펙터클 너머, 2016년의 시선으로 담아낸 스릴러의 이야기. 불안이란 현실이 균열을 드러내는 순간에 스며든다. 긴장은 존재가 위협받을 때 가장 선명하게 빛난다. 시간이 지날수록 더 깊이 읽히는 영화다.</t>
  </si>
  <si>
    <t>감독: Simon Kaijser
주연: 가이 피어스, 피어스 브로스넌, 미니 드라이버</t>
  </si>
  <si>
    <t>할리우드적 스펙터클 너머, 2018년의 시선으로 담아낸 스릴러의 이야기. 진실은 언제나 우리가 감당할 수 없는 형태로 찾아온다. 공포는 우리가 통제할 수 없는 것들에 대한 솔직한 고백이다. 흠이 있지만 진심이 담긴 시도였다.</t>
  </si>
  <si>
    <t>감독: Christian Tafdrup
주연: Morten Burian, Sidsel Siem Koch, 페드야 반 휴엣</t>
  </si>
  <si>
    <t>2022년의 시선으로 담아낸 공포 이야기가 우리에게 묻는다. 우리가 두려워하는 것은 대개 우리 자신의 그림자다. 공포란 이성이 침묵하는 순간 존재가 맞닥뜨리는 날것의 경험이다. 나름의 울림을 간직한 작품이다.</t>
  </si>
  <si>
    <t>감독: 대니 보일
주연: 데브 파텔, 프리다 핀토, Madhur Mittal</t>
  </si>
  <si>
    <t>영국적 절제와 냉소 사이에서, 2008년의 시선으로 담아낸 드라마의 이야기. 우리는 각자의 서사 안에 갇혀 서로를 오해한다. 인간의 고통이란 결국 타인과의 거리에서 비롯된다. 두고두고 다시 꺼내 볼 만한 작품이다.</t>
  </si>
  <si>
    <t>감독: Julian Stevens, 그레이엄 요스트
주연: 게리 올드만, 잭 로던, 크리스틴 스콧 토머스</t>
  </si>
  <si>
    <t>드라마 형식 속에서, 영국적 절제와 냉소 사이에서, 2021년의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</si>
  <si>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영국적 절제와 냉소 사이에서, 2022년의 시선으로 담아낸 드라마의 이야기. 우리는 각자의 서사 안에 갇혀 서로를 오해한다. 모든 이야기는 상처의 다른 이름이다. 평점이 담지 못하는 무언가가 이 영화에는 있다.</t>
  </si>
  <si>
    <t>드라마 형식 속에서, 영국적 절제와 냉소 사이에서, 2023년의 시선으로 담아낸 드라마의 이야기. 모든 이야기는 상처의 다른 이름이다. 우리는 각자의 서사 안에 갇혀 서로를 오해한다. 평점이 담지 못하는 무언가가 이 영화에는 있다.</t>
  </si>
  <si>
    <t>드라마 형식 속에서, 영국적 절제와 냉소 사이에서, 2024년의 시선으로 담아낸 드라마의 이야기. 모든 이야기는 상처의 다른 이름이다. 우리는 각자의 서사 안에 갇혀 서로를 오해한다. 평점이 담지 못하는 무언가가 이 영화에는 있다.</t>
  </si>
  <si>
    <t>드라마 형식 속에서, 영국적 절제와 냉소 사이에서, 2025년의 시선으로 담아낸 드라마의 이야기. 우리는 각자의 서사 안에 갇혀 서로를 오해한다. 모든 이야기는 상처의 다른 이름이다. 평점이 담지 못하는 무언가가 이 영화에는 있다.</t>
  </si>
  <si>
    <t>감독: Kim Yeong-tak
주연: 차태현, 남상미, 오달수</t>
  </si>
  <si>
    <t>한국 특유의 정서가 켜켜이 쌓인 듯, 2014년의 시선으로 담아낸 코미디의 이야기. 우스운 것과 슬픈 것은 본래 같은 뿌리에서 자란다. 가볍게 웃는 순간에도 삶의 무게는 그 그림자를 드리운다. 한 번쯤 들여다볼 가치가 있는 이야기다.</t>
  </si>
  <si>
    <t>감독: 레슬리 헤드랜드
주연: 제이슨 수데이키스, 앨리슨 브리, 애덤 스콧</t>
  </si>
  <si>
    <t>할리우드적 스펙터클 너머, 2015년의 시선으로 담아낸 코미디의 이야기. 가볍게 웃는 순간에도 삶의 무게는 그 그림자를 드리운다. 우스운 것과 슬픈 것은 본래 같은 뿌리에서 자란다. 흠이 있지만 진심이 담긴 시도였다.</t>
  </si>
  <si>
    <t>감독: 원태연
주연: 권상우, 이보영, 이범수</t>
  </si>
  <si>
    <t>한국 특유의 정서가 켜켜이 쌓인 듯, 2009년의 시선으로 담아낸 로맨스의 이야기. 사랑은 자아의 경계가 흔들리는 순간에 찾아온다. 설렘은 불완전한 존재가 완전함을 향해 뻗는 손길이다. 이 작품이 남기는 질문은 쉽게 사라지지 않는다.</t>
  </si>
  <si>
    <t>감독: 김형주
주연: 이병헌, 유아인, 고창석</t>
  </si>
  <si>
    <t>한국 특유의 정서가 켜켜이 쌓인 듯, 2025년의 시선으로 담아낸 드라마의 이야기. 인간의 고통이란 결국 타인과의 거리에서 비롯된다. 모든 이야기는 상처의 다른 이름이다. 오랫동안 여운이 남는 작품이다.</t>
  </si>
  <si>
    <t>감독: Robert Schwentke
주연: 에릭 배너, 레이첼 맥아담스, 미셸 놀덴</t>
  </si>
  <si>
    <t>할리우드적 스펙터클 너머, 2009년의 시선으로 담아낸 드라마의 이야기. 우리는 각자의 서사 안에 갇혀 서로를 오해한다. 삶은 언제나 해석을 기다리는 텍스트다. 이 작품이 남기는 질문은 쉽게 사라지지 않는다.</t>
  </si>
  <si>
    <t>감독: 호소다 마모루
주연: 仲里依紗, 石田卓也, 板倉光隆</t>
  </si>
  <si>
    <t>애니메이션</t>
  </si>
  <si>
    <t>섬세한 일본적 감수성으로, 2006년의 시선으로 담아낸 애니메이션의 이야기. 선으로 그려진 세계에서도 감정은 날 것으로 살아 숨쉰다. 경이로움은 어른이 잃어버린 가장 중요한 감각이다. 시간이 지날수록 더 깊이 읽히는 영화다.</t>
  </si>
  <si>
    <t>감독: 김은희, 김원석
주연: 이제훈, 김혜수, 조진웅</t>
  </si>
  <si>
    <t>드라마 형식 속에서, 한국 특유의 정서가 켜켜이 쌓인 듯, 2016년의 시선으로 담아낸 드라마의 이야기. 우리는 각자의 서사 안에 갇혀 서로를 오해한다. 모든 이야기는 상처의 다른 이름이다. 평점이 담지 못하는 무언가가 이 영화에는 있다.</t>
  </si>
  <si>
    <t>감독: Choi Jung-yol
주연: 마동석, 박정민, 정해인</t>
  </si>
  <si>
    <t>한국 특유의 정서가 켜켜이 쌓인 듯, 2019년의 시선으로 담아낸 드라마의 이야기. 인간의 고통이란 결국 타인과의 거리에서 비롯된다. 우리는 각자의 서사 안에 갇혀 서로를 오해한다. 시간이 지날수록 더 깊이 읽히는 영화다.</t>
  </si>
  <si>
    <t>감독: 김현석
주연: 엄태웅, 이민정, 최다니엘</t>
  </si>
  <si>
    <t>한국 특유의 정서가 켜켜이 쌓인 듯, 2010년의 시선으로 담아낸 코미디의 이야기. 우스운 것과 슬픈 것은 본래 같은 뿌리에서 자란다. 웃음은 고통을 소화하는 인간만의 방식이다. 두고두고 다시 꺼내 볼 만한 작품이다.</t>
  </si>
  <si>
    <t>감독: Stephen Gaghan
주연: 조지 클루니, 맷 데이먼, 제프리 라이트</t>
  </si>
  <si>
    <t>할리우드적 스펙터클 너머, 2005년의 시선으로 담아낸 드라마의 이야기. 우리는 각자의 서사 안에 갇혀 서로를 오해한다. 삶은 언제나 해석을 기다리는 텍스트다. 나름의 울림을 간직한 작품이다.</t>
  </si>
  <si>
    <t>감독: 쥐스틴 트리에
주연: 비르지니 에피라, 아델 에그자르코풀로스, 가스파르 울리엘</t>
  </si>
  <si>
    <t>프랑스 영화 특유의 철학적 깊이로, 2019년의 시선으로 담아낸 드라마의 이야기. 모든 이야기는 상처의 다른 이름이다. 인간의 고통이란 결국 타인과의 거리에서 비롯된다. 이 작품이 남기는 질문은 쉽게 사라지지 않는다.</t>
  </si>
  <si>
    <t>감독: 알렉스 가랜드
주연: 커스틴 던스트, 바그네르 모라, 케일리 스패니</t>
  </si>
  <si>
    <t>할리우드적 스펙터클 너머, 2024년의 시선으로 담아낸 액션의 이야기. 폭력의 언어 속에서도 인간은 존엄을 갈망한다. 충돌은 세계가 변화를 요구하는 방식이다. 오랫동안 여운이 남는 작품이다.</t>
  </si>
  <si>
    <t>감독: 이장호
주연: Woo-sik Chung, 홍성춘, Ho Lee</t>
  </si>
  <si>
    <t>감독: 자크 오디아르
주연: 존 C. 라일리, 호아킨 피닉스, 제이크 질렌할</t>
  </si>
  <si>
    <t>프랑스 영화 특유의 철학적 깊이로, 2018년의 시선으로 담아낸 서부의 이야기. 영상 언어로 포착된 인간의 이야기는 언제나 철학적 울림을 남긴다. 시간이 흐른 뒤에도 이 장면들은 기억 속에 선명히 남는다. 평점이 담지 못하는 무언가가 이 영화에는 있다.</t>
  </si>
  <si>
    <t>감독: Jason Moore
주연: 에이미 폴러, 티나 페이, 마야 루돌프</t>
  </si>
  <si>
    <t>감독: 이현승
주연: 전지현, 이정재, 김무생</t>
  </si>
  <si>
    <t>한국 특유의 정서가 켜켜이 쌓인 듯, 2000년의 시선으로 담아낸 로맨스의 이야기. 그리움이란 부재를 통해 존재를 확인하는 방식이다. 설렘은 불완전한 존재가 완전함을 향해 뻗는 손길이다. 이 작품이 남기는 질문은 쉽게 사라지지 않는다.</t>
  </si>
  <si>
    <t>감독: David Foenkinos, Stéphane Foenkinos
주연: 오드리 토투, François Damiens, Mélanie Bernier</t>
  </si>
  <si>
    <t>프랑스 영화 특유의 철학적 깊이로, 2012년의 시선으로 담아낸 코미디의 이야기. 우스운 것과 슬픈 것은 본래 같은 뿌리에서 자란다. 웃음은 고통을 소화하는 인간만의 방식이다. 시간이 지날수록 더 깊이 읽히는 영화다.</t>
  </si>
  <si>
    <t>감독: Igor Akhmedov
주연: Артем Богучарский, Олег Фомин, Mikhail Gheorghiu</t>
  </si>
  <si>
    <t>섬세한 일본적 감수성으로, 2013년의 시선으로 담아낸 드라마의 이야기. 인간의 고통이란 결국 타인과의 거리에서 비롯된다. 삶은 언제나 해석을 기다리는 텍스트다. 나름의 울림을 간직한 작품이다.</t>
  </si>
  <si>
    <t>감독: 薛晓路
주연: 탕웨이, 吴秀波, Hai Qing</t>
  </si>
  <si>
    <t>광활한 대지의 이야기를 담아, 2013년의 시선으로 담아낸 로맨스의 이야기. 사랑은 자아의 경계가 흔들리는 순간에 찾아온다. 설렘은 불완전한 존재가 완전함을 향해 뻗는 손길이다. 두고두고 다시 꺼내 볼 만한 작품이다.</t>
  </si>
  <si>
    <t>감독: Bill Purple
주연: 제이슨 수데이키스, 메이지 윌리엄스, 제시카 비엘</t>
  </si>
  <si>
    <t>할리우드적 스펙터클 너머, 2016년의 시선으로 담아낸 코미디의 이야기. 우스운 것과 슬픈 것은 본래 같은 뿌리에서 자란다. 유머 속에는 세계의 부조리를 견뎌내는 지혜가 담겨 있다. 한 번쯤 들여다볼 가치가 있는 이야기다.</t>
  </si>
  <si>
    <t>감독: Wu Seon-ho
주연: 이범수, 류승범, 김옥빈</t>
  </si>
  <si>
    <t>한국 특유의 정서가 켜켜이 쌓인 듯, 2012년의 시선으로 담아낸 코미디의 이야기. 가볍게 웃는 순간에도 삶의 무게는 그 그림자를 드리운다. 우스운 것과 슬픈 것은 본래 같은 뿌리에서 자란다. 나름의 울림을 간직한 작품이다.</t>
  </si>
  <si>
    <t>감독: Menhaj Huda
주연: 코트니 B. 밴스, Keesha Sharp, 키스 데이비드</t>
  </si>
  <si>
    <t>할리우드적 스펙터클 너머, 2023년의 시선으로 담아낸 범죄의 이야기. 어둠 속에서도 인간은 스스로를 정당화하려 한다. 법과 도덕 사이의 틈새에서 인간의 본성이 노출된다. 완벽하지 않아도, 그 불완전함이 오히려 인간적이다.</t>
  </si>
  <si>
    <t>감독: 드니 빌뇌브
주연: 에밀리 블런트, 베니시오 델 토로, 조쉬 브롤린</t>
  </si>
  <si>
    <t>할리우드적 스펙터클 너머, 2015년의 시선으로 담아낸 액션의 이야기. 폭력의 언어 속에서도 인간은 존엄을 갈망한다. 생존의 욕망은 가장 원초적인 철학적 질문을 던진다. 평점이 담지 못하는 무언가가 이 영화에는 있다.</t>
  </si>
  <si>
    <t>감독: 스테파노 솔리마
주연: 베니시오 델 토로, 조쉬 브롤린, 이사벨라 메르세드</t>
  </si>
  <si>
    <t>할리우드적 스펙터클 너머, 2018년의 시선으로 담아낸 액션의 이야기. 충돌은 세계가 변화를 요구하는 방식이다. 폭력의 언어 속에서도 인간은 존엄을 갈망한다. 오랫동안 여운이 남는 작품이다.</t>
  </si>
  <si>
    <t>감독: Ilona Sagar</t>
  </si>
  <si>
    <t>이탈리아 네오리얼리즘의 숨결을 담아, 2017년의 시선으로 담아낸 드라마의 이야기. 삶은 언제나 해석을 기다리는 텍스트다. 우리는 각자의 서사 안에 갇혀 서로를 오해한다. 이 작품이 남기는 질문은 쉽게 사라지지 않는다.</t>
  </si>
  <si>
    <t>감독: Advait Chandan
주연: Zaira Wasim, 아미르 칸, Meher Vij</t>
  </si>
  <si>
    <t>2017년의 시선으로 담아낸 드라마 이야기가 우리에게 묻는다. 모든 이야기는 상처의 다른 이름이다. 우리는 각자의 서사 안에 갇혀 서로를 오해한다. 시간이 지날수록 더 깊이 읽히는 영화다.</t>
  </si>
  <si>
    <t>감독: Lydia Dean Pilcher
주연: Sarah Megan Thomas, Stana Katic, Radhika Apte</t>
  </si>
  <si>
    <t>영국적 절제와 냉소 사이에서, 2021년의 시선으로 담아낸 드라마의 이야기. 우리는 각자의 서사 안에 갇혀 서로를 오해한다. 삶은 언제나 해석을 기다리는 텍스트다. 흠이 있지만 진심이 담긴 시도였다.</t>
  </si>
  <si>
    <t>감독: Billy Ray
주연: 치웨텔 에지오포, 니콜 키드먼, 줄리아 로버츠</t>
  </si>
  <si>
    <t>할리우드적 스펙터클 너머, 2015년의 시선으로 담아낸 범죄의 이야기. 욕망은 언제나 질서보다 먼저 존재했다. 어둠 속에서도 인간은 스스로를 정당화하려 한다. 흠이 있지만 진심이 담긴 시도였다.</t>
  </si>
  <si>
    <t>감독: David Weil, 조시 애플바움
주연: 리차드 매든, 프리양카 초프라, 애슐리 커밍스</t>
  </si>
  <si>
    <t>드라마 형식 속에서, 할리우드적 스펙터클 너머, 2023년의 시선으로 담아낸 드라마의 이야기. 우리는 각자의 서사 안에 갇혀 서로를 오해한다. 모든 이야기는 상처의 다른 이름이다. 이 작품이 남기는 이미지는 어떤 방식으로든 기억에 새겨진다.</t>
  </si>
  <si>
    <t>감독: Gil Kenan
주연: 시얼샤 로넌, Harry Treadaway, 빌 머레이</t>
  </si>
  <si>
    <t>할리우드적 스펙터클 너머, 2008년의 시선으로 담아낸 모험의 이야기. 이 작품은 단순한 오락을 넘어 삶의 어떤 단면을 응시하게 한다. 영상 언어로 포착된 인간의 이야기는 언제나 철학적 울림을 남긴다. 흠이 있지만 진심이 담긴 시도였다.</t>
  </si>
  <si>
    <t>감독: Scott Waugh
주연: 조쉬 하트넷, 미라 소비노, Sarah Dumont</t>
  </si>
  <si>
    <t>감독: 리처드 도너
주연: 브루스 윌리스, Yasiin Bey, 데이비드 모스</t>
  </si>
  <si>
    <t>할리우드적 스펙터클 너머, 2006년의 시선으로 담아낸 액션의 이야기. 충돌은 세계가 변화를 요구하는 방식이다. 생존의 욕망은 가장 원초적인 철학적 질문을 던진다. 흠이 있지만 진심이 담긴 시도였다.</t>
  </si>
  <si>
    <t>감독: Stephen Deutsch
주연: 헨리 처니, Michelle Merring, Ingrid Boulting</t>
  </si>
  <si>
    <t>할리우드적 스펙터클 너머, 2006년의 시선으로 담아낸 드라마의 이야기. 삶은 언제나 해석을 기다리는 텍스트다. 모든 이야기는 상처의 다른 이름이다. 두고두고 다시 꺼내 볼 만한 작품이다.</t>
  </si>
  <si>
    <t>감독: Xavier Beauvois
주연: 램버트 윌슨, Michael Lonsdale, Olivier Rabourdin</t>
  </si>
  <si>
    <t>프랑스 영화 특유의 철학적 깊이로, 2010년의 시선으로 담아낸 드라마의 이야기. 모든 이야기는 상처의 다른 이름이다. 인간의 고통이란 결국 타인과의 거리에서 비롯된다. 시간이 지날수록 더 깊이 읽히는 영화다.</t>
  </si>
  <si>
    <t>감독: 우치다 에이지
주연: 시부카와 키요히코, 戸次重幸, 内田慈</t>
  </si>
  <si>
    <t>감독: Zoltan Spirandelli
주연: Michael Gwisdek, 다니엘 브륄, Traugott Buhre</t>
  </si>
  <si>
    <t>독일 특유의 사유의 무게를 지니며, 2002년의 시선으로 담아낸 코미디의 이야기. 가볍게 웃는 순간에도 삶의 무게는 그 그림자를 드리운다. 유머 속에는 세계의 부조리를 견뎌내는 지혜가 담겨 있다. 두고두고 다시 꺼내 볼 만한 작품이다.</t>
  </si>
  <si>
    <t>감독: 김용화
주연: 하정우, 차태현, 주지훈</t>
  </si>
  <si>
    <t>한국 특유의 정서가 켜켜이 쌓인 듯, 2017년의 시선으로 담아낸 판타지의 이야기. 마법이란 설명되지 않는 것들에 대한 경외의 다른 이름이다. 영웅의 여정은 결국 자기 자신으로 돌아오는 길이다. 시간이 지날수록 더 깊이 읽히는 영화다.</t>
  </si>
  <si>
    <t>감독: 김용화
주연: 하정우, 주지훈, 김향기</t>
  </si>
  <si>
    <t>한국 특유의 정서가 켜켜이 쌓인 듯, 2018년의 시선으로 담아낸 판타지의 이야기. 불가능한 세계를 꿈꾸는 것은 현실의 한계에 저항하는 일이다. 신화는 인간이 말할 수 없는 것들을 말하는 언어다. 두고두고 다시 꺼내 볼 만한 작품이다.</t>
  </si>
  <si>
    <t>감독: 김유진
주연: 정재영, 한다감, 허준호</t>
  </si>
  <si>
    <t>한국 특유의 정서가 켜켜이 쌓인 듯, 2008년의 시선으로 담아낸 사극의 이야기. 역사는 현재를 비추는 거울이며, 과거는 아직 끝나지 않았다. 전통과 변화의 충돌 속에서 인간의 본질이 드러난다. 두고두고 다시 꺼내 볼 만한 작품이다.</t>
  </si>
  <si>
    <t>감독: 론 하워드
주연: 러셀 크로우, 르네 젤위거, 폴 지아마티</t>
  </si>
  <si>
    <t>할리우드적 스펙터클 너머, 2005년의 시선으로 담아낸 드라마의 이야기. 삶은 언제나 해석을 기다리는 텍스트다. 모든 이야기는 상처의 다른 이름이다. 시간이 지날수록 더 깊이 읽히는 영화다.</t>
  </si>
  <si>
    <t>감독: 藤井道人
주연: 심은경, 마츠자카 토리, 혼다 츠바사</t>
  </si>
  <si>
    <t>섬세한 일본적 감수성으로, 2019년의 시선으로 담아낸 드라마의 이야기. 삶은 언제나 해석을 기다리는 텍스트다. 인간의 고통이란 결국 타인과의 거리에서 비롯된다. 한 번쯤 들여다볼 가치가 있는 이야기다.</t>
  </si>
  <si>
    <t>감독: 藤井道人
주연: 요네쿠라 료코, 아야노 고, 요코하마 류세이</t>
  </si>
  <si>
    <t>드라마 형식 속에서, 섬세한 일본적 감수성으로, 2022년의 시선으로 담아낸 드라마의 이야기. 인간의 고통이란 결국 타인과의 거리에서 비롯된다. 모든 이야기는 상처의 다른 이름이다. 이 작품이 남기는 이미지는 어떤 방식으로든 기억에 새겨진다.</t>
  </si>
  <si>
    <t>감독: Rosalind Ross
주연: 마크 월버그, 멜 깁슨, 재키 위버</t>
  </si>
  <si>
    <t>할리우드적 스펙터클 너머, 2022년의 시선으로 담아낸 드라마의 이야기. 우리는 각자의 서사 안에 갇혀 서로를 오해한다. 인간의 고통이란 결국 타인과의 거리에서 비롯된다. 흠이 있지만 진심이 담긴 시도였다.</t>
  </si>
  <si>
    <t>감독: 熊切和嘉, 谷口正晃, 冨永昌敬, 関根光才, 西海謙一郎, 야마시타 노부히로
주연: 이시하라 사토미, 미야사코 히로유키, 미사키 아야메</t>
  </si>
  <si>
    <t>한국 특유의 정서가 켜켜이 쌓인 듯, 2012년의 시선으로 담아낸 범죄의 이야기. 법과 도덕 사이의 틈새에서 인간의 본성이 노출된다. 어둠 속에서도 인간은 스스로를 정당화하려 한다. 오랫동안 여운이 남는 작품이다.</t>
  </si>
  <si>
    <t>감독: Harold Cronk
주연: Jesse Metcalfe, 로빈 기븐스, Melissa Joan Hart</t>
  </si>
  <si>
    <t>할리우드적 스펙터클 너머, 2016년의 시선으로 담아낸 드라마의 이야기. 인간의 고통이란 결국 타인과의 거리에서 비롯된다. 모든 이야기는 상처의 다른 이름이다. 두고두고 다시 꺼내 볼 만한 작품이다.</t>
  </si>
  <si>
    <t>감독: Michael Mason
주연: David A.R. White, John Corbett, Jennifer Bini Taylor</t>
  </si>
  <si>
    <t>할리우드적 스펙터클 너머, 2018년의 시선으로 담아낸 드라마의 이야기. 인간의 고통이란 결국 타인과의 거리에서 비롯된다. 삶은 언제나 해석을 기다리는 텍스트다. 시간이 지날수록 더 깊이 읽히는 영화다.</t>
  </si>
  <si>
    <t>감독: Jon Gunn
주연: Tracy Melchior, 미라 소비노, 숀 애스틴</t>
  </si>
  <si>
    <t>감독: T.C. Christensen
주연: Nathan Stevens, Jasen Wade, Caitlin E.J. Meyer</t>
  </si>
  <si>
    <t>할리우드적 스펙터클 너머, 2017년의 시선으로 담아낸 드라마의 이야기. 모든 이야기는 상처의 다른 이름이다. 삶은 언제나 해석을 기다리는 텍스트다. 거칠지만 그 안에서도 인간의 흔적은 남는다.</t>
  </si>
  <si>
    <t>감독: Francis Lee
주연: 조쉬 오코너, Alec Secăreanu, Gemma Jones</t>
  </si>
  <si>
    <t>영국적 절제와 냉소 사이에서, 2017년의 시선으로 담아낸 드라마의 이야기. 삶은 언제나 해석을 기다리는 텍스트다. 모든 이야기는 상처의 다른 이름이다. 흠이 있지만 진심이 담긴 시도였다.</t>
  </si>
  <si>
    <t>감독: Quoc Dang Tran
주연: Fleur Geffrier, 야마시타 토모히사, Tom Wozniczka</t>
  </si>
  <si>
    <t>드라마 형식 속에서, 프랑스 영화 특유의 철학적 깊이로, 2023년의 시선으로 담아낸 드라마의 이야기. 모든 이야기는 상처의 다른 이름이다. 우리는 각자의 서사 안에 갇혀 서로를 오해한다. 이 작품이 남기는 이미지는 어떤 방식으로든 기억에 새겨진다.</t>
  </si>
  <si>
    <t>감독: Kurt Kuersteiner
주연: Douglass Smith, Dr. Kent Hovind, Harry S. Robins</t>
  </si>
  <si>
    <t>섬세한 일본적 감수성으로, 2011년의 시선으로 담아낸 드라마의 이야기. 삶은 언제나 해석을 기다리는 텍스트다. 우리는 각자의 서사 안에 갇혀 서로를 오해한다. 평점이 담지 못하는 무언가가 이 영화에는 있다.</t>
  </si>
  <si>
    <t>감독: 深川栄洋
주연: 후지와라 타츠야, 미야자키 아오이, 카나메 준</t>
  </si>
  <si>
    <t>섬세한 일본적 감수성으로, 2014년의 시선으로 담아낸 드라마의 이야기. 우리는 각자의 서사 안에 갇혀 서로를 오해한다. 삶은 언제나 해석을 기다리는 텍스트다. 흠이 있지만 진심이 담긴 시도였다.</t>
  </si>
  <si>
    <t>감독: Cho Beom-gu
주연: 정우성, 이범수, 안성기</t>
  </si>
  <si>
    <t>한국 특유의 정서가 켜켜이 쌓인 듯, 2014년의 시선으로 담아낸 액션의 이야기. 폭력의 언어 속에서도 인간은 존엄을 갈망한다. 육체의 한계에 도전하는 것은 곧 자아의 경계를 시험하는 일이다. 이 작품이 남기는 질문은 쉽게 사라지지 않는다.</t>
  </si>
  <si>
    <t>감독: Khan Lee
주연: 권상우, 김희원, 김성균</t>
  </si>
  <si>
    <t>한국 특유의 정서가 켜켜이 쌓인 듯, 2019년의 시선으로 담아낸 액션의 이야기. 폭력의 언어 속에서도 인간은 존엄을 갈망한다. 생존의 욕망은 가장 원초적인 철학적 질문을 던진다. 오랫동안 여운이 남는 작품이다.</t>
  </si>
  <si>
    <t>감독: JinMu Kim
주연: 김인권, 홍경인, 최규환</t>
  </si>
  <si>
    <t>한국 특유의 정서가 켜켜이 쌓인 듯, 2014년의 시선으로 담아낸 드라마의 이야기. 삶은 언제나 해석을 기다리는 텍스트다. 인간의 고통이란 결국 타인과의 거리에서 비롯된다. 오랫동안 여운이 남는 작품이다.</t>
  </si>
  <si>
    <t>감독: Peng Sanyuan
주연: 유덕화, 정백연, 倪景阳</t>
  </si>
  <si>
    <t>광활한 대지의 이야기를 담아, 2015년의 시선으로 담아낸 드라마의 이야기. 인간의 고통이란 결국 타인과의 거리에서 비롯된다. 삶은 언제나 해석을 기다리는 텍스트다. 두고두고 다시 꺼내 볼 만한 작품이다.</t>
  </si>
  <si>
    <t>감독: 모리타 요시미쓰
주연: 야쿠쇼 코지, 黒木瞳, 寺尾聰</t>
  </si>
  <si>
    <t>할리우드적 스펙터클 너머, 1997년의 시선으로 담아낸 드라마의 이야기. 삶은 언제나 해석을 기다리는 텍스트다. 우리는 각자의 서사 안에 갇혀 서로를 오해한다. 흠이 있지만 진심이 담긴 시도였다.</t>
  </si>
  <si>
    <t>감독: 강우석
주연: 설경구, 안성기, 허준호</t>
  </si>
  <si>
    <t>한국 특유의 정서가 켜켜이 쌓인 듯, 2003년의 시선으로 담아낸 드라마의 이야기. 모든 이야기는 상처의 다른 이름이다. 삶은 언제나 해석을 기다리는 텍스트다. 시간이 지날수록 더 깊이 읽히는 영화다.</t>
  </si>
  <si>
    <t>감독: 데이비드 O. 러셀
주연: 브래들리 쿠퍼, 제니퍼 로렌스, 로버트 드 니로</t>
  </si>
  <si>
    <t>할리우드적 스펙터클 너머, 2012년의 시선으로 담아낸 코미디의 이야기. 가볍게 웃는 순간에도 삶의 무게는 그 그림자를 드리운다. 웃음은 고통을 소화하는 인간만의 방식이다. 이 작품이 남기는 질문은 쉽게 사라지지 않는다.</t>
  </si>
  <si>
    <t>감독: 瀬々敬久
주연: 스다 마사키, 고마츠 나나, 사이토 타쿠미</t>
  </si>
  <si>
    <t>섬세한 일본적 감수성으로, 2021년의 시선으로 담아낸 드라마의 이야기. 삶은 언제나 해석을 기다리는 텍스트다. 모든 이야기는 상처의 다른 이름이다. 흠이 있지만 진심이 담긴 시도였다.</t>
  </si>
  <si>
    <t>감독: 론 하워드
주연: 케이트 블란쳇, 토미 리 존스, 에반 레이첼 우드</t>
  </si>
  <si>
    <t>섬세한 일본적 감수성으로, 2022년의 시선으로 담아낸 스릴러의 이야기. 공포는 우리가 통제할 수 없는 것들에 대한 솔직한 고백이다. 불안이란 현실이 균열을 드러내는 순간에 스며든다. 나름의 울림을 간직한 작품이다.</t>
  </si>
  <si>
    <t>감독: Tiller Russell
주연: 제이슨 클라크, 닉 로빈슨, Daniel David Stewart</t>
  </si>
  <si>
    <t>할리우드적 스펙터클 너머, 2021년의 시선으로 담아낸 범죄의 이야기. 어둠 속에서도 인간은 스스로를 정당화하려 한다. 욕망은 언제나 질서보다 먼저 존재했다. 한 번쯤 들여다볼 가치가 있는 이야기다.</t>
  </si>
  <si>
    <t>감독: Peter Moffat
주연: 맥신 피크, Rupert Penry-Jones, Neil Stuke</t>
  </si>
  <si>
    <t>드라마 형식 속에서, 영국적 절제와 냉소 사이에서, 2011년의 시선으로 담아낸 드라마의 이야기. 모든 이야기는 상처의 다른 이름이다. 우리는 각자의 서사 안에 갇혀 서로를 오해한다. 평점이 담지 못하는 무언가가 이 영화에는 있다.</t>
  </si>
  <si>
    <t>감독: Vera Olsson, Ilkka Hynninen
주연: Ville Haapasalo</t>
  </si>
  <si>
    <t>드라마 형식 속에서, 영국적 절제와 냉소 사이에서, 2012년의 시선으로 담아낸 드라마의 이야기. 인간의 고통이란 결국 타인과의 거리에서 비롯된다. 삶은 언제나 해석을 기다리는 텍스트다. 이 작품이 남기는 이미지는 어떤 방식으로든 기억에 새겨진다.</t>
  </si>
  <si>
    <t>감독: Kivu Ruhorahoza</t>
  </si>
  <si>
    <t>프랑스 영화 특유의 철학적 깊이로, 2019년의 시선으로 담아낸 스릴러의 이야기. 진실은 언제나 우리가 감당할 수 없는 형태로 찾아온다. 불안이란 현실이 균열을 드러내는 순간에 스며든다. 완성도와 별개로, 이 작품이 던지려 한 질문은 유효하다.</t>
  </si>
  <si>
    <t>감독: 松岡錠司
주연: 코바야시 카오루, 타카오카 사키, 타베 미카코</t>
  </si>
  <si>
    <t>섬세한 일본적 감수성으로, 2015년의 시선으로 담아낸 드라마의 이야기. 모든 이야기는 상처의 다른 이름이다. 인간의 고통이란 결국 타인과의 거리에서 비롯된다. 시간이 지날수록 더 깊이 읽히는 영화다.</t>
  </si>
  <si>
    <t>감독: 松岡錠司
주연: 코바야시 카오루, 카와이 아오바, 사토 코이치</t>
  </si>
  <si>
    <t>섬세한 일본적 감수성으로, 2016년의 시선으로 담아낸 드라마의 이야기. 인간의 고통이란 결국 타인과의 거리에서 비롯된다. 삶은 언제나 해석을 기다리는 텍스트다. 시간이 지날수록 더 깊이 읽히는 영화다.</t>
  </si>
  <si>
    <t>감독: 김상만
주연: 수애, 유지태, 마동석</t>
  </si>
  <si>
    <t>한국 특유의 정서가 켜켜이 쌓인 듯, 2010년의 시선으로 담아낸 스릴러의 이야기. 공포는 우리가 통제할 수 없는 것들에 대한 솔직한 고백이다. 긴장은 존재가 위협받을 때 가장 선명하게 빛난다. 완벽하지 않아도, 그 불완전함이 오히려 인간적이다.</t>
  </si>
  <si>
    <t>감독: Yoon Jae-geun
주연: 김윤진, 박해일, 강해인</t>
  </si>
  <si>
    <t>한국 특유의 정서가 켜켜이 쌓인 듯, 2011년의 시선으로 담아낸 액션의 이야기. 육체의 한계에 도전하는 것은 곧 자아의 경계를 시험하는 일이다. 생존의 욕망은 가장 원초적인 철학적 질문을 던진다. 흠이 있지만 진심이 담긴 시도였다.</t>
  </si>
  <si>
    <t>감독: 파티 아킨
주연: 다이앤 크루거, Denis Moschitto, Numan Acar</t>
  </si>
  <si>
    <t>독일 특유의 사유의 무게를 지니며, 2019년의 시선으로 담아낸 드라마의 이야기. 우리는 각자의 서사 안에 갇혀 서로를 오해한다. 삶은 언제나 해석을 기다리는 텍스트다. 두고두고 다시 꺼내 볼 만한 작품이다.</t>
  </si>
  <si>
    <t>감독: 허안화
주연: 유덕화, 엽덕한, 秦海璐</t>
  </si>
  <si>
    <t>2011년의 시선으로 담아낸 드라마 이야기가 우리에게 묻는다. 모든 이야기는 상처의 다른 이름이다. 삶은 언제나 해석을 기다리는 텍스트다. 시간이 지날수록 더 깊이 읽히는 영화다.</t>
  </si>
  <si>
    <t>감독: 톰 포드
주연: 콜린 퍼스, 줄리앤 무어, 니콜라스 홀트</t>
  </si>
  <si>
    <t>할리우드적 스펙터클 너머, 2009년의 시선으로 담아낸 드라마의 이야기. 모든 이야기는 상처의 다른 이름이다. 인간의 고통이란 결국 타인과의 거리에서 비롯된다. 이 작품이 남기는 질문은 쉽게 사라지지 않는다.</t>
  </si>
  <si>
    <t>감독: Lee Zoo-young
주연: 이병헌, 공효진, 안소희</t>
  </si>
  <si>
    <t>한국 특유의 정서가 켜켜이 쌓인 듯, 2017년의 시선으로 담아낸 드라마의 이야기. 모든 이야기는 상처의 다른 이름이다. 삶은 언제나 해석을 기다리는 텍스트다. 시간이 지날수록 더 깊이 읽히는 영화다.</t>
  </si>
  <si>
    <t>감독: Justin Benson, Aaron Moorhead
주연: 안소니 마키, 제이미 도넌, Katie Aselton</t>
  </si>
  <si>
    <t>할리우드적 스펙터클 너머, 2019년의 시선으로 담아낸 SF의 이야기. 기술이 진보할수록 인간다움의 정의는 더욱 절박해진다. 타자와의 만남은 언제나 자아의 재발견으로 이어진다. 거칠지만 그 안에서도 인간의 흔적은 남는다.</t>
  </si>
  <si>
    <t>감독: 김지훈
주연: 차승원, 김성균, 이광수</t>
  </si>
  <si>
    <t>한국 특유의 정서가 켜켜이 쌓인 듯, 2021년의 시선으로 담아낸 재난의 이야기. 시간이 흐른 뒤에도 이 장면들은 기억 속에 선명히 남는다. 우리는 스크린 앞에 앉아 타인의 삶을 통해 우리 자신을 본다. 흠이 있지만 진심이 담긴 시도였다.</t>
  </si>
  <si>
    <t>감독: 곽재용
주연: 아야세 하루카, 코이데 케이스케, 阿井莉沙</t>
  </si>
  <si>
    <t>섬세한 일본적 감수성으로, 2008년의 시선으로 담아낸 SF의 이야기. 기술이 진보할수록 인간다움의 정의는 더욱 절박해진다. 타자와의 만남은 언제나 자아의 재발견으로 이어진다. 시간이 지날수록 더 깊이 읽히는 영화다.</t>
  </si>
  <si>
    <t>감독: M. 나이트 샤말란
주연: 멜 깁슨, 호아킨 피닉스, Rory Culkin</t>
  </si>
  <si>
    <t>할리우드적 스펙터클 너머, 2002년의 시선으로 담아낸 SF의 이야기. 우주의 광대함 앞에서 인간의 질문은 더욱 깊어진다. 타자와의 만남은 언제나 자아의 재발견으로 이어진다. 나름의 울림을 간직한 작품이다.</t>
  </si>
  <si>
    <t>감독: 유하
주연: 조인성, 주진모, 송지효</t>
  </si>
  <si>
    <t>한국 특유의 정서가 켜켜이 쌓인 듯, 2008년의 시선으로 담아낸 사극의 이야기. 시대의 억압 속에서도 인간의 욕망과 존엄은 꺾이지 않는다. 역사의 무게는 개인의 삶을 짓누르지만, 그 안에서도 빛이 있다. 완벽하지 않아도, 그 불완전함이 오히려 인간적이다.</t>
  </si>
  <si>
    <t>감독: 강형철
주연: 유호정, 심은경, 진희경</t>
  </si>
  <si>
    <t>한국 특유의 정서가 켜켜이 쌓인 듯, 2011년의 시선으로 담아낸 드라마의 이야기. 모든 이야기는 상처의 다른 이름이다. 삶은 언제나 해석을 기다리는 텍스트다. 오랫동안 여운이 남는 작품이다.</t>
  </si>
  <si>
    <t>섬세한 일본적 감수성으로, 2021년의 시선으로 담아낸 드라마의 이야기. 우리는 각자의 서사 안에 갇혀 서로를 오해한다. 인간의 고통이란 결국 타인과의 거리에서 비롯된다. 아쉬움이 남지만, 모든 시도는 의미를 갖는다.</t>
  </si>
  <si>
    <t>감독: 폴 해기스
주연: 리암 니슨, 밀라 쿠니스, 에이드리언 브로디</t>
  </si>
  <si>
    <t>할리우드적 스펙터클 너머, 2013년의 시선으로 담아낸 드라마의 이야기. 모든 이야기는 상처의 다른 이름이다. 삶은 언제나 해석을 기다리는 텍스트다. 한 번쯤 들여다볼 가치가 있는 이야기다.</t>
  </si>
  <si>
    <t>감독: Jon Amiel
주연: 조디 포스터, 리처드 기어, 빌 풀먼</t>
  </si>
  <si>
    <t>할리우드적 스펙터클 너머, 1993년의 시선으로 담아낸 드라마의 이야기. 삶은 언제나 해석을 기다리는 텍스트다. 우리는 각자의 서사 안에 갇혀 서로를 오해한다. 시간이 지날수록 더 깊이 읽히는 영화다.</t>
  </si>
  <si>
    <t>감독: Jaakko Manninen, Hannu Aukia
주연: Milla Puolakanaho, Corsica Wilson, Miska Kajanus</t>
  </si>
  <si>
    <t>프랑스 영화 특유의 철학적 깊이로, 2019년의 시선으로 담아낸 코미디의 이야기. 웃음은 고통을 소화하는 인간만의 방식이다. 우스운 것과 슬픈 것은 본래 같은 뿌리에서 자란다. 이 작품이 남기는 질문은 쉽게 사라지지 않는다.</t>
  </si>
  <si>
    <t>감독: 김현석
주연: 정우, 한효주, 김윤석</t>
  </si>
  <si>
    <t>한국 특유의 정서가 켜켜이 쌓인 듯, 2015년의 시선으로 담아낸 드라마의 이야기. 우리는 각자의 서사 안에 갇혀 서로를 오해한다. 인간의 고통이란 결국 타인과의 거리에서 비롯된다. 흠이 있지만 진심이 담긴 시도였다.</t>
  </si>
  <si>
    <t>감독: 부츠 라일리
주연: 라키스 스탠필드, 테사 톰슨, 저메인 파울러</t>
  </si>
  <si>
    <t>할리우드적 스펙터클 너머, 2018년의 시선으로 담아낸 코미디의 이야기. 유머 속에는 세계의 부조리를 견뎌내는 지혜가 담겨 있다. 웃음은 고통을 소화하는 인간만의 방식이다. 이 작품이 남기는 이미지는 어떤 방식으로든 기억에 새겨진다.</t>
  </si>
  <si>
    <t>감독: 폴 해기스
주연: 러셀 크로우, 엘리자베스 뱅크스, 브라이언 데너히</t>
  </si>
  <si>
    <t>할리우드적 스펙터클 너머, 2010년의 시선으로 담아낸 스릴러의 이야기. 공포는 우리가 통제할 수 없는 것들에 대한 솔직한 고백이다. 긴장은 존재가 위협받을 때 가장 선명하게 빛난다. 이 작품이 남기는 질문은 쉽게 사라지지 않는다.</t>
  </si>
  <si>
    <t>감독: 마틴 맥도나
주연: 프랜시스 맥도맨드, 우디 해럴슨, 샘 록웰</t>
  </si>
  <si>
    <t>영국적 절제와 냉소 사이에서, 2017년의 시선으로 담아낸 드라마의 이야기. 우리는 각자의 서사 안에 갇혀 서로를 오해한다. 삶은 언제나 해석을 기다리는 텍스트다. 이 작품이 남기는 질문은 쉽게 사라지지 않는다.</t>
  </si>
  <si>
    <t>감독: Антон Мегердичев
주연: 블라디미르 마쉬코프, Иван Колесников, Виктория Толстоганова</t>
  </si>
  <si>
    <t>2017년의 시선으로 담아낸 스릴러 이야기가 우리에게 묻는다. 공포는 우리가 통제할 수 없는 것들에 대한 솔직한 고백이다. 긴장은 존재가 위협받을 때 가장 선명하게 빛난다. 이 작품이 남기는 질문은 쉽게 사라지지 않는다.</t>
  </si>
  <si>
    <t>감독: 맥지
주연: 케빈 코스트너, 엠버 허드, 헤일리 스타인펠드</t>
  </si>
  <si>
    <t>할리우드적 스펙터클 너머, 2014년의 시선으로 담아낸 액션의 이야기. 육체의 한계에 도전하는 것은 곧 자아의 경계를 시험하는 일이다. 충돌은 세계가 변화를 요구하는 방식이다. 흠이 있지만 진심이 담긴 시도였다.</t>
  </si>
  <si>
    <t>감독: 구스 반 산트
주연: 매튜 매커너히, 나오미 왓츠, 와타나베 켄</t>
  </si>
  <si>
    <t>할리우드적 스펙터클 너머, 2015년의 시선으로 담아낸 드라마의 이야기. 인간의 고통이란 결국 타인과의 거리에서 비롯된다. 모든 이야기는 상처의 다른 이름이다. 완벽하지 않아도, 그 불완전함이 오히려 인간적이다.</t>
  </si>
  <si>
    <t>감독: Ralph A. Villani
주연: Tim Large, Jeremy King, Robb Maus</t>
  </si>
  <si>
    <t>할리우드적 스펙터클 너머, 2012년의 시선으로 담아낸 액션의 이야기. 생존의 욕망은 가장 원초적인 철학적 질문을 던진다. 육체의 한계에 도전하는 것은 곧 자아의 경계를 시험하는 일이다. 평점이 담지 못하는 무언가가 이 영화에는 있다.</t>
  </si>
  <si>
    <t>감독: Kourosh Ataee, Azadeh Moussavi
주연: 페이만 모아디, 샤하브 호세이니, 레일라 하타미</t>
  </si>
  <si>
    <t>이란</t>
  </si>
  <si>
    <t>시적인 침묵 속에서, 2011년의 시선으로 담아낸 드라마의 이야기. 모든 이야기는 상처의 다른 이름이다. 우리는 각자의 서사 안에 갇혀 서로를 오해한다. 시간이 지날수록 더 깊이 읽히는 영화다.</t>
  </si>
  <si>
    <t>감독: 게리 로스
주연: 토비 맥과이어, David McCullough, 제프 브리지스</t>
  </si>
  <si>
    <t>할리우드적 스펙터클 너머, 2003년의 시선으로 담아낸 드라마의 이야기. 우리는 각자의 서사 안에 갇혀 서로를 오해한다. 인간의 고통이란 결국 타인과의 거리에서 비롯된다. 시간이 지날수록 더 깊이 읽히는 영화다.</t>
  </si>
  <si>
    <t>감독: 테렌스 말릭
주연: 짐 커비즐, 닉 놀티, 숀 펜</t>
  </si>
  <si>
    <t>할리우드적 스펙터클 너머, 1998년의 시선으로 담아낸 전쟁의 이야기. 폐허 속에서도 존엄을 지키려는 의지가 역사를 만든다. 전쟁은 인간의 이성이 멈추는 지점에서 시작된다. 시간이 지날수록 더 깊이 읽히는 영화다.</t>
  </si>
  <si>
    <t>감독: Benjamin Cavell
주연: David Boreanaz, Neil Brown Jr., A.J. Buckley</t>
  </si>
  <si>
    <t>드라마 형식 속에서, 할리우드적 스펙터클 너머, 2017년의 시선으로 담아낸 드라마의 이야기. 모든 이야기는 상처의 다른 이름이다. 우리는 각자의 서사 안에 갇혀 서로를 오해한다. 이 작품이 남기는 이미지는 어떤 방식으로든 기억에 새겨진다.</t>
  </si>
  <si>
    <t>드라마 형식 속에서, 할리우드적 스펙터클 너머, 2018년의 시선으로 담아낸 드라마의 이야기. 우리는 각자의 서사 안에 갇혀 서로를 오해한다. 삶은 언제나 해석을 기다리는 텍스트다. 평점이 담지 못하는 무언가가 이 영화에는 있다.</t>
  </si>
  <si>
    <t>드라마 형식 속에서, 할리우드적 스펙터클 너머, 2021년의 시선으로 담아낸 드라마의 이야기. 삶은 언제나 해석을 기다리는 텍스트다. 우리는 각자의 서사 안에 갇혀 서로를 오해한다. 이 작품이 남기는 이미지는 어떤 방식으로든 기억에 새겨진다.</t>
  </si>
  <si>
    <t>드라마 형식 속에서, 할리우드적 스펙터클 너머, 2022년의 시선으로 담아낸 드라마의 이야기. 모든 이야기는 상처의 다른 이름이다. 우리는 각자의 서사 안에 갇혀 서로를 오해한다. 평점이 담지 못하는 무언가가 이 영화에는 있다.</t>
  </si>
  <si>
    <t>감독: 박찬욱
주연: 김민희, 김태리, 하정우</t>
  </si>
  <si>
    <t>한국 특유의 정서가 켜켜이 쌓인 듯, 2016년의 시선으로 담아낸 드라마의 이야기. 삶은 언제나 해석을 기다리는 텍스트다. 인간의 고통이란 결국 타인과의 거리에서 비롯된다. 완벽하지 않아도, 그 불완전함이 오히려 인간적이다.</t>
  </si>
  <si>
    <t>감독: 데이비드 E. 켈리, 멀리사 제임스 깁슨
주연: 시에나 밀러, 루퍼트 프렌드, 미셸 도커리</t>
  </si>
  <si>
    <t>드라마 형식 속에서, 영국적 절제와 냉소 사이에서, 2022년의 시선으로 담아낸 드라마의 이야기. 인간의 고통이란 결국 타인과의 거리에서 비롯된다. 삶은 언제나 해석을 기다리는 텍스트다. 평점이 담지 못하는 무언가가 이 영화에는 있다.</t>
  </si>
  <si>
    <t>감독: 김태식
주연: 박광정, 정보석, 조은지</t>
  </si>
  <si>
    <t>한국 특유의 정서가 켜켜이 쌓인 듯, 2007년의 시선으로 담아낸 드라마의 이야기. 인간의 고통이란 결국 타인과의 거리에서 비롯된다. 모든 이야기는 상처의 다른 이름이다. 흠이 있지만 진심이 담긴 시도였다.</t>
  </si>
  <si>
    <t>감독: 앤드류 니콜
주연: 클라이브 오웬, 아만다 사이프리드, Colm Feore</t>
  </si>
  <si>
    <t>독일 특유의 사유의 무게를 지니며, 2018년의 시선으로 담아낸 SF의 이야기. 기술이 진보할수록 인간다움의 정의는 더욱 절박해진다. 타자와의 만남은 언제나 자아의 재발견으로 이어진다. 흠이 있지만 진심이 담긴 시도였다.</t>
  </si>
  <si>
    <t>감독: Lee Toland Krieger
주연: 블레이크 라이블리, 미힐 하위스만, 해리슨 포드</t>
  </si>
  <si>
    <t>할리우드적 스펙터클 너머, 2015년의 시선으로 담아낸 로맨스의 이야기. 두 사람 사이의 침묵은 때로 말보다 더 많은 것을 말한다. 그리움이란 부재를 통해 존재를 확인하는 방식이다. 흠이 있지만 진심이 담긴 시도였다.</t>
  </si>
  <si>
    <t>감독: 벤 애플렉
주연: 벤 애플렉, 브라이언 크랜스턴, 알란 아킨</t>
  </si>
  <si>
    <t>할리우드적 스펙터클 너머, 2012년의 시선으로 담아낸 드라마의 이야기. 삶은 언제나 해석을 기다리는 텍스트다. 우리는 각자의 서사 안에 갇혀 서로를 오해한다. 시간이 지날수록 더 깊이 읽히는 영화다.</t>
  </si>
  <si>
    <t>감독: 야마자키 다카시
주연: 스다 마사키, 에모토 타스쿠, 하마베 미나미</t>
  </si>
  <si>
    <t>섬세한 일본적 감수성으로, 2019년의 시선으로 담아낸 전쟁의 이야기. 총성은 멈추어도 그 상처는 세대를 넘어 흐른다. 전쟁은 인간의 이성이 멈추는 지점에서 시작된다. 아쉬움이 남지만, 모든 시도는 의미를 갖는다.</t>
  </si>
  <si>
    <t>감독: 미미 레더
주연: 케빈 스페이시, 헬렌 헌트, 앤지 디킨슨</t>
  </si>
  <si>
    <t>할리우드적 스펙터클 너머, 2000년의 시선으로 담아낸 드라마의 이야기. 인간의 고통이란 결국 타인과의 거리에서 비롯된다. 삶은 언제나 해석을 기다리는 텍스트다. 시간이 지날수록 더 깊이 읽히는 영화다.</t>
  </si>
  <si>
    <t>감독: 坂本和隆
주연: 야마자키 켄토, 츠치야 타오</t>
  </si>
  <si>
    <t>드라마, SF, 액션</t>
  </si>
  <si>
    <t>드라마 형식 속에서, 섬세한 일본적 감수성으로, 2020년의 시선으로 담아낸 드라마의 이야기. 우리는 각자의 서사 안에 갇혀 서로를 오해한다. 모든 이야기는 상처의 다른 이름이다. 이 작품이 남기는 이미지는 어떤 방식으로든 기억에 새겨진다.</t>
  </si>
  <si>
    <t>드라마 형식 속에서, 섬세한 일본적 감수성으로, 2022년의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</si>
  <si>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제임스 그레이
주연: Banks Repeta, 앤 해서웨이, 제레미 스트롱</t>
  </si>
  <si>
    <t>할리우드적 스펙터클 너머, 2022년의 시선으로 담아낸 드라마의 이야기. 인간의 고통이란 결국 타인과의 거리에서 비롯된다. 삶은 언제나 해석을 기다리는 텍스트다. 완벽하지 않아도, 그 불완전함이 오히려 인간적이다.</t>
  </si>
  <si>
    <t>감독: 西谷弘
주연: 오다 유지, 아마미 유키, 토다 에리카</t>
  </si>
  <si>
    <t>섬세한 일본적 감수성으로, 2009년의 시선으로 담아낸 미스터리의 이야기. 수수께끼는 세계가 우리에게 던지는 철학적 도발이다. 알 수 없음 앞에서 인간은 비로소 겸손해진다. 이 작품이 남기는 이미지는 어떤 방식으로든 기억에 새겨진다.</t>
  </si>
  <si>
    <t>감독: 안톤 코르빈
주연: 조지 클루니, Violante Placido, Thekla Reuten</t>
  </si>
  <si>
    <t>할리우드적 스펙터클 너머, 2010년의 시선으로 담아낸 액션의 이야기. 육체의 한계에 도전하는 것은 곧 자아의 경계를 시험하는 일이다. 생존의 욕망은 가장 원초적인 철학적 질문을 던진다. 나름의 울림을 간직한 작품이다.</t>
  </si>
  <si>
    <t>감독: 리들리 스콧
주연: 덴젤 워싱턴, 러셀 크로우, 조쉬 브롤린</t>
  </si>
  <si>
    <t>할리우드적 스펙터클 너머, 2007년의 시선으로 담아낸 범죄의 이야기. 법과 도덕 사이의 틈새에서 인간의 본성이 노출된다. 어둠 속에서도 인간은 스스로를 정당화하려 한다. 두고두고 다시 꺼내 볼 만한 작품이다.</t>
  </si>
  <si>
    <t>감독: 더그 라이만
주연: 톰 크루즈, 도널 글리슨, Sarah Wright</t>
  </si>
  <si>
    <t>할리우드적 스펙터클 너머, 2017년의 시선으로 담아낸 액션의 이야기. 육체의 한계에 도전하는 것은 곧 자아의 경계를 시험하는 일이다. 폭력의 언어 속에서도 인간은 존엄을 갈망한다. 한 번쯤 들여다볼 가치가 있는 이야기다.</t>
  </si>
  <si>
    <t>감독: 샘 멘데스
주연: 케빈 스페이시, 아네트 베닝, 소라 버치</t>
  </si>
  <si>
    <t>할리우드적 스펙터클 너머, 1999년의 시선으로 담아낸 드라마의 이야기. 삶은 언제나 해석을 기다리는 텍스트다. 우리는 각자의 서사 안에 갇혀 서로를 오해한다. 오랫동안 여운이 남는 작품이다.</t>
  </si>
  <si>
    <t>감독: 클린트 이스트우드
주연: 브래들리 쿠퍼, 시에나 밀러, 카일 갤너</t>
  </si>
  <si>
    <t>할리우드적 스펙터클 너머, 2014년의 시선으로 담아낸 전쟁의 이야기. 전쟁을 기억하는 것은 반복하지 않기 위한 고통스러운 의무다. 전쟁은 인간의 이성이 멈추는 지점에서 시작된다. 시간이 지날수록 더 깊이 읽히는 영화다.</t>
  </si>
  <si>
    <t>감독: Jake Scott
주연: 시에나 밀러, 크리스티나 헨드릭스, 아론 폴</t>
  </si>
  <si>
    <t>할리우드적 스펙터클 너머, 2018년의 시선으로 담아낸 드라마의 이야기. 삶은 언제나 해석을 기다리는 텍스트다. 모든 이야기는 상처의 다른 이름이다. 완벽하지 않아도, 그 불완전함이 오히려 인간적이다.</t>
  </si>
  <si>
    <t>감독: Tommy O'Haver
주연: 엘리엇 페이지, 캐서린 키너, Hayley McFarland</t>
  </si>
  <si>
    <t>할리우드적 스펙터클 너머, 2007년의 시선으로 담아낸 범죄의 이야기. 법과 도덕 사이의 틈새에서 인간의 본성이 노출된다. 어둠 속에서도 인간은 스스로를 정당화하려 한다. 흠이 있지만 진심이 담긴 시도였다.</t>
  </si>
  <si>
    <t>감독: Michael Polish
주연: 미도우 윌리암스, 알 파치노, 토마스 크레치만</t>
  </si>
  <si>
    <t>할리우드적 스펙터클 너머, 2021년의 시선으로 담아낸 드라마의 이야기. 삶은 언제나 해석을 기다리는 텍스트다. 모든 이야기는 상처의 다른 이름이다. 한 번쯤 들여다볼 가치가 있는 이야기다.</t>
  </si>
  <si>
    <t>감독: 이완 맥그리거
주연: 이완 맥그리거, 제니퍼 코넬리, 다코타 패닝</t>
  </si>
  <si>
    <t>할리우드적 스펙터클 너머, 2016년의 시선으로 담아낸 드라마의 이야기. 인간의 고통이란 결국 타인과의 거리에서 비롯된다. 삶은 언제나 해석을 기다리는 텍스트다. 흠이 있지만 진심이 담긴 시도였다.</t>
  </si>
  <si>
    <t>감독: 데이비드 O. 러셀
주연: 크리스찬 베일, 브래들리 쿠퍼, 에이미 아담스</t>
  </si>
  <si>
    <t>할리우드적 스펙터클 너머, 2013년의 시선으로 담아낸 범죄의 이야기. 법과 도덕 사이의 틈새에서 인간의 본성이 노출된다. 죄란 사회가 만든 경계를 넘는 행위이자 그 경계에 대한 질문이다. 완벽하지 않아도, 그 불완전함이 오히려 인간적이다.</t>
  </si>
  <si>
    <t>감독: 미라 네어
주연: 힐러리 스웽크, 리처드 기어, Aaron Abrams</t>
  </si>
  <si>
    <t>할리우드적 스펙터클 너머, 2009년의 시선으로 담아낸 드라마의 이야기. 삶은 언제나 해석을 기다리는 텍스트다. 우리는 각자의 서사 안에 갇혀 서로를 오해한다. 나름의 울림을 간직한 작품이다.</t>
  </si>
  <si>
    <t>감독: William Tannen
주연: Alanna Ubach, Alan Blumenfeld, Kristen Johnston</t>
  </si>
  <si>
    <t>섬세한 일본적 감수성으로, 2004년의 시선으로 담아낸 드라마의 이야기. 모든 이야기는 상처의 다른 이름이다. 인간의 고통이란 결국 타인과의 거리에서 비롯된다. 이 작품이 남기는 질문은 쉽게 사라지지 않는다.</t>
  </si>
  <si>
    <t>감독: 미하엘 하네케
주연: 장루이 트랭티냥, 엠마누엘 리바, 이자벨 위페르</t>
  </si>
  <si>
    <t>프랑스 영화 특유의 철학적 깊이로, 2012년의 시선으로 담아낸 드라마의 이야기. 우리는 각자의 서사 안에 갇혀 서로를 오해한다. 인간의 고통이란 결국 타인과의 거리에서 비롯된다. 이 작품이 남기는 질문은 쉽게 사라지지 않는다.</t>
  </si>
  <si>
    <t>감독: 스티븐 스필버그
주연: 모건 프리먼, Nigel Hawthorne, 안소니 홉킨스</t>
  </si>
  <si>
    <t>할리우드적 스펙터클 너머, 1997년의 시선으로 담아낸 드라마의 이야기. 모든 이야기는 상처의 다른 이름이다. 우리는 각자의 서사 안에 갇혀 서로를 오해한다. 오랫동안 여운이 남는 작품이다.</t>
  </si>
  <si>
    <t>감독: タナダユキ
주연: 우에노 주리, 릴리 프랭키, 藤竜也</t>
  </si>
  <si>
    <t>섬세한 일본적 감수성으로, 2017년의 시선으로 담아낸 드라마의 이야기. 우리는 각자의 서사 안에 갇혀 서로를 오해한다. 삶은 언제나 해석을 기다리는 텍스트다. 이 작품이 남기는 질문은 쉽게 사라지지 않는다.</t>
  </si>
  <si>
    <t>감독: 클린트 이스트우드
주연: 라이언 필립, Jesse Bradford, 애덤 비치</t>
  </si>
  <si>
    <t>할리우드적 스펙터클 너머, 2006년의 시선으로 담아낸 전쟁의 이야기. 전쟁은 인간의 이성이 멈추는 지점에서 시작된다. 전쟁을 기억하는 것은 반복하지 않기 위한 고통스러운 의무다. 흠이 있지만 진심이 담긴 시도였다.</t>
  </si>
  <si>
    <t>감독: Nicholas Jarecki
주연: 리처드 기어, 수잔 서랜든, 팀 로스</t>
  </si>
  <si>
    <t>할리우드적 스펙터클 너머, 2012년의 시선으로 담아낸 드라마의 이야기. 인간의 고통이란 결국 타인과의 거리에서 비롯된다. 모든 이야기는 상처의 다른 이름이다. 이 작품이 남기는 이미지는 어떤 방식으로든 기억에 새겨진다.</t>
  </si>
  <si>
    <t>감독: 폴 와이츠
주연: 케빈 하트, Melody Hurd, 알프레 우더드</t>
  </si>
  <si>
    <t>할리우드적 스펙터클 너머, 2021년의 시선으로 담아낸 코미디의 이야기. 웃음은 고통을 소화하는 인간만의 방식이다. 우스운 것과 슬픈 것은 본래 같은 뿌리에서 자란다. 오랫동안 여운이 남는 작품이다.</t>
  </si>
  <si>
    <t>감독: Kim Hyung-hyup
주연: 윤제문, 정소민, 이일화</t>
  </si>
  <si>
    <t>한국 특유의 정서가 켜켜이 쌓인 듯, 2017년의 시선으로 담아낸 코미디의 이야기. 가볍게 웃는 순간에도 삶의 무게는 그 그림자를 드리운다. 유머 속에는 세계의 부조리를 견뎌내는 지혜가 담겨 있다. 두고두고 다시 꺼내 볼 만한 작품이다.</t>
  </si>
  <si>
    <t>감독: Andaç Haznedaroğlu
주연: Engin Altan Düzyatan, Belçim Bilgin, Gülizar Nisa Uray</t>
  </si>
  <si>
    <t>2022년의 시선으로 담아낸 드라마 이야기가 우리에게 묻는다. 모든 이야기는 상처의 다른 이름이다. 인간의 고통이란 결국 타인과의 거리에서 비롯된다. 시간이 지날수록 더 깊이 읽히는 영화다.</t>
  </si>
  <si>
    <t>감독: 하마구치 류스케
주연: 히가시데 마사히로, 카라타 에리카, 세토 코지</t>
  </si>
  <si>
    <t>섬세한 일본적 감수성으로, 2018년의 시선으로 담아낸 드라마의 이야기. 우리는 각자의 서사 안에 갇혀 서로를 오해한다. 모든 이야기는 상처의 다른 이름이다. 이 작품이 남기는 질문은 쉽게 사라지지 않는다.</t>
  </si>
  <si>
    <t>감독: Simon Cellan Jones
주연: 마크 월버그, 시무 리우, 줄리엣 라이런스</t>
  </si>
  <si>
    <t>할리우드적 스펙터클 너머, 2024년의 시선으로 담아낸 모험의 이야기. 우리는 스크린 앞에 앉아 타인의 삶을 통해 우리 자신을 본다. 영상 언어로 포착된 인간의 이야기는 언제나 철학적 울림을 남긴다. 이 작품이 남기는 질문은 쉽게 사라지지 않는다.</t>
  </si>
  <si>
    <t>감독: 김성수
주연: 정우성, 황정민, 주지훈</t>
  </si>
  <si>
    <t>한국 특유의 정서가 켜켜이 쌓인 듯, 2016년의 시선으로 담아낸 액션의 이야기. 충돌은 세계가 변화를 요구하는 방식이다. 폭력의 언어 속에서도 인간은 존엄을 갈망한다. 나름의 울림을 간직한 작품이다.</t>
  </si>
  <si>
    <t>감독: 로널드 D. 무어
주연: 커트리나 밸프, Sam Heughan, Sophie Skelton</t>
  </si>
  <si>
    <t>드라마 형식 속에서, 영국적 절제와 냉소 사이에서, 2014년의 시선으로 담아낸 드라마의 이야기. 우리는 각자의 서사 안에 갇혀 서로를 오해한다. 인간의 고통이란 결국 타인과의 거리에서 비롯된다. 평점이 담지 못하는 무언가가 이 영화에는 있다.</t>
  </si>
  <si>
    <t>드라마 형식 속에서, 영국적 절제와 냉소 사이에서, 2016년의 시선으로 담아낸 드라마의 이야기. 인간의 고통이란 결국 타인과의 거리에서 비롯된다. 삶은 언제나 해석을 기다리는 텍스트다. 이 작품이 남기는 이미지는 어떤 방식으로든 기억에 새겨진다.</t>
  </si>
  <si>
    <t>드라마 형식 속에서, 영국적 절제와 냉소 사이에서, 2019년의 시선으로 담아낸 드라마의 이야기. 삶은 언제나 해석을 기다리는 텍스트다. 모든 이야기는 상처의 다른 이름이다. 이 작품이 남기는 이미지는 어떤 방식으로든 기억에 새겨진다.</t>
  </si>
  <si>
    <t>드라마 형식 속에서, 영국적 절제와 냉소 사이에서, 2020년의 시선으로 담아낸 드라마의 이야기. 우리는 각자의 서사 안에 갇혀 서로를 오해한다. 삶은 언제나 해석을 기다리는 텍스트다. 평점이 담지 못하는 무언가가 이 영화에는 있다.</t>
  </si>
  <si>
    <t>드라마 형식 속에서, 영국적 절제와 냉소 사이에서, 2022년의 시선으로 담아낸 드라마의 이야기. 삶은 언제나 해석을 기다리는 텍스트다. 모든 이야기는 상처의 다른 이름이다. 이 작품이 남기는 이미지는 어떤 방식으로든 기억에 새겨진다.</t>
  </si>
  <si>
    <t>드라마 형식 속에서, 영국적 절제와 냉소 사이에서, 2024년의 시선으로 담아낸 드라마의 이야기. 삶은 언제나 해석을 기다리는 텍스트다. 우리는 각자의 서사 안에 갇혀 서로를 오해한다. 평점이 담지 못하는 무언가가 이 영화에는 있다.</t>
  </si>
  <si>
    <t>주연: Mark Banks, Loyiso Gola, Barry Hilton</t>
  </si>
  <si>
    <t>섬세한 일본적 감수성으로, 2010년의 시선으로 담아낸 범죄의 이야기. 법과 도덕 사이의 틈새에서 인간의 본성이 노출된다. 어둠 속에서도 인간은 스스로를 정당화하려 한다. 흠이 있지만 진심이 담긴 시도였다.</t>
  </si>
  <si>
    <t>감독: 기타노 다케시
주연: 기타노 다케시, 니시다 토시유키, 미츠이시 켄</t>
  </si>
  <si>
    <t>섬세한 일본적 감수성으로, 2017년의 시선으로 담아낸 범죄의 이야기. 법과 도덕 사이의 틈새에서 인간의 본성이 노출된다. 어둠 속에서도 인간은 스스로를 정당화하려 한다. 흠이 있지만 진심이 담긴 시도였다.</t>
  </si>
  <si>
    <t>감독: 데이빗 맥킨지
주연: 크리스 파인, 에런 테일러존슨, 플로렌스 퓨</t>
  </si>
  <si>
    <t>영국적 절제와 냉소 사이에서, 2018년의 시선으로 담아낸 액션의 이야기. 충돌은 세계가 변화를 요구하는 방식이다. 폭력의 언어 속에서도 인간은 존엄을 갈망한다. 오랫동안 여운이 남는 작품이다.</t>
  </si>
  <si>
    <t>감독: 볼프강 페터젠
주연: 더스틴 호프만, 르네 루소, 모건 프리먼</t>
  </si>
  <si>
    <t>할리우드적 스펙터클 너머, 1995년의 시선으로 담아낸 액션의 이야기. 충돌은 세계가 변화를 요구하는 방식이다. 폭력의 언어 속에서도 인간은 존엄을 갈망한다. 나름의 울림을 간직한 작품이다.</t>
  </si>
  <si>
    <t>감독: Martin Zandvliet
주연: 자레드 레토, 아사노 타다노부, 시이나 킷페이</t>
  </si>
  <si>
    <t>할리우드적 스펙터클 너머, 2018년의 시선으로 담아낸 범죄의 이야기. 죄란 사회가 만든 경계를 넘는 행위이자 그 경계에 대한 질문이다. 어둠 속에서도 인간은 스스로를 정당화하려 한다. 이 작품이 남기는 이미지는 어떤 방식으로든 기억에 새겨진다.</t>
  </si>
  <si>
    <t>감독: Mikael Håfström
주연: 안소니 마키, 댐슨 이드리스, 엔조 칠렌티</t>
  </si>
  <si>
    <t>할리우드적 스펙터클 너머, 2021년의 시선으로 담아낸 액션의 이야기. 육체의 한계에 도전하는 것은 곧 자아의 경계를 시험하는 일이다. 충돌은 세계가 변화를 요구하는 방식이다. 한 번쯤 들여다볼 가치가 있는 이야기다.</t>
  </si>
  <si>
    <t>감독: Carl Franklin
주연: 덴젤 워싱턴, 에바 멘데스, Sanaa Lathan</t>
  </si>
  <si>
    <t>할리우드적 스펙터클 너머, 2003년의 시선으로 담아낸 범죄의 이야기. 욕망은 언제나 질서보다 먼저 존재했다. 어둠 속에서도 인간은 스스로를 정당화하려 한다. 두고두고 다시 꺼내 볼 만한 작품이다.</t>
  </si>
  <si>
    <t>감독: Tony Grounds</t>
  </si>
  <si>
    <t>드라마 형식 속에서, 영국적 절제와 냉소 사이에서, 2016년의 시선으로 담아낸 드라마의 이야기. 인간의 고통이란 결국 타인과의 거리에서 비롯된다. 모든 이야기는 상처의 다른 이름이다. 평점이 담지 못하는 무언가가 이 영화에는 있다.</t>
  </si>
  <si>
    <t>감독: Jesse Peretz
주연: 폴 러드, 엘리자베스 뱅크스, 주이 디샤넬</t>
  </si>
  <si>
    <t>할리우드적 스펙터클 너머, 2011년의 시선으로 담아낸 코미디의 이야기. 유머 속에는 세계의 부조리를 견뎌내는 지혜가 담겨 있다. 우스운 것과 슬픈 것은 본래 같은 뿌리에서 자란다. 두고두고 다시 꺼내 볼 만한 작품이다.</t>
  </si>
  <si>
    <t>감독: 스티븐 달드리
주연: 줄리앤 무어, 니콜 키드먼, 메릴 스트립</t>
  </si>
  <si>
    <t>할리우드적 스펙터클 너머, 2002년의 시선으로 담아낸 드라마의 이야기. 삶은 언제나 해석을 기다리는 텍스트다. 모든 이야기는 상처의 다른 이름이다. 완벽하지 않아도, 그 불완전함이 오히려 인간적이다.</t>
  </si>
  <si>
    <t>감독: Kim Hyun-tak
주연: 김향기, 류현경, 염혜란</t>
  </si>
  <si>
    <t>한국 특유의 정서가 켜켜이 쌓인 듯, 2021년의 시선으로 담아낸 드라마의 이야기. 우리는 각자의 서사 안에 갇혀 서로를 오해한다. 삶은 언제나 해석을 기다리는 텍스트다. 시간이 지날수록 더 깊이 읽히는 영화다.</t>
  </si>
  <si>
    <t>감독: 岡本伸吾, 福田亮介
주연: 니카이도 후미, 채종협, 나카가와 타이시</t>
  </si>
  <si>
    <t>드라마 형식 속에서, 섬세한 일본적 감수성으로, 2024년의 시선으로 담아낸 드라마의 이야기. 모든 이야기는 상처의 다른 이름이다. 우리는 각자의 서사 안에 갇혀 서로를 오해한다. 평점이 담지 못하는 무언가가 이 영화에는 있다.</t>
  </si>
  <si>
    <t>감독: Marc Abraham
주연: 톰 히들스턴, 엘리자베스 올슨, Wayne Péré</t>
  </si>
  <si>
    <t>할리우드적 스펙터클 너머, 2016년의 시선으로 담아낸 드라마의 이야기. 삶은 언제나 해석을 기다리는 텍스트다. 우리는 각자의 서사 안에 갇혀 서로를 오해한다. 나름의 울림을 간직한 작품이다.</t>
  </si>
  <si>
    <t>감독: Adam Randall
주연: 헬렌 헌트, Jon Tenney, 오웬 티그</t>
  </si>
  <si>
    <t>감독: Luisella Boidi
주연: 틸다 스윈튼, 루카 구아다니노, 알바 로르바케르</t>
  </si>
  <si>
    <t>이탈리아 네오리얼리즘의 숨결을 담아, 2009년의 시선으로 담아낸 드라마의 이야기. 인간의 고통이란 결국 타인과의 거리에서 비롯된다. 모든 이야기는 상처의 다른 이름이다. 이 작품이 남기는 질문은 쉽게 사라지지 않는다.</t>
  </si>
  <si>
    <t>감독: Grant Sputore
주연: Clara Rugaard, 로즈 번, 힐러리 스웽크</t>
  </si>
  <si>
    <t>2019년의 시선으로 담아낸 SF 이야기가 우리에게 묻는다. 기술이 진보할수록 인간다움의 정의는 더욱 절박해진다. 미래를 상상하는 것은 현재를 비판하는 가장 우회적인 방법이다. 시간이 지날수록 더 깊이 읽히는 영화다.</t>
  </si>
  <si>
    <t>감독: 마이크 카힐
주연: 마이클 피트, 브릿 말링, 아스트리드 베르제프리스베</t>
  </si>
  <si>
    <t>할리우드적 스펙터클 너머, 2014년의 시선으로 담아낸 SF의 이야기. 기술이 진보할수록 인간다움의 정의는 더욱 절박해진다. 미래를 상상하는 것은 현재를 비판하는 가장 우회적인 방법이다. 평점이 담지 못하는 무언가가 이 영화에는 있다.</t>
  </si>
  <si>
    <t>감독: Gavin Hood
주연: 헬렌 미렌, 아론 폴, 앨런 릭먼</t>
  </si>
  <si>
    <t>영국적 절제와 냉소 사이에서, 2015년의 시선으로 담아낸 스릴러의 이야기. 불안이란 현실이 균열을 드러내는 순간에 스며든다. 긴장은 존재가 위협받을 때 가장 선명하게 빛난다. 시간이 지날수록 더 깊이 읽히는 영화다.</t>
  </si>
  <si>
    <t>감독: 김현석
주연: 나문희, 이제훈, 성유빈</t>
  </si>
  <si>
    <t>한국 특유의 정서가 켜켜이 쌓인 듯, 2017년의 시선으로 담아낸 드라마의 이야기. 우리는 각자의 서사 안에 갇혀 서로를 오해한다. 모든 이야기는 상처의 다른 이름이다. 이 작품이 남기는 질문은 쉽게 사라지지 않는다.</t>
  </si>
  <si>
    <t>감독: Andrew Erwin, 존 어윈
주연: J. Michael Finley, 데니스 퀘이드, Cloris Leachman</t>
  </si>
  <si>
    <t>할리우드적 스펙터클 너머, 2018년의 시선으로 담아낸 드라마의 이야기. 모든 이야기는 상처의 다른 이름이다. 인간의 고통이란 결국 타인과의 거리에서 비롯된다. 이 작품이 남기는 질문은 쉽게 사라지지 않는다.</t>
  </si>
  <si>
    <t>감독: Abby Kohn, Marc Silverstein
주연: 에이미 슈머, 미셸 윌리엄스, Tom Hopper</t>
  </si>
  <si>
    <t>할리우드적 스펙터클 너머, 2018년의 시선으로 담아낸 코미디의 이야기. 가볍게 웃는 순간에도 삶의 무게는 그 그림자를 드리운다. 우스운 것과 슬픈 것은 본래 같은 뿌리에서 자란다. 시간이 지날수록 더 깊이 읽히는 영화다.</t>
  </si>
  <si>
    <t>감독: 크레이그 길레스피
주연: 마고 로비, 세바스찬 스탠, 앨리슨 제니</t>
  </si>
  <si>
    <t>할리우드적 스펙터클 너머, 2017년의 시선으로 담아낸 드라마의 이야기. 우리는 각자의 서사 안에 갇혀 서로를 오해한다. 삶은 언제나 해석을 기다리는 텍스트다. 이 작품이 남기는 질문은 쉽게 사라지지 않는다.</t>
  </si>
  <si>
    <t>감독: 제임스 맨골드
주연: 존 쿠삭, 레이 리오타, 아만다 피트</t>
  </si>
  <si>
    <t>할리우드적 스펙터클 너머, 2003년의 시선으로 담아낸 미스터리의 이야기. 진실을 추적하는 것은 존재의 불투명함과 씨름하는 일이다. 감춰진 것들이 드러나는 순간, 세계는 다르게 보이기 시작한다. 평점이 담지 못하는 무언가가 이 영화에는 있다.</t>
  </si>
  <si>
    <t>감독: 마틴 스콜세지
주연: 로버트 드 니로, 알 파치노, 조 페시</t>
  </si>
  <si>
    <t>209분</t>
  </si>
  <si>
    <t>할리우드적 스펙터클 너머, 2019년의 시선으로 담아낸 범죄의 이야기. 법과 도덕 사이의 틈새에서 인간의 본성이 노출된다. 욕망은 언제나 질서보다 먼저 존재했다. 오랫동안 여운이 남는 작품이다.</t>
  </si>
  <si>
    <t>감독: 조너선 헨즐리
주연: 리암 니슨, 엠버 미드선더, Marcus Thomas</t>
  </si>
  <si>
    <t>할리우드적 스펙터클 너머, 2021년의 시선으로 담아낸 액션의 이야기. 폭력의 언어 속에서도 인간은 존엄을 갈망한다. 생존의 욕망은 가장 원초적인 철학적 질문을 던진다. 나름의 울림을 간직한 작품이다.</t>
  </si>
  <si>
    <t>감독: 조너선 헨즐리
주연: 리암 니슨, 판빙빙, Marcus Thomas</t>
  </si>
  <si>
    <t>할리우드적 스펙터클 너머, 2025년의 시선으로 담아낸 액션의 이야기. 생존의 욕망은 가장 원초적인 철학적 질문을 던진다. 폭력의 언어 속에서도 인간은 존엄을 갈망한다. 나름의 울림을 간직한 작품이다.</t>
  </si>
  <si>
    <t>감독: Prince k kashyap
주연: Aritaa Paul</t>
  </si>
  <si>
    <t>프랑스 영화 특유의 철학적 깊이로, 2020년의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</si>
  <si>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스탠리 큐브릭
주연: 톰 크루즈, 니콜 키드먼, 시드니 폴락</t>
  </si>
  <si>
    <t>159분</t>
  </si>
  <si>
    <t>할리우드적 스펙터클 너머, 1999년의 시선으로 담아낸 드라마의 이야기. 모든 이야기는 상처의 다른 이름이다. 인간의 고통이란 결국 타인과의 거리에서 비롯된다. 이 작품이 남기는 질문은 쉽게 사라지지 않는다.</t>
  </si>
  <si>
    <t>감독: Can Ulkay
주연: İsmail Hacıoğlu, 김설, Çetin Tekindor</t>
  </si>
  <si>
    <t>2017년의 시선으로 담아낸 드라마 이야기가 우리에게 묻는다. 인간의 고통이란 결국 타인과의 거리에서 비롯된다. 모든 이야기는 상처의 다른 이름이다. 이 작품이 남기는 질문은 쉽게 사라지지 않는다.</t>
  </si>
  <si>
    <t>감독: Julia Hart
주연: 레이첼 브로스나한, 마샤 스테파니 블레이크, Arinzé Kene</t>
  </si>
  <si>
    <t>할리우드적 스펙터클 너머, 2020년의 시선으로 담아낸 범죄의 이야기. 법과 도덕 사이의 틈새에서 인간의 본성이 노출된다. 어둠 속에서도 인간은 스스로를 정당화하려 한다. 한 번쯤 들여다볼 가치가 있는 이야기다.</t>
  </si>
  <si>
    <t>감독: 니시카와 미와
주연: 모토키 마사히로, 竹原ピストル, Kenshin Fujita</t>
  </si>
  <si>
    <t>섬세한 일본적 감수성으로, 2016년의 시선으로 담아낸 드라마의 이야기. 우리는 각자의 서사 안에 갇혀 서로를 오해한다. 삶은 언제나 해석을 기다리는 텍스트다. 오랫동안 여운이 남는 작품이다.</t>
  </si>
  <si>
    <t>감독: James Lapine
주연: 비올라 데이비스, 헤이든 파네티어, 카타리나 산디노 모레노</t>
  </si>
  <si>
    <t>프랑스 영화 특유의 철학적 깊이로, 2018년의 시선으로 담아낸 드라마의 이야기. 삶은 언제나 해석을 기다리는 텍스트다. 모든 이야기는 상처의 다른 이름이다. 완벽하지 않아도, 그 불완전함이 오히려 인간적이다.</t>
  </si>
  <si>
    <t>감독: 제임스 완
주연: 제이슨 모모아, 엠버 허드, 윌렘 대포</t>
  </si>
  <si>
    <t>할리우드적 스펙터클 너머, 2018년의 시선으로 담아낸 액션의 이야기. 생존의 욕망은 가장 원초적인 철학적 질문을 던진다. 폭력의 언어 속에서도 인간은 존엄을 갈망한다. 나름의 울림을 간직한 작품이다.</t>
  </si>
  <si>
    <t>감독: 기타노 다케시
주연: 기타노 다케시, 樋口可南子, 柳憂怜</t>
  </si>
  <si>
    <t>섬세한 일본적 감수성으로, 2008년의 시선으로 담아낸 코미디의 이야기. 웃음은 고통을 소화하는 인간만의 방식이다. 가볍게 웃는 순간에도 삶의 무게는 그 그림자를 드리운다. 한 번쯤 들여다볼 가치가 있는 이야기다.</t>
  </si>
  <si>
    <t>감독: Simon Curtis
주연: 케빈 코스트너, Milo Ventimiglia, 아만다 사이프리드</t>
  </si>
  <si>
    <t>할리우드적 스펙터클 너머, 2019년의 시선으로 담아낸 드라마의 이야기. 모든 이야기는 상처의 다른 이름이다. 우리는 각자의 서사 안에 갇혀 서로를 오해한다. 이 작품이 남기는 이미지는 어떤 방식으로든 기억에 새겨진다.</t>
  </si>
  <si>
    <t>감독: 미셸 하자나비시우스
주연: 장 뒤자르댕, 베레니스 베조, 존 굿맨</t>
  </si>
  <si>
    <t>프랑스 영화 특유의 철학적 깊이로, 2011년의 시선으로 담아낸 코미디의 이야기. 웃음은 고통을 소화하는 인간만의 방식이다. 우스운 것과 슬픈 것은 본래 같은 뿌리에서 자란다. 오랫동안 여운이 남는 작품이다.</t>
  </si>
  <si>
    <t>감독: Joe Penna
주연: 매즈 미켈슨, Maria Thelma Smáradóttir, Tintrinai Thikhasuk</t>
  </si>
  <si>
    <t>아이슬란드</t>
  </si>
  <si>
    <t>2018년의 시선으로 담아낸 드라마 이야기가 우리에게 묻는다. 우리는 각자의 서사 안에 갇혀 서로를 오해한다. 모든 이야기는 상처의 다른 이름이다. 오랫동안 여운이 남는 작품이다.</t>
  </si>
  <si>
    <t>감독: 정병길
주연: 김옥빈, 신하균, 성준</t>
  </si>
  <si>
    <t>한국 특유의 정서가 켜켜이 쌓인 듯, 2017년의 시선으로 담아낸 액션의 이야기. 충돌은 세계가 변화를 요구하는 방식이다. 생존의 욕망은 가장 원초적인 철학적 질문을 던진다. 완벽하지 않아도, 그 불완전함이 오히려 인간적이다.</t>
  </si>
  <si>
    <t>감독: 시드니 루멧
주연: 필립 세이모어 호프만, 에단 호크, 알버트 피니</t>
  </si>
  <si>
    <t>할리우드적 스펙터클 너머, 2007년의 시선으로 담아낸 범죄의 이야기. 법과 도덕 사이의 틈새에서 인간의 본성이 노출된다. 욕망은 언제나 질서보다 먼저 존재했다. 이 작품이 남기는 질문은 쉽게 사라지지 않는다.</t>
  </si>
  <si>
    <t>감독: 데이비드 프랭클
주연: 메릴 스트립, 앤 해서웨이, 에밀리 블런트</t>
  </si>
  <si>
    <t>할리우드적 스펙터클 너머, 2006년의 시선으로 담아낸 코미디의 이야기. 우스운 것과 슬픈 것은 본래 같은 뿌리에서 자란다. 가볍게 웃는 순간에도 삶의 무게는 그 그림자를 드리운다. 아쉬움이 남지만, 모든 시도는 의미를 갖는다.</t>
  </si>
  <si>
    <t>감독: 김지운
주연: 이병헌, 최민식, 전국환</t>
  </si>
  <si>
    <t>한국 특유의 정서가 켜켜이 쌓인 듯, 2010년의 시선으로 담아낸 스릴러의 이야기. 긴장은 존재가 위협받을 때 가장 선명하게 빛난다. 진실은 언제나 우리가 감당할 수 없는 형태로 찾아온다. 두고두고 다시 꺼내 볼 만한 작품이다.</t>
  </si>
  <si>
    <t>감독: 하마구치 류스케
주연: Hitoshi Omika, Ryo Nishikawa, Ryuji Kosaka</t>
  </si>
  <si>
    <t>섬세한 일본적 감수성으로, 2023년의 시선으로 담아낸 드라마의 이야기. 삶은 언제나 해석을 기다리는 텍스트다. 우리는 각자의 서사 안에 갇혀 서로를 오해한다. 완벽하지 않아도, 그 불완전함이 오히려 인간적이다.</t>
  </si>
  <si>
    <t>감독: Wayne Blair
주연: 에이드리언 브로디, 셀마 헤이엑, Gabriella Wright</t>
  </si>
  <si>
    <t>한국 특유의 정서가 켜켜이 쌓인 듯, 2015년의 시선으로 담아낸 범죄의 이야기. 죄란 사회가 만든 경계를 넘는 행위이자 그 경계에 대한 질문이다. 욕망은 언제나 질서보다 먼저 존재했다. 나름의 울림을 간직한 작품이다.</t>
  </si>
  <si>
    <t>감독: 백운학
주연: 손현주, 마동석, 박서준</t>
  </si>
  <si>
    <t>한국 특유의 정서가 켜켜이 쌓인 듯, 2015년의 시선으로 담아낸 스릴러의 이야기. 긴장은 존재가 위협받을 때 가장 선명하게 빛난다. 진실은 언제나 우리가 감당할 수 없는 형태로 찾아온다. 이 작품이 남기는 질문은 쉽게 사라지지 않는다.</t>
  </si>
  <si>
    <t>감독: Gil Austin
주연: Gil Austin, Ron Weisberg, Leslie Anne Chastain</t>
  </si>
  <si>
    <t>섬세한 일본적 감수성으로, 2011년의 시선으로 담아낸 드라마의 이야기. 인간의 고통이란 결국 타인과의 거리에서 비롯된다. 모든 이야기는 상처의 다른 이름이다. 흠이 있지만 진심이 담긴 시도였다.</t>
  </si>
  <si>
    <t>감독: Lee Won-tae
주연: 마동석, 김무열, 김성규</t>
  </si>
  <si>
    <t>한국 특유의 정서가 켜켜이 쌓인 듯, 2018년의 시선으로 담아낸 액션의 이야기. 생존의 욕망은 가장 원초적인 철학적 질문을 던진다. 육체의 한계에 도전하는 것은 곧 자아의 경계를 시험하는 일이다. 시간이 지날수록 더 깊이 읽히는 영화다.</t>
  </si>
  <si>
    <t>감독: 이정범
주연: 이선균, 전소니, 박해준</t>
  </si>
  <si>
    <t>한국 특유의 정서가 켜켜이 쌓인 듯, 2019년의 시선으로 담아낸 범죄의 이야기. 욕망은 언제나 질서보다 먼저 존재했다. 법과 도덕 사이의 틈새에서 인간의 본성이 노출된다. 한 번쯤 들여다볼 가치가 있는 이야기다.</t>
  </si>
  <si>
    <t>감독: Donato Carrisi
주연: Toni Servillo, 장 르노, Alessio Boni</t>
  </si>
  <si>
    <t>이탈리아 네오리얼리즘의 숨결을 담아, 2017년의 시선으로 담아낸 스릴러의 이야기. 진실은 언제나 우리가 감당할 수 없는 형태로 찾아온다. 공포는 우리가 통제할 수 없는 것들에 대한 솔직한 고백이다. 한 번쯤 들여다볼 가치가 있는 이야기다.</t>
  </si>
  <si>
    <t>감독: 테오 앙겔로풀로스
주연: Michalis Zeke, Τάνια Παλαιολόγου, Στράτος Τζώρτζογλου</t>
  </si>
  <si>
    <t>1988년의 시선으로 담아낸 드라마 이야기가 우리에게 묻는다. 인간의 고통이란 결국 타인과의 거리에서 비롯된다. 모든 이야기는 상처의 다른 이름이다. 시간이 지날수록 더 깊이 읽히는 영화다.</t>
  </si>
  <si>
    <t>감독: 뤽 베송
주연: 사샤 루스, 헬렌 미렌, 루크 에반스</t>
  </si>
  <si>
    <t>프랑스 영화 특유의 철학적 깊이로, 2019년의 시선으로 담아낸 액션의 이야기. 생존의 욕망은 가장 원초적인 철학적 질문을 던진다. 충돌은 세계가 변화를 요구하는 방식이다. 시간이 지날수록 더 깊이 읽히는 영화다.</t>
  </si>
  <si>
    <t>감독: Ibon Cormenzana
주연: Javier Rey, Patricia López Arnaiz, Blanca Apilánez</t>
  </si>
  <si>
    <t>할리우드적 스펙터클 너머, 2022년의 시선으로 담아낸 다큐의 이야기. 세계를 있는 그대로 바라보는 것이 가장 용기 있는 행위다. 기록은 망각에 대한 저항이며, 현재에 대한 증언이다. 이 작품이 남기는 질문은 쉽게 사라지지 않는다.</t>
  </si>
  <si>
    <t>감독: 大島里美, 坪井敏雄
주연: 아시다 마나, 니시지마 히데토시, 아라키 유코</t>
  </si>
  <si>
    <t>드라마 형식 속에서, 섬세한 일본적 감수성으로, 2024년의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</si>
  <si>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Gail Mancuso
주연: Marg Helgenberger, 베티 길핀, 헨리</t>
  </si>
  <si>
    <t>할리우드적 스펙터클 너머, 2019년의 시선으로 담아낸 드라마의 이야기. 인간의 고통이란 결국 타인과의 거리에서 비롯된다. 모든 이야기는 상처의 다른 이름이다. 두고두고 다시 꺼내 볼 만한 작품이다.</t>
  </si>
  <si>
    <t>감독: Anthony Lefresne, Curtis Crawford
주연: Cassie Scerbo, Alex Paxton-Beesley, Scott Gibson</t>
  </si>
  <si>
    <t>광활한 대지의 이야기를 담아, 2017년의 시선으로 담아낸 로맨스의 이야기. 두 사람 사이의 침묵은 때로 말보다 더 많은 것을 말한다. 설렘은 불완전한 존재가 완전함을 향해 뻗는 손길이다. 시간이 지날수록 더 깊이 읽히는 영화다.</t>
  </si>
  <si>
    <t>감독: 조쉬 분
주연: 쉐일린 우들리, 안셀 엘고트, 냇 울프</t>
  </si>
  <si>
    <t>감독: 萩原健太郎
주연: 맛켄유, 키타무라 타쿠미, 久保田紗友</t>
  </si>
  <si>
    <t>섬세한 일본적 감수성으로, 2020년의 시선으로 담아낸 판타지의 이야기. 불가능한 세계를 꿈꾸는 것은 현실의 한계에 저항하는 일이다. 신화는 인간이 말할 수 없는 것들을 말하는 언어다. 오랫동안 여운이 남는 작품이다.</t>
  </si>
  <si>
    <t>감독: Kim Kwang-sik
주연: 조인성, 남주혁, 박성웅</t>
  </si>
  <si>
    <t>한국 특유의 정서가 켜켜이 쌓인 듯, 2018년의 시선으로 담아낸 전쟁의 이야기. 전쟁을 기억하는 것은 반복하지 않기 위한 고통스러운 의무다. 전쟁은 인간의 이성이 멈추는 지점에서 시작된다. 시간이 지날수록 더 깊이 읽히는 영화다.</t>
  </si>
  <si>
    <t>감독: 콜린 트레보로
주연: 오브리 플라자, 마크 듀플래스, 제이크 존슨</t>
  </si>
  <si>
    <t>할리우드적 스펙터클 너머, 2012년의 시선으로 담아낸 코미디의 이야기. 우스운 것과 슬픈 것은 본래 같은 뿌리에서 자란다. 유머 속에는 세계의 부조리를 견뎌내는 지혜가 담겨 있다. 나름의 울림을 간직한 작품이다.</t>
  </si>
  <si>
    <t>감독: Gerard Bush, Christopher Renz
주연: 자넬 모네, 에릭 랭, 제나 말론</t>
  </si>
  <si>
    <t>할리우드적 스펙터클 너머, 2020년의 시선으로 담아낸 공포의 이야기. 우리가 두려워하는 것은 대개 우리 자신의 그림자다. 불가해한 것 앞에서 인간은 얼마나 작은가를 깨닫는다. 완벽하지 않아도, 그 불완전함이 오히려 인간적이다.</t>
  </si>
  <si>
    <t>감독: Guy Burt
주연: Otto Farrant, 스테판 딜런, Vicky McClure</t>
  </si>
  <si>
    <t>드라마 형식 속에서, 영국적 절제와 냉소 사이에서, 2020년의 시선으로 담아낸 드라마의 이야기. 모든 이야기는 상처의 다른 이름이다. 우리는 각자의 서사 안에 갇혀 서로를 오해한다. 평점이 담지 못하는 무언가가 이 영화에는 있다.</t>
  </si>
  <si>
    <t>감독: Kim Dong-won
주연: 비, 유준상, 신세경</t>
  </si>
  <si>
    <t>한국 특유의 정서가 켜켜이 쌓인 듯, 2012년의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</si>
  <si>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Albert Hughes
주연: 코디 스밋맥피, Jóhannes Haukur Jóhannesson, Marcin Kowalczyk</t>
  </si>
  <si>
    <t>할리우드적 스펙터클 너머, 2018년의 시선으로 담아낸 모험의 이야기. 시간이 흐른 뒤에도 이 장면들은 기억 속에 선명히 남는다. 우리는 스크린 앞에 앉아 타인의 삶을 통해 우리 자신을 본다. 이 작품이 남기는 이미지는 어떤 방식으로든 기억에 새겨진다.</t>
  </si>
  <si>
    <t>감독: 최동훈
주연: 전지현, 하정우, 이정재</t>
  </si>
  <si>
    <t>한국 특유의 정서가 켜켜이 쌓인 듯, 2015년의 시선으로 담아낸 액션의 이야기. 생존의 욕망은 가장 원초적인 철학적 질문을 던진다. 폭력의 언어 속에서도 인간은 존엄을 갈망한다. 두고두고 다시 꺼내 볼 만한 작품이다.</t>
  </si>
  <si>
    <t>감독: 김태균
주연: 김윤석, 주지훈, 문정희</t>
  </si>
  <si>
    <t>한국 특유의 정서가 켜켜이 쌓인 듯, 2018년의 시선으로 담아낸 범죄의 이야기. 법과 도덕 사이의 틈새에서 인간의 본성이 노출된다. 욕망은 언제나 질서보다 먼저 존재했다. 두고두고 다시 꺼내 볼 만한 작품이다.</t>
  </si>
  <si>
    <t>감독: 페이턴 리드
주연: 폴 러드, 마이클 더글라스, 에반젤린 릴리</t>
  </si>
  <si>
    <t>섬세한 일본적 감수성으로, 2015년의 시선으로 담아낸 드라마의 이야기. 삶은 언제나 해석을 기다리는 텍스트다. 우리는 각자의 서사 안에 갇혀 서로를 오해한다. 두고두고 다시 꺼내 볼 만한 작품이다.</t>
  </si>
  <si>
    <t>감독: 더그 엘린
주연: 케빈 코넬리, 애드리언 그레니어, 케빈 딜런</t>
  </si>
  <si>
    <t>할리우드적 스펙터클 너머, 2015년의 시선으로 담아낸 코미디의 이야기. 웃음은 고통을 소화하는 인간만의 방식이다. 우스운 것과 슬픈 것은 본래 같은 뿌리에서 자란다. 한 번쯤 들여다볼 가치가 있는 이야기다.</t>
  </si>
  <si>
    <t>감독: Andy Tennant
주연: 조디 포스터, 주윤발, 바이 링</t>
  </si>
  <si>
    <t>할리우드적 스펙터클 너머, 1999년의 시선으로 담아낸 드라마의 이야기. 모든 이야기는 상처의 다른 이름이다. 우리는 각자의 서사 안에 갇혀 서로를 오해한다. 이 작품이 남기는 질문은 쉽게 사라지지 않는다.</t>
  </si>
  <si>
    <t>감독: Pamela Romanowsky
주연: 제임스 프랭코, 엠버 허드, 에드 해리스</t>
  </si>
  <si>
    <t>할리우드적 스펙터클 너머, 2015년의 시선으로 담아낸 드라마의 이야기. 우리는 각자의 서사 안에 갇혀 서로를 오해한다. 삶은 언제나 해석을 기다리는 텍스트다. 아쉬움이 남지만, 모든 시도는 의미를 갖는다.</t>
  </si>
  <si>
    <t>감독: 제임스 그레이
주연: 브래드 피트, 토미 리 존스, 리브 타일러</t>
  </si>
  <si>
    <t>할리우드적 스펙터클 너머, 2019년의 시선으로 담아낸 SF의 이야기. 미래를 상상하는 것은 현재를 비판하는 가장 우회적인 방법이다. 기술이 진보할수록 인간다움의 정의는 더욱 절박해진다. 두고두고 다시 꺼내 볼 만한 작품이다.</t>
  </si>
  <si>
    <t>감독: Theja Iddamalgoda
주연: Hemal Ranasinghe, Ishanka Jahanvi, Bimal Jayakody</t>
  </si>
  <si>
    <t>할리우드적 스펙터클 너머, 2022년의 시선으로 담아낸 SF의 이야기. 우주의 광대함 앞에서 인간의 질문은 더욱 깊어진다. 미래를 상상하는 것은 현재를 비판하는 가장 우회적인 방법이다. 평점이 담지 못하는 무언가가 이 영화에는 있다.</t>
  </si>
  <si>
    <t>감독: Allison Burnett
주연: 브릿 로버트슨, Molly Hagan, Andy Buckley</t>
  </si>
  <si>
    <t>할리우드적 스펙터클 너머, 2014년의 시선으로 담아낸 드라마의 이야기. 인간의 고통이란 결국 타인과의 거리에서 비롯된다. 우리는 각자의 서사 안에 갇혀 서로를 오해한다. 나름의 울림을 간직한 작품이다.</t>
  </si>
  <si>
    <t>감독: Jess Varley
주연: 케이트 마라, 로렌스 피시번, 가브리엘 루나</t>
  </si>
  <si>
    <t>할리우드적 스펙터클 너머, 2025년의 시선으로 담아낸 드라마의 이야기. 모든 이야기는 상처의 다른 이름이다. 삶은 언제나 해석을 기다리는 텍스트다. 이 작품이 남기는 이미지는 어떤 방식으로든 기억에 새겨진다.</t>
  </si>
  <si>
    <t>감독: 지아장커
주연: 姜武, 왕보강, Zhao Tao</t>
  </si>
  <si>
    <t>광활한 대지의 이야기를 담아, 2013년의 시선으로 담아낸 드라마의 이야기. 모든 이야기는 상처의 다른 이름이다. 인간의 고통이란 결국 타인과의 거리에서 비롯된다. 평점이 담지 못하는 무언가가 이 영화에는 있다.</t>
  </si>
  <si>
    <t>감독: 遊川和彦
주연: 아베 히로시, 아마미 유키, 칸노 미호</t>
  </si>
  <si>
    <t>섬세한 일본적 감수성으로, 2016년의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</si>
  <si>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Jenny Gage
주연: Josephine Langford, 히어로 파인스 티핀, Shane Paul McGhie</t>
  </si>
  <si>
    <t>할리우드적 스펙터클 너머, 2019년의 시선으로 담아낸 로맨스의 이야기. 두 사람 사이의 침묵은 때로 말보다 더 많은 것을 말한다. 그리움이란 부재를 통해 존재를 확인하는 방식이다. 아쉬움이 남지만, 모든 시도는 의미를 갖는다.</t>
  </si>
  <si>
    <t>감독: 루카 구아다니노
주연: 줄리아 로버츠, 아요 에데비리, 앤드류 가필드</t>
  </si>
  <si>
    <t>할리우드적 스펙터클 너머, 2025년의 시선으로 담아낸 드라마의 이야기. 삶은 언제나 해석을 기다리는 텍스트다. 인간의 고통이란 결국 타인과의 거리에서 비롯된다. 나름의 울림을 간직한 작품이다.</t>
  </si>
  <si>
    <t>감독: Agnieszka Wojtowicz-Vosloo
주연: 크리스티나 리치, 리암 니슨, 저스틴 롱</t>
  </si>
  <si>
    <t>할리우드적 스펙터클 너머, 2009년의 시선으로 담아낸 드라마의 이야기. 우리는 각자의 서사 안에 갇혀 서로를 오해한다. 삶은 언제나 해석을 기다리는 텍스트다. 이 작품이 남기는 이미지는 어떤 방식으로든 기억에 새겨진다.</t>
  </si>
  <si>
    <t>감독: Christian Walsh
주연: Adrian Anchondo, Dylan Wayne Lawrence</t>
  </si>
  <si>
    <t>할리우드적 스펙터클 너머, 2020년의 시선으로 담아낸 로맨스의 이야기. 사랑은 자아의 경계가 흔들리는 순간에 찾아온다. 두 사람 사이의 침묵은 때로 말보다 더 많은 것을 말한다. 시간이 지날수록 더 깊이 읽히는 영화다.</t>
  </si>
  <si>
    <t>감독: Elliott Lester
주연: 아놀드 슈왈제네거, 스쿠트 맥네리, 매기 그레이스</t>
  </si>
  <si>
    <t>할리우드적 스펙터클 너머, 2017년의 시선으로 담아낸 드라마의 이야기. 우리는 각자의 서사 안에 갇혀 서로를 오해한다. 삶은 언제나 해석을 기다리는 텍스트다. 거칠지만 그 안에서도 인간의 흔적은 남는다.</t>
  </si>
  <si>
    <t>감독: Brett Donowho
주연: 브루스 윌리스, 콜 하우저, 숀 애슈모어</t>
  </si>
  <si>
    <t>할리우드적 스펙터클 너머, 2018년의 시선으로 담아낸 액션의 이야기. 폭력의 언어 속에서도 인간은 존엄을 갈망한다. 육체의 한계에 도전하는 것은 곧 자아의 경계를 시험하는 일이다. 한 번쯤 들여다볼 가치가 있는 이야기다.</t>
  </si>
  <si>
    <t>감독: Mike McCoy, Scott Waugh
주연: Roselyn Sánchez, Jason Cottle, Alex Veadov</t>
  </si>
  <si>
    <t>할리우드적 스펙터클 너머, 2012년의 시선으로 담아낸 액션의 이야기. 폭력의 언어 속에서도 인간은 존엄을 갈망한다. 충돌은 세계가 변화를 요구하는 방식이다. 이 작품이 남기는 이미지는 어떤 방식으로든 기억에 새겨진다.</t>
  </si>
  <si>
    <t>감독: Eric Freiser
주연: Bruce Payne, Ashley Laurence, Paul Francis</t>
  </si>
  <si>
    <t>섬세한 일본적 감수성으로, 2009년의 시선으로 담아낸 전쟁의 이야기. 전쟁을 기억하는 것은 반복하지 않기 위한 고통스러운 의무다. 폐허 속에서도 존엄을 지키려는 의지가 역사를 만든다. 완벽하지 않아도, 그 불완전함이 오히려 인간적이다.</t>
  </si>
  <si>
    <t>할리우드적 스펙터클 너머, 2015년의 시선으로 담아낸 액션의 이야기. 폭력의 언어 속에서도 인간은 존엄을 갈망한다. 육체의 한계에 도전하는 것은 곧 자아의 경계를 시험하는 일이다. 흠이 있지만 진심이 담긴 시도였다.</t>
  </si>
  <si>
    <t>감독: 페이턴 리드
주연: 폴 러드, 에반젤린 릴리, 마이클 더글라스</t>
  </si>
  <si>
    <t>할리우드적 스펙터클 너머, 2018년의 시선으로 담아낸 액션의 이야기. 생존의 욕망은 가장 원초적인 철학적 질문을 던진다. 충돌은 세계가 변화를 요구하는 방식이다. 흠이 있지만 진심이 담긴 시도였다.</t>
  </si>
  <si>
    <t>감독: 덴젤 워싱턴
주연: 덴젤 워싱턴, Derek Luke, Malcolm David Kelley</t>
  </si>
  <si>
    <t>할리우드적 스펙터클 너머, 2002년의 시선으로 담아낸 드라마의 이야기. 인간의 고통이란 결국 타인과의 거리에서 비롯된다. 삶은 언제나 해석을 기다리는 텍스트다. 두고두고 다시 꺼내 볼 만한 작품이다.</t>
  </si>
  <si>
    <t>감독: 로드리고 가르시아
주연: 글렌 클로즈, 미아 바시코프스카, 에런 테일러존슨</t>
  </si>
  <si>
    <t>2011년의 시선으로 담아낸 드라마 이야기가 우리에게 묻는다. 우리는 각자의 서사 안에 갇혀 서로를 오해한다. 모든 이야기는 상처의 다른 이름이다. 흠이 있지만 진심이 담긴 시도였다.</t>
  </si>
  <si>
    <t>감독: Laurits Munch-Petersen
주연: Thomas Bo Larsen, Paw Henriksen, Helle Fagralid</t>
  </si>
  <si>
    <t>2005년의 시선으로 담아낸 액션 이야기가 우리에게 묻는다. 충돌은 세계가 변화를 요구하는 방식이다. 폭력의 언어 속에서도 인간은 존엄을 갈망한다. 흠이 있지만 진심이 담긴 시도였다.</t>
  </si>
  <si>
    <t>감독: 마이클 베이
주연: 제이크 질렌할, 야히아 압둘 마틴 2세, 에이사 곤살레스</t>
  </si>
  <si>
    <t>할리우드적 스펙터클 너머, 2022년의 시선으로 담아낸 액션의 이야기. 육체의 한계에 도전하는 것은 곧 자아의 경계를 시험하는 일이다. 충돌은 세계가 변화를 요구하는 방식이다. 완벽하지 않아도, 그 불완전함이 오히려 인간적이다.</t>
  </si>
  <si>
    <t>감독: Hans Petter Moland
주연: 리암 니슨, 론 펄먼, Yolonda Ross</t>
  </si>
  <si>
    <t>할리우드적 스펙터클 너머, 2024년의 시선으로 담아낸 액션의 이야기. 생존의 욕망은 가장 원초적인 철학적 질문을 던진다. 육체의 한계에 도전하는 것은 곧 자아의 경계를 시험하는 일이다. 이 작품이 남기는 이미지는 어떤 방식으로든 기억에 새겨진다.</t>
  </si>
  <si>
    <t>감독: Ana Lily Amirpour
주연: Sheila Vand, Arash Marandi, Marshall Manesh</t>
  </si>
  <si>
    <t>섬세한 일본적 감수성으로, 2015년의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</si>
  <si>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Phil Alden Robinson
주연: 로빈 윌리엄스, 밀라 쿠니스, 피터 딘클리지</t>
  </si>
  <si>
    <t>할리우드적 스펙터클 너머, 2014년의 시선으로 담아낸 코미디의 이야기. 가볍게 웃는 순간에도 삶의 무게는 그 그림자를 드리운다. 우스운 것과 슬픈 것은 본래 같은 뿌리에서 자란다. 이 작품이 남기는 질문은 쉽게 사라지지 않는다.</t>
  </si>
  <si>
    <t>감독: Choi Yun-tae
주연: 이주영, 이준혁, 염혜란</t>
  </si>
  <si>
    <t>한국 특유의 정서가 켜켜이 쌓인 듯, 2019년의 시선으로 담아낸 드라마의 이야기. 삶은 언제나 해석을 기다리는 텍스트다. 모든 이야기는 상처의 다른 이름이다. 오랫동안 여운이 남는 작품이다.</t>
  </si>
  <si>
    <t>감독: 황병국
주연: 강하늘, 유해진, 박해준</t>
  </si>
  <si>
    <t>한국 특유의 정서가 켜켜이 쌓인 듯, 2025년의 시선으로 담아낸 액션의 이야기. 생존의 욕망은 가장 원초적인 철학적 질문을 던진다. 육체의 한계에 도전하는 것은 곧 자아의 경계를 시험하는 일이다. 두고두고 다시 꺼내 볼 만한 작품이다.</t>
  </si>
  <si>
    <t>감독: Na Hyun
주연: 설경구, 박해수, 이케우치 히로유키</t>
  </si>
  <si>
    <t>한국 특유의 정서가 켜켜이 쌓인 듯, 2022년의 시선으로 담아낸 액션의 이야기. 폭력의 언어 속에서도 인간은 존엄을 갈망한다. 육체의 한계에 도전하는 것은 곧 자아의 경계를 시험하는 일이다. 거칠지만 그 안에서도 인간의 흔적은 남는다.</t>
  </si>
  <si>
    <t>감독: 藤井道人
주연: 아야노 고, 舘ひろし, 오노 마치코</t>
  </si>
  <si>
    <t>섬세한 일본적 감수성으로, 2021년의 시선으로 담아낸 범죄의 이야기. 법과 도덕 사이의 틈새에서 인간의 본성이 노출된다. 어둠 속에서도 인간은 스스로를 정당화하려 한다. 시간이 지날수록 더 깊이 읽히는 영화다.</t>
  </si>
  <si>
    <t>감독: Nikolaj Arcel
주연: 매즈 미켈슨, 아만다 콜린, Simon Bennebjerg</t>
  </si>
  <si>
    <t>2023년의 시선으로 담아낸 드라마 이야기가 우리에게 묻는다. 인간의 고통이란 결국 타인과의 거리에서 비롯된다. 우리는 각자의 서사 안에 갇혀 서로를 오해한다. 이 작품이 남기는 이미지는 어떤 방식으로든 기억에 새겨진다.</t>
  </si>
  <si>
    <t>광활한 대지의 이야기를 담아, 2015년의 시선으로 담아낸 사극의 이야기. 역사의 무게는 개인의 삶을 짓누르지만, 그 안에서도 빛이 있다. 전통과 변화의 충돌 속에서 인간의 본질이 드러난다. 이 작품이 남기는 이미지는 어떤 방식으로든 기억에 새겨진다.</t>
  </si>
  <si>
    <t>감독: 조나단 드미
주연: 조디 포스터, 안소니 홉킨스, 스콧 글렌</t>
  </si>
  <si>
    <t>할리우드적 스펙터클 너머, 1991년의 시선으로 담아낸 스릴러의 이야기. 진실은 언제나 우리가 감당할 수 없는 형태로 찾아온다. 불안이란 현실이 균열을 드러내는 순간에 스며든다. 오랫동안 여운이 남는 작품이다.</t>
  </si>
  <si>
    <t>감독: 데이비드 에이어
주연: 제이슨 스타뎀, 에미 레이버램프먼, 조쉬 허처슨</t>
  </si>
  <si>
    <t>할리우드적 스펙터클 너머, 2024년의 시선으로 담아낸 액션의 이야기. 생존의 욕망은 가장 원초적인 철학적 질문을 던진다. 충돌은 세계가 변화를 요구하는 방식이다. 이 작품이 남기는 이미지는 어떤 방식으로든 기억에 새겨진다.</t>
  </si>
  <si>
    <t>감독: 요시다 다이하치
주연: 錦戸亮, 키무라 후미노, 마츠다 류헤이</t>
  </si>
  <si>
    <t>섬세한 일본적 감수성으로, 2018년의 시선으로 담아낸 스릴러의 이야기. 진실은 언제나 우리가 감당할 수 없는 형태로 찾아온다. 긴장은 존재가 위협받을 때 가장 선명하게 빛난다. 나름의 울림을 간직한 작품이다.</t>
  </si>
  <si>
    <t>감독: Sylvia Schedelbauer</t>
  </si>
  <si>
    <t>섬세한 일본적 감수성으로, 2013년의 시선으로 담아낸 드라마의 이야기. 삶은 언제나 해석을 기다리는 텍스트다. 우리는 각자의 서사 안에 갇혀 서로를 오해한다. 이 작품이 남기는 질문은 쉽게 사라지지 않는다.</t>
  </si>
  <si>
    <t>감독: 찰스 마틴 스미스
주연: 브라이스 댈러스 하워드, 조너 하우어-킹, 알렉산드라 쉽</t>
  </si>
  <si>
    <t>감독: Nicole Kassell
주연: 케이트 허드슨, 가엘 가르시아 베르날, Romany Malco</t>
  </si>
  <si>
    <t>할리우드적 스펙터클 너머, 2011년의 시선으로 담아낸 코미디의 이야기. 유머 속에는 세계의 부조리를 견뎌내는 지혜가 담겨 있다. 가볍게 웃는 순간에도 삶의 무게는 그 그림자를 드리운다. 평점이 담지 못하는 무언가가 이 영화에는 있다.</t>
  </si>
  <si>
    <t>감독: 마리엘 헬러
주연: 매튜 리스, 톰 행크스, 크리스 쿠퍼</t>
  </si>
  <si>
    <t>할리우드적 스펙터클 너머, 2019년의 시선으로 담아낸 드라마의 이야기. 우리는 각자의 서사 안에 갇혀 서로를 오해한다. 모든 이야기는 상처의 다른 이름이다. 두고두고 다시 꺼내 볼 만한 작품이다.</t>
  </si>
  <si>
    <t>감독: Ken Kwapis
주연: 로버트 레드포드, 닉 놀티, 엠마 톰슨</t>
  </si>
  <si>
    <t>할리우드적 스펙터클 너머, 2015년의 시선으로 담아낸 모험의 이야기. 이 작품은 단순한 오락을 넘어 삶의 어떤 단면을 응시하게 한다. 우리는 스크린 앞에 앉아 타인의 삶을 통해 우리 자신을 본다. 이 작품이 남기는 이미지는 어떤 방식으로든 기억에 새겨진다.</t>
  </si>
  <si>
    <t>감독: 페르난도 레온 데 아라노아
주연: 베니시오 델 토로, 팀 로빈스, 올가 쿠릴렌코</t>
  </si>
  <si>
    <t>열정과 멜랑콜리가 교차하며, 2015년의 시선으로 담아낸 코미디의 이야기. 우스운 것과 슬픈 것은 본래 같은 뿌리에서 자란다. 웃음은 고통을 소화하는 인간만의 방식이다. 이 작품이 남기는 질문은 쉽게 사라지지 않는다.</t>
  </si>
  <si>
    <t>감독: Matthew Heineman
주연: 로저먼드 파이크, 제이미 도넌, 톰 홀랜더</t>
  </si>
  <si>
    <t>영국적 절제와 냉소 사이에서, 2018년의 시선으로 담아낸 드라마의 이야기. 우리는 각자의 서사 안에 갇혀 서로를 오해한다. 모든 이야기는 상처의 다른 이름이다. 평점이 담지 못하는 무언가가 이 영화에는 있다.</t>
  </si>
  <si>
    <t>감독: 존 웰스
주연: 메릴 스트립, 줄리아 로버츠, 줄리앤 니콜슨</t>
  </si>
  <si>
    <t>할리우드적 스펙터클 너머, 2013년의 시선으로 담아낸 드라마의 이야기. 삶은 언제나 해석을 기다리는 텍스트다. 인간의 고통이란 결국 타인과의 거리에서 비롯된다. 한 번쯤 들여다볼 가치가 있는 이야기다.</t>
  </si>
  <si>
    <t>감독: Kirsten Sheridan
주연: 프레디 하이모어, 케리 러셀, 조나단 리스 마이어스</t>
  </si>
  <si>
    <t>할리우드적 스펙터클 너머, 2007년의 시선으로 담아낸 드라마의 이야기. 모든 이야기는 상처의 다른 이름이다. 인간의 고통이란 결국 타인과의 거리에서 비롯된다. 이 작품이 남기는 질문은 쉽게 사라지지 않는다.</t>
  </si>
  <si>
    <t>섬세한 일본적 감수성으로, 2015년의 시선으로 담아낸 드라마의 이야기. 삶은 언제나 해석을 기다리는 텍스트다. 모든 이야기는 상처의 다른 이름이다. 이 작품이 남기는 질문은 쉽게 사라지지 않는다.</t>
  </si>
  <si>
    <t>감독: Robert Luketic
주연: 캐서린 헤이글, 제라드 버틀러, Eric Winter</t>
  </si>
  <si>
    <t>할리우드적 스펙터클 너머, 2009년의 시선으로 담아낸 코미디의 이야기. 웃음은 고통을 소화하는 인간만의 방식이다. 우스운 것과 슬픈 것은 본래 같은 뿌리에서 자란다. 이 작품이 남기는 질문은 쉽게 사라지지 않는다.</t>
  </si>
  <si>
    <t>감독: 마이크 카힐
주연: 브릿 말링, William Mapother, Matthew-Lee Erlbach</t>
  </si>
  <si>
    <t>할리우드적 스펙터클 너머, 2011년의 시선으로 담아낸 SF의 이야기. 기술이 진보할수록 인간다움의 정의는 더욱 절박해진다. 미래를 상상하는 것은 현재를 비판하는 가장 우회적인 방법이다. 평점이 담지 못하는 무언가가 이 영화에는 있다.</t>
  </si>
  <si>
    <t>감독: 고레에다 히로카즈
주연: 릴리 프랭키, 안도 사쿠라, 마츠오카 마유</t>
  </si>
  <si>
    <t>섬세한 일본적 감수성으로, 2018년의 시선으로 담아낸 드라마의 이야기. 모든 이야기는 상처의 다른 이름이다. 우리는 각자의 서사 안에 갇혀 서로를 오해한다. 이 작품이 남기는 질문은 쉽게 사라지지 않는다.</t>
  </si>
  <si>
    <t>감독: Im Meari
주연: 박보영, 서인국, 이수혁</t>
  </si>
  <si>
    <t>드라마 형식 속에서, 한국 특유의 정서가 켜켜이 쌓인 듯, 2021년의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</si>
  <si>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하이파 알만수르
주연: Sanaa Lathan, Ricky Whittle, 어니 허드슨</t>
  </si>
  <si>
    <t>할리우드적 스펙터클 너머, 2018년의 시선으로 담아낸 드라마의 이야기. 인간의 고통이란 결국 타인과의 거리에서 비롯된다. 모든 이야기는 상처의 다른 이름이다. 시간이 지날수록 더 깊이 읽히는 영화다.</t>
  </si>
  <si>
    <t>감독: Benoît Philippon
주연: 루퍼트 프렌드, 클레망스 포에지, Matt Ward</t>
  </si>
  <si>
    <t>프랑스 영화 특유의 철학적 깊이로, 2012년의 시선으로 담아낸 로맨스의 이야기. 설렘은 불완전한 존재가 완전함을 향해 뻗는 손길이다. 그리움이란 부재를 통해 존재를 확인하는 방식이다. 두고두고 다시 꺼내 볼 만한 작품이다.</t>
  </si>
  <si>
    <t>감독: 리들리 스콧
주연: 러셀 크로우, 알버트 피니, 마리옹 꼬띠아르</t>
  </si>
  <si>
    <t>할리우드적 스펙터클 너머, 2006년의 시선으로 담아낸 로맨스의 이야기. 그리움이란 부재를 통해 존재를 확인하는 방식이다. 두 사람 사이의 침묵은 때로 말보다 더 많은 것을 말한다. 나름의 울림을 간직한 작품이다.</t>
  </si>
  <si>
    <t>감독: 이윤기
주연: 김남길, 천우희, 정선경</t>
  </si>
  <si>
    <t>한국 특유의 정서가 켜켜이 쌓인 듯, 2016년의 시선으로 담아낸 드라마의 이야기. 우리는 각자의 서사 안에 갇혀 서로를 오해한다. 삶은 언제나 해석을 기다리는 텍스트다. 오랫동안 여운이 남는 작품이다.</t>
  </si>
  <si>
    <t>감독: 마크 윌리엄스
주연: 리암 니슨, 케이트 월시, 제이 코트니</t>
  </si>
  <si>
    <t>할리우드적 스펙터클 너머, 2020년의 시선으로 담아낸 액션의 이야기. 육체의 한계에 도전하는 것은 곧 자아의 경계를 시험하는 일이다. 폭력의 언어 속에서도 인간은 존엄을 갈망한다. 이 작품이 남기는 질문은 쉽게 사라지지 않는다.</t>
  </si>
  <si>
    <t>감독: 로건 마셜그린
주연: 에단 호크, Elaine Hendrix, Diane Gaeta</t>
  </si>
  <si>
    <t>감독: Scott Coffey
주연: 엠마 로버츠, 에반 피터스, 존 쿠삭</t>
  </si>
  <si>
    <t>할리우드적 스펙터클 너머, 2013년의 시선으로 담아낸 코미디의 이야기. 가볍게 웃는 순간에도 삶의 무게는 그 그림자를 드리운다. 웃음은 고통을 소화하는 인간만의 방식이다. 한 번쯤 들여다볼 가치가 있는 이야기다.</t>
  </si>
  <si>
    <t>감독: J.J. 에이브럼스
주연: 크리스 파인, 재커리 퀸토, 조 샐다나</t>
  </si>
  <si>
    <t>독일 특유의 사유의 무게를 지니며, 2013년의 시선으로 담아낸 드라마의 이야기. 삶은 언제나 해석을 기다리는 텍스트다. 인간의 고통이란 결국 타인과의 거리에서 비롯된다. 두고두고 다시 꺼내 볼 만한 작품이다.</t>
  </si>
  <si>
    <t>감독: 사카모토 준지
주연: 미야자키 아오이, 에구치 요스케, 츠마부키 사토시</t>
  </si>
  <si>
    <t>섬세한 일본적 감수성으로, 2008년의 시선으로 담아낸 드라마의 이야기. 모든 이야기는 상처의 다른 이름이다. 우리는 각자의 서사 안에 갇혀 서로를 오해한다. 나름의 울림을 간직한 작품이다.</t>
  </si>
  <si>
    <t>감독: Baltasar Kormákur
주연: 쉐일린 우들리, 샘 클라플린, Jeffrey Thomas</t>
  </si>
  <si>
    <t>할리우드적 스펙터클 너머, 2018년의 시선으로 담아낸 드라마의 이야기. 인간의 고통이란 결국 타인과의 거리에서 비롯된다. 삶은 언제나 해석을 기다리는 텍스트다. 이 작품이 남기는 질문은 쉽게 사라지지 않는다.</t>
  </si>
  <si>
    <t>감독: Lisa Azuelos
주연: 소피 마르소, 프랑수아 클루제, Lisa Azuelos</t>
  </si>
  <si>
    <t>프랑스 영화 특유의 철학적 깊이로, 2014년의 시선으로 담아낸 드라마의 이야기. 삶은 언제나 해석을 기다리는 텍스트다. 우리는 각자의 서사 안에 갇혀 서로를 오해한다. 완벽하지 않아도, 그 불완전함이 오히려 인간적이다.</t>
  </si>
  <si>
    <t>감독: 야마다 요지
주연: 요시나가 사유리, 니노미야 카즈나리, 쿠로키 하루</t>
  </si>
  <si>
    <t>섬세한 일본적 감수성으로, 2015년의 시선으로 담아낸 드라마의 이야기. 삶은 언제나 해석을 기다리는 텍스트다. 인간의 고통이란 결국 타인과의 거리에서 비롯된다. 평점이 담지 못하는 무언가가 이 영화에는 있다.</t>
  </si>
  <si>
    <t>감독: 마크 웹
주연: 앤드류 가필드, 엠마 스톤, 리스 이판</t>
  </si>
  <si>
    <t>할리우드적 스펙터클 너머, 2012년의 시선으로 담아낸 액션의 이야기. 육체의 한계에 도전하는 것은 곧 자아의 경계를 시험하는 일이다. 생존의 욕망은 가장 원초적인 철학적 질문을 던진다. 이 작품이 남기는 질문은 쉽게 사라지지 않는다.</t>
  </si>
  <si>
    <t>감독: 마크 웹
주연: 앤드류 가필드, 엠마 스톤, 제이미 폭스</t>
  </si>
  <si>
    <t>할리우드적 스펙터클 너머, 2014년의 시선으로 담아낸 액션의 이야기. 육체의 한계에 도전하는 것은 곧 자아의 경계를 시험하는 일이다. 생존의 욕망은 가장 원초적인 철학적 질문을 던진다. 오랫동안 여운이 남는 작품이다.</t>
  </si>
  <si>
    <t>감독: 조나단 드미
주연: 메릴 스트립, 케빈 클라인, 메이미 거머</t>
  </si>
  <si>
    <t>할리우드적 스펙터클 너머, 2015년의 시선으로 담아낸 드라마의 이야기. 우리는 각자의 서사 안에 갇혀 서로를 오해한다. 모든 이야기는 상처의 다른 이름이다. 이 작품이 남기는 질문은 쉽게 사라지지 않는다.</t>
  </si>
  <si>
    <t>감독: 리처드 커티스
주연: 도널 글리슨, 레이첼 맥아담스, 빌 나이</t>
  </si>
  <si>
    <t>영국적 절제와 냉소 사이에서, 2013년의 시선으로 담아낸 로맨스의 이야기. 설렘은 불완전한 존재가 완전함을 향해 뻗는 손길이다. 사랑은 자아의 경계가 흔들리는 순간에 찾아온다. 두고두고 다시 꺼내 볼 만한 작품이다.</t>
  </si>
  <si>
    <t>감독: Michael Cuesta
주연: 딜런 오브라이언, 마이클 키튼, Taylor Kitsch</t>
  </si>
  <si>
    <t>광활한 대지의 이야기를 담아, 2017년의 시선으로 담아낸 액션의 이야기. 폭력의 언어 속에서도 인간은 존엄을 갈망한다. 생존의 욕망은 가장 원초적인 철학적 질문을 던진다. 이 작품이 남기는 질문은 쉽게 사라지지 않는다.</t>
  </si>
  <si>
    <t>감독: 사라 폴리
주연: Gordon Pinsent, 줄리 크리스티, Michael Murphy</t>
  </si>
  <si>
    <t>2006년의 시선으로 담아낸 드라마 이야기가 우리에게 묻는다. 우리는 각자의 서사 안에 갇혀 서로를 오해한다. 인간의 고통이란 결국 타인과의 거리에서 비롯된다. 한 번쯤 들여다볼 가치가 있는 이야기다.</t>
  </si>
  <si>
    <t>감독: 박찬욱
주연: 이병헌, 손예진, 박희순</t>
  </si>
  <si>
    <t>한국 특유의 정서가 켜켜이 쌓인 듯, 2025년의 시선으로 담아낸 드라마의 이야기. 삶은 언제나 해석을 기다리는 텍스트다. 인간의 고통이란 결국 타인과의 거리에서 비롯된다. 흠이 있지만 진심이 담긴 시도였다.</t>
  </si>
  <si>
    <t>감독: Gavin O'Connor
주연: 벤 애플렉, 신시아 아다이-로빈슨, 안나 켄드릭</t>
  </si>
  <si>
    <t>할리우드적 스펙터클 너머, 2016년의 시선으로 담아낸 액션의 이야기. 육체의 한계에 도전하는 것은 곧 자아의 경계를 시험하는 일이다. 폭력의 언어 속에서도 인간은 존엄을 갈망한다. 시간이 지날수록 더 깊이 읽히는 영화다.</t>
  </si>
  <si>
    <t>감독: 조 라이트
주연: 제임스 맥어보이, 키이라 나이틀리, 시얼샤 로넌</t>
  </si>
  <si>
    <t>영국적 절제와 냉소 사이에서, 2007년의 시선으로 담아낸 드라마의 이야기. 모든 이야기는 상처의 다른 이름이다. 인간의 고통이란 결국 타인과의 거리에서 비롯된다. 이 작품이 남기는 질문은 쉽게 사라지지 않는다.</t>
  </si>
  <si>
    <t>감독: 주세페 토르나토레
주연: 크세니야 라포포르트, Michele Placido, Claudia Gerini</t>
  </si>
  <si>
    <t>2006년의 시선으로 담아낸 드라마 이야기가 우리에게 묻는다. 모든 이야기는 상처의 다른 이름이다. 인간의 고통이란 결국 타인과의 거리에서 비롯된다. 이 작품이 남기는 질문은 쉽게 사라지지 않는다.</t>
  </si>
  <si>
    <t>감독: Jo Tae-ho
주연: Kim Hee-jeong, 윤다현, 상우</t>
  </si>
  <si>
    <t>한국 특유의 정서가 켜켜이 쌓인 듯, 2018년의 시선으로 담아낸 액션의 이야기. 육체의 한계에 도전하는 것은 곧 자아의 경계를 시험하는 일이다. 충돌은 세계가 변화를 요구하는 방식이다. 나름의 울림을 간직한 작품이다.</t>
  </si>
  <si>
    <t>감독: 윌리엄 유뱅크
주연: 크리스틴 스튜어트, 뱅상 카셀, 마무두 아티</t>
  </si>
  <si>
    <t>할리우드적 스펙터클 너머, 2020년의 시선으로 담아낸 액션의 이야기. 생존의 욕망은 가장 원초적인 철학적 질문을 던진다. 충돌은 세계가 변화를 요구하는 방식이다. 완벽하지 않아도, 그 불완전함이 오히려 인간적이다.</t>
  </si>
  <si>
    <t>감독: 아사토 마리
주연: 고라 겐고, 西川可奈子, Kenichi Abe</t>
  </si>
  <si>
    <t>섬세한 일본적 감수성으로, 2019년의 시선으로 담아낸 드라마의 이야기. 우리는 각자의 서사 안에 갇혀 서로를 오해한다. 모든 이야기는 상처의 다른 이름이다. 이 작품이 남기는 이미지는 어떤 방식으로든 기억에 새겨진다.</t>
  </si>
  <si>
    <t>할리우드적 스펙터클 너머, 2017년의 시선으로 담아낸 액션의 이야기. 육체의 한계에 도전하는 것은 곧 자아의 경계를 시험하는 일이다. 폭력의 언어 속에서도 인간은 존엄을 갈망한다. 나름의 울림을 간직한 작품이다.</t>
  </si>
  <si>
    <t>할리우드적 스펙터클 너머, 2020년의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</si>
  <si>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三木孝浩
주연: 치넨 유리, 나카가와 타이시, 고마츠 나나</t>
  </si>
  <si>
    <t>섬세한 일본적 감수성으로, 2018년의 시선으로 담아낸 드라마의 이야기. 우리는 각자의 서사 안에 갇혀 서로를 오해한다. 인간의 고통이란 결국 타인과의 거리에서 비롯된다. 두고두고 다시 꺼내 볼 만한 작품이다.</t>
  </si>
  <si>
    <t>감독: 데이비드 E. 켈리
주연: 니콜 키드먼, 휴 그랜트, 에드가 라미레즈</t>
  </si>
  <si>
    <t>드라마 형식 속에서, 할리우드적 스펙터클 너머, 2021년의 시선으로 담아낸 드라마의 이야기. 우리는 각자의 서사 안에 갇혀 서로를 오해한다. 모든 이야기는 상처의 다른 이름이다. 이 작품이 남기는 이미지는 어떤 방식으로든 기억에 새겨진다.</t>
  </si>
  <si>
    <t>감독: 안젤리나 졸리
주연: 잭 오코넬, Alex Russell, 도널 글리슨</t>
  </si>
  <si>
    <t>감독: 스티븐 소더버그
주연: 클레어 포이, Joshua Leonard, Jay Pharoah</t>
  </si>
  <si>
    <t>할리우드적 스펙터클 너머, 2018년의 시선으로 담아낸 스릴러의 이야기. 불안이란 현실이 균열을 드러내는 순간에 스며든다. 진실은 언제나 우리가 감당할 수 없는 형태로 찾아온다. 한 번쯤 들여다볼 가치가 있는 이야기다.</t>
  </si>
  <si>
    <t>감독: Gregor Jordan
주연: 사무엘 L. 잭슨, 캐리 앤 모스, 마이클 쉰</t>
  </si>
  <si>
    <t>할리우드적 스펙터클 너머, 2010년의 시선으로 담아낸 스릴러의 이야기. 긴장은 존재가 위협받을 때 가장 선명하게 빛난다. 진실은 언제나 우리가 감당할 수 없는 형태로 찾아온다. 오랫동안 여운이 남는 작품이다.</t>
  </si>
  <si>
    <t>감독: 루벤 플레셔
주연: 톰 홀랜드, 마크 월버그, 소피아 앨리</t>
  </si>
  <si>
    <t>감독: 베니 사프디, 조쉬 사프디
주연: 애덤 샌들러, 라키스 스탠필드, 줄리아 폭스</t>
  </si>
  <si>
    <t>감독: Olivier Nakache, Éric Toledano
주연: 프랑수아 클루제, 오마르 시, Anne Le Ny</t>
  </si>
  <si>
    <t>프랑스 영화 특유의 철학적 깊이로, 2011년의 시선으로 담아낸 코미디의 이야기. 우스운 것과 슬픈 것은 본래 같은 뿌리에서 자란다. 유머 속에는 세계의 부조리를 견뎌내는 지혜가 담겨 있다. 오랫동안 여운이 남는 작품이다.</t>
  </si>
  <si>
    <t>감독: 애드리안 라인
주연: 리처드 기어, 다이앤 레인, 올리버 마르티네스</t>
  </si>
  <si>
    <t>할리우드적 스펙터클 너머, 2002년의 시선으로 담아낸 드라마의 이야기. 우리는 각자의 서사 안에 갇혀 서로를 오해한다. 삶은 언제나 해석을 기다리는 텍스트다. 이 작품이 남기는 질문은 쉽게 사라지지 않는다.</t>
  </si>
  <si>
    <t>감독: 노라 핑샤이트
주연: 산드라 블록, 비올라 데이비스, 빈센트 도노프리오</t>
  </si>
  <si>
    <t>영국적 절제와 냉소 사이에서, 2021년의 시선으로 담아낸 드라마의 이야기. 삶은 언제나 해석을 기다리는 텍스트다. 인간의 고통이란 결국 타인과의 거리에서 비롯된다. 흠이 있지만 진심이 담긴 시도였다.</t>
  </si>
  <si>
    <t>감독: Stephen Susco
주연: 콜린 우델, 베티 게이브리얼, Rebecca Rittenhouse</t>
  </si>
  <si>
    <t>할리우드적 스펙터클 너머, 2018년의 시선으로 담아낸 공포의 이야기. 불가해한 것 앞에서 인간은 얼마나 작은가를 깨닫는다. 공포란 이성이 침묵하는 순간 존재가 맞닥뜨리는 날것의 경험이다. 이 작품이 남기는 이미지는 어떤 방식으로든 기억에 새겨진다.</t>
  </si>
  <si>
    <t>감독: 라세 할스트룀
주연: 로버트 레드포드, 제니퍼 로페즈, 모건 프리먼</t>
  </si>
  <si>
    <t>할리우드적 스펙터클 너머, 2005년의 시선으로 담아낸 드라마의 이야기. 삶은 언제나 해석을 기다리는 텍스트다. 인간의 고통이란 결국 타인과의 거리에서 비롯된다. 한 번쯤 들여다볼 가치가 있는 이야기다.</t>
  </si>
  <si>
    <t>감독: Derrick Borte
주연: 러셀 크로우, Caren Pistorius, Gabriel Bateman</t>
  </si>
  <si>
    <t>할리우드적 스펙터클 너머, 2020년의 시선으로 담아낸 액션의 이야기. 충돌은 세계가 변화를 요구하는 방식이다. 폭력의 언어 속에서도 인간은 존엄을 갈망한다. 한 번쯤 들여다볼 가치가 있는 이야기다.</t>
  </si>
  <si>
    <t>감독: Matthieu Delaporte
주연: 마티외 카소비츠, Bernard Murat, Marie-Josée Croze</t>
  </si>
  <si>
    <t>프랑스 영화 특유의 철학적 깊이로, 2016년의 시선으로 담아낸 범죄의 이야기. 욕망은 언제나 질서보다 먼저 존재했다. 죄란 사회가 만든 경계를 넘는 행위이자 그 경계에 대한 질문이다. 완벽하지 않아도, 그 불완전함이 오히려 인간적이다.</t>
  </si>
  <si>
    <t>감독: 로버트 저메키스
주연: 브래드 피트, 마리옹 꼬띠아르, 자레드 해리스</t>
  </si>
  <si>
    <t>할리우드적 스펙터클 너머, 2016년의 시선으로 담아낸 액션의 이야기. 충돌은 세계가 변화를 요구하는 방식이다. 육체의 한계에 도전하는 것은 곧 자아의 경계를 시험하는 일이다. 이 작품이 남기는 질문은 쉽게 사라지지 않는다.</t>
  </si>
  <si>
    <t>감독: Liu Xinyi
주연: Sang Weilin, 淳于珊珊</t>
  </si>
  <si>
    <t>감독: Peter Flinth
주연: 니콜라이 코스테르발다우, Joe Cole, 찰스 댄스</t>
  </si>
  <si>
    <t>2022년의 시선으로 담아낸 모험 이야기가 우리에게 묻는다. 시간이 흐른 뒤에도 이 장면들은 기억 속에 선명히 남는다. 우리는 스크린 앞에 앉아 타인의 삶을 통해 우리 자신을 본다. 시간이 지날수록 더 깊이 읽히는 영화다.</t>
  </si>
  <si>
    <t>감독: 呉美保
주연: 미야자키 아오이, 大竹しのぶ, 키리타니 켄타</t>
  </si>
  <si>
    <t>감독: 白羽弥仁
주연: 木南晴夏, 藤本泉, 河合美智子</t>
  </si>
  <si>
    <t>섬세한 일본적 감수성으로, 2018년의 시선으로 담아낸 드라마의 이야기. 우리는 각자의 서사 안에 갇혀 서로를 오해한다. 인간의 고통이란 결국 타인과의 거리에서 비롯된다. 완벽하지 않아도, 그 불완전함이 오히려 인간적이다.</t>
  </si>
  <si>
    <t>감독: 스티븐 달드리
주연: 톰 행크스, 산드라 블록, 토머스 혼</t>
  </si>
  <si>
    <t>할리우드적 스펙터클 너머, 2011년의 시선으로 담아낸 드라마의 이야기. 우리는 각자의 서사 안에 갇혀 서로를 오해한다. 인간의 고통이란 결국 타인과의 거리에서 비롯된다. 한 번쯤 들여다볼 가치가 있는 이야기다.</t>
  </si>
  <si>
    <t>감독: Laurent Tirard
주연: 장 뒤자르댕, 비르지니 에피라, 세드릭 칸</t>
  </si>
  <si>
    <t>프랑스 영화 특유의 철학적 깊이로, 2016년의 시선으로 담아낸 코미디의 이야기. 우스운 것과 슬픈 것은 본래 같은 뿌리에서 자란다. 가볍게 웃는 순간에도 삶의 무게는 그 그림자를 드리운다. 두고두고 다시 꺼내 볼 만한 작품이다.</t>
  </si>
  <si>
    <t>감독: Leigh Whannell
주연: 로건 마셜그린, 베티 게이브리얼, Harrison Gilbertson</t>
  </si>
  <si>
    <t>할리우드적 스펙터클 너머, 2018년의 시선으로 담아낸 액션의 이야기. 충돌은 세계가 변화를 요구하는 방식이다. 생존의 욕망은 가장 원초적인 철학적 질문을 던진다. 시간이 지날수록 더 깊이 읽히는 영화다.</t>
  </si>
  <si>
    <t>감독: 닐 버거
주연: 케빈 하트, 브라이언 크랜스턴, 니콜 키드먼</t>
  </si>
  <si>
    <t>할리우드적 스펙터클 너머, 2017년의 시선으로 담아낸 코미디의 이야기. 유머 속에는 세계의 부조리를 견뎌내는 지혜가 담겨 있다. 가볍게 웃는 순간에도 삶의 무게는 그 그림자를 드리운다. 오랫동안 여운이 남는 작품이다.</t>
  </si>
  <si>
    <t>감독: Dieter Berner
주연: Noah Saavedra, Maresi Riegner, Valerie Pachner</t>
  </si>
  <si>
    <t>오스트리아</t>
  </si>
  <si>
    <t>2016년의 시선으로 담아낸 드라마 이야기가 우리에게 묻는다. 삶은 언제나 해석을 기다리는 텍스트다. 모든 이야기는 상처의 다른 이름이다. 오랫동안 여운이 남는 작품이다.</t>
  </si>
  <si>
    <t>감독: 드니 빌뇌브
주연: 제이크 질렌할, 멜라니 로랑, 사라 가돈</t>
  </si>
  <si>
    <t>2013년의 시선으로 담아낸 스릴러 이야기가 우리에게 묻는다. 공포는 우리가 통제할 수 없는 것들에 대한 솔직한 고백이다. 긴장은 존재가 위협받을 때 가장 선명하게 빛난다. 나름의 울림을 간직한 작품이다.</t>
  </si>
  <si>
    <t>감독: Harry Bradbeer
주연: 밀리 바비 브라운, 헨리 카빌, 샘 클라플린</t>
  </si>
  <si>
    <t>영국적 절제와 냉소 사이에서, 2020년의 시선으로 담아낸 미스터리의 이야기. 알 수 없음 앞에서 인간은 비로소 겸손해진다. 감춰진 것들이 드러나는 순간, 세계는 다르게 보이기 시작한다. 이 작품이 남기는 이미지는 어떤 방식으로든 기억에 새겨진다.</t>
  </si>
  <si>
    <t>감독: Harry Bradbeer
주연: 밀리 바비 브라운, 헨리 카빌, 데이비드 슐리스</t>
  </si>
  <si>
    <t>영국적 절제와 냉소 사이에서, 2022년의 시선으로 담아낸 미스터리의 이야기. 감춰진 것들이 드러나는 순간, 세계는 다르게 보이기 시작한다. 수수께끼는 세계가 우리에게 던지는 철학적 도발이다. 오랫동안 여운이 남는 작품이다.</t>
  </si>
  <si>
    <t>감독: 카일 라이드아웃
주연: 마이클 에크런드, 사라 캐닝, 찰리 캐릭, 조디 발포어</t>
  </si>
  <si>
    <t>감독: 대런 스타
주연: 릴리 콜린스, 필리핀 르루아볼리외, 애슐리 박</t>
  </si>
  <si>
    <t>드라마 형식 속에서, 할리우드적 스펙터클 너머, 2020년의 시선으로 담아낸 드라마의 이야기. 인간의 고통이란 결국 타인과의 거리에서 비롯된다. 모든 이야기는 상처의 다른 이름이다. 이 작품이 남기는 이미지는 어떤 방식으로든 기억에 새겨진다.</t>
  </si>
  <si>
    <t>감독: Tom Shadyac
주연: 스티브 카렐, 모건 프리먼, Lauren Graham</t>
  </si>
  <si>
    <t>할리우드적 스펙터클 너머, 2007년의 시선으로 담아낸 코미디의 이야기. 우스운 것과 슬픈 것은 본래 같은 뿌리에서 자란다. 웃음은 고통을 소화하는 인간만의 방식이다. 시간이 지날수록 더 깊이 읽히는 영화다.</t>
  </si>
  <si>
    <t>감독: Andy Tennant
주연: 드류 배리모어, 안젤리카 휴스턴, 두그레이 스콧</t>
  </si>
  <si>
    <t>할리우드적 스펙터클 너머, 1998년의 시선으로 담아낸 드라마의 이야기. 인간의 고통이란 결국 타인과의 거리에서 비롯된다. 우리는 각자의 서사 안에 갇혀 서로를 오해한다. 오랫동안 여운이 남는 작품이다.</t>
  </si>
  <si>
    <t>감독: Baltasar Kormákur
주연: 제이슨 클라크, 조쉬 브롤린, 제이크 질렌할</t>
  </si>
  <si>
    <t>영국적 절제와 냉소 사이에서, 2015년의 시선으로 담아낸 액션의 이야기. 폭력의 언어 속에서도 인간은 존엄을 갈망한다. 생존의 욕망은 가장 원초적인 철학적 질문을 던진다. 한 번쯤 들여다볼 가치가 있는 이야기다.</t>
  </si>
  <si>
    <t>감독: 佐藤信介
주연: 아베 히로시, 카자마 슌스케, Сергей Куваев</t>
  </si>
  <si>
    <t>섬세한 일본적 감수성으로, 2018년의 시선으로 담아낸 모험의 이야기. 이 작품은 단순한 오락을 넘어 삶의 어떤 단면을 응시하게 한다. 시간이 흐른 뒤에도 이 장면들은 기억 속에 선명히 남는다. 한 번쯤 들여다볼 가치가 있는 이야기다.</t>
  </si>
  <si>
    <t>감독: Santiago Diaz, Pablo Martin Farina
주연: Pablo Escobar</t>
  </si>
  <si>
    <t>할리우드적 스펙터클 너머, 2017년의 시선으로 담아낸 범죄의 이야기. 욕망은 언제나 질서보다 먼저 존재했다. 죄란 사회가 만든 경계를 넘는 행위이자 그 경계에 대한 질문이다. 이 작품이 남기는 질문은 쉽게 사라지지 않는다.</t>
  </si>
  <si>
    <t>감독: 벤 애플렉
주연: 맷 데이먼, 제이슨 베이트먼, 벤 애플렉</t>
  </si>
  <si>
    <t>할리우드적 스펙터클 너머, 2023년의 시선으로 담아낸 드라마의 이야기. 인간의 고통이란 결국 타인과의 거리에서 비롯된다. 우리는 각자의 서사 안에 갇혀 서로를 오해한다. 오랫동안 여운이 남는 작품이다.</t>
  </si>
  <si>
    <t>감독: 리들리 스콧
주연: 마이클 패스벤더, 캐서린 워터스톤, 빌리 크루덥</t>
  </si>
  <si>
    <t>할리우드적 스펙터클 너머, 2017년의 시선으로 담아낸 공포의 이야기. 공포란 이성이 침묵하는 순간 존재가 맞닥뜨리는 날것의 경험이다. 불가해한 것 앞에서 인간은 얼마나 작은가를 깨닫는다. 시간이 지날수록 더 깊이 읽히는 영화다.</t>
  </si>
  <si>
    <t>감독: 테이트 테일러
주연: 제시카 차스테인, 존 말코비치, 커먼</t>
  </si>
  <si>
    <t>감독: Michael Pearce
주연: 줄리앤 무어, 시드니 스위니, 도널 글리슨</t>
  </si>
  <si>
    <t>할리우드적 스펙터클 너머, 2025년의 시선으로 담아낸 스릴러의 이야기. 긴장은 존재가 위협받을 때 가장 선명하게 빛난다. 공포는 우리가 통제할 수 없는 것들에 대한 솔직한 고백이다. 이 작품이 남기는 이미지는 어떤 방식으로든 기억에 새겨진다.</t>
  </si>
  <si>
    <t>감독: Mark Boal
주연: 루크 에반스, 미힐 하위스만, Jessica Collins</t>
  </si>
  <si>
    <t>감독: Martin Bourboulon
주연: 로맹 뒤리스, 에마 매키, 피에르 들라동샹</t>
  </si>
  <si>
    <t>감독: Paul T. Scheuring
주연: 에이드리언 브로디, Cam Gigandet, 포레스트 휘태커</t>
  </si>
  <si>
    <t>할리우드적 스펙터클 너머, 2010년의 시선으로 담아낸 스릴러의 이야기. 공포는 우리가 통제할 수 없는 것들에 대한 솔직한 고백이다. 긴장은 존재가 위협받을 때 가장 선명하게 빛난다. 완벽하지 않아도, 그 불완전함이 오히려 인간적이다.</t>
  </si>
  <si>
    <t>감독: Peter Facinelli
주연: Milo Gibson, Jordan Danger, Adam Huber</t>
  </si>
  <si>
    <t>감독: Gavin Hood
주연: 에이사 버터필드, 헤일리 스타인펠드, 해리슨 포드</t>
  </si>
  <si>
    <t>할리우드적 스펙터클 너머, 2013년의 시선으로 담아낸 SF의 이야기. 우주의 광대함 앞에서 인간의 질문은 더욱 깊어진다. 타자와의 만남은 언제나 자아의 재발견으로 이어진다. 완벽하지 않아도, 그 불완전함이 오히려 인간적이다.</t>
  </si>
  <si>
    <t>감독: 饶晓志
주연: 유덕화, 万茜, 程怡</t>
  </si>
  <si>
    <t>할리우드적 스펙터클 너머, 2022년의 시선으로 담아낸 다큐의 이야기. 현실은 어떤 허구보다 더 충격적인 서사를 품고 있다. 세계를 있는 그대로 바라보는 것이 가장 용기 있는 행위다. 두고두고 다시 꺼내 볼 만한 작품이다.</t>
  </si>
  <si>
    <t>감독: Shana Feste
주연: Alex Pettyfer, Gabriella Wilde, 브루스 그린우드</t>
  </si>
  <si>
    <t>할리우드적 스펙터클 너머, 2014년의 시선으로 담아낸 로맨스의 이야기. 두 사람 사이의 침묵은 때로 말보다 더 많은 것을 말한다. 사랑은 자아의 경계가 흔들리는 순간에 찾아온다. 두고두고 다시 꺼내 볼 만한 작품이다.</t>
  </si>
  <si>
    <t>감독: Kim Farrant
주연: 누미 라파스, 이본 스트러호브스키, 루크 에반스</t>
  </si>
  <si>
    <t>2019년의 시선으로 담아낸 드라마 이야기가 우리에게 묻는다. 인간의 고통이란 결국 타인과의 거리에서 비롯된다. 우리는 각자의 서사 안에 갇혀 서로를 오해한다. 이 작품이 남기는 질문은 쉽게 사라지지 않는다.</t>
  </si>
  <si>
    <t>감독: Ric Roman Waugh
주연: 제라드 버틀러, 모건 프리먼, 제이다 핀켓 스미스</t>
  </si>
  <si>
    <t>할리우드적 스펙터클 너머, 2019년의 시선으로 담아낸 액션의 이야기. 생존의 욕망은 가장 원초적인 철학적 질문을 던진다. 폭력의 언어 속에서도 인간은 존엄을 갈망한다. 오랫동안 여운이 남는 작품이다.</t>
  </si>
  <si>
    <t>감독: Jack Heller
주연: 캐서린 워터스톤, 스콧 이스트우드, Sara Paxton</t>
  </si>
  <si>
    <t>할리우드적 스펙터클 너머, 2011년의 시선으로 담아낸 스릴러의 이야기. 공포는 우리가 통제할 수 없는 것들에 대한 솔직한 고백이다. 진실은 언제나 우리가 감당할 수 없는 형태로 찾아온다. 완벽하지 않아도, 그 불완전함이 오히려 인간적이다.</t>
  </si>
  <si>
    <t>감독: Juan José Campanella
주연: Ricardo Darín, 솔레다드 빌라밀, Pablo Rago</t>
  </si>
  <si>
    <t>아르헨티나</t>
  </si>
  <si>
    <t>2009년의 시선으로 담아낸 범죄 이야기가 우리에게 묻는다. 어둠 속에서도 인간은 스스로를 정당화하려 한다. 법과 도덕 사이의 틈새에서 인간의 본성이 노출된다. 평점이 담지 못하는 무언가가 이 영화에는 있다.</t>
  </si>
  <si>
    <t>감독: 폴 해기스
주연: 토미 리 존스, 샤를리즈 테론, 수잔 서랜든</t>
  </si>
  <si>
    <t>할리우드적 스펙터클 너머, 2007년의 시선으로 담아낸 범죄의 이야기. 죄란 사회가 만든 경계를 넘는 행위이자 그 경계에 대한 질문이다. 법과 도덕 사이의 틈새에서 인간의 본성이 노출된다. 시간이 지날수록 더 깊이 읽히는 영화다.</t>
  </si>
  <si>
    <t>감독: 이자벨 코이젯트
주연: 페넬로페 크루스, 벤 킹슬리, 패트리샤 클락슨</t>
  </si>
  <si>
    <t>할리우드적 스펙터클 너머, 2008년의 시선으로 담아낸 드라마의 이야기. 삶은 언제나 해석을 기다리는 텍스트다. 우리는 각자의 서사 안에 갇혀 서로를 오해한다. 완벽하지 않아도, 그 불완전함이 오히려 인간적이다.</t>
  </si>
  <si>
    <t>감독: Robert Legato
주연: 일라이자 두슈쿠, 로버트 패트릭, 체이스 크로포드</t>
  </si>
  <si>
    <t>할리우드적 스펙터클 너머, 2017년의 시선으로 담아낸 공포의 이야기. 어둠은 우리 내면의 억압된 것들이 귀환하는 문이다. 공포란 이성이 침묵하는 순간 존재가 맞닥뜨리는 날것의 경험이다. 완벽하지 않아도, 그 불완전함이 오히려 인간적이다.</t>
  </si>
  <si>
    <t>감독: 폴 버호벤
주연: 이자벨 위페르, Laurent Lafitte, 안 콩시니</t>
  </si>
  <si>
    <t>프랑스 영화 특유의 철학적 깊이로, 2016년의 시선으로 담아낸 드라마의 이야기. 삶은 언제나 해석을 기다리는 텍스트다. 인간의 고통이란 결국 타인과의 거리에서 비롯된다. 오랫동안 여운이 남는 작품이다.</t>
  </si>
  <si>
    <t>프랑스 영화 특유의 철학적 깊이로, 2016년의 시선으로 담아낸 드라마의 이야기. 삶은 언제나 해석을 기다리는 텍스트다. 인간의 고통이란 결국 타인과의 거리에서 비롯된다. 두고두고 다시 꺼내 볼 만한 작품이다.</t>
  </si>
  <si>
    <t>감독: Robert Doherty
주연: Jonny Lee Miller, 루시 리우, 존 마이클 힐</t>
  </si>
  <si>
    <t>24화</t>
  </si>
  <si>
    <t>드라마 형식 속에서, 할리우드적 스펙터클 너머, 2012년의 시선으로 담아낸 드라마의 이야기. 모든 이야기는 상처의 다른 이름이다. 삶은 언제나 해석을 기다리는 텍스트다. 평점이 담지 못하는 무언가가 이 영화에는 있다.</t>
  </si>
  <si>
    <t>드라마 형식 속에서, 할리우드적 스펙터클 너머, 2014년의 시선으로 담아낸 드라마의 이야기. 삶은 언제나 해석을 기다리는 텍스트다. 인간의 고통이란 결국 타인과의 거리에서 비롯된다. 이 작품이 남기는 이미지는 어떤 방식으로든 기억에 새겨진다.</t>
  </si>
  <si>
    <t>드라마 형식 속에서, 할리우드적 스펙터클 너머, 2015년의 시선으로 담아낸 드라마의 이야기. 모든 이야기는 상처의 다른 이름이다. 우리는 각자의 서사 안에 갇혀 서로를 오해한다. 평점이 담지 못하는 무언가가 이 영화에는 있다.</t>
  </si>
  <si>
    <t>드라마 형식 속에서, 할리우드적 스펙터클 너머, 2018년의 시선으로 담아낸 드라마의 이야기. 삶은 언제나 해석을 기다리는 텍스트다. 우리는 각자의 서사 안에 갇혀 서로를 오해한다. 평점이 담지 못하는 무언가가 이 영화에는 있다.</t>
  </si>
  <si>
    <t>감독: Stella Hopkins
주연: 안소니 홉킨스, Lisa Pepper, Aaron Tucker</t>
  </si>
  <si>
    <t>할리우드적 스펙터클 너머, 2020년의 시선으로 담아낸 드라마의 이야기. 모든 이야기는 상처의 다른 이름이다. 인간의 고통이란 결국 타인과의 거리에서 비롯된다. 이 작품이 남기는 이미지는 어떤 방식으로든 기억에 새겨진다.</t>
  </si>
  <si>
    <t>감독: 닐 블롬캠프
주연: 맷 데이먼, 조디 포스터, Sharlto Copley</t>
  </si>
  <si>
    <t>할리우드적 스펙터클 너머, 2013년의 시선으로 담아낸 SF의 이야기. 미래를 상상하는 것은 현재를 비판하는 가장 우회적인 방법이다. 기술이 진보할수록 인간다움의 정의는 더욱 절박해진다. 나름의 울림을 간직한 작품이다.</t>
  </si>
  <si>
    <t>감독: Calum Chalmers
주연: Georgia Groome, 숀 틸, Hannah Emmett</t>
  </si>
  <si>
    <t>루마니아</t>
  </si>
  <si>
    <t>2017년의 시선으로 담아낸 드라마 이야기가 우리에게 묻는다. 삶은 언제나 해석을 기다리는 텍스트다. 우리는 각자의 서사 안에 갇혀 서로를 오해한다. 시간이 지날수록 더 깊이 읽히는 영화다.</t>
  </si>
  <si>
    <t>감독: 바즈 루어만
주연: 오스틴 버틀러, 톰 행크스, 올리비아 드종</t>
  </si>
  <si>
    <t>할리우드적 스펙터클 너머, 2022년의 시선으로 담아낸 드라마의 이야기. 삶은 언제나 해석을 기다리는 텍스트다. 모든 이야기는 상처의 다른 이름이다. 시간이 지날수록 더 깊이 읽히는 영화다.</t>
  </si>
  <si>
    <t>감독: Kôhei Ninomiya, Takashi Kitano
주연: 나가사와 마사미, 眞栄田郷敦, 스즈키 료헤이</t>
  </si>
  <si>
    <t>드라마 형식 속에서, 섬세한 일본적 감수성으로, 2022년의 시선으로 담아낸 드라마의 이야기. 삶은 언제나 해석을 기다리는 텍스트다. 우리는 각자의 서사 안에 갇혀 서로를 오해한다. 평점이 담지 못하는 무언가가 이 영화에는 있다.</t>
  </si>
  <si>
    <t>감독: 더그 라이만
주연: 톰 크루즈, 에밀리 블런트, 브렌던 글리슨</t>
  </si>
  <si>
    <t>할리우드적 스펙터클 너머, 2014년의 시선으로 담아낸 SF의 이야기. 기술이 진보할수록 인간다움의 정의는 더욱 절박해진다. 미래를 상상하는 것은 현재를 비판하는 가장 우회적인 방법이다. 시간이 지날수록 더 깊이 읽히는 영화다.</t>
  </si>
  <si>
    <t>감독: Renat Davletyarov
주연: Пётр Фёдоров, Анастасия Микульчина, Евгения Малахова</t>
  </si>
  <si>
    <t>2015년의 시선으로 담아낸 전쟁 이야기가 우리에게 묻는다. 총성은 멈추어도 그 상처는 세대를 넘어 흐른다. 전쟁을 기억하는 것은 반복하지 않기 위한 고통스러운 의무다. 평점이 담지 못하는 무언가가 이 영화에는 있다.</t>
  </si>
  <si>
    <t>감독: Ralph S. Hirshorn</t>
  </si>
  <si>
    <t>섬세한 일본적 감수성으로, 2017년의 시선으로 담아낸 드라마의 이야기. 모든 이야기는 상처의 다른 이름이다. 우리는 각자의 서사 안에 갇혀 서로를 오해한다. 평점이 담지 못하는 무언가가 이 영화에는 있다.</t>
  </si>
  <si>
    <t>감독: 다마다 신야
주연: 오다기리 조, 마츠 다카코, 타카이시 아카리</t>
  </si>
  <si>
    <t>섬세한 일본적 감수성으로, 2025년의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</si>
  <si>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Yoon Seok-ho
주연: 김지영, 배수빈, 윤지민</t>
  </si>
  <si>
    <t>섬세한 일본적 감수성으로, 2024년의 시선으로 담아낸 드라마의 이야기. 모든 이야기는 상처의 다른 이름이다. 삶은 언제나 해석을 기다리는 텍스트다. 시간이 지날수록 더 깊이 읽히는 영화다.</t>
  </si>
  <si>
    <t>감독: 우니 르콩트
주연: 김새론, Park Do-yeon, 고아성</t>
  </si>
  <si>
    <t>한국 특유의 정서가 켜켜이 쌓인 듯, 2009년의 시선으로 담아낸 드라마의 이야기. 인간의 고통이란 결국 타인과의 거리에서 비롯된다. 모든 이야기는 상처의 다른 이름이다. 오랫동안 여운이 남는 작품이다.</t>
  </si>
  <si>
    <t>감독: JQ Lee
주연: 현빈, 정재영, 조정석</t>
  </si>
  <si>
    <t>한국 특유의 정서가 켜켜이 쌓인 듯, 2014년의 시선으로 담아낸 사극의 이야기. 역사는 현재를 비추는 거울이며, 과거는 아직 끝나지 않았다. 전통과 변화의 충돌 속에서 인간의 본질이 드러난다. 완벽하지 않아도, 그 불완전함이 오히려 인간적이다.</t>
  </si>
  <si>
    <t>감독: 김홍선
주연: 정해인, 김지훈, 이원종</t>
  </si>
  <si>
    <t>한국 특유의 정서가 켜켜이 쌓인 듯, 2016년의 시선으로 담아낸 사극의 이야기. 역사는 현재를 비추는 거울이며, 과거는 아직 끝나지 않았다. 시대의 억압 속에서도 인간의 욕망과 존엄은 꺾이지 않는다. 흠이 있지만 진심이 담긴 시도였다.</t>
  </si>
  <si>
    <t>감독: 橋本直樹
주연: 新津ちせ, Yoshi Oida, 사카이 마키</t>
  </si>
  <si>
    <t>섬세한 일본적 감수성으로, 2019년의 시선으로 담아낸 드라마의 이야기. 우리는 각자의 서사 안에 갇혀 서로를 오해한다. 삶은 언제나 해석을 기다리는 텍스트다. 완벽하지 않아도, 그 불완전함이 오히려 인간적이다.</t>
  </si>
  <si>
    <t>감독: 정가영
주연: 손석구, 전종서, 공민정</t>
  </si>
  <si>
    <t>한국 특유의 정서가 켜켜이 쌓인 듯, 2021년의 시선으로 담아낸 로맨스의 이야기. 설렘은 불완전한 존재가 완전함을 향해 뻗는 손길이다. 두 사람 사이의 침묵은 때로 말보다 더 많은 것을 말한다. 나름의 울림을 간직한 작품이다.</t>
  </si>
  <si>
    <t>감독: 김해곤
주연: 장진영, 김승우, 김상호</t>
  </si>
  <si>
    <t>한국 특유의 정서가 켜켜이 쌓인 듯, 2006년의 시선으로 담아낸 로맨스의 이야기. 그리움이란 부재를 통해 존재를 확인하는 방식이다. 두 사람 사이의 침묵은 때로 말보다 더 많은 것을 말한다. 오랫동안 여운이 남는 작품이다.</t>
  </si>
  <si>
    <t>감독: 정소동
주연: 진혜림, 견자단, 여명</t>
  </si>
  <si>
    <t>2008년의 시선으로 담아낸 사극 이야기가 우리에게 묻는다. 전통과 변화의 충돌 속에서 인간의 본질이 드러난다. 역사는 현재를 비추는 거울이며, 과거는 아직 끝나지 않았다. 한 번쯤 들여다볼 가치가 있는 이야기다.</t>
  </si>
  <si>
    <t>감독: Dominik Graf
주연: Hannah Herzsprung, Florian Stetter, Henriette Confurius</t>
  </si>
  <si>
    <t>독일 특유의 사유의 무게를 지니며, 2014년의 시선으로 담아낸 드라마의 이야기. 인간의 고통이란 결국 타인과의 거리에서 비롯된다. 삶은 언제나 해석을 기다리는 텍스트다. 한 번쯤 들여다볼 가치가 있는 이야기다.</t>
  </si>
  <si>
    <t>감독: Kim Hak-soon
주연: 김무열, 진구, 이현우</t>
  </si>
  <si>
    <t>한국 특유의 정서가 켜켜이 쌓인 듯, 2015년의 시선으로 담아낸 전쟁의 이야기. 폐허 속에서도 존엄을 지키려는 의지가 역사를 만든다. 총성은 멈추어도 그 상처는 세대를 넘어 흐른다. 오랫동안 여운이 남는 작품이다.</t>
  </si>
  <si>
    <t>감독: 中江裕司
주연: 沢田研二, 마츠 다카코, 니시다 나오미</t>
  </si>
  <si>
    <t>섬세한 일본적 감수성으로, 2023년의 시선으로 담아낸 드라마의 이야기. 삶은 언제나 해석을 기다리는 텍스트다. 우리는 각자의 서사 안에 갇혀 서로를 오해한다. 나름의 울림을 간직한 작품이다.</t>
  </si>
  <si>
    <t>감독: 内田けんじ
주연: 사카이 마사토, 카가와 테루유키, 히로스에 료코</t>
  </si>
  <si>
    <t>섬세한 일본적 감수성으로, 2012년의 시선으로 담아낸 코미디의 이야기. 우스운 것과 슬픈 것은 본래 같은 뿌리에서 자란다. 유머 속에는 세계의 부조리를 견뎌내는 지혜가 담겨 있다. 평점이 담지 못하는 무언가가 이 영화에는 있다.</t>
  </si>
  <si>
    <t>감독: Francesco Amato
주연: Vittoria Puccini, 베네데타 포르카롤리, Edoardo Leo</t>
  </si>
  <si>
    <t>이탈리아 네오리얼리즘의 숨결을 담아, 2020년의 시선으로 담아낸 드라마의 이야기. 모든 이야기는 상처의 다른 이름이다. 인간의 고통이란 결국 타인과의 거리에서 비롯된다. 이 작품이 남기는 질문은 쉽게 사라지지 않는다.</t>
  </si>
  <si>
    <t>감독: Jeong Gi-hoon
주연: 박보영, 정재영, 배성우</t>
  </si>
  <si>
    <t>한국 특유의 정서가 켜켜이 쌓인 듯, 2015년의 시선으로 담아낸 드라마의 이야기. 우리는 각자의 서사 안에 갇혀 서로를 오해한다. 모든 이야기는 상처의 다른 이름이다. 흠이 있지만 진심이 담긴 시도였다.</t>
  </si>
  <si>
    <t>감독: 연상호
주연: 류승룡, 심은경, 박정민</t>
  </si>
  <si>
    <t>한국 특유의 정서가 켜켜이 쌓인 듯, 2018년의 시선으로 담아낸 액션의 이야기. 육체의 한계에 도전하는 것은 곧 자아의 경계를 시험하는 일이다. 생존의 욕망은 가장 원초적인 철학적 질문을 던진다. 흠이 있지만 진심이 담긴 시도였다.</t>
  </si>
  <si>
    <t>감독: 엽위신
주연: 견자단, 임달화, 熊黛林</t>
  </si>
  <si>
    <t>2008년의 시선으로 담아낸 액션 이야기가 우리에게 묻는다. 폭력의 언어 속에서도 인간은 존엄을 갈망한다. 육체의 한계에 도전하는 것은 곧 자아의 경계를 시험하는 일이다. 흠이 있지만 진심이 담긴 시도였다.</t>
  </si>
  <si>
    <t>감독: 구예도
주연: 두우항, 황혁, 원표</t>
  </si>
  <si>
    <t>2018년의 시선으로 담아낸 액션 이야기가 우리에게 묻는다. 폭력의 언어 속에서도 인간은 존엄을 갈망한다. 생존의 욕망은 가장 원초적인 철학적 질문을 던진다. 완벽하지 않아도, 그 불완전함이 오히려 인간적이다.</t>
  </si>
  <si>
    <t>감독: 엽위신
주연: 견자단, 장진, 熊黛林</t>
  </si>
  <si>
    <t>2015년의 시선으로 담아낸 액션 이야기가 우리에게 묻는다. 폭력의 언어 속에서도 인간은 존엄을 갈망한다. 육체의 한계에 도전하는 것은 곧 자아의 경계를 시험하는 일이다. 두고두고 다시 꺼내 볼 만한 작품이다.</t>
  </si>
  <si>
    <t>감독: 엽위신
주연: 견자단, 吴樾, 吳建豪</t>
  </si>
  <si>
    <t>2019년의 시선으로 담아낸 액션 이야기가 우리에게 묻는다. 폭력의 언어 속에서도 인간은 존엄을 갈망한다. 육체의 한계에 도전하는 것은 곧 자아의 경계를 시험하는 일이다. 한 번쯤 들여다볼 가치가 있는 이야기다.</t>
  </si>
  <si>
    <t>감독: 제이슨 라이트만
주연: 샤를리즈 테론, 패튼 오즈월트, 패트릭 윌슨</t>
  </si>
  <si>
    <t>할리우드적 스펙터클 너머, 2011년의 시선으로 담아낸 코미디의 이야기. 우스운 것과 슬픈 것은 본래 같은 뿌리에서 자란다. 유머 속에는 세계의 부조리를 견뎌내는 지혜가 담겨 있다. 이 작품이 남기는 이미지는 어떤 방식으로든 기억에 새겨진다.</t>
  </si>
  <si>
    <t>감독: Rachid Bouchareb
주연: Jamel Debbouze, Samy Naceri, 로슈디 젬</t>
  </si>
  <si>
    <t>프랑스 영화 특유의 철학적 깊이로, 2006년의 시선으로 담아낸 드라마의 이야기. 인간의 고통이란 결국 타인과의 거리에서 비롯된다. 우리는 각자의 서사 안에 갇혀 서로를 오해한다. 두고두고 다시 꺼내 볼 만한 작품이다.</t>
  </si>
  <si>
    <t>감독: Tom Vaughan
주연: 피어스 브로스넌, 제시카 알바, 셀마 헤이엑</t>
  </si>
  <si>
    <t>할리우드적 스펙터클 너머, 2015년의 시선으로 담아낸 로맨스의 이야기. 사랑은 자아의 경계가 흔들리는 순간에 찾아온다. 그리움이란 부재를 통해 존재를 확인하는 방식이다. 완벽하지 않아도, 그 불완전함이 오히려 인간적이다.</t>
  </si>
  <si>
    <t>감독: 오우삼
주연: 적룡, 주윤발, 장국영</t>
  </si>
  <si>
    <t>1986년의 시선으로 담아낸 액션 이야기가 우리에게 묻는다. 육체의 한계에 도전하는 것은 곧 자아의 경계를 시험하는 일이다. 폭력의 언어 속에서도 인간은 존엄을 갈망한다. 두고두고 다시 꺼내 볼 만한 작품이다.</t>
  </si>
  <si>
    <t>감독: 오우삼
주연: 적룡, 장국영, 석천</t>
  </si>
  <si>
    <t>1987년의 시선으로 담아낸 액션 이야기가 우리에게 묻는다. 생존의 욕망은 가장 원초적인 철학적 질문을 던진다. 폭력의 언어 속에서도 인간은 존엄을 갈망한다. 두고두고 다시 꺼내 볼 만한 작품이다.</t>
  </si>
  <si>
    <t>감독: 서극
주연: 주윤발, 매염방, 양가휘</t>
  </si>
  <si>
    <t>1989년의 시선으로 담아낸 액션 이야기가 우리에게 묻는다. 생존의 욕망은 가장 원초적인 철학적 질문을 던진다. 육체의 한계에 도전하는 것은 곧 자아의 경계를 시험하는 일이다. 완벽하지 않아도, 그 불완전함이 오히려 인간적이다.</t>
  </si>
  <si>
    <t>감독: 장훈
주연: 소지섭, 강지환, 홍수현</t>
  </si>
  <si>
    <t>한국 특유의 정서가 켜켜이 쌓인 듯, 2008년의 시선으로 담아낸 드라마의 이야기. 우리는 각자의 서사 안에 갇혀 서로를 오해한다. 모든 이야기는 상처의 다른 이름이다. 시간이 지날수록 더 깊이 읽히는 영화다.</t>
  </si>
  <si>
    <t>감독: Ritesh Batra
주연: 짐 브로드벤트, 샬롯 램플링, 해리엇 월터</t>
  </si>
  <si>
    <t>영국적 절제와 냉소 사이에서, 2017년의 시선으로 담아낸 드라마의 이야기. 모든 이야기는 상처의 다른 이름이다. 인간의 고통이란 결국 타인과의 거리에서 비롯된다. 완벽하지 않아도, 그 불완전함이 오히려 인간적이다.</t>
  </si>
  <si>
    <t>감독: Ryan Cultrera
주연: Kat Walker Shea, B.K. Dawson, Amber Steigelfest</t>
  </si>
  <si>
    <t>섬세한 일본적 감수성으로, 2015년의 시선으로 담아낸 미스터리의 이야기. 감춰진 것들이 드러나는 순간, 세계는 다르게 보이기 시작한다. 진실을 추적하는 것은 존재의 불투명함과 씨름하는 일이다. 한 번쯤 들여다볼 가치가 있는 이야기다.</t>
  </si>
  <si>
    <t>감독: 대니 보일
주연: 히메쉬 파텔, 릴리 제임스, 소피아 디 마티노</t>
  </si>
  <si>
    <t>영국적 절제와 냉소 사이에서, 2019년의 시선으로 담아낸 코미디의 이야기. 웃음은 고통을 소화하는 인간만의 방식이다. 유머 속에는 세계의 부조리를 견뎌내는 지혜가 담겨 있다. 완벽하지 않아도, 그 불완전함이 오히려 인간적이다.</t>
  </si>
  <si>
    <t>감독: 자크 오디아르
주연: 타하르 라힘, 닐스 아르스트럽, 레다 카텝</t>
  </si>
  <si>
    <t>프랑스 영화 특유의 철학적 깊이로, 2009년의 시선으로 담아낸 범죄의 이야기. 죄란 사회가 만든 경계를 넘는 행위이자 그 경계에 대한 질문이다. 욕망은 언제나 질서보다 먼저 존재했다. 흠이 있지만 진심이 담긴 시도였다.</t>
  </si>
  <si>
    <t>감독: 테일러 쉐리던, John Linson
주연: 루크 그라임스, 켈리 라일리, 웨스 벤틀리</t>
  </si>
  <si>
    <t>감독: Tria Thalman, David Royle
주연: 빌 풀먼</t>
  </si>
  <si>
    <t>주연: Bart Thomasson</t>
  </si>
  <si>
    <t>드라마 형식 속에서, 할리우드적 스펙터클 너머, 2020년의 시선으로 담아낸 드라마의 이야기. 모든 이야기는 상처의 다른 이름이다. 삶은 언제나 해석을 기다리는 텍스트다. 이 작품이 남기는 이미지는 어떤 방식으로든 기억에 새겨진다.</t>
  </si>
  <si>
    <t>감독: Patrick DeLuca, Chris Richardson
주연: 케빈 코스트너</t>
  </si>
  <si>
    <t>드라마 형식 속에서, 할리우드적 스펙터클 너머, 2022년의 시선으로 담아낸 드라마의 이야기. 모든 이야기는 상처의 다른 이름이다. 우리는 각자의 서사 안에 갇혀 서로를 오해한다. 이 작품이 남기는 이미지는 어떤 방식으로든 기억에 새겨진다.</t>
  </si>
  <si>
    <t>감독: 平柳敦子
주연: 테라지마 시노부, Soseki Yamatoya, 柳生みゆ</t>
  </si>
  <si>
    <t>감독: Dan Mazer
주연: 로버트 드 니로, 잭 에프론, 오브리 플라자</t>
  </si>
  <si>
    <t>할리우드적 스펙터클 너머, 2016년의 시선으로 담아낸 코미디의 이야기. 유머 속에는 세계의 부조리를 견뎌내는 지혜가 담겨 있다. 우스운 것과 슬픈 것은 본래 같은 뿌리에서 자란다. 두고두고 다시 꺼내 볼 만한 작품이다.</t>
  </si>
  <si>
    <t>감독: 西田征史
주연: 무카이 오사무, 카타기리 하이리, 야마모토 미즈키</t>
  </si>
  <si>
    <t>섬세한 일본적 감수성으로, 2014년의 시선으로 담아낸 드라마의 이야기. 우리는 각자의 서사 안에 갇혀 서로를 오해한다. 인간의 고통이란 결국 타인과의 거리에서 비롯된다. 평점이 담지 못하는 무언가가 이 영화에는 있다.</t>
  </si>
  <si>
    <t>감독: Jung Se-kyo
주연: 나문희, 이희준, 최원영</t>
  </si>
  <si>
    <t>한국 특유의 정서가 켜켜이 쌓인 듯, 2020년의 시선으로 담아낸 드라마의 이야기. 인간의 고통이란 결국 타인과의 거리에서 비롯된다. 우리는 각자의 서사 안에 갇혀 서로를 오해한다. 오랫동안 여운이 남는 작품이다.</t>
  </si>
  <si>
    <t>감독: 藤井道人
주연: 오카다 마사키, 쿠츠나 시오리, 사노 시로</t>
  </si>
  <si>
    <t>섬세한 일본적 감수성으로, 2014년의 시선으로 담아낸 코미디의 이야기. 웃음은 고통을 소화하는 인간만의 방식이다. 유머 속에는 세계의 부조리를 견뎌내는 지혜가 담겨 있다. 한 번쯤 들여다볼 가치가 있는 이야기다.</t>
  </si>
  <si>
    <t>감독: Jun Robles Lana
주연: Maricel Soriano, Gabby Concepcion, Jericho Rosales</t>
  </si>
  <si>
    <t>감독: 渡瀬暁彦
주연: 카미카와 타카야, 工藤阿須加, 谷村美月</t>
  </si>
  <si>
    <t>섬세한 일본적 감수성으로, 2015년의 시선으로 담아낸 드라마의 이야기. 삶은 언제나 해석을 기다리는 텍스트다. 인간의 고통이란 결국 타인과의 거리에서 비롯된다. 두고두고 다시 꺼내 볼 만한 작품이다.</t>
  </si>
  <si>
    <t>감독: 방은진
주연: 엄정화, 문성근, 권오중</t>
  </si>
  <si>
    <t>한국 특유의 정서가 켜켜이 쌓인 듯, 2005년의 시선으로 담아낸 스릴러의 이야기. 공포는 우리가 통제할 수 없는 것들에 대한 솔직한 고백이다. 긴장은 존재가 위협받을 때 가장 선명하게 빛난다. 시간이 지날수록 더 깊이 읽히는 영화다.</t>
  </si>
  <si>
    <t>감독: 올리비에 마르샬
주연: Daniel Auteuil, 제라르 드파르디외, André Dussollier</t>
  </si>
  <si>
    <t>프랑스 영화 특유의 철학적 깊이로, 2004년의 시선으로 담아낸 범죄의 이야기. 법과 도덕 사이의 틈새에서 인간의 본성이 노출된다. 욕망은 언제나 질서보다 먼저 존재했다. 흠이 있지만 진심이 담긴 시도였다.</t>
  </si>
  <si>
    <t>감독: 케네스 브래너
주연: 케네스 브래너, 톰 베이트먼, 미셸 파이퍼</t>
  </si>
  <si>
    <t>할리우드적 스펙터클 너머, 2017년의 시선으로 담아낸 범죄의 이야기. 욕망은 언제나 질서보다 먼저 존재했다. 어둠 속에서도 인간은 스스로를 정당화하려 한다. 나름의 울림을 간직한 작품이다.</t>
  </si>
  <si>
    <t>감독: 앤드루 데이비스
주연: 제니퍼 엘, 콜린 퍼스, Susannah Harker</t>
  </si>
  <si>
    <t>드라마 형식 속에서, 영국적 절제와 냉소 사이에서, 1995년의 시선으로 담아낸 드라마의 이야기. 모든 이야기는 상처의 다른 이름이다. 우리는 각자의 서사 안에 갇혀 서로를 오해한다. 이 작품이 남기는 이미지는 어떤 방식으로든 기억에 새겨진다.</t>
  </si>
  <si>
    <t>감독: 조 라이트
주연: 키이라 나이틀리, 매튜 맥패디언, Brenda Blethyn</t>
  </si>
  <si>
    <t>영국적 절제와 냉소 사이에서, 2005년의 시선으로 담아낸 로맨스의 이야기. 그리움이란 부재를 통해 존재를 확인하는 방식이다. 두 사람 사이의 침묵은 때로 말보다 더 많은 것을 말한다. 시간이 지날수록 더 깊이 읽히는 영화다.</t>
  </si>
  <si>
    <t>감독: Julius Avery
주연: 조반 아데포, 와이엇 러셀, 필루 아스베크</t>
  </si>
  <si>
    <t>할리우드적 스펙터클 너머, 2018년의 시선으로 담아낸 액션의 이야기. 폭력의 언어 속에서도 인간은 존엄을 갈망한다. 생존의 욕망은 가장 원초적인 철학적 질문을 던진다. 평점이 담지 못하는 무언가가 이 영화에는 있다.</t>
  </si>
  <si>
    <t>감독: Hannes Holm
주연: Rolf Lassgård, Bahar Pars, Filip Berg</t>
  </si>
  <si>
    <t>2015년의 시선으로 담아낸 드라마 이야기가 우리에게 묻는다. 삶은 언제나 해석을 기다리는 텍스트다. 우리는 각자의 서사 안에 갇혀 서로를 오해한다. 오랫동안 여운이 남는 작품이다.</t>
  </si>
  <si>
    <t>감독: 조셉 코신스키
주연: 톰 크루즈, 모건 프리먼, 올가 쿠릴렌코</t>
  </si>
  <si>
    <t>할리우드적 스펙터클 너머, 2013년의 시선으로 담아낸 SF의 이야기. 미래를 상상하는 것은 현재를 비판하는 가장 우회적인 방법이다. 우주의 광대함 앞에서 인간의 질문은 더욱 깊어진다. 이 작품이 남기는 질문은 쉽게 사라지지 않는다.</t>
  </si>
  <si>
    <t>감독: 이한
주연: 임시완, 고아성, 이희준</t>
  </si>
  <si>
    <t>한국 특유의 정서가 켜켜이 쌓인 듯, 2016년의 시선으로 담아낸 드라마의 이야기. 삶은 언제나 해석을 기다리는 텍스트다. 모든 이야기는 상처의 다른 이름이다. 두고두고 다시 꺼내 볼 만한 작품이다.</t>
  </si>
  <si>
    <t>감독: Boon-lip Quah
주연: 肖央, 譚卓, 조앤 첸</t>
  </si>
  <si>
    <t>광활한 대지의 이야기를 담아, 2020년의 시선으로 담아낸 스릴러의 이야기. 불안이란 현실이 균열을 드러내는 순간에 스며든다. 긴장은 존재가 위협받을 때 가장 선명하게 빛난다. 이 작품이 남기는 질문은 쉽게 사라지지 않는다.</t>
  </si>
  <si>
    <t>감독: 게리 로스
주연: 산드라 블록, 케이트 블란쳇, 앤 해서웨이</t>
  </si>
  <si>
    <t>할리우드적 스펙터클 너머, 2018년의 시선으로 담아낸 범죄의 이야기. 죄란 사회가 만든 경계를 넘는 행위이자 그 경계에 대한 질문이다. 어둠 속에서도 인간은 스스로를 정당화하려 한다. 이 작품이 남기는 질문은 쉽게 사라지지 않는다.</t>
  </si>
  <si>
    <t>감독: 라이언 쿠글러
주연: 마이클 B. 조던, Melonie Díaz, 옥타비아 스펜서</t>
  </si>
  <si>
    <t>할리우드적 스펙터클 너머, 2013년의 시선으로 담아낸 드라마의 이야기. 모든 이야기는 상처의 다른 이름이다. 인간의 고통이란 결국 타인과의 거리에서 비롯된다. 오랫동안 여운이 남는 작품이다.</t>
  </si>
  <si>
    <t>감독: 冨樫森
주연: 濱田ここね, 우에토 아야, 이나가키 고로</t>
  </si>
  <si>
    <t>감독: Kim Jeong-jung
주연: 이민기, 이케와키 치즈루, 정유미</t>
  </si>
  <si>
    <t>섬세한 일본적 감수성으로, 2008년의 시선으로 담아낸 드라마의 이야기. 우리는 각자의 서사 안에 갇혀 서로를 오해한다. 인간의 고통이란 결국 타인과의 거리에서 비롯된다. 완벽하지 않아도, 그 불완전함이 오히려 인간적이다.</t>
  </si>
  <si>
    <t>감독: 빌 더뷰크, 마크 윌리엄스
주연: 제이슨 베이트먼, 로라 리니, 소피아 허블리츠</t>
  </si>
  <si>
    <t>드라마 형식 속에서, 할리우드적 스펙터클 너머, 2017년의 시선으로 담아낸 드라마의 이야기. 모든 이야기는 상처의 다른 이름이다. 삶은 언제나 해석을 기다리는 텍스트다. 평점이 담지 못하는 무언가가 이 영화에는 있다.</t>
  </si>
  <si>
    <t>드라마 형식 속에서, 할리우드적 스펙터클 너머, 2018년의 시선으로 담아낸 드라마의 이야기. 삶은 언제나 해석을 기다리는 텍스트다. 우리는 각자의 서사 안에 갇혀 서로를 오해한다. 이 작품이 남기는 이미지는 어떤 방식으로든 기억에 새겨진다.</t>
  </si>
  <si>
    <t>드라마 형식 속에서, 할리우드적 스펙터클 너머, 2022년의 시선으로 담아낸 드라마의 이야기. 모든 이야기는 상처의 다른 이름이다. 인간의 고통이란 결국 타인과의 거리에서 비롯된다. 평점이 담지 못하는 무언가가 이 영화에는 있다.</t>
  </si>
  <si>
    <t>감독: 波多野貴文
주연: 하루, 니시지마 히데토시, 오카야마 아마네</t>
  </si>
  <si>
    <t>섬세한 일본적 감수성으로, 2018년의 시선으로 담아낸 드라마의 이야기. 우리는 각자의 서사 안에 갇혀 서로를 오해한다. 삶은 언제나 해석을 기다리는 텍스트다. 이 작품이 남기는 이미지는 어떤 방식으로든 기억에 새겨진다.</t>
  </si>
  <si>
    <t>감독: Song Il-gon
주연: 소지섭, 한효주, 강신일</t>
  </si>
  <si>
    <t>한국 특유의 정서가 켜켜이 쌓인 듯, 2011년의 시선으로 담아낸 로맨스의 이야기. 두 사람 사이의 침묵은 때로 말보다 더 많은 것을 말한다. 설렘은 불완전한 존재가 완전함을 향해 뻗는 손길이다. 오랫동안 여운이 남는 작품이다.</t>
  </si>
  <si>
    <t>감독: Amma Asante
주연: 데이빗 오예로워, 로저먼드 파이크, 톰 펠튼</t>
  </si>
  <si>
    <t>영국적 절제와 냉소 사이에서, 2018년의 시선으로 담아낸 드라마의 이야기. 인간의 고통이란 결국 타인과의 거리에서 비롯된다. 삶은 언제나 해석을 기다리는 텍스트다. 두고두고 다시 꺼내 볼 만한 작품이다.</t>
  </si>
  <si>
    <t>감독: 황동혁
주연: 이정재, 임시완, 위하준</t>
  </si>
  <si>
    <t>드라마 형식 속에서, 한국 특유의 정서가 켜켜이 쌓인 듯, 2021년의 시선으로 담아낸 드라마의 이야기. 우리는 각자의 서사 안에 갇혀 서로를 오해한다. 모든 이야기는 상처의 다른 이름이다. 평점이 담지 못하는 무언가가 이 영화에는 있다.</t>
  </si>
  <si>
    <t>감독: Stephen Lambert, Tim Harcourt</t>
  </si>
  <si>
    <t>드라마 형식 속에서, 한국 특유의 정서가 켜켜이 쌓인 듯, 2025년의 시선으로 담아낸 드라마의 이야기. 모든 이야기는 상처의 다른 이름이다. 우리는 각자의 서사 안에 갇혀 서로를 오해한다. 이 작품이 남기는 이미지는 어떤 방식으로든 기억에 새겨진다.</t>
  </si>
  <si>
    <t>감독: Lee Cheol-ha
주연: 엄정화, 박성웅, 이상윤</t>
  </si>
  <si>
    <t>한국 특유의 정서가 켜켜이 쌓인 듯, 2020년의 시선으로 담아낸 코미디의 이야기. 유머 속에는 세계의 부조리를 견뎌내는 지혜가 담겨 있다. 웃음은 고통을 소화하는 인간만의 방식이다. 평점이 담지 못하는 무언가가 이 영화에는 있다.</t>
  </si>
  <si>
    <t>감독: 마크 포스터
주연: 톰 행크스, 마리아나 트레비노, 캐머런 브리턴</t>
  </si>
  <si>
    <t>할리우드적 스펙터클 너머, 2022년의 시선으로 담아낸 드라마의 이야기. 삶은 언제나 해석을 기다리는 텍스트다. 모든 이야기는 상처의 다른 이름이다. 이 작품이 남기는 질문은 쉽게 사라지지 않는다.</t>
  </si>
  <si>
    <t>감독: Joseph Ruben
주연: Hera Hilmar, 미힐 하위스만, 조쉬 하트넷</t>
  </si>
  <si>
    <t>감독: Laurie Nunn
주연: 에이사 버터필드, 질리언 앤더슨, 슈티 가트와</t>
  </si>
  <si>
    <t>드라마 형식 속에서, 영국적 절제와 냉소 사이에서, 2019년의 시선으로 담아낸 드라마의 이야기. 모든 이야기는 상처의 다른 이름이다. 삶은 언제나 해석을 기다리는 텍스트다. 평점이 담지 못하는 무언가가 이 영화에는 있다.</t>
  </si>
  <si>
    <t>드라마 형식 속에서, 영국적 절제와 냉소 사이에서, 2021년의 시선으로 담아낸 드라마의 이야기. 인간의 고통이란 결국 타인과의 거리에서 비롯된다. 삶은 언제나 해석을 기다리는 텍스트다. 평점이 담지 못하는 무언가가 이 영화에는 있다.</t>
  </si>
  <si>
    <t>감독: Ina Kessebohm, Nadine Neumann</t>
  </si>
  <si>
    <t>드라마 형식 속에서, 영국적 절제와 냉소 사이에서, 2023년의 시선으로 담아낸 드라마의 이야기. 모든 이야기는 상처의 다른 이름이다. 삶은 언제나 해석을 기다리는 텍스트다. 이 작품이 남기는 이미지는 어떤 방식으로든 기억에 새겨진다.</t>
  </si>
  <si>
    <t>감독: 林超賢
주연: 장역, 황징위, Hai Qing</t>
  </si>
  <si>
    <t>광활한 대지의 이야기를 담아, 2018년의 시선으로 담아낸 액션의 이야기. 충돌은 세계가 변화를 요구하는 방식이다. 폭력의 언어 속에서도 인간은 존엄을 갈망한다. 한 번쯤 들여다볼 가치가 있는 이야기다.</t>
  </si>
  <si>
    <t>감독: 크리스 웨이츠
주연: 오스카 아이작, 벤 킹슬리, 멜라니 로랑</t>
  </si>
  <si>
    <t>할리우드적 스펙터클 너머, 2018년의 시선으로 담아낸 드라마의 이야기. 인간의 고통이란 결국 타인과의 거리에서 비롯된다. 삶은 언제나 해석을 기다리는 텍스트다. 오랫동안 여운이 남는 작품이다.</t>
  </si>
  <si>
    <t>감독: 크리스토퍼 놀란
주연: 킬리언 머피, 에밀리 블런트, 맷 데이먼</t>
  </si>
  <si>
    <t>감독: Gavin Hood
주연: 키이라 나이틀리, 맷 스미스, 랄프 파인즈</t>
  </si>
  <si>
    <t>영국적 절제와 냉소 사이에서, 2019년의 시선으로 담아낸 드라마의 이야기. 모든 이야기는 상처의 다른 이름이다. 우리는 각자의 서사 안에 갇혀 서로를 오해한다. 두고두고 다시 꺼내 볼 만한 작품이다.</t>
  </si>
  <si>
    <t>감독: Claire McCarthy
주연: 데이지 리들리, 나오미 왓츠, 클라이브 오웬</t>
  </si>
  <si>
    <t>영국적 절제와 냉소 사이에서, 2018년의 시선으로 담아낸 드라마의 이야기. 우리는 각자의 서사 안에 갇혀 서로를 오해한다. 모든 이야기는 상처의 다른 이름이다. 한 번쯤 들여다볼 가치가 있는 이야기다.</t>
  </si>
  <si>
    <t>감독: Kim Seong-joon
주연: 김소이, 태인호</t>
  </si>
  <si>
    <t>한국 특유의 정서가 켜켜이 쌓인 듯, 2011년의 시선으로 담아낸 드라마의 이야기. 인간의 고통이란 결국 타인과의 거리에서 비롯된다. 모든 이야기는 상처의 다른 이름이다. 시간이 지날수록 더 깊이 읽히는 영화다.</t>
  </si>
  <si>
    <t>감독: 봉준호
주연: 안서현, 틸다 스윈튼, 폴 다노</t>
  </si>
  <si>
    <t>한국 특유의 정서가 켜켜이 쌓인 듯, 2017년의 시선으로 담아낸 모험의 이야기. 시간이 흐른 뒤에도 이 장면들은 기억 속에 선명히 남는다. 우리는 스크린 앞에 앉아 타인의 삶을 통해 우리 자신을 본다. 시간이 지날수록 더 깊이 읽히는 영화다.</t>
  </si>
  <si>
    <t>감독: 조 존스턴
주연: 제이크 질렌할, 크리스 쿠퍼, Chris Owen</t>
  </si>
  <si>
    <t>할리우드적 스펙터클 너머, 1999년의 시선으로 담아낸 드라마의 이야기. 우리는 각자의 서사 안에 갇혀 서로를 오해한다. 모든 이야기는 상처의 다른 이름이다. 이 작품이 남기는 이미지는 어떤 방식으로든 기억에 새겨진다.</t>
  </si>
  <si>
    <t>감독: 소피아 코폴라
주연: 빌 머레이, 라시다 존스, 말런 웨이언스</t>
  </si>
  <si>
    <t>할리우드적 스펙터클 너머, 2020년의 시선으로 담아낸 코미디의 이야기. 가볍게 웃는 순간에도 삶의 무게는 그 그림자를 드리운다. 우스운 것과 슬픈 것은 본래 같은 뿌리에서 자란다. 흠이 있지만 진심이 담긴 시도였다.</t>
  </si>
  <si>
    <t>감독: 조셉 코신스키
주연: 조쉬 브롤린, 마일스 텔러, 제프 브리지스</t>
  </si>
  <si>
    <t>감독: Andrew Jarecki
주연: 라이언 고슬링, 커스틴 던스트, Frank Langella</t>
  </si>
  <si>
    <t>할리우드적 스펙터클 너머, 2010년의 시선으로 담아낸 드라마의 이야기. 인간의 고통이란 결국 타인과의 거리에서 비롯된다. 모든 이야기는 상처의 다른 이름이다. 이 작품이 남기는 이미지는 어떤 방식으로든 기억에 새겨진다.</t>
  </si>
  <si>
    <t>감독: 리들리 스콧
주연: 미셸 윌리엄스, 마크 월버그, 크리스토퍼 플러머</t>
  </si>
  <si>
    <t>할리우드적 스펙터클 너머, 2017년의 시선으로 담아낸 드라마의 이야기. 우리는 각자의 서사 안에 갇혀 서로를 오해한다. 인간의 고통이란 결국 타인과의 거리에서 비롯된다. 이 작품이 남기는 질문은 쉽게 사라지지 않는다.</t>
  </si>
  <si>
    <t>감독: 야누스 메츠
주연: 크리스 파인, 탠디 뉴턴, 조너선 프라이스</t>
  </si>
  <si>
    <t>할리우드적 스펙터클 너머, 2022년의 시선으로 담아낸 스릴러의 이야기. 진실은 언제나 우리가 감당할 수 없는 형태로 찾아온다. 공포는 우리가 통제할 수 없는 것들에 대한 솔직한 고백이다. 한 번쯤 들여다볼 가치가 있는 이야기다.</t>
  </si>
  <si>
    <t>감독: Marc Meyers
주연: 제시카 로테, Harry Shum Jr., Michael Masini</t>
  </si>
  <si>
    <t>할리우드적 스펙터클 너머, 2020년의 시선으로 담아낸 드라마의 이야기. 삶은 언제나 해석을 기다리는 텍스트다. 우리는 각자의 서사 안에 갇혀 서로를 오해한다. 나름의 울림을 간직한 작품이다.</t>
  </si>
  <si>
    <t>감독: Megan Gallagher
주연: 사라 스누크, 제이크 레이시, 소피아 릴리스</t>
  </si>
  <si>
    <t>드라마 형식 속에서, 할리우드적 스펙터클 너머, 2025년의 시선으로 담아낸 드라마의 이야기. 삶은 언제나 해석을 기다리는 텍스트다. 인간의 고통이란 결국 타인과의 거리에서 비롯된다. 평점이 담지 못하는 무언가가 이 영화에는 있다.</t>
  </si>
  <si>
    <t>감독: M. 나이트 샤말란
주연: 가엘 가르시아 베르날, 비키 크립스, 루퍼스 스웰</t>
  </si>
  <si>
    <t>할리우드적 스펙터클 너머, 2021년의 시선으로 담아낸 스릴러의 이야기. 진실은 언제나 우리가 감당할 수 없는 형태로 찾아온다. 불안이란 현실이 균열을 드러내는 순간에 스며든다. 한 번쯤 들여다볼 가치가 있는 이야기다.</t>
  </si>
  <si>
    <t>주연: Sheng Wei, Ai Ye</t>
  </si>
  <si>
    <t>드라마 형식 속에서, 할리우드적 스펙터클 너머, 2024년의 시선으로 담아낸 드라마의 이야기. 인간의 고통이란 결국 타인과의 거리에서 비롯된다. 모든 이야기는 상처의 다른 이름이다. 평점이 담지 못하는 무언가가 이 영화에는 있다.</t>
  </si>
  <si>
    <t>감독: 지나 프린스바이스우드
주연: 샤를리즈 테론, 키키 레인, 응오타인번</t>
  </si>
  <si>
    <t>할리우드적 스펙터클 너머, 2020년의 시선으로 담아낸 액션의 이야기. 충돌은 세계가 변화를 요구하는 방식이다. 폭력의 언어 속에서도 인간은 존엄을 갈망한다. 아쉬움이 남지만, 모든 시도는 의미를 갖는다.</t>
  </si>
  <si>
    <t>감독: 조나단 E. 스타인버그, Robert Levine
주연: 제프 브리지스, 존 리스고, 알리아 쇼캣</t>
  </si>
  <si>
    <t>감독: Chae Doo-byeong
주연: 신하균, 박희순, 오만석</t>
  </si>
  <si>
    <t>감독: 로만 폴란스키
주연: Barney Clark, 벤 킹슬리, Jamie Foreman</t>
  </si>
  <si>
    <t>영국적 절제와 냉소 사이에서, 2005년의 시선으로 담아낸 드라마의 이야기. 모든 이야기는 상처의 다른 이름이다. 인간의 고통이란 결국 타인과의 거리에서 비롯된다. 완벽하지 않아도, 그 불완전함이 오히려 인간적이다.</t>
  </si>
  <si>
    <t>감독: An Tae-jin
주연: 류준열, 유해진, 최무성</t>
  </si>
  <si>
    <t>한국 특유의 정서가 켜켜이 쌓인 듯, 2022년의 시선으로 담아낸 사극의 이야기. 전통과 변화의 충돌 속에서 인간의 본질이 드러난다. 역사의 무게는 개인의 삶을 짓누르지만, 그 안에서도 빛이 있다. 시간이 지날수록 더 깊이 읽히는 영화다.</t>
  </si>
  <si>
    <t>감독: 야마자키 다카시
주연: 堀北真希, 요시오카 히데타카, 츠츠미 신이치</t>
  </si>
  <si>
    <t>섬세한 일본적 감수성으로, 2005년의 시선으로 담아낸 드라마의 이야기. 인간의 고통이란 결국 타인과의 거리에서 비롯된다. 모든 이야기는 상처의 다른 이름이다. 평점이 담지 못하는 무언가가 이 영화에는 있다.</t>
  </si>
  <si>
    <t>감독: Marc Cherry
주연: 앨리슨 톨먼, 라나 파리야, 닉 프로스트</t>
  </si>
  <si>
    <t>드라마 형식 속에서, 할리우드적 스펙터클 너머, 2019년의 시선으로 담아낸 드라마의 이야기. 우리는 각자의 서사 안에 갇혀 서로를 오해한다. 삶은 언제나 해석을 기다리는 텍스트다. 평점이 담지 못하는 무언가가 이 영화에는 있다.</t>
  </si>
  <si>
    <t>드라마 형식 속에서, 할리우드적 스펙터클 너머, 2021년의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</si>
  <si>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Rudi Goldman</t>
  </si>
  <si>
    <t>섬세한 일본적 감수성으로, 2013년의 시선으로 담아낸 드라마의 이야기. 인간의 고통이란 결국 타인과의 거리에서 비롯된다. 삶은 언제나 해석을 기다리는 텍스트다. 평점이 담지 못하는 무언가가 이 영화에는 있다.</t>
  </si>
  <si>
    <t>감독: 장 마크 발레
주연: 리즈 위더스푼, 로라 던, Keene McRae</t>
  </si>
  <si>
    <t>할리우드적 스펙터클 너머, 2014년의 시선으로 담아낸 드라마의 이야기. 모든 이야기는 상처의 다른 이름이다. 삶은 언제나 해석을 기다리는 텍스트다. 오랫동안 여운이 남는 작품이다.</t>
  </si>
  <si>
    <t>감독: Tom Harper
주연: 제시 버클리, 줄리 월터스, 소피 오코네도</t>
  </si>
  <si>
    <t>영국적 절제와 냉소 사이에서, 2018년의 시선으로 담아낸 드라마의 이야기. 우리는 각자의 서사 안에 갇혀 서로를 오해한다. 모든 이야기는 상처의 다른 이름이다. 시간이 지날수록 더 깊이 읽히는 영화다.</t>
  </si>
  <si>
    <t>감독: 존 패트릭 샌리
주연: 에밀리 블런트, 제이미 도넌, 존 햄</t>
  </si>
  <si>
    <t>영국적 절제와 냉소 사이에서, 2020년의 시선으로 담아낸 로맨스의 이야기. 설렘은 불완전한 존재가 완전함을 향해 뻗는 손길이다. 사랑은 자아의 경계가 흔들리는 순간에 찾아온다. 두고두고 다시 꺼내 볼 만한 작품이다.</t>
  </si>
  <si>
    <t>감독: Simon West
주연: 제이슨 스타뎀, 마이클 안가라노, Dominik Garcia</t>
  </si>
  <si>
    <t>할리우드적 스펙터클 너머, 2015년의 시선으로 담아낸 액션의 이야기. 폭력의 언어 속에서도 인간은 존엄을 갈망한다. 생존의 욕망은 가장 원초적인 철학적 질문을 던진다. 나름의 울림을 간직한 작품이다.</t>
  </si>
  <si>
    <t>감독: 폴 다노
주연: 제이크 질렌할, 캐리 멀리건, Ed Oxenbould</t>
  </si>
  <si>
    <t>할리우드적 스펙터클 너머, 2018년의 시선으로 담아낸 드라마의 이야기. 삶은 언제나 해석을 기다리는 텍스트다. 인간의 고통이란 결국 타인과의 거리에서 비롯된다. 나름의 울림을 간직한 작품이다.</t>
  </si>
  <si>
    <t>감독: 이한
주연: 유아인, 김윤석, 박수영</t>
  </si>
  <si>
    <t>할리우드적 스펙터클 너머, 2019년의 시선으로 담아낸 드라마의 이야기. 모든 이야기는 상처의 다른 이름이다. 인간의 고통이란 결국 타인과의 거리에서 비롯된다. 나름의 울림을 간직한 작품이다.</t>
  </si>
  <si>
    <t>감독: JQ Lee
주연: 유해진, 조진웅, 이서진</t>
  </si>
  <si>
    <t>한국 특유의 정서가 켜켜이 쌓인 듯, 2018년의 시선으로 담아낸 코미디의 이야기. 웃음은 고통을 소화하는 인간만의 방식이다. 우스운 것과 슬픈 것은 본래 같은 뿌리에서 자란다. 시간이 지날수록 더 깊이 읽히는 영화다.</t>
  </si>
  <si>
    <t>감독: Park Hun-soo
주연: 김영호, 김혜선, 김산호</t>
  </si>
  <si>
    <t>한국 특유의 정서가 켜켜이 쌓인 듯, 2011년의 시선으로 담아낸 로맨스의 이야기. 설렘은 불완전한 존재가 완전함을 향해 뻗는 손길이다. 사랑은 자아의 경계가 흔들리는 순간에 찾아온다. 나름의 울림을 간직한 작품이다.</t>
  </si>
  <si>
    <t>감독: 제나 라미아
주연: 니콜 키드먼, 이브 휴슨, 리에브 슈라이버</t>
  </si>
  <si>
    <t>할리우드적 스펙터클 너머, 2013년의 시선으로 담아낸 액션의 이야기. 충돌은 세계가 변화를 요구하는 방식이다. 육체의 한계에 도전하는 것은 곧 자아의 경계를 시험하는 일이다. 흠이 있지만 진심이 담긴 시도였다.</t>
  </si>
  <si>
    <t>감독: Elizabeth Chomko
주연: 힐러리 스웽크, 마이클 섀넌, 로버트 포스터</t>
  </si>
  <si>
    <t>할리우드적 스펙터클 너머, 2018년의 시선으로 담아낸 드라마의 이야기. 우리는 각자의 서사 안에 갇혀 서로를 오해한다. 모든 이야기는 상처의 다른 이름이다. 한 번쯤 들여다볼 가치가 있는 이야기다.</t>
  </si>
  <si>
    <t>감독: Akiva Schaffer
주연: 벤 스틸러, 빈스 본, 조나 힐</t>
  </si>
  <si>
    <t>할리우드적 스펙터클 너머, 2012년의 시선으로 담아낸 코미디의 이야기. 유머 속에는 세계의 부조리를 견뎌내는 지혜가 담겨 있다. 웃음은 고통을 소화하는 인간만의 방식이다. 평점이 담지 못하는 무언가가 이 영화에는 있다.</t>
  </si>
  <si>
    <t>감독: 톰 티크베어
주연: 톰 행크스, 사리타 슈드후리, 시세 바베트 크누센</t>
  </si>
  <si>
    <t>영국적 절제와 냉소 사이에서, 2016년의 시선으로 담아낸 드라마의 이야기. 인간의 고통이란 결국 타인과의 거리에서 비롯된다. 우리는 각자의 서사 안에 갇혀 서로를 오해한다. 한 번쯤 들여다볼 가치가 있는 이야기다.</t>
  </si>
  <si>
    <t>감독: 데이비드 베니오프, D. B. 와이스
주연: 피터 딘클리지, 키트 해링턴, 니콜라이 코스테르발다우</t>
  </si>
  <si>
    <t>드라마 형식 속에서, 할리우드적 스펙터클 너머, 2011년의 시선으로 담아낸 드라마의 이야기. 인간의 고통이란 결국 타인과의 거리에서 비롯된다. 모든 이야기는 상처의 다른 이름이다. 이 작품이 남기는 이미지는 어떤 방식으로든 기억에 새겨진다.</t>
  </si>
  <si>
    <t>드라마 형식 속에서, 할리우드적 스펙터클 너머, 2012년의 시선으로 담아낸 드라마의 이야기. 모든 이야기는 상처의 다른 이름이다. 삶은 언제나 해석을 기다리는 텍스트다. 이 작품이 남기는 이미지는 어떤 방식으로든 기억에 새겨진다.</t>
  </si>
  <si>
    <t>드라마 형식 속에서, 할리우드적 스펙터클 너머, 2013년의 시선으로 담아낸 드라마의 이야기. 모든 이야기는 상처의 다른 이름이다. 인간의 고통이란 결국 타인과의 거리에서 비롯된다. 이 작품이 남기는 이미지는 어떤 방식으로든 기억에 새겨진다.</t>
  </si>
  <si>
    <t>드라마 형식 속에서, 할리우드적 스펙터클 너머, 2014년의 시선으로 담아낸 드라마의 이야기. 인간의 고통이란 결국 타인과의 거리에서 비롯된다. 모든 이야기는 상처의 다른 이름이다. 평점이 담지 못하는 무언가가 이 영화에는 있다.</t>
  </si>
  <si>
    <t>드라마 형식 속에서, 할리우드적 스펙터클 너머, 2015년의 시선으로 담아낸 드라마의 이야기. 삶은 언제나 해석을 기다리는 텍스트다. 모든 이야기는 상처의 다른 이름이다. 이 작품이 남기는 이미지는 어떤 방식으로든 기억에 새겨진다.</t>
  </si>
  <si>
    <t>드라마 형식 속에서, 할리우드적 스펙터클 너머, 2019년의 시선으로 담아낸 드라마의 이야기. 우리는 각자의 서사 안에 갇혀 서로를 오해한다. 인간의 고통이란 결국 타인과의 거리에서 비롯된다. 평점이 담지 못하는 무언가가 이 영화에는 있다.</t>
  </si>
  <si>
    <t>감독: Debora Cahn
주연: 케리 러셀, 루퍼스 스웰, 데이빗 기아시</t>
  </si>
  <si>
    <t>드라마 형식 속에서, 할리우드적 스펙터클 너머, 2023년의 시선으로 담아낸 드라마의 이야기. 모든 이야기는 상처의 다른 이름이다. 우리는 각자의 서사 안에 갇혀 서로를 오해한다. 평점이 담지 못하는 무언가가 이 영화에는 있다.</t>
  </si>
  <si>
    <t>드라마 형식 속에서, 할리우드적 스펙터클 너머, 2024년의 시선으로 담아낸 드라마의 이야기. 우리는 각자의 서사 안에 갇혀 서로를 오해한다. 모든 이야기는 상처의 다른 이름이다. 평점이 담지 못하는 무언가가 이 영화에는 있다.</t>
  </si>
  <si>
    <t>드라마 형식 속에서, 할리우드적 스펙터클 너머, 2025년의 시선으로 담아낸 드라마의 이야기. 삶은 언제나 해석을 기다리는 텍스트다. 우리는 각자의 서사 안에 갇혀 서로를 오해한다. 평점이 담지 못하는 무언가가 이 영화에는 있다.</t>
  </si>
  <si>
    <t>할리우드적 스펙터클 너머, 2008년의 시선으로 담아낸 범죄의 이야기. 죄란 사회가 만든 경계를 넘는 행위이자 그 경계에 대한 질문이다. 욕망은 언제나 질서보다 먼저 존재했다. 두고두고 다시 꺼내 볼 만한 작품이다.</t>
  </si>
  <si>
    <t>감독: Alex Kendrick
주연: Ken Bevel, Alex Kendrick, Kevin Downes</t>
  </si>
  <si>
    <t>할리우드적 스펙터클 너머, 2011년의 시선으로 담아낸 드라마의 이야기. 우리는 각자의 서사 안에 갇혀 서로를 오해한다. 모든 이야기는 상처의 다른 이름이다. 이 작품이 남기는 질문은 쉽게 사라지지 않는다.</t>
  </si>
  <si>
    <t>감독: 정의신
주연: 마키 요코, 이노우에 마오, 오오이즈미 요</t>
  </si>
  <si>
    <t>한국 특유의 정서가 켜켜이 쌓인 듯, 2020년의 시선으로 담아낸 가족의 이야기. 혈연이라는 이름 아래, 인간은 사랑과 상처를 동시에 받는다. 세대 간의 거리는 시간이 빚어내는 가장 쓸쓸한 풍경이다. 흠이 있지만 진심이 담긴 시도였다.</t>
  </si>
  <si>
    <t>감독: 클린트 이스트우드
주연: 클린트 이스트우드, 진 해크먼, 모건 프리먼</t>
  </si>
  <si>
    <t>할리우드적 스펙터클 너머, 1993년의 시선으로 담아낸 드라마의 이야기. 삶은 언제나 해석을 기다리는 텍스트다. 우리는 각자의 서사 안에 갇혀 서로를 오해한다. 두고두고 다시 꺼내 볼 만한 작품이다.</t>
  </si>
  <si>
    <t>섬세한 일본적 감수성으로, 2013년의 시선으로 담아낸 드라마의 이야기. 우리는 각자의 서사 안에 갇혀 서로를 오해한다. 인간의 고통이란 결국 타인과의 거리에서 비롯된다. 평점이 담지 못하는 무언가가 이 영화에는 있다.</t>
  </si>
  <si>
    <t>감독: 원신연
주연: 공유, 박희순, 조성하</t>
  </si>
  <si>
    <t>한국 특유의 정서가 켜켜이 쌓인 듯, 2013년의 시선으로 담아낸 액션의 이야기. 충돌은 세계가 변화를 요구하는 방식이다. 생존의 욕망은 가장 원초적인 철학적 질문을 던진다. 두고두고 다시 꺼내 볼 만한 작품이다.</t>
  </si>
  <si>
    <t>감독: 西谷弘
주연: 후쿠야마 마사하루, 시바사키 코우, 키타무라 카즈키</t>
  </si>
  <si>
    <t>섬세한 일본적 감수성으로, 2008년의 시선으로 담아낸 미스터리의 이야기. 감춰진 것들이 드러나는 순간, 세계는 다르게 보이기 시작한다. 알 수 없음 앞에서 인간은 비로소 겸손해진다. 완벽하지 않아도, 그 불완전함이 오히려 인간적이다.</t>
  </si>
  <si>
    <t>감독: Ionuț Teianu
주연: Erico Salomone, Estelle Chapon, Bruno de Stabenrath</t>
  </si>
  <si>
    <t>섬세한 일본적 감수성으로, 2009년의 시선으로 담아낸 미스터리의 이야기. 수수께끼는 세계가 우리에게 던지는 철학적 도발이다. 감춰진 것들이 드러나는 순간, 세계는 다르게 보이기 시작한다. 이 작품이 남기는 질문은 쉽게 사라지지 않는다.</t>
  </si>
  <si>
    <t>감독: 롭 윌리엄스
주연: Kunal Nayyar, 조지나 캠벨, Elizabeth Henstridge</t>
  </si>
  <si>
    <t>드라마 형식 속에서, 영국적 절제와 냉소 사이에서, 2022년의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</si>
  <si>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이마무라 쇼헤이
주연: 야쿠쇼 코지, 清水美沙, 에모토 아키라</t>
  </si>
  <si>
    <t>섬세한 일본적 감수성으로, 1997년의 시선으로 담아낸 드라마의 이야기. 모든 이야기는 상처의 다른 이름이다. 우리는 각자의 서사 안에 갇혀 서로를 오해한다. 흠이 있지만 진심이 담긴 시도였다.</t>
  </si>
  <si>
    <t>감독: 本広克行
주연: 산타마리아 유스케, 코니시 마나미, トータス松本</t>
  </si>
  <si>
    <t>섬세한 일본적 감수성으로, 2006년의 시선으로 담아낸 코미디의 이야기. 유머 속에는 세계의 부조리를 견뎌내는 지혜가 담겨 있다. 우스운 것과 슬픈 것은 본래 같은 뿌리에서 자란다. 흠이 있지만 진심이 담긴 시도였다.</t>
  </si>
  <si>
    <t>감독: 矢口史靖
주연: 소메타니 쇼타, 나가사와 마사미, 이토 히데아키</t>
  </si>
  <si>
    <t>섬세한 일본적 감수성으로, 2014년의 시선으로 담아낸 코미디의 이야기. 가볍게 웃는 순간에도 삶의 무게는 그 그림자를 드리운다. 웃음은 고통을 소화하는 인간만의 방식이다. 시간이 지날수록 더 깊이 읽히는 영화다.</t>
  </si>
  <si>
    <t>감독: Nahnatchka Khan
주연: 앨리 웡, 랜들 박, James Saito</t>
  </si>
  <si>
    <t>할리우드적 스펙터클 너머, 2019년의 시선으로 담아낸 코미디의 이야기. 가볍게 웃는 순간에도 삶의 무게는 그 그림자를 드리운다. 우스운 것과 슬픈 것은 본래 같은 뿌리에서 자란다. 완벽하지 않아도, 그 불완전함이 오히려 인간적이다.</t>
  </si>
  <si>
    <t>감독: Hany Abu-Assad
주연: 이드리스 엘바, 케이트 윈슬렛, 더멋 멀로니</t>
  </si>
  <si>
    <t>할리우드적 스펙터클 너머, 2017년의 시선으로 담아낸 드라마의 이야기. 인간의 고통이란 결국 타인과의 거리에서 비롯된다. 삶은 언제나 해석을 기다리는 텍스트다. 이 작품이 남기는 이미지는 어떤 방식으로든 기억에 새겨진다.</t>
  </si>
  <si>
    <t>감독: 니시카와 미와
주연: 나가야마 에이타, 笑福亭鶴瓶, 八千草薫</t>
  </si>
  <si>
    <t>섬세한 일본적 감수성으로, 2009년의 시선으로 담아낸 드라마의 이야기. 우리는 각자의 서사 안에 갇혀 서로를 오해한다. 삶은 언제나 해석을 기다리는 텍스트다. 완벽하지 않아도, 그 불완전함이 오히려 인간적이다.</t>
  </si>
  <si>
    <t>감독: Hwang Soo-ah
주연: 박희순, 강혜정, 승리</t>
  </si>
  <si>
    <t>한국 특유의 정서가 켜켜이 쌓인 듯, 2009년의 시선으로 담아낸 코미디의 이야기. 우스운 것과 슬픈 것은 본래 같은 뿌리에서 자란다. 웃음은 고통을 소화하는 인간만의 방식이다. 이 작품이 남기는 질문은 쉽게 사라지지 않는다.</t>
  </si>
  <si>
    <t>감독: Yume Ukai</t>
  </si>
  <si>
    <t>프랑스 영화 특유의 철학적 깊이로, 2019년의 시선으로 담아낸 드라마의 이야기. 우리는 각자의 서사 안에 갇혀 서로를 오해한다. 모든 이야기는 상처의 다른 이름이다. 시간이 지날수록 더 깊이 읽히는 영화다.</t>
  </si>
  <si>
    <t>감독: Nigel Cole
주연: 애쉬튼 커쳐, 아만다 피트, 캐스린 한</t>
  </si>
  <si>
    <t>할리우드적 스펙터클 너머, 2005년의 시선으로 담아낸 코미디의 이야기. 우스운 것과 슬픈 것은 본래 같은 뿌리에서 자란다. 가볍게 웃는 순간에도 삶의 무게는 그 그림자를 드리운다. 이 작품이 남기는 이미지는 어떤 방식으로든 기억에 새겨진다.</t>
  </si>
  <si>
    <t>감독: Justin Baldoni
주연: 블레이크 라이블리, Justin Baldoni, 제니 슬레이트</t>
  </si>
  <si>
    <t>할리우드적 스펙터클 너머, 2024년의 시선으로 담아낸 드라마의 이야기. 우리는 각자의 서사 안에 갇혀 서로를 오해한다. 모든 이야기는 상처의 다른 이름이다. 완벽하지 않아도, 그 불완전함이 오히려 인간적이다.</t>
  </si>
  <si>
    <t>감독: Tong Ka-Fai
주연: 蔡凡熙, 하람두, 姚愛寗</t>
  </si>
  <si>
    <t>광활한 대지의 이야기를 담아, 2023년의 시선으로 담아낸 드라마의 이야기. 삶은 언제나 해석을 기다리는 텍스트다. 인간의 고통이란 결국 타인과의 거리에서 비롯된다. 흠이 있지만 진심이 담긴 시도였다.</t>
  </si>
  <si>
    <t>감독: 카메론 크로우
주연: 맷 데이먼, 스칼렛 요한슨, 토마스 헤이든 처치</t>
  </si>
  <si>
    <t>할리우드적 스펙터클 너머, 2011년의 시선으로 담아낸 드라마의 이야기. 우리는 각자의 서사 안에 갇혀 서로를 오해한다. 삶은 언제나 해석을 기다리는 텍스트다. 평점이 담지 못하는 무언가가 이 영화에는 있다.</t>
  </si>
  <si>
    <t>감독: 장진
주연: 조진웅, 김성균, 김영애</t>
  </si>
  <si>
    <t>한국 특유의 정서가 켜켜이 쌓인 듯, 2014년의 시선으로 담아낸 코미디의 이야기. 우스운 것과 슬픈 것은 본래 같은 뿌리에서 자란다. 웃음은 고통을 소화하는 인간만의 방식이다. 한 번쯤 들여다볼 가치가 있는 이야기다.</t>
  </si>
  <si>
    <t>감독: 사라 폴리
주연: 미셸 윌리엄스, 세스 로건, 루크 커비</t>
  </si>
  <si>
    <t>2012년의 시선으로 담아낸 드라마 이야기가 우리에게 묻는다. 우리는 각자의 서사 안에 갇혀 서로를 오해한다. 모든 이야기는 상처의 다른 이름이다. 오랫동안 여운이 남는 작품이다.</t>
  </si>
  <si>
    <t>감독: 송해성
주연: 이나영, 강동원, 윤여정</t>
  </si>
  <si>
    <t>한국 특유의 정서가 켜켜이 쌓인 듯, 2006년의 시선으로 담아낸 드라마의 이야기. 인간의 고통이란 결국 타인과의 거리에서 비롯된다. 삶은 언제나 해석을 기다리는 텍스트다. 이 작품이 남기는 질문은 쉽게 사라지지 않는다.</t>
  </si>
  <si>
    <t>감독: 三木孝浩
주연: 이쿠타 토마, 요시타카 유리코, 高岡蒼佑</t>
  </si>
  <si>
    <t>섬세한 일본적 감수성으로, 2011년의 시선으로 담아낸 로맨스의 이야기. 두 사람 사이의 침묵은 때로 말보다 더 많은 것을 말한다. 그리움이란 부재를 통해 존재를 확인하는 방식이다. 평점이 담지 못하는 무언가가 이 영화에는 있다.</t>
  </si>
  <si>
    <t>감독: 마이크 밀스
주연: 아네트 베닝, 엘르 패닝, 그레타 거윅</t>
  </si>
  <si>
    <t>할리우드적 스펙터클 너머, 2017년의 시선으로 담아낸 드라마의 이야기. 삶은 언제나 해석을 기다리는 텍스트다. 인간의 고통이란 결국 타인과의 거리에서 비롯된다. 시간이 지날수록 더 깊이 읽히는 영화다.</t>
  </si>
  <si>
    <t>감독: Stephen Herek
주연: Johnny Berchtold, 롭 로, Kimberly Williams-Paisley</t>
  </si>
  <si>
    <t>할리우드적 스펙터클 너머, 2023년의 시선으로 담아낸 드라마의 이야기. 모든 이야기는 상처의 다른 이름이다. 인간의 고통이란 결국 타인과의 거리에서 비롯된다. 오랫동안 여운이 남는 작품이다.</t>
  </si>
  <si>
    <t>감독: Yvan Attal
주연: Yvan Attal, 샤를로트 갱스부르, Eric Ruf</t>
  </si>
  <si>
    <t>프랑스 영화 특유의 철학적 깊이로, 2020년의 시선으로 담아낸 코미디의 이야기. 가볍게 웃는 순간에도 삶의 무게는 그 그림자를 드리운다. 우스운 것과 슬픈 것은 본래 같은 뿌리에서 자란다. 완벽하지 않아도, 그 불완전함이 오히려 인간적이다.</t>
  </si>
  <si>
    <t>감독: Simon Curtis
주연: 헬렌 미렌, 라이언 레이놀즈, 타티아나 마슬라니</t>
  </si>
  <si>
    <t>감독: James Watkins
주연: 다니엘 래드클리프, 키어런 하인즈, 자넷 맥티어</t>
  </si>
  <si>
    <t>영국적 절제와 냉소 사이에서, 2012년의 시선으로 담아낸 공포의 이야기. 불가해한 것 앞에서 인간은 얼마나 작은가를 깨닫는다. 어둠은 우리 내면의 억압된 것들이 귀환하는 문이다. 나름의 울림을 간직한 작품이다.</t>
  </si>
  <si>
    <t>감독: 조 라이트
주연: 에이미 아담스, 게리 올드만, 안소니 마키</t>
  </si>
  <si>
    <t>할리우드적 스펙터클 너머, 2021년의 시선으로 담아낸 스릴러의 이야기. 긴장은 존재가 위협받을 때 가장 선명하게 빛난다. 공포는 우리가 통제할 수 없는 것들에 대한 솔직한 고백이다. 나름의 울림을 간직한 작품이다.</t>
  </si>
  <si>
    <t>감독: Simon Stone
주연: 키이라 나이틀리, 가이 피어스, 데이비드 아잘라</t>
  </si>
  <si>
    <t>영국적 절제와 냉소 사이에서, 2025년의 시선으로 담아낸 스릴러의 이야기. 공포는 우리가 통제할 수 없는 것들에 대한 솔직한 고백이다. 긴장은 존재가 위협받을 때 가장 선명하게 빛난다. 흠이 있지만 진심이 담긴 시도였다.</t>
  </si>
  <si>
    <t>감독: 羽住英一郎
주연: 이토 히데아키, 加藤あい, 佐藤隆太</t>
  </si>
  <si>
    <t>섬세한 일본적 감수성으로, 2012년의 시선으로 담아낸 액션의 이야기. 충돌은 세계가 변화를 요구하는 방식이다. 생존의 욕망은 가장 원초적인 철학적 질문을 던진다. 한 번쯤 들여다볼 가치가 있는 이야기다.</t>
  </si>
  <si>
    <t>감독: 이수진
주연: 한석규, 설경구, 천우희</t>
  </si>
  <si>
    <t>한국 특유의 정서가 켜켜이 쌓인 듯, 2019년의 시선으로 담아낸 드라마의 이야기. 우리는 각자의 서사 안에 갇혀 서로를 오해한다. 삶은 언제나 해석을 기다리는 텍스트다. 한 번쯤 들여다볼 가치가 있는 이야기다.</t>
  </si>
  <si>
    <t>감독: 이한
주연: 김희애, 고아성, 김유정</t>
  </si>
  <si>
    <t>한국 특유의 정서가 켜켜이 쌓인 듯, 2014년의 시선으로 담아낸 드라마의 이야기. 모든 이야기는 상처의 다른 이름이다. 인간의 고통이란 결국 타인과의 거리에서 비롯된다. 두고두고 다시 꺼내 볼 만한 작품이다.</t>
  </si>
  <si>
    <t>감독: 榊英雄
주연: 林遼威, 高橋克典, 哀川翔</t>
  </si>
  <si>
    <t>섬세한 일본적 감수성으로, 2010년의 시선으로 담아낸 드라마의 이야기. 모든 이야기는 상처의 다른 이름이다. 우리는 각자의 서사 안에 갇혀 서로를 오해한다. 이 작품이 남기는 이미지는 어떤 방식으로든 기억에 새겨진다.</t>
  </si>
  <si>
    <t>감독: 이시카와 케이
주연: 츠마부키 사토시, 미츠시마 히카리, 코이데 케이스케</t>
  </si>
  <si>
    <t>섬세한 일본적 감수성으로, 2019년의 시선으로 담아낸 드라마의 이야기. 모든 이야기는 상처의 다른 이름이다. 우리는 각자의 서사 안에 갇혀 서로를 오해한다. 완벽하지 않아도, 그 불완전함이 오히려 인간적이다.</t>
  </si>
  <si>
    <t>감독: 크리스티안 페촐트
주연: 폴라 비어, 프란츠 로고프스키, Maryam Zaree</t>
  </si>
  <si>
    <t>독일 특유의 사유의 무게를 지니며, 2020년의 시선으로 담아낸 드라마의 이야기. 우리는 각자의 서사 안에 갇혀 서로를 오해한다. 인간의 고통이란 결국 타인과의 거리에서 비롯된다. 이 작품이 남기는 질문은 쉽게 사라지지 않는다.</t>
  </si>
  <si>
    <t>감독: Ichiki Masae, Yoshi Ishizuka
주연: 하라다 토모요, 사이토 타쿠미, 야마구치 사야카</t>
  </si>
  <si>
    <t>드라마 형식 속에서, 섬세한 일본적 감수성으로, 2016년의 시선으로 담아낸 드라마의 이야기. 삶은 언제나 해석을 기다리는 텍스트다. 모든 이야기는 상처의 다른 이름이다. 평점이 담지 못하는 무언가가 이 영화에는 있다.</t>
  </si>
  <si>
    <t>감독: 라이 루소영
주연: 야라 샤히디, 찰스 멜튼, Hill Harper</t>
  </si>
  <si>
    <t>감독: Antonin Baudry
주연: 프랑수아 시빌, 오마르 시, 마티외 카소비츠</t>
  </si>
  <si>
    <t>프랑스 영화 특유의 철학적 깊이로, 2019년의 시선으로 담아낸 액션의 이야기. 충돌은 세계가 변화를 요구하는 방식이다. 폭력의 언어 속에서도 인간은 존엄을 갈망한다. 두고두고 다시 꺼내 볼 만한 작품이다.</t>
  </si>
  <si>
    <t>감독: 장자크 아르노
주연: 풍소봉, 窦骁, Ankhnyam Ragchaa</t>
  </si>
  <si>
    <t>광활한 대지의 이야기를 담아, 2015년의 시선으로 담아낸 모험의 이야기. 영상 언어로 포착된 인간의 이야기는 언제나 철학적 울림을 남긴다. 이 작품은 단순한 오락을 넘어 삶의 어떤 단면을 응시하게 한다. 평점이 담지 못하는 무언가가 이 영화에는 있다.</t>
  </si>
  <si>
    <t>감독: 존 왓츠
주연: 조지 클루니, 브래드 피트, 오스틴 에이브럼스</t>
  </si>
  <si>
    <t>할리우드적 스펙터클 너머, 2024년의 시선으로 담아낸 액션의 이야기. 충돌은 세계가 변화를 요구하는 방식이다. 생존의 욕망은 가장 원초적인 철학적 질문을 던진다. 완벽하지 않아도, 그 불완전함이 오히려 인간적이다.</t>
  </si>
  <si>
    <t>감독: Alex Kendrick
주연: Karen Abercrombie, Priscilla C. Shirer, T.C. Stallings</t>
  </si>
  <si>
    <t>할리우드적 스펙터클 너머, 2015년의 시선으로 담아낸 드라마의 이야기. 우리는 각자의 서사 안에 갇혀 서로를 오해한다. 삶은 언제나 해석을 기다리는 텍스트다. 이 작품이 남기는 이미지는 어떤 방식으로든 기억에 새겨진다.</t>
  </si>
  <si>
    <t>감독: David Michôd
주연: 브래드 피트, Anthony Michael Hall, 에모리 코헨</t>
  </si>
  <si>
    <t>할리우드적 스펙터클 너머, 2017년의 시선으로 담아낸 코미디의 이야기. 가볍게 웃는 순간에도 삶의 무게는 그 그림자를 드리운다. 웃음은 고통을 소화하는 인간만의 방식이다. 두고두고 다시 꺼내 볼 만한 작품이다.</t>
  </si>
  <si>
    <t>감독: Tim Hill
주연: 로버트 드 니로, 우마 서먼, Rob Riggle</t>
  </si>
  <si>
    <t>할리우드적 스펙터클 너머, 2020년의 시선으로 담아낸 코미디의 이야기. 가볍게 웃는 순간에도 삶의 무게는 그 그림자를 드리운다. 웃음은 고통을 소화하는 인간만의 방식이다. 한 번쯤 들여다볼 가치가 있는 이야기다.</t>
  </si>
  <si>
    <t>감독: Gavin O'Connor
주연: 조엘 에저튼, 톰 하디, 닉 놀티</t>
  </si>
  <si>
    <t>할리우드적 스펙터클 너머, 2011년의 시선으로 담아낸 액션의 이야기. 충돌은 세계가 변화를 요구하는 방식이다. 육체의 한계에 도전하는 것은 곧 자아의 경계를 시험하는 일이다. 두고두고 다시 꺼내 볼 만한 작품이다.</t>
  </si>
  <si>
    <t>감독: Sara Colangelo
주연: 마이클 키튼, 에이미 라이언, 스탠리 투치</t>
  </si>
  <si>
    <t>할리우드적 스펙터클 너머, 2020년의 시선으로 담아낸 드라마의 이야기. 삶은 언제나 해석을 기다리는 텍스트다. 인간의 고통이란 결국 타인과의 거리에서 비롯된다. 두고두고 다시 꺼내 볼 만한 작품이다.</t>
  </si>
  <si>
    <t>감독: Steven Brill
주연: 엘리자베스 뱅크스, 제임스 마스던, 질리언 제이컵스</t>
  </si>
  <si>
    <t>할리우드적 스펙터클 너머, 2014년의 시선으로 담아낸 코미디의 이야기. 유머 속에는 세계의 부조리를 견뎌내는 지혜가 담겨 있다. 가볍게 웃는 순간에도 삶의 무게는 그 그림자를 드리운다. 한 번쯤 들여다볼 가치가 있는 이야기다.</t>
  </si>
  <si>
    <t>감독: Adam Shankman
주연: 맨디 무어, Shane West, 피터 코요테</t>
  </si>
  <si>
    <t>할리우드적 스펙터클 너머, 2002년의 시선으로 담아낸 드라마의 이야기. 인간의 고통이란 결국 타인과의 거리에서 비롯된다. 삶은 언제나 해석을 기다리는 텍스트다. 이 작품이 남기는 질문은 쉽게 사라지지 않는다.</t>
  </si>
  <si>
    <t>감독: 데이비드 에이어
주연: 제이슨 스타뎀, 제이슨 플레밍, Merab Ninidze</t>
  </si>
  <si>
    <t>할리우드적 스펙터클 너머, 2025년의 시선으로 담아낸 액션의 이야기. 충돌은 세계가 변화를 요구하는 방식이다. 육체의 한계에 도전하는 것은 곧 자아의 경계를 시험하는 일이다. 나름의 울림을 간직한 작품이다.</t>
  </si>
  <si>
    <t>감독: 러셀 크로우
주연: 러셀 크로우, 올가 쿠릴렌코, Yılmaz Erdoğan</t>
  </si>
  <si>
    <t>2014년의 시선으로 담아낸 드라마 이야기가 우리에게 묻는다. 인간의 고통이란 결국 타인과의 거리에서 비롯된다. 삶은 언제나 해석을 기다리는 텍스트다. 완벽하지 않아도, 그 불완전함이 오히려 인간적이다.</t>
  </si>
  <si>
    <t>감독: 矢口史靖
주연: 츠마부키 사토시, 타마키 히로시, 타케나카 나오토</t>
  </si>
  <si>
    <t>섬세한 일본적 감수성으로, 2001년의 시선으로 담아낸 코미디의 이야기. 우스운 것과 슬픈 것은 본래 같은 뿌리에서 자란다. 가볍게 웃는 순간에도 삶의 무게는 그 그림자를 드리운다. 시간이 지날수록 더 깊이 읽히는 영화다.</t>
  </si>
  <si>
    <t>감독: 스티븐 스필버그
주연: 제레미 어바인, 피터 뮬런, 에밀리 왓슨</t>
  </si>
  <si>
    <t>할리우드적 스펙터클 너머, 2011년의 시선으로 담아낸 전쟁의 이야기. 전쟁은 인간의 이성이 멈추는 지점에서 시작된다. 폐허 속에서도 존엄을 지키려는 의지가 역사를 만든다. 이 작품이 남기는 질문은 쉽게 사라지지 않는다.</t>
  </si>
  <si>
    <t>감독: 폴 토마스 앤더슨
주연: 레오나르도 디카프리오, 숀 펜, 체이스 인피니티</t>
  </si>
  <si>
    <t>할리우드적 스펙터클 너머, 2025년의 시선으로 담아낸 액션의 이야기. 충돌은 세계가 변화를 요구하는 방식이다. 육체의 한계에 도전하는 것은 곧 자아의 경계를 시험하는 일이다. 시간이 지날수록 더 깊이 읽히는 영화다.</t>
  </si>
  <si>
    <t>감독: Jean-François Richet
주연: 뱅상 카셀, 프랑수아 클루제, 알리스 이사즈</t>
  </si>
  <si>
    <t>프랑스 영화 특유의 철학적 깊이로, 2015년의 시선으로 담아낸 코미디의 이야기. 우스운 것과 슬픈 것은 본래 같은 뿌리에서 자란다. 유머 속에는 세계의 부조리를 견뎌내는 지혜가 담겨 있다. 이 작품이 남기는 질문은 쉽게 사라지지 않는다.</t>
  </si>
  <si>
    <t>감독: Stephen Chbosky
주연: 제이컵 트람블레이, 줄리아 로버츠, 오웬 윌슨</t>
  </si>
  <si>
    <t>할리우드적 스펙터클 너머, 2017년의 시선으로 담아낸 드라마의 이야기. 인간의 고통이란 결국 타인과의 거리에서 비롯된다. 삶은 언제나 해석을 기다리는 텍스트다. 시간이 지날수록 더 깊이 읽히는 영화다.</t>
  </si>
  <si>
    <t>감독: 패티 젠킨스
주연: 갤 가돗, 크리스 파인, 코니 닐센</t>
  </si>
  <si>
    <t>할리우드적 스펙터클 너머, 2017년의 시선으로 담아낸 액션의 이야기. 폭력의 언어 속에서도 인간은 존엄을 갈망한다. 충돌은 세계가 변화를 요구하는 방식이다. 시간이 지날수록 더 깊이 읽히는 영화다.</t>
  </si>
  <si>
    <t>감독: Peter Werner
주연: 줄리 앤 에머리, Jennifer Esposito, Camryn Manheim</t>
  </si>
  <si>
    <t>할리우드적 스펙터클 너머, 2017년의 시선으로 담아낸 드라마의 이야기. 모든 이야기는 상처의 다른 이름이다. 삶은 언제나 해석을 기다리는 텍스트다. 이 작품이 남기는 이미지는 어떤 방식으로든 기억에 새겨진다.</t>
  </si>
  <si>
    <t>감독: Angela Robinson
주연: 루크 에반스, 레베카 홀, 벨라 히스코트</t>
  </si>
  <si>
    <t>할리우드적 스펙터클 너머, 2017년의 시선으로 담아낸 액션의 이야기. 생존의 욕망은 가장 원초적인 철학적 질문을 던진다. 육체의 한계에 도전하는 것은 곧 자아의 경계를 시험하는 일이다. 흠이 있지만 진심이 담긴 시도였다.</t>
  </si>
  <si>
    <t>감독: Jo Won-hee
주연: 마동석, 김영광, 이유영</t>
  </si>
  <si>
    <t>한국 특유의 정서가 켜켜이 쌓인 듯, 2018년의 시선으로 담아낸 코미디의 이야기. 웃음은 고통을 소화하는 인간만의 방식이다. 유머 속에는 세계의 부조리를 견뎌내는 지혜가 담겨 있다. 한 번쯤 들여다볼 가치가 있는 이야기다.</t>
  </si>
  <si>
    <t>감독: Kwon Chil-in
주연: 이민정, 이정진, 이광수</t>
  </si>
  <si>
    <t>한국 특유의 정서가 켜켜이 쌓인 듯, 2011년의 시선으로 담아낸 드라마의 이야기. 삶은 언제나 해석을 기다리는 텍스트다. 우리는 각자의 서사 안에 갇혀 서로를 오해한다. 흠이 있지만 진심이 담긴 시도였다.</t>
  </si>
  <si>
    <t>감독: Lone Scherfig
주연: 앤 해서웨이, 짐 스터지스, 톰 마이슨</t>
  </si>
  <si>
    <t>영국적 절제와 냉소 사이에서, 2011년의 시선으로 담아낸 로맨스의 이야기. 사랑은 자아의 경계가 흔들리는 순간에 찾아온다. 두 사람 사이의 침묵은 때로 말보다 더 많은 것을 말한다. 시간이 지날수록 더 깊이 읽히는 영화다.</t>
  </si>
  <si>
    <t>감독: Yang Kyung-mo
주연: 임시완, 진구, 박병은</t>
  </si>
  <si>
    <t>한국 특유의 정서가 켜켜이 쌓인 듯, 2016년의 시선으로 담아낸 범죄의 이야기. 법과 도덕 사이의 틈새에서 인간의 본성이 노출된다. 어둠 속에서도 인간은 스스로를 정당화하려 한다. 시간이 지날수록 더 깊이 읽히는 영화다.</t>
  </si>
  <si>
    <t>감독: James Nunn
주연: 스콧 애드킨스, 애슐리 그린, 라이언 필립</t>
  </si>
  <si>
    <t>할리우드적 스펙터클 너머, 2021년의 시선으로 담아낸 액션의 이야기. 충돌은 세계가 변화를 요구하는 방식이다. 생존의 욕망은 가장 원초적인 철학적 질문을 던진다. 이 작품이 남기는 이미지는 어떤 방식으로든 기억에 새겨진다.</t>
  </si>
  <si>
    <t>감독: 존 카니
주연: Glen Hansard, Markéta Irglová, Hugh Walsh</t>
  </si>
  <si>
    <t>2007년의 시선으로 담아낸 드라마 이야기가 우리에게 묻는다. 인간의 고통이란 결국 타인과의 거리에서 비롯된다. 모든 이야기는 상처의 다른 이름이다. 시간이 지날수록 더 깊이 읽히는 영화다.</t>
  </si>
  <si>
    <t>감독: 세르조 레오네
주연: 로버트 드 니로, 제임스 우즈, 엘리자베스 맥거번</t>
  </si>
  <si>
    <t>229분</t>
  </si>
  <si>
    <t>할리우드적 스펙터클 너머, 1984년의 시선으로 담아낸 범죄의 이야기. 어둠 속에서도 인간은 스스로를 정당화하려 한다. 욕망은 언제나 질서보다 먼저 존재했다. 이 작품이 남기는 질문은 쉽게 사라지지 않는다.</t>
  </si>
  <si>
    <t>감독: Michael McGowan
주연: 캠벨 스콧, 조슈아 잭슨, Liane Balaban</t>
  </si>
  <si>
    <t>2008년의 시선으로 담아낸 드라마 이야기가 우리에게 묻는다. 우리는 각자의 서사 안에 갇혀 서로를 오해한다. 인간의 고통이란 결국 타인과의 거리에서 비롯된다. 이 작품이 남기는 질문은 쉽게 사라지지 않는다.</t>
  </si>
  <si>
    <t>감독: 데이비드 프랭클
주연: 제임스 코든, 알렉산드라 로치, 줄리 월터스</t>
  </si>
  <si>
    <t>영국적 절제와 냉소 사이에서, 2013년의 시선으로 담아낸 드라마의 이야기. 우리는 각자의 서사 안에 갇혀 서로를 오해한다. 삶은 언제나 해석을 기다리는 텍스트다. 이 작품이 남기는 질문은 쉽게 사라지지 않는다.</t>
  </si>
  <si>
    <t>감독: Daniel Barnz
주연: 비올라 데이비스, 메기 질렌할, 빙 레임스</t>
  </si>
  <si>
    <t>할리우드적 스펙터클 너머, 2012년의 시선으로 담아낸 드라마의 이야기. 우리는 각자의 서사 안에 갇혀 서로를 오해한다. 모든 이야기는 상처의 다른 이름이다. 평점이 담지 못하는 무언가가 이 영화에는 있다.</t>
  </si>
  <si>
    <t>감독: 조너선 리브스만
주연: 에런 엑하트, 라몬 로드리게즈, Will Rothhaar</t>
  </si>
  <si>
    <t>할리우드적 스펙터클 너머, 2011년의 시선으로 담아낸 액션의 이야기. 폭력의 언어 속에서도 인간은 존엄을 갈망한다. 충돌은 세계가 변화를 요구하는 방식이다. 흠이 있지만 진심이 담긴 시도였다.</t>
  </si>
  <si>
    <t>감독: 마크 포스터
주연: 브래드 피트, Mireille Enos, דניאלה קרטס‎</t>
  </si>
  <si>
    <t>할리우드적 스펙터클 너머, 2013년의 시선으로 담아낸 액션의 이야기. 폭력의 언어 속에서도 인간은 존엄을 갈망한다. 충돌은 세계가 변화를 요구하는 방식이다. 두고두고 다시 꺼내 볼 만한 작품이다.</t>
  </si>
  <si>
    <t>감독: 올리버 스톤
주연: 마이클 더글라스, 샤이아 라보프, 조쉬 브롤린</t>
  </si>
  <si>
    <t>할리우드적 스펙터클 너머, 2010년의 시선으로 담아낸 드라마의 이야기. 모든 이야기는 상처의 다른 이름이다. 인간의 고통이란 결국 타인과의 거리에서 비롯된다. 오랫동안 여운이 남는 작품이다.</t>
  </si>
  <si>
    <t>감독: Tommy Wirkola
주연: 누미 라파스, 글렌 클로즈, 윌렘 대포</t>
  </si>
  <si>
    <t>영국적 절제와 냉소 사이에서, 2017년의 시선으로 담아낸 액션의 이야기. 충돌은 세계가 변화를 요구하는 방식이다. 생존의 욕망은 가장 원초적인 철학적 질문을 던진다. 두고두고 다시 꺼내 볼 만한 작품이다.</t>
  </si>
  <si>
    <t>감독: Hadi El Bagoury
주연: Maged El Kedwany, Amr Youssef, أحمد مالك</t>
  </si>
  <si>
    <t>감독: Stephen Chbosky
주연: 로건 러먼, 엠마 왓슨, 에즈라 밀러</t>
  </si>
  <si>
    <t>할리우드적 스펙터클 너머, 2012년의 시선으로 담아낸 드라마의 이야기. 인간의 고통이란 결국 타인과의 거리에서 비롯된다. 삶은 언제나 해석을 기다리는 텍스트다. 두고두고 다시 꺼내 볼 만한 작품이다.</t>
  </si>
  <si>
    <t>감독: 고어 버빈스키
주연: 니콜라스 케이지, 마이클 케인, 호프 데이비스</t>
  </si>
  <si>
    <t>할리우드적 스펙터클 너머, 2005년의 시선으로 담아낸 코미디의 이야기. 우스운 것과 슬픈 것은 본래 같은 뿌리에서 자란다. 유머 속에는 세계의 부조리를 견뎌내는 지혜가 담겨 있다. 두고두고 다시 꺼내 볼 만한 작품이다.</t>
  </si>
  <si>
    <t>감독: Kwon Hyung-jin
주연: 송윤아, 김향기, 김명국</t>
  </si>
  <si>
    <t>한국 특유의 정서가 켜켜이 쌓인 듯, 2009년의 시선으로 담아낸 드라마의 이야기. 삶은 언제나 해석을 기다리는 텍스트다. 모든 이야기는 상처의 다른 이름이다. 시간이 지날수록 더 깊이 읽히는 영화다.</t>
  </si>
  <si>
    <t>감독: Kristian Levring
주연: 매즈 미켈슨, 에바 그린, 제프리 딘 모건</t>
  </si>
  <si>
    <t>할리우드적 스펙터클 너머, 2014년의 시선으로 담아낸 서부의 이야기. 영상 언어로 포착된 인간의 이야기는 언제나 철학적 울림을 남긴다. 시간이 흐른 뒤에도 이 장면들은 기억 속에 선명히 남는다. 완벽하지 않아도, 그 불완전함이 오히려 인간적이다.</t>
  </si>
  <si>
    <t>감독: 조나단 놀란, 리사 조이
주연: 에반 레이첼 우드, 탠디 뉴턴, 제프리 라이트</t>
  </si>
  <si>
    <t>드라마 형식 속에서, 할리우드적 스펙터클 너머, 2016년의 시선으로 담아낸 드라마의 이야기. 삶은 언제나 해석을 기다리는 텍스트다. 인간의 고통이란 결국 타인과의 거리에서 비롯된다. 이 작품이 남기는 이미지는 어떤 방식으로든 기억에 새겨진다.</t>
  </si>
  <si>
    <t>드라마 형식 속에서, 할리우드적 스펙터클 너머, 2018년의 시선으로 담아낸 드라마의 이야기. 모든 이야기는 상처의 다른 이름이다. 우리는 각자의 서사 안에 갇혀 서로를 오해한다. 이 작품이 남기는 이미지는 어떤 방식으로든 기억에 새겨진다.</t>
  </si>
  <si>
    <t>감독: Amma Asante
주연: 아만들라 스텐버그, 조지 맥케이, 에비 코니쉬</t>
  </si>
  <si>
    <t>영국적 절제와 냉소 사이에서, 2018년의 시선으로 담아낸 드라마의 이야기. 인간의 고통이란 결국 타인과의 거리에서 비롯된다. 삶은 언제나 해석을 기다리는 텍스트다. 흠이 있지만 진심이 담긴 시도였다.</t>
  </si>
  <si>
    <t>감독: 자움 발라구에로
주연: 프레디 하이모어, 아스트리드 베르제프리스베, Jose Coronado</t>
  </si>
  <si>
    <t>열정과 멜랑콜리가 교차하며, 2021년의 시선으로 담아낸 액션의 이야기. 생존의 욕망은 가장 원초적인 철학적 질문을 던진다. 충돌은 세계가 변화를 요구하는 방식이다. 오랫동안 여운이 남는 작품이다.</t>
  </si>
  <si>
    <t>감독: 松尾スズキ
주연: 우치다 유키, 宮藤官九郎, 아오이 유우</t>
  </si>
  <si>
    <t>섬세한 일본적 감수성으로, 1997년의 시선으로 담아낸 코미디의 이야기. 우스운 것과 슬픈 것은 본래 같은 뿌리에서 자란다. 유머 속에는 세계의 부조리를 견뎌내는 지혜가 담겨 있다. 오랫동안 여운이 남는 작품이다.</t>
  </si>
  <si>
    <t>감독: Jake Scott
주연: 크리스틴 스튜어트, 제임스 갠돌피니, 멜리사 레오</t>
  </si>
  <si>
    <t>영국적 절제와 냉소 사이에서, 2012년의 시선으로 담아낸 로맨스의 이야기. 설렘은 불완전한 존재가 완전함을 향해 뻗는 손길이다. 사랑은 자아의 경계가 흔들리는 순간에 찾아온다. 두고두고 다시 꺼내 볼 만한 작품이다.</t>
  </si>
  <si>
    <t>감독: Rawson Marshall Thurber
주연: 제니퍼 애니스턴, 제이슨 수데이키스, 엠마 로버츠</t>
  </si>
  <si>
    <t>감독: Austen Taylor Pease
주연: Tudor Toca, Natalie Urelle, Iwan Noble</t>
  </si>
  <si>
    <t>2024년의 시선으로 담아낸 드라마 이야기가 우리에게 묻는다. 모든 이야기는 상처의 다른 이름이다. 우리는 각자의 서사 안에 갇혀 서로를 오해한다. 나름의 울림을 간직한 작품이다.</t>
  </si>
  <si>
    <t>감독: 바즈 루어만
주연: 레오나르도 디카프리오, 토비 맥과이어, 캐리 멀리건</t>
  </si>
  <si>
    <t>감독: 롤란트 에머리히
주연: 제이미 캠벨 바우어, 리스 이판, 데이비드 슐리스</t>
  </si>
  <si>
    <t>영국적 절제와 냉소 사이에서, 2011년의 시선으로 담아낸 드라마의 이야기. 삶은 언제나 해석을 기다리는 텍스트다. 우리는 각자의 서사 안에 갇혀 서로를 오해한다. 아쉬움이 남지만, 모든 시도는 의미를 갖는다.</t>
  </si>
  <si>
    <t>감독: 마이클 그레이시
주연: 휴 잭맨, 잭 에프론, 미셸 윌리엄스</t>
  </si>
  <si>
    <t>감독: Margaret Betts
주연: 토미 리 존스, 제이미 폭스, 저니 스몰렛</t>
  </si>
  <si>
    <t>할리우드적 스펙터클 너머, 2023년의 시선으로 담아낸 드라마의 이야기. 모든 이야기는 상처의 다른 이름이다. 우리는 각자의 서사 안에 갇혀 서로를 오해한다. 한 번쯤 들여다볼 가치가 있는 이야기다.</t>
  </si>
  <si>
    <t>감독: 스티브 맥퀸
주연: 비올라 데이비스, 미셸 로드리게즈, 엘리자베스 데비키</t>
  </si>
  <si>
    <t>영국적 절제와 냉소 사이에서, 2018년의 시선으로 담아낸 범죄의 이야기. 욕망은 언제나 질서보다 먼저 존재했다. 죄란 사회가 만든 경계를 넘는 행위이자 그 경계에 대한 질문이다. 아쉬움이 남지만, 모든 시도는 의미를 갖는다.</t>
  </si>
  <si>
    <t>감독: 글렌 피카라, John Requa
주연: 티나 페이, 마고 로비, 빌리 밥 손튼</t>
  </si>
  <si>
    <t>할리우드적 스펙터클 너머, 2016년의 시선으로 담아낸 코미디의 이야기. 가볍게 웃는 순간에도 삶의 무게는 그 그림자를 드리운다. 유머 속에는 세계의 부조리를 견뎌내는 지혜가 담겨 있다. 시간이 지날수록 더 깊이 읽히는 영화다.</t>
  </si>
  <si>
    <t>감독: 잭 브래프
주연: 잭 브래프, 케이트 허드슨, 조이 킹</t>
  </si>
  <si>
    <t>할리우드적 스펙터클 너머, 2014년의 시선으로 담아낸 코미디의 이야기. 유머 속에는 세계의 부조리를 견뎌내는 지혜가 담겨 있다. 가볍게 웃는 순간에도 삶의 무게는 그 그림자를 드리운다. 이 작품이 남기는 질문은 쉽게 사라지지 않는다.</t>
  </si>
  <si>
    <t>감독: Max Joseph
주연: 잭 에프론, 웨스 벤틀리, Emily Ratajkowski</t>
  </si>
  <si>
    <t>할리우드적 스펙터클 너머, 2015년의 시선으로 담아낸 드라마의 이야기. 삶은 언제나 해석을 기다리는 텍스트다. 모든 이야기는 상처의 다른 이름이다. 시간이 지날수록 더 깊이 읽히는 영화다.</t>
  </si>
  <si>
    <t>감독: 노아 바움백
주연: 벤 스틸러, 나오미 왓츠, 애덤 드라이버</t>
  </si>
  <si>
    <t>할리우드적 스펙터클 너머, 2015년의 시선으로 담아낸 코미디의 이야기. 우스운 것과 슬픈 것은 본래 같은 뿌리에서 자란다. 유머 속에는 세계의 부조리를 견뎌내는 지혜가 담겨 있다. 완벽하지 않아도, 그 불완전함이 오히려 인간적이다.</t>
  </si>
  <si>
    <t>감독: Kim Farrant
주연: 레이튼 미스터, Christina Wolfe, Ziad Bakri</t>
  </si>
  <si>
    <t>영국적 절제와 냉소 사이에서, 2022년의 시선으로 담아낸 스릴러의 이야기. 긴장은 존재가 위협받을 때 가장 선명하게 빛난다. 공포는 우리가 통제할 수 없는 것들에 대한 솔직한 고백이다. 흠이 있지만 진심이 담긴 시도였다.</t>
  </si>
  <si>
    <t>감독: Gordon Parry
주연: Alastair Sim, Ronald Shiner, Claire Bloom</t>
  </si>
  <si>
    <t>할리우드적 스펙터클 너머, 2013년의 시선으로 담아낸 로맨스의 이야기. 사랑은 자아의 경계가 흔들리는 순간에 찾아온다. 설렘은 불완전한 존재가 완전함을 향해 뻗는 손길이다. 오랫동안 여운이 남는 작품이다.</t>
  </si>
  <si>
    <t>감독: 데이미언 셔젤
주연: 마일스 텔러, J.K. 시몬스, 폴 라이저</t>
  </si>
  <si>
    <t>할리우드적 스펙터클 너머, 2014년의 시선으로 담아낸 드라마의 이야기. 우리는 각자의 서사 안에 갇혀 서로를 오해한다. 모든 이야기는 상처의 다른 이름이다. 시간이 지날수록 더 깊이 읽히는 영화다.</t>
  </si>
  <si>
    <t>감독: 스티븐 프리어스
주연: 글렌 클로즈, 존 말코비치, 미셸 파이퍼</t>
  </si>
  <si>
    <t>광활한 대지의 이야기를 담아, 2012년의 시선으로 담아낸 드라마의 이야기. 우리는 각자의 서사 안에 갇혀 서로를 오해한다. 인간의 고통이란 결국 타인과의 거리에서 비롯된다. 이 작품이 남기는 질문은 쉽게 사라지지 않는다.</t>
  </si>
  <si>
    <t>감독: 션 더킨
주연: 주드 로, 캐리 쿤, Charlie Shotwell</t>
  </si>
  <si>
    <t>영국적 절제와 냉소 사이에서, 2020년의 시선으로 담아낸 드라마의 이야기. 모든 이야기는 상처의 다른 이름이다. 삶은 언제나 해석을 기다리는 텍스트다. 완성도와 별개로, 이 작품이 던지려 한 질문은 유효하다.</t>
  </si>
  <si>
    <t>감독: 뤽 베송
주연: 로버트 드 니로, 미셸 파이퍼, 토미 리 존스</t>
  </si>
  <si>
    <t>감독: 테일러 쉐리던
주연: 제레미 레너, 엘리자베스 올슨, 길 버밍햄</t>
  </si>
  <si>
    <t>할리우드적 스펙터클 너머, 2017년의 시선으로 담아낸 범죄의 이야기. 어둠 속에서도 인간은 스스로를 정당화하려 한다. 욕망은 언제나 질서보다 먼저 존재했다. 이 작품이 남기는 질문은 쉽게 사라지지 않는다.</t>
  </si>
  <si>
    <t>감독: 아키바 골즈먼
주연: 콜린 파렐, 제시카 브라운 핀들리, 러셀 크로우</t>
  </si>
  <si>
    <t>할리우드적 스펙터클 너머, 2014년의 시선으로 담아낸 드라마의 이야기. 우리는 각자의 서사 안에 갇혀 서로를 오해한다. 모든 이야기는 상처의 다른 이름이다. 한 번쯤 들여다볼 가치가 있는 이야기다.</t>
  </si>
  <si>
    <t>감독: Richard Sandler</t>
  </si>
  <si>
    <t>섬세한 일본적 감수성으로, 2006년의 시선으로 담아낸 드라마의 이야기. 모든 이야기는 상처의 다른 이름이다. 우리는 각자의 서사 안에 갇혀 서로를 오해한다. 이 작품이 남기는 질문은 쉽게 사라지지 않는다.</t>
  </si>
  <si>
    <t>감독: 로만 폴란스키
주연: 이완 맥그리거, 피어스 브로스넌, 킴 캐트럴</t>
  </si>
  <si>
    <t>프랑스 영화 특유의 철학적 깊이로, 2010년의 시선으로 담아낸 스릴러의 이야기. 긴장은 존재가 위협받을 때 가장 선명하게 빛난다. 불안이란 현실이 균열을 드러내는 순간에 스며든다. 한 번쯤 들여다볼 가치가 있는 이야기다.</t>
  </si>
  <si>
    <t>감독: 熊澤尚人
주연: 요시타카 유리코, 마츠자카 토리, 마츠야마 켄이치</t>
  </si>
  <si>
    <t>섬세한 일본적 감수성으로, 2017년의 시선으로 담아낸 드라마의 이야기. 우리는 각자의 서사 안에 갇혀 서로를 오해한다. 삶은 언제나 해석을 기다리는 텍스트다. 나름의 울림을 간직한 작품이다.</t>
  </si>
  <si>
    <t>감독: 신수원
주연: 문근영, 김태훈, 서태화</t>
  </si>
  <si>
    <t>한국 특유의 정서가 켜켜이 쌓인 듯, 2017년의 시선으로 담아낸 드라마의 이야기. 삶은 언제나 해석을 기다리는 텍스트다. 모든 이야기는 상처의 다른 이름이다. 두고두고 다시 꺼내 볼 만한 작품이다.</t>
  </si>
  <si>
    <t>감독: 파올로 소렌티노
주연: 마이클 케인, 하비 카이텔, 레이첼 와이즈</t>
  </si>
  <si>
    <t>이탈리아 네오리얼리즘의 숨결을 담아, 2015년의 시선으로 담아낸 드라마의 이야기. 우리는 각자의 서사 안에 갇혀 서로를 오해한다. 모든 이야기는 상처의 다른 이름이다. 두고두고 다시 꺼내 볼 만한 작품이다.</t>
  </si>
  <si>
    <t>감독: George C. Wolfe
주연: 힐러리 스웽크, 에미 로섬, 조시 더멜</t>
  </si>
  <si>
    <t>할리우드적 스펙터클 너머, 2014년의 시선으로 담아낸 드라마의 이야기. 인간의 고통이란 결국 타인과의 거리에서 비롯된다. 우리는 각자의 서사 안에 갇혀 서로를 오해한다. 시간이 지날수록 더 깊이 읽히는 영화다.</t>
  </si>
  <si>
    <t xml:space="preserve">감독: </t>
  </si>
  <si>
    <t>10부작</t>
  </si>
  <si>
    <t>드라마 형식 속에서, 할리우드적 스펙터클 너머, 2019년의 시선으로 담아낸 SF의 이야기. 기술이 진보할수록 인간다움의 정의는 더욱 절박해진다. 미래를 상상하는 것은 현재를 비판하는 가장 우회적인 방법이다. 평점이 담지 못하는 무언가가 이 영화에는 있다.</t>
  </si>
  <si>
    <t>감독: 표민수
주연: 손현주, 김명민, 김도훈</t>
  </si>
  <si>
    <t>드라마 형식 속에서, 한국 특유의 정서가 켜켜이 쌓인 듯, 2024년의 시선으로 담아낸 드라마의 이야기. 우리는 각자의 서사 안에 갇혀 서로를 오해한다. 모든 이야기는 상처의 다른 이름이다. 이 작품이 남기는 이미지는 어떤 방식으로든 기억에 새겨진다.</t>
  </si>
  <si>
    <t>감독: 브라이언 싱어
주연: Stephen Baldwin, 가브리엘 번, 베니시오 델 토로</t>
  </si>
  <si>
    <t>할리우드적 스펙터클 너머, 1995년의 시선으로 담아낸 범죄의 이야기. 죄란 사회가 만든 경계를 넘는 행위이자 그 경계에 대한 질문이다. 법과 도덕 사이의 틈새에서 인간의 본성이 노출된다. 오랫동안 여운이 남는 작품이다.</t>
  </si>
  <si>
    <t>감독: Yoon Jae-geun
주연: 윤계상, 박용우, 임지연</t>
  </si>
  <si>
    <t>한국 특유의 정서가 켜켜이 쌓인 듯, 2021년의 시선으로 담아낸 스릴러의 이야기. 긴장은 존재가 위협받을 때 가장 선명하게 빛난다. 공포는 우리가 통제할 수 없는 것들에 대한 솔직한 고백이다. 흠이 있지만 진심이 담긴 시도였다.</t>
  </si>
  <si>
    <t>감독: Mark O'Rowe
주연: 킬리언 머피, Eva Birthistle, Catherine Walker</t>
  </si>
  <si>
    <t>2018년의 시선으로 담아낸 로맨스 이야기가 우리에게 묻는다. 사랑은 자아의 경계가 흔들리는 순간에 찾아온다. 두 사람 사이의 침묵은 때로 말보다 더 많은 것을 말한다. 완벽하지 않아도, 그 불완전함이 오히려 인간적이다.</t>
  </si>
  <si>
    <t>감독: 박규태
주연: 고경표, 이이경, 음문석</t>
  </si>
  <si>
    <t>한국 특유의 정서가 켜켜이 쌓인 듯, 2022년의 시선으로 담아낸 코미디의 이야기. 웃음은 고통을 소화하는 인간만의 방식이다. 유머 속에는 세계의 부조리를 견뎌내는 지혜가 담겨 있다. 이 작품이 남기는 질문은 쉽게 사라지지 않는다.</t>
  </si>
  <si>
    <t>감독: Lim Dae-hyung
주연: 김희애, 나카무라 유코, 김소혜</t>
  </si>
  <si>
    <t>한국 특유의 정서가 켜켜이 쌓인 듯, 2019년의 시선으로 담아낸 드라마의 이야기. 인간의 고통이란 결국 타인과의 거리에서 비롯된다. 우리는 각자의 서사 안에 갇혀 서로를 오해한다. 오랫동안 여운이 남는 작품이다.</t>
  </si>
  <si>
    <t>감독: 정지우
주연: 박해일, 김무열, 김고은</t>
  </si>
  <si>
    <t>한국 특유의 정서가 켜켜이 쌓인 듯, 2012년의 시선으로 담아낸 드라마의 이야기. 모든 이야기는 상처의 다른 이름이다. 삶은 언제나 해석을 기다리는 텍스트다. 흠이 있지만 진심이 담긴 시도였다.</t>
  </si>
  <si>
    <t>감독: 장철수
주연: 김수현, 박기웅, 이현우</t>
  </si>
  <si>
    <t>한국 특유의 정서가 켜켜이 쌓인 듯, 2013년의 시선으로 담아낸 액션의 이야기. 폭력의 언어 속에서도 인간은 존엄을 갈망한다. 생존의 욕망은 가장 원초적인 철학적 질문을 던진다. 흠이 있지만 진심이 담긴 시도였다.</t>
  </si>
  <si>
    <t>감독: Yoon Jae-goo
주연: 임수정, 유연석, 이경영</t>
  </si>
  <si>
    <t>한국 특유의 정서가 켜켜이 쌓인 듯, 2015년의 시선으로 담아낸 스릴러의 이야기. 공포는 우리가 통제할 수 없는 것들에 대한 솔직한 고백이다. 진실은 언제나 우리가 감당할 수 없는 형태로 찾아온다. 흠이 있지만 진심이 담긴 시도였다.</t>
  </si>
  <si>
    <t>감독: 김대우
주연: 한석규, 김민정, 이범수</t>
  </si>
  <si>
    <t>한국 특유의 정서가 켜켜이 쌓인 듯, 2006년의 시선으로 담아낸 드라마의 이야기. 인간의 고통이란 결국 타인과의 거리에서 비롯된다. 삶은 언제나 해석을 기다리는 텍스트다. 완벽하지 않아도, 그 불완전함이 오히려 인간적이다.</t>
  </si>
  <si>
    <t>감독: 로버트 레드포드
주연: 제임스 맥어보이, 로빈 라이트, 에반 레이첼 우드</t>
  </si>
  <si>
    <t>감독: Kim Jin-young
주연: 박하선, 윤상현, 임정은</t>
  </si>
  <si>
    <t>한국 특유의 정서가 켜켜이 쌓인 듯, 2012년의 시선으로 담아낸 코미디의 이야기. 가볍게 웃는 순간에도 삶의 무게는 그 그림자를 드리운다. 우스운 것과 슬픈 것은 본래 같은 뿌리에서 자란다. 한 번쯤 들여다볼 가치가 있는 이야기다.</t>
  </si>
  <si>
    <t>감독: 조너선 헨즐리
주연: 토머스 제인, 존 트래볼타, Will Patton</t>
  </si>
  <si>
    <t>할리우드적 스펙터클 너머, 2004년의 시선으로 담아낸 액션의 이야기. 충돌은 세계가 변화를 요구하는 방식이다. 폭력의 언어 속에서도 인간은 존엄을 갈망한다. 흠이 있지만 진심이 담긴 시도였다.</t>
  </si>
  <si>
    <t>감독: 손영성
주연: 하정우, 박희순, 장혁</t>
  </si>
  <si>
    <t>한국 특유의 정서가 켜켜이 쌓인 듯, 2011년의 시선으로 담아낸 스릴러의 이야기. 진실은 언제나 우리가 감당할 수 없는 형태로 찾아온다. 불안이란 현실이 균열을 드러내는 순간에 스며든다. 이 작품이 남기는 질문은 쉽게 사라지지 않는다.</t>
  </si>
  <si>
    <t>감독: D.J. Caruso
주연: 샤이아 라보프, 미셸 모나한, 로사리오 도슨</t>
  </si>
  <si>
    <t>할리우드적 스펙터클 너머, 2008년의 시선으로 담아낸 액션의 이야기. 육체의 한계에 도전하는 것은 곧 자아의 경계를 시험하는 일이다. 폭력의 언어 속에서도 인간은 존엄을 갈망한다. 나름의 울림을 간직한 작품이다.</t>
  </si>
  <si>
    <t>감독: 댄 길로이
주연: 덴젤 워싱턴, 콜린 파렐, 카먼 이조고</t>
  </si>
  <si>
    <t>할리우드적 스펙터클 너머, 2017년의 시선으로 담아낸 드라마의 이야기. 모든 이야기는 상처의 다른 이름이다. 인간의 고통이란 결국 타인과의 거리에서 비롯된다. 완벽하지 않아도, 그 불완전함이 오히려 인간적이다.</t>
  </si>
  <si>
    <t>감독: Nicole Holofcener
주연: 줄리아 루이스 드레이퍼스, 제임스 갠돌피니, 캐서린 키너</t>
  </si>
  <si>
    <t>할리우드적 스펙터클 너머, 2013년의 시선으로 담아낸 코미디의 이야기. 우스운 것과 슬픈 것은 본래 같은 뿌리에서 자란다. 웃음은 고통을 소화하는 인간만의 방식이다. 나름의 울림을 간직한 작품이다.</t>
  </si>
  <si>
    <t>감독: 우디 앨런
주연: 호아킨 피닉스, 엠마 스톤, Jamie Blackley</t>
  </si>
  <si>
    <t>할리우드적 스펙터클 너머, 2015년의 시선으로 담아낸 드라마의 이야기. 모든 이야기는 상처의 다른 이름이다. 삶은 언제나 해석을 기다리는 텍스트다. 두고두고 다시 꺼내 볼 만한 작품이다.</t>
  </si>
  <si>
    <t>감독: 白石和彌
주연: 아오이 유우, 아베 사다오, 마츠자카 토리</t>
  </si>
  <si>
    <t>섬세한 일본적 감수성으로, 2018년의 시선으로 담아낸 로맨스의 이야기. 설렘은 불완전한 존재가 완전함을 향해 뻗는 손길이다. 두 사람 사이의 침묵은 때로 말보다 더 많은 것을 말한다. 흠이 있지만 진심이 담긴 시도였다.</t>
  </si>
  <si>
    <t>감독: 모튼 틸덤
주연: 베네딕트 컴버배치, 키이라 나이틀리, 매튜 구드</t>
  </si>
  <si>
    <t>영국적 절제와 냉소 사이에서, 2014년의 시선으로 담아낸 드라마의 이야기. 우리는 각자의 서사 안에 갇혀 서로를 오해한다. 모든 이야기는 상처의 다른 이름이다. 오랫동안 여운이 남는 작품이다.</t>
  </si>
  <si>
    <t>할리우드적 스펙터클 너머, 2013년의 시선으로 담아낸 드라마의 이야기. 모든 이야기는 상처의 다른 이름이다. 삶은 언제나 해석을 기다리는 텍스트다. 이 작품이 남기는 질문은 쉽게 사라지지 않는다.</t>
  </si>
  <si>
    <t>감독: Dana Brown
주연: Marc Márquez, Robbie Maddison, Carlin Dunne</t>
  </si>
  <si>
    <t>섬세한 일본적 감수성으로, 2010년의 시선으로 담아낸 드라마의 이야기. 우리는 각자의 서사 안에 갇혀 서로를 오해한다. 인간의 고통이란 결국 타인과의 거리에서 비롯된다. 시간이 지날수록 더 깊이 읽히는 영화다.</t>
  </si>
  <si>
    <t>감독: 石井裕也
주연: 츠마부키 사토시, 하라다 미에코, 이케마츠 소스케</t>
  </si>
  <si>
    <t>섬세한 일본적 감수성으로, 2015년의 시선으로 담아낸 로맨스의 이야기. 사랑은 자아의 경계가 흔들리는 순간에 찾아온다. 그리움이란 부재를 통해 존재를 확인하는 방식이다. 이 작품이 남기는 질문은 쉽게 사라지지 않는다.</t>
  </si>
  <si>
    <t>감독: Jalil Lespert
주연: 피에르 니네이, Guillaume Gallienne, Nikolai Kinski</t>
  </si>
  <si>
    <t>프랑스 영화 특유의 철학적 깊이로, 2014년의 시선으로 담아낸 드라마의 이야기. 인간의 고통이란 결국 타인과의 거리에서 비롯된다. 삶은 언제나 해석을 기다리는 텍스트다. 완벽하지 않아도, 그 불완전함이 오히려 인간적이다.</t>
  </si>
  <si>
    <t>섬세한 일본적 감수성으로, 2014년의 시선으로 담아낸 드라마의 이야기. 인간의 고통이란 결국 타인과의 거리에서 비롯된다. 모든 이야기는 상처의 다른 이름이다. 한 번쯤 들여다볼 가치가 있는 이야기다.</t>
  </si>
  <si>
    <t>감독: Park Dong-hun
주연: 최민식, 김동휘, 박해준</t>
  </si>
  <si>
    <t>한국 특유의 정서가 켜켜이 쌓인 듯, 2022년의 시선으로 담아낸 드라마의 이야기. 인간의 고통이란 결국 타인과의 거리에서 비롯된다. 우리는 각자의 서사 안에 갇혀 서로를 오해한다. 완벽하지 않아도, 그 불완전함이 오히려 인간적이다.</t>
  </si>
  <si>
    <t>감독: John Erick Dowdle
주연: 오웬 윌슨, 레이크 벨, 스털링 제린스</t>
  </si>
  <si>
    <t>할리우드적 스펙터클 너머, 2015년의 시선으로 담아낸 액션의 이야기. 충돌은 세계가 변화를 요구하는 방식이다. 폭력의 언어 속에서도 인간은 존엄을 갈망한다. 두고두고 다시 꺼내 볼 만한 작품이다.</t>
  </si>
  <si>
    <t>감독: Adam Robitel
주연: 테일러 러셀, 로건 밀러, 제이 엘리스</t>
  </si>
  <si>
    <t>할리우드적 스펙터클 너머, 2019년의 시선으로 담아낸 공포의 이야기. 어둠은 우리 내면의 억압된 것들이 귀환하는 문이다. 공포란 이성이 침묵하는 순간 존재가 맞닥뜨리는 날것의 경험이다. 이 작품이 남기는 질문은 쉽게 사라지지 않는다.</t>
  </si>
  <si>
    <t>감독: Adam Robitel
주연: 테일러 러셀, 로건 밀러, Indya Moore</t>
  </si>
  <si>
    <t>할리우드적 스펙터클 너머, 2021년의 시선으로 담아낸 공포의 이야기. 어둠은 우리 내면의 억압된 것들이 귀환하는 문이다. 불가해한 것 앞에서 인간은 얼마나 작은가를 깨닫는다. 오랫동안 여운이 남는 작품이다.</t>
  </si>
  <si>
    <t>감독: Francis Annan
주연: 다니엘 래드클리프, 대니얼 웨버, 이안 하트</t>
  </si>
  <si>
    <t>영국적 절제와 냉소 사이에서, 2020년의 시선으로 담아낸 스릴러의 이야기. 불안이란 현실이 균열을 드러내는 순간에 스며든다. 진실은 언제나 우리가 감당할 수 없는 형태로 찾아온다. 나름의 울림을 간직한 작품이다.</t>
  </si>
  <si>
    <t>감독: Mikael Håfström
주연: 실베스터 스탤론, 아놀드 슈왈제네거, 짐 커비즐</t>
  </si>
  <si>
    <t>할리우드적 스펙터클 너머, 2013년의 시선으로 담아낸 액션의 이야기. 육체의 한계에 도전하는 것은 곧 자아의 경계를 시험하는 일이다. 충돌은 세계가 변화를 요구하는 방식이다. 완성도와 별개로, 이 작품이 던지려 한 질문은 유효하다.</t>
  </si>
  <si>
    <t>감독: Jared Cohn
주연: Kelly McCart, Katrina Grey, Jared Cohn</t>
  </si>
  <si>
    <t>할리우드적 스펙터클 너머, 2017년의 시선으로 담아낸 액션의 이야기. 육체의 한계에 도전하는 것은 곧 자아의 경계를 시험하는 일이다. 생존의 욕망은 가장 원초적인 철학적 질문을 던진다. 흠이 있지만 진심이 담긴 시도였다.</t>
  </si>
  <si>
    <t>감독: 데이비드 크로넨버그
주연: 비고 모텐슨, 나오미 왓츠, 뱅상 카셀</t>
  </si>
  <si>
    <t>영국적 절제와 냉소 사이에서, 2007년의 시선으로 담아낸 범죄의 이야기. 법과 도덕 사이의 틈새에서 인간의 본성이 노출된다. 어둠 속에서도 인간은 스스로를 정당화하려 한다. 두고두고 다시 꺼내 볼 만한 작품이다.</t>
  </si>
  <si>
    <t>감독: 잘 배트매글리즈
주연: 브릿 말링, 알렉산더 스카스가드, 엘리엇 페이지</t>
  </si>
  <si>
    <t>할리우드적 스펙터클 너머, 2013년의 시선으로 담아낸 드라마의 이야기. 인간의 고통이란 결국 타인과의 거리에서 비롯된다. 모든 이야기는 상처의 다른 이름이다. 나름의 울림을 간직한 작품이다.</t>
  </si>
  <si>
    <t>감독: S.J. Chiro
주연: 톰 스커릿, 미라 소비노, Annie Gonzalez</t>
  </si>
  <si>
    <t>할리우드적 스펙터클 너머, 2021년의 시선으로 담아낸 드라마의 이야기. 모든 이야기는 상처의 다른 이름이다. 인간의 고통이란 결국 타인과의 거리에서 비롯된다. 흠이 있지만 진심이 담긴 시도였다.</t>
  </si>
  <si>
    <t>감독: Rick Roberts
주연: Mhairi Calvey, Chris Wilson, Laura Jean Marsh</t>
  </si>
  <si>
    <t>할리우드적 스펙터클 너머, 2020년의 시선으로 담아낸 액션의 이야기. 생존의 욕망은 가장 원초적인 철학적 질문을 던진다. 폭력의 언어 속에서도 인간은 존엄을 갈망한다. 완벽하지 않아도, 그 불완전함이 오히려 인간적이다.</t>
  </si>
  <si>
    <t>감독: Jennifer Fox
주연: 로라 던, Isabelle Nélisse, 엘리자베스 데비키</t>
  </si>
  <si>
    <t>할리우드적 스펙터클 너머, 2018년의 시선으로 담아낸 드라마의 이야기. 인간의 고통이란 결국 타인과의 거리에서 비롯된다. 우리는 각자의 서사 안에 갇혀 서로를 오해한다. 나름의 울림을 간직한 작품이다.</t>
  </si>
  <si>
    <t>감독: Simon Cellan Jones, Michaela Fereday
주연: 엠마 톰슨, Anne Reid, 로리 키니어</t>
  </si>
  <si>
    <t>드라마 형식 속에서, 영국적 절제와 냉소 사이에서, 2019년의 시선으로 담아낸 드라마의 이야기. 모든 이야기는 상처의 다른 이름이다. 우리는 각자의 서사 안에 갇혀 서로를 오해한다. 이 작품이 남기는 이미지는 어떤 방식으로든 기억에 새겨진다.</t>
  </si>
  <si>
    <t>감독: 클린트 이스트우드
주연: 와타나베 켄, 니노미야 카즈나리, 이하라 츠요시</t>
  </si>
  <si>
    <t>할리우드적 스펙터클 너머, 2006년의 시선으로 담아낸 전쟁의 이야기. 폐허 속에서도 존엄을 지키려는 의지가 역사를 만든다. 전쟁을 기억하는 것은 반복하지 않기 위한 고통스러운 의무다. 흠이 있지만 진심이 담긴 시도였다.</t>
  </si>
  <si>
    <t>감독: Kim Hwi
주연: 김윤진, 김성균, 김새론</t>
  </si>
  <si>
    <t>한국 특유의 정서가 켜켜이 쌓인 듯, 2012년의 시선으로 담아낸 스릴러의 이야기. 긴장은 존재가 위협받을 때 가장 선명하게 빛난다. 공포는 우리가 통제할 수 없는 것들에 대한 솔직한 고백이다. 나름의 울림을 간직한 작품이다.</t>
  </si>
  <si>
    <t>감독: 이환경
주연: 정우, 오달수, 김희원</t>
  </si>
  <si>
    <t>한국 특유의 정서가 켜켜이 쌓인 듯, 2020년의 시선으로 담아낸 코미디의 이야기. 유머 속에는 세계의 부조리를 견뎌내는 지혜가 담겨 있다. 가볍게 웃는 순간에도 삶의 무게는 그 그림자를 드리운다. 오랫동안 여운이 남는 작품이다.</t>
  </si>
  <si>
    <t>감독: Peter Sullivan
주연: Emmanuelle Vaugier, Brian Krause, Cristine Prosperi</t>
  </si>
  <si>
    <t>섬세한 일본적 감수성으로, 2016년의 시선으로 담아낸 드라마의 이야기. 인간의 고통이란 결국 타인과의 거리에서 비롯된다. 삶은 언제나 해석을 기다리는 텍스트다. 이 작품이 남기는 이미지는 어떤 방식으로든 기억에 새겨진다.</t>
  </si>
  <si>
    <t>감독: 曽利文彦
주연: 아야세 하루카, 쿠보즈카 요스케, 오오사와 타카오</t>
  </si>
  <si>
    <t>섬세한 일본적 감수성으로, 2008년의 시선으로 담아낸 액션의 이야기. 폭력의 언어 속에서도 인간은 존엄을 갈망한다. 충돌은 세계가 변화를 요구하는 방식이다. 이 작품이 남기는 이미지는 어떤 방식으로든 기억에 새겨진다.</t>
  </si>
  <si>
    <t>감독: Szász Attila
주연: Gera Marina, Csányi Sándor, Döbrösi Laura</t>
  </si>
  <si>
    <t>2019년의 시선으로 담아낸 드라마 이야기가 우리에게 묻는다. 삶은 언제나 해석을 기다리는 텍스트다. 모든 이야기는 상처의 다른 이름이다. 이 작품이 남기는 질문은 쉽게 사라지지 않는다.</t>
  </si>
  <si>
    <t>감독: 클로이 자오
주연: 젬마 찬, 리차드 매든, 안젤리나 졸리</t>
  </si>
  <si>
    <t>할리우드적 스펙터클 너머, 2021년의 시선으로 담아낸 액션의 이야기. 충돌은 세계가 변화를 요구하는 방식이다. 폭력의 언어 속에서도 인간은 존엄을 갈망한다. 완벽하지 않아도, 그 불완전함이 오히려 인간적이다.</t>
  </si>
  <si>
    <t>감독: Song Yeon-hwa
주연: 한석규, 채원빈, 한예리</t>
  </si>
  <si>
    <t>드라마 형식 속에서, 한국 특유의 정서가 켜켜이 쌓인 듯, 2024년의 시선으로 담아낸 드라마의 이야기. 인간의 고통이란 결국 타인과의 거리에서 비롯된다. 우리는 각자의 서사 안에 갇혀 서로를 오해한다. 이 작품이 남기는 이미지는 어떤 방식으로든 기억에 새겨진다.</t>
  </si>
  <si>
    <t>감독: R. J. Cutler
주연: 클로이 그레이스 모레츠, Jamie Blackley, Liana Liberato</t>
  </si>
  <si>
    <t>할리우드적 스펙터클 너머, 2014년의 시선으로 담아낸 드라마의 이야기. 모든 이야기는 상처의 다른 이름이다. 우리는 각자의 서사 안에 갇혀 서로를 오해한다. 흠이 있지만 진심이 담긴 시도였다.</t>
  </si>
  <si>
    <t>감독: Gil Junger
주연: 제니퍼 러브 휴잇, Paul Nicholls, 톰 윌킨슨</t>
  </si>
  <si>
    <t>할리우드적 스펙터클 너머, 2004년의 시선으로 담아낸 드라마의 이야기. 삶은 언제나 해석을 기다리는 텍스트다. 인간의 고통이란 결국 타인과의 거리에서 비롯된다. 시간이 지날수록 더 깊이 읽히는 영화다.</t>
  </si>
  <si>
    <t>감독: Phil Volken
주연: 에이온 바일리, Bethany Joy Lenz, Mauricio Alemañy</t>
  </si>
  <si>
    <t>할리우드적 스펙터클 너머, 2017년의 시선으로 담아낸 스릴러의 이야기. 불안이란 현실이 균열을 드러내는 순간에 스며든다. 진실은 언제나 우리가 감당할 수 없는 형태로 찾아온다. 오랫동안 여운이 남는 작품이다.</t>
  </si>
  <si>
    <t>감독: Nir Paniry
주연: Sasha Roiz, Jenny Mollen, Dominic Bogart</t>
  </si>
  <si>
    <t>할리우드적 스펙터클 너머, 2012년의 시선으로 담아낸 SF의 이야기. 기술이 진보할수록 인간다움의 정의는 더욱 절박해진다. 타자와의 만남은 언제나 자아의 재발견으로 이어진다. 오랫동안 여운이 남는 작품이다.</t>
  </si>
  <si>
    <t>감독: Steven C. Miller
주연: 브루스 윌리스, 지나 카라노, Kellan Lutz</t>
  </si>
  <si>
    <t>할리우드적 스펙터클 너머, 2015년의 시선으로 담아낸 액션의 이야기. 생존의 욕망은 가장 원초적인 철학적 질문을 던진다. 충돌은 세계가 변화를 요구하는 방식이다. 시간이 지날수록 더 깊이 읽히는 영화다.</t>
  </si>
  <si>
    <t>감독: Simon West
주연: 실베스터 스탤론, 제이슨 스타뎀, 이연걸</t>
  </si>
  <si>
    <t>할리우드적 스펙터클 너머, 2012년의 시선으로 담아낸 액션의 이야기. 폭력의 언어 속에서도 인간은 존엄을 갈망한다. 육체의 한계에 도전하는 것은 곧 자아의 경계를 시험하는 일이다. 흠이 있지만 진심이 담긴 시도였다.</t>
  </si>
  <si>
    <t>감독: 폴 와이츠
주연: 데니스 퀘이드, 토퍼 그레이스, 스칼렛 요한슨</t>
  </si>
  <si>
    <t>할리우드적 스펙터클 너머, 2004년의 시선으로 담아낸 코미디의 이야기. 우스운 것과 슬픈 것은 본래 같은 뿌리에서 자란다. 유머 속에는 세계의 부조리를 견뎌내는 지혜가 담겨 있다. 나름의 울림을 간직한 작품이다.</t>
  </si>
  <si>
    <t>감독: Luke Sullivan
주연: Sarah Houbolt, Robin Queree, Aldo Fedato</t>
  </si>
  <si>
    <t>프랑스 영화 특유의 철학적 깊이로, 2018년의 시선으로 담아낸 드라마의 이야기. 우리는 각자의 서사 안에 갇혀 서로를 오해한다. 인간의 고통이란 결국 타인과의 거리에서 비롯된다. 아쉬움이 남지만, 모든 시도는 의미를 갖는다.</t>
  </si>
  <si>
    <t>감독: Robert Lorenz
주연: 리암 니슨, 케리 콘돈, 키어런 하인즈</t>
  </si>
  <si>
    <t>2023년의 시선으로 담아낸 액션 이야기가 우리에게 묻는다. 폭력의 언어 속에서도 인간은 존엄을 갈망한다. 생존의 욕망은 가장 원초적인 철학적 질문을 던진다. 평점이 담지 못하는 무언가가 이 영화에는 있다.</t>
  </si>
  <si>
    <t>감독: Eugene Jarecki
주연: Eugene Jarecki, 조 바이든, 조지 H. W. 부시</t>
  </si>
  <si>
    <t>프랑스 영화 특유의 철학적 깊이로, 2012년의 시선으로 담아낸 드라마의 이야기. 인간의 고통이란 결국 타인과의 거리에서 비롯된다. 삶은 언제나 해석을 기다리는 텍스트다. 두고두고 다시 꺼내 볼 만한 작품이다.</t>
  </si>
  <si>
    <t>감독: 토머스 스터버
주연: 프란츠 로고프스키, 산드라 휠러, 페터 쿠르트</t>
  </si>
  <si>
    <t>독일 특유의 사유의 무게를 지니며, 2018년의 시선으로 담아낸 드라마의 이야기. 우리는 각자의 서사 안에 갇혀 서로를 오해한다. 삶은 언제나 해석을 기다리는 텍스트다. 오랫동안 여운이 남는 작품이다.</t>
  </si>
  <si>
    <t>감독: 수잔 비에르
주연: 미카엘 페르스브란트, Trine Dyrholm, Ulrich Thomsen</t>
  </si>
  <si>
    <t>2010년의 시선으로 담아낸 드라마 이야기가 우리에게 묻는다. 모든 이야기는 상처의 다른 이름이다. 우리는 각자의 서사 안에 갇혀 서로를 오해한다. 시간이 지날수록 더 깊이 읽히는 영화다.</t>
  </si>
  <si>
    <t>감독: Brin Hill
주연: 조이 카잔, Michael Stahl-David, 니키 리드</t>
  </si>
  <si>
    <t>할리우드적 스펙터클 너머, 2014년의 시선으로 담아낸 로맨스의 이야기. 설렘은 불완전한 존재가 완전함을 향해 뻗는 손길이다. 두 사람 사이의 침묵은 때로 말보다 더 많은 것을 말한다. 이 작품이 남기는 이미지는 어떤 방식으로든 기억에 새겨진다.</t>
  </si>
  <si>
    <t>감독: Kim Ji-hye, 허진호
주연: 전도연, 류준열, 박병은</t>
  </si>
  <si>
    <t>감독: 김대우
주연: 송승헌, 임지연, 조여정</t>
  </si>
  <si>
    <t>한국 특유의 정서가 켜켜이 쌓인 듯, 2014년의 시선으로 담아낸 드라마의 이야기. 모든 이야기는 상처의 다른 이름이다. 삶은 언제나 해석을 기다리는 텍스트다. 한 번쯤 들여다볼 가치가 있는 이야기다.</t>
  </si>
  <si>
    <t>감독: 영국 BBC</t>
  </si>
  <si>
    <t>다큐</t>
  </si>
  <si>
    <t>4부작</t>
  </si>
  <si>
    <t>영국적 절제와 냉소 사이에서, 2019년의 시선으로 담아낸 다큐의 이야기. 현실은 어떤 허구보다 더 충격적인 서사를 품고 있다. 기록은 망각에 대한 저항이며, 현재에 대한 증언이다. 이 작품이 남기는 이미지는 어떤 방식으로든 기억에 새겨진다.</t>
  </si>
  <si>
    <t>감독: 제임스 맨골드
주연: 해리슨 포드, 피비 월러브리지, 매즈 미켈슨</t>
  </si>
  <si>
    <t>할리우드적 스펙터클 너머, 2023년의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</si>
  <si>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롤란트 에머리히
주연: 리암 헴스워스, 제프 골드블룸, Jessie T. Usher</t>
  </si>
  <si>
    <t>할리우드적 스펙터클 너머, 2016년의 시선으로 담아낸 SF의 이야기. 우주의 광대함 앞에서 인간의 질문은 더욱 깊어진다. 기술이 진보할수록 인간다움의 정의는 더욱 절박해진다. 완벽하지 않아도, 그 불완전함이 오히려 인간적이다.</t>
  </si>
  <si>
    <t>감독: Oliver Hirschbiegel
주연: 니콜 키드먼, 다니엘 크레이그, Jackson Bond</t>
  </si>
  <si>
    <t>할리우드적 스펙터클 너머, 2007년의 시선으로 담아낸 SF의 이야기. 기술이 진보할수록 인간다움의 정의는 더욱 절박해진다. 우주의 광대함 앞에서 인간의 질문은 더욱 깊어진다. 한 번쯤 들여다볼 가치가 있는 이야기다.</t>
  </si>
  <si>
    <t>감독: 오리올 파울로
주연: Mario Casas, Ana Wagener, Jose Coronado</t>
  </si>
  <si>
    <t>열정과 멜랑콜리가 교차하며, 2016년의 시선으로 담아낸 스릴러의 이야기. 긴장은 존재가 위협받을 때 가장 선명하게 빛난다. 공포는 우리가 통제할 수 없는 것들에 대한 솔직한 고백이다. 시간이 지날수록 더 깊이 읽히는 영화다.</t>
  </si>
  <si>
    <t>감독: Leigh Whannell
주연: 엘리자베스 모스, 알디스 호지, 스톰 리드</t>
  </si>
  <si>
    <t>할리우드적 스펙터클 너머, 2020년의 시선으로 담아낸 공포의 이야기. 어둠은 우리 내면의 억압된 것들이 귀환하는 문이다. 우리가 두려워하는 것은 대개 우리 자신의 그림자다. 완벽하지 않아도, 그 불완전함이 오히려 인간적이다.</t>
  </si>
  <si>
    <t>감독: Ericson Core
주연: 마크 월버그, 그렉 키니어, 엘리자베스 뱅크스</t>
  </si>
  <si>
    <t>할리우드적 스펙터클 너머, 2006년의 시선으로 담아낸 드라마의 이야기. 우리는 각자의 서사 안에 갇혀 서로를 오해한다. 삶은 언제나 해석을 기다리는 텍스트다. 두고두고 다시 꺼내 볼 만한 작품이다.</t>
  </si>
  <si>
    <t>감독: Laurent Tuel
주연: 장 르노, 가스파르 울리엘, Vahina Giocante</t>
  </si>
  <si>
    <t>할리우드적 스펙터클 너머, 2009년의 시선으로 담아낸 액션의 이야기. 생존의 욕망은 가장 원초적인 철학적 질문을 던진다. 폭력의 언어 속에서도 인간은 존엄을 갈망한다. 거칠지만 그 안에서도 인간의 흔적은 남는다.</t>
  </si>
  <si>
    <t>감독: 스파이크 리
주연: 덴젤 워싱턴, 클라이브 오웬, 조디 포스터</t>
  </si>
  <si>
    <t>할리우드적 스펙터클 너머, 2006년의 시선으로 담아낸 범죄의 이야기. 욕망은 언제나 질서보다 먼저 존재했다. 법과 도덕 사이의 틈새에서 인간의 본성이 노출된다. 한 번쯤 들여다볼 가치가 있는 이야기다.</t>
  </si>
  <si>
    <t>감독: 스티븐 모팻
주연: 데이비드 테넌트, 스탠리 투치, Dolly Wells</t>
  </si>
  <si>
    <t>드라마 형식 속에서, 영국적 절제와 냉소 사이에서, 2022년의 시선으로 담아낸 드라마의 이야기. 삶은 언제나 해석을 기다리는 텍스트다. 모든 이야기는 상처의 다른 이름이다. 평점이 담지 못하는 무언가가 이 영화에는 있다.</t>
  </si>
  <si>
    <t>감독: 장이머우
주연: 葛优, 공리, 牛犇</t>
  </si>
  <si>
    <t>광활한 대지의 이야기를 담아, 1995년의 시선으로 담아낸 드라마의 이야기. 삶은 언제나 해석을 기다리는 텍스트다. 인간의 고통이란 결국 타인과의 거리에서 비롯된다. 두고두고 다시 꺼내 볼 만한 작품이다.</t>
  </si>
  <si>
    <t>감독: Liu Jiangjiang
주연: 朱一龙, 杨恩又, Wang Ge</t>
  </si>
  <si>
    <t>광활한 대지의 이야기를 담아, 2022년의 시선으로 담아낸 드라마의 이야기. 모든 이야기는 상처의 다른 이름이다. 삶은 언제나 해석을 기다리는 텍스트다. 시간이 지날수록 더 깊이 읽히는 영화다.</t>
  </si>
  <si>
    <t>감독: 로베르토 베니니
주연: 로베르토 베니니, 니콜레타 브라스키, 조르지오 깐따리니</t>
  </si>
  <si>
    <t>이탈리아 네오리얼리즘의 숨결을 담아, 1997년의 시선으로 담아낸 드라마의 이야기. 인간의 고통이란 결국 타인과의 거리에서 비롯된다. 모든 이야기는 상처의 다른 이름이다. 시간이 지날수록 더 깊이 읽히는 영화다.</t>
  </si>
  <si>
    <t>감독: 샤론 머과이어
주연: 이완 맥그리거, 미셸 윌리엄스, 매튜 맥패디언</t>
  </si>
  <si>
    <t>영국적 절제와 냉소 사이에서, 2008년의 시선으로 담아낸 드라마의 이야기. 인간의 고통이란 결국 타인과의 거리에서 비롯된다. 모든 이야기는 상처의 다른 이름이다. 평점이 담지 못하는 무언가가 이 영화에는 있다.</t>
  </si>
  <si>
    <t>감독: 크리스토퍼 놀란
주연: 레오나르도 디카프리오, 조셉 고든레빗, 와타나베 켄</t>
  </si>
  <si>
    <t>할리우드적 스펙터클 너머, 2010년의 시선으로 담아낸 액션의 이야기. 생존의 욕망은 가장 원초적인 철학적 질문을 던진다. 육체의 한계에 도전하는 것은 곧 자아의 경계를 시험하는 일이다. 두고두고 다시 꺼내 볼 만한 작품이다.</t>
  </si>
  <si>
    <t>감독: Sean Anders
주연: 마크 월버그, 로즈 번, Allyn Rachel</t>
  </si>
  <si>
    <t>할리우드적 스펙터클 너머, 2018년의 시선으로 담아낸 코미디의 이야기. 우스운 것과 슬픈 것은 본래 같은 뿌리에서 자란다. 웃음은 고통을 소화하는 인간만의 방식이다. 이 작품이 남기는 질문은 쉽게 사라지지 않는다.</t>
  </si>
  <si>
    <t>감독: 크리스토퍼 놀란
주연: 알 파치노, 로빈 윌리엄스, 힐러리 스웽크</t>
  </si>
  <si>
    <t>할리우드적 스펙터클 너머, 2002년의 시선으로 담아낸 스릴러의 이야기. 불안이란 현실이 균열을 드러내는 순간에 스며든다. 긴장은 존재가 위협받을 때 가장 선명하게 빛난다. 이 작품이 남기는 질문은 쉽게 사라지지 않는다.</t>
  </si>
  <si>
    <t>감독: 堤幸彦
주연: 시노하라 료코, 니시지마 히데토시, 稲垣来泉</t>
  </si>
  <si>
    <t>섬세한 일본적 감수성으로, 2022년의 시선으로 담아낸 드라마의 이야기. 우리는 각자의 서사 안에 갇혀 서로를 오해한다. 삶은 언제나 해석을 기다리는 텍스트다. 한 번쯤 들여다볼 가치가 있는 이야기다.</t>
  </si>
  <si>
    <t>감독: 필감성
주연: 황정민, 김재범, 이유미</t>
  </si>
  <si>
    <t>한국 특유의 정서가 켜켜이 쌓인 듯, 2021년의 시선으로 담아낸 액션의 이야기. 육체의 한계에 도전하는 것은 곧 자아의 경계를 시험하는 일이다. 생존의 욕망은 가장 원초적인 철학적 질문을 던진다. 나름의 울림을 간직한 작품이다.</t>
  </si>
  <si>
    <t>감독: 앤드류 니콜
주연: 저스틴 팀버레이크, 아만다 사이프리드, 킬리언 머피</t>
  </si>
  <si>
    <t>할리우드적 스펙터클 너머, 2011년의 시선으로 담아낸 SF의 이야기. 미래를 상상하는 것은 현재를 비판하는 가장 우회적인 방법이다. 타자와의 만남은 언제나 자아의 재발견으로 이어진다. 한 번쯤 들여다볼 가치가 있는 이야기다.</t>
  </si>
  <si>
    <t>감독: David Marconi
주연: 로슈디 젬, 제이미 알렉산더, 프랭크 그릴로</t>
  </si>
  <si>
    <t>할리우드적 스펙터클 너머, 2013년의 시선으로 담아낸 드라마의 이야기. 모든 이야기는 상처의 다른 이름이다. 인간의 고통이란 결국 타인과의 거리에서 비롯된다. 흠이 있지만 진심이 담긴 시도였다.</t>
  </si>
  <si>
    <t>감독: Matthew Reilly
주연: 엘사 파타키, 루크 브레이시, Aaron Glenane</t>
  </si>
  <si>
    <t>할리우드적 스펙터클 너머, 2022년의 시선으로 담아낸 액션의 이야기. 폭력의 언어 속에서도 인간은 존엄을 갈망한다. 육체의 한계에 도전하는 것은 곧 자아의 경계를 시험하는 일이다. 거칠지만 그 안에서도 인간의 흔적은 남는다.</t>
  </si>
  <si>
    <t>감독: 크리스토퍼 놀란
주연: 매튜 매커너히, 앤 해서웨이, 마이클 케인</t>
  </si>
  <si>
    <t>할리우드적 스펙터클 너머, 2014년의 시선으로 담아낸 SF의 이야기. 타자와의 만남은 언제나 자아의 재발견으로 이어진다. 기술이 진보할수록 인간다움의 정의는 더욱 절박해진다. 시간이 지날수록 더 깊이 읽히는 영화다.</t>
  </si>
  <si>
    <t>감독: 시드니 폴락
주연: 니콜 키드먼, 숀 펜, 캐서린 키너</t>
  </si>
  <si>
    <t>할리우드적 스펙터클 너머, 2005년의 시선으로 담아낸 스릴러의 이야기. 공포는 우리가 통제할 수 없는 것들에 대한 솔직한 고백이다. 긴장은 존재가 위협받을 때 가장 선명하게 빛난다. 흠이 있지만 진심이 담긴 시도였다.</t>
  </si>
  <si>
    <t>감독: 낸시 마이어스
주연: 로버트 드 니로, 앤 해서웨이, 르네 루소</t>
  </si>
  <si>
    <t>할리우드적 스펙터클 너머, 2015년의 시선으로 담아낸 코미디의 이야기. 가볍게 웃는 순간에도 삶의 무게는 그 그림자를 드리운다. 유머 속에는 세계의 부조리를 견뎌내는 지혜가 담겨 있다. 시간이 지날수록 더 깊이 읽히는 영화다.</t>
  </si>
  <si>
    <t>감독: 숀 레비
주연: 빈스 본, 오웬 윌슨, 로즈 번</t>
  </si>
  <si>
    <t>할리우드적 스펙터클 너머, 2013년의 시선으로 담아낸 코미디의 이야기. 가볍게 웃는 순간에도 삶의 무게는 그 그림자를 드리운다. 우스운 것과 슬픈 것은 본래 같은 뿌리에서 자란다. 나름의 울림을 간직한 작품이다.</t>
  </si>
  <si>
    <t>감독: Steven Quale
주연: 리차드 아미티지, Sarah Wayne Callies, 맷 월쉬</t>
  </si>
  <si>
    <t>할리우드적 스펙터클 너머, 2014년의 시선으로 담아낸 액션의 이야기. 폭력의 언어 속에서도 인간은 존엄을 갈망한다. 생존의 욕망은 가장 원초적인 철학적 질문을 던진다. 두고두고 다시 꺼내 볼 만한 작품이다.</t>
  </si>
  <si>
    <t>감독: Petter Næss
주연: Stig Henrik Hoff, Lachlan Nieboer, 루퍼트 그린트</t>
  </si>
  <si>
    <t>2012년의 시선으로 담아낸 드라마 이야기가 우리에게 묻는다. 우리는 각자의 서사 안에 갇혀 서로를 오해한다. 모든 이야기는 상처의 다른 이름이다. 이 작품이 남기는 질문은 쉽게 사라지지 않는다.</t>
  </si>
  <si>
    <t>감독: 론 하워드
주연: 톰 행크스, 펠리시티 존스, 오마르 시</t>
  </si>
  <si>
    <t>할리우드적 스펙터클 너머, 2016년의 시선으로 담아낸 스릴러의 이야기. 공포는 우리가 통제할 수 없는 것들에 대한 솔직한 고백이다. 불안이란 현실이 균열을 드러내는 순간에 스며든다. 두고두고 다시 꺼내 볼 만한 작품이다.</t>
  </si>
  <si>
    <t>감독: 안톤 후쿠아
주연: 마크 월버그, 치웨텔 에지오포, 소피 쿡슨</t>
  </si>
  <si>
    <t>할리우드적 스펙터클 너머, 2021년의 시선으로 담아낸 액션의 이야기. 폭력의 언어 속에서도 인간은 존엄을 갈망한다. 육체의 한계에 도전하는 것은 곧 자아의 경계를 시험하는 일이다. 완벽하지 않아도, 그 불완전함이 오히려 인간적이다.</t>
  </si>
  <si>
    <t>감독: 마우고시카 슈모프스카
주연: 나오미 왓츠, 빌리 하울, 데니스 오헤어</t>
  </si>
  <si>
    <t>할리우드적 스펙터클 너머, 2022년의 시선으로 담아낸 드라마의 이야기. 우리는 각자의 서사 안에 갇혀 서로를 오해한다. 인간의 고통이란 결국 타인과의 거리에서 비롯된다. 완벽하지 않아도, 그 불완전함이 오히려 인간적이다.</t>
  </si>
  <si>
    <t>감독: Vaughn Stein
주연: 릴리 콜린스, 사이먼 페그, 코니 닐센</t>
  </si>
  <si>
    <t>할리우드적 스펙터클 너머, 2020년의 시선으로 담아낸 스릴러의 이야기. 긴장은 존재가 위협받을 때 가장 선명하게 빛난다. 불안이란 현실이 균열을 드러내는 순간에 스며든다. 완벽하지 않아도, 그 불완전함이 오히려 인간적이다.</t>
  </si>
  <si>
    <t>감독: 진덕삼
주연: 견자단, 양채니, 왕보강</t>
  </si>
  <si>
    <t>광활한 대지의 이야기를 담아, 2014년의 시선으로 담아낸 액션의 이야기. 생존의 욕망은 가장 원초적인 철학적 질문을 던진다. 폭력의 언어 속에서도 인간은 존엄을 갈망한다. 한 번쯤 들여다볼 가치가 있는 이야기다.</t>
  </si>
  <si>
    <t>감독: Marc Rocco
주연: 크리스찬 슬레이터, 케빈 베이컨, 게리 올드만</t>
  </si>
  <si>
    <t>할리우드적 스펙터클 너머, 1995년의 시선으로 담아낸 드라마의 이야기. 모든 이야기는 상처의 다른 이름이다. 인간의 고통이란 결국 타인과의 거리에서 비롯된다. 오랫동안 여운이 남는 작품이다.</t>
  </si>
  <si>
    <t>감독: 김기덕
주연: 마동석, 김영민, 이이경</t>
  </si>
  <si>
    <t>할리우드적 스펙터클 너머, 2014년의 시선으로 담아낸 스릴러의 이야기. 불안이란 현실이 균열을 드러내는 순간에 스며든다. 공포는 우리가 통제할 수 없는 것들에 대한 솔직한 고백이다. 나름의 울림을 간직한 작품이다.</t>
  </si>
  <si>
    <t>감독: Shari Springer Berman, Robert Pulcini
주연: 에단 호크, 에이사 버터필드, 에밀리 모티머</t>
  </si>
  <si>
    <t>할리우드적 스펙터클 너머, 2015년의 시선으로 담아낸 드라마의 이야기. 인간의 고통이란 결국 타인과의 거리에서 비롯된다. 우리는 각자의 서사 안에 갇혀 서로를 오해한다. 한 번쯤 들여다볼 가치가 있는 이야기다.</t>
  </si>
  <si>
    <t>감독: Simon Wincer
주연: Chantal Contouri, Robert Bruning, 시그리드 쏜톤 분</t>
  </si>
  <si>
    <t>2015년의 시선으로 담아낸 드라마 이야기가 우리에게 묻는다. 인간의 고통이란 결국 타인과의 거리에서 비롯된다. 우리는 각자의 서사 안에 갇혀 서로를 오해한다. 오랫동안 여운이 남는 작품이다.</t>
  </si>
  <si>
    <t>감독: Anant Balani
주연: Rahul Bose, Nandita Das, Vinit Kumar</t>
  </si>
  <si>
    <t>섬세한 일본적 감수성으로, 2018년의 시선으로 담아낸 드라마의 이야기. 삶은 언제나 해석을 기다리는 텍스트다. 모든 이야기는 상처의 다른 이름이다. 이 작품이 남기는 질문은 쉽게 사라지지 않는다.</t>
  </si>
  <si>
    <t>감독: 박찬욱
주연: 유해진, 김옥빈, 박정민</t>
  </si>
  <si>
    <t>한국 특유의 정서가 켜켜이 쌓인 듯, 2022년의 시선으로 담아낸 드라마의 이야기. 인간의 고통이란 결국 타인과의 거리에서 비롯된다. 삶은 언제나 해석을 기다리는 텍스트다. 이 작품이 남기는 이미지는 어떤 방식으로든 기억에 새겨진다.</t>
  </si>
  <si>
    <t>감독: 村上正典
주연: 카와구치 하루나, 야마자키 켄토, 松尾太陽</t>
  </si>
  <si>
    <t>섬세한 일본적 감수성으로, 2017년의 시선으로 담아낸 드라마의 이야기. 모든 이야기는 상처의 다른 이름이다. 삶은 언제나 해석을 기다리는 텍스트다. 완벽하지 않아도, 그 불완전함이 오히려 인간적이다.</t>
  </si>
  <si>
    <t>감독: Moon Hyun-sung
주연: 이선균, 안재홍, 김희원</t>
  </si>
  <si>
    <t>한국 특유의 정서가 켜켜이 쌓인 듯, 2016년의 시선으로 담아낸 코미디의 이야기. 우스운 것과 슬픈 것은 본래 같은 뿌리에서 자란다. 웃음은 고통을 소화하는 인간만의 방식이다. 시간이 지날수록 더 깊이 읽히는 영화다.</t>
  </si>
  <si>
    <t>감독: 三木孝浩
주연: 아라가키 유이, 키무라 후미노, 키리타니 켄타</t>
  </si>
  <si>
    <t>섬세한 일본적 감수성으로, 2015년의 시선으로 담아낸 드라마의 이야기. 삶은 언제나 해석을 기다리는 텍스트다. 모든 이야기는 상처의 다른 이름이다. 이 작품이 남기는 이미지는 어떤 방식으로든 기억에 새겨진다.</t>
  </si>
  <si>
    <t>감독: 크레이그 지스크
주연: 줄리앤 무어, 마이클 안가라노, 그렉 키니어</t>
  </si>
  <si>
    <t>할리우드적 스펙터클 너머, 2012년의 시선으로 담아낸 코미디의 이야기. 웃음은 고통을 소화하는 인간만의 방식이다. 우스운 것과 슬픈 것은 본래 같은 뿌리에서 자란다. 거칠지만 그 안에서도 인간의 흔적은 남는다.</t>
  </si>
  <si>
    <t>감독: Yoon Jong-seok
주연: 소지섭, 김윤진, 나나</t>
  </si>
  <si>
    <t>한국 특유의 정서가 켜켜이 쌓인 듯, 2022년의 시선으로 담아낸 스릴러의 이야기. 진실은 언제나 우리가 감당할 수 없는 형태로 찾아온다. 공포는 우리가 통제할 수 없는 것들에 대한 솔직한 고백이다. 이 작품이 남기는 질문은 쉽게 사라지지 않는다.</t>
  </si>
  <si>
    <t>감독: 권종관, 이정효
주연: 전도연, 김고은, 박해수</t>
  </si>
  <si>
    <t>드라마 형식 속에서, 한국 특유의 정서가 켜켜이 쌓인 듯, 2025년의 시선으로 담아낸 드라마의 이야기. 모든 이야기는 상처의 다른 이름이다. 인간의 고통이란 결국 타인과의 거리에서 비롯된다. 평점이 담지 못하는 무언가가 이 영화에는 있다.</t>
  </si>
  <si>
    <t>감독: 이준익
주연: 설경구, 변요한, 이정은</t>
  </si>
  <si>
    <t>한국 특유의 정서가 켜켜이 쌓인 듯, 2021년의 시선으로 담아낸 사극의 이야기. 역사의 무게는 개인의 삶을 짓누르지만, 그 안에서도 빛이 있다. 시대의 억압 속에서도 인간의 욕망과 존엄은 꺾이지 않는다. 두고두고 다시 꺼내 볼 만한 작품이다.</t>
  </si>
  <si>
    <t>감독: Kim Yoo-sung
주연: 비, 강소라, 이범수</t>
  </si>
  <si>
    <t>한국 특유의 정서가 켜켜이 쌓인 듯, 2018년의 시선으로 담아낸 드라마의 이야기. 인간의 고통이란 결국 타인과의 거리에서 비롯된다. 삶은 언제나 해석을 기다리는 텍스트다. 한 번쯤 들여다볼 가치가 있는 이야기다.</t>
  </si>
  <si>
    <t>감독: 로넌 베넷
주연: 에디 레드메인, 라샤나 린치, Eleanor Matsuura</t>
  </si>
  <si>
    <t>감독: 플로리안 헨켈 폰 도너스마르크
주연: Tom Schilling, Sebastian Koch, 폴라 비어</t>
  </si>
  <si>
    <t>189분</t>
  </si>
  <si>
    <t>독일 특유의 사유의 무게를 지니며, 2020년의 시선으로 담아낸 드라마의 이야기. 삶은 언제나 해석을 기다리는 텍스트다. 모든 이야기는 상처의 다른 이름이다. 두고두고 다시 꺼내 볼 만한 작품이다.</t>
  </si>
  <si>
    <t>감독: 타키모토 토모유키
주연: 岩田剛典, 야마모토 미즈키, 사이토 타쿠미</t>
  </si>
  <si>
    <t>섬세한 일본적 감수성으로, 2018년의 시선으로 담아낸 로맨스의 이야기. 사랑은 자아의 경계가 흔들리는 순간에 찾아온다. 그리움이란 부재를 통해 존재를 확인하는 방식이다. 두고두고 다시 꺼내 볼 만한 작품이다.</t>
  </si>
  <si>
    <t>감독: 그레타 거윅
주연: 시얼샤 로넌, 엠마 왓슨, 플로렌스 퓨</t>
  </si>
  <si>
    <t>할리우드적 스펙터클 너머, 2019년의 시선으로 담아낸 드라마의 이야기. 삶은 언제나 해석을 기다리는 텍스트다. 모든 이야기는 상처의 다른 이름이다. 시간이 지날수록 더 깊이 읽히는 영화다.</t>
  </si>
  <si>
    <t>감독: William F. Claxton
주연: Melissa Gilbert, Michael Landon, Karen Grassle</t>
  </si>
  <si>
    <t>섬세한 일본적 감수성으로, 2014년의 시선으로 담아낸 드라마의 이야기. 삶은 언제나 해석을 기다리는 텍스트다. 모든 이야기는 상처의 다른 이름이다. 흠이 있지만 진심이 담긴 시도였다.</t>
  </si>
  <si>
    <t>감독: Franklin J. Schaffner
주연: 찰턴 헤스턴, Roddy McDowall, 킴 헌터</t>
  </si>
  <si>
    <t>한국 특유의 정서가 켜켜이 쌓인 듯, 2009년의 시선으로 담아낸 범죄의 이야기. 욕망은 언제나 질서보다 먼저 존재했다. 죄란 사회가 만든 경계를 넘는 행위이자 그 경계에 대한 질문이다. 이 작품이 남기는 질문은 쉽게 사라지지 않는다.</t>
  </si>
  <si>
    <t>감독: 브라이언 싱어
주연: 톰 크루즈, 케네스 브래너, 빌 나이</t>
  </si>
  <si>
    <t>할리우드적 스펙터클 너머, 2008년의 시선으로 담아낸 드라마의 이야기. 우리는 각자의 서사 안에 갇혀 서로를 오해한다. 모든 이야기는 상처의 다른 이름이다. 오랫동안 여운이 남는 작품이다.</t>
  </si>
  <si>
    <t>감독: 팀 버튼
주연: 조니 뎁, 크리스티나 리치, 미란다 리처드슨</t>
  </si>
  <si>
    <t>한국 특유의 정서가 켜켜이 쌓인 듯, 2023년의 시선으로 담아낸 스릴러의 이야기. 진실은 언제나 우리가 감당할 수 없는 형태로 찾아온다. 긴장은 존재가 위협받을 때 가장 선명하게 빛난다. 나름의 울림을 간직한 작품이다.</t>
  </si>
  <si>
    <t>감독: Olga Land
주연: Ольга Фадеева, Елена Захарова, Себастьян Сисак</t>
  </si>
  <si>
    <t>감독: Matt Angel, Suzanne Coote
주연: 케이트 시걸, Jason O'Mara, Dulé Hill</t>
  </si>
  <si>
    <t>할리우드적 스펙터클 너머, 2021년의 시선으로 담아낸 액션의 이야기. 육체의 한계에 도전하는 것은 곧 자아의 경계를 시험하는 일이다. 생존의 욕망은 가장 원초적인 철학적 질문을 던진다. 아쉬움이 남지만, 모든 시도는 의미를 갖는다.</t>
  </si>
  <si>
    <t>감독: Julian Schnabel
주연: 마티유 아말릭, Emmanuelle Seigner, Marie-Josée Croze</t>
  </si>
  <si>
    <t>프랑스 영화 특유의 철학적 깊이로, 2007년의 시선으로 담아낸 드라마의 이야기. 삶은 언제나 해석을 기다리는 텍스트다. 모든 이야기는 상처의 다른 이름이다. 두고두고 다시 꺼내 볼 만한 작품이다.</t>
  </si>
  <si>
    <t>감독: 조은지
주연: 류승룡, 오나라, 김희원</t>
  </si>
  <si>
    <t>한국 특유의 정서가 켜켜이 쌓인 듯, 2021년의 시선으로 담아낸 코미디의 이야기. 웃음은 고통을 소화하는 인간만의 방식이다. 유머 속에는 세계의 부조리를 견뎌내는 지혜가 담겨 있다. 한 번쯤 들여다볼 가치가 있는 이야기다.</t>
  </si>
  <si>
    <t>감독: 허정
주연: 염정아, 박혁권, 허진</t>
  </si>
  <si>
    <t>한국 특유의 정서가 켜켜이 쌓인 듯, 2017년의 시선으로 담아낸 공포의 이야기. 우리가 두려워하는 것은 대개 우리 자신의 그림자다. 어둠은 우리 내면의 억압된 것들이 귀환하는 문이다. 흠이 있지만 진심이 담긴 시도였다.</t>
  </si>
  <si>
    <t>감독: 강제규
주연: 박근형, 윤여정, 조진웅</t>
  </si>
  <si>
    <t>한국 특유의 정서가 켜켜이 쌓인 듯, 2014년의 시선으로 담아낸 드라마의 이야기. 우리는 각자의 서사 안에 갇혀 서로를 오해한다. 인간의 고통이란 결국 타인과의 거리에서 비롯된다. 오랫동안 여운이 남는 작품이다.</t>
  </si>
  <si>
    <t>감독: 칼톤 쿠즈, John Ridley
주연: 베라 파미가, Cherry Jones, Cornelius Smith, Jr.</t>
  </si>
  <si>
    <t>감독: Kim Tae-yun
주연: 정우, 강하늘, 김해숙</t>
  </si>
  <si>
    <t>한국 특유의 정서가 켜켜이 쌓인 듯, 2016년의 시선으로 담아낸 드라마의 이야기. 우리는 각자의 서사 안에 갇혀 서로를 오해한다. 삶은 언제나 해석을 기다리는 텍스트다. 두고두고 다시 꺼내 볼 만한 작품이다.</t>
  </si>
  <si>
    <t>감독: 할리 베리
주연: 할리 베리, 아단 칸토, Sheila Atim</t>
  </si>
  <si>
    <t>할리우드적 스펙터클 너머, 2020년의 시선으로 담아낸 드라마의 이야기. 모든 이야기는 상처의 다른 이름이다. 인간의 고통이란 결국 타인과의 거리에서 비롯된다. 이 작품이 남기는 질문은 쉽게 사라지지 않는다.</t>
  </si>
  <si>
    <t>감독: 케네스 브래너
주연: 크리스 파인, 키이라 나이틀리, 케빈 코스트너</t>
  </si>
  <si>
    <t>할리우드적 스펙터클 너머, 2014년의 시선으로 담아낸 액션의 이야기. 폭력의 언어 속에서도 인간은 존엄을 갈망한다. 육체의 한계에 도전하는 것은 곧 자아의 경계를 시험하는 일이다. 완벽하지 않아도, 그 불완전함이 오히려 인간적이다.</t>
  </si>
  <si>
    <t>감독: 크리스토퍼 맥쿼리
주연: 톰 크루즈, 로저먼드 파이크, 리처드 젠킨스</t>
  </si>
  <si>
    <t>할리우드적 스펙터클 너머, 2012년의 시선으로 담아낸 액션의 이야기. 육체의 한계에 도전하는 것은 곧 자아의 경계를 시험하는 일이다. 생존의 욕망은 가장 원초적인 철학적 질문을 던진다. 두고두고 다시 꺼내 볼 만한 작품이다.</t>
  </si>
  <si>
    <t>감독: 에드워드 즈윅
주연: 톰 크루즈, 코비 스멀더스, Danika Yarosh</t>
  </si>
  <si>
    <t>할리우드적 스펙터클 너머, 2016년의 시선으로 담아낸 액션의 이야기. 육체의 한계에 도전하는 것은 곧 자아의 경계를 시험하는 일이다. 생존의 욕망은 가장 원초적인 철학적 질문을 던진다. 오랫동안 여운이 남는 작품이다.</t>
  </si>
  <si>
    <t>감독: David Kerr
주연: 로완 앳킨슨, 올가 쿠릴렌코, 벤 밀러</t>
  </si>
  <si>
    <t>영국적 절제와 냉소 사이에서, 2018년의 시선으로 담아낸 코미디의 이야기. 우스운 것과 슬픈 것은 본래 같은 뿌리에서 자란다. 유머 속에는 세계의 부조리를 견뎌내는 지혜가 담겨 있다. 완벽하지 않아도, 그 불완전함이 오히려 인간적이다.</t>
  </si>
  <si>
    <t>감독: 덴젤 워싱턴
주연: 마이클 B. 조던, Chanté Adams, Jalon Christian</t>
  </si>
  <si>
    <t>할리우드적 스펙터클 너머, 2021년의 시선으로 담아낸 드라마의 이야기. 모든 이야기는 상처의 다른 이름이다. 인간의 고통이란 결국 타인과의 거리에서 비롯된다. 오랫동안 여운이 남는 작품이다.</t>
  </si>
  <si>
    <t>감독: Saul Dibb
주연: 에이사 버터필드, 샘 클라플린, 폴 베타니</t>
  </si>
  <si>
    <t>감독: Mark Waters
주연: 리즈 위더스푼, 마크 러팔로, Donal Logue</t>
  </si>
  <si>
    <t>감독: Christopher S. Clark, Patrick Henry Parker
주연: Henry Ian Cusick, 브렌다 바카로, Sam Sorbo</t>
  </si>
  <si>
    <t>할리우드적 스펙터클 너머, 2016년의 시선으로 담아낸 드라마의 이야기. 모든 이야기는 상처의 다른 이름이다. 인간의 고통이란 결국 타인과의 거리에서 비롯된다. 흠이 있지만 진심이 담긴 시도였다.</t>
  </si>
  <si>
    <t>감독: 데스틴 대니얼 크레턴
주연: 마이클 B. 조던, 브리 라슨, 제이미 폭스</t>
  </si>
  <si>
    <t>감독: Lauren Montgomery
주연: 케빈 콘로이, Tim Daly, Susan Eisenberg</t>
  </si>
  <si>
    <t>할리우드적 스펙터클 너머, 2012년의 시선으로 담아낸 드라마의 이야기. 삶은 언제나 해석을 기다리는 텍스트다. 우리는 각자의 서사 안에 갇혀 서로를 오해한다. 완벽하지 않아도, 그 불완전함이 오히려 인간적이다.</t>
  </si>
  <si>
    <t>감독: Joseph Ruben
주연: 줄리아 로버츠, Patrick Bergin, Kevin Anderson</t>
  </si>
  <si>
    <t>할리우드적 스펙터클 너머, 1991년의 시선으로 담아낸 스릴러의 이야기. 공포는 우리가 통제할 수 없는 것들에 대한 솔직한 고백이다. 긴장은 존재가 위협받을 때 가장 선명하게 빛난다. 시간이 지날수록 더 깊이 읽히는 영화다.</t>
  </si>
  <si>
    <t>감독: 김상만
주연: 강동원, 박정민, 차승원</t>
  </si>
  <si>
    <t>한국 특유의 정서가 켜켜이 쌓인 듯, 2024년의 시선으로 담아낸 사극의 이야기. 전통과 변화의 충돌 속에서 인간의 본질이 드러난다. 시대의 억압 속에서도 인간의 욕망과 존엄은 꺾이지 않는다. 이 작품이 남기는 질문은 쉽게 사라지지 않는다.</t>
  </si>
  <si>
    <t>감독: 岡下慶仁, 岸善幸
주연: 아리무라 카스미, 이시바시 시즈카, 大東駿介</t>
  </si>
  <si>
    <t>드라마 형식 속에서, 섬세한 일본적 감수성으로, 2021년의 시선으로 담아낸 드라마의 이야기. 모든 이야기는 상처의 다른 이름이다. 삶은 언제나 해석을 기다리는 텍스트다. 이 작품이 남기는 이미지는 어떤 방식으로든 기억에 새겨진다.</t>
  </si>
  <si>
    <t>감독: 이종필
주연: 김인권, 류현경, 김수미</t>
  </si>
  <si>
    <t>한국 특유의 정서가 켜켜이 쌓인 듯, 2013년의 시선으로 담아낸 코미디의 이야기. 가볍게 웃는 순간에도 삶의 무게는 그 그림자를 드리운다. 웃음은 고통을 소화하는 인간만의 방식이다. 시간이 지날수록 더 깊이 읽히는 영화다.</t>
  </si>
  <si>
    <t>감독: 이수성
주연: Ha Na-kyeong, Kwak Hyun-hwa, Oh Seong-tae</t>
  </si>
  <si>
    <t>한국 특유의 정서가 켜켜이 쌓인 듯, 2012년의 시선으로 담아낸 드라마의 이야기. 모든 이야기는 상처의 다른 이름이다. 우리는 각자의 서사 안에 갇혀 서로를 오해한다. 완성도와 별개로, 이 작품이 던지려 한 질문은 유효하다.</t>
  </si>
  <si>
    <t>감독: 강우석
주연: 황정민, 유준상, 윤제문</t>
  </si>
  <si>
    <t>한국 특유의 정서가 켜켜이 쌓인 듯, 2012년의 시선으로 담아낸 드라마의 이야기. 인간의 고통이란 결국 타인과의 거리에서 비롯된다. 우리는 각자의 서사 안에 갇혀 서로를 오해한다. 완벽하지 않아도, 그 불완전함이 오히려 인간적이다.</t>
  </si>
  <si>
    <t>감독: Jimmy Keyrouz
주연: Tarek Yaacoub, رولا بقسماتي, Mounir Maasri</t>
  </si>
  <si>
    <t>2022년의 시선으로 담아낸 드라마 이야기가 우리에게 묻는다. 인간의 고통이란 결국 타인과의 거리에서 비롯된다. 모든 이야기는 상처의 다른 이름이다. 나름의 울림을 간직한 작품이다.</t>
  </si>
  <si>
    <t>감독: Robert Walak, Faith Penhale
주연: 폴 다노, 릴리 제임스, 제임스 모튼</t>
  </si>
  <si>
    <t>드라마 형식 속에서, 영국적 절제와 냉소 사이에서, 2016년의 시선으로 담아낸 드라마의 이야기. 삶은 언제나 해석을 기다리는 텍스트다. 모든 이야기는 상처의 다른 이름이다. 이 작품이 남기는 이미지는 어떤 방식으로든 기억에 새겨진다.</t>
  </si>
  <si>
    <t>감독: 브라이언 드 팔마
주연: 마이클 J. 폭스, 숀 펜, Don Harvey</t>
  </si>
  <si>
    <t>할리우드적 스펙터클 너머, 1989년의 시선으로 담아낸 전쟁의 이야기. 전쟁을 기억하는 것은 반복하지 않기 위한 고통스러운 의무다. 폐허 속에서도 존엄을 지키려는 의지가 역사를 만든다. 한 번쯤 들여다볼 가치가 있는 이야기다.</t>
  </si>
  <si>
    <t>감독: 武内英樹
주연: 伊東美咲, 伊藤淳史, 白石美帆</t>
  </si>
  <si>
    <t>섬세한 일본적 감수성으로, 2005년의 시선으로 담아낸 로맨스의 이야기. 사랑은 자아의 경계가 흔들리는 순간에 찾아온다. 두 사람 사이의 침묵은 때로 말보다 더 많은 것을 말한다. 흠이 있지만 진심이 담긴 시도였다.</t>
  </si>
  <si>
    <t>감독: 신정원
주연: 김수로, 강예원, 이제훈</t>
  </si>
  <si>
    <t>한국 특유의 정서가 켜켜이 쌓인 듯, 2012년의 시선으로 담아낸 코미디의 이야기. 가볍게 웃는 순간에도 삶의 무게는 그 그림자를 드리운다. 웃음은 고통을 소화하는 인간만의 방식이다. 거칠지만 그 안에서도 인간의 흔적은 남는다.</t>
  </si>
  <si>
    <t>감독: Greg McLean
주연: 다니엘 래드클리프, Alex Russell, 토마스 크레치만</t>
  </si>
  <si>
    <t>2017년의 시선으로 담아낸 모험 이야기가 우리에게 묻는다. 이 작품은 단순한 오락을 넘어 삶의 어떤 단면을 응시하게 한다. 우리는 스크린 앞에 앉아 타인의 삶을 통해 우리 자신을 본다. 이 작품이 남기는 질문은 쉽게 사라지지 않는다.</t>
  </si>
  <si>
    <t>감독: Jaume Collet-Serra
주연: 드웨인 존슨, 에밀리 블런트, 에드가 라미레즈</t>
  </si>
  <si>
    <t>할리우드적 스펙터클 너머, 2021년의 시선으로 담아낸 모험의 이야기. 이 작품은 단순한 오락을 넘어 삶의 어떤 단면을 응시하게 한다. 우리는 스크린 앞에 앉아 타인의 삶을 통해 우리 자신을 본다. 완벽하지 않아도, 그 불완전함이 오히려 인간적이다.</t>
  </si>
  <si>
    <t>감독: Wolfgang Reitherman
주연: Bruce Reitherman, Phil Harris, Sebastian Cabot</t>
  </si>
  <si>
    <t>할리우드적 스펙터클 너머, 2016년의 시선으로 담아낸 모험의 이야기. 시간이 흐른 뒤에도 이 장면들은 기억 속에 선명히 남는다. 영상 언어로 포착된 인간의 이야기는 언제나 철학적 울림을 남긴다. 거칠지만 그 안에서도 인간의 흔적은 남는다.</t>
  </si>
  <si>
    <t>감독: Jang Yoo-jung
주연: 라미란, 김무열, 나문희</t>
  </si>
  <si>
    <t>한국 특유의 정서가 켜켜이 쌓인 듯, 2020년의 시선으로 담아낸 코미디의 이야기. 웃음은 고통을 소화하는 인간만의 방식이다. 우스운 것과 슬픈 것은 본래 같은 뿌리에서 자란다. 나름의 울림을 간직한 작품이다.</t>
  </si>
  <si>
    <t>감독: Belal Haidar</t>
  </si>
  <si>
    <t>광활한 대지의 이야기를 담아, 2014년의 시선으로 담아낸 로맨스의 이야기. 사랑은 자아의 경계가 흔들리는 순간에 찾아온다. 두 사람 사이의 침묵은 때로 말보다 더 많은 것을 말한다. 시간이 지날수록 더 깊이 읽히는 영화다.</t>
  </si>
  <si>
    <t>감독: 빌 콘돈
주연: 베네딕트 컴버배치, 다니엘 브륄, 안소니 마키</t>
  </si>
  <si>
    <t>할리우드적 스펙터클 너머, 2013년의 시선으로 담아낸 드라마의 이야기. 우리는 각자의 서사 안에 갇혀 서로를 오해한다. 모든 이야기는 상처의 다른 이름이다. 나름의 울림을 간직한 작품이다.</t>
  </si>
  <si>
    <t>감독: 자코 반 도르말
주연: Daniel Auteuil, Pascal Duquenne, 미우미우</t>
  </si>
  <si>
    <t>1996년의 시선으로 담아낸 드라마 이야기가 우리에게 묻는다. 인간의 고통이란 결국 타인과의 거리에서 비롯된다. 우리는 각자의 서사 안에 갇혀 서로를 오해한다. 오랫동안 여운이 남는 작품이다.</t>
  </si>
  <si>
    <t>감독: Kim Tae-hyoung
주연: 이성민, 남다름, 박해준</t>
  </si>
  <si>
    <t>한국 특유의 정서가 켜켜이 쌓인 듯, 2021년의 시선으로 담아낸 공포의 이야기. 우리가 두려워하는 것은 대개 우리 자신의 그림자다. 어둠은 우리 내면의 억압된 것들이 귀환하는 문이다. 거칠지만 그 안에서도 인간의 흔적은 남는다.</t>
  </si>
  <si>
    <t>감독: 中村義洋
주연: 타케우치 유코, 아베 히로시, 사카이 마사토</t>
  </si>
  <si>
    <t>섬세한 일본적 감수성으로, 2009년의 시선으로 담아낸 드라마의 이야기. 삶은 언제나 해석을 기다리는 텍스트다. 모든 이야기는 상처의 다른 이름이다. 평점이 담지 못하는 무언가가 이 영화에는 있다.</t>
  </si>
  <si>
    <t>감독: Philipp Kadelbach
주연: Volker Bruch, Tom Schilling, Katharina Schüttler</t>
  </si>
  <si>
    <t>드라마 형식 속에서, 독일 특유의 사유의 무게를 지니며, 2013년의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</si>
  <si>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마이클 윈터바텀
주연: 콜린 퍼스, Perla Haney-Jardine, 호프 데이비스</t>
  </si>
  <si>
    <t>영국적 절제와 냉소 사이에서, 2008년의 시선으로 담아낸 드라마의 이야기. 우리는 각자의 서사 안에 갇혀 서로를 오해한다. 인간의 고통이란 결국 타인과의 거리에서 비롯된다. 나름의 울림을 간직한 작품이다.</t>
  </si>
  <si>
    <t>감독: 캐스린 비글로
주연: 제시카 차스테인, 제이슨 클라크, 카일 챈들러</t>
  </si>
  <si>
    <t>할리우드적 스펙터클 너머, 2012년의 시선으로 담아낸 드라마의 이야기. 인간의 고통이란 결국 타인과의 거리에서 비롯된다. 우리는 각자의 서사 안에 갇혀 서로를 오해한다. 시간이 지날수록 더 깊이 읽히는 영화다.</t>
  </si>
  <si>
    <t>감독: Eric Newman, Noah Oppenheim
주연: 로버트 드 니로, 제시 플레먼스, 리지 캐플런</t>
  </si>
  <si>
    <t>드라마 형식 속에서, 할리우드적 스펙터클 너머, 2025년의 시선으로 담아낸 드라마의 이야기. 모든 이야기는 상처의 다른 이름이다. 인간의 고통이란 결국 타인과의 거리에서 비롯된다. 이 작품이 남기는 이미지는 어떤 방식으로든 기억에 새겨진다.</t>
  </si>
  <si>
    <t>감독: 이누도 잇신
주연: 히로스에 료코, 나카타니 미키, 기무라 다에</t>
  </si>
  <si>
    <t>섬세한 일본적 감수성으로, 2009년의 시선으로 담아낸 미스터리의 이야기. 수수께끼는 세계가 우리에게 던지는 철학적 도발이다. 알 수 없음 앞에서 인간은 비로소 겸손해진다. 흠이 있지만 진심이 담긴 시도였다.</t>
  </si>
  <si>
    <t>감독: 데이비드 프랭클
주연: 브라이언 크랜스턴, 아네트 베닝, 레인 윌슨</t>
  </si>
  <si>
    <t>할리우드적 스펙터클 너머, 2022년의 시선으로 담아낸 드라마의 이야기. 모든 이야기는 상처의 다른 이름이다. 인간의 고통이란 결국 타인과의 거리에서 비롯된다. 아쉬움이 남지만, 모든 시도는 의미를 갖는다.</t>
  </si>
  <si>
    <t>감독: 大九明子
주연: 마츠오카 마유, 渡辺大知, 이시바시 안나</t>
  </si>
  <si>
    <t>섬세한 일본적 감수성으로, 2017년의 시선으로 담아낸 코미디의 이야기. 가볍게 웃는 순간에도 삶의 무게는 그 그림자를 드리운다. 우스운 것과 슬픈 것은 본래 같은 뿌리에서 자란다. 나름의 울림을 간직한 작품이다.</t>
  </si>
  <si>
    <t>감독: 이안
주연: 윌 스미스, 메리 엘리자베스 윈스테드, 클라이브 오웬</t>
  </si>
  <si>
    <t>할리우드적 스펙터클 너머, 2019년의 시선으로 담아낸 액션의 이야기. 폭력의 언어 속에서도 인간은 존엄을 갈망한다. 육체의 한계에 도전하는 것은 곧 자아의 경계를 시험하는 일이다. 두고두고 다시 꺼내 볼 만한 작품이다.</t>
  </si>
  <si>
    <t>감독: 노아 바움백
주연: 조지 클루니, 애덤 샌들러, 로라 던</t>
  </si>
  <si>
    <t>할리우드적 스펙터클 너머, 2025년의 시선으로 담아낸 드라마의 이야기. 우리는 각자의 서사 안에 갇혀 서로를 오해한다. 모든 이야기는 상처의 다른 이름이다. 두고두고 다시 꺼내 볼 만한 작품이다.</t>
  </si>
  <si>
    <t>감독: David M. Rosenthal
주연: 아비게일 브레스린, 알렉산드로 니볼라, 엘리자베스 슈</t>
  </si>
  <si>
    <t>할리우드적 스펙터클 너머, 2010년의 시선으로 담아낸 드라마의 이야기. 우리는 각자의 서사 안에 갇혀 서로를 오해한다. 인간의 고통이란 결국 타인과의 거리에서 비롯된다. 이 작품이 남기는 질문은 쉽게 사라지지 않는다.</t>
  </si>
  <si>
    <t>감독: 폴 그린그래스
주연: 맷 데이먼, 토미 리 존스, 알리시아 비칸데르</t>
  </si>
  <si>
    <t>할리우드적 스펙터클 너머, 2016년의 시선으로 담아낸 액션의 이야기. 충돌은 세계가 변화를 요구하는 방식이다. 폭력의 언어 속에서도 인간은 존엄을 갈망한다. 이 작품이 남기는 질문은 쉽게 사라지지 않는다.</t>
  </si>
  <si>
    <t>감독: Peter Kassovitz
주연: 로빈 윌리엄스, 리에브 슈라이버, Hannah Taylor-Gordon</t>
  </si>
  <si>
    <t>할리우드적 스펙터클 너머, 1999년의 시선으로 담아낸 드라마의 이야기. 우리는 각자의 서사 안에 갇혀 서로를 오해한다. 인간의 고통이란 결국 타인과의 거리에서 비롯된다. 두고두고 다시 꺼내 볼 만한 작품이다.</t>
  </si>
  <si>
    <t>감독: 캐리 조지 후쿠나가
주연: 미아 바시코프스카, 마이클 패스벤더, 제이미 벨</t>
  </si>
  <si>
    <t>영국적 절제와 냉소 사이에서, 2011년의 시선으로 담아낸 드라마의 이야기. 모든 이야기는 상처의 다른 이름이다. 인간의 고통이란 결국 타인과의 거리에서 비롯된다. 아쉬움이 남지만, 모든 시도는 의미를 갖는다.</t>
  </si>
  <si>
    <t>감독: 가이 리치
주연: 매튜 매커너히, 찰리 허냄, 미셸 도커리</t>
  </si>
  <si>
    <t>영국적 절제와 냉소 사이에서, 2019년의 시선으로 담아낸 액션의 이야기. 폭력의 언어 속에서도 인간은 존엄을 갈망한다. 육체의 한계에 도전하는 것은 곧 자아의 경계를 시험하는 일이다. 한 번쯤 들여다볼 가치가 있는 이야기다.</t>
  </si>
  <si>
    <t>감독: 가이 리치
주연: 테오 제임스, 카야 스코델라리오, 다니엘 잉스</t>
  </si>
  <si>
    <t>드라마 형식 속에서, 영국적 절제와 냉소 사이에서, 2024년의 시선으로 담아낸 드라마의 이야기. 삶은 언제나 해석을 기다리는 텍스트다. 인간의 고통이란 결국 타인과의 거리에서 비롯된다. 평점이 담지 못하는 무언가가 이 영화에는 있다.</t>
  </si>
  <si>
    <t>감독: 데이비드 고든 그린
주연: 니콜라스 케이지, 타이 셰리던, Ronnie Gene Blevins</t>
  </si>
  <si>
    <t>할리우드적 스펙터클 너머, 2013년의 시선으로 담아낸 드라마의 이야기. 삶은 언제나 해석을 기다리는 텍스트다. 인간의 고통이란 결국 타인과의 거리에서 비롯된다. 나름의 울림을 간직한 작품이다.</t>
  </si>
  <si>
    <t>감독: 中野量太
주연: 아오이 유우, 타케우치 유코, 松原智恵子</t>
  </si>
  <si>
    <t>섬세한 일본적 감수성으로, 2019년의 시선으로 담아낸 드라마의 이야기. 모든 이야기는 상처의 다른 이름이다. 인간의 고통이란 결국 타인과의 거리에서 비롯된다. 이 작품이 남기는 질문은 쉽게 사라지지 않는다.</t>
  </si>
  <si>
    <t>감독: Noh Young-seok
주연: 전석호, 오태경, 최무성</t>
  </si>
  <si>
    <t>한국 특유의 정서가 켜켜이 쌓인 듯, 2013년의 시선으로 담아낸 드라마의 이야기. 우리는 각자의 서사 안에 갇혀 서로를 오해한다. 삶은 언제나 해석을 기다리는 텍스트다. 두고두고 다시 꺼내 볼 만한 작품이다.</t>
  </si>
  <si>
    <t>감독: 김석윤
주연: 김명민, 오달수, 이연희</t>
  </si>
  <si>
    <t>한국 특유의 정서가 켜켜이 쌓인 듯, 2014년의 시선으로 담아낸 코미디의 이야기. 우스운 것과 슬픈 것은 본래 같은 뿌리에서 자란다. 가볍게 웃는 순간에도 삶의 무게는 그 그림자를 드리운다. 오랫동안 여운이 남는 작품이다.</t>
  </si>
  <si>
    <t>감독: 김석윤
주연: 김명민, 오달수, 한지민</t>
  </si>
  <si>
    <t>한국 특유의 정서가 켜켜이 쌓인 듯, 2011년의 시선으로 담아낸 코미디의 이야기. 가볍게 웃는 순간에도 삶의 무게는 그 그림자를 드리운다. 우스운 것과 슬픈 것은 본래 같은 뿌리에서 자란다. 시간이 지날수록 더 깊이 읽히는 영화다.</t>
  </si>
  <si>
    <t>감독: 김석윤
주연: 김명민, 오달수, 김지원</t>
  </si>
  <si>
    <t>한국 특유의 정서가 켜켜이 쌓인 듯, 2017년의 시선으로 담아낸 코미디의 이야기. 유머 속에는 세계의 부조리를 견뎌내는 지혜가 담겨 있다. 우스운 것과 슬픈 것은 본래 같은 뿌리에서 자란다. 나름의 울림을 간직한 작품이다.</t>
  </si>
  <si>
    <t>감독: 데이비드 O. 러셀
주연: 제니퍼 로렌스, 로버트 드 니로, 브래들리 쿠퍼</t>
  </si>
  <si>
    <t>할리우드적 스펙터클 너머, 2015년의 시선으로 담아낸 드라마의 이야기. 모든 이야기는 상처의 다른 이름이다. 인간의 고통이란 결국 타인과의 거리에서 비롯된다. 나름의 울림을 간직한 작품이다.</t>
  </si>
  <si>
    <t>감독: 타무라 코타로
주연: 나카가와 타이시, 키요하라 카야, 미야모토 유메</t>
  </si>
  <si>
    <t>섬세한 일본적 감수성으로, 2020년의 시선으로 담아낸 로맨스의 이야기. 그리움이란 부재를 통해 존재를 확인하는 방식이다. 설렘은 불완전한 존재가 완전함을 향해 뻗는 손길이다. 오랫동안 여운이 남는 작품이다.</t>
  </si>
  <si>
    <t>감독: 타이카 와이티티
주연: 로먼 그리핀 데이비스, 토마신 맥켄지, 스칼렛 요한슨</t>
  </si>
  <si>
    <t>할리우드적 스펙터클 너머, 2019년의 시선으로 담아낸 코미디의 이야기. 우스운 것과 슬픈 것은 본래 같은 뿌리에서 자란다. 가볍게 웃는 순간에도 삶의 무게는 그 그림자를 드리운다. 오랫동안 여운이 남는 작품이다.</t>
  </si>
  <si>
    <t>감독: 크리스토프 발츠
주연: 크리스토프 발츠, 아네트 베닝, 바네사 레드그레이브</t>
  </si>
  <si>
    <t>할리우드적 스펙터클 너머, 2019년의 시선으로 담아낸 드라마의 이야기. 우리는 각자의 서사 안에 갇혀 서로를 오해한다. 모든 이야기는 상처의 다른 이름이다. 나름의 울림을 간직한 작품이다.</t>
  </si>
  <si>
    <t>감독: 토드 필립스
주연: 호아킨 피닉스, 로버트 드 니로, 재지 비츠</t>
  </si>
  <si>
    <t>감독: Florian Gallenberger
주연: Ulrich Tukur, Dagmar Manzel, 스티브 부세미</t>
  </si>
  <si>
    <t>광활한 대지의 이야기를 담아, 2009년의 시선으로 담아낸 드라마의 이야기. 우리는 각자의 서사 안에 갇혀 서로를 오해한다. 삶은 언제나 해석을 기다리는 텍스트다. 시간이 지날수록 더 깊이 읽히는 영화다.</t>
  </si>
  <si>
    <t>감독: 조나단 글레이저
주연: 크리스티안 프리에델, 산드라 휠러, Johann Karthaus</t>
  </si>
  <si>
    <t>영국적 절제와 냉소 사이에서, 2023년의 시선으로 담아낸 드라마의 이야기. 모든 이야기는 상처의 다른 이름이다. 우리는 각자의 서사 안에 갇혀 서로를 오해한다. 시간이 지날수록 더 깊이 읽히는 영화다.</t>
  </si>
  <si>
    <t>감독: 채드 스타헬스키
주연: 키아누 리브스, 미카엘 니크비스트, 알피 앨런</t>
  </si>
  <si>
    <t>할리우드적 스펙터클 너머, 2014년의 시선으로 담아낸 액션의 이야기. 생존의 욕망은 가장 원초적인 철학적 질문을 던진다. 육체의 한계에 도전하는 것은 곧 자아의 경계를 시험하는 일이다. 오랫동안 여운이 남는 작품이다.</t>
  </si>
  <si>
    <t>감독: 수오 마사유키
주연: 草刈民代, 야쿠쇼 코지, 아사노 타다노부</t>
  </si>
  <si>
    <t>섬세한 일본적 감수성으로, 2012년의 시선으로 담아낸 드라마의 이야기. 우리는 각자의 서사 안에 갇혀 서로를 오해한다. 삶은 언제나 해석을 기다리는 텍스트다. 한 번쯤 들여다볼 가치가 있는 이야기다.</t>
  </si>
  <si>
    <t>감독: 요시다 다이하치
주연: 미야자와 리에, 이케마츠 소스케, 田辺誠一</t>
  </si>
  <si>
    <t>섬세한 일본적 감수성으로, 2014년의 시선으로 담아낸 드라마의 이야기. 인간의 고통이란 결국 타인과의 거리에서 비롯된다. 우리는 각자의 서사 안에 갇혀 서로를 오해한다. 오랫동안 여운이 남는 작품이다.</t>
  </si>
  <si>
    <t>감독: Koh Hoon
주연: 안성기, 유진, 김혜성</t>
  </si>
  <si>
    <t>한국 특유의 정서가 켜켜이 쌓인 듯, 2019년의 시선으로 담아낸 드라마의 이야기. 인간의 고통이란 결국 타인과의 거리에서 비롯된다. 모든 이야기는 상처의 다른 이름이다. 시간이 지날수록 더 깊이 읽히는 영화다.</t>
  </si>
  <si>
    <t>감독: Álex Pina
주연: 우르술라 코르베로, Itziar Ituño, 알바로 모르테</t>
  </si>
  <si>
    <t>드라마 형식 속에서, 열정과 멜랑콜리가 교차하며, 2017년의 시선으로 담아낸 드라마의 이야기. 인간의 고통이란 결국 타인과의 거리에서 비롯된다. 삶은 언제나 해석을 기다리는 텍스트다. 평점이 담지 못하는 무언가가 이 영화에는 있다.</t>
  </si>
  <si>
    <t>드라마 형식 속에서, 열정과 멜랑콜리가 교차하며, 2017년의 시선으로 담아낸 드라마의 이야기. 삶은 언제나 해석을 기다리는 텍스트다. 모든 이야기는 상처의 다른 이름이다. 이 작품이 남기는 이미지는 어떤 방식으로든 기억에 새겨진다.</t>
  </si>
  <si>
    <t>드라마 형식 속에서, 열정과 멜랑콜리가 교차하며, 2019년의 시선으로 담아낸 드라마의 이야기. 인간의 고통이란 결국 타인과의 거리에서 비롯된다. 모든 이야기는 상처의 다른 이름이다. 평점이 담지 못하는 무언가가 이 영화에는 있다.</t>
  </si>
  <si>
    <t>드라마 형식 속에서, 열정과 멜랑콜리가 교차하며, 2020년의 시선으로 담아낸 드라마의 이야기. 삶은 언제나 해석을 기다리는 텍스트다. 우리는 각자의 서사 안에 갇혀 서로를 오해한다. 이 작품이 남기는 이미지는 어떤 방식으로든 기억에 새겨진다.</t>
  </si>
  <si>
    <t>주연: 우르술라 코르베로, 알바로 모르테, Itziar Ituño</t>
  </si>
  <si>
    <t>드라마 형식 속에서, 열정과 멜랑콜리가 교차하며, 2021년의 시선으로 담아낸 드라마의 이야기. 모든 이야기는 상처의 다른 이름이다. 우리는 각자의 서사 안에 갇혀 서로를 오해한다. 이 작품이 남기는 이미지는 어떤 방식으로든 기억에 새겨진다.</t>
  </si>
  <si>
    <t>감독: Kwon Hyuk-chan
주연: 소지섭, 김지원, 이종혁</t>
  </si>
  <si>
    <t>한국 특유의 정서가 켜켜이 쌓인 듯, 2014년의 시선으로 담아낸 드라마의 이야기. 모든 이야기는 상처의 다른 이름이다. 인간의 고통이란 결국 타인과의 거리에서 비롯된다. 흠이 있지만 진심이 담긴 시도였다.</t>
  </si>
  <si>
    <t>감독: 김지운
주연: 송강호, 이병헌, 정우성</t>
  </si>
  <si>
    <t>한국 특유의 정서가 켜켜이 쌓인 듯, 2008년의 시선으로 담아낸 액션의 이야기. 육체의 한계에 도전하는 것은 곧 자아의 경계를 시험하는 일이다. 생존의 욕망은 가장 원초적인 철학적 질문을 던진다. 완벽하지 않아도, 그 불완전함이 오히려 인간적이다.</t>
  </si>
  <si>
    <t>감독: Rupert Goold
주연: 르네 젤위거, 제시 버클리, 핀 위트록</t>
  </si>
  <si>
    <t>영국적 절제와 냉소 사이에서, 2019년의 시선으로 담아낸 드라마의 이야기. 모든 이야기는 상처의 다른 이름이다. 삶은 언제나 해석을 기다리는 텍스트다. 두고두고 다시 꺼내 볼 만한 작품이다.</t>
  </si>
  <si>
    <t>감독: 룰루 왕
주연: 니콜 키드먼, Sarayu Blue, 유지영</t>
  </si>
  <si>
    <t>감독: Niki Caro
주연: 제시카 차스테인, 다니엘 브륄, Johan Heldenbergh</t>
  </si>
  <si>
    <t>할리우드적 스펙터클 너머, 2017년의 시선으로 담아낸 드라마의 이야기. 삶은 언제나 해석을 기다리는 텍스트다. 모든 이야기는 상처의 다른 이름이다. 시간이 지날수록 더 깊이 읽히는 영화다.</t>
  </si>
  <si>
    <t>감독: 피터 위어
주연: 로빈 윌리엄스, Robert Sean Leonard, 에단 호크</t>
  </si>
  <si>
    <t>할리우드적 스펙터클 너머, 1989년의 시선으로 담아낸 드라마의 이야기. 삶은 언제나 해석을 기다리는 텍스트다. 모든 이야기는 상처의 다른 이름이다. 오랫동안 여운이 남는 작품이다.</t>
  </si>
  <si>
    <t>감독: SK Dale
주연: 메간 폭스, Eoin Macken, 어멜 아민</t>
  </si>
  <si>
    <t>감독: 水田伸生
주연: 이노우에 마오, 마츠자카 케이코, 타마야마 테츠지</t>
  </si>
  <si>
    <t>섬세한 일본적 감수성으로, 2012년의 시선으로 담아낸 드라마의 이야기. 인간의 고통이란 결국 타인과의 거리에서 비롯된다. 모든 이야기는 상처의 다른 이름이다. 이 작품이 남기는 이미지는 어떤 방식으로든 기억에 새겨진다.</t>
  </si>
  <si>
    <t>감독: Nora Ephron
주연: 메릴 스트립, 에이미 아담스, 스탠리 투치</t>
  </si>
  <si>
    <t>할리우드적 스펙터클 너머, 2009년의 시선으로 담아낸 드라마의 이야기. 인간의 고통이란 결국 타인과의 거리에서 비롯된다. 모든 이야기는 상처의 다른 이름이다. 두고두고 다시 꺼내 볼 만한 작품이다.</t>
  </si>
  <si>
    <t>감독: Guillem Morales
주연: Belén Rueda, Lluís Homar, Pablo Derqui</t>
  </si>
  <si>
    <t>열정과 멜랑콜리가 교차하며, 2010년의 시선으로 담아낸 스릴러의 이야기. 공포는 우리가 통제할 수 없는 것들에 대한 솔직한 고백이다. 진실은 언제나 우리가 감당할 수 없는 형태로 찾아온다. 완벽하지 않아도, 그 불완전함이 오히려 인간적이다.</t>
  </si>
  <si>
    <t>감독: Mark Herman
주연: 에이사 버터필드, 베라 파미가, 데이비드 슐리스</t>
  </si>
  <si>
    <t>영국적 절제와 냉소 사이에서, 2008년의 시선으로 담아낸 드라마의 이야기. 삶은 언제나 해석을 기다리는 텍스트다. 모든 이야기는 상처의 다른 이름이다. 거칠지만 그 안에서도 인간의 흔적은 남는다.</t>
  </si>
  <si>
    <t>감독: Lee Do-yoon
주연: 주지훈, 추영우, 하영</t>
  </si>
  <si>
    <t>드라마 형식 속에서, 한국 특유의 정서가 켜켜이 쌓인 듯, 2025년의 시선으로 담아낸 드라마의 이야기. 삶은 언제나 해석을 기다리는 텍스트다. 인간의 고통이란 결국 타인과의 거리에서 비롯된다. 이 작품이 남기는 이미지는 어떤 방식으로든 기억에 새겨진다.</t>
  </si>
  <si>
    <t>감독: 콜린 트레보로
주연: 크리스 프랫, 브라이스 댈러스 하워드, 이르판 칸</t>
  </si>
  <si>
    <t>할리우드적 스펙터클 너머, 2015년의 시선으로 담아낸 액션의 이야기. 폭력의 언어 속에서도 인간은 존엄을 갈망한다. 육체의 한계에 도전하는 것은 곧 자아의 경계를 시험하는 일이다. 한 번쯤 들여다볼 가치가 있는 이야기다.</t>
  </si>
  <si>
    <t>감독: 콜린 트레보로
주연: 크리스 프랫, 브라이스 댈러스 하워드, 로라 던</t>
  </si>
  <si>
    <t>할리우드적 스펙터클 너머, 2022년의 시선으로 담아낸 액션의 이야기. 생존의 욕망은 가장 원초적인 철학적 질문을 던진다. 폭력의 언어 속에서도 인간은 존엄을 갈망한다. 완벽하지 않아도, 그 불완전함이 오히려 인간적이다.</t>
  </si>
  <si>
    <t>감독: 가랫 에드워즈
주연: 스칼렛 요한슨, 마허샬라 알리, 조나단 베일리</t>
  </si>
  <si>
    <t>할리우드적 스펙터클 너머, 2025년의 시선으로 담아낸 액션의 이야기. 폭력의 언어 속에서도 인간은 존엄을 갈망한다. 육체의 한계에 도전하는 것은 곧 자아의 경계를 시험하는 일이다. 완벽하지 않아도, 그 불완전함이 오히려 인간적이다.</t>
  </si>
  <si>
    <t>감독: 후안 안토니오 바요나
주연: 크리스 프랫, 브라이스 댈러스 하워드, 레이프 스폴</t>
  </si>
  <si>
    <t>할리우드적 스펙터클 너머, 2018년의 시선으로 담아낸 액션의 이야기. 생존의 욕망은 가장 원초적인 철학적 질문을 던진다. 폭력의 언어 속에서도 인간은 존엄을 갈망한다. 두고두고 다시 꺼내 볼 만한 작품이다.</t>
  </si>
  <si>
    <t>감독: Jake Kasdan
주연: 드웨인 존슨, 케빈 하트, 잭 블랙</t>
  </si>
  <si>
    <t>할리우드적 스펙터클 너머, 2019년의 시선으로 담아낸 모험의 이야기. 우리는 스크린 앞에 앉아 타인의 삶을 통해 우리 자신을 본다. 영상 언어로 포착된 인간의 이야기는 언제나 철학적 울림을 남긴다. 나름의 울림을 간직한 작품이다.</t>
  </si>
  <si>
    <t>할리우드적 스펙터클 너머, 2017년의 시선으로 담아낸 모험의 이야기. 우리는 스크린 앞에 앉아 타인의 삶을 통해 우리 자신을 본다. 이 작품은 단순한 오락을 넘어 삶의 어떤 단면을 응시하게 한다. 오랫동안 여운이 남는 작품이다.</t>
  </si>
  <si>
    <t>감독: Garth Davis
주연: 루니 마라, 호아킨 피닉스, 치웨텔 에지오포</t>
  </si>
  <si>
    <t>한국 특유의 정서가 켜켜이 쌓인 듯, 2018년의 시선으로 담아낸 드라마의 이야기. 모든 이야기는 상처의 다른 이름이다. 우리는 각자의 서사 안에 갇혀 서로를 오해한다. 시간이 지날수록 더 깊이 읽히는 영화다.</t>
  </si>
  <si>
    <t>감독: 존 터투로
주연: 존 터투로, 우디 앨런, Vanessa Paradis</t>
  </si>
  <si>
    <t>할리우드적 스펙터클 너머, 2013년의 시선으로 담아낸 코미디의 이야기. 웃음은 고통을 소화하는 인간만의 방식이다. 유머 속에는 세계의 부조리를 견뎌내는 지혜가 담겨 있다. 나름의 울림을 간직한 작품이다.</t>
  </si>
  <si>
    <t>감독: 비간
주연: 탕웨이, 황각, 장애가</t>
  </si>
  <si>
    <t>할리우드적 스펙터클 너머, 2018년의 시선으로 담아낸 SF의 이야기. 우주의 광대함 앞에서 인간의 질문은 더욱 깊어진다. 미래를 상상하는 것은 현재를 비판하는 가장 우회적인 방법이다. 흠이 있지만 진심이 담긴 시도였다.</t>
  </si>
  <si>
    <t>감독: Lee Jang-hoon
주연: 소지섭, 손예진, Kim Ji-hwan</t>
  </si>
  <si>
    <t>한국 특유의 정서가 켜켜이 쌓인 듯, 2018년의 시선으로 담아낸 로맨스의 이야기. 두 사람 사이의 침묵은 때로 말보다 더 많은 것을 말한다. 그리움이란 부재를 통해 존재를 확인하는 방식이다. 한 번쯤 들여다볼 가치가 있는 이야기다.</t>
  </si>
  <si>
    <t>감독: 도이 노부히로
주연: 타케우치 유코, 나카무라 시도, 武井証</t>
  </si>
  <si>
    <t>섬세한 일본적 감수성으로, 2004년의 시선으로 담아낸 로맨스의 이야기. 두 사람 사이의 침묵은 때로 말보다 더 많은 것을 말한다. 그리움이란 부재를 통해 존재를 확인하는 방식이다. 시간이 지날수록 더 깊이 읽히는 영화다.</t>
  </si>
  <si>
    <t>감독: Boo Ji-young
주연: 공효진, 신민아, 추귀정</t>
  </si>
  <si>
    <t>한국 특유의 정서가 켜켜이 쌓인 듯, 2008년의 시선으로 담아낸 로맨스의 이야기. 사랑은 자아의 경계가 흔들리는 순간에 찾아온다. 두 사람 사이의 침묵은 때로 말보다 더 많은 것을 말한다. 완벽하지 않아도, 그 불완전함이 오히려 인간적이다.</t>
  </si>
  <si>
    <t>감독: Michael Grandage
주연: 콜린 퍼스, 주드 로, 니콜 키드먼</t>
  </si>
  <si>
    <t>감독: 켄 로치
주연: Barry Ward, 시몬 커비, Jim Norton</t>
  </si>
  <si>
    <t>2014년의 시선으로 담아낸 드라마 이야기가 우리에게 묻는다. 인간의 고통이란 결국 타인과의 거리에서 비롯된다. 우리는 각자의 서사 안에 갇혀 서로를 오해한다. 시간이 지날수록 더 깊이 읽히는 영화다.</t>
  </si>
  <si>
    <t>감독: 이수연
주연: 주지훈, 한효주, 이희준</t>
  </si>
  <si>
    <t>드라마 형식 속에서, 한국 특유의 정서가 켜켜이 쌓인 듯, 2024년의 시선으로 담아낸 드라마의 이야기. 삶은 언제나 해석을 기다리는 텍스트다. 우리는 각자의 서사 안에 갇혀 서로를 오해한다. 평점이 담지 못하는 무언가가 이 영화에는 있다.</t>
  </si>
  <si>
    <t>감독: 피터 패럴리
주연: 잭 에프론, 러셀 크로우, 카일 앨런</t>
  </si>
  <si>
    <t>할리우드적 스펙터클 너머, 2022년의 시선으로 담아낸 전쟁의 이야기. 전쟁은 인간의 이성이 멈추는 지점에서 시작된다. 총성은 멈추어도 그 상처는 세대를 넘어 흐른다. 시간이 지날수록 더 깊이 읽히는 영화다.</t>
  </si>
  <si>
    <t>감독: 아미르 칸
주연: Darsheel Safary, 아미르 칸, Tisca Chopra</t>
  </si>
  <si>
    <t>2007년의 시선으로 담아낸 드라마 이야기가 우리에게 묻는다. 모든 이야기는 상처의 다른 이름이다. 인간의 고통이란 결국 타인과의 거리에서 비롯된다. 시간이 지날수록 더 깊이 읽히는 영화다.</t>
  </si>
  <si>
    <t>감독: 딘 데블린
주연: 제라드 버틀러, 알렉산드라 마리아 라라, 짐 스터지스</t>
  </si>
  <si>
    <t>할리우드적 스펙터클 너머, 2017년의 시선으로 담아낸 액션의 이야기. 육체의 한계에 도전하는 것은 곧 자아의 경계를 시험하는 일이다. 충돌은 세계가 변화를 요구하는 방식이다. 두고두고 다시 꺼내 볼 만한 작품이다.</t>
  </si>
  <si>
    <t>감독: 연상호, 최규석
주연: 김성철, 김현주, 김신록</t>
  </si>
  <si>
    <t>드라마, 판타지, 스릴러</t>
  </si>
  <si>
    <t>드라마 형식 속에서, 한국 특유의 정서가 켜켜이 쌓인 듯, 2024년의 시선으로 담아낸 드라마의 이야기. 모든 이야기는 상처의 다른 이름이다. 인간의 고통이란 결국 타인과의 거리에서 비롯된다. 이 작품이 남기는 이미지는 어떤 방식으로든 기억에 새겨진다.</t>
  </si>
  <si>
    <t>감독: 프랜시스 포드 코폴라
주연: 마틴 쉰, 말론 브란도, Frederic Forrest</t>
  </si>
  <si>
    <t>할리우드적 스펙터클 너머, 1979년의 시선으로 담아낸 전쟁의 이야기. 전쟁을 기억하는 것은 반복하지 않기 위한 고통스러운 의무다. 폐허 속에서도 존엄을 지키려는 의지가 역사를 만든다. 시간이 지날수록 더 깊이 읽히는 영화다.</t>
  </si>
  <si>
    <t>감독: David Guggenheim
주연: 키퍼 서덜랜드, 매기 큐, 칼 펜</t>
  </si>
  <si>
    <t>감독: Tae-heui Kim
주연: 지진희, 허준호, 이준혁</t>
  </si>
  <si>
    <t>드라마 형식 속에서, 할리우드적 스펙터클 너머, 2019년의 시선으로 담아낸 드라마의 이야기. 우리는 각자의 서사 안에 갇혀 서로를 오해한다. 삶은 언제나 해석을 기다리는 텍스트다. 이 작품이 남기는 이미지는 어떤 방식으로든 기억에 새겨진다.</t>
  </si>
  <si>
    <t>감독: 若松節朗
주연: 와타나베 켄, 스즈키 쿄카, 쿠사부에 미츠코</t>
  </si>
  <si>
    <t>202분</t>
  </si>
  <si>
    <t>감독: Kim Yong-hoon
주연: 전도연, 정우성, 배성우</t>
  </si>
  <si>
    <t>한국 특유의 정서가 켜켜이 쌓인 듯, 2020년의 시선으로 담아낸 범죄의 이야기. 죄란 사회가 만든 경계를 넘는 행위이자 그 경계에 대한 질문이다. 욕망은 언제나 질서보다 먼저 존재했다. 두고두고 다시 꺼내 볼 만한 작품이다.</t>
  </si>
  <si>
    <t>감독: 篠原哲雄
주연: 츠츠미 신이치, 오오사와 타카오, 岡本綾</t>
  </si>
  <si>
    <t>섬세한 일본적 감수성으로, 2006년의 시선으로 담아낸 드라마의 이야기. 인간의 고통이란 결국 타인과의 거리에서 비롯된다. 우리는 각자의 서사 안에 갇혀 서로를 오해한다. 평점이 담지 못하는 무언가가 이 영화에는 있다.</t>
  </si>
  <si>
    <t>감독: 장이머우
주연: 크리스찬 베일, 예니, 佟大为</t>
  </si>
  <si>
    <t>광활한 대지의 이야기를 담아, 2011년의 시선으로 담아낸 드라마의 이야기. 우리는 각자의 서사 안에 갇혀 서로를 오해한다. 인간의 고통이란 결국 타인과의 거리에서 비롯된다. 이 작품이 남기는 질문은 쉽게 사라지지 않는다.</t>
  </si>
  <si>
    <t>감독: 샐리 포터
주연: 엘르 패닝, Alice Englert, 크리스티나 헨드릭스</t>
  </si>
  <si>
    <t>영국적 절제와 냉소 사이에서, 2012년의 시선으로 담아낸 드라마의 이야기. 인간의 고통이란 결국 타인과의 거리에서 비롯된다. 삶은 언제나 해석을 기다리는 텍스트다. 나름의 울림을 간직한 작품이다.</t>
  </si>
  <si>
    <t>감독: 마이클 베이
주연: 벤 애플렉, 케이트 베킨세일, 조쉬 하트넷</t>
  </si>
  <si>
    <t>183분</t>
  </si>
  <si>
    <t>할리우드적 스펙터클 너머, 2001년의 시선으로 담아낸 전쟁의 이야기. 전쟁은 인간의 이성이 멈추는 지점에서 시작된다. 폐허 속에서도 존엄을 지키려는 의지가 역사를 만든다. 오랫동안 여운이 남는 작품이다.</t>
  </si>
  <si>
    <t>감독: 고레에다 히로카즈
주연: 前田航基, 前田旺志郎, 大塚寧々</t>
  </si>
  <si>
    <t>섬세한 일본적 감수성으로, 2011년의 시선으로 담아낸 드라마의 이야기. 모든 이야기는 상처의 다른 이름이다. 우리는 각자의 서사 안에 갇혀 서로를 오해한다. 오랫동안 여운이 남는 작품이다.</t>
  </si>
  <si>
    <t>감독: Lee Sang-min
주연: 이선, Im Hak-soon</t>
  </si>
  <si>
    <t>한국 특유의 정서가 켜켜이 쌓인 듯, 2016년의 시선으로 담아낸 드라마의 이야기. 모든 이야기는 상처의 다른 이름이다. 삶은 언제나 해석을 기다리는 텍스트다. 이 작품이 남기는 질문은 쉽게 사라지지 않는다.</t>
  </si>
  <si>
    <t>감독: Park Je-bum
주연: 이유영, 강신일, 공민정</t>
  </si>
  <si>
    <t>한국 특유의 정서가 켜켜이 쌓인 듯, 2019년의 시선으로 담아낸 드라마의 이야기. 모든 이야기는 상처의 다른 이름이다. 인간의 고통이란 결국 타인과의 거리에서 비롯된다. 시간이 지날수록 더 깊이 읽히는 영화다.</t>
  </si>
  <si>
    <t>감독: 李闘士男
주연: 에이쿠라 나나, 야스다 켄, 오타니 료헤이</t>
  </si>
  <si>
    <t>섬세한 일본적 감수성으로, 2018년의 시선으로 담아낸 코미디의 이야기. 유머 속에는 세계의 부조리를 견뎌내는 지혜가 담겨 있다. 우스운 것과 슬픈 것은 본래 같은 뿌리에서 자란다. 완벽하지 않아도, 그 불완전함이 오히려 인간적이다.</t>
  </si>
  <si>
    <t>감독: 방은진
주연: 전도연, 고수, Kang Ji-woo</t>
  </si>
  <si>
    <t>한국 특유의 정서가 켜켜이 쌓인 듯, 2013년의 시선으로 담아낸 드라마의 이야기. 모든 이야기는 상처의 다른 이름이다. 우리는 각자의 서사 안에 갇혀 서로를 오해한다. 이 작품이 남기는 질문은 쉽게 사라지지 않는다.</t>
  </si>
  <si>
    <t>감독: 장이머우
주연: 장쯔이, Zheng Hao, Yulian Zhao</t>
  </si>
  <si>
    <t>광활한 대지의 이야기를 담아, 2000년의 시선으로 담아낸 드라마의 이야기. 우리는 각자의 서사 안에 갇혀 서로를 오해한다. 인간의 고통이란 결국 타인과의 거리에서 비롯된다. 두고두고 다시 꺼내 볼 만한 작품이다.</t>
  </si>
  <si>
    <t>감독: Jin Ho Choi
주연: 조재현, 윤계상, 박인환</t>
  </si>
  <si>
    <t>한국 특유의 정서가 켜켜이 쌓인 듯, 2009년의 시선으로 담아낸 드라마의 이야기. 우리는 각자의 서사 안에 갇혀 서로를 오해한다. 모든 이야기는 상처의 다른 이름이다. 흠이 있지만 진심이 담긴 시도였다.</t>
  </si>
  <si>
    <t>감독: 한종훈
주연: 김희정, 서태화, 서은아</t>
  </si>
  <si>
    <t>한국 특유의 정서가 켜켜이 쌓인 듯, 2013년의 시선으로 담아낸 드라마의 이야기. 모든 이야기는 상처의 다른 이름이다. 인간의 고통이란 결국 타인과의 거리에서 비롯된다. 아쉬움이 남지만, 모든 시도는 의미를 갖는다.</t>
  </si>
  <si>
    <t>감독: 미이케 다카시
주연: 마츠시마 나나코, 후지와라 타츠야, 오오사와 타카오</t>
  </si>
  <si>
    <t>섬세한 일본적 감수성으로, 2013년의 시선으로 담아낸 액션의 이야기. 육체의 한계에 도전하는 것은 곧 자아의 경계를 시험하는 일이다. 충돌은 세계가 변화를 요구하는 방식이다. 거칠지만 그 안에서도 인간의 흔적은 남는다.</t>
  </si>
  <si>
    <t>감독: Kim Joung-hoon
주연: 이선균, 최강희, 오정세</t>
  </si>
  <si>
    <t>한국 특유의 정서가 켜켜이 쌓인 듯, 2010년의 시선으로 담아낸 코미디의 이야기. 가볍게 웃는 순간에도 삶의 무게는 그 그림자를 드리운다. 웃음은 고통을 소화하는 인간만의 방식이다. 오랫동안 여운이 남는 작품이다.</t>
  </si>
  <si>
    <t>감독: Kim Kwang-sik
주연: 김강우, 정진영, 고창석</t>
  </si>
  <si>
    <t>한국 특유의 정서가 켜켜이 쌓인 듯, 2013년의 시선으로 담아낸 스릴러의 이야기. 불안이란 현실이 균열을 드러내는 순간에 스며든다. 긴장은 존재가 위협받을 때 가장 선명하게 빛난다. 한 번쯤 들여다볼 가치가 있는 이야기다.</t>
  </si>
  <si>
    <t>감독: 로만 폴란스키
주연: 잭 니콜슨, 페이 더너웨이, 존 휴스턴</t>
  </si>
  <si>
    <t>한국 특유의 정서가 켜켜이 쌓인 듯, 2014년의 시선으로 담아낸 범죄의 이야기. 어둠 속에서도 인간은 스스로를 정당화하려 한다. 욕망은 언제나 질서보다 먼저 존재했다. 흠이 있지만 진심이 담긴 시도였다.</t>
  </si>
  <si>
    <t>감독: 성룡
주연: 성룡, 姚星彤, 권상우</t>
  </si>
  <si>
    <t>광활한 대지의 이야기를 담아, 2012년의 시선으로 담아낸 액션의 이야기. 육체의 한계에 도전하는 것은 곧 자아의 경계를 시험하는 일이다. 생존의 욕망은 가장 원초적인 철학적 질문을 던진다. 한 번쯤 들여다볼 가치가 있는 이야기다.</t>
  </si>
  <si>
    <t>감독: 줄리안 파리노
주연: 베네딕트 컴버배치, 켈리 맥도널드, 스티븐 캠벨 무어</t>
  </si>
  <si>
    <t>영국적 절제와 냉소 사이에서, 2017년의 시선으로 담아낸 드라마의 이야기. 우리는 각자의 서사 안에 갇혀 서로를 오해한다. 인간의 고통이란 결국 타인과의 거리에서 비롯된다. 시간이 지날수록 더 깊이 읽히는 영화다.</t>
  </si>
  <si>
    <t>감독: 다니엘 에스피노사
주연: 톰 하디, 게리 올드만, 누미 라파스</t>
  </si>
  <si>
    <t>할리우드적 스펙터클 너머, 2015년의 시선으로 담아낸 범죄의 이야기. 법과 도덕 사이의 틈새에서 인간의 본성이 노출된다. 욕망은 언제나 질서보다 먼저 존재했다. 시간이 지날수록 더 깊이 읽히는 영화다.</t>
  </si>
  <si>
    <t>감독: 김초희
주연: 강말금, 윤여정, 김영민</t>
  </si>
  <si>
    <t>한국 특유의 정서가 켜켜이 쌓인 듯, 2019년의 시선으로 담아낸 드라마의 이야기. 인간의 고통이란 결국 타인과의 거리에서 비롯된다. 모든 이야기는 상처의 다른 이름이다. 두고두고 다시 꺼내 볼 만한 작품이다.</t>
  </si>
  <si>
    <t>감독: 마이크 니콜스
주연: 톰 행크스, 줄리아 로버츠, 필립 세이모어 호프만</t>
  </si>
  <si>
    <t>할리우드적 스펙터클 너머, 2007년의 시선으로 담아낸 드라마의 이야기. 인간의 고통이란 결국 타인과의 거리에서 비롯된다. 모든 이야기는 상처의 다른 이름이다. 아쉬움이 남지만, 모든 시도는 의미를 갖는다.</t>
  </si>
  <si>
    <t>감독: Fredrik Bond
주연: 샤이아 라보프, 에반 레이첼 우드, 매즈 미켈슨</t>
  </si>
  <si>
    <t>할리우드적 스펙터클 너머, 2013년의 시선으로 담아낸 액션의 이야기. 생존의 욕망은 가장 원초적인 철학적 질문을 던진다. 폭력의 언어 속에서도 인간은 존엄을 갈망한다. 흠이 있지만 진심이 담긴 시도였다.</t>
  </si>
  <si>
    <t>감독: 김성훈
주연: 현빈, 장동건, 조우진</t>
  </si>
  <si>
    <t>한국 특유의 정서가 켜켜이 쌓인 듯, 2018년의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</si>
  <si>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Felix Herngren
주연: Robert Gustafsson, Iwar Wiklander, David Wiberg</t>
  </si>
  <si>
    <t>2013년의 시선으로 담아낸 코미디 이야기가 우리에게 묻는다. 유머 속에는 세계의 부조리를 견뎌내는 지혜가 담겨 있다. 가볍게 웃는 순간에도 삶의 무게는 그 그림자를 드리운다. 이 작품이 남기는 질문은 쉽게 사라지지 않는다.</t>
  </si>
  <si>
    <t>감독: Lee Deok-hui
주연: 임창정, 안내상, 정성화</t>
  </si>
  <si>
    <t>한국 특유의 정서가 켜켜이 쌓인 듯, 2013년의 시선으로 담아낸 드라마의 이야기. 인간의 고통이란 결국 타인과의 거리에서 비롯된다. 우리는 각자의 서사 안에 갇혀 서로를 오해한다. 한 번쯤 들여다볼 가치가 있는 이야기다.</t>
  </si>
  <si>
    <t>감독: Cho Young-jun
주연: 고두심, 김성균, 유선</t>
  </si>
  <si>
    <t>한국 특유의 정서가 켜켜이 쌓인 듯, 2017년의 시선으로 담아낸 드라마의 이야기. 모든 이야기는 상처의 다른 이름이다. 인간의 고통이란 결국 타인과의 거리에서 비롯된다. 이 작품이 남기는 질문은 쉽게 사라지지 않는다.</t>
  </si>
  <si>
    <t>감독: Brian Percival
주연: 제프리 러쉬, 소피 넬리스, 에밀리 왓슨</t>
  </si>
  <si>
    <t>할리우드적 스펙터클 너머, 2013년의 시선으로 담아낸 드라마의 이야기. 모든 이야기는 상처의 다른 이름이다. 인간의 고통이란 결국 타인과의 거리에서 비롯된다. 완벽하지 않아도, 그 불완전함이 오히려 인간적이다.</t>
  </si>
  <si>
    <t>감독: 루카 구아다니노
주연: 젠데이아, 마이크 파이스트, 조쉬 오코너</t>
  </si>
  <si>
    <t>할리우드적 스펙터클 너머, 2024년의 시선으로 담아낸 드라마의 이야기. 우리는 각자의 서사 안에 갇혀 서로를 오해한다. 삶은 언제나 해석을 기다리는 텍스트다. 이 작품이 남기는 질문은 쉽게 사라지지 않는다.</t>
  </si>
  <si>
    <t>감독: 김용완
주연: 마동석, 권율, 한예리</t>
  </si>
  <si>
    <t>한국 특유의 정서가 켜켜이 쌓인 듯, 2018년의 시선으로 담아낸 드라마의 이야기. 우리는 각자의 서사 안에 갇혀 서로를 오해한다. 모든 이야기는 상처의 다른 이름이다. 나름의 울림을 간직한 작품이다.</t>
  </si>
  <si>
    <t>감독: Randall Wallace
주연: 그렉 키니어, 켈리 라일리, Connor Corum</t>
  </si>
  <si>
    <t>할리우드적 스펙터클 너머, 2014년의 시선으로 담아낸 드라마의 이야기. 우리는 각자의 서사 안에 갇혀 서로를 오해한다. 삶은 언제나 해석을 기다리는 텍스트다. 오랫동안 여운이 남는 작품이다.</t>
  </si>
  <si>
    <t>감독: 新城毅彦
주연: 오오사와 타카오, 伊東美咲, 川島海荷</t>
  </si>
  <si>
    <t>섬세한 일본적 감수성으로, 2007년의 시선으로 담아낸 드라마의 이야기. 삶은 언제나 해석을 기다리는 텍스트다. 모든 이야기는 상처의 다른 이름이다. 나름의 울림을 간직한 작품이다.</t>
  </si>
  <si>
    <t>감독: Makoto Kumazawa
주연: 아베 히로시, 미야우치 히토미, 美村里江</t>
  </si>
  <si>
    <t>섬세한 일본적 감수성으로, 2011년의 시선으로 담아낸 드라마의 이야기. 인간의 고통이란 결국 타인과의 거리에서 비롯된다. 삶은 언제나 해석을 기다리는 텍스트다. 이 작품이 남기는 이미지는 어떤 방식으로든 기억에 새겨진다.</t>
  </si>
  <si>
    <t>감독: 長澤雅彦
주연: 加藤ローサ, 徳井義実, 河原さぶ</t>
  </si>
  <si>
    <t>섬세한 일본적 감수성으로, 2008년의 시선으로 담아낸 드라마의 이야기. 인간의 고통이란 결국 타인과의 거리에서 비롯된다. 삶은 언제나 해석을 기다리는 텍스트다. 완벽하지 않아도, 그 불완전함이 오히려 인간적이다.</t>
  </si>
  <si>
    <t>감독: 篠原哲雄
주연: 타케우치 유코, 타마야마 테츠지, 香里奈</t>
  </si>
  <si>
    <t>섬세한 일본적 감수성으로, 2004년의 시선으로 담아낸 드라마의 이야기. 인간의 고통이란 결국 타인과의 거리에서 비롯된다. 삶은 언제나 해석을 기다리는 텍스트다. 이 작품이 남기는 질문은 쉽게 사라지지 않는다.</t>
  </si>
  <si>
    <t>감독: Min Joon-ki
주연: 박중훈, 김승우, 황정민</t>
  </si>
  <si>
    <t>한국 특유의 정서가 켜켜이 쌓인 듯, 2005년의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</si>
  <si>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대런 아로노프스키
주연: 휴 잭맨, 레이첼 와이즈, 앨런 버스틴</t>
  </si>
  <si>
    <t>할리우드적 스펙터클 너머, 2007년의 시선으로 담아낸 로맨스의 이야기. 설렘은 불완전한 존재가 완전함을 향해 뻗는 손길이다. 두 사람 사이의 침묵은 때로 말보다 더 많은 것을 말한다. 흠이 있지만 진심이 담긴 시도였다.</t>
  </si>
  <si>
    <t>감독: 허진호
주연: 최민식, 한석규, 신구</t>
  </si>
  <si>
    <t>한국 특유의 정서가 켜켜이 쌓인 듯, 2018년의 시선으로 담아낸 사극의 이야기. 전통과 변화의 충돌 속에서 인간의 본질이 드러난다. 시대의 억압 속에서도 인간의 욕망과 존엄은 꺾이지 않는다. 두고두고 다시 꺼내 볼 만한 작품이다.</t>
  </si>
  <si>
    <t>감독: Erik Poppe
주연: 쥘리에트 비노쉬, 니콜라이 코스테르발다우, Lauryn Canny</t>
  </si>
  <si>
    <t>2013년의 시선으로 담아낸 드라마 이야기가 우리에게 묻는다. 삶은 언제나 해석을 기다리는 텍스트다. 모든 이야기는 상처의 다른 이름이다. 이 작품이 남기는 질문은 쉽게 사라지지 않는다.</t>
  </si>
  <si>
    <t>감독: 寒竹ゆり
주연: 사사키 노조미, 타니하라 쇼스케, 山本ひかる</t>
  </si>
  <si>
    <t>섬세한 일본적 감수성으로, 2009년의 시선으로 담아낸 드라마의 이야기. 우리는 각자의 서사 안에 갇혀 서로를 오해한다. 모든 이야기는 상처의 다른 이름이다. 시간이 지날수록 더 깊이 읽히는 영화다.</t>
  </si>
  <si>
    <t>감독: Justin Chadwick
주연: 나탈리 포트만, 스칼렛 요한슨, 에릭 배너</t>
  </si>
  <si>
    <t>영국적 절제와 냉소 사이에서, 2008년의 시선으로 담아낸 드라마의 이야기. 우리는 각자의 서사 안에 갇혀 서로를 오해한다. 인간의 고통이란 결국 타인과의 거리에서 비롯된다. 오랫동안 여운이 남는 작품이다.</t>
  </si>
  <si>
    <t>감독: Farhan Akhtar
주연: 샤 룩 칸, 프리양카 초프라, Boman Irani</t>
  </si>
  <si>
    <t>2011년의 시선으로 담아낸 코미디 이야기가 우리에게 묻는다. 유머 속에는 세계의 부조리를 견뎌내는 지혜가 담겨 있다. 웃음은 고통을 소화하는 인간만의 방식이다. 완벽하지 않아도, 그 불완전함이 오히려 인간적이다.</t>
  </si>
  <si>
    <t>감독: 小林義則
주연: 타마키 히로시, 堂本光一, 카츠무라 마사노부</t>
  </si>
  <si>
    <t>섬세한 일본적 감수성으로, 2016년의 시선으로 담아낸 미스터리의 이야기. 알 수 없음 앞에서 인간은 비로소 겸손해진다. 수수께끼는 세계가 우리에게 던지는 철학적 도발이다. 한 번쯤 들여다볼 가치가 있는 이야기다.</t>
  </si>
  <si>
    <t>광활한 대지의 이야기를 담아, 2014년의 시선으로 담아낸 드라마의 이야기. 삶은 언제나 해석을 기다리는 텍스트다. 우리는 각자의 서사 안에 갇혀 서로를 오해한다. 이 작품이 남기는 질문은 쉽게 사라지지 않는다.</t>
  </si>
  <si>
    <t>감독: 이해준, 이해영
주연: 류덕환, 백윤식, 박영서</t>
  </si>
  <si>
    <t>한국 특유의 정서가 켜켜이 쌓인 듯, 2006년의 시선으로 담아낸 드라마의 이야기. 인간의 고통이란 결국 타인과의 거리에서 비롯된다. 삶은 언제나 해석을 기다리는 텍스트다. 오랫동안 여운이 남는 작품이다.</t>
  </si>
  <si>
    <t>감독: 降旗康男
주연: 타카쿠라 켄, 히로스에 료코, 요시오카 히데타카</t>
  </si>
  <si>
    <t>섬세한 일본적 감수성으로, 1999년의 시선으로 담아낸 드라마의 이야기. 삶은 언제나 해석을 기다리는 텍스트다. 모든 이야기는 상처의 다른 이름이다. 두고두고 다시 꺼내 볼 만한 작품이다.</t>
  </si>
  <si>
    <t>감독: 錦織良成
주연: 나카이 키이치, 高島礼子, 本仮屋ユイカ</t>
  </si>
  <si>
    <t>감독: 츠카하라 아유코
주연: 마츠 다카코, 마츠무라 호쿠토, 요시오카 리호</t>
  </si>
  <si>
    <t>섬세한 일본적 감수성으로, 2025년의 시선으로 담아낸 로맨스의 이야기. 두 사람 사이의 침묵은 때로 말보다 더 많은 것을 말한다. 사랑은 자아의 경계가 흔들리는 순간에 찾아온다. 완성도와 별개로, 이 작품이 던지려 한 질문은 유효하다.</t>
  </si>
  <si>
    <t>감독: Vincent Fang
주연: 徐若瑄, 柯有倫, 释小龙</t>
  </si>
  <si>
    <t>2014년의 시선으로 담아낸 드라마 이야기가 우리에게 묻는다. 삶은 언제나 해석을 기다리는 텍스트다. 모든 이야기는 상처의 다른 이름이다. 이 작품이 남기는 이미지는 어떤 방식으로든 기억에 새겨진다.</t>
  </si>
  <si>
    <t>감독: 김주환
주연: 박서준, 강하늘, 성동일</t>
  </si>
  <si>
    <t>한국 특유의 정서가 켜켜이 쌓인 듯, 2017년의 시선으로 담아낸 액션의 이야기. 폭력의 언어 속에서도 인간은 존엄을 갈망한다. 육체의 한계에 도전하는 것은 곧 자아의 경계를 시험하는 일이다. 시간이 지날수록 더 깊이 읽히는 영화다.</t>
  </si>
  <si>
    <t>감독: Ken Kwapis
주연: Amber Tamblyn, 알렉시스 블레델, 아메리카 페레라</t>
  </si>
  <si>
    <t>할리우드적 스펙터클 너머, 2005년의 시선으로 담아낸 드라마의 이야기. 모든 이야기는 상처의 다른 이름이다. 삶은 언제나 해석을 기다리는 텍스트다. 흠이 있지만 진심이 담긴 시도였다.</t>
  </si>
  <si>
    <t>감독: Cheng Fenfen
주연: 펑위옌, 진의함, 진연희</t>
  </si>
  <si>
    <t>한국 특유의 정서가 켜켜이 쌓인 듯, 2009년의 시선으로 담아낸 드라마의 이야기. 삶은 언제나 해석을 기다리는 텍스트다. 모든 이야기는 상처의 다른 이름이다. 이 작품이 남기는 질문은 쉽게 사라지지 않는다.</t>
  </si>
  <si>
    <t>감독: 산제이 릴라 반살리
주연: 리틱 로샨, 아이쉬와라 라이, Shernaz Patel</t>
  </si>
  <si>
    <t>2011년의 시선으로 담아낸 드라마 이야기가 우리에게 묻는다. 모든 이야기는 상처의 다른 이름이다. 우리는 각자의 서사 안에 갇혀 서로를 오해한다. 오랫동안 여운이 남는 작품이다.</t>
  </si>
  <si>
    <t>감독: James Kent
주연: 알리시아 비칸데르, 키트 해링턴, 태런 에저턴</t>
  </si>
  <si>
    <t>영국적 절제와 냉소 사이에서, 2015년의 시선으로 담아낸 드라마의 이야기. 우리는 각자의 서사 안에 갇혀 서로를 오해한다. 인간의 고통이란 결국 타인과의 거리에서 비롯된다. 시간이 지날수록 더 깊이 읽히는 영화다.</t>
  </si>
  <si>
    <t>감독: Kim Hee-jung
주연: 박진희, 박지윤, 김정난</t>
  </si>
  <si>
    <t>한국 특유의 정서가 켜켜이 쌓인 듯, 2011년의 시선으로 담아낸 로맨스의 이야기. 설렘은 불완전한 존재가 완전함을 향해 뻗는 손길이다. 그리움이란 부재를 통해 존재를 확인하는 방식이다. 완벽하지 않아도, 그 불완전함이 오히려 인간적이다.</t>
  </si>
  <si>
    <t>감독: 크레이그 메이진
주연: 자레드 해리스, 스텔란 스카스가드, 에밀리 왓슨</t>
  </si>
  <si>
    <t>감독: David Dobkin
주연: 제이슨 베이트먼, 라이언 레이놀즈, 레슬리 맨</t>
  </si>
  <si>
    <t>할리우드적 스펙터클 너머, 2011년의 시선으로 담아낸 코미디의 이야기. 가볍게 웃는 순간에도 삶의 무게는 그 그림자를 드리운다. 웃음은 고통을 소화하는 인간만의 방식이다. 나름의 울림을 간직한 작품이다.</t>
  </si>
  <si>
    <t>감독: Ross Katz
주연: 벤자민 워커, 테레사 파머, 매기 그레이스</t>
  </si>
  <si>
    <t>할리우드적 스펙터클 너머, 2016년의 시선으로 담아낸 로맨스의 이야기. 설렘은 불완전한 존재가 완전함을 향해 뻗는 손길이다. 두 사람 사이의 침묵은 때로 말보다 더 많은 것을 말한다. 두고두고 다시 꺼내 볼 만한 작품이다.</t>
  </si>
  <si>
    <t>감독: 라세 할스트룀
주연: 쥘리에트 비노쉬, 주디 덴치, 알프레드 몰리나</t>
  </si>
  <si>
    <t>영국적 절제와 냉소 사이에서, 2000년의 시선으로 담아낸 드라마의 이야기. 인간의 고통이란 결국 타인과의 거리에서 비롯된다. 모든 이야기는 상처의 다른 이름이다. 나름의 울림을 간직한 작품이다.</t>
  </si>
  <si>
    <t>감독: 나카무라 요시히로
주연: 니시키도 료, 토모사카 리에</t>
  </si>
  <si>
    <t>섬세한 일본적 감수성으로, 2010년의 시선으로 담아낸 코미디의 이야기. 우스운 것과 슬픈 것은 본래 같은 뿌리에서 자란다. 가볍게 웃는 순간에도 삶의 무게는 그 그림자를 드리운다. 흠이 있지만 진심이 담긴 시도였다.</t>
  </si>
  <si>
    <t>감독: Pawo Choyning Dorji
주연: Tandin Wangchuk, Tandin Sonam, Deki Lhamo</t>
  </si>
  <si>
    <t>부탄</t>
  </si>
  <si>
    <t>2023년의 시선으로 담아낸 코미디 이야기가 우리에게 묻는다. 가볍게 웃는 순간에도 삶의 무게는 그 그림자를 드리운다. 유머 속에는 세계의 부조리를 견뎌내는 지혜가 담겨 있다. 두고두고 다시 꺼내 볼 만한 작품이다.</t>
  </si>
  <si>
    <t>감독: Adrienne Acevedo Lovette
주연: Ella Jane New, Adrienne Acevedo Lovette</t>
  </si>
  <si>
    <t>프랑스 영화 특유의 철학적 깊이로, 2016년의 시선으로 담아낸 로맨스의 이야기. 그리움이란 부재를 통해 존재를 확인하는 방식이다. 두 사람 사이의 침묵은 때로 말보다 더 많은 것을 말한다. 시간이 지날수록 더 깊이 읽히는 영화다.</t>
  </si>
  <si>
    <t>감독: Phil Joanou
주연: 리처드 기어, 킴 베이싱어, 우마 서먼</t>
  </si>
  <si>
    <t>할리우드적 스펙터클 너머, 1992년의 시선으로 담아낸 스릴러의 이야기. 불안이란 현실이 균열을 드러내는 순간에 스며든다. 공포는 우리가 통제할 수 없는 것들에 대한 솔직한 고백이다. 완벽하지 않아도, 그 불완전함이 오히려 인간적이다.</t>
  </si>
  <si>
    <t>감독: 김한민
주연: 박해일, 문채원, 김무열</t>
  </si>
  <si>
    <t>한국 특유의 정서가 켜켜이 쌓인 듯, 2011년의 시선으로 담아낸 액션의 이야기. 생존의 욕망은 가장 원초적인 철학적 질문을 던진다. 충돌은 세계가 변화를 요구하는 방식이다. 나름의 울림을 간직한 작품이다.</t>
  </si>
  <si>
    <t>감독: 杉田成道
주연: 야쿠쇼 코지, 사토 코이치, 미야우치 히토미</t>
  </si>
  <si>
    <t>섬세한 일본적 감수성으로, 2010년의 시선으로 담아낸 사극의 이야기. 시대의 억압 속에서도 인간의 욕망과 존엄은 꺾이지 않는다. 전통과 변화의 충돌 속에서 인간의 본질이 드러난다. 평점이 담지 못하는 무언가가 이 영화에는 있다.</t>
  </si>
  <si>
    <t>감독: 쥐스틴 트리에
주연: 산드라 휠러, 스완 아를로, Milo Machado-Graner</t>
  </si>
  <si>
    <t>프랑스 영화 특유의 철학적 깊이로, 2023년의 시선으로 담아낸 드라마의 이야기. 인간의 고통이란 결국 타인과의 거리에서 비롯된다. 우리는 각자의 서사 안에 갇혀 서로를 오해한다. 이 작품이 남기는 질문은 쉽게 사라지지 않는다.</t>
  </si>
  <si>
    <t>감독: 中村義洋
주연: 사카이 마사토, 鮎川誠, 미즈노 미키</t>
  </si>
  <si>
    <t>섬세한 일본적 감수성으로, 2008년의 시선으로 담아낸 코미디의 이야기. 웃음은 고통을 소화하는 인간만의 방식이다. 유머 속에는 세계의 부조리를 견뎌내는 지혜가 담겨 있다. 흠이 있지만 진심이 담긴 시도였다.</t>
  </si>
  <si>
    <t>감독: 시드니 폴락
주연: 바브라 스트라이샌드, 로버트 레드포드, Bradford Dillman</t>
  </si>
  <si>
    <t>할리우드적 스펙터클 너머, 1973년의 시선으로 담아낸 드라마의 이야기. 삶은 언제나 해석을 기다리는 텍스트다. 인간의 고통이란 결국 타인과의 거리에서 비롯된다. 두고두고 다시 꺼내 볼 만한 작품이다.</t>
  </si>
  <si>
    <t>감독: 조지프 L. 맹키위츠
주연: 로렌스 올리비에, 마이클 케인</t>
  </si>
  <si>
    <t>할리우드적 스펙터클 너머, 2008년의 시선으로 담아낸 스릴러의 이야기. 불안이란 현실이 균열을 드러내는 순간에 스며든다. 진실은 언제나 우리가 감당할 수 없는 형태로 찾아온다. 완벽하지 않아도, 그 불완전함이 오히려 인간적이다.</t>
  </si>
  <si>
    <t>감독: 노규엽
주연: 이범수, 연우진, 박혁권</t>
  </si>
  <si>
    <t>감독: 롭 라이너
주연: 우디 해럴슨, 제임스 마스던, 롭 라이너</t>
  </si>
  <si>
    <t>할리우드적 스펙터클 너머, 2017년의 시선으로 담아낸 드라마의 이야기. 우리는 각자의 서사 안에 갇혀 서로를 오해한다. 모든 이야기는 상처의 다른 이름이다. 완벽하지 않아도, 그 불완전함이 오히려 인간적이다.</t>
  </si>
  <si>
    <t>감독: 임권택
주연: 최민식, 김여진, 안성기</t>
  </si>
  <si>
    <t>한국 특유의 정서가 켜켜이 쌓인 듯, 2002년의 시선으로 담아낸 드라마의 이야기. 우리는 각자의 서사 안에 갇혀 서로를 오해한다. 삶은 언제나 해석을 기다리는 텍스트다. 이 작품이 남기는 질문은 쉽게 사라지지 않는다.</t>
  </si>
  <si>
    <t>감독: 平川雄一朗
주연: 마츠자카 토리, 키키 키린, 佐藤隆太</t>
  </si>
  <si>
    <t>섬세한 일본적 감수성으로, 2012년의 시선으로 담아낸 드라마의 이야기. 모든 이야기는 상처의 다른 이름이다. 인간의 고통이란 결국 타인과의 거리에서 비롯된다. 평점이 담지 못하는 무언가가 이 영화에는 있다.</t>
  </si>
  <si>
    <t>감독: 佐々部清
주연: 미야자키 아오이, 사카이 마사토, 후키코시 미츠루</t>
  </si>
  <si>
    <t>섬세한 일본적 감수성으로, 2011년의 시선으로 담아낸 드라마의 이야기. 모든 이야기는 상처의 다른 이름이다. 우리는 각자의 서사 안에 갇혀 서로를 오해한다. 한 번쯤 들여다볼 가치가 있는 이야기다.</t>
  </si>
  <si>
    <t>감독: 가와이 하야토
주연: 히로세 스즈, 나카죠 아야미, 아마미 유키</t>
  </si>
  <si>
    <t>섬세한 일본적 감수성으로, 2017년의 시선으로 담아낸 드라마의 이야기. 인간의 고통이란 결국 타인과의 거리에서 비롯된다. 삶은 언제나 해석을 기다리는 텍스트다. 이 작품이 남기는 질문은 쉽게 사라지지 않는다.</t>
  </si>
  <si>
    <t>감독: Zara Hayes
주연: 다이앤 키튼, 재키 위버, Celia Weston</t>
  </si>
  <si>
    <t>감독: 신재호
주연: 임창정, 최다니엘</t>
  </si>
  <si>
    <t>한국 특유의 정서가 켜켜이 쌓인 듯, 2015년의 시선으로 담아낸 드라마의 이야기. 인간의 고통이란 결국 타인과의 거리에서 비롯된다. 모든 이야기는 상처의 다른 이름이다. 완벽하지 않아도, 그 불완전함이 오히려 인간적이다.</t>
  </si>
  <si>
    <t>감독: 中島悟
주연: 무카이 오사무, 타케우치 유코, 키리타니 미레이</t>
  </si>
  <si>
    <t>섬세한 일본적 감수성으로, 2013년의 시선으로 담아낸 드라마의 이야기. 인간의 고통이란 결국 타인과의 거리에서 비롯된다. 모든 이야기는 상처의 다른 이름이다. 이 작품이 남기는 이미지는 어떤 방식으로든 기억에 새겨진다.</t>
  </si>
  <si>
    <t>감독: 곽경택
주연: 유오성, 장동건</t>
  </si>
  <si>
    <t>한국 특유의 정서가 켜켜이 쌓인 듯, 2001년의 시선으로 담아낸 범죄의 이야기. 욕망은 언제나 질서보다 먼저 존재했다. 죄란 사회가 만든 경계를 넘는 행위이자 그 경계에 대한 질문이다. 이 작품이 남기는 질문은 쉽게 사라지지 않는다.</t>
  </si>
  <si>
    <t>감독: 곽경택
주연: 유오성, 주진모, 김우빈</t>
  </si>
  <si>
    <t>한국 특유의 정서가 켜켜이 쌓인 듯, 2013년의 시선으로 담아낸 범죄의 이야기. 어둠 속에서도 인간은 스스로를 정당화하려 한다. 죄란 사회가 만든 경계를 넘는 행위이자 그 경계에 대한 질문이다. 한 번쯤 들여다볼 가치가 있는 이야기다.</t>
  </si>
  <si>
    <t>감독: 三島有紀子
주연: 아사노 타다노부, 다나카 레나, 테라지마 시노부</t>
  </si>
  <si>
    <t>섬세한 일본적 감수성으로, 2018년의 시선으로 담아낸 드라마의 이야기. 삶은 언제나 해석을 기다리는 텍스트다. 우리는 각자의 서사 안에 갇혀 서로를 오해한다. 흠이 있지만 진심이 담긴 시도였다.</t>
  </si>
  <si>
    <t>감독: 유성엽
주연: 김해숙, 박진희, 조영진</t>
  </si>
  <si>
    <t>한국 특유의 정서가 켜켜이 쌓인 듯, 2012년의 시선으로 담아낸 드라마의 이야기. 우리는 각자의 서사 안에 갇혀 서로를 오해한다. 삶은 언제나 해석을 기다리는 텍스트다. 시간이 지날수록 더 깊이 읽히는 영화다.</t>
  </si>
  <si>
    <t>감독: Richard Eyre
주연: 엠마 톰슨, 스탠리 투치, 핀 화이트헤드</t>
  </si>
  <si>
    <t>감독: 마틴 스콜세지
주연: 앤드류 가필드, 애덤 드라이버, 리암 니슨</t>
  </si>
  <si>
    <t>할리우드적 스펙터클 너머, 2016년의 시선으로 담아낸 드라마의 이야기. 삶은 언제나 해석을 기다리는 텍스트다. 모든 이야기는 상처의 다른 이름이다. 두고두고 다시 꺼내 볼 만한 작품이다.</t>
  </si>
  <si>
    <t>감독: Xing Fei
주연: 손홍뢰, 곽부성, 余男</t>
  </si>
  <si>
    <t>광활한 대지의 이야기를 담아, 2014년의 시선으로 담아낸 범죄의 이야기. 죄란 사회가 만든 경계를 넘는 행위이자 그 경계에 대한 질문이다. 법과 도덕 사이의 틈새에서 인간의 본성이 노출된다. 오랫동안 여운이 남는 작품이다.</t>
  </si>
  <si>
    <t>섬세한 일본적 감수성으로, 2022년의 시선으로 담아낸 미스터리의 이야기. 진실을 추적하는 것은 존재의 불투명함과 씨름하는 일이다. 알 수 없음 앞에서 인간은 비로소 겸손해진다. 나름의 울림을 간직한 작품이다.</t>
  </si>
  <si>
    <t>감독: Sohn Won-pyung
주연: 김무열, 송지효, 예수정</t>
  </si>
  <si>
    <t>한국 특유의 정서가 켜켜이 쌓인 듯, 2020년의 시선으로 담아낸 스릴러의 이야기. 불안이란 현실이 균열을 드러내는 순간에 스며든다. 공포는 우리가 통제할 수 없는 것들에 대한 솔직한 고백이다. 거칠지만 그 안에서도 인간의 흔적은 남는다.</t>
  </si>
  <si>
    <t>감독: Pierre Morel
주연: 케이트 베킨세일, 루퍼트 프렌드, Saffron Burrows</t>
  </si>
  <si>
    <t>영국적 절제와 냉소 사이에서, 2024년의 시선으로 담아낸 액션의 이야기. 충돌은 세계가 변화를 요구하는 방식이다. 육체의 한계에 도전하는 것은 곧 자아의 경계를 시험하는 일이다. 완벽하지 않아도, 그 불완전함이 오히려 인간적이다.</t>
  </si>
  <si>
    <t>감독: Carolina Moraes-Liu
주연: Gilberto Gil, Daniela Mercury, Armandinho</t>
  </si>
  <si>
    <t>할리우드적 스펙터클 너머, 2013년의 시선으로 담아낸 공포의 이야기. 공포란 이성이 침묵하는 순간 존재가 맞닥뜨리는 날것의 경험이다. 불가해한 것 앞에서 인간은 얼마나 작은가를 깨닫는다. 완벽하지 않아도, 그 불완전함이 오히려 인간적이다.</t>
  </si>
  <si>
    <t>감독: 오기가미 나오코
주연: 小林聡美, 카타기리 하이리, もたいまさこ</t>
  </si>
  <si>
    <t>섬세한 일본적 감수성으로, 2006년의 시선으로 담아낸 드라마의 이야기. 우리는 각자의 서사 안에 갇혀 서로를 오해한다. 삶은 언제나 해석을 기다리는 텍스트다. 시간이 지날수록 더 깊이 읽히는 영화다.</t>
  </si>
  <si>
    <t>감독: Ha Yoon-jae
주연: 박용우, 조은지, 현봉식</t>
  </si>
  <si>
    <t>한국 특유의 정서가 켜켜이 쌓인 듯, 2019년의 시선으로 담아낸 범죄의 이야기. 어둠 속에서도 인간은 스스로를 정당화하려 한다. 욕망은 언제나 질서보다 먼저 존재했다. 흠이 있지만 진심이 담긴 시도였다.</t>
  </si>
  <si>
    <t>감독: Marcos Siega
주연: 라이언 레이놀즈, 에밀리 모티머, Stuart Townsend</t>
  </si>
  <si>
    <t>할리우드적 스펙터클 너머, 2008년의 시선으로 담아낸 코미디의 이야기. 우스운 것과 슬픈 것은 본래 같은 뿌리에서 자란다. 웃음은 고통을 소화하는 인간만의 방식이다. 평점이 담지 못하는 무언가가 이 영화에는 있다.</t>
  </si>
  <si>
    <t>감독: 리들리 스콧
주연: 마이클 패스벤더, 페넬로페 크루스, 카메론 디아즈</t>
  </si>
  <si>
    <t>할리우드적 스펙터클 너머, 2013년의 시선으로 담아낸 범죄의 이야기. 욕망은 언제나 질서보다 먼저 존재했다. 어둠 속에서도 인간은 스스로를 정당화하려 한다. 한 번쯤 들여다볼 가치가 있는 이야기다.</t>
  </si>
  <si>
    <t>감독: Stefan Ruzowitzky
주연: Karl Markovics, 아우구스트 딜, Devid Striesow</t>
  </si>
  <si>
    <t>독일 특유의 사유의 무게를 지니며, 2007년의 시선으로 담아낸 범죄의 이야기. 욕망은 언제나 질서보다 먼저 존재했다. 법과 도덕 사이의 틈새에서 인간의 본성이 노출된다. 시간이 지날수록 더 깊이 읽히는 영화다.</t>
  </si>
  <si>
    <t>감독: Justin Dec
주연: 엘리자베스 레일, Jordan Calloway, Talitha Eliana Bateman</t>
  </si>
  <si>
    <t>할리우드적 스펙터클 너머, 2019년의 시선으로 담아낸 공포의 이야기. 공포란 이성이 침묵하는 순간 존재가 맞닥뜨리는 날것의 경험이다. 우리가 두려워하는 것은 대개 우리 자신의 그림자다. 완성도와 별개로, 이 작품이 던지려 한 질문은 유효하다.</t>
  </si>
  <si>
    <t>감독: Andy Goddard
주연: 패트릭 윌슨, 제시카 비엘, 헤일리 베넷</t>
  </si>
  <si>
    <t>할리우드적 스펙터클 너머, 2016년의 시선으로 담아낸 스릴러의 이야기. 진실은 언제나 우리가 감당할 수 없는 형태로 찾아온다. 불안이란 현실이 균열을 드러내는 순간에 스며든다. 거칠지만 그 안에서도 인간의 흔적은 남는다.</t>
  </si>
  <si>
    <t>감독: 강윤성
주연: 최민식, 손석구, 이동휘</t>
  </si>
  <si>
    <t>드라마 형식 속에서, 한국 특유의 정서가 켜켜이 쌓인 듯, 2022년의 시선으로 담아낸 드라마의 이야기. 모든 이야기는 상처의 다른 이름이다. 우리는 각자의 서사 안에 갇혀 서로를 오해한다. 평점이 담지 못하는 무언가가 이 영화에는 있다.</t>
  </si>
  <si>
    <t>드라마 형식 속에서, 한국 특유의 정서가 켜켜이 쌓인 듯, 2023년의 시선으로 담아낸 드라마의 이야기. 모든 이야기는 상처의 다른 이름이다. 우리는 각자의 서사 안에 갇혀 서로를 오해한다. 이 작품이 남기는 이미지는 어떤 방식으로든 기억에 새겨진다.</t>
  </si>
  <si>
    <t>감독: 정병길
주연: 주원, 이성재, 정소리</t>
  </si>
  <si>
    <t>한국 특유의 정서가 켜켜이 쌓인 듯, 2022년의 시선으로 담아낸 액션의 이야기. 생존의 욕망은 가장 원초적인 철학적 질문을 던진다. 충돌은 세계가 변화를 요구하는 방식이다. 거칠지만 그 안에서도 인간의 흔적은 남는다.</t>
  </si>
  <si>
    <t>감독: Boo Ji-young
주연: 염정아, 문정희, 김영애</t>
  </si>
  <si>
    <t>감독: Roger Donaldson
주연: 톰 크루즈, 브라이언 브라운, 엘리자베스 슈</t>
  </si>
  <si>
    <t>할리우드적 스펙터클 너머, 1988년의 시선으로 담아낸 드라마의 이야기. 모든 이야기는 상처의 다른 이름이다. 인간의 고통이란 결국 타인과의 거리에서 비롯된다. 흠이 있지만 진심이 담긴 시도였다.</t>
  </si>
  <si>
    <t>감독: Ric Roman Waugh
주연: 제라드 버틀러, 나비드 네가반, 트래비스 피멀</t>
  </si>
  <si>
    <t>할리우드적 스펙터클 너머, 2023년의 시선으로 담아낸 액션의 이야기. 충돌은 세계가 변화를 요구하는 방식이다. 육체의 한계에 도전하는 것은 곧 자아의 경계를 시험하는 일이다. 완벽하지 않아도, 그 불완전함이 오히려 인간적이다.</t>
  </si>
  <si>
    <t>감독: 토드 헤인즈
주연: 케이트 블란쳇, 루니 마라, 카일 챈들러</t>
  </si>
  <si>
    <t>영국적 절제와 냉소 사이에서, 2015년의 시선으로 담아낸 드라마의 이야기. 모든 이야기는 상처의 다른 이름이다. 우리는 각자의 서사 안에 갇혀 서로를 오해한다. 두고두고 다시 꺼내 볼 만한 작품이다.</t>
  </si>
  <si>
    <t>감독: Jaume Collet-Serra
주연: 태런 에저턴, 제이슨 베이트먼, 소피아 카슨</t>
  </si>
  <si>
    <t>할리우드적 스펙터클 너머, 2024년의 시선으로 담아낸 액션의 이야기. 생존의 욕망은 가장 원초적인 철학적 질문을 던진다. 폭력의 언어 속에서도 인간은 존엄을 갈망한다. 나름의 울림을 간직한 작품이다.</t>
  </si>
  <si>
    <t>감독: Sean Ellis
주연: Sean Biggerstaff, Emilia Fox, Shaun Evans</t>
  </si>
  <si>
    <t>영국적 절제와 냉소 사이에서, 2006년의 시선으로 담아낸 코미디의 이야기. 웃음은 고통을 소화하는 인간만의 방식이다. 유머 속에는 세계의 부조리를 견뎌내는 지혜가 담겨 있다. 두고두고 다시 꺼내 볼 만한 작품이다.</t>
  </si>
  <si>
    <t>감독: Nicolas Roeg
주연: 올리버 리드, Amanda Donohoe, Georgina Hale</t>
  </si>
  <si>
    <t>영국적 절제와 냉소 사이에서, 1986년의 시선으로 담아낸 모험의 이야기. 이 작품은 단순한 오락을 넘어 삶의 어떤 단면을 응시하게 한다. 영상 언어로 포착된 인간의 이야기는 언제나 철학적 울림을 남긴다. 시간이 지날수록 더 깊이 읽히는 영화다.</t>
  </si>
  <si>
    <t>감독: 가이 리치
주연: 제이슨 스타뎀, 홀트 매캘러니, Rocci Williams</t>
  </si>
  <si>
    <t>감독: Lee Hyeon-jong
주연: 김아중, 주원, 주진모</t>
  </si>
  <si>
    <t>한국 특유의 정서가 켜켜이 쌓인 듯, 2013년의 시선으로 담아낸 코미디의 이야기. 유머 속에는 세계의 부조리를 견뎌내는 지혜가 담겨 있다. 우스운 것과 슬픈 것은 본래 같은 뿌리에서 자란다. 한 번쯤 들여다볼 가치가 있는 이야기다.</t>
  </si>
  <si>
    <t>감독: Neil Armfield
주연: 에비 코니쉬, 히스 레저, 제프리 러쉬</t>
  </si>
  <si>
    <t>2006년의 시선으로 담아낸 드라마 이야기가 우리에게 묻는다. 삶은 언제나 해석을 기다리는 텍스트다. 우리는 각자의 서사 안에 갇혀 서로를 오해한다. 오랫동안 여운이 남는 작품이다.</t>
  </si>
  <si>
    <t>감독: Tom Kapinos
주연: 데이비드 듀코브니, 나타샤 맥켈혼, Evan Handler</t>
  </si>
  <si>
    <t>드라마 형식 속에서, 할리우드적 스펙터클 너머, 2007년의 시선으로 담아낸 드라마의 이야기. 삶은 언제나 해석을 기다리는 텍스트다. 우리는 각자의 서사 안에 갇혀 서로를 오해한다. 이 작품이 남기는 이미지는 어떤 방식으로든 기억에 새겨진다.</t>
  </si>
  <si>
    <t>드라마 형식 속에서, 할리우드적 스펙터클 너머, 2008년의 시선으로 담아낸 드라마의 이야기. 우리는 각자의 서사 안에 갇혀 서로를 오해한다. 모든 이야기는 상처의 다른 이름이다. 평점이 담지 못하는 무언가가 이 영화에는 있다.</t>
  </si>
  <si>
    <t>드라마 형식 속에서, 할리우드적 스펙터클 너머, 2009년의 시선으로 담아낸 드라마의 이야기. 인간의 고통이란 결국 타인과의 거리에서 비롯된다. 우리는 각자의 서사 안에 갇혀 서로를 오해한다. 이 작품이 남기는 이미지는 어떤 방식으로든 기억에 새겨진다.</t>
  </si>
  <si>
    <t>드라마 형식 속에서, 할리우드적 스펙터클 너머, 2011년의 시선으로 담아낸 드라마의 이야기. 삶은 언제나 해석을 기다리는 텍스트다. 모든 이야기는 상처의 다른 이름이다. 평점이 담지 못하는 무언가가 이 영화에는 있다.</t>
  </si>
  <si>
    <t>드라마 형식 속에서, 할리우드적 스펙터클 너머, 2012년의 시선으로 담아낸 드라마의 이야기. 인간의 고통이란 결국 타인과의 거리에서 비롯된다. 우리는 각자의 서사 안에 갇혀 서로를 오해한다. 이 작품이 남기는 이미지는 어떤 방식으로든 기억에 새겨진다.</t>
  </si>
  <si>
    <t>캘버리</t>
  </si>
  <si>
    <t>감독: John Michael McDonagh
주연: 브렌던 글리슨, 크리스 오다우드, 켈리 라일리</t>
  </si>
  <si>
    <t>2014년의 시선으로 담아낸 드라마 이야기가 우리에게 묻는다. 우리는 각자의 서사 안에 갇혀 서로를 오해한다. 삶은 언제나 해석을 기다리는 텍스트다. 평점이 담지 못하는 무언가가 이 영화에는 있다.</t>
  </si>
  <si>
    <t>감독: Daniel Goldhaber
주연: 매들린 브루어, Patch Darragh, Melora Walters</t>
  </si>
  <si>
    <t>할리우드적 스펙터클 너머, 2018년의 시선으로 담아낸 공포의 이야기. 우리가 두려워하는 것은 대개 우리 자신의 그림자다. 공포란 이성이 침묵하는 순간 존재가 맞닥뜨리는 날것의 경험이다. 거칠지만 그 안에서도 인간의 흔적은 남는다.</t>
  </si>
  <si>
    <t>감독: Peter Sattler
주연: 크리스틴 스튜어트, 페이만 모아디, Lane Garrison</t>
  </si>
  <si>
    <t>할리우드적 스펙터클 너머, 2014년의 시선으로 담아낸 드라마의 이야기. 모든 이야기는 상처의 다른 이름이다. 삶은 언제나 해석을 기다리는 텍스트다. 흠이 있지만 진심이 담긴 시도였다.</t>
  </si>
  <si>
    <t>감독: 中野量太
주연: 와타나베 마키코, 柳英里紗, Nanoka Matsubara</t>
  </si>
  <si>
    <t>섬세한 일본적 감수성으로, 2012년의 시선으로 담아낸 드라마의 이야기. 모든 이야기는 상처의 다른 이름이다. 삶은 언제나 해석을 기다리는 텍스트다. 나름의 울림을 간직한 작품이다.</t>
  </si>
  <si>
    <t>감독: 조 루소, 안소니 루소
주연: 크리스 에반스, 사무엘 L. 잭슨, 스칼렛 요한슨</t>
  </si>
  <si>
    <t>할리우드적 스펙터클 너머, 2014년의 시선으로 담아낸 액션의 이야기. 육체의 한계에 도전하는 것은 곧 자아의 경계를 시험하는 일이다. 생존의 욕망은 가장 원초적인 철학적 질문을 던진다. 시간이 지날수록 더 깊이 읽히는 영화다.</t>
  </si>
  <si>
    <t>광활한 대지의 이야기를 담아, 2019년의 시선으로 담아낸 드라마의 이야기. 삶은 언제나 해석을 기다리는 텍스트다. 인간의 고통이란 결국 타인과의 거리에서 비롯된다. 완벽하지 않아도, 그 불완전함이 오히려 인간적이다.</t>
  </si>
  <si>
    <t>감독: 폴 그린그래스
주연: 톰 행크스, Barkhad Abdi, Barkhad Abdirahman</t>
  </si>
  <si>
    <t>할리우드적 스펙터클 너머, 2013년의 시선으로 담아낸 액션의 이야기. 폭력의 언어 속에서도 인간은 존엄을 갈망한다. 충돌은 세계가 변화를 요구하는 방식이다. 이 작품이 남기는 질문은 쉽게 사라지지 않는다.</t>
  </si>
  <si>
    <t>감독: Alfonso Gomez-Rejon
주연: 베네딕트 컴버배치, 마이클 섀넌, 니콜라스 홀트</t>
  </si>
  <si>
    <t>할리우드적 스펙터클 너머, 2017년의 시선으로 담아낸 드라마의 이야기. 인간의 고통이란 결국 타인과의 거리에서 비롯된다. 삶은 언제나 해석을 기다리는 텍스트다. 나름의 울림을 간직한 작품이다.</t>
  </si>
  <si>
    <t>감독: Jaume Collet-Serra
주연: 리암 니슨, 패트릭 윌슨, 샘 닐</t>
  </si>
  <si>
    <t>할리우드적 스펙터클 너머, 2018년의 시선으로 담아낸 액션의 이야기. 폭력의 언어 속에서도 인간은 존엄을 갈망한다. 충돌은 세계가 변화를 요구하는 방식이다. 이 작품이 남기는 질문은 쉽게 사라지지 않는다.</t>
  </si>
  <si>
    <t>감독: Rasmus Kloster Bro
주연: Christine Sønderris, Krešimir Mikić, Samson Semere</t>
  </si>
  <si>
    <t>2018년의 시선으로 담아낸 스릴러 이야기가 우리에게 묻는다. 긴장은 존재가 위협받을 때 가장 선명하게 빛난다. 공포는 우리가 통제할 수 없는 것들에 대한 솔직한 고백이다. 나름의 울림을 간직한 작품이다.</t>
  </si>
  <si>
    <t>감독: Peter Billingsley
주연: 빈스 본, 제이슨 베이트먼, 존 파브로</t>
  </si>
  <si>
    <t>섬세한 일본적 감수성으로, 2011년의 시선으로 담아낸 드라마의 이야기. 삶은 언제나 해석을 기다리는 텍스트다. 모든 이야기는 상처의 다른 이름이다. 흠이 있지만 진심이 담긴 시도였다.</t>
  </si>
  <si>
    <t>감독: Stacie Passon
주연: 로빈 웨이거트, 매기 시프, Johnathan Tchaikovsky</t>
  </si>
  <si>
    <t>할리우드적 스펙터클 너머, 2014년의 시선으로 담아낸 코미디의 이야기. 웃음은 고통을 소화하는 인간만의 방식이다. 가볍게 웃는 순간에도 삶의 무게는 그 그림자를 드리운다. 나름의 울림을 간직한 작품이다.</t>
  </si>
  <si>
    <t>감독: 츠카하라 아유코
주연: 아리무라 카스미, 이토 켄타로, 하루</t>
  </si>
  <si>
    <t>섬세한 일본적 감수성으로, 2018년의 시선으로 담아낸 드라마의 이야기. 삶은 언제나 해석을 기다리는 텍스트다. 인간의 고통이란 결국 타인과의 거리에서 비롯된다. 시간이 지날수록 더 깊이 읽히는 영화다.</t>
  </si>
  <si>
    <t>감독: 토니 골드윈
주연: 힐러리 스웽크, 샘 록웰, 미니 드라이버</t>
  </si>
  <si>
    <t>할리우드적 스펙터클 너머, 2010년의 시선으로 담아낸 드라마의 이야기. 우리는 각자의 서사 안에 갇혀 서로를 오해한다. 모든 이야기는 상처의 다른 이름이다. 이 작품이 남기는 질문은 쉽게 사라지지 않는다.</t>
  </si>
  <si>
    <t>감독: 리처드 도너
주연: 멜 깁슨, 줄리아 로버츠, 패트릭 스튜어트</t>
  </si>
  <si>
    <t>할리우드적 스펙터클 너머, 1997년의 시선으로 담아낸 액션의 이야기. 충돌은 세계가 변화를 요구하는 방식이다. 생존의 욕망은 가장 원초적인 철학적 질문을 던진다. 오랫동안 여운이 남는 작품이다.</t>
  </si>
  <si>
    <t>감독: 제임스 완
주연: 베라 파미가, 패트릭 윌슨, 릴리 테일러</t>
  </si>
  <si>
    <t>할리우드적 스펙터클 너머, 2013년의 시선으로 담아낸 공포의 이야기. 불가해한 것 앞에서 인간은 얼마나 작은가를 깨닫는다. 어둠은 우리 내면의 억압된 것들이 귀환하는 문이다. 완벽하지 않아도, 그 불완전함이 오히려 인간적이다.</t>
  </si>
  <si>
    <t>감독: 제임스 완
주연: 베라 파미가, 패트릭 윌슨, Madison Wolfe</t>
  </si>
  <si>
    <t>할리우드적 스펙터클 너머, 2016년의 시선으로 담아낸 공포의 이야기. 우리가 두려워하는 것은 대개 우리 자신의 그림자다. 불가해한 것 앞에서 인간은 얼마나 작은가를 깨닫는다. 이 작품이 남기는 질문은 쉽게 사라지지 않는다.</t>
  </si>
  <si>
    <t>감독: 마이클 차브스
주연: 베라 파미가, 패트릭 윌슨, 스털링 제린스</t>
  </si>
  <si>
    <t>할리우드적 스펙터클 너머, 2021년의 시선으로 담아낸 공포의 이야기. 어둠은 우리 내면의 억압된 것들이 귀환하는 문이다. 공포란 이성이 침묵하는 순간 존재가 맞닥뜨리는 날것의 경험이다. 시간이 지날수록 더 깊이 읽히는 영화다.</t>
  </si>
  <si>
    <t>감독: Peter Landesman
주연: 윌 스미스, 알렉 볼드윈, 앨버트 브룩스</t>
  </si>
  <si>
    <t>감독: 드니 빌뇌브
주연: 에이미 아담스, 제레미 레너, 포레스트 휘태커</t>
  </si>
  <si>
    <t>할리우드적 스펙터클 너머, 2016년의 시선으로 담아낸 SF의 이야기. 기술이 진보할수록 인간다움의 정의는 더욱 절박해진다. 우주의 광대함 앞에서 인간의 질문은 더욱 깊어진다. 오랫동안 여운이 남는 작품이다.</t>
  </si>
  <si>
    <t>감독: 스티븐 소더버그
주연: 마리옹 꼬띠아르, 맷 데이먼, 로렌스 피시번</t>
  </si>
  <si>
    <t>할리우드적 스펙터클 너머, 2011년의 시선으로 담아낸 스릴러의 이야기. 긴장은 존재가 위협받을 때 가장 선명하게 빛난다. 공포는 우리가 통제할 수 없는 것들에 대한 솔직한 고백이다. 완성도와 별개로, 이 작품이 던지려 한 질문은 유효하다.</t>
  </si>
  <si>
    <t>감독: Rod Lurie
주연: 조앤 앨런, 게리 올드만, 제프 브리지스</t>
  </si>
  <si>
    <t>할리우드적 스펙터클 너머, 2000년의 시선으로 담아낸 드라마의 이야기. 우리는 각자의 서사 안에 갇혀 서로를 오해한다. 모든 이야기는 상처의 다른 이름이다. 나름의 울림을 간직한 작품이다.</t>
  </si>
  <si>
    <t>감독: 田中亮
주연: 나가사와 마사미, 히가시데 마사히로, 코히나타 후미요</t>
  </si>
  <si>
    <t>섬세한 일본적 감수성으로, 2019년의 시선으로 담아낸 코미디의 이야기. 우스운 것과 슬픈 것은 본래 같은 뿌리에서 자란다. 가볍게 웃는 순간에도 삶의 무게는 그 그림자를 드리운다. 나름의 울림을 간직한 작품이다.</t>
  </si>
  <si>
    <t>감독: Richard Stanley
주연: 니콜라스 케이지, 조엘리 리처드슨, Madeleine Arthur</t>
  </si>
  <si>
    <t>할리우드적 스펙터클 너머, 2019년의 시선으로 담아낸 공포의 이야기. 공포란 이성이 침묵하는 순간 존재가 맞닥뜨리는 날것의 경험이다. 불가해한 것 앞에서 인간은 얼마나 작은가를 깨닫는다. 완성도와 별개로, 이 작품이 던지려 한 질문은 유효하다.</t>
  </si>
  <si>
    <t>감독: Richard Rush
주연: 브루스 윌리스, 제인 마치, Rubén Blades</t>
  </si>
  <si>
    <t>할리우드적 스펙터클 너머, 1994년의 시선으로 담아낸 스릴러의 이야기. 불안이란 현실이 균열을 드러내는 순간에 스며든다. 공포는 우리가 통제할 수 없는 것들에 대한 솔직한 고백이다. 완벽하지 않아도, 그 불완전함이 오히려 인간적이다.</t>
  </si>
  <si>
    <t>감독: 로버트 레드포드
주연: 로버트 레드포드, 샤이아 라보프, 닉 놀티</t>
  </si>
  <si>
    <t>할리우드적 스펙터클 너머, 2012년의 시선으로 담아낸 스릴러의 이야기. 불안이란 현실이 균열을 드러내는 순간에 스며든다. 긴장은 존재가 위협받을 때 가장 선명하게 빛난다. 한 번쯤 들여다볼 가치가 있는 이야기다.</t>
  </si>
  <si>
    <t>감독: Craig Zobel
주연: 앤 도드, Dreama Walker, Pat Healy</t>
  </si>
  <si>
    <t>할리우드적 스펙터클 너머, 2012년의 시선으로 담아낸 드라마의 이야기. 삶은 언제나 해석을 기다리는 텍스트다. 우리는 각자의 서사 안에 갇혀 서로를 오해한다. 한 번쯤 들여다볼 가치가 있는 이야기다.</t>
  </si>
  <si>
    <t>감독: 이안 소프틀리
주연: 제프 브리지스, 케빈 스페이시, Mary McCormack</t>
  </si>
  <si>
    <t>할리우드적 스펙터클 너머, 2001년의 시선으로 담아낸 SF의 이야기. 타자와의 만남은 언제나 자아의 재발견으로 이어진다. 기술이 진보할수록 인간다움의 정의는 더욱 절박해진다. 오랫동안 여운이 남는 작품이다.</t>
  </si>
  <si>
    <t>감독: Karen Moncrieff
주연: 케이트 베킨세일, 닉 놀티, 제임스 크롬웰</t>
  </si>
  <si>
    <t>할리우드적 스펙터클 너머, 2013년의 시선으로 담아낸 드라마의 이야기. 모든 이야기는 상처의 다른 이름이다. 삶은 언제나 해석을 기다리는 텍스트다. 나름의 울림을 간직한 작품이다.</t>
  </si>
  <si>
    <t>감독: 井坂聡
주연: 야쿠쇼 코지, 今井美樹, 塩谷瞬</t>
  </si>
  <si>
    <t>섬세한 일본적 감수성으로, 2007년의 시선으로 담아낸 드라마의 이야기. 우리는 각자의 서사 안에 갇혀 서로를 오해한다. 인간의 고통이란 결국 타인과의 거리에서 비롯된다. 나름의 울림을 간직한 작품이다.</t>
  </si>
  <si>
    <t>감독: 션 헤이더
주연: 에밀리아 존스, 말리 매틀린, 트로이 코처</t>
  </si>
  <si>
    <t>할리우드적 스펙터클 너머, 2021년의 시선으로 담아낸 드라마의 이야기. 우리는 각자의 서사 안에 갇혀 서로를 오해한다. 삶은 언제나 해석을 기다리는 텍스트다. 이 작품이 남기는 질문은 쉽게 사라지지 않는다.</t>
  </si>
  <si>
    <t>감독: 론 하워드
주연: 톰 행크스, 오드리 토투, 이안 맥켈런</t>
  </si>
  <si>
    <t>할리우드적 스펙터클 너머, 2009년의 시선으로 담아낸 액션의 이야기. 폭력의 언어 속에서도 인간은 존엄을 갈망한다. 생존의 욕망은 가장 원초적인 철학적 질문을 던진다. 완성도와 별개로, 이 작품이 던지려 한 질문은 유효하다.</t>
  </si>
  <si>
    <t>감독: 존 스톡웰, Paulette Victor Lifton
주연: Cam Gigandet, 캐슬린 로버트슨, 윌리엄 피츠너</t>
  </si>
  <si>
    <t>할리우드적 스펙터클 너머, 2012년의 시선으로 담아낸 액션의 이야기. 폭력의 언어 속에서도 인간은 존엄을 갈망한다. 생존의 욕망은 가장 원초적인 철학적 질문을 던진다. 나름의 울림을 간직한 작품이다.</t>
  </si>
  <si>
    <t>감독: 아리엘 브로멘
주연: Marwan Kenzari, 토비 케블, Hannah Ware</t>
  </si>
  <si>
    <t>할리우드적 스펙터클 너머, 2018년의 시선으로 담아낸 액션의 이야기. 충돌은 세계가 변화를 요구하는 방식이다. 육체의 한계에 도전하는 것은 곧 자아의 경계를 시험하는 일이다. 이 작품이 남기는 이미지는 어떤 방식으로든 기억에 새겨진다.</t>
  </si>
  <si>
    <t>감독: Christophe Barratier
주연: Gérard Jugnot, François Berléand, 카드 므라드</t>
  </si>
  <si>
    <t>프랑스 영화 특유의 철학적 깊이로, 2004년의 시선으로 담아낸 드라마의 이야기. 인간의 고통이란 결국 타인과의 거리에서 비롯된다. 모든 이야기는 상처의 다른 이름이다. 오랫동안 여운이 남는 작품이다.</t>
  </si>
  <si>
    <t>감독: 존 매든
주연: 니콜라스 케이지, 페넬로페 크루스, 존 허트</t>
  </si>
  <si>
    <t>영국적 절제와 냉소 사이에서, 2001년의 시선으로 담아낸 드라마의 이야기. 인간의 고통이란 결국 타인과의 거리에서 비롯된다. 모든 이야기는 상처의 다른 이름이다. 완벽하지 않아도, 그 불완전함이 오히려 인간적이다.</t>
  </si>
  <si>
    <t>감독: Moon Hyun-sung
주연: 하지원, 배두나, 한예리</t>
  </si>
  <si>
    <t>한국 특유의 정서가 켜켜이 쌓인 듯, 2012년의 시선으로 담아낸 드라마의 이야기. 모든 이야기는 상처의 다른 이름이다. 삶은 언제나 해석을 기다리는 텍스트다. 이 작품이 남기는 질문은 쉽게 사라지지 않는다.</t>
  </si>
  <si>
    <t>감독: 톰 맥카시
주연: 애덤 샌들러, Method Man, 더스틴 호프만</t>
  </si>
  <si>
    <t>감독: 바흐만 고바디
주연: Behrouz Vossoughi, 모니카 벨루치, Caner Cindoruk</t>
  </si>
  <si>
    <t>2012년의 시선으로 담아낸 드라마 이야기가 우리에게 묻는다. 우리는 각자의 서사 안에 갇혀 서로를 오해한다. 인간의 고통이란 결국 타인과의 거리에서 비롯된다. 완벽하지 않아도, 그 불완전함이 오히려 인간적이다.</t>
  </si>
  <si>
    <t>감독: Jon Amiel
주연: 에런 엑하트, 힐러리 스웽크, 델로이 린도</t>
  </si>
  <si>
    <t>할리우드적 스펙터클 너머, 2003년의 시선으로 담아낸 액션의 이야기. 생존의 욕망은 가장 원초적인 철학적 질문을 던진다. 폭력의 언어 속에서도 인간은 존엄을 갈망한다. 시간이 지날수록 더 깊이 읽히는 영화다.</t>
  </si>
  <si>
    <t>감독: Thomas Carter
주연: 사무엘 L. 잭슨, Rob Brown, Robert Ri'chard</t>
  </si>
  <si>
    <t>할리우드적 스펙터클 너머, 2005년의 시선으로 담아낸 드라마의 이야기. 모든 이야기는 상처의 다른 이름이다. 우리는 각자의 서사 안에 갇혀 서로를 오해한다. 이 작품이 남기는 질문은 쉽게 사라지지 않는다.</t>
  </si>
  <si>
    <t>감독: 엘리자베스 뱅크스
주연: 케리 러셀, 올든 에런라이크, 오셰이 잭슨 주니어</t>
  </si>
  <si>
    <t>할리우드적 스펙터클 너머, 2023년의 시선으로 담아낸 코미디의 이야기. 웃음은 고통을 소화하는 인간만의 방식이다. 우스운 것과 슬픈 것은 본래 같은 뿌리에서 자란다. 완벽하지 않아도, 그 불완전함이 오히려 인간적이다.</t>
  </si>
  <si>
    <t>감독: 페르난도 메이렐레스
주연: 랄프 파인즈, 레이첼 와이즈, 대니 휴스턴</t>
  </si>
  <si>
    <t>영국적 절제와 냉소 사이에서, 2005년의 시선으로 담아낸 드라마의 이야기. 삶은 언제나 해석을 기다리는 텍스트다. 인간의 고통이란 결국 타인과의 거리에서 비롯된다. 두고두고 다시 꺼내 볼 만한 작품이다.</t>
  </si>
  <si>
    <t>감독: 엄태화
주연: 이병헌, 박서준, 박보영</t>
  </si>
  <si>
    <t>한국 특유의 정서가 켜켜이 쌓인 듯, 2023년의 시선으로 담아낸 드라마의 이야기. 우리는 각자의 서사 안에 갇혀 서로를 오해한다. 삶은 언제나 해석을 기다리는 텍스트다. 두고두고 다시 꺼내 볼 만한 작품이다.</t>
  </si>
  <si>
    <t>감독: 로버트 저메키스
주연: 조디 포스터, 매튜 매커너히, 제임스 우즈</t>
  </si>
  <si>
    <t>할리우드적 스펙터클 너머, 1997년의 시선으로 담아낸 SF의 이야기. 기술이 진보할수록 인간다움의 정의는 더욱 절박해진다. 우주의 광대함 앞에서 인간의 질문은 더욱 깊어진다. 두고두고 다시 꺼내 볼 만한 작품이다.</t>
  </si>
  <si>
    <t>감독: Baltasar Kormákur
주연: 마크 월버그, 케이트 베킨세일, 벤 포스터</t>
  </si>
  <si>
    <t>감독: 김진만, 김현철
주연: 나레이션 김남길</t>
  </si>
  <si>
    <t>한국</t>
  </si>
  <si>
    <t>2010년의 시선으로 담아낸 다큐 이야기가 우리에게 묻는다. 현실은 어떤 허구보다 더 충격적인 서사를 품고 있다. 기록은 망각에 대한 저항이며, 현재에 대한 증언이다. 이 작품이 남기는 질문은 쉽게 사라지지 않는다.</t>
  </si>
  <si>
    <t>감독: 요아킴 뢴닝, 에스펜 산드베르그
주연: Pål Sverre Hagen, Anders Baasmo Christiansen, Tobias Santelmann</t>
  </si>
  <si>
    <t>2012년의 시선으로 담아낸 모험 이야기가 우리에게 묻는다. 영상 언어로 포착된 인간의 이야기는 언제나 철학적 울림을 남긴다. 우리는 스크린 앞에 앉아 타인의 삶을 통해 우리 자신을 본다. 나름의 울림을 간직한 작품이다.</t>
  </si>
  <si>
    <t>감독: Timothy Woodward Jr.
주연: Lin Shaye, 토빈 벨, Chester Rushing</t>
  </si>
  <si>
    <t>할리우드적 스펙터클 너머, 2020년의 시선으로 담아낸 스릴러의 이야기. 긴장은 존재가 위협받을 때 가장 선명하게 빛난다. 불안이란 현실이 균열을 드러내는 순간에 스며든다. 나름의 울림을 간직한 작품이다.</t>
  </si>
  <si>
    <t>감독: 안소니 밍겔라
주연: 주드 로, 니콜 키드먼, 르네 젤위거</t>
  </si>
  <si>
    <t>할리우드적 스펙터클 너머, 2003년의 시선으로 담아낸 드라마의 이야기. 삶은 언제나 해석을 기다리는 텍스트다. 우리는 각자의 서사 안에 갇혀 서로를 오해한다. 이 작품이 남기는 질문은 쉽게 사라지지 않는다.</t>
  </si>
  <si>
    <t>감독: Frédéric Petitjean
주연: 장 르노, Sarah Lind, 데이빗 기아시</t>
  </si>
  <si>
    <t>프랑스 영화 특유의 철학적 깊이로, 2019년의 시선으로 담아낸 액션의 이야기. 생존의 욕망은 가장 원초적인 철학적 질문을 던진다. 폭력의 언어 속에서도 인간은 존엄을 갈망한다. 나름의 울림을 간직한 작품이다.</t>
  </si>
  <si>
    <t>감독: Hans Petter Moland
주연: 리암 니슨, 톰 베이트먼, Tom Jackson</t>
  </si>
  <si>
    <t>2019년의 시선으로 담아낸 액션 이야기가 우리에게 묻는다. 폭력의 언어 속에서도 인간은 존엄을 갈망한다. 육체의 한계에 도전하는 것은 곧 자아의 경계를 시험하는 일이다. 흠이 있지만 진심이 담긴 시도였다.</t>
  </si>
  <si>
    <t>감독: Łukasz Kośmicki
주연: 빌 풀먼, Lotte Verbeek, James Bloor</t>
  </si>
  <si>
    <t>2019년의 시선으로 담아낸 스릴러 이야기가 우리에게 묻는다. 불안이란 현실이 균열을 드러내는 순간에 스며든다. 공포는 우리가 통제할 수 없는 것들에 대한 솔직한 고백이다. 한 번쯤 들여다볼 가치가 있는 이야기다.</t>
  </si>
  <si>
    <t>감독: Florian Gallenberger
주연: 엠마 왓슨, 다니엘 브륄, 미카엘 니크비스트</t>
  </si>
  <si>
    <t>독일 특유의 사유의 무게를 지니며, 2015년의 시선으로 담아낸 드라마의 이야기. 삶은 언제나 해석을 기다리는 텍스트다. 모든 이야기는 상처의 다른 이름이다. 시간이 지날수록 더 깊이 읽히는 영화다.</t>
  </si>
  <si>
    <t>감독: Olivier Megaton
주연: 조 샐다나, 클리프 커티스, Callum Blue</t>
  </si>
  <si>
    <t>프랑스 영화 특유의 철학적 깊이로, 2011년의 시선으로 담아낸 액션의 이야기. 생존의 욕망은 가장 원초적인 철학적 질문을 던진다. 육체의 한계에 도전하는 것은 곧 자아의 경계를 시험하는 일이다. 한 번쯤 들여다볼 가치가 있는 이야기다.</t>
  </si>
  <si>
    <t>감독: Marco Kreuzpaintner
주연: Elyas M'Barek, Heiner Lauterbach, 알렉산드라 마리아 라라</t>
  </si>
  <si>
    <t>독일 특유의 사유의 무게를 지니며, 2019년의 시선으로 담아낸 드라마의 이야기. 삶은 언제나 해석을 기다리는 텍스트다. 우리는 각자의 서사 안에 갇혀 서로를 오해한다. 오랫동안 여운이 남는 작품이다.</t>
  </si>
  <si>
    <t>감독: 三浦大輔
주연: 마츠자카 토리, 真飛聖, 冨手麻妙</t>
  </si>
  <si>
    <t>섬세한 일본적 감수성으로, 2018년의 시선으로 담아낸 드라마의 이야기. 삶은 언제나 해석을 기다리는 텍스트다. 모든 이야기는 상처의 다른 이름이다. 완벽하지 않아도, 그 불완전함이 오히려 인간적이다.</t>
  </si>
  <si>
    <t>감독: Adam Wilson
주연: Isabele De Rosa, Makenna Guyler, Scott Whatley</t>
  </si>
  <si>
    <t>할리우드적 스펙터클 너머, 2020년의 시선으로 담아낸 스릴러의 이야기. 불안이란 현실이 균열을 드러내는 순간에 스며든다. 긴장은 존재가 위협받을 때 가장 선명하게 빛난다. 아쉬움이 남지만, 모든 시도는 의미를 갖는다.</t>
  </si>
  <si>
    <t>감독: Jordan Vogt-Roberts
주연: 톰 히들스턴, 사무엘 L. 잭슨, 존 굿맨</t>
  </si>
  <si>
    <t>할리우드적 스펙터클 너머, 2017년의 시선으로 담아낸 액션의 이야기. 충돌은 세계가 변화를 요구하는 방식이다. 생존의 욕망은 가장 원초적인 철학적 질문을 던진다. 시간이 지날수록 더 깊이 읽히는 영화다.</t>
  </si>
  <si>
    <t>감독: 존 크래신스키
주연: 에밀리 블런트, 존 크래신스키, 밀리센트 시먼즈</t>
  </si>
  <si>
    <t>할리우드적 스펙터클 너머, 2018년의 시선으로 담아낸 공포의 이야기. 어둠은 우리 내면의 억압된 것들이 귀환하는 문이다. 공포란 이성이 침묵하는 순간 존재가 맞닥뜨리는 날것의 경험이다. 나름의 울림을 간직한 작품이다.</t>
  </si>
  <si>
    <t>할리우드적 스펙터클 너머, 2020년의 시선으로 담아낸 공포의 이야기. 우리가 두려워하는 것은 대개 우리 자신의 그림자다. 불가해한 것 앞에서 인간은 얼마나 작은가를 깨닫는다. 두고두고 다시 꺼내 볼 만한 작품이다.</t>
  </si>
  <si>
    <t>감독: 존 포드
주연: 존 웨인, 모린 오하라, Victor McLaglen</t>
  </si>
  <si>
    <t>1952년의 시선으로 담아낸 코미디 이야기가 우리에게 묻는다. 유머 속에는 세계의 부조리를 견뎌내는 지혜가 담겨 있다. 우스운 것과 슬픈 것은 본래 같은 뿌리에서 자란다. 이 작품이 남기는 질문은 쉽게 사라지지 않는다.</t>
  </si>
  <si>
    <t>2018년의 시선으로 담아낸 드라마 이야기가 우리에게 묻는다. 삶은 언제나 해석을 기다리는 텍스트다. 인간의 고통이란 결국 타인과의 거리에서 비롯된다. 시간이 지날수록 더 깊이 읽히는 영화다.</t>
  </si>
  <si>
    <t>감독: Aron Gaudet, Gita Pullapilly
주연: 크리스틴 벨, 커비, 빈스 본</t>
  </si>
  <si>
    <t>할리우드적 스펙터클 너머, 2021년의 시선으로 담아낸 코미디의 이야기. 우스운 것과 슬픈 것은 본래 같은 뿌리에서 자란다. 가볍게 웃는 순간에도 삶의 무게는 그 그림자를 드리운다. 한 번쯤 들여다볼 가치가 있는 이야기다.</t>
  </si>
  <si>
    <t>감독: Cho Beom-gu
주연: 이민기, 강예원, 김인권</t>
  </si>
  <si>
    <t>한국 특유의 정서가 켜켜이 쌓인 듯, 2011년의 시선으로 담아낸 액션의 이야기. 육체의 한계에 도전하는 것은 곧 자아의 경계를 시험하는 일이다. 충돌은 세계가 변화를 요구하는 방식이다. 흠이 있지만 진심이 담긴 시도였다.</t>
  </si>
  <si>
    <t>감독: 베르너 헤어조크
주연: 니콜 키드먼, 제임스 프랭코, 데미안 루이스</t>
  </si>
  <si>
    <t>할리우드적 스펙터클 너머, 2015년의 시선으로 담아낸 드라마의 이야기. 우리는 각자의 서사 안에 갇혀 서로를 오해한다. 모든 이야기는 상처의 다른 이름이다. 완벽하지 않아도, 그 불완전함이 오히려 인간적이다.</t>
  </si>
  <si>
    <t>감독: Scott Frank, Allan Scott
주연: 안야 테일러조이, Chloe Pirrie</t>
  </si>
  <si>
    <t>드라마 형식 속에서, 할리우드적 스펙터클 너머, 2020년의 시선으로 담아낸 드라마의 이야기. 삶은 언제나 해석을 기다리는 텍스트다. 우리는 각자의 서사 안에 갇혀 서로를 오해한다. 이 작품이 남기는 이미지는 어떤 방식으로든 기억에 새겨진다.</t>
  </si>
  <si>
    <t>감독: Kang Ji-eun
주연: 김해숙, 손호준, 남보라</t>
  </si>
  <si>
    <t>한국 특유의 정서가 켜켜이 쌓인 듯, 2019년의 시선으로 담아낸 코미디의 이야기. 가볍게 웃는 순간에도 삶의 무게는 그 그림자를 드리운다. 우스운 것과 슬픈 것은 본래 같은 뿌리에서 자란다. 오랫동안 여운이 남는 작품이다.</t>
  </si>
  <si>
    <t>감독: 클린트 이스트우드
주연: 클린트 이스트우드, Eduardo Minett, Natalia Traven</t>
  </si>
  <si>
    <t>할리우드적 스펙터클 너머, 2021년의 시선으로 담아낸 드라마의 이야기. 우리는 각자의 서사 안에 갇혀 서로를 오해한다. 삶은 언제나 해석을 기다리는 텍스트다. 흠이 있지만 진심이 담긴 시도였다.</t>
  </si>
  <si>
    <t>감독: Nicholas Jarecki
주연: 게리 올드만, 아미 해머, 에반젤린 릴리</t>
  </si>
  <si>
    <t>할리우드적 스펙터클 너머, 2021년의 시선으로 담아낸 액션의 이야기. 충돌은 세계가 변화를 요구하는 방식이다. 생존의 욕망은 가장 원초적인 철학적 질문을 던진다. 흠이 있지만 진심이 담긴 시도였다.</t>
  </si>
  <si>
    <t>감독: 바트 레이튼
주연: 크리스 헴스워스, 마크 러팔로, 닉 놀테, 할리 베리</t>
  </si>
  <si>
    <t>2026-03-19</t>
  </si>
  <si>
    <t>할리우드적 스펙터클 너머, 2026년의 시선으로 담아낸 범죄의 이야기. 법과 도덕 사이의 틈새에서 인간의 본성이 노출된다. 어둠 속에서도 인간은 스스로를 정당화하려 한다. 나름의 울림을 간직한 작품이다.</t>
  </si>
  <si>
    <t>감독: Meen
주연: 윤계상, 고아성, 윤경호</t>
  </si>
  <si>
    <t>감독: 폴 해기스
주연: 돈 치들, 산드라 블록, 브랜든 프레이저</t>
  </si>
  <si>
    <t>할리우드적 스펙터클 너머, 2004년의 시선으로 담아낸 드라마의 이야기. 모든 이야기는 상처의 다른 이름이다. 인간의 고통이란 결국 타인과의 거리에서 비롯된다. 나름의 울림을 간직한 작품이다.</t>
  </si>
  <si>
    <t>감독: Jim Wynorski
주연: Treat Williams, Hannes Jaenicke, Gary Hudson</t>
  </si>
  <si>
    <t>할리우드적 스펙터클 너머, 2016년의 시선으로 담아낸 액션의 이야기. 육체의 한계에 도전하는 것은 곧 자아의 경계를 시험하는 일이다. 생존의 욕망은 가장 원초적인 철학적 질문을 던진다. 평점이 담지 못하는 무언가가 이 영화에는 있다.</t>
  </si>
  <si>
    <t>감독: 존 M. 추
주연: 콘스탄스 우, 헨리 골딩, 양자경</t>
  </si>
  <si>
    <t>할리우드적 스펙터클 너머, 2018년의 시선으로 담아낸 코미디의 이야기. 유머 속에는 세계의 부조리를 견뎌내는 지혜가 담겨 있다. 웃음은 고통을 소화하는 인간만의 방식이다. 흠이 있지만 진심이 담긴 시도였다.</t>
  </si>
  <si>
    <t>감독: 조시 트랭크
주연: 데인 드한, Alex Russell, 마이클 B. 조던</t>
  </si>
  <si>
    <t>할리우드적 스펙터클 너머, 2012년의 시선으로 담아낸 SF의 이야기. 타자와의 만남은 언제나 자아의 재발견으로 이어진다. 우주의 광대함 앞에서 인간의 질문은 더욱 깊어진다. 나름의 울림을 간직한 작품이다.</t>
  </si>
  <si>
    <t>감독: 켐프 파워스, 저스틴 톰슨, 조아킴 도스 샌토스
주연: 셔믹 무어, 헤일리 스타인펠드, 브라이언 타이리 헨리</t>
  </si>
  <si>
    <t>한국 특유의 정서가 켜켜이 쌓인 듯, 2024년의 시선으로 담아낸 액션의 이야기. 충돌은 세계가 변화를 요구하는 방식이다. 생존의 욕망은 가장 원초적인 철학적 질문을 던진다. 흠이 있지만 진심이 담긴 시도였다.</t>
  </si>
  <si>
    <t>감독: Wayne Kramer
주연: 해리슨 포드, 레이 리오타, 앨리스 이브</t>
  </si>
  <si>
    <t>할리우드적 스펙터클 너머, 2009년의 시선으로 담아낸 드라마의 이야기. 인간의 고통이란 결국 타인과의 거리에서 비롯된다. 모든 이야기는 상처의 다른 이름이다. 한 번쯤 들여다볼 가치가 있는 이야기다.</t>
  </si>
  <si>
    <t>감독: 伊藤匡史
주연: 아베 히로시, 이시하라 사토미, 村上ショージ</t>
  </si>
  <si>
    <t>할리우드적 스펙터클 너머, 2012년의 시선으로 담아낸 드라마의 이야기. 삶은 언제나 해석을 기다리는 텍스트다. 모든 이야기는 상처의 다른 이름이다. 나름의 울림을 간직한 작품이다.</t>
  </si>
  <si>
    <t>감독: 알렉상드르 아자
주연: 카야 스코델라리오, 배리 페퍼, 모르비드 클라크</t>
  </si>
  <si>
    <t>할리우드적 스펙터클 너머, 2019년의 시선으로 담아낸 공포의 이야기. 불가해한 것 앞에서 인간은 얼마나 작은가를 깨닫는다. 어둠은 우리 내면의 억압된 것들이 귀환하는 문이다. 한 번쯤 들여다볼 가치가 있는 이야기다.</t>
  </si>
  <si>
    <t>감독: 크레이그 길레스피
주연: 엠마 스톤, 엠마 톰슨, Joel Fry</t>
  </si>
  <si>
    <t>할리우드적 스펙터클 너머, 2021년의 시선으로 담아낸 코미디의 이야기. 웃음은 고통을 소화하는 인간만의 방식이다. 우스운 것과 슬픈 것은 본래 같은 뿌리에서 자란다. 이 작품이 남기는 질문은 쉽게 사라지지 않는다.</t>
  </si>
  <si>
    <t>감독: 라이언 쿠글러
주연: 마이클 B. 조던, 실베스터 스탤론, 테사 톰슨</t>
  </si>
  <si>
    <t>할리우드적 스펙터클 너머, 2015년의 시선으로 담아낸 드라마의 이야기. 인간의 고통이란 결국 타인과의 거리에서 비롯된다. 우리는 각자의 서사 안에 갇혀 서로를 오해한다. 나름의 울림을 간직한 작품이다.</t>
  </si>
  <si>
    <t>감독: Steven Caple Jr.
주연: 마이클 B. 조던, 실베스터 스탤론, 테사 톰슨</t>
  </si>
  <si>
    <t>감독: Martin Wood
주연: 캣 그레이엄, 알렉산더 루드위그, 버지니아 매드슨</t>
  </si>
  <si>
    <t>할리우드적 스펙터클 너머, 2020년의 시선으로 담아낸 드라마의 이야기. 인간의 고통이란 결국 타인과의 거리에서 비롯된다. 우리는 각자의 서사 안에 갇혀 서로를 오해한다. 완벽하지 않아도, 그 불완전함이 오히려 인간적이다.</t>
  </si>
  <si>
    <t>감독: 아리엘 브로멘
주연: 케빈 코스트너, 게리 올드만, 토미 리 존스</t>
  </si>
  <si>
    <t>할리우드적 스펙터클 너머, 2016년의 시선으로 담아낸 액션의 이야기. 폭력의 언어 속에서도 인간은 존엄을 갈망한다. 육체의 한계에 도전하는 것은 곧 자아의 경계를 시험하는 일이다. 이 작품이 남기는 질문은 쉽게 사라지지 않는다.</t>
  </si>
  <si>
    <t>감독: Christian Gudegast
주연: 제라드 버틀러, 파블로 쉬라이버, 오셰이 잭슨 주니어</t>
  </si>
  <si>
    <t>할리우드적 스펙터클 너머, 2018년의 시선으로 담아낸 액션의 이야기. 생존의 욕망은 가장 원초적인 철학적 질문을 던진다. 육체의 한계에 도전하는 것은 곧 자아의 경계를 시험하는 일이다. 아쉬움이 남지만, 모든 시도는 의미를 갖는다.</t>
  </si>
  <si>
    <t>감독: 재키 얼 헤일리
주연: 댄 스티븐스, 존 트래볼타, 마이클 피트</t>
  </si>
  <si>
    <t>할리우드적 스펙터클 너머, 2015년의 시선으로 담아낸 범죄의 이야기. 법과 도덕 사이의 틈새에서 인간의 본성이 노출된다. 어둠 속에서도 인간은 스스로를 정당화하려 한다. 흠이 있지만 진심이 담긴 시도였다.</t>
  </si>
  <si>
    <t>감독: Brian Herzlinger
주연: Jackie Seiden, Ashley Wood, Houston Rhines</t>
  </si>
  <si>
    <t>할리우드적 스펙터클 너머, 2020년의 시선으로 담아낸 코미디의 이야기. 우스운 것과 슬픈 것은 본래 같은 뿌리에서 자란다. 유머 속에는 세계의 부조리를 견뎌내는 지혜가 담겨 있다. 거칠지만 그 안에서도 인간의 흔적은 남는다.</t>
  </si>
  <si>
    <t>감독: Ernie Barbarash
주연: 크리스틴 데이비스, 롭 로, Fezile Mpela</t>
  </si>
  <si>
    <t>2019년의 시선으로 담아낸 코미디 이야기가 우리에게 묻는다. 우스운 것과 슬픈 것은 본래 같은 뿌리에서 자란다. 가볍게 웃는 순간에도 삶의 무게는 그 그림자를 드리운다. 오랫동안 여운이 남는 작품이다.</t>
  </si>
  <si>
    <t>감독: Justin G. Dyck
주연: Kaitlyn Leeb, Nick Hounslow, Josh Dean</t>
  </si>
  <si>
    <t>2019년의 시선으로 담아낸 코미디 이야기가 우리에게 묻는다. 우스운 것과 슬픈 것은 본래 같은 뿌리에서 자란다. 웃음은 고통을 소화하는 인간만의 방식이다. 나름의 울림을 간직한 작품이다.</t>
  </si>
  <si>
    <t>감독: Pete Jacelone
주연: Heather Drew, Edward X. Young, Daylan Ludemann</t>
  </si>
  <si>
    <t>섬세한 일본적 감수성으로, 2016년의 시선으로 담아낸 공포의 이야기. 우리가 두려워하는 것은 대개 우리 자신의 그림자다. 어둠은 우리 내면의 억압된 것들이 귀환하는 문이다. 한 번쯤 들여다볼 가치가 있는 이야기다.</t>
  </si>
  <si>
    <t>감독: 릴리 워쇼스키, 라나 워쇼스키, 톰 티크베어
주연: 톰 행크스, 할리 베리, 짐 브로드벤트</t>
  </si>
  <si>
    <t>172분</t>
  </si>
  <si>
    <t>독일 특유의 사유의 무게를 지니며, 2012년의 시선으로 담아낸 SF의 이야기. 타자와의 만남은 언제나 자아의 재발견으로 이어진다. 미래를 상상하는 것은 현재를 비판하는 가장 우회적인 방법이다. 이 작품이 남기는 질문은 쉽게 사라지지 않는다.</t>
  </si>
  <si>
    <t>감독: 올리비에 아사야스
주연: 쥘리에트 비노쉬, 크리스틴 스튜어트, 클로이 그레이스 모레츠</t>
  </si>
  <si>
    <t>프랑스 영화 특유의 철학적 깊이로, 2014년의 시선으로 담아낸 드라마의 이야기. 인간의 고통이란 결국 타인과의 거리에서 비롯된다. 우리는 각자의 서사 안에 갇혀 서로를 오해한다. 두고두고 다시 꺼내 볼 만한 작품이다.</t>
  </si>
  <si>
    <t>감독: 原田眞人
주연: 츠츠미 신이치, 사카이 마사토, 오노 마치코</t>
  </si>
  <si>
    <t>섬세한 일본적 감수성으로, 2008년의 시선으로 담아낸 드라마의 이야기. 인간의 고통이란 결국 타인과의 거리에서 비롯된다. 우리는 각자의 서사 안에 갇혀 서로를 오해한다. 한 번쯤 들여다볼 가치가 있는 이야기다.</t>
  </si>
  <si>
    <t>감독: 곽재용
주연: 손예진, 조승우, 조인성</t>
  </si>
  <si>
    <t>한국 특유의 정서가 켜켜이 쌓인 듯, 2003년의 시선으로 담아낸 로맨스의 이야기. 사랑은 자아의 경계가 흔들리는 순간에 찾아온다. 두 사람 사이의 침묵은 때로 말보다 더 많은 것을 말한다. 완성도와 별개로, 이 작품이 던지려 한 질문은 유효하다.</t>
  </si>
  <si>
    <t>감독: Michael Chapman
주연: 대릴 해나, Pamela Reed, James Remar</t>
  </si>
  <si>
    <t>2015년의 시선으로 담아낸 범죄 이야기가 우리에게 묻는다. 어둠 속에서도 인간은 스스로를 정당화하려 한다. 죄란 사회가 만든 경계를 넘는 행위이자 그 경계에 대한 질문이다. 두고두고 다시 꺼내 볼 만한 작품이다.</t>
  </si>
  <si>
    <t>감독: Chinonye Chukwu
주연: 알프레 우더드, Richard Schiff, 알디스 호지</t>
  </si>
  <si>
    <t>감독: 줄리어스 오나
주연: 구구 음바타로, 다니엘 브륄, 크리스 오다우드</t>
  </si>
  <si>
    <t>할리우드적 스펙터클 너머, 2018년의 시선으로 담아낸 공포의 이야기. 공포란 이성이 침묵하는 순간 존재가 맞닥뜨리는 날것의 경험이다. 어둠은 우리 내면의 억압된 것들이 귀환하는 문이다. 완성도와 별개로, 이 작품이 던지려 한 질문은 유효하다.</t>
  </si>
  <si>
    <t>감독: 아톰 에고이안
주연: 아만다 사이프리드, 줄리앤 무어, 리암 니슨</t>
  </si>
  <si>
    <t>2009년의 시선으로 담아낸 드라마 이야기가 우리에게 묻는다. 모든 이야기는 상처의 다른 이름이다. 인간의 고통이란 결국 타인과의 거리에서 비롯된다. 한 번쯤 들여다볼 가치가 있는 이야기다.</t>
  </si>
  <si>
    <t>감독: 마이크 니콜스
주연: 주드 로, 나탈리 포트만, 줄리아 로버츠</t>
  </si>
  <si>
    <t>할리우드적 스펙터클 너머, 2004년의 시선으로 담아낸 드라마의 이야기. 모든 이야기는 상처의 다른 이름이다. 삶은 언제나 해석을 기다리는 텍스트다. 시간이 지날수록 더 깊이 읽히는 영화다.</t>
  </si>
  <si>
    <t>감독: Kim Kwang-bin
주연: 하정우, 김남길, 허율</t>
  </si>
  <si>
    <t>한국 특유의 정서가 켜켜이 쌓인 듯, 2020년의 시선으로 담아낸 공포의 이야기. 어둠은 우리 내면의 억압된 것들이 귀환하는 문이다. 불가해한 것 앞에서 인간은 얼마나 작은가를 깨닫는다. 이 작품이 남기는 질문은 쉽게 사라지지 않는다.</t>
  </si>
  <si>
    <t>감독: Vicky Jewson
주연: 누미 라파스, 소피 넬리스, 인디라 바마</t>
  </si>
  <si>
    <t>2019년의 시선으로 담아낸 액션 이야기가 우리에게 묻는다. 육체의 한계에 도전하는 것은 곧 자아의 경계를 시험하는 일이다. 충돌은 세계가 변화를 요구하는 방식이다. 흠이 있지만 진심이 담긴 시도였다.</t>
  </si>
  <si>
    <t>감독: 유키사다 이사오
주연: 사와지리 에리카, 이세야 유스케, 타케우치 유코</t>
  </si>
  <si>
    <t>섬세한 일본적 감수성으로, 2007년의 시선으로 담아낸 드라마의 이야기. 삶은 언제나 해석을 기다리는 텍스트다. 우리는 각자의 서사 안에 갇혀 서로를 오해한다. 나름의 울림을 간직한 작품이다.</t>
  </si>
  <si>
    <t>감독: Les Mayfield
주연: 세드릭 더 엔터테이너, Nicollette Sheridan, 니시 내쉬</t>
  </si>
  <si>
    <t>할리우드적 스펙터클 너머, 2007년의 시선으로 담아낸 액션의 이야기. 생존의 욕망은 가장 원초적인 철학적 질문을 던진다. 육체의 한계에 도전하는 것은 곧 자아의 경계를 시험하는 일이다. 아쉬움이 남지만, 모든 시도는 의미를 갖는다.</t>
  </si>
  <si>
    <t>감독: Frank Coraci
주연: 애덤 샌들러, 케이트 베킨세일, 크리스토퍼 워컨</t>
  </si>
  <si>
    <t>할리우드적 스펙터클 너머, 2006년의 시선으로 담아낸 코미디의 이야기. 유머 속에는 세계의 부조리를 견뎌내는 지혜가 담겨 있다. 가볍게 웃는 순간에도 삶의 무게는 그 그림자를 드리운다. 오랫동안 여운이 남는 작품이다.</t>
  </si>
  <si>
    <t>감독: Daniel Alfredson
주연: 안소니 홉킨스, 짐 스터지스, 샘 워싱턴</t>
  </si>
  <si>
    <t>2015년의 시선으로 담아낸 범죄 이야기가 우리에게 묻는다. 법과 도덕 사이의 틈새에서 인간의 본성이 노출된다. 욕망은 언제나 질서보다 먼저 존재했다. 완벽하지 않아도, 그 불완전함이 오히려 인간적이다.</t>
  </si>
  <si>
    <t>감독: Luis Prieto
주연: 할리 베리, Sage Correa, Chris McGinn</t>
  </si>
  <si>
    <t>할리우드적 스펙터클 너머, 2017년의 시선으로 담아낸 액션의 이야기. 육체의 한계에 도전하는 것은 곧 자아의 경계를 시험하는 일이다. 폭력의 언어 속에서도 인간은 존엄을 갈망한다. 흠이 있지만 진심이 담긴 시도였다.</t>
  </si>
  <si>
    <t>감독: 佐藤祐市
주연: 오구리 슌, 산타마리아 유스케, 코이데 케이스케</t>
  </si>
  <si>
    <t>섬세한 일본적 감수성으로, 2007년의 시선으로 담아낸 코미디의 이야기. 가볍게 웃는 순간에도 삶의 무게는 그 그림자를 드리운다. 유머 속에는 세계의 부조리를 견뎌내는 지혜가 담겨 있다. 오랫동안 여운이 남는 작품이다.</t>
  </si>
  <si>
    <t>감독: Nuala O'Connor
주연: Nuala O’Connor, Mary Black, 에이단 길런</t>
  </si>
  <si>
    <t>할리우드적 스펙터클 너머, 2018년의 시선으로 담아낸 드라마의 이야기. 인간의 고통이란 결국 타인과의 거리에서 비롯된다. 우리는 각자의 서사 안에 갇혀 서로를 오해한다. 한 번쯤 들여다볼 가치가 있는 이야기다.</t>
  </si>
  <si>
    <t>감독: John Krokidas
주연: 다니엘 래드클리프, 데인 드한, 마이클 C. 홀</t>
  </si>
  <si>
    <t>할리우드적 스펙터클 너머, 2013년의 시선으로 담아낸 드라마의 이야기. 삶은 언제나 해석을 기다리는 텍스트다. 모든 이야기는 상처의 다른 이름이다. 흠이 있지만 진심이 담긴 시도였다.</t>
  </si>
  <si>
    <t>감독: 패트릭 휴스
주연: 라이언 레이놀즈, 사무엘 L. 잭슨, 게리 올드만</t>
  </si>
  <si>
    <t>할리우드적 스펙터클 너머, 2017년의 시선으로 담아낸 액션의 이야기. 충돌은 세계가 변화를 요구하는 방식이다. 생존의 욕망은 가장 원초적인 철학적 질문을 던진다. 한 번쯤 들여다볼 가치가 있는 이야기다.</t>
  </si>
  <si>
    <t>감독: 패트릭 휴스
주연: 라이언 레이놀즈, 사무엘 L. 잭슨, 셀마 헤이엑</t>
  </si>
  <si>
    <t>할리우드적 스펙터클 너머, 2021년의 시선으로 담아낸 액션의 이야기. 폭력의 언어 속에서도 인간은 존엄을 갈망한다. 육체의 한계에 도전하는 것은 곧 자아의 경계를 시험하는 일이다. 한 번쯤 들여다볼 가치가 있는 이야기다.</t>
  </si>
  <si>
    <t>감독: Paul Katis
주연: Mark Stanley, 맬러카이 커비, Ali Cook</t>
  </si>
  <si>
    <t>영국적 절제와 냉소 사이에서, 2014년의 시선으로 담아낸 전쟁의 이야기. 총성은 멈추어도 그 상처는 세대를 넘어 흐른다. 전쟁은 인간의 이성이 멈추는 지점에서 시작된다. 흠이 있지만 진심이 담긴 시도였다.</t>
  </si>
  <si>
    <t>감독: 피비 월러브리지
주연: 산드라 오, 조디 코머, 피오나 쇼</t>
  </si>
  <si>
    <t>드라마 형식 속에서, 영국적 절제와 냉소 사이에서, 2018년의 시선으로 담아낸 드라마의 이야기. 삶은 언제나 해석을 기다리는 텍스트다. 우리는 각자의 서사 안에 갇혀 서로를 오해한다. 이 작품이 남기는 이미지는 어떤 방식으로든 기억에 새겨진다.</t>
  </si>
  <si>
    <t>드라마 형식 속에서, 영국적 절제와 냉소 사이에서, 2019년의 시선으로 담아낸 드라마의 이야기. 우리는 각자의 서사 안에 갇혀 서로를 오해한다. 인간의 고통이란 결국 타인과의 거리에서 비롯된다. 이 작품이 남기는 이미지는 어떤 방식으로든 기억에 새겨진다.</t>
  </si>
  <si>
    <t>드라마 형식 속에서, 영국적 절제와 냉소 사이에서, 2020년의 시선으로 담아낸 드라마의 이야기. 우리는 각자의 서사 안에 갇혀 서로를 오해한다. 삶은 언제나 해석을 기다리는 텍스트다. 이 작품이 남기는 이미지는 어떤 방식으로든 기억에 새겨진다.</t>
  </si>
  <si>
    <t>감독: Mark Steven Johnson
주연: 로버트 드 니로, 존 트래볼타, Milo Ventimiglia</t>
  </si>
  <si>
    <t>할리우드적 스펙터클 너머, 2013년의 시선으로 담아낸 액션의 이야기. 폭력의 언어 속에서도 인간은 존엄을 갈망한다. 육체의 한계에 도전하는 것은 곧 자아의 경계를 시험하는 일이다. 완벽하지 않아도, 그 불완전함이 오히려 인간적이다.</t>
  </si>
  <si>
    <t>감독: Reinaldo Marcus Green
주연: 윌 스미스, 안저뉴 엘리스 테일러, Saniyya Sidney</t>
  </si>
  <si>
    <t>할리우드적 스펙터클 너머, 2021년의 시선으로 담아낸 드라마의 이야기. 삶은 언제나 해석을 기다리는 텍스트다. 인간의 고통이란 결국 타인과의 거리에서 비롯된다. 한 번쯤 들여다볼 가치가 있는 이야기다.</t>
  </si>
  <si>
    <t>감독: 김은희, 김성훈
주연: 주지훈, 류승룡, 배두나</t>
  </si>
  <si>
    <t>드라마 형식 속에서, 한국 특유의 정서가 켜켜이 쌓인 듯, 2019년의 시선으로 담아낸 드라마의 이야기. 우리는 각자의 서사 안에 갇혀 서로를 오해한다. 삶은 언제나 해석을 기다리는 텍스트다. 평점이 담지 못하는 무언가가 이 영화에는 있다.</t>
  </si>
  <si>
    <t>감독: Park Chan-uk
주연: 이다희, 장성규, Sangyeon</t>
  </si>
  <si>
    <t>드라마 형식 속에서, 한국 특유의 정서가 켜켜이 쌓인 듯, 2020년의 시선으로 담아낸 드라마의 이야기. 삶은 언제나 해석을 기다리는 텍스트다. 모든 이야기는 상처의 다른 이름이다. 이 작품이 남기는 이미지는 어떤 방식으로든 기억에 새겨진다.</t>
  </si>
  <si>
    <t>감독: 변성현
주연: 설경구, 이선균, 유재명</t>
  </si>
  <si>
    <t>한국 특유의 정서가 켜켜이 쌓인 듯, 2022년의 시선으로 담아낸 드라마의 이야기. 삶은 언제나 해석을 기다리는 텍스트다. 우리는 각자의 서사 안에 갇혀 서로를 오해한다. 오랫동안 여운이 남는 작품이다.</t>
  </si>
  <si>
    <t>감독: 조지 클루니
주연: 라이언 고슬링, 조지 클루니, 필립 세이모어 호프만</t>
  </si>
  <si>
    <t>감독: 톰 후퍼
주연: 콜린 퍼스, 제프리 러쉬, 헬레나 본햄 카터</t>
  </si>
  <si>
    <t>영국적 절제와 냉소 사이에서, 2010년의 시선으로 담아낸 드라마의 이야기. 우리는 각자의 서사 안에 갇혀 서로를 오해한다. 모든 이야기는 상처의 다른 이름이다. 시간이 지날수록 더 깊이 읽히는 영화다.</t>
  </si>
  <si>
    <t>감독: 매튜 본
주연: 태런 에저턴, 콜린 퍼스, 줄리앤 무어</t>
  </si>
  <si>
    <t>영국적 절제와 냉소 사이에서, 2017년의 시선으로 담아낸 액션의 이야기. 생존의 욕망은 가장 원초적인 철학적 질문을 던진다. 육체의 한계에 도전하는 것은 곧 자아의 경계를 시험하는 일이다. 이 작품이 남기는 질문은 쉽게 사라지지 않는다.</t>
  </si>
  <si>
    <t>감독: 매튜 본
주연: 랄프 파인즈, 젬마 아터턴, 리스 이판</t>
  </si>
  <si>
    <t>영국적 절제와 냉소 사이에서, 2021년의 시선으로 담아낸 액션의 이야기. 충돌은 세계가 변화를 요구하는 방식이다. 생존의 욕망은 가장 원초적인 철학적 질문을 던진다. 완벽하지 않아도, 그 불완전함이 오히려 인간적이다.</t>
  </si>
  <si>
    <t>감독: 박건용
주연: 이범수, 조안, 최희서</t>
  </si>
  <si>
    <t>한국 특유의 정서가 켜켜이 쌓인 듯, 2009년의 시선으로 담아낸 드라마의 이야기. 삶은 언제나 해석을 기다리는 텍스트다. 인간의 고통이란 결국 타인과의 거리에서 비롯된다. 오랫동안 여운이 남는 작품이다.</t>
  </si>
  <si>
    <t>감독: Daniel Roby
주연: Antoine Olivier Pilon, 조쉬 하트넷, Stephen McHattie</t>
  </si>
  <si>
    <t>2020년의 시선으로 담아낸 범죄 이야기가 우리에게 묻는다. 욕망은 언제나 질서보다 먼저 존재했다. 어둠 속에서도 인간은 스스로를 정당화하려 한다. 흠이 있지만 진심이 담긴 시도였다.</t>
  </si>
  <si>
    <t>감독: 토드 필드
주연: 케이트 블란쳇, 니나 호스, 노에미 메를랑</t>
  </si>
  <si>
    <t>할리우드적 스펙터클 너머, 2022년의 시선으로 담아낸 드라마의 이야기. 모든 이야기는 상처의 다른 이름이다. 삶은 언제나 해석을 기다리는 텍스트다. 완벽하지 않아도, 그 불완전함이 오히려 인간적이다.</t>
  </si>
  <si>
    <t>감독: 셀린 시아마
주연: 노에미 메를랑, 아델 에넬, Luàna Bajrami</t>
  </si>
  <si>
    <t>프랑스 영화 특유의 철학적 깊이로, 2019년의 시선으로 담아낸 드라마의 이야기. 우리는 각자의 서사 안에 갇혀 서로를 오해한다. 인간의 고통이란 결국 타인과의 거리에서 비롯된다. 오랫동안 여운이 남는 작품이다.</t>
  </si>
  <si>
    <t>감독: 김지훈
주연: 설경구, 손예진, 김상경</t>
  </si>
  <si>
    <t>한국 특유의 정서가 켜켜이 쌓인 듯, 2012년의 시선으로 담아낸 액션의 이야기. 생존의 욕망은 가장 원초적인 철학적 질문을 던진다. 충돌은 세계가 변화를 요구하는 방식이다. 시간이 지날수록 더 깊이 읽히는 영화다.</t>
  </si>
  <si>
    <t>감독: 브렛 래트너
주연: 벤 스틸러, 에디 머피, 케이시 애플렉</t>
  </si>
  <si>
    <t>할리우드적 스펙터클 너머, 2011년의 시선으로 담아낸 코미디의 이야기. 우스운 것과 슬픈 것은 본래 같은 뿌리에서 자란다. 웃음은 고통을 소화하는 인간만의 방식이다. 완벽하지 않아도, 그 불완전함이 오히려 인간적이다.</t>
  </si>
  <si>
    <t>감독: 제임스 카메론
주연: 레오나르도 디카프리오, 케이트 윈슬렛, 빌리 제인</t>
  </si>
  <si>
    <t>194분</t>
  </si>
  <si>
    <t>할리우드적 스펙터클 너머, 1997년의 시선으로 담아낸 드라마의 이야기. 모든 이야기는 상처의 다른 이름이다. 삶은 언제나 해석을 기다리는 텍스트다. 오랫동안 여운이 남는 작품이다.</t>
  </si>
  <si>
    <t>감독: 蕭雅全
주연: 계륜미, 林辰唏, 張翰</t>
  </si>
  <si>
    <t>2010년의 시선으로 담아낸 드라마 이야기가 우리에게 묻는다. 우리는 각자의 서사 안에 갇혀 서로를 오해한다. 인간의 고통이란 결국 타인과의 거리에서 비롯된다. 오랫동안 여운이 남는 작품이다.</t>
  </si>
  <si>
    <t>감독: 플로리안 헨켈 폰 도너스마르크
주연: 마르티나 게덱, Ulrich Mühe, Sebastian Koch</t>
  </si>
  <si>
    <t>독일 특유의 사유의 무게를 지니며, 2006년의 시선으로 담아낸 드라마의 이야기. 인간의 고통이란 결국 타인과의 거리에서 비롯된다. 모든 이야기는 상처의 다른 이름이다. 시간이 지날수록 더 깊이 읽히는 영화다.</t>
  </si>
  <si>
    <t>감독: Lone Scherfig
주연: 조이 카잔, 안드레아 라이즈보로, 타하르 라힘</t>
  </si>
  <si>
    <t>2019년의 시선으로 담아낸 드라마 이야기가 우리에게 묻는다. 인간의 고통이란 결국 타인과의 거리에서 비롯된다. 모든 이야기는 상처의 다른 이름이다. 한 번쯤 들여다볼 가치가 있는 이야기다.</t>
  </si>
  <si>
    <t>감독: Jimmy McGovern
주연: 벨라 램지, Siobhan Finneran, 조디 휘태커</t>
  </si>
  <si>
    <t>드라마 형식 속에서, 영국적 절제와 냉소 사이에서, 2021년의 시선으로 담아낸 드라마의 이야기. 우리는 각자의 서사 안에 갇혀 서로를 오해한다. 모든 이야기는 상처의 다른 이름이다. 평점이 담지 못하는 무언가가 이 영화에는 있다.</t>
  </si>
  <si>
    <t>감독: Alireza Raisian
주연: 레일라 하타미, 샤하브 호세이니, فرهاد اصلانی</t>
  </si>
  <si>
    <t>섬세한 일본적 감수성으로, 2014년의 시선으로 담아낸 로맨스의 이야기. 사랑은 자아의 경계가 흔들리는 순간에 찾아온다. 두 사람 사이의 침묵은 때로 말보다 더 많은 것을 말한다. 한 번쯤 들여다볼 가치가 있는 이야기다.</t>
  </si>
  <si>
    <t>감독: 마크 윌리엄스
주연: 제라드 버틀러, 그레첸 몰, Maxwell Jenkins</t>
  </si>
  <si>
    <t>2017년의 시선으로 담아낸 로맨스 이야기가 우리에게 묻는다. 설렘은 불완전한 존재가 완전함을 향해 뻗는 손길이다. 그리움이란 부재를 통해 존재를 확인하는 방식이다. 오랫동안 여운이 남는 작품이다.</t>
  </si>
  <si>
    <t>감독: Minha Park</t>
  </si>
  <si>
    <t>섬세한 일본적 감수성으로, 2014년의 시선으로 담아낸 SF의 이야기. 타자와의 만남은 언제나 자아의 재발견으로 이어진다. 미래를 상상하는 것은 현재를 비판하는 가장 우회적인 방법이다. 완벽하지 않아도, 그 불완전함이 오히려 인간적이다.</t>
  </si>
  <si>
    <t>감독: 강형철
주연: 최승현, 신세경, 곽도원</t>
  </si>
  <si>
    <t>한국 특유의 정서가 켜켜이 쌓인 듯, 2014년의 시선으로 담아낸 범죄의 이야기. 어둠 속에서도 인간은 스스로를 정당화하려 한다. 죄란 사회가 만든 경계를 넘는 행위이자 그 경계에 대한 질문이다. 한 번쯤 들여다볼 가치가 있는 이야기다.</t>
  </si>
  <si>
    <t>감독: 조나단 글레이저
주연: 니콜 키드먼, Cameron Bright, 대니 휴스턴</t>
  </si>
  <si>
    <t>한국 특유의 정서가 켜켜이 쌓인 듯, 2004년의 시선으로 담아낸 드라마의 이야기. 우리는 각자의 서사 안에 갇혀 서로를 오해한다. 인간의 고통이란 결국 타인과의 거리에서 비롯된다. 두고두고 다시 꺼내 볼 만한 작품이다.</t>
  </si>
  <si>
    <t>감독: 이종필
주연: 이제훈, 구교환, 홍사빈</t>
  </si>
  <si>
    <t>한국 특유의 정서가 켜켜이 쌓인 듯, 2024년의 시선으로 담아낸 액션의 이야기. 폭력의 언어 속에서도 인간은 존엄을 갈망한다. 육체의 한계에 도전하는 것은 곧 자아의 경계를 시험하는 일이다. 나름의 울림을 간직한 작품이다.</t>
  </si>
  <si>
    <t>감독: 자비에 돌란
주연: 자비에 돌란, Pierre-Yves Cardinal, Lise Roy</t>
  </si>
  <si>
    <t>2013년의 시선으로 담아낸 스릴러 이야기가 우리에게 묻는다. 공포는 우리가 통제할 수 없는 것들에 대한 솔직한 고백이다. 불안이란 현실이 균열을 드러내는 순간에 스며든다. 두고두고 다시 꺼내 볼 만한 작품이다.</t>
  </si>
  <si>
    <t>감독: Hong Li-gyeong</t>
  </si>
  <si>
    <t>한국 특유의 정서가 켜켜이 쌓인 듯, 2012년의 시선으로 담아낸 드라마의 이야기. 모든 이야기는 상처의 다른 이름이다. 삶은 언제나 해석을 기다리는 텍스트다. 오랫동안 여운이 남는 작품이다.</t>
  </si>
  <si>
    <t>감독: Kim Joung-hoon
주연: 권상우, 성동일, 이승준</t>
  </si>
  <si>
    <t>한국 특유의 정서가 켜켜이 쌓인 듯, 2015년의 시선으로 담아낸 범죄의 이야기. 욕망은 언제나 질서보다 먼저 존재했다. 어둠 속에서도 인간은 스스로를 정당화하려 한다. 이 작품이 남기는 질문은 쉽게 사라지지 않는다.</t>
  </si>
  <si>
    <t>감독: 이언희
주연: 권상우, 성동일, 이광수</t>
  </si>
  <si>
    <t>한국 특유의 정서가 켜켜이 쌓인 듯, 2018년의 시선으로 담아낸 범죄의 이야기. 죄란 사회가 만든 경계를 넘는 행위이자 그 경계에 대한 질문이다. 어둠 속에서도 인간은 스스로를 정당화하려 한다. 시간이 지날수록 더 깊이 읽히는 영화다.</t>
  </si>
  <si>
    <t>이 기타의 이야기가 우리에게 묻는다. 시간이 흐른 뒤에도 이 장면들은 기억 속에 선명히 남는다. 영상 언어로 포착된 인간의 이야기는 언제나 철학적 울림을 남긴다. 평점이 담지 못하는 무언가가 이 영화에는 있다.</t>
  </si>
  <si>
    <t>감독: 조셉 코신스키
주연: 톰 크루즈, 발 킬머, 마일스 텔러</t>
  </si>
  <si>
    <t>할리우드적 스펙터클 너머, 2022년의 시선으로 담아낸 액션의 이야기. 충돌은 세계가 변화를 요구하는 방식이다. 육체의 한계에 도전하는 것은 곧 자아의 경계를 시험하는 일이다. 시간이 지날수록 더 깊이 읽히는 영화다.</t>
  </si>
  <si>
    <t>감독: 강제규
주연: 장동건, 원빈, 이은주</t>
  </si>
  <si>
    <t>한국 특유의 정서가 켜켜이 쌓인 듯, 2004년의 시선으로 담아낸 전쟁의 이야기. 총성은 멈추어도 그 상처는 세대를 넘어 흐른다. 폐허 속에서도 존엄을 지키려는 의지가 역사를 만든다. 이 작품이 남기는 질문은 쉽게 사라지지 않는다.</t>
  </si>
  <si>
    <t>감독: 羽住英一郎
주연: 후지와라 타츠야, 타케우치 료마, 한효주</t>
  </si>
  <si>
    <t>섬세한 일본적 감수성으로, 2020년의 시선으로 담아낸 스릴러의 이야기. 불안이란 현실이 균열을 드러내는 순간에 스며든다. 진실은 언제나 우리가 감당할 수 없는 형태로 찾아온다. 아쉬움이 남지만, 모든 시도는 의미를 갖는다.</t>
  </si>
  <si>
    <t>감독: 小泉徳宏
주연: YUI, 쓰카모토 다카시, 키시타니 고로</t>
  </si>
  <si>
    <t>섬세한 일본적 감수성으로, 2006년의 시선으로 담아낸 로맨스의 이야기. 사랑은 자아의 경계가 흔들리는 순간에 찾아온다. 그리움이란 부재를 통해 존재를 확인하는 방식이다. 나름의 울림을 간직한 작품이다.</t>
  </si>
  <si>
    <t>감독: 스티븐 스필버그
주연: 크리스찬 베일, 존 말코비치, 미란다 리처드슨</t>
  </si>
  <si>
    <t>할리우드적 스펙터클 너머, 1987년의 시선으로 담아낸 드라마의 이야기. 우리는 각자의 서사 안에 갇혀 서로를 오해한다. 모든 이야기는 상처의 다른 이름이다. 오랫동안 여운이 남는 작품이다.</t>
  </si>
  <si>
    <t>감독: 오우삼
주연: 장쯔이, 금성무, 송혜교</t>
  </si>
  <si>
    <t>광활한 대지의 이야기를 담아, 2015년의 시선으로 담아낸 드라마의 이야기. 삶은 언제나 해석을 기다리는 텍스트다. 우리는 각자의 서사 안에 갇혀 서로를 오해한다. 완벽하지 않아도, 그 불완전함이 오히려 인간적이다.</t>
  </si>
  <si>
    <t>감독: Sargon Saadi</t>
  </si>
  <si>
    <t>섬세한 일본적 감수성으로, 2016년의 시선으로 담아낸 드라마의 이야기. 삶은 언제나 해석을 기다리는 텍스트다. 우리는 각자의 서사 안에 갇혀 서로를 오해한다. 이 작품이 남기는 질문은 쉽게 사라지지 않는다.</t>
  </si>
  <si>
    <t>감독: 장훈
주연: 송강호, 토마스 크레치만, 유해진</t>
  </si>
  <si>
    <t>한국 특유의 정서가 켜켜이 쌓인 듯, 2017년의 시선으로 담아낸 드라마의 이야기. 삶은 언제나 해석을 기다리는 텍스트다. 인간의 고통이란 결국 타인과의 거리에서 비롯된다. 오랫동안 여운이 남는 작품이다.</t>
  </si>
  <si>
    <t>감독: 김성훈
주연: 하정우, 배두나, 오달수</t>
  </si>
  <si>
    <t>한국 특유의 정서가 켜켜이 쌓인 듯, 2016년의 시선으로 담아낸 재난의 이야기. 이 작품은 단순한 오락을 넘어 삶의 어떤 단면을 응시하게 한다. 시간이 흐른 뒤에도 이 장면들은 기억 속에 선명히 남는다. 이 작품이 남기는 이미지는 어떤 방식으로든 기억에 새겨진다.</t>
  </si>
  <si>
    <t>감독: 스티븐 스필버그
주연: 톰 행크스, 캐서린 제타존스, 스탠리 투치</t>
  </si>
  <si>
    <t>할리우드적 스펙터클 너머, 2004년의 시선으로 담아낸 드라마의 이야기. 모든 이야기는 상처의 다른 이름이다. 우리는 각자의 서사 안에 갇혀 서로를 오해한다. 오랫동안 여운이 남는 작품이다.</t>
  </si>
  <si>
    <t>감독: Jack Carr, David DiGilio
주연: Taylor Kitsch, Tom Hopper</t>
  </si>
  <si>
    <t>드라마 형식 속에서, 할리우드적 스펙터클 너머, 2025년의 시선으로 담아낸 드라마의 이야기. 모든 이야기는 상처의 다른 이름이다. 삶은 언제나 해석을 기다리는 텍스트다. 이 작품이 남기는 이미지는 어떤 방식으로든 기억에 새겨진다.</t>
  </si>
  <si>
    <t>감독: 알렌 테일러
주연: 에밀리아 클라크, 제이 코트니, 아놀드 슈왈제네거</t>
  </si>
  <si>
    <t>할리우드적 스펙터클 너머, 2015년의 시선으로 담아낸 액션의 이야기. 폭력의 언어 속에서도 인간은 존엄을 갈망한다. 생존의 욕망은 가장 원초적인 철학적 질문을 던진다. 시간이 지날수록 더 깊이 읽히는 영화다.</t>
  </si>
  <si>
    <t>감독: 팀 밀러
주연: 린다 해밀턴, 아놀드 슈왈제네거, 맥켄지 데이비스</t>
  </si>
  <si>
    <t>할리우드적 스펙터클 너머, 2019년의 시선으로 담아낸 액션의 이야기. 생존의 욕망은 가장 원초적인 철학적 질문을 던진다. 폭력의 언어 속에서도 인간은 존엄을 갈망한다. 이 작품이 남기는 질문은 쉽게 사라지지 않는다.</t>
  </si>
  <si>
    <t>감독: 오슨 웰스
주연: 찰턴 헤스턴, 자넷 리, 오슨 웰스</t>
  </si>
  <si>
    <t>섬세한 일본적 감수성으로, 2005년의 시선으로 담아낸 드라마의 이야기. 인간의 고통이란 결국 타인과의 거리에서 비롯된다. 우리는 각자의 서사 안에 갇혀 서로를 오해한다. 흠이 있지만 진심이 담긴 시도였다.</t>
  </si>
  <si>
    <t>감독: 크리스토퍼 놀란
주연: 존 데이비드 워싱턴, 로버트 패틴슨, 엘리자베스 데비키</t>
  </si>
  <si>
    <t>영국적 절제와 냉소 사이에서, 2020년의 시선으로 담아낸 액션의 이야기. 폭력의 언어 속에서도 인간은 존엄을 갈망한다. 육체의 한계에 도전하는 것은 곧 자아의 경계를 시험하는 일이다. 두고두고 다시 꺼내 볼 만한 작품이다.</t>
  </si>
  <si>
    <t>감독: 제이슨 수데이키스, Bill Lawrence
주연: 제이슨 수데이키스, 해나 워딩엄, 제레미 스위프트</t>
  </si>
  <si>
    <t>감독: Charlie Stratton
주연: 엘리자베스 올슨, 톰 펠튼, 제시카 랭</t>
  </si>
  <si>
    <t>프랑스 영화 특유의 철학적 깊이로, 2013년의 시선으로 담아낸 드라마의 이야기. 우리는 각자의 서사 안에 갇혀 서로를 오해한다. 삶은 언제나 해석을 기다리는 텍스트다. 나름의 울림을 간직한 작품이다.</t>
  </si>
  <si>
    <t>감독: 제프 니콜스
주연: 마이클 섀넌, 제시카 차스테인, 쉐어 위햄</t>
  </si>
  <si>
    <t>할리우드적 스펙터클 너머, 2011년의 시선으로 담아낸 드라마의 이야기. 삶은 언제나 해석을 기다리는 텍스트다. 우리는 각자의 서사 안에 갇혀 서로를 오해한다. 흠이 있지만 진심이 담긴 시도였다.</t>
  </si>
  <si>
    <t>감독: Olivier Megaton
주연: 리암 니슨, 매기 그레이스, 팜케 얀센</t>
  </si>
  <si>
    <t>프랑스 영화 특유의 철학적 깊이로, 2012년의 시선으로 담아낸 액션의 이야기. 폭력의 언어 속에서도 인간은 존엄을 갈망한다. 생존의 욕망은 가장 원초적인 철학적 질문을 던진다. 나름의 울림을 간직한 작품이다.</t>
  </si>
  <si>
    <t>감독: Olivier Megaton
주연: 리암 니슨, 포레스트 휘태커, 매기 그레이스</t>
  </si>
  <si>
    <t>프랑스 영화 특유의 철학적 깊이로, 2014년의 시선으로 담아낸 액션의 이야기. 육체의 한계에 도전하는 것은 곧 자아의 경계를 시험하는 일이다. 폭력의 언어 속에서도 인간은 존엄을 갈망한다. 두고두고 다시 꺼내 볼 만한 작품이다.</t>
  </si>
  <si>
    <t>감독: 존 부어만
주연: 피어스 브로스넌, 제프리 러쉬, 제이미 리 커티스</t>
  </si>
  <si>
    <t>2001년의 시선으로 담아낸 스릴러 이야기가 우리에게 묻는다. 긴장은 존재가 위협받을 때 가장 선명하게 빛난다. 공포는 우리가 통제할 수 없는 것들에 대한 솔직한 고백이다. 한 번쯤 들여다볼 가치가 있는 이야기다.</t>
  </si>
  <si>
    <t>감독: דנה עדן, משה זונדר
주연: ניב סולטן, 숀 토브, Shervin Alenabi</t>
  </si>
  <si>
    <t>드라마 형식 속에서, 2020년의 시선으로 담아낸 드라마 이야기가 우리에게 묻는다. 삶은 언제나 해석을 기다리는 텍스트다. 인간의 고통이란 결국 타인과의 거리에서 비롯된다. 이 작품이 남기는 이미지는 어떤 방식으로든 기억에 새겨진다.</t>
  </si>
  <si>
    <t>드라마 형식 속에서, 2022년의 시선으로 담아낸 드라마 이야기가 우리에게 묻는다. 삶은 언제나 해석을 기다리는 텍스트다. 우리는 각자의 서사 안에 갇혀 서로를 오해한다. 이 작품이 남기는 이미지는 어떤 방식으로든 기억에 새겨진다.</t>
  </si>
  <si>
    <t>드라마 형식 속에서, 2026년의 시선으로 담아낸 드라마 이야기가 우리에게 묻는다. 우리는 각자의 서사 안에 갇혀 서로를 오해한다. 모든 이야기는 상처의 다른 이름이다. 평점이 담지 못하는 무언가가 이 영화에는 있다.</t>
  </si>
  <si>
    <t>감독: Annabel Jankel
주연: 안나 패퀸, 홀리데이 그레인저, Emun Elliott</t>
  </si>
  <si>
    <t>영국적 절제와 냉소 사이에서, 2018년의 시선으로 담아낸 드라마의 이야기. 삶은 언제나 해석을 기다리는 텍스트다. 인간의 고통이란 결국 타인과의 거리에서 비롯된다. 시간이 지날수록 더 깊이 읽히는 영화다.</t>
  </si>
  <si>
    <t>감독: Ericson Core
주연: 윌렘 대포, 줄리앤 니콜슨, Christopher Heyerdahl</t>
  </si>
  <si>
    <t>할리우드적 스펙터클 너머, 2019년의 시선으로 담아낸 모험의 이야기. 우리는 스크린 앞에 앉아 타인의 삶을 통해 우리 자신을 본다. 시간이 흐른 뒤에도 이 장면들은 기억 속에 선명히 남는다. 흠이 있지만 진심이 담긴 시도였다.</t>
  </si>
  <si>
    <t>감독: 사부
주연: 마츠야마 켄이치, 아시다 마나, 香里奈</t>
  </si>
  <si>
    <t>섬세한 일본적 감수성으로, 2011년의 시선으로 담아낸 드라마의 이야기. 모든 이야기는 상처의 다른 이름이다. 인간의 고통이란 결국 타인과의 거리에서 비롯된다. 완성도와 별개로, 이 작품이 던지려 한 질문은 유효하다.</t>
  </si>
  <si>
    <t>감독: 마렌 아데
주연: 산드라 휠러, 페터 지모니셰크, Michael Wittenborn</t>
  </si>
  <si>
    <t>독일 특유의 사유의 무게를 지니며, 2016년의 시선으로 담아낸 코미디의 이야기. 가볍게 웃는 순간에도 삶의 무게는 그 그림자를 드리운다. 우스운 것과 슬픈 것은 본래 같은 뿌리에서 자란다. 두고두고 다시 꺼내 볼 만한 작품이다.</t>
  </si>
  <si>
    <t>감독: Paco Cabezas
주연: 니콜라스 케이지, Aubrey Shea, Rachel Nichols</t>
  </si>
  <si>
    <t>프랑스 영화 특유의 철학적 깊이로, 2014년의 시선으로 담아낸 액션의 이야기. 육체의 한계에 도전하는 것은 곧 자아의 경계를 시험하는 일이다. 생존의 욕망은 가장 원초적인 철학적 질문을 던진다. 완성도와 별개로, 이 작품이 던지려 한 질문은 유효하다.</t>
  </si>
  <si>
    <t>감독: 스테파노 솔리마
주연: 마이클 B. 조던, 제이미 벨, 가이 피어스</t>
  </si>
  <si>
    <t>감독: Graham Roland, 칼톤 쿠즈
주연: 존 크래신스키, 웬들 피어스, 에비 코니쉬</t>
  </si>
  <si>
    <t>드라마 형식 속에서, 할리우드적 스펙터클 너머, 2018년의 시선으로 담아낸 드라마의 이야기. 인간의 고통이란 결국 타인과의 거리에서 비롯된다. 우리는 각자의 서사 안에 갇혀 서로를 오해한다. 이 작품이 남기는 이미지는 어떤 방식으로든 기억에 새겨진다.</t>
  </si>
  <si>
    <t>드라마 형식 속에서, 할리우드적 스펙터클 너머, 2019년의 시선으로 담아낸 드라마의 이야기. 인간의 고통이란 결국 타인과의 거리에서 비롯된다. 삶은 언제나 해석을 기다리는 텍스트다. 이 작품이 남기는 이미지는 어떤 방식으로든 기억에 새겨진다.</t>
  </si>
  <si>
    <t>드라마 형식 속에서, 할리우드적 스펙터클 너머, 2022년의 시선으로 담아낸 드라마의 이야기. 모든 이야기는 상처의 다른 이름이다. 삶은 언제나 해석을 기다리는 텍스트다. 이 작품이 남기는 이미지는 어떤 방식으로든 기억에 새겨진다.</t>
  </si>
  <si>
    <t>감독: 박중훈
주연: 엄태웅, 소이현, 김민준</t>
  </si>
  <si>
    <t>한국 특유의 정서가 켜켜이 쌓인 듯, 2013년의 시선으로 담아낸 드라마의 이야기. 삶은 언제나 해석을 기다리는 텍스트다. 우리는 각자의 서사 안에 갇혀 서로를 오해한다. 나름의 울림을 간직한 작품이다.</t>
  </si>
  <si>
    <t>감독: 테렌스 말릭
주연: 벤 애플렉, 올가 쿠릴렌코, 레이첼 맥아담스</t>
  </si>
  <si>
    <t>할리우드적 스펙터클 너머, 2012년의 시선으로 담아낸 드라마의 이야기. 모든 이야기는 상처의 다른 이름이다. 인간의 고통이란 결국 타인과의 거리에서 비롯된다. 흠이 있지만 진심이 담긴 시도였다.</t>
  </si>
  <si>
    <t>감독: 제임스 그레이
주연: 호아킨 피닉스, 기네스 팰트로, Vinessa Shaw</t>
  </si>
  <si>
    <t>할리우드적 스펙터클 너머, 2008년의 시선으로 담아낸 드라마의 이야기. 삶은 언제나 해석을 기다리는 텍스트다. 모든 이야기는 상처의 다른 이름이다. 완벽하지 않아도, 그 불완전함이 오히려 인간적이다.</t>
  </si>
  <si>
    <t>감독: 우디 앨런
주연: 우디 앨런, 로베르토 베니니, 페넬로페 크루스</t>
  </si>
  <si>
    <t>감독: Anne Zohra Berrached
주연: Karina Plachetka, Sabine Wolf, Florian Weber</t>
  </si>
  <si>
    <t>프랑스 영화 특유의 철학적 깊이로, 2013년의 시선으로 담아낸 드라마의 이야기. 삶은 언제나 해석을 기다리는 텍스트다. 인간의 고통이란 결국 타인과의 거리에서 비롯된다. 한 번쯤 들여다볼 가치가 있는 이야기다.</t>
  </si>
  <si>
    <t>감독: 커티스 핸슨
주연: 제임스 우즈, John Heard, 윌리엄 허트</t>
  </si>
  <si>
    <t>할리우드적 스펙터클 너머, 2011년의 시선으로 담아낸 드라마의 이야기. 모든 이야기는 상처의 다른 이름이다. 우리는 각자의 서사 안에 갇혀 서로를 오해한다. 흠이 있지만 진심이 담긴 시도였다.</t>
  </si>
  <si>
    <t>감독: Hugo Gélin
주연: 오마르 시, Gloria Colston, 클레망스 포에지</t>
  </si>
  <si>
    <t>프랑스 영화 특유의 철학적 깊이로, 2016년의 시선으로 담아낸 코미디의 이야기. 웃음은 고통을 소화하는 인간만의 방식이다. 가볍게 웃는 순간에도 삶의 무게는 그 그림자를 드리운다. 시간이 지날수록 더 깊이 읽히는 영화다.</t>
  </si>
  <si>
    <t>감독: Park Hun-soo
주연: 차태현, 박중훈, 한다감</t>
  </si>
  <si>
    <t>한국 특유의 정서가 켜켜이 쌓인 듯, 2004년의 시선으로 담아낸 코미디의 이야기. 가볍게 웃는 순간에도 삶의 무게는 그 그림자를 드리운다. 웃음은 고통을 소화하는 인간만의 방식이다. 나름의 울림을 간직한 작품이다.</t>
  </si>
  <si>
    <t>감독: Baltasar Kormákur
주연: 덴젤 워싱턴, 마크 월버그, 폴라 패튼</t>
  </si>
  <si>
    <t>할리우드적 스펙터클 너머, 2013년의 시선으로 담아낸 액션의 이야기. 폭력의 언어 속에서도 인간은 존엄을 갈망한다. 충돌은 세계가 변화를 요구하는 방식이다. 나름의 울림을 간직한 작품이다.</t>
  </si>
  <si>
    <t>감독: 크리스 매케이
주연: 크리스 프랫, 이본 스트러호브스키, J.K. 시몬스</t>
  </si>
  <si>
    <t>할리우드적 스펙터클 너머, 2021년의 시선으로 담아낸 액션의 이야기. 충돌은 세계가 변화를 요구하는 방식이다. 육체의 한계에 도전하는 것은 곧 자아의 경계를 시험하는 일이다. 완벽하지 않아도, 그 불완전함이 오히려 인간적이다.</t>
  </si>
  <si>
    <t>감독: Audrey Wells
주연: 다이앤 레인, 린지 덩컨, Vincent Riotta</t>
  </si>
  <si>
    <t>감독: Laurent Tuel
주연: Clovis Cornillac, Bouli Lanners, Ary Abittan</t>
  </si>
  <si>
    <t>독일 특유의 사유의 무게를 지니며, 2014년의 시선으로 담아낸 드라마의 이야기. 모든 이야기는 상처의 다른 이름이다. 삶은 언제나 해석을 기다리는 텍스트다. 완벽하지 않아도, 그 불완전함이 오히려 인간적이다.</t>
  </si>
  <si>
    <t>감독: 제이슨 라이트만
주연: 샤를리즈 테론, 맥켄지 데이비스, 론 리빙스턴</t>
  </si>
  <si>
    <t>감독: 로아르 우테우
주연: 알리시아 비칸데르, 도미닉 웨스트, 월튼 고긴스</t>
  </si>
  <si>
    <t>할리우드적 스펙터클 너머, 2018년의 시선으로 담아낸 액션의 이야기. 폭력의 언어 속에서도 인간은 존엄을 갈망한다. 육체의 한계에 도전하는 것은 곧 자아의 경계를 시험하는 일이다. 나름의 울림을 간직한 작품이다.</t>
  </si>
  <si>
    <t>감독: George P. Cosmatos
주연: 커트 러셀, 발 킬머, 마이클 빈</t>
  </si>
  <si>
    <t>할리우드적 스펙터클 너머, 1993년의 시선으로 담아낸 서부의 이야기. 우리는 스크린 앞에 앉아 타인의 삶을 통해 우리 자신을 본다. 이 작품은 단순한 오락을 넘어 삶의 어떤 단면을 응시하게 한다. 흠이 있지만 진심이 담긴 시도였다.</t>
  </si>
  <si>
    <t>감독: Justin Chadwick
주연: 알리시아 비칸데르, 데인 드한, 크리스토프 발츠</t>
  </si>
  <si>
    <t>영국적 절제와 냉소 사이에서, 2017년의 시선으로 담아낸 드라마의 이야기. 모든 이야기는 상처의 다른 이름이다. 인간의 고통이란 결국 타인과의 거리에서 비롯된다. 나름의 울림을 간직한 작품이다.</t>
  </si>
  <si>
    <t>감독: Matt Eskandari
주연: 니키 웰런, 브루스 윌리스, Steve Guttenberg</t>
  </si>
  <si>
    <t>할리우드적 스펙터클 너머, 2019년의 시선으로 담아낸 액션의 이야기. 육체의 한계에 도전하는 것은 곧 자아의 경계를 시험하는 일이다. 생존의 욕망은 가장 원초적인 철학적 질문을 던진다. 아쉬움이 남지만, 모든 시도는 의미를 갖는다.</t>
  </si>
  <si>
    <t>감독: 크리스토퍼 스미스
주연: Melissa George, 리암 헴스워스, Emma Lung</t>
  </si>
  <si>
    <t>영국적 절제와 냉소 사이에서, 2009년의 시선으로 담아낸 스릴러의 이야기. 진실은 언제나 우리가 감당할 수 없는 형태로 찾아온다. 긴장은 존재가 위협받을 때 가장 선명하게 빛난다. 한 번쯤 들여다볼 가치가 있는 이야기다.</t>
  </si>
  <si>
    <t>감독: 애런 소킨
주연: 에디 레드메인, 사샤 바론 코헨, 마크 라이런스</t>
  </si>
  <si>
    <t>감독: 스티븐 달드리
주연: Rickson Tevez, Eduardo Luís, Gabriel Weinstein</t>
  </si>
  <si>
    <t>2014년의 시선으로 담아낸 범죄 이야기가 우리에게 묻는다. 어둠 속에서도 인간은 스스로를 정당화하려 한다. 욕망은 언제나 질서보다 먼저 존재했다. 두고두고 다시 꺼내 볼 만한 작품이다.</t>
  </si>
  <si>
    <t>감독: 스티븐 소더버그
주연: 마이클 더글라스, 베니시오 델 토로, 캐서린 제타존스</t>
  </si>
  <si>
    <t>할리우드적 스펙터클 너머, 2000년의 시선으로 담아낸 범죄의 이야기. 어둠 속에서도 인간은 스스로를 정당화하려 한다. 죄란 사회가 만든 경계를 넘는 행위이자 그 경계에 대한 질문이다. 두고두고 다시 꺼내 볼 만한 작품이다.</t>
  </si>
  <si>
    <t>감독: Sadhvi Siddhali Shree
주연: 돌프 룬드그렌, Jeannie Mai, Kristen Renton</t>
  </si>
  <si>
    <t>할리우드적 스펙터클 너머, 2018년의 시선으로 담아낸 드라마의 이야기. 삶은 언제나 해석을 기다리는 텍스트다. 모든 이야기는 상처의 다른 이름이다. 이 작품이 남기는 질문은 쉽게 사라지지 않는다.</t>
  </si>
  <si>
    <t>감독: Wally Pfister
주연: 조니 뎁, 레베카 홀, 폴 베타니</t>
  </si>
  <si>
    <t>할리우드적 스펙터클 너머, 2014년의 시선으로 담아낸 SF의 이야기. 미래를 상상하는 것은 현재를 비판하는 가장 우회적인 방법이다. 타자와의 만남은 언제나 자아의 재발견으로 이어진다. 완벽하지 않아도, 그 불완전함이 오히려 인간적이다.</t>
  </si>
  <si>
    <t>감독: Brad Anderson
주연: 우디 해럴슨, 에밀리 모티머, 케이트 마라</t>
  </si>
  <si>
    <t>열정과 멜랑콜리가 교차하며, 2008년의 시선으로 담아낸 스릴러의 이야기. 진실은 언제나 우리가 감당할 수 없는 형태로 찾아온다. 불안이란 현실이 균열을 드러내는 순간에 스며든다. 한 번쯤 들여다볼 가치가 있는 이야기다.</t>
  </si>
  <si>
    <t>감독: Joseph Kay
주연: Hamza Haq, Laurence Leboeuf, Ayisha Issa</t>
  </si>
  <si>
    <t>드라마 형식 속에서, 2020년의 시선으로 담아낸 드라마 이야기가 우리에게 묻는다. 모든 이야기는 상처의 다른 이름이다. 인간의 고통이란 결국 타인과의 거리에서 비롯된다. 이 작품이 남기는 이미지는 어떤 방식으로든 기억에 새겨진다.</t>
  </si>
  <si>
    <t>감독: 크리스티안 페촐트
주연: 프란츠 로고프스키, 폴라 비어, Godehard Giese</t>
  </si>
  <si>
    <t>독일 특유의 사유의 무게를 지니며, 2018년의 시선으로 담아낸 드라마의 이야기. 우리는 각자의 서사 안에 갇혀 서로를 오해한다. 모든 이야기는 상처의 다른 이름이다. 완성도와 별개로, 이 작품이 던지려 한 질문은 유효하다.</t>
  </si>
  <si>
    <t>감독: M. 나이트 샤말란
주연: 조쉬 하트넷, 아리엘 도노휴, 살레카</t>
  </si>
  <si>
    <t>할리우드적 스펙터클 너머, 2024년의 시선으로 담아낸 스릴러의 이야기. 진실은 언제나 우리가 감당할 수 없는 형태로 찾아온다. 긴장은 존재가 위협받을 때 가장 선명하게 빛난다. 완벽하지 않아도, 그 불완전함이 오히려 인간적이다.</t>
  </si>
  <si>
    <t>감독: 제이 로치
주연: 브라이언 크랜스턴, 아데웰 아킨누오예 아바제, 루이 C.K.</t>
  </si>
  <si>
    <t>할리우드적 스펙터클 너머, 2015년의 시선으로 담아낸 드라마의 이야기. 인간의 고통이란 결국 타인과의 거리에서 비롯된다. 우리는 각자의 서사 안에 갇혀 서로를 오해한다. 두고두고 다시 꺼내 볼 만한 작품이다.</t>
  </si>
  <si>
    <t>감독: 팀 크링
주연: 제레미 어바인, 브라이언 J. 스미스, 오마 멧월리</t>
  </si>
  <si>
    <t>드라마 형식 속에서, 할리우드적 스펙터클 너머, 2019년의 시선으로 담아낸 드라마의 이야기. 모든 이야기는 상처의 다른 이름이다. 삶은 언제나 해석을 기다리는 텍스트다. 평점이 담지 못하는 무언가가 이 영화에는 있다.</t>
  </si>
  <si>
    <t>감독: 안톤 후쿠아
주연: 덴젤 워싱턴, 에단 호크, 스콧 글렌</t>
  </si>
  <si>
    <t>할리우드적 스펙터클 너머, 2001년의 시선으로 담아낸 범죄의 이야기. 어둠 속에서도 인간은 스스로를 정당화하려 한다. 욕망은 언제나 질서보다 먼저 존재했다. 오랫동안 여운이 남는 작품이다.</t>
  </si>
  <si>
    <t>감독: Jeffrey Nachmanoff
주연: 돈 치들, 가이 피어스, 닐 맥도너</t>
  </si>
  <si>
    <t>할리우드적 스펙터클 너머, 2008년의 시선으로 담아낸 액션의 이야기. 폭력의 언어 속에서도 인간은 존엄을 갈망한다. 충돌은 세계가 변화를 요구하는 방식이다. 흠이 있지만 진심이 담긴 시도였다.</t>
  </si>
  <si>
    <t>감독: 수잔나 화이트
주연: 이완 맥그리거, 스텔란 스카스가드, 데미안 루이스</t>
  </si>
  <si>
    <t>할리우드적 스펙터클 너머, 2016년의 시선으로 담아낸 액션의 이야기. 생존의 욕망은 가장 원초적인 철학적 질문을 던진다. 폭력의 언어 속에서도 인간은 존엄을 갈망한다. 나름의 울림을 간직한 작품이다.</t>
  </si>
  <si>
    <t>감독: 볼프강 페터젠
주연: 브래드 피트, 올랜도 블룸, 에릭 배너</t>
  </si>
  <si>
    <t>감독: Rupert Goold
주연: 조나 힐, 제임스 프랭코, 펠리시티 존스</t>
  </si>
  <si>
    <t>감독: 제임스 밴더빌트
주연: 케이트 블란쳇, 로버트 레드포드, 데니스 퀘이드</t>
  </si>
  <si>
    <t>감독: Francesca Gregorini
주연: 카야 스코델라리오, 제시카 비엘, 알프레드 몰리나</t>
  </si>
  <si>
    <t>감독: 테렌스 말릭
주연: 브래드 피트, 제시카 차스테인, Hunter McCracken</t>
  </si>
  <si>
    <t>감독: 권오승
주연: 박윤호, 김남길, 김영광</t>
  </si>
  <si>
    <t>감독: Mouly Surya
주연: 제시카 알바, Anthony Michael Hall, 톤 벨</t>
  </si>
  <si>
    <t>할리우드적 스펙터클 너머, 2024년의 시선으로 담아낸 액션의 이야기. 충돌은 세계가 변화를 요구하는 방식이다. 폭력의 언어 속에서도 인간은 존엄을 갈망한다. 아쉬움이 남지만, 모든 시도는 의미를 갖는다.</t>
  </si>
  <si>
    <t>감독: Brad Turner
주연: 배리 페퍼, Laura Vandervoort, Colm Feore</t>
  </si>
  <si>
    <t>2021년의 시선으로 담아낸 액션 이야기가 우리에게 묻는다. 충돌은 세계가 변화를 요구하는 방식이다. 생존의 욕망은 가장 원초적인 철학적 질문을 던진다. 한 번쯤 들여다볼 가치가 있는 이야기다.</t>
  </si>
  <si>
    <t>감독: Matt Charman
주연: 찰리 콕스, 올가 쿠릴렌코, 오나 채플린</t>
  </si>
  <si>
    <t>감독: 존 힐코트
주연: 케이시 애플렉, 치웨텔 에지오포, 안소니 마키</t>
  </si>
  <si>
    <t>할리우드적 스펙터클 너머, 2016년의 시선으로 담아낸 범죄의 이야기. 법과 도덕 사이의 틈새에서 인간의 본성이 노출된다. 어둠 속에서도 인간은 스스로를 정당화하려 한다. 완벽하지 않아도, 그 불완전함이 오히려 인간적이다.</t>
  </si>
  <si>
    <t>감독: J.C  챈더
주연: 벤 애플렉, 오스카 아이작, 찰리 허냄</t>
  </si>
  <si>
    <t>할리우드적 스펙터클 너머, 2019년의 시선으로 담아낸 액션의 이야기. 육체의 한계에 도전하는 것은 곧 자아의 경계를 시험하는 일이다. 충돌은 세계가 변화를 요구하는 방식이다. 시간이 지날수록 더 깊이 읽히는 영화다.</t>
  </si>
  <si>
    <t>감독: 마이클 윈터바텀
주연: 스티브 쿠건, Rob Brydon, Rosie Fellner</t>
  </si>
  <si>
    <t>영국적 절제와 냉소 사이에서, 2014년의 시선으로 담아낸 코미디의 이야기. 유머 속에는 세계의 부조리를 견뎌내는 지혜가 담겨 있다. 가볍게 웃는 순간에도 삶의 무게는 그 그림자를 드리운다. 한 번쯤 들여다볼 가치가 있는 이야기다.</t>
  </si>
  <si>
    <t>감독: 정이삭
주연: 데이지 에드거존스, 글렌 파월, 안소니 라모스</t>
  </si>
  <si>
    <t>할리우드적 스펙터클 너머, 2024년의 시선으로 담아낸 액션의 이야기. 육체의 한계에 도전하는 것은 곧 자아의 경계를 시험하는 일이다. 폭력의 언어 속에서도 인간은 존엄을 갈망한다. 시간이 지날수록 더 깊이 읽히는 영화다.</t>
  </si>
  <si>
    <t>감독: 권종관
주연: 김명민, 김향기, 오민석</t>
  </si>
  <si>
    <t>한국 특유의 정서가 켜켜이 쌓인 듯, 2015년의 시선으로 담아낸 범죄의 이야기. 죄란 사회가 만든 경계를 넘는 행위이자 그 경계에 대한 질문이다. 법과 도덕 사이의 틈새에서 인간의 본성이 노출된다. 이 작품이 남기는 질문은 쉽게 사라지지 않는다.</t>
  </si>
  <si>
    <t>감독: Park In-je
주연: 최민식, 곽도원, 심은경</t>
  </si>
  <si>
    <t>한국 특유의 정서가 켜켜이 쌓인 듯, 2017년의 시선으로 담아낸 드라마의 이야기. 인간의 고통이란 결국 타인과의 거리에서 비롯된다. 모든 이야기는 상처의 다른 이름이다. 나름의 울림을 간직한 작품이다.</t>
  </si>
  <si>
    <t>감독: Tom Vaughan
주연: 브랜든 프레이저, 해리슨 포드, 케리 러셀</t>
  </si>
  <si>
    <t>감독: Park Dae-min
주연: 박소담, 김의성, 송새벽</t>
  </si>
  <si>
    <t>한국 특유의 정서가 켜켜이 쌓인 듯, 2022년의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</si>
  <si>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Sin Jae-myeong
주연: 이재윤, 공정환, 김강일</t>
  </si>
  <si>
    <t>한국 특유의 정서가 켜켜이 쌓인 듯, 2020년의 시선으로 담아낸 액션의 이야기. 충돌은 세계가 변화를 요구하는 방식이다. 생존의 욕망은 가장 원초적인 철학적 질문을 던진다. 나름의 울림을 간직한 작품이다.</t>
  </si>
  <si>
    <t>감독: 노덕
주연: 조정석, 이하나, 이미숙</t>
  </si>
  <si>
    <t>한국 특유의 정서가 켜켜이 쌓인 듯, 2015년의 시선으로 담아낸 드라마의 이야기. 모든 이야기는 상처의 다른 이름이다. 인간의 고통이란 결국 타인과의 거리에서 비롯된다. 나름의 울림을 간직한 작품이다.</t>
  </si>
  <si>
    <t>감독: Philip Martin
주연: 질리언 앤더슨, 빌리 파이퍼, 루퍼스 스웰</t>
  </si>
  <si>
    <t>영국적 절제와 냉소 사이에서, 2024년의 시선으로 담아낸 드라마의 이야기. 모든 이야기는 상처의 다른 이름이다. 인간의 고통이란 결국 타인과의 거리에서 비롯된다. 나름의 울림을 간직한 작품이다.</t>
  </si>
  <si>
    <t>감독: Peter Hedges
주연: 제니퍼 가너, 조엘 에저튼, CJ Adams</t>
  </si>
  <si>
    <t>할리우드적 스펙터클 너머, 2012년의 시선으로 담아낸 드라마의 이야기. 모든 이야기는 상처의 다른 이름이다. 삶은 언제나 해석을 기다리는 텍스트다. 나름의 울림을 간직한 작품이다.</t>
  </si>
  <si>
    <t>감독: Ol Parker
주연: 줄리아 로버츠, 조지 클루니, 케이틀린 디버</t>
  </si>
  <si>
    <t>할리우드적 스펙터클 너머, 2022년의 시선으로 담아낸 코미디의 이야기. 가볍게 웃는 순간에도 삶의 무게는 그 그림자를 드리운다. 웃음은 고통을 소화하는 인간만의 방식이다. 나름의 울림을 간직한 작품이다.</t>
  </si>
  <si>
    <t>감독: 블레이크 에드워즈
주연: 오드리 헵번, George Peppard, Patricia Neal</t>
  </si>
  <si>
    <t>할리우드적 스펙터클 너머, 1961년의 시선으로 담아낸 드라마의 이야기. 인간의 고통이란 결국 타인과의 거리에서 비롯된다. 삶은 언제나 해석을 기다리는 텍스트다. 오랫동안 여운이 남는 작품이다.</t>
  </si>
  <si>
    <t>감독: 토마스 알프레드손
주연: 게리 올드만, 콜린 퍼스, 톰 하디</t>
  </si>
  <si>
    <t>영국적 절제와 냉소 사이에서, 2011년의 시선으로 담아낸 스릴러의 이야기. 공포는 우리가 통제할 수 없는 것들에 대한 솔직한 고백이다. 불안이란 현실이 균열을 드러내는 순간에 스며든다. 이 작품이 남기는 질문은 쉽게 사라지지 않는다.</t>
  </si>
  <si>
    <t>감독: 론 하워드
주연: 톰 크루즈, 니콜 키드먼, Thomas Gibson</t>
  </si>
  <si>
    <t>할리우드적 스펙터클 너머, 1992년의 시선으로 담아낸 드라마의 이야기. 인간의 고통이란 결국 타인과의 거리에서 비롯된다. 삶은 언제나 해석을 기다리는 텍스트다. 두고두고 다시 꺼내 볼 만한 작품이다.</t>
  </si>
  <si>
    <t>감독: Bernard Rose
주연: David Garrett, 조엘리 리처드슨, 자레드 해리스</t>
  </si>
  <si>
    <t>독일 특유의 사유의 무게를 지니며, 2013년의 시선으로 담아낸 드라마의 이야기. 삶은 언제나 해석을 기다리는 텍스트다. 인간의 고통이란 결국 타인과의 거리에서 비롯된다. 시간이 지날수록 더 깊이 읽히는 영화다.</t>
  </si>
  <si>
    <t>감독: 조엘 코엔
주연: 프랜시스 맥도맨드, 윌리엄 H. 메이시, 스티브 부세미</t>
  </si>
  <si>
    <t>할리우드적 스펙터클 너머, 1996년의 시선으로 담아낸 범죄의 이야기. 어둠 속에서도 인간은 스스로를 정당화하려 한다. 법과 도덕 사이의 틈새에서 인간의 본성이 노출된다. 시간이 지날수록 더 깊이 읽히는 영화다.</t>
  </si>
  <si>
    <t>감독: 노아 홀리
주연: 주노 템플, 제니퍼 제이슨 리, 데이비드 리스달</t>
  </si>
  <si>
    <t>드라마 형식 속에서, 할리우드적 스펙터클 너머, 2014년의 시선으로 담아낸 드라마의 이야기. 우리는 각자의 서사 안에 갇혀 서로를 오해한다. 인간의 고통이란 결국 타인과의 거리에서 비롯된다. 이 작품이 남기는 이미지는 어떤 방식으로든 기억에 새겨진다.</t>
  </si>
  <si>
    <t>드라마 형식 속에서, 할리우드적 스펙터클 너머, 2020년의 시선으로 담아낸 드라마의 이야기. 삶은 언제나 해석을 기다리는 텍스트다. 모든 이야기는 상처의 다른 이름이다. 이 작품이 남기는 이미지는 어떤 방식으로든 기억에 새겨진다.</t>
  </si>
  <si>
    <t>감독: 민규동
주연: 이혜영, 김성철, 연우진</t>
  </si>
  <si>
    <t>한국 특유의 정서가 켜켜이 쌓인 듯, 2025년의 시선으로 담아낸 드라마의 이야기. 모든 이야기는 상처의 다른 이름이다. 우리는 각자의 서사 안에 갇혀 서로를 오해한다. 시간이 지날수록 더 깊이 읽히는 영화다.</t>
  </si>
  <si>
    <t>한국 특유의 정서가 켜켜이 쌓인 듯, 2010년의 시선으로 담아낸 드라마의 이야기. 인간의 고통이란 결국 타인과의 거리에서 비롯된다. 우리는 각자의 서사 안에 갇혀 서로를 오해한다. 흠이 있지만 진심이 담긴 시도였다.</t>
  </si>
  <si>
    <t>감독: Ralph Ince
주연: Lucille Lee Stewart, Huntley Gordon, John S. Robertson</t>
  </si>
  <si>
    <t>할리우드적 스펙터클 너머, 2012년의 시선으로 담아낸 액션의 이야기. 충돌은 세계가 변화를 요구하는 방식이다. 생존의 욕망은 가장 원초적인 철학적 질문을 던진다. 거칠지만 그 안에서도 인간의 흔적은 남는다.</t>
  </si>
  <si>
    <t>감독: Michael Dudok de Wit</t>
  </si>
  <si>
    <t>할리우드적 스펙터클 너머, 2015년의 시선으로 담아낸 드라마의 이야기. 모든 이야기는 상처의 다른 이름이다. 우리는 각자의 서사 안에 갇혀 서로를 오해한다. 시간이 지날수록 더 깊이 읽히는 영화다.</t>
  </si>
  <si>
    <t>감독: 데릭 시엔프랜스
주연: 마이클 패스벤더, 알리시아 비칸데르, 레이첼 와이즈</t>
  </si>
  <si>
    <t>할리우드적 스펙터클 너머, 2017년의 시선으로 담아낸 드라마의 이야기. 삶은 언제나 해석을 기다리는 텍스트다. 우리는 각자의 서사 안에 갇혀 서로를 오해한다. 오랫동안 여운이 남는 작품이다.</t>
  </si>
  <si>
    <t>감독: Robert Luketic
주연: 리암 헴스워스, 해리슨 포드, 게리 올드만</t>
  </si>
  <si>
    <t>할리우드적 스펙터클 너머, 2013년의 시선으로 담아낸 스릴러의 이야기. 공포는 우리가 통제할 수 없는 것들에 대한 솔직한 고백이다. 불안이란 현실이 균열을 드러내는 순간에 스며든다. 아쉬움이 남지만, 모든 시도는 의미를 갖는다.</t>
  </si>
  <si>
    <t>감독: Andrea Di Stefano
주연: 베니시오 델 토로, 조쉬 허처슨, 브래디 코베</t>
  </si>
  <si>
    <t>콜롬비아</t>
  </si>
  <si>
    <t>2014년의 시선으로 담아낸 범죄 이야기가 우리에게 묻는다. 어둠 속에서도 인간은 스스로를 정당화하려 한다. 법과 도덕 사이의 틈새에서 인간의 본성이 노출된다. 평점이 담지 못하는 무언가가 이 영화에는 있다.</t>
  </si>
  <si>
    <t>감독: Anna Gutto
주연: 쥘리에트 비노쉬, 프랭크 그릴로, 모건 프리먼</t>
  </si>
  <si>
    <t>할리우드적 스펙터클 너머, 2022년의 시선으로 담아낸 액션의 이야기. 폭력의 언어 속에서도 인간은 존엄을 갈망한다. 충돌은 세계가 변화를 요구하는 방식이다. 완벽하지 않아도, 그 불완전함이 오히려 인간적이다.</t>
  </si>
  <si>
    <t>감독: Marc Fitoussi
주연: 이자벨 위페르, Jean-Pierre Darroussin, 미카엘 니크비스트</t>
  </si>
  <si>
    <t>프랑스 영화 특유의 철학적 깊이로, 2014년의 시선으로 담아낸 코미디의 이야기. 유머 속에는 세계의 부조리를 견뎌내는 지혜가 담겨 있다. 가볍게 웃는 순간에도 삶의 무게는 그 그림자를 드리운다. 두고두고 다시 꺼내 볼 만한 작품이다.</t>
  </si>
  <si>
    <t>감독: Edward H. Griffith
주연: Ann Harding, Fredric March, Carmelita Geraghty</t>
  </si>
  <si>
    <t>감독: 장재현
주연: 최민식, 김고은, 유해진</t>
  </si>
  <si>
    <t>한국 특유의 정서가 켜켜이 쌓인 듯, 2024년의 시선으로 담아낸 미스터리의 이야기. 감춰진 것들이 드러나는 순간, 세계는 다르게 보이기 시작한다. 알 수 없음 앞에서 인간은 비로소 겸손해진다. 시간이 지날수록 더 깊이 읽히는 영화다.</t>
  </si>
  <si>
    <t>감독: 스티븐 스필버그
주연: 미셸 윌리엄스, 폴 다노, 세스 로건</t>
  </si>
  <si>
    <t>할리우드적 스펙터클 너머, 2022년의 시선으로 담아낸 드라마의 이야기. 우리는 각자의 서사 안에 갇혀 서로를 오해한다. 모든 이야기는 상처의 다른 이름이다. 시간이 지날수록 더 깊이 읽히는 영화다.</t>
  </si>
  <si>
    <t>감독: 윤성현
주연: 이제훈, 서준영, 박정민</t>
  </si>
  <si>
    <t>감독: Victor Salva
주연: 메리 스틴버겐, Sean Patrick Flanery, 랜스 헨릭슨</t>
  </si>
  <si>
    <t>할리우드적 스펙터클 너머, 1995년의 시선으로 담아낸 드라마의 이야기. 인간의 고통이란 결국 타인과의 거리에서 비롯된다. 삶은 언제나 해석을 기다리는 텍스트다. 이 작품이 남기는 이미지는 어떤 방식으로든 기억에 새겨진다.</t>
  </si>
  <si>
    <t>감독: 존 리 행콕
주연: 마이클 키튼, 닉 오퍼먼, 존 캐럴 린치</t>
  </si>
  <si>
    <t>할리우드적 스펙터클 너머, 2016년의 시선으로 담아낸 드라마의 이야기. 인간의 고통이란 결국 타인과의 거리에서 비롯된다. 우리는 각자의 서사 안에 갇혀 서로를 오해한다. 오랫동안 여운이 남는 작품이다.</t>
  </si>
  <si>
    <t>감독: Scott Mann
주연: 데이브 바티스타, 피어스 브로스넌, 레이 스티븐슨</t>
  </si>
  <si>
    <t>영국적 절제와 냉소 사이에서, 2018년의 시선으로 담아낸 액션의 이야기. 충돌은 세계가 변화를 요구하는 방식이다. 생존의 욕망은 가장 원초적인 철학적 질문을 던진다. 완성도와 별개로, 이 작품이 던지려 한 질문은 유효하다.</t>
  </si>
  <si>
    <t>감독: Николай Лебедев
주연: Данила Козловский, 블라디미르 마쉬코프, Agnė Grudytė</t>
  </si>
  <si>
    <t>섬세한 일본적 감수성으로, 2016년의 시선으로 담아낸 액션의 이야기. 생존의 욕망은 가장 원초적인 철학적 질문을 던진다. 폭력의 언어 속에서도 인간은 존엄을 갈망한다. 이 작품이 남기는 질문은 쉽게 사라지지 않는다.</t>
  </si>
  <si>
    <t>감독: 송해성
주연: 최민식, 장백지, 손병호</t>
  </si>
  <si>
    <t>한국 특유의 정서가 켜켜이 쌓인 듯, 2001년의 시선으로 담아낸 로맨스의 이야기. 그리움이란 부재를 통해 존재를 확인하는 방식이다. 사랑은 자아의 경계가 흔들리는 순간에 찾아온다. 두고두고 다시 꺼내 볼 만한 작품이다.</t>
  </si>
  <si>
    <t>감독: Erik Skjoldbjærg
주연: Trond Nilssen, Per Frisch, Liv Bernhoft Osa</t>
  </si>
  <si>
    <t>2016년의 시선으로 담아낸 드라마 이야기가 우리에게 묻는다. 삶은 언제나 해석을 기다리는 텍스트다. 인간의 고통이란 결국 타인과의 거리에서 비롯된다. 이 작품이 남기는 이미지는 어떤 방식으로든 기억에 새겨진다.</t>
  </si>
  <si>
    <t>감독: Justin Baldoni
주연: 헤일리 루 리처드슨, 콜 스프라우스, 모이세스 아리아스</t>
  </si>
  <si>
    <t>할리우드적 스펙터클 너머, 2019년의 시선으로 담아낸 드라마의 이야기. 인간의 고통이란 결국 타인과의 거리에서 비롯된다. 모든 이야기는 상처의 다른 이름이다. 오랫동안 여운이 남는 작품이다.</t>
  </si>
  <si>
    <t>감독: David Barrett
주연: 조시 더멜, 브루스 윌리스, 로사리오 도슨</t>
  </si>
  <si>
    <t>할리우드적 스펙터클 너머, 2012년의 시선으로 담아낸 액션의 이야기. 육체의 한계에 도전하는 것은 곧 자아의 경계를 시험하는 일이다. 충돌은 세계가 변화를 요구하는 방식이다. 완성도와 별개로, 이 작품이 던지려 한 질문은 유효하다.</t>
  </si>
  <si>
    <t>감독: Alex Kendrick
주연: Kirk Cameron, Erin Bethea, Ken Bevel</t>
  </si>
  <si>
    <t>감독: James Madigan
주연: 조쉬 하트넷, 차리트라 찬드란, 케이티 색코프</t>
  </si>
  <si>
    <t>할리우드적 스펙터클 너머, 2025년의 시선으로 담아낸 액션의 이야기. 육체의 한계에 도전하는 것은 곧 자아의 경계를 시험하는 일이다. 폭력의 언어 속에서도 인간은 존엄을 갈망한다. 한 번쯤 들여다볼 가치가 있는 이야기다.</t>
  </si>
  <si>
    <t>감독: 유하
주연: 서인국, 이수혁, 음문석</t>
  </si>
  <si>
    <t>한국 특유의 정서가 켜켜이 쌓인 듯, 2021년의 시선으로 담아낸 범죄의 이야기. 욕망은 언제나 질서보다 먼저 존재했다. 어둠 속에서도 인간은 스스로를 정당화하려 한다. 나름의 울림을 간직한 작품이다.</t>
  </si>
  <si>
    <t>감독: 강윤성
주연: 류승룡, 양세종, 임수정</t>
  </si>
  <si>
    <t>드라마 형식 속에서, 한국 특유의 정서가 켜켜이 쌓인 듯, 2025년의 시선으로 담아낸 드라마의 이야기. 삶은 언제나 해석을 기다리는 텍스트다. 모든 이야기는 상처의 다른 이름이다. 이 작품이 남기는 이미지는 어떤 방식으로든 기억에 새겨진다.</t>
  </si>
  <si>
    <t>감독: Mark Steven Johnson
주연: 트래비스 피멀, 포레스트 휘태커, 레이첼 테일러</t>
  </si>
  <si>
    <t>할리우드적 스펙터클 너머, 2019년의 시선으로 담아낸 범죄의 이야기. 죄란 사회가 만든 경계를 넘는 행위이자 그 경계에 대한 질문이다. 어둠 속에서도 인간은 스스로를 정당화하려 한다. 나름의 울림을 간직한 작품이다.</t>
  </si>
  <si>
    <t>감독: 김한결
주연: 조정석, 이주명, 한선화</t>
  </si>
  <si>
    <t>한국 특유의 정서가 켜켜이 쌓인 듯, 2024년의 시선으로 담아낸 코미디의 이야기. 유머 속에는 세계의 부조리를 견뎌내는 지혜가 담겨 있다. 웃음은 고통을 소화하는 인간만의 방식이다. 흠이 있지만 진심이 담긴 시도였다.</t>
  </si>
  <si>
    <t>감독: 허수진
주연: 윤여정, 소지 아라이, 진 하</t>
  </si>
  <si>
    <t>드라마 형식 속에서, 한국 특유의 정서가 켜켜이 쌓인 듯, 2023년의 시선으로 담아낸 드라마의 이야기. 모든 이야기는 상처의 다른 이름이다. 삶은 언제나 해석을 기다리는 텍스트다. 이 작품이 남기는 이미지는 어떤 방식으로든 기억에 새겨진다.</t>
  </si>
  <si>
    <t>감독: Taylor Hackford
주연: 제이슨 스타뎀, 제니퍼 로페즈, 마이클 치클리스</t>
  </si>
  <si>
    <t>감독: 애드리안 라인
주연: 마이클 더글라스, 글렌 클로즈, 앤 아처</t>
  </si>
  <si>
    <t>할리우드적 스펙터클 너머, 2020년의 시선으로 담아낸 스릴러의 이야기. 진실은 언제나 우리가 감당할 수 없는 형태로 찾아온다. 불안이란 현실이 균열을 드러내는 순간에 스며든다. 완벽하지 않아도, 그 불완전함이 오히려 인간적이다.</t>
  </si>
  <si>
    <t>감독: Marco Pontecorvo
주연: 하비 카이텔, 소냐 브라가, Goran Višnjić</t>
  </si>
  <si>
    <t>포르투갈</t>
  </si>
  <si>
    <t>2020년의 시선으로 담아낸 드라마 이야기가 우리에게 묻는다. 삶은 언제나 해석을 기다리는 텍스트다. 모든 이야기는 상처의 다른 이름이다. 이 작품이 남기는 질문은 쉽게 사라지지 않는다.</t>
  </si>
  <si>
    <t>감독: 윤종찬
주연: 이제훈, 한석규, 강소라</t>
  </si>
  <si>
    <t>한국 특유의 정서가 켜켜이 쌓인 듯, 2012년의 시선으로 담아낸 드라마의 이야기. 모든 이야기는 상처의 다른 이름이다. 인간의 고통이란 결국 타인과의 거리에서 비롯된다. 시간이 지날수록 더 깊이 읽히는 영화다.</t>
  </si>
  <si>
    <t>감독: 安藤桃子
주연: 미츠시마 히카리, 中村映里子, 미츠이시 켄</t>
  </si>
  <si>
    <t>섬세한 일본적 감수성으로, 2010년의 시선으로 담아낸 드라마의 이야기. 우리는 각자의 서사 안에 갇혀 서로를 오해한다. 모든 이야기는 상처의 다른 이름이다. 이 작품이 남기는 이미지는 어떤 방식으로든 기억에 새겨진다.</t>
  </si>
  <si>
    <t>감독: Park Jung-woo
주연: 김남길, 김주현, 김명민</t>
  </si>
  <si>
    <t>한국 특유의 정서가 켜켜이 쌓인 듯, 2016년의 시선으로 담아낸 재난의 이야기. 이 작품은 단순한 오락을 넘어 삶의 어떤 단면을 응시하게 한다. 우리는 스크린 앞에 앉아 타인의 삶을 통해 우리 자신을 본다. 이 작품이 남기는 질문은 쉽게 사라지지 않는다.</t>
  </si>
  <si>
    <t>감독: Will Wernick
주연: Keegan Allen, Holland Roden, Denzel Whitaker</t>
  </si>
  <si>
    <t>할리우드적 스펙터클 너머, 2020년의 시선으로 담아낸 공포의 이야기. 어둠은 우리 내면의 억압된 것들이 귀환하는 문이다. 불가해한 것 앞에서 인간은 얼마나 작은가를 깨닫는다. 아쉬움이 남지만, 모든 시도는 의미를 갖는다.</t>
  </si>
  <si>
    <t>감독: Sophie Barthes
주연: 에밀리아 클라크, 치웨텔 에지오포, Rosalie Craig</t>
  </si>
  <si>
    <t>2023년의 시선으로 담아낸 SF 이야기가 우리에게 묻는다. 타자와의 만남은 언제나 자아의 재발견으로 이어진다. 우주의 광대함 앞에서 인간의 질문은 더욱 깊어진다. 한 번쯤 들여다볼 가치가 있는 이야기다.</t>
  </si>
  <si>
    <t>감독: Phillip Noyce
주연: 나오미 왓츠, Colton Gobbo, Sierra Maltby</t>
  </si>
  <si>
    <t>2021년의 시선으로 담아낸 스릴러 이야기가 우리에게 묻는다. 불안이란 현실이 균열을 드러내는 순간에 스며든다. 공포는 우리가 통제할 수 없는 것들에 대한 솔직한 고백이다. 나름의 울림을 간직한 작품이다.</t>
  </si>
  <si>
    <t>감독: 森義隆
주연: 玉森裕太, 요시오카 리호, 소메타니 쇼타</t>
  </si>
  <si>
    <t>섬세한 일본적 감수성으로, 2019년의 시선으로 담아낸 SF의 이야기. 미래를 상상하는 것은 현재를 비판하는 가장 우회적인 방법이다. 기술이 진보할수록 인간다움의 정의는 더욱 절박해진다. 흠이 있지만 진심이 담긴 시도였다.</t>
  </si>
  <si>
    <t>감독: Simon Cellan Jones
주연: 마크 월버그, 미셸 모나한, 매기 큐</t>
  </si>
  <si>
    <t>할리우드적 스펙터클 너머, 2023년의 시선으로 담아낸 액션의 이야기. 육체의 한계에 도전하는 것은 곧 자아의 경계를 시험하는 일이다. 폭력의 언어 속에서도 인간은 존엄을 갈망한다. 완성도와 별개로, 이 작품이 던지려 한 질문은 유효하다.</t>
  </si>
  <si>
    <t>감독: Madhur Bhandarkar
주연: 프리양카 초프라, Kangana Ranaut, Mugdha Godse</t>
  </si>
  <si>
    <t>2008년의 시선으로 담아낸 드라마 이야기가 우리에게 묻는다. 삶은 언제나 해석을 기다리는 텍스트다. 인간의 고통이란 결국 타인과의 거리에서 비롯된다. 흠이 있지만 진심이 담긴 시도였다.</t>
  </si>
  <si>
    <t>감독: 모튼 틸덤
주연: 제니퍼 로렌스, 크리스 프랫, 마이클 쉰</t>
  </si>
  <si>
    <t>할리우드적 스펙터클 너머, 2016년의 시선으로 담아낸 SF의 이야기. 타자와의 만남은 언제나 자아의 재발견으로 이어진다. 기술이 진보할수록 인간다움의 정의는 더욱 절박해진다. 오랫동안 여운이 남는 작품이다.</t>
  </si>
  <si>
    <t>감독: 피터 버그
주연: 마크 월버그, 존 굿맨, J.K. 시몬스</t>
  </si>
  <si>
    <t>감독: Todd Robinson
주연: 에드 해리스, 데이비드 듀코브니, 랜스 헨릭슨</t>
  </si>
  <si>
    <t>2013년의 시선으로 담아낸 액션 이야기가 우리에게 묻는다. 충돌은 세계가 변화를 요구하는 방식이다. 폭력의 언어 속에서도 인간은 존엄을 갈망한다. 한 번쯤 들여다볼 가치가 있는 이야기다.</t>
  </si>
  <si>
    <t>감독: 폴 토마스 앤더슨
주연: 다니엘 데이루이스, 비키 크립스, 레슬리 맨빌</t>
  </si>
  <si>
    <t>할리우드적 스펙터클 너머, 2017년의 시선으로 담아낸 드라마의 이야기. 인간의 고통이란 결국 타인과의 거리에서 비롯된다. 우리는 각자의 서사 안에 갇혀 서로를 오해한다. 오랫동안 여운이 남는 작품이다.</t>
  </si>
  <si>
    <t>감독: 올리비에 아사야스
주연: 크리스틴 스튜어트, 라르스 아이딩거, Sigrid Bouaziz</t>
  </si>
  <si>
    <t>프랑스 영화 특유의 철학적 깊이로, 2016년의 시선으로 담아낸 드라마의 이야기. 삶은 언제나 해석을 기다리는 텍스트다. 인간의 고통이란 결국 타인과의 거리에서 비롯된다. 흠이 있지만 진심이 담긴 시도였다.</t>
  </si>
  <si>
    <t>감독: Paul Soriano
주연: Bea Alonzo, Aga Muhlach, Edward Barber</t>
  </si>
  <si>
    <t>섬세한 일본적 감수성으로, 2020년의 시선으로 담아낸 드라마의 이야기. 우리는 각자의 서사 안에 갇혀 서로를 오해한다. 삶은 언제나 해석을 기다리는 텍스트다. 이 작품이 남기는 이미지는 어떤 방식으로든 기억에 새겨진다.</t>
  </si>
  <si>
    <t>감독: 坂本和隆
주연: 미츠시마 히카리, 사토 타케루, 八木莉可子</t>
  </si>
  <si>
    <t>드라마 형식 속에서, 섬세한 일본적 감수성으로, 2022년의 시선으로 담아낸 드라마의 이야기. 우리는 각자의 서사 안에 갇혀 서로를 오해한다. 인간의 고통이란 결국 타인과의 거리에서 비롯된다. 평점이 담지 못하는 무언가가 이 영화에는 있다.</t>
  </si>
  <si>
    <t>감독: 폴 슈레이더
주연: 에단 호크, 아만다 사이프리드, 세드릭 더 엔터테이너</t>
  </si>
  <si>
    <t>할리우드적 스펙터클 너머, 2017년의 시선으로 담아낸 드라마의 이야기. 모든 이야기는 상처의 다른 이름이다. 삶은 언제나 해석을 기다리는 텍스트다. 이 작품이 남기는 질문은 쉽게 사라지지 않는다.</t>
  </si>
  <si>
    <t>감독: Steven C. Miller
주연: 브루스 윌리스, 헤이든 크리스텐슨, Ty Joseph Shelton</t>
  </si>
  <si>
    <t>할리우드적 스펙터클 너머, 2017년의 시선으로 담아낸 액션의 이야기. 폭력의 언어 속에서도 인간은 존엄을 갈망한다. 생존의 욕망은 가장 원초적인 철학적 질문을 던진다. 이 작품이 남기는 이미지는 어떤 방식으로든 기억에 새겨진다.</t>
  </si>
  <si>
    <t>감독: 데이미언 셔젤
주연: 라이언 고슬링, 클레어 포이, 제이슨 클라크</t>
  </si>
  <si>
    <t>할리우드적 스펙터클 너머, 2018년의 시선으로 담아낸 SF의 이야기. 타자와의 만남은 언제나 자아의 재발견으로 이어진다. 우주의 광대함 앞에서 인간의 질문은 더욱 깊어진다. 흠이 있지만 진심이 담긴 시도였다.</t>
  </si>
  <si>
    <t>감독: 조나단 놀란
주연: 짐 커비즐, Michael Emerson, 케빈 채프먼</t>
  </si>
  <si>
    <t>드라마 형식 속에서, 할리우드적 스펙터클 너머, 2012년의 시선으로 담아낸 드라마의 이야기. 삶은 언제나 해석을 기다리는 텍스트다. 모든 이야기는 상처의 다른 이름이다. 평점이 담지 못하는 무언가가 이 영화에는 있다.</t>
  </si>
  <si>
    <t>드라마 형식 속에서, 할리우드적 스펙터클 너머, 2013년의 시선으로 담아낸 드라마의 이야기. 우리는 각자의 서사 안에 갇혀 서로를 오해한다. 모든 이야기는 상처의 다른 이름이다. 이 작품이 남기는 이미지는 어떤 방식으로든 기억에 새겨진다.</t>
  </si>
  <si>
    <t>감독: Marc Turtletaub
주연: 켈리 맥도널드, 이르판 칸, 데이비드 덴맨</t>
  </si>
  <si>
    <t>할리우드적 스펙터클 너머, 2018년의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</si>
  <si>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Chris R. Notarile
주연: Roberto Lombardi, Samantha Ruston, Kasey Williams</t>
  </si>
  <si>
    <t>할리우드적 스펙터클 너머, 2013년의 시선으로 담아낸 드라마의 이야기. 삶은 언제나 해석을 기다리는 텍스트다. 우리는 각자의 서사 안에 갇혀 서로를 오해한다. 한 번쯤 들여다볼 가치가 있는 이야기다.</t>
  </si>
  <si>
    <t>감독: 박희곤
주연: 조승우, 양동근, 최정원</t>
  </si>
  <si>
    <t>한국 특유의 정서가 켜켜이 쌓인 듯, 2011년의 시선으로 담아낸 드라마의 이야기. 우리는 각자의 서사 안에 갇혀 서로를 오해한다. 인간의 고통이란 결국 타인과의 거리에서 비롯된다. 두고두고 다시 꺼내 볼 만한 작품이다.</t>
  </si>
  <si>
    <t>감독: 데이빗 토히
주연: 스티브 잔, 밀라 요보비치, 티모시 올리펀트</t>
  </si>
  <si>
    <t>할리우드적 스펙터클 너머, 2009년의 시선으로 담아낸 스릴러의 이야기. 공포는 우리가 통제할 수 없는 것들에 대한 솔직한 고백이다. 불안이란 현실이 균열을 드러내는 순간에 스며든다. 한 번쯤 들여다볼 가치가 있는 이야기다.</t>
  </si>
  <si>
    <t>감독: 빔 벤더스
주연: 야쿠쇼 코지, 에모토 토키오, Arisa Nakano</t>
  </si>
  <si>
    <t>섬세한 일본적 감수성으로, 2023년의 시선으로 담아낸 드라마의 이야기. 인간의 고통이란 결국 타인과의 거리에서 비롯된다. 삶은 언제나 해석을 기다리는 텍스트다. 시간이 지날수록 더 깊이 읽히는 영화다.</t>
  </si>
  <si>
    <t>감독: 데이빗 맥킨지
주연: 이완 맥그리거, 에바 그린, 이완 브렘너</t>
  </si>
  <si>
    <t>영국적 절제와 냉소 사이에서, 2011년의 시선으로 담아낸 드라마의 이야기. 우리는 각자의 서사 안에 갇혀 서로를 오해한다. 인간의 고통이란 결국 타인과의 거리에서 비롯된다. 한 번쯤 들여다볼 가치가 있는 이야기다.</t>
  </si>
  <si>
    <t>감독: Chase Palmer
주연: 존 보예가, 올리비아 쿡, 빌 스카스가드</t>
  </si>
  <si>
    <t>할리우드적 스펙터클 너머, 2021년의 시선으로 담아낸 범죄의 이야기. 죄란 사회가 만든 경계를 넘는 행위이자 그 경계에 대한 질문이다. 법과 도덕 사이의 틈새에서 인간의 본성이 노출된다. 한 번쯤 들여다볼 가치가 있는 이야기다.</t>
  </si>
  <si>
    <t>감독: J Blakeson
주연: 로저먼드 파이크, 피터 딘클리지, 에이사 곤살레스</t>
  </si>
  <si>
    <t>할리우드적 스펙터클 너머, 2020년의 시선으로 담아낸 코미디의 이야기. 가볍게 웃는 순간에도 삶의 무게는 그 그림자를 드리운다. 웃음은 고통을 소화하는 인간만의 방식이다. 시간이 지날수록 더 깊이 읽히는 영화다.</t>
  </si>
  <si>
    <t>감독: Sheldon Lettich
주연: 다니엘 베른하르트, 로버트 잉글런드, Brian Thompson</t>
  </si>
  <si>
    <t>감독: Yong Soo
주연: 설경구, 조진웅, 허준호</t>
  </si>
  <si>
    <t>한국 특유의 정서가 켜켜이 쌓인 듯, 2019년의 시선으로 담아낸 코미디의 이야기. 웃음은 고통을 소화하는 인간만의 방식이다. 우스운 것과 슬픈 것은 본래 같은 뿌리에서 자란다. 시간이 지날수록 더 깊이 읽히는 영화다.</t>
  </si>
  <si>
    <t>감독: 더그 라이만
주연: 나오미 왓츠, 숀 펜, 샘 셰퍼드</t>
  </si>
  <si>
    <t>할리우드적 스펙터클 너머, 2010년의 시선으로 담아낸 드라마의 이야기. 삶은 언제나 해석을 기다리는 텍스트다. 모든 이야기는 상처의 다른 이름이다. 완벽하지 않아도, 그 불완전함이 오히려 인간적이다.</t>
  </si>
  <si>
    <t>감독: 신연식
주연: 안성기, 이하나, 권혁풍</t>
  </si>
  <si>
    <t>한국 특유의 정서가 켜켜이 쌓인 듯, 2009년의 시선으로 담아낸 로맨스의 이야기. 그리움이란 부재를 통해 존재를 확인하는 방식이다. 두 사람 사이의 침묵은 때로 말보다 더 많은 것을 말한다. 시간이 지날수록 더 깊이 읽히는 영화다.</t>
  </si>
  <si>
    <t>감독: 낸시 마이어스
주연: 린제이 로한, 데니스 퀘이드, Natasha Richardson</t>
  </si>
  <si>
    <t>할리우드적 스펙터클 너머, 1998년의 시선으로 담아낸 가족의 이야기. 세대 간의 거리는 시간이 빚어내는 가장 쓸쓸한 풍경이다. 가족은 가장 가까운 타인들과 이루는 불완전한 공동체다. 시간이 지날수록 더 깊이 읽히는 영화다.</t>
  </si>
  <si>
    <t>감독: 江口カン
주연: 오카다 준이치, 키무라 후미노, 사토 코이치</t>
  </si>
  <si>
    <t>섬세한 일본적 감수성으로, 2019년의 시선으로 담아낸 액션의 이야기. 충돌은 세계가 변화를 요구하는 방식이다. 육체의 한계에 도전하는 것은 곧 자아의 경계를 시험하는 일이다. 완벽하지 않아도, 그 불완전함이 오히려 인간적이다.</t>
  </si>
  <si>
    <t>감독: Kim Dal-joong
주연: 김명민, 고아라, 안성기</t>
  </si>
  <si>
    <t>한국 특유의 정서가 켜켜이 쌓인 듯, 2012년의 시선으로 담아낸 드라마의 이야기. 우리는 각자의 서사 안에 갇혀 서로를 오해한다. 모든 이야기는 상처의 다른 이름이다. 오랫동안 여운이 남는 작품이다.</t>
  </si>
  <si>
    <t>감독: Otto Preminger
주연: 로버트 미첨, 진 시몬스, Mona Freeman</t>
  </si>
  <si>
    <t>할리우드적 스펙터클 너머, 2011년의 시선으로 담아낸 드라마의 이야기. 인간의 고통이란 결국 타인과의 거리에서 비롯된다. 우리는 각자의 서사 안에 갇혀 서로를 오해한다. 흠이 있지만 진심이 담긴 시도였다.</t>
  </si>
  <si>
    <t>감독: Arie Posin
주연: 아네트 베닝, 에드 해리스, 로빈 윌리엄스</t>
  </si>
  <si>
    <t>할리우드적 스펙터클 너머, 2013년의 시선으로 담아낸 드라마의 이야기. 삶은 언제나 해석을 기다리는 텍스트다. 인간의 고통이란 결국 타인과의 거리에서 비롯된다. 완벽하지 않아도, 그 불완전함이 오히려 인간적이다.</t>
  </si>
  <si>
    <t>감독: 페드로 알모도바르
주연: 안토니오 반데라스, Asier Etxeandia, Leonardo Sbaraglia</t>
  </si>
  <si>
    <t>열정과 멜랑콜리가 교차하며, 2019년의 시선으로 담아낸 드라마의 이야기. 모든 이야기는 상처의 다른 이름이다. 인간의 고통이란 결국 타인과의 거리에서 비롯된다. 이 작품이 남기는 질문은 쉽게 사라지지 않는다.</t>
  </si>
  <si>
    <t>감독: John Curran
주연: 에드워드 노튼, 나오미 왓츠, 리에브 슈라이버</t>
  </si>
  <si>
    <t>할리우드적 스펙터클 너머, 2006년의 시선으로 담아낸 드라마의 이야기. 모든 이야기는 상처의 다른 이름이다. 우리는 각자의 서사 안에 갇혀 서로를 오해한다. 이 작품이 남기는 질문은 쉽게 사라지지 않는다.</t>
  </si>
  <si>
    <t>감독: Matthew Saville
주연: 조엘 에저튼, 제이 코트니, Melissa George</t>
  </si>
  <si>
    <t>2013년의 시선으로 담아낸 범죄 이야기가 우리에게 묻는다. 어둠 속에서도 인간은 스스로를 정당화하려 한다. 법과 도덕 사이의 틈새에서 인간의 본성이 노출된다. 흠이 있지만 진심이 담긴 시도였다.</t>
  </si>
  <si>
    <t>감독: Ric Roman Waugh
주연: 스티븐 도프, 발 킬머, Harold Perrineau</t>
  </si>
  <si>
    <t>할리우드적 스펙터클 너머, 2008년의 시선으로 담아낸 범죄의 이야기. 어둠 속에서도 인간은 스스로를 정당화하려 한다. 죄란 사회가 만든 경계를 넘는 행위이자 그 경계에 대한 질문이다. 두고두고 다시 꺼내 볼 만한 작품이다.</t>
  </si>
  <si>
    <t>감독: Taron Lexton
주연: Ksenia Solo, 마리아 벨로, Beth Riesgraf</t>
  </si>
  <si>
    <t>할리우드적 스펙터클 너머, 2017년의 시선으로 담아낸 드라마의 이야기. 인간의 고통이란 결국 타인과의 거리에서 비롯된다. 우리는 각자의 서사 안에 갇혀 서로를 오해한다. 흠이 있지만 진심이 담긴 시도였다.</t>
  </si>
  <si>
    <t>감독: Glendyn Ivin
주연: 나오미 왓츠, 앤드류 링컨, Griffin Murray-Johnston</t>
  </si>
  <si>
    <t>감독: 이정국
주연: 최진실, 박신양, 최용민</t>
  </si>
  <si>
    <t>한국 특유의 정서가 켜켜이 쌓인 듯, 1997년의 시선으로 담아낸 드라마의 이야기. 삶은 언제나 해석을 기다리는 텍스트다. 인간의 고통이란 결국 타인과의 거리에서 비롯된다. 오랫동안 여운이 남는 작품이다.</t>
  </si>
  <si>
    <t>감독: Jon Gunn
주연: 힐러리 스웽크, 앨런 리치슨, Emily Mitchell</t>
  </si>
  <si>
    <t>할리우드적 스펙터클 너머, 2024년의 시선으로 담아낸 드라마의 이야기. 삶은 언제나 해석을 기다리는 텍스트다. 모든 이야기는 상처의 다른 이름이다. 이 작품이 남기는 질문은 쉽게 사라지지 않는다.</t>
  </si>
  <si>
    <t>감독: 이준익
주연: 정진영, 이문식, 류승룡</t>
  </si>
  <si>
    <t>한국 특유의 정서가 켜켜이 쌓인 듯, 2010년의 시선으로 담아낸 코미디의 이야기. 웃음은 고통을 소화하는 인간만의 방식이다. 유머 속에는 세계의 부조리를 견뎌내는 지혜가 담겨 있다. 완벽하지 않아도, 그 불완전함이 오히려 인간적이다.</t>
  </si>
  <si>
    <t>감독: 西谷弘
주연: 우에토 아야, 사이토 타쿠미, 伊藤歩</t>
  </si>
  <si>
    <t>섬세한 일본적 감수성으로, 2019년의 시선으로 담아낸 로맨스의 이야기. 사랑은 자아의 경계가 흔들리는 순간에 찾아온다. 그리움이란 부재를 통해 존재를 확인하는 방식이다. 두고두고 다시 꺼내 볼 만한 작품이다.</t>
  </si>
  <si>
    <t>감독: Victor Salva
주연: Scott Mechlowicz, 닉 놀티, 에이미 스마트</t>
  </si>
  <si>
    <t>독일 특유의 사유의 무게를 지니며, 2006년의 시선으로 담아낸 드라마의 이야기. 우리는 각자의 서사 안에 갇혀 서로를 오해한다. 삶은 언제나 해석을 기다리는 텍스트다. 한 번쯤 들여다볼 가치가 있는 이야기다.</t>
  </si>
  <si>
    <t>감독: Hank Steinberg
주연: 니컬러스 피넉, 인디라 바마, 조이 브라이언트</t>
  </si>
  <si>
    <t>주연: Julie Van den Steen, Dina Tersago, Marc Coucke</t>
  </si>
  <si>
    <t>드라마 형식 속에서, 할리우드적 스펙터클 너머, 2021년의 시선으로 담아낸 드라마의 이야기. 우리는 각자의 서사 안에 갇혀 서로를 오해한다. 삶은 언제나 해석을 기다리는 텍스트다. 이 작품이 남기는 이미지는 어떤 방식으로든 기억에 새겨진다.</t>
  </si>
  <si>
    <t>감독: Basil Dearden
주연: 스튜어트 그레인저, Joan Greenwood, Flora Robson</t>
  </si>
  <si>
    <t>섬세한 일본적 감수성으로, 2010년의 시선으로 담아낸 로맨스의 이야기. 사랑은 자아의 경계가 흔들리는 순간에 찾아온다. 두 사람 사이의 침묵은 때로 말보다 더 많은 것을 말한다. 완벽하지 않아도, 그 불완전함이 오히려 인간적이다.</t>
  </si>
  <si>
    <t>감독: 로널드 D. 무어, Ben Nedivi
주연: 조엘 킨나만, 토비 케블, 에디 가테지</t>
  </si>
  <si>
    <t>드라마 형식 속에서, 할리우드적 스펙터클 너머, 2019년의 시선으로 담아낸 드라마의 이야기. 삶은 언제나 해석을 기다리는 텍스트다. 인간의 고통이란 결국 타인과의 거리에서 비롯된다. 평점이 담지 못하는 무언가가 이 영화에는 있다.</t>
  </si>
  <si>
    <t>감독: Aliza Brugger
주연: Ana Nicole Chavez, Dan Cathcart</t>
  </si>
  <si>
    <t>2023년의 시선으로 담아낸 드라마 이야기가 우리에게 묻는다. 우리는 각자의 서사 안에 갇혀 서로를 오해한다. 모든 이야기는 상처의 다른 이름이다. 시간이 지날수록 더 깊이 읽히는 영화다.</t>
  </si>
  <si>
    <t>감독: 제임스 맨골드
주연: 맷 데이먼, 크리스찬 베일, 존 번설</t>
  </si>
  <si>
    <t>할리우드적 스펙터클 너머, 2019년의 시선으로 담아낸 액션의 이야기. 폭력의 언어 속에서도 인간은 존엄을 갈망한다. 생존의 욕망은 가장 원초적인 철학적 질문을 던진다. 시간이 지날수록 더 깊이 읽히는 영화다.</t>
  </si>
  <si>
    <t>감독: Jason Zada
주연: 나탈리 도머, Eoin Macken, Stephanie Vogt</t>
  </si>
  <si>
    <t>할리우드적 스펙터클 너머, 2016년의 시선으로 담아낸 공포의 이야기. 공포란 이성이 침묵하는 순간 존재가 맞닥뜨리는 날것의 경험이다. 어둠은 우리 내면의 억압된 것들이 귀환하는 문이다. 완벽하지 않아도, 그 불완전함이 오히려 인간적이다.</t>
  </si>
  <si>
    <t>감독: 로버트 저메키스
주연: 톰 행크스, 로빈 라이트, 게리 시나이즈</t>
  </si>
  <si>
    <t>할리우드적 스펙터클 너머, 1994년의 시선으로 담아낸 드라마의 이야기. 인간의 고통이란 결국 타인과의 거리에서 비롯된다. 우리는 각자의 서사 안에 갇혀 서로를 오해한다. 시간이 지날수록 더 깊이 읽히는 영화다.</t>
  </si>
  <si>
    <t>감독: 볼프강 페터젠
주연: 조시 루커스, 커트 러셀, Jacinda Barrett</t>
  </si>
  <si>
    <t>할리우드적 스펙터클 너머, 2006년의 시선으로 담아낸 액션의 이야기. 충돌은 세계가 변화를 요구하는 방식이다. 폭력의 언어 속에서도 인간은 존엄을 갈망한다. 나름의 울림을 간직한 작품이다.</t>
  </si>
  <si>
    <t>감독: Jon Cassar
주연: 데미 무어, 키퍼 서덜랜드, 도널드 서덜랜드</t>
  </si>
  <si>
    <t>2015년의 시선으로 담아낸 서부 이야기가 우리에게 묻는다. 이 작품은 단순한 오락을 넘어 삶의 어떤 단면을 응시하게 한다. 우리는 스크린 앞에 앉아 타인의 삶을 통해 우리 자신을 본다. 이 작품이 남기는 이미지는 어떤 방식으로든 기억에 새겨진다.</t>
  </si>
  <si>
    <t>감독: 루벤 외스틀룬드
주연: Johannes Bah Kuhnke, Lisa Loven Kongsli, Clara Wettergren</t>
  </si>
  <si>
    <t>2014년의 시선으로 담아낸 드라마 이야기가 우리에게 묻는다. 모든 이야기는 상처의 다른 이름이다. 인간의 고통이란 결국 타인과의 거리에서 비롯된다. 두고두고 다시 꺼내 볼 만한 작품이다.</t>
  </si>
  <si>
    <t>감독: Michael Polish
주연: 멜 깁슨, 에밀 허쉬, 케이트 보스워스</t>
  </si>
  <si>
    <t>할리우드적 스펙터클 너머, 2020년의 시선으로 담아낸 액션의 이야기. 생존의 욕망은 가장 원초적인 철학적 질문을 던진다. 육체의 한계에 도전하는 것은 곧 자아의 경계를 시험하는 일이다. 완성도와 별개로, 이 작품이 던지려 한 질문은 유효하다.</t>
  </si>
  <si>
    <t>감독: 조지 갤로, Francesco Cinquemani
주연: 존 트래볼타, 모건 프리먼, 피터 스토메어</t>
  </si>
  <si>
    <t>할리우드적 스펙터클 너머, 2019년의 시선으로 담아낸 범죄의 이야기. 죄란 사회가 만든 경계를 넘는 행위이자 그 경계에 대한 질문이다. 어둠 속에서도 인간은 스스로를 정당화하려 한다. 거칠지만 그 안에서도 인간의 흔적은 남는다.</t>
  </si>
  <si>
    <t>감독: Ericson Core
주연: 에드가 라미레즈, 루크 브레이시, 테레사 파머</t>
  </si>
  <si>
    <t>할리우드적 스펙터클 너머, 2015년의 시선으로 담아낸 액션의 이야기. 충돌은 세계가 변화를 요구하는 방식이다. 폭력의 언어 속에서도 인간은 존엄을 갈망한다. 나름의 울림을 간직한 작품이다.</t>
  </si>
  <si>
    <t>감독: 조 린치
주연: 안소니 마키, 프랭크 그릴로, 마시아 그레이 하든</t>
  </si>
  <si>
    <t>할리우드적 스펙터클 너머, 2019년의 시선으로 담아낸 액션의 이야기. 육체의 한계에 도전하는 것은 곧 자아의 경계를 시험하는 일이다. 생존의 욕망은 가장 원초적인 철학적 질문을 던진다. 완성도와 별개로, 이 작품이 던지려 한 질문은 유효하다.</t>
  </si>
  <si>
    <t>감독: Alexander Kulikov, Mikhail Raskhodnikov
주연: Alexander Kulikov, Андрей Смоляков, Юрий Цурило</t>
  </si>
  <si>
    <t>할리우드적 스펙터클 너머, 2020년의 시선으로 담아낸 액션의 이야기. 폭력의 언어 속에서도 인간은 존엄을 갈망한다. 생존의 욕망은 가장 원초적인 철학적 질문을 던진다. 완벽하지 않아도, 그 불완전함이 오히려 인간적이다.</t>
  </si>
  <si>
    <t>감독: Greg Francis
주연: Beau Mirchoff, 론 펄먼, 지안카를로 에스포지토</t>
  </si>
  <si>
    <t>감독: 글렌 피카라, John Requa
주연: 윌 스미스, 마고 로비, 애드리안 마르티네즈</t>
  </si>
  <si>
    <t>할리우드적 스펙터클 너머, 2015년의 시선으로 담아낸 코미디의 이야기. 유머 속에는 세계의 부조리를 견뎌내는 지혜가 담겨 있다. 가볍게 웃는 순간에도 삶의 무게는 그 그림자를 드리운다. 나름의 울림을 간직한 작품이다.</t>
  </si>
  <si>
    <t>감독: Claudia Myers
주연: 미셸 모나한, 엠마누엘 크리퀴, 파블로 쉬라이버</t>
  </si>
  <si>
    <t>감독: Phil Flora</t>
  </si>
  <si>
    <t>독일 특유의 사유의 무게를 지니며, 2014년의 시선으로 담아낸 전쟁의 이야기. 폐허 속에서도 존엄을 지키려는 의지가 역사를 만든다. 총성은 멈추어도 그 상처는 세대를 넘어 흐른다. 오랫동안 여운이 남는 작품이다.</t>
  </si>
  <si>
    <t>감독: Ole Bornedal
주연: Bertram Bisgaard Enevoldsen, Ester Birch, Ella Nilsson</t>
  </si>
  <si>
    <t>2021년의 시선으로 담아낸 드라마 이야기가 우리에게 묻는다. 삶은 언제나 해석을 기다리는 텍스트다. 인간의 고통이란 결국 타인과의 거리에서 비롯된다. 시간이 지날수록 더 깊이 읽히는 영화다.</t>
  </si>
  <si>
    <t>감독: 베넷 밀러
주연: 스티브 카렐, 채닝 테이텀, 마크 러팔로</t>
  </si>
  <si>
    <t>감독: 임상춘, 김원석
주연: IU, 박보검, 문소리</t>
  </si>
  <si>
    <t>드라마 형식 속에서, 한국 특유의 정서가 켜켜이 쌓인 듯, 2025년의 시선으로 담아낸 드라마의 이야기. 삶은 언제나 해석을 기다리는 텍스트다. 인간의 고통이란 결국 타인과의 거리에서 비롯된다. 평점이 담지 못하는 무언가가 이 영화에는 있다.</t>
  </si>
  <si>
    <t>감독: Christophe Beaucourt
주연: Charles Sereis, Jérémie Haïk, Taga Addams</t>
  </si>
  <si>
    <t>열정과 멜랑콜리가 교차하며, 2018년의 시선으로 담아낸 드라마의 이야기. 인간의 고통이란 결국 타인과의 거리에서 비롯된다. 삶은 언제나 해석을 기다리는 텍스트다. 두고두고 다시 꺼내 볼 만한 작품이다.</t>
  </si>
  <si>
    <t>감독: 토니 스콧
주연: 톰 크루즈, 로버트 듀발, 니콜 키드먼</t>
  </si>
  <si>
    <t>할리우드적 스펙터클 너머, 1990년의 시선으로 담아낸 액션의 이야기. 폭력의 언어 속에서도 인간은 존엄을 갈망한다. 육체의 한계에 도전하는 것은 곧 자아의 경계를 시험하는 일이다. 시간이 지날수록 더 깊이 읽히는 영화다.</t>
  </si>
  <si>
    <t>감독: Gillian Harrill</t>
  </si>
  <si>
    <t>할리우드적 스펙터클 너머, 2020년의 시선으로 담아낸 드라마의 이야기. 인간의 고통이란 결국 타인과의 거리에서 비롯된다. 모든 이야기는 상처의 다른 이름이다. 흠이 있지만 진심이 담긴 시도였다.</t>
  </si>
  <si>
    <t>감독: Charlotte Peters
주연: Sara Stewart, Adrian Lukis, Alex Kingston</t>
  </si>
  <si>
    <t>영국적 절제와 냉소 사이에서, 2022년의 시선으로 담아낸 스릴러의 이야기. 진실은 언제나 우리가 감당할 수 없는 형태로 찾아온다. 긴장은 존재가 위협받을 때 가장 선명하게 빛난다. 흠이 있지만 진심이 담긴 시도였다.</t>
  </si>
  <si>
    <t>감독: 안느 퐁텐
주연: 오마르 시, 비르지니 에피라, Grégory Gadebois</t>
  </si>
  <si>
    <t>프랑스 영화 특유의 철학적 깊이로, 2021년의 시선으로 담아낸 범죄의 이야기. 어둠 속에서도 인간은 스스로를 정당화하려 한다. 죄란 사회가 만든 경계를 넘는 행위이자 그 경계에 대한 질문이다. 완성도와 별개로, 이 작품이 던지려 한 질문은 유효하다.</t>
  </si>
  <si>
    <t>감독: 성룡
주연: 성룡, 임청하, 장만옥</t>
  </si>
  <si>
    <t>1985년의 시선으로 담아낸 액션 이야기가 우리에게 묻는다. 충돌은 세계가 변화를 요구하는 방식이다. 생존의 욕망은 가장 원초적인 철학적 질문을 던진다. 완벽하지 않아도, 그 불완전함이 오히려 인간적이다.</t>
  </si>
  <si>
    <t>감독: Shamim Sarif
주연: 레베카 퍼거슨, Sam Reid, 찰스 댄스</t>
  </si>
  <si>
    <t>2016년의 시선으로 담아낸 드라마 이야기가 우리에게 묻는다. 인간의 고통이란 결국 타인과의 거리에서 비롯된다. 삶은 언제나 해석을 기다리는 텍스트다. 오랫동안 여운이 남는 작품이다.</t>
  </si>
  <si>
    <t>감독: 울루 그로스바드
주연: 로버트 드 니로, 메릴 스트립, 하비 카이텔</t>
  </si>
  <si>
    <t>할리우드적 스펙터클 너머, 1984년의 시선으로 담아낸 드라마의 이야기. 모든 이야기는 상처의 다른 이름이다. 인간의 고통이란 결국 타인과의 거리에서 비롯된다. 이 작품이 남기는 질문은 쉽게 사라지지 않는다.</t>
  </si>
  <si>
    <t>감독: Chang
주연: 류승룡, 이진욱, 유준상</t>
  </si>
  <si>
    <t>한국 특유의 정서가 켜켜이 쌓인 듯, 2014년의 시선으로 담아낸 액션의 이야기. 육체의 한계에 도전하는 것은 곧 자아의 경계를 시험하는 일이다. 폭력의 언어 속에서도 인간은 존엄을 갈망한다. 시간이 지날수록 더 깊이 읽히는 영화다.</t>
  </si>
  <si>
    <t>감독: 저스틴 전
주연: 저스틴 전, 알리시아 비칸데르, Mark O'Brien</t>
  </si>
  <si>
    <t>감독: 이현승
주연: 송강호, 신세경, 천정명</t>
  </si>
  <si>
    <t>한국 특유의 정서가 켜켜이 쌓인 듯, 2011년의 시선으로 담아낸 액션의 이야기. 충돌은 세계가 변화를 요구하는 방식이다. 생존의 욕망은 가장 원초적인 철학적 질문을 던진다. 나름의 울림을 간직한 작품이다.</t>
  </si>
  <si>
    <t>감독: 데이비드 에이어
주연: 브래드 피트, 샤이아 라보프, 로건 러먼</t>
  </si>
  <si>
    <t>할리우드적 스펙터클 너머, 2014년의 시선으로 담아낸 전쟁의 이야기. 전쟁을 기억하는 것은 반복하지 않기 위한 고통스러운 의무다. 전쟁은 인간의 이성이 멈추는 지점에서 시작된다. 이 작품이 남기는 질문은 쉽게 사라지지 않는다.</t>
  </si>
  <si>
    <t>감독: 구스 반 산트
주연: 맷 데이먼, 프랜시스 맥도맨드, 존 크래신스키</t>
  </si>
  <si>
    <t>할리우드적 스펙터클 너머, 2012년의 시선으로 담아낸 드라마의 이야기. 삶은 언제나 해석을 기다리는 텍스트다. 인간의 고통이란 결국 타인과의 거리에서 비롯된다. 완벽하지 않아도, 그 불완전함이 오히려 인간적이다.</t>
  </si>
  <si>
    <t>감독: 에메랄드 페넬
주연: 캐리 멀리건, Bo Burnham, 앨리슨 브리</t>
  </si>
  <si>
    <t>영국적 절제와 냉소 사이에서, 2020년의 시선으로 담아낸 스릴러의 이야기. 공포는 우리가 통제할 수 없는 것들에 대한 솔직한 고백이다. 진실은 언제나 우리가 감당할 수 없는 형태로 찾아온다. 한 번쯤 들여다볼 가치가 있는 이야기다.</t>
  </si>
  <si>
    <t>감독: Nick Powell
주연: 니콜라스 케이지, 팜케 얀센, 케빈 듀랜드</t>
  </si>
  <si>
    <t>할리우드적 스펙터클 너머, 2019년의 시선으로 담아낸 액션의 이야기. 충돌은 세계가 변화를 요구하는 방식이다. 생존의 욕망은 가장 원초적인 철학적 질문을 던진다. 한 번쯤 들여다볼 가치가 있는 이야기다.</t>
  </si>
  <si>
    <t>감독: 그레고리 호블릿
주연: 리처드 기어, 로라 리니, 에드워드 노튼</t>
  </si>
  <si>
    <t>할리우드적 스펙터클 너머, 1996년의 시선으로 담아낸 범죄의 이야기. 어둠 속에서도 인간은 스스로를 정당화하려 한다. 법과 도덕 사이의 틈새에서 인간의 본성이 노출된다. 오랫동안 여운이 남는 작품이다.</t>
  </si>
  <si>
    <t>감독: Steve Thompson
주연: 레오 우달, 퀸테사 스윈델, 시세 바베트 크누센</t>
  </si>
  <si>
    <t>감독: Lester Dimaranan, Paolo Emmanuel Magsino
주연: 파올로 구마바오, Sara Sandeva, Elena Kozlova</t>
  </si>
  <si>
    <t>체코</t>
  </si>
  <si>
    <t>1988년의 시선으로 담아낸 드라마 이야기가 우리에게 묻는다. 우리는 각자의 서사 안에 갇혀 서로를 오해한다. 삶은 언제나 해석을 기다리는 텍스트다. 이 작품이 남기는 질문은 쉽게 사라지지 않는다.</t>
  </si>
  <si>
    <t>감독: 마노엘 데 올리베이라
주연: Teresa Menezes, Diogo Dória, Mário Barroso</t>
  </si>
  <si>
    <t>2016년의 시선으로 담아낸 드라마 이야기가 우리에게 묻는다. 모든 이야기는 상처의 다른 이름이다. 삶은 언제나 해석을 기다리는 텍스트다. 시간이 지날수록 더 깊이 읽히는 영화다.</t>
  </si>
  <si>
    <t>감독: 그레고리 호블릿
주연: 안소니 홉킨스, 라이언 고슬링, 데이비드 스트러세언</t>
  </si>
  <si>
    <t>할리우드적 스펙터클 너머, 2007년의 시선으로 담아낸 스릴러의 이야기. 불안이란 현실이 균열을 드러내는 순간에 스며든다. 진실은 언제나 우리가 감당할 수 없는 형태로 찾아온다. 나름의 울림을 간직한 작품이다.</t>
  </si>
  <si>
    <t>감독: Brad Anderson
주연: 샘 워싱턴, 릴리 레이브, Lucy Capri</t>
  </si>
  <si>
    <t>할리우드적 스펙터클 너머, 2019년의 시선으로 담아낸 스릴러의 이야기. 공포는 우리가 통제할 수 없는 것들에 대한 솔직한 고백이다. 불안이란 현실이 균열을 드러내는 순간에 스며든다. 완벽하지 않아도, 그 불완전함이 오히려 인간적이다.</t>
  </si>
  <si>
    <t>감독: 크리스토퍼 놀란
주연: 휴 잭맨, 크리스찬 베일, 마이클 케인</t>
  </si>
  <si>
    <t>할리우드적 스펙터클 너머, 2006년의 시선으로 담아낸 드라마의 이야기. 삶은 언제나 해석을 기다리는 텍스트다. 우리는 각자의 서사 안에 갇혀 서로를 오해한다. 두고두고 다시 꺼내 볼 만한 작품이다.</t>
  </si>
  <si>
    <t>감독: 데이비드 고든 그린
주연: 산드라 블록, 안소니 마키, 빌리 밥 손튼</t>
  </si>
  <si>
    <t>할리우드적 스펙터클 너머, 2015년의 시선으로 담아낸 코미디의 이야기. 웃음은 고통을 소화하는 인간만의 방식이다. 유머 속에는 세계의 부조리를 견뎌내는 지혜가 담겨 있다. 두고두고 다시 꺼내 볼 만한 작품이다.</t>
  </si>
  <si>
    <t>감독: Anson Williams
주연: Tim Matheson, Ann Jillian, Robert Costanzo</t>
  </si>
  <si>
    <t>프랑스 영화 특유의 철학적 깊이로, 2014년의 시선으로 담아낸 드라마의 이야기. 삶은 언제나 해석을 기다리는 텍스트다. 인간의 고통이란 결국 타인과의 거리에서 비롯된다. 이 작품이 남기는 질문은 쉽게 사라지지 않는다.</t>
  </si>
  <si>
    <t>감독: 트란 안 홍
주연: 브누아 마지멜, 쥘리에트 비노쉬, Patrick d'Assumçao</t>
  </si>
  <si>
    <t>프랑스 영화 특유의 철학적 깊이로, 2023년의 시선으로 담아낸 드라마의 이야기. 우리는 각자의 서사 안에 갇혀 서로를 오해한다. 모든 이야기는 상처의 다른 이름이다. 흠이 있지만 진심이 담긴 시도였다.</t>
  </si>
  <si>
    <t>감독: Nicholas McCarthy
주연: 테일러 쉴링, 잭슨 로버트 스콧, Colm Feore</t>
  </si>
  <si>
    <t>할리우드적 스펙터클 너머, 2019년의 시선으로 담아낸 공포의 이야기. 공포란 이성이 침묵하는 순간 존재가 맞닥뜨리는 날것의 경험이다. 불가해한 것 앞에서 인간은 얼마나 작은가를 깨닫는다. 나름의 울림을 간직한 작품이다.</t>
  </si>
  <si>
    <t>감독: 론 하워드
주연: Frank Langella, 마이클 쉰, 케빈 베이컨</t>
  </si>
  <si>
    <t>할리우드적 스펙터클 너머, 2008년의 시선으로 담아낸 드라마의 이야기. 우리는 각자의 서사 안에 갇혀 서로를 오해한다. 인간의 고통이란 결국 타인과의 거리에서 비롯된다. 오랫동안 여운이 남는 작품이다.</t>
  </si>
  <si>
    <t>감독: Anand Tucker
주연: 에이미 아담스, 매튜 구드, 애덤 스콧</t>
  </si>
  <si>
    <t>섬세한 일본적 감수성으로, 2010년의 시선으로 담아낸 로맨스의 이야기. 사랑은 자아의 경계가 흔들리는 순간에 찾아온다. 그리움이란 부재를 통해 존재를 확인하는 방식이다. 이 작품이 남기는 질문은 쉽게 사라지지 않는다.</t>
  </si>
  <si>
    <t>감독: 알리스 위노쿠르
주연: 에바 그린, 맷 딜런, Zélie Boulant-Lemesle</t>
  </si>
  <si>
    <t>프랑스 영화 특유의 철학적 깊이로, 2019년의 시선으로 담아낸 드라마의 이야기. 모든 이야기는 상처의 다른 이름이다. 삶은 언제나 해석을 기다리는 텍스트다. 이 작품이 남기는 질문은 쉽게 사라지지 않는다.</t>
  </si>
  <si>
    <t>감독: 존 매든
주연: 기네스 팰트로, 안소니 홉킨스, 제이크 질렌할</t>
  </si>
  <si>
    <t>할리우드적 스펙터클 너머, 2005년의 시선으로 담아낸 드라마의 이야기. 인간의 고통이란 결국 타인과의 거리에서 비롯된다. 삶은 언제나 해석을 기다리는 텍스트다. 오랫동안 여운이 남는 작품이다.</t>
  </si>
  <si>
    <t>감독: 숀 레비
주연: 라이언 레이놀즈, 조디 코머, 릴 렐 하워리</t>
  </si>
  <si>
    <t>할리우드적 스펙터클 너머, 2021년의 시선으로 담아낸 액션의 이야기. 충돌은 세계가 변화를 요구하는 방식이다. 생존의 욕망은 가장 원초적인 철학적 질문을 던진다. 이 작품이 남기는 질문은 쉽게 사라지지 않는다.</t>
  </si>
  <si>
    <t>감독: 게리 로스
주연: 매튜 매커너히, 구구 음바타로, 마허샬라 알리</t>
  </si>
  <si>
    <t>할리우드적 스펙터클 너머, 2016년의 시선으로 담아낸 액션의 이야기. 폭력의 언어 속에서도 인간은 존엄을 갈망한다. 생존의 욕망은 가장 원초적인 철학적 질문을 던진다. 시간이 지날수록 더 깊이 읽히는 영화다.</t>
  </si>
  <si>
    <t>감독: 카를라 시몬
주연: Laia Artigas, Paula Robles, Bruna Cusí</t>
  </si>
  <si>
    <t>열정과 멜랑콜리가 교차하며, 2017년의 시선으로 담아낸 드라마의 이야기. 우리는 각자의 서사 안에 갇혀 서로를 오해한다. 모든 이야기는 상처의 다른 이름이다. 흠이 있지만 진심이 담긴 시도였다.</t>
  </si>
  <si>
    <t>감독: Richard LaGravenese
주연: 힐러리 스웽크, 패트릭 뎀시, 스콧 글렌</t>
  </si>
  <si>
    <t>할리우드적 스펙터클 너머, 2007년의 시선으로 담아낸 드라마의 이야기. 모든 이야기는 상처의 다른 이름이다. 삶은 언제나 해석을 기다리는 텍스트다. 이 작품이 남기는 질문은 쉽게 사라지지 않는다.</t>
  </si>
  <si>
    <t>감독: 데이비드 코엡
주연: 조셉 고든레빗, 마이클 섀넌, 다니아 라미레스</t>
  </si>
  <si>
    <t>할리우드적 스펙터클 너머, 2012년의 시선으로 담아낸 액션의 이야기. 육체의 한계에 도전하는 것은 곧 자아의 경계를 시험하는 일이다. 충돌은 세계가 변화를 요구하는 방식이다. 완벽하지 않아도, 그 불완전함이 오히려 인간적이다.</t>
  </si>
  <si>
    <t>감독: 드니 빌뇌브
주연: 휴 잭맨, 제이크 질렌할, 비올라 데이비스</t>
  </si>
  <si>
    <t>할리우드적 스펙터클 너머, 2013년의 시선으로 담아낸 범죄의 이야기. 법과 도덕 사이의 틈새에서 인간의 본성이 노출된다. 어둠 속에서도 인간은 스스로를 정당화하려 한다. 오랫동안 여운이 남는 작품이다.</t>
  </si>
  <si>
    <t>감독: Kyle Patrick Alvarez
주연: 빌리 크루덥, 마이클 안가라노, 에즈라 밀러</t>
  </si>
  <si>
    <t>한국 특유의 정서가 켜켜이 쌓인 듯, 2016년의 시선으로 담아낸 범죄의 이야기. 죄란 사회가 만든 경계를 넘는 행위이자 그 경계에 대한 질문이다. 어둠 속에서도 인간은 스스로를 정당화하려 한다. 오랫동안 여운이 남는 작품이다.</t>
  </si>
  <si>
    <t>감독: 그레고리 호블릿
주연: 데니스 퀘이드, 짐 커비즐, Shawn Doyle</t>
  </si>
  <si>
    <t>할리우드적 스펙터클 너머, 2000년의 시선으로 담아낸 SF의 이야기. 우주의 광대함 앞에서 인간의 질문은 더욱 깊어진다. 타자와의 만남은 언제나 자아의 재발견으로 이어진다. 시간이 지날수록 더 깊이 읽히는 영화다.</t>
  </si>
  <si>
    <t>감독: 알렉스 커츠먼, 로베르토 오르시
주연: 안나 토브, 조슈아 잭슨, Jasika Nicole</t>
  </si>
  <si>
    <t>드라마 형식 속에서, 할리우드적 스펙터클 너머, 2008년의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</si>
  <si>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2010년의 시선으로 담아낸 드라마의 이야기. 인간의 고통이란 결국 타인과의 거리에서 비롯된다. 우리는 각자의 서사 안에 갇혀 서로를 오해한다. 평점이 담지 못하는 무언가가 이 영화에는 있다.</t>
  </si>
  <si>
    <t>드라마 형식 속에서, 할리우드적 스펙터클 너머, 2011년의 시선으로 담아낸 드라마의 이야기. 삶은 언제나 해석을 기다리는 텍스트다. 우리는 각자의 서사 안에 갇혀 서로를 오해한다. 평점이 담지 못하는 무언가가 이 영화에는 있다.</t>
  </si>
  <si>
    <t>드라마 형식 속에서, 할리우드적 스펙터클 너머, 2012년의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</si>
  <si>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마틴 스콜세지
주연: 레오나르도 디카프리오, 로버트 드 니로, 릴리 글래드스톤</t>
  </si>
  <si>
    <t>206분</t>
  </si>
  <si>
    <t>할리우드적 스펙터클 너머, 2023년의 시선으로 담아낸 범죄의 이야기. 죄란 사회가 만든 경계를 넘는 행위이자 그 경계에 대한 질문이다. 욕망은 언제나 질서보다 먼저 존재했다. 두고두고 다시 꺼내 볼 만한 작품이다.</t>
  </si>
  <si>
    <t>감독: Greg Berlanti
주연: 스칼렛 요한슨, 채닝 테이텀, 우디 해럴슨</t>
  </si>
  <si>
    <t>할리우드적 스펙터클 너머, 2024년의 시선으로 담아낸 코미디의 이야기. 웃음은 고통을 소화하는 인간만의 방식이다. 가볍게 웃는 순간에도 삶의 무게는 그 그림자를 드리운다. 나름의 울림을 간직한 작품이다.</t>
  </si>
  <si>
    <t>감독: 로버트 저메키스
주연: 덴젤 워싱턴, 돈 치들, 켈리 라일리</t>
  </si>
  <si>
    <t>감독: 멜 깁슨
주연: 마크 월버그, 미셸 도커리, 토퍼 그레이스</t>
  </si>
  <si>
    <t>할리우드적 스펙터클 너머, 2025년의 시선으로 담아낸 액션의 이야기. 육체의 한계에 도전하는 것은 곧 자아의 경계를 시험하는 일이다. 생존의 욕망은 가장 원초적인 철학적 질문을 던진다. 완벽하지 않아도, 그 불완전함이 오히려 인간적이다.</t>
  </si>
  <si>
    <t>감독: Michael Wech</t>
  </si>
  <si>
    <t>할리우드적 스펙터클 너머, 2013년의 시선으로 담아낸 SF의 이야기. 우주의 광대함 앞에서 인간의 질문은 더욱 깊어진다. 기술이 진보할수록 인간다움의 정의는 더욱 절박해진다. 한 번쯤 들여다볼 가치가 있는 이야기다.</t>
  </si>
  <si>
    <t>감독: 올리버 스톤
주연: 찰리 쉰, 윌렘 대포, 톰 베렌저</t>
  </si>
  <si>
    <t>할리우드적 스펙터클 너머, 1987년의 시선으로 담아낸 전쟁의 이야기. 총성은 멈추어도 그 상처는 세대를 넘어 흐른다. 전쟁은 인간의 이성이 멈추는 지점에서 시작된다. 시간이 지날수록 더 깊이 읽히는 영화다.</t>
  </si>
  <si>
    <t>감독: 大友啓史
주연: 니노미야 카즈나리, 토요카와 에츠시, 스즈키 호나미</t>
  </si>
  <si>
    <t>섬세한 일본적 감수성으로, 2013년의 시선으로 담아낸 SF의 이야기. 기술이 진보할수록 인간다움의 정의는 더욱 절박해진다. 타자와의 만남은 언제나 자아의 재발견으로 이어진다. 나름의 울림을 간직한 작품이다.</t>
  </si>
  <si>
    <t>감독: 하야카와 치에
주연: 바이쇼 치에코, 이소무라 하야토, Stefanie Arianne</t>
  </si>
  <si>
    <t>섬세한 일본적 감수성으로, 2022년의 시선으로 담아낸 드라마의 이야기. 삶은 언제나 해석을 기다리는 텍스트다. 인간의 고통이란 결국 타인과의 거리에서 비롯된다. 한 번쯤 들여다볼 가치가 있는 이야기다.</t>
  </si>
  <si>
    <t>감독: Sung Si-hup
주연: 정재영, 한지민, 김지영</t>
  </si>
  <si>
    <t>한국 특유의 정서가 켜켜이 쌓인 듯, 2013년의 시선으로 담아낸 코미디의 이야기. 가볍게 웃는 순간에도 삶의 무게는 그 그림자를 드리운다. 유머 속에는 세계의 부조리를 견뎌내는 지혜가 담겨 있다. 이 작품이 남기는 질문은 쉽게 사라지지 않는다.</t>
  </si>
  <si>
    <t>감독: 조엘 슈마허
주연: 키퍼 서덜랜드, 줄리아 로버츠, 케빈 베이컨</t>
  </si>
  <si>
    <t>할리우드적 스펙터클 너머, 2017년의 시선으로 담아낸 공포의 이야기. 공포란 이성이 침묵하는 순간 존재가 맞닥뜨리는 날것의 경험이다. 어둠은 우리 내면의 억압된 것들이 귀환하는 문이다. 흠이 있지만 진심이 담긴 시도였다.</t>
  </si>
  <si>
    <t>감독: 데릭 시엔프랜스
주연: 라이언 고슬링, 브래들리 쿠퍼, 에바 멘데스</t>
  </si>
  <si>
    <t>할리우드적 스펙터클 너머, 2012년의 시선으로 담아낸 범죄의 이야기. 죄란 사회가 만든 경계를 넘는 행위이자 그 경계에 대한 질문이다. 어둠 속에서도 인간은 스스로를 정당화하려 한다. 이 작품이 남기는 질문은 쉽게 사라지지 않는다.</t>
  </si>
  <si>
    <t>감독: Jean-François Richet
주연: 제라드 버틀러, 마이크 콜터, 토니 골드윈</t>
  </si>
  <si>
    <t>할리우드적 스펙터클 너머, 2023년의 시선으로 담아낸 액션의 이야기. 폭력의 언어 속에서도 인간은 존엄을 갈망한다. 생존의 욕망은 가장 원초적인 철학적 질문을 던진다. 흠이 있지만 진심이 담긴 시도였다.</t>
  </si>
  <si>
    <t>감독: 존 카니
주연: 이브 휴슨, 오렌 킨란, 조셉 고든레빗</t>
  </si>
  <si>
    <t>2023년의 시선으로 담아낸 코미디 이야기가 우리에게 묻는다. 유머 속에는 세계의 부조리를 견뎌내는 지혜가 담겨 있다. 우스운 것과 슬픈 것은 본래 같은 뿌리에서 자란다. 흠이 있지만 진심이 담긴 시도였다.</t>
  </si>
  <si>
    <t>감독: 스티븐 프리어스
주연: 메릴 스트립, 휴 그랜트, 사이먼 헬버그</t>
  </si>
  <si>
    <t>영국적 절제와 냉소 사이에서, 2016년의 시선으로 담아낸 드라마의 이야기. 인간의 고통이란 결국 타인과의 거리에서 비롯된다. 우리는 각자의 서사 안에 갇혀 서로를 오해한다. 이 작품이 남기는 질문은 쉽게 사라지지 않는다.</t>
  </si>
  <si>
    <t>감독: Michael Radford
주연: 데미 무어, 마이클 케인, 램버트 윌슨</t>
  </si>
  <si>
    <t>영국적 절제와 냉소 사이에서, 2007년의 시선으로 담아낸 범죄의 이야기. 법과 도덕 사이의 틈새에서 인간의 본성이 노출된다. 죄란 사회가 만든 경계를 넘는 행위이자 그 경계에 대한 질문이다. 나름의 울림을 간직한 작품이다.</t>
  </si>
  <si>
    <t>감독: 롭 라이너
주연: Madeline Carroll, Callan McAuliffe, 리베카 데 모네이</t>
  </si>
  <si>
    <t>할리우드적 스펙터클 너머, 2010년의 시선으로 담아낸 코미디의 이야기. 우스운 것과 슬픈 것은 본래 같은 뿌리에서 자란다. 웃음은 고통을 소화하는 인간만의 방식이다. 두고두고 다시 꺼내 볼 만한 작품이다.</t>
  </si>
  <si>
    <t>감독: 마이클 사노스키
주연: 니콜라스 케이지, 알렉스 울프, Adam Arkin</t>
  </si>
  <si>
    <t>할리우드적 스펙터클 너머, 2021년의 시선으로 담아낸 드라마의 이야기. 우리는 각자의 서사 안에 갇혀 서로를 오해한다. 삶은 언제나 해석을 기다리는 텍스트다. 나름의 울림을 간직한 작품이다.</t>
  </si>
  <si>
    <t>감독: Lee Yeon-woo
주연: 박보영, 이종석, 이세영</t>
  </si>
  <si>
    <t>한국 특유의 정서가 켜켜이 쌓인 듯, 2014년의 시선으로 담아낸 코미디의 이야기. 우스운 것과 슬픈 것은 본래 같은 뿌리에서 자란다. 유머 속에는 세계의 부조리를 견뎌내는 지혜가 담겨 있다. 흠이 있지만 진심이 담긴 시도였다.</t>
  </si>
  <si>
    <t>감독: Tyler Nilson, Michael Schwartz
주연: 샤이아 라보프, 재커리 곳세이건, 다코타 존슨</t>
  </si>
  <si>
    <t>할리우드적 스펙터클 너머, 2019년의 시선으로 담아낸 드라마의 이야기. 삶은 언제나 해석을 기다리는 텍스트다. 인간의 고통이란 결국 타인과의 거리에서 비롯된다. 흠이 있지만 진심이 담긴 시도였다.</t>
  </si>
  <si>
    <t>감독: Jean-Paul Salomé
주연: 소피 마르소, Julie Depardieu, Marie Gillain</t>
  </si>
  <si>
    <t>프랑스 영화 특유의 철학적 깊이로, 2008년의 시선으로 담아낸 액션의 이야기. 육체의 한계에 도전하는 것은 곧 자아의 경계를 시험하는 일이다. 폭력의 언어 속에서도 인간은 존엄을 갈망한다. 오랫동안 여운이 남는 작품이다.</t>
  </si>
  <si>
    <t>감독: 로버트 벤턴
주연: 모건 프리먼, 그렉 키니어, 라다 미첼</t>
  </si>
  <si>
    <t>할리우드적 스펙터클 너머, 2007년의 시선으로 담아낸 드라마의 이야기. 인간의 고통이란 결국 타인과의 거리에서 비롯된다. 삶은 언제나 해석을 기다리는 텍스트다. 흠이 있지만 진심이 담긴 시도였다.</t>
  </si>
  <si>
    <t>감독: 주세페 토르나토레
주연: 팀 로스, 프루이트 테일러 빈스, 멜라니 티에리</t>
  </si>
  <si>
    <t>이탈리아 네오리얼리즘의 숨결을 담아, 1998년의 시선으로 담아낸 드라마의 이야기. 인간의 고통이란 결국 타인과의 거리에서 비롯된다. 삶은 언제나 해석을 기다리는 텍스트다. 오랫동안 여운이 남는 작품이다.</t>
  </si>
  <si>
    <t>감독: Castille Landon
주연: 매디슨 아이스먼, 이즈리얼 브루사드, Eugenie Bondurant</t>
  </si>
  <si>
    <t>할리우드적 스펙터클 너머, 2021년의 시선으로 담아낸 스릴러의 이야기. 긴장은 존재가 위협받을 때 가장 선명하게 빛난다. 불안이란 현실이 균열을 드러내는 순간에 스며든다. 한 번쯤 들여다볼 가치가 있는 이야기다.</t>
  </si>
  <si>
    <t>감독: 김기덕
주연: 조민수, 이정진, 우기홍</t>
  </si>
  <si>
    <t>한국 특유의 정서가 켜켜이 쌓인 듯, 2012년의 시선으로 담아낸 드라마의 이야기. 인간의 고통이란 결국 타인과의 거리에서 비롯된다. 모든 이야기는 상처의 다른 이름이다. 흠이 있지만 진심이 담긴 시도였다.</t>
  </si>
  <si>
    <t>감독: Paula van der Oest
주연: Ariane Schluter, Sallie Harmsen, 페드야 반 휴엣</t>
  </si>
  <si>
    <t>2014년의 시선으로 담아낸 범죄 이야기가 우리에게 묻는다. 어둠 속에서도 인간은 스스로를 정당화하려 한다. 욕망은 언제나 질서보다 먼저 존재했다. 이 작품이 남기는 이미지는 어떤 방식으로든 기억에 새겨진다.</t>
  </si>
  <si>
    <t>감독: Jason Moore
주연: 안나 켄드릭, 안나 캠프, 브리트니 스노우</t>
  </si>
  <si>
    <t>감독: 스티븐 나이트
주연: 킬리언 머피, 폴 앤더슨, Sophie Rundle</t>
  </si>
  <si>
    <t>드라마 형식 속에서, 영국적 절제와 냉소 사이에서, 2013년의 시선으로 담아낸 드라마의 이야기. 우리는 각자의 서사 안에 갇혀 서로를 오해한다. 인간의 고통이란 결국 타인과의 거리에서 비롯된다. 이 작품이 남기는 이미지는 어떤 방식으로든 기억에 새겨진다.</t>
  </si>
  <si>
    <t>드라마 형식 속에서, 영국적 절제와 냉소 사이에서, 2014년의 시선으로 담아낸 드라마의 이야기. 인간의 고통이란 결국 타인과의 거리에서 비롯된다. 삶은 언제나 해석을 기다리는 텍스트다. 이 작품이 남기는 이미지는 어떤 방식으로든 기억에 새겨진다.</t>
  </si>
  <si>
    <t>드라마 형식 속에서, 영국적 절제와 냉소 사이에서, 2016년의 시선으로 담아낸 드라마의 이야기. 모든 이야기는 상처의 다른 이름이다. 우리는 각자의 서사 안에 갇혀 서로를 오해한다. 이 작품이 남기는 이미지는 어떤 방식으로든 기억에 새겨진다.</t>
  </si>
  <si>
    <t>드라마 형식 속에서, 영국적 절제와 냉소 사이에서, 2017년의 시선으로 담아낸 드라마의 이야기. 모든 이야기는 상처의 다른 이름이다. 인간의 고통이란 결국 타인과의 거리에서 비롯된다. 이 작품이 남기는 이미지는 어떤 방식으로든 기억에 새겨진다.</t>
  </si>
  <si>
    <t>감독: Harvey Lilley, Kate Beetham
주연: Mark Frost, 스티븐 나이트, Carl Chinn</t>
  </si>
  <si>
    <t>감독: 알렉스 커츠먼
주연: 크리스 파인, 엘리자베스 뱅크스, 올리비아 와일드</t>
  </si>
  <si>
    <t>감독: 로베르 브레송
주연: Martin LaSalle, Marika Green, Jean Pélégri</t>
  </si>
  <si>
    <t>75분</t>
  </si>
  <si>
    <t>프랑스 영화 특유의 철학적 깊이로, 1959년의 시선으로 담아낸 범죄의 이야기. 어둠 속에서도 인간은 스스로를 정당화하려 한다. 욕망은 언제나 질서보다 먼저 존재했다. 나름의 울림을 간직한 작품이다.</t>
  </si>
  <si>
    <t>감독: Miguel Sapochnik
주연: 톰 행크스, 케일럽 랜드리 존스, Oscar Avila</t>
  </si>
  <si>
    <t>할리우드적 스펙터클 너머, 2021년의 시선으로 담아낸 SF의 이야기. 타자와의 만남은 언제나 자아의 재발견으로 이어진다. 우주의 광대함 앞에서 인간의 질문은 더욱 깊어진다. 두고두고 다시 꺼내 볼 만한 작품이다.</t>
  </si>
  <si>
    <t>감독: 조나단 드미
주연: 톰 행크스, 덴젤 워싱턴, Jason Robards</t>
  </si>
  <si>
    <t>할리우드적 스펙터클 너머, 1993년의 시선으로 담아낸 드라마의 이야기. 삶은 언제나 해석을 기다리는 텍스트다. 인간의 고통이란 결국 타인과의 거리에서 비롯된다. 오랫동안 여운이 남는 작품이다.</t>
  </si>
  <si>
    <t>감독: 스티븐 프리어스
주연: 주디 덴치, 스티브 쿠건, Sophie Kennedy Clark</t>
  </si>
  <si>
    <t>영국적 절제와 냉소 사이에서, 2013년의 시선으로 담아낸 드라마의 이야기. 삶은 언제나 해석을 기다리는 텍스트다. 인간의 고통이란 결국 타인과의 거리에서 비롯된다. 시간이 지날수록 더 깊이 읽히는 영화다.</t>
  </si>
  <si>
    <t>감독: Paul McGuigan
주연: 아네트 베닝, 제이미 벨, 줄리 월터스</t>
  </si>
  <si>
    <t>감독: 유키사다 이사오
주연: 中島裕翔, 스다 마사키, 카호</t>
  </si>
  <si>
    <t>섬세한 일본적 감수성으로, 2015년의 시선으로 담아낸 드라마의 이야기. 모든 이야기는 상처의 다른 이름이다. 삶은 언제나 해석을 기다리는 텍스트다. 평점이 담지 못하는 무언가가 이 영화에는 있다.</t>
  </si>
  <si>
    <t>감독: 松永大司
주연: 요시다 요, 佐野玲於, 村上虹郎</t>
  </si>
  <si>
    <t>섬세한 일본적 감수성으로, 2018년의 시선으로 담아낸 드라마의 이야기. 삶은 언제나 해석을 기다리는 텍스트다. 인간의 고통이란 결국 타인과의 거리에서 비롯된다. 한 번쯤 들여다볼 가치가 있는 이야기다.</t>
  </si>
  <si>
    <t>감독: 阿久根知昭
주연: 히로스에 료코, 타키토 켄이치, 原田貴和子</t>
  </si>
  <si>
    <t>섬세한 일본적 감수성으로, 2015년의 시선으로 담아낸 드라마의 이야기. 인간의 고통이란 결국 타인과의 거리에서 비롯된다. 모든 이야기는 상처의 다른 이름이다. 두고두고 다시 꺼내 볼 만한 작품이다.</t>
  </si>
  <si>
    <t>감독: 이와이 슌지
주연: 스즈키 안, 아오이 유우, 郭智博</t>
  </si>
  <si>
    <t>섬세한 일본적 감수성으로, 2004년의 시선으로 담아낸 드라마의 이야기. 우리는 각자의 서사 안에 갇혀 서로를 오해한다. 인간의 고통이란 결국 타인과의 거리에서 비롯된다. 두고두고 다시 꺼내 볼 만한 작품이다.</t>
  </si>
  <si>
    <t>감독: Claudia Llosa
주연: 제니퍼 코넬리, 킬리언 머피, 멜라니 로랑</t>
  </si>
  <si>
    <t>열정과 멜랑콜리가 교차하며, 2014년의 시선으로 담아낸 드라마의 이야기. 우리는 각자의 서사 안에 갇혀 서로를 오해한다. 삶은 언제나 해석을 기다리는 텍스트다. 나름의 울림을 간직한 작품이다.</t>
  </si>
  <si>
    <t>감독: Thomas Allen Harris</t>
  </si>
  <si>
    <t>프랑스 영화 특유의 철학적 깊이로, 1993년의 시선으로 담아낸 드라마의 이야기. 우리는 각자의 서사 안에 갇혀 서로를 오해한다. 삶은 언제나 해석을 기다리는 텍스트다. 이 작품이 남기는 질문은 쉽게 사라지지 않는다.</t>
  </si>
  <si>
    <t>감독: 리처드 도너
주연: 로렌 브라코, John Heard, 애덤 볼드윈</t>
  </si>
  <si>
    <t>할리우드적 스펙터클 너머, 1992년의 시선으로 담아낸 드라마의 이야기. 모든 이야기는 상처의 다른 이름이다. 우리는 각자의 서사 안에 갇혀 서로를 오해한다. 완벽하지 않아도, 그 불완전함이 오히려 인간적이다.</t>
  </si>
  <si>
    <t>감독: 로버트 저메키스
주연: 조셉 고든레빗, 벤 킹슬리, 샤를로트 르 봉</t>
  </si>
  <si>
    <t>섬세한 일본적 감수성으로, 2015년의 시선으로 담아낸 드라마의 이야기. 삶은 언제나 해석을 기다리는 텍스트다. 우리는 각자의 서사 안에 갇혀 서로를 오해한다. 시간이 지날수록 더 깊이 읽히는 영화다.</t>
  </si>
  <si>
    <t>감독: Michael Lindley
주연: Danny Webb, Aidan O'Hare, Finian Duff Lennon</t>
  </si>
  <si>
    <t>2012년의 시선으로 담아낸 가족 이야기가 우리에게 묻는다. 집으로 돌아오는 것은 자아의 원점을 확인하는 일이다. 가족은 가장 가까운 타인들과 이루는 불완전한 공동체다. 두고두고 다시 꺼내 볼 만한 작품이다.</t>
  </si>
  <si>
    <t>감독: Mikael Salomon
주연: 모건 프리먼, 크리스찬 슬레이터, 미니 드라이버</t>
  </si>
  <si>
    <t>할리우드적 스펙터클 너머, 1998년의 시선으로 담아낸 액션의 이야기. 육체의 한계에 도전하는 것은 곧 자아의 경계를 시험하는 일이다. 폭력의 언어 속에서도 인간은 존엄을 갈망한다. 흠이 있지만 진심이 담긴 시도였다.</t>
  </si>
  <si>
    <t>감독: Philipp Stölzl
주연: 에런 엑하트, Liana Liberato, 올가 쿠릴렌코</t>
  </si>
  <si>
    <t>할리우드적 스펙터클 너머, 2014년의 시선으로 담아낸 액션의 이야기. 충돌은 세계가 변화를 요구하는 방식이다. 폭력의 언어 속에서도 인간은 존엄을 갈망한다. 나름의 울림을 간직한 작품이다.</t>
  </si>
  <si>
    <t>감독: David Baril, Daniel Faubert, Marcella Grimaux
주연: Serge Fiori, Denis Farmer, Monique Fauteux</t>
  </si>
  <si>
    <t>섬세한 일본적 감수성으로, 2016년의 시선으로 담아낸 드라마의 이야기. 모든 이야기는 상처의 다른 이름이다. 우리는 각자의 서사 안에 갇혀 서로를 오해한다. 흠이 있지만 진심이 담긴 시도였다.</t>
  </si>
  <si>
    <t>감독: Joel Hopkins
주연: 더스틴 호프만, 엠마 톰슨, Eileen Atkins</t>
  </si>
  <si>
    <t>할리우드적 스펙터클 너머, 2008년의 시선으로 담아낸 코미디의 이야기. 웃음은 고통을 소화하는 인간만의 방식이다. 우스운 것과 슬픈 것은 본래 같은 뿌리에서 자란다. 시간이 지날수록 더 깊이 읽히는 영화다.</t>
  </si>
  <si>
    <t>감독: 真田敦
주연: 오카다 마사키, 바이쇼 치에코, 長谷川潤</t>
  </si>
  <si>
    <t>섬세한 일본적 감수성으로, 2009년의 시선으로 담아낸 드라마의 이야기. 우리는 각자의 서사 안에 갇혀 서로를 오해한다. 모든 이야기는 상처의 다른 이름이다. 오랫동안 여운이 남는 작품이다.</t>
  </si>
  <si>
    <t>감독: Christian Ditter
주연: 다코타 존슨, 레벨 윌슨, 레슬리 맨</t>
  </si>
  <si>
    <t>할리우드적 스펙터클 너머, 2016년의 시선으로 담아낸 코미디의 이야기. 유머 속에는 세계의 부조리를 견뎌내는 지혜가 담겨 있다. 가볍게 웃는 순간에도 삶의 무게는 그 그림자를 드리운다. 오랫동안 여운이 남는 작품이다.</t>
  </si>
  <si>
    <t>감독: 리들리 스콧
주연: 레이디 가가, 애덤 드라이버, 알 파치노</t>
  </si>
  <si>
    <t>할리우드적 스펙터클 너머, 2021년의 시선으로 담아낸 드라마의 이야기. 인간의 고통이란 결국 타인과의 거리에서 비롯된다. 삶은 언제나 해석을 기다리는 텍스트다. 나름의 울림을 간직한 작품이다.</t>
  </si>
  <si>
    <t>감독: 캐스린 비글로
주연: 이드리스 엘바, 레베카 퍼거슨, 게이브리얼 배소</t>
  </si>
  <si>
    <t>할리우드적 스펙터클 너머, 2025년의 시선으로 담아낸 액션의 이야기. 충돌은 세계가 변화를 요구하는 방식이다. 육체의 한계에 도전하는 것은 곧 자아의 경계를 시험하는 일이다. 한 번쯤 들여다볼 가치가 있는 이야기다.</t>
  </si>
  <si>
    <t>감독: 조지 R. R. 마틴, Ryan Condal
주연: 맷 스미스, 이완 미첼, 미즈노 소노야</t>
  </si>
  <si>
    <t>드라마 형식 속에서, 할리우드적 스펙터클 너머, 2022년의 시선으로 담아낸 드라마의 이야기. 인간의 고통이란 결국 타인과의 거리에서 비롯된다. 모든 이야기는 상처의 다른 이름이다. 평점이 담지 못하는 무언가가 이 영화에는 있다.</t>
  </si>
  <si>
    <t>감독: デビッド・S・シン
주연: 타나카 민, 맛켄유, 萬田久子</t>
  </si>
  <si>
    <t>드라마 형식 속에서, 섬세한 일본적 감수성으로, 2024년의 시선으로 담아낸 드라마의 이야기. 인간의 고통이란 결국 타인과의 거리에서 비롯된다. 모든 이야기는 상처의 다른 이름이다. 이 작품이 남기는 이미지는 어떤 방식으로든 기억에 새겨진다.</t>
  </si>
  <si>
    <t>감독: Beau Willimon
주연: 로빈 라이트, 마이클 켈리, Constance Zimmer</t>
  </si>
  <si>
    <t>드라마 형식 속에서, 할리우드적 스펙터클 너머, 2013년의 시선으로 담아낸 드라마의 이야기. 우리는 각자의 서사 안에 갇혀 서로를 오해한다. 인간의 고통이란 결국 타인과의 거리에서 비롯된다. 평점이 담지 못하는 무언가가 이 영화에는 있다.</t>
  </si>
  <si>
    <t>드라마 형식 속에서, 할리우드적 스펙터클 너머, 2014년의 시선으로 담아낸 드라마의 이야기. 인간의 고통이란 결국 타인과의 거리에서 비롯된다. 삶은 언제나 해석을 기다리는 텍스트다. 이 작품이 남기는 이미지는 어떤 방식으로든 기억에 새겨진다.</t>
  </si>
  <si>
    <t>드라마 형식 속에서, 할리우드적 스펙터클 너머, 2016년의 시선으로 담아낸 드라마의 이야기. 인간의 고통이란 결국 타인과의 거리에서 비롯된다. 삶은 언제나 해석을 기다리는 텍스트다. 이 작품이 남기는 이미지는 어떤 방식으로든 기억에 새겨진다.</t>
  </si>
  <si>
    <t>드라마 형식 속에서, 할리우드적 스펙터클 너머, 2017년의 시선으로 담아낸 드라마의 이야기. 인간의 고통이란 결국 타인과의 거리에서 비롯된다. 삶은 언제나 해석을 기다리는 텍스트다. 평점이 담지 못하는 무언가가 이 영화에는 있다.</t>
  </si>
  <si>
    <t>감독: Peter Livolsi
주연: 에이사 버터필드, 알렉스 울프, 닉 오퍼먼</t>
  </si>
  <si>
    <t>할리우드적 스펙터클 너머, 2017년의 시선으로 담아낸 드라마의 이야기. 우리는 각자의 서사 안에 갇혀 서로를 오해한다. 인간의 고통이란 결국 타인과의 거리에서 비롯된다. 흠이 있지만 진심이 담긴 시도였다.</t>
  </si>
  <si>
    <t>감독: 폴 페이그
주연: 시드니 스위니, 아만다 사이프리드, 브렌든 스클레너</t>
  </si>
  <si>
    <t>할리우드적 스펙터클 너머, 2026년의 시선으로 담아낸 스릴러의 이야기. 긴장은 존재가 위협받을 때 가장 선명하게 빛난다. 진실은 언제나 우리가 감당할 수 없는 형태로 찾아온다. 완벽하지 않아도, 그 불완전함이 오히려 인간적이다.</t>
  </si>
  <si>
    <t>감독: 유하
주연: 송강호, 이나영, 이성민</t>
  </si>
  <si>
    <t>한국 특유의 정서가 켜켜이 쌓인 듯, 2012년의 시선으로 담아낸 스릴러의 이야기. 긴장은 존재가 위협받을 때 가장 선명하게 빛난다. 공포는 우리가 통제할 수 없는 것들에 대한 솔직한 고백이다. 흠이 있지만 진심이 담긴 시도였다.</t>
  </si>
  <si>
    <t>감독: Michael Damian
주연: Keenan Kampa, 니콜라스 갈리친, 미즈노 소노야</t>
  </si>
  <si>
    <t>감독: Carl Franklin
주연: 애슐리 저드, 모건 프리먼, 짐 커비즐</t>
  </si>
  <si>
    <t>할리우드적 스펙터클 너머, 2002년의 시선으로 담아낸 스릴러의 이야기. 불안이란 현실이 균열을 드러내는 순간에 스며든다. 공포는 우리가 통제할 수 없는 것들에 대한 솔직한 고백이다. 나름의 울림을 간직한 작품이다.</t>
  </si>
  <si>
    <t>감독: Scott Moore, Jon Lucas
주연: 애덤 드바인, 알렉산드라 쉽, 로즈 번</t>
  </si>
  <si>
    <t>할리우드적 스펙터클 너머, 2020년의 시선으로 담아낸 코미디의 이야기. 가볍게 웃는 순간에도 삶의 무게는 그 그림자를 드리운다. 웃음은 고통을 소화하는 인간만의 방식이다. 나름의 울림을 간직한 작품이다.</t>
  </si>
  <si>
    <t>감독: 존 리 행콕
주연: 케빈 코스트너, 우디 해럴슨, 캐시 베이츠</t>
  </si>
  <si>
    <t>할리우드적 스펙터클 너머, 2019년의 시선으로 담아낸 범죄의 이야기. 어둠 속에서도 인간은 스스로를 정당화하려 한다. 법과 도덕 사이의 틈새에서 인간의 본성이 노출된다. 이 작품이 남기는 이미지는 어떤 방식으로든 기억에 새겨진다.</t>
  </si>
  <si>
    <t>감독: Tom Belarbi--Jean
주연: Nassim El Matich, Junior Fequiere, Nil Aragnouet</t>
  </si>
  <si>
    <t>할리우드적 스펙터클 너머, 1971년의 시선으로 담아낸 액션의 이야기. 육체의 한계에 도전하는 것은 곧 자아의 경계를 시험하는 일이다. 폭력의 언어 속에서도 인간은 존엄을 갈망한다. 나름의 울림을 간직한 작품이다.</t>
  </si>
  <si>
    <t>감독: George Kay, Jim Field Smith
주연: 이드리스 엘바, 크리스틴 애덤스, 알브레히트 슈흐</t>
  </si>
  <si>
    <t>드라마 형식 속에서, 영국적 절제와 냉소 사이에서, 2023년의 시선으로 담아낸 드라마의 이야기. 모든 이야기는 상처의 다른 이름이다. 삶은 언제나 해석을 기다리는 텍스트다. 평점이 담지 못하는 무언가가 이 영화에는 있다.</t>
  </si>
  <si>
    <t>감독: Gezus Zaire
주연: Shayna Baszler, Martibel Payano, Jamine Benitez</t>
  </si>
  <si>
    <t>한국 특유의 정서가 켜켜이 쌓인 듯, 2013년의 시선으로 담아낸 드라마의 이야기. 모든 이야기는 상처의 다른 이름이다. 삶은 언제나 해석을 기다리는 텍스트다. 나름의 울림을 간직한 작품이다.</t>
  </si>
  <si>
    <t>감독: Douglas McGrath
주연: 사라 제시카 파커, 피어스 브로스넌, 그렉 키니어</t>
  </si>
  <si>
    <t>할리우드적 스펙터클 너머, 2012년의 시선으로 담아낸 코미디의 이야기. 우스운 것과 슬픈 것은 본래 같은 뿌리에서 자란다. 유머 속에는 세계의 부조리를 견뎌내는 지혜가 담겨 있다. 흠이 있지만 진심이 담긴 시도였다.</t>
  </si>
  <si>
    <t>감독: 라세 할스트룀
주연: 리처드 기어, 조앤 앨런, Sarah Roemer</t>
  </si>
  <si>
    <t>영국적 절제와 냉소 사이에서, 2009년의 시선으로 담아낸 드라마의 이야기. 우리는 각자의 서사 안에 갇혀 서로를 오해한다. 인간의 고통이란 결국 타인과의 거리에서 비롯된다. 두고두고 다시 꺼내 볼 만한 작품이다.</t>
  </si>
  <si>
    <t>감독: 西尾孔志</t>
  </si>
  <si>
    <t>섬세한 일본적 감수성으로, 2016년의 시선으로 담아낸 드라마의 이야기. 우리는 각자의 서사 안에 갇혀 서로를 오해한다. 모든 이야기는 상처의 다른 이름이다. 흠이 있지만 진심이 담긴 시도였다.</t>
  </si>
  <si>
    <t>감독: Matthew Longfellow
주연: Tom Petty, Mike Campbell, Benmont Tench</t>
  </si>
  <si>
    <t>프랑스 영화 특유의 철학적 깊이로, 2010년의 시선으로 담아낸 코미디의 이야기. 가볍게 웃는 순간에도 삶의 무게는 그 그림자를 드리운다. 우스운 것과 슬픈 것은 본래 같은 뿌리에서 자란다. 완벽하지 않아도, 그 불완전함이 오히려 인간적이다.</t>
  </si>
  <si>
    <t>감독: 론 하워드
주연: 크리스 헴스워스, 벤자민 워커, 킬리언 머피</t>
  </si>
  <si>
    <t>할리우드적 스펙터클 너머, 2015년의 시선으로 담아낸 액션의 이야기. 생존의 욕망은 가장 원초적인 철학적 질문을 던진다. 폭력의 언어 속에서도 인간은 존엄을 갈망한다. 두고두고 다시 꺼내 볼 만한 작품이다.</t>
  </si>
  <si>
    <t>감독: Tom Harper
주연: 갤 가돗, 제이미 도넌, 알리아 바트</t>
  </si>
  <si>
    <t>할리우드적 스펙터클 너머, 2023년의 시선으로 담아낸 액션의 이야기. 폭력의 언어 속에서도 인간은 존엄을 갈망한다. 충돌은 세계가 변화를 요구하는 방식이다. 흠이 있지만 진심이 담긴 시도였다.</t>
  </si>
  <si>
    <t>감독: Scott Hicks
주연: 안소니 홉킨스, 안톤 옐친, 호프 데이비스</t>
  </si>
  <si>
    <t>할리우드적 스펙터클 너머, 2001년의 시선으로 담아낸 드라마의 이야기. 우리는 각자의 서사 안에 갇혀 서로를 오해한다. 인간의 고통이란 결국 타인과의 거리에서 비롯된다. 이 작품이 남기는 질문은 쉽게 사라지지 않는다.</t>
  </si>
  <si>
    <t>섬세한 일본적 감수성으로, 2022년의 시선으로 담아낸 드라마의 이야기. 인간의 고통이란 결국 타인과의 거리에서 비롯된다. 삶은 언제나 해석을 기다리는 텍스트다. 오랫동안 여운이 남는 작품이다.</t>
  </si>
  <si>
    <t>감독: Marc Lawrence
주연: 휴 그랜트, 마리사 토메이, 벨라 히스코트</t>
  </si>
  <si>
    <t>한국 특유의 정서가 켜켜이 쌓인 듯, 2014년의 시선으로 담아낸 로맨스의 이야기. 그리움이란 부재를 통해 존재를 확인하는 방식이다. 사랑은 자아의 경계가 흔들리는 순간에 찾아온다. 흠이 있지만 진심이 담긴 시도였다.</t>
  </si>
  <si>
    <t>감독: 西谷弘
주연: 후쿠야마 마사하루, 요시타카 유리코, 키타무라 카즈키</t>
  </si>
  <si>
    <t>섬세한 일본적 감수성으로, 2013년의 시선으로 담아낸 미스터리의 이야기. 진실을 추적하는 것은 존재의 불투명함과 씨름하는 일이다. 감춰진 것들이 드러나는 순간, 세계는 다르게 보이기 시작한다. 한 번쯤 들여다볼 가치가 있는 이야기다.</t>
  </si>
  <si>
    <t>감독: 이수진
주연: 천우희, 정인선, Kim So-young</t>
  </si>
  <si>
    <t>한국 특유의 정서가 켜켜이 쌓인 듯, 2013년의 시선으로 담아낸 드라마의 이야기. 삶은 언제나 해석을 기다리는 텍스트다. 모든 이야기는 상처의 다른 이름이다. 오랫동안 여운이 남는 작품이다.</t>
  </si>
  <si>
    <t>감독: Margarethe von Trotta
주연: 바르바라 수코바, Axel Milberg, 자넷 맥티어</t>
  </si>
  <si>
    <t>독일 특유의 사유의 무게를 지니며, 2012년의 시선으로 담아낸 드라마의 이야기. 우리는 각자의 서사 안에 갇혀 서로를 오해한다. 모든 이야기는 상처의 다른 이름이다. 이 작품이 남기는 질문은 쉽게 사라지지 않는다.</t>
  </si>
  <si>
    <t>감독: 김한민
주연: 박해일, 변요한, 안성기</t>
  </si>
  <si>
    <t>한국 특유의 정서가 켜켜이 쌓인 듯, 2022년의 시선으로 담아낸 전쟁의 이야기. 전쟁을 기억하는 것은 반복하지 않기 위한 고통스러운 의무다. 총성은 멈추어도 그 상처는 세대를 넘어 흐른다. 시간이 지날수록 더 깊이 읽히는 영화다.</t>
  </si>
  <si>
    <t>감독: 池井戸潤
주연: 사카이 마사토, 우에토 아야, 오이카와 미츠히로</t>
  </si>
  <si>
    <t>드라마 형식 속에서, 섬세한 일본적 감수성으로, 2013년의 시선으로 담아낸 드라마의 이야기. 모든 이야기는 상처의 다른 이름이다. 인간의 고통이란 결국 타인과의 거리에서 비롯된다. 평점이 담지 못하는 무언가가 이 영화에는 있다.</t>
  </si>
  <si>
    <t>드라마 형식 속에서, 섬세한 일본적 감수성으로, 2020년의 시선으로 담아낸 드라마의 이야기. 삶은 언제나 해석을 기다리는 텍스트다. 우리는 각자의 서사 안에 갇혀 서로를 오해한다. 이 작품이 남기는 이미지는 어떤 방식으로든 기억에 새겨진다.</t>
  </si>
  <si>
    <t>감독: 신도 가네토
주연: 토요카와 에츠시, 무사카 나오마사, 大竹しのぶ</t>
  </si>
  <si>
    <t>섬세한 일본적 감수성으로, 2010년의 시선으로 담아낸 드라마의 이야기. 삶은 언제나 해석을 기다리는 텍스트다. 우리는 각자의 서사 안에 갇혀 서로를 오해한다. 나름의 울림을 간직한 작품이다.</t>
  </si>
  <si>
    <t>감독: 三宅喜重
주연: 나카타니 미키, 토다 에리카, 宮本信子</t>
  </si>
  <si>
    <t>섬세한 일본적 감수성으로, 2011년의 시선으로 담아낸 드라마의 이야기. 모든 이야기는 상처의 다른 이름이다. 인간의 고통이란 결국 타인과의 거리에서 비롯된다. 평점이 담지 못하는 무언가가 이 영화에는 있다.</t>
  </si>
  <si>
    <t>감독: 폴 버호벤
주연: 케빈 베이컨, 엘리자베스 슈, 조쉬 브롤린</t>
  </si>
  <si>
    <t>할리우드적 스펙터클 너머, 2000년의 시선으로 담아낸 SF의 이야기. 타자와의 만남은 언제나 자아의 재발견으로 이어진다. 미래를 상상하는 것은 현재를 비판하는 가장 우회적인 방법이다. 거칠지만 그 안에서도 인간의 흔적은 남는다.</t>
  </si>
  <si>
    <t>감독: Jin Kwang-kyo
주연: Kim Jin-goo, Shin Chae-yeon, Kim Gyung-Ae</t>
  </si>
  <si>
    <t>한국 특유의 정서가 켜켜이 쌓인 듯, 2012년의 시선으로 담아낸 드라마의 이야기. 우리는 각자의 서사 안에 갇혀 서로를 오해한다. 인간의 고통이란 결국 타인과의 거리에서 비롯된다. 두고두고 다시 꺼내 볼 만한 작품이다.</t>
  </si>
  <si>
    <t>감독: Kwon Hyung-jin
주연: 마동석, Kim Min-kyung, 조한선</t>
  </si>
  <si>
    <t>한국 특유의 정서가 켜켜이 쌓인 듯, 2015년의 시선으로 담아낸 스릴러의 이야기. 진실은 언제나 우리가 감당할 수 없는 형태로 찾아온다. 불안이란 현실이 균열을 드러내는 순간에 스며든다. 흠이 있지만 진심이 담긴 시도였다.</t>
  </si>
  <si>
    <t>감독: Ian Olds</t>
  </si>
  <si>
    <t>한국 특유의 정서가 켜켜이 쌓인 듯, 2010년의 시선으로 담아낸 액션의 이야기. 충돌은 세계가 변화를 요구하는 방식이다. 생존의 욕망은 가장 원초적인 철학적 질문을 던진다. 한 번쯤 들여다볼 가치가 있는 이야기다.</t>
  </si>
  <si>
    <t>감독: Daniel Barber
주연: 마이클 케인, 에밀리 모티머, 이언 글렌</t>
  </si>
  <si>
    <t>영국적 절제와 냉소 사이에서, 2009년의 시선으로 담아낸 범죄의 이야기. 법과 도덕 사이의 틈새에서 인간의 본성이 노출된다. 죄란 사회가 만든 경계를 넘는 행위이자 그 경계에 대한 질문이다. 흠이 있지만 진심이 담긴 시도였다.</t>
  </si>
  <si>
    <t>감독: 심성보
주연: 김윤석, 박유천, 한예리</t>
  </si>
  <si>
    <t>한국 특유의 정서가 켜켜이 쌓인 듯, 2014년의 시선으로 담아낸 드라마의 이야기. 삶은 언제나 해석을 기다리는 텍스트다. 모든 이야기는 상처의 다른 이름이다. 흠이 있지만 진심이 담긴 시도였다.</t>
  </si>
  <si>
    <t>감독: 강석범
주연: 김래원, 김해숙, 허이재</t>
  </si>
  <si>
    <t>한국 특유의 정서가 켜켜이 쌓인 듯, 2006년의 시선으로 담아낸 드라마의 이야기. 모든 이야기는 상처의 다른 이름이다. 삶은 언제나 해석을 기다리는 텍스트다. 이 작품이 남기는 질문은 쉽게 사라지지 않는다.</t>
  </si>
  <si>
    <t>감독: 안톤 후쿠아
주연: 윌 스미스, 벤 포스터, Charmaine Bingwa</t>
  </si>
  <si>
    <t>할리우드적 스펙터클 너머, 2022년의 시선으로 담아낸 액션의 이야기. 폭력의 언어 속에서도 인간은 존엄을 갈망한다. 생존의 욕망은 가장 원초적인 철학적 질문을 던진다. 두고두고 다시 꺼내 볼 만한 작품이다.</t>
  </si>
  <si>
    <t>감독: Lee Soo-youn
주연: 조진웅, Mun Jung Hyun, 신구</t>
  </si>
  <si>
    <t>한국 특유의 정서가 켜켜이 쌓인 듯, 2017년의 시선으로 담아낸 스릴러의 이야기. 긴장은 존재가 위협받을 때 가장 선명하게 빛난다. 공포는 우리가 통제할 수 없는 것들에 대한 솔직한 고백이다. 한 번쯤 들여다볼 가치가 있는 이야기다.</t>
  </si>
  <si>
    <t>감독: Eleanor Scoones
주연: Philippa Perry</t>
  </si>
  <si>
    <t>한국 특유의 정서가 켜켜이 쌓인 듯, 2015년의 시선으로 담아낸 드라마의 이야기. 모든 이야기는 상처의 다른 이름이다. 우리는 각자의 서사 안에 갇혀 서로를 오해한다. 오랫동안 여운이 남는 작품이다.</t>
  </si>
  <si>
    <t>감독: Harold Cronk
주연: Derek Brandon, 크리스토퍼 로이드, Francesca Derosa</t>
  </si>
  <si>
    <t>한국 특유의 정서가 켜켜이 쌓인 듯, 2014년의 시선으로 담아낸 액션의 이야기. 충돌은 세계가 변화를 요구하는 방식이다. 폭력의 언어 속에서도 인간은 존엄을 갈망한다. 두고두고 다시 꺼내 볼 만한 작품이다.</t>
  </si>
  <si>
    <t>감독: Kim Joung-hoon
주연: 강하늘, 한효주, 이광수</t>
  </si>
  <si>
    <t>한국 특유의 정서가 켜켜이 쌓인 듯, 2022년의 시선으로 담아낸 액션의 이야기. 충돌은 세계가 변화를 요구하는 방식이다. 육체의 한계에 도전하는 것은 곧 자아의 경계를 시험하는 일이다. 한 번쯤 들여다볼 가치가 있는 이야기다.</t>
  </si>
  <si>
    <t>감독: Son Jae-gon
주연: 안재홍, 강소라, 박영규</t>
  </si>
  <si>
    <t>한국 특유의 정서가 켜켜이 쌓인 듯, 2019년의 시선으로 담아낸 코미디의 이야기. 웃음은 고통을 소화하는 인간만의 방식이다. 유머 속에는 세계의 부조리를 견뎌내는 지혜가 담겨 있다. 완벽하지 않아도, 그 불완전함이 오히려 인간적이다.</t>
  </si>
  <si>
    <t>감독: 곽재용
주연: 이동욱, 원진아, 한지민</t>
  </si>
  <si>
    <t>한국 특유의 정서가 켜켜이 쌓인 듯, 2021년의 시선으로 담아낸 로맨스의 이야기. 설렘은 불완전한 존재가 완전함을 향해 뻗는 손길이다. 두 사람 사이의 침묵은 때로 말보다 더 많은 것을 말한다. 흠이 있지만 진심이 담긴 시도였다.</t>
  </si>
  <si>
    <t>감독: 크리스토퍼 랜던
주연: 제시카 로테, 이즈리얼 브루사드, Charles Aitken</t>
  </si>
  <si>
    <t>할리우드적 스펙터클 너머, 2017년의 시선으로 담아낸 공포의 이야기. 공포란 이성이 침묵하는 순간 존재가 맞닥뜨리는 날것의 경험이다. 어둠은 우리 내면의 억압된 것들이 귀환하는 문이다. 두고두고 다시 꺼내 볼 만한 작품이다.</t>
  </si>
  <si>
    <t>감독: Ken Marino
주연: 니나 도브레브, 바네사 허진스, 애덤 팰리</t>
  </si>
  <si>
    <t>할리우드적 스펙터클 너머, 2020년의 시선으로 담아낸 드라마의 이야기. 삶은 언제나 해석을 기다리는 텍스트다. 우리는 각자의 서사 안에 갇혀 서로를 오해한다. 오랫동안 여운이 남는 작품이다.</t>
  </si>
  <si>
    <t>감독: 하마구치 류스케
주연: 田中幸恵, 菊池葉月, 三原麻衣子</t>
  </si>
  <si>
    <t>317분</t>
  </si>
  <si>
    <t>감독: Kurt Voelker
주연: J.K. 시몬스, Josh Wiggins, 줄리 델피</t>
  </si>
  <si>
    <t>할리우드적 스펙터클 너머, 2018년의 시선으로 담아낸 드라마의 이야기. 삶은 언제나 해석을 기다리는 텍스트다. 우리는 각자의 서사 안에 갇혀 서로를 오해한다. 두고두고 다시 꺼내 볼 만한 작품이다.</t>
  </si>
  <si>
    <t>감독: Christina Olofson
주연: Harriet Andersson, Stefan Norrthon, Robert Jelinek</t>
  </si>
  <si>
    <t>감독: 矢口史靖
주연: 田辺誠一, 時任三郎, 아야세 하루카</t>
  </si>
  <si>
    <t>섬세한 일본적 감수성으로, 2008년의 시선으로 담아낸 코미디의 이야기. 가볍게 웃는 순간에도 삶의 무게는 그 그림자를 드리운다. 유머 속에는 세계의 부조리를 견뎌내는 지혜가 담겨 있다. 오랫동안 여운이 남는 작품이다.</t>
  </si>
  <si>
    <t>감독: 三島有紀子
주연: 하라다 토모요, 오오이즈미 요, 平岡祐太</t>
  </si>
  <si>
    <t>섬세한 일본적 감수성으로, 2012년의 시선으로 담아낸 드라마의 이야기. 우리는 각자의 서사 안에 갇혀 서로를 오해한다. 인간의 고통이란 결국 타인과의 거리에서 비롯된다. 한 번쯤 들여다볼 가치가 있는 이야기다.</t>
  </si>
  <si>
    <t>감독: Michael McGowan
주연: 제임스 크롬웰, 준비에브 뷔조, 캠벨 스콧</t>
  </si>
  <si>
    <t>섬세한 일본적 감수성으로, 2012년의 시선으로 담아낸 드라마의 이야기. 삶은 언제나 해석을 기다리는 텍스트다. 모든 이야기는 상처의 다른 이름이다. 시간이 지날수록 더 깊이 읽히는 영화다.</t>
  </si>
  <si>
    <t>감독: 멜 깁슨
주연: 앤드류 가필드, 샘 워싱턴, 빈스 본</t>
  </si>
  <si>
    <t>할리우드적 스펙터클 너머, 2016년의 시선으로 담아낸 전쟁의 이야기. 전쟁을 기억하는 것은 반복하지 않기 위한 고통스러운 의무다. 총성은 멈추어도 그 상처는 세대를 넘어 흐른다. 오랫동안 여운이 남는 작품이다.</t>
  </si>
  <si>
    <t>감독: Jonathan Jakubowicz
주연: 에드가 라미레즈, 로버트 드 니로, 어셔</t>
  </si>
  <si>
    <t>감독: 허진호
주연: 황정민, 임수정, 김기천</t>
  </si>
  <si>
    <t>한국 특유의 정서가 켜켜이 쌓인 듯, 2007년의 시선으로 담아낸 드라마의 이야기. 인간의 고통이란 결국 타인과의 거리에서 비롯된다. 삶은 언제나 해석을 기다리는 텍스트다. 나름의 울림을 간직한 작품이다.</t>
  </si>
  <si>
    <t>감독: 中野量太
주연: 미야자와 리에, 스기사키 하나, 오다기리 조</t>
  </si>
  <si>
    <t>섬세한 일본적 감수성으로, 2017년의 시선으로 담아낸 드라마의 이야기. 모든 이야기는 상처의 다른 이름이다. 인간의 고통이란 결국 타인과의 거리에서 비롯된다. 두고두고 다시 꺼내 볼 만한 작품이다.</t>
  </si>
  <si>
    <t>감독: M. Manikandan
주연: J Vignesh, Ramesh Thilaganathan, Aishwarya Rajesh</t>
  </si>
  <si>
    <t>독일 특유의 사유의 무게를 지니며, 2015년의 시선으로 담아낸 드라마의 이야기. 삶은 언제나 해석을 기다리는 텍스트다. 인간의 고통이란 결국 타인과의 거리에서 비롯된다. 두고두고 다시 꺼내 볼 만한 작품이다.</t>
  </si>
  <si>
    <t>감독: 추창민
주연: 조정석, 이선균, 유재명</t>
  </si>
  <si>
    <t>감독: 三原光尋
주연: 나카타니 미키, 藤竜也, 다나카 케이</t>
  </si>
  <si>
    <t>섬세한 일본적 감수성으로, 2008년의 시선으로 담아낸 드라마의 이야기. 인간의 고통이란 결국 타인과의 거리에서 비롯된다. 모든 이야기는 상처의 다른 이름이다. 완벽하지 않아도, 그 불완전함이 오히려 인간적이다.</t>
  </si>
  <si>
    <t>감독: Ron Meyer</t>
  </si>
  <si>
    <t>섬세한 일본적 감수성으로, 2014년의 시선으로 담아낸 드라마의 이야기. 삶은 언제나 해석을 기다리는 텍스트다. 인간의 고통이란 결국 타인과의 거리에서 비롯된다. 시간이 지날수록 더 깊이 읽히는 영화다.</t>
  </si>
  <si>
    <t>감독: Jang Moon-il
주연: 오현경, 임창정, 김창완</t>
  </si>
  <si>
    <t>한국 특유의 정서가 켜켜이 쌓인 듯, 1999년의 시선으로 담아낸 드라마의 이야기. 인간의 고통이란 결국 타인과의 거리에서 비롯된다. 모든 이야기는 상처의 다른 이름이다. 두고두고 다시 꺼내 볼 만한 작품이다.</t>
  </si>
  <si>
    <t>감독: Rob Cohen
주연: 토비 케블, 매기 그레이스, Ryan Kwanten</t>
  </si>
  <si>
    <t>할리우드적 스펙터클 너머, 2018년의 시선으로 담아낸 액션의 이야기. 생존의 욕망은 가장 원초적인 철학적 질문을 던진다. 충돌은 세계가 변화를 요구하는 방식이다. 이 작품이 남기는 질문은 쉽게 사라지지 않는다.</t>
  </si>
  <si>
    <t>감독: 하정우
주연: 하정우, 하지원, 남다름</t>
  </si>
  <si>
    <t>할리우드적 스펙터클 너머, 2019년의 시선으로 담아낸 코미디의 이야기. 유머 속에는 세계의 부조리를 견뎌내는 지혜가 담겨 있다. 웃음은 고통을 소화하는 인간만의 방식이다. 완벽하지 않아도, 그 불완전함이 오히려 인간적이다.</t>
  </si>
  <si>
    <t>감독: 브렛 래트너
주연: 드웨인 존슨, 이언 맥셰인, 존 허트</t>
  </si>
  <si>
    <t>할리우드적 스펙터클 너머, 2014년의 시선으로 담아낸 액션의 이야기. 폭력의 언어 속에서도 인간은 존엄을 갈망한다. 육체의 한계에 도전하는 것은 곧 자아의 경계를 시험하는 일이다. 한 번쯤 들여다볼 가치가 있는 이야기다.</t>
  </si>
  <si>
    <t>감독: Daniel Nettheim
주연: 윌렘 대포, Frances O'Connor, 샘 닐</t>
  </si>
  <si>
    <t>2011년의 시선으로 담아낸 스릴러 이야기가 우리에게 묻는다. 불안이란 현실이 균열을 드러내는 순간에 스며든다. 공포는 우리가 통제할 수 없는 것들에 대한 솔직한 고백이다. 평점이 담지 못하는 무언가가 이 영화에는 있다.</t>
  </si>
  <si>
    <t>감독: Donovan Marsh
주연: 제라드 버틀러, 게리 올드만, Toby Stephens</t>
  </si>
  <si>
    <t>할리우드적 스펙터클 너머, 2018년의 시선으로 담아낸 액션의 이야기. 폭력의 언어 속에서도 인간은 존엄을 갈망한다. 충돌은 세계가 변화를 요구하는 방식이다. 두고두고 다시 꺼내 볼 만한 작품이다.</t>
  </si>
  <si>
    <t>감독: Shawn Linden
주연: Camille Sullivan, 섬머 H. 하웰, Devon Sawa</t>
  </si>
  <si>
    <t>할리우드적 스펙터클 너머, 2020년의 시선으로 담아낸 스릴러의 이야기. 긴장은 존재가 위협받을 때 가장 선명하게 빛난다. 불안이란 현실이 균열을 드러내는 순간에 스며든다. 거칠지만 그 안에서도 인간의 흔적은 남는다.</t>
  </si>
  <si>
    <t>감독: Robert Raska Ly</t>
  </si>
  <si>
    <t>한국 특유의 정서가 켜켜이 쌓인 듯, 2022년의 시선으로 담아낸 액션의 이야기. 폭력의 언어 속에서도 인간은 존엄을 갈망한다. 육체의 한계에 도전하는 것은 곧 자아의 경계를 시험하는 일이다. 오랫동안 여운이 남는 작품이다.</t>
  </si>
  <si>
    <t>감독: 모튼 틸덤
주연: 악셀 헨니, Synnøve Macody Lund, 니콜라이 코스테르발다우</t>
  </si>
  <si>
    <t>2011년의 시선으로 담아낸 범죄 이야기가 우리에게 묻는다. 욕망은 언제나 질서보다 먼저 존재했다. 죄란 사회가 만든 경계를 넘는 행위이자 그 경계에 대한 질문이다. 오랫동안 여운이 남는 작품이다.</t>
  </si>
  <si>
    <t>감독: 레니 할린
주연: Kellan Lutz, 리암 맥킨타이어, Gaia Weiss</t>
  </si>
  <si>
    <t>할리우드적 스펙터클 너머, 2014년의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</si>
  <si>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필립 카우프만
주연: 니콜 키드먼, 클라이브 오웬, 데이비드 스트러세언</t>
  </si>
  <si>
    <t>할리우드적 스펙터클 너머, 2012년의 시선으로 담아낸 드라마의 이야기. 인간의 고통이란 결국 타인과의 거리에서 비롯된다. 삶은 언제나 해석을 기다리는 텍스트다. 한 번쯤 들여다볼 가치가 있는 이야기다.</t>
  </si>
  <si>
    <t>감독: Bob Yari
주연: 조반니 리비시, 조엘리 리처드슨, Adrian Sparks</t>
  </si>
  <si>
    <t>할리우드적 스펙터클 너머, 2015년의 시선으로 담아낸 드라마의 이야기. 모든 이야기는 상처의 다른 이름이다. 우리는 각자의 서사 안에 갇혀 서로를 오해한다. 두고두고 다시 꺼내 볼 만한 작품이다.</t>
  </si>
  <si>
    <t>감독: 박찬욱
주연: 탕웨이, 박해일, 이정현</t>
  </si>
  <si>
    <t>한국 특유의 정서가 켜켜이 쌓인 듯, 2022년의 시선으로 담아낸 스릴러의 이야기. 공포는 우리가 통제할 수 없는 것들에 대한 솔직한 고백이다. 불안이란 현실이 균열을 드러내는 순간에 스며든다. 오랫동안 여운이 남는 작품이다.</t>
  </si>
  <si>
    <t>감독: 스티븐 소더버그
주연: 지나 카라노, 마이클 패스벤더, 채닝 테이텀</t>
  </si>
  <si>
    <t>할리우드적 스펙터클 너머, 2011년의 시선으로 담아낸 액션의 이야기. 육체의 한계에 도전하는 것은 곧 자아의 경계를 시험하는 일이다. 폭력의 언어 속에서도 인간은 존엄을 갈망한다. 완벽하지 않아도, 그 불완전함이 오히려 인간적이다.</t>
  </si>
  <si>
    <t>감독: Malcolm Venville
주연: 키아누 리브스, 베라 파미가, 제임스 칸</t>
  </si>
  <si>
    <t>할리우드적 스펙터클 너머, 2010년의 시선으로 담아낸 코미디의 이야기. 웃음은 고통을 소화하는 인간만의 방식이다. 우스운 것과 슬픈 것은 본래 같은 뿌리에서 자란다. 흠이 있지만 진심이 담긴 시도였다.</t>
  </si>
  <si>
    <t>감독: Ronald J. Tomaino, Jr.
주연: Barbara Bentley, Ronald J. Tomaino, Jr., Jeanette Ferri</t>
  </si>
  <si>
    <t>한국 특유의 정서가 켜켜이 쌓인 듯, 2014년의 시선으로 담아낸 코미디의 이야기. 유머 속에는 세계의 부조리를 견뎌내는 지혜가 담겨 있다. 가볍게 웃는 순간에도 삶의 무게는 그 그림자를 드리운다. 흠이 있지만 진심이 담긴 시도였다.</t>
  </si>
  <si>
    <t>감독: 테이트 테일러
주연: 엠마 스톤, 비올라 데이비스, 브라이스 댈러스 하워드</t>
  </si>
  <si>
    <t>할리우드적 스펙터클 너머, 2011년의 시선으로 담아낸 드라마의 이야기. 인간의 고통이란 결국 타인과의 거리에서 비롯된다. 모든 이야기는 상처의 다른 이름이다. 오랫동안 여운이 남는 작품이다.</t>
  </si>
  <si>
    <t>감독: 이종석
주연: 손예진, 현빈, 김상호</t>
  </si>
  <si>
    <t>한국 특유의 정서가 켜켜이 쌓인 듯, 2018년의 시선으로 담아낸 액션의 이야기. 충돌은 세계가 변화를 요구하는 방식이다. 폭력의 언어 속에서도 인간은 존엄을 갈망한다. 시간이 지날수록 더 깊이 읽히는 영화다.</t>
  </si>
  <si>
    <t>감독: Sophie Goodhart
주연: 닉 크롤, 애덤 스콧, 제니 슬레이트</t>
  </si>
  <si>
    <t>한국 특유의 정서가 켜켜이 쌓인 듯, 2016년의 시선으로 담아낸 드라마의 이야기. 인간의 고통이란 결국 타인과의 거리에서 비롯된다. 모든 이야기는 상처의 다른 이름이다. 이 작품이 남기는 질문은 쉽게 사라지지 않는다.</t>
  </si>
  <si>
    <t>감독: Im Chang-se
주연: 이성민, 경수진, 이학주</t>
  </si>
  <si>
    <t>드라마 형식 속에서, 한국 특유의 정서가 켜켜이 쌓인 듯, 2023년의 시선으로 담아낸 드라마의 이야기. 모든 이야기는 상처의 다른 이름이다. 우리는 각자의 서사 안에 갇혀 서로를 오해한다. 평점이 담지 못하는 무언가가 이 영화에는 있다.</t>
  </si>
  <si>
    <t>감독: Mikael Marcimain
주연: 앨리슨 윌리엄스, Alexander Dreymon, 키스 데이비드</t>
  </si>
  <si>
    <t>2020년의 시선으로 담아낸 스릴러 이야기가 우리에게 묻는다. 긴장은 존재가 위협받을 때 가장 선명하게 빛난다. 진실은 언제나 우리가 감당할 수 없는 형태로 찾아온다. 아쉬움이 남지만, 모든 시도는 의미를 갖는다.</t>
  </si>
  <si>
    <t>감독: Kwon Hyung-jin
주연: 엄정화, 신의재, 박용우</t>
  </si>
  <si>
    <t>한국 특유의 정서가 켜켜이 쌓인 듯, 2006년의 시선으로 담아낸 드라마의 이야기. 우리는 각자의 서사 안에 갇혀 서로를 오해한다. 인간의 고통이란 결국 타인과의 거리에서 비롯된다. 두고두고 다시 꺼내 볼 만한 작품이다.</t>
  </si>
  <si>
    <t>감독: 데이비드 매밋
주연: 조 맨테그나, 윌리엄 H. 메이시, Vincent Guastaferro</t>
  </si>
  <si>
    <t>할리우드적 스펙터클 너머, 1991년의 시선으로 담아낸 범죄의 이야기. 죄란 사회가 만든 경계를 넘는 행위이자 그 경계에 대한 질문이다. 법과 도덕 사이의 틈새에서 인간의 본성이 노출된다. 나름의 울림을 간직한 작품이다.</t>
  </si>
  <si>
    <t>감독: 冨永昌敬
주연: 臼田あさ美, 나카노 타이가, 오다기리 조</t>
  </si>
  <si>
    <t>감독: Jeff Baena
주연: 앨리슨 브리, 데비 라이언, 존 레이놀즈</t>
  </si>
  <si>
    <t>할리우드적 스펙터클 너머, 2020년의 시선으로 담아낸 드라마의 이야기. 삶은 언제나 해석을 기다리는 텍스트다. 우리는 각자의 서사 안에 갇혀 서로를 오해한다. 흠이 있지만 진심이 담긴 시도였다.</t>
  </si>
  <si>
    <t>감독: Matt Charman
주연: Suranne Jones, 줄리 델피, Corey Mylchreest</t>
  </si>
  <si>
    <t>드라마 형식 속에서, 프랑스 영화 특유의 철학적 깊이로, 2025년의 시선으로 담아낸 드라마의 이야기. 모든 이야기는 상처의 다른 이름이다. 우리는 각자의 서사 안에 갇혀 서로를 오해한다. 평점이 담지 못하는 무언가가 이 영화에는 있다.</t>
  </si>
  <si>
    <t>광활한 대지의 이야기를 담아, 2009년의 시선으로 담아낸 드라마의 이야기. 우리는 각자의 서사 안에 갇혀 서로를 오해한다. 모든 이야기는 상처의 다른 이름이다. 완벽하지 않아도, 그 불완전함이 오히려 인간적이다.</t>
  </si>
  <si>
    <t>감독: Terry George
주연: 돈 치들, 소피 오코네도, 닉 놀티</t>
  </si>
  <si>
    <t>영국적 절제와 냉소 사이에서, 2004년의 시선으로 담아낸 드라마의 이야기. 모든 이야기는 상처의 다른 이름이다. 삶은 언제나 해석을 기다리는 텍스트다. 오랫동안 여운이 남는 작품이다.</t>
  </si>
  <si>
    <t>감독: Anthony Maras
주연: 데브 파텔, 아미 해머, نازنین بنیادی</t>
  </si>
  <si>
    <t>2018년의 시선으로 담아낸 드라마 이야기가 우리에게 묻는다. 모든 이야기는 상처의 다른 이름이다. 인간의 고통이란 결국 타인과의 거리에서 비롯된다. 두고두고 다시 꺼내 볼 만한 작품이다.</t>
  </si>
  <si>
    <t>감독: 데이비드 프랭클
주연: 메릴 스트립, 토미 리 존스, 스티브 카렐</t>
  </si>
  <si>
    <t>할리우드적 스펙터클 너머, 2012년의 시선으로 담아낸 코미디의 이야기. 유머 속에는 세계의 부조리를 견뎌내는 지혜가 담겨 있다. 웃음은 고통을 소화하는 인간만의 방식이다. 두고두고 다시 꺼내 볼 만한 작품이다.</t>
  </si>
  <si>
    <t>감독: 맷 리브스
주연: 앤디 서키스, 제이슨 클라크, 토비 케블</t>
  </si>
  <si>
    <t>할리우드적 스펙터클 너머, 2014년의 시선으로 담아낸 SF의 이야기. 미래를 상상하는 것은 현재를 비판하는 가장 우회적인 방법이다. 타자와의 만남은 언제나 자아의 재발견으로 이어진다. 오랫동안 여운이 남는 작품이다.</t>
  </si>
  <si>
    <t>감독: 맷 리브스
주연: 앤디 서키스, 우디 해럴슨, 케린 코너벌</t>
  </si>
  <si>
    <t>할리우드적 스펙터클 너머, 2017년의 시선으로 담아낸 SF의 이야기. 타자와의 만남은 언제나 자아의 재발견으로 이어진다. 미래를 상상하는 것은 현재를 비판하는 가장 우회적인 방법이다. 오랫동안 여운이 남는 작품이다.</t>
  </si>
  <si>
    <t>감독: 루퍼트 와이어트
주연: 앤디 서키스, 제임스 프랭코, 프리다 핀토</t>
  </si>
  <si>
    <t>할리우드적 스펙터클 너머, 2011년의 시선으로 담아낸 SF의 이야기. 타자와의 만남은 언제나 자아의 재발견으로 이어진다. 기술이 진보할수록 인간다움의 정의는 더욱 절박해진다. 오랫동안 여운이 남는 작품이다.</t>
  </si>
  <si>
    <t>감독: Stephen Belber
주연: 콜먼 도밍고, 마샤 스테파니 블레이크, Deon Cole</t>
  </si>
  <si>
    <t>드라마 형식 속에서, 할리우드적 스펙터클 너머, 2024년의 시선으로 담아낸 드라마의 이야기. 인간의 고통이란 결국 타인과의 거리에서 비롯된다. 모든 이야기는 상처의 다른 이름이다. 이 작품이 남기는 이미지는 어떤 방식으로든 기억에 새겨진다.</t>
  </si>
  <si>
    <t>감독: Stephen Herek
주연: 리처드 드라이퍼스, Glenne Headly, Jay Thomas</t>
  </si>
  <si>
    <t>할리우드적 스펙터클 너머, 1995년의 시선으로 담아낸 드라마의 이야기. 인간의 고통이란 결국 타인과의 거리에서 비롯된다. 우리는 각자의 서사 안에 갇혀 서로를 오해한다. 두고두고 다시 꺼내 볼 만한 작품이다.</t>
  </si>
  <si>
    <t>한국 특유의 정서가 켜켜이 쌓인 듯, 2006년의 시선으로 담아낸 범죄의 이야기. 법과 도덕 사이의 틈새에서 인간의 본성이 노출된다. 죄란 사회가 만든 경계를 넘는 행위이자 그 경계에 대한 질문이다. 두고두고 다시 꺼내 볼 만한 작품이다.</t>
  </si>
  <si>
    <t>감독: Charles Kinnane, Daniel Kinnane
주연: 케빈 제임스, 테일러 로트너, 롭 슈나이더</t>
  </si>
  <si>
    <t>할리우드적 스펙터클 너머, 2022년의 시선으로 담아낸 코미디의 이야기. 우스운 것과 슬픈 것은 본래 같은 뿌리에서 자란다. 웃음은 고통을 소화하는 인간만의 방식이다. 흠이 있지만 진심이 담긴 시도였다.</t>
  </si>
  <si>
    <t>감독: 하워드 고든, Alex Gansa
주연: 클레어 데인즈, 맨디 파틴킨, Maury Sterling</t>
  </si>
  <si>
    <t>드라마 형식 속에서, 할리우드적 스펙터클 너머, 2011년의 시선으로 담아낸 드라마의 이야기. 우리는 각자의 서사 안에 갇혀 서로를 오해한다. 인간의 고통이란 결국 타인과의 거리에서 비롯된다. 이 작품이 남기는 이미지는 어떤 방식으로든 기억에 새겨진다.</t>
  </si>
  <si>
    <t>감독: عبد الرحمن ظاهر
주연: عبد الرحمن ظاهر, Mahmoud Rizk, Ola Yaseen (علا ياسين)</t>
  </si>
  <si>
    <t>감독: 張國立
주연: 陈宝国, 马少骅, 冯恩鹤</t>
  </si>
  <si>
    <t>드라마 형식 속에서, 할리우드적 스펙터클 너머, 2014년의 시선으로 담아낸 드라마의 이야기. 모든 이야기는 상처의 다른 이름이다. 우리는 각자의 서사 안에 갇혀 서로를 오해한다. 평점이 담지 못하는 무언가가 이 영화에는 있다.</t>
  </si>
  <si>
    <t>주연: سمر سامي, نادين تحسين بيك, Mohammad Hadaki</t>
  </si>
  <si>
    <t>드라마 형식 속에서, 할리우드적 스펙터클 너머, 2015년의 시선으로 담아낸 드라마의 이야기. 우리는 각자의 서사 안에 갇혀 서로를 오해한다. 인간의 고통이란 결국 타인과의 거리에서 비롯된다. 평점이 담지 못하는 무언가가 이 영화에는 있다.</t>
  </si>
  <si>
    <t>드라마 형식 속에서, 할리우드적 스펙터클 너머, 2018년의 시선으로 담아낸 드라마의 이야기. 인간의 고통이란 결국 타인과의 거리에서 비롯된다. 모든 이야기는 상처의 다른 이름이다. 평점이 담지 못하는 무언가가 이 영화에는 있다.</t>
  </si>
  <si>
    <t>감독: Yali He</t>
  </si>
  <si>
    <t>감독: Gary Fleder
주연: 제이슨 스타뎀, 제임스 프랭코, Izabela Vidovic</t>
  </si>
  <si>
    <t>할리우드적 스펙터클 너머, 2013년의 시선으로 담아낸 액션의 이야기. 생존의 욕망은 가장 원초적인 철학적 질문을 던진다. 충돌은 세계가 변화를 요구하는 방식이다. 흠이 있지만 진심이 담긴 시도였다.</t>
  </si>
  <si>
    <t>할리우드적 스펙터클 너머, 2018년의 시선으로 담아낸 다큐의 이야기. 세계를 있는 그대로 바라보는 것이 가장 용기 있는 행위다. 카메라가 포착한 진실 앞에서 우리는 응시할 의무를 갖는다. 한 번쯤 들여다볼 가치가 있는 이야기다.</t>
  </si>
  <si>
    <t>감독: 왕가위
주연: 장만옥, 양조위, 萧炳林</t>
  </si>
  <si>
    <t>2000년의 시선으로 담아낸 드라마 이야기가 우리에게 묻는다. 삶은 언제나 해석을 기다리는 텍스트다. 우리는 각자의 서사 안에 갇혀 서로를 오해한다. 오랫동안 여운이 남는 작품이다.</t>
  </si>
  <si>
    <t>감독: 장준환
주연: 김윤석, 여진구, 조진웅</t>
  </si>
  <si>
    <t>한국 특유의 정서가 켜켜이 쌓인 듯, 2013년의 시선으로 담아낸 액션의 이야기. 생존의 욕망은 가장 원초적인 철학적 질문을 던진다. 육체의 한계에 도전하는 것은 곧 자아의 경계를 시험하는 일이다. 흠이 있지만 진심이 담긴 시도였다.</t>
  </si>
  <si>
    <t>감독: 코르넬 문드럭초
주연: Psotta Zsófia, Luke, Body</t>
  </si>
  <si>
    <t>2014년의 시선으로 담아낸 드라마 이야기가 우리에게 묻는다. 모든 이야기는 상처의 다른 이름이다. 우리는 각자의 서사 안에 갇혀 서로를 오해한다. 두고두고 다시 꺼내 볼 만한 작품이다.</t>
  </si>
  <si>
    <t>감독: Gilles de Maistre
주연: Daniah De Villiers, 멜라니 로랑, Langley Kirkwood</t>
  </si>
  <si>
    <t>프랑스 영화 특유의 철학적 깊이로, 2018년의 시선으로 담아낸 드라마의 이야기. 삶은 언제나 해석을 기다리는 텍스트다. 인간의 고통이란 결국 타인과의 거리에서 비롯된다. 두고두고 다시 꺼내 볼 만한 작품이다.</t>
  </si>
  <si>
    <t>감독: Tristan Ofield
주연: Siddhii Lagrutta, David McCaffrey</t>
  </si>
  <si>
    <t>섬세한 일본적 감수성으로, 2016년의 시선으로 담아낸 드라마의 이야기. 모든 이야기는 상처의 다른 이름이다. 삶은 언제나 해석을 기다리는 텍스트다. 나름의 울림을 간직한 작품이다.</t>
  </si>
  <si>
    <t>감독: Robert Crombie, Sofya Skya
주연: 크리스찬 슬레이터, Sofya Skya, 콜 하우저</t>
  </si>
  <si>
    <t>섬세한 일본적 감수성으로, 2013년의 시선으로 담아낸 드라마의 이야기. 우리는 각자의 서사 안에 갇혀 서로를 오해한다. 모든 이야기는 상처의 다른 이름이다. 한 번쯤 들여다볼 가치가 있는 이야기다.</t>
  </si>
  <si>
    <t>감독: 리들리 스콧
주연: 제프 브리지스, 캐럴라인 구돌, 존 세비지</t>
  </si>
  <si>
    <t>할리우드적 스펙터클 너머, 1996년의 시선으로 담아낸 모험의 이야기. 이 작품은 단순한 오락을 넘어 삶의 어떤 단면을 응시하게 한다. 우리는 스크린 앞에 앉아 타인의 삶을 통해 우리 자신을 본다. 시간이 지날수록 더 깊이 읽히는 영화다.</t>
  </si>
  <si>
    <t>감독: 랄프 파인즈
주연: Oleg Ivenko, 아델 에그자르코풀로스, Чулпан Хаматова</t>
  </si>
  <si>
    <t>영국적 절제와 냉소 사이에서, 2018년의 시선으로 담아낸 드라마의 이야기. 모든 이야기는 상처의 다른 이름이다. 인간의 고통이란 결국 타인과의 거리에서 비롯된다. 나름의 울림을 간직한 작품이다.</t>
  </si>
  <si>
    <t>감독: Juraj Herz
주연: Rudolf Hrušínský, Vlasta Chramostová, Jana Stehnová</t>
  </si>
  <si>
    <t>한국 특유의 정서가 켜켜이 쌓인 듯, 2014년의 시선으로 담아낸 드라마의 이야기. 모든 이야기는 상처의 다른 이름이다. 인간의 고통이란 결국 타인과의 거리에서 비롯된다. 한 번쯤 들여다볼 가치가 있는 이야기다.</t>
  </si>
  <si>
    <t>감독: 松永大司
주연: 노다 요지로, 스기사키 하나, 릴리 프랭키</t>
  </si>
  <si>
    <t>섬세한 일본적 감수성으로, 2015년의 시선으로 담아낸 드라마의 이야기. 모든 이야기는 상처의 다른 이름이다. 우리는 각자의 서사 안에 갇혀 서로를 오해한다. 이 작품이 남기는 질문은 쉽게 사라지지 않는다.</t>
  </si>
  <si>
    <t>감독: 변영주
주연: 김민희, 이선균, 조성하</t>
  </si>
  <si>
    <t>한국 특유의 정서가 켜켜이 쌓인 듯, 2012년의 시선으로 담아낸 스릴러의 이야기. 진실은 언제나 우리가 감당할 수 없는 형태로 찾아온다. 불안이란 현실이 균열을 드러내는 순간에 스며든다. 시간이 지날수록 더 깊이 읽히는 영화다.</t>
  </si>
  <si>
    <t>감독: 우디 앨런
주연: 안토니오 반데라스, 조쉬 브롤린, 안소니 홉킨스</t>
  </si>
  <si>
    <t>할리우드적 스펙터클 너머, 2011년의 시선으로 담아낸 코미디의 이야기. 우스운 것과 슬픈 것은 본래 같은 뿌리에서 자란다. 웃음은 고통을 소화하는 인간만의 방식이다. 한 번쯤 들여다볼 가치가 있는 이야기다.</t>
  </si>
  <si>
    <t>감독: 시미즈 다카시
주연: 優香, 시이나 킷페이, 杉本哲太</t>
  </si>
  <si>
    <t>섬세한 일본적 감수성으로, 2006년의 시선으로 담아낸 공포의 이야기. 어둠은 우리 내면의 억압된 것들이 귀환하는 문이다. 불가해한 것 앞에서 인간은 얼마나 작은가를 깨닫는다. 거칠지만 그 안에서도 인간의 흔적은 남는다.</t>
  </si>
  <si>
    <t>감독: Mark Rydell
주연: 캐서린 헵번, 헨리 폰다, 제인 폰다</t>
  </si>
  <si>
    <t>할리우드적 스펙터클 너머, 1981년의 시선으로 담아낸 드라마의 이야기. 인간의 고통이란 결국 타인과의 거리에서 비롯된다. 삶은 언제나 해석을 기다리는 텍스트다. 나름의 울림을 간직한 작품이다.</t>
  </si>
  <si>
    <t>감독: 허안화
주연: 탕웨이, 풍소봉, Zhiwen Wang</t>
  </si>
  <si>
    <t>178분</t>
  </si>
  <si>
    <t>광활한 대지의 이야기를 담아, 2014년의 시선으로 담아낸 드라마의 이야기. 인간의 고통이란 결국 타인과의 거리에서 비롯된다. 모든 이야기는 상처의 다른 이름이다. 완벽하지 않아도, 그 불완전함이 오히려 인간적이다.</t>
  </si>
  <si>
    <t>감독: Mark Dindal
주연: 데이비드 스페이드, 존 굿맨, Eartha Kitt</t>
  </si>
  <si>
    <t>감독: 나홍진
주연: 하정우, 김윤석, 조성하</t>
  </si>
  <si>
    <t>한국 특유의 정서가 켜켜이 쌓인 듯, 2010년의 시선으로 담아낸 액션의 이야기. 생존의 욕망은 가장 원초적인 철학적 질문을 던진다. 육체의 한계에 도전하는 것은 곧 자아의 경계를 시험하는 일이다. 완벽하지 않아도, 그 불완전함이 오히려 인간적이다.</t>
  </si>
  <si>
    <t>감독: Andrew Martin
주연: Martin Beach, Lucio Aguilar, Boris Bosilkov</t>
  </si>
  <si>
    <t>한국 특유의 정서가 켜켜이 쌓인 듯, 2012년의 시선으로 담아낸 액션의 이야기. 폭력의 언어 속에서도 인간은 존엄을 갈망한다. 육체의 한계에 도전하는 것은 곧 자아의 경계를 시험하는 일이다. 흠이 있지만 진심이 담긴 시도였다.</t>
  </si>
  <si>
    <t>감독: 김대승
주연: 조여정, 김동욱, 김민준</t>
  </si>
  <si>
    <t>한국 특유의 정서가 켜켜이 쌓인 듯, 2012년의 시선으로 담아낸 드라마의 이야기. 우리는 각자의 서사 안에 갇혀 서로를 오해한다. 삶은 언제나 해석을 기다리는 텍스트다. 완벽하지 않아도, 그 불완전함이 오히려 인간적이다.</t>
  </si>
  <si>
    <t>감독: 鶴橋康夫
주연: 大竹しのぶ, 토요카와 에츠시, 笑福亭鶴瓶</t>
  </si>
  <si>
    <t>섬세한 일본적 감수성으로, 2016년의 시선으로 담아낸 드라마의 이야기. 삶은 언제나 해석을 기다리는 텍스트다. 인간의 고통이란 결국 타인과의 거리에서 비롯된다. 한 번쯤 들여다볼 가치가 있는 이야기다.</t>
  </si>
  <si>
    <t>감독: 장률
주연: 권해효, 윤제문, 박소담</t>
  </si>
  <si>
    <t>한국 특유의 정서가 켜켜이 쌓인 듯, 2020년의 시선으로 담아낸 드라마의 이야기. 인간의 고통이란 결국 타인과의 거리에서 비롯된다. 우리는 각자의 서사 안에 갇혀 서로를 오해한다. 시간이 지날수록 더 깊이 읽히는 영화다.</t>
  </si>
  <si>
    <t>할리우드적 스펙터클 너머, 2008년의 시선으로 담아낸 코미디의 이야기. 유머 속에는 세계의 부조리를 견뎌내는 지혜가 담겨 있다. 가볍게 웃는 순간에도 삶의 무게는 그 그림자를 드리운다. 완벽하지 않아도, 그 불완전함이 오히려 인간적이다.</t>
  </si>
  <si>
    <t>감독: 마틴 스콜세지
주연: 에이사 버터필드, 벤 킹슬리, 클로이 그레이스 모레츠</t>
  </si>
  <si>
    <t>할리우드적 스펙터클 너머, 2011년의 시선으로 담아낸 모험의 이야기. 영상 언어로 포착된 인간의 이야기는 언제나 철학적 울림을 남긴다. 우리는 스크린 앞에 앉아 타인의 삶을 통해 우리 자신을 본다. 나름의 울림을 간직한 작품이다.</t>
  </si>
  <si>
    <t>감독: 로버트 벤턴
주연: 안소니 홉킨스, 니콜 키드먼, 에드 해리스</t>
  </si>
  <si>
    <t>감독: Jonathan Brackley, Sam Vincent
주연: 캐서린 파킨슨, 젬마 찬, Colin Morgan</t>
  </si>
  <si>
    <t>드라마 형식 속에서, 영국적 절제와 냉소 사이에서, 2015년의 시선으로 담아낸 드라마의 이야기. 우리는 각자의 서사 안에 갇혀 서로를 오해한다. 인간의 고통이란 결국 타인과의 거리에서 비롯된다. 평점이 담지 못하는 무언가가 이 영화에는 있다.</t>
  </si>
  <si>
    <t>감독: Justin Willman
주연: Justin Willman</t>
  </si>
  <si>
    <t>드라마 형식 속에서, 영국적 절제와 냉소 사이에서, 2018년의 시선으로 담아낸 드라마의 이야기. 우리는 각자의 서사 안에 갇혀 서로를 오해한다. 모든 이야기는 상처의 다른 이름이다. 이 작품이 남기는 이미지는 어떤 방식으로든 기억에 새겨진다.</t>
  </si>
  <si>
    <t>감독: 류승완
주연: 조인성, 박정민, 박해준, 신세경</t>
  </si>
  <si>
    <t>2026-04-02</t>
  </si>
  <si>
    <t>2026년의 시선으로 담아낸 액션 이야기가 우리에게 묻는다. 생존의 욕망은 가장 원초적인 철학적 질문을 던진다. 육체의 한계에 도전하는 것은 곧 자아의 경계를 시험하는 일이다. 완벽하지 않아도, 그 불완전함이 오히려 인간적이다.</t>
  </si>
  <si>
    <t>감독: 白石和彌
주연: 야마다 타카유키, 이케와키 치즈루, 릴리 프랭키</t>
  </si>
  <si>
    <t>섬세한 일본적 감수성으로, 2014년의 시선으로 담아낸 범죄의 이야기. 죄란 사회가 만든 경계를 넘는 행위이자 그 경계에 대한 질문이다. 어둠 속에서도 인간은 스스로를 정당화하려 한다. 나름의 울림을 간직한 작품이다.</t>
  </si>
  <si>
    <t>감독: 데브라 그래닉
주연: 토마신 맥켄지, 벤 포스터, Jeff Kober</t>
  </si>
  <si>
    <t>할리우드적 스펙터클 너머, 2018년의 시선으로 담아낸 드라마의 이야기. 우리는 각자의 서사 안에 갇혀 서로를 오해한다. 인간의 고통이란 결국 타인과의 거리에서 비롯된다. 오랫동안 여운이 남는 작품이다.</t>
  </si>
  <si>
    <t>감독: Cho Keun-hyun
주연: 정우, 김주혁, 정진영</t>
  </si>
  <si>
    <t>한국 특유의 정서가 켜켜이 쌓인 듯, 2017년의 시선으로 담아낸 드라마의 이야기. 우리는 각자의 서사 안에 갇혀 서로를 오해한다. 인간의 고통이란 결국 타인과의 거리에서 비롯된다. 흠이 있지만 진심이 담긴 시도였다.</t>
  </si>
  <si>
    <t>감독: Kristof Hoornaert
주연: Gilles De Schryver, Johan Leysen, Kris Cuppens</t>
  </si>
  <si>
    <t>한국 특유의 정서가 켜켜이 쌓인 듯, 2017년의 시선으로 담아낸 스릴러의 이야기. 진실은 언제나 우리가 감당할 수 없는 형태로 찾아온다. 공포는 우리가 통제할 수 없는 것들에 대한 솔직한 고백이다. 흠이 있지만 진심이 담긴 시도였다.</t>
  </si>
  <si>
    <t>감독: David A. Armstrong
주연: Sean Faris, 포레스트 휘태커, 니키 리드</t>
  </si>
  <si>
    <t>할리우드적 스펙터클 너머, 2013년의 시선으로 담아낸 스릴러의 이야기. 불안이란 현실이 균열을 드러내는 순간에 스며든다. 진실은 언제나 우리가 감당할 수 없는 형태로 찾아온다. 한 번쯤 들여다볼 가치가 있는 이야기다.</t>
  </si>
  <si>
    <t>감독: Salvo Cuccia
주연: Filippo Luna, Barbara Tabita, Paolo Briguglia</t>
  </si>
  <si>
    <t>할리우드적 스펙터클 너머, 2017년의 시선으로 담아낸 미스터리의 이야기. 감춰진 것들이 드러나는 순간, 세계는 다르게 보이기 시작한다. 알 수 없음 앞에서 인간은 비로소 겸손해진다. 한 번쯤 들여다볼 가치가 있는 이야기다.</t>
  </si>
  <si>
    <t>감독: 김대우
주연: 송승헌, 조여정, 박지현</t>
  </si>
  <si>
    <t>한국 특유의 정서가 켜켜이 쌓인 듯, 2024년의 시선으로 담아낸 스릴러의 이야기. 긴장은 존재가 위협받을 때 가장 선명하게 빛난다. 불안이란 현실이 균열을 드러내는 순간에 스며든다. 완벽하지 않아도, 그 불완전함이 오히려 인간적이다.</t>
  </si>
  <si>
    <t>감독: Andrés Baiz
주연: Quim Gutiérrez, Martina García, Clara Lago</t>
  </si>
  <si>
    <t>열정과 멜랑콜리가 교차하며, 2011년의 시선으로 담아낸 스릴러의 이야기. 진실은 언제나 우리가 감당할 수 없는 형태로 찾아온다. 불안이란 현실이 균열을 드러내는 순간에 스며든다. 이 작품이 남기는 질문은 쉽게 사라지지 않는다.</t>
  </si>
  <si>
    <t>감독: Theodore Melfi
주연: 타라지 P. 헨슨, 옥타비아 스펜서, 자넬 모네</t>
  </si>
  <si>
    <t>할리우드적 스펙터클 너머, 2016년의 시선으로 담아낸 드라마의 이야기. 삶은 언제나 해석을 기다리는 텍스트다. 우리는 각자의 서사 안에 갇혀 서로를 오해한다. 두고두고 다시 꺼내 볼 만한 작품이다.</t>
  </si>
  <si>
    <t>감독: Brad Furman
주연: 저스틴 팀버레이크, 벤 애플렉, 젬마 아터턴</t>
  </si>
  <si>
    <t>할리우드적 스펙터클 너머, 2013년의 시선으로 담아낸 범죄의 이야기. 어둠 속에서도 인간은 스스로를 정당화하려 한다. 법과 도덕 사이의 틈새에서 인간의 본성이 노출된다. 한 번쯤 들여다볼 가치가 있는 이야기다.</t>
  </si>
  <si>
    <t>감독: 平松恵美子
주연: 사카이 마사토, 나카타니 미키, 단 레이</t>
  </si>
  <si>
    <t>섬세한 일본적 감수성으로, 2013년의 시선으로 담아낸 드라마의 이야기. 인간의 고통이란 결국 타인과의 거리에서 비롯된다. 삶은 언제나 해석을 기다리는 텍스트다. 두고두고 다시 꺼내 볼 만한 작품이다.</t>
  </si>
  <si>
    <t>감독: 이석훈
주연: 황정민, 정우, 조성하</t>
  </si>
  <si>
    <t>한국 특유의 정서가 켜켜이 쌓인 듯, 2015년의 시선으로 담아낸 드라마의 이야기. 모든 이야기는 상처의 다른 이름이다. 삶은 언제나 해석을 기다리는 텍스트다. 오랫동안 여운이 남는 작품이다.</t>
  </si>
  <si>
    <t>감독: Ed Atkins</t>
  </si>
  <si>
    <t>할리우드적 스펙터클 너머, 2010년의 시선으로 담아낸 공포의 이야기. 어둠은 우리 내면의 억압된 것들이 귀환하는 문이다. 우리가 두려워하는 것은 대개 우리 자신의 그림자다. 흠이 있지만 진심이 담긴 시도였다.</t>
  </si>
  <si>
    <t>감독: Tanya Wexler
주연: 메기 질렌할, Hugh Dancy, 조너선 프라이스</t>
  </si>
  <si>
    <t>영국적 절제와 냉소 사이에서, 2011년의 시선으로 담아낸 코미디의 이야기. 유머 속에는 세계의 부조리를 견뎌내는 지혜가 담겨 있다. 우스운 것과 슬픈 것은 본래 같은 뿌리에서 자란다. 한 번쯤 들여다볼 가치가 있는 이야기다.</t>
  </si>
  <si>
    <t>감독: Frank Coraci
주연: 케빈 제임스, 셀마 헤이엑, 헨리 윙클러</t>
  </si>
  <si>
    <t>할리우드적 스펙터클 너머, 2012년의 시선으로 담아낸 코미디의 이야기. 웃음은 고통을 소화하는 인간만의 방식이다. 가볍게 웃는 순간에도 삶의 무게는 그 그림자를 드리운다. 시간이 지날수록 더 깊이 읽히는 영화다.</t>
  </si>
  <si>
    <t>감독: 클린트 이스트우드
주연: 맷 데이먼, 세실 드 프랑스, 브라이스 댈러스 하워드</t>
  </si>
  <si>
    <t>할리우드적 스펙터클 너머, 2010년의 시선으로 담아낸 드라마의 이야기. 모든 이야기는 상처의 다른 이름이다. 삶은 언제나 해석을 기다리는 텍스트다. 한 번쯤 들여다볼 가치가 있는 이야기다.</t>
  </si>
  <si>
    <t>감독: 마이클 만
주연: 알 파치노, 로버트 드 니로, 발 킬머</t>
  </si>
  <si>
    <t>할리우드적 스펙터클 너머, 1995년의 시선으로 담아낸 범죄의 이야기. 법과 도덕 사이의 틈새에서 인간의 본성이 노출된다. 욕망은 언제나 질서보다 먼저 존재했다. 오랫동안 여운이 남는 작품이다.</t>
  </si>
  <si>
    <t>감독: Xavier Gens
주연: 티모시 올리펀트, 두그레이 스콧, 올가 쿠릴렌코</t>
  </si>
  <si>
    <t>한국 특유의 정서가 켜켜이 쌓인 듯, 2020년의 시선으로 담아낸 코미디의 이야기. 가볍게 웃는 순간에도 삶의 무게는 그 그림자를 드리운다. 웃음은 고통을 소화하는 인간만의 방식이다. 나름의 울림을 간직한 작품이다.</t>
  </si>
  <si>
    <t>프랑스 영화 특유의 철학적 깊이로, 2007년의 시선으로 담아낸 액션의 이야기. 생존의 욕망은 가장 원초적인 철학적 질문을 던진다. 폭력의 언어 속에서도 인간은 존엄을 갈망한다. 시간이 지날수록 더 깊이 읽히는 영화다.</t>
  </si>
  <si>
    <t>감독: Evelyn Purcell
주연: 스티븐 도프, Svetlana Metkina, 메이지 윌리엄스</t>
  </si>
  <si>
    <t>할리우드적 스펙터클 너머, 2013년의 시선으로 담아낸 스릴러의 이야기. 긴장은 존재가 위협받을 때 가장 선명하게 빛난다. 불안이란 현실이 균열을 드러내는 순간에 스며든다. 나름의 울림을 간직한 작품이다.</t>
  </si>
  <si>
    <t>감독: Oliver Hirschbiegel
주연: 브루노 간츠, 알렉산드라 마리아 라라, Corinna Harfouch</t>
  </si>
  <si>
    <t>독일 특유의 사유의 무게를 지니며, 2004년의 시선으로 담아낸 드라마의 이야기. 모든 이야기는 상처의 다른 이름이다. 인간의 고통이란 결국 타인과의 거리에서 비롯된다. 이 작품이 남기는 질문은 쉽게 사라지지 않는다.</t>
  </si>
  <si>
    <t>감독: 론 하워드
주연: 에이미 아담스, 글렌 클로즈, 게이브리얼 배소</t>
  </si>
  <si>
    <t>할리우드적 스펙터클 너머, 2020년의 시선으로 담아낸 드라마의 이야기. 삶은 언제나 해석을 기다리는 텍스트다. 우리는 각자의 서사 안에 갇혀 서로를 오해한다. 시간이 지날수록 더 깊이 읽히는 영화다.</t>
  </si>
  <si>
    <t>감독: 로버트 로드리게즈
주연: 벤 애플렉, 앨리스 브라가, 윌리엄 피츠너</t>
  </si>
  <si>
    <t>할리우드적 스펙터클 너머, 2023년의 시선으로 담아낸 액션의 이야기. 생존의 욕망은 가장 원초적인 철학적 질문을 던진다. 육체의 한계에 도전하는 것은 곧 자아의 경계를 시험하는 일이다. 나름의 울림을 간직한 작품이다.</t>
  </si>
  <si>
    <t>드라마 형식 속에서, 할리우드적 스펙터클 너머, 2021년의 시선으로 담아낸 SF의 이야기. 기술이 진보할수록 인간다움의 정의는 더욱 절박해진다. 미래를 상상하는 것은 현재를 비판하는 가장 우회적인 방법이다. 이 작품이 남기는 이미지는 어떤 방식으로든 기억에 새겨진다.</t>
  </si>
  <si>
    <t>감독: KBS</t>
  </si>
  <si>
    <t>3부작</t>
  </si>
  <si>
    <t>2023년의 시선으로 담아낸 다큐 이야기가 우리에게 묻는다. 카메라가 포착한 진실 앞에서 우리는 응시할 의무를 갖는다. 세계를 있는 그대로 바라보는 것이 가장 용기 있는 행위다. 평점이 담지 못하는 무언가가 이 영화에는 있다.</t>
  </si>
  <si>
    <t>감독: 넷플릭스
주연: 이시바시 나츠미, 나카무라 아오이</t>
  </si>
  <si>
    <t>로맨스</t>
  </si>
  <si>
    <t>드라마 형식 속에서, 섬세한 일본적 감수성으로, 2019년의 시선으로 담아낸 로맨스의 이야기. 설렘은 불완전한 존재가 완전함을 향해 뻗는 손길이다. 그리움이란 부재를 통해 존재를 확인하는 방식이다. 이 작품이 남기는 이미지는 어떤 방식으로든 기억에 새겨진다.</t>
  </si>
  <si>
    <t>감독: 
주연: 잉리 볼쇠 베르달, 안네르스 보스모, 알마 귄테르</t>
  </si>
  <si>
    <t>기타</t>
  </si>
  <si>
    <t>재난, 드라마</t>
  </si>
  <si>
    <t>드라마 형식 속에서, 2024년의 시선으로 담아낸 드라마 이야기가 우리에게 묻는다. 우리는 각자의 서사 안에 갇혀 서로를 오해한다. 인간의 고통이란 결국 타인과의 거리에서 비롯된다. 평점이 담지 못하는 무언가가 이 영화에는 있다.</t>
  </si>
  <si>
    <t>감독: 필 로드, 크리스 밀러
주연: 라이언 고슬링, 산드라 휠러</t>
  </si>
  <si>
    <t>2026-04-16</t>
  </si>
  <si>
    <t>할리우드적 스펙터클 너머, 2026년의 시선으로 담아낸 SF의 이야기. 우주의 광대함 앞에서 인간의 질문은 더욱 깊어진다. 미래를 상상하는 것은 현재를 비판하는 가장 우회적인 방법이다. 오랫동안 여운이 남는 작품이다.</t>
  </si>
  <si>
    <t>감독: 미야케 쇼
주연: 심은경, 카와이 유미, 츠츠미 신이치</t>
  </si>
  <si>
    <t>2026-04-17</t>
  </si>
  <si>
    <t>섬세한 일본적 감수성으로, 2025년의 시선으로 담아낸 드라마의 이야기. 인간의 고통이란 결국 타인과의 거리에서 비롯된다. 우리는 각자의 서사 안에 갇혀 서로를 오해한다. 흠이 있지만 진심이 담긴 시도였다.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</si>
</sst>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quot;-&quot;m&quot;-&quot;d;@"/>
  </numFmts>
  <fonts count="39" x14ac:knownFonts="1">
    <font>
      <sz val="11"/>
      <color theme="1"/>
      <name val="맑은 고딕"/>
      <family val="2"/>
      <scheme val="minor"/>
    </font>
    <font>
      <b/>
      <sz val="11"/>
      <color rgb="FFFFFFFF"/>
      <name val="Arial"/>
      <family val="2"/>
    </font>
    <font>
      <sz val="8"/>
      <name val="맑은 고딕"/>
      <family val="3"/>
      <charset val="129"/>
      <scheme val="minor"/>
    </font>
    <font>
      <u/>
      <sz val="11"/>
      <color theme="10"/>
      <name val="맑은 고딕"/>
      <family val="2"/>
      <scheme val="minor"/>
    </font>
    <font>
      <sz val="9"/>
      <color rgb="FF333333"/>
      <name val="맑은 고딕"/>
      <family val="3"/>
      <charset val="129"/>
      <scheme val="minor"/>
    </font>
    <font>
      <sz val="9"/>
      <color theme="1"/>
      <name val="맑은 고딕"/>
      <family val="2"/>
      <scheme val="minor"/>
    </font>
    <font>
      <b/>
      <sz val="10"/>
      <color rgb="FF333333"/>
      <name val="맑은 고딕"/>
      <family val="3"/>
      <charset val="129"/>
      <scheme val="minor"/>
    </font>
    <font>
      <b/>
      <sz val="11"/>
      <color rgb="FFFFFFFF"/>
      <name val="맑은 고딕"/>
      <family val="3"/>
      <charset val="129"/>
      <scheme val="major"/>
    </font>
    <font>
      <b/>
      <sz val="18"/>
      <color rgb="FFC9A84C"/>
      <name val="맑은 고딕"/>
      <family val="3"/>
      <charset val="129"/>
      <scheme val="major"/>
    </font>
    <font>
      <b/>
      <sz val="11"/>
      <color theme="1"/>
      <name val="맑은 고딕"/>
      <family val="2"/>
      <scheme val="minor"/>
    </font>
    <font>
      <b/>
      <sz val="9"/>
      <color rgb="FFC9A84C"/>
      <name val="Arial"/>
      <family val="2"/>
    </font>
    <font>
      <sz val="11"/>
      <color theme="1"/>
      <name val="맑은 고딕"/>
      <family val="3"/>
      <charset val="129"/>
      <scheme val="minor"/>
    </font>
    <font>
      <sz val="18"/>
      <color rgb="FFC9A84C"/>
      <name val="Arial"/>
      <family val="2"/>
    </font>
    <font>
      <b/>
      <sz val="18"/>
      <color rgb="FFFFC000"/>
      <name val="맑은 고딕"/>
      <family val="3"/>
      <charset val="129"/>
      <scheme val="major"/>
    </font>
    <font>
      <b/>
      <sz val="11"/>
      <color theme="0"/>
      <name val="맑은 고딕"/>
      <family val="3"/>
      <charset val="129"/>
      <scheme val="major"/>
    </font>
    <font>
      <b/>
      <sz val="12"/>
      <name val="Arial"/>
      <family val="2"/>
    </font>
    <font>
      <sz val="9"/>
      <name val="맑은 고딕"/>
      <family val="3"/>
      <charset val="129"/>
      <scheme val="minor"/>
    </font>
    <font>
      <u/>
      <sz val="11"/>
      <name val="맑은 고딕"/>
      <family val="2"/>
      <scheme val="minor"/>
    </font>
    <font>
      <sz val="11"/>
      <name val="맑은 고딕"/>
      <family val="2"/>
      <scheme val="minor"/>
    </font>
    <font>
      <sz val="9"/>
      <color rgb="FF333333"/>
      <name val="맑은 고딕"/>
      <family val="3"/>
      <charset val="129"/>
    </font>
    <font>
      <b/>
      <sz val="10"/>
      <color rgb="FF333333"/>
      <name val="맑은 고딕"/>
      <family val="3"/>
      <charset val="129"/>
    </font>
    <font>
      <sz val="9"/>
      <color theme="1"/>
      <name val="맑은 고딕"/>
      <family val="3"/>
      <charset val="129"/>
    </font>
    <font>
      <sz val="9"/>
      <name val="맑은 고딕"/>
      <family val="3"/>
      <charset val="129"/>
    </font>
    <font>
      <sz val="9"/>
      <color rgb="FF333333"/>
      <name val="맑은 고딕"/>
      <family val="3"/>
      <charset val="129"/>
    </font>
    <font>
      <b/>
      <sz val="10"/>
      <color rgb="FF333333"/>
      <name val="맑은 고딕"/>
      <family val="3"/>
      <charset val="129"/>
    </font>
    <font>
      <sz val="9"/>
      <name val="맑은 고딕"/>
      <family val="3"/>
      <charset val="129"/>
    </font>
    <font>
      <sz val="11"/>
      <color rgb="FFC9A84C"/>
      <name val="맑은 고딕"/>
      <family val="3"/>
      <charset val="129"/>
      <scheme val="major"/>
    </font>
    <font>
      <sz val="11"/>
      <color rgb="FF0070C0"/>
      <name val="맑은 고딕"/>
      <family val="3"/>
      <charset val="129"/>
      <scheme val="minor"/>
    </font>
    <font>
      <sz val="11"/>
      <color theme="4"/>
      <name val="맑은 고딕"/>
      <family val="3"/>
      <charset val="129"/>
      <scheme val="minor"/>
    </font>
    <font>
      <u/>
      <sz val="11"/>
      <color theme="10"/>
      <name val="맑은 고딕"/>
      <family val="3"/>
      <charset val="129"/>
      <scheme val="minor"/>
    </font>
    <font>
      <sz val="11"/>
      <color rgb="FF333333"/>
      <name val="맑은 고딕"/>
      <family val="3"/>
      <charset val="129"/>
      <scheme val="minor"/>
    </font>
    <font>
      <sz val="9"/>
      <color theme="1"/>
      <name val="맑은 고딕"/>
      <family val="3"/>
      <charset val="129"/>
      <scheme val="minor"/>
    </font>
    <font>
      <sz val="11"/>
      <color theme="10"/>
      <name val="맑은 고딕"/>
      <family val="2"/>
      <scheme val="minor"/>
    </font>
    <font>
      <sz val="9"/>
      <color rgb="FF333333"/>
      <name val="맑은 고딕"/>
      <family val="3"/>
      <charset val="129"/>
    </font>
    <font>
      <sz val="11"/>
      <color theme="10"/>
      <name val="맑은 고딕"/>
      <family val="3"/>
      <charset val="129"/>
    </font>
    <font>
      <b/>
      <sz val="10"/>
      <color rgb="FF333333"/>
      <name val="맑은 고딕"/>
      <family val="3"/>
      <charset val="129"/>
    </font>
    <font>
      <sz val="9"/>
      <color theme="1"/>
      <name val="맑은 고딕"/>
      <family val="3"/>
      <charset val="129"/>
    </font>
    <font>
      <sz val="9"/>
      <name val="맑은 고딕"/>
      <family val="3"/>
      <charset val="129"/>
    </font>
    <font>
      <sz val="11"/>
      <color theme="1"/>
      <name val="맑은 고딕"/>
      <family val="3"/>
      <charset val="129"/>
    </font>
  </fonts>
  <fills count="11">
    <fill>
      <patternFill patternType="none"/>
    </fill>
    <fill>
      <patternFill patternType="gray125"/>
    </fill>
    <fill>
      <patternFill patternType="solid">
        <fgColor rgb="FF1A1A2E"/>
      </patternFill>
    </fill>
    <fill>
      <patternFill patternType="solid">
        <fgColor rgb="FF1C3D5A"/>
      </patternFill>
    </fill>
    <fill>
      <patternFill patternType="solid">
        <fgColor rgb="FFFFFFFF"/>
      </patternFill>
    </fill>
    <fill>
      <patternFill patternType="solid">
        <fgColor rgb="FFF5F5F5"/>
      </patternFill>
    </fill>
    <fill>
      <patternFill patternType="solid">
        <fgColor theme="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9" tint="0.79998168889431442"/>
        <bgColor indexed="64"/>
      </patternFill>
    </fill>
  </fills>
  <borders count="25">
    <border>
      <left/>
      <right/>
      <top/>
      <bottom/>
      <diagonal/>
    </border>
    <border>
      <left style="thin">
        <color rgb="FFCCCCCC"/>
      </left>
      <right style="thin">
        <color rgb="FFCCCCCC"/>
      </right>
      <top/>
      <bottom/>
      <diagonal/>
    </border>
    <border>
      <left style="thin">
        <color rgb="FFCCCCCC"/>
      </left>
      <right/>
      <top/>
      <bottom/>
      <diagonal/>
    </border>
    <border>
      <left/>
      <right style="thin">
        <color rgb="FFCCCCCC"/>
      </right>
      <top/>
      <bottom/>
      <diagonal/>
    </border>
    <border>
      <left style="thick">
        <color rgb="FFCCCCCC"/>
      </left>
      <right style="thick">
        <color rgb="FFCCCCCC"/>
      </right>
      <top style="thick">
        <color rgb="FFCCCCCC"/>
      </top>
      <bottom style="thick">
        <color rgb="FFCCCCCC"/>
      </bottom>
      <diagonal/>
    </border>
    <border>
      <left style="thick">
        <color rgb="FFCCCCCC"/>
      </left>
      <right/>
      <top style="thick">
        <color rgb="FFCCCCCC"/>
      </top>
      <bottom style="thick">
        <color rgb="FFCCCCCC"/>
      </bottom>
      <diagonal/>
    </border>
    <border>
      <left/>
      <right style="thick">
        <color rgb="FFCCCCCC"/>
      </right>
      <top style="thick">
        <color rgb="FFCCCCCC"/>
      </top>
      <bottom style="thick">
        <color rgb="FFCCCCCC"/>
      </bottom>
      <diagonal/>
    </border>
    <border>
      <left/>
      <right/>
      <top/>
      <bottom/>
      <diagonal/>
    </border>
    <border>
      <left/>
      <right/>
      <top style="thick">
        <color rgb="FFCCCCCC"/>
      </top>
      <bottom style="thick">
        <color rgb="FFCCCCCC"/>
      </bottom>
      <diagonal/>
    </border>
    <border>
      <left style="thick">
        <color rgb="FFCCCCCC"/>
      </left>
      <right/>
      <top style="thick">
        <color rgb="FFCCCCCC"/>
      </top>
      <bottom style="thick">
        <color rgb="FFCCCCCC"/>
      </bottom>
      <diagonal/>
    </border>
    <border>
      <left style="thick">
        <color rgb="FFCCCCCC"/>
      </left>
      <right style="thick">
        <color rgb="FFCCCCCC"/>
      </right>
      <top style="thick">
        <color rgb="FFCCCCCC"/>
      </top>
      <bottom style="thick">
        <color rgb="FFCCCCCC"/>
      </bottom>
      <diagonal/>
    </border>
    <border>
      <left/>
      <right style="thick">
        <color rgb="FFCCCCCC"/>
      </right>
      <top style="thick">
        <color rgb="FFCCCCCC"/>
      </top>
      <bottom style="thick">
        <color rgb="FFCCCCCC"/>
      </bottom>
      <diagonal/>
    </border>
    <border>
      <left style="thick">
        <color rgb="FFCCCCCC"/>
      </left>
      <right style="thick">
        <color rgb="FFCCCCCC"/>
      </right>
      <top style="thick">
        <color rgb="FFCCCCCC"/>
      </top>
      <bottom style="thin">
        <color indexed="64"/>
      </bottom>
      <diagonal/>
    </border>
    <border>
      <left/>
      <right style="thick">
        <color rgb="FFCCCCCC"/>
      </right>
      <top style="thick">
        <color rgb="FFCCCCCC"/>
      </top>
      <bottom style="thick">
        <color rgb="FFCCCCCC"/>
      </bottom>
      <diagonal/>
    </border>
    <border>
      <left/>
      <right/>
      <top/>
      <bottom/>
      <diagonal/>
    </border>
    <border>
      <left style="thin">
        <color indexed="64"/>
      </left>
      <right style="thin">
        <color indexed="64"/>
      </right>
      <top style="thin">
        <color indexed="64"/>
      </top>
      <bottom style="thin">
        <color indexed="64"/>
      </bottom>
      <diagonal/>
    </border>
    <border>
      <left style="thick">
        <color rgb="FFCCCCCC"/>
      </left>
      <right style="thick">
        <color rgb="FFCCCCCC"/>
      </right>
      <top style="thick">
        <color rgb="FFCCCCCC"/>
      </top>
      <bottom/>
      <diagonal/>
    </border>
    <border>
      <left style="thick">
        <color rgb="FFCCCCCC"/>
      </left>
      <right style="thick">
        <color rgb="FFCCCCCC"/>
      </right>
      <top/>
      <bottom style="thick">
        <color rgb="FFCCCCCC"/>
      </bottom>
      <diagonal/>
    </border>
    <border>
      <left style="thick">
        <color rgb="FFCCCCCC"/>
      </left>
      <right/>
      <top style="thick">
        <color rgb="FFCCCCCC"/>
      </top>
      <bottom style="thick">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ck">
        <color rgb="FFCCCCCC"/>
      </right>
      <top style="thick">
        <color rgb="FFCCCCCC"/>
      </top>
      <bottom/>
      <diagonal/>
    </border>
    <border>
      <left style="thin">
        <color indexed="64"/>
      </left>
      <right style="thin">
        <color indexed="64"/>
      </right>
      <top style="thin">
        <color indexed="64"/>
      </top>
      <bottom style="thin">
        <color indexed="64"/>
      </bottom>
      <diagonal/>
    </border>
    <border>
      <left/>
      <right/>
      <top/>
      <bottom/>
      <diagonal/>
    </border>
    <border>
      <left/>
      <right/>
      <top/>
      <bottom/>
      <diagonal/>
    </border>
  </borders>
  <cellStyleXfs count="2">
    <xf numFmtId="0" fontId="0" fillId="0" borderId="24"/>
    <xf numFmtId="0" fontId="3" fillId="0" borderId="24"/>
  </cellStyleXfs>
  <cellXfs count="167">
    <xf numFmtId="0" fontId="0" fillId="0" borderId="0" xfId="0" applyBorder="1"/>
    <xf numFmtId="0" fontId="9" fillId="0" borderId="0" xfId="0" applyFont="1" applyBorder="1"/>
    <xf numFmtId="0" fontId="8" fillId="2" borderId="0" xfId="0" applyFont="1" applyFill="1" applyBorder="1" applyAlignment="1">
      <alignment vertical="center"/>
    </xf>
    <xf numFmtId="0" fontId="10" fillId="2" borderId="0" xfId="0" applyFont="1" applyFill="1" applyBorder="1" applyAlignment="1">
      <alignment vertical="center"/>
    </xf>
    <xf numFmtId="0" fontId="7" fillId="3" borderId="3" xfId="0" applyFont="1" applyFill="1" applyBorder="1" applyAlignment="1">
      <alignment horizontal="center" vertical="top"/>
    </xf>
    <xf numFmtId="0" fontId="7" fillId="3" borderId="1" xfId="0" applyFont="1" applyFill="1" applyBorder="1" applyAlignment="1">
      <alignment horizontal="center" vertical="top"/>
    </xf>
    <xf numFmtId="0" fontId="4" fillId="4" borderId="4" xfId="0" applyFont="1" applyFill="1" applyBorder="1" applyAlignment="1">
      <alignment horizontal="center" vertical="center"/>
    </xf>
    <xf numFmtId="0" fontId="4" fillId="4" borderId="4" xfId="0" applyFont="1" applyFill="1" applyBorder="1" applyAlignment="1">
      <alignment horizontal="left" vertical="center"/>
    </xf>
    <xf numFmtId="2" fontId="6" fillId="4" borderId="4" xfId="0" applyNumberFormat="1" applyFont="1" applyFill="1" applyBorder="1" applyAlignment="1">
      <alignment horizontal="center" vertical="center"/>
    </xf>
    <xf numFmtId="0" fontId="5" fillId="6" borderId="4" xfId="0" applyFont="1" applyFill="1" applyBorder="1" applyAlignment="1">
      <alignment vertical="top" wrapText="1"/>
    </xf>
    <xf numFmtId="0" fontId="4" fillId="5" borderId="4" xfId="0" applyFont="1" applyFill="1" applyBorder="1" applyAlignment="1">
      <alignment horizontal="center" vertical="center"/>
    </xf>
    <xf numFmtId="0" fontId="4" fillId="5" borderId="4" xfId="0" applyFont="1" applyFill="1" applyBorder="1" applyAlignment="1">
      <alignment horizontal="left" vertical="center"/>
    </xf>
    <xf numFmtId="2" fontId="6" fillId="5" borderId="4" xfId="0" applyNumberFormat="1" applyFont="1" applyFill="1" applyBorder="1" applyAlignment="1">
      <alignment horizontal="center" vertical="center"/>
    </xf>
    <xf numFmtId="0" fontId="5" fillId="8" borderId="4" xfId="0" applyFont="1" applyFill="1" applyBorder="1" applyAlignment="1">
      <alignment vertical="top" wrapText="1"/>
    </xf>
    <xf numFmtId="0" fontId="4" fillId="7" borderId="4" xfId="0" applyFont="1" applyFill="1" applyBorder="1" applyAlignment="1">
      <alignment horizontal="center" vertical="center"/>
    </xf>
    <xf numFmtId="0" fontId="4" fillId="7" borderId="4" xfId="0" applyFont="1" applyFill="1" applyBorder="1" applyAlignment="1">
      <alignment horizontal="left" vertical="center"/>
    </xf>
    <xf numFmtId="2" fontId="6" fillId="7" borderId="4" xfId="0" applyNumberFormat="1" applyFont="1" applyFill="1" applyBorder="1" applyAlignment="1">
      <alignment horizontal="center" vertical="center"/>
    </xf>
    <xf numFmtId="0" fontId="5" fillId="7" borderId="4" xfId="0" applyFont="1" applyFill="1" applyBorder="1" applyAlignment="1">
      <alignment vertical="top" wrapText="1"/>
    </xf>
    <xf numFmtId="0" fontId="11" fillId="0" borderId="0" xfId="0" applyFont="1" applyBorder="1"/>
    <xf numFmtId="0" fontId="12" fillId="2" borderId="0" xfId="0" applyFont="1" applyFill="1" applyBorder="1" applyAlignment="1">
      <alignment vertical="center"/>
    </xf>
    <xf numFmtId="0" fontId="0" fillId="0" borderId="0" xfId="0" applyBorder="1"/>
    <xf numFmtId="0" fontId="13" fillId="2" borderId="0" xfId="0" applyFont="1" applyFill="1" applyBorder="1" applyAlignment="1">
      <alignment vertical="center"/>
    </xf>
    <xf numFmtId="0" fontId="1" fillId="3" borderId="1" xfId="0" applyFont="1" applyFill="1" applyBorder="1" applyAlignment="1">
      <alignment horizontal="center" vertical="top"/>
    </xf>
    <xf numFmtId="0" fontId="5" fillId="6" borderId="5" xfId="0" applyFont="1" applyFill="1" applyBorder="1" applyAlignment="1">
      <alignment vertical="top" wrapText="1"/>
    </xf>
    <xf numFmtId="0" fontId="0" fillId="10" borderId="0" xfId="0" applyFill="1" applyBorder="1"/>
    <xf numFmtId="2" fontId="6" fillId="5" borderId="16" xfId="0" applyNumberFormat="1" applyFont="1" applyFill="1" applyBorder="1" applyAlignment="1">
      <alignment horizontal="center" vertical="center"/>
    </xf>
    <xf numFmtId="0" fontId="5" fillId="6" borderId="13" xfId="0" applyFont="1" applyFill="1" applyBorder="1" applyAlignment="1">
      <alignment vertical="top" wrapText="1"/>
    </xf>
    <xf numFmtId="2" fontId="6" fillId="5" borderId="17" xfId="0" applyNumberFormat="1" applyFont="1" applyFill="1" applyBorder="1" applyAlignment="1">
      <alignment horizontal="center" vertical="center"/>
    </xf>
    <xf numFmtId="0" fontId="20" fillId="9" borderId="4" xfId="0" applyFont="1" applyFill="1" applyBorder="1" applyAlignment="1">
      <alignment horizontal="center" vertical="center"/>
    </xf>
    <xf numFmtId="2" fontId="6" fillId="4" borderId="11" xfId="0" applyNumberFormat="1" applyFont="1" applyFill="1" applyBorder="1" applyAlignment="1">
      <alignment horizontal="center" vertical="center"/>
    </xf>
    <xf numFmtId="2" fontId="6" fillId="9" borderId="4" xfId="0" applyNumberFormat="1" applyFont="1" applyFill="1" applyBorder="1" applyAlignment="1">
      <alignment horizontal="center" vertical="center"/>
    </xf>
    <xf numFmtId="2" fontId="6" fillId="4" borderId="15" xfId="0" applyNumberFormat="1" applyFont="1" applyFill="1" applyBorder="1" applyAlignment="1">
      <alignment horizontal="center" vertical="center"/>
    </xf>
    <xf numFmtId="2" fontId="6" fillId="10" borderId="4" xfId="0" applyNumberFormat="1" applyFont="1" applyFill="1" applyBorder="1" applyAlignment="1">
      <alignment horizontal="center" vertical="center"/>
    </xf>
    <xf numFmtId="2" fontId="6" fillId="4" borderId="6" xfId="0" applyNumberFormat="1" applyFont="1" applyFill="1" applyBorder="1" applyAlignment="1">
      <alignment horizontal="center" vertical="center"/>
    </xf>
    <xf numFmtId="2" fontId="6" fillId="5" borderId="6" xfId="0" applyNumberFormat="1" applyFont="1" applyFill="1" applyBorder="1" applyAlignment="1">
      <alignment horizontal="center" vertical="center"/>
    </xf>
    <xf numFmtId="0" fontId="21" fillId="6" borderId="4" xfId="0" applyFont="1" applyFill="1" applyBorder="1" applyAlignment="1">
      <alignment vertical="top" wrapText="1"/>
    </xf>
    <xf numFmtId="0" fontId="5" fillId="6" borderId="9" xfId="0" applyFont="1" applyFill="1" applyBorder="1" applyAlignment="1">
      <alignment vertical="top" wrapText="1"/>
    </xf>
    <xf numFmtId="0" fontId="5" fillId="10" borderId="4" xfId="0" applyFont="1" applyFill="1" applyBorder="1" applyAlignment="1">
      <alignment vertical="top" wrapText="1"/>
    </xf>
    <xf numFmtId="0" fontId="5" fillId="8" borderId="5" xfId="0" applyFont="1" applyFill="1" applyBorder="1" applyAlignment="1">
      <alignment vertical="top" wrapText="1"/>
    </xf>
    <xf numFmtId="0" fontId="19" fillId="4" borderId="4" xfId="0" applyFont="1" applyFill="1" applyBorder="1" applyAlignment="1">
      <alignment horizontal="center" vertical="center"/>
    </xf>
    <xf numFmtId="0" fontId="4" fillId="4" borderId="10" xfId="0" applyFont="1" applyFill="1" applyBorder="1" applyAlignment="1">
      <alignment horizontal="center" vertical="center"/>
    </xf>
    <xf numFmtId="0" fontId="4" fillId="10"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9"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4" borderId="8" xfId="0" applyFont="1" applyFill="1" applyBorder="1" applyAlignment="1">
      <alignment horizontal="center" vertical="center"/>
    </xf>
    <xf numFmtId="0" fontId="4" fillId="5" borderId="8" xfId="0" applyFont="1" applyFill="1" applyBorder="1" applyAlignment="1">
      <alignment horizontal="center" vertical="center"/>
    </xf>
    <xf numFmtId="0" fontId="19" fillId="4" borderId="4" xfId="0" applyFont="1" applyFill="1" applyBorder="1" applyAlignment="1">
      <alignment horizontal="left" vertical="center"/>
    </xf>
    <xf numFmtId="0" fontId="4" fillId="4" borderId="10" xfId="0" applyFont="1" applyFill="1" applyBorder="1" applyAlignment="1">
      <alignment horizontal="left" vertical="center"/>
    </xf>
    <xf numFmtId="0" fontId="4" fillId="10" borderId="4" xfId="0" applyFont="1" applyFill="1" applyBorder="1" applyAlignment="1">
      <alignment horizontal="left" vertical="center"/>
    </xf>
    <xf numFmtId="0" fontId="4" fillId="4" borderId="8" xfId="0" applyFont="1" applyFill="1" applyBorder="1" applyAlignment="1">
      <alignment horizontal="left" vertical="center"/>
    </xf>
    <xf numFmtId="0" fontId="4" fillId="9" borderId="4" xfId="0" applyFont="1" applyFill="1" applyBorder="1" applyAlignment="1">
      <alignment horizontal="left" vertical="center"/>
    </xf>
    <xf numFmtId="0" fontId="4" fillId="5" borderId="8" xfId="0" applyFont="1" applyFill="1" applyBorder="1" applyAlignment="1">
      <alignment horizontal="left" vertical="center"/>
    </xf>
    <xf numFmtId="0" fontId="4" fillId="4" borderId="6" xfId="0" applyFont="1" applyFill="1" applyBorder="1" applyAlignment="1">
      <alignment horizontal="center" vertical="center"/>
    </xf>
    <xf numFmtId="0" fontId="4" fillId="5" borderId="6" xfId="0" applyFont="1" applyFill="1" applyBorder="1" applyAlignment="1">
      <alignment horizontal="center" vertical="center"/>
    </xf>
    <xf numFmtId="0" fontId="22" fillId="4" borderId="4" xfId="0" applyFont="1" applyFill="1" applyBorder="1" applyAlignment="1">
      <alignment horizontal="center" vertical="center"/>
    </xf>
    <xf numFmtId="0" fontId="26" fillId="2" borderId="0" xfId="0" applyFont="1" applyFill="1" applyBorder="1" applyAlignment="1">
      <alignment vertical="center"/>
    </xf>
    <xf numFmtId="0" fontId="27" fillId="4" borderId="4" xfId="0" applyFont="1" applyFill="1" applyBorder="1" applyAlignment="1">
      <alignment horizontal="left" vertical="center"/>
    </xf>
    <xf numFmtId="0" fontId="27" fillId="5" borderId="4" xfId="0" applyFont="1" applyFill="1" applyBorder="1" applyAlignment="1">
      <alignment horizontal="left" vertical="center"/>
    </xf>
    <xf numFmtId="0" fontId="27" fillId="7" borderId="4" xfId="0" applyFont="1" applyFill="1" applyBorder="1" applyAlignment="1">
      <alignment horizontal="left" vertical="center"/>
    </xf>
    <xf numFmtId="0" fontId="27" fillId="5" borderId="6" xfId="0" applyFont="1" applyFill="1" applyBorder="1" applyAlignment="1">
      <alignment horizontal="left" vertical="center"/>
    </xf>
    <xf numFmtId="0" fontId="29" fillId="0" borderId="14" xfId="1" applyFont="1" applyBorder="1"/>
    <xf numFmtId="0" fontId="28" fillId="0" borderId="4" xfId="1" applyFont="1" applyBorder="1" applyAlignment="1">
      <alignment vertical="center"/>
    </xf>
    <xf numFmtId="0" fontId="27" fillId="4" borderId="7" xfId="0" applyFont="1" applyFill="1" applyBorder="1" applyAlignment="1">
      <alignment horizontal="left" vertical="center"/>
    </xf>
    <xf numFmtId="0" fontId="29" fillId="10" borderId="4" xfId="1" applyFont="1" applyFill="1" applyBorder="1"/>
    <xf numFmtId="0" fontId="27" fillId="4" borderId="14" xfId="0" applyFont="1" applyFill="1" applyBorder="1" applyAlignment="1">
      <alignment horizontal="left" vertical="center"/>
    </xf>
    <xf numFmtId="0" fontId="27" fillId="5" borderId="10" xfId="0" applyFont="1" applyFill="1" applyBorder="1" applyAlignment="1">
      <alignment horizontal="left" vertical="center"/>
    </xf>
    <xf numFmtId="0" fontId="27" fillId="4" borderId="12" xfId="0" applyFont="1" applyFill="1" applyBorder="1" applyAlignment="1">
      <alignment horizontal="left" vertical="center"/>
    </xf>
    <xf numFmtId="0" fontId="4" fillId="9" borderId="18" xfId="0" applyFont="1" applyFill="1" applyBorder="1" applyAlignment="1">
      <alignment horizontal="center" vertical="center"/>
    </xf>
    <xf numFmtId="0" fontId="30" fillId="9" borderId="13" xfId="0" applyFont="1" applyFill="1" applyBorder="1" applyAlignment="1">
      <alignment horizontal="left" vertical="center"/>
    </xf>
    <xf numFmtId="2" fontId="6" fillId="9" borderId="13" xfId="0" applyNumberFormat="1" applyFont="1" applyFill="1" applyBorder="1" applyAlignment="1">
      <alignment horizontal="center" vertical="center"/>
    </xf>
    <xf numFmtId="0" fontId="5" fillId="6" borderId="18" xfId="0" applyFont="1" applyFill="1" applyBorder="1" applyAlignment="1">
      <alignment vertical="top" wrapText="1"/>
    </xf>
    <xf numFmtId="0" fontId="4" fillId="9" borderId="8" xfId="0" applyFont="1" applyFill="1" applyBorder="1" applyAlignment="1">
      <alignment horizontal="center" vertical="center"/>
    </xf>
    <xf numFmtId="0" fontId="4" fillId="9" borderId="8" xfId="0" applyFont="1" applyFill="1" applyBorder="1" applyAlignment="1">
      <alignment horizontal="left" vertical="center"/>
    </xf>
    <xf numFmtId="0" fontId="4" fillId="9" borderId="13" xfId="0" applyFont="1" applyFill="1" applyBorder="1" applyAlignment="1">
      <alignment horizontal="center" vertical="center"/>
    </xf>
    <xf numFmtId="0" fontId="27" fillId="5" borderId="21" xfId="0" applyFont="1" applyFill="1" applyBorder="1" applyAlignment="1">
      <alignment horizontal="left" vertical="center"/>
    </xf>
    <xf numFmtId="0" fontId="4" fillId="5" borderId="16" xfId="0" applyFont="1" applyFill="1" applyBorder="1" applyAlignment="1">
      <alignment horizontal="center" vertical="center"/>
    </xf>
    <xf numFmtId="0" fontId="4" fillId="4" borderId="19" xfId="0" applyFont="1" applyFill="1" applyBorder="1" applyAlignment="1">
      <alignment horizontal="center" vertical="center"/>
    </xf>
    <xf numFmtId="0" fontId="4" fillId="5" borderId="19" xfId="0" applyFont="1" applyFill="1" applyBorder="1" applyAlignment="1">
      <alignment horizontal="center" vertical="center"/>
    </xf>
    <xf numFmtId="0" fontId="4" fillId="9" borderId="19" xfId="0" applyFont="1" applyFill="1" applyBorder="1" applyAlignment="1">
      <alignment horizontal="center" vertical="center"/>
    </xf>
    <xf numFmtId="0" fontId="4" fillId="4" borderId="20" xfId="0" applyFont="1" applyFill="1" applyBorder="1" applyAlignment="1">
      <alignment horizontal="center" vertical="center"/>
    </xf>
    <xf numFmtId="0" fontId="5" fillId="8" borderId="16" xfId="0" applyFont="1" applyFill="1" applyBorder="1" applyAlignment="1">
      <alignment vertical="top" wrapText="1"/>
    </xf>
    <xf numFmtId="0" fontId="4" fillId="5" borderId="16" xfId="0" applyFont="1" applyFill="1" applyBorder="1" applyAlignment="1">
      <alignment horizontal="left" vertical="center"/>
    </xf>
    <xf numFmtId="0" fontId="27" fillId="4" borderId="19" xfId="0" applyFont="1" applyFill="1" applyBorder="1" applyAlignment="1">
      <alignment horizontal="left" vertical="center"/>
    </xf>
    <xf numFmtId="2" fontId="6" fillId="4" borderId="19" xfId="0" applyNumberFormat="1" applyFont="1" applyFill="1" applyBorder="1" applyAlignment="1">
      <alignment horizontal="center" vertical="center"/>
    </xf>
    <xf numFmtId="0" fontId="5" fillId="6" borderId="19" xfId="0" applyFont="1" applyFill="1" applyBorder="1" applyAlignment="1">
      <alignment vertical="top" wrapText="1"/>
    </xf>
    <xf numFmtId="0" fontId="4" fillId="4" borderId="19" xfId="0" applyFont="1" applyFill="1" applyBorder="1" applyAlignment="1">
      <alignment horizontal="left" vertical="center"/>
    </xf>
    <xf numFmtId="0" fontId="0" fillId="6" borderId="0" xfId="0" applyFill="1" applyBorder="1"/>
    <xf numFmtId="0" fontId="38" fillId="0" borderId="24" xfId="0" applyFont="1"/>
    <xf numFmtId="0" fontId="4" fillId="7" borderId="22" xfId="0" applyFont="1" applyFill="1" applyBorder="1" applyAlignment="1">
      <alignment horizontal="center" vertical="center"/>
    </xf>
    <xf numFmtId="0" fontId="32" fillId="7" borderId="22" xfId="1" applyFont="1" applyFill="1" applyBorder="1" applyAlignment="1">
      <alignment vertical="center"/>
    </xf>
    <xf numFmtId="2" fontId="6" fillId="7" borderId="22" xfId="0" applyNumberFormat="1" applyFont="1" applyFill="1" applyBorder="1" applyAlignment="1">
      <alignment horizontal="center" vertical="center"/>
    </xf>
    <xf numFmtId="0" fontId="31" fillId="7" borderId="22" xfId="0" applyFont="1" applyFill="1" applyBorder="1" applyAlignment="1">
      <alignment vertical="center" wrapText="1"/>
    </xf>
    <xf numFmtId="0" fontId="4" fillId="7" borderId="22" xfId="0" applyFont="1" applyFill="1" applyBorder="1" applyAlignment="1">
      <alignment horizontal="left" vertical="center"/>
    </xf>
    <xf numFmtId="0" fontId="30" fillId="7" borderId="22" xfId="1" applyFont="1" applyFill="1" applyBorder="1" applyAlignment="1">
      <alignment horizontal="left" vertical="center"/>
    </xf>
    <xf numFmtId="0" fontId="5" fillId="7" borderId="22" xfId="0" applyFont="1" applyFill="1" applyBorder="1" applyAlignment="1">
      <alignment vertical="center" wrapText="1"/>
    </xf>
    <xf numFmtId="0" fontId="4" fillId="10" borderId="22" xfId="0" applyFont="1" applyFill="1" applyBorder="1" applyAlignment="1">
      <alignment horizontal="center" vertical="center"/>
    </xf>
    <xf numFmtId="0" fontId="32" fillId="10" borderId="22" xfId="1" applyFont="1" applyFill="1" applyBorder="1" applyAlignment="1">
      <alignment vertical="center"/>
    </xf>
    <xf numFmtId="2" fontId="6" fillId="10" borderId="22" xfId="0" applyNumberFormat="1" applyFont="1" applyFill="1" applyBorder="1" applyAlignment="1">
      <alignment horizontal="center" vertical="center"/>
    </xf>
    <xf numFmtId="0" fontId="31" fillId="10" borderId="22" xfId="0" applyFont="1" applyFill="1" applyBorder="1" applyAlignment="1">
      <alignment vertical="center" wrapText="1"/>
    </xf>
    <xf numFmtId="0" fontId="4" fillId="10" borderId="22" xfId="0" applyFont="1" applyFill="1" applyBorder="1" applyAlignment="1">
      <alignment horizontal="left" vertical="center"/>
    </xf>
    <xf numFmtId="0" fontId="31" fillId="10" borderId="22" xfId="0" applyFont="1" applyFill="1" applyBorder="1" applyAlignment="1">
      <alignment vertical="top" wrapText="1"/>
    </xf>
    <xf numFmtId="0" fontId="4" fillId="7" borderId="19" xfId="0" applyFont="1" applyFill="1" applyBorder="1" applyAlignment="1">
      <alignment horizontal="center" vertical="center"/>
    </xf>
    <xf numFmtId="2" fontId="6" fillId="7" borderId="19" xfId="0" applyNumberFormat="1" applyFont="1" applyFill="1" applyBorder="1" applyAlignment="1">
      <alignment horizontal="center" vertical="center"/>
    </xf>
    <xf numFmtId="0" fontId="5" fillId="7" borderId="19" xfId="0" applyFont="1" applyFill="1" applyBorder="1" applyAlignment="1">
      <alignment vertical="top" wrapText="1"/>
    </xf>
    <xf numFmtId="0" fontId="4" fillId="7" borderId="19" xfId="0" applyFont="1" applyFill="1" applyBorder="1" applyAlignment="1">
      <alignment horizontal="left" vertical="center"/>
    </xf>
    <xf numFmtId="0" fontId="4" fillId="7" borderId="20" xfId="0" applyFont="1" applyFill="1" applyBorder="1" applyAlignment="1">
      <alignment horizontal="center" vertical="center"/>
    </xf>
    <xf numFmtId="2" fontId="6" fillId="7" borderId="20" xfId="0" applyNumberFormat="1" applyFont="1" applyFill="1" applyBorder="1" applyAlignment="1">
      <alignment horizontal="center" vertical="center"/>
    </xf>
    <xf numFmtId="0" fontId="31" fillId="7" borderId="20" xfId="0" applyFont="1" applyFill="1" applyBorder="1" applyAlignment="1">
      <alignment vertical="top" wrapText="1"/>
    </xf>
    <xf numFmtId="0" fontId="4" fillId="7" borderId="20" xfId="0" applyFont="1" applyFill="1" applyBorder="1" applyAlignment="1">
      <alignment horizontal="left" vertical="center"/>
    </xf>
    <xf numFmtId="0" fontId="33" fillId="6" borderId="20" xfId="0" applyFont="1" applyFill="1" applyBorder="1" applyAlignment="1">
      <alignment horizontal="center" vertical="center"/>
    </xf>
    <xf numFmtId="0" fontId="34" fillId="6" borderId="20" xfId="0" applyFont="1" applyFill="1" applyBorder="1" applyAlignment="1">
      <alignment vertical="center"/>
    </xf>
    <xf numFmtId="2" fontId="35" fillId="6" borderId="20" xfId="0" applyNumberFormat="1" applyFont="1" applyFill="1" applyBorder="1" applyAlignment="1">
      <alignment horizontal="center" vertical="center"/>
    </xf>
    <xf numFmtId="0" fontId="36" fillId="6" borderId="20" xfId="0" applyFont="1" applyFill="1" applyBorder="1" applyAlignment="1">
      <alignment vertical="center" wrapText="1"/>
    </xf>
    <xf numFmtId="0" fontId="33" fillId="6" borderId="20" xfId="0" applyFont="1" applyFill="1" applyBorder="1" applyAlignment="1">
      <alignment horizontal="left" vertical="center"/>
    </xf>
    <xf numFmtId="0" fontId="28" fillId="7" borderId="4" xfId="1" applyFont="1" applyFill="1" applyBorder="1" applyAlignment="1">
      <alignment vertical="center" wrapText="1"/>
    </xf>
    <xf numFmtId="2" fontId="24" fillId="7" borderId="4" xfId="0" applyNumberFormat="1" applyFont="1" applyFill="1" applyBorder="1" applyAlignment="1">
      <alignment horizontal="center" vertical="center"/>
    </xf>
    <xf numFmtId="0" fontId="21" fillId="7" borderId="4" xfId="0" applyFont="1" applyFill="1" applyBorder="1" applyAlignment="1">
      <alignment vertical="center" wrapText="1"/>
    </xf>
    <xf numFmtId="0" fontId="19" fillId="7" borderId="4" xfId="0" applyFont="1" applyFill="1" applyBorder="1" applyAlignment="1">
      <alignment horizontal="center" vertical="center"/>
    </xf>
    <xf numFmtId="0" fontId="23" fillId="7" borderId="4" xfId="0" applyFont="1" applyFill="1" applyBorder="1" applyAlignment="1">
      <alignment horizontal="center" vertical="center"/>
    </xf>
    <xf numFmtId="0" fontId="19" fillId="7" borderId="4" xfId="0" applyFont="1" applyFill="1" applyBorder="1" applyAlignment="1">
      <alignment horizontal="left" vertical="center"/>
    </xf>
    <xf numFmtId="0" fontId="25" fillId="7" borderId="4" xfId="0" applyFont="1" applyFill="1" applyBorder="1" applyAlignment="1">
      <alignment horizontal="center" vertical="center"/>
    </xf>
    <xf numFmtId="0" fontId="32" fillId="7" borderId="23" xfId="1" applyFont="1" applyFill="1" applyBorder="1" applyAlignment="1">
      <alignment vertical="center"/>
    </xf>
    <xf numFmtId="0" fontId="29" fillId="7" borderId="14" xfId="1" applyFont="1" applyFill="1" applyBorder="1"/>
    <xf numFmtId="0" fontId="3" fillId="7" borderId="14" xfId="1" applyFill="1" applyBorder="1"/>
    <xf numFmtId="0" fontId="0" fillId="0" borderId="0" xfId="0" applyBorder="1" applyAlignment="1">
      <alignment vertical="center"/>
    </xf>
    <xf numFmtId="0" fontId="32" fillId="0" borderId="24" xfId="1" applyFont="1" applyAlignment="1">
      <alignment vertical="center"/>
    </xf>
    <xf numFmtId="176" fontId="18" fillId="0" borderId="0" xfId="0" applyNumberFormat="1" applyFont="1" applyBorder="1" applyAlignment="1">
      <alignment horizontal="center"/>
    </xf>
    <xf numFmtId="176" fontId="15" fillId="2" borderId="0" xfId="0" applyNumberFormat="1" applyFont="1" applyFill="1" applyBorder="1" applyAlignment="1">
      <alignment horizontal="center"/>
    </xf>
    <xf numFmtId="176" fontId="14" fillId="3" borderId="2" xfId="0" applyNumberFormat="1" applyFont="1" applyFill="1" applyBorder="1" applyAlignment="1">
      <alignment horizontal="center" vertical="top"/>
    </xf>
    <xf numFmtId="176" fontId="16" fillId="4" borderId="4" xfId="0" applyNumberFormat="1" applyFont="1" applyFill="1" applyBorder="1" applyAlignment="1">
      <alignment horizontal="center" vertical="center"/>
    </xf>
    <xf numFmtId="176" fontId="16" fillId="5" borderId="4" xfId="0" applyNumberFormat="1" applyFont="1" applyFill="1" applyBorder="1" applyAlignment="1">
      <alignment horizontal="center" vertical="center"/>
    </xf>
    <xf numFmtId="176" fontId="16" fillId="7" borderId="4" xfId="0" applyNumberFormat="1" applyFont="1" applyFill="1" applyBorder="1" applyAlignment="1">
      <alignment horizontal="center" vertical="center"/>
    </xf>
    <xf numFmtId="176" fontId="16" fillId="5" borderId="6" xfId="0" applyNumberFormat="1" applyFont="1" applyFill="1" applyBorder="1" applyAlignment="1">
      <alignment horizontal="center" vertical="center"/>
    </xf>
    <xf numFmtId="176" fontId="17" fillId="6" borderId="4" xfId="1" applyNumberFormat="1" applyFont="1" applyFill="1" applyBorder="1" applyAlignment="1">
      <alignment horizontal="center"/>
    </xf>
    <xf numFmtId="176" fontId="22" fillId="7" borderId="19" xfId="0" applyNumberFormat="1" applyFont="1" applyFill="1" applyBorder="1" applyAlignment="1">
      <alignment horizontal="center" vertical="center"/>
    </xf>
    <xf numFmtId="176" fontId="22" fillId="10" borderId="22" xfId="0" applyNumberFormat="1" applyFont="1" applyFill="1" applyBorder="1" applyAlignment="1">
      <alignment horizontal="center" vertical="center"/>
    </xf>
    <xf numFmtId="176" fontId="16" fillId="4" borderId="6" xfId="0" applyNumberFormat="1" applyFont="1" applyFill="1" applyBorder="1" applyAlignment="1">
      <alignment horizontal="center" vertical="center"/>
    </xf>
    <xf numFmtId="176" fontId="16" fillId="10" borderId="4" xfId="0" applyNumberFormat="1" applyFont="1" applyFill="1" applyBorder="1" applyAlignment="1">
      <alignment horizontal="center" vertical="center"/>
    </xf>
    <xf numFmtId="176" fontId="16" fillId="4" borderId="10" xfId="0" applyNumberFormat="1" applyFont="1" applyFill="1" applyBorder="1" applyAlignment="1">
      <alignment horizontal="center" vertical="center"/>
    </xf>
    <xf numFmtId="176" fontId="16" fillId="5" borderId="16" xfId="0" applyNumberFormat="1" applyFont="1" applyFill="1" applyBorder="1" applyAlignment="1">
      <alignment horizontal="center" vertical="center"/>
    </xf>
    <xf numFmtId="176" fontId="16" fillId="4" borderId="19" xfId="0" applyNumberFormat="1" applyFont="1" applyFill="1" applyBorder="1" applyAlignment="1">
      <alignment horizontal="center" vertical="center"/>
    </xf>
    <xf numFmtId="176" fontId="22" fillId="7" borderId="20" xfId="0" applyNumberFormat="1" applyFont="1" applyFill="1" applyBorder="1" applyAlignment="1">
      <alignment horizontal="center" vertical="center"/>
    </xf>
    <xf numFmtId="176" fontId="22" fillId="7" borderId="22" xfId="0" applyNumberFormat="1" applyFont="1" applyFill="1" applyBorder="1" applyAlignment="1">
      <alignment horizontal="center" vertical="center"/>
    </xf>
    <xf numFmtId="176" fontId="37" fillId="6" borderId="20" xfId="0" applyNumberFormat="1" applyFont="1" applyFill="1" applyBorder="1" applyAlignment="1">
      <alignment horizontal="center" vertical="center"/>
    </xf>
    <xf numFmtId="176" fontId="18" fillId="0" borderId="13" xfId="0" applyNumberFormat="1" applyFont="1" applyBorder="1" applyAlignment="1">
      <alignment horizontal="center"/>
    </xf>
    <xf numFmtId="176" fontId="15" fillId="2" borderId="0" xfId="0" applyNumberFormat="1" applyFont="1" applyFill="1" applyBorder="1" applyAlignment="1">
      <alignment horizontal="left"/>
    </xf>
    <xf numFmtId="176" fontId="14" fillId="3" borderId="2" xfId="0" applyNumberFormat="1" applyFont="1" applyFill="1" applyBorder="1" applyAlignment="1">
      <alignment horizontal="left" vertical="top"/>
    </xf>
    <xf numFmtId="176" fontId="16" fillId="4" borderId="4" xfId="0" applyNumberFormat="1" applyFont="1" applyFill="1" applyBorder="1" applyAlignment="1">
      <alignment horizontal="left" vertical="center"/>
    </xf>
    <xf numFmtId="176" fontId="16" fillId="5" borderId="4" xfId="0" applyNumberFormat="1" applyFont="1" applyFill="1" applyBorder="1" applyAlignment="1">
      <alignment horizontal="left" vertical="center"/>
    </xf>
    <xf numFmtId="176" fontId="16" fillId="7" borderId="4" xfId="0" applyNumberFormat="1" applyFont="1" applyFill="1" applyBorder="1" applyAlignment="1">
      <alignment horizontal="left" vertical="center"/>
    </xf>
    <xf numFmtId="0" fontId="22" fillId="4" borderId="4" xfId="0" applyFont="1" applyFill="1" applyBorder="1" applyAlignment="1">
      <alignment horizontal="left" vertical="center"/>
    </xf>
    <xf numFmtId="0" fontId="25" fillId="7" borderId="4" xfId="0" applyFont="1" applyFill="1" applyBorder="1" applyAlignment="1">
      <alignment horizontal="left" vertical="center"/>
    </xf>
    <xf numFmtId="176" fontId="16" fillId="5" borderId="6" xfId="0" applyNumberFormat="1" applyFont="1" applyFill="1" applyBorder="1" applyAlignment="1">
      <alignment horizontal="left" vertical="center"/>
    </xf>
    <xf numFmtId="176" fontId="17" fillId="6" borderId="4" xfId="1" applyNumberFormat="1" applyFont="1" applyFill="1" applyBorder="1" applyAlignment="1">
      <alignment horizontal="left"/>
    </xf>
    <xf numFmtId="176" fontId="22" fillId="7" borderId="19" xfId="0" applyNumberFormat="1" applyFont="1" applyFill="1" applyBorder="1" applyAlignment="1">
      <alignment horizontal="left" vertical="center"/>
    </xf>
    <xf numFmtId="176" fontId="22" fillId="10" borderId="22" xfId="0" applyNumberFormat="1" applyFont="1" applyFill="1" applyBorder="1" applyAlignment="1">
      <alignment horizontal="left" vertical="center"/>
    </xf>
    <xf numFmtId="176" fontId="16" fillId="4" borderId="6" xfId="0" applyNumberFormat="1" applyFont="1" applyFill="1" applyBorder="1" applyAlignment="1">
      <alignment horizontal="left" vertical="center"/>
    </xf>
    <xf numFmtId="176" fontId="16" fillId="10" borderId="4" xfId="0" applyNumberFormat="1" applyFont="1" applyFill="1" applyBorder="1" applyAlignment="1">
      <alignment horizontal="left" vertical="center"/>
    </xf>
    <xf numFmtId="176" fontId="16" fillId="4" borderId="10" xfId="0" applyNumberFormat="1" applyFont="1" applyFill="1" applyBorder="1" applyAlignment="1">
      <alignment horizontal="left" vertical="center"/>
    </xf>
    <xf numFmtId="176" fontId="16" fillId="5" borderId="16" xfId="0" applyNumberFormat="1" applyFont="1" applyFill="1" applyBorder="1" applyAlignment="1">
      <alignment horizontal="left" vertical="center"/>
    </xf>
    <xf numFmtId="176" fontId="16" fillId="4" borderId="19" xfId="0" applyNumberFormat="1" applyFont="1" applyFill="1" applyBorder="1" applyAlignment="1">
      <alignment horizontal="left" vertical="center"/>
    </xf>
    <xf numFmtId="176" fontId="22" fillId="7" borderId="20" xfId="0" applyNumberFormat="1" applyFont="1" applyFill="1" applyBorder="1" applyAlignment="1">
      <alignment horizontal="left" vertical="center"/>
    </xf>
    <xf numFmtId="176" fontId="22" fillId="7" borderId="22" xfId="0" applyNumberFormat="1" applyFont="1" applyFill="1" applyBorder="1" applyAlignment="1">
      <alignment horizontal="left" vertical="center"/>
    </xf>
    <xf numFmtId="176" fontId="37" fillId="6" borderId="20" xfId="0" applyNumberFormat="1" applyFont="1" applyFill="1" applyBorder="1" applyAlignment="1">
      <alignment horizontal="left" vertical="center"/>
    </xf>
    <xf numFmtId="176" fontId="18" fillId="0" borderId="13" xfId="0" applyNumberFormat="1" applyFont="1" applyBorder="1" applyAlignment="1">
      <alignment horizontal="left"/>
    </xf>
    <xf numFmtId="176" fontId="18" fillId="0" borderId="0" xfId="0" applyNumberFormat="1" applyFont="1" applyBorder="1" applyAlignment="1">
      <alignment horizontal="left"/>
    </xf>
  </cellXfs>
  <cellStyles count="2">
    <cellStyle name="표준" xfId="0" builtinId="0"/>
    <cellStyle name="하이퍼링크" xfId="1" builtinId="8"/>
  </cellStyles>
  <dxfs count="14">
    <dxf>
      <font>
        <strike val="0"/>
        <outline val="0"/>
        <shadow val="0"/>
        <vertAlign val="baseline"/>
        <color auto="1"/>
      </font>
      <numFmt numFmtId="176" formatCode="yyyy&quot;-&quot;m&quot;-&quot;d;@"/>
      <alignment horizontal="center"/>
      <border outline="0">
        <left/>
        <right style="thick">
          <color rgb="FFCCCCCC"/>
        </right>
        <top style="thick">
          <color rgb="FFCCCCCC"/>
        </top>
        <bottom style="thick">
          <color rgb="FFCCCCCC"/>
        </bottom>
      </border>
    </dxf>
    <dxf>
      <font>
        <strike val="0"/>
        <condense val="0"/>
        <extend val="0"/>
        <outline val="0"/>
        <shadow val="0"/>
        <vertAlign val="baseline"/>
        <sz val="9"/>
        <color rgb="FF333333"/>
        <name val="맑은 고딕"/>
        <family val="3"/>
        <charset val="129"/>
        <scheme val="minor"/>
      </font>
      <fill>
        <patternFill patternType="solid">
          <fgColor indexed="64"/>
          <bgColor rgb="FFFFFFFF"/>
        </patternFill>
      </fill>
      <alignment horizontal="center" vertical="center"/>
      <border outline="0">
        <left/>
        <right style="thick">
          <color rgb="FFCCCCCC"/>
        </right>
        <top style="thick">
          <color rgb="FFCCCCCC"/>
        </top>
        <bottom style="thick">
          <color rgb="FFCCCCCC"/>
        </bottom>
      </border>
    </dxf>
    <dxf>
      <font>
        <strike val="0"/>
        <condense val="0"/>
        <extend val="0"/>
        <outline val="0"/>
        <shadow val="0"/>
        <vertAlign val="baseline"/>
        <sz val="9"/>
        <color rgb="FF333333"/>
        <name val="맑은 고딕"/>
        <family val="3"/>
        <charset val="129"/>
        <scheme val="minor"/>
      </font>
      <fill>
        <patternFill patternType="solid">
          <fgColor indexed="64"/>
          <bgColor rgb="FFFFFFFF"/>
        </patternFill>
      </fill>
      <alignment horizontal="left" vertical="center"/>
      <border outline="0">
        <left/>
        <right/>
        <top style="thick">
          <color rgb="FFCCCCCC"/>
        </top>
        <bottom style="thick">
          <color rgb="FFCCCCCC"/>
        </bottom>
      </border>
    </dxf>
    <dxf>
      <font>
        <strike val="0"/>
        <condense val="0"/>
        <extend val="0"/>
        <outline val="0"/>
        <shadow val="0"/>
        <vertAlign val="baseline"/>
        <sz val="9"/>
        <color rgb="FF333333"/>
        <name val="맑은 고딕"/>
        <family val="3"/>
        <charset val="129"/>
        <scheme val="minor"/>
      </font>
      <fill>
        <patternFill patternType="solid">
          <fgColor indexed="64"/>
          <bgColor rgb="FFFFFFFF"/>
        </patternFill>
      </fill>
      <alignment horizontal="center" vertical="center"/>
      <border outline="0">
        <left/>
        <right/>
        <top style="thick">
          <color rgb="FFCCCCCC"/>
        </top>
        <bottom style="thick">
          <color rgb="FFCCCCCC"/>
        </bottom>
      </border>
    </dxf>
    <dxf>
      <font>
        <strike val="0"/>
        <condense val="0"/>
        <extend val="0"/>
        <outline val="0"/>
        <shadow val="0"/>
        <vertAlign val="baseline"/>
        <sz val="9"/>
        <color rgb="FF333333"/>
        <name val="맑은 고딕"/>
        <family val="3"/>
        <charset val="129"/>
        <scheme val="minor"/>
      </font>
      <fill>
        <patternFill patternType="solid">
          <fgColor indexed="64"/>
          <bgColor rgb="FFFFFFFF"/>
        </patternFill>
      </fill>
      <alignment horizontal="center" vertical="center"/>
      <border outline="0">
        <left/>
        <right/>
        <top style="thick">
          <color rgb="FFCCCCCC"/>
        </top>
        <bottom style="thick">
          <color rgb="FFCCCCCC"/>
        </bottom>
      </border>
    </dxf>
    <dxf>
      <font>
        <strike val="0"/>
        <condense val="0"/>
        <extend val="0"/>
        <outline val="0"/>
        <shadow val="0"/>
        <vertAlign val="baseline"/>
        <sz val="9"/>
        <color rgb="FF333333"/>
        <name val="맑은 고딕"/>
        <family val="3"/>
        <charset val="129"/>
        <scheme val="minor"/>
      </font>
      <fill>
        <patternFill patternType="solid">
          <fgColor indexed="64"/>
          <bgColor rgb="FFFFFFFF"/>
        </patternFill>
      </fill>
      <alignment horizontal="center" vertical="center"/>
      <border outline="0">
        <left style="thick">
          <color rgb="FFCCCCCC"/>
        </left>
        <right/>
        <top style="thick">
          <color rgb="FFCCCCCC"/>
        </top>
        <bottom style="thick">
          <color rgb="FFCCCCCC"/>
        </bottom>
      </border>
    </dxf>
    <dxf>
      <font>
        <strike val="0"/>
        <condense val="0"/>
        <extend val="0"/>
        <outline val="0"/>
        <shadow val="0"/>
        <vertAlign val="baseline"/>
        <sz val="9"/>
        <color theme="1"/>
        <name val="맑은 고딕"/>
        <family val="2"/>
        <scheme val="minor"/>
      </font>
      <fill>
        <patternFill patternType="solid">
          <fgColor indexed="64"/>
          <bgColor theme="0"/>
        </patternFill>
      </fill>
      <alignment horizontal="general" vertical="top" wrapText="1"/>
      <border outline="0">
        <left style="thick">
          <color rgb="FFCCCCCC"/>
        </left>
        <right/>
        <top style="thick">
          <color rgb="FFCCCCCC"/>
        </top>
        <bottom style="thick">
          <color rgb="FFCCCCCC"/>
        </bottom>
      </border>
    </dxf>
    <dxf>
      <font>
        <b/>
        <strike val="0"/>
        <condense val="0"/>
        <extend val="0"/>
        <outline val="0"/>
        <shadow val="0"/>
        <vertAlign val="baseline"/>
        <sz val="10"/>
        <color rgb="FF333333"/>
        <name val="맑은 고딕"/>
        <family val="3"/>
        <charset val="129"/>
        <scheme val="minor"/>
      </font>
      <numFmt numFmtId="2" formatCode="0.00"/>
      <fill>
        <patternFill patternType="solid">
          <fgColor indexed="64"/>
          <bgColor rgb="FFFFFFFF"/>
        </patternFill>
      </fill>
      <alignment horizontal="center" vertical="center"/>
      <border outline="0">
        <left/>
        <right style="thick">
          <color rgb="FFCCCCCC"/>
        </right>
        <top style="thick">
          <color rgb="FFCCCCCC"/>
        </top>
        <bottom style="thick">
          <color rgb="FFCCCCCC"/>
        </bottom>
      </border>
    </dxf>
    <dxf>
      <font>
        <strike val="0"/>
        <condense val="0"/>
        <extend val="0"/>
        <outline val="0"/>
        <shadow val="0"/>
        <vertAlign val="baseline"/>
        <sz val="11"/>
        <color rgb="FF333333"/>
        <name val="맑은 고딕"/>
        <family val="3"/>
        <charset val="129"/>
        <scheme val="minor"/>
      </font>
      <fill>
        <patternFill patternType="solid">
          <fgColor indexed="64"/>
          <bgColor rgb="FFFFFFFF"/>
        </patternFill>
      </fill>
      <alignment horizontal="left" vertical="center"/>
      <border outline="0">
        <left/>
        <right style="thick">
          <color rgb="FFCCCCCC"/>
        </right>
        <top style="thick">
          <color rgb="FFCCCCCC"/>
        </top>
        <bottom style="thick">
          <color rgb="FFCCCCCC"/>
        </bottom>
      </border>
    </dxf>
    <dxf>
      <font>
        <strike val="0"/>
        <condense val="0"/>
        <extend val="0"/>
        <outline val="0"/>
        <shadow val="0"/>
        <vertAlign val="baseline"/>
        <sz val="9"/>
        <color rgb="FF333333"/>
        <name val="맑은 고딕"/>
        <family val="3"/>
        <charset val="129"/>
        <scheme val="minor"/>
      </font>
      <fill>
        <patternFill patternType="solid">
          <fgColor indexed="64"/>
          <bgColor rgb="FFFFFFFF"/>
        </patternFill>
      </fill>
      <alignment horizontal="center" vertical="center"/>
      <border outline="0">
        <left style="thick">
          <color rgb="FFCCCCCC"/>
        </left>
        <right/>
        <top style="thick">
          <color rgb="FFCCCCCC"/>
        </top>
        <bottom style="thick">
          <color rgb="FFCCCCCC"/>
        </bottom>
      </border>
    </dxf>
    <dxf>
      <border outline="0">
        <top style="thin">
          <color rgb="FFCCCCCC"/>
        </top>
        <bottom style="thin">
          <color indexed="64"/>
        </bottom>
      </border>
    </dxf>
    <dxf>
      <font>
        <strike val="0"/>
        <condense val="0"/>
        <extend val="0"/>
        <outline val="0"/>
        <shadow val="0"/>
        <vertAlign val="baseline"/>
        <sz val="9"/>
        <color rgb="FF333333"/>
        <name val="맑은 고딕"/>
        <family val="3"/>
        <charset val="129"/>
        <scheme val="minor"/>
      </font>
      <fill>
        <patternFill patternType="solid">
          <fgColor indexed="64"/>
          <bgColor rgb="FFFFFFFF"/>
        </patternFill>
      </fill>
      <alignment horizontal="center" vertical="center"/>
    </dxf>
    <dxf>
      <border outline="0">
        <bottom style="thin">
          <color rgb="FFCCCCCC"/>
        </bottom>
      </border>
    </dxf>
    <dxf>
      <font>
        <b/>
        <strike val="0"/>
        <condense val="0"/>
        <extend val="0"/>
        <outline val="0"/>
        <shadow val="0"/>
        <vertAlign val="baseline"/>
        <sz val="11"/>
        <color rgb="FFFFFFFF"/>
        <name val="맑은 고딕"/>
        <family val="3"/>
        <charset val="129"/>
        <scheme val="major"/>
      </font>
      <fill>
        <patternFill patternType="solid">
          <fgColor indexed="64"/>
          <bgColor rgb="FF1C3D5A"/>
        </patternFill>
      </fill>
      <alignment horizontal="center" vertical="top"/>
      <border outline="0">
        <left style="thin">
          <color rgb="FFCCCCCC"/>
        </left>
        <right style="thin">
          <color rgb="FFCCCCCC"/>
        </right>
        <top/>
        <bottom/>
      </border>
    </dxf>
  </dxfs>
  <tableStyles count="3" defaultTableStyle="TableStyleMedium9" defaultPivotStyle="PivotStyleLight16">
    <tableStyle name="표 스타일 1" pivot="0" count="0" xr9:uid="{00000000-0011-0000-FFFF-FFFF00000000}"/>
    <tableStyle name="표 스타일 2" pivot="0" count="0" xr9:uid="{00000000-0011-0000-FFFF-FFFF01000000}"/>
    <tableStyle name="피벗 테이블 스타일 1" table="0" count="0" xr9:uid="{00000000-0011-0000-FFFF-FFFF02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표4" displayName="표4" ref="A2:J3426" totalsRowShown="0" headerRowDxfId="13" dataDxfId="11" headerRowBorderDxfId="12" tableBorderDxfId="10">
  <autoFilter ref="A2:J3426" xr:uid="{00000000-0009-0000-0100-000001000000}"/>
  <sortState xmlns:xlrd2="http://schemas.microsoft.com/office/spreadsheetml/2017/richdata2" ref="A3:J3425">
    <sortCondition ref="A2:A3425"/>
  </sortState>
  <tableColumns count="10">
    <tableColumn id="1" xr3:uid="{00000000-0010-0000-0000-000001000000}" name="NO" dataDxfId="9"/>
    <tableColumn id="2" xr3:uid="{00000000-0010-0000-0000-000002000000}" name="한글제목" dataDxfId="8"/>
    <tableColumn id="3" xr3:uid="{00000000-0010-0000-0000-000003000000}" name="평점" dataDxfId="7"/>
    <tableColumn id="4" xr3:uid="{00000000-0010-0000-0000-000004000000}" name="감독/주연" dataDxfId="6"/>
    <tableColumn id="5" xr3:uid="{00000000-0010-0000-0000-000005000000}" name="국가" dataDxfId="5"/>
    <tableColumn id="6" xr3:uid="{00000000-0010-0000-0000-000006000000}" name="개봉연도" dataDxfId="4"/>
    <tableColumn id="7" xr3:uid="{00000000-0010-0000-0000-000007000000}" name="카테고리" dataDxfId="3"/>
    <tableColumn id="8" xr3:uid="{00000000-0010-0000-0000-000008000000}" name="장르" dataDxfId="2"/>
    <tableColumn id="9" xr3:uid="{00000000-0010-0000-0000-000009000000}" name="러닝타임/화수" dataDxfId="1"/>
    <tableColumn id="10" xr3:uid="{00000000-0010-0000-0000-00000A000000}" name="감상일"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log.naver.com/PostView.naver?blogId=cine212722&amp;logNo=223992909905&amp;redirect=Dlog&amp;widgetTypeCall=true&amp;topReferer=https%3A%2F%2Fsearch.daum.net%2Fsearch%3Fw%3Dtot%26DA%3DJU5%26q%3D%25EC%25BA%2598%25EB%25B2%2584%25EB%25A6%25AC%2B2014%2B%25EC%2598%2581%25ED%2599%2594&amp;trackingCode=external&amp;directAccess=false" TargetMode="External"/><Relationship Id="rId2" Type="http://schemas.openxmlformats.org/officeDocument/2006/relationships/hyperlink" Target="https://www.themoviedb.org/tv/131142-love-story?language=ko-KR" TargetMode="External"/><Relationship Id="rId1" Type="http://schemas.openxmlformats.org/officeDocument/2006/relationships/hyperlink" Target="https://blog.naver.com/PostView.naver?blogId=zzzasd2&amp;logNo=220646557277&amp;redirect=Dlog&amp;widgetTypeCall=true&amp;topReferer=https%3A%2F%2Fsearch.naver.com%2Fsearch.naver%3Fquery%3D%25EB%258D%2594%2520%25EB%25A1%25B1%25EA%25B8%25B0%25EC%258A%25A4%25ED%258A%25B8%2520%25EB%259D%25BC%25EC%259D%25B4%25EB%2593%259C%2520%25EC%2598%2581%25ED%2599%2594&amp;trackingCode=nx&amp;directAccess=false"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32"/>
  <sheetViews>
    <sheetView showGridLines="0" tabSelected="1" workbookViewId="0">
      <pane ySplit="2" topLeftCell="A3354" activePane="bottomLeft" state="frozen"/>
      <selection pane="bottomLeft" activeCell="K2" sqref="K2"/>
    </sheetView>
  </sheetViews>
  <sheetFormatPr defaultRowHeight="28.9" customHeight="1" x14ac:dyDescent="0.7"/>
  <cols>
    <col min="1" max="1" width="6.296875" style="18" customWidth="1"/>
    <col min="2" max="2" width="35.94921875" style="18" customWidth="1"/>
    <col min="3" max="3" width="9" style="20" customWidth="1"/>
    <col min="4" max="4" width="38.94921875" style="20" customWidth="1"/>
    <col min="5" max="5" width="12.546875" style="20" customWidth="1"/>
    <col min="6" max="7" width="9.69921875" style="20" customWidth="1"/>
    <col min="8" max="8" width="20.296875" style="20" bestFit="1" customWidth="1"/>
    <col min="9" max="9" width="14.09765625" style="20" customWidth="1"/>
    <col min="10" max="10" width="12.59765625" style="127" customWidth="1"/>
    <col min="11" max="11" width="198.75" style="166" bestFit="1" customWidth="1"/>
  </cols>
  <sheetData>
    <row r="1" spans="1:11" ht="28.9" customHeight="1" x14ac:dyDescent="0.7">
      <c r="A1" s="21" t="s">
        <v>0</v>
      </c>
      <c r="B1" s="56"/>
      <c r="C1" s="2"/>
      <c r="D1" s="3"/>
      <c r="E1" s="19"/>
      <c r="F1" s="19"/>
      <c r="G1" s="19"/>
      <c r="H1" s="19"/>
      <c r="I1" s="19"/>
      <c r="J1" s="128"/>
      <c r="K1" s="146"/>
    </row>
    <row r="2" spans="1:11" s="1" customFormat="1" ht="28.9" customHeight="1" thickBot="1" x14ac:dyDescent="0.75">
      <c r="A2" s="4" t="s">
        <v>1</v>
      </c>
      <c r="B2" s="5" t="s">
        <v>2</v>
      </c>
      <c r="C2" s="5" t="s">
        <v>3</v>
      </c>
      <c r="D2" s="22" t="s">
        <v>4</v>
      </c>
      <c r="E2" s="5" t="s">
        <v>5</v>
      </c>
      <c r="F2" s="5" t="s">
        <v>6</v>
      </c>
      <c r="G2" s="5" t="s">
        <v>7</v>
      </c>
      <c r="H2" s="5" t="s">
        <v>8</v>
      </c>
      <c r="I2" s="5" t="s">
        <v>9</v>
      </c>
      <c r="J2" s="129" t="s">
        <v>10</v>
      </c>
      <c r="K2" s="147" t="s">
        <v>11</v>
      </c>
    </row>
    <row r="3" spans="1:11" ht="28.9" customHeight="1" thickTop="1" thickBot="1" x14ac:dyDescent="0.75">
      <c r="A3" s="6">
        <v>1</v>
      </c>
      <c r="B3" s="57" t="str">
        <f>HYPERLINK("https://search.naver.com/search.naver?query=살아있다 영화", "#살아있다")</f>
        <v>#살아있다</v>
      </c>
      <c r="C3" s="8">
        <v>7.16</v>
      </c>
      <c r="D3" s="9" t="s">
        <v>12</v>
      </c>
      <c r="E3" s="6" t="s">
        <v>13</v>
      </c>
      <c r="F3" s="6">
        <v>2020</v>
      </c>
      <c r="G3" s="6" t="s">
        <v>14</v>
      </c>
      <c r="H3" s="7" t="s">
        <v>15</v>
      </c>
      <c r="I3" s="6" t="s">
        <v>16</v>
      </c>
      <c r="J3" s="130"/>
      <c r="K3" s="148" t="s">
        <v>17</v>
      </c>
    </row>
    <row r="4" spans="1:11" ht="28.9" customHeight="1" thickTop="1" thickBot="1" x14ac:dyDescent="0.75">
      <c r="A4" s="10">
        <v>2</v>
      </c>
      <c r="B4" s="58" t="str">
        <f>HYPERLINK("https://search.naver.com/search.naver?query=0.5미리 영화", "0.5미리")</f>
        <v>0.5미리</v>
      </c>
      <c r="C4" s="12">
        <v>6.4</v>
      </c>
      <c r="D4" s="13" t="s">
        <v>18</v>
      </c>
      <c r="E4" s="10" t="s">
        <v>19</v>
      </c>
      <c r="F4" s="10">
        <v>2014</v>
      </c>
      <c r="G4" s="10" t="s">
        <v>14</v>
      </c>
      <c r="H4" s="11" t="s">
        <v>20</v>
      </c>
      <c r="I4" s="10" t="s">
        <v>21</v>
      </c>
      <c r="J4" s="131"/>
      <c r="K4" s="149" t="s">
        <v>22</v>
      </c>
    </row>
    <row r="5" spans="1:11" ht="28.9" customHeight="1" thickTop="1" thickBot="1" x14ac:dyDescent="0.75">
      <c r="A5" s="6">
        <v>3</v>
      </c>
      <c r="B5" s="57" t="str">
        <f>HYPERLINK("https://search.naver.com/search.naver?query=007 노 타임 투 다이 영화", "007 노 타임 투 다이")</f>
        <v>007 노 타임 투 다이</v>
      </c>
      <c r="C5" s="8">
        <v>7.15</v>
      </c>
      <c r="D5" s="9" t="s">
        <v>23</v>
      </c>
      <c r="E5" s="6" t="s">
        <v>24</v>
      </c>
      <c r="F5" s="6">
        <v>2021</v>
      </c>
      <c r="G5" s="6" t="s">
        <v>14</v>
      </c>
      <c r="H5" s="7" t="s">
        <v>25</v>
      </c>
      <c r="I5" s="6" t="s">
        <v>26</v>
      </c>
      <c r="J5" s="130"/>
      <c r="K5" s="148" t="s">
        <v>27</v>
      </c>
    </row>
    <row r="6" spans="1:11" ht="28.9" customHeight="1" thickTop="1" thickBot="1" x14ac:dyDescent="0.75">
      <c r="A6" s="10">
        <v>4</v>
      </c>
      <c r="B6" s="58" t="str">
        <f>HYPERLINK("https://search.naver.com/search.naver?query=007 스카이폴 영화", "007 스카이폴")</f>
        <v>007 스카이폴</v>
      </c>
      <c r="C6" s="12">
        <v>8.2200000000000006</v>
      </c>
      <c r="D6" s="13" t="s">
        <v>28</v>
      </c>
      <c r="E6" s="10" t="s">
        <v>29</v>
      </c>
      <c r="F6" s="10">
        <v>2012</v>
      </c>
      <c r="G6" s="10" t="s">
        <v>14</v>
      </c>
      <c r="H6" s="11" t="s">
        <v>25</v>
      </c>
      <c r="I6" s="10" t="s">
        <v>30</v>
      </c>
      <c r="J6" s="131"/>
      <c r="K6" s="149" t="s">
        <v>31</v>
      </c>
    </row>
    <row r="7" spans="1:11" ht="28.9" customHeight="1" thickTop="1" thickBot="1" x14ac:dyDescent="0.75">
      <c r="A7" s="6">
        <v>5</v>
      </c>
      <c r="B7" s="57" t="str">
        <f>HYPERLINK("https://search.naver.com/search.naver?query=007 스펙터 영화", "007 스펙터")</f>
        <v>007 스펙터</v>
      </c>
      <c r="C7" s="8">
        <v>7.83</v>
      </c>
      <c r="D7" s="9" t="s">
        <v>32</v>
      </c>
      <c r="E7" s="6" t="s">
        <v>24</v>
      </c>
      <c r="F7" s="6">
        <v>2015</v>
      </c>
      <c r="G7" s="6" t="s">
        <v>14</v>
      </c>
      <c r="H7" s="7" t="s">
        <v>33</v>
      </c>
      <c r="I7" s="6" t="s">
        <v>34</v>
      </c>
      <c r="J7" s="130"/>
      <c r="K7" s="148" t="s">
        <v>35</v>
      </c>
    </row>
    <row r="8" spans="1:11" ht="28.9" customHeight="1" thickTop="1" thickBot="1" x14ac:dyDescent="0.75">
      <c r="A8" s="10">
        <v>6</v>
      </c>
      <c r="B8" s="58" t="str">
        <f>HYPERLINK("https://cine21.com/movie/info/?movie_id=51171", "100미터")</f>
        <v>100미터</v>
      </c>
      <c r="C8" s="12">
        <v>6</v>
      </c>
      <c r="D8" s="13" t="s">
        <v>36</v>
      </c>
      <c r="E8" s="10" t="s">
        <v>37</v>
      </c>
      <c r="F8" s="10">
        <v>2016</v>
      </c>
      <c r="G8" s="10" t="s">
        <v>14</v>
      </c>
      <c r="H8" s="11" t="s">
        <v>20</v>
      </c>
      <c r="I8" s="10" t="s">
        <v>38</v>
      </c>
      <c r="J8" s="131"/>
      <c r="K8" s="149" t="s">
        <v>39</v>
      </c>
    </row>
    <row r="9" spans="1:11" ht="28.9" customHeight="1" thickTop="1" thickBot="1" x14ac:dyDescent="0.75">
      <c r="A9" s="6">
        <v>7</v>
      </c>
      <c r="B9" s="57" t="str">
        <f>HYPERLINK("https://search.naver.com/search.naver?query=12 솔져스 영화", "12 솔져스")</f>
        <v>12 솔져스</v>
      </c>
      <c r="C9" s="8">
        <v>9.5299999999999994</v>
      </c>
      <c r="D9" s="9" t="s">
        <v>40</v>
      </c>
      <c r="E9" s="6" t="s">
        <v>24</v>
      </c>
      <c r="F9" s="6">
        <v>2018</v>
      </c>
      <c r="G9" s="6" t="s">
        <v>14</v>
      </c>
      <c r="H9" s="7" t="s">
        <v>41</v>
      </c>
      <c r="I9" s="6" t="s">
        <v>42</v>
      </c>
      <c r="J9" s="130"/>
      <c r="K9" s="148" t="s">
        <v>43</v>
      </c>
    </row>
    <row r="10" spans="1:11" ht="28.9" customHeight="1" thickTop="1" thickBot="1" x14ac:dyDescent="0.75">
      <c r="A10" s="10">
        <v>8</v>
      </c>
      <c r="B10" s="58" t="str">
        <f>HYPERLINK("https://search.naver.com/search.naver?query=120시간 로스트 인 아웃백 영화", "120시간 로스트 인 아웃백")</f>
        <v>120시간 로스트 인 아웃백</v>
      </c>
      <c r="C10" s="12">
        <v>5.25</v>
      </c>
      <c r="D10" s="13" t="s">
        <v>44</v>
      </c>
      <c r="E10" s="10" t="s">
        <v>45</v>
      </c>
      <c r="F10" s="10">
        <v>2021</v>
      </c>
      <c r="G10" s="10" t="s">
        <v>14</v>
      </c>
      <c r="H10" s="11" t="s">
        <v>15</v>
      </c>
      <c r="I10" s="10" t="s">
        <v>46</v>
      </c>
      <c r="J10" s="131"/>
      <c r="K10" s="149" t="s">
        <v>47</v>
      </c>
    </row>
    <row r="11" spans="1:11" ht="28.9" customHeight="1" thickTop="1" thickBot="1" x14ac:dyDescent="0.75">
      <c r="A11" s="6">
        <v>9</v>
      </c>
      <c r="B11" s="57" t="str">
        <f>HYPERLINK("https://search.naver.com/search.naver?query=12번째 솔저 영화", "12번째 솔저")</f>
        <v>12번째 솔저</v>
      </c>
      <c r="C11" s="8">
        <v>9.27</v>
      </c>
      <c r="D11" s="9" t="s">
        <v>48</v>
      </c>
      <c r="E11" s="6" t="s">
        <v>49</v>
      </c>
      <c r="F11" s="6">
        <v>2017</v>
      </c>
      <c r="G11" s="6" t="s">
        <v>14</v>
      </c>
      <c r="H11" s="7" t="s">
        <v>50</v>
      </c>
      <c r="I11" s="6" t="s">
        <v>51</v>
      </c>
      <c r="J11" s="130"/>
      <c r="K11" s="148" t="s">
        <v>52</v>
      </c>
    </row>
    <row r="12" spans="1:11" ht="28.9" customHeight="1" thickTop="1" thickBot="1" x14ac:dyDescent="0.75">
      <c r="A12" s="10">
        <v>10</v>
      </c>
      <c r="B12" s="58" t="str">
        <f>HYPERLINK("https://search.naver.com/search.naver?query=12피트 영화", "12피트")</f>
        <v>12피트</v>
      </c>
      <c r="C12" s="12">
        <v>4.3099999999999996</v>
      </c>
      <c r="D12" s="13" t="s">
        <v>53</v>
      </c>
      <c r="E12" s="10" t="s">
        <v>24</v>
      </c>
      <c r="F12" s="10">
        <v>2016</v>
      </c>
      <c r="G12" s="10" t="s">
        <v>14</v>
      </c>
      <c r="H12" s="11" t="s">
        <v>54</v>
      </c>
      <c r="I12" s="10" t="s">
        <v>46</v>
      </c>
      <c r="J12" s="131"/>
      <c r="K12" s="149" t="s">
        <v>55</v>
      </c>
    </row>
    <row r="13" spans="1:11" ht="28.9" customHeight="1" thickTop="1" thickBot="1" x14ac:dyDescent="0.75">
      <c r="A13" s="6">
        <v>11</v>
      </c>
      <c r="B13" s="57" t="str">
        <f>HYPERLINK("https://search.naver.com/search.naver?query=13시간 영화", "13시간")</f>
        <v>13시간</v>
      </c>
      <c r="C13" s="8">
        <v>8.4600000000000009</v>
      </c>
      <c r="D13" s="9" t="s">
        <v>56</v>
      </c>
      <c r="E13" s="6" t="s">
        <v>24</v>
      </c>
      <c r="F13" s="6">
        <v>2016</v>
      </c>
      <c r="G13" s="6" t="s">
        <v>14</v>
      </c>
      <c r="H13" s="7" t="s">
        <v>41</v>
      </c>
      <c r="I13" s="6" t="s">
        <v>57</v>
      </c>
      <c r="J13" s="130"/>
      <c r="K13" s="148" t="s">
        <v>58</v>
      </c>
    </row>
    <row r="14" spans="1:11" ht="28.9" customHeight="1" thickTop="1" thickBot="1" x14ac:dyDescent="0.75">
      <c r="A14" s="10">
        <v>12</v>
      </c>
      <c r="B14" s="58" t="str">
        <f>HYPERLINK("https://search.naver.com/search.naver?query=15시 17분 파리행 열차 영화", "15시 17분 파리행 열차")</f>
        <v>15시 17분 파리행 열차</v>
      </c>
      <c r="C14" s="12">
        <v>7.64</v>
      </c>
      <c r="D14" s="13" t="s">
        <v>59</v>
      </c>
      <c r="E14" s="10" t="s">
        <v>24</v>
      </c>
      <c r="F14" s="10">
        <v>2018</v>
      </c>
      <c r="G14" s="10" t="s">
        <v>14</v>
      </c>
      <c r="H14" s="11" t="s">
        <v>20</v>
      </c>
      <c r="I14" s="10" t="s">
        <v>60</v>
      </c>
      <c r="J14" s="131"/>
      <c r="K14" s="149" t="s">
        <v>61</v>
      </c>
    </row>
    <row r="15" spans="1:11" ht="28.9" customHeight="1" thickTop="1" thickBot="1" x14ac:dyDescent="0.75">
      <c r="A15" s="6">
        <v>13</v>
      </c>
      <c r="B15" s="59" t="str">
        <f>HYPERLINK("https://search.naver.com/search.naver?query=1883", "1883 시즌1")</f>
        <v>1883 시즌1</v>
      </c>
      <c r="C15" s="16"/>
      <c r="D15" s="17" t="s">
        <v>62</v>
      </c>
      <c r="E15" s="14" t="s">
        <v>24</v>
      </c>
      <c r="F15" s="14">
        <v>2021</v>
      </c>
      <c r="G15" s="14" t="s">
        <v>20</v>
      </c>
      <c r="H15" s="15" t="s">
        <v>63</v>
      </c>
      <c r="I15" s="14" t="s">
        <v>64</v>
      </c>
      <c r="J15" s="132"/>
      <c r="K15" s="150" t="s">
        <v>65</v>
      </c>
    </row>
    <row r="16" spans="1:11" ht="28.9" customHeight="1" thickTop="1" thickBot="1" x14ac:dyDescent="0.75">
      <c r="A16" s="10">
        <v>14</v>
      </c>
      <c r="B16" s="58" t="str">
        <f>HYPERLINK("https://search.naver.com/search.naver?query=1917 영화", "1917")</f>
        <v>1917</v>
      </c>
      <c r="C16" s="12">
        <v>9.1</v>
      </c>
      <c r="D16" s="13" t="s">
        <v>66</v>
      </c>
      <c r="E16" s="10" t="s">
        <v>24</v>
      </c>
      <c r="F16" s="10">
        <v>2019</v>
      </c>
      <c r="G16" s="10" t="s">
        <v>14</v>
      </c>
      <c r="H16" s="11" t="s">
        <v>67</v>
      </c>
      <c r="I16" s="10" t="s">
        <v>68</v>
      </c>
      <c r="J16" s="131"/>
      <c r="K16" s="149" t="s">
        <v>69</v>
      </c>
    </row>
    <row r="17" spans="1:14" ht="28.9" customHeight="1" thickTop="1" thickBot="1" x14ac:dyDescent="0.75">
      <c r="A17" s="6">
        <v>15</v>
      </c>
      <c r="B17" s="59" t="str">
        <f>HYPERLINK("https://search.naver.com/search.naver?query=1923  시즌1", "1923  시즌1")</f>
        <v>1923  시즌1</v>
      </c>
      <c r="C17" s="16"/>
      <c r="D17" s="17" t="s">
        <v>70</v>
      </c>
      <c r="E17" s="14" t="s">
        <v>24</v>
      </c>
      <c r="F17" s="14">
        <v>2022</v>
      </c>
      <c r="G17" s="14" t="s">
        <v>20</v>
      </c>
      <c r="H17" s="15" t="s">
        <v>63</v>
      </c>
      <c r="I17" s="14" t="s">
        <v>71</v>
      </c>
      <c r="J17" s="132"/>
      <c r="K17" s="150" t="s">
        <v>72</v>
      </c>
    </row>
    <row r="18" spans="1:14" ht="28.9" customHeight="1" thickTop="1" thickBot="1" x14ac:dyDescent="0.75">
      <c r="A18" s="10">
        <v>16</v>
      </c>
      <c r="B18" s="59" t="str">
        <f>HYPERLINK("https://search.naver.com/search.naver?query=1923 시즌2", "1923 시즌2")</f>
        <v>1923 시즌2</v>
      </c>
      <c r="C18" s="16"/>
      <c r="D18" s="17" t="s">
        <v>70</v>
      </c>
      <c r="E18" s="14" t="s">
        <v>24</v>
      </c>
      <c r="F18" s="14">
        <v>2023</v>
      </c>
      <c r="G18" s="14" t="s">
        <v>20</v>
      </c>
      <c r="H18" s="15" t="s">
        <v>63</v>
      </c>
      <c r="I18" s="14" t="s">
        <v>71</v>
      </c>
      <c r="J18" s="132"/>
      <c r="K18" s="150" t="s">
        <v>73</v>
      </c>
    </row>
    <row r="19" spans="1:14" ht="28.9" customHeight="1" thickTop="1" thickBot="1" x14ac:dyDescent="0.75">
      <c r="A19" s="6">
        <v>17</v>
      </c>
      <c r="B19" s="58" t="str">
        <f>HYPERLINK("https://search.naver.com/search.naver?query=1941 세바스토폴 상륙작전", "1941 세바스토폴 상륙작전")</f>
        <v>1941 세바스토폴 상륙작전</v>
      </c>
      <c r="C19" s="12">
        <v>10</v>
      </c>
      <c r="D19" s="13" t="s">
        <v>74</v>
      </c>
      <c r="E19" s="10" t="s">
        <v>75</v>
      </c>
      <c r="F19" s="10">
        <v>2015</v>
      </c>
      <c r="G19" s="10" t="s">
        <v>14</v>
      </c>
      <c r="H19" s="11" t="s">
        <v>50</v>
      </c>
      <c r="I19" s="10" t="s">
        <v>76</v>
      </c>
      <c r="J19" s="131"/>
      <c r="K19" s="149" t="s">
        <v>77</v>
      </c>
    </row>
    <row r="20" spans="1:14" ht="28.9" customHeight="1" thickTop="1" thickBot="1" x14ac:dyDescent="0.75">
      <c r="A20" s="10">
        <v>18</v>
      </c>
      <c r="B20" s="57" t="str">
        <f>HYPERLINK("https://search.naver.com/search.naver?query=1944 영화", "1944")</f>
        <v>1944</v>
      </c>
      <c r="C20" s="8">
        <v>8.26</v>
      </c>
      <c r="D20" s="9" t="s">
        <v>78</v>
      </c>
      <c r="E20" s="6" t="s">
        <v>79</v>
      </c>
      <c r="F20" s="6">
        <v>2015</v>
      </c>
      <c r="G20" s="6" t="s">
        <v>14</v>
      </c>
      <c r="H20" s="7" t="s">
        <v>50</v>
      </c>
      <c r="I20" s="6" t="s">
        <v>80</v>
      </c>
      <c r="J20" s="130"/>
      <c r="K20" s="148" t="s">
        <v>81</v>
      </c>
    </row>
    <row r="21" spans="1:14" ht="28.9" customHeight="1" thickTop="1" thickBot="1" x14ac:dyDescent="0.75">
      <c r="A21" s="6">
        <v>19</v>
      </c>
      <c r="B21" s="58" t="str">
        <f>HYPERLINK("https://search.naver.com/search.naver?query=1947 보스톤 영화", "1947 보스톤")</f>
        <v>1947 보스톤</v>
      </c>
      <c r="C21" s="12">
        <v>7.72</v>
      </c>
      <c r="D21" s="13" t="s">
        <v>82</v>
      </c>
      <c r="E21" s="10" t="s">
        <v>13</v>
      </c>
      <c r="F21" s="10">
        <v>2023</v>
      </c>
      <c r="G21" s="10" t="s">
        <v>14</v>
      </c>
      <c r="H21" s="11" t="s">
        <v>20</v>
      </c>
      <c r="I21" s="10" t="s">
        <v>38</v>
      </c>
      <c r="J21" s="131"/>
      <c r="K21" s="149" t="s">
        <v>83</v>
      </c>
    </row>
    <row r="22" spans="1:14" ht="28.9" customHeight="1" thickTop="1" thickBot="1" x14ac:dyDescent="0.75">
      <c r="A22" s="10">
        <v>20</v>
      </c>
      <c r="B22" s="57" t="str">
        <f>HYPERLINK("https://search.naver.com/search.naver?query=1987 영화", "1987")</f>
        <v>1987</v>
      </c>
      <c r="C22" s="8">
        <v>9.07</v>
      </c>
      <c r="D22" s="9" t="s">
        <v>84</v>
      </c>
      <c r="E22" s="6" t="s">
        <v>13</v>
      </c>
      <c r="F22" s="6">
        <v>2017</v>
      </c>
      <c r="G22" s="6" t="s">
        <v>14</v>
      </c>
      <c r="H22" s="7" t="s">
        <v>20</v>
      </c>
      <c r="I22" s="6" t="s">
        <v>85</v>
      </c>
      <c r="J22" s="130"/>
      <c r="K22" s="148" t="s">
        <v>86</v>
      </c>
    </row>
    <row r="23" spans="1:14" ht="28.9" customHeight="1" thickTop="1" thickBot="1" x14ac:dyDescent="0.75">
      <c r="A23" s="6">
        <v>21</v>
      </c>
      <c r="B23" s="58" t="str">
        <f>HYPERLINK("https://search.naver.com/search.naver?query=19곰 테드 영화", "19곰 테드")</f>
        <v>19곰 테드</v>
      </c>
      <c r="C23" s="12">
        <v>7.83</v>
      </c>
      <c r="D23" s="13" t="s">
        <v>87</v>
      </c>
      <c r="E23" s="10" t="s">
        <v>24</v>
      </c>
      <c r="F23" s="10">
        <v>2012</v>
      </c>
      <c r="G23" s="10" t="s">
        <v>14</v>
      </c>
      <c r="H23" s="11" t="s">
        <v>88</v>
      </c>
      <c r="I23" s="10" t="s">
        <v>60</v>
      </c>
      <c r="J23" s="131"/>
      <c r="K23" s="149" t="s">
        <v>89</v>
      </c>
    </row>
    <row r="24" spans="1:14" ht="28.9" customHeight="1" thickTop="1" thickBot="1" x14ac:dyDescent="0.75">
      <c r="A24" s="10">
        <v>22</v>
      </c>
      <c r="B24" s="57" t="str">
        <f>HYPERLINK("https://search.naver.com/search.naver?query=19곰 테드 2 영화", "19곰 테드 2")</f>
        <v>19곰 테드 2</v>
      </c>
      <c r="C24" s="8">
        <v>7.83</v>
      </c>
      <c r="D24" s="9" t="s">
        <v>90</v>
      </c>
      <c r="E24" s="6" t="s">
        <v>24</v>
      </c>
      <c r="F24" s="6">
        <v>2015</v>
      </c>
      <c r="G24" s="6" t="s">
        <v>14</v>
      </c>
      <c r="H24" s="7" t="s">
        <v>91</v>
      </c>
      <c r="I24" s="6" t="s">
        <v>60</v>
      </c>
      <c r="J24" s="130"/>
      <c r="K24" s="148" t="s">
        <v>92</v>
      </c>
    </row>
    <row r="25" spans="1:14" ht="28.9" customHeight="1" thickTop="1" thickBot="1" x14ac:dyDescent="0.75">
      <c r="A25" s="6">
        <v>23</v>
      </c>
      <c r="B25" s="58" t="str">
        <f>HYPERLINK("https://search.naver.com/search.naver?query=1급 기밀 영화", "1급 기밀")</f>
        <v>1급 기밀</v>
      </c>
      <c r="C25" s="12">
        <v>8.8800000000000008</v>
      </c>
      <c r="D25" s="13" t="s">
        <v>93</v>
      </c>
      <c r="E25" s="10" t="s">
        <v>13</v>
      </c>
      <c r="F25" s="10">
        <v>2016</v>
      </c>
      <c r="G25" s="10" t="s">
        <v>14</v>
      </c>
      <c r="H25" s="11" t="s">
        <v>20</v>
      </c>
      <c r="I25" s="10" t="s">
        <v>94</v>
      </c>
      <c r="J25" s="131"/>
      <c r="K25" s="149" t="s">
        <v>95</v>
      </c>
    </row>
    <row r="26" spans="1:14" ht="28.9" customHeight="1" thickTop="1" thickBot="1" x14ac:dyDescent="0.75">
      <c r="A26" s="10">
        <v>24</v>
      </c>
      <c r="B26" s="57" t="str">
        <f>HYPERLINK("https://search.naver.com/search.naver?query=1번가의기적 영화", "1번가의기적")</f>
        <v>1번가의기적</v>
      </c>
      <c r="C26" s="8">
        <v>8.2100000000000009</v>
      </c>
      <c r="D26" s="9" t="s">
        <v>96</v>
      </c>
      <c r="E26" s="6" t="s">
        <v>13</v>
      </c>
      <c r="F26" s="6">
        <v>2007</v>
      </c>
      <c r="G26" s="6" t="s">
        <v>14</v>
      </c>
      <c r="H26" s="7" t="s">
        <v>97</v>
      </c>
      <c r="I26" s="6" t="s">
        <v>98</v>
      </c>
      <c r="J26" s="130"/>
      <c r="K26" s="148" t="s">
        <v>99</v>
      </c>
    </row>
    <row r="27" spans="1:14" ht="28.9" customHeight="1" thickTop="1" thickBot="1" x14ac:dyDescent="0.75">
      <c r="A27" s="6">
        <v>25</v>
      </c>
      <c r="B27" s="58" t="str">
        <f>HYPERLINK("https://search.naver.com/search.naver?query=1승 영화", "1승")</f>
        <v>1승</v>
      </c>
      <c r="C27" s="12">
        <v>7.49</v>
      </c>
      <c r="D27" s="13" t="s">
        <v>100</v>
      </c>
      <c r="E27" s="10" t="s">
        <v>13</v>
      </c>
      <c r="F27" s="10">
        <v>2024</v>
      </c>
      <c r="G27" s="10" t="s">
        <v>14</v>
      </c>
      <c r="H27" s="11" t="s">
        <v>20</v>
      </c>
      <c r="I27" s="10" t="s">
        <v>101</v>
      </c>
      <c r="J27" s="131"/>
      <c r="K27" s="149" t="s">
        <v>102</v>
      </c>
    </row>
    <row r="28" spans="1:14" ht="28.9" customHeight="1" thickTop="1" thickBot="1" x14ac:dyDescent="0.75">
      <c r="A28" s="10">
        <v>26</v>
      </c>
      <c r="B28" s="57" t="str">
        <f>HYPERLINK("https://search.naver.com/search.naver?query=21 그램 영화", "21 그램")</f>
        <v>21 그램</v>
      </c>
      <c r="C28" s="8">
        <v>8.2100000000000009</v>
      </c>
      <c r="D28" s="9" t="s">
        <v>103</v>
      </c>
      <c r="E28" s="6" t="s">
        <v>24</v>
      </c>
      <c r="F28" s="6">
        <v>2003</v>
      </c>
      <c r="G28" s="6" t="s">
        <v>14</v>
      </c>
      <c r="H28" s="7" t="s">
        <v>104</v>
      </c>
      <c r="I28" s="6" t="s">
        <v>105</v>
      </c>
      <c r="J28" s="130"/>
      <c r="K28" s="148" t="s">
        <v>106</v>
      </c>
    </row>
    <row r="29" spans="1:14" ht="28.9" customHeight="1" thickTop="1" thickBot="1" x14ac:dyDescent="0.75">
      <c r="A29" s="6">
        <v>27</v>
      </c>
      <c r="B29" s="126" t="str">
        <f>HYPERLINK("https://search.naver.com/search.naver?query=21 브릿지:테러 셧다운 영화", "21 브릿지:테러 셧다운")</f>
        <v>21 브릿지:테러 셧다운</v>
      </c>
      <c r="C29" s="12">
        <v>7.61</v>
      </c>
      <c r="D29" s="13" t="s">
        <v>107</v>
      </c>
      <c r="E29" s="10" t="s">
        <v>24</v>
      </c>
      <c r="F29" s="10">
        <v>2019</v>
      </c>
      <c r="G29" s="10" t="s">
        <v>14</v>
      </c>
      <c r="H29" s="11" t="s">
        <v>108</v>
      </c>
      <c r="I29" s="10" t="s">
        <v>109</v>
      </c>
      <c r="J29" s="131"/>
      <c r="K29" s="149" t="s">
        <v>110</v>
      </c>
      <c r="N29" s="125"/>
    </row>
    <row r="30" spans="1:14" ht="28.9" customHeight="1" thickTop="1" thickBot="1" x14ac:dyDescent="0.75">
      <c r="A30" s="10">
        <v>28</v>
      </c>
      <c r="B30" s="57" t="str">
        <f>HYPERLINK("https://search.naver.com/search.naver?query=22 July", "22 July")</f>
        <v>22 July</v>
      </c>
      <c r="C30" s="8">
        <v>8.2100000000000009</v>
      </c>
      <c r="D30" s="9" t="s">
        <v>111</v>
      </c>
      <c r="E30" s="6" t="s">
        <v>49</v>
      </c>
      <c r="F30" s="6">
        <v>2018</v>
      </c>
      <c r="G30" s="6" t="s">
        <v>14</v>
      </c>
      <c r="H30" s="7" t="s">
        <v>20</v>
      </c>
      <c r="I30" s="6" t="s">
        <v>112</v>
      </c>
      <c r="J30" s="130"/>
      <c r="K30" s="148" t="s">
        <v>113</v>
      </c>
    </row>
    <row r="31" spans="1:14" ht="28.9" customHeight="1" thickTop="1" thickBot="1" x14ac:dyDescent="0.75">
      <c r="A31" s="6">
        <v>29</v>
      </c>
      <c r="B31" s="126" t="str">
        <f>HYPERLINK("https://search.naver.com/search.naver?query=22년째의 고백", "22년째의 고백")</f>
        <v>22년째의 고백</v>
      </c>
      <c r="C31" s="8">
        <v>6</v>
      </c>
      <c r="D31" s="9" t="s">
        <v>114</v>
      </c>
      <c r="E31" s="6" t="s">
        <v>19</v>
      </c>
      <c r="F31" s="6">
        <v>2017</v>
      </c>
      <c r="G31" s="6" t="s">
        <v>14</v>
      </c>
      <c r="H31" s="7" t="s">
        <v>115</v>
      </c>
      <c r="I31" s="6" t="s">
        <v>116</v>
      </c>
      <c r="J31" s="130"/>
      <c r="K31" s="148" t="s">
        <v>117</v>
      </c>
    </row>
    <row r="32" spans="1:14" ht="28.9" customHeight="1" thickTop="1" thickBot="1" x14ac:dyDescent="0.75">
      <c r="A32" s="10">
        <v>30</v>
      </c>
      <c r="B32" s="58" t="str">
        <f>HYPERLINK("https://search.naver.com/search.naver?query=23 아이덴티티 영화", "23 아이덴티티")</f>
        <v>23 아이덴티티</v>
      </c>
      <c r="C32" s="12">
        <v>7.94</v>
      </c>
      <c r="D32" s="13" t="s">
        <v>118</v>
      </c>
      <c r="E32" s="10" t="s">
        <v>24</v>
      </c>
      <c r="F32" s="10">
        <v>2016</v>
      </c>
      <c r="G32" s="10" t="s">
        <v>14</v>
      </c>
      <c r="H32" s="11" t="s">
        <v>119</v>
      </c>
      <c r="I32" s="10" t="s">
        <v>120</v>
      </c>
      <c r="J32" s="131"/>
      <c r="K32" s="149" t="s">
        <v>121</v>
      </c>
    </row>
    <row r="33" spans="1:11" ht="28.9" customHeight="1" thickTop="1" thickBot="1" x14ac:dyDescent="0.75">
      <c r="A33" s="6">
        <v>31</v>
      </c>
      <c r="B33" s="57" t="str">
        <f>HYPERLINK("https://search.naver.com/search.naver?query=24 아워스 투 리브 영화", "24 아워스 투 리브")</f>
        <v>24 아워스 투 리브</v>
      </c>
      <c r="C33" s="8">
        <v>6.4</v>
      </c>
      <c r="D33" s="9" t="s">
        <v>122</v>
      </c>
      <c r="E33" s="6" t="s">
        <v>123</v>
      </c>
      <c r="F33" s="6">
        <v>2017</v>
      </c>
      <c r="G33" s="6" t="s">
        <v>14</v>
      </c>
      <c r="H33" s="7" t="s">
        <v>124</v>
      </c>
      <c r="I33" s="6" t="s">
        <v>125</v>
      </c>
      <c r="J33" s="130"/>
      <c r="K33" s="148" t="s">
        <v>126</v>
      </c>
    </row>
    <row r="34" spans="1:11" ht="28.9" customHeight="1" thickTop="1" thickBot="1" x14ac:dyDescent="0.75">
      <c r="A34" s="10">
        <v>32</v>
      </c>
      <c r="B34" s="58" t="str">
        <f>HYPERLINK("https://search.naver.com/search.naver?query=27번의 결혼 리허설 영화", "27번의 결혼 리허설")</f>
        <v>27번의 결혼 리허설</v>
      </c>
      <c r="C34" s="12">
        <v>7.19</v>
      </c>
      <c r="D34" s="13" t="s">
        <v>127</v>
      </c>
      <c r="E34" s="10" t="s">
        <v>24</v>
      </c>
      <c r="F34" s="10">
        <v>2008</v>
      </c>
      <c r="G34" s="10" t="s">
        <v>14</v>
      </c>
      <c r="H34" s="11" t="s">
        <v>128</v>
      </c>
      <c r="I34" s="10" t="s">
        <v>129</v>
      </c>
      <c r="J34" s="131"/>
      <c r="K34" s="149" t="s">
        <v>130</v>
      </c>
    </row>
    <row r="35" spans="1:11" ht="28.9" customHeight="1" thickTop="1" thickBot="1" x14ac:dyDescent="0.75">
      <c r="A35" s="6">
        <v>33</v>
      </c>
      <c r="B35" s="57" t="str">
        <f>HYPERLINK("https://search.naver.com/search.naver?query=300 제국의 부활 영화", "300 - 제국의 부활")</f>
        <v>300 - 제국의 부활</v>
      </c>
      <c r="C35" s="8">
        <v>7.55</v>
      </c>
      <c r="D35" s="9" t="s">
        <v>131</v>
      </c>
      <c r="E35" s="6" t="s">
        <v>24</v>
      </c>
      <c r="F35" s="6">
        <v>2014</v>
      </c>
      <c r="G35" s="6" t="s">
        <v>14</v>
      </c>
      <c r="H35" s="7" t="s">
        <v>132</v>
      </c>
      <c r="I35" s="6" t="s">
        <v>133</v>
      </c>
      <c r="J35" s="130"/>
      <c r="K35" s="148" t="s">
        <v>134</v>
      </c>
    </row>
    <row r="36" spans="1:11" ht="28.9" customHeight="1" thickTop="1" thickBot="1" x14ac:dyDescent="0.75">
      <c r="A36" s="10">
        <v>34</v>
      </c>
      <c r="B36" s="58" t="str">
        <f>HYPERLINK("https://search.naver.com/search.naver?query=3096일 영화", "3096일")</f>
        <v>3096일</v>
      </c>
      <c r="C36" s="12">
        <v>7.46</v>
      </c>
      <c r="D36" s="13" t="s">
        <v>135</v>
      </c>
      <c r="E36" s="10" t="s">
        <v>136</v>
      </c>
      <c r="F36" s="10">
        <v>2013</v>
      </c>
      <c r="G36" s="10" t="s">
        <v>14</v>
      </c>
      <c r="H36" s="11" t="s">
        <v>115</v>
      </c>
      <c r="I36" s="10" t="s">
        <v>137</v>
      </c>
      <c r="J36" s="131"/>
      <c r="K36" s="149" t="s">
        <v>138</v>
      </c>
    </row>
    <row r="37" spans="1:11" ht="28.9" customHeight="1" thickTop="1" thickBot="1" x14ac:dyDescent="0.75">
      <c r="A37" s="6">
        <v>35</v>
      </c>
      <c r="B37" s="57" t="str">
        <f>HYPERLINK("https://search.naver.com/search.naver?query=310 투 유마 영화", "310 투 유마")</f>
        <v>310 투 유마</v>
      </c>
      <c r="C37" s="8">
        <v>8.42</v>
      </c>
      <c r="D37" s="9" t="s">
        <v>139</v>
      </c>
      <c r="E37" s="6" t="s">
        <v>24</v>
      </c>
      <c r="F37" s="6">
        <v>2007</v>
      </c>
      <c r="G37" s="6" t="s">
        <v>14</v>
      </c>
      <c r="H37" s="7" t="s">
        <v>140</v>
      </c>
      <c r="I37" s="6" t="s">
        <v>141</v>
      </c>
      <c r="J37" s="130"/>
      <c r="K37" s="148" t="s">
        <v>142</v>
      </c>
    </row>
    <row r="38" spans="1:11" ht="28.9" customHeight="1" thickTop="1" thickBot="1" x14ac:dyDescent="0.75">
      <c r="A38" s="10">
        <v>36</v>
      </c>
      <c r="B38" s="57" t="str">
        <f>HYPERLINK("https://search.naver.com/search.naver?query=355 영화", "355")</f>
        <v>355</v>
      </c>
      <c r="C38" s="8">
        <v>5.97</v>
      </c>
      <c r="D38" s="9" t="s">
        <v>143</v>
      </c>
      <c r="E38" s="6" t="s">
        <v>24</v>
      </c>
      <c r="F38" s="6">
        <v>2022</v>
      </c>
      <c r="G38" s="6" t="s">
        <v>14</v>
      </c>
      <c r="H38" s="7" t="s">
        <v>25</v>
      </c>
      <c r="I38" s="6" t="s">
        <v>141</v>
      </c>
      <c r="J38" s="130"/>
      <c r="K38" s="148" t="s">
        <v>144</v>
      </c>
    </row>
    <row r="39" spans="1:11" ht="28.9" customHeight="1" thickTop="1" thickBot="1" x14ac:dyDescent="0.75">
      <c r="A39" s="6">
        <v>37</v>
      </c>
      <c r="B39" s="58" t="str">
        <f>HYPERLINK("https://search.naver.com/search.naver?query=42 영화", "42")</f>
        <v>42</v>
      </c>
      <c r="C39" s="12">
        <v>7.62</v>
      </c>
      <c r="D39" s="13" t="s">
        <v>145</v>
      </c>
      <c r="E39" s="10" t="s">
        <v>24</v>
      </c>
      <c r="F39" s="10">
        <v>2013</v>
      </c>
      <c r="G39" s="10" t="s">
        <v>14</v>
      </c>
      <c r="H39" s="11" t="s">
        <v>20</v>
      </c>
      <c r="I39" s="10" t="s">
        <v>146</v>
      </c>
      <c r="J39" s="131"/>
      <c r="K39" s="149" t="s">
        <v>147</v>
      </c>
    </row>
    <row r="40" spans="1:11" ht="28.9" customHeight="1" thickTop="1" thickBot="1" x14ac:dyDescent="0.75">
      <c r="A40" s="10">
        <v>38</v>
      </c>
      <c r="B40" s="57" t="str">
        <f>HYPERLINK("https://search.naver.com/search.naver?query=45년 후 영화", "45년 후")</f>
        <v>45년 후</v>
      </c>
      <c r="C40" s="8">
        <v>8.16</v>
      </c>
      <c r="D40" s="9" t="s">
        <v>148</v>
      </c>
      <c r="E40" s="6" t="s">
        <v>29</v>
      </c>
      <c r="F40" s="6">
        <v>2015</v>
      </c>
      <c r="G40" s="6" t="s">
        <v>14</v>
      </c>
      <c r="H40" s="7" t="s">
        <v>149</v>
      </c>
      <c r="I40" s="6" t="s">
        <v>150</v>
      </c>
      <c r="J40" s="130"/>
      <c r="K40" s="148" t="s">
        <v>151</v>
      </c>
    </row>
    <row r="41" spans="1:11" ht="28.9" customHeight="1" thickTop="1" thickBot="1" x14ac:dyDescent="0.75">
      <c r="A41" s="6">
        <v>39</v>
      </c>
      <c r="B41" s="58" t="str">
        <f>HYPERLINK("https://search.naver.com/search.naver?query=47 로닌 영화", "47 로닌")</f>
        <v>47 로닌</v>
      </c>
      <c r="C41" s="12">
        <v>6.4</v>
      </c>
      <c r="D41" s="13" t="s">
        <v>152</v>
      </c>
      <c r="E41" s="10" t="s">
        <v>24</v>
      </c>
      <c r="F41" s="10">
        <v>2013</v>
      </c>
      <c r="G41" s="10" t="s">
        <v>14</v>
      </c>
      <c r="H41" s="11" t="s">
        <v>153</v>
      </c>
      <c r="I41" s="10" t="s">
        <v>68</v>
      </c>
      <c r="J41" s="131"/>
      <c r="K41" s="149" t="s">
        <v>154</v>
      </c>
    </row>
    <row r="42" spans="1:11" ht="28.9" customHeight="1" thickTop="1" thickBot="1" x14ac:dyDescent="0.75">
      <c r="A42" s="10">
        <v>40</v>
      </c>
      <c r="B42" s="57" t="str">
        <f>HYPERLINK("https://search.naver.com/search.naver?query=47미터 2 영화", "47미터-2")</f>
        <v>47미터-2</v>
      </c>
      <c r="C42" s="8">
        <v>8.19</v>
      </c>
      <c r="D42" s="9" t="s">
        <v>155</v>
      </c>
      <c r="E42" s="6" t="s">
        <v>24</v>
      </c>
      <c r="F42" s="6">
        <v>2019</v>
      </c>
      <c r="G42" s="6" t="s">
        <v>14</v>
      </c>
      <c r="H42" s="7" t="s">
        <v>119</v>
      </c>
      <c r="I42" s="6" t="s">
        <v>156</v>
      </c>
      <c r="J42" s="130"/>
      <c r="K42" s="148" t="s">
        <v>157</v>
      </c>
    </row>
    <row r="43" spans="1:11" ht="28.9" customHeight="1" thickTop="1" thickBot="1" x14ac:dyDescent="0.75">
      <c r="A43" s="6">
        <v>41</v>
      </c>
      <c r="B43" s="58" t="str">
        <f>HYPERLINK("https://search.naver.com/search.naver?query=49일의 레시피 영화", "49일의 레시피")</f>
        <v>49일의 레시피</v>
      </c>
      <c r="C43" s="12">
        <v>6.4</v>
      </c>
      <c r="D43" s="13" t="s">
        <v>158</v>
      </c>
      <c r="E43" s="10" t="s">
        <v>19</v>
      </c>
      <c r="F43" s="10">
        <v>2013</v>
      </c>
      <c r="G43" s="10" t="s">
        <v>14</v>
      </c>
      <c r="H43" s="11" t="s">
        <v>20</v>
      </c>
      <c r="I43" s="10" t="s">
        <v>42</v>
      </c>
      <c r="J43" s="131"/>
      <c r="K43" s="149" t="s">
        <v>159</v>
      </c>
    </row>
    <row r="44" spans="1:11" ht="28.9" customHeight="1" thickTop="1" thickBot="1" x14ac:dyDescent="0.75">
      <c r="A44" s="10">
        <v>42</v>
      </c>
      <c r="B44" s="57" t="str">
        <f>HYPERLINK("https://namu.wiki/w/4%EC%9B%94%209%EC%9D%BC(%EC%98%81%ED%99%94)", "4월 9일")</f>
        <v>4월 9일</v>
      </c>
      <c r="C44" s="8">
        <v>4.16</v>
      </c>
      <c r="D44" s="9" t="s">
        <v>160</v>
      </c>
      <c r="E44" s="6" t="s">
        <v>161</v>
      </c>
      <c r="F44" s="6">
        <v>2015</v>
      </c>
      <c r="G44" s="6" t="s">
        <v>14</v>
      </c>
      <c r="H44" s="7" t="s">
        <v>20</v>
      </c>
      <c r="I44" s="6" t="s">
        <v>162</v>
      </c>
      <c r="J44" s="130"/>
      <c r="K44" s="148" t="s">
        <v>163</v>
      </c>
    </row>
    <row r="45" spans="1:11" ht="28.9" customHeight="1" thickTop="1" thickBot="1" x14ac:dyDescent="0.75">
      <c r="A45" s="6">
        <v>43</v>
      </c>
      <c r="B45" s="57" t="str">
        <f>HYPERLINK("https://search.naver.com/search.naver?query=4월 이야기 영화", "4월 이야기")</f>
        <v>4월 이야기</v>
      </c>
      <c r="C45" s="8">
        <v>8.17</v>
      </c>
      <c r="D45" s="9" t="s">
        <v>164</v>
      </c>
      <c r="E45" s="6" t="s">
        <v>19</v>
      </c>
      <c r="F45" s="6">
        <v>1998</v>
      </c>
      <c r="G45" s="6" t="s">
        <v>14</v>
      </c>
      <c r="H45" s="7" t="s">
        <v>165</v>
      </c>
      <c r="I45" s="6" t="s">
        <v>166</v>
      </c>
      <c r="J45" s="130"/>
      <c r="K45" s="148" t="s">
        <v>167</v>
      </c>
    </row>
    <row r="46" spans="1:11" ht="28.9" customHeight="1" thickTop="1" thickBot="1" x14ac:dyDescent="0.75">
      <c r="A46" s="10">
        <v>44</v>
      </c>
      <c r="B46" s="58" t="str">
        <f>HYPERLINK("https://search.naver.com/search.naver?query=5 to 7 영화", "5 to 7")</f>
        <v>5 to 7</v>
      </c>
      <c r="C46" s="12">
        <v>8.1300000000000008</v>
      </c>
      <c r="D46" s="13" t="s">
        <v>168</v>
      </c>
      <c r="E46" s="10" t="s">
        <v>24</v>
      </c>
      <c r="F46" s="10">
        <v>2014</v>
      </c>
      <c r="G46" s="10" t="s">
        <v>14</v>
      </c>
      <c r="H46" s="11" t="s">
        <v>165</v>
      </c>
      <c r="I46" s="10" t="s">
        <v>169</v>
      </c>
      <c r="J46" s="131"/>
      <c r="K46" s="149" t="s">
        <v>170</v>
      </c>
    </row>
    <row r="47" spans="1:11" ht="28.9" customHeight="1" thickTop="1" thickBot="1" x14ac:dyDescent="0.75">
      <c r="A47" s="6">
        <v>45</v>
      </c>
      <c r="B47" s="57" t="str">
        <f>HYPERLINK("https://search.naver.com/search.naver?query=500일의 썸머 영화", "500일의 썸머")</f>
        <v>500일의 썸머</v>
      </c>
      <c r="C47" s="8">
        <v>8.6</v>
      </c>
      <c r="D47" s="9" t="s">
        <v>171</v>
      </c>
      <c r="E47" s="6" t="s">
        <v>24</v>
      </c>
      <c r="F47" s="6">
        <v>2009</v>
      </c>
      <c r="G47" s="6" t="s">
        <v>14</v>
      </c>
      <c r="H47" s="7" t="s">
        <v>172</v>
      </c>
      <c r="I47" s="6" t="s">
        <v>150</v>
      </c>
      <c r="J47" s="130"/>
      <c r="K47" s="148" t="s">
        <v>173</v>
      </c>
    </row>
    <row r="48" spans="1:11" ht="28.9" customHeight="1" thickTop="1" thickBot="1" x14ac:dyDescent="0.75">
      <c r="A48" s="10">
        <v>46</v>
      </c>
      <c r="B48" s="58" t="str">
        <f>HYPERLINK("https://search.naver.com/search.naver?query=50가지 그림자 해방 영화", "50가지 그림자-해방")</f>
        <v>50가지 그림자-해방</v>
      </c>
      <c r="C48" s="12">
        <v>8.36</v>
      </c>
      <c r="D48" s="13" t="s">
        <v>174</v>
      </c>
      <c r="E48" s="10" t="s">
        <v>24</v>
      </c>
      <c r="F48" s="10">
        <v>2018</v>
      </c>
      <c r="G48" s="10" t="s">
        <v>14</v>
      </c>
      <c r="H48" s="11" t="s">
        <v>165</v>
      </c>
      <c r="I48" s="10" t="s">
        <v>175</v>
      </c>
      <c r="J48" s="131"/>
      <c r="K48" s="149" t="s">
        <v>176</v>
      </c>
    </row>
    <row r="49" spans="1:11" ht="28.9" customHeight="1" thickTop="1" thickBot="1" x14ac:dyDescent="0.75">
      <c r="A49" s="6">
        <v>47</v>
      </c>
      <c r="B49" s="57" t="str">
        <f>HYPERLINK("https://search.naver.com/search.naver?query=50대50 영화", "50대50")</f>
        <v>50대50</v>
      </c>
      <c r="C49" s="8">
        <v>6.4</v>
      </c>
      <c r="D49" s="9" t="s">
        <v>177</v>
      </c>
      <c r="E49" s="6" t="s">
        <v>24</v>
      </c>
      <c r="F49" s="6">
        <v>2011</v>
      </c>
      <c r="G49" s="6" t="s">
        <v>14</v>
      </c>
      <c r="H49" s="7" t="s">
        <v>178</v>
      </c>
      <c r="I49" s="6" t="s">
        <v>179</v>
      </c>
      <c r="J49" s="130"/>
      <c r="K49" s="148" t="s">
        <v>180</v>
      </c>
    </row>
    <row r="50" spans="1:11" ht="28.9" customHeight="1" thickTop="1" thickBot="1" x14ac:dyDescent="0.75">
      <c r="A50" s="10">
        <v>48</v>
      </c>
      <c r="B50" s="58" t="str">
        <f>HYPERLINK("https://search.naver.com/search.naver?query=5년째 약혼중 영화", "5년째 약혼중")</f>
        <v>5년째 약혼중</v>
      </c>
      <c r="C50" s="12">
        <v>6.4</v>
      </c>
      <c r="D50" s="13" t="s">
        <v>181</v>
      </c>
      <c r="E50" s="10" t="s">
        <v>24</v>
      </c>
      <c r="F50" s="10">
        <v>2012</v>
      </c>
      <c r="G50" s="10" t="s">
        <v>14</v>
      </c>
      <c r="H50" s="11" t="s">
        <v>182</v>
      </c>
      <c r="I50" s="10" t="s">
        <v>183</v>
      </c>
      <c r="J50" s="131"/>
      <c r="K50" s="149" t="s">
        <v>184</v>
      </c>
    </row>
    <row r="51" spans="1:11" ht="28.9" customHeight="1" thickTop="1" thickBot="1" x14ac:dyDescent="0.75">
      <c r="A51" s="6">
        <v>49</v>
      </c>
      <c r="B51" s="57" t="str">
        <f>HYPERLINK("https://search.naver.com/search.naver?query=5일의 마중 영화", "5일의 마중")</f>
        <v>5일의 마중</v>
      </c>
      <c r="C51" s="8">
        <v>8.8800000000000008</v>
      </c>
      <c r="D51" s="9" t="s">
        <v>185</v>
      </c>
      <c r="E51" s="6" t="s">
        <v>186</v>
      </c>
      <c r="F51" s="6">
        <v>2014</v>
      </c>
      <c r="G51" s="6" t="s">
        <v>14</v>
      </c>
      <c r="H51" s="7" t="s">
        <v>20</v>
      </c>
      <c r="I51" s="6" t="s">
        <v>187</v>
      </c>
      <c r="J51" s="130"/>
      <c r="K51" s="148" t="s">
        <v>188</v>
      </c>
    </row>
    <row r="52" spans="1:11" ht="28.9" customHeight="1" thickTop="1" thickBot="1" x14ac:dyDescent="0.75">
      <c r="A52" s="10">
        <v>50</v>
      </c>
      <c r="B52" s="58" t="str">
        <f>HYPERLINK("https://search.naver.com/search.naver?query=5쿼터 영화", "5쿼터")</f>
        <v>5쿼터</v>
      </c>
      <c r="C52" s="12">
        <v>6.8</v>
      </c>
      <c r="D52" s="13" t="s">
        <v>189</v>
      </c>
      <c r="E52" s="10" t="s">
        <v>24</v>
      </c>
      <c r="F52" s="10">
        <v>2010</v>
      </c>
      <c r="G52" s="10" t="s">
        <v>14</v>
      </c>
      <c r="H52" s="11" t="s">
        <v>20</v>
      </c>
      <c r="I52" s="10" t="s">
        <v>156</v>
      </c>
      <c r="J52" s="131"/>
      <c r="K52" s="149" t="s">
        <v>190</v>
      </c>
    </row>
    <row r="53" spans="1:11" ht="28.9" customHeight="1" thickTop="1" thickBot="1" x14ac:dyDescent="0.75">
      <c r="A53" s="6">
        <v>51</v>
      </c>
      <c r="B53" s="57" t="str">
        <f>HYPERLINK("https://search.naver.com/search.naver?query=6 언더그라운드 영화", "6 언더그라운드")</f>
        <v>6 언더그라운드</v>
      </c>
      <c r="C53" s="8">
        <v>7.65</v>
      </c>
      <c r="D53" s="9" t="s">
        <v>191</v>
      </c>
      <c r="E53" s="6" t="s">
        <v>24</v>
      </c>
      <c r="F53" s="6">
        <v>2019</v>
      </c>
      <c r="G53" s="6" t="s">
        <v>14</v>
      </c>
      <c r="H53" s="7" t="s">
        <v>124</v>
      </c>
      <c r="I53" s="6" t="s">
        <v>146</v>
      </c>
      <c r="J53" s="130"/>
      <c r="K53" s="148" t="s">
        <v>192</v>
      </c>
    </row>
    <row r="54" spans="1:11" ht="28.9" customHeight="1" thickTop="1" thickBot="1" x14ac:dyDescent="0.75">
      <c r="A54" s="10">
        <v>52</v>
      </c>
      <c r="B54" s="58" t="str">
        <f>HYPERLINK("https://search.naver.com/search.naver?query=64 파트 1 영화", "64 파트 1")</f>
        <v>64 파트 1</v>
      </c>
      <c r="C54" s="12"/>
      <c r="D54" s="13" t="s">
        <v>193</v>
      </c>
      <c r="E54" s="10" t="s">
        <v>19</v>
      </c>
      <c r="F54" s="10">
        <v>2016</v>
      </c>
      <c r="G54" s="10" t="s">
        <v>14</v>
      </c>
      <c r="H54" s="11" t="s">
        <v>194</v>
      </c>
      <c r="I54" s="10" t="s">
        <v>195</v>
      </c>
      <c r="J54" s="131"/>
      <c r="K54" s="149" t="s">
        <v>196</v>
      </c>
    </row>
    <row r="55" spans="1:11" ht="28.9" customHeight="1" thickTop="1" thickBot="1" x14ac:dyDescent="0.75">
      <c r="A55" s="6">
        <v>53</v>
      </c>
      <c r="B55" s="57" t="str">
        <f>HYPERLINK("https://search.naver.com/search.naver?query=64 파트 2 영화", "64 파트 2")</f>
        <v>64 파트 2</v>
      </c>
      <c r="C55" s="8">
        <v>6.4</v>
      </c>
      <c r="D55" s="9" t="s">
        <v>193</v>
      </c>
      <c r="E55" s="6" t="s">
        <v>19</v>
      </c>
      <c r="F55" s="6">
        <v>2016</v>
      </c>
      <c r="G55" s="6" t="s">
        <v>14</v>
      </c>
      <c r="H55" s="7" t="s">
        <v>197</v>
      </c>
      <c r="I55" s="6" t="s">
        <v>68</v>
      </c>
      <c r="J55" s="130"/>
      <c r="K55" s="148" t="s">
        <v>198</v>
      </c>
    </row>
    <row r="56" spans="1:11" ht="28.9" customHeight="1" thickTop="1" thickBot="1" x14ac:dyDescent="0.75">
      <c r="A56" s="10">
        <v>54</v>
      </c>
      <c r="B56" s="58" t="str">
        <f>HYPERLINK("https://search.naver.com/search.naver?query=6888 중앙우편대대 영화", "6888 중앙우편대대")</f>
        <v>6888 중앙우편대대</v>
      </c>
      <c r="C56" s="12">
        <v>8.9700000000000006</v>
      </c>
      <c r="D56" s="13" t="s">
        <v>199</v>
      </c>
      <c r="E56" s="10" t="s">
        <v>24</v>
      </c>
      <c r="F56" s="10">
        <v>2024</v>
      </c>
      <c r="G56" s="10" t="s">
        <v>14</v>
      </c>
      <c r="H56" s="11" t="s">
        <v>50</v>
      </c>
      <c r="I56" s="10" t="s">
        <v>85</v>
      </c>
      <c r="J56" s="131"/>
      <c r="K56" s="149" t="s">
        <v>200</v>
      </c>
    </row>
    <row r="57" spans="1:11" ht="28.9" customHeight="1" thickTop="1" thickBot="1" x14ac:dyDescent="0.75">
      <c r="A57" s="6">
        <v>55</v>
      </c>
      <c r="B57" s="59" t="str">
        <f>HYPERLINK("https://search.naver.com/search.naver?query=68세의신입사원 드라마", "68세의신입사원")</f>
        <v>68세의신입사원</v>
      </c>
      <c r="C57" s="16"/>
      <c r="D57" s="17"/>
      <c r="E57" s="14" t="s">
        <v>19</v>
      </c>
      <c r="F57" s="14">
        <v>2018</v>
      </c>
      <c r="G57" s="14" t="s">
        <v>20</v>
      </c>
      <c r="H57" s="15" t="s">
        <v>20</v>
      </c>
      <c r="I57" s="14" t="s">
        <v>179</v>
      </c>
      <c r="J57" s="132"/>
      <c r="K57" s="150" t="s">
        <v>201</v>
      </c>
    </row>
    <row r="58" spans="1:11" ht="28.9" customHeight="1" thickTop="1" thickBot="1" x14ac:dyDescent="0.75">
      <c r="A58" s="10">
        <v>56</v>
      </c>
      <c r="B58" s="57" t="str">
        <f>HYPERLINK("https://search.naver.com/search.naver?query=71 벨파스트의 눈물 영화", "71-벨파스트의 눈물")</f>
        <v>71-벨파스트의 눈물</v>
      </c>
      <c r="C58" s="12">
        <v>7.95</v>
      </c>
      <c r="D58" s="13" t="s">
        <v>202</v>
      </c>
      <c r="E58" s="10" t="s">
        <v>29</v>
      </c>
      <c r="F58" s="10">
        <v>2014</v>
      </c>
      <c r="G58" s="10" t="s">
        <v>14</v>
      </c>
      <c r="H58" s="11" t="s">
        <v>15</v>
      </c>
      <c r="I58" s="10" t="s">
        <v>109</v>
      </c>
      <c r="J58" s="131"/>
      <c r="K58" s="149" t="s">
        <v>203</v>
      </c>
    </row>
    <row r="59" spans="1:11" ht="28.9" customHeight="1" thickTop="1" thickBot="1" x14ac:dyDescent="0.75">
      <c r="A59" s="6">
        <v>57</v>
      </c>
      <c r="B59" s="57" t="str">
        <f>HYPERLINK("https://search.naver.com/search.naver?query=7500 영화", "7500")</f>
        <v>7500</v>
      </c>
      <c r="C59" s="8">
        <v>5.2</v>
      </c>
      <c r="D59" s="9" t="s">
        <v>204</v>
      </c>
      <c r="E59" s="6" t="s">
        <v>24</v>
      </c>
      <c r="F59" s="6">
        <v>2019</v>
      </c>
      <c r="G59" s="6" t="s">
        <v>14</v>
      </c>
      <c r="H59" s="7" t="s">
        <v>54</v>
      </c>
      <c r="I59" s="6" t="s">
        <v>205</v>
      </c>
      <c r="J59" s="130"/>
      <c r="K59" s="148" t="s">
        <v>206</v>
      </c>
    </row>
    <row r="60" spans="1:11" ht="28.9" customHeight="1" thickTop="1" thickBot="1" x14ac:dyDescent="0.75">
      <c r="A60" s="10">
        <v>58</v>
      </c>
      <c r="B60" s="58" t="str">
        <f>HYPERLINK("https://search.naver.com/search.naver?query=7년의 밤 영화", "7년의 밤")</f>
        <v>7년의 밤</v>
      </c>
      <c r="C60" s="12">
        <v>6</v>
      </c>
      <c r="D60" s="13" t="s">
        <v>207</v>
      </c>
      <c r="E60" s="10" t="s">
        <v>13</v>
      </c>
      <c r="F60" s="10">
        <v>2018</v>
      </c>
      <c r="G60" s="10" t="s">
        <v>14</v>
      </c>
      <c r="H60" s="11" t="s">
        <v>15</v>
      </c>
      <c r="I60" s="10" t="s">
        <v>76</v>
      </c>
      <c r="J60" s="131"/>
      <c r="K60" s="149" t="s">
        <v>208</v>
      </c>
    </row>
    <row r="61" spans="1:11" ht="28.9" customHeight="1" thickTop="1" thickBot="1" x14ac:dyDescent="0.75">
      <c r="A61" s="6">
        <v>59</v>
      </c>
      <c r="B61" s="57" t="str">
        <f>HYPERLINK("https://search.naver.com/search.naver?query=7번방의 선물 영화", "7번방의 선물")</f>
        <v>7번방의 선물</v>
      </c>
      <c r="C61" s="8">
        <v>8.83</v>
      </c>
      <c r="D61" s="9" t="s">
        <v>209</v>
      </c>
      <c r="E61" s="6" t="s">
        <v>13</v>
      </c>
      <c r="F61" s="6">
        <v>2012</v>
      </c>
      <c r="G61" s="6" t="s">
        <v>14</v>
      </c>
      <c r="H61" s="7" t="s">
        <v>97</v>
      </c>
      <c r="I61" s="6" t="s">
        <v>210</v>
      </c>
      <c r="J61" s="130"/>
      <c r="K61" s="148" t="s">
        <v>211</v>
      </c>
    </row>
    <row r="62" spans="1:11" ht="28.9" customHeight="1" thickTop="1" thickBot="1" x14ac:dyDescent="0.75">
      <c r="A62" s="10">
        <v>60</v>
      </c>
      <c r="B62" s="58" t="str">
        <f>HYPERLINK("https://search.naver.com/search.naver?query=7번째 내가 죽던 날 영화", "7번째 내가 죽던 날")</f>
        <v>7번째 내가 죽던 날</v>
      </c>
      <c r="C62" s="12">
        <v>8.6300000000000008</v>
      </c>
      <c r="D62" s="13" t="s">
        <v>212</v>
      </c>
      <c r="E62" s="10" t="s">
        <v>24</v>
      </c>
      <c r="F62" s="10">
        <v>2017</v>
      </c>
      <c r="G62" s="10" t="s">
        <v>14</v>
      </c>
      <c r="H62" s="11" t="s">
        <v>213</v>
      </c>
      <c r="I62" s="10" t="s">
        <v>109</v>
      </c>
      <c r="J62" s="131"/>
      <c r="K62" s="149" t="s">
        <v>214</v>
      </c>
    </row>
    <row r="63" spans="1:11" ht="28.9" customHeight="1" thickTop="1" thickBot="1" x14ac:dyDescent="0.75">
      <c r="A63" s="6">
        <v>61</v>
      </c>
      <c r="B63" s="58" t="str">
        <f>HYPERLINK("https://search.naver.com/search.naver?query=8년을 뛰어넘은 신부 영화", "8년을 뛰어넘은 신부")</f>
        <v>8년을 뛰어넘은 신부</v>
      </c>
      <c r="C63" s="12">
        <v>9.4</v>
      </c>
      <c r="D63" s="13" t="s">
        <v>215</v>
      </c>
      <c r="E63" s="10" t="s">
        <v>19</v>
      </c>
      <c r="F63" s="10">
        <v>2021</v>
      </c>
      <c r="G63" s="10" t="s">
        <v>14</v>
      </c>
      <c r="H63" s="11" t="s">
        <v>216</v>
      </c>
      <c r="I63" s="10" t="s">
        <v>68</v>
      </c>
      <c r="J63" s="131"/>
      <c r="K63" s="149" t="s">
        <v>217</v>
      </c>
    </row>
    <row r="64" spans="1:11" ht="28.9" customHeight="1" thickTop="1" thickBot="1" x14ac:dyDescent="0.75">
      <c r="A64" s="10">
        <v>62</v>
      </c>
      <c r="B64" s="57" t="str">
        <f>HYPERLINK("https://search.naver.com/search.naver?query=8미리 영화", "8미리")</f>
        <v>8미리</v>
      </c>
      <c r="C64" s="8">
        <v>7.87</v>
      </c>
      <c r="D64" s="9" t="s">
        <v>218</v>
      </c>
      <c r="E64" s="6" t="s">
        <v>24</v>
      </c>
      <c r="F64" s="6">
        <v>1999</v>
      </c>
      <c r="G64" s="6" t="s">
        <v>14</v>
      </c>
      <c r="H64" s="7" t="s">
        <v>197</v>
      </c>
      <c r="I64" s="6" t="s">
        <v>76</v>
      </c>
      <c r="J64" s="130"/>
      <c r="K64" s="148" t="s">
        <v>219</v>
      </c>
    </row>
    <row r="65" spans="1:11" ht="28.9" customHeight="1" thickTop="1" thickBot="1" x14ac:dyDescent="0.75">
      <c r="A65" s="6">
        <v>63</v>
      </c>
      <c r="B65" s="58" t="str">
        <f>HYPERLINK("https://search.naver.com/search.naver?query=8일째 매미 영화", "8일째 매미")</f>
        <v>8일째 매미</v>
      </c>
      <c r="C65" s="12">
        <v>6.4</v>
      </c>
      <c r="D65" s="13" t="s">
        <v>220</v>
      </c>
      <c r="E65" s="10" t="s">
        <v>19</v>
      </c>
      <c r="F65" s="10">
        <v>2011</v>
      </c>
      <c r="G65" s="10" t="s">
        <v>14</v>
      </c>
      <c r="H65" s="11" t="s">
        <v>20</v>
      </c>
      <c r="I65" s="10" t="s">
        <v>221</v>
      </c>
      <c r="J65" s="131"/>
      <c r="K65" s="149" t="s">
        <v>222</v>
      </c>
    </row>
    <row r="66" spans="1:11" ht="28.9" customHeight="1" thickTop="1" thickBot="1" x14ac:dyDescent="0.75">
      <c r="A66" s="10">
        <v>64</v>
      </c>
      <c r="B66" s="57" t="str">
        <f>HYPERLINK("https://search.naver.com/search.naver?query=90 미니츠 인 헤븐 영화", "90 미니츠 인 헤븐")</f>
        <v>90 미니츠 인 헤븐</v>
      </c>
      <c r="C66" s="8">
        <v>6.4</v>
      </c>
      <c r="D66" s="9" t="s">
        <v>223</v>
      </c>
      <c r="E66" s="6" t="s">
        <v>24</v>
      </c>
      <c r="F66" s="6">
        <v>2015</v>
      </c>
      <c r="G66" s="6" t="s">
        <v>14</v>
      </c>
      <c r="H66" s="7" t="s">
        <v>20</v>
      </c>
      <c r="I66" s="6" t="s">
        <v>195</v>
      </c>
      <c r="J66" s="130"/>
      <c r="K66" s="148" t="s">
        <v>224</v>
      </c>
    </row>
    <row r="67" spans="1:11" ht="28.9" customHeight="1" thickTop="1" thickBot="1" x14ac:dyDescent="0.75">
      <c r="A67" s="6">
        <v>65</v>
      </c>
      <c r="B67" s="58" t="str">
        <f>HYPERLINK("https://search.naver.com/search.naver?query=9/11 영화", "911")</f>
        <v>911</v>
      </c>
      <c r="C67" s="12">
        <v>5</v>
      </c>
      <c r="D67" s="13" t="s">
        <v>225</v>
      </c>
      <c r="E67" s="10" t="s">
        <v>24</v>
      </c>
      <c r="F67" s="10">
        <v>2018</v>
      </c>
      <c r="G67" s="10" t="s">
        <v>14</v>
      </c>
      <c r="H67" s="11" t="s">
        <v>226</v>
      </c>
      <c r="I67" s="10" t="s">
        <v>156</v>
      </c>
      <c r="J67" s="131"/>
      <c r="K67" s="149" t="s">
        <v>227</v>
      </c>
    </row>
    <row r="68" spans="1:11" ht="28.9" customHeight="1" thickTop="1" thickBot="1" x14ac:dyDescent="0.75">
      <c r="A68" s="10">
        <v>66</v>
      </c>
      <c r="B68" s="59" t="str">
        <f>HYPERLINK("https://search.naver.com/search.naver?query=9-1-1 론 스타 시즌1", "9-1-1: 론 스타 시즌1")</f>
        <v>9-1-1: 론 스타 시즌1</v>
      </c>
      <c r="C68" s="16"/>
      <c r="D68" s="17" t="s">
        <v>228</v>
      </c>
      <c r="E68" s="14" t="s">
        <v>24</v>
      </c>
      <c r="F68" s="14">
        <v>2020</v>
      </c>
      <c r="G68" s="14" t="s">
        <v>20</v>
      </c>
      <c r="H68" s="15" t="s">
        <v>229</v>
      </c>
      <c r="I68" s="14" t="s">
        <v>64</v>
      </c>
      <c r="J68" s="132"/>
      <c r="K68" s="150" t="s">
        <v>230</v>
      </c>
    </row>
    <row r="69" spans="1:11" ht="28.9" customHeight="1" thickTop="1" thickBot="1" x14ac:dyDescent="0.75">
      <c r="A69" s="6">
        <v>67</v>
      </c>
      <c r="B69" s="59" t="str">
        <f>HYPERLINK("https://search.naver.com/search.naver?query=9-1-1 론 스타 시즌2", "9-1-1: 론 스타 시즌2")</f>
        <v>9-1-1: 론 스타 시즌2</v>
      </c>
      <c r="C69" s="16"/>
      <c r="D69" s="17" t="s">
        <v>228</v>
      </c>
      <c r="E69" s="14" t="s">
        <v>24</v>
      </c>
      <c r="F69" s="14">
        <v>2021</v>
      </c>
      <c r="G69" s="14" t="s">
        <v>20</v>
      </c>
      <c r="H69" s="15" t="s">
        <v>229</v>
      </c>
      <c r="I69" s="14" t="s">
        <v>231</v>
      </c>
      <c r="J69" s="132"/>
      <c r="K69" s="150" t="s">
        <v>232</v>
      </c>
    </row>
    <row r="70" spans="1:11" ht="28.9" customHeight="1" thickTop="1" thickBot="1" x14ac:dyDescent="0.75">
      <c r="A70" s="10">
        <v>68</v>
      </c>
      <c r="B70" s="59" t="str">
        <f>HYPERLINK("https://search.naver.com/search.naver?query=9-1-1 론 스타 시즌3", "9-1-1: 론 스타 시즌3")</f>
        <v>9-1-1: 론 스타 시즌3</v>
      </c>
      <c r="C70" s="16"/>
      <c r="D70" s="17" t="s">
        <v>228</v>
      </c>
      <c r="E70" s="14" t="s">
        <v>24</v>
      </c>
      <c r="F70" s="14">
        <v>2022</v>
      </c>
      <c r="G70" s="14" t="s">
        <v>20</v>
      </c>
      <c r="H70" s="15" t="s">
        <v>229</v>
      </c>
      <c r="I70" s="14" t="s">
        <v>233</v>
      </c>
      <c r="J70" s="132"/>
      <c r="K70" s="150" t="s">
        <v>234</v>
      </c>
    </row>
    <row r="71" spans="1:11" ht="28.9" customHeight="1" thickTop="1" thickBot="1" x14ac:dyDescent="0.75">
      <c r="A71" s="6">
        <v>69</v>
      </c>
      <c r="B71" s="58" t="str">
        <f>HYPERLINK("https://search.naver.com/search.naver?query=9월 5일 위험한 특종 영화", "9월 5일 위험한 특종")</f>
        <v>9월 5일 위험한 특종</v>
      </c>
      <c r="C71" s="12">
        <v>7.92</v>
      </c>
      <c r="D71" s="13" t="s">
        <v>235</v>
      </c>
      <c r="E71" s="10" t="s">
        <v>136</v>
      </c>
      <c r="F71" s="10">
        <v>2024</v>
      </c>
      <c r="G71" s="10" t="s">
        <v>14</v>
      </c>
      <c r="H71" s="11" t="s">
        <v>15</v>
      </c>
      <c r="I71" s="10" t="s">
        <v>150</v>
      </c>
      <c r="J71" s="131"/>
      <c r="K71" s="149" t="s">
        <v>236</v>
      </c>
    </row>
    <row r="72" spans="1:11" ht="28.9" customHeight="1" thickTop="1" thickBot="1" x14ac:dyDescent="0.75">
      <c r="A72" s="10">
        <v>70</v>
      </c>
      <c r="B72" s="57" t="str">
        <f>HYPERLINK("https://search.naver.com/search.naver?query=A.I. 영화", "A.I.")</f>
        <v>A.I.</v>
      </c>
      <c r="C72" s="8">
        <v>3.83</v>
      </c>
      <c r="D72" s="9" t="s">
        <v>237</v>
      </c>
      <c r="E72" s="6" t="s">
        <v>24</v>
      </c>
      <c r="F72" s="6">
        <v>2001</v>
      </c>
      <c r="G72" s="6" t="s">
        <v>14</v>
      </c>
      <c r="H72" s="7" t="s">
        <v>238</v>
      </c>
      <c r="I72" s="6" t="s">
        <v>57</v>
      </c>
      <c r="J72" s="130"/>
      <c r="K72" s="148" t="s">
        <v>239</v>
      </c>
    </row>
    <row r="73" spans="1:11" ht="28.9" customHeight="1" thickTop="1" thickBot="1" x14ac:dyDescent="0.75">
      <c r="A73" s="6">
        <v>71</v>
      </c>
      <c r="B73" s="58" t="str">
        <f>HYPERLINK("https://search.naver.com/search.naver?query=AK-47 영화", "AK-47")</f>
        <v>AK-47</v>
      </c>
      <c r="C73" s="12">
        <v>8.32</v>
      </c>
      <c r="D73" s="13" t="s">
        <v>240</v>
      </c>
      <c r="E73" s="10" t="s">
        <v>75</v>
      </c>
      <c r="F73" s="10">
        <v>2020</v>
      </c>
      <c r="G73" s="10" t="s">
        <v>14</v>
      </c>
      <c r="H73" s="11" t="s">
        <v>241</v>
      </c>
      <c r="I73" s="10" t="s">
        <v>242</v>
      </c>
      <c r="J73" s="131"/>
      <c r="K73" s="149" t="s">
        <v>243</v>
      </c>
    </row>
    <row r="74" spans="1:11" ht="28.9" customHeight="1" thickTop="1" thickBot="1" x14ac:dyDescent="0.75">
      <c r="A74" s="10">
        <v>72</v>
      </c>
      <c r="B74" s="57" t="str">
        <f>HYPERLINK("https://search.naver.com/search.naver?query=CIA 데빌헌터 영화", "CIA 데빌헌터")</f>
        <v>CIA 데빌헌터</v>
      </c>
      <c r="C74" s="8">
        <v>8</v>
      </c>
      <c r="D74" s="9" t="s">
        <v>244</v>
      </c>
      <c r="E74" s="6" t="s">
        <v>29</v>
      </c>
      <c r="F74" s="6">
        <v>2018</v>
      </c>
      <c r="G74" s="6" t="s">
        <v>14</v>
      </c>
      <c r="H74" s="7" t="s">
        <v>124</v>
      </c>
      <c r="I74" s="6" t="s">
        <v>179</v>
      </c>
      <c r="J74" s="130"/>
      <c r="K74" s="148" t="s">
        <v>245</v>
      </c>
    </row>
    <row r="75" spans="1:11" ht="28.9" customHeight="1" thickTop="1" thickBot="1" x14ac:dyDescent="0.75">
      <c r="A75" s="6">
        <v>73</v>
      </c>
      <c r="B75" s="59" t="str">
        <f>HYPERLINK("https://search.naver.com/search.naver?query=D.P. 시즌1", "D.P. 시즌1")</f>
        <v>D.P. 시즌1</v>
      </c>
      <c r="C75" s="16"/>
      <c r="D75" s="17" t="s">
        <v>246</v>
      </c>
      <c r="E75" s="14" t="s">
        <v>13</v>
      </c>
      <c r="F75" s="14">
        <v>2021</v>
      </c>
      <c r="G75" s="14" t="s">
        <v>20</v>
      </c>
      <c r="H75" s="15" t="s">
        <v>54</v>
      </c>
      <c r="I75" s="14" t="s">
        <v>247</v>
      </c>
      <c r="J75" s="132"/>
      <c r="K75" s="150" t="s">
        <v>248</v>
      </c>
    </row>
    <row r="76" spans="1:11" ht="28.9" customHeight="1" thickTop="1" thickBot="1" x14ac:dyDescent="0.75">
      <c r="A76" s="10">
        <v>74</v>
      </c>
      <c r="B76" s="59" t="str">
        <f>HYPERLINK("https://search.naver.com/search.naver?query=D.P. 시즌2", "D.P. 시즌2")</f>
        <v>D.P. 시즌2</v>
      </c>
      <c r="C76" s="16"/>
      <c r="D76" s="17" t="s">
        <v>246</v>
      </c>
      <c r="E76" s="14" t="s">
        <v>13</v>
      </c>
      <c r="F76" s="14">
        <v>2023</v>
      </c>
      <c r="G76" s="14" t="s">
        <v>20</v>
      </c>
      <c r="H76" s="15" t="s">
        <v>54</v>
      </c>
      <c r="I76" s="14" t="s">
        <v>247</v>
      </c>
      <c r="J76" s="132"/>
      <c r="K76" s="150" t="s">
        <v>249</v>
      </c>
    </row>
    <row r="77" spans="1:11" ht="28.9" customHeight="1" thickTop="1" thickBot="1" x14ac:dyDescent="0.75">
      <c r="A77" s="6">
        <v>75</v>
      </c>
      <c r="B77" s="58" t="str">
        <f>HYPERLINK("https://search.naver.com/search.naver?query=D-13 영화", "D-13")</f>
        <v>D-13</v>
      </c>
      <c r="C77" s="12">
        <v>8.67</v>
      </c>
      <c r="D77" s="13" t="s">
        <v>250</v>
      </c>
      <c r="E77" s="10" t="s">
        <v>24</v>
      </c>
      <c r="F77" s="10">
        <v>2000</v>
      </c>
      <c r="G77" s="10" t="s">
        <v>14</v>
      </c>
      <c r="H77" s="11" t="s">
        <v>20</v>
      </c>
      <c r="I77" s="10" t="s">
        <v>251</v>
      </c>
      <c r="J77" s="131"/>
      <c r="K77" s="149" t="s">
        <v>252</v>
      </c>
    </row>
    <row r="78" spans="1:11" ht="28.9" customHeight="1" thickTop="1" thickBot="1" x14ac:dyDescent="0.75">
      <c r="A78" s="10">
        <v>76</v>
      </c>
      <c r="B78" s="57" t="str">
        <f>HYPERLINK("https://search.naver.com/search.naver?query=Dangerous 영화", "Dangerous")</f>
        <v>Dangerous</v>
      </c>
      <c r="C78" s="8">
        <v>6.4</v>
      </c>
      <c r="D78" s="9" t="s">
        <v>253</v>
      </c>
      <c r="E78" s="6" t="s">
        <v>24</v>
      </c>
      <c r="F78" s="6">
        <v>2021</v>
      </c>
      <c r="G78" s="6" t="s">
        <v>14</v>
      </c>
      <c r="H78" s="7" t="s">
        <v>124</v>
      </c>
      <c r="I78" s="6" t="s">
        <v>109</v>
      </c>
      <c r="J78" s="130"/>
      <c r="K78" s="148" t="s">
        <v>254</v>
      </c>
    </row>
    <row r="79" spans="1:11" ht="28.9" customHeight="1" thickTop="1" thickBot="1" x14ac:dyDescent="0.75">
      <c r="A79" s="6">
        <v>77</v>
      </c>
      <c r="B79" s="58" t="str">
        <f>HYPERLINK("https://search.naver.com/search.naver?query=Door To Door 나는 뇌성마비 탑 세일즈맨 영화", "Door To Door - 나는 뇌성마비 탑 세일즈맨")</f>
        <v>Door To Door - 나는 뇌성마비 탑 세일즈맨</v>
      </c>
      <c r="C79" s="12">
        <v>6.4</v>
      </c>
      <c r="D79" s="13" t="s">
        <v>255</v>
      </c>
      <c r="E79" s="10" t="s">
        <v>19</v>
      </c>
      <c r="F79" s="10">
        <v>2009</v>
      </c>
      <c r="G79" s="10" t="s">
        <v>14</v>
      </c>
      <c r="H79" s="11" t="s">
        <v>20</v>
      </c>
      <c r="I79" s="10" t="s">
        <v>156</v>
      </c>
      <c r="J79" s="131"/>
      <c r="K79" s="149" t="s">
        <v>256</v>
      </c>
    </row>
    <row r="80" spans="1:11" ht="28.9" customHeight="1" thickTop="1" thickBot="1" x14ac:dyDescent="0.75">
      <c r="A80" s="10">
        <v>78</v>
      </c>
      <c r="B80" s="59" t="str">
        <f>HYPERLINK("https://search.naver.com/search.naver?query=Dr. 브레인", "Dr. 브레인")</f>
        <v>Dr. 브레인</v>
      </c>
      <c r="C80" s="16"/>
      <c r="D80" s="17" t="s">
        <v>257</v>
      </c>
      <c r="E80" s="14" t="s">
        <v>13</v>
      </c>
      <c r="F80" s="14">
        <v>2021</v>
      </c>
      <c r="G80" s="14" t="s">
        <v>20</v>
      </c>
      <c r="H80" s="15" t="s">
        <v>258</v>
      </c>
      <c r="I80" s="14" t="s">
        <v>247</v>
      </c>
      <c r="J80" s="132"/>
      <c r="K80" s="150" t="s">
        <v>259</v>
      </c>
    </row>
    <row r="81" spans="1:11" ht="28.9" customHeight="1" thickTop="1" thickBot="1" x14ac:dyDescent="0.75">
      <c r="A81" s="6">
        <v>79</v>
      </c>
      <c r="B81" s="58" t="str">
        <f>HYPERLINK("https://search.naver.com/search.naver?query=F1 더 무비 영화", "F1 더 무비")</f>
        <v>F1 더 무비</v>
      </c>
      <c r="C81" s="12">
        <v>8.9499999999999993</v>
      </c>
      <c r="D81" s="13" t="s">
        <v>260</v>
      </c>
      <c r="E81" s="10" t="s">
        <v>24</v>
      </c>
      <c r="F81" s="10">
        <v>2025</v>
      </c>
      <c r="G81" s="10" t="s">
        <v>14</v>
      </c>
      <c r="H81" s="11" t="s">
        <v>261</v>
      </c>
      <c r="I81" s="10" t="s">
        <v>262</v>
      </c>
      <c r="J81" s="131"/>
      <c r="K81" s="149" t="s">
        <v>263</v>
      </c>
    </row>
    <row r="82" spans="1:11" ht="28.9" customHeight="1" thickTop="1" thickBot="1" x14ac:dyDescent="0.75">
      <c r="A82" s="10">
        <v>80</v>
      </c>
      <c r="B82" s="59" t="str">
        <f>HYPERLINK("https://search.naver.com/search.naver?query=FBI 모스트 원티드 시즌1", "FBI: 모스트 원티드 시즌1")</f>
        <v>FBI: 모스트 원티드 시즌1</v>
      </c>
      <c r="C82" s="16"/>
      <c r="D82" s="17" t="s">
        <v>264</v>
      </c>
      <c r="E82" s="14" t="s">
        <v>24</v>
      </c>
      <c r="F82" s="14">
        <v>2020</v>
      </c>
      <c r="G82" s="14" t="s">
        <v>20</v>
      </c>
      <c r="H82" s="15" t="s">
        <v>115</v>
      </c>
      <c r="I82" s="14" t="s">
        <v>231</v>
      </c>
      <c r="J82" s="132"/>
      <c r="K82" s="150" t="s">
        <v>265</v>
      </c>
    </row>
    <row r="83" spans="1:11" ht="28.9" customHeight="1" thickTop="1" thickBot="1" x14ac:dyDescent="0.75">
      <c r="A83" s="6">
        <v>81</v>
      </c>
      <c r="B83" s="58" t="str">
        <f>HYPERLINK("https://search.naver.com/search.naver?query=ING 영화", "ING")</f>
        <v>ING</v>
      </c>
      <c r="C83" s="12">
        <v>8.89</v>
      </c>
      <c r="D83" s="13" t="s">
        <v>266</v>
      </c>
      <c r="E83" s="10" t="s">
        <v>13</v>
      </c>
      <c r="F83" s="10">
        <v>2003</v>
      </c>
      <c r="G83" s="10" t="s">
        <v>14</v>
      </c>
      <c r="H83" s="11" t="s">
        <v>20</v>
      </c>
      <c r="I83" s="10" t="s">
        <v>129</v>
      </c>
      <c r="J83" s="131"/>
      <c r="K83" s="149" t="s">
        <v>267</v>
      </c>
    </row>
    <row r="84" spans="1:11" ht="28.9" customHeight="1" thickTop="1" thickBot="1" x14ac:dyDescent="0.75">
      <c r="A84" s="10">
        <v>82</v>
      </c>
      <c r="B84" s="57" t="str">
        <f>HYPERLINK("https://search.naver.com/search.naver?query=J.에드가", "J.에드가")</f>
        <v>J.에드가</v>
      </c>
      <c r="C84" s="8">
        <v>8.5</v>
      </c>
      <c r="D84" s="9" t="s">
        <v>268</v>
      </c>
      <c r="E84" s="6" t="s">
        <v>24</v>
      </c>
      <c r="F84" s="6">
        <v>2011</v>
      </c>
      <c r="G84" s="6" t="s">
        <v>14</v>
      </c>
      <c r="H84" s="7" t="s">
        <v>20</v>
      </c>
      <c r="I84" s="6" t="s">
        <v>269</v>
      </c>
      <c r="J84" s="130"/>
      <c r="K84" s="148" t="s">
        <v>270</v>
      </c>
    </row>
    <row r="85" spans="1:11" ht="28.9" customHeight="1" thickTop="1" thickBot="1" x14ac:dyDescent="0.75">
      <c r="A85" s="6">
        <v>83</v>
      </c>
      <c r="B85" s="57" t="s">
        <v>271</v>
      </c>
      <c r="C85" s="8">
        <v>7.23</v>
      </c>
      <c r="D85" s="9" t="s">
        <v>272</v>
      </c>
      <c r="E85" s="6" t="s">
        <v>24</v>
      </c>
      <c r="F85" s="6">
        <v>2017</v>
      </c>
      <c r="G85" s="6" t="s">
        <v>14</v>
      </c>
      <c r="H85" s="7" t="s">
        <v>15</v>
      </c>
      <c r="I85" s="6" t="s">
        <v>156</v>
      </c>
      <c r="J85" s="130"/>
      <c r="K85" s="148" t="s">
        <v>273</v>
      </c>
    </row>
    <row r="86" spans="1:11" ht="28.9" customHeight="1" thickTop="1" thickBot="1" x14ac:dyDescent="0.75">
      <c r="A86" s="10">
        <v>84</v>
      </c>
      <c r="B86" s="58" t="str">
        <f>HYPERLINK("https://search.naver.com/search.naver?query=Mr.스타벅 영화", "Mr.스타벅")</f>
        <v>Mr.스타벅</v>
      </c>
      <c r="C86" s="12">
        <v>8.77</v>
      </c>
      <c r="D86" s="13" t="s">
        <v>274</v>
      </c>
      <c r="E86" s="10" t="s">
        <v>275</v>
      </c>
      <c r="F86" s="10">
        <v>2011</v>
      </c>
      <c r="G86" s="10" t="s">
        <v>14</v>
      </c>
      <c r="H86" s="11" t="s">
        <v>91</v>
      </c>
      <c r="I86" s="10" t="s">
        <v>276</v>
      </c>
      <c r="J86" s="131"/>
      <c r="K86" s="149" t="s">
        <v>277</v>
      </c>
    </row>
    <row r="87" spans="1:11" ht="28.9" customHeight="1" thickTop="1" thickBot="1" x14ac:dyDescent="0.75">
      <c r="A87" s="6">
        <v>85</v>
      </c>
      <c r="B87" s="57" t="str">
        <f>HYPERLINK("https://search.naver.com/search.naver?query=pm 11 14 영화", "pm 11-14")</f>
        <v>pm 11-14</v>
      </c>
      <c r="C87" s="8">
        <v>6.4</v>
      </c>
      <c r="D87" s="9" t="s">
        <v>278</v>
      </c>
      <c r="E87" s="6" t="s">
        <v>24</v>
      </c>
      <c r="F87" s="6">
        <v>2003</v>
      </c>
      <c r="G87" s="6" t="s">
        <v>14</v>
      </c>
      <c r="H87" s="7" t="s">
        <v>15</v>
      </c>
      <c r="I87" s="6" t="s">
        <v>156</v>
      </c>
      <c r="J87" s="130"/>
      <c r="K87" s="148" t="s">
        <v>279</v>
      </c>
    </row>
    <row r="88" spans="1:11" ht="28.9" customHeight="1" thickTop="1" thickBot="1" x14ac:dyDescent="0.75">
      <c r="A88" s="10">
        <v>86</v>
      </c>
      <c r="B88" s="58" t="str">
        <f>HYPERLINK("https://search.naver.com/search.naver?query=PMC 더 벙커 영화", "PMC-더 벙커")</f>
        <v>PMC-더 벙커</v>
      </c>
      <c r="C88" s="12">
        <v>6.52</v>
      </c>
      <c r="D88" s="13" t="s">
        <v>280</v>
      </c>
      <c r="E88" s="10" t="s">
        <v>13</v>
      </c>
      <c r="F88" s="10">
        <v>2018</v>
      </c>
      <c r="G88" s="10" t="s">
        <v>14</v>
      </c>
      <c r="H88" s="11" t="s">
        <v>124</v>
      </c>
      <c r="I88" s="10" t="s">
        <v>183</v>
      </c>
      <c r="J88" s="131"/>
      <c r="K88" s="149" t="s">
        <v>281</v>
      </c>
    </row>
    <row r="89" spans="1:11" ht="28.9" customHeight="1" thickTop="1" thickBot="1" x14ac:dyDescent="0.75">
      <c r="A89" s="6">
        <v>87</v>
      </c>
      <c r="B89" s="57" t="str">
        <f>HYPERLINK("https://search.naver.com/search.naver?query=S테이프 영화", "S테이프")</f>
        <v>S테이프</v>
      </c>
      <c r="C89" s="8">
        <v>6.33</v>
      </c>
      <c r="D89" s="9" t="s">
        <v>282</v>
      </c>
      <c r="E89" s="6" t="s">
        <v>24</v>
      </c>
      <c r="F89" s="6">
        <v>2014</v>
      </c>
      <c r="G89" s="6" t="s">
        <v>14</v>
      </c>
      <c r="H89" s="7" t="s">
        <v>97</v>
      </c>
      <c r="I89" s="6" t="s">
        <v>156</v>
      </c>
      <c r="J89" s="130"/>
      <c r="K89" s="148" t="s">
        <v>283</v>
      </c>
    </row>
    <row r="90" spans="1:11" ht="28.9" customHeight="1" thickTop="1" thickBot="1" x14ac:dyDescent="0.75">
      <c r="A90" s="10">
        <v>88</v>
      </c>
      <c r="B90" s="58" t="str">
        <f>HYPERLINK("https://search.naver.com/search.naver?query=33 영화", "The 33")</f>
        <v>The 33</v>
      </c>
      <c r="C90" s="12">
        <v>8.9600000000000009</v>
      </c>
      <c r="D90" s="13" t="s">
        <v>284</v>
      </c>
      <c r="E90" s="10" t="s">
        <v>24</v>
      </c>
      <c r="F90" s="10">
        <v>2015</v>
      </c>
      <c r="G90" s="10" t="s">
        <v>14</v>
      </c>
      <c r="H90" s="11" t="s">
        <v>20</v>
      </c>
      <c r="I90" s="10" t="s">
        <v>105</v>
      </c>
      <c r="J90" s="131"/>
      <c r="K90" s="149" t="s">
        <v>285</v>
      </c>
    </row>
    <row r="91" spans="1:11" ht="28.9" customHeight="1" thickTop="1" thickBot="1" x14ac:dyDescent="0.75">
      <c r="A91" s="6">
        <v>89</v>
      </c>
      <c r="B91" s="58" t="str">
        <f>HYPERLINK("https://search.naver.com/search.naver?query=USS 인디애나폴리스 영화", "USS 인디애나폴리스")</f>
        <v>USS 인디애나폴리스</v>
      </c>
      <c r="C91" s="12">
        <v>6.4</v>
      </c>
      <c r="D91" s="13" t="s">
        <v>286</v>
      </c>
      <c r="E91" s="10" t="s">
        <v>24</v>
      </c>
      <c r="F91" s="10">
        <v>2016</v>
      </c>
      <c r="G91" s="10" t="s">
        <v>14</v>
      </c>
      <c r="H91" s="11" t="s">
        <v>287</v>
      </c>
      <c r="I91" s="10" t="s">
        <v>42</v>
      </c>
      <c r="J91" s="131"/>
      <c r="K91" s="149" t="s">
        <v>288</v>
      </c>
    </row>
    <row r="92" spans="1:11" ht="53.65" customHeight="1" thickTop="1" thickBot="1" x14ac:dyDescent="0.75">
      <c r="A92" s="10">
        <v>90</v>
      </c>
      <c r="B92" s="57" t="str">
        <f>HYPERLINK("https://search.naver.com/search.naver?query=V.I.P.", "V.I.P.")</f>
        <v>V.I.P.</v>
      </c>
      <c r="C92" s="8">
        <v>6.87</v>
      </c>
      <c r="D92" s="9" t="s">
        <v>289</v>
      </c>
      <c r="E92" s="6" t="s">
        <v>13</v>
      </c>
      <c r="F92" s="6">
        <v>2017</v>
      </c>
      <c r="G92" s="6" t="s">
        <v>14</v>
      </c>
      <c r="H92" s="7" t="s">
        <v>290</v>
      </c>
      <c r="I92" s="6" t="s">
        <v>146</v>
      </c>
      <c r="J92" s="130"/>
      <c r="K92" s="148" t="s">
        <v>291</v>
      </c>
    </row>
    <row r="93" spans="1:11" ht="28.9" customHeight="1" thickTop="1" thickBot="1" x14ac:dyDescent="0.75">
      <c r="A93" s="6">
        <v>91</v>
      </c>
      <c r="B93" s="58" t="str">
        <f>HYPERLINK("https://search.naver.com/search.naver?query=가디언즈 오브 갤럭시 영화", "가디언즈 오브 갤럭시")</f>
        <v>가디언즈 오브 갤럭시</v>
      </c>
      <c r="C93" s="12">
        <v>9.31</v>
      </c>
      <c r="D93" s="13" t="s">
        <v>292</v>
      </c>
      <c r="E93" s="10" t="s">
        <v>24</v>
      </c>
      <c r="F93" s="10">
        <v>2014</v>
      </c>
      <c r="G93" s="10" t="s">
        <v>14</v>
      </c>
      <c r="H93" s="11" t="s">
        <v>293</v>
      </c>
      <c r="I93" s="10" t="s">
        <v>195</v>
      </c>
      <c r="J93" s="131"/>
      <c r="K93" s="149" t="s">
        <v>294</v>
      </c>
    </row>
    <row r="94" spans="1:11" ht="28.9" customHeight="1" thickTop="1" thickBot="1" x14ac:dyDescent="0.75">
      <c r="A94" s="10">
        <v>92</v>
      </c>
      <c r="B94" s="57" t="str">
        <f>HYPERLINK("https://search.naver.com/search.naver?query=가면 영화", "가면")</f>
        <v>가면</v>
      </c>
      <c r="C94" s="8">
        <v>7.81</v>
      </c>
      <c r="D94" s="9" t="s">
        <v>295</v>
      </c>
      <c r="E94" s="6" t="s">
        <v>13</v>
      </c>
      <c r="F94" s="6">
        <v>2007</v>
      </c>
      <c r="G94" s="6" t="s">
        <v>14</v>
      </c>
      <c r="H94" s="7" t="s">
        <v>20</v>
      </c>
      <c r="I94" s="6" t="s">
        <v>109</v>
      </c>
      <c r="J94" s="130"/>
      <c r="K94" s="148" t="s">
        <v>296</v>
      </c>
    </row>
    <row r="95" spans="1:11" ht="28.9" customHeight="1" thickTop="1" thickBot="1" x14ac:dyDescent="0.75">
      <c r="A95" s="6">
        <v>93</v>
      </c>
      <c r="B95" s="58" t="str">
        <f>HYPERLINK("https://search.naver.com/search.naver?query=가문의 영광5-가문의 귀환 영화", "가문의 영광5-가문의 귀환")</f>
        <v>가문의 영광5-가문의 귀환</v>
      </c>
      <c r="C95" s="12">
        <v>6.04</v>
      </c>
      <c r="D95" s="13" t="s">
        <v>297</v>
      </c>
      <c r="E95" s="10" t="s">
        <v>13</v>
      </c>
      <c r="F95" s="10">
        <v>2012</v>
      </c>
      <c r="G95" s="10" t="s">
        <v>14</v>
      </c>
      <c r="H95" s="11" t="s">
        <v>91</v>
      </c>
      <c r="I95" s="10" t="s">
        <v>242</v>
      </c>
      <c r="J95" s="131"/>
      <c r="K95" s="149" t="s">
        <v>298</v>
      </c>
    </row>
    <row r="96" spans="1:11" ht="28.9" customHeight="1" thickTop="1" thickBot="1" x14ac:dyDescent="0.75">
      <c r="A96" s="10">
        <v>94</v>
      </c>
      <c r="B96" s="57" t="str">
        <f>HYPERLINK("https://search.naver.com/search.naver?query=가버나움 영화", "가버나움")</f>
        <v>가버나움</v>
      </c>
      <c r="C96" s="8">
        <v>9.5399999999999991</v>
      </c>
      <c r="D96" s="9" t="s">
        <v>299</v>
      </c>
      <c r="E96" s="6" t="s">
        <v>300</v>
      </c>
      <c r="F96" s="6">
        <v>2018</v>
      </c>
      <c r="G96" s="6" t="s">
        <v>14</v>
      </c>
      <c r="H96" s="7" t="s">
        <v>20</v>
      </c>
      <c r="I96" s="6" t="s">
        <v>105</v>
      </c>
      <c r="J96" s="130"/>
      <c r="K96" s="148" t="s">
        <v>301</v>
      </c>
    </row>
    <row r="97" spans="1:11" ht="28.9" customHeight="1" thickTop="1" thickBot="1" x14ac:dyDescent="0.75">
      <c r="A97" s="6">
        <v>95</v>
      </c>
      <c r="B97" s="58" t="str">
        <f>HYPERLINK("https://search.naver.com/search.naver?query=가비2012", "가비")</f>
        <v>가비</v>
      </c>
      <c r="C97" s="12">
        <v>6.86</v>
      </c>
      <c r="D97" s="13" t="s">
        <v>302</v>
      </c>
      <c r="E97" s="10" t="s">
        <v>13</v>
      </c>
      <c r="F97" s="10">
        <v>2012</v>
      </c>
      <c r="G97" s="10" t="s">
        <v>14</v>
      </c>
      <c r="H97" s="11" t="s">
        <v>20</v>
      </c>
      <c r="I97" s="10" t="s">
        <v>60</v>
      </c>
      <c r="J97" s="131"/>
      <c r="K97" s="149" t="s">
        <v>303</v>
      </c>
    </row>
    <row r="98" spans="1:11" ht="28.9" customHeight="1" thickTop="1" thickBot="1" x14ac:dyDescent="0.75">
      <c r="A98" s="10">
        <v>96</v>
      </c>
      <c r="B98" s="57" t="str">
        <f>HYPERLINK("https://search.naver.com/search.naver?query=가을로 영화", "가을로")</f>
        <v>가을로</v>
      </c>
      <c r="C98" s="8">
        <v>7.21</v>
      </c>
      <c r="D98" s="9" t="s">
        <v>304</v>
      </c>
      <c r="E98" s="6" t="s">
        <v>13</v>
      </c>
      <c r="F98" s="6">
        <v>2006</v>
      </c>
      <c r="G98" s="6" t="s">
        <v>14</v>
      </c>
      <c r="H98" s="7" t="s">
        <v>20</v>
      </c>
      <c r="I98" s="6" t="s">
        <v>305</v>
      </c>
      <c r="J98" s="130"/>
      <c r="K98" s="148" t="s">
        <v>306</v>
      </c>
    </row>
    <row r="99" spans="1:11" ht="28.9" customHeight="1" thickTop="1" thickBot="1" x14ac:dyDescent="0.75">
      <c r="A99" s="6">
        <v>97</v>
      </c>
      <c r="B99" s="58" t="str">
        <f>HYPERLINK("https://search.naver.com/search.naver?query=가을의 마티네 영화", "가을의 마티네")</f>
        <v>가을의 마티네</v>
      </c>
      <c r="C99" s="12">
        <v>8.9</v>
      </c>
      <c r="D99" s="13" t="s">
        <v>307</v>
      </c>
      <c r="E99" s="10" t="s">
        <v>19</v>
      </c>
      <c r="F99" s="10">
        <v>2020</v>
      </c>
      <c r="G99" s="10" t="s">
        <v>14</v>
      </c>
      <c r="H99" s="11" t="s">
        <v>165</v>
      </c>
      <c r="I99" s="10" t="s">
        <v>183</v>
      </c>
      <c r="J99" s="131"/>
      <c r="K99" s="149" t="s">
        <v>308</v>
      </c>
    </row>
    <row r="100" spans="1:11" ht="28.9" customHeight="1" thickTop="1" thickBot="1" x14ac:dyDescent="0.75">
      <c r="A100" s="10">
        <v>98</v>
      </c>
      <c r="B100" s="57" t="str">
        <f>HYPERLINK("https://search.naver.com/search.naver?query=가장 따뜻한 색, 블루 영화", "가장 따뜻한 색, 블루")</f>
        <v>가장 따뜻한 색, 블루</v>
      </c>
      <c r="C100" s="8">
        <v>8.77</v>
      </c>
      <c r="D100" s="9" t="s">
        <v>309</v>
      </c>
      <c r="E100" s="6" t="s">
        <v>310</v>
      </c>
      <c r="F100" s="6">
        <v>2013</v>
      </c>
      <c r="G100" s="6" t="s">
        <v>14</v>
      </c>
      <c r="H100" s="7" t="s">
        <v>149</v>
      </c>
      <c r="I100" s="6" t="s">
        <v>311</v>
      </c>
      <c r="J100" s="130"/>
      <c r="K100" s="148" t="s">
        <v>312</v>
      </c>
    </row>
    <row r="101" spans="1:11" ht="28.9" customHeight="1" thickTop="1" thickBot="1" x14ac:dyDescent="0.75">
      <c r="A101" s="6">
        <v>99</v>
      </c>
      <c r="B101" s="58" t="str">
        <f>HYPERLINK("https://search.naver.com/search.naver?query=가장 보통의 연애 영화", "가장 보통의 연애")</f>
        <v>가장 보통의 연애</v>
      </c>
      <c r="C101" s="12">
        <v>8.5299999999999994</v>
      </c>
      <c r="D101" s="13" t="s">
        <v>313</v>
      </c>
      <c r="E101" s="10" t="s">
        <v>13</v>
      </c>
      <c r="F101" s="10">
        <v>2019</v>
      </c>
      <c r="G101" s="10" t="s">
        <v>14</v>
      </c>
      <c r="H101" s="11" t="s">
        <v>165</v>
      </c>
      <c r="I101" s="10" t="s">
        <v>187</v>
      </c>
      <c r="J101" s="131"/>
      <c r="K101" s="149" t="s">
        <v>314</v>
      </c>
    </row>
    <row r="102" spans="1:11" ht="28.9" customHeight="1" thickTop="1" thickBot="1" x14ac:dyDescent="0.75">
      <c r="A102" s="10">
        <v>100</v>
      </c>
      <c r="B102" s="57" t="str">
        <f>HYPERLINK("https://search.naver.com/search.naver?query=가재가 노래하는 곳 영화", "가재가 노래하는 곳")</f>
        <v>가재가 노래하는 곳</v>
      </c>
      <c r="C102" s="8">
        <v>8.17</v>
      </c>
      <c r="D102" s="9" t="s">
        <v>315</v>
      </c>
      <c r="E102" s="6" t="s">
        <v>24</v>
      </c>
      <c r="F102" s="6">
        <v>2022</v>
      </c>
      <c r="G102" s="6" t="s">
        <v>14</v>
      </c>
      <c r="H102" s="7" t="s">
        <v>213</v>
      </c>
      <c r="I102" s="6" t="s">
        <v>316</v>
      </c>
      <c r="J102" s="130"/>
      <c r="K102" s="148" t="s">
        <v>317</v>
      </c>
    </row>
    <row r="103" spans="1:11" ht="28.9" customHeight="1" thickTop="1" thickBot="1" x14ac:dyDescent="0.75">
      <c r="A103" s="6">
        <v>101</v>
      </c>
      <c r="B103" s="58" t="str">
        <f>HYPERLINK("https://search.naver.com/search.naver?query=가족은 괴로워 2 영화", "가족은 괴로워 2")</f>
        <v>가족은 괴로워 2</v>
      </c>
      <c r="C103" s="12">
        <v>6</v>
      </c>
      <c r="D103" s="13" t="s">
        <v>318</v>
      </c>
      <c r="E103" s="10" t="s">
        <v>19</v>
      </c>
      <c r="F103" s="10">
        <v>2017</v>
      </c>
      <c r="G103" s="10" t="s">
        <v>14</v>
      </c>
      <c r="H103" s="11" t="s">
        <v>97</v>
      </c>
      <c r="I103" s="10" t="s">
        <v>98</v>
      </c>
      <c r="J103" s="131"/>
      <c r="K103" s="149" t="s">
        <v>319</v>
      </c>
    </row>
    <row r="104" spans="1:11" ht="28.9" customHeight="1" thickTop="1" thickBot="1" x14ac:dyDescent="0.75">
      <c r="A104" s="10">
        <v>102</v>
      </c>
      <c r="B104" s="57" t="str">
        <f>HYPERLINK("https://search.naver.com/search.naver?query=가족은 괴로워3 영화", "가족은 괴로워3")</f>
        <v>가족은 괴로워3</v>
      </c>
      <c r="C104" s="8">
        <v>9.8000000000000007</v>
      </c>
      <c r="D104" s="9" t="s">
        <v>318</v>
      </c>
      <c r="E104" s="6" t="s">
        <v>19</v>
      </c>
      <c r="F104" s="6">
        <v>2021</v>
      </c>
      <c r="G104" s="6" t="s">
        <v>14</v>
      </c>
      <c r="H104" s="7" t="s">
        <v>97</v>
      </c>
      <c r="I104" s="6" t="s">
        <v>76</v>
      </c>
      <c r="J104" s="130"/>
      <c r="K104" s="148" t="s">
        <v>320</v>
      </c>
    </row>
    <row r="105" spans="1:11" ht="28.9" customHeight="1" thickTop="1" thickBot="1" x14ac:dyDescent="0.75">
      <c r="A105" s="6">
        <v>103</v>
      </c>
      <c r="B105" s="58" t="str">
        <f>HYPERLINK("https://search.naver.com/search.naver?query=가족의 나라 영화", "가족의 나라")</f>
        <v>가족의 나라</v>
      </c>
      <c r="C105" s="12">
        <v>8.81</v>
      </c>
      <c r="D105" s="13" t="s">
        <v>321</v>
      </c>
      <c r="E105" s="10" t="s">
        <v>19</v>
      </c>
      <c r="F105" s="10">
        <v>2013</v>
      </c>
      <c r="G105" s="10" t="s">
        <v>14</v>
      </c>
      <c r="H105" s="11" t="s">
        <v>20</v>
      </c>
      <c r="I105" s="10" t="s">
        <v>179</v>
      </c>
      <c r="J105" s="131"/>
      <c r="K105" s="149" t="s">
        <v>322</v>
      </c>
    </row>
    <row r="106" spans="1:11" ht="28.9" customHeight="1" thickTop="1" thickBot="1" x14ac:dyDescent="0.75">
      <c r="A106" s="10">
        <v>104</v>
      </c>
      <c r="B106" s="57" t="str">
        <f>HYPERLINK("https://search.naver.com/search.naver?query=가족의 색깔 영화", "가족의 색깔")</f>
        <v>가족의 색깔</v>
      </c>
      <c r="C106" s="8">
        <v>7.5</v>
      </c>
      <c r="D106" s="9" t="s">
        <v>323</v>
      </c>
      <c r="E106" s="6" t="s">
        <v>19</v>
      </c>
      <c r="F106" s="6">
        <v>2021</v>
      </c>
      <c r="G106" s="6" t="s">
        <v>14</v>
      </c>
      <c r="H106" s="7" t="s">
        <v>20</v>
      </c>
      <c r="I106" s="6" t="s">
        <v>195</v>
      </c>
      <c r="J106" s="130"/>
      <c r="K106" s="148" t="s">
        <v>324</v>
      </c>
    </row>
    <row r="107" spans="1:11" ht="28.9" customHeight="1" thickTop="1" thickBot="1" x14ac:dyDescent="0.75">
      <c r="A107" s="6">
        <v>105</v>
      </c>
      <c r="B107" s="58" t="str">
        <f>HYPERLINK("https://search.naver.com/search.naver?query=가족의 탄생 영화", "가족의 탄생")</f>
        <v>가족의 탄생</v>
      </c>
      <c r="C107" s="12">
        <v>8.59</v>
      </c>
      <c r="D107" s="13" t="s">
        <v>325</v>
      </c>
      <c r="E107" s="10" t="s">
        <v>13</v>
      </c>
      <c r="F107" s="10">
        <v>2006</v>
      </c>
      <c r="G107" s="10" t="s">
        <v>14</v>
      </c>
      <c r="H107" s="11" t="s">
        <v>20</v>
      </c>
      <c r="I107" s="10" t="s">
        <v>98</v>
      </c>
      <c r="J107" s="131"/>
      <c r="K107" s="149" t="s">
        <v>326</v>
      </c>
    </row>
    <row r="108" spans="1:11" ht="28.9" customHeight="1" thickTop="1" thickBot="1" x14ac:dyDescent="0.75">
      <c r="A108" s="10">
        <v>106</v>
      </c>
      <c r="B108" s="57" t="str">
        <f>HYPERLINK("https://search.naver.com/search.naver?query=간기남 영화", "간기남")</f>
        <v>간기남</v>
      </c>
      <c r="C108" s="8">
        <v>6.92</v>
      </c>
      <c r="D108" s="9" t="s">
        <v>327</v>
      </c>
      <c r="E108" s="6" t="s">
        <v>13</v>
      </c>
      <c r="F108" s="6">
        <v>2012</v>
      </c>
      <c r="G108" s="6" t="s">
        <v>14</v>
      </c>
      <c r="H108" s="7" t="s">
        <v>328</v>
      </c>
      <c r="I108" s="6" t="s">
        <v>329</v>
      </c>
      <c r="J108" s="130"/>
      <c r="K108" s="148" t="s">
        <v>330</v>
      </c>
    </row>
    <row r="109" spans="1:11" ht="28.9" customHeight="1" thickTop="1" thickBot="1" x14ac:dyDescent="0.75">
      <c r="A109" s="6">
        <v>107</v>
      </c>
      <c r="B109" s="58" t="str">
        <f>HYPERLINK("https://search.naver.com/search.naver?query=영화 간첩", "간첩")</f>
        <v>간첩</v>
      </c>
      <c r="C109" s="12">
        <v>7.15</v>
      </c>
      <c r="D109" s="13" t="s">
        <v>331</v>
      </c>
      <c r="E109" s="10" t="s">
        <v>13</v>
      </c>
      <c r="F109" s="10">
        <v>2012</v>
      </c>
      <c r="G109" s="10" t="s">
        <v>14</v>
      </c>
      <c r="H109" s="11" t="s">
        <v>332</v>
      </c>
      <c r="I109" s="10" t="s">
        <v>60</v>
      </c>
      <c r="J109" s="131"/>
      <c r="K109" s="149" t="s">
        <v>333</v>
      </c>
    </row>
    <row r="110" spans="1:11" ht="28.9" customHeight="1" thickTop="1" thickBot="1" x14ac:dyDescent="0.75">
      <c r="A110" s="10">
        <v>108</v>
      </c>
      <c r="B110" s="57" t="str">
        <f>HYPERLINK("https://search.naver.com/search.naver?query=감각 그녀의 초상 영화", "감각-그녀의 초상")</f>
        <v>감각-그녀의 초상</v>
      </c>
      <c r="C110" s="8">
        <v>8</v>
      </c>
      <c r="D110" s="9" t="s">
        <v>334</v>
      </c>
      <c r="E110" s="6" t="s">
        <v>19</v>
      </c>
      <c r="F110" s="6">
        <v>2018</v>
      </c>
      <c r="G110" s="6" t="s">
        <v>14</v>
      </c>
      <c r="H110" s="7" t="s">
        <v>20</v>
      </c>
      <c r="I110" s="6" t="s">
        <v>38</v>
      </c>
      <c r="J110" s="130"/>
      <c r="K110" s="148" t="s">
        <v>335</v>
      </c>
    </row>
    <row r="111" spans="1:11" ht="28.9" customHeight="1" thickTop="1" thickBot="1" x14ac:dyDescent="0.75">
      <c r="A111" s="6">
        <v>109</v>
      </c>
      <c r="B111" s="58" t="str">
        <f>HYPERLINK("https://search.naver.com/search.naver?query=감기 영화", "감기")</f>
        <v>감기</v>
      </c>
      <c r="C111" s="12">
        <v>6.92</v>
      </c>
      <c r="D111" s="13" t="s">
        <v>336</v>
      </c>
      <c r="E111" s="10" t="s">
        <v>13</v>
      </c>
      <c r="F111" s="10">
        <v>2013</v>
      </c>
      <c r="G111" s="10" t="s">
        <v>14</v>
      </c>
      <c r="H111" s="11" t="s">
        <v>337</v>
      </c>
      <c r="I111" s="10" t="s">
        <v>141</v>
      </c>
      <c r="J111" s="131"/>
      <c r="K111" s="149" t="s">
        <v>338</v>
      </c>
    </row>
    <row r="112" spans="1:11" ht="28.9" customHeight="1" thickTop="1" thickBot="1" x14ac:dyDescent="0.75">
      <c r="A112" s="10">
        <v>110</v>
      </c>
      <c r="B112" s="57" t="str">
        <f>HYPERLINK("https://search.naver.com/search.naver?query=감시자들 영화", "감시자들")</f>
        <v>감시자들</v>
      </c>
      <c r="C112" s="8">
        <v>7.75</v>
      </c>
      <c r="D112" s="9" t="s">
        <v>339</v>
      </c>
      <c r="E112" s="6" t="s">
        <v>13</v>
      </c>
      <c r="F112" s="6">
        <v>2013</v>
      </c>
      <c r="G112" s="6" t="s">
        <v>14</v>
      </c>
      <c r="H112" s="7" t="s">
        <v>108</v>
      </c>
      <c r="I112" s="6" t="s">
        <v>68</v>
      </c>
      <c r="J112" s="130"/>
      <c r="K112" s="148" t="s">
        <v>340</v>
      </c>
    </row>
    <row r="113" spans="1:11" ht="28.9" customHeight="1" thickTop="1" thickBot="1" x14ac:dyDescent="0.75">
      <c r="A113" s="6">
        <v>111</v>
      </c>
      <c r="B113" s="58" t="str">
        <f>HYPERLINK("https://search.naver.com/search.naver?query=갓 블레스 아메리카 영화", "갓 블레스 아메리카")</f>
        <v>갓 블레스 아메리카</v>
      </c>
      <c r="C113" s="12">
        <v>8.08</v>
      </c>
      <c r="D113" s="13" t="s">
        <v>341</v>
      </c>
      <c r="E113" s="10" t="s">
        <v>24</v>
      </c>
      <c r="F113" s="10">
        <v>2011</v>
      </c>
      <c r="G113" s="10" t="s">
        <v>14</v>
      </c>
      <c r="H113" s="11" t="s">
        <v>342</v>
      </c>
      <c r="I113" s="10" t="s">
        <v>175</v>
      </c>
      <c r="J113" s="131"/>
      <c r="K113" s="149" t="s">
        <v>343</v>
      </c>
    </row>
    <row r="114" spans="1:11" ht="28.9" customHeight="1" thickTop="1" thickBot="1" x14ac:dyDescent="0.75">
      <c r="A114" s="10">
        <v>112</v>
      </c>
      <c r="B114" s="57" t="str">
        <f>HYPERLINK("https://search.naver.com/search.naver?query=갓즈 포켓 영화", "갓즈 포켓")</f>
        <v>갓즈 포켓</v>
      </c>
      <c r="C114" s="8">
        <v>7.5</v>
      </c>
      <c r="D114" s="9" t="s">
        <v>344</v>
      </c>
      <c r="E114" s="6" t="s">
        <v>24</v>
      </c>
      <c r="F114" s="6">
        <v>2014</v>
      </c>
      <c r="G114" s="6" t="s">
        <v>14</v>
      </c>
      <c r="H114" s="7" t="s">
        <v>115</v>
      </c>
      <c r="I114" s="6" t="s">
        <v>345</v>
      </c>
      <c r="J114" s="130"/>
      <c r="K114" s="148" t="s">
        <v>346</v>
      </c>
    </row>
    <row r="115" spans="1:11" ht="28.9" customHeight="1" thickTop="1" thickBot="1" x14ac:dyDescent="0.75">
      <c r="A115" s="6">
        <v>113</v>
      </c>
      <c r="B115" s="58" t="str">
        <f>HYPERLINK("https://search.naver.com/search.naver?query=영화 강남1970", "강남 1970")</f>
        <v>강남 1970</v>
      </c>
      <c r="C115" s="12">
        <v>7.76</v>
      </c>
      <c r="D115" s="13" t="s">
        <v>347</v>
      </c>
      <c r="E115" s="10" t="s">
        <v>13</v>
      </c>
      <c r="F115" s="10">
        <v>2015</v>
      </c>
      <c r="G115" s="10" t="s">
        <v>14</v>
      </c>
      <c r="H115" s="11" t="s">
        <v>20</v>
      </c>
      <c r="I115" s="10" t="s">
        <v>51</v>
      </c>
      <c r="J115" s="131"/>
      <c r="K115" s="149" t="s">
        <v>348</v>
      </c>
    </row>
    <row r="116" spans="1:11" ht="28.9" customHeight="1" thickTop="1" thickBot="1" x14ac:dyDescent="0.75">
      <c r="A116" s="10">
        <v>114</v>
      </c>
      <c r="B116" s="57" t="str">
        <f>HYPERLINK("https://search.naver.com/search.naver?query=영화 강릉", "강릉")</f>
        <v>강릉</v>
      </c>
      <c r="C116" s="8">
        <v>6.63</v>
      </c>
      <c r="D116" s="9" t="s">
        <v>349</v>
      </c>
      <c r="E116" s="6" t="s">
        <v>13</v>
      </c>
      <c r="F116" s="6">
        <v>2021</v>
      </c>
      <c r="G116" s="6" t="s">
        <v>14</v>
      </c>
      <c r="H116" s="7" t="s">
        <v>108</v>
      </c>
      <c r="I116" s="6" t="s">
        <v>68</v>
      </c>
      <c r="J116" s="130"/>
      <c r="K116" s="148" t="s">
        <v>350</v>
      </c>
    </row>
    <row r="117" spans="1:11" ht="28.9" customHeight="1" thickTop="1" thickBot="1" x14ac:dyDescent="0.75">
      <c r="A117" s="6">
        <v>115</v>
      </c>
      <c r="B117" s="58" t="str">
        <f>HYPERLINK("https://search.daum.net/search?nil_suggest=btn&amp;w=tot&amp;DA=SBC&amp;q=%EA%B0%95%EC%95%84%EC%A7%80%EC%99%80+%EB%82%98%EC%9D%98+10%EA%B0%80%EC%A7%80+%EC%95%BD%EC%86%8D+%EC%98%81%ED%99%94", "강아지와 나의 10가지 약속")</f>
        <v>강아지와 나의 10가지 약속</v>
      </c>
      <c r="C117" s="12">
        <v>6.3</v>
      </c>
      <c r="D117" s="13"/>
      <c r="E117" s="10" t="s">
        <v>19</v>
      </c>
      <c r="F117" s="10">
        <v>2008</v>
      </c>
      <c r="G117" s="10" t="s">
        <v>14</v>
      </c>
      <c r="H117" s="11" t="s">
        <v>20</v>
      </c>
      <c r="I117" s="10" t="s">
        <v>120</v>
      </c>
      <c r="J117" s="131"/>
      <c r="K117" s="149" t="s">
        <v>351</v>
      </c>
    </row>
    <row r="118" spans="1:11" ht="28.9" customHeight="1" thickTop="1" thickBot="1" x14ac:dyDescent="0.75">
      <c r="A118" s="10">
        <v>116</v>
      </c>
      <c r="B118" s="57" t="str">
        <f>HYPERLINK("https://search.naver.com/search.naver?query=강철대오:구국의 철가방 영화", "강철대오 - 구국의 철가방")</f>
        <v>강철대오 - 구국의 철가방</v>
      </c>
      <c r="C118" s="8">
        <v>6.5</v>
      </c>
      <c r="D118" s="9" t="s">
        <v>352</v>
      </c>
      <c r="E118" s="6" t="s">
        <v>13</v>
      </c>
      <c r="F118" s="6">
        <v>2012</v>
      </c>
      <c r="G118" s="6" t="s">
        <v>14</v>
      </c>
      <c r="H118" s="7" t="s">
        <v>124</v>
      </c>
      <c r="I118" s="6" t="s">
        <v>98</v>
      </c>
      <c r="J118" s="130"/>
      <c r="K118" s="148" t="s">
        <v>353</v>
      </c>
    </row>
    <row r="119" spans="1:11" ht="28.9" customHeight="1" thickTop="1" thickBot="1" x14ac:dyDescent="0.75">
      <c r="A119" s="6">
        <v>117</v>
      </c>
      <c r="B119" s="58" t="str">
        <f>HYPERLINK("https://search.naver.com/search.naver?query=강철비 영화", "강철비")</f>
        <v>강철비</v>
      </c>
      <c r="C119" s="12">
        <v>7.92</v>
      </c>
      <c r="D119" s="13" t="s">
        <v>354</v>
      </c>
      <c r="E119" s="10" t="s">
        <v>13</v>
      </c>
      <c r="F119" s="10">
        <v>2017</v>
      </c>
      <c r="G119" s="10" t="s">
        <v>14</v>
      </c>
      <c r="H119" s="11" t="s">
        <v>355</v>
      </c>
      <c r="I119" s="10" t="s">
        <v>356</v>
      </c>
      <c r="J119" s="131"/>
      <c r="K119" s="149" t="s">
        <v>357</v>
      </c>
    </row>
    <row r="120" spans="1:11" ht="28.9" customHeight="1" thickTop="1" thickBot="1" x14ac:dyDescent="0.75">
      <c r="A120" s="10">
        <v>118</v>
      </c>
      <c r="B120" s="57" t="str">
        <f>HYPERLINK("https://search.naver.com/search.naver?query=강철비2:정상회담 영화", "강철비2-정상회담")</f>
        <v>강철비2-정상회담</v>
      </c>
      <c r="C120" s="8">
        <v>7.96</v>
      </c>
      <c r="D120" s="9" t="s">
        <v>358</v>
      </c>
      <c r="E120" s="6" t="s">
        <v>13</v>
      </c>
      <c r="F120" s="6">
        <v>2019</v>
      </c>
      <c r="G120" s="6" t="s">
        <v>14</v>
      </c>
      <c r="H120" s="7" t="s">
        <v>355</v>
      </c>
      <c r="I120" s="6" t="s">
        <v>356</v>
      </c>
      <c r="J120" s="130"/>
      <c r="K120" s="148" t="s">
        <v>359</v>
      </c>
    </row>
    <row r="121" spans="1:11" ht="28.9" customHeight="1" thickTop="1" thickBot="1" x14ac:dyDescent="0.75">
      <c r="A121" s="6">
        <v>119</v>
      </c>
      <c r="B121" s="58" t="str">
        <f>HYPERLINK("https://search.naver.com/search.naver?query=갤버스턴 영화", "갤버스턴")</f>
        <v>갤버스턴</v>
      </c>
      <c r="C121" s="12">
        <v>8</v>
      </c>
      <c r="D121" s="13" t="s">
        <v>360</v>
      </c>
      <c r="E121" s="10" t="s">
        <v>24</v>
      </c>
      <c r="F121" s="10">
        <v>2018</v>
      </c>
      <c r="G121" s="10" t="s">
        <v>14</v>
      </c>
      <c r="H121" s="11" t="s">
        <v>108</v>
      </c>
      <c r="I121" s="10" t="s">
        <v>361</v>
      </c>
      <c r="J121" s="131"/>
      <c r="K121" s="149" t="s">
        <v>362</v>
      </c>
    </row>
    <row r="122" spans="1:11" ht="28.9" customHeight="1" thickTop="1" thickBot="1" x14ac:dyDescent="0.75">
      <c r="A122" s="10">
        <v>120</v>
      </c>
      <c r="B122" s="59" t="str">
        <f>HYPERLINK("https://search.naver.com/search.naver?query=갱스 오브 런던 시즌1", "갱스 오브 런던 시즌1")</f>
        <v>갱스 오브 런던 시즌1</v>
      </c>
      <c r="C122" s="16"/>
      <c r="D122" s="17" t="s">
        <v>363</v>
      </c>
      <c r="E122" s="14" t="s">
        <v>29</v>
      </c>
      <c r="F122" s="14">
        <v>2020</v>
      </c>
      <c r="G122" s="14" t="s">
        <v>20</v>
      </c>
      <c r="H122" s="15" t="s">
        <v>229</v>
      </c>
      <c r="I122" s="14" t="s">
        <v>364</v>
      </c>
      <c r="J122" s="132"/>
      <c r="K122" s="150" t="s">
        <v>365</v>
      </c>
    </row>
    <row r="123" spans="1:11" ht="28.9" customHeight="1" thickTop="1" thickBot="1" x14ac:dyDescent="0.75">
      <c r="A123" s="6">
        <v>121</v>
      </c>
      <c r="B123" s="59" t="str">
        <f>HYPERLINK("https://search.naver.com/search.naver?query=갱스 오브 런던 시즌2", "갱스 오브 런던 시즌2")</f>
        <v>갱스 오브 런던 시즌2</v>
      </c>
      <c r="C123" s="16"/>
      <c r="D123" s="17" t="s">
        <v>363</v>
      </c>
      <c r="E123" s="14" t="s">
        <v>29</v>
      </c>
      <c r="F123" s="14">
        <v>2022</v>
      </c>
      <c r="G123" s="14" t="s">
        <v>20</v>
      </c>
      <c r="H123" s="15" t="s">
        <v>229</v>
      </c>
      <c r="I123" s="14" t="s">
        <v>71</v>
      </c>
      <c r="J123" s="132"/>
      <c r="K123" s="150" t="s">
        <v>366</v>
      </c>
    </row>
    <row r="124" spans="1:11" ht="28.9" customHeight="1" thickTop="1" thickBot="1" x14ac:dyDescent="0.75">
      <c r="A124" s="10">
        <v>122</v>
      </c>
      <c r="B124" s="57" t="str">
        <f>HYPERLINK("https://search.naver.com/search.naver?query=갱스터 스쿼드 영화", "갱스터 스쿼드")</f>
        <v>갱스터 스쿼드</v>
      </c>
      <c r="C124" s="8">
        <v>6.4</v>
      </c>
      <c r="D124" s="9" t="s">
        <v>367</v>
      </c>
      <c r="E124" s="6" t="s">
        <v>24</v>
      </c>
      <c r="F124" s="6">
        <v>2013</v>
      </c>
      <c r="G124" s="6" t="s">
        <v>14</v>
      </c>
      <c r="H124" s="7" t="s">
        <v>108</v>
      </c>
      <c r="I124" s="6" t="s">
        <v>98</v>
      </c>
      <c r="J124" s="130"/>
      <c r="K124" s="148" t="s">
        <v>368</v>
      </c>
    </row>
    <row r="125" spans="1:11" ht="28.9" customHeight="1" thickTop="1" thickBot="1" x14ac:dyDescent="0.75">
      <c r="A125" s="6">
        <v>123</v>
      </c>
      <c r="B125" s="58" t="str">
        <f>HYPERLINK("https://search.naver.com/search.naver?query=거꾸로 가는 남자", "거꾸로 가는 남자")</f>
        <v>거꾸로 가는 남자</v>
      </c>
      <c r="C125" s="12">
        <v>6.5</v>
      </c>
      <c r="D125" s="13" t="s">
        <v>369</v>
      </c>
      <c r="E125" s="10" t="s">
        <v>310</v>
      </c>
      <c r="F125" s="10">
        <v>2018</v>
      </c>
      <c r="G125" s="10" t="s">
        <v>14</v>
      </c>
      <c r="H125" s="11" t="s">
        <v>20</v>
      </c>
      <c r="I125" s="10" t="s">
        <v>46</v>
      </c>
      <c r="J125" s="131"/>
      <c r="K125" s="149" t="s">
        <v>370</v>
      </c>
    </row>
    <row r="126" spans="1:11" ht="28.9" customHeight="1" thickTop="1" thickBot="1" x14ac:dyDescent="0.75">
      <c r="A126" s="10">
        <v>124</v>
      </c>
      <c r="B126" s="57" t="str">
        <f>HYPERLINK("https://search.naver.com/search.naver?query=거룩한 계보 영화", "거룩한 계보")</f>
        <v>거룩한 계보</v>
      </c>
      <c r="C126" s="8">
        <v>7.51</v>
      </c>
      <c r="D126" s="9" t="s">
        <v>371</v>
      </c>
      <c r="E126" s="6" t="s">
        <v>13</v>
      </c>
      <c r="F126" s="6">
        <v>2006</v>
      </c>
      <c r="G126" s="6" t="s">
        <v>14</v>
      </c>
      <c r="H126" s="7" t="s">
        <v>20</v>
      </c>
      <c r="I126" s="6" t="s">
        <v>105</v>
      </c>
      <c r="J126" s="130"/>
      <c r="K126" s="148" t="s">
        <v>372</v>
      </c>
    </row>
    <row r="127" spans="1:11" ht="28.9" customHeight="1" thickTop="1" thickBot="1" x14ac:dyDescent="0.75">
      <c r="A127" s="6">
        <v>125</v>
      </c>
      <c r="B127" s="58" t="str">
        <f>HYPERLINK("https://search.naver.com/search.naver?query=거룩한 분노 영화", "거룩한 분노")</f>
        <v>거룩한 분노</v>
      </c>
      <c r="C127" s="12">
        <v>9.17</v>
      </c>
      <c r="D127" s="13" t="s">
        <v>373</v>
      </c>
      <c r="E127" s="10" t="s">
        <v>374</v>
      </c>
      <c r="F127" s="10">
        <v>2017</v>
      </c>
      <c r="G127" s="10" t="s">
        <v>14</v>
      </c>
      <c r="H127" s="11" t="s">
        <v>124</v>
      </c>
      <c r="I127" s="10" t="s">
        <v>169</v>
      </c>
      <c r="J127" s="131"/>
      <c r="K127" s="149" t="s">
        <v>375</v>
      </c>
    </row>
    <row r="128" spans="1:11" ht="28.9" customHeight="1" thickTop="1" thickBot="1" x14ac:dyDescent="0.75">
      <c r="A128" s="10">
        <v>126</v>
      </c>
      <c r="B128" s="57" t="str">
        <f>HYPERLINK("https://search.naver.com/search.naver?query=거미줄에 걸린 소녀 영화", "거미줄에 걸린 소녀")</f>
        <v>거미줄에 걸린 소녀</v>
      </c>
      <c r="C128" s="8">
        <v>8.6300000000000008</v>
      </c>
      <c r="D128" s="9" t="s">
        <v>376</v>
      </c>
      <c r="E128" s="6" t="s">
        <v>24</v>
      </c>
      <c r="F128" s="6">
        <v>2018</v>
      </c>
      <c r="G128" s="6" t="s">
        <v>14</v>
      </c>
      <c r="H128" s="7" t="s">
        <v>108</v>
      </c>
      <c r="I128" s="6" t="s">
        <v>60</v>
      </c>
      <c r="J128" s="130"/>
      <c r="K128" s="148" t="s">
        <v>377</v>
      </c>
    </row>
    <row r="129" spans="1:11" ht="28.9" customHeight="1" thickTop="1" thickBot="1" x14ac:dyDescent="0.75">
      <c r="A129" s="6">
        <v>127</v>
      </c>
      <c r="B129" s="58" t="str">
        <f>HYPERLINK("https://search.naver.com/search.naver?query=거북이 달린다 영화", "거북이 달린다")</f>
        <v>거북이 달린다</v>
      </c>
      <c r="C129" s="12">
        <v>8.42</v>
      </c>
      <c r="D129" s="13" t="s">
        <v>378</v>
      </c>
      <c r="E129" s="10" t="s">
        <v>13</v>
      </c>
      <c r="F129" s="10">
        <v>2009</v>
      </c>
      <c r="G129" s="10" t="s">
        <v>14</v>
      </c>
      <c r="H129" s="11" t="s">
        <v>379</v>
      </c>
      <c r="I129" s="10" t="s">
        <v>120</v>
      </c>
      <c r="J129" s="131"/>
      <c r="K129" s="149" t="s">
        <v>380</v>
      </c>
    </row>
    <row r="130" spans="1:11" ht="28.9" customHeight="1" thickTop="1" thickBot="1" x14ac:dyDescent="0.75">
      <c r="A130" s="10">
        <v>128</v>
      </c>
      <c r="B130" s="57" t="str">
        <f>HYPERLINK("https://search.naver.com/search.naver?query=거짓 혹은 진실 영화", "거짓 혹은 진실")</f>
        <v>거짓 혹은 진실</v>
      </c>
      <c r="C130" s="8">
        <v>8.42</v>
      </c>
      <c r="D130" s="9" t="s">
        <v>381</v>
      </c>
      <c r="E130" s="6" t="s">
        <v>24</v>
      </c>
      <c r="F130" s="6">
        <v>2008</v>
      </c>
      <c r="G130" s="6" t="s">
        <v>14</v>
      </c>
      <c r="H130" s="7" t="s">
        <v>382</v>
      </c>
      <c r="I130" s="6" t="s">
        <v>133</v>
      </c>
      <c r="J130" s="130"/>
      <c r="K130" s="148" t="s">
        <v>383</v>
      </c>
    </row>
    <row r="131" spans="1:11" ht="28.9" customHeight="1" thickTop="1" thickBot="1" x14ac:dyDescent="0.75">
      <c r="A131" s="6">
        <v>129</v>
      </c>
      <c r="B131" s="58" t="str">
        <f>HYPERLINK("https://search.naver.com/search.naver?query=거짓말을 사랑하는 여자 영화", "거짓말을 사랑하는 여자")</f>
        <v>거짓말을 사랑하는 여자</v>
      </c>
      <c r="C131" s="12">
        <v>6.4</v>
      </c>
      <c r="D131" s="13" t="s">
        <v>384</v>
      </c>
      <c r="E131" s="10" t="s">
        <v>19</v>
      </c>
      <c r="F131" s="10">
        <v>2017</v>
      </c>
      <c r="G131" s="10" t="s">
        <v>14</v>
      </c>
      <c r="H131" s="11" t="s">
        <v>165</v>
      </c>
      <c r="I131" s="10" t="s">
        <v>68</v>
      </c>
      <c r="J131" s="131"/>
      <c r="K131" s="149" t="s">
        <v>385</v>
      </c>
    </row>
    <row r="132" spans="1:11" ht="28.9" customHeight="1" thickTop="1" thickBot="1" x14ac:dyDescent="0.75">
      <c r="A132" s="10">
        <v>130</v>
      </c>
      <c r="B132" s="57" t="str">
        <f>HYPERLINK("https://search.naver.com/search.naver?query=건축학개론 영화", "건축학개론")</f>
        <v>건축학개론</v>
      </c>
      <c r="C132" s="8">
        <v>10</v>
      </c>
      <c r="D132" s="9" t="s">
        <v>386</v>
      </c>
      <c r="E132" s="6" t="s">
        <v>13</v>
      </c>
      <c r="F132" s="6">
        <v>2012</v>
      </c>
      <c r="G132" s="6" t="s">
        <v>14</v>
      </c>
      <c r="H132" s="7" t="s">
        <v>165</v>
      </c>
      <c r="I132" s="6" t="s">
        <v>329</v>
      </c>
      <c r="J132" s="130"/>
      <c r="K132" s="148" t="s">
        <v>387</v>
      </c>
    </row>
    <row r="133" spans="1:11" ht="28.9" customHeight="1" thickTop="1" thickBot="1" x14ac:dyDescent="0.75">
      <c r="A133" s="6">
        <v>131</v>
      </c>
      <c r="B133" s="58" t="str">
        <f>HYPERLINK("https://search.naver.com/search.naver?query=걸리버 여행기 영화", "걸리버 여행기")</f>
        <v>걸리버 여행기</v>
      </c>
      <c r="C133" s="12">
        <v>5.75</v>
      </c>
      <c r="D133" s="13" t="s">
        <v>388</v>
      </c>
      <c r="E133" s="10" t="s">
        <v>24</v>
      </c>
      <c r="F133" s="10">
        <v>2010</v>
      </c>
      <c r="G133" s="10" t="s">
        <v>14</v>
      </c>
      <c r="H133" s="11" t="s">
        <v>389</v>
      </c>
      <c r="I133" s="10" t="s">
        <v>46</v>
      </c>
      <c r="J133" s="131"/>
      <c r="K133" s="149" t="s">
        <v>390</v>
      </c>
    </row>
    <row r="134" spans="1:11" ht="28.9" customHeight="1" thickTop="1" thickBot="1" x14ac:dyDescent="0.75">
      <c r="A134" s="10">
        <v>132</v>
      </c>
      <c r="B134" s="57" t="str">
        <f>HYPERLINK("https://search.naver.com/search.naver?query=걸캅스 영화", "걸캅스")</f>
        <v>걸캅스</v>
      </c>
      <c r="C134" s="8">
        <v>9.01</v>
      </c>
      <c r="D134" s="9" t="s">
        <v>391</v>
      </c>
      <c r="E134" s="6" t="s">
        <v>13</v>
      </c>
      <c r="F134" s="6">
        <v>2018</v>
      </c>
      <c r="G134" s="6" t="s">
        <v>14</v>
      </c>
      <c r="H134" s="7" t="s">
        <v>332</v>
      </c>
      <c r="I134" s="6" t="s">
        <v>101</v>
      </c>
      <c r="J134" s="130"/>
      <c r="K134" s="148" t="s">
        <v>392</v>
      </c>
    </row>
    <row r="135" spans="1:11" ht="28.9" customHeight="1" thickTop="1" thickBot="1" x14ac:dyDescent="0.75">
      <c r="A135" s="6">
        <v>133</v>
      </c>
      <c r="B135" s="58" t="str">
        <f>HYPERLINK("https://search.naver.com/search.naver?query=검객 영화", "검객")</f>
        <v>검객</v>
      </c>
      <c r="C135" s="12">
        <v>8.6199999999999992</v>
      </c>
      <c r="D135" s="13" t="s">
        <v>393</v>
      </c>
      <c r="E135" s="10" t="s">
        <v>13</v>
      </c>
      <c r="F135" s="10">
        <v>2020</v>
      </c>
      <c r="G135" s="10" t="s">
        <v>14</v>
      </c>
      <c r="H135" s="11" t="s">
        <v>394</v>
      </c>
      <c r="I135" s="10" t="s">
        <v>179</v>
      </c>
      <c r="J135" s="131"/>
      <c r="K135" s="149" t="s">
        <v>395</v>
      </c>
    </row>
    <row r="136" spans="1:11" ht="28.9" customHeight="1" thickTop="1" thickBot="1" x14ac:dyDescent="0.75">
      <c r="A136" s="10">
        <v>134</v>
      </c>
      <c r="B136" s="57" t="str">
        <f>HYPERLINK("https://search.naver.com/search.naver?query=검사외전 영화", "검사외전")</f>
        <v>검사외전</v>
      </c>
      <c r="C136" s="8">
        <v>8.56</v>
      </c>
      <c r="D136" s="9" t="s">
        <v>396</v>
      </c>
      <c r="E136" s="6" t="s">
        <v>13</v>
      </c>
      <c r="F136" s="6">
        <v>2015</v>
      </c>
      <c r="G136" s="6" t="s">
        <v>14</v>
      </c>
      <c r="H136" s="7" t="s">
        <v>379</v>
      </c>
      <c r="I136" s="6" t="s">
        <v>105</v>
      </c>
      <c r="J136" s="130"/>
      <c r="K136" s="148" t="s">
        <v>397</v>
      </c>
    </row>
    <row r="137" spans="1:11" ht="28.9" customHeight="1" thickTop="1" thickBot="1" x14ac:dyDescent="0.75">
      <c r="A137" s="6">
        <v>135</v>
      </c>
      <c r="B137" s="58" t="str">
        <f>HYPERLINK("https://search.naver.com/search.naver?query=검우강호 영화", "검우강호")</f>
        <v>검우강호</v>
      </c>
      <c r="C137" s="12">
        <v>7.53</v>
      </c>
      <c r="D137" s="13" t="s">
        <v>398</v>
      </c>
      <c r="E137" s="10" t="s">
        <v>123</v>
      </c>
      <c r="F137" s="10">
        <v>2010</v>
      </c>
      <c r="G137" s="10" t="s">
        <v>14</v>
      </c>
      <c r="H137" s="11" t="s">
        <v>124</v>
      </c>
      <c r="I137" s="10" t="s">
        <v>109</v>
      </c>
      <c r="J137" s="131"/>
      <c r="K137" s="149" t="s">
        <v>399</v>
      </c>
    </row>
    <row r="138" spans="1:11" ht="28.9" customHeight="1" thickTop="1" thickBot="1" x14ac:dyDescent="0.75">
      <c r="A138" s="10">
        <v>136</v>
      </c>
      <c r="B138" s="57" t="str">
        <f>HYPERLINK("https://search.naver.com/search.naver?query=검은 수녀들 영화", "검은 수녀들")</f>
        <v>검은 수녀들</v>
      </c>
      <c r="C138" s="8">
        <v>6.2</v>
      </c>
      <c r="D138" s="9" t="s">
        <v>400</v>
      </c>
      <c r="E138" s="6" t="s">
        <v>13</v>
      </c>
      <c r="F138" s="6">
        <v>2025</v>
      </c>
      <c r="G138" s="6" t="s">
        <v>14</v>
      </c>
      <c r="H138" s="7" t="s">
        <v>401</v>
      </c>
      <c r="I138" s="6" t="s">
        <v>305</v>
      </c>
      <c r="J138" s="130"/>
      <c r="K138" s="148" t="s">
        <v>402</v>
      </c>
    </row>
    <row r="139" spans="1:11" ht="28.9" customHeight="1" thickTop="1" thickBot="1" x14ac:dyDescent="0.75">
      <c r="A139" s="6">
        <v>137</v>
      </c>
      <c r="B139" s="58" t="str">
        <f>HYPERLINK("https://search.naver.com/search.naver?query=영화 검은사제들", "검은사제들")</f>
        <v>검은사제들</v>
      </c>
      <c r="C139" s="12">
        <v>8.5500000000000007</v>
      </c>
      <c r="D139" s="13" t="s">
        <v>403</v>
      </c>
      <c r="E139" s="10" t="s">
        <v>13</v>
      </c>
      <c r="F139" s="10">
        <v>2015</v>
      </c>
      <c r="G139" s="10" t="s">
        <v>14</v>
      </c>
      <c r="H139" s="11" t="s">
        <v>197</v>
      </c>
      <c r="I139" s="10" t="s">
        <v>38</v>
      </c>
      <c r="J139" s="131"/>
      <c r="K139" s="149" t="s">
        <v>404</v>
      </c>
    </row>
    <row r="140" spans="1:11" ht="28.9" customHeight="1" thickTop="1" thickBot="1" x14ac:dyDescent="0.75">
      <c r="A140" s="10">
        <v>138</v>
      </c>
      <c r="B140" s="57" t="str">
        <f>HYPERLINK("https://search.naver.com/search.naver?query=검찰측의 죄인 영화", "검찰측의 죄인")</f>
        <v>검찰측의 죄인</v>
      </c>
      <c r="C140" s="8">
        <v>1</v>
      </c>
      <c r="D140" s="9" t="s">
        <v>405</v>
      </c>
      <c r="E140" s="6" t="s">
        <v>19</v>
      </c>
      <c r="F140" s="6">
        <v>2018</v>
      </c>
      <c r="G140" s="6" t="s">
        <v>14</v>
      </c>
      <c r="H140" s="7" t="s">
        <v>20</v>
      </c>
      <c r="I140" s="6" t="s">
        <v>329</v>
      </c>
      <c r="J140" s="130"/>
      <c r="K140" s="148" t="s">
        <v>406</v>
      </c>
    </row>
    <row r="141" spans="1:11" ht="28.9" customHeight="1" thickTop="1" thickBot="1" x14ac:dyDescent="0.75">
      <c r="A141" s="6">
        <v>139</v>
      </c>
      <c r="B141" s="58" t="str">
        <f>HYPERLINK("https://search.naver.com/search.naver?query=게이샤의 추억 영화", "게이샤의 추억")</f>
        <v>게이샤의 추억</v>
      </c>
      <c r="C141" s="12">
        <v>7.22</v>
      </c>
      <c r="D141" s="13" t="s">
        <v>407</v>
      </c>
      <c r="E141" s="10" t="s">
        <v>24</v>
      </c>
      <c r="F141" s="10">
        <v>2005</v>
      </c>
      <c r="G141" s="10" t="s">
        <v>14</v>
      </c>
      <c r="H141" s="11" t="s">
        <v>20</v>
      </c>
      <c r="I141" s="10" t="s">
        <v>251</v>
      </c>
      <c r="J141" s="131"/>
      <c r="K141" s="149" t="s">
        <v>408</v>
      </c>
    </row>
    <row r="142" spans="1:11" ht="28.9" customHeight="1" thickTop="1" thickBot="1" x14ac:dyDescent="0.75">
      <c r="A142" s="10">
        <v>140</v>
      </c>
      <c r="B142" s="57" t="str">
        <f>HYPERLINK("https://search.naver.com/search.naver?query=게이트 영화", "게이트")</f>
        <v>게이트</v>
      </c>
      <c r="C142" s="8">
        <v>8.98</v>
      </c>
      <c r="D142" s="9" t="s">
        <v>409</v>
      </c>
      <c r="E142" s="6" t="s">
        <v>19</v>
      </c>
      <c r="F142" s="6">
        <v>2017</v>
      </c>
      <c r="G142" s="6" t="s">
        <v>14</v>
      </c>
      <c r="H142" s="7" t="s">
        <v>20</v>
      </c>
      <c r="I142" s="6" t="s">
        <v>129</v>
      </c>
      <c r="J142" s="130"/>
      <c r="K142" s="148" t="s">
        <v>410</v>
      </c>
    </row>
    <row r="143" spans="1:11" ht="28.9" customHeight="1" thickTop="1" thickBot="1" x14ac:dyDescent="0.75">
      <c r="A143" s="6">
        <v>141</v>
      </c>
      <c r="B143" s="58" t="str">
        <f>HYPERLINK("https://search.naver.com/search.naver?query=게임체인지 영화", "게임체인지")</f>
        <v>게임체인지</v>
      </c>
      <c r="C143" s="12"/>
      <c r="D143" s="13" t="s">
        <v>411</v>
      </c>
      <c r="E143" s="10" t="s">
        <v>24</v>
      </c>
      <c r="F143" s="10">
        <v>2015</v>
      </c>
      <c r="G143" s="10" t="s">
        <v>14</v>
      </c>
      <c r="H143" s="11" t="s">
        <v>20</v>
      </c>
      <c r="I143" s="10" t="s">
        <v>329</v>
      </c>
      <c r="J143" s="131"/>
      <c r="K143" s="149" t="s">
        <v>412</v>
      </c>
    </row>
    <row r="144" spans="1:11" ht="28.9" customHeight="1" thickTop="1" thickBot="1" x14ac:dyDescent="0.75">
      <c r="A144" s="10">
        <v>142</v>
      </c>
      <c r="B144" s="57" t="str">
        <f>HYPERLINK("https://search.naver.com/search.naver?query=겜블러 영화", "겜블러")</f>
        <v>겜블러</v>
      </c>
      <c r="C144" s="8">
        <v>7.43</v>
      </c>
      <c r="D144" s="9" t="s">
        <v>413</v>
      </c>
      <c r="E144" s="6" t="s">
        <v>24</v>
      </c>
      <c r="F144" s="6">
        <v>2014</v>
      </c>
      <c r="G144" s="6" t="s">
        <v>14</v>
      </c>
      <c r="H144" s="7" t="s">
        <v>104</v>
      </c>
      <c r="I144" s="6" t="s">
        <v>137</v>
      </c>
      <c r="J144" s="130"/>
      <c r="K144" s="148" t="s">
        <v>414</v>
      </c>
    </row>
    <row r="145" spans="1:11" ht="28.9" customHeight="1" thickTop="1" thickBot="1" x14ac:dyDescent="0.75">
      <c r="A145" s="6">
        <v>143</v>
      </c>
      <c r="B145" s="58" t="str">
        <f>HYPERLINK("https://search.naver.com/search.naver?query=겟 더 그링고", "겟 더 그링고")</f>
        <v>겟 더 그링고</v>
      </c>
      <c r="C145" s="12">
        <v>7.68</v>
      </c>
      <c r="D145" s="13" t="s">
        <v>415</v>
      </c>
      <c r="E145" s="10" t="s">
        <v>24</v>
      </c>
      <c r="F145" s="10">
        <v>2012</v>
      </c>
      <c r="G145" s="10" t="s">
        <v>14</v>
      </c>
      <c r="H145" s="11" t="s">
        <v>124</v>
      </c>
      <c r="I145" s="10" t="s">
        <v>80</v>
      </c>
      <c r="J145" s="131"/>
      <c r="K145" s="149" t="s">
        <v>416</v>
      </c>
    </row>
    <row r="146" spans="1:11" ht="28.9" customHeight="1" thickTop="1" thickBot="1" x14ac:dyDescent="0.75">
      <c r="A146" s="10">
        <v>144</v>
      </c>
      <c r="B146" s="57" t="str">
        <f>HYPERLINK("https://search.naver.com/search.naver?query=겟 아웃 영화", "겟 아웃")</f>
        <v>겟 아웃</v>
      </c>
      <c r="C146" s="8">
        <v>8.4499999999999993</v>
      </c>
      <c r="D146" s="9" t="s">
        <v>417</v>
      </c>
      <c r="E146" s="6" t="s">
        <v>24</v>
      </c>
      <c r="F146" s="6">
        <v>2017</v>
      </c>
      <c r="G146" s="6" t="s">
        <v>14</v>
      </c>
      <c r="H146" s="7" t="s">
        <v>119</v>
      </c>
      <c r="I146" s="6" t="s">
        <v>242</v>
      </c>
      <c r="J146" s="130"/>
      <c r="K146" s="148" t="s">
        <v>418</v>
      </c>
    </row>
    <row r="147" spans="1:11" ht="28.9" customHeight="1" thickTop="1" thickBot="1" x14ac:dyDescent="0.75">
      <c r="A147" s="6">
        <v>145</v>
      </c>
      <c r="B147" s="58" t="str">
        <f>HYPERLINK("https://search.naver.com/search.naver?query=결백 영화", "결백")</f>
        <v>결백</v>
      </c>
      <c r="C147" s="12">
        <v>8.48</v>
      </c>
      <c r="D147" s="13" t="s">
        <v>419</v>
      </c>
      <c r="E147" s="10" t="s">
        <v>13</v>
      </c>
      <c r="F147" s="10">
        <v>2019</v>
      </c>
      <c r="G147" s="10" t="s">
        <v>14</v>
      </c>
      <c r="H147" s="11" t="s">
        <v>20</v>
      </c>
      <c r="I147" s="10" t="s">
        <v>129</v>
      </c>
      <c r="J147" s="131"/>
      <c r="K147" s="149" t="s">
        <v>420</v>
      </c>
    </row>
    <row r="148" spans="1:11" ht="28.9" customHeight="1" thickTop="1" thickBot="1" x14ac:dyDescent="0.75">
      <c r="A148" s="10">
        <v>146</v>
      </c>
      <c r="B148" s="57" t="str">
        <f>HYPERLINK("https://search.daum.net/search?nil_suggest=btn&amp;w=tot&amp;DA=SBC&amp;q=%EA%B2%B0%ED%98%BC+%EC%83%9D%ED%99%9C+%EC%98%81%ED%99%94", "결혼 생활")</f>
        <v>결혼 생활</v>
      </c>
      <c r="C148" s="8">
        <v>6</v>
      </c>
      <c r="D148" s="9" t="s">
        <v>421</v>
      </c>
      <c r="E148" s="6" t="s">
        <v>24</v>
      </c>
      <c r="F148" s="6">
        <v>2008</v>
      </c>
      <c r="G148" s="6" t="s">
        <v>14</v>
      </c>
      <c r="H148" s="7" t="s">
        <v>15</v>
      </c>
      <c r="I148" s="6" t="s">
        <v>156</v>
      </c>
      <c r="J148" s="130"/>
      <c r="K148" s="148" t="s">
        <v>422</v>
      </c>
    </row>
    <row r="149" spans="1:11" ht="28.9" customHeight="1" thickTop="1" thickBot="1" x14ac:dyDescent="0.75">
      <c r="A149" s="6">
        <v>147</v>
      </c>
      <c r="B149" s="58" t="str">
        <f>HYPERLINK("https://search.naver.com/search.naver?query=결혼 이야기 영화", "결혼 이야기")</f>
        <v>결혼 이야기</v>
      </c>
      <c r="C149" s="12">
        <v>8.92</v>
      </c>
      <c r="D149" s="13" t="s">
        <v>423</v>
      </c>
      <c r="E149" s="10" t="s">
        <v>24</v>
      </c>
      <c r="F149" s="10">
        <v>2019</v>
      </c>
      <c r="G149" s="10" t="s">
        <v>14</v>
      </c>
      <c r="H149" s="11" t="s">
        <v>20</v>
      </c>
      <c r="I149" s="10" t="s">
        <v>269</v>
      </c>
      <c r="J149" s="131"/>
      <c r="K149" s="149" t="s">
        <v>424</v>
      </c>
    </row>
    <row r="150" spans="1:11" ht="28.9" customHeight="1" thickTop="1" thickBot="1" x14ac:dyDescent="0.75">
      <c r="A150" s="10">
        <v>148</v>
      </c>
      <c r="B150" s="57" t="str">
        <f>HYPERLINK("https://search.naver.com/search.naver?query=결혼하지 않아도 괜찮을까 영화", "결혼하지 않아도 괜찮을까")</f>
        <v>결혼하지 않아도 괜찮을까</v>
      </c>
      <c r="C150" s="8">
        <v>8.24</v>
      </c>
      <c r="D150" s="9" t="s">
        <v>425</v>
      </c>
      <c r="E150" s="6" t="s">
        <v>19</v>
      </c>
      <c r="F150" s="6">
        <v>2012</v>
      </c>
      <c r="G150" s="6" t="s">
        <v>14</v>
      </c>
      <c r="H150" s="7" t="s">
        <v>20</v>
      </c>
      <c r="I150" s="6" t="s">
        <v>133</v>
      </c>
      <c r="J150" s="130"/>
      <c r="K150" s="148" t="s">
        <v>426</v>
      </c>
    </row>
    <row r="151" spans="1:11" ht="28.9" customHeight="1" thickTop="1" thickBot="1" x14ac:dyDescent="0.75">
      <c r="A151" s="6">
        <v>149</v>
      </c>
      <c r="B151" s="58" t="str">
        <f>HYPERLINK("https://search.naver.com/search.naver?query=경관의 피 영화", "경관의 피")</f>
        <v>경관의 피</v>
      </c>
      <c r="C151" s="12">
        <v>6.77</v>
      </c>
      <c r="D151" s="13" t="s">
        <v>427</v>
      </c>
      <c r="E151" s="10" t="s">
        <v>19</v>
      </c>
      <c r="F151" s="10">
        <v>2022</v>
      </c>
      <c r="G151" s="10" t="s">
        <v>14</v>
      </c>
      <c r="H151" s="11" t="s">
        <v>428</v>
      </c>
      <c r="I151" s="10" t="s">
        <v>429</v>
      </c>
      <c r="J151" s="131"/>
      <c r="K151" s="149" t="s">
        <v>430</v>
      </c>
    </row>
    <row r="152" spans="1:11" ht="28.9" customHeight="1" thickTop="1" thickBot="1" x14ac:dyDescent="0.75">
      <c r="A152" s="10">
        <v>150</v>
      </c>
      <c r="B152" s="57" t="str">
        <f>HYPERLINK("https://search.daum.net/search?nil_suggest=btn&amp;w=tot&amp;DA=SBC&amp;q=%EA%B3%A0%EA%B3%A0%ED%95%9C+%EB%A9%94%EC%8A%A4+%EC%98%81%ED%99%94", "고고한 메스")</f>
        <v>고고한 메스</v>
      </c>
      <c r="C152" s="8">
        <v>6.5</v>
      </c>
      <c r="D152" s="9" t="s">
        <v>431</v>
      </c>
      <c r="E152" s="6" t="s">
        <v>19</v>
      </c>
      <c r="F152" s="6">
        <v>2010</v>
      </c>
      <c r="G152" s="6" t="s">
        <v>14</v>
      </c>
      <c r="H152" s="7" t="s">
        <v>20</v>
      </c>
      <c r="I152" s="6" t="s">
        <v>432</v>
      </c>
      <c r="J152" s="130"/>
      <c r="K152" s="148" t="s">
        <v>433</v>
      </c>
    </row>
    <row r="153" spans="1:11" ht="28.9" customHeight="1" thickTop="1" thickBot="1" x14ac:dyDescent="0.75">
      <c r="A153" s="6">
        <v>151</v>
      </c>
      <c r="B153" s="58" t="str">
        <f>HYPERLINK("https://search.naver.com/search.naver?query=고도 영화", "고도")</f>
        <v>고도</v>
      </c>
      <c r="C153" s="12"/>
      <c r="D153" s="13" t="s">
        <v>434</v>
      </c>
      <c r="E153" s="10" t="s">
        <v>24</v>
      </c>
      <c r="F153" s="10">
        <v>2016</v>
      </c>
      <c r="G153" s="10" t="s">
        <v>14</v>
      </c>
      <c r="H153" s="11" t="s">
        <v>124</v>
      </c>
      <c r="I153" s="10" t="s">
        <v>345</v>
      </c>
      <c r="J153" s="131"/>
      <c r="K153" s="149" t="s">
        <v>435</v>
      </c>
    </row>
    <row r="154" spans="1:11" ht="28.9" customHeight="1" thickTop="1" thickBot="1" x14ac:dyDescent="0.75">
      <c r="A154" s="10">
        <v>152</v>
      </c>
      <c r="B154" s="57" t="str">
        <f>HYPERLINK("https://search.naver.com/search.naver?query=영화 고독사", "고독사")</f>
        <v>고독사</v>
      </c>
      <c r="C154" s="8">
        <v>3.32</v>
      </c>
      <c r="D154" s="9" t="s">
        <v>436</v>
      </c>
      <c r="E154" s="6" t="s">
        <v>19</v>
      </c>
      <c r="F154" s="6">
        <v>2011</v>
      </c>
      <c r="G154" s="6" t="s">
        <v>14</v>
      </c>
      <c r="H154" s="7" t="s">
        <v>20</v>
      </c>
      <c r="I154" s="6" t="s">
        <v>432</v>
      </c>
      <c r="J154" s="130"/>
      <c r="K154" s="148" t="s">
        <v>437</v>
      </c>
    </row>
    <row r="155" spans="1:11" ht="28.9" customHeight="1" thickTop="1" thickBot="1" x14ac:dyDescent="0.75">
      <c r="A155" s="6">
        <v>153</v>
      </c>
      <c r="B155" s="58" t="str">
        <f>HYPERLINK("https://search.naver.com/search.naver?query=고령화가족 영화", "고령화가족")</f>
        <v>고령화가족</v>
      </c>
      <c r="C155" s="12">
        <v>8.27</v>
      </c>
      <c r="D155" s="13" t="s">
        <v>438</v>
      </c>
      <c r="E155" s="10" t="s">
        <v>13</v>
      </c>
      <c r="F155" s="10">
        <v>2013</v>
      </c>
      <c r="G155" s="10" t="s">
        <v>14</v>
      </c>
      <c r="H155" s="11" t="s">
        <v>97</v>
      </c>
      <c r="I155" s="10" t="s">
        <v>429</v>
      </c>
      <c r="J155" s="131"/>
      <c r="K155" s="149" t="s">
        <v>439</v>
      </c>
    </row>
    <row r="156" spans="1:11" ht="28.9" customHeight="1" thickTop="1" thickBot="1" x14ac:dyDescent="0.75">
      <c r="A156" s="10">
        <v>154</v>
      </c>
      <c r="B156" s="57" t="str">
        <f>HYPERLINK("https://www.kmdb.or.kr/db/kor/detail/movie/K/22837", "고백")</f>
        <v>고백</v>
      </c>
      <c r="C156" s="8"/>
      <c r="D156" s="9" t="s">
        <v>440</v>
      </c>
      <c r="E156" s="6" t="s">
        <v>13</v>
      </c>
      <c r="F156" s="6">
        <v>2021</v>
      </c>
      <c r="G156" s="6" t="s">
        <v>14</v>
      </c>
      <c r="H156" s="7" t="s">
        <v>20</v>
      </c>
      <c r="I156" s="6" t="s">
        <v>109</v>
      </c>
      <c r="J156" s="130"/>
      <c r="K156" s="148" t="s">
        <v>441</v>
      </c>
    </row>
    <row r="157" spans="1:11" ht="28.9" customHeight="1" thickTop="1" thickBot="1" x14ac:dyDescent="0.75">
      <c r="A157" s="6">
        <v>155</v>
      </c>
      <c r="B157" s="58" t="str">
        <f>HYPERLINK("https://search.naver.com/search.naver?query=영화고백", "고백")</f>
        <v>고백</v>
      </c>
      <c r="C157" s="12">
        <v>6.5</v>
      </c>
      <c r="D157" s="13" t="s">
        <v>442</v>
      </c>
      <c r="E157" s="10" t="s">
        <v>19</v>
      </c>
      <c r="F157" s="10">
        <v>2010</v>
      </c>
      <c r="G157" s="10" t="s">
        <v>14</v>
      </c>
      <c r="H157" s="11" t="s">
        <v>15</v>
      </c>
      <c r="I157" s="10" t="s">
        <v>443</v>
      </c>
      <c r="J157" s="131"/>
      <c r="K157" s="149" t="s">
        <v>444</v>
      </c>
    </row>
    <row r="158" spans="1:11" ht="28.9" customHeight="1" thickTop="1" thickBot="1" x14ac:dyDescent="0.75">
      <c r="A158" s="10">
        <v>156</v>
      </c>
      <c r="B158" s="57" t="str">
        <f>HYPERLINK("https://search.naver.com/search.naver?query=고스톱 살인 영화", "고스톱 살인")</f>
        <v>고스톱 살인</v>
      </c>
      <c r="C158" s="8">
        <v>8.1999999999999993</v>
      </c>
      <c r="D158" s="9" t="s">
        <v>445</v>
      </c>
      <c r="E158" s="6" t="s">
        <v>13</v>
      </c>
      <c r="F158" s="6">
        <v>2013</v>
      </c>
      <c r="G158" s="6" t="s">
        <v>14</v>
      </c>
      <c r="H158" s="7" t="s">
        <v>428</v>
      </c>
      <c r="I158" s="6" t="s">
        <v>133</v>
      </c>
      <c r="J158" s="130"/>
      <c r="K158" s="148" t="s">
        <v>446</v>
      </c>
    </row>
    <row r="159" spans="1:11" ht="28.9" customHeight="1" thickTop="1" thickBot="1" x14ac:dyDescent="0.75">
      <c r="A159" s="6">
        <v>157</v>
      </c>
      <c r="B159" s="58" t="str">
        <f>HYPERLINK("https://search.naver.com/search.naver?query=고스트:보이지 않는 사랑 영화", "고스트:보이지 않는 사랑")</f>
        <v>고스트:보이지 않는 사랑</v>
      </c>
      <c r="C159" s="12">
        <v>6.36</v>
      </c>
      <c r="D159" s="13" t="s">
        <v>447</v>
      </c>
      <c r="E159" s="10" t="s">
        <v>13</v>
      </c>
      <c r="F159" s="10">
        <v>2010</v>
      </c>
      <c r="G159" s="10" t="s">
        <v>14</v>
      </c>
      <c r="H159" s="11" t="s">
        <v>165</v>
      </c>
      <c r="I159" s="10" t="s">
        <v>16</v>
      </c>
      <c r="J159" s="131"/>
      <c r="K159" s="149" t="s">
        <v>448</v>
      </c>
    </row>
    <row r="160" spans="1:11" ht="28.9" customHeight="1" thickTop="1" thickBot="1" x14ac:dyDescent="0.75">
      <c r="A160" s="10">
        <v>158</v>
      </c>
      <c r="B160" s="57" t="str">
        <f>HYPERLINK("https://search.naver.com/search.naver?query=영화 고스트라이트", "고스트라이트 (Ghostlight)")</f>
        <v>고스트라이트 (Ghostlight)</v>
      </c>
      <c r="C160" s="28">
        <v>8.2799999999999994</v>
      </c>
      <c r="D160" s="35" t="s">
        <v>449</v>
      </c>
      <c r="E160" s="39" t="s">
        <v>24</v>
      </c>
      <c r="F160" s="39">
        <v>2025</v>
      </c>
      <c r="G160" s="39" t="s">
        <v>14</v>
      </c>
      <c r="H160" s="47" t="s">
        <v>20</v>
      </c>
      <c r="I160" s="39" t="s">
        <v>60</v>
      </c>
      <c r="J160" s="55" t="s">
        <v>450</v>
      </c>
      <c r="K160" s="151" t="s">
        <v>451</v>
      </c>
    </row>
    <row r="161" spans="1:11" ht="28.9" customHeight="1" thickTop="1" thickBot="1" x14ac:dyDescent="0.75">
      <c r="A161" s="6">
        <v>159</v>
      </c>
      <c r="B161" s="57" t="str">
        <f>HYPERLINK("https://search.naver.com/search.naver?query=고양이 여행 리포트 영화", "고양이 여행 리포트")</f>
        <v>고양이 여행 리포트</v>
      </c>
      <c r="C161" s="8">
        <v>8.4700000000000006</v>
      </c>
      <c r="D161" s="9" t="s">
        <v>452</v>
      </c>
      <c r="E161" s="6" t="s">
        <v>19</v>
      </c>
      <c r="F161" s="6">
        <v>2018</v>
      </c>
      <c r="G161" s="6" t="s">
        <v>14</v>
      </c>
      <c r="H161" s="7" t="s">
        <v>20</v>
      </c>
      <c r="I161" s="6" t="s">
        <v>133</v>
      </c>
      <c r="J161" s="130"/>
      <c r="K161" s="148" t="s">
        <v>453</v>
      </c>
    </row>
    <row r="162" spans="1:11" ht="28.9" customHeight="1" thickTop="1" thickBot="1" x14ac:dyDescent="0.75">
      <c r="A162" s="10">
        <v>160</v>
      </c>
      <c r="B162" s="58" t="str">
        <f>HYPERLINK("https://search.naver.com/search.naver?query=고양이를 빌려드립니다 영화", "고양이를 빌려드립니다")</f>
        <v>고양이를 빌려드립니다</v>
      </c>
      <c r="C162" s="12">
        <v>8.1199999999999992</v>
      </c>
      <c r="D162" s="13" t="s">
        <v>454</v>
      </c>
      <c r="E162" s="10" t="s">
        <v>19</v>
      </c>
      <c r="F162" s="10">
        <v>2012</v>
      </c>
      <c r="G162" s="10" t="s">
        <v>14</v>
      </c>
      <c r="H162" s="11" t="s">
        <v>97</v>
      </c>
      <c r="I162" s="10" t="s">
        <v>129</v>
      </c>
      <c r="J162" s="131"/>
      <c r="K162" s="149" t="s">
        <v>455</v>
      </c>
    </row>
    <row r="163" spans="1:11" ht="28.9" customHeight="1" thickTop="1" thickBot="1" x14ac:dyDescent="0.75">
      <c r="A163" s="6">
        <v>161</v>
      </c>
      <c r="B163" s="57" t="str">
        <f>HYPERLINK("https://search.naver.com/search.naver?query=고양이와 할아버지 영화", "고양이와 할아버지")</f>
        <v>고양이와 할아버지</v>
      </c>
      <c r="C163" s="8">
        <v>8.61</v>
      </c>
      <c r="D163" s="9" t="s">
        <v>456</v>
      </c>
      <c r="E163" s="6" t="s">
        <v>19</v>
      </c>
      <c r="F163" s="6">
        <v>2018</v>
      </c>
      <c r="G163" s="6" t="s">
        <v>14</v>
      </c>
      <c r="H163" s="7" t="s">
        <v>20</v>
      </c>
      <c r="I163" s="6" t="s">
        <v>175</v>
      </c>
      <c r="J163" s="130"/>
      <c r="K163" s="148" t="s">
        <v>457</v>
      </c>
    </row>
    <row r="164" spans="1:11" ht="28.9" customHeight="1" thickTop="1" thickBot="1" x14ac:dyDescent="0.75">
      <c r="A164" s="10">
        <v>162</v>
      </c>
      <c r="B164" s="59" t="str">
        <f>HYPERLINK("https://search.naver.com/search.naver?query=고요의 바다", "고요의 바다")</f>
        <v>고요의 바다</v>
      </c>
      <c r="C164" s="16"/>
      <c r="D164" s="17" t="s">
        <v>458</v>
      </c>
      <c r="E164" s="14" t="s">
        <v>13</v>
      </c>
      <c r="F164" s="14">
        <v>2021</v>
      </c>
      <c r="G164" s="14" t="s">
        <v>20</v>
      </c>
      <c r="H164" s="15" t="s">
        <v>258</v>
      </c>
      <c r="I164" s="14" t="s">
        <v>71</v>
      </c>
      <c r="J164" s="132"/>
      <c r="K164" s="150" t="s">
        <v>459</v>
      </c>
    </row>
    <row r="165" spans="1:11" ht="28.9" customHeight="1" thickTop="1" thickBot="1" x14ac:dyDescent="0.75">
      <c r="A165" s="6">
        <v>163</v>
      </c>
      <c r="B165" s="57" t="str">
        <f>HYPERLINK("https://search.naver.com/search.naver?query=고잉 인 스타일 영화", "고잉 인 스타일")</f>
        <v>고잉 인 스타일</v>
      </c>
      <c r="C165" s="8">
        <v>8.25</v>
      </c>
      <c r="D165" s="9" t="s">
        <v>460</v>
      </c>
      <c r="E165" s="6" t="s">
        <v>24</v>
      </c>
      <c r="F165" s="6">
        <v>2017</v>
      </c>
      <c r="G165" s="6" t="s">
        <v>14</v>
      </c>
      <c r="H165" s="7" t="s">
        <v>342</v>
      </c>
      <c r="I165" s="6" t="s">
        <v>80</v>
      </c>
      <c r="J165" s="130"/>
      <c r="K165" s="148" t="s">
        <v>461</v>
      </c>
    </row>
    <row r="166" spans="1:11" ht="28.9" customHeight="1" thickTop="1" thickBot="1" x14ac:dyDescent="0.75">
      <c r="A166" s="10">
        <v>164</v>
      </c>
      <c r="B166" s="58" t="str">
        <f>HYPERLINK("https://search.naver.com/search.naver?query=고지전 영화", "고지전")</f>
        <v>고지전</v>
      </c>
      <c r="C166" s="12">
        <v>8.7100000000000009</v>
      </c>
      <c r="D166" s="13" t="s">
        <v>462</v>
      </c>
      <c r="E166" s="10" t="s">
        <v>13</v>
      </c>
      <c r="F166" s="10">
        <v>2011</v>
      </c>
      <c r="G166" s="10" t="s">
        <v>14</v>
      </c>
      <c r="H166" s="11" t="s">
        <v>241</v>
      </c>
      <c r="I166" s="10" t="s">
        <v>112</v>
      </c>
      <c r="J166" s="131"/>
      <c r="K166" s="149" t="s">
        <v>463</v>
      </c>
    </row>
    <row r="167" spans="1:11" ht="28.9" customHeight="1" thickTop="1" thickBot="1" x14ac:dyDescent="0.75">
      <c r="A167" s="6">
        <v>165</v>
      </c>
      <c r="B167" s="57" t="str">
        <f>HYPERLINK("https://search.naver.com/search.naver?query=곡성 영화", "곡성")</f>
        <v>곡성</v>
      </c>
      <c r="C167" s="8">
        <v>8.2200000000000006</v>
      </c>
      <c r="D167" s="9" t="s">
        <v>464</v>
      </c>
      <c r="E167" s="6" t="s">
        <v>13</v>
      </c>
      <c r="F167" s="6">
        <v>2016</v>
      </c>
      <c r="G167" s="6" t="s">
        <v>14</v>
      </c>
      <c r="H167" s="7" t="s">
        <v>401</v>
      </c>
      <c r="I167" s="6" t="s">
        <v>465</v>
      </c>
      <c r="J167" s="130"/>
      <c r="K167" s="148" t="s">
        <v>466</v>
      </c>
    </row>
    <row r="168" spans="1:11" ht="28.9" customHeight="1" thickTop="1" thickBot="1" x14ac:dyDescent="0.75">
      <c r="A168" s="10">
        <v>166</v>
      </c>
      <c r="B168" s="58" t="str">
        <f>HYPERLINK("https://search.naver.com/search.naver?query=곤지암 영화", "곤지암")</f>
        <v>곤지암</v>
      </c>
      <c r="C168" s="12">
        <v>7.5</v>
      </c>
      <c r="D168" s="13" t="s">
        <v>467</v>
      </c>
      <c r="E168" s="10" t="s">
        <v>13</v>
      </c>
      <c r="F168" s="10">
        <v>2017</v>
      </c>
      <c r="G168" s="10" t="s">
        <v>14</v>
      </c>
      <c r="H168" s="11" t="s">
        <v>382</v>
      </c>
      <c r="I168" s="10" t="s">
        <v>468</v>
      </c>
      <c r="J168" s="131"/>
      <c r="K168" s="149" t="s">
        <v>469</v>
      </c>
    </row>
    <row r="169" spans="1:11" ht="28.9" customHeight="1" thickTop="1" thickBot="1" x14ac:dyDescent="0.75">
      <c r="A169" s="6">
        <v>167</v>
      </c>
      <c r="B169" s="57" t="str">
        <f>HYPERLINK("https://search.naver.com/search.naver?query=골드 영화", "골드")</f>
        <v>골드</v>
      </c>
      <c r="C169" s="8">
        <v>8.6</v>
      </c>
      <c r="D169" s="9" t="s">
        <v>470</v>
      </c>
      <c r="E169" s="6" t="s">
        <v>24</v>
      </c>
      <c r="F169" s="6">
        <v>2016</v>
      </c>
      <c r="G169" s="6" t="s">
        <v>14</v>
      </c>
      <c r="H169" s="7" t="s">
        <v>20</v>
      </c>
      <c r="I169" s="6" t="s">
        <v>116</v>
      </c>
      <c r="J169" s="130"/>
      <c r="K169" s="148" t="s">
        <v>471</v>
      </c>
    </row>
    <row r="170" spans="1:11" ht="28.9" customHeight="1" thickTop="1" thickBot="1" x14ac:dyDescent="0.75">
      <c r="A170" s="10">
        <v>168</v>
      </c>
      <c r="B170" s="58" t="str">
        <f>HYPERLINK("https://search.naver.com/search.naver?query=골든슬럼버2010", "골든 슬럼버")</f>
        <v>골든 슬럼버</v>
      </c>
      <c r="C170" s="12">
        <v>7.41</v>
      </c>
      <c r="D170" s="13" t="s">
        <v>472</v>
      </c>
      <c r="E170" s="10" t="s">
        <v>13</v>
      </c>
      <c r="F170" s="10">
        <v>2018</v>
      </c>
      <c r="G170" s="10" t="s">
        <v>14</v>
      </c>
      <c r="H170" s="11" t="s">
        <v>428</v>
      </c>
      <c r="I170" s="10" t="s">
        <v>38</v>
      </c>
      <c r="J170" s="131"/>
      <c r="K170" s="149" t="s">
        <v>473</v>
      </c>
    </row>
    <row r="171" spans="1:11" ht="28.9" customHeight="1" thickTop="1" thickBot="1" x14ac:dyDescent="0.75">
      <c r="A171" s="6">
        <v>169</v>
      </c>
      <c r="B171" s="57" t="str">
        <f>HYPERLINK("https://search.naver.com/search.naver?query=골든 슬럼버 영화", "골든 슬럼버")</f>
        <v>골든 슬럼버</v>
      </c>
      <c r="C171" s="8">
        <v>6.26</v>
      </c>
      <c r="D171" s="9" t="s">
        <v>474</v>
      </c>
      <c r="E171" s="6" t="s">
        <v>19</v>
      </c>
      <c r="F171" s="6">
        <v>2010</v>
      </c>
      <c r="G171" s="6" t="s">
        <v>14</v>
      </c>
      <c r="H171" s="7" t="s">
        <v>475</v>
      </c>
      <c r="I171" s="6" t="s">
        <v>476</v>
      </c>
      <c r="J171" s="130"/>
      <c r="K171" s="148" t="s">
        <v>477</v>
      </c>
    </row>
    <row r="172" spans="1:11" ht="28.9" customHeight="1" thickTop="1" thickBot="1" x14ac:dyDescent="0.75">
      <c r="A172" s="10">
        <v>170</v>
      </c>
      <c r="B172" s="58" t="str">
        <f>HYPERLINK("https://search.naver.com/search.naver?query=골든 오케스트라 영화", "골든 오케스트라")</f>
        <v>골든 오케스트라</v>
      </c>
      <c r="C172" s="12"/>
      <c r="D172" s="13" t="s">
        <v>478</v>
      </c>
      <c r="E172" s="10" t="s">
        <v>19</v>
      </c>
      <c r="F172" s="10">
        <v>2016</v>
      </c>
      <c r="G172" s="10" t="s">
        <v>14</v>
      </c>
      <c r="H172" s="11" t="s">
        <v>20</v>
      </c>
      <c r="I172" s="10" t="s">
        <v>195</v>
      </c>
      <c r="J172" s="131"/>
      <c r="K172" s="149" t="s">
        <v>479</v>
      </c>
    </row>
    <row r="173" spans="1:11" ht="28.9" customHeight="1" thickTop="1" thickBot="1" x14ac:dyDescent="0.75">
      <c r="A173" s="6">
        <v>171</v>
      </c>
      <c r="B173" s="57" t="str">
        <f>HYPERLINK("https://search.naver.com/search.naver?query=곰돌이 푸 다시 만나 행복해 영화", "곰돌이 푸 다시 만나 행복해")</f>
        <v>곰돌이 푸 다시 만나 행복해</v>
      </c>
      <c r="C173" s="8">
        <v>8.9499999999999993</v>
      </c>
      <c r="D173" s="9" t="s">
        <v>480</v>
      </c>
      <c r="E173" s="6" t="s">
        <v>29</v>
      </c>
      <c r="F173" s="6">
        <v>2017</v>
      </c>
      <c r="G173" s="6" t="s">
        <v>14</v>
      </c>
      <c r="H173" s="7" t="s">
        <v>20</v>
      </c>
      <c r="I173" s="6" t="s">
        <v>101</v>
      </c>
      <c r="J173" s="130"/>
      <c r="K173" s="148" t="s">
        <v>481</v>
      </c>
    </row>
    <row r="174" spans="1:11" ht="28.9" customHeight="1" thickTop="1" thickBot="1" x14ac:dyDescent="0.75">
      <c r="A174" s="10">
        <v>172</v>
      </c>
      <c r="B174" s="58" t="str">
        <f>HYPERLINK("https://search.naver.com/search.naver?query=공동경비구역", "공동경비구역")</f>
        <v>공동경비구역</v>
      </c>
      <c r="C174" s="12">
        <v>9.19</v>
      </c>
      <c r="D174" s="13" t="s">
        <v>482</v>
      </c>
      <c r="E174" s="10" t="s">
        <v>13</v>
      </c>
      <c r="F174" s="10">
        <v>2000</v>
      </c>
      <c r="G174" s="10" t="s">
        <v>14</v>
      </c>
      <c r="H174" s="11" t="s">
        <v>20</v>
      </c>
      <c r="I174" s="10" t="s">
        <v>129</v>
      </c>
      <c r="J174" s="131"/>
      <c r="K174" s="149" t="s">
        <v>483</v>
      </c>
    </row>
    <row r="175" spans="1:11" ht="28.9" customHeight="1" thickTop="1" thickBot="1" x14ac:dyDescent="0.75">
      <c r="A175" s="6">
        <v>173</v>
      </c>
      <c r="B175" s="57" t="str">
        <f>HYPERLINK("https://search.naver.com/search.naver?query=공모자들 영화", "공모자들")</f>
        <v>공모자들</v>
      </c>
      <c r="C175" s="8">
        <v>7.04</v>
      </c>
      <c r="D175" s="9" t="s">
        <v>484</v>
      </c>
      <c r="E175" s="6" t="s">
        <v>13</v>
      </c>
      <c r="F175" s="6">
        <v>2012</v>
      </c>
      <c r="G175" s="6" t="s">
        <v>14</v>
      </c>
      <c r="H175" s="7" t="s">
        <v>20</v>
      </c>
      <c r="I175" s="6" t="s">
        <v>468</v>
      </c>
      <c r="J175" s="130"/>
      <c r="K175" s="148" t="s">
        <v>485</v>
      </c>
    </row>
    <row r="176" spans="1:11" ht="28.9" customHeight="1" thickTop="1" thickBot="1" x14ac:dyDescent="0.75">
      <c r="A176" s="10">
        <v>174</v>
      </c>
      <c r="B176" s="58" t="str">
        <f>HYPERLINK("https://search.naver.com/search.naver?query=공백 영화", "공백")</f>
        <v>공백</v>
      </c>
      <c r="C176" s="12">
        <v>7.14</v>
      </c>
      <c r="D176" s="13" t="s">
        <v>486</v>
      </c>
      <c r="E176" s="10" t="s">
        <v>19</v>
      </c>
      <c r="F176" s="10">
        <v>2024</v>
      </c>
      <c r="G176" s="10" t="s">
        <v>14</v>
      </c>
      <c r="H176" s="11" t="s">
        <v>20</v>
      </c>
      <c r="I176" s="10" t="s">
        <v>38</v>
      </c>
      <c r="J176" s="131"/>
      <c r="K176" s="149" t="s">
        <v>487</v>
      </c>
    </row>
    <row r="177" spans="1:11" ht="28.9" customHeight="1" thickTop="1" thickBot="1" x14ac:dyDescent="0.75">
      <c r="A177" s="6">
        <v>175</v>
      </c>
      <c r="B177" s="57" t="str">
        <f>HYPERLINK("https://search.naver.com/search.naver?query=공범 영화", "공범")</f>
        <v>공범</v>
      </c>
      <c r="C177" s="8">
        <v>7.16</v>
      </c>
      <c r="D177" s="9" t="s">
        <v>488</v>
      </c>
      <c r="E177" s="6" t="s">
        <v>13</v>
      </c>
      <c r="F177" s="6">
        <v>2013</v>
      </c>
      <c r="G177" s="6" t="s">
        <v>14</v>
      </c>
      <c r="H177" s="7" t="s">
        <v>20</v>
      </c>
      <c r="I177" s="6" t="s">
        <v>150</v>
      </c>
      <c r="J177" s="130"/>
      <c r="K177" s="148" t="s">
        <v>489</v>
      </c>
    </row>
    <row r="178" spans="1:11" ht="28.9" customHeight="1" thickTop="1" thickBot="1" x14ac:dyDescent="0.75">
      <c r="A178" s="10">
        <v>176</v>
      </c>
      <c r="B178" s="58" t="str">
        <f>HYPERLINK("https://search.naver.com/search.naver?query=공수도 영화", "공수도")</f>
        <v>공수도</v>
      </c>
      <c r="C178" s="12">
        <v>8.77</v>
      </c>
      <c r="D178" s="13" t="s">
        <v>490</v>
      </c>
      <c r="E178" s="10" t="s">
        <v>19</v>
      </c>
      <c r="F178" s="10">
        <v>2019</v>
      </c>
      <c r="G178" s="10" t="s">
        <v>14</v>
      </c>
      <c r="H178" s="11" t="s">
        <v>124</v>
      </c>
      <c r="I178" s="10" t="s">
        <v>129</v>
      </c>
      <c r="J178" s="131"/>
      <c r="K178" s="149" t="s">
        <v>491</v>
      </c>
    </row>
    <row r="179" spans="1:11" ht="28.9" customHeight="1" thickTop="1" thickBot="1" x14ac:dyDescent="0.75">
      <c r="A179" s="6">
        <v>177</v>
      </c>
      <c r="B179" s="57" t="str">
        <f>HYPERLINK("https://search.naver.com/search.naver?query=공작 영화", "공작")</f>
        <v>공작</v>
      </c>
      <c r="C179" s="8">
        <v>7.86</v>
      </c>
      <c r="D179" s="9" t="s">
        <v>492</v>
      </c>
      <c r="E179" s="6" t="s">
        <v>13</v>
      </c>
      <c r="F179" s="6">
        <v>2018</v>
      </c>
      <c r="G179" s="6" t="s">
        <v>14</v>
      </c>
      <c r="H179" s="7" t="s">
        <v>15</v>
      </c>
      <c r="I179" s="6" t="s">
        <v>269</v>
      </c>
      <c r="J179" s="130"/>
      <c r="K179" s="148" t="s">
        <v>493</v>
      </c>
    </row>
    <row r="180" spans="1:11" ht="28.9" customHeight="1" thickTop="1" thickBot="1" x14ac:dyDescent="0.75">
      <c r="A180" s="10">
        <v>178</v>
      </c>
      <c r="B180" s="58" t="str">
        <f>HYPERLINK("https://search.naver.com/search.naver?query=공작조-현애지상 영화", "공작조-현애지상")</f>
        <v>공작조-현애지상</v>
      </c>
      <c r="C180" s="12">
        <v>6.4</v>
      </c>
      <c r="D180" s="13" t="s">
        <v>494</v>
      </c>
      <c r="E180" s="10" t="s">
        <v>186</v>
      </c>
      <c r="F180" s="10">
        <v>2021</v>
      </c>
      <c r="G180" s="10" t="s">
        <v>14</v>
      </c>
      <c r="H180" s="11" t="s">
        <v>20</v>
      </c>
      <c r="I180" s="10" t="s">
        <v>276</v>
      </c>
      <c r="J180" s="131"/>
      <c r="K180" s="149" t="s">
        <v>495</v>
      </c>
    </row>
    <row r="181" spans="1:11" ht="28.9" customHeight="1" thickTop="1" thickBot="1" x14ac:dyDescent="0.75">
      <c r="A181" s="6">
        <v>179</v>
      </c>
      <c r="B181" s="57" t="str">
        <f>HYPERLINK("https://search.naver.com/search.naver?query=공조 영화", "공조")</f>
        <v>공조</v>
      </c>
      <c r="C181" s="8">
        <v>8.83</v>
      </c>
      <c r="D181" s="9" t="s">
        <v>496</v>
      </c>
      <c r="E181" s="6" t="s">
        <v>13</v>
      </c>
      <c r="F181" s="6">
        <v>2016</v>
      </c>
      <c r="G181" s="6" t="s">
        <v>14</v>
      </c>
      <c r="H181" s="7" t="s">
        <v>108</v>
      </c>
      <c r="I181" s="6" t="s">
        <v>316</v>
      </c>
      <c r="J181" s="130"/>
      <c r="K181" s="148" t="s">
        <v>497</v>
      </c>
    </row>
    <row r="182" spans="1:11" ht="28.9" customHeight="1" thickTop="1" thickBot="1" x14ac:dyDescent="0.75">
      <c r="A182" s="10">
        <v>180</v>
      </c>
      <c r="B182" s="58" t="str">
        <f>HYPERLINK("https://search.naver.com/search.naver?query=공조2:인터내셔날 영화", "공조2-인터내셔날")</f>
        <v>공조2-인터내셔날</v>
      </c>
      <c r="C182" s="12">
        <v>8.83</v>
      </c>
      <c r="D182" s="13" t="s">
        <v>498</v>
      </c>
      <c r="E182" s="10" t="s">
        <v>13</v>
      </c>
      <c r="F182" s="10">
        <v>2022</v>
      </c>
      <c r="G182" s="10" t="s">
        <v>14</v>
      </c>
      <c r="H182" s="11" t="s">
        <v>108</v>
      </c>
      <c r="I182" s="10" t="s">
        <v>85</v>
      </c>
      <c r="J182" s="131"/>
      <c r="K182" s="149" t="s">
        <v>499</v>
      </c>
    </row>
    <row r="183" spans="1:11" ht="28.9" customHeight="1" thickTop="1" thickBot="1" x14ac:dyDescent="0.75">
      <c r="A183" s="6">
        <v>181</v>
      </c>
      <c r="B183" s="57" t="str">
        <f>HYPERLINK("https://search.naver.com/search.naver?query=과속스캔들 영화", "과속스캔들")</f>
        <v>과속스캔들</v>
      </c>
      <c r="C183" s="8">
        <v>9.1999999999999993</v>
      </c>
      <c r="D183" s="9" t="s">
        <v>500</v>
      </c>
      <c r="E183" s="6" t="s">
        <v>13</v>
      </c>
      <c r="F183" s="6">
        <v>2008</v>
      </c>
      <c r="G183" s="6" t="s">
        <v>14</v>
      </c>
      <c r="H183" s="7" t="s">
        <v>97</v>
      </c>
      <c r="I183" s="6" t="s">
        <v>38</v>
      </c>
      <c r="J183" s="130"/>
      <c r="K183" s="148" t="s">
        <v>501</v>
      </c>
    </row>
    <row r="184" spans="1:11" ht="28.9" customHeight="1" thickTop="1" thickBot="1" x14ac:dyDescent="0.75">
      <c r="A184" s="10">
        <v>182</v>
      </c>
      <c r="B184" s="58" t="str">
        <f>HYPERLINK("https://search.naver.com/search.naver?query=관능의 법칙 영화", "관능의 법칙")</f>
        <v>관능의 법칙</v>
      </c>
      <c r="C184" s="12">
        <v>7.64</v>
      </c>
      <c r="D184" s="13" t="s">
        <v>502</v>
      </c>
      <c r="E184" s="10" t="s">
        <v>13</v>
      </c>
      <c r="F184" s="10">
        <v>2013</v>
      </c>
      <c r="G184" s="10" t="s">
        <v>14</v>
      </c>
      <c r="H184" s="11" t="s">
        <v>20</v>
      </c>
      <c r="I184" s="10" t="s">
        <v>187</v>
      </c>
      <c r="J184" s="131"/>
      <c r="K184" s="149" t="s">
        <v>503</v>
      </c>
    </row>
    <row r="185" spans="1:11" ht="28.9" customHeight="1" thickTop="1" thickBot="1" x14ac:dyDescent="0.75">
      <c r="A185" s="6">
        <v>183</v>
      </c>
      <c r="B185" s="57" t="str">
        <f>HYPERLINK("https://search.naver.com/search.naver?query=관상 영화", "관상")</f>
        <v>관상</v>
      </c>
      <c r="C185" s="8">
        <v>8.0299999999999994</v>
      </c>
      <c r="D185" s="9" t="s">
        <v>504</v>
      </c>
      <c r="E185" s="6" t="s">
        <v>13</v>
      </c>
      <c r="F185" s="6">
        <v>2013</v>
      </c>
      <c r="G185" s="6" t="s">
        <v>14</v>
      </c>
      <c r="H185" s="7" t="s">
        <v>505</v>
      </c>
      <c r="I185" s="6" t="s">
        <v>476</v>
      </c>
      <c r="J185" s="130"/>
      <c r="K185" s="148" t="s">
        <v>506</v>
      </c>
    </row>
    <row r="186" spans="1:11" ht="28.9" customHeight="1" thickTop="1" thickBot="1" x14ac:dyDescent="0.75">
      <c r="A186" s="10">
        <v>184</v>
      </c>
      <c r="B186" s="58" t="str">
        <f>HYPERLINK("https://search.naver.com/search.naver?query=광대들:풍문조작단 영화", "광대들-풍문조작단")</f>
        <v>광대들-풍문조작단</v>
      </c>
      <c r="C186" s="12">
        <v>7.51</v>
      </c>
      <c r="D186" s="13" t="s">
        <v>507</v>
      </c>
      <c r="E186" s="10" t="s">
        <v>13</v>
      </c>
      <c r="F186" s="10">
        <v>2019</v>
      </c>
      <c r="G186" s="10" t="s">
        <v>14</v>
      </c>
      <c r="H186" s="11" t="s">
        <v>505</v>
      </c>
      <c r="I186" s="10" t="s">
        <v>38</v>
      </c>
      <c r="J186" s="131"/>
      <c r="K186" s="149" t="s">
        <v>508</v>
      </c>
    </row>
    <row r="187" spans="1:11" ht="28.9" customHeight="1" thickTop="1" thickBot="1" x14ac:dyDescent="0.75">
      <c r="A187" s="6">
        <v>185</v>
      </c>
      <c r="B187" s="57" t="str">
        <f>HYPERLINK("https://search.naver.com/search.naver?query=광식이 동생 광태 영화", "광식이 동생 광태")</f>
        <v>광식이 동생 광태</v>
      </c>
      <c r="C187" s="8">
        <v>7.83</v>
      </c>
      <c r="D187" s="9" t="s">
        <v>509</v>
      </c>
      <c r="E187" s="6" t="s">
        <v>13</v>
      </c>
      <c r="F187" s="6">
        <v>2004</v>
      </c>
      <c r="G187" s="6" t="s">
        <v>14</v>
      </c>
      <c r="H187" s="7" t="s">
        <v>20</v>
      </c>
      <c r="I187" s="6" t="s">
        <v>242</v>
      </c>
      <c r="J187" s="130"/>
      <c r="K187" s="148" t="s">
        <v>510</v>
      </c>
    </row>
    <row r="188" spans="1:11" ht="28.9" customHeight="1" thickTop="1" thickBot="1" x14ac:dyDescent="0.75">
      <c r="A188" s="10">
        <v>186</v>
      </c>
      <c r="B188" s="59" t="str">
        <f>HYPERLINK("https://search.naver.com/search.naver?query=광장", "광장")</f>
        <v>광장</v>
      </c>
      <c r="C188" s="16"/>
      <c r="D188" s="17" t="s">
        <v>511</v>
      </c>
      <c r="E188" s="14" t="s">
        <v>13</v>
      </c>
      <c r="F188" s="14">
        <v>2025</v>
      </c>
      <c r="G188" s="14" t="s">
        <v>20</v>
      </c>
      <c r="H188" s="15" t="s">
        <v>20</v>
      </c>
      <c r="I188" s="14" t="s">
        <v>512</v>
      </c>
      <c r="J188" s="132"/>
      <c r="K188" s="150" t="s">
        <v>513</v>
      </c>
    </row>
    <row r="189" spans="1:11" ht="28.9" customHeight="1" thickTop="1" thickBot="1" x14ac:dyDescent="0.75">
      <c r="A189" s="6">
        <v>187</v>
      </c>
      <c r="B189" s="57" t="str">
        <f>HYPERLINK("https://search.naver.com/search.naver?query=광해, 왕이 된 남자 영화", "광해, 왕이 된 남자")</f>
        <v>광해, 왕이 된 남자</v>
      </c>
      <c r="C189" s="8">
        <v>9.26</v>
      </c>
      <c r="D189" s="9" t="s">
        <v>514</v>
      </c>
      <c r="E189" s="6" t="s">
        <v>13</v>
      </c>
      <c r="F189" s="6">
        <v>2012</v>
      </c>
      <c r="G189" s="6" t="s">
        <v>14</v>
      </c>
      <c r="H189" s="7" t="s">
        <v>505</v>
      </c>
      <c r="I189" s="6" t="s">
        <v>432</v>
      </c>
      <c r="J189" s="130"/>
      <c r="K189" s="148" t="s">
        <v>515</v>
      </c>
    </row>
    <row r="190" spans="1:11" ht="28.9" customHeight="1" thickTop="1" thickBot="1" x14ac:dyDescent="0.75">
      <c r="A190" s="10">
        <v>188</v>
      </c>
      <c r="B190" s="58" t="str">
        <f>HYPERLINK("https://search.naver.com/search.naver?query=괜찮아요, 미스터 브래드 영화", "괜찮아요, 미스터 브래드")</f>
        <v>괜찮아요, 미스터 브래드</v>
      </c>
      <c r="C190" s="12">
        <v>8.32</v>
      </c>
      <c r="D190" s="13" t="s">
        <v>516</v>
      </c>
      <c r="E190" s="10" t="s">
        <v>24</v>
      </c>
      <c r="F190" s="10">
        <v>2017</v>
      </c>
      <c r="G190" s="10" t="s">
        <v>14</v>
      </c>
      <c r="H190" s="11" t="s">
        <v>178</v>
      </c>
      <c r="I190" s="10" t="s">
        <v>133</v>
      </c>
      <c r="J190" s="131"/>
      <c r="K190" s="149" t="s">
        <v>517</v>
      </c>
    </row>
    <row r="191" spans="1:11" ht="28.9" customHeight="1" thickTop="1" thickBot="1" x14ac:dyDescent="0.75">
      <c r="A191" s="6">
        <v>189</v>
      </c>
      <c r="B191" s="57" t="str">
        <f>HYPERLINK("https://search.naver.com/search.naver?query=괴물 영화", "괴물")</f>
        <v>괴물</v>
      </c>
      <c r="C191" s="8">
        <v>8.6300000000000008</v>
      </c>
      <c r="D191" s="9" t="s">
        <v>518</v>
      </c>
      <c r="E191" s="6" t="s">
        <v>13</v>
      </c>
      <c r="F191" s="6">
        <v>2006</v>
      </c>
      <c r="G191" s="6" t="s">
        <v>14</v>
      </c>
      <c r="H191" s="7" t="s">
        <v>519</v>
      </c>
      <c r="I191" s="6" t="s">
        <v>68</v>
      </c>
      <c r="J191" s="130"/>
      <c r="K191" s="148" t="s">
        <v>520</v>
      </c>
    </row>
    <row r="192" spans="1:11" ht="28.9" customHeight="1" thickTop="1" thickBot="1" x14ac:dyDescent="0.75">
      <c r="A192" s="10">
        <v>190</v>
      </c>
      <c r="B192" s="58" t="str">
        <f>HYPERLINK("https://search.naver.com/search.naver?query=괴물2023", "괴물")</f>
        <v>괴물</v>
      </c>
      <c r="C192" s="12">
        <v>8.99</v>
      </c>
      <c r="D192" s="13" t="s">
        <v>521</v>
      </c>
      <c r="E192" s="10" t="s">
        <v>19</v>
      </c>
      <c r="F192" s="10">
        <v>2023</v>
      </c>
      <c r="G192" s="10" t="s">
        <v>14</v>
      </c>
      <c r="H192" s="11" t="s">
        <v>20</v>
      </c>
      <c r="I192" s="10" t="s">
        <v>105</v>
      </c>
      <c r="J192" s="131"/>
      <c r="K192" s="149" t="s">
        <v>522</v>
      </c>
    </row>
    <row r="193" spans="1:11" ht="28.9" customHeight="1" thickTop="1" thickBot="1" x14ac:dyDescent="0.75">
      <c r="A193" s="6">
        <v>191</v>
      </c>
      <c r="B193" s="57" t="str">
        <f>HYPERLINK("https://search.naver.com/search.naver?query=교섭 영화", "교섭")</f>
        <v>교섭</v>
      </c>
      <c r="C193" s="8">
        <v>6.17</v>
      </c>
      <c r="D193" s="9" t="s">
        <v>523</v>
      </c>
      <c r="E193" s="6" t="s">
        <v>13</v>
      </c>
      <c r="F193" s="6">
        <v>2023</v>
      </c>
      <c r="G193" s="6" t="s">
        <v>14</v>
      </c>
      <c r="H193" s="7" t="s">
        <v>20</v>
      </c>
      <c r="I193" s="6" t="s">
        <v>38</v>
      </c>
      <c r="J193" s="130"/>
      <c r="K193" s="148" t="s">
        <v>524</v>
      </c>
    </row>
    <row r="194" spans="1:11" ht="28.9" customHeight="1" thickTop="1" thickBot="1" x14ac:dyDescent="0.75">
      <c r="A194" s="10">
        <v>192</v>
      </c>
      <c r="B194" s="58" t="str">
        <f>HYPERLINK("https://search.naver.com/search.naver?query=교장", "교장")</f>
        <v>교장</v>
      </c>
      <c r="C194" s="12">
        <v>4.91</v>
      </c>
      <c r="D194" s="13" t="s">
        <v>525</v>
      </c>
      <c r="E194" s="10" t="s">
        <v>19</v>
      </c>
      <c r="F194" s="10">
        <v>2019</v>
      </c>
      <c r="G194" s="10" t="s">
        <v>14</v>
      </c>
      <c r="H194" s="11" t="s">
        <v>20</v>
      </c>
      <c r="I194" s="10" t="s">
        <v>179</v>
      </c>
      <c r="J194" s="131"/>
      <c r="K194" s="149" t="s">
        <v>526</v>
      </c>
    </row>
    <row r="195" spans="1:11" ht="28.9" customHeight="1" thickTop="1" thickBot="1" x14ac:dyDescent="0.75">
      <c r="A195" s="6">
        <v>193</v>
      </c>
      <c r="B195" s="57" t="str">
        <f>HYPERLINK("https://search.naver.com/search.naver?query=구르믈 버서난 달처럼 영화", "구르믈 버서난 달처럼")</f>
        <v>구르믈 버서난 달처럼</v>
      </c>
      <c r="C195" s="8">
        <v>6.84</v>
      </c>
      <c r="D195" s="9" t="s">
        <v>527</v>
      </c>
      <c r="E195" s="6" t="s">
        <v>13</v>
      </c>
      <c r="F195" s="6">
        <v>2010</v>
      </c>
      <c r="G195" s="6" t="s">
        <v>14</v>
      </c>
      <c r="H195" s="7" t="s">
        <v>528</v>
      </c>
      <c r="I195" s="6" t="s">
        <v>129</v>
      </c>
      <c r="J195" s="130"/>
      <c r="K195" s="148" t="s">
        <v>529</v>
      </c>
    </row>
    <row r="196" spans="1:11" ht="28.9" customHeight="1" thickTop="1" thickBot="1" x14ac:dyDescent="0.75">
      <c r="A196" s="10">
        <v>194</v>
      </c>
      <c r="B196" s="58" t="str">
        <f>HYPERLINK("https://search.naver.com/search.naver?query=구스범스 영화", "구스범스")</f>
        <v>구스범스</v>
      </c>
      <c r="C196" s="12">
        <v>8.61</v>
      </c>
      <c r="D196" s="13" t="s">
        <v>530</v>
      </c>
      <c r="E196" s="10" t="s">
        <v>24</v>
      </c>
      <c r="F196" s="10">
        <v>2015</v>
      </c>
      <c r="G196" s="10" t="s">
        <v>14</v>
      </c>
      <c r="H196" s="11" t="s">
        <v>88</v>
      </c>
      <c r="I196" s="10" t="s">
        <v>276</v>
      </c>
      <c r="J196" s="131"/>
      <c r="K196" s="149" t="s">
        <v>531</v>
      </c>
    </row>
    <row r="197" spans="1:11" ht="28.9" customHeight="1" thickTop="1" thickBot="1" x14ac:dyDescent="0.75">
      <c r="A197" s="6">
        <v>195</v>
      </c>
      <c r="B197" s="57" t="str">
        <f>HYPERLINK("https://search.naver.com/search.naver?query=구조견 루비 영화", "구조견 루비")</f>
        <v>구조견 루비</v>
      </c>
      <c r="C197" s="8">
        <v>9.18</v>
      </c>
      <c r="D197" s="9" t="s">
        <v>532</v>
      </c>
      <c r="E197" s="6" t="s">
        <v>24</v>
      </c>
      <c r="F197" s="6">
        <v>2022</v>
      </c>
      <c r="G197" s="6" t="s">
        <v>14</v>
      </c>
      <c r="H197" s="7" t="s">
        <v>20</v>
      </c>
      <c r="I197" s="6" t="s">
        <v>125</v>
      </c>
      <c r="J197" s="130"/>
      <c r="K197" s="148" t="s">
        <v>533</v>
      </c>
    </row>
    <row r="198" spans="1:11" ht="28.9" customHeight="1" thickTop="1" thickBot="1" x14ac:dyDescent="0.75">
      <c r="A198" s="10">
        <v>196</v>
      </c>
      <c r="B198" s="58" t="str">
        <f>HYPERLINK("https://search.naver.com/search.naver?query=국가대표1", "국가대표1")</f>
        <v>국가대표1</v>
      </c>
      <c r="C198" s="12">
        <v>9.14</v>
      </c>
      <c r="D198" s="13" t="s">
        <v>534</v>
      </c>
      <c r="E198" s="10" t="s">
        <v>13</v>
      </c>
      <c r="F198" s="10">
        <v>2009</v>
      </c>
      <c r="G198" s="10" t="s">
        <v>14</v>
      </c>
      <c r="H198" s="11" t="s">
        <v>535</v>
      </c>
      <c r="I198" s="10" t="s">
        <v>269</v>
      </c>
      <c r="J198" s="131"/>
      <c r="K198" s="149" t="s">
        <v>536</v>
      </c>
    </row>
    <row r="199" spans="1:11" ht="28.9" customHeight="1" thickTop="1" thickBot="1" x14ac:dyDescent="0.75">
      <c r="A199" s="6">
        <v>197</v>
      </c>
      <c r="B199" s="57" t="str">
        <f>HYPERLINK("https://search.naver.com/search.naver?query=국가대표2", "국가대표2")</f>
        <v>국가대표2</v>
      </c>
      <c r="C199" s="8">
        <v>8.7899999999999991</v>
      </c>
      <c r="D199" s="9" t="s">
        <v>537</v>
      </c>
      <c r="E199" s="6" t="s">
        <v>13</v>
      </c>
      <c r="F199" s="6">
        <v>2016</v>
      </c>
      <c r="G199" s="6" t="s">
        <v>14</v>
      </c>
      <c r="H199" s="7" t="s">
        <v>535</v>
      </c>
      <c r="I199" s="6" t="s">
        <v>146</v>
      </c>
      <c r="J199" s="130"/>
      <c r="K199" s="148" t="s">
        <v>538</v>
      </c>
    </row>
    <row r="200" spans="1:11" ht="28.9" customHeight="1" thickTop="1" thickBot="1" x14ac:dyDescent="0.75">
      <c r="A200" s="10">
        <v>198</v>
      </c>
      <c r="B200" s="58" t="str">
        <f>HYPERLINK("https://search.naver.com/search.naver?query=국가부도의 날 영화", "국가부도의 날")</f>
        <v>국가부도의 날</v>
      </c>
      <c r="C200" s="12">
        <v>8.7100000000000009</v>
      </c>
      <c r="D200" s="13" t="s">
        <v>539</v>
      </c>
      <c r="E200" s="10" t="s">
        <v>13</v>
      </c>
      <c r="F200" s="10">
        <v>2018</v>
      </c>
      <c r="G200" s="10" t="s">
        <v>14</v>
      </c>
      <c r="H200" s="11" t="s">
        <v>20</v>
      </c>
      <c r="I200" s="10" t="s">
        <v>305</v>
      </c>
      <c r="J200" s="131"/>
      <c r="K200" s="149" t="s">
        <v>540</v>
      </c>
    </row>
    <row r="201" spans="1:11" ht="28.9" customHeight="1" thickTop="1" thickBot="1" x14ac:dyDescent="0.75">
      <c r="A201" s="6">
        <v>199</v>
      </c>
      <c r="B201" s="57" t="str">
        <f>HYPERLINK("https://search.naver.com/search.naver?query=국가의 탄생 영화", "국가의 탄생")</f>
        <v>국가의 탄생</v>
      </c>
      <c r="C201" s="8">
        <v>6.4</v>
      </c>
      <c r="D201" s="9" t="s">
        <v>541</v>
      </c>
      <c r="E201" s="6" t="s">
        <v>24</v>
      </c>
      <c r="F201" s="6">
        <v>2016</v>
      </c>
      <c r="G201" s="6" t="s">
        <v>14</v>
      </c>
      <c r="H201" s="7" t="s">
        <v>20</v>
      </c>
      <c r="I201" s="6" t="s">
        <v>116</v>
      </c>
      <c r="J201" s="130"/>
      <c r="K201" s="148" t="s">
        <v>542</v>
      </c>
    </row>
    <row r="202" spans="1:11" ht="28.9" customHeight="1" thickTop="1" thickBot="1" x14ac:dyDescent="0.75">
      <c r="A202" s="10">
        <v>200</v>
      </c>
      <c r="B202" s="58" t="str">
        <f>HYPERLINK("https://search.naver.com/search.naver?query=국경의 남쪽 영화", "국경의 남쪽")</f>
        <v>국경의 남쪽</v>
      </c>
      <c r="C202" s="12">
        <v>8.49</v>
      </c>
      <c r="D202" s="13" t="s">
        <v>543</v>
      </c>
      <c r="E202" s="10" t="s">
        <v>13</v>
      </c>
      <c r="F202" s="10">
        <v>2006</v>
      </c>
      <c r="G202" s="10" t="s">
        <v>14</v>
      </c>
      <c r="H202" s="11" t="s">
        <v>20</v>
      </c>
      <c r="I202" s="10" t="s">
        <v>129</v>
      </c>
      <c r="J202" s="131"/>
      <c r="K202" s="149" t="s">
        <v>544</v>
      </c>
    </row>
    <row r="203" spans="1:11" ht="28.9" customHeight="1" thickTop="1" thickBot="1" x14ac:dyDescent="0.75">
      <c r="A203" s="6">
        <v>201</v>
      </c>
      <c r="B203" s="57" t="str">
        <f>HYPERLINK("https://search.naver.com/search.naver?query=국제수사 영화", "국제수사")</f>
        <v>국제수사</v>
      </c>
      <c r="C203" s="8">
        <v>7.25</v>
      </c>
      <c r="D203" s="9" t="s">
        <v>545</v>
      </c>
      <c r="E203" s="6" t="s">
        <v>13</v>
      </c>
      <c r="F203" s="6">
        <v>2020</v>
      </c>
      <c r="G203" s="6" t="s">
        <v>14</v>
      </c>
      <c r="H203" s="7" t="s">
        <v>379</v>
      </c>
      <c r="I203" s="6" t="s">
        <v>443</v>
      </c>
      <c r="J203" s="130"/>
      <c r="K203" s="148" t="s">
        <v>546</v>
      </c>
    </row>
    <row r="204" spans="1:11" ht="28.9" customHeight="1" thickTop="1" thickBot="1" x14ac:dyDescent="0.75">
      <c r="A204" s="10">
        <v>202</v>
      </c>
      <c r="B204" s="58" t="str">
        <f>HYPERLINK("https://search.naver.com/search.naver?query=국제시장 영화", "국제시장")</f>
        <v>국제시장</v>
      </c>
      <c r="C204" s="12">
        <v>9.16</v>
      </c>
      <c r="D204" s="13" t="s">
        <v>547</v>
      </c>
      <c r="E204" s="10" t="s">
        <v>13</v>
      </c>
      <c r="F204" s="10">
        <v>2014</v>
      </c>
      <c r="G204" s="10" t="s">
        <v>14</v>
      </c>
      <c r="H204" s="11" t="s">
        <v>20</v>
      </c>
      <c r="I204" s="10" t="s">
        <v>105</v>
      </c>
      <c r="J204" s="131"/>
      <c r="K204" s="149" t="s">
        <v>548</v>
      </c>
    </row>
    <row r="205" spans="1:11" ht="28.9" customHeight="1" thickTop="1" thickBot="1" x14ac:dyDescent="0.75">
      <c r="A205" s="6">
        <v>203</v>
      </c>
      <c r="B205" s="57" t="str">
        <f>HYPERLINK("https://search.naver.com/search.naver?query=군도:민란의 시대 영화", "군도-민란의 시대")</f>
        <v>군도-민란의 시대</v>
      </c>
      <c r="C205" s="8">
        <v>7.34</v>
      </c>
      <c r="D205" s="9" t="s">
        <v>549</v>
      </c>
      <c r="E205" s="6" t="s">
        <v>13</v>
      </c>
      <c r="F205" s="6">
        <v>2014</v>
      </c>
      <c r="G205" s="6" t="s">
        <v>14</v>
      </c>
      <c r="H205" s="7" t="s">
        <v>394</v>
      </c>
      <c r="I205" s="6" t="s">
        <v>269</v>
      </c>
      <c r="J205" s="130"/>
      <c r="K205" s="148" t="s">
        <v>550</v>
      </c>
    </row>
    <row r="206" spans="1:11" ht="28.9" customHeight="1" thickTop="1" thickBot="1" x14ac:dyDescent="0.75">
      <c r="A206" s="10">
        <v>204</v>
      </c>
      <c r="B206" s="59" t="str">
        <f>HYPERLINK("https://search.naver.com/search.naver?query=군사 칸베에", "군사 칸베에")</f>
        <v>군사 칸베에</v>
      </c>
      <c r="C206" s="16"/>
      <c r="D206" s="17" t="s">
        <v>551</v>
      </c>
      <c r="E206" s="14" t="s">
        <v>19</v>
      </c>
      <c r="F206" s="14">
        <v>2014</v>
      </c>
      <c r="G206" s="14" t="s">
        <v>20</v>
      </c>
      <c r="H206" s="15" t="s">
        <v>552</v>
      </c>
      <c r="I206" s="14" t="s">
        <v>553</v>
      </c>
      <c r="J206" s="132"/>
      <c r="K206" s="150" t="s">
        <v>554</v>
      </c>
    </row>
    <row r="207" spans="1:11" ht="28.9" customHeight="1" thickTop="1" thickBot="1" x14ac:dyDescent="0.75">
      <c r="A207" s="6">
        <v>205</v>
      </c>
      <c r="B207" s="57" t="str">
        <f>HYPERLINK("https://search.naver.com/search.naver?query=군산 거위를 노래하다 영화", "군산 거위를 노래하다")</f>
        <v>군산 거위를 노래하다</v>
      </c>
      <c r="C207" s="8">
        <v>8.0299999999999994</v>
      </c>
      <c r="D207" s="9" t="s">
        <v>555</v>
      </c>
      <c r="E207" s="6" t="s">
        <v>13</v>
      </c>
      <c r="F207" s="6">
        <v>2018</v>
      </c>
      <c r="G207" s="6" t="s">
        <v>14</v>
      </c>
      <c r="H207" s="7" t="s">
        <v>20</v>
      </c>
      <c r="I207" s="6" t="s">
        <v>195</v>
      </c>
      <c r="J207" s="130"/>
      <c r="K207" s="148" t="s">
        <v>556</v>
      </c>
    </row>
    <row r="208" spans="1:11" ht="28.9" customHeight="1" thickTop="1" thickBot="1" x14ac:dyDescent="0.75">
      <c r="A208" s="10">
        <v>206</v>
      </c>
      <c r="B208" s="58" t="str">
        <f>HYPERLINK("https://search.naver.com/search.naver?query=군함도 영화", "군함도")</f>
        <v>군함도</v>
      </c>
      <c r="C208" s="12">
        <v>7.36</v>
      </c>
      <c r="D208" s="13" t="s">
        <v>557</v>
      </c>
      <c r="E208" s="10" t="s">
        <v>13</v>
      </c>
      <c r="F208" s="10">
        <v>2017</v>
      </c>
      <c r="G208" s="10" t="s">
        <v>14</v>
      </c>
      <c r="H208" s="11" t="s">
        <v>394</v>
      </c>
      <c r="I208" s="10" t="s">
        <v>558</v>
      </c>
      <c r="J208" s="131"/>
      <c r="K208" s="149" t="s">
        <v>559</v>
      </c>
    </row>
    <row r="209" spans="1:11" ht="28.9" customHeight="1" thickTop="1" thickBot="1" x14ac:dyDescent="0.75">
      <c r="A209" s="6">
        <v>207</v>
      </c>
      <c r="B209" s="57" t="str">
        <f>HYPERLINK("https://search.naver.com/search.naver?query=굿 라이어 영화", "굿 라이어")</f>
        <v>굿 라이어</v>
      </c>
      <c r="C209" s="8">
        <v>8.8000000000000007</v>
      </c>
      <c r="D209" s="9" t="s">
        <v>560</v>
      </c>
      <c r="E209" s="6" t="s">
        <v>24</v>
      </c>
      <c r="F209" s="6">
        <v>2019</v>
      </c>
      <c r="G209" s="6" t="s">
        <v>14</v>
      </c>
      <c r="H209" s="7" t="s">
        <v>115</v>
      </c>
      <c r="I209" s="6" t="s">
        <v>187</v>
      </c>
      <c r="J209" s="130"/>
      <c r="K209" s="148" t="s">
        <v>561</v>
      </c>
    </row>
    <row r="210" spans="1:11" ht="28.9" customHeight="1" thickTop="1" thickBot="1" x14ac:dyDescent="0.75">
      <c r="A210" s="10">
        <v>208</v>
      </c>
      <c r="B210" s="58" t="str">
        <f>HYPERLINK("https://search.naver.com/search.naver?query=굿 바이 영화", "굿 바이")</f>
        <v>굿 바이</v>
      </c>
      <c r="C210" s="12">
        <v>9.2899999999999991</v>
      </c>
      <c r="D210" s="13" t="s">
        <v>562</v>
      </c>
      <c r="E210" s="10" t="s">
        <v>19</v>
      </c>
      <c r="F210" s="10">
        <v>2008</v>
      </c>
      <c r="G210" s="10" t="s">
        <v>14</v>
      </c>
      <c r="H210" s="11" t="s">
        <v>20</v>
      </c>
      <c r="I210" s="10" t="s">
        <v>42</v>
      </c>
      <c r="J210" s="131"/>
      <c r="K210" s="149" t="s">
        <v>563</v>
      </c>
    </row>
    <row r="211" spans="1:11" ht="28.9" customHeight="1" thickTop="1" thickBot="1" x14ac:dyDescent="0.75">
      <c r="A211" s="6">
        <v>209</v>
      </c>
      <c r="B211" s="59" t="str">
        <f>HYPERLINK("https://search.naver.com/search.naver?query=굿 와이프 시즌1", "굿 와이프 시즌1")</f>
        <v>굿 와이프 시즌1</v>
      </c>
      <c r="C211" s="16"/>
      <c r="D211" s="17" t="s">
        <v>564</v>
      </c>
      <c r="E211" s="14" t="s">
        <v>24</v>
      </c>
      <c r="F211" s="14">
        <v>2009</v>
      </c>
      <c r="G211" s="14" t="s">
        <v>20</v>
      </c>
      <c r="H211" s="15" t="s">
        <v>565</v>
      </c>
      <c r="I211" s="14" t="s">
        <v>566</v>
      </c>
      <c r="J211" s="132"/>
      <c r="K211" s="150" t="s">
        <v>567</v>
      </c>
    </row>
    <row r="212" spans="1:11" ht="28.9" customHeight="1" thickTop="1" thickBot="1" x14ac:dyDescent="0.75">
      <c r="A212" s="10">
        <v>210</v>
      </c>
      <c r="B212" s="59" t="str">
        <f>HYPERLINK("https://search.naver.com/search.naver?query=굿 와이프 시즌2", "굿 와이프 시즌2")</f>
        <v>굿 와이프 시즌2</v>
      </c>
      <c r="C212" s="16"/>
      <c r="D212" s="17" t="s">
        <v>564</v>
      </c>
      <c r="E212" s="14" t="s">
        <v>24</v>
      </c>
      <c r="F212" s="14">
        <v>2010</v>
      </c>
      <c r="G212" s="14" t="s">
        <v>20</v>
      </c>
      <c r="H212" s="15" t="s">
        <v>565</v>
      </c>
      <c r="I212" s="14" t="s">
        <v>566</v>
      </c>
      <c r="J212" s="132"/>
      <c r="K212" s="150" t="s">
        <v>568</v>
      </c>
    </row>
    <row r="213" spans="1:11" ht="28.9" customHeight="1" thickTop="1" thickBot="1" x14ac:dyDescent="0.75">
      <c r="A213" s="6">
        <v>211</v>
      </c>
      <c r="B213" s="59" t="str">
        <f>HYPERLINK("https://search.naver.com/search.naver?query=굿 와이프 시즌3", "굿 와이프 시즌3")</f>
        <v>굿 와이프 시즌3</v>
      </c>
      <c r="C213" s="16"/>
      <c r="D213" s="17" t="s">
        <v>564</v>
      </c>
      <c r="E213" s="14" t="s">
        <v>24</v>
      </c>
      <c r="F213" s="14">
        <v>2011</v>
      </c>
      <c r="G213" s="14" t="s">
        <v>20</v>
      </c>
      <c r="H213" s="15" t="s">
        <v>565</v>
      </c>
      <c r="I213" s="14" t="s">
        <v>569</v>
      </c>
      <c r="J213" s="132"/>
      <c r="K213" s="150" t="s">
        <v>570</v>
      </c>
    </row>
    <row r="214" spans="1:11" ht="28.9" customHeight="1" thickTop="1" thickBot="1" x14ac:dyDescent="0.75">
      <c r="A214" s="10">
        <v>212</v>
      </c>
      <c r="B214" s="59" t="str">
        <f>HYPERLINK("https://search.naver.com/search.naver?query=굿 와이프 시즌4", "굿 와이프 시즌4")</f>
        <v>굿 와이프 시즌4</v>
      </c>
      <c r="C214" s="16"/>
      <c r="D214" s="17" t="s">
        <v>564</v>
      </c>
      <c r="E214" s="14" t="s">
        <v>24</v>
      </c>
      <c r="F214" s="14">
        <v>2012</v>
      </c>
      <c r="G214" s="14" t="s">
        <v>20</v>
      </c>
      <c r="H214" s="15" t="s">
        <v>565</v>
      </c>
      <c r="I214" s="14" t="s">
        <v>569</v>
      </c>
      <c r="J214" s="132"/>
      <c r="K214" s="150" t="s">
        <v>571</v>
      </c>
    </row>
    <row r="215" spans="1:11" ht="28.9" customHeight="1" thickTop="1" thickBot="1" x14ac:dyDescent="0.75">
      <c r="A215" s="6">
        <v>213</v>
      </c>
      <c r="B215" s="59" t="str">
        <f>HYPERLINK("https://search.naver.com/search.naver?query=굿 와이프 시즌5", "굿 와이프 시즌5")</f>
        <v>굿 와이프 시즌5</v>
      </c>
      <c r="C215" s="16"/>
      <c r="D215" s="17" t="s">
        <v>564</v>
      </c>
      <c r="E215" s="14" t="s">
        <v>24</v>
      </c>
      <c r="F215" s="14">
        <v>2013</v>
      </c>
      <c r="G215" s="14" t="s">
        <v>20</v>
      </c>
      <c r="H215" s="15" t="s">
        <v>565</v>
      </c>
      <c r="I215" s="14" t="s">
        <v>569</v>
      </c>
      <c r="J215" s="132"/>
      <c r="K215" s="150" t="s">
        <v>572</v>
      </c>
    </row>
    <row r="216" spans="1:11" ht="28.9" customHeight="1" thickTop="1" thickBot="1" x14ac:dyDescent="0.75">
      <c r="A216" s="10">
        <v>214</v>
      </c>
      <c r="B216" s="59" t="str">
        <f>HYPERLINK("https://search.naver.com/search.naver?query=굿 와이프 시즌6", "굿 와이프 시즌6")</f>
        <v>굿 와이프 시즌6</v>
      </c>
      <c r="C216" s="16"/>
      <c r="D216" s="17" t="s">
        <v>564</v>
      </c>
      <c r="E216" s="14" t="s">
        <v>24</v>
      </c>
      <c r="F216" s="14">
        <v>2014</v>
      </c>
      <c r="G216" s="14" t="s">
        <v>20</v>
      </c>
      <c r="H216" s="15" t="s">
        <v>565</v>
      </c>
      <c r="I216" s="14" t="s">
        <v>569</v>
      </c>
      <c r="J216" s="132"/>
      <c r="K216" s="150" t="s">
        <v>573</v>
      </c>
    </row>
    <row r="217" spans="1:11" ht="28.9" customHeight="1" thickTop="1" thickBot="1" x14ac:dyDescent="0.75">
      <c r="A217" s="6">
        <v>215</v>
      </c>
      <c r="B217" s="59" t="str">
        <f>HYPERLINK("https://search.naver.com/search.naver?query=굿 와이프 시즌7", "굿 와이프 시즌7")</f>
        <v>굿 와이프 시즌7</v>
      </c>
      <c r="C217" s="16"/>
      <c r="D217" s="17" t="s">
        <v>564</v>
      </c>
      <c r="E217" s="14" t="s">
        <v>24</v>
      </c>
      <c r="F217" s="14">
        <v>2015</v>
      </c>
      <c r="G217" s="14" t="s">
        <v>20</v>
      </c>
      <c r="H217" s="15" t="s">
        <v>565</v>
      </c>
      <c r="I217" s="14" t="s">
        <v>569</v>
      </c>
      <c r="J217" s="132"/>
      <c r="K217" s="150" t="s">
        <v>574</v>
      </c>
    </row>
    <row r="218" spans="1:11" ht="28.9" customHeight="1" thickTop="1" thickBot="1" x14ac:dyDescent="0.75">
      <c r="A218" s="10">
        <v>216</v>
      </c>
      <c r="B218" s="58" t="str">
        <f>HYPERLINK("https://search.naver.com/search.naver?query=굿 우먼 영화", "굿 우먼")</f>
        <v>굿 우먼</v>
      </c>
      <c r="C218" s="12">
        <v>8.48</v>
      </c>
      <c r="D218" s="13" t="s">
        <v>575</v>
      </c>
      <c r="E218" s="10" t="s">
        <v>24</v>
      </c>
      <c r="F218" s="10">
        <v>2004</v>
      </c>
      <c r="G218" s="10" t="s">
        <v>14</v>
      </c>
      <c r="H218" s="11" t="s">
        <v>20</v>
      </c>
      <c r="I218" s="10" t="s">
        <v>125</v>
      </c>
      <c r="J218" s="131"/>
      <c r="K218" s="149" t="s">
        <v>576</v>
      </c>
    </row>
    <row r="219" spans="1:11" ht="28.9" customHeight="1" thickTop="1" thickBot="1" x14ac:dyDescent="0.75">
      <c r="A219" s="6">
        <v>217</v>
      </c>
      <c r="B219" s="57" t="str">
        <f>HYPERLINK("https://search.naver.com/search.naver?query=굿뉴스 영화", "굿뉴스")</f>
        <v>굿뉴스</v>
      </c>
      <c r="C219" s="8">
        <v>8.0500000000000007</v>
      </c>
      <c r="D219" s="9" t="s">
        <v>577</v>
      </c>
      <c r="E219" s="6" t="s">
        <v>13</v>
      </c>
      <c r="F219" s="6">
        <v>2025</v>
      </c>
      <c r="G219" s="6" t="s">
        <v>14</v>
      </c>
      <c r="H219" s="7" t="s">
        <v>20</v>
      </c>
      <c r="I219" s="6" t="s">
        <v>578</v>
      </c>
      <c r="J219" s="130"/>
      <c r="K219" s="148" t="s">
        <v>579</v>
      </c>
    </row>
    <row r="220" spans="1:11" ht="28.9" customHeight="1" thickTop="1" thickBot="1" x14ac:dyDescent="0.75">
      <c r="A220" s="10">
        <v>218</v>
      </c>
      <c r="B220" s="58" t="str">
        <f>HYPERLINK("https://search.naver.com/search.naver?query=굿모닝 맨하탄 영화", "굿모닝 맨하탄")</f>
        <v>굿모닝 맨하탄</v>
      </c>
      <c r="C220" s="12">
        <v>9</v>
      </c>
      <c r="D220" s="13" t="s">
        <v>580</v>
      </c>
      <c r="E220" s="10" t="s">
        <v>581</v>
      </c>
      <c r="F220" s="10">
        <v>2014</v>
      </c>
      <c r="G220" s="10" t="s">
        <v>14</v>
      </c>
      <c r="H220" s="11" t="s">
        <v>20</v>
      </c>
      <c r="I220" s="10" t="s">
        <v>112</v>
      </c>
      <c r="J220" s="131"/>
      <c r="K220" s="149" t="s">
        <v>582</v>
      </c>
    </row>
    <row r="221" spans="1:11" ht="28.9" customHeight="1" thickTop="1" thickBot="1" x14ac:dyDescent="0.75">
      <c r="A221" s="6">
        <v>219</v>
      </c>
      <c r="B221" s="57" t="str">
        <f>HYPERLINK("https://search.naver.com/search.naver?query=굿바이 그레이스 영화", "굿바이 그레이스")</f>
        <v>굿바이 그레이스</v>
      </c>
      <c r="C221" s="8">
        <v>8.35</v>
      </c>
      <c r="D221" s="9" t="s">
        <v>583</v>
      </c>
      <c r="E221" s="6" t="s">
        <v>24</v>
      </c>
      <c r="F221" s="6">
        <v>2007</v>
      </c>
      <c r="G221" s="6" t="s">
        <v>14</v>
      </c>
      <c r="H221" s="7" t="s">
        <v>20</v>
      </c>
      <c r="I221" s="6" t="s">
        <v>46</v>
      </c>
      <c r="J221" s="130"/>
      <c r="K221" s="148" t="s">
        <v>584</v>
      </c>
    </row>
    <row r="222" spans="1:11" ht="28.9" customHeight="1" thickTop="1" thickBot="1" x14ac:dyDescent="0.75">
      <c r="A222" s="10">
        <v>220</v>
      </c>
      <c r="B222" s="58" t="str">
        <f>HYPERLINK("https://search.naver.com/search.naver?query=굿바이 마이 프랜드 영화", "굿바이 마이 프랜드")</f>
        <v>굿바이 마이 프랜드</v>
      </c>
      <c r="C222" s="12">
        <v>9.3699999999999992</v>
      </c>
      <c r="D222" s="13" t="s">
        <v>585</v>
      </c>
      <c r="E222" s="10" t="s">
        <v>24</v>
      </c>
      <c r="F222" s="10">
        <v>1996</v>
      </c>
      <c r="G222" s="10" t="s">
        <v>14</v>
      </c>
      <c r="H222" s="11" t="s">
        <v>20</v>
      </c>
      <c r="I222" s="10" t="s">
        <v>169</v>
      </c>
      <c r="J222" s="131"/>
      <c r="K222" s="149" t="s">
        <v>586</v>
      </c>
    </row>
    <row r="223" spans="1:11" ht="28.9" customHeight="1" thickTop="1" thickBot="1" x14ac:dyDescent="0.75">
      <c r="A223" s="6">
        <v>221</v>
      </c>
      <c r="B223" s="57" t="str">
        <f>HYPERLINK("https://search.naver.com/search.naver?query=굿바이 싱글 영화", "굿바이 싱글")</f>
        <v>굿바이 싱글</v>
      </c>
      <c r="C223" s="8">
        <v>8.43</v>
      </c>
      <c r="D223" s="9" t="s">
        <v>587</v>
      </c>
      <c r="E223" s="6" t="s">
        <v>13</v>
      </c>
      <c r="F223" s="6">
        <v>2016</v>
      </c>
      <c r="G223" s="6" t="s">
        <v>14</v>
      </c>
      <c r="H223" s="7" t="s">
        <v>91</v>
      </c>
      <c r="I223" s="6" t="s">
        <v>68</v>
      </c>
      <c r="J223" s="130"/>
      <c r="K223" s="148" t="s">
        <v>588</v>
      </c>
    </row>
    <row r="224" spans="1:11" ht="28.9" customHeight="1" thickTop="1" thickBot="1" x14ac:dyDescent="0.75">
      <c r="A224" s="10">
        <v>222</v>
      </c>
      <c r="B224" s="58" t="str">
        <f>HYPERLINK("https://search.naver.com/search.naver?query=굿바이 크리스토퍼 로빈 영화", "굿바이 크리스토퍼 로빈")</f>
        <v>굿바이 크리스토퍼 로빈</v>
      </c>
      <c r="C224" s="12">
        <v>9.2899999999999991</v>
      </c>
      <c r="D224" s="13" t="s">
        <v>480</v>
      </c>
      <c r="E224" s="10" t="s">
        <v>29</v>
      </c>
      <c r="F224" s="10">
        <v>2017</v>
      </c>
      <c r="G224" s="10" t="s">
        <v>14</v>
      </c>
      <c r="H224" s="11" t="s">
        <v>20</v>
      </c>
      <c r="I224" s="10" t="s">
        <v>101</v>
      </c>
      <c r="J224" s="131"/>
      <c r="K224" s="149" t="s">
        <v>589</v>
      </c>
    </row>
    <row r="225" spans="1:11" ht="28.9" customHeight="1" thickTop="1" thickBot="1" x14ac:dyDescent="0.75">
      <c r="A225" s="6">
        <v>223</v>
      </c>
      <c r="B225" s="57" t="str">
        <f>HYPERLINK("https://search.naver.com/search.naver?query=굿바이, 준 영화", "굿바이, 준")</f>
        <v>굿바이, 준</v>
      </c>
      <c r="C225" s="8">
        <v>8.75</v>
      </c>
      <c r="D225" s="9" t="s">
        <v>590</v>
      </c>
      <c r="E225" s="6" t="s">
        <v>29</v>
      </c>
      <c r="F225" s="6">
        <v>2025</v>
      </c>
      <c r="G225" s="6" t="s">
        <v>14</v>
      </c>
      <c r="H225" s="7" t="s">
        <v>20</v>
      </c>
      <c r="I225" s="6" t="s">
        <v>591</v>
      </c>
      <c r="J225" s="130"/>
      <c r="K225" s="148" t="s">
        <v>592</v>
      </c>
    </row>
    <row r="226" spans="1:11" ht="28.9" customHeight="1" thickTop="1" thickBot="1" x14ac:dyDescent="0.75">
      <c r="A226" s="10">
        <v>224</v>
      </c>
      <c r="B226" s="58" t="str">
        <f>HYPERLINK("https://search.naver.com/search.naver?query=굿바이레닌 영화", "굿바이레닌")</f>
        <v>굿바이레닌</v>
      </c>
      <c r="C226" s="12">
        <v>8.91</v>
      </c>
      <c r="D226" s="13" t="s">
        <v>562</v>
      </c>
      <c r="E226" s="10" t="s">
        <v>136</v>
      </c>
      <c r="F226" s="10">
        <v>2003</v>
      </c>
      <c r="G226" s="10" t="s">
        <v>14</v>
      </c>
      <c r="H226" s="11" t="s">
        <v>97</v>
      </c>
      <c r="I226" s="10" t="s">
        <v>195</v>
      </c>
      <c r="J226" s="131"/>
      <c r="K226" s="149" t="s">
        <v>593</v>
      </c>
    </row>
    <row r="227" spans="1:11" ht="28.9" customHeight="1" thickTop="1" thickBot="1" x14ac:dyDescent="0.75">
      <c r="A227" s="6">
        <v>225</v>
      </c>
      <c r="B227" s="57" t="str">
        <f>HYPERLINK("https://search.naver.com/search.naver?query=굿타임 영화", "굿타임")</f>
        <v>굿타임</v>
      </c>
      <c r="C227" s="8">
        <v>8.06</v>
      </c>
      <c r="D227" s="9" t="s">
        <v>594</v>
      </c>
      <c r="E227" s="6" t="s">
        <v>24</v>
      </c>
      <c r="F227" s="6">
        <v>2017</v>
      </c>
      <c r="G227" s="6" t="s">
        <v>14</v>
      </c>
      <c r="H227" s="7" t="s">
        <v>104</v>
      </c>
      <c r="I227" s="6" t="s">
        <v>94</v>
      </c>
      <c r="J227" s="130"/>
      <c r="K227" s="148" t="s">
        <v>595</v>
      </c>
    </row>
    <row r="228" spans="1:11" ht="28.9" customHeight="1" thickTop="1" thickBot="1" x14ac:dyDescent="0.75">
      <c r="A228" s="10">
        <v>226</v>
      </c>
      <c r="B228" s="58" t="str">
        <f>HYPERLINK("https://search.naver.com/search.naver?query=궁합 영화", "궁합")</f>
        <v>궁합</v>
      </c>
      <c r="C228" s="12">
        <v>7.49</v>
      </c>
      <c r="D228" s="13" t="s">
        <v>596</v>
      </c>
      <c r="E228" s="10" t="s">
        <v>13</v>
      </c>
      <c r="F228" s="10">
        <v>2018</v>
      </c>
      <c r="G228" s="10" t="s">
        <v>14</v>
      </c>
      <c r="H228" s="11" t="s">
        <v>597</v>
      </c>
      <c r="I228" s="10" t="s">
        <v>129</v>
      </c>
      <c r="J228" s="131"/>
      <c r="K228" s="149" t="s">
        <v>598</v>
      </c>
    </row>
    <row r="229" spans="1:11" ht="28.9" customHeight="1" thickTop="1" thickBot="1" x14ac:dyDescent="0.75">
      <c r="A229" s="6">
        <v>227</v>
      </c>
      <c r="B229" s="57" t="str">
        <f>HYPERLINK("https://search.naver.com/search.naver?query=귀여운 여인 영화", "귀여운 여인")</f>
        <v>귀여운 여인</v>
      </c>
      <c r="C229" s="8">
        <v>8.7899999999999991</v>
      </c>
      <c r="D229" s="9" t="s">
        <v>599</v>
      </c>
      <c r="E229" s="6" t="s">
        <v>24</v>
      </c>
      <c r="F229" s="6">
        <v>1990</v>
      </c>
      <c r="G229" s="6" t="s">
        <v>14</v>
      </c>
      <c r="H229" s="7" t="s">
        <v>128</v>
      </c>
      <c r="I229" s="6" t="s">
        <v>68</v>
      </c>
      <c r="J229" s="130"/>
      <c r="K229" s="148" t="s">
        <v>600</v>
      </c>
    </row>
    <row r="230" spans="1:11" ht="28.9" customHeight="1" thickTop="1" thickBot="1" x14ac:dyDescent="0.75">
      <c r="A230" s="10">
        <v>228</v>
      </c>
      <c r="B230" s="58" t="str">
        <f>HYPERLINK("https://search.naver.com/search.naver?query=귀향 영화", "귀향")</f>
        <v>귀향</v>
      </c>
      <c r="C230" s="12">
        <v>9.14</v>
      </c>
      <c r="D230" s="13" t="s">
        <v>601</v>
      </c>
      <c r="E230" s="10" t="s">
        <v>13</v>
      </c>
      <c r="F230" s="10">
        <v>2015</v>
      </c>
      <c r="G230" s="10" t="s">
        <v>14</v>
      </c>
      <c r="H230" s="11" t="s">
        <v>20</v>
      </c>
      <c r="I230" s="10" t="s">
        <v>80</v>
      </c>
      <c r="J230" s="131"/>
      <c r="K230" s="149" t="s">
        <v>602</v>
      </c>
    </row>
    <row r="231" spans="1:11" ht="28.9" customHeight="1" thickTop="1" thickBot="1" x14ac:dyDescent="0.75">
      <c r="A231" s="6">
        <v>229</v>
      </c>
      <c r="B231" s="57" t="str">
        <f>HYPERLINK("https://search.naver.com/search.naver?query=그 남자가 아내에게 영화", "그 남자가 아내에게")</f>
        <v>그 남자가 아내에게</v>
      </c>
      <c r="C231" s="8">
        <v>8.4700000000000006</v>
      </c>
      <c r="D231" s="9" t="s">
        <v>603</v>
      </c>
      <c r="E231" s="6" t="s">
        <v>19</v>
      </c>
      <c r="F231" s="6">
        <v>2011</v>
      </c>
      <c r="G231" s="6" t="s">
        <v>14</v>
      </c>
      <c r="H231" s="7" t="s">
        <v>20</v>
      </c>
      <c r="I231" s="6" t="s">
        <v>432</v>
      </c>
      <c r="J231" s="130"/>
      <c r="K231" s="148" t="s">
        <v>604</v>
      </c>
    </row>
    <row r="232" spans="1:11" ht="28.9" customHeight="1" thickTop="1" thickBot="1" x14ac:dyDescent="0.75">
      <c r="A232" s="10">
        <v>230</v>
      </c>
      <c r="B232" s="58" t="str">
        <f>HYPERLINK("https://search.naver.com/search.naver?query=그 산, 그 사람, 그 개 영화", "그 산, 그 사람, 그 개")</f>
        <v>그 산, 그 사람, 그 개</v>
      </c>
      <c r="C232" s="12"/>
      <c r="D232" s="13" t="s">
        <v>605</v>
      </c>
      <c r="E232" s="10" t="s">
        <v>186</v>
      </c>
      <c r="F232" s="10">
        <v>1999</v>
      </c>
      <c r="G232" s="10" t="s">
        <v>14</v>
      </c>
      <c r="H232" s="11" t="s">
        <v>20</v>
      </c>
      <c r="I232" s="10" t="s">
        <v>205</v>
      </c>
      <c r="J232" s="131"/>
      <c r="K232" s="149" t="s">
        <v>606</v>
      </c>
    </row>
    <row r="233" spans="1:11" ht="28.9" customHeight="1" thickTop="1" thickBot="1" x14ac:dyDescent="0.75">
      <c r="A233" s="6">
        <v>231</v>
      </c>
      <c r="B233" s="57" t="str">
        <f>HYPERLINK("https://search.naver.com/search.naver?query=그 시절, 우리가 좋아했던 소녀 영화", "그 시절, 우리가 좋아했던 소녀")</f>
        <v>그 시절, 우리가 좋아했던 소녀</v>
      </c>
      <c r="C233" s="8">
        <v>6.74</v>
      </c>
      <c r="D233" s="9" t="s">
        <v>607</v>
      </c>
      <c r="E233" s="6" t="s">
        <v>608</v>
      </c>
      <c r="F233" s="6">
        <v>2011</v>
      </c>
      <c r="G233" s="6" t="s">
        <v>14</v>
      </c>
      <c r="H233" s="7" t="s">
        <v>165</v>
      </c>
      <c r="I233" s="6" t="s">
        <v>129</v>
      </c>
      <c r="J233" s="130"/>
      <c r="K233" s="148" t="s">
        <v>609</v>
      </c>
    </row>
    <row r="234" spans="1:11" ht="28.9" customHeight="1" thickTop="1" thickBot="1" x14ac:dyDescent="0.75">
      <c r="A234" s="10">
        <v>232</v>
      </c>
      <c r="B234" s="58" t="str">
        <f>HYPERLINK("https://search.naver.com/search.naver?query=그 여름 가장 조용한 바다 영화", "그 여름 가장 조용한 바다")</f>
        <v>그 여름 가장 조용한 바다</v>
      </c>
      <c r="C234" s="12">
        <v>9</v>
      </c>
      <c r="D234" s="13" t="s">
        <v>610</v>
      </c>
      <c r="E234" s="10" t="s">
        <v>19</v>
      </c>
      <c r="F234" s="10">
        <v>1991</v>
      </c>
      <c r="G234" s="10" t="s">
        <v>14</v>
      </c>
      <c r="H234" s="11" t="s">
        <v>20</v>
      </c>
      <c r="I234" s="10" t="s">
        <v>94</v>
      </c>
      <c r="J234" s="131"/>
      <c r="K234" s="149" t="s">
        <v>611</v>
      </c>
    </row>
    <row r="235" spans="1:11" ht="28.9" customHeight="1" thickTop="1" thickBot="1" x14ac:dyDescent="0.75">
      <c r="A235" s="6">
        <v>233</v>
      </c>
      <c r="B235" s="57" t="str">
        <f>HYPERLINK("https://search.naver.com/search.naver?query=그 여자 작사 그 남자 작곡 영화", "그 여자 작사 그 남자 작곡")</f>
        <v>그 여자 작사 그 남자 작곡</v>
      </c>
      <c r="C235" s="8">
        <v>8.85</v>
      </c>
      <c r="D235" s="9" t="s">
        <v>612</v>
      </c>
      <c r="E235" s="6" t="s">
        <v>24</v>
      </c>
      <c r="F235" s="6">
        <v>2007</v>
      </c>
      <c r="G235" s="6" t="s">
        <v>14</v>
      </c>
      <c r="H235" s="7" t="s">
        <v>128</v>
      </c>
      <c r="I235" s="6" t="s">
        <v>242</v>
      </c>
      <c r="J235" s="130"/>
      <c r="K235" s="148" t="s">
        <v>613</v>
      </c>
    </row>
    <row r="236" spans="1:11" ht="28.9" customHeight="1" thickTop="1" thickBot="1" x14ac:dyDescent="0.75">
      <c r="A236" s="10">
        <v>234</v>
      </c>
      <c r="B236" s="58" t="str">
        <f>HYPERLINK("https://search.naver.com/search.naver?query=그것만이 내 세상 영화", "그것만이 내 세상")</f>
        <v>그것만이 내 세상</v>
      </c>
      <c r="C236" s="12">
        <v>9.17</v>
      </c>
      <c r="D236" s="13" t="s">
        <v>614</v>
      </c>
      <c r="E236" s="10" t="s">
        <v>13</v>
      </c>
      <c r="F236" s="10">
        <v>2017</v>
      </c>
      <c r="G236" s="10" t="s">
        <v>14</v>
      </c>
      <c r="H236" s="11" t="s">
        <v>20</v>
      </c>
      <c r="I236" s="10" t="s">
        <v>116</v>
      </c>
      <c r="J236" s="131"/>
      <c r="K236" s="149" t="s">
        <v>615</v>
      </c>
    </row>
    <row r="237" spans="1:11" ht="28.9" customHeight="1" thickTop="1" thickBot="1" x14ac:dyDescent="0.75">
      <c r="A237" s="6">
        <v>235</v>
      </c>
      <c r="B237" s="57" t="str">
        <f>HYPERLINK("https://search.naver.com/search.naver?query=그곳에서만 빛난다 영화", "그곳에서만 빛난다")</f>
        <v>그곳에서만 빛난다</v>
      </c>
      <c r="C237" s="8">
        <v>8.3699999999999992</v>
      </c>
      <c r="D237" s="9" t="s">
        <v>616</v>
      </c>
      <c r="E237" s="6" t="s">
        <v>19</v>
      </c>
      <c r="F237" s="6">
        <v>2014</v>
      </c>
      <c r="G237" s="6" t="s">
        <v>14</v>
      </c>
      <c r="H237" s="7" t="s">
        <v>20</v>
      </c>
      <c r="I237" s="6" t="s">
        <v>116</v>
      </c>
      <c r="J237" s="130"/>
      <c r="K237" s="148" t="s">
        <v>617</v>
      </c>
    </row>
    <row r="238" spans="1:11" ht="28.9" customHeight="1" thickTop="1" thickBot="1" x14ac:dyDescent="0.75">
      <c r="A238" s="10">
        <v>236</v>
      </c>
      <c r="B238" s="58" t="str">
        <f>HYPERLINK("https://search.naver.com/search.naver?query=그남자,좋은 간호사 영화", "그남자,좋은 간호사")</f>
        <v>그남자,좋은 간호사</v>
      </c>
      <c r="C238" s="12">
        <v>7.17</v>
      </c>
      <c r="D238" s="13" t="s">
        <v>618</v>
      </c>
      <c r="E238" s="10" t="s">
        <v>24</v>
      </c>
      <c r="F238" s="10">
        <v>2022</v>
      </c>
      <c r="G238" s="10" t="s">
        <v>14</v>
      </c>
      <c r="H238" s="11" t="s">
        <v>115</v>
      </c>
      <c r="I238" s="10" t="s">
        <v>195</v>
      </c>
      <c r="J238" s="131"/>
      <c r="K238" s="149" t="s">
        <v>619</v>
      </c>
    </row>
    <row r="239" spans="1:11" ht="28.9" customHeight="1" thickTop="1" thickBot="1" x14ac:dyDescent="0.75">
      <c r="A239" s="6">
        <v>237</v>
      </c>
      <c r="B239" s="57" t="str">
        <f>HYPERLINK("https://search.naver.com/search.naver?query=그녀 영화", "그녀")</f>
        <v>그녀</v>
      </c>
      <c r="C239" s="8">
        <v>8.65</v>
      </c>
      <c r="D239" s="9" t="s">
        <v>620</v>
      </c>
      <c r="E239" s="6" t="s">
        <v>24</v>
      </c>
      <c r="F239" s="6">
        <v>2013</v>
      </c>
      <c r="G239" s="6" t="s">
        <v>14</v>
      </c>
      <c r="H239" s="7" t="s">
        <v>519</v>
      </c>
      <c r="I239" s="6" t="s">
        <v>105</v>
      </c>
      <c r="J239" s="130"/>
      <c r="K239" s="148" t="s">
        <v>621</v>
      </c>
    </row>
    <row r="240" spans="1:11" ht="28.9" customHeight="1" thickTop="1" thickBot="1" x14ac:dyDescent="0.75">
      <c r="A240" s="10">
        <v>238</v>
      </c>
      <c r="B240" s="58" t="str">
        <f>HYPERLINK("https://search.naver.com/search.naver?query=그녀가 말했다 영화", "그녀가 말했다")</f>
        <v>그녀가 말했다</v>
      </c>
      <c r="C240" s="12">
        <v>8.31</v>
      </c>
      <c r="D240" s="13" t="s">
        <v>622</v>
      </c>
      <c r="E240" s="10" t="s">
        <v>24</v>
      </c>
      <c r="F240" s="10">
        <v>2022</v>
      </c>
      <c r="G240" s="10" t="s">
        <v>14</v>
      </c>
      <c r="H240" s="11" t="s">
        <v>20</v>
      </c>
      <c r="I240" s="10" t="s">
        <v>85</v>
      </c>
      <c r="J240" s="131"/>
      <c r="K240" s="149" t="s">
        <v>623</v>
      </c>
    </row>
    <row r="241" spans="1:11" ht="28.9" customHeight="1" thickTop="1" thickBot="1" x14ac:dyDescent="0.75">
      <c r="A241" s="6">
        <v>239</v>
      </c>
      <c r="B241" s="57" t="str">
        <f>HYPERLINK("https://search.naver.com/search.naver?query=그녀가 부른다 영화", "그녀가 부른다")</f>
        <v>그녀가 부른다</v>
      </c>
      <c r="C241" s="8">
        <v>8.19</v>
      </c>
      <c r="D241" s="9" t="s">
        <v>624</v>
      </c>
      <c r="E241" s="6" t="s">
        <v>13</v>
      </c>
      <c r="F241" s="6">
        <v>2012</v>
      </c>
      <c r="G241" s="6" t="s">
        <v>14</v>
      </c>
      <c r="H241" s="7" t="s">
        <v>20</v>
      </c>
      <c r="I241" s="6" t="s">
        <v>169</v>
      </c>
      <c r="J241" s="130"/>
      <c r="K241" s="148" t="s">
        <v>625</v>
      </c>
    </row>
    <row r="242" spans="1:11" ht="28.9" customHeight="1" thickTop="1" thickBot="1" x14ac:dyDescent="0.75">
      <c r="A242" s="10">
        <v>240</v>
      </c>
      <c r="B242" s="58" t="str">
        <f>HYPERLINK("https://search.naver.com/search.naver?query=그녀를 믿지 마세요 영화", "그녀를 믿지 마세요")</f>
        <v>그녀를 믿지 마세요</v>
      </c>
      <c r="C242" s="12">
        <v>8.92</v>
      </c>
      <c r="D242" s="13" t="s">
        <v>626</v>
      </c>
      <c r="E242" s="10" t="s">
        <v>13</v>
      </c>
      <c r="F242" s="10">
        <v>2004</v>
      </c>
      <c r="G242" s="10" t="s">
        <v>14</v>
      </c>
      <c r="H242" s="11" t="s">
        <v>91</v>
      </c>
      <c r="I242" s="10" t="s">
        <v>60</v>
      </c>
      <c r="J242" s="131"/>
      <c r="K242" s="149" t="s">
        <v>627</v>
      </c>
    </row>
    <row r="243" spans="1:11" ht="28.9" customHeight="1" thickTop="1" thickBot="1" x14ac:dyDescent="0.75">
      <c r="A243" s="6">
        <v>241</v>
      </c>
      <c r="B243" s="57" t="str">
        <f>HYPERLINK("https://search.naver.com/search.naver?query=그녀에 대해 알고 있는 모든 것 영화", "그녀에 대해 알고 있는 모든 것")</f>
        <v>그녀에 대해 알고 있는 모든 것</v>
      </c>
      <c r="C243" s="8">
        <v>6.4</v>
      </c>
      <c r="D243" s="9" t="s">
        <v>628</v>
      </c>
      <c r="E243" s="6" t="s">
        <v>19</v>
      </c>
      <c r="F243" s="6">
        <v>2012</v>
      </c>
      <c r="G243" s="6" t="s">
        <v>14</v>
      </c>
      <c r="H243" s="7" t="s">
        <v>629</v>
      </c>
      <c r="I243" s="6" t="s">
        <v>175</v>
      </c>
      <c r="J243" s="130"/>
      <c r="K243" s="148" t="s">
        <v>630</v>
      </c>
    </row>
    <row r="244" spans="1:11" ht="28.9" customHeight="1" thickTop="1" thickBot="1" x14ac:dyDescent="0.75">
      <c r="A244" s="10">
        <v>242</v>
      </c>
      <c r="B244" s="58" t="str">
        <f>HYPERLINK("https://search.naver.com/search.naver?query=그녀에게 영화", "그녀에게")</f>
        <v>그녀에게</v>
      </c>
      <c r="C244" s="12">
        <v>9.07</v>
      </c>
      <c r="D244" s="13" t="s">
        <v>631</v>
      </c>
      <c r="E244" s="10" t="s">
        <v>37</v>
      </c>
      <c r="F244" s="10">
        <v>2002</v>
      </c>
      <c r="G244" s="10" t="s">
        <v>14</v>
      </c>
      <c r="H244" s="11" t="s">
        <v>20</v>
      </c>
      <c r="I244" s="10" t="s">
        <v>429</v>
      </c>
      <c r="J244" s="131"/>
      <c r="K244" s="149" t="s">
        <v>632</v>
      </c>
    </row>
    <row r="245" spans="1:11" ht="28.9" customHeight="1" thickTop="1" thickBot="1" x14ac:dyDescent="0.75">
      <c r="A245" s="6">
        <v>243</v>
      </c>
      <c r="B245" s="57" t="str">
        <f>HYPERLINK("https://search.naver.com/search.naver?query=그녀의 인생은 잘못이 없어 영화", "그녀의 인생은 잘못이 없어")</f>
        <v>그녀의 인생은 잘못이 없어</v>
      </c>
      <c r="C245" s="8">
        <v>6.29</v>
      </c>
      <c r="D245" s="9" t="s">
        <v>633</v>
      </c>
      <c r="E245" s="6" t="s">
        <v>19</v>
      </c>
      <c r="F245" s="6">
        <v>2017</v>
      </c>
      <c r="G245" s="6" t="s">
        <v>14</v>
      </c>
      <c r="H245" s="7" t="s">
        <v>20</v>
      </c>
      <c r="I245" s="6" t="s">
        <v>150</v>
      </c>
      <c r="J245" s="130"/>
      <c r="K245" s="148" t="s">
        <v>634</v>
      </c>
    </row>
    <row r="246" spans="1:11" ht="28.9" customHeight="1" thickTop="1" thickBot="1" x14ac:dyDescent="0.75">
      <c r="A246" s="10">
        <v>244</v>
      </c>
      <c r="B246" s="58" t="str">
        <f>HYPERLINK("https://search.naver.com/search.naver?query=그놈이다 영화", "그놈이다")</f>
        <v>그놈이다</v>
      </c>
      <c r="C246" s="12">
        <v>7.54</v>
      </c>
      <c r="D246" s="13" t="s">
        <v>635</v>
      </c>
      <c r="E246" s="10" t="s">
        <v>13</v>
      </c>
      <c r="F246" s="10">
        <v>2015</v>
      </c>
      <c r="G246" s="10" t="s">
        <v>14</v>
      </c>
      <c r="H246" s="11" t="s">
        <v>54</v>
      </c>
      <c r="I246" s="10" t="s">
        <v>187</v>
      </c>
      <c r="J246" s="131"/>
      <c r="K246" s="149" t="s">
        <v>636</v>
      </c>
    </row>
    <row r="247" spans="1:11" ht="28.9" customHeight="1" thickTop="1" thickBot="1" x14ac:dyDescent="0.75">
      <c r="A247" s="6">
        <v>245</v>
      </c>
      <c r="B247" s="57" t="str">
        <f>HYPERLINK("https://search.naver.com/search.naver?query=그대 이름은 장미 영화", "그대 이름은 장미")</f>
        <v>그대 이름은 장미</v>
      </c>
      <c r="C247" s="8">
        <v>7.65</v>
      </c>
      <c r="D247" s="9" t="s">
        <v>637</v>
      </c>
      <c r="E247" s="6" t="s">
        <v>13</v>
      </c>
      <c r="F247" s="6">
        <v>2018</v>
      </c>
      <c r="G247" s="6" t="s">
        <v>14</v>
      </c>
      <c r="H247" s="7" t="s">
        <v>97</v>
      </c>
      <c r="I247" s="6" t="s">
        <v>105</v>
      </c>
      <c r="J247" s="130"/>
      <c r="K247" s="148" t="s">
        <v>493</v>
      </c>
    </row>
    <row r="248" spans="1:11" ht="28.9" customHeight="1" thickTop="1" thickBot="1" x14ac:dyDescent="0.75">
      <c r="A248" s="10">
        <v>246</v>
      </c>
      <c r="B248" s="58" t="str">
        <f>HYPERLINK("https://search.naver.com/search.naver?query=그대를 사랑합니다 영화", "그대를 사랑합니다")</f>
        <v>그대를 사랑합니다</v>
      </c>
      <c r="C248" s="12">
        <v>9.34</v>
      </c>
      <c r="D248" s="13" t="s">
        <v>638</v>
      </c>
      <c r="E248" s="10" t="s">
        <v>13</v>
      </c>
      <c r="F248" s="10">
        <v>2010</v>
      </c>
      <c r="G248" s="10" t="s">
        <v>14</v>
      </c>
      <c r="H248" s="11" t="s">
        <v>20</v>
      </c>
      <c r="I248" s="10" t="s">
        <v>129</v>
      </c>
      <c r="J248" s="131"/>
      <c r="K248" s="149" t="s">
        <v>639</v>
      </c>
    </row>
    <row r="249" spans="1:11" ht="28.9" customHeight="1" thickTop="1" thickBot="1" x14ac:dyDescent="0.75">
      <c r="A249" s="6">
        <v>247</v>
      </c>
      <c r="B249" s="57" t="str">
        <f>HYPERLINK("https://search.naver.com/search.naver?query=그들이 아버지를 죽였다 영화", "그들이 아버지를 죽였다")</f>
        <v>그들이 아버지를 죽였다</v>
      </c>
      <c r="C249" s="8"/>
      <c r="D249" s="9" t="s">
        <v>640</v>
      </c>
      <c r="E249" s="6" t="s">
        <v>641</v>
      </c>
      <c r="F249" s="6">
        <v>2017</v>
      </c>
      <c r="G249" s="6" t="s">
        <v>14</v>
      </c>
      <c r="H249" s="7" t="s">
        <v>20</v>
      </c>
      <c r="I249" s="6" t="s">
        <v>80</v>
      </c>
      <c r="J249" s="130"/>
      <c r="K249" s="148" t="s">
        <v>642</v>
      </c>
    </row>
    <row r="250" spans="1:11" ht="28.9" customHeight="1" thickTop="1" thickBot="1" x14ac:dyDescent="0.75">
      <c r="A250" s="10">
        <v>248</v>
      </c>
      <c r="B250" s="58" t="str">
        <f>HYPERLINK("https://search.naver.com/search.naver?query=그들이 진심으로 엮을 때 영화", "그들이 진심으로 엮을 때")</f>
        <v>그들이 진심으로 엮을 때</v>
      </c>
      <c r="C250" s="12">
        <v>8.5299999999999994</v>
      </c>
      <c r="D250" s="13" t="s">
        <v>643</v>
      </c>
      <c r="E250" s="10" t="s">
        <v>19</v>
      </c>
      <c r="F250" s="10">
        <v>2017</v>
      </c>
      <c r="G250" s="10" t="s">
        <v>14</v>
      </c>
      <c r="H250" s="11" t="s">
        <v>20</v>
      </c>
      <c r="I250" s="10" t="s">
        <v>38</v>
      </c>
      <c r="J250" s="131"/>
      <c r="K250" s="149" t="s">
        <v>644</v>
      </c>
    </row>
    <row r="251" spans="1:11" ht="28.9" customHeight="1" thickTop="1" thickBot="1" x14ac:dyDescent="0.75">
      <c r="A251" s="6">
        <v>249</v>
      </c>
      <c r="B251" s="57" t="str">
        <f>HYPERLINK("https://search.naver.com/search.naver?query=그때그사람들 영화", "그때그사람들")</f>
        <v>그때그사람들</v>
      </c>
      <c r="C251" s="8">
        <v>7.44</v>
      </c>
      <c r="D251" s="9" t="s">
        <v>645</v>
      </c>
      <c r="E251" s="6" t="s">
        <v>13</v>
      </c>
      <c r="F251" s="6">
        <v>2005</v>
      </c>
      <c r="G251" s="6" t="s">
        <v>14</v>
      </c>
      <c r="H251" s="7" t="s">
        <v>20</v>
      </c>
      <c r="I251" s="6" t="s">
        <v>242</v>
      </c>
      <c r="J251" s="130"/>
      <c r="K251" s="148" t="s">
        <v>646</v>
      </c>
    </row>
    <row r="252" spans="1:11" ht="28.9" customHeight="1" thickTop="1" thickBot="1" x14ac:dyDescent="0.75">
      <c r="A252" s="10">
        <v>250</v>
      </c>
      <c r="B252" s="58" t="str">
        <f>HYPERLINK("https://search.naver.com/search.naver?query=그래비티 영화", "그래비티")</f>
        <v>그래비티</v>
      </c>
      <c r="C252" s="12">
        <v>9.2899999999999991</v>
      </c>
      <c r="D252" s="13" t="s">
        <v>647</v>
      </c>
      <c r="E252" s="10" t="s">
        <v>24</v>
      </c>
      <c r="F252" s="10">
        <v>2013</v>
      </c>
      <c r="G252" s="10" t="s">
        <v>14</v>
      </c>
      <c r="H252" s="11" t="s">
        <v>238</v>
      </c>
      <c r="I252" s="10" t="s">
        <v>361</v>
      </c>
      <c r="J252" s="131"/>
      <c r="K252" s="149" t="s">
        <v>648</v>
      </c>
    </row>
    <row r="253" spans="1:11" ht="28.9" customHeight="1" thickTop="1" thickBot="1" x14ac:dyDescent="0.75">
      <c r="A253" s="6">
        <v>251</v>
      </c>
      <c r="B253" s="57" t="str">
        <f>HYPERLINK("https://search.naver.com/search.naver?query=그랜 토리노 영화", "그랜 토리노")</f>
        <v>그랜 토리노</v>
      </c>
      <c r="C253" s="8">
        <v>9.26</v>
      </c>
      <c r="D253" s="9" t="s">
        <v>649</v>
      </c>
      <c r="E253" s="6" t="s">
        <v>24</v>
      </c>
      <c r="F253" s="6">
        <v>2008</v>
      </c>
      <c r="G253" s="6" t="s">
        <v>14</v>
      </c>
      <c r="H253" s="7" t="s">
        <v>20</v>
      </c>
      <c r="I253" s="6" t="s">
        <v>591</v>
      </c>
      <c r="J253" s="130"/>
      <c r="K253" s="148" t="s">
        <v>650</v>
      </c>
    </row>
    <row r="254" spans="1:11" ht="28.9" customHeight="1" thickTop="1" thickBot="1" x14ac:dyDescent="0.75">
      <c r="A254" s="10">
        <v>252</v>
      </c>
      <c r="B254" s="58" t="str">
        <f>HYPERLINK("https://search.naver.com/search.naver?query=그랜드 부다페스트 호텔 영화", "그랜드 부다페스트 호텔")</f>
        <v>그랜드 부다페스트 호텔</v>
      </c>
      <c r="C254" s="12">
        <v>8.7100000000000009</v>
      </c>
      <c r="D254" s="13" t="s">
        <v>651</v>
      </c>
      <c r="E254" s="10" t="s">
        <v>24</v>
      </c>
      <c r="F254" s="10">
        <v>2014</v>
      </c>
      <c r="G254" s="10" t="s">
        <v>14</v>
      </c>
      <c r="H254" s="11" t="s">
        <v>97</v>
      </c>
      <c r="I254" s="10" t="s">
        <v>109</v>
      </c>
      <c r="J254" s="131"/>
      <c r="K254" s="149" t="s">
        <v>652</v>
      </c>
    </row>
    <row r="255" spans="1:11" ht="28.9" customHeight="1" thickTop="1" thickBot="1" x14ac:dyDescent="0.75">
      <c r="A255" s="6">
        <v>253</v>
      </c>
      <c r="B255" s="57" t="str">
        <f>HYPERLINK("https://search.naver.com/search.naver?query=그랜드 시덕션 영화", "그랜드 시덕션")</f>
        <v>그랜드 시덕션</v>
      </c>
      <c r="C255" s="8"/>
      <c r="D255" s="9" t="s">
        <v>653</v>
      </c>
      <c r="E255" s="6" t="s">
        <v>275</v>
      </c>
      <c r="F255" s="6">
        <v>2013</v>
      </c>
      <c r="G255" s="6" t="s">
        <v>14</v>
      </c>
      <c r="H255" s="7" t="s">
        <v>91</v>
      </c>
      <c r="I255" s="6" t="s">
        <v>98</v>
      </c>
      <c r="J255" s="130"/>
      <c r="K255" s="148" t="s">
        <v>654</v>
      </c>
    </row>
    <row r="256" spans="1:11" ht="28.9" customHeight="1" thickTop="1" thickBot="1" x14ac:dyDescent="0.75">
      <c r="A256" s="10">
        <v>254</v>
      </c>
      <c r="B256" s="58" t="str">
        <f>HYPERLINK("https://search.naver.com/search.naver?query=그랜드 피아노 영화", "그랜드 피아노")</f>
        <v>그랜드 피아노</v>
      </c>
      <c r="C256" s="12">
        <v>5.1100000000000003</v>
      </c>
      <c r="D256" s="13" t="s">
        <v>655</v>
      </c>
      <c r="E256" s="10" t="s">
        <v>37</v>
      </c>
      <c r="F256" s="10">
        <v>2013</v>
      </c>
      <c r="G256" s="10" t="s">
        <v>14</v>
      </c>
      <c r="H256" s="11" t="s">
        <v>54</v>
      </c>
      <c r="I256" s="10" t="s">
        <v>156</v>
      </c>
      <c r="J256" s="131"/>
      <c r="K256" s="149" t="s">
        <v>656</v>
      </c>
    </row>
    <row r="257" spans="1:11" ht="28.9" customHeight="1" thickTop="1" thickBot="1" x14ac:dyDescent="0.75">
      <c r="A257" s="6">
        <v>255</v>
      </c>
      <c r="B257" s="57" t="str">
        <f>HYPERLINK("https://search.naver.com/search.naver?query=그렇게 아버지가 된다 영화", "그렇게 아버지가 된다")</f>
        <v>그렇게 아버지가 된다</v>
      </c>
      <c r="C257" s="8">
        <v>8.74</v>
      </c>
      <c r="D257" s="9" t="s">
        <v>657</v>
      </c>
      <c r="E257" s="6" t="s">
        <v>19</v>
      </c>
      <c r="F257" s="6">
        <v>2013</v>
      </c>
      <c r="G257" s="6" t="s">
        <v>14</v>
      </c>
      <c r="H257" s="7" t="s">
        <v>20</v>
      </c>
      <c r="I257" s="6" t="s">
        <v>116</v>
      </c>
      <c r="J257" s="130"/>
      <c r="K257" s="148" t="s">
        <v>658</v>
      </c>
    </row>
    <row r="258" spans="1:11" ht="28.9" customHeight="1" thickTop="1" thickBot="1" x14ac:dyDescent="0.75">
      <c r="A258" s="10">
        <v>256</v>
      </c>
      <c r="B258" s="58" t="str">
        <f>HYPERLINK("https://search.naver.com/search.naver?query=그레이 맨 영화", "그레이 맨")</f>
        <v>그레이 맨</v>
      </c>
      <c r="C258" s="12">
        <v>7.86</v>
      </c>
      <c r="D258" s="13" t="s">
        <v>659</v>
      </c>
      <c r="E258" s="10" t="s">
        <v>24</v>
      </c>
      <c r="F258" s="10">
        <v>2022</v>
      </c>
      <c r="G258" s="10" t="s">
        <v>14</v>
      </c>
      <c r="H258" s="11" t="s">
        <v>25</v>
      </c>
      <c r="I258" s="10" t="s">
        <v>141</v>
      </c>
      <c r="J258" s="131"/>
      <c r="K258" s="149" t="s">
        <v>660</v>
      </c>
    </row>
    <row r="259" spans="1:11" ht="28.9" customHeight="1" thickTop="1" thickBot="1" x14ac:dyDescent="0.75">
      <c r="A259" s="6">
        <v>257</v>
      </c>
      <c r="B259" s="57" t="str">
        <f>HYPERLINK("https://search.naver.com/search.naver?query=그레이스 오브 모나코 영화", "그레이스 오브 모나코")</f>
        <v>그레이스 오브 모나코</v>
      </c>
      <c r="C259" s="8">
        <v>8.08</v>
      </c>
      <c r="D259" s="9" t="s">
        <v>661</v>
      </c>
      <c r="E259" s="6" t="s">
        <v>310</v>
      </c>
      <c r="F259" s="6">
        <v>2014</v>
      </c>
      <c r="G259" s="6" t="s">
        <v>14</v>
      </c>
      <c r="H259" s="7" t="s">
        <v>20</v>
      </c>
      <c r="I259" s="6" t="s">
        <v>276</v>
      </c>
      <c r="J259" s="130"/>
      <c r="K259" s="148" t="s">
        <v>662</v>
      </c>
    </row>
    <row r="260" spans="1:11" ht="28.9" customHeight="1" thickTop="1" thickBot="1" x14ac:dyDescent="0.75">
      <c r="A260" s="10">
        <v>258</v>
      </c>
      <c r="B260" s="58" t="str">
        <f>HYPERLINK("https://search.naver.com/search.naver?query=그레이트 디베이터스 영화", "그레이트 디베이터스")</f>
        <v>그레이트 디베이터스</v>
      </c>
      <c r="C260" s="12"/>
      <c r="D260" s="13" t="s">
        <v>663</v>
      </c>
      <c r="E260" s="10" t="s">
        <v>24</v>
      </c>
      <c r="F260" s="10">
        <v>2007</v>
      </c>
      <c r="G260" s="10" t="s">
        <v>14</v>
      </c>
      <c r="H260" s="11" t="s">
        <v>20</v>
      </c>
      <c r="I260" s="10" t="s">
        <v>105</v>
      </c>
      <c r="J260" s="131"/>
      <c r="K260" s="149" t="s">
        <v>664</v>
      </c>
    </row>
    <row r="261" spans="1:11" ht="28.9" customHeight="1" thickTop="1" thickBot="1" x14ac:dyDescent="0.75">
      <c r="A261" s="6">
        <v>259</v>
      </c>
      <c r="B261" s="57" t="str">
        <f>HYPERLINK("https://search.naver.com/search.naver?query=그레이트 월 영화", "그레이트 월")</f>
        <v>그레이트 월</v>
      </c>
      <c r="C261" s="8">
        <v>7.92</v>
      </c>
      <c r="D261" s="9" t="s">
        <v>665</v>
      </c>
      <c r="E261" s="6" t="s">
        <v>186</v>
      </c>
      <c r="F261" s="6">
        <v>2016</v>
      </c>
      <c r="G261" s="6" t="s">
        <v>14</v>
      </c>
      <c r="H261" s="7" t="s">
        <v>132</v>
      </c>
      <c r="I261" s="6" t="s">
        <v>276</v>
      </c>
      <c r="J261" s="130"/>
      <c r="K261" s="148" t="s">
        <v>666</v>
      </c>
    </row>
    <row r="262" spans="1:11" ht="28.9" customHeight="1" thickTop="1" thickBot="1" x14ac:dyDescent="0.75">
      <c r="A262" s="10">
        <v>260</v>
      </c>
      <c r="B262" s="58" t="str">
        <f>HYPERLINK("https://search.naver.com/search.naver?query=그레이티스트 영화", "그레이티스트")</f>
        <v>그레이티스트</v>
      </c>
      <c r="C262" s="12"/>
      <c r="D262" s="13" t="s">
        <v>667</v>
      </c>
      <c r="E262" s="10" t="s">
        <v>24</v>
      </c>
      <c r="F262" s="10">
        <v>2009</v>
      </c>
      <c r="G262" s="10" t="s">
        <v>14</v>
      </c>
      <c r="H262" s="11" t="s">
        <v>20</v>
      </c>
      <c r="I262" s="10" t="s">
        <v>109</v>
      </c>
      <c r="J262" s="131"/>
      <c r="K262" s="149" t="s">
        <v>668</v>
      </c>
    </row>
    <row r="263" spans="1:11" ht="28.9" customHeight="1" thickTop="1" thickBot="1" x14ac:dyDescent="0.75">
      <c r="A263" s="6">
        <v>261</v>
      </c>
      <c r="B263" s="57" t="str">
        <f>HYPERLINK("https://search.naver.com/search.naver?query=그레이하운드 영화", "그레이하운드")</f>
        <v>그레이하운드</v>
      </c>
      <c r="C263" s="8">
        <v>9.56</v>
      </c>
      <c r="D263" s="9" t="s">
        <v>669</v>
      </c>
      <c r="E263" s="6" t="s">
        <v>24</v>
      </c>
      <c r="F263" s="6">
        <v>2020</v>
      </c>
      <c r="G263" s="6" t="s">
        <v>14</v>
      </c>
      <c r="H263" s="7" t="s">
        <v>287</v>
      </c>
      <c r="I263" s="6" t="s">
        <v>361</v>
      </c>
      <c r="J263" s="130"/>
      <c r="K263" s="148" t="s">
        <v>670</v>
      </c>
    </row>
    <row r="264" spans="1:11" ht="28.9" customHeight="1" thickTop="1" thickBot="1" x14ac:dyDescent="0.75">
      <c r="A264" s="10">
        <v>262</v>
      </c>
      <c r="B264" s="58" t="str">
        <f>HYPERLINK("https://search.naver.com/search.naver?query=그루지 영화", "그루지")</f>
        <v>그루지</v>
      </c>
      <c r="C264" s="12">
        <v>4.1500000000000004</v>
      </c>
      <c r="D264" s="13" t="s">
        <v>671</v>
      </c>
      <c r="E264" s="10" t="s">
        <v>24</v>
      </c>
      <c r="F264" s="10">
        <v>2020</v>
      </c>
      <c r="G264" s="10" t="s">
        <v>14</v>
      </c>
      <c r="H264" s="11" t="s">
        <v>382</v>
      </c>
      <c r="I264" s="10" t="s">
        <v>125</v>
      </c>
      <c r="J264" s="131"/>
      <c r="K264" s="149" t="s">
        <v>672</v>
      </c>
    </row>
    <row r="265" spans="1:11" ht="28.9" customHeight="1" thickTop="1" thickBot="1" x14ac:dyDescent="0.75">
      <c r="A265" s="6">
        <v>263</v>
      </c>
      <c r="B265" s="57" t="str">
        <f>HYPERLINK("https://search.naver.com/search.naver?query=그루지 매치 영화", "그루지 매치")</f>
        <v>그루지 매치</v>
      </c>
      <c r="C265" s="8">
        <v>6.4</v>
      </c>
      <c r="D265" s="9" t="s">
        <v>673</v>
      </c>
      <c r="E265" s="6" t="s">
        <v>24</v>
      </c>
      <c r="F265" s="6">
        <v>2013</v>
      </c>
      <c r="G265" s="6" t="s">
        <v>14</v>
      </c>
      <c r="H265" s="7" t="s">
        <v>97</v>
      </c>
      <c r="I265" s="6" t="s">
        <v>98</v>
      </c>
      <c r="J265" s="130"/>
      <c r="K265" s="148" t="s">
        <v>674</v>
      </c>
    </row>
    <row r="266" spans="1:11" ht="28.9" customHeight="1" thickTop="1" thickBot="1" x14ac:dyDescent="0.75">
      <c r="A266" s="10">
        <v>264</v>
      </c>
      <c r="B266" s="58" t="str">
        <f>HYPERLINK("https://search.naver.com/search.naver?query=그리다이언 갱 영화", "그리다이언 갱")</f>
        <v>그리다이언 갱</v>
      </c>
      <c r="C266" s="12"/>
      <c r="D266" s="13" t="s">
        <v>675</v>
      </c>
      <c r="E266" s="10" t="s">
        <v>24</v>
      </c>
      <c r="F266" s="10">
        <v>2006</v>
      </c>
      <c r="G266" s="10" t="s">
        <v>14</v>
      </c>
      <c r="H266" s="11" t="s">
        <v>20</v>
      </c>
      <c r="I266" s="10" t="s">
        <v>316</v>
      </c>
      <c r="J266" s="131"/>
      <c r="K266" s="149" t="s">
        <v>676</v>
      </c>
    </row>
    <row r="267" spans="1:11" ht="28.9" customHeight="1" thickTop="1" thickBot="1" x14ac:dyDescent="0.75">
      <c r="A267" s="6">
        <v>265</v>
      </c>
      <c r="B267" s="59" t="str">
        <f>HYPERLINK("https://search.naver.com/search.naver?query=그리셀다", "그리셀다")</f>
        <v>그리셀다</v>
      </c>
      <c r="C267" s="16"/>
      <c r="D267" s="17" t="s">
        <v>677</v>
      </c>
      <c r="E267" s="14" t="s">
        <v>24</v>
      </c>
      <c r="F267" s="14">
        <v>2024</v>
      </c>
      <c r="G267" s="14" t="s">
        <v>20</v>
      </c>
      <c r="H267" s="15" t="s">
        <v>115</v>
      </c>
      <c r="I267" s="14" t="s">
        <v>247</v>
      </c>
      <c r="J267" s="132"/>
      <c r="K267" s="150" t="s">
        <v>678</v>
      </c>
    </row>
    <row r="268" spans="1:11" ht="28.9" customHeight="1" thickTop="1" thickBot="1" x14ac:dyDescent="0.75">
      <c r="A268" s="10">
        <v>266</v>
      </c>
      <c r="B268" s="58" t="str">
        <f>HYPERLINK("https://search.naver.com/search.naver?query=그리움과 함께 사는 법 영화", "그리움과 함께 사는 법")</f>
        <v>그리움과 함께 사는 법</v>
      </c>
      <c r="C268" s="12">
        <v>3.83</v>
      </c>
      <c r="D268" s="13" t="s">
        <v>679</v>
      </c>
      <c r="E268" s="10" t="s">
        <v>24</v>
      </c>
      <c r="F268" s="10">
        <v>2015</v>
      </c>
      <c r="G268" s="10" t="s">
        <v>14</v>
      </c>
      <c r="H268" s="11" t="s">
        <v>20</v>
      </c>
      <c r="I268" s="10" t="s">
        <v>205</v>
      </c>
      <c r="J268" s="131"/>
      <c r="K268" s="149" t="s">
        <v>680</v>
      </c>
    </row>
    <row r="269" spans="1:11" ht="28.9" customHeight="1" thickTop="1" thickBot="1" x14ac:dyDescent="0.75">
      <c r="A269" s="6">
        <v>267</v>
      </c>
      <c r="B269" s="57" t="str">
        <f>HYPERLINK("https://search.naver.com/search.naver?query=그린 마일 영화", "그린 마일")</f>
        <v>그린 마일</v>
      </c>
      <c r="C269" s="8">
        <v>9.24</v>
      </c>
      <c r="D269" s="9" t="s">
        <v>681</v>
      </c>
      <c r="E269" s="6" t="s">
        <v>24</v>
      </c>
      <c r="F269" s="6">
        <v>1999</v>
      </c>
      <c r="G269" s="6" t="s">
        <v>14</v>
      </c>
      <c r="H269" s="7" t="s">
        <v>682</v>
      </c>
      <c r="I269" s="6" t="s">
        <v>683</v>
      </c>
      <c r="J269" s="130"/>
      <c r="K269" s="148" t="s">
        <v>684</v>
      </c>
    </row>
    <row r="270" spans="1:11" ht="28.9" customHeight="1" thickTop="1" thickBot="1" x14ac:dyDescent="0.75">
      <c r="A270" s="10">
        <v>268</v>
      </c>
      <c r="B270" s="58" t="str">
        <f>HYPERLINK("https://search.naver.com/search.naver?query=그린 북 영화", "그린 북")</f>
        <v>그린 북</v>
      </c>
      <c r="C270" s="12">
        <v>9.5399999999999991</v>
      </c>
      <c r="D270" s="13" t="s">
        <v>685</v>
      </c>
      <c r="E270" s="10" t="s">
        <v>24</v>
      </c>
      <c r="F270" s="10">
        <v>2018</v>
      </c>
      <c r="G270" s="10" t="s">
        <v>14</v>
      </c>
      <c r="H270" s="11" t="s">
        <v>20</v>
      </c>
      <c r="I270" s="10" t="s">
        <v>42</v>
      </c>
      <c r="J270" s="131"/>
      <c r="K270" s="149" t="s">
        <v>43</v>
      </c>
    </row>
    <row r="271" spans="1:11" ht="28.9" customHeight="1" thickTop="1" thickBot="1" x14ac:dyDescent="0.75">
      <c r="A271" s="6">
        <v>269</v>
      </c>
      <c r="B271" s="57" t="str">
        <f>HYPERLINK("https://search.naver.com/search.naver?query=그린랜드 영화", "그린랜드")</f>
        <v>그린랜드</v>
      </c>
      <c r="C271" s="8">
        <v>8.14</v>
      </c>
      <c r="D271" s="9" t="s">
        <v>686</v>
      </c>
      <c r="E271" s="6" t="s">
        <v>24</v>
      </c>
      <c r="F271" s="6">
        <v>2020</v>
      </c>
      <c r="G271" s="6" t="s">
        <v>14</v>
      </c>
      <c r="H271" s="7" t="s">
        <v>687</v>
      </c>
      <c r="I271" s="6" t="s">
        <v>68</v>
      </c>
      <c r="J271" s="130"/>
      <c r="K271" s="148" t="s">
        <v>688</v>
      </c>
    </row>
    <row r="272" spans="1:11" ht="28.9" customHeight="1" thickTop="1" thickBot="1" x14ac:dyDescent="0.75">
      <c r="A272" s="10">
        <v>270</v>
      </c>
      <c r="B272" s="58" t="str">
        <f>HYPERLINK("https://search.naver.com/search.naver?query=그린랜드2-미그레이션 영화", "그린랜드2-미그레이션")</f>
        <v>그린랜드2-미그레이션</v>
      </c>
      <c r="C272" s="12"/>
      <c r="D272" s="13" t="s">
        <v>689</v>
      </c>
      <c r="E272" s="10" t="s">
        <v>24</v>
      </c>
      <c r="F272" s="10">
        <v>2026</v>
      </c>
      <c r="G272" s="10" t="s">
        <v>14</v>
      </c>
      <c r="H272" s="11" t="s">
        <v>687</v>
      </c>
      <c r="I272" s="10" t="s">
        <v>116</v>
      </c>
      <c r="J272" s="131"/>
      <c r="K272" s="149" t="s">
        <v>690</v>
      </c>
    </row>
    <row r="273" spans="1:11" ht="28.9" customHeight="1" thickTop="1" thickBot="1" x14ac:dyDescent="0.75">
      <c r="A273" s="6">
        <v>271</v>
      </c>
      <c r="B273" s="57" t="str">
        <f>HYPERLINK("https://search.naver.com/search.naver?query=그림자 살인 영화", "그림자 살인")</f>
        <v>그림자 살인</v>
      </c>
      <c r="C273" s="8">
        <v>7.38</v>
      </c>
      <c r="D273" s="9" t="s">
        <v>691</v>
      </c>
      <c r="E273" s="6" t="s">
        <v>13</v>
      </c>
      <c r="F273" s="6">
        <v>2009</v>
      </c>
      <c r="G273" s="6" t="s">
        <v>14</v>
      </c>
      <c r="H273" s="7" t="s">
        <v>194</v>
      </c>
      <c r="I273" s="6" t="s">
        <v>429</v>
      </c>
      <c r="J273" s="130"/>
      <c r="K273" s="148" t="s">
        <v>692</v>
      </c>
    </row>
    <row r="274" spans="1:11" ht="28.9" customHeight="1" thickTop="1" thickBot="1" x14ac:dyDescent="0.75">
      <c r="A274" s="10">
        <v>272</v>
      </c>
      <c r="B274" s="58" t="str">
        <f>HYPERLINK("https://search.naver.com/search.naver?query=그물 영화", "그물")</f>
        <v>그물</v>
      </c>
      <c r="C274" s="12">
        <v>8.3699999999999992</v>
      </c>
      <c r="D274" s="13" t="s">
        <v>693</v>
      </c>
      <c r="E274" s="10" t="s">
        <v>13</v>
      </c>
      <c r="F274" s="10">
        <v>2016</v>
      </c>
      <c r="G274" s="10" t="s">
        <v>14</v>
      </c>
      <c r="H274" s="11" t="s">
        <v>20</v>
      </c>
      <c r="I274" s="10" t="s">
        <v>305</v>
      </c>
      <c r="J274" s="131"/>
      <c r="K274" s="149" t="s">
        <v>694</v>
      </c>
    </row>
    <row r="275" spans="1:11" ht="28.9" customHeight="1" thickTop="1" thickBot="1" x14ac:dyDescent="0.75">
      <c r="A275" s="6">
        <v>273</v>
      </c>
      <c r="B275" s="57" t="str">
        <f>HYPERLINK("https://search.naver.com/search.naver?query=그을린 사랑 영화", "그을린 사랑")</f>
        <v>그을린 사랑</v>
      </c>
      <c r="C275" s="8">
        <v>8.73</v>
      </c>
      <c r="D275" s="9" t="s">
        <v>695</v>
      </c>
      <c r="E275" s="6" t="s">
        <v>275</v>
      </c>
      <c r="F275" s="6">
        <v>2011</v>
      </c>
      <c r="G275" s="6" t="s">
        <v>14</v>
      </c>
      <c r="H275" s="7" t="s">
        <v>20</v>
      </c>
      <c r="I275" s="6" t="s">
        <v>42</v>
      </c>
      <c r="J275" s="130"/>
      <c r="K275" s="148" t="s">
        <v>696</v>
      </c>
    </row>
    <row r="276" spans="1:11" ht="28.9" customHeight="1" thickTop="1" thickBot="1" x14ac:dyDescent="0.75">
      <c r="A276" s="10">
        <v>274</v>
      </c>
      <c r="B276" s="59" t="str">
        <f>HYPERLINK("https://search.naver.com/search.naver?query=영화:그의 이야기 그녀 이야기", "그의 이야기 &amp; 그녀의 이야기")</f>
        <v>그의 이야기 &amp; 그녀의 이야기</v>
      </c>
      <c r="C276" s="16"/>
      <c r="D276" s="17" t="s">
        <v>697</v>
      </c>
      <c r="E276" s="14" t="s">
        <v>24</v>
      </c>
      <c r="F276" s="14">
        <v>2026</v>
      </c>
      <c r="G276" s="14" t="s">
        <v>20</v>
      </c>
      <c r="H276" s="15" t="s">
        <v>20</v>
      </c>
      <c r="I276" s="14" t="s">
        <v>247</v>
      </c>
      <c r="J276" s="132"/>
      <c r="K276" s="150" t="s">
        <v>698</v>
      </c>
    </row>
    <row r="277" spans="1:11" ht="28.9" customHeight="1" thickTop="1" thickBot="1" x14ac:dyDescent="0.75">
      <c r="A277" s="6">
        <v>275</v>
      </c>
      <c r="B277" s="57" t="str">
        <f>HYPERLINK("https://search.naver.com/search.naver?query=그해여름 영화", "그해여름")</f>
        <v>그해여름</v>
      </c>
      <c r="C277" s="8">
        <v>8.9600000000000009</v>
      </c>
      <c r="D277" s="9" t="s">
        <v>699</v>
      </c>
      <c r="E277" s="6" t="s">
        <v>13</v>
      </c>
      <c r="F277" s="6">
        <v>2006</v>
      </c>
      <c r="G277" s="6" t="s">
        <v>14</v>
      </c>
      <c r="H277" s="7" t="s">
        <v>20</v>
      </c>
      <c r="I277" s="6" t="s">
        <v>195</v>
      </c>
      <c r="J277" s="130"/>
      <c r="K277" s="148" t="s">
        <v>700</v>
      </c>
    </row>
    <row r="278" spans="1:11" ht="28.9" customHeight="1" thickTop="1" thickBot="1" x14ac:dyDescent="0.75">
      <c r="A278" s="10">
        <v>276</v>
      </c>
      <c r="B278" s="58" t="str">
        <f>HYPERLINK("https://search.naver.com/search.naver?query=극비수사 영화", "극비수사")</f>
        <v>극비수사</v>
      </c>
      <c r="C278" s="12">
        <v>8.35</v>
      </c>
      <c r="D278" s="13" t="s">
        <v>701</v>
      </c>
      <c r="E278" s="10" t="s">
        <v>13</v>
      </c>
      <c r="F278" s="10">
        <v>2015</v>
      </c>
      <c r="G278" s="10" t="s">
        <v>14</v>
      </c>
      <c r="H278" s="11" t="s">
        <v>20</v>
      </c>
      <c r="I278" s="10" t="s">
        <v>38</v>
      </c>
      <c r="J278" s="131"/>
      <c r="K278" s="149" t="s">
        <v>702</v>
      </c>
    </row>
    <row r="279" spans="1:11" ht="28.9" customHeight="1" thickTop="1" thickBot="1" x14ac:dyDescent="0.75">
      <c r="A279" s="6">
        <v>277</v>
      </c>
      <c r="B279" s="57" t="str">
        <f>HYPERLINK("https://search.naver.com/search.naver?query=극한직업 영화", "극한직업")</f>
        <v>극한직업</v>
      </c>
      <c r="C279" s="8">
        <v>9.2100000000000009</v>
      </c>
      <c r="D279" s="9" t="s">
        <v>703</v>
      </c>
      <c r="E279" s="6" t="s">
        <v>13</v>
      </c>
      <c r="F279" s="6">
        <v>2018</v>
      </c>
      <c r="G279" s="6" t="s">
        <v>14</v>
      </c>
      <c r="H279" s="7" t="s">
        <v>704</v>
      </c>
      <c r="I279" s="6" t="s">
        <v>137</v>
      </c>
      <c r="J279" s="130"/>
      <c r="K279" s="148" t="s">
        <v>705</v>
      </c>
    </row>
    <row r="280" spans="1:11" ht="28.9" customHeight="1" thickTop="1" thickBot="1" x14ac:dyDescent="0.75">
      <c r="A280" s="10">
        <v>278</v>
      </c>
      <c r="B280" s="58" t="str">
        <f>HYPERLINK("https://search.naver.com/search.naver?query=글래디에이터1 영화", "글래디에이터1")</f>
        <v>글래디에이터1</v>
      </c>
      <c r="C280" s="12">
        <v>9.43</v>
      </c>
      <c r="D280" s="13" t="s">
        <v>706</v>
      </c>
      <c r="E280" s="10" t="s">
        <v>24</v>
      </c>
      <c r="F280" s="10">
        <v>2000</v>
      </c>
      <c r="G280" s="10" t="s">
        <v>14</v>
      </c>
      <c r="H280" s="11" t="s">
        <v>394</v>
      </c>
      <c r="I280" s="10" t="s">
        <v>707</v>
      </c>
      <c r="J280" s="131"/>
      <c r="K280" s="149" t="s">
        <v>708</v>
      </c>
    </row>
    <row r="281" spans="1:11" ht="28.9" customHeight="1" thickTop="1" thickBot="1" x14ac:dyDescent="0.75">
      <c r="A281" s="6">
        <v>279</v>
      </c>
      <c r="B281" s="57" t="str">
        <f>HYPERLINK("https://search.naver.com/search.naver?query=글래디에이터2 영화", "글래디에이터2")</f>
        <v>글래디에이터2</v>
      </c>
      <c r="C281" s="8">
        <v>7.49</v>
      </c>
      <c r="D281" s="9" t="s">
        <v>709</v>
      </c>
      <c r="E281" s="6" t="s">
        <v>24</v>
      </c>
      <c r="F281" s="6">
        <v>2024</v>
      </c>
      <c r="G281" s="6" t="s">
        <v>14</v>
      </c>
      <c r="H281" s="7" t="s">
        <v>394</v>
      </c>
      <c r="I281" s="6" t="s">
        <v>34</v>
      </c>
      <c r="J281" s="130"/>
      <c r="K281" s="148" t="s">
        <v>710</v>
      </c>
    </row>
    <row r="282" spans="1:11" ht="28.9" customHeight="1" thickTop="1" thickBot="1" x14ac:dyDescent="0.75">
      <c r="A282" s="10">
        <v>280</v>
      </c>
      <c r="B282" s="58" t="str">
        <f>HYPERLINK("https://search.naver.com/search.naver?query=글래스 영화", "글래스")</f>
        <v>글래스</v>
      </c>
      <c r="C282" s="12">
        <v>8.0500000000000007</v>
      </c>
      <c r="D282" s="13" t="s">
        <v>711</v>
      </c>
      <c r="E282" s="10" t="s">
        <v>24</v>
      </c>
      <c r="F282" s="10">
        <v>2018</v>
      </c>
      <c r="G282" s="10" t="s">
        <v>14</v>
      </c>
      <c r="H282" s="11" t="s">
        <v>54</v>
      </c>
      <c r="I282" s="10" t="s">
        <v>85</v>
      </c>
      <c r="J282" s="131"/>
      <c r="K282" s="149" t="s">
        <v>712</v>
      </c>
    </row>
    <row r="283" spans="1:11" ht="28.9" customHeight="1" thickTop="1" thickBot="1" x14ac:dyDescent="0.75">
      <c r="A283" s="6">
        <v>281</v>
      </c>
      <c r="B283" s="57" t="str">
        <f>HYPERLINK("https://search.naver.com/search.naver?query=글러브 영화", "글러브")</f>
        <v>글러브</v>
      </c>
      <c r="C283" s="8">
        <v>8.85</v>
      </c>
      <c r="D283" s="9" t="s">
        <v>713</v>
      </c>
      <c r="E283" s="6" t="s">
        <v>13</v>
      </c>
      <c r="F283" s="6">
        <v>2011</v>
      </c>
      <c r="G283" s="6" t="s">
        <v>14</v>
      </c>
      <c r="H283" s="7" t="s">
        <v>20</v>
      </c>
      <c r="I283" s="6" t="s">
        <v>57</v>
      </c>
      <c r="J283" s="130"/>
      <c r="K283" s="148" t="s">
        <v>714</v>
      </c>
    </row>
    <row r="284" spans="1:11" ht="28.9" customHeight="1" thickTop="1" thickBot="1" x14ac:dyDescent="0.75">
      <c r="A284" s="10">
        <v>282</v>
      </c>
      <c r="B284" s="58" t="str">
        <f>HYPERLINK("https://search.naver.com/search.naver?query=글로리아 벨 영화", "글로리아 벨")</f>
        <v>글로리아 벨</v>
      </c>
      <c r="C284" s="12">
        <v>7.87</v>
      </c>
      <c r="D284" s="13" t="s">
        <v>715</v>
      </c>
      <c r="E284" s="10" t="s">
        <v>24</v>
      </c>
      <c r="F284" s="10">
        <v>2018</v>
      </c>
      <c r="G284" s="10" t="s">
        <v>14</v>
      </c>
      <c r="H284" s="11" t="s">
        <v>20</v>
      </c>
      <c r="I284" s="10" t="s">
        <v>133</v>
      </c>
      <c r="J284" s="131"/>
      <c r="K284" s="149" t="s">
        <v>716</v>
      </c>
    </row>
    <row r="285" spans="1:11" ht="28.9" customHeight="1" thickTop="1" thickBot="1" x14ac:dyDescent="0.75">
      <c r="A285" s="6">
        <v>283</v>
      </c>
      <c r="B285" s="57" t="str">
        <f>HYPERLINK("https://search.naver.com/search.naver?query=글루미 썬데이", "글루미 썬데이")</f>
        <v>글루미 썬데이</v>
      </c>
      <c r="C285" s="8">
        <v>9.32</v>
      </c>
      <c r="D285" s="9" t="s">
        <v>717</v>
      </c>
      <c r="E285" s="6" t="s">
        <v>136</v>
      </c>
      <c r="F285" s="6">
        <v>1999</v>
      </c>
      <c r="G285" s="6" t="s">
        <v>14</v>
      </c>
      <c r="H285" s="7" t="s">
        <v>20</v>
      </c>
      <c r="I285" s="6" t="s">
        <v>429</v>
      </c>
      <c r="J285" s="130"/>
      <c r="K285" s="148" t="s">
        <v>718</v>
      </c>
    </row>
    <row r="286" spans="1:11" ht="28.9" customHeight="1" thickTop="1" thickBot="1" x14ac:dyDescent="0.75">
      <c r="A286" s="10">
        <v>284</v>
      </c>
      <c r="B286" s="58" t="str">
        <f>HYPERLINK("https://search.naver.com/search.naver?query=기니피그를 좋아하세요 영화", "기니피그를 좋아하세요")</f>
        <v>기니피그를 좋아하세요</v>
      </c>
      <c r="C286" s="12">
        <v>6.4</v>
      </c>
      <c r="D286" s="13" t="s">
        <v>719</v>
      </c>
      <c r="E286" s="10" t="s">
        <v>19</v>
      </c>
      <c r="F286" s="10">
        <v>2019</v>
      </c>
      <c r="G286" s="10" t="s">
        <v>14</v>
      </c>
      <c r="H286" s="11" t="s">
        <v>20</v>
      </c>
      <c r="I286" s="10" t="s">
        <v>16</v>
      </c>
      <c r="J286" s="131"/>
      <c r="K286" s="149" t="s">
        <v>720</v>
      </c>
    </row>
    <row r="287" spans="1:11" ht="28.9" customHeight="1" thickTop="1" thickBot="1" x14ac:dyDescent="0.75">
      <c r="A287" s="6">
        <v>285</v>
      </c>
      <c r="B287" s="57" t="str">
        <f>HYPERLINK("https://search.naver.com/search.naver?query=기도의 막이 내릴 때 영화", "기도의 막이 내릴 때")</f>
        <v>기도의 막이 내릴 때</v>
      </c>
      <c r="C287" s="8">
        <v>8.94</v>
      </c>
      <c r="D287" s="9" t="s">
        <v>721</v>
      </c>
      <c r="E287" s="6" t="s">
        <v>19</v>
      </c>
      <c r="F287" s="6">
        <v>2018</v>
      </c>
      <c r="G287" s="6" t="s">
        <v>14</v>
      </c>
      <c r="H287" s="7" t="s">
        <v>20</v>
      </c>
      <c r="I287" s="6" t="s">
        <v>242</v>
      </c>
      <c r="J287" s="130"/>
      <c r="K287" s="148" t="s">
        <v>722</v>
      </c>
    </row>
    <row r="288" spans="1:11" ht="28.9" customHeight="1" thickTop="1" thickBot="1" x14ac:dyDescent="0.75">
      <c r="A288" s="10">
        <v>286</v>
      </c>
      <c r="B288" s="58" t="str">
        <f>HYPERLINK("https://search.naver.com/search.naver?query=기동순찰대 영화", "기동순찰대")</f>
        <v>기동순찰대</v>
      </c>
      <c r="C288" s="12">
        <v>6.4</v>
      </c>
      <c r="D288" s="13" t="s">
        <v>723</v>
      </c>
      <c r="E288" s="10" t="s">
        <v>24</v>
      </c>
      <c r="F288" s="10">
        <v>2017</v>
      </c>
      <c r="G288" s="10" t="s">
        <v>14</v>
      </c>
      <c r="H288" s="11" t="s">
        <v>124</v>
      </c>
      <c r="I288" s="10" t="s">
        <v>80</v>
      </c>
      <c r="J288" s="131"/>
      <c r="K288" s="149" t="s">
        <v>724</v>
      </c>
    </row>
    <row r="289" spans="1:11" ht="28.9" customHeight="1" thickTop="1" thickBot="1" x14ac:dyDescent="0.75">
      <c r="A289" s="6">
        <v>287</v>
      </c>
      <c r="B289" s="57" t="str">
        <f>HYPERLINK("https://search.naver.com/search.naver?query=기린의 날개 극장판 신참자 영화", "기린의 날개 극장판 신참자")</f>
        <v>기린의 날개 극장판 신참자</v>
      </c>
      <c r="C289" s="8">
        <v>6.4</v>
      </c>
      <c r="D289" s="9" t="s">
        <v>725</v>
      </c>
      <c r="E289" s="6" t="s">
        <v>19</v>
      </c>
      <c r="F289" s="6">
        <v>2012</v>
      </c>
      <c r="G289" s="6" t="s">
        <v>14</v>
      </c>
      <c r="H289" s="7" t="s">
        <v>194</v>
      </c>
      <c r="I289" s="6" t="s">
        <v>129</v>
      </c>
      <c r="J289" s="130"/>
      <c r="K289" s="148" t="s">
        <v>726</v>
      </c>
    </row>
    <row r="290" spans="1:11" ht="28.9" customHeight="1" thickTop="1" thickBot="1" x14ac:dyDescent="0.75">
      <c r="A290" s="10">
        <v>288</v>
      </c>
      <c r="B290" s="58" t="str">
        <f>HYPERLINK("https://search.naver.com/search.naver?query=기묘한 가족 영화", "기묘한 가족")</f>
        <v>기묘한 가족</v>
      </c>
      <c r="C290" s="12">
        <v>7.49</v>
      </c>
      <c r="D290" s="13" t="s">
        <v>727</v>
      </c>
      <c r="E290" s="10" t="s">
        <v>13</v>
      </c>
      <c r="F290" s="10">
        <v>2018</v>
      </c>
      <c r="G290" s="10" t="s">
        <v>14</v>
      </c>
      <c r="H290" s="11" t="s">
        <v>91</v>
      </c>
      <c r="I290" s="10" t="s">
        <v>429</v>
      </c>
      <c r="J290" s="131"/>
      <c r="K290" s="149" t="s">
        <v>728</v>
      </c>
    </row>
    <row r="291" spans="1:11" ht="28.9" customHeight="1" thickTop="1" thickBot="1" x14ac:dyDescent="0.75">
      <c r="A291" s="6">
        <v>289</v>
      </c>
      <c r="B291" s="59" t="str">
        <f>HYPERLINK("https://search.naver.com/search.naver?query=기묘한 이야기 시즌1", "기묘한 이야기 시즌1")</f>
        <v>기묘한 이야기 시즌1</v>
      </c>
      <c r="C291" s="16"/>
      <c r="D291" s="17" t="s">
        <v>729</v>
      </c>
      <c r="E291" s="14" t="s">
        <v>24</v>
      </c>
      <c r="F291" s="14">
        <v>2016</v>
      </c>
      <c r="G291" s="14" t="s">
        <v>20</v>
      </c>
      <c r="H291" s="15" t="s">
        <v>730</v>
      </c>
      <c r="I291" s="14" t="s">
        <v>71</v>
      </c>
      <c r="J291" s="132"/>
      <c r="K291" s="150" t="s">
        <v>731</v>
      </c>
    </row>
    <row r="292" spans="1:11" ht="28.9" customHeight="1" thickTop="1" thickBot="1" x14ac:dyDescent="0.75">
      <c r="A292" s="10">
        <v>290</v>
      </c>
      <c r="B292" s="59" t="str">
        <f>HYPERLINK("https://search.naver.com/search.naver?query=기묘한 이야기 시즌2", "기묘한 이야기 시즌2")</f>
        <v>기묘한 이야기 시즌2</v>
      </c>
      <c r="C292" s="16"/>
      <c r="D292" s="17" t="s">
        <v>732</v>
      </c>
      <c r="E292" s="14" t="s">
        <v>24</v>
      </c>
      <c r="F292" s="14">
        <v>2017</v>
      </c>
      <c r="G292" s="14" t="s">
        <v>20</v>
      </c>
      <c r="H292" s="15" t="s">
        <v>730</v>
      </c>
      <c r="I292" s="14" t="s">
        <v>364</v>
      </c>
      <c r="J292" s="132"/>
      <c r="K292" s="150" t="s">
        <v>733</v>
      </c>
    </row>
    <row r="293" spans="1:11" ht="28.9" customHeight="1" thickTop="1" thickBot="1" x14ac:dyDescent="0.75">
      <c r="A293" s="6">
        <v>291</v>
      </c>
      <c r="B293" s="59" t="str">
        <f>HYPERLINK("https://search.naver.com/search.naver?query=기묘한 이야기 시즌3", "기묘한 이야기 시즌3")</f>
        <v>기묘한 이야기 시즌3</v>
      </c>
      <c r="C293" s="16"/>
      <c r="D293" s="17" t="s">
        <v>729</v>
      </c>
      <c r="E293" s="14" t="s">
        <v>24</v>
      </c>
      <c r="F293" s="14">
        <v>2019</v>
      </c>
      <c r="G293" s="14" t="s">
        <v>20</v>
      </c>
      <c r="H293" s="15" t="s">
        <v>730</v>
      </c>
      <c r="I293" s="14" t="s">
        <v>71</v>
      </c>
      <c r="J293" s="132"/>
      <c r="K293" s="150" t="s">
        <v>734</v>
      </c>
    </row>
    <row r="294" spans="1:11" ht="28.9" customHeight="1" thickTop="1" thickBot="1" x14ac:dyDescent="0.75">
      <c r="A294" s="10">
        <v>292</v>
      </c>
      <c r="B294" s="59" t="str">
        <f>HYPERLINK("https://search.naver.com/search.naver?query=기묘한 이야기 시즌4", "기묘한 이야기 시즌4")</f>
        <v>기묘한 이야기 시즌4</v>
      </c>
      <c r="C294" s="16"/>
      <c r="D294" s="17" t="s">
        <v>729</v>
      </c>
      <c r="E294" s="14" t="s">
        <v>24</v>
      </c>
      <c r="F294" s="14">
        <v>2022</v>
      </c>
      <c r="G294" s="14" t="s">
        <v>20</v>
      </c>
      <c r="H294" s="15" t="s">
        <v>730</v>
      </c>
      <c r="I294" s="14" t="s">
        <v>364</v>
      </c>
      <c r="J294" s="132"/>
      <c r="K294" s="150" t="s">
        <v>735</v>
      </c>
    </row>
    <row r="295" spans="1:11" ht="28.9" customHeight="1" thickTop="1" thickBot="1" x14ac:dyDescent="0.75">
      <c r="A295" s="6">
        <v>293</v>
      </c>
      <c r="B295" s="57" t="str">
        <f>HYPERLINK("https://search.naver.com/search.naver?query=기생충 영화", "기생충")</f>
        <v>기생충</v>
      </c>
      <c r="C295" s="8">
        <v>9.07</v>
      </c>
      <c r="D295" s="9" t="s">
        <v>736</v>
      </c>
      <c r="E295" s="6" t="s">
        <v>13</v>
      </c>
      <c r="F295" s="6">
        <v>2019</v>
      </c>
      <c r="G295" s="6" t="s">
        <v>14</v>
      </c>
      <c r="H295" s="7" t="s">
        <v>15</v>
      </c>
      <c r="I295" s="6" t="s">
        <v>558</v>
      </c>
      <c r="J295" s="130"/>
      <c r="K295" s="148" t="s">
        <v>737</v>
      </c>
    </row>
    <row r="296" spans="1:11" ht="28.9" customHeight="1" thickTop="1" thickBot="1" x14ac:dyDescent="0.75">
      <c r="A296" s="10">
        <v>294</v>
      </c>
      <c r="B296" s="58" t="str">
        <f>HYPERLINK("https://search.naver.com/search.naver?query=기술자들 영화", "기술자들")</f>
        <v>기술자들</v>
      </c>
      <c r="C296" s="12">
        <v>7.91</v>
      </c>
      <c r="D296" s="13" t="s">
        <v>738</v>
      </c>
      <c r="E296" s="10" t="s">
        <v>13</v>
      </c>
      <c r="F296" s="10">
        <v>2014</v>
      </c>
      <c r="G296" s="10" t="s">
        <v>14</v>
      </c>
      <c r="H296" s="11" t="s">
        <v>108</v>
      </c>
      <c r="I296" s="10" t="s">
        <v>305</v>
      </c>
      <c r="J296" s="131"/>
      <c r="K296" s="149" t="s">
        <v>739</v>
      </c>
    </row>
    <row r="297" spans="1:11" ht="28.9" customHeight="1" thickTop="1" thickBot="1" x14ac:dyDescent="0.75">
      <c r="A297" s="6">
        <v>295</v>
      </c>
      <c r="B297" s="57" t="str">
        <f>HYPERLINK("https://search.naver.com/search.naver?query=기억의 밤 영화", "기억의 밤")</f>
        <v>기억의 밤</v>
      </c>
      <c r="C297" s="8">
        <v>8.43</v>
      </c>
      <c r="D297" s="9" t="s">
        <v>740</v>
      </c>
      <c r="E297" s="6" t="s">
        <v>13</v>
      </c>
      <c r="F297" s="6">
        <v>2017</v>
      </c>
      <c r="G297" s="6" t="s">
        <v>14</v>
      </c>
      <c r="H297" s="7" t="s">
        <v>54</v>
      </c>
      <c r="I297" s="6" t="s">
        <v>38</v>
      </c>
      <c r="J297" s="130"/>
      <c r="K297" s="148" t="s">
        <v>741</v>
      </c>
    </row>
    <row r="298" spans="1:11" ht="28.9" customHeight="1" thickTop="1" thickBot="1" x14ac:dyDescent="0.75">
      <c r="A298" s="10">
        <v>296</v>
      </c>
      <c r="B298" s="58" t="str">
        <f>HYPERLINK("https://search.naver.com/search.naver?query=기적 영화", "기적")</f>
        <v>기적</v>
      </c>
      <c r="C298" s="12">
        <v>8.3000000000000007</v>
      </c>
      <c r="D298" s="13" t="s">
        <v>742</v>
      </c>
      <c r="E298" s="10" t="s">
        <v>13</v>
      </c>
      <c r="F298" s="10">
        <v>2020</v>
      </c>
      <c r="G298" s="10" t="s">
        <v>14</v>
      </c>
      <c r="H298" s="11" t="s">
        <v>20</v>
      </c>
      <c r="I298" s="10" t="s">
        <v>443</v>
      </c>
      <c r="J298" s="131"/>
      <c r="K298" s="149" t="s">
        <v>743</v>
      </c>
    </row>
    <row r="299" spans="1:11" ht="28.9" customHeight="1" thickTop="1" thickBot="1" x14ac:dyDescent="0.75">
      <c r="A299" s="6">
        <v>297</v>
      </c>
      <c r="B299" s="57" t="str">
        <f>HYPERLINK("https://search.naver.com/search.naver?query=기적:그 날의 소비토 영화", "기적-그 날의 소비토")</f>
        <v>기적-그 날의 소비토</v>
      </c>
      <c r="C299" s="8">
        <v>8.5500000000000007</v>
      </c>
      <c r="D299" s="9" t="s">
        <v>744</v>
      </c>
      <c r="E299" s="6" t="s">
        <v>19</v>
      </c>
      <c r="F299" s="6">
        <v>2017</v>
      </c>
      <c r="G299" s="6" t="s">
        <v>14</v>
      </c>
      <c r="H299" s="7" t="s">
        <v>20</v>
      </c>
      <c r="I299" s="6" t="s">
        <v>129</v>
      </c>
      <c r="J299" s="130"/>
      <c r="K299" s="148" t="s">
        <v>745</v>
      </c>
    </row>
    <row r="300" spans="1:11" ht="28.9" customHeight="1" thickTop="1" thickBot="1" x14ac:dyDescent="0.75">
      <c r="A300" s="10">
        <v>298</v>
      </c>
      <c r="B300" s="58" t="str">
        <f>HYPERLINK("https://search.naver.com/search.naver?query=기적의 비행 영화", "기적의 비행")</f>
        <v>기적의 비행</v>
      </c>
      <c r="C300" s="12">
        <v>6.4</v>
      </c>
      <c r="D300" s="13" t="s">
        <v>746</v>
      </c>
      <c r="E300" s="10" t="s">
        <v>24</v>
      </c>
      <c r="F300" s="10">
        <v>2023</v>
      </c>
      <c r="G300" s="10" t="s">
        <v>14</v>
      </c>
      <c r="H300" s="11" t="s">
        <v>20</v>
      </c>
      <c r="I300" s="10" t="s">
        <v>133</v>
      </c>
      <c r="J300" s="131"/>
      <c r="K300" s="149" t="s">
        <v>747</v>
      </c>
    </row>
    <row r="301" spans="1:11" ht="28.9" customHeight="1" thickTop="1" thickBot="1" x14ac:dyDescent="0.75">
      <c r="A301" s="6">
        <v>299</v>
      </c>
      <c r="B301" s="57" t="str">
        <f>HYPERLINK("https://search.naver.com/search.naver?query=기적의 사과 영화", "기적의 사과")</f>
        <v>기적의 사과</v>
      </c>
      <c r="C301" s="8">
        <v>6.4</v>
      </c>
      <c r="D301" s="9" t="s">
        <v>748</v>
      </c>
      <c r="E301" s="6" t="s">
        <v>19</v>
      </c>
      <c r="F301" s="6">
        <v>2013</v>
      </c>
      <c r="G301" s="6" t="s">
        <v>14</v>
      </c>
      <c r="H301" s="7" t="s">
        <v>20</v>
      </c>
      <c r="I301" s="6" t="s">
        <v>137</v>
      </c>
      <c r="J301" s="130"/>
      <c r="K301" s="148" t="s">
        <v>749</v>
      </c>
    </row>
    <row r="302" spans="1:11" ht="28.9" customHeight="1" thickTop="1" thickBot="1" x14ac:dyDescent="0.75">
      <c r="A302" s="10">
        <v>300</v>
      </c>
      <c r="B302" s="58" t="str">
        <f>HYPERLINK("https://search.naver.com/search.naver?query=기적의 피아노 영화", "기적의 피아노")</f>
        <v>기적의 피아노</v>
      </c>
      <c r="C302" s="12">
        <v>9.14</v>
      </c>
      <c r="D302" s="13" t="s">
        <v>750</v>
      </c>
      <c r="E302" s="10" t="s">
        <v>19</v>
      </c>
      <c r="F302" s="10">
        <v>2013</v>
      </c>
      <c r="G302" s="10" t="s">
        <v>14</v>
      </c>
      <c r="H302" s="11" t="s">
        <v>20</v>
      </c>
      <c r="I302" s="10" t="s">
        <v>150</v>
      </c>
      <c r="J302" s="131"/>
      <c r="K302" s="149" t="s">
        <v>751</v>
      </c>
    </row>
    <row r="303" spans="1:11" ht="28.9" customHeight="1" thickTop="1" thickBot="1" x14ac:dyDescent="0.75">
      <c r="A303" s="6">
        <v>301</v>
      </c>
      <c r="B303" s="57" t="str">
        <f>HYPERLINK("https://search.naver.com/search.naver?query=기쿠지로의 여름 영화", "기쿠지로의 여름")</f>
        <v>기쿠지로의 여름</v>
      </c>
      <c r="C303" s="8">
        <v>8.16</v>
      </c>
      <c r="D303" s="9" t="s">
        <v>752</v>
      </c>
      <c r="E303" s="6" t="s">
        <v>19</v>
      </c>
      <c r="F303" s="6">
        <v>1999</v>
      </c>
      <c r="G303" s="6" t="s">
        <v>14</v>
      </c>
      <c r="H303" s="7" t="s">
        <v>20</v>
      </c>
      <c r="I303" s="6" t="s">
        <v>195</v>
      </c>
      <c r="J303" s="130"/>
      <c r="K303" s="148" t="s">
        <v>753</v>
      </c>
    </row>
    <row r="304" spans="1:11" ht="28.9" customHeight="1" thickTop="1" thickBot="1" x14ac:dyDescent="0.75">
      <c r="A304" s="10">
        <v>302</v>
      </c>
      <c r="B304" s="58" t="str">
        <f>HYPERLINK("https://search.naver.com/search.naver?query=기프트 영화", "기프트")</f>
        <v>기프트</v>
      </c>
      <c r="C304" s="12">
        <v>5.25</v>
      </c>
      <c r="D304" s="13" t="s">
        <v>754</v>
      </c>
      <c r="E304" s="10" t="s">
        <v>24</v>
      </c>
      <c r="F304" s="10">
        <v>2014</v>
      </c>
      <c r="G304" s="10" t="s">
        <v>14</v>
      </c>
      <c r="H304" s="11" t="s">
        <v>54</v>
      </c>
      <c r="I304" s="10" t="s">
        <v>38</v>
      </c>
      <c r="J304" s="131"/>
      <c r="K304" s="149" t="s">
        <v>755</v>
      </c>
    </row>
    <row r="305" spans="1:11" ht="28.9" customHeight="1" thickTop="1" thickBot="1" x14ac:dyDescent="0.75">
      <c r="A305" s="6">
        <v>303</v>
      </c>
      <c r="B305" s="57" t="str">
        <f>HYPERLINK("https://search.naver.com/search.naver?query=기프티드-어메이징 메리 영화", "기프티드")</f>
        <v>기프티드</v>
      </c>
      <c r="C305" s="8"/>
      <c r="D305" s="9" t="s">
        <v>756</v>
      </c>
      <c r="E305" s="6" t="s">
        <v>24</v>
      </c>
      <c r="F305" s="6">
        <v>2017</v>
      </c>
      <c r="G305" s="6" t="s">
        <v>14</v>
      </c>
      <c r="H305" s="7" t="s">
        <v>20</v>
      </c>
      <c r="I305" s="6" t="s">
        <v>94</v>
      </c>
      <c r="J305" s="130"/>
      <c r="K305" s="148" t="s">
        <v>757</v>
      </c>
    </row>
    <row r="306" spans="1:11" ht="28.9" customHeight="1" thickTop="1" thickBot="1" x14ac:dyDescent="0.75">
      <c r="A306" s="10">
        <v>304</v>
      </c>
      <c r="B306" s="58" t="str">
        <f>HYPERLINK("https://search.naver.com/search.naver?query=긴급명령 영화", "긴급명령")</f>
        <v>긴급명령</v>
      </c>
      <c r="C306" s="12">
        <v>8.35</v>
      </c>
      <c r="D306" s="13" t="s">
        <v>758</v>
      </c>
      <c r="E306" s="10" t="s">
        <v>24</v>
      </c>
      <c r="F306" s="10">
        <v>1994</v>
      </c>
      <c r="G306" s="10" t="s">
        <v>14</v>
      </c>
      <c r="H306" s="11" t="s">
        <v>25</v>
      </c>
      <c r="I306" s="10" t="s">
        <v>759</v>
      </c>
      <c r="J306" s="131"/>
      <c r="K306" s="149" t="s">
        <v>760</v>
      </c>
    </row>
    <row r="307" spans="1:11" ht="28.9" customHeight="1" thickTop="1" thickBot="1" x14ac:dyDescent="0.75">
      <c r="A307" s="6">
        <v>305</v>
      </c>
      <c r="B307" s="57" t="str">
        <f>HYPERLINK("https://search.naver.com/search.naver?query=길복순 영화", "길복순")</f>
        <v>길복순</v>
      </c>
      <c r="C307" s="8">
        <v>6.97</v>
      </c>
      <c r="D307" s="9" t="s">
        <v>761</v>
      </c>
      <c r="E307" s="6" t="s">
        <v>13</v>
      </c>
      <c r="F307" s="6">
        <v>2023</v>
      </c>
      <c r="G307" s="6" t="s">
        <v>14</v>
      </c>
      <c r="H307" s="7" t="s">
        <v>124</v>
      </c>
      <c r="I307" s="6" t="s">
        <v>269</v>
      </c>
      <c r="J307" s="130"/>
      <c r="K307" s="148" t="s">
        <v>762</v>
      </c>
    </row>
    <row r="308" spans="1:11" ht="28.9" customHeight="1" thickTop="1" thickBot="1" x14ac:dyDescent="0.75">
      <c r="A308" s="10">
        <v>306</v>
      </c>
      <c r="B308" s="58" t="str">
        <f>HYPERLINK("https://search.naver.com/search.naver?query=깃 영화", "깃")</f>
        <v>깃</v>
      </c>
      <c r="C308" s="12">
        <v>8.1999999999999993</v>
      </c>
      <c r="D308" s="13" t="s">
        <v>763</v>
      </c>
      <c r="E308" s="10" t="s">
        <v>13</v>
      </c>
      <c r="F308" s="10">
        <v>2004</v>
      </c>
      <c r="G308" s="10" t="s">
        <v>14</v>
      </c>
      <c r="H308" s="11" t="s">
        <v>20</v>
      </c>
      <c r="I308" s="10" t="s">
        <v>764</v>
      </c>
      <c r="J308" s="131"/>
      <c r="K308" s="149" t="s">
        <v>765</v>
      </c>
    </row>
    <row r="309" spans="1:11" ht="28.9" customHeight="1" thickTop="1" thickBot="1" x14ac:dyDescent="0.75">
      <c r="A309" s="6">
        <v>307</v>
      </c>
      <c r="B309" s="57" t="str">
        <f>HYPERLINK("https://search.naver.com/search.naver?query=깨끗하고 연약한 영화", "깨끗하고 연약한")</f>
        <v>깨끗하고 연약한</v>
      </c>
      <c r="C309" s="8">
        <v>7.65</v>
      </c>
      <c r="D309" s="9" t="s">
        <v>766</v>
      </c>
      <c r="E309" s="6" t="s">
        <v>19</v>
      </c>
      <c r="F309" s="6">
        <v>2013</v>
      </c>
      <c r="G309" s="6" t="s">
        <v>14</v>
      </c>
      <c r="H309" s="7" t="s">
        <v>20</v>
      </c>
      <c r="I309" s="6" t="s">
        <v>205</v>
      </c>
      <c r="J309" s="130"/>
      <c r="K309" s="148" t="s">
        <v>767</v>
      </c>
    </row>
    <row r="310" spans="1:11" ht="28.9" customHeight="1" thickTop="1" thickBot="1" x14ac:dyDescent="0.75">
      <c r="A310" s="10">
        <v>308</v>
      </c>
      <c r="B310" s="58" t="str">
        <f>HYPERLINK("https://search.naver.com/search.naver?query=꽃다발 같은 사랑을 했다 영화", "꽃다발 같은 사랑을 했다")</f>
        <v>꽃다발 같은 사랑을 했다</v>
      </c>
      <c r="C310" s="12">
        <v>8.36</v>
      </c>
      <c r="D310" s="13" t="s">
        <v>768</v>
      </c>
      <c r="E310" s="10" t="s">
        <v>19</v>
      </c>
      <c r="F310" s="10">
        <v>2021</v>
      </c>
      <c r="G310" s="10" t="s">
        <v>14</v>
      </c>
      <c r="H310" s="11" t="s">
        <v>165</v>
      </c>
      <c r="I310" s="10" t="s">
        <v>183</v>
      </c>
      <c r="J310" s="131"/>
      <c r="K310" s="149" t="s">
        <v>769</v>
      </c>
    </row>
    <row r="311" spans="1:11" ht="28.9" customHeight="1" thickTop="1" thickBot="1" x14ac:dyDescent="0.75">
      <c r="A311" s="6">
        <v>309</v>
      </c>
      <c r="B311" s="57" t="str">
        <f>HYPERLINK("https://search.naver.com/search.naver?query=꽃잎, 춤 영화", "꽃잎, 춤")</f>
        <v>꽃잎, 춤</v>
      </c>
      <c r="C311" s="8">
        <v>7.37</v>
      </c>
      <c r="D311" s="9" t="s">
        <v>770</v>
      </c>
      <c r="E311" s="6" t="s">
        <v>19</v>
      </c>
      <c r="F311" s="6">
        <v>2013</v>
      </c>
      <c r="G311" s="6" t="s">
        <v>14</v>
      </c>
      <c r="H311" s="7" t="s">
        <v>20</v>
      </c>
      <c r="I311" s="6" t="s">
        <v>156</v>
      </c>
      <c r="J311" s="130"/>
      <c r="K311" s="148" t="s">
        <v>771</v>
      </c>
    </row>
    <row r="312" spans="1:11" ht="28.9" customHeight="1" thickTop="1" thickBot="1" x14ac:dyDescent="0.75">
      <c r="A312" s="10">
        <v>310</v>
      </c>
      <c r="B312" s="58" t="str">
        <f>HYPERLINK("https://search.naver.com/search.naver?query=꽃피는 봄이 오면 영화", "꽃피는 봄이 오면")</f>
        <v>꽃피는 봄이 오면</v>
      </c>
      <c r="C312" s="12">
        <v>8.7100000000000009</v>
      </c>
      <c r="D312" s="13" t="s">
        <v>772</v>
      </c>
      <c r="E312" s="10" t="s">
        <v>13</v>
      </c>
      <c r="F312" s="10">
        <v>2004</v>
      </c>
      <c r="G312" s="10" t="s">
        <v>14</v>
      </c>
      <c r="H312" s="11" t="s">
        <v>20</v>
      </c>
      <c r="I312" s="10" t="s">
        <v>146</v>
      </c>
      <c r="J312" s="131"/>
      <c r="K312" s="149" t="s">
        <v>773</v>
      </c>
    </row>
    <row r="313" spans="1:11" ht="28.9" customHeight="1" thickTop="1" thickBot="1" x14ac:dyDescent="0.75">
      <c r="A313" s="6">
        <v>311</v>
      </c>
      <c r="B313" s="57" t="str">
        <f>HYPERLINK("https://search.naver.com/search.naver?query=꾸뻬씨의 행복여행 영화", "꾸뻬씨의 행복여행")</f>
        <v>꾸뻬씨의 행복여행</v>
      </c>
      <c r="C313" s="8">
        <v>8.64</v>
      </c>
      <c r="D313" s="9" t="s">
        <v>774</v>
      </c>
      <c r="E313" s="6" t="s">
        <v>310</v>
      </c>
      <c r="F313" s="6">
        <v>2014</v>
      </c>
      <c r="G313" s="6" t="s">
        <v>14</v>
      </c>
      <c r="H313" s="7" t="s">
        <v>91</v>
      </c>
      <c r="I313" s="6" t="s">
        <v>205</v>
      </c>
      <c r="J313" s="130"/>
      <c r="K313" s="148" t="s">
        <v>775</v>
      </c>
    </row>
    <row r="314" spans="1:11" ht="28.9" customHeight="1" thickTop="1" thickBot="1" x14ac:dyDescent="0.75">
      <c r="A314" s="10">
        <v>312</v>
      </c>
      <c r="B314" s="58" t="str">
        <f>HYPERLINK("https://search.naver.com/search.naver?query=꾼 영화", "꾼")</f>
        <v>꾼</v>
      </c>
      <c r="C314" s="12">
        <v>8.32</v>
      </c>
      <c r="D314" s="13" t="s">
        <v>776</v>
      </c>
      <c r="E314" s="10" t="s">
        <v>13</v>
      </c>
      <c r="F314" s="10">
        <v>2017</v>
      </c>
      <c r="G314" s="10" t="s">
        <v>14</v>
      </c>
      <c r="H314" s="11" t="s">
        <v>428</v>
      </c>
      <c r="I314" s="10" t="s">
        <v>120</v>
      </c>
      <c r="J314" s="131"/>
      <c r="K314" s="149" t="s">
        <v>777</v>
      </c>
    </row>
    <row r="315" spans="1:11" ht="28.9" customHeight="1" thickTop="1" thickBot="1" x14ac:dyDescent="0.75">
      <c r="A315" s="6">
        <v>313</v>
      </c>
      <c r="B315" s="57" t="str">
        <f>HYPERLINK("https://search.naver.com/search.naver?query=꿈팔이 부부 사기단 영화", "꿈팔이 부부 사기단")</f>
        <v>꿈팔이 부부 사기단</v>
      </c>
      <c r="C315" s="8">
        <v>6.6</v>
      </c>
      <c r="D315" s="9" t="s">
        <v>778</v>
      </c>
      <c r="E315" s="6" t="s">
        <v>19</v>
      </c>
      <c r="F315" s="6">
        <v>2012</v>
      </c>
      <c r="G315" s="6" t="s">
        <v>14</v>
      </c>
      <c r="H315" s="7" t="s">
        <v>91</v>
      </c>
      <c r="I315" s="6" t="s">
        <v>269</v>
      </c>
      <c r="J315" s="130"/>
      <c r="K315" s="148" t="s">
        <v>779</v>
      </c>
    </row>
    <row r="316" spans="1:11" ht="28.9" customHeight="1" thickTop="1" thickBot="1" x14ac:dyDescent="0.75">
      <c r="A316" s="10">
        <v>314</v>
      </c>
      <c r="B316" s="58" t="str">
        <f>HYPERLINK("https://search.naver.com/search.naver?query=끝까지 간다 영화", "끝까지 간다")</f>
        <v>끝까지 간다</v>
      </c>
      <c r="C316" s="12">
        <v>8.83</v>
      </c>
      <c r="D316" s="13" t="s">
        <v>780</v>
      </c>
      <c r="E316" s="10" t="s">
        <v>13</v>
      </c>
      <c r="F316" s="10">
        <v>2013</v>
      </c>
      <c r="G316" s="10" t="s">
        <v>14</v>
      </c>
      <c r="H316" s="11" t="s">
        <v>25</v>
      </c>
      <c r="I316" s="10" t="s">
        <v>137</v>
      </c>
      <c r="J316" s="131"/>
      <c r="K316" s="149" t="s">
        <v>781</v>
      </c>
    </row>
    <row r="317" spans="1:11" ht="28.9" customHeight="1" thickTop="1" thickBot="1" x14ac:dyDescent="0.75">
      <c r="A317" s="6">
        <v>315</v>
      </c>
      <c r="B317" s="57" t="str">
        <f>HYPERLINK("https://cine21.com/movie/info/?movie_id=53541", "끝에서 시작되다")</f>
        <v>끝에서 시작되다</v>
      </c>
      <c r="C317" s="8"/>
      <c r="D317" s="9" t="s">
        <v>782</v>
      </c>
      <c r="E317" s="6" t="s">
        <v>24</v>
      </c>
      <c r="F317" s="6">
        <v>2017</v>
      </c>
      <c r="G317" s="6" t="s">
        <v>14</v>
      </c>
      <c r="H317" s="7" t="s">
        <v>20</v>
      </c>
      <c r="I317" s="6" t="s">
        <v>116</v>
      </c>
      <c r="J317" s="130"/>
      <c r="K317" s="148" t="s">
        <v>783</v>
      </c>
    </row>
    <row r="318" spans="1:11" ht="28.9" customHeight="1" thickTop="1" thickBot="1" x14ac:dyDescent="0.75">
      <c r="A318" s="10">
        <v>316</v>
      </c>
      <c r="B318" s="58" t="str">
        <f>HYPERLINK("https://search.naver.com/search.naver?query=나, 다니엘 블레이크 영화", "나, 다니엘 블레이크")</f>
        <v>나, 다니엘 블레이크</v>
      </c>
      <c r="C318" s="12">
        <v>9.2200000000000006</v>
      </c>
      <c r="D318" s="13" t="s">
        <v>784</v>
      </c>
      <c r="E318" s="10" t="s">
        <v>29</v>
      </c>
      <c r="F318" s="10">
        <v>2016</v>
      </c>
      <c r="G318" s="10" t="s">
        <v>14</v>
      </c>
      <c r="H318" s="11" t="s">
        <v>20</v>
      </c>
      <c r="I318" s="10" t="s">
        <v>179</v>
      </c>
      <c r="J318" s="131"/>
      <c r="K318" s="149" t="s">
        <v>785</v>
      </c>
    </row>
    <row r="319" spans="1:11" ht="28.9" customHeight="1" thickTop="1" thickBot="1" x14ac:dyDescent="0.75">
      <c r="A319" s="6">
        <v>317</v>
      </c>
      <c r="B319" s="57" t="str">
        <f>HYPERLINK("https://search.naver.com/search.naver?query=나는 5년 전 죽은 남자의 아이를 임신했다 영화", "나는 5년 전 죽은 남자의 아이를 임신했다")</f>
        <v>나는 5년 전 죽은 남자의 아이를 임신했다</v>
      </c>
      <c r="C319" s="8">
        <v>4.5999999999999996</v>
      </c>
      <c r="D319" s="9" t="s">
        <v>786</v>
      </c>
      <c r="E319" s="6" t="s">
        <v>19</v>
      </c>
      <c r="F319" s="6">
        <v>2019</v>
      </c>
      <c r="G319" s="6" t="s">
        <v>14</v>
      </c>
      <c r="H319" s="7" t="s">
        <v>20</v>
      </c>
      <c r="I319" s="6" t="s">
        <v>16</v>
      </c>
      <c r="J319" s="130"/>
      <c r="K319" s="148" t="s">
        <v>787</v>
      </c>
    </row>
    <row r="320" spans="1:11" ht="28.9" customHeight="1" thickTop="1" thickBot="1" x14ac:dyDescent="0.75">
      <c r="A320" s="10">
        <v>318</v>
      </c>
      <c r="B320" s="58" t="str">
        <f>HYPERLINK("https://search.naver.com/search.naver?query=나는 나를 해고하지 않는다 영화", "나는 나를 해고하지 않는다")</f>
        <v>나는 나를 해고하지 않는다</v>
      </c>
      <c r="C320" s="12">
        <v>8.17</v>
      </c>
      <c r="D320" s="13" t="s">
        <v>788</v>
      </c>
      <c r="E320" s="10" t="s">
        <v>13</v>
      </c>
      <c r="F320" s="10">
        <v>2021</v>
      </c>
      <c r="G320" s="10" t="s">
        <v>14</v>
      </c>
      <c r="H320" s="11" t="s">
        <v>20</v>
      </c>
      <c r="I320" s="10" t="s">
        <v>137</v>
      </c>
      <c r="J320" s="131"/>
      <c r="K320" s="149" t="s">
        <v>789</v>
      </c>
    </row>
    <row r="321" spans="1:11" ht="28.9" customHeight="1" thickTop="1" thickBot="1" x14ac:dyDescent="0.75">
      <c r="A321" s="6">
        <v>319</v>
      </c>
      <c r="B321" s="57" t="str">
        <f>HYPERLINK("https://search.naver.com/search.naver?query=나는 내일 어제의 너와 만난다 영화", "나는 내일 어제의 너와 만난다")</f>
        <v>나는 내일 어제의 너와 만난다</v>
      </c>
      <c r="C321" s="8">
        <v>8.44</v>
      </c>
      <c r="D321" s="9" t="s">
        <v>790</v>
      </c>
      <c r="E321" s="6" t="s">
        <v>19</v>
      </c>
      <c r="F321" s="6">
        <v>2016</v>
      </c>
      <c r="G321" s="6" t="s">
        <v>14</v>
      </c>
      <c r="H321" s="7" t="s">
        <v>165</v>
      </c>
      <c r="I321" s="6" t="s">
        <v>137</v>
      </c>
      <c r="J321" s="130"/>
      <c r="K321" s="148" t="s">
        <v>791</v>
      </c>
    </row>
    <row r="322" spans="1:11" ht="28.9" customHeight="1" thickTop="1" thickBot="1" x14ac:dyDescent="0.75">
      <c r="A322" s="10">
        <v>320</v>
      </c>
      <c r="B322" s="58" t="str">
        <f>HYPERLINK("https://search.naver.com/search.naver?query=나는 빛을 움켜쥐고 있어 영화", "나는 빛을 움켜쥐고 있어")</f>
        <v>나는 빛을 움켜쥐고 있어</v>
      </c>
      <c r="C322" s="12">
        <v>6.4</v>
      </c>
      <c r="D322" s="13" t="s">
        <v>792</v>
      </c>
      <c r="E322" s="10" t="s">
        <v>19</v>
      </c>
      <c r="F322" s="10">
        <v>2019</v>
      </c>
      <c r="G322" s="10" t="s">
        <v>14</v>
      </c>
      <c r="H322" s="11" t="s">
        <v>20</v>
      </c>
      <c r="I322" s="10" t="s">
        <v>156</v>
      </c>
      <c r="J322" s="131"/>
      <c r="K322" s="149" t="s">
        <v>793</v>
      </c>
    </row>
    <row r="323" spans="1:11" ht="28.9" customHeight="1" thickTop="1" thickBot="1" x14ac:dyDescent="0.75">
      <c r="A323" s="6">
        <v>321</v>
      </c>
      <c r="B323" s="57" t="str">
        <f>HYPERLINK("https://search.naver.com/search.naver?query=나는 사랑과 시간과 죽음을 만났다 영화", "나는 사랑과 시간과 죽음을 만났다")</f>
        <v>나는 사랑과 시간과 죽음을 만났다</v>
      </c>
      <c r="C323" s="8">
        <v>8.67</v>
      </c>
      <c r="D323" s="9" t="s">
        <v>794</v>
      </c>
      <c r="E323" s="6" t="s">
        <v>19</v>
      </c>
      <c r="F323" s="6">
        <v>2016</v>
      </c>
      <c r="G323" s="6" t="s">
        <v>14</v>
      </c>
      <c r="H323" s="7" t="s">
        <v>20</v>
      </c>
      <c r="I323" s="6" t="s">
        <v>150</v>
      </c>
      <c r="J323" s="130"/>
      <c r="K323" s="148" t="s">
        <v>795</v>
      </c>
    </row>
    <row r="324" spans="1:11" ht="28.9" customHeight="1" thickTop="1" thickBot="1" x14ac:dyDescent="0.75">
      <c r="A324" s="10">
        <v>322</v>
      </c>
      <c r="B324" s="58" t="str">
        <f>HYPERLINK("https://search.naver.com/search.naver?query=나는 왕이로소이다 영화", "나는 왕이로소이다")</f>
        <v>나는 왕이로소이다</v>
      </c>
      <c r="C324" s="12">
        <v>7.44</v>
      </c>
      <c r="D324" s="13" t="s">
        <v>796</v>
      </c>
      <c r="E324" s="10" t="s">
        <v>13</v>
      </c>
      <c r="F324" s="10">
        <v>2012</v>
      </c>
      <c r="G324" s="10" t="s">
        <v>14</v>
      </c>
      <c r="H324" s="11" t="s">
        <v>797</v>
      </c>
      <c r="I324" s="10" t="s">
        <v>116</v>
      </c>
      <c r="J324" s="131"/>
      <c r="K324" s="149" t="s">
        <v>798</v>
      </c>
    </row>
    <row r="325" spans="1:11" ht="28.9" customHeight="1" thickTop="1" thickBot="1" x14ac:dyDescent="0.75">
      <c r="A325" s="6">
        <v>323</v>
      </c>
      <c r="B325" s="57" t="str">
        <f>HYPERLINK("https://search.naver.com/search.naver?query=나랏말싸미 영화", "나랏말싸미")</f>
        <v>나랏말싸미</v>
      </c>
      <c r="C325" s="8">
        <v>6.73</v>
      </c>
      <c r="D325" s="9" t="s">
        <v>799</v>
      </c>
      <c r="E325" s="6" t="s">
        <v>13</v>
      </c>
      <c r="F325" s="6">
        <v>2019</v>
      </c>
      <c r="G325" s="6" t="s">
        <v>14</v>
      </c>
      <c r="H325" s="7" t="s">
        <v>505</v>
      </c>
      <c r="I325" s="6" t="s">
        <v>129</v>
      </c>
      <c r="J325" s="130"/>
      <c r="K325" s="148" t="s">
        <v>800</v>
      </c>
    </row>
    <row r="326" spans="1:11" ht="28.9" customHeight="1" thickTop="1" thickBot="1" x14ac:dyDescent="0.75">
      <c r="A326" s="10">
        <v>324</v>
      </c>
      <c r="B326" s="58" t="str">
        <f>HYPERLINK("https://search.naver.com/search.naver?query=나를 미치게 하는 여자 영화", "나를 미치게 하는 여자")</f>
        <v>나를 미치게 하는 여자</v>
      </c>
      <c r="C326" s="12">
        <v>7.96</v>
      </c>
      <c r="D326" s="13" t="s">
        <v>801</v>
      </c>
      <c r="E326" s="10" t="s">
        <v>24</v>
      </c>
      <c r="F326" s="10">
        <v>2015</v>
      </c>
      <c r="G326" s="10" t="s">
        <v>14</v>
      </c>
      <c r="H326" s="11" t="s">
        <v>91</v>
      </c>
      <c r="I326" s="10" t="s">
        <v>316</v>
      </c>
      <c r="J326" s="131"/>
      <c r="K326" s="149" t="s">
        <v>802</v>
      </c>
    </row>
    <row r="327" spans="1:11" ht="28.9" customHeight="1" thickTop="1" thickBot="1" x14ac:dyDescent="0.75">
      <c r="A327" s="6">
        <v>325</v>
      </c>
      <c r="B327" s="57" t="str">
        <f>HYPERLINK("https://search.naver.com/search.naver?query=나를 죽여줘 영화", "나를 죽여줘")</f>
        <v>나를 죽여줘</v>
      </c>
      <c r="C327" s="8">
        <v>8.1999999999999993</v>
      </c>
      <c r="D327" s="9" t="s">
        <v>803</v>
      </c>
      <c r="E327" s="6" t="s">
        <v>13</v>
      </c>
      <c r="F327" s="6">
        <v>2022</v>
      </c>
      <c r="G327" s="6" t="s">
        <v>14</v>
      </c>
      <c r="H327" s="7" t="s">
        <v>20</v>
      </c>
      <c r="I327" s="6" t="s">
        <v>68</v>
      </c>
      <c r="J327" s="130"/>
      <c r="K327" s="148" t="s">
        <v>804</v>
      </c>
    </row>
    <row r="328" spans="1:11" ht="28.9" customHeight="1" thickTop="1" thickBot="1" x14ac:dyDescent="0.75">
      <c r="A328" s="10">
        <v>326</v>
      </c>
      <c r="B328" s="58" t="str">
        <f>HYPERLINK("https://search.naver.com/search.naver?query=나를 차버린 스파이 영화", "나를 차버린 스파이")</f>
        <v>나를 차버린 스파이</v>
      </c>
      <c r="C328" s="12">
        <v>8.1999999999999993</v>
      </c>
      <c r="D328" s="13" t="s">
        <v>805</v>
      </c>
      <c r="E328" s="10" t="s">
        <v>24</v>
      </c>
      <c r="F328" s="10">
        <v>2018</v>
      </c>
      <c r="G328" s="10" t="s">
        <v>14</v>
      </c>
      <c r="H328" s="11" t="s">
        <v>332</v>
      </c>
      <c r="I328" s="10" t="s">
        <v>120</v>
      </c>
      <c r="J328" s="131"/>
      <c r="K328" s="149" t="s">
        <v>806</v>
      </c>
    </row>
    <row r="329" spans="1:11" ht="28.9" customHeight="1" thickTop="1" thickBot="1" x14ac:dyDescent="0.75">
      <c r="A329" s="6">
        <v>327</v>
      </c>
      <c r="B329" s="57" t="str">
        <f>HYPERLINK("https://search.naver.com/search.naver?query=나를 찾아줘 2014", "나를 찾아줘")</f>
        <v>나를 찾아줘</v>
      </c>
      <c r="C329" s="8">
        <v>8.3000000000000007</v>
      </c>
      <c r="D329" s="9" t="s">
        <v>807</v>
      </c>
      <c r="E329" s="6" t="s">
        <v>13</v>
      </c>
      <c r="F329" s="6">
        <v>2019</v>
      </c>
      <c r="G329" s="6" t="s">
        <v>14</v>
      </c>
      <c r="H329" s="7" t="s">
        <v>54</v>
      </c>
      <c r="I329" s="6" t="s">
        <v>38</v>
      </c>
      <c r="J329" s="130"/>
      <c r="K329" s="148" t="s">
        <v>808</v>
      </c>
    </row>
    <row r="330" spans="1:11" ht="28.9" customHeight="1" thickTop="1" thickBot="1" x14ac:dyDescent="0.75">
      <c r="A330" s="10">
        <v>328</v>
      </c>
      <c r="B330" s="58" t="str">
        <f>HYPERLINK("https://search.naver.com/search.naver?query=나를 찾아줘 영화", "나를 찾아줘")</f>
        <v>나를 찾아줘</v>
      </c>
      <c r="C330" s="12">
        <v>8.27</v>
      </c>
      <c r="D330" s="13" t="s">
        <v>809</v>
      </c>
      <c r="E330" s="10" t="s">
        <v>24</v>
      </c>
      <c r="F330" s="10">
        <v>2014</v>
      </c>
      <c r="G330" s="10" t="s">
        <v>14</v>
      </c>
      <c r="H330" s="11" t="s">
        <v>54</v>
      </c>
      <c r="I330" s="10" t="s">
        <v>810</v>
      </c>
      <c r="J330" s="131"/>
      <c r="K330" s="149" t="s">
        <v>811</v>
      </c>
    </row>
    <row r="331" spans="1:11" ht="28.9" customHeight="1" thickTop="1" thickBot="1" x14ac:dyDescent="0.75">
      <c r="A331" s="6">
        <v>329</v>
      </c>
      <c r="B331" s="57" t="str">
        <f>HYPERLINK("https://search.naver.com/search.naver?query=나만이 없는 거리 영화", "나만이 없는 거리")</f>
        <v>나만이 없는 거리</v>
      </c>
      <c r="C331" s="8">
        <v>6.91</v>
      </c>
      <c r="D331" s="9" t="s">
        <v>812</v>
      </c>
      <c r="E331" s="6" t="s">
        <v>19</v>
      </c>
      <c r="F331" s="6">
        <v>2016</v>
      </c>
      <c r="G331" s="6" t="s">
        <v>14</v>
      </c>
      <c r="H331" s="7" t="s">
        <v>20</v>
      </c>
      <c r="I331" s="6" t="s">
        <v>116</v>
      </c>
      <c r="J331" s="130"/>
      <c r="K331" s="148" t="s">
        <v>813</v>
      </c>
    </row>
    <row r="332" spans="1:11" ht="28.9" customHeight="1" thickTop="1" thickBot="1" x14ac:dyDescent="0.75">
      <c r="A332" s="10">
        <v>330</v>
      </c>
      <c r="B332" s="58" t="str">
        <f>HYPERLINK("https://search.naver.com/search.naver?query=나미야 잡화점의 기적 영화", "나미야 잡화점의 기적")</f>
        <v>나미야 잡화점의 기적</v>
      </c>
      <c r="C332" s="12">
        <v>3.83</v>
      </c>
      <c r="D332" s="13" t="s">
        <v>814</v>
      </c>
      <c r="E332" s="10" t="s">
        <v>19</v>
      </c>
      <c r="F332" s="10">
        <v>2017</v>
      </c>
      <c r="G332" s="10" t="s">
        <v>14</v>
      </c>
      <c r="H332" s="11" t="s">
        <v>20</v>
      </c>
      <c r="I332" s="10" t="s">
        <v>85</v>
      </c>
      <c r="J332" s="131"/>
      <c r="K332" s="149" t="s">
        <v>815</v>
      </c>
    </row>
    <row r="333" spans="1:11" ht="28.9" customHeight="1" thickTop="1" thickBot="1" x14ac:dyDescent="0.75">
      <c r="A333" s="6">
        <v>331</v>
      </c>
      <c r="B333" s="57" t="str">
        <f>HYPERLINK("https://search.naver.com/search.naver?query=나비 효과 영화", "나비 효과")</f>
        <v>나비 효과</v>
      </c>
      <c r="C333" s="8">
        <v>3.83</v>
      </c>
      <c r="D333" s="9" t="s">
        <v>816</v>
      </c>
      <c r="E333" s="6" t="s">
        <v>24</v>
      </c>
      <c r="F333" s="6">
        <v>2004</v>
      </c>
      <c r="G333" s="6" t="s">
        <v>14</v>
      </c>
      <c r="H333" s="7" t="s">
        <v>817</v>
      </c>
      <c r="I333" s="6" t="s">
        <v>98</v>
      </c>
      <c r="J333" s="130"/>
      <c r="K333" s="148" t="s">
        <v>818</v>
      </c>
    </row>
    <row r="334" spans="1:11" ht="28.9" customHeight="1" thickTop="1" thickBot="1" x14ac:dyDescent="0.75">
      <c r="A334" s="10">
        <v>332</v>
      </c>
      <c r="B334" s="58" t="str">
        <f>HYPERLINK("https://search.naver.com/search.naver?query=나비잠 영화", "나비잠")</f>
        <v>나비잠</v>
      </c>
      <c r="C334" s="12">
        <v>8.0500000000000007</v>
      </c>
      <c r="D334" s="13" t="s">
        <v>819</v>
      </c>
      <c r="E334" s="10" t="s">
        <v>13</v>
      </c>
      <c r="F334" s="10">
        <v>2018</v>
      </c>
      <c r="G334" s="10" t="s">
        <v>14</v>
      </c>
      <c r="H334" s="11" t="s">
        <v>820</v>
      </c>
      <c r="I334" s="10" t="s">
        <v>133</v>
      </c>
      <c r="J334" s="131"/>
      <c r="K334" s="149" t="s">
        <v>821</v>
      </c>
    </row>
    <row r="335" spans="1:11" ht="28.9" customHeight="1" thickTop="1" thickBot="1" x14ac:dyDescent="0.75">
      <c r="A335" s="6">
        <v>333</v>
      </c>
      <c r="B335" s="58" t="str">
        <f>HYPERLINK("https://search.naver.com/search.naver?query=나쁜 녀석들 영화", "나쁜 녀석들")</f>
        <v>나쁜 녀석들</v>
      </c>
      <c r="C335" s="12">
        <v>7.61</v>
      </c>
      <c r="D335" s="13" t="s">
        <v>822</v>
      </c>
      <c r="E335" s="10" t="s">
        <v>24</v>
      </c>
      <c r="F335" s="10">
        <v>2024</v>
      </c>
      <c r="G335" s="10" t="s">
        <v>14</v>
      </c>
      <c r="H335" s="11" t="s">
        <v>124</v>
      </c>
      <c r="I335" s="10" t="s">
        <v>60</v>
      </c>
      <c r="J335" s="131"/>
      <c r="K335" s="149" t="s">
        <v>823</v>
      </c>
    </row>
    <row r="336" spans="1:11" ht="28.9" customHeight="1" thickTop="1" thickBot="1" x14ac:dyDescent="0.75">
      <c r="A336" s="10">
        <v>334</v>
      </c>
      <c r="B336" s="59" t="str">
        <f>HYPERLINK("https://search.naver.com/search.naver?query=나쁜 녀석들 : 악의 도시", "나쁜 녀석들 : 악의 도시")</f>
        <v>나쁜 녀석들 : 악의 도시</v>
      </c>
      <c r="C336" s="16"/>
      <c r="D336" s="17" t="s">
        <v>824</v>
      </c>
      <c r="E336" s="14" t="s">
        <v>13</v>
      </c>
      <c r="F336" s="14">
        <v>2017</v>
      </c>
      <c r="G336" s="14" t="s">
        <v>20</v>
      </c>
      <c r="H336" s="15" t="s">
        <v>428</v>
      </c>
      <c r="I336" s="14" t="s">
        <v>825</v>
      </c>
      <c r="J336" s="132"/>
      <c r="K336" s="150" t="s">
        <v>826</v>
      </c>
    </row>
    <row r="337" spans="1:11" ht="28.9" customHeight="1" thickTop="1" thickBot="1" x14ac:dyDescent="0.75">
      <c r="A337" s="6">
        <v>335</v>
      </c>
      <c r="B337" s="57" t="str">
        <f>HYPERLINK("https://search.naver.com/search.naver?query=나쁜 녀석들:포에버 영화", "나쁜 녀석들-포에버")</f>
        <v>나쁜 녀석들-포에버</v>
      </c>
      <c r="C337" s="8">
        <v>8.56</v>
      </c>
      <c r="D337" s="9" t="s">
        <v>822</v>
      </c>
      <c r="E337" s="6" t="s">
        <v>24</v>
      </c>
      <c r="F337" s="6">
        <v>2020</v>
      </c>
      <c r="G337" s="6" t="s">
        <v>14</v>
      </c>
      <c r="H337" s="7" t="s">
        <v>332</v>
      </c>
      <c r="I337" s="6" t="s">
        <v>183</v>
      </c>
      <c r="J337" s="130"/>
      <c r="K337" s="148" t="s">
        <v>827</v>
      </c>
    </row>
    <row r="338" spans="1:11" ht="28.9" customHeight="1" thickTop="1" thickBot="1" x14ac:dyDescent="0.75">
      <c r="A338" s="10">
        <v>336</v>
      </c>
      <c r="B338" s="58" t="str">
        <f>HYPERLINK("https://search.naver.com/search.naver?query=나쁜 이웃들 영화", "나쁜 이웃들")</f>
        <v>나쁜 이웃들</v>
      </c>
      <c r="C338" s="12">
        <v>8.01</v>
      </c>
      <c r="D338" s="13" t="s">
        <v>828</v>
      </c>
      <c r="E338" s="10" t="s">
        <v>24</v>
      </c>
      <c r="F338" s="10">
        <v>2014</v>
      </c>
      <c r="G338" s="10" t="s">
        <v>14</v>
      </c>
      <c r="H338" s="11" t="s">
        <v>91</v>
      </c>
      <c r="I338" s="10" t="s">
        <v>169</v>
      </c>
      <c r="J338" s="131"/>
      <c r="K338" s="149" t="s">
        <v>829</v>
      </c>
    </row>
    <row r="339" spans="1:11" ht="28.9" customHeight="1" thickTop="1" thickBot="1" x14ac:dyDescent="0.75">
      <c r="A339" s="6">
        <v>337</v>
      </c>
      <c r="B339" s="57" t="str">
        <f>HYPERLINK("https://search.naver.com/search.naver?query=나와 언니와 셀린 디온 영화", "나와 언니와 셀린 디온")</f>
        <v>나와 언니와 셀린 디온</v>
      </c>
      <c r="C339" s="8">
        <v>6.4</v>
      </c>
      <c r="D339" s="9" t="s">
        <v>830</v>
      </c>
      <c r="E339" s="6" t="s">
        <v>19</v>
      </c>
      <c r="F339" s="6">
        <v>2019</v>
      </c>
      <c r="G339" s="6" t="s">
        <v>14</v>
      </c>
      <c r="H339" s="7" t="s">
        <v>20</v>
      </c>
      <c r="I339" s="6" t="s">
        <v>150</v>
      </c>
      <c r="J339" s="130"/>
      <c r="K339" s="148" t="s">
        <v>831</v>
      </c>
    </row>
    <row r="340" spans="1:11" ht="28.9" customHeight="1" thickTop="1" thickBot="1" x14ac:dyDescent="0.75">
      <c r="A340" s="10">
        <v>338</v>
      </c>
      <c r="B340" s="57" t="str">
        <f>HYPERLINK("https://search.naver.com/search.naver?query=나우 유 씨 미2 영화", "나우 유 씨 미2")</f>
        <v>나우 유 씨 미2</v>
      </c>
      <c r="C340" s="8">
        <v>8.5299999999999994</v>
      </c>
      <c r="D340" s="9" t="s">
        <v>832</v>
      </c>
      <c r="E340" s="6" t="s">
        <v>24</v>
      </c>
      <c r="F340" s="6">
        <v>2016</v>
      </c>
      <c r="G340" s="6" t="s">
        <v>14</v>
      </c>
      <c r="H340" s="7" t="s">
        <v>833</v>
      </c>
      <c r="I340" s="6" t="s">
        <v>85</v>
      </c>
      <c r="J340" s="130"/>
      <c r="K340" s="148" t="s">
        <v>834</v>
      </c>
    </row>
    <row r="341" spans="1:11" ht="28.9" customHeight="1" thickTop="1" thickBot="1" x14ac:dyDescent="0.75">
      <c r="A341" s="6">
        <v>339</v>
      </c>
      <c r="B341" s="58" t="str">
        <f>HYPERLINK("https://search.naver.com/search.naver?query=나우 이즈 굿 영화", "나우 이즈 굿")</f>
        <v>나우 이즈 굿</v>
      </c>
      <c r="C341" s="12">
        <v>7.92</v>
      </c>
      <c r="D341" s="13" t="s">
        <v>835</v>
      </c>
      <c r="E341" s="10" t="s">
        <v>29</v>
      </c>
      <c r="F341" s="10">
        <v>2012</v>
      </c>
      <c r="G341" s="10" t="s">
        <v>14</v>
      </c>
      <c r="H341" s="11" t="s">
        <v>20</v>
      </c>
      <c r="I341" s="10" t="s">
        <v>276</v>
      </c>
      <c r="J341" s="131"/>
      <c r="K341" s="149" t="s">
        <v>836</v>
      </c>
    </row>
    <row r="342" spans="1:11" ht="28.9" customHeight="1" thickTop="1" thickBot="1" x14ac:dyDescent="0.75">
      <c r="A342" s="10">
        <v>340</v>
      </c>
      <c r="B342" s="58" t="str">
        <f>HYPERLINK("https://search.naver.com/search.naver?query=나우 유 씨 미1 영화", "나우유씨미 - 마술사기단")</f>
        <v>나우유씨미 - 마술사기단</v>
      </c>
      <c r="C342" s="12">
        <v>8.0500000000000007</v>
      </c>
      <c r="D342" s="13" t="s">
        <v>837</v>
      </c>
      <c r="E342" s="10" t="s">
        <v>24</v>
      </c>
      <c r="F342" s="10">
        <v>2015</v>
      </c>
      <c r="G342" s="10" t="s">
        <v>14</v>
      </c>
      <c r="H342" s="11" t="s">
        <v>428</v>
      </c>
      <c r="I342" s="10" t="s">
        <v>60</v>
      </c>
      <c r="J342" s="131"/>
      <c r="K342" s="149" t="s">
        <v>838</v>
      </c>
    </row>
    <row r="343" spans="1:11" ht="28.9" customHeight="1" thickTop="1" thickBot="1" x14ac:dyDescent="0.75">
      <c r="A343" s="6">
        <v>341</v>
      </c>
      <c r="B343" s="57" t="str">
        <f>HYPERLINK("https://search.naver.com/search.naver?query=나의 PS 파트너 영화", "나의 PS 파트너")</f>
        <v>나의 PS 파트너</v>
      </c>
      <c r="C343" s="8">
        <v>8.27</v>
      </c>
      <c r="D343" s="9" t="s">
        <v>839</v>
      </c>
      <c r="E343" s="6" t="s">
        <v>13</v>
      </c>
      <c r="F343" s="6">
        <v>2012</v>
      </c>
      <c r="G343" s="6" t="s">
        <v>14</v>
      </c>
      <c r="H343" s="7" t="s">
        <v>165</v>
      </c>
      <c r="I343" s="6" t="s">
        <v>305</v>
      </c>
      <c r="J343" s="130"/>
      <c r="K343" s="148" t="s">
        <v>840</v>
      </c>
    </row>
    <row r="344" spans="1:11" ht="28.9" customHeight="1" thickTop="1" thickBot="1" x14ac:dyDescent="0.75">
      <c r="A344" s="10">
        <v>342</v>
      </c>
      <c r="B344" s="58" t="str">
        <f>HYPERLINK("https://search.naver.com/search.naver?query=나의 독재자 영화", "나의 독재자")</f>
        <v>나의 독재자</v>
      </c>
      <c r="C344" s="12">
        <v>7.42</v>
      </c>
      <c r="D344" s="13" t="s">
        <v>841</v>
      </c>
      <c r="E344" s="10" t="s">
        <v>13</v>
      </c>
      <c r="F344" s="10">
        <v>2014</v>
      </c>
      <c r="G344" s="10" t="s">
        <v>14</v>
      </c>
      <c r="H344" s="11" t="s">
        <v>20</v>
      </c>
      <c r="I344" s="10" t="s">
        <v>210</v>
      </c>
      <c r="J344" s="131"/>
      <c r="K344" s="149" t="s">
        <v>842</v>
      </c>
    </row>
    <row r="345" spans="1:11" ht="28.9" customHeight="1" thickTop="1" thickBot="1" x14ac:dyDescent="0.75">
      <c r="A345" s="6">
        <v>343</v>
      </c>
      <c r="B345" s="57" t="str">
        <f>HYPERLINK("https://search.naver.com/search.naver?query=나의 딸 영화", "나의 딸")</f>
        <v>나의 딸</v>
      </c>
      <c r="C345" s="8">
        <v>6.62</v>
      </c>
      <c r="D345" s="9" t="s">
        <v>843</v>
      </c>
      <c r="E345" s="6" t="s">
        <v>45</v>
      </c>
      <c r="F345" s="6">
        <v>2015</v>
      </c>
      <c r="G345" s="6" t="s">
        <v>14</v>
      </c>
      <c r="H345" s="7" t="s">
        <v>20</v>
      </c>
      <c r="I345" s="6" t="s">
        <v>80</v>
      </c>
      <c r="J345" s="130"/>
      <c r="K345" s="148" t="s">
        <v>844</v>
      </c>
    </row>
    <row r="346" spans="1:11" ht="28.9" customHeight="1" thickTop="1" thickBot="1" x14ac:dyDescent="0.75">
      <c r="A346" s="10">
        <v>344</v>
      </c>
      <c r="B346" s="58" t="str">
        <f>HYPERLINK("https://search.naver.com/search.naver?query=나의 라임 오렌지 나무 영화", "나의 라임 오렌지 나무")</f>
        <v>나의 라임 오렌지 나무</v>
      </c>
      <c r="C346" s="12">
        <v>8.5500000000000007</v>
      </c>
      <c r="D346" s="13" t="s">
        <v>845</v>
      </c>
      <c r="E346" s="10" t="s">
        <v>846</v>
      </c>
      <c r="F346" s="10">
        <v>2012</v>
      </c>
      <c r="G346" s="10" t="s">
        <v>14</v>
      </c>
      <c r="H346" s="11" t="s">
        <v>20</v>
      </c>
      <c r="I346" s="10" t="s">
        <v>109</v>
      </c>
      <c r="J346" s="131"/>
      <c r="K346" s="149" t="s">
        <v>847</v>
      </c>
    </row>
    <row r="347" spans="1:11" ht="28.9" customHeight="1" thickTop="1" thickBot="1" x14ac:dyDescent="0.75">
      <c r="A347" s="6">
        <v>345</v>
      </c>
      <c r="B347" s="57" t="str">
        <f>HYPERLINK("https://search.naver.com/search.naver?query=나의 사랑, 그리스 영화", "나의 사랑, 그리스")</f>
        <v>나의 사랑, 그리스</v>
      </c>
      <c r="C347" s="8">
        <v>8.8699999999999992</v>
      </c>
      <c r="D347" s="9" t="s">
        <v>848</v>
      </c>
      <c r="E347" s="6" t="s">
        <v>849</v>
      </c>
      <c r="F347" s="6">
        <v>2017</v>
      </c>
      <c r="G347" s="6" t="s">
        <v>14</v>
      </c>
      <c r="H347" s="7" t="s">
        <v>20</v>
      </c>
      <c r="I347" s="6" t="s">
        <v>305</v>
      </c>
      <c r="J347" s="130"/>
      <c r="K347" s="148" t="s">
        <v>850</v>
      </c>
    </row>
    <row r="348" spans="1:11" ht="28.9" customHeight="1" thickTop="1" thickBot="1" x14ac:dyDescent="0.75">
      <c r="A348" s="10">
        <v>346</v>
      </c>
      <c r="B348" s="58" t="str">
        <f>HYPERLINK("https://search.naver.com/search.naver?query=나의 서른에게 영화", "나의 서른에게")</f>
        <v>나의 서른에게</v>
      </c>
      <c r="C348" s="12">
        <v>8.7899999999999991</v>
      </c>
      <c r="D348" s="13" t="s">
        <v>851</v>
      </c>
      <c r="E348" s="10" t="s">
        <v>123</v>
      </c>
      <c r="F348" s="10">
        <v>2017</v>
      </c>
      <c r="G348" s="10" t="s">
        <v>14</v>
      </c>
      <c r="H348" s="11" t="s">
        <v>20</v>
      </c>
      <c r="I348" s="10" t="s">
        <v>175</v>
      </c>
      <c r="J348" s="131"/>
      <c r="K348" s="149" t="s">
        <v>852</v>
      </c>
    </row>
    <row r="349" spans="1:11" ht="28.9" customHeight="1" thickTop="1" thickBot="1" x14ac:dyDescent="0.75">
      <c r="A349" s="6">
        <v>347</v>
      </c>
      <c r="B349" s="59" t="str">
        <f>HYPERLINK("https://search.naver.com/search.naver?query=나의 위험한 아내", "나의 위험한 아내")</f>
        <v>나의 위험한 아내</v>
      </c>
      <c r="C349" s="16"/>
      <c r="D349" s="17" t="s">
        <v>853</v>
      </c>
      <c r="E349" s="14" t="s">
        <v>19</v>
      </c>
      <c r="F349" s="14">
        <v>2017</v>
      </c>
      <c r="G349" s="14" t="s">
        <v>20</v>
      </c>
      <c r="H349" s="15" t="s">
        <v>15</v>
      </c>
      <c r="I349" s="14" t="s">
        <v>364</v>
      </c>
      <c r="J349" s="132"/>
      <c r="K349" s="150" t="s">
        <v>854</v>
      </c>
    </row>
    <row r="350" spans="1:11" ht="28.9" customHeight="1" thickTop="1" thickBot="1" x14ac:dyDescent="0.75">
      <c r="A350" s="10">
        <v>348</v>
      </c>
      <c r="B350" s="58" t="str">
        <f>HYPERLINK("https://search.naver.com/search.naver?query=나의 첫 번째 슈퍼스타 영화", "나의 첫 번째 슈퍼스타")</f>
        <v>나의 첫 번째 슈퍼스타</v>
      </c>
      <c r="C350" s="12">
        <v>9.01</v>
      </c>
      <c r="D350" s="13" t="s">
        <v>855</v>
      </c>
      <c r="E350" s="10" t="s">
        <v>24</v>
      </c>
      <c r="F350" s="10">
        <v>2020</v>
      </c>
      <c r="G350" s="10" t="s">
        <v>14</v>
      </c>
      <c r="H350" s="11" t="s">
        <v>20</v>
      </c>
      <c r="I350" s="10" t="s">
        <v>98</v>
      </c>
      <c r="J350" s="131"/>
      <c r="K350" s="149" t="s">
        <v>856</v>
      </c>
    </row>
    <row r="351" spans="1:11" ht="28.9" customHeight="1" thickTop="1" thickBot="1" x14ac:dyDescent="0.75">
      <c r="A351" s="6">
        <v>349</v>
      </c>
      <c r="B351" s="57" t="str">
        <f>HYPERLINK("https://search.naver.com/search.naver?query=나의 첫번째 장례식 영화", "나의 첫번째 장례식")</f>
        <v>나의 첫번째 장례식</v>
      </c>
      <c r="C351" s="8">
        <v>8.23</v>
      </c>
      <c r="D351" s="9" t="s">
        <v>857</v>
      </c>
      <c r="E351" s="6" t="s">
        <v>858</v>
      </c>
      <c r="F351" s="6">
        <v>2014</v>
      </c>
      <c r="G351" s="6" t="s">
        <v>14</v>
      </c>
      <c r="H351" s="7" t="s">
        <v>91</v>
      </c>
      <c r="I351" s="6" t="s">
        <v>80</v>
      </c>
      <c r="J351" s="130"/>
      <c r="K351" s="148" t="s">
        <v>859</v>
      </c>
    </row>
    <row r="352" spans="1:11" ht="28.9" customHeight="1" thickTop="1" thickBot="1" x14ac:dyDescent="0.75">
      <c r="A352" s="10">
        <v>350</v>
      </c>
      <c r="B352" s="58" t="str">
        <f>HYPERLINK("https://search.naver.com/search.naver?query=나의 친구, 그의 아내 영화", "나의 친구, 그의 아내")</f>
        <v>나의 친구, 그의 아내</v>
      </c>
      <c r="C352" s="12">
        <v>6.63</v>
      </c>
      <c r="D352" s="13" t="s">
        <v>860</v>
      </c>
      <c r="E352" s="10" t="s">
        <v>13</v>
      </c>
      <c r="F352" s="10">
        <v>2006</v>
      </c>
      <c r="G352" s="10" t="s">
        <v>14</v>
      </c>
      <c r="H352" s="11" t="s">
        <v>20</v>
      </c>
      <c r="I352" s="10" t="s">
        <v>591</v>
      </c>
      <c r="J352" s="131"/>
      <c r="K352" s="149" t="s">
        <v>861</v>
      </c>
    </row>
    <row r="353" spans="1:11" ht="28.9" customHeight="1" thickTop="1" thickBot="1" x14ac:dyDescent="0.75">
      <c r="A353" s="6">
        <v>351</v>
      </c>
      <c r="B353" s="57" t="str">
        <f>HYPERLINK("https://search.naver.com/search.naver?query=나의 특별한 형제 영화", "나의 특별한 형제")</f>
        <v>나의 특별한 형제</v>
      </c>
      <c r="C353" s="8">
        <v>9.14</v>
      </c>
      <c r="D353" s="9" t="s">
        <v>862</v>
      </c>
      <c r="E353" s="6" t="s">
        <v>13</v>
      </c>
      <c r="F353" s="6">
        <v>2018</v>
      </c>
      <c r="G353" s="6" t="s">
        <v>14</v>
      </c>
      <c r="H353" s="7" t="s">
        <v>20</v>
      </c>
      <c r="I353" s="6" t="s">
        <v>305</v>
      </c>
      <c r="J353" s="130"/>
      <c r="K353" s="148" t="s">
        <v>863</v>
      </c>
    </row>
    <row r="354" spans="1:11" ht="28.9" customHeight="1" thickTop="1" thickBot="1" x14ac:dyDescent="0.75">
      <c r="A354" s="10">
        <v>352</v>
      </c>
      <c r="B354" s="58" t="str">
        <f>HYPERLINK("https://search.naver.com/search.naver?query=나이브스 아웃 영화", "나이브스 아웃")</f>
        <v>나이브스 아웃</v>
      </c>
      <c r="C354" s="12">
        <v>8.23</v>
      </c>
      <c r="D354" s="13" t="s">
        <v>864</v>
      </c>
      <c r="E354" s="10" t="s">
        <v>24</v>
      </c>
      <c r="F354" s="10">
        <v>2019</v>
      </c>
      <c r="G354" s="10" t="s">
        <v>14</v>
      </c>
      <c r="H354" s="11" t="s">
        <v>865</v>
      </c>
      <c r="I354" s="10" t="s">
        <v>42</v>
      </c>
      <c r="J354" s="131"/>
      <c r="K354" s="149" t="s">
        <v>866</v>
      </c>
    </row>
    <row r="355" spans="1:11" ht="28.9" customHeight="1" thickTop="1" thickBot="1" x14ac:dyDescent="0.75">
      <c r="A355" s="6">
        <v>353</v>
      </c>
      <c r="B355" s="57" t="str">
        <f>HYPERLINK("https://search.naver.com/search.naver?query=나이애드의 다섯 번째 파도 영화", "나이애드의 다섯 번째 파도")</f>
        <v>나이애드의 다섯 번째 파도</v>
      </c>
      <c r="C355" s="8">
        <v>9.4499999999999993</v>
      </c>
      <c r="D355" s="9" t="s">
        <v>867</v>
      </c>
      <c r="E355" s="6" t="s">
        <v>24</v>
      </c>
      <c r="F355" s="6">
        <v>2023</v>
      </c>
      <c r="G355" s="6" t="s">
        <v>14</v>
      </c>
      <c r="H355" s="7" t="s">
        <v>20</v>
      </c>
      <c r="I355" s="6" t="s">
        <v>195</v>
      </c>
      <c r="J355" s="130"/>
      <c r="K355" s="148" t="s">
        <v>868</v>
      </c>
    </row>
    <row r="356" spans="1:11" ht="28.9" customHeight="1" thickTop="1" thickBot="1" x14ac:dyDescent="0.75">
      <c r="A356" s="10">
        <v>354</v>
      </c>
      <c r="B356" s="59" t="str">
        <f>HYPERLINK("https://search.naver.com/search.naver?query=나이트 에이전트", "나이트 에이전트")</f>
        <v>나이트 에이전트</v>
      </c>
      <c r="C356" s="16"/>
      <c r="D356" s="17" t="s">
        <v>869</v>
      </c>
      <c r="E356" s="14" t="s">
        <v>24</v>
      </c>
      <c r="F356" s="14">
        <v>2023</v>
      </c>
      <c r="G356" s="14" t="s">
        <v>20</v>
      </c>
      <c r="H356" s="15" t="s">
        <v>870</v>
      </c>
      <c r="I356" s="14" t="s">
        <v>64</v>
      </c>
      <c r="J356" s="132"/>
      <c r="K356" s="150" t="s">
        <v>871</v>
      </c>
    </row>
    <row r="357" spans="1:11" ht="28.9" customHeight="1" thickTop="1" thickBot="1" x14ac:dyDescent="0.75">
      <c r="A357" s="6">
        <v>355</v>
      </c>
      <c r="B357" s="57" t="str">
        <f>HYPERLINK("https://search.naver.com/search.naver?query=나이트 인 로댄스 영화", "나이트 인 로댄스")</f>
        <v>나이트 인 로댄스</v>
      </c>
      <c r="C357" s="8">
        <v>6.4</v>
      </c>
      <c r="D357" s="9" t="s">
        <v>872</v>
      </c>
      <c r="E357" s="6" t="s">
        <v>24</v>
      </c>
      <c r="F357" s="6">
        <v>2008</v>
      </c>
      <c r="G357" s="6" t="s">
        <v>14</v>
      </c>
      <c r="H357" s="7" t="s">
        <v>20</v>
      </c>
      <c r="I357" s="6" t="s">
        <v>169</v>
      </c>
      <c r="J357" s="130"/>
      <c r="K357" s="148" t="s">
        <v>873</v>
      </c>
    </row>
    <row r="358" spans="1:11" ht="28.9" customHeight="1" thickTop="1" thickBot="1" x14ac:dyDescent="0.75">
      <c r="A358" s="10">
        <v>356</v>
      </c>
      <c r="B358" s="58" t="str">
        <f>HYPERLINK("https://search.naver.com/search.naver?query=나이트 크롤러 영화", "나이트 크롤러")</f>
        <v>나이트 크롤러</v>
      </c>
      <c r="C358" s="12">
        <v>7.98</v>
      </c>
      <c r="D358" s="13" t="s">
        <v>874</v>
      </c>
      <c r="E358" s="10" t="s">
        <v>24</v>
      </c>
      <c r="F358" s="10">
        <v>2014</v>
      </c>
      <c r="G358" s="10" t="s">
        <v>14</v>
      </c>
      <c r="H358" s="11" t="s">
        <v>833</v>
      </c>
      <c r="I358" s="10" t="s">
        <v>120</v>
      </c>
      <c r="J358" s="131"/>
      <c r="K358" s="149" t="s">
        <v>875</v>
      </c>
    </row>
    <row r="359" spans="1:11" ht="28.9" customHeight="1" thickTop="1" thickBot="1" x14ac:dyDescent="0.75">
      <c r="A359" s="6">
        <v>357</v>
      </c>
      <c r="B359" s="57" t="str">
        <f>HYPERLINK("https://search.naver.com/search.naver?query=나이트 폴 영화", "나이트 폴")</f>
        <v>나이트 폴</v>
      </c>
      <c r="C359" s="8">
        <v>8.07</v>
      </c>
      <c r="D359" s="9" t="s">
        <v>876</v>
      </c>
      <c r="E359" s="6" t="s">
        <v>24</v>
      </c>
      <c r="F359" s="6">
        <v>2012</v>
      </c>
      <c r="G359" s="6" t="s">
        <v>14</v>
      </c>
      <c r="H359" s="7" t="s">
        <v>877</v>
      </c>
      <c r="I359" s="6" t="s">
        <v>345</v>
      </c>
      <c r="J359" s="130"/>
      <c r="K359" s="148" t="s">
        <v>878</v>
      </c>
    </row>
    <row r="360" spans="1:11" ht="28.9" customHeight="1" thickTop="1" thickBot="1" x14ac:dyDescent="0.75">
      <c r="A360" s="10">
        <v>358</v>
      </c>
      <c r="B360" s="58" t="str">
        <f>HYPERLINK("https://search.naver.com/search.naver?query=나이트 헌터 영화", "나이트 헌터")</f>
        <v>나이트 헌터</v>
      </c>
      <c r="C360" s="12">
        <v>5.19</v>
      </c>
      <c r="D360" s="13" t="s">
        <v>879</v>
      </c>
      <c r="E360" s="10" t="s">
        <v>24</v>
      </c>
      <c r="F360" s="10">
        <v>2019</v>
      </c>
      <c r="G360" s="10" t="s">
        <v>14</v>
      </c>
      <c r="H360" s="11" t="s">
        <v>54</v>
      </c>
      <c r="I360" s="10" t="s">
        <v>109</v>
      </c>
      <c r="J360" s="131"/>
      <c r="K360" s="149" t="s">
        <v>880</v>
      </c>
    </row>
    <row r="361" spans="1:11" ht="28.9" customHeight="1" thickTop="1" thickBot="1" x14ac:dyDescent="0.75">
      <c r="A361" s="6">
        <v>359</v>
      </c>
      <c r="B361" s="57" t="str">
        <f>HYPERLINK("https://search.naver.com/search.naver?query=나이트메어 앨리 영화", "나이트메어 앨리")</f>
        <v>나이트메어 앨리</v>
      </c>
      <c r="C361" s="8">
        <v>7.86</v>
      </c>
      <c r="D361" s="9" t="s">
        <v>881</v>
      </c>
      <c r="E361" s="6" t="s">
        <v>24</v>
      </c>
      <c r="F361" s="6">
        <v>2021</v>
      </c>
      <c r="G361" s="6" t="s">
        <v>14</v>
      </c>
      <c r="H361" s="7" t="s">
        <v>104</v>
      </c>
      <c r="I361" s="6" t="s">
        <v>882</v>
      </c>
      <c r="J361" s="130"/>
      <c r="K361" s="148" t="s">
        <v>883</v>
      </c>
    </row>
    <row r="362" spans="1:11" ht="28.9" customHeight="1" thickTop="1" thickBot="1" x14ac:dyDescent="0.75">
      <c r="A362" s="10">
        <v>360</v>
      </c>
      <c r="B362" s="58" t="str">
        <f>HYPERLINK("https://search.naver.com/search.naver?query=나이팅게일2013", "나이팅게일")</f>
        <v>나이팅게일</v>
      </c>
      <c r="C362" s="12">
        <v>8.67</v>
      </c>
      <c r="D362" s="13" t="s">
        <v>884</v>
      </c>
      <c r="E362" s="10" t="s">
        <v>186</v>
      </c>
      <c r="F362" s="10">
        <v>2014</v>
      </c>
      <c r="G362" s="10" t="s">
        <v>14</v>
      </c>
      <c r="H362" s="11" t="s">
        <v>885</v>
      </c>
      <c r="I362" s="10" t="s">
        <v>179</v>
      </c>
      <c r="J362" s="131"/>
      <c r="K362" s="149" t="s">
        <v>886</v>
      </c>
    </row>
    <row r="363" spans="1:11" ht="28.9" customHeight="1" thickTop="1" thickBot="1" x14ac:dyDescent="0.75">
      <c r="A363" s="6">
        <v>361</v>
      </c>
      <c r="B363" s="59" t="str">
        <f>HYPERLINK("https://search.naver.com/search.naver?query=나인 퍼즐", "나인 퍼즐")</f>
        <v>나인 퍼즐</v>
      </c>
      <c r="C363" s="16"/>
      <c r="D363" s="17" t="s">
        <v>887</v>
      </c>
      <c r="E363" s="14" t="s">
        <v>13</v>
      </c>
      <c r="F363" s="14">
        <v>2025</v>
      </c>
      <c r="G363" s="14" t="s">
        <v>20</v>
      </c>
      <c r="H363" s="15" t="s">
        <v>15</v>
      </c>
      <c r="I363" s="14" t="s">
        <v>888</v>
      </c>
      <c r="J363" s="132"/>
      <c r="K363" s="150" t="s">
        <v>889</v>
      </c>
    </row>
    <row r="364" spans="1:11" ht="28.9" customHeight="1" thickTop="1" thickBot="1" x14ac:dyDescent="0.75">
      <c r="A364" s="10">
        <v>362</v>
      </c>
      <c r="B364" s="58" t="str">
        <f>HYPERLINK("https://search.naver.com/search.naver?query=나인 하프 위크 영화", "나인 하프 위크")</f>
        <v>나인 하프 위크</v>
      </c>
      <c r="C364" s="12">
        <v>6.4</v>
      </c>
      <c r="D364" s="13" t="s">
        <v>890</v>
      </c>
      <c r="E364" s="10" t="s">
        <v>24</v>
      </c>
      <c r="F364" s="10">
        <v>1986</v>
      </c>
      <c r="G364" s="10" t="s">
        <v>14</v>
      </c>
      <c r="H364" s="11" t="s">
        <v>20</v>
      </c>
      <c r="I364" s="10" t="s">
        <v>120</v>
      </c>
      <c r="J364" s="131"/>
      <c r="K364" s="149" t="s">
        <v>891</v>
      </c>
    </row>
    <row r="365" spans="1:11" ht="28.9" customHeight="1" thickTop="1" thickBot="1" x14ac:dyDescent="0.75">
      <c r="A365" s="6">
        <v>363</v>
      </c>
      <c r="B365" s="57" t="str">
        <f>HYPERLINK("https://search.naver.com/search.naver?query=나인스 라이프 영화", "나인스 라이프")</f>
        <v>나인스 라이프</v>
      </c>
      <c r="C365" s="8">
        <v>8.18</v>
      </c>
      <c r="D365" s="9" t="s">
        <v>892</v>
      </c>
      <c r="E365" s="6" t="s">
        <v>24</v>
      </c>
      <c r="F365" s="6">
        <v>2016</v>
      </c>
      <c r="G365" s="6" t="s">
        <v>14</v>
      </c>
      <c r="H365" s="7" t="s">
        <v>20</v>
      </c>
      <c r="I365" s="6" t="s">
        <v>150</v>
      </c>
      <c r="J365" s="130"/>
      <c r="K365" s="148" t="s">
        <v>893</v>
      </c>
    </row>
    <row r="366" spans="1:11" ht="28.9" customHeight="1" thickTop="1" thickBot="1" x14ac:dyDescent="0.75">
      <c r="A366" s="10">
        <v>364</v>
      </c>
      <c r="B366" s="58" t="str">
        <f>HYPERLINK("https://search.naver.com/search.naver?query=나일 강의 죽음 영화", "나일 강의 죽음")</f>
        <v>나일 강의 죽음</v>
      </c>
      <c r="C366" s="12">
        <v>7.11</v>
      </c>
      <c r="D366" s="13" t="s">
        <v>894</v>
      </c>
      <c r="E366" s="10" t="s">
        <v>24</v>
      </c>
      <c r="F366" s="10">
        <v>2022</v>
      </c>
      <c r="G366" s="10" t="s">
        <v>14</v>
      </c>
      <c r="H366" s="11" t="s">
        <v>865</v>
      </c>
      <c r="I366" s="10" t="s">
        <v>210</v>
      </c>
      <c r="J366" s="131"/>
      <c r="K366" s="149" t="s">
        <v>895</v>
      </c>
    </row>
    <row r="367" spans="1:11" ht="28.9" customHeight="1" thickTop="1" thickBot="1" x14ac:dyDescent="0.75">
      <c r="A367" s="6">
        <v>365</v>
      </c>
      <c r="B367" s="57" t="str">
        <f>HYPERLINK("https://search.naver.com/search.naver?query=나잇 &amp; 데이 영화", "나잇 &amp; 데이")</f>
        <v>나잇 &amp; 데이</v>
      </c>
      <c r="C367" s="8">
        <v>0.18</v>
      </c>
      <c r="D367" s="9" t="s">
        <v>896</v>
      </c>
      <c r="E367" s="6" t="s">
        <v>24</v>
      </c>
      <c r="F367" s="6">
        <v>2010</v>
      </c>
      <c r="G367" s="6" t="s">
        <v>14</v>
      </c>
      <c r="H367" s="7" t="s">
        <v>332</v>
      </c>
      <c r="I367" s="6" t="s">
        <v>187</v>
      </c>
      <c r="J367" s="130"/>
      <c r="K367" s="148" t="s">
        <v>897</v>
      </c>
    </row>
    <row r="368" spans="1:11" ht="28.9" customHeight="1" thickTop="1" thickBot="1" x14ac:dyDescent="0.75">
      <c r="A368" s="10">
        <v>366</v>
      </c>
      <c r="B368" s="58" t="str">
        <f>HYPERLINK("https://search.naver.com/search.naver?query=나폴레옹 영화", "나폴레옹")</f>
        <v>나폴레옹</v>
      </c>
      <c r="C368" s="12">
        <v>6.8</v>
      </c>
      <c r="D368" s="13" t="s">
        <v>898</v>
      </c>
      <c r="E368" s="10" t="s">
        <v>24</v>
      </c>
      <c r="F368" s="10">
        <v>2023</v>
      </c>
      <c r="G368" s="10" t="s">
        <v>14</v>
      </c>
      <c r="H368" s="11" t="s">
        <v>505</v>
      </c>
      <c r="I368" s="10" t="s">
        <v>899</v>
      </c>
      <c r="J368" s="131"/>
      <c r="K368" s="149" t="s">
        <v>900</v>
      </c>
    </row>
    <row r="369" spans="1:11" ht="28.9" customHeight="1" thickTop="1" thickBot="1" x14ac:dyDescent="0.75">
      <c r="A369" s="6">
        <v>367</v>
      </c>
      <c r="B369" s="57" t="str">
        <f>HYPERLINK("https://search.naver.com/search.naver?query=낙원의 밤 영화", "낙원의 밤")</f>
        <v>낙원의 밤</v>
      </c>
      <c r="C369" s="8">
        <v>6.9</v>
      </c>
      <c r="D369" s="9" t="s">
        <v>901</v>
      </c>
      <c r="E369" s="6" t="s">
        <v>13</v>
      </c>
      <c r="F369" s="6">
        <v>2020</v>
      </c>
      <c r="G369" s="6" t="s">
        <v>14</v>
      </c>
      <c r="H369" s="7" t="s">
        <v>104</v>
      </c>
      <c r="I369" s="6" t="s">
        <v>432</v>
      </c>
      <c r="J369" s="130"/>
      <c r="K369" s="148" t="s">
        <v>902</v>
      </c>
    </row>
    <row r="370" spans="1:11" ht="28.9" customHeight="1" thickTop="1" thickBot="1" x14ac:dyDescent="0.75">
      <c r="A370" s="10">
        <v>368</v>
      </c>
      <c r="B370" s="58" t="str">
        <f>HYPERLINK("https://search.naver.com/search.naver?query=난 지구 반대편 나라로 가버릴테야 영화", "난 지구 반대편 나라로 가버릴테야")</f>
        <v>난 지구 반대편 나라로 가버릴테야</v>
      </c>
      <c r="C370" s="12">
        <v>6.4</v>
      </c>
      <c r="D370" s="13" t="s">
        <v>903</v>
      </c>
      <c r="E370" s="10" t="s">
        <v>24</v>
      </c>
      <c r="F370" s="10">
        <v>2014</v>
      </c>
      <c r="G370" s="10" t="s">
        <v>14</v>
      </c>
      <c r="H370" s="11" t="s">
        <v>91</v>
      </c>
      <c r="I370" s="10" t="s">
        <v>904</v>
      </c>
      <c r="J370" s="131"/>
      <c r="K370" s="149" t="s">
        <v>905</v>
      </c>
    </row>
    <row r="371" spans="1:11" ht="28.9" customHeight="1" thickTop="1" thickBot="1" x14ac:dyDescent="0.75">
      <c r="A371" s="6">
        <v>369</v>
      </c>
      <c r="B371" s="57" t="str">
        <f>HYPERLINK("https://search.naver.com/search.naver?query=날, 보러와요 영화", "날, 보러와요")</f>
        <v>날, 보러와요</v>
      </c>
      <c r="C371" s="8">
        <v>8.0399999999999991</v>
      </c>
      <c r="D371" s="9" t="s">
        <v>906</v>
      </c>
      <c r="E371" s="6" t="s">
        <v>13</v>
      </c>
      <c r="F371" s="6">
        <v>2015</v>
      </c>
      <c r="G371" s="6" t="s">
        <v>14</v>
      </c>
      <c r="H371" s="7" t="s">
        <v>54</v>
      </c>
      <c r="I371" s="6" t="s">
        <v>361</v>
      </c>
      <c r="J371" s="130"/>
      <c r="K371" s="148" t="s">
        <v>907</v>
      </c>
    </row>
    <row r="372" spans="1:11" ht="28.9" customHeight="1" thickTop="1" thickBot="1" x14ac:dyDescent="0.75">
      <c r="A372" s="10">
        <v>370</v>
      </c>
      <c r="B372" s="58" t="str">
        <f>HYPERLINK("https://search.naver.com/search.naver?query=남과여2015", "남과 여")</f>
        <v>남과 여</v>
      </c>
      <c r="C372" s="12">
        <v>7.56</v>
      </c>
      <c r="D372" s="13" t="s">
        <v>908</v>
      </c>
      <c r="E372" s="10" t="s">
        <v>13</v>
      </c>
      <c r="F372" s="10">
        <v>2015</v>
      </c>
      <c r="G372" s="10" t="s">
        <v>14</v>
      </c>
      <c r="H372" s="11" t="s">
        <v>165</v>
      </c>
      <c r="I372" s="10" t="s">
        <v>60</v>
      </c>
      <c r="J372" s="131"/>
      <c r="K372" s="149" t="s">
        <v>909</v>
      </c>
    </row>
    <row r="373" spans="1:11" ht="28.9" customHeight="1" thickTop="1" thickBot="1" x14ac:dyDescent="0.75">
      <c r="A373" s="6">
        <v>371</v>
      </c>
      <c r="B373" s="57" t="str">
        <f>HYPERLINK("https://search.naver.com/search.naver?query=남극의 쉐프 영화", "남극의 쉐프")</f>
        <v>남극의 쉐프</v>
      </c>
      <c r="C373" s="8">
        <v>8.58</v>
      </c>
      <c r="D373" s="9" t="s">
        <v>910</v>
      </c>
      <c r="E373" s="6" t="s">
        <v>19</v>
      </c>
      <c r="F373" s="6">
        <v>2010</v>
      </c>
      <c r="G373" s="6" t="s">
        <v>14</v>
      </c>
      <c r="H373" s="7" t="s">
        <v>20</v>
      </c>
      <c r="I373" s="6" t="s">
        <v>316</v>
      </c>
      <c r="J373" s="130"/>
      <c r="K373" s="148" t="s">
        <v>911</v>
      </c>
    </row>
    <row r="374" spans="1:11" ht="28.9" customHeight="1" thickTop="1" thickBot="1" x14ac:dyDescent="0.75">
      <c r="A374" s="10">
        <v>372</v>
      </c>
      <c r="B374" s="58" t="str">
        <f>HYPERLINK("https://search.naver.com/search.naver?query=남동생 영화", "남동생")</f>
        <v>남동생</v>
      </c>
      <c r="C374" s="12"/>
      <c r="D374" s="13" t="s">
        <v>912</v>
      </c>
      <c r="E374" s="10" t="s">
        <v>19</v>
      </c>
      <c r="F374" s="10">
        <v>2010</v>
      </c>
      <c r="G374" s="10" t="s">
        <v>14</v>
      </c>
      <c r="H374" s="11" t="s">
        <v>20</v>
      </c>
      <c r="I374" s="10" t="s">
        <v>105</v>
      </c>
      <c r="J374" s="131"/>
      <c r="K374" s="149" t="s">
        <v>913</v>
      </c>
    </row>
    <row r="375" spans="1:11" ht="28.9" customHeight="1" thickTop="1" thickBot="1" x14ac:dyDescent="0.75">
      <c r="A375" s="6">
        <v>373</v>
      </c>
      <c r="B375" s="57" t="str">
        <f>HYPERLINK("https://search.naver.com/search.naver?query=남산의 부장들 영화", "남산의 부장들")</f>
        <v>남산의 부장들</v>
      </c>
      <c r="C375" s="8">
        <v>8.4600000000000009</v>
      </c>
      <c r="D375" s="9" t="s">
        <v>914</v>
      </c>
      <c r="E375" s="6" t="s">
        <v>13</v>
      </c>
      <c r="F375" s="6">
        <v>2020</v>
      </c>
      <c r="G375" s="6" t="s">
        <v>14</v>
      </c>
      <c r="H375" s="7" t="s">
        <v>20</v>
      </c>
      <c r="I375" s="6" t="s">
        <v>305</v>
      </c>
      <c r="J375" s="130"/>
      <c r="K375" s="148" t="s">
        <v>915</v>
      </c>
    </row>
    <row r="376" spans="1:11" ht="28.9" customHeight="1" thickTop="1" thickBot="1" x14ac:dyDescent="0.75">
      <c r="A376" s="10">
        <v>374</v>
      </c>
      <c r="B376" s="58" t="str">
        <f>HYPERLINK("https://search.naver.com/search.naver?query=남아있는 나날 영화", "남아있는 나날")</f>
        <v>남아있는 나날</v>
      </c>
      <c r="C376" s="12">
        <v>8.8800000000000008</v>
      </c>
      <c r="D376" s="13" t="s">
        <v>916</v>
      </c>
      <c r="E376" s="10" t="s">
        <v>29</v>
      </c>
      <c r="F376" s="10">
        <v>1993</v>
      </c>
      <c r="G376" s="10" t="s">
        <v>14</v>
      </c>
      <c r="H376" s="11" t="s">
        <v>20</v>
      </c>
      <c r="I376" s="10" t="s">
        <v>917</v>
      </c>
      <c r="J376" s="131"/>
      <c r="K376" s="149" t="s">
        <v>918</v>
      </c>
    </row>
    <row r="377" spans="1:11" ht="28.9" customHeight="1" thickTop="1" thickBot="1" x14ac:dyDescent="0.75">
      <c r="A377" s="6">
        <v>375</v>
      </c>
      <c r="B377" s="57" t="str">
        <f>HYPERLINK("https://search.naver.com/search.naver?query=남으로 가는 길 영화", "남으로 가는 길")</f>
        <v>남으로 가는 길</v>
      </c>
      <c r="C377" s="8">
        <v>8.1</v>
      </c>
      <c r="D377" s="9" t="s">
        <v>919</v>
      </c>
      <c r="E377" s="6" t="s">
        <v>13</v>
      </c>
      <c r="F377" s="6">
        <v>2025</v>
      </c>
      <c r="G377" s="6" t="s">
        <v>14</v>
      </c>
      <c r="H377" s="7" t="s">
        <v>20</v>
      </c>
      <c r="I377" s="6" t="s">
        <v>329</v>
      </c>
      <c r="J377" s="130"/>
      <c r="K377" s="148" t="s">
        <v>920</v>
      </c>
    </row>
    <row r="378" spans="1:11" ht="28.9" customHeight="1" thickTop="1" thickBot="1" x14ac:dyDescent="0.75">
      <c r="A378" s="10">
        <v>376</v>
      </c>
      <c r="B378" s="58" t="str">
        <f>HYPERLINK("https://search.naver.com/search.naver?query=남은 인생 10년 영화", "남은 인생 10년")</f>
        <v>남은 인생 10년</v>
      </c>
      <c r="C378" s="12">
        <v>7.58</v>
      </c>
      <c r="D378" s="13" t="s">
        <v>921</v>
      </c>
      <c r="E378" s="10" t="s">
        <v>19</v>
      </c>
      <c r="F378" s="10">
        <v>2022</v>
      </c>
      <c r="G378" s="10" t="s">
        <v>14</v>
      </c>
      <c r="H378" s="11" t="s">
        <v>165</v>
      </c>
      <c r="I378" s="10" t="s">
        <v>316</v>
      </c>
      <c r="J378" s="131"/>
      <c r="K378" s="149" t="s">
        <v>922</v>
      </c>
    </row>
    <row r="379" spans="1:11" ht="28.9" customHeight="1" thickTop="1" thickBot="1" x14ac:dyDescent="0.75">
      <c r="A379" s="6">
        <v>377</v>
      </c>
      <c r="B379" s="57" t="str">
        <f>HYPERLINK("https://search.naver.com/search.naver?query=남자가 사랑할 때 영화", "남자가 사랑할 때")</f>
        <v>남자가 사랑할 때</v>
      </c>
      <c r="C379" s="8">
        <v>8.48</v>
      </c>
      <c r="D379" s="9" t="s">
        <v>923</v>
      </c>
      <c r="E379" s="6" t="s">
        <v>13</v>
      </c>
      <c r="F379" s="6">
        <v>2013</v>
      </c>
      <c r="G379" s="6" t="s">
        <v>14</v>
      </c>
      <c r="H379" s="7" t="s">
        <v>165</v>
      </c>
      <c r="I379" s="6" t="s">
        <v>116</v>
      </c>
      <c r="J379" s="130"/>
      <c r="K379" s="148" t="s">
        <v>924</v>
      </c>
    </row>
    <row r="380" spans="1:11" ht="28.9" customHeight="1" thickTop="1" thickBot="1" x14ac:dyDescent="0.75">
      <c r="A380" s="10">
        <v>378</v>
      </c>
      <c r="B380" s="58" t="str">
        <f>HYPERLINK("https://search.naver.com/search.naver?query=남자의 일생 영화", "남자의 일생")</f>
        <v>남자의 일생</v>
      </c>
      <c r="C380" s="12">
        <v>6.4</v>
      </c>
      <c r="D380" s="13" t="s">
        <v>925</v>
      </c>
      <c r="E380" s="10" t="s">
        <v>19</v>
      </c>
      <c r="F380" s="10">
        <v>2014</v>
      </c>
      <c r="G380" s="10" t="s">
        <v>14</v>
      </c>
      <c r="H380" s="11" t="s">
        <v>20</v>
      </c>
      <c r="I380" s="10" t="s">
        <v>175</v>
      </c>
      <c r="J380" s="131"/>
      <c r="K380" s="149" t="s">
        <v>926</v>
      </c>
    </row>
    <row r="381" spans="1:11" ht="28.9" customHeight="1" thickTop="1" thickBot="1" x14ac:dyDescent="0.75">
      <c r="A381" s="6">
        <v>379</v>
      </c>
      <c r="B381" s="57" t="str">
        <f>HYPERLINK("https://search.naver.com/search.naver?query=남쪽으로 튀어 영화", "남쪽으로 튀어")</f>
        <v>남쪽으로 튀어</v>
      </c>
      <c r="C381" s="8">
        <v>7.81</v>
      </c>
      <c r="D381" s="9" t="s">
        <v>927</v>
      </c>
      <c r="E381" s="6" t="s">
        <v>13</v>
      </c>
      <c r="F381" s="6">
        <v>2012</v>
      </c>
      <c r="G381" s="6" t="s">
        <v>14</v>
      </c>
      <c r="H381" s="7" t="s">
        <v>91</v>
      </c>
      <c r="I381" s="6" t="s">
        <v>195</v>
      </c>
      <c r="J381" s="130"/>
      <c r="K381" s="148" t="s">
        <v>928</v>
      </c>
    </row>
    <row r="382" spans="1:11" ht="28.9" customHeight="1" thickTop="1" thickBot="1" x14ac:dyDescent="0.75">
      <c r="A382" s="10">
        <v>380</v>
      </c>
      <c r="B382" s="58" t="str">
        <f>HYPERLINK("https://search.naver.com/search.naver?query=남한산성 영화", "남한산성")</f>
        <v>남한산성</v>
      </c>
      <c r="C382" s="12">
        <v>8.17</v>
      </c>
      <c r="D382" s="13" t="s">
        <v>929</v>
      </c>
      <c r="E382" s="10" t="s">
        <v>13</v>
      </c>
      <c r="F382" s="10">
        <v>2017</v>
      </c>
      <c r="G382" s="10" t="s">
        <v>14</v>
      </c>
      <c r="H382" s="11" t="s">
        <v>505</v>
      </c>
      <c r="I382" s="10" t="s">
        <v>930</v>
      </c>
      <c r="J382" s="131"/>
      <c r="K382" s="149" t="s">
        <v>931</v>
      </c>
    </row>
    <row r="383" spans="1:11" ht="28.9" customHeight="1" thickTop="1" thickBot="1" x14ac:dyDescent="0.75">
      <c r="A383" s="6">
        <v>381</v>
      </c>
      <c r="B383" s="57" t="str">
        <f>HYPERLINK("https://search.naver.com/search.naver?query=낫 세이프 포 워크 영화", "낫 세이프 포 워크")</f>
        <v>낫 세이프 포 워크</v>
      </c>
      <c r="C383" s="8">
        <v>6.4</v>
      </c>
      <c r="D383" s="9" t="s">
        <v>932</v>
      </c>
      <c r="E383" s="6" t="s">
        <v>24</v>
      </c>
      <c r="F383" s="6">
        <v>2014</v>
      </c>
      <c r="G383" s="6" t="s">
        <v>14</v>
      </c>
      <c r="H383" s="7" t="s">
        <v>54</v>
      </c>
      <c r="I383" s="6" t="s">
        <v>933</v>
      </c>
      <c r="J383" s="130"/>
      <c r="K383" s="148" t="s">
        <v>934</v>
      </c>
    </row>
    <row r="384" spans="1:11" ht="28.9" customHeight="1" thickTop="1" thickBot="1" x14ac:dyDescent="0.75">
      <c r="A384" s="10">
        <v>382</v>
      </c>
      <c r="B384" s="58" t="str">
        <f>HYPERLINK("https://search.naver.com/search.naver?query=낮비 영화", "낮비")</f>
        <v>낮비</v>
      </c>
      <c r="C384" s="12">
        <v>3.32</v>
      </c>
      <c r="D384" s="13" t="s">
        <v>935</v>
      </c>
      <c r="E384" s="10" t="s">
        <v>19</v>
      </c>
      <c r="F384" s="10">
        <v>2016</v>
      </c>
      <c r="G384" s="10" t="s">
        <v>14</v>
      </c>
      <c r="H384" s="11" t="s">
        <v>428</v>
      </c>
      <c r="I384" s="10" t="s">
        <v>109</v>
      </c>
      <c r="J384" s="131"/>
      <c r="K384" s="149" t="s">
        <v>936</v>
      </c>
    </row>
    <row r="385" spans="1:11" ht="28.9" customHeight="1" thickTop="1" thickBot="1" x14ac:dyDescent="0.75">
      <c r="A385" s="6">
        <v>383</v>
      </c>
      <c r="B385" s="59" t="str">
        <f>HYPERLINK("https://search.naver.com/search.naver?query=낯선 별자리 시즌1", "낯선 별자리 시즌1")</f>
        <v>낯선 별자리 시즌1</v>
      </c>
      <c r="C385" s="16"/>
      <c r="D385" s="17" t="s">
        <v>937</v>
      </c>
      <c r="E385" s="14" t="s">
        <v>24</v>
      </c>
      <c r="F385" s="14">
        <v>2024</v>
      </c>
      <c r="G385" s="14" t="s">
        <v>20</v>
      </c>
      <c r="H385" s="15" t="s">
        <v>258</v>
      </c>
      <c r="I385" s="14" t="s">
        <v>71</v>
      </c>
      <c r="J385" s="132"/>
      <c r="K385" s="150" t="s">
        <v>938</v>
      </c>
    </row>
    <row r="386" spans="1:11" ht="28.9" customHeight="1" thickTop="1" thickBot="1" x14ac:dyDescent="0.75">
      <c r="A386" s="10">
        <v>384</v>
      </c>
      <c r="B386" s="58" t="str">
        <f>HYPERLINK("https://search.naver.com/search.naver?query=내 남자의 아내도 좋아 영화", "내 남자의 아내도 좋아")</f>
        <v>내 남자의 아내도 좋아</v>
      </c>
      <c r="C386" s="12">
        <v>7.71</v>
      </c>
      <c r="D386" s="13" t="s">
        <v>939</v>
      </c>
      <c r="E386" s="10" t="s">
        <v>24</v>
      </c>
      <c r="F386" s="10">
        <v>2009</v>
      </c>
      <c r="G386" s="10" t="s">
        <v>14</v>
      </c>
      <c r="H386" s="11" t="s">
        <v>165</v>
      </c>
      <c r="I386" s="10" t="s">
        <v>80</v>
      </c>
      <c r="J386" s="131"/>
      <c r="K386" s="149" t="s">
        <v>940</v>
      </c>
    </row>
    <row r="387" spans="1:11" ht="28.9" customHeight="1" thickTop="1" thickBot="1" x14ac:dyDescent="0.75">
      <c r="A387" s="6">
        <v>385</v>
      </c>
      <c r="B387" s="57" t="str">
        <f>HYPERLINK("https://search.naver.com/search.naver?query=내 머리 속의 지우개 영화", "내 머리 속의 지우개")</f>
        <v>내 머리 속의 지우개</v>
      </c>
      <c r="C387" s="8">
        <v>9.09</v>
      </c>
      <c r="D387" s="9" t="s">
        <v>941</v>
      </c>
      <c r="E387" s="6" t="s">
        <v>13</v>
      </c>
      <c r="F387" s="6">
        <v>2004</v>
      </c>
      <c r="G387" s="6" t="s">
        <v>14</v>
      </c>
      <c r="H387" s="7" t="s">
        <v>165</v>
      </c>
      <c r="I387" s="6" t="s">
        <v>120</v>
      </c>
      <c r="J387" s="130"/>
      <c r="K387" s="148" t="s">
        <v>942</v>
      </c>
    </row>
    <row r="388" spans="1:11" ht="28.9" customHeight="1" thickTop="1" thickBot="1" x14ac:dyDescent="0.75">
      <c r="A388" s="10">
        <v>386</v>
      </c>
      <c r="B388" s="58" t="str">
        <f>HYPERLINK("https://search.naver.com/search.naver?query=내 사랑 영화", "내 사랑")</f>
        <v>내 사랑</v>
      </c>
      <c r="C388" s="12">
        <v>9.16</v>
      </c>
      <c r="D388" s="13" t="s">
        <v>943</v>
      </c>
      <c r="E388" s="10" t="s">
        <v>944</v>
      </c>
      <c r="F388" s="10">
        <v>2016</v>
      </c>
      <c r="G388" s="10" t="s">
        <v>14</v>
      </c>
      <c r="H388" s="11" t="s">
        <v>20</v>
      </c>
      <c r="I388" s="10" t="s">
        <v>60</v>
      </c>
      <c r="J388" s="131"/>
      <c r="K388" s="149" t="s">
        <v>945</v>
      </c>
    </row>
    <row r="389" spans="1:11" ht="28.9" customHeight="1" thickTop="1" thickBot="1" x14ac:dyDescent="0.75">
      <c r="A389" s="6">
        <v>387</v>
      </c>
      <c r="B389" s="57" t="str">
        <f>HYPERLINK("https://search.naver.com/search.naver?query=내 사랑 내 곁에 영화", "내 사랑 내 곁에")</f>
        <v>내 사랑 내 곁에</v>
      </c>
      <c r="C389" s="8">
        <v>7.05</v>
      </c>
      <c r="D389" s="9" t="s">
        <v>946</v>
      </c>
      <c r="E389" s="6" t="s">
        <v>13</v>
      </c>
      <c r="F389" s="6">
        <v>2009</v>
      </c>
      <c r="G389" s="6" t="s">
        <v>14</v>
      </c>
      <c r="H389" s="7" t="s">
        <v>20</v>
      </c>
      <c r="I389" s="6" t="s">
        <v>195</v>
      </c>
      <c r="J389" s="130"/>
      <c r="K389" s="148" t="s">
        <v>947</v>
      </c>
    </row>
    <row r="390" spans="1:11" ht="28.9" customHeight="1" thickTop="1" thickBot="1" x14ac:dyDescent="0.75">
      <c r="A390" s="10">
        <v>388</v>
      </c>
      <c r="B390" s="58" t="str">
        <f>HYPERLINK("https://search.naver.com/search.naver?query=내 생애 가장 아름다운 일주일 영화", "내 생애 가장 아름다운 일주일")</f>
        <v>내 생애 가장 아름다운 일주일</v>
      </c>
      <c r="C390" s="12">
        <v>8.66</v>
      </c>
      <c r="D390" s="13" t="s">
        <v>948</v>
      </c>
      <c r="E390" s="10" t="s">
        <v>13</v>
      </c>
      <c r="F390" s="10">
        <v>2005</v>
      </c>
      <c r="G390" s="10" t="s">
        <v>14</v>
      </c>
      <c r="H390" s="11" t="s">
        <v>97</v>
      </c>
      <c r="I390" s="10" t="s">
        <v>316</v>
      </c>
      <c r="J390" s="131"/>
      <c r="K390" s="149" t="s">
        <v>949</v>
      </c>
    </row>
    <row r="391" spans="1:11" ht="28.9" customHeight="1" thickTop="1" thickBot="1" x14ac:dyDescent="0.75">
      <c r="A391" s="6">
        <v>389</v>
      </c>
      <c r="B391" s="57" t="str">
        <f>HYPERLINK("https://search.naver.com/search.naver?query=내 아내의 모든 것 영화", "내 아내의 모든 것")</f>
        <v>내 아내의 모든 것</v>
      </c>
      <c r="C391" s="8">
        <v>8.6</v>
      </c>
      <c r="D391" s="9" t="s">
        <v>950</v>
      </c>
      <c r="E391" s="6" t="s">
        <v>13</v>
      </c>
      <c r="F391" s="6">
        <v>2012</v>
      </c>
      <c r="G391" s="6" t="s">
        <v>14</v>
      </c>
      <c r="H391" s="7" t="s">
        <v>182</v>
      </c>
      <c r="I391" s="6" t="s">
        <v>195</v>
      </c>
      <c r="J391" s="130"/>
      <c r="K391" s="148" t="s">
        <v>951</v>
      </c>
    </row>
    <row r="392" spans="1:11" ht="28.9" customHeight="1" thickTop="1" thickBot="1" x14ac:dyDescent="0.75">
      <c r="A392" s="10">
        <v>390</v>
      </c>
      <c r="B392" s="58" t="str">
        <f>HYPERLINK("https://search.naver.com/search.naver?query=내 아내의 행복한 장례식 영화", "내 아내의 행복한 장례식")</f>
        <v>내 아내의 행복한 장례식</v>
      </c>
      <c r="C392" s="12">
        <v>8.5</v>
      </c>
      <c r="D392" s="13" t="s">
        <v>952</v>
      </c>
      <c r="E392" s="10" t="s">
        <v>19</v>
      </c>
      <c r="F392" s="10">
        <v>2012</v>
      </c>
      <c r="G392" s="10" t="s">
        <v>14</v>
      </c>
      <c r="H392" s="11" t="s">
        <v>20</v>
      </c>
      <c r="I392" s="10" t="s">
        <v>175</v>
      </c>
      <c r="J392" s="131"/>
      <c r="K392" s="149" t="s">
        <v>953</v>
      </c>
    </row>
    <row r="393" spans="1:11" ht="28.9" customHeight="1" thickTop="1" thickBot="1" x14ac:dyDescent="0.75">
      <c r="A393" s="6">
        <v>391</v>
      </c>
      <c r="B393" s="57" t="str">
        <f>HYPERLINK("https://search.naver.com/search.naver?query=내 어깨 위 고양이 밥 2 영화", "내 어깨 위 고양이 밥 2")</f>
        <v>내 어깨 위 고양이 밥 2</v>
      </c>
      <c r="C393" s="8">
        <v>9.3800000000000008</v>
      </c>
      <c r="D393" s="9" t="s">
        <v>954</v>
      </c>
      <c r="E393" s="6" t="s">
        <v>29</v>
      </c>
      <c r="F393" s="6">
        <v>2020</v>
      </c>
      <c r="G393" s="6" t="s">
        <v>14</v>
      </c>
      <c r="H393" s="7" t="s">
        <v>20</v>
      </c>
      <c r="I393" s="6" t="s">
        <v>205</v>
      </c>
      <c r="J393" s="130"/>
      <c r="K393" s="148" t="s">
        <v>955</v>
      </c>
    </row>
    <row r="394" spans="1:11" ht="28.9" customHeight="1" thickTop="1" thickBot="1" x14ac:dyDescent="0.75">
      <c r="A394" s="10">
        <v>392</v>
      </c>
      <c r="B394" s="58" t="str">
        <f>HYPERLINK("https://search.naver.com/search.naver?query=내 어깨 위 고양이, 밥 영화", "내 어깨 위 고양이, 밥")</f>
        <v>내 어깨 위 고양이, 밥</v>
      </c>
      <c r="C394" s="12">
        <v>9.3800000000000008</v>
      </c>
      <c r="D394" s="13" t="s">
        <v>956</v>
      </c>
      <c r="E394" s="10" t="s">
        <v>29</v>
      </c>
      <c r="F394" s="10">
        <v>2016</v>
      </c>
      <c r="G394" s="10" t="s">
        <v>14</v>
      </c>
      <c r="H394" s="11" t="s">
        <v>20</v>
      </c>
      <c r="I394" s="10" t="s">
        <v>276</v>
      </c>
      <c r="J394" s="131"/>
      <c r="K394" s="149" t="s">
        <v>957</v>
      </c>
    </row>
    <row r="395" spans="1:11" ht="28.9" customHeight="1" thickTop="1" thickBot="1" x14ac:dyDescent="0.75">
      <c r="A395" s="6">
        <v>393</v>
      </c>
      <c r="B395" s="57" t="str">
        <f>HYPERLINK("https://search.naver.com/search.naver?query=내 어머니의 인생 영화", "내 어머니의 인생")</f>
        <v>내 어머니의 인생</v>
      </c>
      <c r="C395" s="8">
        <v>9.5</v>
      </c>
      <c r="D395" s="9" t="s">
        <v>958</v>
      </c>
      <c r="E395" s="6" t="s">
        <v>19</v>
      </c>
      <c r="F395" s="6">
        <v>2011</v>
      </c>
      <c r="G395" s="6" t="s">
        <v>14</v>
      </c>
      <c r="H395" s="7" t="s">
        <v>20</v>
      </c>
      <c r="I395" s="6" t="s">
        <v>68</v>
      </c>
      <c r="J395" s="130"/>
      <c r="K395" s="148" t="s">
        <v>959</v>
      </c>
    </row>
    <row r="396" spans="1:11" ht="28.9" customHeight="1" thickTop="1" thickBot="1" x14ac:dyDescent="0.75">
      <c r="A396" s="10">
        <v>394</v>
      </c>
      <c r="B396" s="58" t="str">
        <f>HYPERLINK("https://search.naver.com/search.naver?query=내 이름은 칸 영화", "내 이름은 칸")</f>
        <v>내 이름은 칸</v>
      </c>
      <c r="C396" s="12">
        <v>9.2899999999999991</v>
      </c>
      <c r="D396" s="13" t="s">
        <v>960</v>
      </c>
      <c r="E396" s="10" t="s">
        <v>581</v>
      </c>
      <c r="F396" s="10">
        <v>2010</v>
      </c>
      <c r="G396" s="10" t="s">
        <v>14</v>
      </c>
      <c r="H396" s="11" t="s">
        <v>20</v>
      </c>
      <c r="I396" s="10" t="s">
        <v>961</v>
      </c>
      <c r="J396" s="131"/>
      <c r="K396" s="149" t="s">
        <v>962</v>
      </c>
    </row>
    <row r="397" spans="1:11" ht="28.9" customHeight="1" thickTop="1" thickBot="1" x14ac:dyDescent="0.75">
      <c r="A397" s="6">
        <v>395</v>
      </c>
      <c r="B397" s="57" t="str">
        <f>HYPERLINK("https://search.naver.com/search.naver?query=내 이야기 영화", "내 이야기")</f>
        <v>내 이야기</v>
      </c>
      <c r="C397" s="8">
        <v>9</v>
      </c>
      <c r="D397" s="9" t="s">
        <v>963</v>
      </c>
      <c r="E397" s="6" t="s">
        <v>19</v>
      </c>
      <c r="F397" s="6">
        <v>2018</v>
      </c>
      <c r="G397" s="6" t="s">
        <v>14</v>
      </c>
      <c r="H397" s="7" t="s">
        <v>165</v>
      </c>
      <c r="I397" s="6" t="s">
        <v>175</v>
      </c>
      <c r="J397" s="130"/>
      <c r="K397" s="148" t="s">
        <v>964</v>
      </c>
    </row>
    <row r="398" spans="1:11" ht="28.9" customHeight="1" thickTop="1" thickBot="1" x14ac:dyDescent="0.75">
      <c r="A398" s="10">
        <v>396</v>
      </c>
      <c r="B398" s="58" t="str">
        <f>HYPERLINK("https://search.naver.com/search.naver?query=내 인생의 마지막 변화구 영화", "내 인생의 마지막 변화구")</f>
        <v>내 인생의 마지막 변화구</v>
      </c>
      <c r="C398" s="12">
        <v>8.32</v>
      </c>
      <c r="D398" s="13" t="s">
        <v>965</v>
      </c>
      <c r="E398" s="10" t="s">
        <v>24</v>
      </c>
      <c r="F398" s="10">
        <v>2012</v>
      </c>
      <c r="G398" s="10" t="s">
        <v>14</v>
      </c>
      <c r="H398" s="11" t="s">
        <v>20</v>
      </c>
      <c r="I398" s="10" t="s">
        <v>137</v>
      </c>
      <c r="J398" s="131"/>
      <c r="K398" s="149" t="s">
        <v>966</v>
      </c>
    </row>
    <row r="399" spans="1:11" ht="28.9" customHeight="1" thickTop="1" thickBot="1" x14ac:dyDescent="0.75">
      <c r="A399" s="6">
        <v>397</v>
      </c>
      <c r="B399" s="57" t="str">
        <f>HYPERLINK("https://search.naver.com/search.naver?query=내 첫사랑을 너에게 바친다 영화", "내 첫사랑을 너에게 바친다")</f>
        <v>내 첫사랑을 너에게 바친다</v>
      </c>
      <c r="C399" s="8">
        <v>8.17</v>
      </c>
      <c r="D399" s="9" t="s">
        <v>967</v>
      </c>
      <c r="E399" s="6" t="s">
        <v>19</v>
      </c>
      <c r="F399" s="6">
        <v>2009</v>
      </c>
      <c r="G399" s="6" t="s">
        <v>14</v>
      </c>
      <c r="H399" s="7" t="s">
        <v>165</v>
      </c>
      <c r="I399" s="6" t="s">
        <v>141</v>
      </c>
      <c r="J399" s="130"/>
      <c r="K399" s="148" t="s">
        <v>968</v>
      </c>
    </row>
    <row r="400" spans="1:11" ht="28.9" customHeight="1" thickTop="1" thickBot="1" x14ac:dyDescent="0.75">
      <c r="A400" s="10">
        <v>398</v>
      </c>
      <c r="B400" s="58" t="str">
        <f>HYPERLINK("https://search.naver.com/search.naver?query=내가 고백을 하면 영화", "내가 고백을 하면")</f>
        <v>내가 고백을 하면</v>
      </c>
      <c r="C400" s="12">
        <v>8.6</v>
      </c>
      <c r="D400" s="13" t="s">
        <v>969</v>
      </c>
      <c r="E400" s="10" t="s">
        <v>19</v>
      </c>
      <c r="F400" s="10">
        <v>2012</v>
      </c>
      <c r="G400" s="10" t="s">
        <v>14</v>
      </c>
      <c r="H400" s="11" t="s">
        <v>20</v>
      </c>
      <c r="I400" s="10" t="s">
        <v>175</v>
      </c>
      <c r="J400" s="131"/>
      <c r="K400" s="149" t="s">
        <v>970</v>
      </c>
    </row>
    <row r="401" spans="1:11" ht="28.9" customHeight="1" thickTop="1" thickBot="1" x14ac:dyDescent="0.75">
      <c r="A401" s="6">
        <v>399</v>
      </c>
      <c r="B401" s="57" t="str">
        <f>HYPERLINK("https://search.naver.com/search.naver?query=내가 사는 피부 영화", "내가 사는 피부")</f>
        <v>내가 사는 피부</v>
      </c>
      <c r="C401" s="8">
        <v>7.9</v>
      </c>
      <c r="D401" s="9" t="s">
        <v>971</v>
      </c>
      <c r="E401" s="6" t="s">
        <v>37</v>
      </c>
      <c r="F401" s="6">
        <v>2011</v>
      </c>
      <c r="G401" s="6" t="s">
        <v>14</v>
      </c>
      <c r="H401" s="7" t="s">
        <v>54</v>
      </c>
      <c r="I401" s="6" t="s">
        <v>116</v>
      </c>
      <c r="J401" s="130"/>
      <c r="K401" s="148" t="s">
        <v>972</v>
      </c>
    </row>
    <row r="402" spans="1:11" ht="28.9" customHeight="1" thickTop="1" thickBot="1" x14ac:dyDescent="0.75">
      <c r="A402" s="10">
        <v>400</v>
      </c>
      <c r="B402" s="58" t="str">
        <f>HYPERLINK("https://search.naver.com/search.naver?query=내가 살인범이다 영화", "내가 살인범이다")</f>
        <v>내가 살인범이다</v>
      </c>
      <c r="C402" s="12">
        <v>8.49</v>
      </c>
      <c r="D402" s="13" t="s">
        <v>973</v>
      </c>
      <c r="E402" s="10" t="s">
        <v>13</v>
      </c>
      <c r="F402" s="10">
        <v>2012</v>
      </c>
      <c r="G402" s="10" t="s">
        <v>14</v>
      </c>
      <c r="H402" s="11" t="s">
        <v>428</v>
      </c>
      <c r="I402" s="10" t="s">
        <v>68</v>
      </c>
      <c r="J402" s="131"/>
      <c r="K402" s="149" t="s">
        <v>974</v>
      </c>
    </row>
    <row r="403" spans="1:11" ht="28.9" customHeight="1" thickTop="1" thickBot="1" x14ac:dyDescent="0.75">
      <c r="A403" s="6">
        <v>401</v>
      </c>
      <c r="B403" s="57" t="str">
        <f>HYPERLINK("https://search.naver.com/search.naver?query=내가 잠들기 전에 영화", "내가 잠들기 전에")</f>
        <v>내가 잠들기 전에</v>
      </c>
      <c r="C403" s="8">
        <v>8.23</v>
      </c>
      <c r="D403" s="9" t="s">
        <v>975</v>
      </c>
      <c r="E403" s="6" t="s">
        <v>29</v>
      </c>
      <c r="F403" s="6">
        <v>2014</v>
      </c>
      <c r="G403" s="6" t="s">
        <v>14</v>
      </c>
      <c r="H403" s="7" t="s">
        <v>54</v>
      </c>
      <c r="I403" s="6" t="s">
        <v>205</v>
      </c>
      <c r="J403" s="130"/>
      <c r="K403" s="148" t="s">
        <v>976</v>
      </c>
    </row>
    <row r="404" spans="1:11" ht="28.9" customHeight="1" thickTop="1" thickBot="1" x14ac:dyDescent="0.75">
      <c r="A404" s="10">
        <v>402</v>
      </c>
      <c r="B404" s="58" t="str">
        <f>HYPERLINK("https://search.naver.com/search.naver?query=내가 죽기를 바라는 자들 영화", "내가 죽기를 바라는 자들")</f>
        <v>내가 죽기를 바라는 자들</v>
      </c>
      <c r="C404" s="12">
        <v>7.5</v>
      </c>
      <c r="D404" s="13" t="s">
        <v>977</v>
      </c>
      <c r="E404" s="10" t="s">
        <v>24</v>
      </c>
      <c r="F404" s="10">
        <v>2021</v>
      </c>
      <c r="G404" s="10" t="s">
        <v>14</v>
      </c>
      <c r="H404" s="11" t="s">
        <v>25</v>
      </c>
      <c r="I404" s="10" t="s">
        <v>179</v>
      </c>
      <c r="J404" s="131"/>
      <c r="K404" s="149" t="s">
        <v>978</v>
      </c>
    </row>
    <row r="405" spans="1:11" ht="28.9" customHeight="1" thickTop="1" thickBot="1" x14ac:dyDescent="0.75">
      <c r="A405" s="6">
        <v>403</v>
      </c>
      <c r="B405" s="57" t="str">
        <f>HYPERLINK("https://search.naver.com/search.naver?query=내가 죽던 날 영화", "내가 죽던 날")</f>
        <v>내가 죽던 날</v>
      </c>
      <c r="C405" s="8">
        <v>9.09</v>
      </c>
      <c r="D405" s="9" t="s">
        <v>979</v>
      </c>
      <c r="E405" s="6" t="s">
        <v>13</v>
      </c>
      <c r="F405" s="6">
        <v>2020</v>
      </c>
      <c r="G405" s="6" t="s">
        <v>14</v>
      </c>
      <c r="H405" s="7" t="s">
        <v>20</v>
      </c>
      <c r="I405" s="6" t="s">
        <v>591</v>
      </c>
      <c r="J405" s="130"/>
      <c r="K405" s="148" t="s">
        <v>980</v>
      </c>
    </row>
    <row r="406" spans="1:11" ht="28.9" customHeight="1" thickTop="1" thickBot="1" x14ac:dyDescent="0.75">
      <c r="A406" s="10">
        <v>404</v>
      </c>
      <c r="B406" s="58" t="str">
        <f>HYPERLINK("https://search.naver.com/search.naver?query=내게 남은 사랑을 영화", "내게 남은 사랑을")</f>
        <v>내게 남은 사랑을</v>
      </c>
      <c r="C406" s="12">
        <v>8.67</v>
      </c>
      <c r="D406" s="13" t="s">
        <v>981</v>
      </c>
      <c r="E406" s="10" t="s">
        <v>19</v>
      </c>
      <c r="F406" s="10">
        <v>2017</v>
      </c>
      <c r="G406" s="10" t="s">
        <v>14</v>
      </c>
      <c r="H406" s="11" t="s">
        <v>20</v>
      </c>
      <c r="I406" s="10" t="s">
        <v>16</v>
      </c>
      <c r="J406" s="131"/>
      <c r="K406" s="149" t="s">
        <v>982</v>
      </c>
    </row>
    <row r="407" spans="1:11" ht="28.9" customHeight="1" thickTop="1" thickBot="1" x14ac:dyDescent="0.75">
      <c r="A407" s="6">
        <v>405</v>
      </c>
      <c r="B407" s="57" t="str">
        <f>HYPERLINK("https://search.naver.com/search.naver?query=내니 다이어리 영화", "내니 다이어리")</f>
        <v>내니 다이어리</v>
      </c>
      <c r="C407" s="8">
        <v>7.52</v>
      </c>
      <c r="D407" s="9" t="s">
        <v>983</v>
      </c>
      <c r="E407" s="6" t="s">
        <v>24</v>
      </c>
      <c r="F407" s="6">
        <v>2007</v>
      </c>
      <c r="G407" s="6" t="s">
        <v>14</v>
      </c>
      <c r="H407" s="7" t="s">
        <v>97</v>
      </c>
      <c r="I407" s="6" t="s">
        <v>175</v>
      </c>
      <c r="J407" s="130"/>
      <c r="K407" s="148" t="s">
        <v>984</v>
      </c>
    </row>
    <row r="408" spans="1:11" ht="28.9" customHeight="1" thickTop="1" thickBot="1" x14ac:dyDescent="0.75">
      <c r="A408" s="10">
        <v>406</v>
      </c>
      <c r="B408" s="58" t="str">
        <f>HYPERLINK("https://search.naver.com/search.naver?query=내부고발자:도시영웅 영화", "내부고발자-도시영웅")</f>
        <v>내부고발자-도시영웅</v>
      </c>
      <c r="C408" s="12">
        <v>4</v>
      </c>
      <c r="D408" s="13" t="s">
        <v>985</v>
      </c>
      <c r="E408" s="10" t="s">
        <v>186</v>
      </c>
      <c r="F408" s="10">
        <v>2019</v>
      </c>
      <c r="G408" s="10" t="s">
        <v>14</v>
      </c>
      <c r="H408" s="11" t="s">
        <v>20</v>
      </c>
      <c r="I408" s="10" t="s">
        <v>51</v>
      </c>
      <c r="J408" s="131"/>
      <c r="K408" s="149" t="s">
        <v>986</v>
      </c>
    </row>
    <row r="409" spans="1:11" ht="28.9" customHeight="1" thickTop="1" thickBot="1" x14ac:dyDescent="0.75">
      <c r="A409" s="6">
        <v>407</v>
      </c>
      <c r="B409" s="57" t="str">
        <f>HYPERLINK("https://search.naver.com/search.naver?query=내부자들 영화", "내부자들")</f>
        <v>내부자들</v>
      </c>
      <c r="C409" s="8">
        <v>9.06</v>
      </c>
      <c r="D409" s="9" t="s">
        <v>987</v>
      </c>
      <c r="E409" s="6" t="s">
        <v>13</v>
      </c>
      <c r="F409" s="6">
        <v>2015</v>
      </c>
      <c r="G409" s="6" t="s">
        <v>14</v>
      </c>
      <c r="H409" s="7" t="s">
        <v>428</v>
      </c>
      <c r="I409" s="6" t="s">
        <v>42</v>
      </c>
      <c r="J409" s="130"/>
      <c r="K409" s="148" t="s">
        <v>988</v>
      </c>
    </row>
    <row r="410" spans="1:11" ht="28.9" customHeight="1" thickTop="1" thickBot="1" x14ac:dyDescent="0.75">
      <c r="A410" s="10">
        <v>408</v>
      </c>
      <c r="B410" s="59" t="str">
        <f>HYPERLINK("https://search.naver.com/search.naver?query=내셔널 트레져 숨겨진 이야기", "내셔널 트레져: 숨겨진 이야기")</f>
        <v>내셔널 트레져: 숨겨진 이야기</v>
      </c>
      <c r="C410" s="16"/>
      <c r="D410" s="17" t="s">
        <v>989</v>
      </c>
      <c r="E410" s="14" t="s">
        <v>24</v>
      </c>
      <c r="F410" s="14">
        <v>2022</v>
      </c>
      <c r="G410" s="14" t="s">
        <v>20</v>
      </c>
      <c r="H410" s="15" t="s">
        <v>990</v>
      </c>
      <c r="I410" s="14" t="s">
        <v>64</v>
      </c>
      <c r="J410" s="132"/>
      <c r="K410" s="150" t="s">
        <v>991</v>
      </c>
    </row>
    <row r="411" spans="1:11" ht="28.9" customHeight="1" thickTop="1" thickBot="1" x14ac:dyDescent="0.75">
      <c r="A411" s="6">
        <v>409</v>
      </c>
      <c r="B411" s="57" t="str">
        <f>HYPERLINK("https://search.naver.com/search.naver?query=내안의 그놈 영화", "내안의 그놈")</f>
        <v>내안의 그놈</v>
      </c>
      <c r="C411" s="8">
        <v>8.76</v>
      </c>
      <c r="D411" s="9" t="s">
        <v>992</v>
      </c>
      <c r="E411" s="6" t="s">
        <v>13</v>
      </c>
      <c r="F411" s="6">
        <v>2018</v>
      </c>
      <c r="G411" s="6" t="s">
        <v>14</v>
      </c>
      <c r="H411" s="7" t="s">
        <v>91</v>
      </c>
      <c r="I411" s="6" t="s">
        <v>141</v>
      </c>
      <c r="J411" s="130"/>
      <c r="K411" s="148" t="s">
        <v>392</v>
      </c>
    </row>
    <row r="412" spans="1:11" ht="28.9" customHeight="1" thickTop="1" thickBot="1" x14ac:dyDescent="0.75">
      <c r="A412" s="10">
        <v>410</v>
      </c>
      <c r="B412" s="58" t="str">
        <f>HYPERLINK("https://search.naver.com/search.naver?query=내일을 위한 시간 영화", "내일을 위한 시간")</f>
        <v>내일을 위한 시간</v>
      </c>
      <c r="C412" s="12">
        <v>8.68</v>
      </c>
      <c r="D412" s="13" t="s">
        <v>993</v>
      </c>
      <c r="E412" s="10" t="s">
        <v>19</v>
      </c>
      <c r="F412" s="10">
        <v>2014</v>
      </c>
      <c r="G412" s="10" t="s">
        <v>14</v>
      </c>
      <c r="H412" s="11" t="s">
        <v>20</v>
      </c>
      <c r="I412" s="10" t="s">
        <v>150</v>
      </c>
      <c r="J412" s="131"/>
      <c r="K412" s="149" t="s">
        <v>994</v>
      </c>
    </row>
    <row r="413" spans="1:11" ht="28.9" customHeight="1" thickTop="1" thickBot="1" x14ac:dyDescent="0.75">
      <c r="A413" s="6">
        <v>411</v>
      </c>
      <c r="B413" s="57" t="str">
        <f>HYPERLINK("https://search.naver.com/search.naver?query=내일의 기억 영화", "내일의 기억")</f>
        <v>내일의 기억</v>
      </c>
      <c r="C413" s="8">
        <v>8.73</v>
      </c>
      <c r="D413" s="9" t="s">
        <v>995</v>
      </c>
      <c r="E413" s="6" t="s">
        <v>13</v>
      </c>
      <c r="F413" s="6">
        <v>2021</v>
      </c>
      <c r="G413" s="6" t="s">
        <v>14</v>
      </c>
      <c r="H413" s="7" t="s">
        <v>54</v>
      </c>
      <c r="I413" s="6" t="s">
        <v>109</v>
      </c>
      <c r="J413" s="130"/>
      <c r="K413" s="148" t="s">
        <v>996</v>
      </c>
    </row>
    <row r="414" spans="1:11" ht="28.9" customHeight="1" thickTop="1" thickBot="1" x14ac:dyDescent="0.75">
      <c r="A414" s="10">
        <v>412</v>
      </c>
      <c r="B414" s="58" t="str">
        <f>HYPERLINK("https://search.naver.com/search.naver?query=일본영화 내일의 기억", "내일의 기억")</f>
        <v>내일의 기억</v>
      </c>
      <c r="C414" s="12">
        <v>8.58</v>
      </c>
      <c r="D414" s="13" t="s">
        <v>997</v>
      </c>
      <c r="E414" s="10" t="s">
        <v>19</v>
      </c>
      <c r="F414" s="10">
        <v>2006</v>
      </c>
      <c r="G414" s="10" t="s">
        <v>14</v>
      </c>
      <c r="H414" s="11" t="s">
        <v>20</v>
      </c>
      <c r="I414" s="10" t="s">
        <v>141</v>
      </c>
      <c r="J414" s="131"/>
      <c r="K414" s="149" t="s">
        <v>998</v>
      </c>
    </row>
    <row r="415" spans="1:11" ht="28.9" customHeight="1" thickTop="1" thickBot="1" x14ac:dyDescent="0.75">
      <c r="A415" s="6">
        <v>413</v>
      </c>
      <c r="B415" s="57" t="str">
        <f>HYPERLINK("https://search.naver.com/search.naver?query=냉정과 열정 사이 영화", "냉정과 열정 사이")</f>
        <v>냉정과 열정 사이</v>
      </c>
      <c r="C415" s="8">
        <v>8.49</v>
      </c>
      <c r="D415" s="9" t="s">
        <v>999</v>
      </c>
      <c r="E415" s="6" t="s">
        <v>19</v>
      </c>
      <c r="F415" s="6">
        <v>2003</v>
      </c>
      <c r="G415" s="6" t="s">
        <v>14</v>
      </c>
      <c r="H415" s="7" t="s">
        <v>165</v>
      </c>
      <c r="I415" s="6" t="s">
        <v>116</v>
      </c>
      <c r="J415" s="130"/>
      <c r="K415" s="148" t="s">
        <v>1000</v>
      </c>
    </row>
    <row r="416" spans="1:11" ht="28.9" customHeight="1" thickTop="1" thickBot="1" x14ac:dyDescent="0.75">
      <c r="A416" s="10">
        <v>414</v>
      </c>
      <c r="B416" s="58" t="str">
        <f>HYPERLINK("https://search.naver.com/search.naver?query=너는 내 운명 영화", "너는 내 운명")</f>
        <v>너는 내 운명</v>
      </c>
      <c r="C416" s="12">
        <v>9.08</v>
      </c>
      <c r="D416" s="13" t="s">
        <v>1001</v>
      </c>
      <c r="E416" s="10" t="s">
        <v>13</v>
      </c>
      <c r="F416" s="10">
        <v>2005</v>
      </c>
      <c r="G416" s="10" t="s">
        <v>14</v>
      </c>
      <c r="H416" s="11" t="s">
        <v>165</v>
      </c>
      <c r="I416" s="10" t="s">
        <v>141</v>
      </c>
      <c r="J416" s="131"/>
      <c r="K416" s="149" t="s">
        <v>1002</v>
      </c>
    </row>
    <row r="417" spans="1:11" ht="28.9" customHeight="1" thickTop="1" thickBot="1" x14ac:dyDescent="0.75">
      <c r="A417" s="6">
        <v>415</v>
      </c>
      <c r="B417" s="57" t="str">
        <f>HYPERLINK("https://search.naver.com/search.naver?query=너는 착한 아이 영화", "너는 착한 아이")</f>
        <v>너는 착한 아이</v>
      </c>
      <c r="C417" s="8">
        <v>9.19</v>
      </c>
      <c r="D417" s="9" t="s">
        <v>1003</v>
      </c>
      <c r="E417" s="6" t="s">
        <v>19</v>
      </c>
      <c r="F417" s="6">
        <v>2016</v>
      </c>
      <c r="G417" s="6" t="s">
        <v>14</v>
      </c>
      <c r="H417" s="7" t="s">
        <v>20</v>
      </c>
      <c r="I417" s="6" t="s">
        <v>195</v>
      </c>
      <c r="J417" s="130"/>
      <c r="K417" s="148" t="s">
        <v>1004</v>
      </c>
    </row>
    <row r="418" spans="1:11" ht="28.9" customHeight="1" thickTop="1" thickBot="1" x14ac:dyDescent="0.75">
      <c r="A418" s="10">
        <v>416</v>
      </c>
      <c r="B418" s="58" t="str">
        <f>HYPERLINK("https://search.naver.com/search.naver?query=너의 결혼식 영화", "너의 결혼식")</f>
        <v>너의 결혼식</v>
      </c>
      <c r="C418" s="12">
        <v>9</v>
      </c>
      <c r="D418" s="13" t="s">
        <v>1005</v>
      </c>
      <c r="E418" s="10" t="s">
        <v>13</v>
      </c>
      <c r="F418" s="10">
        <v>2018</v>
      </c>
      <c r="G418" s="10" t="s">
        <v>14</v>
      </c>
      <c r="H418" s="11" t="s">
        <v>165</v>
      </c>
      <c r="I418" s="10" t="s">
        <v>129</v>
      </c>
      <c r="J418" s="131"/>
      <c r="K418" s="149" t="s">
        <v>1006</v>
      </c>
    </row>
    <row r="419" spans="1:11" ht="28.9" customHeight="1" thickTop="1" thickBot="1" x14ac:dyDescent="0.75">
      <c r="A419" s="6">
        <v>417</v>
      </c>
      <c r="B419" s="57" t="str">
        <f>HYPERLINK("https://search.naver.com/search.naver?query=너의 췌장을 먹고 싶어 영화", "너의 췌장을 먹고 싶어")</f>
        <v>너의 췌장을 먹고 싶어</v>
      </c>
      <c r="C419" s="8">
        <v>7.96</v>
      </c>
      <c r="D419" s="9" t="s">
        <v>1007</v>
      </c>
      <c r="E419" s="6" t="s">
        <v>19</v>
      </c>
      <c r="F419" s="6">
        <v>2017</v>
      </c>
      <c r="G419" s="6" t="s">
        <v>14</v>
      </c>
      <c r="H419" s="7" t="s">
        <v>165</v>
      </c>
      <c r="I419" s="6" t="s">
        <v>60</v>
      </c>
      <c r="J419" s="130"/>
      <c r="K419" s="148" t="s">
        <v>1008</v>
      </c>
    </row>
    <row r="420" spans="1:11" ht="28.9" customHeight="1" thickTop="1" thickBot="1" x14ac:dyDescent="0.75">
      <c r="A420" s="10">
        <v>418</v>
      </c>
      <c r="B420" s="58" t="str">
        <f>HYPERLINK("https://search.naver.com/search.naver?query=넌 실수였어 영화", "넌 실수였어")</f>
        <v>넌 실수였어</v>
      </c>
      <c r="C420" s="12">
        <v>6.78</v>
      </c>
      <c r="D420" s="13" t="s">
        <v>1009</v>
      </c>
      <c r="E420" s="10" t="s">
        <v>24</v>
      </c>
      <c r="F420" s="10">
        <v>2020</v>
      </c>
      <c r="G420" s="10" t="s">
        <v>14</v>
      </c>
      <c r="H420" s="11" t="s">
        <v>1010</v>
      </c>
      <c r="I420" s="10" t="s">
        <v>162</v>
      </c>
      <c r="J420" s="131"/>
      <c r="K420" s="149" t="s">
        <v>1011</v>
      </c>
    </row>
    <row r="421" spans="1:11" ht="28.9" customHeight="1" thickTop="1" thickBot="1" x14ac:dyDescent="0.75">
      <c r="A421" s="6">
        <v>419</v>
      </c>
      <c r="B421" s="57" t="str">
        <f>HYPERLINK("https://search.naver.com/search.naver?query=널 기다리며 영화", "널 기다리며")</f>
        <v>널 기다리며</v>
      </c>
      <c r="C421" s="8">
        <v>7.74</v>
      </c>
      <c r="D421" s="9" t="s">
        <v>1012</v>
      </c>
      <c r="E421" s="6" t="s">
        <v>13</v>
      </c>
      <c r="F421" s="6">
        <v>2015</v>
      </c>
      <c r="G421" s="6" t="s">
        <v>14</v>
      </c>
      <c r="H421" s="7" t="s">
        <v>54</v>
      </c>
      <c r="I421" s="6" t="s">
        <v>38</v>
      </c>
      <c r="J421" s="130"/>
      <c r="K421" s="148" t="s">
        <v>1013</v>
      </c>
    </row>
    <row r="422" spans="1:11" ht="28.9" customHeight="1" thickTop="1" thickBot="1" x14ac:dyDescent="0.75">
      <c r="A422" s="10">
        <v>420</v>
      </c>
      <c r="B422" s="58" t="str">
        <f>HYPERLINK("https://search.naver.com/search.naver?query=넘버스 스테이션 영화", "넘버스 스테이션")</f>
        <v>넘버스 스테이션</v>
      </c>
      <c r="C422" s="12">
        <v>6.87</v>
      </c>
      <c r="D422" s="13" t="s">
        <v>1014</v>
      </c>
      <c r="E422" s="10" t="s">
        <v>29</v>
      </c>
      <c r="F422" s="10">
        <v>2013</v>
      </c>
      <c r="G422" s="10" t="s">
        <v>14</v>
      </c>
      <c r="H422" s="11" t="s">
        <v>25</v>
      </c>
      <c r="I422" s="10" t="s">
        <v>162</v>
      </c>
      <c r="J422" s="131"/>
      <c r="K422" s="149" t="s">
        <v>1015</v>
      </c>
    </row>
    <row r="423" spans="1:11" ht="28.9" customHeight="1" thickTop="1" thickBot="1" x14ac:dyDescent="0.75">
      <c r="A423" s="6">
        <v>421</v>
      </c>
      <c r="B423" s="57" t="str">
        <f>HYPERLINK("https://search.naver.com/search.naver?query=네버 렛미고 영화", "네버 렛미고")</f>
        <v>네버 렛미고</v>
      </c>
      <c r="C423" s="8">
        <v>7.53</v>
      </c>
      <c r="D423" s="9" t="s">
        <v>1016</v>
      </c>
      <c r="E423" s="6" t="s">
        <v>29</v>
      </c>
      <c r="F423" s="6">
        <v>2010</v>
      </c>
      <c r="G423" s="6" t="s">
        <v>14</v>
      </c>
      <c r="H423" s="7" t="s">
        <v>519</v>
      </c>
      <c r="I423" s="6" t="s">
        <v>276</v>
      </c>
      <c r="J423" s="130"/>
      <c r="K423" s="148" t="s">
        <v>1017</v>
      </c>
    </row>
    <row r="424" spans="1:11" ht="28.9" customHeight="1" thickTop="1" thickBot="1" x14ac:dyDescent="0.75">
      <c r="A424" s="10">
        <v>422</v>
      </c>
      <c r="B424" s="58" t="str">
        <f>HYPERLINK("https://search.naver.com/search.naver?query=네버엔딩 스토리 영화", "네버엔딩 스토리")</f>
        <v>네버엔딩 스토리</v>
      </c>
      <c r="C424" s="12">
        <v>7.43</v>
      </c>
      <c r="D424" s="13" t="s">
        <v>1018</v>
      </c>
      <c r="E424" s="10" t="s">
        <v>13</v>
      </c>
      <c r="F424" s="10">
        <v>2012</v>
      </c>
      <c r="G424" s="10" t="s">
        <v>14</v>
      </c>
      <c r="H424" s="11" t="s">
        <v>165</v>
      </c>
      <c r="I424" s="10" t="s">
        <v>305</v>
      </c>
      <c r="J424" s="131"/>
      <c r="K424" s="149" t="s">
        <v>1019</v>
      </c>
    </row>
    <row r="425" spans="1:11" ht="28.9" customHeight="1" thickTop="1" thickBot="1" x14ac:dyDescent="0.75">
      <c r="A425" s="6">
        <v>423</v>
      </c>
      <c r="B425" s="57" t="str">
        <f>HYPERLINK("https://search.naver.com/search.naver?query=네코 아츠메의 집 영화", "네코 아츠메의 집")</f>
        <v>네코 아츠메의 집</v>
      </c>
      <c r="C425" s="8">
        <v>6.4</v>
      </c>
      <c r="D425" s="9" t="s">
        <v>1020</v>
      </c>
      <c r="E425" s="6" t="s">
        <v>19</v>
      </c>
      <c r="F425" s="6">
        <v>2017</v>
      </c>
      <c r="G425" s="6" t="s">
        <v>14</v>
      </c>
      <c r="H425" s="7" t="s">
        <v>20</v>
      </c>
      <c r="I425" s="6" t="s">
        <v>125</v>
      </c>
      <c r="J425" s="130"/>
      <c r="K425" s="148" t="s">
        <v>1021</v>
      </c>
    </row>
    <row r="426" spans="1:11" ht="28.9" customHeight="1" thickTop="1" thickBot="1" x14ac:dyDescent="0.75">
      <c r="A426" s="10">
        <v>424</v>
      </c>
      <c r="B426" s="58" t="str">
        <f>HYPERLINK("https://search.naver.com/search.naver?query=넬 영화", "넬")</f>
        <v>넬</v>
      </c>
      <c r="C426" s="12"/>
      <c r="D426" s="13" t="s">
        <v>1022</v>
      </c>
      <c r="E426" s="10" t="s">
        <v>24</v>
      </c>
      <c r="F426" s="10">
        <v>1994</v>
      </c>
      <c r="G426" s="10" t="s">
        <v>14</v>
      </c>
      <c r="H426" s="11" t="s">
        <v>20</v>
      </c>
      <c r="I426" s="10" t="s">
        <v>429</v>
      </c>
      <c r="J426" s="131"/>
      <c r="K426" s="149" t="s">
        <v>1023</v>
      </c>
    </row>
    <row r="427" spans="1:11" ht="28.9" customHeight="1" thickTop="1" thickBot="1" x14ac:dyDescent="0.75">
      <c r="A427" s="6">
        <v>425</v>
      </c>
      <c r="B427" s="57" t="str">
        <f>HYPERLINK("https://search.naver.com/search.naver?query=노 리미트 영화", "노 리미트")</f>
        <v>노 리미트</v>
      </c>
      <c r="C427" s="8">
        <v>6.4</v>
      </c>
      <c r="D427" s="9" t="s">
        <v>1024</v>
      </c>
      <c r="E427" s="6" t="s">
        <v>310</v>
      </c>
      <c r="F427" s="6">
        <v>2022</v>
      </c>
      <c r="G427" s="6" t="s">
        <v>14</v>
      </c>
      <c r="H427" s="7" t="s">
        <v>20</v>
      </c>
      <c r="I427" s="6" t="s">
        <v>179</v>
      </c>
      <c r="J427" s="130"/>
      <c r="K427" s="148" t="s">
        <v>1025</v>
      </c>
    </row>
    <row r="428" spans="1:11" ht="28.9" customHeight="1" thickTop="1" thickBot="1" x14ac:dyDescent="0.75">
      <c r="A428" s="10">
        <v>426</v>
      </c>
      <c r="B428" s="58" t="str">
        <f>HYPERLINK("https://search.naver.com/search.naver?query=노 머시 영화", "노 머시")</f>
        <v>노 머시</v>
      </c>
      <c r="C428" s="12">
        <v>8.14</v>
      </c>
      <c r="D428" s="13" t="s">
        <v>1026</v>
      </c>
      <c r="E428" s="10" t="s">
        <v>24</v>
      </c>
      <c r="F428" s="10">
        <v>2026</v>
      </c>
      <c r="G428" s="10" t="s">
        <v>14</v>
      </c>
      <c r="H428" s="11" t="s">
        <v>54</v>
      </c>
      <c r="I428" s="10" t="s">
        <v>179</v>
      </c>
      <c r="J428" s="131"/>
      <c r="K428" s="149" t="s">
        <v>1027</v>
      </c>
    </row>
    <row r="429" spans="1:11" ht="28.9" customHeight="1" thickTop="1" thickBot="1" x14ac:dyDescent="0.75">
      <c r="A429" s="6">
        <v>427</v>
      </c>
      <c r="B429" s="59" t="str">
        <f>HYPERLINK("https://search.naver.com/search.naver?query=노 웨이 아웃 더 룰렛", "노 웨이 아웃-더 룰렛")</f>
        <v>노 웨이 아웃-더 룰렛</v>
      </c>
      <c r="C429" s="16"/>
      <c r="D429" s="17" t="s">
        <v>1028</v>
      </c>
      <c r="E429" s="14" t="s">
        <v>13</v>
      </c>
      <c r="F429" s="14">
        <v>2024</v>
      </c>
      <c r="G429" s="14" t="s">
        <v>20</v>
      </c>
      <c r="H429" s="15" t="s">
        <v>15</v>
      </c>
      <c r="I429" s="14" t="s">
        <v>71</v>
      </c>
      <c r="J429" s="132"/>
      <c r="K429" s="150" t="s">
        <v>1029</v>
      </c>
    </row>
    <row r="430" spans="1:11" ht="28.9" customHeight="1" thickTop="1" thickBot="1" x14ac:dyDescent="0.75">
      <c r="A430" s="10">
        <v>428</v>
      </c>
      <c r="B430" s="58" t="str">
        <f>HYPERLINK("https://search.naver.com/search.naver?query=노란 손수건 영화", "노란 손수건")</f>
        <v>노란 손수건</v>
      </c>
      <c r="C430" s="12">
        <v>8</v>
      </c>
      <c r="D430" s="13" t="s">
        <v>1030</v>
      </c>
      <c r="E430" s="10" t="s">
        <v>24</v>
      </c>
      <c r="F430" s="10">
        <v>2008</v>
      </c>
      <c r="G430" s="10" t="s">
        <v>14</v>
      </c>
      <c r="H430" s="11" t="s">
        <v>20</v>
      </c>
      <c r="I430" s="10" t="s">
        <v>150</v>
      </c>
      <c r="J430" s="131"/>
      <c r="K430" s="149" t="s">
        <v>1031</v>
      </c>
    </row>
    <row r="431" spans="1:11" ht="28.9" customHeight="1" thickTop="1" thickBot="1" x14ac:dyDescent="0.75">
      <c r="A431" s="6">
        <v>429</v>
      </c>
      <c r="B431" s="57" t="str">
        <f>HYPERLINK("https://search.naver.com/search.naver?query=노량:죽음의 바다 영화", "노량-죽음의 바다")</f>
        <v>노량-죽음의 바다</v>
      </c>
      <c r="C431" s="8">
        <v>8.2100000000000009</v>
      </c>
      <c r="D431" s="9" t="s">
        <v>1032</v>
      </c>
      <c r="E431" s="6" t="s">
        <v>13</v>
      </c>
      <c r="F431" s="6">
        <v>2023</v>
      </c>
      <c r="G431" s="6" t="s">
        <v>14</v>
      </c>
      <c r="H431" s="7" t="s">
        <v>1033</v>
      </c>
      <c r="I431" s="6" t="s">
        <v>1034</v>
      </c>
      <c r="J431" s="130"/>
      <c r="K431" s="148" t="s">
        <v>1035</v>
      </c>
    </row>
    <row r="432" spans="1:11" ht="28.9" customHeight="1" thickTop="1" thickBot="1" x14ac:dyDescent="0.75">
      <c r="A432" s="10">
        <v>430</v>
      </c>
      <c r="B432" s="58" t="str">
        <f>HYPERLINK("https://search.naver.com/search.naver?query=노매드랜드 영화", "노매드랜드")</f>
        <v>노매드랜드</v>
      </c>
      <c r="C432" s="12">
        <v>8.49</v>
      </c>
      <c r="D432" s="13" t="s">
        <v>1036</v>
      </c>
      <c r="E432" s="10" t="s">
        <v>24</v>
      </c>
      <c r="F432" s="10">
        <v>2020</v>
      </c>
      <c r="G432" s="10" t="s">
        <v>14</v>
      </c>
      <c r="H432" s="11" t="s">
        <v>20</v>
      </c>
      <c r="I432" s="10" t="s">
        <v>101</v>
      </c>
      <c r="J432" s="131"/>
      <c r="K432" s="149" t="s">
        <v>1037</v>
      </c>
    </row>
    <row r="433" spans="1:11" ht="28.9" customHeight="1" thickTop="1" thickBot="1" x14ac:dyDescent="0.75">
      <c r="A433" s="6">
        <v>431</v>
      </c>
      <c r="B433" s="57" t="str">
        <f>HYPERLINK("https://search.naver.com/search.naver?query=노바디 영화", "노바디")</f>
        <v>노바디</v>
      </c>
      <c r="C433" s="8">
        <v>7.26</v>
      </c>
      <c r="D433" s="9" t="s">
        <v>1038</v>
      </c>
      <c r="E433" s="6" t="s">
        <v>24</v>
      </c>
      <c r="F433" s="6">
        <v>2021</v>
      </c>
      <c r="G433" s="6" t="s">
        <v>14</v>
      </c>
      <c r="H433" s="7" t="s">
        <v>108</v>
      </c>
      <c r="I433" s="6" t="s">
        <v>205</v>
      </c>
      <c r="J433" s="130"/>
      <c r="K433" s="148" t="s">
        <v>1039</v>
      </c>
    </row>
    <row r="434" spans="1:11" ht="28.9" customHeight="1" thickTop="1" thickBot="1" x14ac:dyDescent="0.75">
      <c r="A434" s="10">
        <v>432</v>
      </c>
      <c r="B434" s="58" t="str">
        <f>HYPERLINK("https://search.naver.com/search.naver?query=노바디2 영화", "노바디2")</f>
        <v>노바디2</v>
      </c>
      <c r="C434" s="12">
        <v>7.26</v>
      </c>
      <c r="D434" s="13" t="s">
        <v>1040</v>
      </c>
      <c r="E434" s="10" t="s">
        <v>24</v>
      </c>
      <c r="F434" s="10">
        <v>2025</v>
      </c>
      <c r="G434" s="10" t="s">
        <v>14</v>
      </c>
      <c r="H434" s="11" t="s">
        <v>124</v>
      </c>
      <c r="I434" s="10" t="s">
        <v>179</v>
      </c>
      <c r="J434" s="131"/>
      <c r="K434" s="149" t="s">
        <v>1041</v>
      </c>
    </row>
    <row r="435" spans="1:11" ht="28.9" customHeight="1" thickTop="1" thickBot="1" x14ac:dyDescent="0.75">
      <c r="A435" s="6">
        <v>433</v>
      </c>
      <c r="B435" s="57" t="str">
        <f>HYPERLINK("https://search.naver.com/search.naver?query=노벨스 라스트 윌 영화", "노벨스 라스트 윌")</f>
        <v>노벨스 라스트 윌</v>
      </c>
      <c r="C435" s="8">
        <v>5.64</v>
      </c>
      <c r="D435" s="9" t="s">
        <v>1042</v>
      </c>
      <c r="E435" s="6" t="s">
        <v>1043</v>
      </c>
      <c r="F435" s="6">
        <v>2012</v>
      </c>
      <c r="G435" s="6" t="s">
        <v>14</v>
      </c>
      <c r="H435" s="7" t="s">
        <v>54</v>
      </c>
      <c r="I435" s="6" t="s">
        <v>156</v>
      </c>
      <c r="J435" s="130"/>
      <c r="K435" s="148" t="s">
        <v>1044</v>
      </c>
    </row>
    <row r="436" spans="1:11" ht="28.9" customHeight="1" thickTop="1" thickBot="1" x14ac:dyDescent="0.75">
      <c r="A436" s="10">
        <v>434</v>
      </c>
      <c r="B436" s="58" t="str">
        <f>HYPERLINK("https://search.naver.com/search.naver?query=노벰버 맨 영화", "노벰버 맨")</f>
        <v>노벰버 맨</v>
      </c>
      <c r="C436" s="12">
        <v>7.95</v>
      </c>
      <c r="D436" s="13" t="s">
        <v>1045</v>
      </c>
      <c r="E436" s="10" t="s">
        <v>24</v>
      </c>
      <c r="F436" s="10">
        <v>2014</v>
      </c>
      <c r="G436" s="10" t="s">
        <v>14</v>
      </c>
      <c r="H436" s="11" t="s">
        <v>25</v>
      </c>
      <c r="I436" s="10" t="s">
        <v>38</v>
      </c>
      <c r="J436" s="131"/>
      <c r="K436" s="149" t="s">
        <v>1046</v>
      </c>
    </row>
    <row r="437" spans="1:11" ht="28.9" customHeight="1" thickTop="1" thickBot="1" x14ac:dyDescent="0.75">
      <c r="A437" s="6">
        <v>435</v>
      </c>
      <c r="B437" s="57" t="str">
        <f>HYPERLINK("https://search.naver.com/search.naver?query=노블 영화", "노블")</f>
        <v>노블</v>
      </c>
      <c r="C437" s="8">
        <v>9</v>
      </c>
      <c r="D437" s="9" t="s">
        <v>1047</v>
      </c>
      <c r="E437" s="6" t="s">
        <v>29</v>
      </c>
      <c r="F437" s="6">
        <v>2014</v>
      </c>
      <c r="G437" s="6" t="s">
        <v>14</v>
      </c>
      <c r="H437" s="7" t="s">
        <v>20</v>
      </c>
      <c r="I437" s="6" t="s">
        <v>179</v>
      </c>
      <c r="J437" s="130"/>
      <c r="K437" s="148" t="s">
        <v>1048</v>
      </c>
    </row>
    <row r="438" spans="1:11" ht="28.9" customHeight="1" thickTop="1" thickBot="1" x14ac:dyDescent="0.75">
      <c r="A438" s="10">
        <v>436</v>
      </c>
      <c r="B438" s="58" t="str">
        <f>HYPERLINK("https://search.naver.com/search.naver?query=노블리 영화", "노블리")</f>
        <v>노블리</v>
      </c>
      <c r="C438" s="12">
        <v>8.17</v>
      </c>
      <c r="D438" s="13" t="s">
        <v>1049</v>
      </c>
      <c r="E438" s="10" t="s">
        <v>24</v>
      </c>
      <c r="F438" s="10">
        <v>2000</v>
      </c>
      <c r="G438" s="10" t="s">
        <v>14</v>
      </c>
      <c r="H438" s="11" t="s">
        <v>20</v>
      </c>
      <c r="I438" s="10" t="s">
        <v>116</v>
      </c>
      <c r="J438" s="131"/>
      <c r="K438" s="149" t="s">
        <v>1050</v>
      </c>
    </row>
    <row r="439" spans="1:11" ht="28.9" customHeight="1" thickTop="1" thickBot="1" x14ac:dyDescent="0.75">
      <c r="A439" s="6">
        <v>437</v>
      </c>
      <c r="B439" s="57" t="str">
        <f>HYPERLINK("https://search.naver.com/search.naver?query=노스 컨츄리 영화", "노스 컨츄리")</f>
        <v>노스 컨츄리</v>
      </c>
      <c r="C439" s="8">
        <v>8.6199999999999992</v>
      </c>
      <c r="D439" s="9" t="s">
        <v>1051</v>
      </c>
      <c r="E439" s="6" t="s">
        <v>24</v>
      </c>
      <c r="F439" s="6">
        <v>2005</v>
      </c>
      <c r="G439" s="6" t="s">
        <v>14</v>
      </c>
      <c r="H439" s="7" t="s">
        <v>20</v>
      </c>
      <c r="I439" s="6" t="s">
        <v>105</v>
      </c>
      <c r="J439" s="130"/>
      <c r="K439" s="148" t="s">
        <v>1052</v>
      </c>
    </row>
    <row r="440" spans="1:11" ht="28.9" customHeight="1" thickTop="1" thickBot="1" x14ac:dyDescent="0.75">
      <c r="A440" s="10">
        <v>438</v>
      </c>
      <c r="B440" s="58" t="str">
        <f>HYPERLINK("https://search.naver.com/search.naver?query=노스맨 영화", "노스맨")</f>
        <v>노스맨</v>
      </c>
      <c r="C440" s="12">
        <v>7.48</v>
      </c>
      <c r="D440" s="13" t="s">
        <v>1053</v>
      </c>
      <c r="E440" s="10" t="s">
        <v>24</v>
      </c>
      <c r="F440" s="10">
        <v>2022</v>
      </c>
      <c r="G440" s="10" t="s">
        <v>14</v>
      </c>
      <c r="H440" s="11" t="s">
        <v>394</v>
      </c>
      <c r="I440" s="10" t="s">
        <v>269</v>
      </c>
      <c r="J440" s="131"/>
      <c r="K440" s="149" t="s">
        <v>1054</v>
      </c>
    </row>
    <row r="441" spans="1:11" ht="28.9" customHeight="1" thickTop="1" thickBot="1" x14ac:dyDescent="0.75">
      <c r="A441" s="6">
        <v>439</v>
      </c>
      <c r="B441" s="57" t="str">
        <f>HYPERLINK("https://search.naver.com/search.naver?query=노스페이스 영화", "노스페이스")</f>
        <v>노스페이스</v>
      </c>
      <c r="C441" s="8">
        <v>8.42</v>
      </c>
      <c r="D441" s="9" t="s">
        <v>1055</v>
      </c>
      <c r="E441" s="6" t="s">
        <v>136</v>
      </c>
      <c r="F441" s="6">
        <v>2008</v>
      </c>
      <c r="G441" s="6" t="s">
        <v>14</v>
      </c>
      <c r="H441" s="7" t="s">
        <v>20</v>
      </c>
      <c r="I441" s="6" t="s">
        <v>195</v>
      </c>
      <c r="J441" s="130"/>
      <c r="K441" s="148" t="s">
        <v>1056</v>
      </c>
    </row>
    <row r="442" spans="1:11" ht="28.9" customHeight="1" thickTop="1" thickBot="1" x14ac:dyDescent="0.75">
      <c r="A442" s="10">
        <v>440</v>
      </c>
      <c r="B442" s="58" t="str">
        <f>HYPERLINK("https://search.naver.com/search.naver?query=노아 영화", "노아")</f>
        <v>노아</v>
      </c>
      <c r="C442" s="12">
        <v>6.56</v>
      </c>
      <c r="D442" s="13" t="s">
        <v>1057</v>
      </c>
      <c r="E442" s="10" t="s">
        <v>24</v>
      </c>
      <c r="F442" s="10">
        <v>2014</v>
      </c>
      <c r="G442" s="10" t="s">
        <v>14</v>
      </c>
      <c r="H442" s="11" t="s">
        <v>20</v>
      </c>
      <c r="I442" s="10" t="s">
        <v>1058</v>
      </c>
      <c r="J442" s="131"/>
      <c r="K442" s="149" t="s">
        <v>1059</v>
      </c>
    </row>
    <row r="443" spans="1:11" ht="28.9" customHeight="1" thickTop="1" thickBot="1" x14ac:dyDescent="0.75">
      <c r="A443" s="6">
        <v>441</v>
      </c>
      <c r="B443" s="57" t="str">
        <f>HYPERLINK("https://search.naver.com/search.naver?query=노엘의 선물 영화", "노엘의 선물")</f>
        <v>노엘의 선물</v>
      </c>
      <c r="C443" s="8">
        <v>9.07</v>
      </c>
      <c r="D443" s="9" t="s">
        <v>1060</v>
      </c>
      <c r="E443" s="6" t="s">
        <v>310</v>
      </c>
      <c r="F443" s="6">
        <v>2015</v>
      </c>
      <c r="G443" s="6" t="s">
        <v>14</v>
      </c>
      <c r="H443" s="7" t="s">
        <v>91</v>
      </c>
      <c r="I443" s="6" t="s">
        <v>904</v>
      </c>
      <c r="J443" s="130"/>
      <c r="K443" s="148" t="s">
        <v>1061</v>
      </c>
    </row>
    <row r="444" spans="1:11" ht="28.9" customHeight="1" thickTop="1" thickBot="1" x14ac:dyDescent="0.75">
      <c r="A444" s="10">
        <v>442</v>
      </c>
      <c r="B444" s="58" t="str">
        <f>HYPERLINK("https://search.naver.com/search.naver?query=노예 12년 영화", "노예 12년")</f>
        <v>노예 12년</v>
      </c>
      <c r="C444" s="12">
        <v>8.36</v>
      </c>
      <c r="D444" s="13" t="s">
        <v>1062</v>
      </c>
      <c r="E444" s="10" t="s">
        <v>24</v>
      </c>
      <c r="F444" s="10">
        <v>2013</v>
      </c>
      <c r="G444" s="10" t="s">
        <v>14</v>
      </c>
      <c r="H444" s="11" t="s">
        <v>20</v>
      </c>
      <c r="I444" s="10" t="s">
        <v>917</v>
      </c>
      <c r="J444" s="131"/>
      <c r="K444" s="149" t="s">
        <v>1063</v>
      </c>
    </row>
    <row r="445" spans="1:11" ht="28.9" customHeight="1" thickTop="1" thickBot="1" x14ac:dyDescent="0.75">
      <c r="A445" s="6">
        <v>443</v>
      </c>
      <c r="B445" s="57" t="str">
        <f>HYPERLINK("https://search.naver.com/search.naver?query=노인을 위한 나라는 없다 영화", "노인을 위한 나라는 없다")</f>
        <v>노인을 위한 나라는 없다</v>
      </c>
      <c r="C445" s="8">
        <v>9.2100000000000009</v>
      </c>
      <c r="D445" s="9" t="s">
        <v>1064</v>
      </c>
      <c r="E445" s="6" t="s">
        <v>24</v>
      </c>
      <c r="F445" s="6">
        <v>2007</v>
      </c>
      <c r="G445" s="6" t="s">
        <v>14</v>
      </c>
      <c r="H445" s="7" t="s">
        <v>104</v>
      </c>
      <c r="I445" s="6" t="s">
        <v>141</v>
      </c>
      <c r="J445" s="130"/>
      <c r="K445" s="148" t="s">
        <v>1065</v>
      </c>
    </row>
    <row r="446" spans="1:11" ht="28.9" customHeight="1" thickTop="1" thickBot="1" x14ac:dyDescent="0.75">
      <c r="A446" s="10">
        <v>444</v>
      </c>
      <c r="B446" s="58" t="str">
        <f>HYPERLINK("https://search.naver.com/search.naver?query=노크 노크 영화", "노크 노크")</f>
        <v>노크 노크</v>
      </c>
      <c r="C446" s="12">
        <v>5.68</v>
      </c>
      <c r="D446" s="13" t="s">
        <v>1066</v>
      </c>
      <c r="E446" s="10" t="s">
        <v>24</v>
      </c>
      <c r="F446" s="10">
        <v>2015</v>
      </c>
      <c r="G446" s="10" t="s">
        <v>14</v>
      </c>
      <c r="H446" s="11" t="s">
        <v>54</v>
      </c>
      <c r="I446" s="10" t="s">
        <v>109</v>
      </c>
      <c r="J446" s="131"/>
      <c r="K446" s="149" t="s">
        <v>1067</v>
      </c>
    </row>
    <row r="447" spans="1:11" ht="28.9" customHeight="1" thickTop="1" thickBot="1" x14ac:dyDescent="0.75">
      <c r="A447" s="6">
        <v>445</v>
      </c>
      <c r="B447" s="57" t="str">
        <f>HYPERLINK("https://search.naver.com/search.naver?query=노킹 온 헤븐스 도어 영화", "노킹 온 헤븐스 도어")</f>
        <v>노킹 온 헤븐스 도어</v>
      </c>
      <c r="C447" s="8">
        <v>9.11</v>
      </c>
      <c r="D447" s="9" t="s">
        <v>1068</v>
      </c>
      <c r="E447" s="6" t="s">
        <v>136</v>
      </c>
      <c r="F447" s="6">
        <v>1997</v>
      </c>
      <c r="G447" s="6" t="s">
        <v>14</v>
      </c>
      <c r="H447" s="7" t="s">
        <v>342</v>
      </c>
      <c r="I447" s="6" t="s">
        <v>1069</v>
      </c>
      <c r="J447" s="130"/>
      <c r="K447" s="148" t="s">
        <v>1070</v>
      </c>
    </row>
    <row r="448" spans="1:11" ht="28.9" customHeight="1" thickTop="1" thickBot="1" x14ac:dyDescent="0.75">
      <c r="A448" s="10">
        <v>446</v>
      </c>
      <c r="B448" s="58" t="str">
        <f>HYPERLINK("https://search.naver.com/search.naver?query=노트 온 스캔들 영화", "노트 온 스캔들")</f>
        <v>노트 온 스캔들</v>
      </c>
      <c r="C448" s="12">
        <v>8.5</v>
      </c>
      <c r="D448" s="13" t="s">
        <v>1071</v>
      </c>
      <c r="E448" s="10" t="s">
        <v>29</v>
      </c>
      <c r="F448" s="10">
        <v>2006</v>
      </c>
      <c r="G448" s="10" t="s">
        <v>14</v>
      </c>
      <c r="H448" s="11" t="s">
        <v>20</v>
      </c>
      <c r="I448" s="10" t="s">
        <v>205</v>
      </c>
      <c r="J448" s="131"/>
      <c r="K448" s="149" t="s">
        <v>1072</v>
      </c>
    </row>
    <row r="449" spans="1:11" ht="28.9" customHeight="1" thickTop="1" thickBot="1" x14ac:dyDescent="0.75">
      <c r="A449" s="6">
        <v>447</v>
      </c>
      <c r="B449" s="57" t="str">
        <f>HYPERLINK("https://search.naver.com/search.naver?query=노트북 영화", "노트북")</f>
        <v>노트북</v>
      </c>
      <c r="C449" s="8">
        <v>9.32</v>
      </c>
      <c r="D449" s="9" t="s">
        <v>1073</v>
      </c>
      <c r="E449" s="6" t="s">
        <v>24</v>
      </c>
      <c r="F449" s="6">
        <v>2004</v>
      </c>
      <c r="G449" s="6" t="s">
        <v>14</v>
      </c>
      <c r="H449" s="7" t="s">
        <v>165</v>
      </c>
      <c r="I449" s="6" t="s">
        <v>76</v>
      </c>
      <c r="J449" s="130"/>
      <c r="K449" s="148" t="s">
        <v>1074</v>
      </c>
    </row>
    <row r="450" spans="1:11" ht="28.9" customHeight="1" thickTop="1" thickBot="1" x14ac:dyDescent="0.75">
      <c r="A450" s="10">
        <v>448</v>
      </c>
      <c r="B450" s="58" t="str">
        <f>HYPERLINK("https://search.naver.com/search.naver?query=노팅 힐 영화", "노팅 힐")</f>
        <v>노팅 힐</v>
      </c>
      <c r="C450" s="12">
        <v>9.5</v>
      </c>
      <c r="D450" s="13" t="s">
        <v>1075</v>
      </c>
      <c r="E450" s="10" t="s">
        <v>29</v>
      </c>
      <c r="F450" s="10">
        <v>1999</v>
      </c>
      <c r="G450" s="10" t="s">
        <v>14</v>
      </c>
      <c r="H450" s="11" t="s">
        <v>165</v>
      </c>
      <c r="I450" s="10" t="s">
        <v>183</v>
      </c>
      <c r="J450" s="131"/>
      <c r="K450" s="149" t="s">
        <v>1076</v>
      </c>
    </row>
    <row r="451" spans="1:11" ht="28.9" customHeight="1" thickTop="1" thickBot="1" x14ac:dyDescent="0.75">
      <c r="A451" s="6">
        <v>449</v>
      </c>
      <c r="B451" s="57" t="str">
        <f>HYPERLINK("https://search.naver.com/search.naver?query=녹터널 애니멀스 영화", "녹터널 애니멀스")</f>
        <v>녹터널 애니멀스</v>
      </c>
      <c r="C451" s="8">
        <v>8.35</v>
      </c>
      <c r="D451" s="9" t="s">
        <v>1077</v>
      </c>
      <c r="E451" s="6" t="s">
        <v>24</v>
      </c>
      <c r="F451" s="6">
        <v>2016</v>
      </c>
      <c r="G451" s="6" t="s">
        <v>14</v>
      </c>
      <c r="H451" s="7" t="s">
        <v>15</v>
      </c>
      <c r="I451" s="6" t="s">
        <v>591</v>
      </c>
      <c r="J451" s="130"/>
      <c r="K451" s="148" t="s">
        <v>893</v>
      </c>
    </row>
    <row r="452" spans="1:11" ht="28.9" customHeight="1" thickTop="1" thickBot="1" x14ac:dyDescent="0.75">
      <c r="A452" s="10">
        <v>450</v>
      </c>
      <c r="B452" s="58" t="str">
        <f>HYPERLINK("https://search.naver.com/search.naver?query=논스톱 영화", "논스톱")</f>
        <v>논스톱</v>
      </c>
      <c r="C452" s="12">
        <v>8.2899999999999991</v>
      </c>
      <c r="D452" s="13" t="s">
        <v>1078</v>
      </c>
      <c r="E452" s="10" t="s">
        <v>24</v>
      </c>
      <c r="F452" s="10">
        <v>2014</v>
      </c>
      <c r="G452" s="10" t="s">
        <v>14</v>
      </c>
      <c r="H452" s="11" t="s">
        <v>25</v>
      </c>
      <c r="I452" s="10" t="s">
        <v>443</v>
      </c>
      <c r="J452" s="131"/>
      <c r="K452" s="149" t="s">
        <v>1079</v>
      </c>
    </row>
    <row r="453" spans="1:11" ht="28.9" customHeight="1" thickTop="1" thickBot="1" x14ac:dyDescent="0.75">
      <c r="A453" s="6">
        <v>451</v>
      </c>
      <c r="B453" s="57" t="str">
        <f>HYPERLINK("https://search.naver.com/search.naver?query=논픽션 영화", "논픽션")</f>
        <v>논픽션</v>
      </c>
      <c r="C453" s="8">
        <v>8.33</v>
      </c>
      <c r="D453" s="9" t="s">
        <v>1080</v>
      </c>
      <c r="E453" s="6" t="s">
        <v>310</v>
      </c>
      <c r="F453" s="6">
        <v>2018</v>
      </c>
      <c r="G453" s="6" t="s">
        <v>14</v>
      </c>
      <c r="H453" s="7" t="s">
        <v>20</v>
      </c>
      <c r="I453" s="6" t="s">
        <v>179</v>
      </c>
      <c r="J453" s="130"/>
      <c r="K453" s="148" t="s">
        <v>1081</v>
      </c>
    </row>
    <row r="454" spans="1:11" ht="28.9" customHeight="1" thickTop="1" thickBot="1" x14ac:dyDescent="0.75">
      <c r="A454" s="10">
        <v>452</v>
      </c>
      <c r="B454" s="58" t="str">
        <f>HYPERLINK("https://search.naver.com/search.naver?query=뇌남 영화", "뇌남")</f>
        <v>뇌남</v>
      </c>
      <c r="C454" s="12">
        <v>7.01</v>
      </c>
      <c r="D454" s="13" t="s">
        <v>1082</v>
      </c>
      <c r="E454" s="10" t="s">
        <v>19</v>
      </c>
      <c r="F454" s="10">
        <v>2013</v>
      </c>
      <c r="G454" s="10" t="s">
        <v>14</v>
      </c>
      <c r="H454" s="11" t="s">
        <v>20</v>
      </c>
      <c r="I454" s="10" t="s">
        <v>60</v>
      </c>
      <c r="J454" s="131"/>
      <c r="K454" s="149" t="s">
        <v>1083</v>
      </c>
    </row>
    <row r="455" spans="1:11" ht="28.9" customHeight="1" thickTop="1" thickBot="1" x14ac:dyDescent="0.75">
      <c r="A455" s="6">
        <v>453</v>
      </c>
      <c r="B455" s="57" t="str">
        <f>HYPERLINK("https://search.naver.com/search.naver?query=누구나 아는 비밀 영화", "누구나 아는 비밀")</f>
        <v>누구나 아는 비밀</v>
      </c>
      <c r="C455" s="8">
        <v>7.8</v>
      </c>
      <c r="D455" s="9" t="s">
        <v>1084</v>
      </c>
      <c r="E455" s="6" t="s">
        <v>37</v>
      </c>
      <c r="F455" s="6">
        <v>2018</v>
      </c>
      <c r="G455" s="6" t="s">
        <v>14</v>
      </c>
      <c r="H455" s="7" t="s">
        <v>15</v>
      </c>
      <c r="I455" s="6" t="s">
        <v>558</v>
      </c>
      <c r="J455" s="130"/>
      <c r="K455" s="148" t="s">
        <v>1085</v>
      </c>
    </row>
    <row r="456" spans="1:11" ht="28.9" customHeight="1" thickTop="1" thickBot="1" x14ac:dyDescent="0.75">
      <c r="A456" s="10">
        <v>454</v>
      </c>
      <c r="B456" s="58" t="str">
        <f>HYPERLINK("https://search.naver.com/search.naver?query=누나 영화", "누나")</f>
        <v>누나</v>
      </c>
      <c r="C456" s="12">
        <v>9.8000000000000007</v>
      </c>
      <c r="D456" s="13" t="s">
        <v>1086</v>
      </c>
      <c r="E456" s="10" t="s">
        <v>13</v>
      </c>
      <c r="F456" s="10">
        <v>2012</v>
      </c>
      <c r="G456" s="10" t="s">
        <v>14</v>
      </c>
      <c r="H456" s="11" t="s">
        <v>20</v>
      </c>
      <c r="I456" s="10" t="s">
        <v>276</v>
      </c>
      <c r="J456" s="131"/>
      <c r="K456" s="149" t="s">
        <v>1087</v>
      </c>
    </row>
    <row r="457" spans="1:11" ht="28.9" customHeight="1" thickTop="1" thickBot="1" x14ac:dyDescent="0.75">
      <c r="A457" s="6">
        <v>455</v>
      </c>
      <c r="B457" s="57" t="str">
        <f>HYPERLINK("https://search.naver.com/search.naver?query=누드 영화", "누드")</f>
        <v>누드</v>
      </c>
      <c r="C457" s="8"/>
      <c r="D457" s="9" t="s">
        <v>1088</v>
      </c>
      <c r="E457" s="6" t="s">
        <v>19</v>
      </c>
      <c r="F457" s="6">
        <v>2010</v>
      </c>
      <c r="G457" s="6" t="s">
        <v>14</v>
      </c>
      <c r="H457" s="7" t="s">
        <v>20</v>
      </c>
      <c r="I457" s="6" t="s">
        <v>16</v>
      </c>
      <c r="J457" s="130"/>
      <c r="K457" s="148" t="s">
        <v>1089</v>
      </c>
    </row>
    <row r="458" spans="1:11" ht="28.9" customHeight="1" thickTop="1" thickBot="1" x14ac:dyDescent="0.75">
      <c r="A458" s="10">
        <v>456</v>
      </c>
      <c r="B458" s="58" t="str">
        <f>HYPERLINK("https://search.naver.com/search.naver?query=누들 영화", "누들")</f>
        <v>누들</v>
      </c>
      <c r="C458" s="12">
        <v>9.0500000000000007</v>
      </c>
      <c r="D458" s="13" t="s">
        <v>1090</v>
      </c>
      <c r="E458" s="10" t="s">
        <v>1091</v>
      </c>
      <c r="F458" s="10">
        <v>2007</v>
      </c>
      <c r="G458" s="10" t="s">
        <v>14</v>
      </c>
      <c r="H458" s="11" t="s">
        <v>20</v>
      </c>
      <c r="I458" s="10" t="s">
        <v>345</v>
      </c>
      <c r="J458" s="131"/>
      <c r="K458" s="149" t="s">
        <v>1092</v>
      </c>
    </row>
    <row r="459" spans="1:11" ht="28.9" customHeight="1" thickTop="1" thickBot="1" x14ac:dyDescent="0.75">
      <c r="A459" s="6">
        <v>457</v>
      </c>
      <c r="B459" s="57" t="str">
        <f>HYPERLINK("https://search.naver.com/search.naver?query=영화누명", "누명")</f>
        <v>누명</v>
      </c>
      <c r="C459" s="8"/>
      <c r="D459" s="9" t="s">
        <v>1093</v>
      </c>
      <c r="E459" s="6" t="s">
        <v>1094</v>
      </c>
      <c r="F459" s="6">
        <v>2016</v>
      </c>
      <c r="G459" s="6" t="s">
        <v>14</v>
      </c>
      <c r="H459" s="7" t="s">
        <v>54</v>
      </c>
      <c r="I459" s="6" t="s">
        <v>195</v>
      </c>
      <c r="J459" s="130"/>
      <c r="K459" s="148" t="s">
        <v>1095</v>
      </c>
    </row>
    <row r="460" spans="1:11" ht="28.9" customHeight="1" thickTop="1" thickBot="1" x14ac:dyDescent="0.75">
      <c r="A460" s="10">
        <v>458</v>
      </c>
      <c r="B460" s="58" t="str">
        <f>HYPERLINK("https://search.naver.com/search.naver?query=눈물이 주룩주룩 영화", "눈물이 주룩주룩")</f>
        <v>눈물이 주룩주룩</v>
      </c>
      <c r="C460" s="12">
        <v>5.95</v>
      </c>
      <c r="D460" s="13" t="s">
        <v>1096</v>
      </c>
      <c r="E460" s="10" t="s">
        <v>19</v>
      </c>
      <c r="F460" s="10">
        <v>2007</v>
      </c>
      <c r="G460" s="10" t="s">
        <v>14</v>
      </c>
      <c r="H460" s="11" t="s">
        <v>20</v>
      </c>
      <c r="I460" s="10" t="s">
        <v>120</v>
      </c>
      <c r="J460" s="131"/>
      <c r="K460" s="149" t="s">
        <v>1097</v>
      </c>
    </row>
    <row r="461" spans="1:11" ht="28.9" customHeight="1" thickTop="1" thickBot="1" x14ac:dyDescent="0.75">
      <c r="A461" s="6">
        <v>459</v>
      </c>
      <c r="B461" s="57" t="str">
        <f>HYPERLINK("https://search.naver.com/search.naver?query=눈부신 세상 끝에서, 너와 나 영화", "눈부신 세상 끝에서, 너와 나")</f>
        <v>눈부신 세상 끝에서, 너와 나</v>
      </c>
      <c r="C461" s="8">
        <v>8.44</v>
      </c>
      <c r="D461" s="9" t="s">
        <v>1098</v>
      </c>
      <c r="E461" s="6" t="s">
        <v>24</v>
      </c>
      <c r="F461" s="6">
        <v>2020</v>
      </c>
      <c r="G461" s="6" t="s">
        <v>14</v>
      </c>
      <c r="H461" s="7" t="s">
        <v>20</v>
      </c>
      <c r="I461" s="6" t="s">
        <v>38</v>
      </c>
      <c r="J461" s="130"/>
      <c r="K461" s="148" t="s">
        <v>1099</v>
      </c>
    </row>
    <row r="462" spans="1:11" ht="28.9" customHeight="1" thickTop="1" thickBot="1" x14ac:dyDescent="0.75">
      <c r="A462" s="10">
        <v>460</v>
      </c>
      <c r="B462" s="58" t="str">
        <f>HYPERLINK("https://search.naver.com/search.naver?query=눈에게 바라는 것 영화", "눈에게 바라는 것")</f>
        <v>눈에게 바라는 것</v>
      </c>
      <c r="C462" s="12">
        <v>7.32</v>
      </c>
      <c r="D462" s="13" t="s">
        <v>1100</v>
      </c>
      <c r="E462" s="10" t="s">
        <v>19</v>
      </c>
      <c r="F462" s="10">
        <v>2007</v>
      </c>
      <c r="G462" s="10" t="s">
        <v>14</v>
      </c>
      <c r="H462" s="11" t="s">
        <v>20</v>
      </c>
      <c r="I462" s="10" t="s">
        <v>137</v>
      </c>
      <c r="J462" s="131"/>
      <c r="K462" s="149" t="s">
        <v>1101</v>
      </c>
    </row>
    <row r="463" spans="1:11" ht="28.9" customHeight="1" thickTop="1" thickBot="1" x14ac:dyDescent="0.75">
      <c r="A463" s="6">
        <v>461</v>
      </c>
      <c r="B463" s="59" t="str">
        <f>HYPERLINK("https://search.naver.com/search.naver?query=뉴 암스테르담 시즌1", "뉴 암스테르담 시즌1")</f>
        <v>뉴 암스테르담 시즌1</v>
      </c>
      <c r="C463" s="16"/>
      <c r="D463" s="17" t="s">
        <v>1102</v>
      </c>
      <c r="E463" s="14" t="s">
        <v>24</v>
      </c>
      <c r="F463" s="14">
        <v>2018</v>
      </c>
      <c r="G463" s="14" t="s">
        <v>20</v>
      </c>
      <c r="H463" s="15" t="s">
        <v>1103</v>
      </c>
      <c r="I463" s="14" t="s">
        <v>569</v>
      </c>
      <c r="J463" s="132"/>
      <c r="K463" s="150" t="s">
        <v>1104</v>
      </c>
    </row>
    <row r="464" spans="1:11" ht="28.9" customHeight="1" thickTop="1" thickBot="1" x14ac:dyDescent="0.75">
      <c r="A464" s="10">
        <v>462</v>
      </c>
      <c r="B464" s="59" t="str">
        <f>HYPERLINK("https://search.naver.com/search.naver?query=뉴 암스테르담 시즌2", "뉴 암스테르담 시즌2")</f>
        <v>뉴 암스테르담 시즌2</v>
      </c>
      <c r="C464" s="16"/>
      <c r="D464" s="17" t="s">
        <v>1102</v>
      </c>
      <c r="E464" s="14" t="s">
        <v>24</v>
      </c>
      <c r="F464" s="14">
        <v>2019</v>
      </c>
      <c r="G464" s="14" t="s">
        <v>20</v>
      </c>
      <c r="H464" s="15" t="s">
        <v>1103</v>
      </c>
      <c r="I464" s="14" t="s">
        <v>233</v>
      </c>
      <c r="J464" s="132"/>
      <c r="K464" s="150" t="s">
        <v>1105</v>
      </c>
    </row>
    <row r="465" spans="1:11" ht="28.9" customHeight="1" thickTop="1" thickBot="1" x14ac:dyDescent="0.75">
      <c r="A465" s="6">
        <v>463</v>
      </c>
      <c r="B465" s="59" t="str">
        <f>HYPERLINK("https://search.naver.com/search.naver?query=뉴 암스테르담 시즌3", "뉴 암스테르담 시즌3")</f>
        <v>뉴 암스테르담 시즌3</v>
      </c>
      <c r="C465" s="16"/>
      <c r="D465" s="17" t="s">
        <v>1102</v>
      </c>
      <c r="E465" s="14" t="s">
        <v>24</v>
      </c>
      <c r="F465" s="14">
        <v>2021</v>
      </c>
      <c r="G465" s="14" t="s">
        <v>20</v>
      </c>
      <c r="H465" s="15" t="s">
        <v>1103</v>
      </c>
      <c r="I465" s="14" t="s">
        <v>231</v>
      </c>
      <c r="J465" s="132"/>
      <c r="K465" s="150" t="s">
        <v>1106</v>
      </c>
    </row>
    <row r="466" spans="1:11" ht="28.9" customHeight="1" thickTop="1" thickBot="1" x14ac:dyDescent="0.75">
      <c r="A466" s="10">
        <v>464</v>
      </c>
      <c r="B466" s="59" t="str">
        <f>HYPERLINK("https://search.naver.com/search.naver?query=뉴 암스테르담 시즌4", "뉴 암스테르담 시즌4")</f>
        <v>뉴 암스테르담 시즌4</v>
      </c>
      <c r="C466" s="16"/>
      <c r="D466" s="17" t="s">
        <v>1102</v>
      </c>
      <c r="E466" s="14" t="s">
        <v>24</v>
      </c>
      <c r="F466" s="14">
        <v>2021</v>
      </c>
      <c r="G466" s="14" t="s">
        <v>20</v>
      </c>
      <c r="H466" s="15" t="s">
        <v>1103</v>
      </c>
      <c r="I466" s="14" t="s">
        <v>569</v>
      </c>
      <c r="J466" s="132"/>
      <c r="K466" s="150" t="s">
        <v>1107</v>
      </c>
    </row>
    <row r="467" spans="1:11" ht="28.9" customHeight="1" thickTop="1" thickBot="1" x14ac:dyDescent="0.75">
      <c r="A467" s="6">
        <v>465</v>
      </c>
      <c r="B467" s="59" t="str">
        <f>HYPERLINK("https://search.naver.com/search.naver?query=뉴 암스테르담 시즌5", "뉴 암스테르담 시즌5")</f>
        <v>뉴 암스테르담 시즌5</v>
      </c>
      <c r="C467" s="16"/>
      <c r="D467" s="17" t="s">
        <v>1102</v>
      </c>
      <c r="E467" s="14" t="s">
        <v>24</v>
      </c>
      <c r="F467" s="14">
        <v>2022</v>
      </c>
      <c r="G467" s="14" t="s">
        <v>20</v>
      </c>
      <c r="H467" s="15" t="s">
        <v>1103</v>
      </c>
      <c r="I467" s="14" t="s">
        <v>1108</v>
      </c>
      <c r="J467" s="132"/>
      <c r="K467" s="150" t="s">
        <v>72</v>
      </c>
    </row>
    <row r="468" spans="1:11" ht="28.9" customHeight="1" thickTop="1" thickBot="1" x14ac:dyDescent="0.75">
      <c r="A468" s="10">
        <v>466</v>
      </c>
      <c r="B468" s="58" t="str">
        <f>HYPERLINK("https://search.naver.com/search.naver?query=뉴니스 영화", "뉴니스")</f>
        <v>뉴니스</v>
      </c>
      <c r="C468" s="12">
        <v>8.27</v>
      </c>
      <c r="D468" s="13" t="s">
        <v>1109</v>
      </c>
      <c r="E468" s="10" t="s">
        <v>24</v>
      </c>
      <c r="F468" s="10">
        <v>2017</v>
      </c>
      <c r="G468" s="10" t="s">
        <v>14</v>
      </c>
      <c r="H468" s="11" t="s">
        <v>165</v>
      </c>
      <c r="I468" s="10" t="s">
        <v>120</v>
      </c>
      <c r="J468" s="131"/>
      <c r="K468" s="149" t="s">
        <v>1110</v>
      </c>
    </row>
    <row r="469" spans="1:11" ht="28.9" customHeight="1" thickTop="1" thickBot="1" x14ac:dyDescent="0.75">
      <c r="A469" s="6">
        <v>467</v>
      </c>
      <c r="B469" s="57" t="str">
        <f>HYPERLINK("https://search.naver.com/search.naver?query=뉴스 오브 더 월드 영화", "뉴스 오브 더 월드")</f>
        <v>뉴스 오브 더 월드</v>
      </c>
      <c r="C469" s="8">
        <v>8.8800000000000008</v>
      </c>
      <c r="D469" s="9" t="s">
        <v>1111</v>
      </c>
      <c r="E469" s="6" t="s">
        <v>24</v>
      </c>
      <c r="F469" s="6">
        <v>2020</v>
      </c>
      <c r="G469" s="6" t="s">
        <v>14</v>
      </c>
      <c r="H469" s="7" t="s">
        <v>20</v>
      </c>
      <c r="I469" s="6" t="s">
        <v>329</v>
      </c>
      <c r="J469" s="130"/>
      <c r="K469" s="148" t="s">
        <v>1112</v>
      </c>
    </row>
    <row r="470" spans="1:11" ht="28.9" customHeight="1" thickTop="1" thickBot="1" x14ac:dyDescent="0.75">
      <c r="A470" s="10">
        <v>468</v>
      </c>
      <c r="B470" s="59" t="str">
        <f>HYPERLINK("https://search.naver.com/search.naver?query=뉴스룸 시즌1", "뉴스룸 시즌1")</f>
        <v>뉴스룸 시즌1</v>
      </c>
      <c r="C470" s="16"/>
      <c r="D470" s="17" t="s">
        <v>1113</v>
      </c>
      <c r="E470" s="14" t="s">
        <v>24</v>
      </c>
      <c r="F470" s="14">
        <v>2012</v>
      </c>
      <c r="G470" s="14" t="s">
        <v>20</v>
      </c>
      <c r="H470" s="15" t="s">
        <v>20</v>
      </c>
      <c r="I470" s="14" t="s">
        <v>64</v>
      </c>
      <c r="J470" s="132"/>
      <c r="K470" s="150" t="s">
        <v>1114</v>
      </c>
    </row>
    <row r="471" spans="1:11" ht="28.9" customHeight="1" thickTop="1" thickBot="1" x14ac:dyDescent="0.75">
      <c r="A471" s="6">
        <v>469</v>
      </c>
      <c r="B471" s="57" t="str">
        <f>HYPERLINK("https://search.naver.com/search.naver?query=뉴욕에서 온 남자, 파리에서 온 여자 영화", "뉴욕에서 온 남자, 파리에서 온 여자")</f>
        <v>뉴욕에서 온 남자, 파리에서 온 여자</v>
      </c>
      <c r="C471" s="8">
        <v>7.66</v>
      </c>
      <c r="D471" s="9" t="s">
        <v>1115</v>
      </c>
      <c r="E471" s="6" t="s">
        <v>136</v>
      </c>
      <c r="F471" s="6">
        <v>2007</v>
      </c>
      <c r="G471" s="6" t="s">
        <v>14</v>
      </c>
      <c r="H471" s="7" t="s">
        <v>165</v>
      </c>
      <c r="I471" s="6" t="s">
        <v>179</v>
      </c>
      <c r="J471" s="130"/>
      <c r="K471" s="148" t="s">
        <v>1116</v>
      </c>
    </row>
    <row r="472" spans="1:11" ht="28.9" customHeight="1" thickTop="1" thickBot="1" x14ac:dyDescent="0.75">
      <c r="A472" s="10">
        <v>470</v>
      </c>
      <c r="B472" s="58" t="str">
        <f>HYPERLINK("https://search.naver.com/search.naver?query=뉴욕은 언제나 사랑 중 영화", "뉴욕은 언제나 사랑 중")</f>
        <v>뉴욕은 언제나 사랑 중</v>
      </c>
      <c r="C472" s="12">
        <v>6.07</v>
      </c>
      <c r="D472" s="13" t="s">
        <v>1117</v>
      </c>
      <c r="E472" s="10" t="s">
        <v>24</v>
      </c>
      <c r="F472" s="10">
        <v>2008</v>
      </c>
      <c r="G472" s="10" t="s">
        <v>14</v>
      </c>
      <c r="H472" s="11" t="s">
        <v>165</v>
      </c>
      <c r="I472" s="10" t="s">
        <v>276</v>
      </c>
      <c r="J472" s="131"/>
      <c r="K472" s="149" t="s">
        <v>1118</v>
      </c>
    </row>
    <row r="473" spans="1:11" ht="28.9" customHeight="1" thickTop="1" thickBot="1" x14ac:dyDescent="0.75">
      <c r="A473" s="6">
        <v>471</v>
      </c>
      <c r="B473" s="57" t="str">
        <f>HYPERLINK("https://search.naver.com/search.naver?query=뉴욕의 가을 영화", "뉴욕의 가을")</f>
        <v>뉴욕의 가을</v>
      </c>
      <c r="C473" s="8">
        <v>6.33</v>
      </c>
      <c r="D473" s="9" t="s">
        <v>1119</v>
      </c>
      <c r="E473" s="6" t="s">
        <v>24</v>
      </c>
      <c r="F473" s="6">
        <v>2000</v>
      </c>
      <c r="G473" s="6" t="s">
        <v>14</v>
      </c>
      <c r="H473" s="7" t="s">
        <v>165</v>
      </c>
      <c r="I473" s="6" t="s">
        <v>276</v>
      </c>
      <c r="J473" s="130"/>
      <c r="K473" s="148" t="s">
        <v>1120</v>
      </c>
    </row>
    <row r="474" spans="1:11" ht="28.9" customHeight="1" thickTop="1" thickBot="1" x14ac:dyDescent="0.75">
      <c r="A474" s="10">
        <v>472</v>
      </c>
      <c r="B474" s="58" t="str">
        <f>HYPERLINK("https://search.naver.com/search.naver?query=뉴욕의 연인들 영화", "뉴욕의 연인들")</f>
        <v>뉴욕의 연인들</v>
      </c>
      <c r="C474" s="12">
        <v>6.4</v>
      </c>
      <c r="D474" s="13" t="s">
        <v>1121</v>
      </c>
      <c r="E474" s="10" t="s">
        <v>24</v>
      </c>
      <c r="F474" s="10">
        <v>2011</v>
      </c>
      <c r="G474" s="10" t="s">
        <v>14</v>
      </c>
      <c r="H474" s="11" t="s">
        <v>91</v>
      </c>
      <c r="I474" s="10" t="s">
        <v>329</v>
      </c>
      <c r="J474" s="131"/>
      <c r="K474" s="149" t="s">
        <v>1122</v>
      </c>
    </row>
    <row r="475" spans="1:11" ht="28.9" customHeight="1" thickTop="1" thickBot="1" x14ac:dyDescent="0.75">
      <c r="A475" s="6">
        <v>473</v>
      </c>
      <c r="B475" s="57" t="str">
        <f>HYPERLINK("https://search.naver.com/search.naver?query=늑대와 춤을 영화", "늑대와 춤을")</f>
        <v>늑대와 춤을</v>
      </c>
      <c r="C475" s="8">
        <v>9.5</v>
      </c>
      <c r="D475" s="9" t="s">
        <v>1123</v>
      </c>
      <c r="E475" s="6" t="s">
        <v>24</v>
      </c>
      <c r="F475" s="6">
        <v>1990</v>
      </c>
      <c r="G475" s="6" t="s">
        <v>14</v>
      </c>
      <c r="H475" s="7" t="s">
        <v>1124</v>
      </c>
      <c r="I475" s="6" t="s">
        <v>1125</v>
      </c>
      <c r="J475" s="130"/>
      <c r="K475" s="148" t="s">
        <v>1126</v>
      </c>
    </row>
    <row r="476" spans="1:11" ht="28.9" customHeight="1" thickTop="1" thickBot="1" x14ac:dyDescent="0.75">
      <c r="A476" s="10">
        <v>474</v>
      </c>
      <c r="B476" s="58" t="str">
        <f>HYPERLINK("https://search.naver.com/search.naver?query=늑대의 어둠 영화", "늑대의 어둠")</f>
        <v>늑대의 어둠</v>
      </c>
      <c r="C476" s="12">
        <v>3.2</v>
      </c>
      <c r="D476" s="13" t="s">
        <v>1127</v>
      </c>
      <c r="E476" s="10" t="s">
        <v>24</v>
      </c>
      <c r="F476" s="10">
        <v>2018</v>
      </c>
      <c r="G476" s="10" t="s">
        <v>14</v>
      </c>
      <c r="H476" s="11" t="s">
        <v>54</v>
      </c>
      <c r="I476" s="10" t="s">
        <v>316</v>
      </c>
      <c r="J476" s="131"/>
      <c r="K476" s="149" t="s">
        <v>1128</v>
      </c>
    </row>
    <row r="477" spans="1:11" ht="28.9" customHeight="1" thickTop="1" thickBot="1" x14ac:dyDescent="0.75">
      <c r="A477" s="6">
        <v>475</v>
      </c>
      <c r="B477" s="57" t="str">
        <f>HYPERLINK("https://search.naver.com/search.naver?query=늙은 자전거 영화", "늙은 자전거")</f>
        <v>늙은 자전거</v>
      </c>
      <c r="C477" s="8">
        <v>9.08</v>
      </c>
      <c r="D477" s="9" t="s">
        <v>1129</v>
      </c>
      <c r="E477" s="6" t="s">
        <v>13</v>
      </c>
      <c r="F477" s="6">
        <v>2014</v>
      </c>
      <c r="G477" s="6" t="s">
        <v>14</v>
      </c>
      <c r="H477" s="7" t="s">
        <v>20</v>
      </c>
      <c r="I477" s="6" t="s">
        <v>443</v>
      </c>
      <c r="J477" s="130"/>
      <c r="K477" s="148" t="s">
        <v>1130</v>
      </c>
    </row>
    <row r="478" spans="1:11" ht="28.9" customHeight="1" thickTop="1" thickBot="1" x14ac:dyDescent="0.75">
      <c r="A478" s="10">
        <v>476</v>
      </c>
      <c r="B478" s="58" t="str">
        <f>HYPERLINK("https://search.naver.com/search.naver?query=니 부모 얼굴이 보고 싶다 영화", "니 부모 얼굴이 보고 싶다")</f>
        <v>니 부모 얼굴이 보고 싶다</v>
      </c>
      <c r="C478" s="12">
        <v>7.64</v>
      </c>
      <c r="D478" s="13" t="s">
        <v>1131</v>
      </c>
      <c r="E478" s="10" t="s">
        <v>13</v>
      </c>
      <c r="F478" s="10">
        <v>2022</v>
      </c>
      <c r="G478" s="10" t="s">
        <v>14</v>
      </c>
      <c r="H478" s="11" t="s">
        <v>20</v>
      </c>
      <c r="I478" s="10" t="s">
        <v>137</v>
      </c>
      <c r="J478" s="131"/>
      <c r="K478" s="149" t="s">
        <v>1132</v>
      </c>
    </row>
    <row r="479" spans="1:11" ht="28.9" customHeight="1" thickTop="1" thickBot="1" x14ac:dyDescent="0.75">
      <c r="A479" s="6">
        <v>477</v>
      </c>
      <c r="B479" s="57" t="str">
        <f>HYPERLINK("https://search.naver.com/search.naver?query=니드 포 스피드 영화", "니드 포 스피드")</f>
        <v>니드 포 스피드</v>
      </c>
      <c r="C479" s="8">
        <v>8.16</v>
      </c>
      <c r="D479" s="9" t="s">
        <v>1133</v>
      </c>
      <c r="E479" s="6" t="s">
        <v>24</v>
      </c>
      <c r="F479" s="6">
        <v>2014</v>
      </c>
      <c r="G479" s="6" t="s">
        <v>14</v>
      </c>
      <c r="H479" s="7" t="s">
        <v>124</v>
      </c>
      <c r="I479" s="6" t="s">
        <v>42</v>
      </c>
      <c r="J479" s="130"/>
      <c r="K479" s="148" t="s">
        <v>1134</v>
      </c>
    </row>
    <row r="480" spans="1:11" ht="28.9" customHeight="1" thickTop="1" thickBot="1" x14ac:dyDescent="0.75">
      <c r="A480" s="10">
        <v>478</v>
      </c>
      <c r="B480" s="58" t="str">
        <f>HYPERLINK("https://search.naver.com/search.naver?query=님아 그 강을 건너지 마오 영화", "님아 그 강을 건너지 마오")</f>
        <v>님아 그 강을 건너지 마오</v>
      </c>
      <c r="C480" s="12">
        <v>9.16</v>
      </c>
      <c r="D480" s="13" t="s">
        <v>1135</v>
      </c>
      <c r="E480" s="10" t="s">
        <v>13</v>
      </c>
      <c r="F480" s="10">
        <v>2014</v>
      </c>
      <c r="G480" s="10" t="s">
        <v>14</v>
      </c>
      <c r="H480" s="11" t="s">
        <v>226</v>
      </c>
      <c r="I480" s="10" t="s">
        <v>1136</v>
      </c>
      <c r="J480" s="131"/>
      <c r="K480" s="149" t="s">
        <v>1137</v>
      </c>
    </row>
    <row r="481" spans="1:11" ht="28.9" customHeight="1" thickTop="1" thickBot="1" x14ac:dyDescent="0.75">
      <c r="A481" s="6">
        <v>479</v>
      </c>
      <c r="B481" s="57" t="str">
        <f>HYPERLINK("https://search.naver.com/search.naver?query=다만 악에서 구하소서 영화", "다만 악에서 구하소서")</f>
        <v>다만 악에서 구하소서</v>
      </c>
      <c r="C481" s="8">
        <v>8.5500000000000007</v>
      </c>
      <c r="D481" s="9" t="s">
        <v>1138</v>
      </c>
      <c r="E481" s="6" t="s">
        <v>13</v>
      </c>
      <c r="F481" s="6">
        <v>2019</v>
      </c>
      <c r="G481" s="6" t="s">
        <v>14</v>
      </c>
      <c r="H481" s="7" t="s">
        <v>108</v>
      </c>
      <c r="I481" s="6" t="s">
        <v>38</v>
      </c>
      <c r="J481" s="130"/>
      <c r="K481" s="148" t="s">
        <v>1139</v>
      </c>
    </row>
    <row r="482" spans="1:11" ht="28.9" customHeight="1" thickTop="1" thickBot="1" x14ac:dyDescent="0.75">
      <c r="A482" s="10">
        <v>480</v>
      </c>
      <c r="B482" s="58" t="str">
        <f>HYPERLINK("https://search.naver.com/search.naver?query=다만, 널 사랑하고 있어 영화", "다만, 널 사랑하고 있어")</f>
        <v>다만, 널 사랑하고 있어</v>
      </c>
      <c r="C482" s="12">
        <v>8.91</v>
      </c>
      <c r="D482" s="13" t="s">
        <v>1140</v>
      </c>
      <c r="E482" s="10" t="s">
        <v>19</v>
      </c>
      <c r="F482" s="10">
        <v>2007</v>
      </c>
      <c r="G482" s="10" t="s">
        <v>14</v>
      </c>
      <c r="H482" s="11" t="s">
        <v>165</v>
      </c>
      <c r="I482" s="10" t="s">
        <v>591</v>
      </c>
      <c r="J482" s="131"/>
      <c r="K482" s="149" t="s">
        <v>1141</v>
      </c>
    </row>
    <row r="483" spans="1:11" ht="28.9" customHeight="1" thickTop="1" thickBot="1" x14ac:dyDescent="0.75">
      <c r="A483" s="6">
        <v>481</v>
      </c>
      <c r="B483" s="57" t="str">
        <f>HYPERLINK("https://search.naver.com/search.naver?query=다섯 번째 계절 영화", "다섯 번째 계절")</f>
        <v>다섯 번째 계절</v>
      </c>
      <c r="C483" s="8">
        <v>6.41</v>
      </c>
      <c r="D483" s="9" t="s">
        <v>1142</v>
      </c>
      <c r="E483" s="6" t="s">
        <v>24</v>
      </c>
      <c r="F483" s="6">
        <v>2006</v>
      </c>
      <c r="G483" s="6" t="s">
        <v>14</v>
      </c>
      <c r="H483" s="7" t="s">
        <v>20</v>
      </c>
      <c r="I483" s="6" t="s">
        <v>242</v>
      </c>
      <c r="J483" s="130"/>
      <c r="K483" s="148" t="s">
        <v>1143</v>
      </c>
    </row>
    <row r="484" spans="1:11" ht="28.9" customHeight="1" thickTop="1" thickBot="1" x14ac:dyDescent="0.75">
      <c r="A484" s="10">
        <v>482</v>
      </c>
      <c r="B484" s="58" t="str">
        <f>HYPERLINK("https://search.naver.com/search.naver?query=다시 뜨겁게 사랑하라 영화", "다시, 뜨겁게 사랑하라")</f>
        <v>다시, 뜨겁게 사랑하라</v>
      </c>
      <c r="C484" s="12">
        <v>8.27</v>
      </c>
      <c r="D484" s="13" t="s">
        <v>1144</v>
      </c>
      <c r="E484" s="10" t="s">
        <v>161</v>
      </c>
      <c r="F484" s="10">
        <v>2013</v>
      </c>
      <c r="G484" s="10" t="s">
        <v>14</v>
      </c>
      <c r="H484" s="11" t="s">
        <v>165</v>
      </c>
      <c r="I484" s="10" t="s">
        <v>591</v>
      </c>
      <c r="J484" s="131"/>
      <c r="K484" s="149" t="s">
        <v>1145</v>
      </c>
    </row>
    <row r="485" spans="1:11" ht="28.9" customHeight="1" thickTop="1" thickBot="1" x14ac:dyDescent="0.75">
      <c r="A485" s="6">
        <v>483</v>
      </c>
      <c r="B485" s="57" t="str">
        <f>HYPERLINK("https://search.naver.com/search.naver?query=다우트 영화", "다우트")</f>
        <v>다우트</v>
      </c>
      <c r="C485" s="8">
        <v>8.61</v>
      </c>
      <c r="D485" s="9" t="s">
        <v>1146</v>
      </c>
      <c r="E485" s="6" t="s">
        <v>24</v>
      </c>
      <c r="F485" s="6">
        <v>2008</v>
      </c>
      <c r="G485" s="6" t="s">
        <v>14</v>
      </c>
      <c r="H485" s="7" t="s">
        <v>20</v>
      </c>
      <c r="I485" s="6" t="s">
        <v>242</v>
      </c>
      <c r="J485" s="130"/>
      <c r="K485" s="148" t="s">
        <v>1147</v>
      </c>
    </row>
    <row r="486" spans="1:11" ht="28.9" customHeight="1" thickTop="1" thickBot="1" x14ac:dyDescent="0.75">
      <c r="A486" s="10">
        <v>484</v>
      </c>
      <c r="B486" s="58" t="str">
        <f>HYPERLINK("https://search.naver.com/search.naver?query=다운사이징 영화", "다운사이징")</f>
        <v>다운사이징</v>
      </c>
      <c r="C486" s="12">
        <v>5.83</v>
      </c>
      <c r="D486" s="13" t="s">
        <v>1148</v>
      </c>
      <c r="E486" s="10" t="s">
        <v>24</v>
      </c>
      <c r="F486" s="10">
        <v>2017</v>
      </c>
      <c r="G486" s="10" t="s">
        <v>14</v>
      </c>
      <c r="H486" s="11" t="s">
        <v>519</v>
      </c>
      <c r="I486" s="10" t="s">
        <v>51</v>
      </c>
      <c r="J486" s="131"/>
      <c r="K486" s="149" t="s">
        <v>1149</v>
      </c>
    </row>
    <row r="487" spans="1:11" ht="28.9" customHeight="1" thickTop="1" thickBot="1" x14ac:dyDescent="0.75">
      <c r="A487" s="6">
        <v>485</v>
      </c>
      <c r="B487" s="57" t="str">
        <f>HYPERLINK("https://search.naver.com/search.naver?query=다운튼 애비 영화", "다운튼 애비")</f>
        <v>다운튼 애비</v>
      </c>
      <c r="C487" s="8">
        <v>7.91</v>
      </c>
      <c r="D487" s="9" t="s">
        <v>1150</v>
      </c>
      <c r="E487" s="6" t="s">
        <v>29</v>
      </c>
      <c r="F487" s="6">
        <v>2019</v>
      </c>
      <c r="G487" s="6" t="s">
        <v>14</v>
      </c>
      <c r="H487" s="7" t="s">
        <v>20</v>
      </c>
      <c r="I487" s="6" t="s">
        <v>141</v>
      </c>
      <c r="J487" s="130"/>
      <c r="K487" s="148" t="s">
        <v>1151</v>
      </c>
    </row>
    <row r="488" spans="1:11" ht="28.9" customHeight="1" thickTop="1" thickBot="1" x14ac:dyDescent="0.75">
      <c r="A488" s="10">
        <v>486</v>
      </c>
      <c r="B488" s="58" t="str">
        <f>HYPERLINK("https://search.naver.com/search.naver?query=다운힐 영화", "다운힐")</f>
        <v>다운힐</v>
      </c>
      <c r="C488" s="12"/>
      <c r="D488" s="13" t="s">
        <v>1152</v>
      </c>
      <c r="E488" s="10" t="s">
        <v>24</v>
      </c>
      <c r="F488" s="10">
        <v>2020</v>
      </c>
      <c r="G488" s="10" t="s">
        <v>14</v>
      </c>
      <c r="H488" s="11" t="s">
        <v>91</v>
      </c>
      <c r="I488" s="10" t="s">
        <v>1136</v>
      </c>
      <c r="J488" s="131"/>
      <c r="K488" s="149" t="s">
        <v>1153</v>
      </c>
    </row>
    <row r="489" spans="1:11" ht="28.9" customHeight="1" thickTop="1" thickBot="1" x14ac:dyDescent="0.75">
      <c r="A489" s="6">
        <v>487</v>
      </c>
      <c r="B489" s="57" t="str">
        <f>HYPERLINK("https://search.naver.com/search.naver?query=다윈으로 가는 마지막 택시 영화", "다윈으로 가는 마지막 택시")</f>
        <v>다윈으로 가는 마지막 택시</v>
      </c>
      <c r="C489" s="8">
        <v>8.2200000000000006</v>
      </c>
      <c r="D489" s="9" t="s">
        <v>1154</v>
      </c>
      <c r="E489" s="6" t="s">
        <v>45</v>
      </c>
      <c r="F489" s="6">
        <v>2015</v>
      </c>
      <c r="G489" s="6" t="s">
        <v>14</v>
      </c>
      <c r="H489" s="7" t="s">
        <v>20</v>
      </c>
      <c r="I489" s="6" t="s">
        <v>76</v>
      </c>
      <c r="J489" s="130"/>
      <c r="K489" s="148" t="s">
        <v>1155</v>
      </c>
    </row>
    <row r="490" spans="1:11" ht="28.9" customHeight="1" thickTop="1" thickBot="1" x14ac:dyDescent="0.75">
      <c r="A490" s="10">
        <v>488</v>
      </c>
      <c r="B490" s="58" t="str">
        <f>HYPERLINK("https://search.naver.com/search.naver?query=다이버전트 영화", "다이버전트")</f>
        <v>다이버전트</v>
      </c>
      <c r="C490" s="12">
        <v>8.25</v>
      </c>
      <c r="D490" s="13" t="s">
        <v>1156</v>
      </c>
      <c r="E490" s="10" t="s">
        <v>24</v>
      </c>
      <c r="F490" s="10">
        <v>2014</v>
      </c>
      <c r="G490" s="10" t="s">
        <v>14</v>
      </c>
      <c r="H490" s="11" t="s">
        <v>1157</v>
      </c>
      <c r="I490" s="10" t="s">
        <v>476</v>
      </c>
      <c r="J490" s="131"/>
      <c r="K490" s="149" t="s">
        <v>1158</v>
      </c>
    </row>
    <row r="491" spans="1:11" ht="28.9" customHeight="1" thickTop="1" thickBot="1" x14ac:dyDescent="0.75">
      <c r="A491" s="6">
        <v>489</v>
      </c>
      <c r="B491" s="57" t="str">
        <f>HYPERLINK("https://search.naver.com/search.naver?query=다이브 영화", "다이브")</f>
        <v>다이브</v>
      </c>
      <c r="C491" s="8">
        <v>6.37</v>
      </c>
      <c r="D491" s="9" t="s">
        <v>1159</v>
      </c>
      <c r="E491" s="6" t="s">
        <v>136</v>
      </c>
      <c r="F491" s="6">
        <v>2023</v>
      </c>
      <c r="G491" s="6" t="s">
        <v>14</v>
      </c>
      <c r="H491" s="7" t="s">
        <v>54</v>
      </c>
      <c r="I491" s="6" t="s">
        <v>361</v>
      </c>
      <c r="J491" s="130"/>
      <c r="K491" s="148" t="s">
        <v>1160</v>
      </c>
    </row>
    <row r="492" spans="1:11" ht="28.9" customHeight="1" thickTop="1" thickBot="1" x14ac:dyDescent="0.75">
      <c r="A492" s="10">
        <v>490</v>
      </c>
      <c r="B492" s="58" t="str">
        <f>HYPERLINK("https://search.naver.com/search.naver?query=다이애나 영화", "다이애나")</f>
        <v>다이애나</v>
      </c>
      <c r="C492" s="12">
        <v>7.27</v>
      </c>
      <c r="D492" s="13" t="s">
        <v>1161</v>
      </c>
      <c r="E492" s="10" t="s">
        <v>29</v>
      </c>
      <c r="F492" s="10">
        <v>2013</v>
      </c>
      <c r="G492" s="10" t="s">
        <v>14</v>
      </c>
      <c r="H492" s="11" t="s">
        <v>20</v>
      </c>
      <c r="I492" s="10" t="s">
        <v>98</v>
      </c>
      <c r="J492" s="131"/>
      <c r="K492" s="149" t="s">
        <v>1162</v>
      </c>
    </row>
    <row r="493" spans="1:11" ht="28.9" customHeight="1" thickTop="1" thickBot="1" x14ac:dyDescent="0.75">
      <c r="A493" s="6">
        <v>491</v>
      </c>
      <c r="B493" s="57" t="str">
        <f>HYPERLINK("https://search.naver.com/search.naver?query=다이하드:굿 데이 투 다이 영화", "다이하드-굿 데이 투 다이")</f>
        <v>다이하드-굿 데이 투 다이</v>
      </c>
      <c r="C493" s="8">
        <v>7.13</v>
      </c>
      <c r="D493" s="9" t="s">
        <v>1163</v>
      </c>
      <c r="E493" s="6" t="s">
        <v>24</v>
      </c>
      <c r="F493" s="6">
        <v>2013</v>
      </c>
      <c r="G493" s="6" t="s">
        <v>14</v>
      </c>
      <c r="H493" s="7" t="s">
        <v>124</v>
      </c>
      <c r="I493" s="6" t="s">
        <v>169</v>
      </c>
      <c r="J493" s="130"/>
      <c r="K493" s="148" t="s">
        <v>1164</v>
      </c>
    </row>
    <row r="494" spans="1:11" ht="28.9" customHeight="1" thickTop="1" thickBot="1" x14ac:dyDescent="0.75">
      <c r="A494" s="10">
        <v>492</v>
      </c>
      <c r="B494" s="58" t="str">
        <f>HYPERLINK("https://search.naver.com/search.naver?query=다잉 오브 더 라이트 영화", "다잉 오브 더 라이트")</f>
        <v>다잉 오브 더 라이트</v>
      </c>
      <c r="C494" s="12">
        <v>5.69</v>
      </c>
      <c r="D494" s="13" t="s">
        <v>1165</v>
      </c>
      <c r="E494" s="10" t="s">
        <v>24</v>
      </c>
      <c r="F494" s="10">
        <v>2014</v>
      </c>
      <c r="G494" s="10" t="s">
        <v>14</v>
      </c>
      <c r="H494" s="11" t="s">
        <v>54</v>
      </c>
      <c r="I494" s="10" t="s">
        <v>468</v>
      </c>
      <c r="J494" s="131"/>
      <c r="K494" s="149" t="s">
        <v>1166</v>
      </c>
    </row>
    <row r="495" spans="1:11" ht="28.9" customHeight="1" thickTop="1" thickBot="1" x14ac:dyDescent="0.75">
      <c r="A495" s="6">
        <v>493</v>
      </c>
      <c r="B495" s="57" t="str">
        <f>HYPERLINK("https://search.naver.com/search.naver?query=다크 나이트 라이즈 영화", "다크 나이트 라이즈")</f>
        <v>다크 나이트 라이즈</v>
      </c>
      <c r="C495" s="8">
        <v>9.56</v>
      </c>
      <c r="D495" s="9" t="s">
        <v>1167</v>
      </c>
      <c r="E495" s="6" t="s">
        <v>24</v>
      </c>
      <c r="F495" s="6">
        <v>2012</v>
      </c>
      <c r="G495" s="6" t="s">
        <v>14</v>
      </c>
      <c r="H495" s="7" t="s">
        <v>124</v>
      </c>
      <c r="I495" s="6" t="s">
        <v>1168</v>
      </c>
      <c r="J495" s="130"/>
      <c r="K495" s="148" t="s">
        <v>1169</v>
      </c>
    </row>
    <row r="496" spans="1:11" ht="28.9" customHeight="1" thickTop="1" thickBot="1" x14ac:dyDescent="0.75">
      <c r="A496" s="10">
        <v>494</v>
      </c>
      <c r="B496" s="58" t="str">
        <f>HYPERLINK("https://search.naver.com/search.naver?query=다크 워터스 영화", "다크 워터스")</f>
        <v>다크 워터스</v>
      </c>
      <c r="C496" s="12">
        <v>8.93</v>
      </c>
      <c r="D496" s="13" t="s">
        <v>1170</v>
      </c>
      <c r="E496" s="10" t="s">
        <v>24</v>
      </c>
      <c r="F496" s="10">
        <v>2019</v>
      </c>
      <c r="G496" s="10" t="s">
        <v>14</v>
      </c>
      <c r="H496" s="11" t="s">
        <v>20</v>
      </c>
      <c r="I496" s="10" t="s">
        <v>105</v>
      </c>
      <c r="J496" s="131"/>
      <c r="K496" s="149" t="s">
        <v>1171</v>
      </c>
    </row>
    <row r="497" spans="1:11" ht="28.9" customHeight="1" thickTop="1" thickBot="1" x14ac:dyDescent="0.75">
      <c r="A497" s="6">
        <v>495</v>
      </c>
      <c r="B497" s="57" t="str">
        <f>HYPERLINK("https://search.naver.com/search.naver?query=다크 케이브 영화", "다크 케이브")</f>
        <v>다크 케이브</v>
      </c>
      <c r="C497" s="8">
        <v>4</v>
      </c>
      <c r="D497" s="9" t="s">
        <v>1172</v>
      </c>
      <c r="E497" s="6" t="s">
        <v>24</v>
      </c>
      <c r="F497" s="6">
        <v>2019</v>
      </c>
      <c r="G497" s="6" t="s">
        <v>14</v>
      </c>
      <c r="H497" s="7" t="s">
        <v>382</v>
      </c>
      <c r="I497" s="6" t="s">
        <v>46</v>
      </c>
      <c r="J497" s="130"/>
      <c r="K497" s="148" t="s">
        <v>1173</v>
      </c>
    </row>
    <row r="498" spans="1:11" ht="28.9" customHeight="1" thickTop="1" thickBot="1" x14ac:dyDescent="0.75">
      <c r="A498" s="10">
        <v>496</v>
      </c>
      <c r="B498" s="58" t="str">
        <f>HYPERLINK("https://search.naver.com/search.naver?query=다크 플레이스 영화", "다크 플레이스")</f>
        <v>다크 플레이스</v>
      </c>
      <c r="C498" s="12">
        <v>7.25</v>
      </c>
      <c r="D498" s="13" t="s">
        <v>1174</v>
      </c>
      <c r="E498" s="10" t="s">
        <v>24</v>
      </c>
      <c r="F498" s="10">
        <v>2015</v>
      </c>
      <c r="G498" s="10" t="s">
        <v>14</v>
      </c>
      <c r="H498" s="11" t="s">
        <v>54</v>
      </c>
      <c r="I498" s="10" t="s">
        <v>98</v>
      </c>
      <c r="J498" s="131"/>
      <c r="K498" s="149" t="s">
        <v>1175</v>
      </c>
    </row>
    <row r="499" spans="1:11" ht="28.9" customHeight="1" thickTop="1" thickBot="1" x14ac:dyDescent="0.75">
      <c r="A499" s="6">
        <v>497</v>
      </c>
      <c r="B499" s="57" t="str">
        <f>HYPERLINK("https://search.naver.com/search.naver?query=다크타워:희망의 탑 영화", "다크타워 - 희망의 탑")</f>
        <v>다크타워 - 희망의 탑</v>
      </c>
      <c r="C499" s="8">
        <v>7.38</v>
      </c>
      <c r="D499" s="9" t="s">
        <v>1176</v>
      </c>
      <c r="E499" s="6" t="s">
        <v>24</v>
      </c>
      <c r="F499" s="6">
        <v>2017</v>
      </c>
      <c r="G499" s="6" t="s">
        <v>14</v>
      </c>
      <c r="H499" s="7" t="s">
        <v>132</v>
      </c>
      <c r="I499" s="6" t="s">
        <v>150</v>
      </c>
      <c r="J499" s="130"/>
      <c r="K499" s="148" t="s">
        <v>1177</v>
      </c>
    </row>
    <row r="500" spans="1:11" ht="28.9" customHeight="1" thickTop="1" thickBot="1" x14ac:dyDescent="0.75">
      <c r="A500" s="10">
        <v>498</v>
      </c>
      <c r="B500" s="58" t="str">
        <f>HYPERLINK("https://search.naver.com/search.naver?query=다키스트 아워 영화", "다키스트 아워")</f>
        <v>다키스트 아워</v>
      </c>
      <c r="C500" s="12">
        <v>9.16</v>
      </c>
      <c r="D500" s="13" t="s">
        <v>1178</v>
      </c>
      <c r="E500" s="10" t="s">
        <v>29</v>
      </c>
      <c r="F500" s="10">
        <v>2017</v>
      </c>
      <c r="G500" s="10" t="s">
        <v>14</v>
      </c>
      <c r="H500" s="11" t="s">
        <v>20</v>
      </c>
      <c r="I500" s="10" t="s">
        <v>316</v>
      </c>
      <c r="J500" s="131"/>
      <c r="K500" s="149" t="s">
        <v>1179</v>
      </c>
    </row>
    <row r="501" spans="1:11" ht="28.9" customHeight="1" thickTop="1" thickBot="1" x14ac:dyDescent="0.75">
      <c r="A501" s="6">
        <v>499</v>
      </c>
      <c r="B501" s="57" t="str">
        <f>HYPERLINK("https://search.naver.com/search.naver?query=닥터 슬립 영화", "닥터 슬립")</f>
        <v>닥터 슬립</v>
      </c>
      <c r="C501" s="8">
        <v>8.58</v>
      </c>
      <c r="D501" s="9" t="s">
        <v>1180</v>
      </c>
      <c r="E501" s="6" t="s">
        <v>24</v>
      </c>
      <c r="F501" s="6">
        <v>2019</v>
      </c>
      <c r="G501" s="6" t="s">
        <v>14</v>
      </c>
      <c r="H501" s="7" t="s">
        <v>382</v>
      </c>
      <c r="I501" s="6" t="s">
        <v>1181</v>
      </c>
      <c r="J501" s="130"/>
      <c r="K501" s="148" t="s">
        <v>1182</v>
      </c>
    </row>
    <row r="502" spans="1:11" ht="28.9" customHeight="1" thickTop="1" thickBot="1" x14ac:dyDescent="0.75">
      <c r="A502" s="10">
        <v>500</v>
      </c>
      <c r="B502" s="59" t="str">
        <f>HYPERLINK("https://search.naver.com/search.naver?query=닥터 포스터 시즌1", "닥터 포스터 시즌1")</f>
        <v>닥터 포스터 시즌1</v>
      </c>
      <c r="C502" s="16"/>
      <c r="D502" s="17" t="s">
        <v>1183</v>
      </c>
      <c r="E502" s="14" t="s">
        <v>29</v>
      </c>
      <c r="F502" s="14">
        <v>2015</v>
      </c>
      <c r="G502" s="14" t="s">
        <v>20</v>
      </c>
      <c r="H502" s="15" t="s">
        <v>15</v>
      </c>
      <c r="I502" s="14" t="s">
        <v>1184</v>
      </c>
      <c r="J502" s="132"/>
      <c r="K502" s="150" t="s">
        <v>1185</v>
      </c>
    </row>
    <row r="503" spans="1:11" ht="28.9" customHeight="1" thickTop="1" thickBot="1" x14ac:dyDescent="0.75">
      <c r="A503" s="6">
        <v>501</v>
      </c>
      <c r="B503" s="59" t="str">
        <f>HYPERLINK("https://search.naver.com/search.naver?query=닥터 포스터 시즌2", "닥터 포스터 시즌2")</f>
        <v>닥터 포스터 시즌2</v>
      </c>
      <c r="C503" s="16"/>
      <c r="D503" s="17" t="s">
        <v>1183</v>
      </c>
      <c r="E503" s="14" t="s">
        <v>29</v>
      </c>
      <c r="F503" s="14">
        <v>2017</v>
      </c>
      <c r="G503" s="14" t="s">
        <v>20</v>
      </c>
      <c r="H503" s="15" t="s">
        <v>15</v>
      </c>
      <c r="I503" s="14" t="s">
        <v>1184</v>
      </c>
      <c r="J503" s="132"/>
      <c r="K503" s="150" t="s">
        <v>1186</v>
      </c>
    </row>
    <row r="504" spans="1:11" ht="28.9" customHeight="1" thickTop="1" thickBot="1" x14ac:dyDescent="0.75">
      <c r="A504" s="10">
        <v>502</v>
      </c>
      <c r="B504" s="58" t="str">
        <f>HYPERLINK("https://search.naver.com/search.naver?query=단델리온 더스트 영화", "단델리온 더스트")</f>
        <v>단델리온 더스트</v>
      </c>
      <c r="C504" s="12">
        <v>8.7899999999999991</v>
      </c>
      <c r="D504" s="13" t="s">
        <v>1187</v>
      </c>
      <c r="E504" s="10" t="s">
        <v>24</v>
      </c>
      <c r="F504" s="10">
        <v>2009</v>
      </c>
      <c r="G504" s="10" t="s">
        <v>14</v>
      </c>
      <c r="H504" s="11" t="s">
        <v>20</v>
      </c>
      <c r="I504" s="10" t="s">
        <v>169</v>
      </c>
      <c r="J504" s="131"/>
      <c r="K504" s="149" t="s">
        <v>1188</v>
      </c>
    </row>
    <row r="505" spans="1:11" ht="28.9" customHeight="1" thickTop="1" thickBot="1" x14ac:dyDescent="0.75">
      <c r="A505" s="6">
        <v>503</v>
      </c>
      <c r="B505" s="57" t="str">
        <f>HYPERLINK("https://search.naver.com/search.naver?query=단지 세상의 끝 영화", "단지 세상의 끝")</f>
        <v>단지 세상의 끝</v>
      </c>
      <c r="C505" s="8">
        <v>7.66</v>
      </c>
      <c r="D505" s="9" t="s">
        <v>1189</v>
      </c>
      <c r="E505" s="6" t="s">
        <v>275</v>
      </c>
      <c r="F505" s="6">
        <v>2016</v>
      </c>
      <c r="G505" s="6" t="s">
        <v>14</v>
      </c>
      <c r="H505" s="7" t="s">
        <v>20</v>
      </c>
      <c r="I505" s="6" t="s">
        <v>169</v>
      </c>
      <c r="J505" s="130"/>
      <c r="K505" s="148" t="s">
        <v>1190</v>
      </c>
    </row>
    <row r="506" spans="1:11" ht="28.9" customHeight="1" thickTop="1" thickBot="1" x14ac:dyDescent="0.75">
      <c r="A506" s="10">
        <v>504</v>
      </c>
      <c r="B506" s="58" t="str">
        <f>HYPERLINK("https://search.naver.com/search.naver?query=달라스 바이어스 클럽 영화", "달라스 바이어스 클럽")</f>
        <v>달라스 바이어스 클럽</v>
      </c>
      <c r="C506" s="12">
        <v>8.65</v>
      </c>
      <c r="D506" s="13" t="s">
        <v>1191</v>
      </c>
      <c r="E506" s="10" t="s">
        <v>24</v>
      </c>
      <c r="F506" s="10">
        <v>2013</v>
      </c>
      <c r="G506" s="10" t="s">
        <v>14</v>
      </c>
      <c r="H506" s="11" t="s">
        <v>20</v>
      </c>
      <c r="I506" s="10" t="s">
        <v>120</v>
      </c>
      <c r="J506" s="131"/>
      <c r="K506" s="149" t="s">
        <v>1192</v>
      </c>
    </row>
    <row r="507" spans="1:11" ht="28.9" customHeight="1" thickTop="1" thickBot="1" x14ac:dyDescent="0.75">
      <c r="A507" s="6">
        <v>505</v>
      </c>
      <c r="B507" s="57" t="str">
        <f>HYPERLINK("https://search.naver.com/search.naver?query=달링 영화", "달링")</f>
        <v>달링</v>
      </c>
      <c r="C507" s="8">
        <v>9.08</v>
      </c>
      <c r="D507" s="9" t="s">
        <v>1193</v>
      </c>
      <c r="E507" s="6" t="s">
        <v>29</v>
      </c>
      <c r="F507" s="6">
        <v>2017</v>
      </c>
      <c r="G507" s="6" t="s">
        <v>14</v>
      </c>
      <c r="H507" s="7" t="s">
        <v>20</v>
      </c>
      <c r="I507" s="6" t="s">
        <v>345</v>
      </c>
      <c r="J507" s="130"/>
      <c r="K507" s="148" t="s">
        <v>1194</v>
      </c>
    </row>
    <row r="508" spans="1:11" ht="28.9" customHeight="1" thickTop="1" thickBot="1" x14ac:dyDescent="0.75">
      <c r="A508" s="10">
        <v>506</v>
      </c>
      <c r="B508" s="58" t="str">
        <f>HYPERLINK("https://search.naver.com/search.naver?query=일본영화 달의 영휴", "달의 영휴")</f>
        <v>달의 영휴</v>
      </c>
      <c r="C508" s="12">
        <v>6.4</v>
      </c>
      <c r="D508" s="13" t="s">
        <v>1195</v>
      </c>
      <c r="E508" s="10" t="s">
        <v>19</v>
      </c>
      <c r="F508" s="10">
        <v>2022</v>
      </c>
      <c r="G508" s="10" t="s">
        <v>14</v>
      </c>
      <c r="H508" s="11" t="s">
        <v>20</v>
      </c>
      <c r="I508" s="10" t="s">
        <v>146</v>
      </c>
      <c r="J508" s="131"/>
      <c r="K508" s="149" t="s">
        <v>1196</v>
      </c>
    </row>
    <row r="509" spans="1:11" ht="28.9" customHeight="1" thickTop="1" thickBot="1" x14ac:dyDescent="0.75">
      <c r="A509" s="6">
        <v>507</v>
      </c>
      <c r="B509" s="57" t="str">
        <f>HYPERLINK("https://search.naver.com/search.naver?query=달콤 살벌한 연인", "달콤 살벌한 연인")</f>
        <v>달콤 살벌한 연인</v>
      </c>
      <c r="C509" s="8">
        <v>8.39</v>
      </c>
      <c r="D509" s="9" t="s">
        <v>1197</v>
      </c>
      <c r="E509" s="6" t="s">
        <v>13</v>
      </c>
      <c r="F509" s="6">
        <v>2006</v>
      </c>
      <c r="G509" s="6" t="s">
        <v>14</v>
      </c>
      <c r="H509" s="7" t="s">
        <v>91</v>
      </c>
      <c r="I509" s="6" t="s">
        <v>129</v>
      </c>
      <c r="J509" s="130"/>
      <c r="K509" s="148" t="s">
        <v>1198</v>
      </c>
    </row>
    <row r="510" spans="1:11" ht="28.9" customHeight="1" thickTop="1" thickBot="1" x14ac:dyDescent="0.75">
      <c r="A510" s="10">
        <v>508</v>
      </c>
      <c r="B510" s="58" t="str">
        <f>HYPERLINK("https://search.naver.com/search.naver?query=담보 영화", "담보")</f>
        <v>담보</v>
      </c>
      <c r="C510" s="12">
        <v>9.16</v>
      </c>
      <c r="D510" s="13" t="s">
        <v>1199</v>
      </c>
      <c r="E510" s="10" t="s">
        <v>13</v>
      </c>
      <c r="F510" s="10">
        <v>2020</v>
      </c>
      <c r="G510" s="10" t="s">
        <v>14</v>
      </c>
      <c r="H510" s="11" t="s">
        <v>20</v>
      </c>
      <c r="I510" s="10" t="s">
        <v>98</v>
      </c>
      <c r="J510" s="131"/>
      <c r="K510" s="149" t="s">
        <v>1200</v>
      </c>
    </row>
    <row r="511" spans="1:11" ht="28.9" customHeight="1" thickTop="1" thickBot="1" x14ac:dyDescent="0.75">
      <c r="A511" s="6">
        <v>509</v>
      </c>
      <c r="B511" s="57" t="str">
        <f>HYPERLINK("https://search.naver.com/search.naver?query=당갈 영화", "당갈")</f>
        <v>당갈</v>
      </c>
      <c r="C511" s="8">
        <v>9.6199999999999992</v>
      </c>
      <c r="D511" s="9" t="s">
        <v>1201</v>
      </c>
      <c r="E511" s="6" t="s">
        <v>581</v>
      </c>
      <c r="F511" s="6">
        <v>2016</v>
      </c>
      <c r="G511" s="6" t="s">
        <v>14</v>
      </c>
      <c r="H511" s="7" t="s">
        <v>535</v>
      </c>
      <c r="I511" s="6" t="s">
        <v>1202</v>
      </c>
      <c r="J511" s="130"/>
      <c r="K511" s="148" t="s">
        <v>1203</v>
      </c>
    </row>
    <row r="512" spans="1:11" ht="28.9" customHeight="1" thickTop="1" thickBot="1" x14ac:dyDescent="0.75">
      <c r="A512" s="10">
        <v>510</v>
      </c>
      <c r="B512" s="58" t="str">
        <f>HYPERLINK("https://search.naver.com/search.naver?query=당신 거기 있어 줄래요 영화", "당신 거기 있어 줄래요")</f>
        <v>당신 거기 있어 줄래요</v>
      </c>
      <c r="C512" s="12">
        <v>8.8000000000000007</v>
      </c>
      <c r="D512" s="13" t="s">
        <v>1204</v>
      </c>
      <c r="E512" s="10" t="s">
        <v>13</v>
      </c>
      <c r="F512" s="10">
        <v>2016</v>
      </c>
      <c r="G512" s="10" t="s">
        <v>14</v>
      </c>
      <c r="H512" s="11" t="s">
        <v>20</v>
      </c>
      <c r="I512" s="10" t="s">
        <v>137</v>
      </c>
      <c r="J512" s="131"/>
      <c r="K512" s="149" t="s">
        <v>1205</v>
      </c>
    </row>
    <row r="513" spans="1:11" ht="28.9" customHeight="1" thickTop="1" thickBot="1" x14ac:dyDescent="0.75">
      <c r="A513" s="6">
        <v>511</v>
      </c>
      <c r="B513" s="57" t="str">
        <f>HYPERLINK("https://search.naver.com/search.naver?query=당신과 함께한 순간들 영화", "당신과 함께한 순간들")</f>
        <v>당신과 함께한 순간들</v>
      </c>
      <c r="C513" s="8">
        <v>8.14</v>
      </c>
      <c r="D513" s="9" t="s">
        <v>1206</v>
      </c>
      <c r="E513" s="6" t="s">
        <v>19</v>
      </c>
      <c r="F513" s="6">
        <v>2017</v>
      </c>
      <c r="G513" s="6" t="s">
        <v>14</v>
      </c>
      <c r="H513" s="7" t="s">
        <v>20</v>
      </c>
      <c r="I513" s="6" t="s">
        <v>133</v>
      </c>
      <c r="J513" s="130"/>
      <c r="K513" s="148" t="s">
        <v>982</v>
      </c>
    </row>
    <row r="514" spans="1:11" ht="28.9" customHeight="1" thickTop="1" thickBot="1" x14ac:dyDescent="0.75">
      <c r="A514" s="10">
        <v>512</v>
      </c>
      <c r="B514" s="58" t="str">
        <f>HYPERLINK("https://search.naver.com/search.naver?query=당신에게2012 영화", "당신에게")</f>
        <v>당신에게</v>
      </c>
      <c r="C514" s="12">
        <v>6.4</v>
      </c>
      <c r="D514" s="13" t="s">
        <v>1207</v>
      </c>
      <c r="E514" s="10" t="s">
        <v>19</v>
      </c>
      <c r="F514" s="10">
        <v>2012</v>
      </c>
      <c r="G514" s="10" t="s">
        <v>14</v>
      </c>
      <c r="H514" s="11" t="s">
        <v>20</v>
      </c>
      <c r="I514" s="10" t="s">
        <v>137</v>
      </c>
      <c r="J514" s="131"/>
      <c r="K514" s="149" t="s">
        <v>1208</v>
      </c>
    </row>
    <row r="515" spans="1:11" ht="28.9" customHeight="1" thickTop="1" thickBot="1" x14ac:dyDescent="0.75">
      <c r="A515" s="6">
        <v>513</v>
      </c>
      <c r="B515" s="57" t="str">
        <f>HYPERLINK("https://search.naver.com/search.naver?query=당신에게도 사랑이 다시 찾아올까요 영화", "당신에게도 사랑이 다시 찾아올까요")</f>
        <v>당신에게도 사랑이 다시 찾아올까요</v>
      </c>
      <c r="C515" s="8">
        <v>6.85</v>
      </c>
      <c r="D515" s="9" t="s">
        <v>1209</v>
      </c>
      <c r="E515" s="6" t="s">
        <v>19</v>
      </c>
      <c r="F515" s="6">
        <v>2013</v>
      </c>
      <c r="G515" s="6" t="s">
        <v>14</v>
      </c>
      <c r="H515" s="7" t="s">
        <v>165</v>
      </c>
      <c r="I515" s="6" t="s">
        <v>175</v>
      </c>
      <c r="J515" s="130"/>
      <c r="K515" s="148" t="s">
        <v>1210</v>
      </c>
    </row>
    <row r="516" spans="1:11" ht="28.9" customHeight="1" thickTop="1" thickBot="1" x14ac:dyDescent="0.75">
      <c r="A516" s="10">
        <v>514</v>
      </c>
      <c r="B516" s="57" t="str">
        <f>HYPERLINK("https://search.naver.com/search.naver?query=당신을 오랫동안 사랑했어요 영화", "당신을 오랫동안 사랑했어요")</f>
        <v>당신을 오랫동안 사랑했어요</v>
      </c>
      <c r="C516" s="8">
        <v>8.58</v>
      </c>
      <c r="D516" s="13" t="s">
        <v>1211</v>
      </c>
      <c r="E516" s="6" t="s">
        <v>310</v>
      </c>
      <c r="F516" s="6">
        <v>2008</v>
      </c>
      <c r="G516" s="6" t="s">
        <v>14</v>
      </c>
      <c r="H516" s="7" t="s">
        <v>20</v>
      </c>
      <c r="I516" s="6" t="s">
        <v>60</v>
      </c>
      <c r="J516" s="130"/>
      <c r="K516" s="148" t="s">
        <v>1212</v>
      </c>
    </row>
    <row r="517" spans="1:11" ht="28.9" customHeight="1" thickTop="1" thickBot="1" x14ac:dyDescent="0.75">
      <c r="A517" s="6">
        <v>515</v>
      </c>
      <c r="B517" s="57" t="str">
        <f>HYPERLINK("https://search.naver.com/search.naver?query=당신이 사랑하는 동안에 영화", "당신이 사랑하는 동안에")</f>
        <v>당신이 사랑하는 동안에</v>
      </c>
      <c r="C517" s="8">
        <v>8.73</v>
      </c>
      <c r="D517" s="9" t="s">
        <v>1213</v>
      </c>
      <c r="E517" s="6" t="s">
        <v>24</v>
      </c>
      <c r="F517" s="6">
        <v>2005</v>
      </c>
      <c r="G517" s="6" t="s">
        <v>14</v>
      </c>
      <c r="H517" s="7" t="s">
        <v>20</v>
      </c>
      <c r="I517" s="6" t="s">
        <v>60</v>
      </c>
      <c r="J517" s="130"/>
      <c r="K517" s="148" t="s">
        <v>1214</v>
      </c>
    </row>
    <row r="518" spans="1:11" ht="28.9" customHeight="1" thickTop="1" thickBot="1" x14ac:dyDescent="0.75">
      <c r="A518" s="10">
        <v>516</v>
      </c>
      <c r="B518" s="58" t="str">
        <f>HYPERLINK("https://search.naver.com/search.naver?query=대니 콜린스 영화", "대니 콜린스")</f>
        <v>대니 콜린스</v>
      </c>
      <c r="C518" s="12">
        <v>9.06</v>
      </c>
      <c r="D518" s="13" t="s">
        <v>1215</v>
      </c>
      <c r="E518" s="10" t="s">
        <v>24</v>
      </c>
      <c r="F518" s="10">
        <v>2015</v>
      </c>
      <c r="G518" s="10" t="s">
        <v>14</v>
      </c>
      <c r="H518" s="11" t="s">
        <v>20</v>
      </c>
      <c r="I518" s="10" t="s">
        <v>443</v>
      </c>
      <c r="J518" s="131"/>
      <c r="K518" s="149" t="s">
        <v>1216</v>
      </c>
    </row>
    <row r="519" spans="1:11" ht="28.9" customHeight="1" thickTop="1" thickBot="1" x14ac:dyDescent="0.75">
      <c r="A519" s="6">
        <v>517</v>
      </c>
      <c r="B519" s="57" t="str">
        <f>HYPERLINK("https://search.naver.com/search.naver?query=대니쉬 걸 영화", "대니쉬 걸")</f>
        <v>대니쉬 걸</v>
      </c>
      <c r="C519" s="8">
        <v>8.8800000000000008</v>
      </c>
      <c r="D519" s="9" t="s">
        <v>1217</v>
      </c>
      <c r="E519" s="6" t="s">
        <v>29</v>
      </c>
      <c r="F519" s="6">
        <v>2015</v>
      </c>
      <c r="G519" s="6" t="s">
        <v>14</v>
      </c>
      <c r="H519" s="7" t="s">
        <v>20</v>
      </c>
      <c r="I519" s="6" t="s">
        <v>68</v>
      </c>
      <c r="J519" s="130"/>
      <c r="K519" s="148" t="s">
        <v>1218</v>
      </c>
    </row>
    <row r="520" spans="1:11" ht="28.9" customHeight="1" thickTop="1" thickBot="1" x14ac:dyDescent="0.75">
      <c r="A520" s="10">
        <v>518</v>
      </c>
      <c r="B520" s="58" t="str">
        <f>HYPERLINK("https://search.naver.com/search.naver?query=대담하거나, 타락하거나, 아름다운 영화", "대담하거나, 타락하거나, 아름다운")</f>
        <v>대담하거나, 타락하거나, 아름다운</v>
      </c>
      <c r="C520" s="12"/>
      <c r="D520" s="13" t="s">
        <v>1219</v>
      </c>
      <c r="E520" s="10" t="s">
        <v>608</v>
      </c>
      <c r="F520" s="10">
        <v>2017</v>
      </c>
      <c r="G520" s="10" t="s">
        <v>14</v>
      </c>
      <c r="H520" s="11" t="s">
        <v>20</v>
      </c>
      <c r="I520" s="10" t="s">
        <v>429</v>
      </c>
      <c r="J520" s="131"/>
      <c r="K520" s="149" t="s">
        <v>1220</v>
      </c>
    </row>
    <row r="521" spans="1:11" ht="28.9" customHeight="1" thickTop="1" thickBot="1" x14ac:dyDescent="0.75">
      <c r="A521" s="6">
        <v>519</v>
      </c>
      <c r="B521" s="57" t="str">
        <f>HYPERLINK("https://search.naver.com/search.naver?query=대립군 영화", "대립군")</f>
        <v>대립군</v>
      </c>
      <c r="C521" s="8">
        <v>7.58</v>
      </c>
      <c r="D521" s="9" t="s">
        <v>1221</v>
      </c>
      <c r="E521" s="6" t="s">
        <v>13</v>
      </c>
      <c r="F521" s="6">
        <v>2017</v>
      </c>
      <c r="G521" s="6" t="s">
        <v>14</v>
      </c>
      <c r="H521" s="7" t="s">
        <v>91</v>
      </c>
      <c r="I521" s="6" t="s">
        <v>42</v>
      </c>
      <c r="J521" s="130"/>
      <c r="K521" s="148" t="s">
        <v>1222</v>
      </c>
    </row>
    <row r="522" spans="1:11" ht="28.9" customHeight="1" thickTop="1" thickBot="1" x14ac:dyDescent="0.75">
      <c r="A522" s="10">
        <v>520</v>
      </c>
      <c r="B522" s="58" t="str">
        <f>HYPERLINK("https://search.naver.com/search.naver?query=대무가 영화", "대무가")</f>
        <v>대무가</v>
      </c>
      <c r="C522" s="12">
        <v>6.72</v>
      </c>
      <c r="D522" s="13" t="s">
        <v>1223</v>
      </c>
      <c r="E522" s="10" t="s">
        <v>13</v>
      </c>
      <c r="F522" s="10">
        <v>2022</v>
      </c>
      <c r="G522" s="10" t="s">
        <v>14</v>
      </c>
      <c r="H522" s="11" t="s">
        <v>20</v>
      </c>
      <c r="I522" s="10" t="s">
        <v>38</v>
      </c>
      <c r="J522" s="131"/>
      <c r="K522" s="149" t="s">
        <v>1224</v>
      </c>
    </row>
    <row r="523" spans="1:11" ht="28.9" customHeight="1" thickTop="1" thickBot="1" x14ac:dyDescent="0.75">
      <c r="A523" s="6">
        <v>521</v>
      </c>
      <c r="B523" s="57" t="str">
        <f>HYPERLINK("https://search.naver.com/search.naver?query=대배우 영화", "대배우")</f>
        <v>대배우</v>
      </c>
      <c r="C523" s="8">
        <v>7.09</v>
      </c>
      <c r="D523" s="9" t="s">
        <v>1225</v>
      </c>
      <c r="E523" s="6" t="s">
        <v>13</v>
      </c>
      <c r="F523" s="6">
        <v>2015</v>
      </c>
      <c r="G523" s="6" t="s">
        <v>14</v>
      </c>
      <c r="H523" s="7" t="s">
        <v>20</v>
      </c>
      <c r="I523" s="6" t="s">
        <v>38</v>
      </c>
      <c r="J523" s="130"/>
      <c r="K523" s="148" t="s">
        <v>1226</v>
      </c>
    </row>
    <row r="524" spans="1:11" ht="28.9" customHeight="1" thickTop="1" thickBot="1" x14ac:dyDescent="0.75">
      <c r="A524" s="10">
        <v>522</v>
      </c>
      <c r="B524" s="58" t="str">
        <f>HYPERLINK("https://search.naver.com/search.naver?query=대부 영화", "대부")</f>
        <v>대부</v>
      </c>
      <c r="C524" s="12">
        <v>9.15</v>
      </c>
      <c r="D524" s="13" t="s">
        <v>1227</v>
      </c>
      <c r="E524" s="10" t="s">
        <v>24</v>
      </c>
      <c r="F524" s="10">
        <v>1972</v>
      </c>
      <c r="G524" s="10" t="s">
        <v>14</v>
      </c>
      <c r="H524" s="11" t="s">
        <v>104</v>
      </c>
      <c r="I524" s="10" t="s">
        <v>1228</v>
      </c>
      <c r="J524" s="131"/>
      <c r="K524" s="149" t="s">
        <v>1229</v>
      </c>
    </row>
    <row r="525" spans="1:11" ht="28.9" customHeight="1" thickTop="1" thickBot="1" x14ac:dyDescent="0.75">
      <c r="A525" s="6">
        <v>523</v>
      </c>
      <c r="B525" s="57" t="str">
        <f>HYPERLINK("https://search.naver.com/search.naver?query=대부2 영화", "대부2")</f>
        <v>대부2</v>
      </c>
      <c r="C525" s="8">
        <v>9.11</v>
      </c>
      <c r="D525" s="9" t="s">
        <v>1230</v>
      </c>
      <c r="E525" s="6" t="s">
        <v>24</v>
      </c>
      <c r="F525" s="6">
        <v>1974</v>
      </c>
      <c r="G525" s="6" t="s">
        <v>14</v>
      </c>
      <c r="H525" s="7" t="s">
        <v>104</v>
      </c>
      <c r="I525" s="6" t="s">
        <v>1231</v>
      </c>
      <c r="J525" s="130"/>
      <c r="K525" s="148" t="s">
        <v>1232</v>
      </c>
    </row>
    <row r="526" spans="1:11" ht="28.9" customHeight="1" thickTop="1" thickBot="1" x14ac:dyDescent="0.75">
      <c r="A526" s="10">
        <v>524</v>
      </c>
      <c r="B526" s="58" t="str">
        <f>HYPERLINK("https://search.naver.com/search.naver?query=대부3 영화", "대부3")</f>
        <v>대부3</v>
      </c>
      <c r="C526" s="12">
        <v>9.2100000000000009</v>
      </c>
      <c r="D526" s="13" t="s">
        <v>1233</v>
      </c>
      <c r="E526" s="10" t="s">
        <v>24</v>
      </c>
      <c r="F526" s="10">
        <v>1990</v>
      </c>
      <c r="G526" s="10" t="s">
        <v>14</v>
      </c>
      <c r="H526" s="11" t="s">
        <v>104</v>
      </c>
      <c r="I526" s="10" t="s">
        <v>1234</v>
      </c>
      <c r="J526" s="131"/>
      <c r="K526" s="149" t="s">
        <v>1235</v>
      </c>
    </row>
    <row r="527" spans="1:11" ht="28.9" customHeight="1" thickTop="1" thickBot="1" x14ac:dyDescent="0.75">
      <c r="A527" s="6">
        <v>525</v>
      </c>
      <c r="B527" s="57" t="str">
        <f>HYPERLINK("https://search.naver.com/search.naver?query=대상해 영화", "대상해")</f>
        <v>대상해</v>
      </c>
      <c r="C527" s="8">
        <v>8</v>
      </c>
      <c r="D527" s="9" t="s">
        <v>1236</v>
      </c>
      <c r="E527" s="6" t="s">
        <v>186</v>
      </c>
      <c r="F527" s="6">
        <v>2012</v>
      </c>
      <c r="G527" s="6" t="s">
        <v>14</v>
      </c>
      <c r="H527" s="7" t="s">
        <v>20</v>
      </c>
      <c r="I527" s="6" t="s">
        <v>68</v>
      </c>
      <c r="J527" s="130"/>
      <c r="K527" s="148" t="s">
        <v>1237</v>
      </c>
    </row>
    <row r="528" spans="1:11" ht="28.9" customHeight="1" thickTop="1" thickBot="1" x14ac:dyDescent="0.75">
      <c r="A528" s="10">
        <v>526</v>
      </c>
      <c r="B528" s="58" t="str">
        <f>HYPERLINK("https://search.naver.com/search.naver?query=대역전 영화", "대역전")</f>
        <v>대역전</v>
      </c>
      <c r="C528" s="12">
        <v>10</v>
      </c>
      <c r="D528" s="13" t="s">
        <v>1238</v>
      </c>
      <c r="E528" s="10" t="s">
        <v>13</v>
      </c>
      <c r="F528" s="10">
        <v>2016</v>
      </c>
      <c r="G528" s="10" t="s">
        <v>14</v>
      </c>
      <c r="H528" s="11" t="s">
        <v>91</v>
      </c>
      <c r="I528" s="10" t="s">
        <v>179</v>
      </c>
      <c r="J528" s="131"/>
      <c r="K528" s="149" t="s">
        <v>1239</v>
      </c>
    </row>
    <row r="529" spans="1:11" ht="28.9" customHeight="1" thickTop="1" thickBot="1" x14ac:dyDescent="0.75">
      <c r="A529" s="6">
        <v>527</v>
      </c>
      <c r="B529" s="57" t="str">
        <f>HYPERLINK("https://search.naver.com/search.naver?query=대외비 영화", "대외비")</f>
        <v>대외비</v>
      </c>
      <c r="C529" s="8">
        <v>6.04</v>
      </c>
      <c r="D529" s="9" t="s">
        <v>1240</v>
      </c>
      <c r="E529" s="6" t="s">
        <v>13</v>
      </c>
      <c r="F529" s="6">
        <v>2023</v>
      </c>
      <c r="G529" s="6" t="s">
        <v>14</v>
      </c>
      <c r="H529" s="7" t="s">
        <v>20</v>
      </c>
      <c r="I529" s="6" t="s">
        <v>591</v>
      </c>
      <c r="J529" s="130"/>
      <c r="K529" s="148" t="s">
        <v>1241</v>
      </c>
    </row>
    <row r="530" spans="1:11" ht="28.9" customHeight="1" thickTop="1" thickBot="1" x14ac:dyDescent="0.75">
      <c r="A530" s="10">
        <v>528</v>
      </c>
      <c r="B530" s="58" t="str">
        <f>HYPERLINK("https://search.naver.com/search.naver?query=대장 김창수 영화", "대장 김창수")</f>
        <v>대장 김창수</v>
      </c>
      <c r="C530" s="12">
        <v>8.4499999999999993</v>
      </c>
      <c r="D530" s="13" t="s">
        <v>1242</v>
      </c>
      <c r="E530" s="10" t="s">
        <v>13</v>
      </c>
      <c r="F530" s="10">
        <v>2017</v>
      </c>
      <c r="G530" s="10" t="s">
        <v>14</v>
      </c>
      <c r="H530" s="11" t="s">
        <v>20</v>
      </c>
      <c r="I530" s="10" t="s">
        <v>60</v>
      </c>
      <c r="J530" s="131"/>
      <c r="K530" s="149" t="s">
        <v>1243</v>
      </c>
    </row>
    <row r="531" spans="1:11" ht="28.9" customHeight="1" thickTop="1" thickBot="1" x14ac:dyDescent="0.75">
      <c r="A531" s="6">
        <v>529</v>
      </c>
      <c r="B531" s="57" t="str">
        <f>HYPERLINK("https://movie-stella.tistory.com/entry/%EB%8C%80%EC%B2%B4%EB%B6%88%EA%B0%80-%EB%8B%B9%EC%8B%A0-Irreplaceable-You-2018", "대체불가 당신")</f>
        <v>대체불가 당신</v>
      </c>
      <c r="C531" s="8"/>
      <c r="D531" s="9" t="s">
        <v>1244</v>
      </c>
      <c r="E531" s="6" t="s">
        <v>24</v>
      </c>
      <c r="F531" s="6">
        <v>2018</v>
      </c>
      <c r="G531" s="6" t="s">
        <v>14</v>
      </c>
      <c r="H531" s="7" t="s">
        <v>20</v>
      </c>
      <c r="I531" s="6" t="s">
        <v>80</v>
      </c>
      <c r="J531" s="130"/>
      <c r="K531" s="148" t="s">
        <v>1245</v>
      </c>
    </row>
    <row r="532" spans="1:11" ht="28.9" customHeight="1" thickTop="1" thickBot="1" x14ac:dyDescent="0.75">
      <c r="A532" s="10">
        <v>530</v>
      </c>
      <c r="B532" s="58" t="str">
        <f>HYPERLINK("https://search.naver.com/search.naver?query=대폭격 영화", "대폭격")</f>
        <v>대폭격</v>
      </c>
      <c r="C532" s="12">
        <v>3.67</v>
      </c>
      <c r="D532" s="13" t="s">
        <v>1246</v>
      </c>
      <c r="E532" s="10" t="s">
        <v>186</v>
      </c>
      <c r="F532" s="10">
        <v>2018</v>
      </c>
      <c r="G532" s="10" t="s">
        <v>14</v>
      </c>
      <c r="H532" s="11" t="s">
        <v>1247</v>
      </c>
      <c r="I532" s="10" t="s">
        <v>105</v>
      </c>
      <c r="J532" s="131"/>
      <c r="K532" s="149" t="s">
        <v>1248</v>
      </c>
    </row>
    <row r="533" spans="1:11" ht="28.9" customHeight="1" thickTop="1" thickBot="1" x14ac:dyDescent="0.75">
      <c r="A533" s="6">
        <v>531</v>
      </c>
      <c r="B533" s="57" t="str">
        <f>HYPERLINK("https://search.naver.com/search.naver?query=대학살의 신 영화", "대학살의 신")</f>
        <v>대학살의 신</v>
      </c>
      <c r="C533" s="8">
        <v>7.73</v>
      </c>
      <c r="D533" s="9" t="s">
        <v>1249</v>
      </c>
      <c r="E533" s="6" t="s">
        <v>310</v>
      </c>
      <c r="F533" s="6">
        <v>2011</v>
      </c>
      <c r="G533" s="6" t="s">
        <v>14</v>
      </c>
      <c r="H533" s="7" t="s">
        <v>20</v>
      </c>
      <c r="I533" s="6" t="s">
        <v>1250</v>
      </c>
      <c r="J533" s="130"/>
      <c r="K533" s="148" t="s">
        <v>1251</v>
      </c>
    </row>
    <row r="534" spans="1:11" ht="28.9" customHeight="1" thickTop="1" thickBot="1" x14ac:dyDescent="0.75">
      <c r="A534" s="10">
        <v>532</v>
      </c>
      <c r="B534" s="58" t="str">
        <f>HYPERLINK("https://search.naver.com/search.naver?query=대호 영화", "대호")</f>
        <v>대호</v>
      </c>
      <c r="C534" s="12">
        <v>8.2200000000000006</v>
      </c>
      <c r="D534" s="13" t="s">
        <v>1252</v>
      </c>
      <c r="E534" s="10" t="s">
        <v>13</v>
      </c>
      <c r="F534" s="10">
        <v>2015</v>
      </c>
      <c r="G534" s="10" t="s">
        <v>14</v>
      </c>
      <c r="H534" s="11" t="s">
        <v>528</v>
      </c>
      <c r="I534" s="10" t="s">
        <v>476</v>
      </c>
      <c r="J534" s="131"/>
      <c r="K534" s="149" t="s">
        <v>1253</v>
      </c>
    </row>
    <row r="535" spans="1:11" ht="28.9" customHeight="1" thickTop="1" thickBot="1" x14ac:dyDescent="0.75">
      <c r="A535" s="6">
        <v>533</v>
      </c>
      <c r="B535" s="57" t="str">
        <f>HYPERLINK("https://search.naver.com/search.naver?query=대홍수 영화", "대홍수")</f>
        <v>대홍수</v>
      </c>
      <c r="C535" s="8">
        <v>4.2300000000000004</v>
      </c>
      <c r="D535" s="9" t="s">
        <v>1254</v>
      </c>
      <c r="E535" s="6" t="s">
        <v>13</v>
      </c>
      <c r="F535" s="6">
        <v>2025</v>
      </c>
      <c r="G535" s="6" t="s">
        <v>14</v>
      </c>
      <c r="H535" s="7" t="s">
        <v>1255</v>
      </c>
      <c r="I535" s="6" t="s">
        <v>38</v>
      </c>
      <c r="J535" s="130"/>
      <c r="K535" s="148" t="s">
        <v>1256</v>
      </c>
    </row>
    <row r="536" spans="1:11" ht="28.9" customHeight="1" thickTop="1" thickBot="1" x14ac:dyDescent="0.75">
      <c r="A536" s="10">
        <v>534</v>
      </c>
      <c r="B536" s="58" t="str">
        <f>HYPERLINK("https://search.naver.com/search.naver?query=댄 인 러브 영화", "댄 인 러브")</f>
        <v>댄 인 러브</v>
      </c>
      <c r="C536" s="12">
        <v>8.2200000000000006</v>
      </c>
      <c r="D536" s="13" t="s">
        <v>1257</v>
      </c>
      <c r="E536" s="10" t="s">
        <v>24</v>
      </c>
      <c r="F536" s="10">
        <v>2007</v>
      </c>
      <c r="G536" s="10" t="s">
        <v>14</v>
      </c>
      <c r="H536" s="11" t="s">
        <v>91</v>
      </c>
      <c r="I536" s="10" t="s">
        <v>16</v>
      </c>
      <c r="J536" s="131"/>
      <c r="K536" s="149" t="s">
        <v>1258</v>
      </c>
    </row>
    <row r="537" spans="1:11" ht="28.9" customHeight="1" thickTop="1" thickBot="1" x14ac:dyDescent="0.75">
      <c r="A537" s="6">
        <v>535</v>
      </c>
      <c r="B537" s="57" t="str">
        <f>HYPERLINK("https://search.naver.com/search.naver?query=댄싱퀸2012", "댄싱퀸")</f>
        <v>댄싱퀸</v>
      </c>
      <c r="C537" s="8">
        <v>8.86</v>
      </c>
      <c r="D537" s="9" t="s">
        <v>1259</v>
      </c>
      <c r="E537" s="6" t="s">
        <v>13</v>
      </c>
      <c r="F537" s="6">
        <v>2012</v>
      </c>
      <c r="G537" s="6" t="s">
        <v>14</v>
      </c>
      <c r="H537" s="7" t="s">
        <v>91</v>
      </c>
      <c r="I537" s="6" t="s">
        <v>195</v>
      </c>
      <c r="J537" s="130"/>
      <c r="K537" s="148" t="s">
        <v>1260</v>
      </c>
    </row>
    <row r="538" spans="1:11" ht="28.9" customHeight="1" thickTop="1" thickBot="1" x14ac:dyDescent="0.75">
      <c r="A538" s="10">
        <v>536</v>
      </c>
      <c r="B538" s="58" t="str">
        <f>HYPERLINK("https://search.naver.com/search.naver?query=댄저 클로즈:롱탄 대전투 영화", "댄저 클로즈-롱탄 대전투")</f>
        <v>댄저 클로즈-롱탄 대전투</v>
      </c>
      <c r="C538" s="12">
        <v>7.87</v>
      </c>
      <c r="D538" s="13" t="s">
        <v>1261</v>
      </c>
      <c r="E538" s="10" t="s">
        <v>45</v>
      </c>
      <c r="F538" s="10">
        <v>2019</v>
      </c>
      <c r="G538" s="10" t="s">
        <v>14</v>
      </c>
      <c r="H538" s="11" t="s">
        <v>1247</v>
      </c>
      <c r="I538" s="10" t="s">
        <v>329</v>
      </c>
      <c r="J538" s="131"/>
      <c r="K538" s="149" t="s">
        <v>1262</v>
      </c>
    </row>
    <row r="539" spans="1:11" ht="28.9" customHeight="1" thickTop="1" thickBot="1" x14ac:dyDescent="0.75">
      <c r="A539" s="6">
        <v>537</v>
      </c>
      <c r="B539" s="57" t="str">
        <f>HYPERLINK("https://search.naver.com/search.naver?query=댓글부대 영화", "댓글부대")</f>
        <v>댓글부대</v>
      </c>
      <c r="C539" s="8">
        <v>7.54</v>
      </c>
      <c r="D539" s="9" t="s">
        <v>1263</v>
      </c>
      <c r="E539" s="6" t="s">
        <v>13</v>
      </c>
      <c r="F539" s="6">
        <v>2024</v>
      </c>
      <c r="G539" s="6" t="s">
        <v>14</v>
      </c>
      <c r="H539" s="7" t="s">
        <v>20</v>
      </c>
      <c r="I539" s="6" t="s">
        <v>38</v>
      </c>
      <c r="J539" s="130"/>
      <c r="K539" s="148" t="s">
        <v>102</v>
      </c>
    </row>
    <row r="540" spans="1:11" ht="28.9" customHeight="1" thickTop="1" thickBot="1" x14ac:dyDescent="0.75">
      <c r="A540" s="10">
        <v>538</v>
      </c>
      <c r="B540" s="58" t="str">
        <f>HYPERLINK("https://search.naver.com/search.naver?query=댓츠 왓 아이 엠 영화", "댓츠 왓 아이 엠")</f>
        <v>댓츠 왓 아이 엠</v>
      </c>
      <c r="C540" s="12">
        <v>6.4</v>
      </c>
      <c r="D540" s="13" t="s">
        <v>1264</v>
      </c>
      <c r="E540" s="10" t="s">
        <v>24</v>
      </c>
      <c r="F540" s="10">
        <v>2011</v>
      </c>
      <c r="G540" s="10" t="s">
        <v>14</v>
      </c>
      <c r="H540" s="11" t="s">
        <v>20</v>
      </c>
      <c r="I540" s="10" t="s">
        <v>94</v>
      </c>
      <c r="J540" s="131"/>
      <c r="K540" s="149" t="s">
        <v>1265</v>
      </c>
    </row>
    <row r="541" spans="1:11" ht="28.9" customHeight="1" thickTop="1" thickBot="1" x14ac:dyDescent="0.75">
      <c r="A541" s="6">
        <v>539</v>
      </c>
      <c r="B541" s="57" t="str">
        <f>HYPERLINK("https://search.naver.com/search.naver?query=더 건맨 영화", "더 건맨")</f>
        <v>더 건맨</v>
      </c>
      <c r="C541" s="8">
        <v>6.86</v>
      </c>
      <c r="D541" s="9" t="s">
        <v>1266</v>
      </c>
      <c r="E541" s="6" t="s">
        <v>24</v>
      </c>
      <c r="F541" s="6">
        <v>2015</v>
      </c>
      <c r="G541" s="6" t="s">
        <v>14</v>
      </c>
      <c r="H541" s="7" t="s">
        <v>124</v>
      </c>
      <c r="I541" s="6" t="s">
        <v>60</v>
      </c>
      <c r="J541" s="130"/>
      <c r="K541" s="148" t="s">
        <v>1267</v>
      </c>
    </row>
    <row r="542" spans="1:11" ht="28.9" customHeight="1" thickTop="1" thickBot="1" x14ac:dyDescent="0.75">
      <c r="A542" s="10">
        <v>540</v>
      </c>
      <c r="B542" s="58" t="str">
        <f>HYPERLINK("https://search.naver.com/search.naver?query=더 걸 후 갓어웨이 영화", "더 걸 후 갓어웨이")</f>
        <v>더 걸 후 갓어웨이</v>
      </c>
      <c r="C542" s="12"/>
      <c r="D542" s="13" t="s">
        <v>1268</v>
      </c>
      <c r="E542" s="10" t="s">
        <v>24</v>
      </c>
      <c r="F542" s="10">
        <v>2022</v>
      </c>
      <c r="G542" s="10" t="s">
        <v>14</v>
      </c>
      <c r="H542" s="11" t="s">
        <v>54</v>
      </c>
      <c r="I542" s="10" t="s">
        <v>205</v>
      </c>
      <c r="J542" s="131"/>
      <c r="K542" s="149" t="s">
        <v>1269</v>
      </c>
    </row>
    <row r="543" spans="1:11" ht="28.9" customHeight="1" thickTop="1" thickBot="1" x14ac:dyDescent="0.75">
      <c r="A543" s="6">
        <v>541</v>
      </c>
      <c r="B543" s="57" t="str">
        <f>HYPERLINK("https://search.naver.com/search.naver?query=더 게임 영화", "더 게임")</f>
        <v>더 게임</v>
      </c>
      <c r="C543" s="8">
        <v>7.42</v>
      </c>
      <c r="D543" s="9" t="s">
        <v>1270</v>
      </c>
      <c r="E543" s="6" t="s">
        <v>24</v>
      </c>
      <c r="F543" s="6">
        <v>1997</v>
      </c>
      <c r="G543" s="6" t="s">
        <v>14</v>
      </c>
      <c r="H543" s="7" t="s">
        <v>54</v>
      </c>
      <c r="I543" s="6" t="s">
        <v>85</v>
      </c>
      <c r="J543" s="130"/>
      <c r="K543" s="148" t="s">
        <v>1271</v>
      </c>
    </row>
    <row r="544" spans="1:11" ht="28.9" customHeight="1" thickTop="1" thickBot="1" x14ac:dyDescent="0.75">
      <c r="A544" s="10">
        <v>542</v>
      </c>
      <c r="B544" s="58" t="str">
        <f>HYPERLINK("https://search.naver.com/search.naver?query=더 골든핀치 영화", "더 골든핀치")</f>
        <v>더 골든핀치</v>
      </c>
      <c r="C544" s="12">
        <v>6.4</v>
      </c>
      <c r="D544" s="13" t="s">
        <v>1272</v>
      </c>
      <c r="E544" s="10" t="s">
        <v>24</v>
      </c>
      <c r="F544" s="10">
        <v>2019</v>
      </c>
      <c r="G544" s="10" t="s">
        <v>14</v>
      </c>
      <c r="H544" s="11" t="s">
        <v>20</v>
      </c>
      <c r="I544" s="10" t="s">
        <v>810</v>
      </c>
      <c r="J544" s="131"/>
      <c r="K544" s="149" t="s">
        <v>1273</v>
      </c>
    </row>
    <row r="545" spans="1:11" ht="28.9" customHeight="1" thickTop="1" thickBot="1" x14ac:dyDescent="0.75">
      <c r="A545" s="6">
        <v>543</v>
      </c>
      <c r="B545" s="57" t="str">
        <f>HYPERLINK("https://search.naver.com/search.naver?query=더 그레이 영화", "더 그레이")</f>
        <v>더 그레이</v>
      </c>
      <c r="C545" s="8">
        <v>7.7</v>
      </c>
      <c r="D545" s="9" t="s">
        <v>1274</v>
      </c>
      <c r="E545" s="6" t="s">
        <v>24</v>
      </c>
      <c r="F545" s="6">
        <v>2012</v>
      </c>
      <c r="G545" s="6" t="s">
        <v>14</v>
      </c>
      <c r="H545" s="7" t="s">
        <v>25</v>
      </c>
      <c r="I545" s="6" t="s">
        <v>120</v>
      </c>
      <c r="J545" s="130"/>
      <c r="K545" s="148" t="s">
        <v>1275</v>
      </c>
    </row>
    <row r="546" spans="1:11" ht="28.9" customHeight="1" thickTop="1" thickBot="1" x14ac:dyDescent="0.75">
      <c r="A546" s="10">
        <v>544</v>
      </c>
      <c r="B546" s="58" t="str">
        <f>HYPERLINK("https://search.naver.com/search.naver?query=더 그레이트 서커스 영화", "더 그레이트 서커스")</f>
        <v>더 그레이트 서커스</v>
      </c>
      <c r="C546" s="12">
        <v>6.5</v>
      </c>
      <c r="D546" s="13" t="s">
        <v>1276</v>
      </c>
      <c r="E546" s="10" t="s">
        <v>581</v>
      </c>
      <c r="F546" s="10">
        <v>2013</v>
      </c>
      <c r="G546" s="10" t="s">
        <v>14</v>
      </c>
      <c r="H546" s="11" t="s">
        <v>20</v>
      </c>
      <c r="I546" s="10" t="s">
        <v>1277</v>
      </c>
      <c r="J546" s="131"/>
      <c r="K546" s="149" t="s">
        <v>1278</v>
      </c>
    </row>
    <row r="547" spans="1:11" ht="28.9" customHeight="1" thickTop="1" thickBot="1" x14ac:dyDescent="0.75">
      <c r="A547" s="6">
        <v>545</v>
      </c>
      <c r="B547" s="59" t="str">
        <f>HYPERLINK("https://search.naver.com/search.naver?query=더 글로리", "더 글로리")</f>
        <v>더 글로리</v>
      </c>
      <c r="C547" s="16"/>
      <c r="D547" s="17" t="s">
        <v>1279</v>
      </c>
      <c r="E547" s="14" t="s">
        <v>13</v>
      </c>
      <c r="F547" s="14">
        <v>2022</v>
      </c>
      <c r="G547" s="14" t="s">
        <v>20</v>
      </c>
      <c r="H547" s="15" t="s">
        <v>20</v>
      </c>
      <c r="I547" s="14" t="s">
        <v>825</v>
      </c>
      <c r="J547" s="132"/>
      <c r="K547" s="150" t="s">
        <v>1280</v>
      </c>
    </row>
    <row r="548" spans="1:11" ht="28.9" customHeight="1" thickTop="1" thickBot="1" x14ac:dyDescent="0.75">
      <c r="A548" s="10">
        <v>546</v>
      </c>
      <c r="B548" s="58" t="str">
        <f>HYPERLINK("https://search.naver.com/search.naver?query=더 기버:기억전달자 영화", "더 기버 - 기억전달자")</f>
        <v>더 기버 - 기억전달자</v>
      </c>
      <c r="C548" s="12">
        <v>7.88</v>
      </c>
      <c r="D548" s="13" t="s">
        <v>1281</v>
      </c>
      <c r="E548" s="10" t="s">
        <v>24</v>
      </c>
      <c r="F548" s="10">
        <v>2014</v>
      </c>
      <c r="G548" s="10" t="s">
        <v>14</v>
      </c>
      <c r="H548" s="11" t="s">
        <v>877</v>
      </c>
      <c r="I548" s="10" t="s">
        <v>169</v>
      </c>
      <c r="J548" s="131"/>
      <c r="K548" s="149" t="s">
        <v>1282</v>
      </c>
    </row>
    <row r="549" spans="1:11" ht="28.9" customHeight="1" thickTop="1" thickBot="1" x14ac:dyDescent="0.75">
      <c r="A549" s="6">
        <v>547</v>
      </c>
      <c r="B549" s="57" t="str">
        <f>HYPERLINK("https://search.naver.com/search.naver?query=더 기프트 영화", "더 기프트")</f>
        <v>더 기프트</v>
      </c>
      <c r="C549" s="8">
        <v>7.89</v>
      </c>
      <c r="D549" s="9" t="s">
        <v>1283</v>
      </c>
      <c r="E549" s="6" t="s">
        <v>24</v>
      </c>
      <c r="F549" s="6">
        <v>2015</v>
      </c>
      <c r="G549" s="6" t="s">
        <v>14</v>
      </c>
      <c r="H549" s="7" t="s">
        <v>54</v>
      </c>
      <c r="I549" s="6" t="s">
        <v>38</v>
      </c>
      <c r="J549" s="130"/>
      <c r="K549" s="148" t="s">
        <v>1284</v>
      </c>
    </row>
    <row r="550" spans="1:11" ht="28.9" customHeight="1" thickTop="1" thickBot="1" x14ac:dyDescent="0.75">
      <c r="A550" s="10">
        <v>548</v>
      </c>
      <c r="B550" s="59" t="str">
        <f>HYPERLINK("https://search.naver.com/search.naver?query=더 나이트 매니저 시즌1", "더 나이트 매니저 시즌1")</f>
        <v>더 나이트 매니저 시즌1</v>
      </c>
      <c r="C550" s="16"/>
      <c r="D550" s="17" t="s">
        <v>1285</v>
      </c>
      <c r="E550" s="14" t="s">
        <v>29</v>
      </c>
      <c r="F550" s="14">
        <v>2016</v>
      </c>
      <c r="G550" s="14" t="s">
        <v>20</v>
      </c>
      <c r="H550" s="15" t="s">
        <v>15</v>
      </c>
      <c r="I550" s="14" t="s">
        <v>247</v>
      </c>
      <c r="J550" s="132"/>
      <c r="K550" s="150" t="s">
        <v>1286</v>
      </c>
    </row>
    <row r="551" spans="1:11" ht="28.9" customHeight="1" thickTop="1" thickBot="1" x14ac:dyDescent="0.75">
      <c r="A551" s="6">
        <v>549</v>
      </c>
      <c r="B551" s="57" t="str">
        <f>HYPERLINK("https://search.naver.com/search.naver?query=더 노멀 하트 영화", "더 노멀 하트")</f>
        <v>더 노멀 하트</v>
      </c>
      <c r="C551" s="8">
        <v>6.4</v>
      </c>
      <c r="D551" s="9" t="s">
        <v>1287</v>
      </c>
      <c r="E551" s="6" t="s">
        <v>24</v>
      </c>
      <c r="F551" s="6">
        <v>2014</v>
      </c>
      <c r="G551" s="6" t="s">
        <v>14</v>
      </c>
      <c r="H551" s="7" t="s">
        <v>20</v>
      </c>
      <c r="I551" s="6" t="s">
        <v>558</v>
      </c>
      <c r="J551" s="130"/>
      <c r="K551" s="148" t="s">
        <v>1288</v>
      </c>
    </row>
    <row r="552" spans="1:11" ht="28.9" customHeight="1" thickTop="1" thickBot="1" x14ac:dyDescent="0.75">
      <c r="A552" s="10">
        <v>550</v>
      </c>
      <c r="B552" s="59" t="str">
        <f>HYPERLINK("https://search.naver.com/search.naver?query=더 뉴룩", "더 뉴룩")</f>
        <v>더 뉴룩</v>
      </c>
      <c r="C552" s="16"/>
      <c r="D552" s="17" t="s">
        <v>1289</v>
      </c>
      <c r="E552" s="14" t="s">
        <v>24</v>
      </c>
      <c r="F552" s="14">
        <v>2024</v>
      </c>
      <c r="G552" s="14" t="s">
        <v>20</v>
      </c>
      <c r="H552" s="15" t="s">
        <v>20</v>
      </c>
      <c r="I552" s="14" t="s">
        <v>64</v>
      </c>
      <c r="J552" s="132"/>
      <c r="K552" s="150" t="s">
        <v>1290</v>
      </c>
    </row>
    <row r="553" spans="1:11" ht="28.9" customHeight="1" thickTop="1" thickBot="1" x14ac:dyDescent="0.75">
      <c r="A553" s="6">
        <v>551</v>
      </c>
      <c r="B553" s="57" t="str">
        <f>HYPERLINK("https://search.naver.com/search.naver?query=더 도어맨 영화", "더 도어맨")</f>
        <v>더 도어맨</v>
      </c>
      <c r="C553" s="8">
        <v>6.4</v>
      </c>
      <c r="D553" s="9" t="s">
        <v>1291</v>
      </c>
      <c r="E553" s="6" t="s">
        <v>24</v>
      </c>
      <c r="F553" s="6">
        <v>2020</v>
      </c>
      <c r="G553" s="6" t="s">
        <v>14</v>
      </c>
      <c r="H553" s="7" t="s">
        <v>124</v>
      </c>
      <c r="I553" s="6" t="s">
        <v>169</v>
      </c>
      <c r="J553" s="130"/>
      <c r="K553" s="148" t="s">
        <v>1292</v>
      </c>
    </row>
    <row r="554" spans="1:11" ht="28.9" customHeight="1" thickTop="1" thickBot="1" x14ac:dyDescent="0.75">
      <c r="A554" s="10">
        <v>552</v>
      </c>
      <c r="B554" s="58" t="str">
        <f>HYPERLINK("https://search.naver.com/search.naver?query=더 드롭 영화", "더 드롭")</f>
        <v>더 드롭</v>
      </c>
      <c r="C554" s="12">
        <v>7.29</v>
      </c>
      <c r="D554" s="13" t="s">
        <v>1293</v>
      </c>
      <c r="E554" s="10" t="s">
        <v>24</v>
      </c>
      <c r="F554" s="10">
        <v>2014</v>
      </c>
      <c r="G554" s="10" t="s">
        <v>14</v>
      </c>
      <c r="H554" s="11" t="s">
        <v>428</v>
      </c>
      <c r="I554" s="10" t="s">
        <v>443</v>
      </c>
      <c r="J554" s="131"/>
      <c r="K554" s="149" t="s">
        <v>1294</v>
      </c>
    </row>
    <row r="555" spans="1:11" ht="28.9" customHeight="1" thickTop="1" thickBot="1" x14ac:dyDescent="0.75">
      <c r="A555" s="6">
        <v>553</v>
      </c>
      <c r="B555" s="57" t="str">
        <f>HYPERLINK("https://search.naver.com/search.naver?query=더 디그 영화", "더 디그")</f>
        <v>더 디그</v>
      </c>
      <c r="C555" s="8">
        <v>8.77</v>
      </c>
      <c r="D555" s="9" t="s">
        <v>1295</v>
      </c>
      <c r="E555" s="6" t="s">
        <v>29</v>
      </c>
      <c r="F555" s="6">
        <v>2021</v>
      </c>
      <c r="G555" s="6" t="s">
        <v>14</v>
      </c>
      <c r="H555" s="7" t="s">
        <v>20</v>
      </c>
      <c r="I555" s="6" t="s">
        <v>429</v>
      </c>
      <c r="J555" s="130"/>
      <c r="K555" s="148" t="s">
        <v>1296</v>
      </c>
    </row>
    <row r="556" spans="1:11" ht="28.9" customHeight="1" thickTop="1" thickBot="1" x14ac:dyDescent="0.75">
      <c r="A556" s="10">
        <v>554</v>
      </c>
      <c r="B556" s="58" t="str">
        <f>HYPERLINK("https://search.naver.com/search.naver?query=더 라스트 레터 영화", "더 라스트 레터")</f>
        <v>더 라스트 레터</v>
      </c>
      <c r="C556" s="12">
        <v>9.35</v>
      </c>
      <c r="D556" s="13" t="s">
        <v>1297</v>
      </c>
      <c r="E556" s="10" t="s">
        <v>29</v>
      </c>
      <c r="F556" s="10">
        <v>2021</v>
      </c>
      <c r="G556" s="10" t="s">
        <v>14</v>
      </c>
      <c r="H556" s="11" t="s">
        <v>165</v>
      </c>
      <c r="I556" s="10" t="s">
        <v>129</v>
      </c>
      <c r="J556" s="131"/>
      <c r="K556" s="149" t="s">
        <v>1298</v>
      </c>
    </row>
    <row r="557" spans="1:11" ht="28.9" customHeight="1" thickTop="1" thickBot="1" x14ac:dyDescent="0.75">
      <c r="A557" s="6">
        <v>555</v>
      </c>
      <c r="B557" s="57" t="str">
        <f>HYPERLINK("https://search.naver.com/search.naver?query=더 랍스터 영화", "더 랍스터")</f>
        <v>더 랍스터</v>
      </c>
      <c r="C557" s="8">
        <v>8.23</v>
      </c>
      <c r="D557" s="9" t="s">
        <v>1299</v>
      </c>
      <c r="E557" s="6" t="s">
        <v>944</v>
      </c>
      <c r="F557" s="6">
        <v>2015</v>
      </c>
      <c r="G557" s="6" t="s">
        <v>14</v>
      </c>
      <c r="H557" s="7" t="s">
        <v>20</v>
      </c>
      <c r="I557" s="6" t="s">
        <v>329</v>
      </c>
      <c r="J557" s="130"/>
      <c r="K557" s="148" t="s">
        <v>1300</v>
      </c>
    </row>
    <row r="558" spans="1:11" ht="28.9" customHeight="1" thickTop="1" thickBot="1" x14ac:dyDescent="0.75">
      <c r="A558" s="10">
        <v>556</v>
      </c>
      <c r="B558" s="58" t="str">
        <f>HYPERLINK("https://search.naver.com/search.naver?query=더 러너 영화", "더 러너")</f>
        <v>더 러너</v>
      </c>
      <c r="C558" s="12">
        <v>3.32</v>
      </c>
      <c r="D558" s="13" t="s">
        <v>1301</v>
      </c>
      <c r="E558" s="10" t="s">
        <v>24</v>
      </c>
      <c r="F558" s="10">
        <v>2015</v>
      </c>
      <c r="G558" s="10" t="s">
        <v>14</v>
      </c>
      <c r="H558" s="11" t="s">
        <v>20</v>
      </c>
      <c r="I558" s="10" t="s">
        <v>156</v>
      </c>
      <c r="J558" s="131"/>
      <c r="K558" s="149" t="s">
        <v>1302</v>
      </c>
    </row>
    <row r="559" spans="1:11" ht="28.9" customHeight="1" thickTop="1" thickBot="1" x14ac:dyDescent="0.75">
      <c r="A559" s="6">
        <v>557</v>
      </c>
      <c r="B559" s="57" t="str">
        <f>HYPERLINK("https://search.naver.com/search.naver?query=더 러버스 영화", "더 러버스")</f>
        <v>더 러버스</v>
      </c>
      <c r="C559" s="8">
        <v>6.4</v>
      </c>
      <c r="D559" s="9" t="s">
        <v>1303</v>
      </c>
      <c r="E559" s="6" t="s">
        <v>24</v>
      </c>
      <c r="F559" s="6">
        <v>2018</v>
      </c>
      <c r="G559" s="6" t="s">
        <v>14</v>
      </c>
      <c r="H559" s="7" t="s">
        <v>165</v>
      </c>
      <c r="I559" s="6" t="s">
        <v>468</v>
      </c>
      <c r="J559" s="130"/>
      <c r="K559" s="148" t="s">
        <v>1304</v>
      </c>
    </row>
    <row r="560" spans="1:11" ht="28.9" customHeight="1" thickTop="1" thickBot="1" x14ac:dyDescent="0.75">
      <c r="A560" s="10">
        <v>558</v>
      </c>
      <c r="B560" s="58" t="str">
        <f>HYPERLINK("https://search.naver.com/search.naver?query=더 럭키 원 영화", "더 럭키 원")</f>
        <v>더 럭키 원</v>
      </c>
      <c r="C560" s="12">
        <v>7.8</v>
      </c>
      <c r="D560" s="13" t="s">
        <v>1305</v>
      </c>
      <c r="E560" s="10" t="s">
        <v>24</v>
      </c>
      <c r="F560" s="10">
        <v>2012</v>
      </c>
      <c r="G560" s="10" t="s">
        <v>14</v>
      </c>
      <c r="H560" s="11" t="s">
        <v>20</v>
      </c>
      <c r="I560" s="10" t="s">
        <v>94</v>
      </c>
      <c r="J560" s="131"/>
      <c r="K560" s="149" t="s">
        <v>1306</v>
      </c>
    </row>
    <row r="561" spans="1:11" ht="28.9" customHeight="1" thickTop="1" thickBot="1" x14ac:dyDescent="0.75">
      <c r="A561" s="6">
        <v>559</v>
      </c>
      <c r="B561" s="57" t="str">
        <f>HYPERLINK("https://search.naver.com/search.naver?query=더 레슬러 영화", "더 레슬러")</f>
        <v>더 레슬러</v>
      </c>
      <c r="C561" s="8">
        <v>8.69</v>
      </c>
      <c r="D561" s="9" t="s">
        <v>1307</v>
      </c>
      <c r="E561" s="6" t="s">
        <v>24</v>
      </c>
      <c r="F561" s="6">
        <v>2008</v>
      </c>
      <c r="G561" s="6" t="s">
        <v>14</v>
      </c>
      <c r="H561" s="7" t="s">
        <v>20</v>
      </c>
      <c r="I561" s="6" t="s">
        <v>187</v>
      </c>
      <c r="J561" s="130"/>
      <c r="K561" s="148" t="s">
        <v>1308</v>
      </c>
    </row>
    <row r="562" spans="1:11" ht="28.9" customHeight="1" thickTop="1" thickBot="1" x14ac:dyDescent="0.75">
      <c r="A562" s="10">
        <v>560</v>
      </c>
      <c r="B562" s="58" t="str">
        <f>HYPERLINK("https://search.naver.com/search.naver?query=더 레일웨이 맨 영화", "더 레일웨이 맨")</f>
        <v>더 레일웨이 맨</v>
      </c>
      <c r="C562" s="12">
        <v>7.23</v>
      </c>
      <c r="D562" s="13" t="s">
        <v>1309</v>
      </c>
      <c r="E562" s="10" t="s">
        <v>29</v>
      </c>
      <c r="F562" s="10">
        <v>2013</v>
      </c>
      <c r="G562" s="10" t="s">
        <v>14</v>
      </c>
      <c r="H562" s="11" t="s">
        <v>20</v>
      </c>
      <c r="I562" s="10" t="s">
        <v>591</v>
      </c>
      <c r="J562" s="131"/>
      <c r="K562" s="149" t="s">
        <v>1310</v>
      </c>
    </row>
    <row r="563" spans="1:11" ht="28.9" customHeight="1" thickTop="1" thickBot="1" x14ac:dyDescent="0.75">
      <c r="A563" s="6">
        <v>561</v>
      </c>
      <c r="B563" s="58" t="str">
        <f>HYPERLINK("https://search.naver.com/search.naver?query=더 렛지 영화", "더 렛지")</f>
        <v>더 렛지</v>
      </c>
      <c r="C563" s="12">
        <v>6.46</v>
      </c>
      <c r="D563" s="13" t="s">
        <v>1311</v>
      </c>
      <c r="E563" s="10" t="s">
        <v>24</v>
      </c>
      <c r="F563" s="10">
        <v>2022</v>
      </c>
      <c r="G563" s="10" t="s">
        <v>14</v>
      </c>
      <c r="H563" s="11" t="s">
        <v>54</v>
      </c>
      <c r="I563" s="10" t="s">
        <v>1136</v>
      </c>
      <c r="J563" s="131"/>
      <c r="K563" s="149" t="s">
        <v>1312</v>
      </c>
    </row>
    <row r="564" spans="1:11" ht="28.9" customHeight="1" thickTop="1" thickBot="1" x14ac:dyDescent="0.75">
      <c r="A564" s="10">
        <v>562</v>
      </c>
      <c r="B564" s="57" t="str">
        <f>HYPERLINK("https://search.naver.com/search.naver?query=더 로우라이프 영화", "더 로우라이프")</f>
        <v>더 로우라이프</v>
      </c>
      <c r="C564" s="8">
        <v>6.4</v>
      </c>
      <c r="D564" s="9" t="s">
        <v>1313</v>
      </c>
      <c r="E564" s="6" t="s">
        <v>19</v>
      </c>
      <c r="F564" s="6">
        <v>2017</v>
      </c>
      <c r="G564" s="6" t="s">
        <v>14</v>
      </c>
      <c r="H564" s="7" t="s">
        <v>20</v>
      </c>
      <c r="I564" s="6" t="s">
        <v>133</v>
      </c>
      <c r="J564" s="130"/>
      <c r="K564" s="148" t="s">
        <v>1314</v>
      </c>
    </row>
    <row r="565" spans="1:11" ht="28.9" customHeight="1" thickTop="1" thickBot="1" x14ac:dyDescent="0.75">
      <c r="A565" s="6">
        <v>563</v>
      </c>
      <c r="B565" s="58" t="str">
        <f>HYPERLINK("https://search.naver.com/search.naver?query=더 록 영화", "더 록")</f>
        <v>더 록</v>
      </c>
      <c r="C565" s="12">
        <v>9.3699999999999992</v>
      </c>
      <c r="D565" s="13" t="s">
        <v>1315</v>
      </c>
      <c r="E565" s="10" t="s">
        <v>24</v>
      </c>
      <c r="F565" s="10">
        <v>1996</v>
      </c>
      <c r="G565" s="10" t="s">
        <v>14</v>
      </c>
      <c r="H565" s="11" t="s">
        <v>124</v>
      </c>
      <c r="I565" s="10" t="s">
        <v>578</v>
      </c>
      <c r="J565" s="131"/>
      <c r="K565" s="149" t="s">
        <v>1316</v>
      </c>
    </row>
    <row r="566" spans="1:11" ht="28.9" customHeight="1" thickTop="1" thickBot="1" x14ac:dyDescent="0.75">
      <c r="A566" s="10">
        <v>564</v>
      </c>
      <c r="B566" s="57" t="s">
        <v>1317</v>
      </c>
      <c r="C566" s="8"/>
      <c r="D566" s="9" t="s">
        <v>1318</v>
      </c>
      <c r="E566" s="6" t="s">
        <v>24</v>
      </c>
      <c r="F566" s="6">
        <v>2015</v>
      </c>
      <c r="G566" s="6" t="s">
        <v>14</v>
      </c>
      <c r="H566" s="7" t="s">
        <v>165</v>
      </c>
      <c r="I566" s="6" t="s">
        <v>76</v>
      </c>
      <c r="J566" s="130"/>
      <c r="K566" s="148" t="s">
        <v>1319</v>
      </c>
    </row>
    <row r="567" spans="1:11" ht="28.9" customHeight="1" thickTop="1" thickBot="1" x14ac:dyDescent="0.75">
      <c r="A567" s="6">
        <v>565</v>
      </c>
      <c r="B567" s="59" t="str">
        <f>HYPERLINK("https://search.naver.com/search.naver?query=더 루키 시즌1", "더 루키 시즌1")</f>
        <v>더 루키 시즌1</v>
      </c>
      <c r="C567" s="16"/>
      <c r="D567" s="17" t="s">
        <v>1320</v>
      </c>
      <c r="E567" s="14" t="s">
        <v>24</v>
      </c>
      <c r="F567" s="14">
        <v>2018</v>
      </c>
      <c r="G567" s="14" t="s">
        <v>20</v>
      </c>
      <c r="H567" s="15" t="s">
        <v>1321</v>
      </c>
      <c r="I567" s="14" t="s">
        <v>1322</v>
      </c>
      <c r="J567" s="132"/>
      <c r="K567" s="150" t="s">
        <v>1323</v>
      </c>
    </row>
    <row r="568" spans="1:11" ht="28.9" customHeight="1" thickTop="1" thickBot="1" x14ac:dyDescent="0.75">
      <c r="A568" s="10">
        <v>566</v>
      </c>
      <c r="B568" s="59" t="str">
        <f>HYPERLINK("https://search.naver.com/search.naver?query=더 루키 시즌2", "더 루키 시즌2")</f>
        <v>더 루키 시즌2</v>
      </c>
      <c r="C568" s="16"/>
      <c r="D568" s="17" t="s">
        <v>1320</v>
      </c>
      <c r="E568" s="14" t="s">
        <v>24</v>
      </c>
      <c r="F568" s="14">
        <v>2019</v>
      </c>
      <c r="G568" s="14" t="s">
        <v>20</v>
      </c>
      <c r="H568" s="15" t="s">
        <v>1321</v>
      </c>
      <c r="I568" s="14" t="s">
        <v>1322</v>
      </c>
      <c r="J568" s="132"/>
      <c r="K568" s="150" t="s">
        <v>1324</v>
      </c>
    </row>
    <row r="569" spans="1:11" ht="28.9" customHeight="1" thickTop="1" thickBot="1" x14ac:dyDescent="0.75">
      <c r="A569" s="6">
        <v>567</v>
      </c>
      <c r="B569" s="59" t="str">
        <f>HYPERLINK("https://search.naver.com/search.naver?query=더 루키 시즌3", "더 루키 시즌3")</f>
        <v>더 루키 시즌3</v>
      </c>
      <c r="C569" s="16"/>
      <c r="D569" s="17"/>
      <c r="E569" s="14" t="s">
        <v>24</v>
      </c>
      <c r="F569" s="14">
        <v>2021</v>
      </c>
      <c r="G569" s="14" t="s">
        <v>20</v>
      </c>
      <c r="H569" s="15" t="s">
        <v>1321</v>
      </c>
      <c r="I569" s="14" t="s">
        <v>1322</v>
      </c>
      <c r="J569" s="132"/>
      <c r="K569" s="150" t="s">
        <v>1325</v>
      </c>
    </row>
    <row r="570" spans="1:11" ht="28.9" customHeight="1" thickTop="1" thickBot="1" x14ac:dyDescent="0.75">
      <c r="A570" s="10">
        <v>568</v>
      </c>
      <c r="B570" s="59" t="str">
        <f>HYPERLINK("https://search.naver.com/search.naver?query=더 루키 시즌4", "더 루키 시즌4")</f>
        <v>더 루키 시즌4</v>
      </c>
      <c r="C570" s="16"/>
      <c r="D570" s="17" t="s">
        <v>1326</v>
      </c>
      <c r="E570" s="14" t="s">
        <v>24</v>
      </c>
      <c r="F570" s="14">
        <v>2022</v>
      </c>
      <c r="G570" s="14" t="s">
        <v>20</v>
      </c>
      <c r="H570" s="15" t="s">
        <v>1321</v>
      </c>
      <c r="I570" s="14" t="s">
        <v>1322</v>
      </c>
      <c r="J570" s="132"/>
      <c r="K570" s="150" t="s">
        <v>1327</v>
      </c>
    </row>
    <row r="571" spans="1:11" ht="28.9" customHeight="1" thickTop="1" thickBot="1" x14ac:dyDescent="0.75">
      <c r="A571" s="6">
        <v>569</v>
      </c>
      <c r="B571" s="59" t="str">
        <f>HYPERLINK("https://search.naver.com/search.naver?query=더 루키 시즌5", "더 루키 시즌5")</f>
        <v>더 루키 시즌5</v>
      </c>
      <c r="C571" s="16"/>
      <c r="D571" s="17" t="s">
        <v>1326</v>
      </c>
      <c r="E571" s="14" t="s">
        <v>24</v>
      </c>
      <c r="F571" s="14">
        <v>2022</v>
      </c>
      <c r="G571" s="14" t="s">
        <v>20</v>
      </c>
      <c r="H571" s="15" t="s">
        <v>1321</v>
      </c>
      <c r="I571" s="14" t="s">
        <v>1322</v>
      </c>
      <c r="J571" s="132"/>
      <c r="K571" s="150" t="s">
        <v>1328</v>
      </c>
    </row>
    <row r="572" spans="1:11" ht="28.9" customHeight="1" thickTop="1" thickBot="1" x14ac:dyDescent="0.75">
      <c r="A572" s="10">
        <v>570</v>
      </c>
      <c r="B572" s="59" t="str">
        <f>HYPERLINK("https://search.naver.com/search.naver?query=더 루키 시즌6", "더 루키 시즌6")</f>
        <v>더 루키 시즌6</v>
      </c>
      <c r="C572" s="16"/>
      <c r="D572" s="17" t="s">
        <v>1320</v>
      </c>
      <c r="E572" s="14" t="s">
        <v>24</v>
      </c>
      <c r="F572" s="14">
        <v>2023</v>
      </c>
      <c r="G572" s="14" t="s">
        <v>20</v>
      </c>
      <c r="H572" s="15" t="s">
        <v>1321</v>
      </c>
      <c r="I572" s="14" t="s">
        <v>64</v>
      </c>
      <c r="J572" s="132"/>
      <c r="K572" s="150" t="s">
        <v>1329</v>
      </c>
    </row>
    <row r="573" spans="1:11" ht="28.9" customHeight="1" thickTop="1" thickBot="1" x14ac:dyDescent="0.75">
      <c r="A573" s="6">
        <v>571</v>
      </c>
      <c r="B573" s="58" t="str">
        <f>HYPERLINK("https://search.naver.com/search.naver?query=더 룸2019 영화", "더 룸")</f>
        <v>더 룸</v>
      </c>
      <c r="C573" s="12"/>
      <c r="D573" s="13" t="s">
        <v>1330</v>
      </c>
      <c r="E573" s="10" t="s">
        <v>24</v>
      </c>
      <c r="F573" s="10">
        <v>2019</v>
      </c>
      <c r="G573" s="10" t="s">
        <v>14</v>
      </c>
      <c r="H573" s="11" t="s">
        <v>20</v>
      </c>
      <c r="I573" s="10" t="s">
        <v>179</v>
      </c>
      <c r="J573" s="131"/>
      <c r="K573" s="149" t="s">
        <v>1331</v>
      </c>
    </row>
    <row r="574" spans="1:11" ht="28.9" customHeight="1" thickTop="1" thickBot="1" x14ac:dyDescent="0.75">
      <c r="A574" s="10">
        <v>572</v>
      </c>
      <c r="B574" s="57" t="str">
        <f>HYPERLINK("https://search.naver.com/search.naver?query=더 리더 - 책 읽어주는 남자 영화", "더 리더 - 책 읽어주는 남자")</f>
        <v>더 리더 - 책 읽어주는 남자</v>
      </c>
      <c r="C574" s="8"/>
      <c r="D574" s="9" t="s">
        <v>1332</v>
      </c>
      <c r="E574" s="6" t="s">
        <v>24</v>
      </c>
      <c r="F574" s="6">
        <v>2008</v>
      </c>
      <c r="G574" s="6" t="s">
        <v>14</v>
      </c>
      <c r="H574" s="7" t="s">
        <v>20</v>
      </c>
      <c r="I574" s="6" t="s">
        <v>183</v>
      </c>
      <c r="J574" s="130"/>
      <c r="K574" s="148" t="s">
        <v>1333</v>
      </c>
    </row>
    <row r="575" spans="1:11" ht="28.9" customHeight="1" thickTop="1" thickBot="1" x14ac:dyDescent="0.75">
      <c r="A575" s="6">
        <v>573</v>
      </c>
      <c r="B575" s="58" t="str">
        <f>HYPERLINK("https://search.naver.com/search.naver?query=더 리버 와이 영화", "더 리버 와이")</f>
        <v>더 리버 와이</v>
      </c>
      <c r="C575" s="12">
        <v>6.2</v>
      </c>
      <c r="D575" s="13" t="s">
        <v>1334</v>
      </c>
      <c r="E575" s="10" t="s">
        <v>24</v>
      </c>
      <c r="F575" s="10">
        <v>2010</v>
      </c>
      <c r="G575" s="10" t="s">
        <v>14</v>
      </c>
      <c r="H575" s="11" t="s">
        <v>20</v>
      </c>
      <c r="I575" s="10" t="s">
        <v>94</v>
      </c>
      <c r="J575" s="131"/>
      <c r="K575" s="149" t="s">
        <v>1335</v>
      </c>
    </row>
    <row r="576" spans="1:11" ht="28.9" customHeight="1" thickTop="1" thickBot="1" x14ac:dyDescent="0.75">
      <c r="A576" s="10">
        <v>574</v>
      </c>
      <c r="B576" s="57" t="str">
        <f>HYPERLINK("https://search.naver.com/search.naver?query=더 리벤지 영화", "더 리벤지")</f>
        <v>더 리벤지</v>
      </c>
      <c r="C576" s="8">
        <v>6.1</v>
      </c>
      <c r="D576" s="9" t="s">
        <v>1336</v>
      </c>
      <c r="E576" s="6" t="s">
        <v>24</v>
      </c>
      <c r="F576" s="6">
        <v>2018</v>
      </c>
      <c r="G576" s="6" t="s">
        <v>14</v>
      </c>
      <c r="H576" s="7" t="s">
        <v>124</v>
      </c>
      <c r="I576" s="6" t="s">
        <v>1069</v>
      </c>
      <c r="J576" s="130"/>
      <c r="K576" s="148" t="s">
        <v>1337</v>
      </c>
    </row>
    <row r="577" spans="1:11" ht="28.9" customHeight="1" thickTop="1" thickBot="1" x14ac:dyDescent="0.75">
      <c r="A577" s="6">
        <v>575</v>
      </c>
      <c r="B577" s="58" t="str">
        <f>HYPERLINK("https://search.naver.com/search.naver?query=더 리치 영화", "더 리치")</f>
        <v>더 리치</v>
      </c>
      <c r="C577" s="12">
        <v>8.41</v>
      </c>
      <c r="D577" s="13" t="s">
        <v>1338</v>
      </c>
      <c r="E577" s="10" t="s">
        <v>24</v>
      </c>
      <c r="F577" s="10">
        <v>2014</v>
      </c>
      <c r="G577" s="10" t="s">
        <v>14</v>
      </c>
      <c r="H577" s="11" t="s">
        <v>124</v>
      </c>
      <c r="I577" s="10" t="s">
        <v>156</v>
      </c>
      <c r="J577" s="131"/>
      <c r="K577" s="149" t="s">
        <v>1339</v>
      </c>
    </row>
    <row r="578" spans="1:11" ht="28.9" customHeight="1" thickTop="1" thickBot="1" x14ac:dyDescent="0.75">
      <c r="A578" s="10">
        <v>576</v>
      </c>
      <c r="B578" s="57" t="str">
        <f>HYPERLINK("https://search.naver.com/search.naver?query=더 리틀 띵스 영화", "더 리틀 띵스")</f>
        <v>더 리틀 띵스</v>
      </c>
      <c r="C578" s="8"/>
      <c r="D578" s="9" t="s">
        <v>1340</v>
      </c>
      <c r="E578" s="6" t="s">
        <v>24</v>
      </c>
      <c r="F578" s="6">
        <v>2021</v>
      </c>
      <c r="G578" s="6" t="s">
        <v>14</v>
      </c>
      <c r="H578" s="7" t="s">
        <v>428</v>
      </c>
      <c r="I578" s="6" t="s">
        <v>146</v>
      </c>
      <c r="J578" s="130"/>
      <c r="K578" s="148" t="s">
        <v>1341</v>
      </c>
    </row>
    <row r="579" spans="1:11" ht="28.9" customHeight="1" thickTop="1" thickBot="1" x14ac:dyDescent="0.75">
      <c r="A579" s="6">
        <v>577</v>
      </c>
      <c r="B579" s="58" t="str">
        <f>HYPERLINK("https://search.naver.com/search.naver?query=더 리포트 영화", "더 리포트")</f>
        <v>더 리포트</v>
      </c>
      <c r="C579" s="12">
        <v>6.4</v>
      </c>
      <c r="D579" s="13" t="s">
        <v>1342</v>
      </c>
      <c r="E579" s="10" t="s">
        <v>24</v>
      </c>
      <c r="F579" s="10">
        <v>2019</v>
      </c>
      <c r="G579" s="10" t="s">
        <v>14</v>
      </c>
      <c r="H579" s="11" t="s">
        <v>20</v>
      </c>
      <c r="I579" s="10" t="s">
        <v>329</v>
      </c>
      <c r="J579" s="131"/>
      <c r="K579" s="149" t="s">
        <v>1343</v>
      </c>
    </row>
    <row r="580" spans="1:11" ht="28.9" customHeight="1" thickTop="1" thickBot="1" x14ac:dyDescent="0.75">
      <c r="A580" s="10">
        <v>578</v>
      </c>
      <c r="B580" s="57" t="str">
        <f>HYPERLINK("https://search.naver.com/search.naver?query=더 리프 영화", "더 리프")</f>
        <v>더 리프</v>
      </c>
      <c r="C580" s="8">
        <v>4.04</v>
      </c>
      <c r="D580" s="9" t="s">
        <v>1344</v>
      </c>
      <c r="E580" s="6" t="s">
        <v>45</v>
      </c>
      <c r="F580" s="6">
        <v>2010</v>
      </c>
      <c r="G580" s="6" t="s">
        <v>14</v>
      </c>
      <c r="H580" s="7" t="s">
        <v>382</v>
      </c>
      <c r="I580" s="6" t="s">
        <v>468</v>
      </c>
      <c r="J580" s="130"/>
      <c r="K580" s="148" t="s">
        <v>1345</v>
      </c>
    </row>
    <row r="581" spans="1:11" ht="28.9" customHeight="1" thickTop="1" thickBot="1" x14ac:dyDescent="0.75">
      <c r="A581" s="6">
        <v>579</v>
      </c>
      <c r="B581" s="58" t="str">
        <f>HYPERLINK("https://search.naver.com/search.naver?query=더 립 영화", "더 립")</f>
        <v>더 립</v>
      </c>
      <c r="C581" s="12">
        <v>7.59</v>
      </c>
      <c r="D581" s="13" t="s">
        <v>1346</v>
      </c>
      <c r="E581" s="10" t="s">
        <v>24</v>
      </c>
      <c r="F581" s="10">
        <v>2026</v>
      </c>
      <c r="G581" s="10" t="s">
        <v>14</v>
      </c>
      <c r="H581" s="11" t="s">
        <v>54</v>
      </c>
      <c r="I581" s="10" t="s">
        <v>179</v>
      </c>
      <c r="J581" s="131"/>
      <c r="K581" s="149" t="s">
        <v>1347</v>
      </c>
    </row>
    <row r="582" spans="1:11" ht="28.9" customHeight="1" thickTop="1" thickBot="1" x14ac:dyDescent="0.75">
      <c r="A582" s="10">
        <v>580</v>
      </c>
      <c r="B582" s="57" t="str">
        <f>HYPERLINK("https://search.naver.com/search.naver?query=더 머시 영화", "더 머시")</f>
        <v>더 머시</v>
      </c>
      <c r="C582" s="8"/>
      <c r="D582" s="9" t="s">
        <v>1348</v>
      </c>
      <c r="E582" s="6" t="s">
        <v>29</v>
      </c>
      <c r="F582" s="6">
        <v>2018</v>
      </c>
      <c r="G582" s="6" t="s">
        <v>14</v>
      </c>
      <c r="H582" s="7" t="s">
        <v>20</v>
      </c>
      <c r="I582" s="6" t="s">
        <v>429</v>
      </c>
      <c r="J582" s="130"/>
      <c r="K582" s="148" t="s">
        <v>1349</v>
      </c>
    </row>
    <row r="583" spans="1:11" ht="28.9" customHeight="1" thickTop="1" thickBot="1" x14ac:dyDescent="0.75">
      <c r="A583" s="6">
        <v>581</v>
      </c>
      <c r="B583" s="58" t="str">
        <f>HYPERLINK("https://search.naver.com/search.naver?query=더 메들러 영화", "더 메들러")</f>
        <v>더 메들러</v>
      </c>
      <c r="C583" s="12"/>
      <c r="D583" s="13" t="s">
        <v>1350</v>
      </c>
      <c r="E583" s="10" t="s">
        <v>24</v>
      </c>
      <c r="F583" s="10">
        <v>2015</v>
      </c>
      <c r="G583" s="10" t="s">
        <v>14</v>
      </c>
      <c r="H583" s="11" t="s">
        <v>91</v>
      </c>
      <c r="I583" s="10" t="s">
        <v>179</v>
      </c>
      <c r="J583" s="131"/>
      <c r="K583" s="149" t="s">
        <v>1351</v>
      </c>
    </row>
    <row r="584" spans="1:11" ht="28.9" customHeight="1" thickTop="1" thickBot="1" x14ac:dyDescent="0.75">
      <c r="A584" s="10">
        <v>582</v>
      </c>
      <c r="B584" s="59" t="str">
        <f>HYPERLINK("https://search.naver.com/search.naver?query=더 모닝 쇼 시즌1", "더 모닝 쇼 시즌1")</f>
        <v>더 모닝 쇼 시즌1</v>
      </c>
      <c r="C584" s="16"/>
      <c r="D584" s="17" t="s">
        <v>1352</v>
      </c>
      <c r="E584" s="14" t="s">
        <v>24</v>
      </c>
      <c r="F584" s="14">
        <v>2019</v>
      </c>
      <c r="G584" s="14" t="s">
        <v>20</v>
      </c>
      <c r="H584" s="15" t="s">
        <v>20</v>
      </c>
      <c r="I584" s="14" t="s">
        <v>64</v>
      </c>
      <c r="J584" s="132"/>
      <c r="K584" s="150" t="s">
        <v>1353</v>
      </c>
    </row>
    <row r="585" spans="1:11" ht="28.9" customHeight="1" thickTop="1" thickBot="1" x14ac:dyDescent="0.75">
      <c r="A585" s="6">
        <v>583</v>
      </c>
      <c r="B585" s="59" t="str">
        <f>HYPERLINK("https://search.naver.com/search.naver?query=더 모닝 쇼 시즌2", "더 모닝 쇼 시즌2")</f>
        <v>더 모닝 쇼 시즌2</v>
      </c>
      <c r="C585" s="16"/>
      <c r="D585" s="17" t="s">
        <v>1352</v>
      </c>
      <c r="E585" s="14" t="s">
        <v>24</v>
      </c>
      <c r="F585" s="14">
        <v>2021</v>
      </c>
      <c r="G585" s="14" t="s">
        <v>20</v>
      </c>
      <c r="H585" s="15" t="s">
        <v>20</v>
      </c>
      <c r="I585" s="14" t="s">
        <v>64</v>
      </c>
      <c r="J585" s="132"/>
      <c r="K585" s="150" t="s">
        <v>1354</v>
      </c>
    </row>
    <row r="586" spans="1:11" ht="28.9" customHeight="1" thickTop="1" thickBot="1" x14ac:dyDescent="0.75">
      <c r="A586" s="10">
        <v>584</v>
      </c>
      <c r="B586" s="57" t="str">
        <f>HYPERLINK("https://search.naver.com/search.naver?query=더 문 영화", "더 문")</f>
        <v>더 문</v>
      </c>
      <c r="C586" s="8">
        <v>7.19</v>
      </c>
      <c r="D586" s="9" t="s">
        <v>1355</v>
      </c>
      <c r="E586" s="6" t="s">
        <v>13</v>
      </c>
      <c r="F586" s="6">
        <v>2023</v>
      </c>
      <c r="G586" s="6" t="s">
        <v>14</v>
      </c>
      <c r="H586" s="7" t="s">
        <v>877</v>
      </c>
      <c r="I586" s="6" t="s">
        <v>85</v>
      </c>
      <c r="J586" s="130"/>
      <c r="K586" s="148" t="s">
        <v>1356</v>
      </c>
    </row>
    <row r="587" spans="1:11" ht="28.9" customHeight="1" thickTop="1" thickBot="1" x14ac:dyDescent="0.75">
      <c r="A587" s="6">
        <v>585</v>
      </c>
      <c r="B587" s="58" t="str">
        <f>HYPERLINK("https://search.naver.com/search.naver?query=더 문 영화", "더 문")</f>
        <v>더 문</v>
      </c>
      <c r="C587" s="12">
        <v>7.19</v>
      </c>
      <c r="D587" s="13" t="s">
        <v>1357</v>
      </c>
      <c r="E587" s="10" t="s">
        <v>29</v>
      </c>
      <c r="F587" s="10">
        <v>2009</v>
      </c>
      <c r="G587" s="10" t="s">
        <v>14</v>
      </c>
      <c r="H587" s="11" t="s">
        <v>877</v>
      </c>
      <c r="I587" s="10" t="s">
        <v>169</v>
      </c>
      <c r="J587" s="131"/>
      <c r="K587" s="149" t="s">
        <v>1358</v>
      </c>
    </row>
    <row r="588" spans="1:11" ht="28.9" customHeight="1" thickTop="1" thickBot="1" x14ac:dyDescent="0.75">
      <c r="A588" s="10">
        <v>586</v>
      </c>
      <c r="B588" s="57" t="str">
        <f>HYPERLINK("https://search.naver.com/search.naver?query=더 바디 영화", "더 바디")</f>
        <v>더 바디</v>
      </c>
      <c r="C588" s="8">
        <v>8.1199999999999992</v>
      </c>
      <c r="D588" s="9" t="s">
        <v>1359</v>
      </c>
      <c r="E588" s="6" t="s">
        <v>37</v>
      </c>
      <c r="F588" s="6">
        <v>2012</v>
      </c>
      <c r="G588" s="6" t="s">
        <v>14</v>
      </c>
      <c r="H588" s="7" t="s">
        <v>54</v>
      </c>
      <c r="I588" s="6" t="s">
        <v>429</v>
      </c>
      <c r="J588" s="130"/>
      <c r="K588" s="148" t="s">
        <v>1360</v>
      </c>
    </row>
    <row r="589" spans="1:11" ht="28.9" customHeight="1" thickTop="1" thickBot="1" x14ac:dyDescent="0.75">
      <c r="A589" s="6">
        <v>587</v>
      </c>
      <c r="B589" s="58" t="str">
        <f>HYPERLINK("https://search.naver.com/search.naver?query=더 백 맨 영화", "더 백 맨")</f>
        <v>더 백 맨</v>
      </c>
      <c r="C589" s="12">
        <v>5.69</v>
      </c>
      <c r="D589" s="13" t="s">
        <v>1361</v>
      </c>
      <c r="E589" s="10" t="s">
        <v>24</v>
      </c>
      <c r="F589" s="10">
        <v>2013</v>
      </c>
      <c r="G589" s="10" t="s">
        <v>14</v>
      </c>
      <c r="H589" s="11" t="s">
        <v>428</v>
      </c>
      <c r="I589" s="10" t="s">
        <v>162</v>
      </c>
      <c r="J589" s="131"/>
      <c r="K589" s="149" t="s">
        <v>1362</v>
      </c>
    </row>
    <row r="590" spans="1:11" ht="28.9" customHeight="1" thickTop="1" thickBot="1" x14ac:dyDescent="0.75">
      <c r="A590" s="10">
        <v>588</v>
      </c>
      <c r="B590" s="57" t="str">
        <f>HYPERLINK("https://search.naver.com/search.naver?query=더 뱅커 영화", "더 뱅커")</f>
        <v>더 뱅커</v>
      </c>
      <c r="C590" s="8">
        <v>9.11</v>
      </c>
      <c r="D590" s="9" t="s">
        <v>1363</v>
      </c>
      <c r="E590" s="6" t="s">
        <v>24</v>
      </c>
      <c r="F590" s="6">
        <v>2019</v>
      </c>
      <c r="G590" s="6" t="s">
        <v>14</v>
      </c>
      <c r="H590" s="7" t="s">
        <v>20</v>
      </c>
      <c r="I590" s="6" t="s">
        <v>116</v>
      </c>
      <c r="J590" s="130"/>
      <c r="K590" s="148" t="s">
        <v>1364</v>
      </c>
    </row>
    <row r="591" spans="1:11" ht="28.9" customHeight="1" thickTop="1" thickBot="1" x14ac:dyDescent="0.75">
      <c r="A591" s="6">
        <v>589</v>
      </c>
      <c r="B591" s="58" t="str">
        <f>HYPERLINK("https://search.naver.com/search.naver?query=더 버닝 씨 영화", "더 버닝 씨")</f>
        <v>더 버닝 씨</v>
      </c>
      <c r="C591" s="12">
        <v>8.17</v>
      </c>
      <c r="D591" s="13" t="s">
        <v>1365</v>
      </c>
      <c r="E591" s="10" t="s">
        <v>49</v>
      </c>
      <c r="F591" s="10">
        <v>2023</v>
      </c>
      <c r="G591" s="10" t="s">
        <v>14</v>
      </c>
      <c r="H591" s="11" t="s">
        <v>124</v>
      </c>
      <c r="I591" s="10" t="s">
        <v>443</v>
      </c>
      <c r="J591" s="131"/>
      <c r="K591" s="149" t="s">
        <v>1366</v>
      </c>
    </row>
    <row r="592" spans="1:11" ht="28.9" customHeight="1" thickTop="1" thickBot="1" x14ac:dyDescent="0.75">
      <c r="A592" s="10">
        <v>590</v>
      </c>
      <c r="B592" s="57" t="str">
        <f>HYPERLINK("https://search.naver.com/search.naver?query=더 버츄오소 영화", "더 버츄오소")</f>
        <v>더 버츄오소</v>
      </c>
      <c r="C592" s="8">
        <v>6.4</v>
      </c>
      <c r="D592" s="9" t="s">
        <v>1367</v>
      </c>
      <c r="E592" s="6" t="s">
        <v>24</v>
      </c>
      <c r="F592" s="6">
        <v>2021</v>
      </c>
      <c r="G592" s="6" t="s">
        <v>14</v>
      </c>
      <c r="H592" s="7" t="s">
        <v>54</v>
      </c>
      <c r="I592" s="6" t="s">
        <v>156</v>
      </c>
      <c r="J592" s="130"/>
      <c r="K592" s="148" t="s">
        <v>1368</v>
      </c>
    </row>
    <row r="593" spans="1:11" ht="28.9" customHeight="1" thickTop="1" thickBot="1" x14ac:dyDescent="0.75">
      <c r="A593" s="6">
        <v>591</v>
      </c>
      <c r="B593" s="58" t="str">
        <f>HYPERLINK("https://search.naver.com/search.naver?query=더 베스트 오브 에너미즈 영화", "더 베스트 오브 에너미즈")</f>
        <v>더 베스트 오브 에너미즈</v>
      </c>
      <c r="C593" s="12">
        <v>8.73</v>
      </c>
      <c r="D593" s="13" t="s">
        <v>1369</v>
      </c>
      <c r="E593" s="10" t="s">
        <v>24</v>
      </c>
      <c r="F593" s="10">
        <v>2019</v>
      </c>
      <c r="G593" s="10" t="s">
        <v>14</v>
      </c>
      <c r="H593" s="11" t="s">
        <v>20</v>
      </c>
      <c r="I593" s="10" t="s">
        <v>112</v>
      </c>
      <c r="J593" s="131"/>
      <c r="K593" s="149" t="s">
        <v>1370</v>
      </c>
    </row>
    <row r="594" spans="1:11" ht="28.9" customHeight="1" thickTop="1" thickBot="1" x14ac:dyDescent="0.75">
      <c r="A594" s="10">
        <v>592</v>
      </c>
      <c r="B594" s="59" t="str">
        <f>HYPERLINK("https://search.naver.com/search.naver?query=더 베일", "더 베일")</f>
        <v>더 베일</v>
      </c>
      <c r="C594" s="16"/>
      <c r="D594" s="17" t="s">
        <v>1371</v>
      </c>
      <c r="E594" s="14" t="s">
        <v>24</v>
      </c>
      <c r="F594" s="14">
        <v>2024</v>
      </c>
      <c r="G594" s="14" t="s">
        <v>20</v>
      </c>
      <c r="H594" s="15" t="s">
        <v>15</v>
      </c>
      <c r="I594" s="14" t="s">
        <v>247</v>
      </c>
      <c r="J594" s="132"/>
      <c r="K594" s="150" t="s">
        <v>1372</v>
      </c>
    </row>
    <row r="595" spans="1:11" ht="28.9" customHeight="1" thickTop="1" thickBot="1" x14ac:dyDescent="0.75">
      <c r="A595" s="6">
        <v>593</v>
      </c>
      <c r="B595" s="58" t="str">
        <f>HYPERLINK("https://search.naver.com/search.naver?query=더 보이 넥스트 도어", "더 보이 넥스트 도어")</f>
        <v>더 보이 넥스트 도어</v>
      </c>
      <c r="C595" s="12">
        <v>6.19</v>
      </c>
      <c r="D595" s="13" t="s">
        <v>1373</v>
      </c>
      <c r="E595" s="10" t="s">
        <v>24</v>
      </c>
      <c r="F595" s="10">
        <v>2015</v>
      </c>
      <c r="G595" s="10" t="s">
        <v>14</v>
      </c>
      <c r="H595" s="11" t="s">
        <v>54</v>
      </c>
      <c r="I595" s="10" t="s">
        <v>361</v>
      </c>
      <c r="J595" s="131"/>
      <c r="K595" s="149" t="s">
        <v>1374</v>
      </c>
    </row>
    <row r="596" spans="1:11" ht="28.9" customHeight="1" thickTop="1" thickBot="1" x14ac:dyDescent="0.75">
      <c r="A596" s="10">
        <v>594</v>
      </c>
      <c r="B596" s="57" t="str">
        <f>HYPERLINK("https://search.naver.com/search.naver?query=더 비지트 영화", "더 비지트")</f>
        <v>더 비지트</v>
      </c>
      <c r="C596" s="8">
        <v>6.99</v>
      </c>
      <c r="D596" s="9" t="s">
        <v>1375</v>
      </c>
      <c r="E596" s="6" t="s">
        <v>24</v>
      </c>
      <c r="F596" s="6">
        <v>2015</v>
      </c>
      <c r="G596" s="6" t="s">
        <v>14</v>
      </c>
      <c r="H596" s="7" t="s">
        <v>382</v>
      </c>
      <c r="I596" s="6" t="s">
        <v>468</v>
      </c>
      <c r="J596" s="130"/>
      <c r="K596" s="148" t="s">
        <v>1376</v>
      </c>
    </row>
    <row r="597" spans="1:11" ht="28.9" customHeight="1" thickTop="1" thickBot="1" x14ac:dyDescent="0.75">
      <c r="A597" s="6">
        <v>595</v>
      </c>
      <c r="B597" s="58" t="str">
        <f>HYPERLINK("https://search.naver.com/search.naver?query=더 서클 영화", "더 서클")</f>
        <v>더 서클</v>
      </c>
      <c r="C597" s="12">
        <v>6.9</v>
      </c>
      <c r="D597" s="13" t="s">
        <v>1377</v>
      </c>
      <c r="E597" s="10" t="s">
        <v>24</v>
      </c>
      <c r="F597" s="10">
        <v>2017</v>
      </c>
      <c r="G597" s="10" t="s">
        <v>14</v>
      </c>
      <c r="H597" s="11" t="s">
        <v>817</v>
      </c>
      <c r="I597" s="10" t="s">
        <v>129</v>
      </c>
      <c r="J597" s="131"/>
      <c r="K597" s="149" t="s">
        <v>1378</v>
      </c>
    </row>
    <row r="598" spans="1:11" ht="28.9" customHeight="1" thickTop="1" thickBot="1" x14ac:dyDescent="0.75">
      <c r="A598" s="10">
        <v>596</v>
      </c>
      <c r="B598" s="57" t="str">
        <f>HYPERLINK("https://search.naver.com/search.naver?query=더 셰프 영화", "더 셰프")</f>
        <v>더 셰프</v>
      </c>
      <c r="C598" s="8">
        <v>7.91</v>
      </c>
      <c r="D598" s="9" t="s">
        <v>1233</v>
      </c>
      <c r="E598" s="6" t="s">
        <v>24</v>
      </c>
      <c r="F598" s="6">
        <v>2015</v>
      </c>
      <c r="G598" s="6" t="s">
        <v>14</v>
      </c>
      <c r="H598" s="7" t="s">
        <v>20</v>
      </c>
      <c r="I598" s="6" t="s">
        <v>150</v>
      </c>
      <c r="J598" s="130"/>
      <c r="K598" s="148" t="s">
        <v>1379</v>
      </c>
    </row>
    <row r="599" spans="1:11" ht="28.9" customHeight="1" thickTop="1" thickBot="1" x14ac:dyDescent="0.75">
      <c r="A599" s="6">
        <v>597</v>
      </c>
      <c r="B599" s="58" t="str">
        <f>HYPERLINK("https://search.naver.com/search.naver?query=더 슈퍼 영화", "더 슈퍼")</f>
        <v>더 슈퍼</v>
      </c>
      <c r="C599" s="12"/>
      <c r="D599" s="13" t="s">
        <v>1380</v>
      </c>
      <c r="E599" s="10" t="s">
        <v>24</v>
      </c>
      <c r="F599" s="10">
        <v>2017</v>
      </c>
      <c r="G599" s="10" t="s">
        <v>14</v>
      </c>
      <c r="H599" s="11" t="s">
        <v>54</v>
      </c>
      <c r="I599" s="10" t="s">
        <v>156</v>
      </c>
      <c r="J599" s="131"/>
      <c r="K599" s="149" t="s">
        <v>1381</v>
      </c>
    </row>
    <row r="600" spans="1:11" ht="28.9" customHeight="1" thickTop="1" thickBot="1" x14ac:dyDescent="0.75">
      <c r="A600" s="10">
        <v>598</v>
      </c>
      <c r="B600" s="57" t="str">
        <f>HYPERLINK("https://search.naver.com/search.naver?query=더 스워브 영화", "더 스워브")</f>
        <v>더 스워브</v>
      </c>
      <c r="C600" s="8"/>
      <c r="D600" s="9" t="s">
        <v>1382</v>
      </c>
      <c r="E600" s="6" t="s">
        <v>24</v>
      </c>
      <c r="F600" s="6">
        <v>2019</v>
      </c>
      <c r="G600" s="6" t="s">
        <v>14</v>
      </c>
      <c r="H600" s="7" t="s">
        <v>20</v>
      </c>
      <c r="I600" s="6" t="s">
        <v>150</v>
      </c>
      <c r="J600" s="130"/>
      <c r="K600" s="148" t="s">
        <v>1383</v>
      </c>
    </row>
    <row r="601" spans="1:11" ht="28.9" customHeight="1" thickTop="1" thickBot="1" x14ac:dyDescent="0.75">
      <c r="A601" s="6">
        <v>599</v>
      </c>
      <c r="B601" s="58" t="str">
        <f>HYPERLINK("https://search.naver.com/search.naver?query=더 스토리:세상에 숨겨진 사랑 영화", "더 스토리 - 세상에 숨겨진 사랑")</f>
        <v>더 스토리 - 세상에 숨겨진 사랑</v>
      </c>
      <c r="C601" s="12">
        <v>8</v>
      </c>
      <c r="D601" s="13" t="s">
        <v>1384</v>
      </c>
      <c r="E601" s="10" t="s">
        <v>13</v>
      </c>
      <c r="F601" s="10">
        <v>2012</v>
      </c>
      <c r="G601" s="10" t="s">
        <v>14</v>
      </c>
      <c r="H601" s="11" t="s">
        <v>165</v>
      </c>
      <c r="I601" s="10" t="s">
        <v>133</v>
      </c>
      <c r="J601" s="131"/>
      <c r="K601" s="149" t="s">
        <v>1385</v>
      </c>
    </row>
    <row r="602" spans="1:11" ht="28.9" customHeight="1" thickTop="1" thickBot="1" x14ac:dyDescent="0.75">
      <c r="A602" s="10">
        <v>600</v>
      </c>
      <c r="B602" s="57" t="str">
        <f>HYPERLINK("https://search.naver.com/search.naver?query=더 스톰 영화", "더 스톰")</f>
        <v>더 스톰</v>
      </c>
      <c r="C602" s="8">
        <v>6.4</v>
      </c>
      <c r="D602" s="9" t="s">
        <v>1386</v>
      </c>
      <c r="E602" s="6" t="s">
        <v>24</v>
      </c>
      <c r="F602" s="6">
        <v>2009</v>
      </c>
      <c r="G602" s="6" t="s">
        <v>14</v>
      </c>
      <c r="H602" s="7" t="s">
        <v>124</v>
      </c>
      <c r="I602" s="6" t="s">
        <v>16</v>
      </c>
      <c r="J602" s="130"/>
      <c r="K602" s="148" t="s">
        <v>1387</v>
      </c>
    </row>
    <row r="603" spans="1:11" ht="28.9" customHeight="1" thickTop="1" thickBot="1" x14ac:dyDescent="0.75">
      <c r="A603" s="6">
        <v>601</v>
      </c>
      <c r="B603" s="58" t="str">
        <f>HYPERLINK("https://search.naver.com/search.naver?query=더 스파이 영화", "더 스파이")</f>
        <v>더 스파이</v>
      </c>
      <c r="C603" s="12">
        <v>8.5</v>
      </c>
      <c r="D603" s="13" t="s">
        <v>1388</v>
      </c>
      <c r="E603" s="10" t="s">
        <v>29</v>
      </c>
      <c r="F603" s="10">
        <v>2020</v>
      </c>
      <c r="G603" s="10" t="s">
        <v>14</v>
      </c>
      <c r="H603" s="11" t="s">
        <v>54</v>
      </c>
      <c r="I603" s="10" t="s">
        <v>429</v>
      </c>
      <c r="J603" s="131"/>
      <c r="K603" s="149" t="s">
        <v>1389</v>
      </c>
    </row>
    <row r="604" spans="1:11" ht="28.9" customHeight="1" thickTop="1" thickBot="1" x14ac:dyDescent="0.75">
      <c r="A604" s="10">
        <v>602</v>
      </c>
      <c r="B604" s="59" t="str">
        <f>HYPERLINK("https://search.naver.com/search.naver?query=더 스플릿 시즌1", "더 스플릿 시즌1")</f>
        <v>더 스플릿 시즌1</v>
      </c>
      <c r="C604" s="16"/>
      <c r="D604" s="17" t="s">
        <v>1390</v>
      </c>
      <c r="E604" s="14" t="s">
        <v>29</v>
      </c>
      <c r="F604" s="14">
        <v>2018</v>
      </c>
      <c r="G604" s="14" t="s">
        <v>20</v>
      </c>
      <c r="H604" s="15" t="s">
        <v>20</v>
      </c>
      <c r="I604" s="14" t="s">
        <v>247</v>
      </c>
      <c r="J604" s="132"/>
      <c r="K604" s="150" t="s">
        <v>1391</v>
      </c>
    </row>
    <row r="605" spans="1:11" ht="28.9" customHeight="1" thickTop="1" thickBot="1" x14ac:dyDescent="0.75">
      <c r="A605" s="6">
        <v>603</v>
      </c>
      <c r="B605" s="58" t="str">
        <f>HYPERLINK("https://search.naver.com/search.naver?query=더 시크릿 영화", "더 시크릿")</f>
        <v>더 시크릿</v>
      </c>
      <c r="C605" s="12">
        <v>6.7</v>
      </c>
      <c r="D605" s="13" t="s">
        <v>1392</v>
      </c>
      <c r="E605" s="10" t="s">
        <v>24</v>
      </c>
      <c r="F605" s="10">
        <v>2007</v>
      </c>
      <c r="G605" s="10" t="s">
        <v>14</v>
      </c>
      <c r="H605" s="11" t="s">
        <v>226</v>
      </c>
      <c r="I605" s="10" t="s">
        <v>156</v>
      </c>
      <c r="J605" s="131"/>
      <c r="K605" s="149" t="s">
        <v>1393</v>
      </c>
    </row>
    <row r="606" spans="1:11" ht="28.9" customHeight="1" thickTop="1" thickBot="1" x14ac:dyDescent="0.75">
      <c r="A606" s="10">
        <v>604</v>
      </c>
      <c r="B606" s="57" t="str">
        <f>HYPERLINK("https://search.naver.com/search.naver?query=더 시크릿 위 킵 영화", "더 시크릿 위 킵")</f>
        <v>더 시크릿 위 킵</v>
      </c>
      <c r="C606" s="8">
        <v>6.7</v>
      </c>
      <c r="D606" s="9" t="s">
        <v>1394</v>
      </c>
      <c r="E606" s="6" t="s">
        <v>24</v>
      </c>
      <c r="F606" s="6">
        <v>2020</v>
      </c>
      <c r="G606" s="6" t="s">
        <v>14</v>
      </c>
      <c r="H606" s="7" t="s">
        <v>20</v>
      </c>
      <c r="I606" s="6" t="s">
        <v>169</v>
      </c>
      <c r="J606" s="130"/>
      <c r="K606" s="148" t="s">
        <v>1395</v>
      </c>
    </row>
    <row r="607" spans="1:11" ht="28.9" customHeight="1" thickTop="1" thickBot="1" x14ac:dyDescent="0.75">
      <c r="A607" s="6">
        <v>605</v>
      </c>
      <c r="B607" s="58" t="str">
        <f>HYPERLINK("https://search.naver.com/search.naver?query=더 시크릿:데어 투 드림 영화", "더 시크릿-데어 투 드림")</f>
        <v>더 시크릿-데어 투 드림</v>
      </c>
      <c r="C607" s="12">
        <v>9.1999999999999993</v>
      </c>
      <c r="D607" s="13" t="s">
        <v>1396</v>
      </c>
      <c r="E607" s="10" t="s">
        <v>24</v>
      </c>
      <c r="F607" s="10">
        <v>2020</v>
      </c>
      <c r="G607" s="10" t="s">
        <v>14</v>
      </c>
      <c r="H607" s="11" t="s">
        <v>20</v>
      </c>
      <c r="I607" s="10" t="s">
        <v>242</v>
      </c>
      <c r="J607" s="131"/>
      <c r="K607" s="149" t="s">
        <v>1397</v>
      </c>
    </row>
    <row r="608" spans="1:11" ht="28.9" customHeight="1" thickTop="1" thickBot="1" x14ac:dyDescent="0.75">
      <c r="A608" s="10">
        <v>606</v>
      </c>
      <c r="B608" s="57" t="str">
        <f>HYPERLINK("https://search.naver.com/search.naver?query=더 썬 영화", "더 썬")</f>
        <v>더 썬</v>
      </c>
      <c r="C608" s="8">
        <v>6.69</v>
      </c>
      <c r="D608" s="9" t="s">
        <v>1398</v>
      </c>
      <c r="E608" s="6" t="s">
        <v>29</v>
      </c>
      <c r="F608" s="6">
        <v>2023</v>
      </c>
      <c r="G608" s="6" t="s">
        <v>14</v>
      </c>
      <c r="H608" s="7" t="s">
        <v>20</v>
      </c>
      <c r="I608" s="6" t="s">
        <v>76</v>
      </c>
      <c r="J608" s="130"/>
      <c r="K608" s="148" t="s">
        <v>1399</v>
      </c>
    </row>
    <row r="609" spans="1:11" ht="28.9" customHeight="1" thickTop="1" thickBot="1" x14ac:dyDescent="0.75">
      <c r="A609" s="6">
        <v>607</v>
      </c>
      <c r="B609" s="58" t="str">
        <f>HYPERLINK("https://search.naver.com/search.naver?query=더 아웃포스트 영화", "더 아웃포스트")</f>
        <v>더 아웃포스트</v>
      </c>
      <c r="C609" s="12">
        <v>3</v>
      </c>
      <c r="D609" s="13" t="s">
        <v>1400</v>
      </c>
      <c r="E609" s="10" t="s">
        <v>24</v>
      </c>
      <c r="F609" s="10">
        <v>2020</v>
      </c>
      <c r="G609" s="10" t="s">
        <v>14</v>
      </c>
      <c r="H609" s="11" t="s">
        <v>1247</v>
      </c>
      <c r="I609" s="10" t="s">
        <v>76</v>
      </c>
      <c r="J609" s="131"/>
      <c r="K609" s="149" t="s">
        <v>1401</v>
      </c>
    </row>
    <row r="610" spans="1:11" ht="28.9" customHeight="1" thickTop="1" thickBot="1" x14ac:dyDescent="0.75">
      <c r="A610" s="10">
        <v>608</v>
      </c>
      <c r="B610" s="57" t="str">
        <f>HYPERLINK("https://search.naver.com/search.naver?query=더 언홀리 영화", "더 언홀리")</f>
        <v>더 언홀리</v>
      </c>
      <c r="C610" s="8">
        <v>4</v>
      </c>
      <c r="D610" s="9" t="s">
        <v>1402</v>
      </c>
      <c r="E610" s="6" t="s">
        <v>24</v>
      </c>
      <c r="F610" s="6">
        <v>2021</v>
      </c>
      <c r="G610" s="6" t="s">
        <v>14</v>
      </c>
      <c r="H610" s="7" t="s">
        <v>382</v>
      </c>
      <c r="I610" s="6" t="s">
        <v>109</v>
      </c>
      <c r="J610" s="130"/>
      <c r="K610" s="148" t="s">
        <v>1403</v>
      </c>
    </row>
    <row r="611" spans="1:11" ht="28.9" customHeight="1" thickTop="1" thickBot="1" x14ac:dyDescent="0.75">
      <c r="A611" s="6">
        <v>609</v>
      </c>
      <c r="B611" s="58" t="str">
        <f>HYPERLINK("https://search.naver.com/search.naver?query=더 와이프 영화", "더 와이프")</f>
        <v>더 와이프</v>
      </c>
      <c r="C611" s="12">
        <v>8.59</v>
      </c>
      <c r="D611" s="13" t="s">
        <v>1404</v>
      </c>
      <c r="E611" s="10" t="s">
        <v>1043</v>
      </c>
      <c r="F611" s="10">
        <v>2017</v>
      </c>
      <c r="G611" s="10" t="s">
        <v>14</v>
      </c>
      <c r="H611" s="11" t="s">
        <v>20</v>
      </c>
      <c r="I611" s="10" t="s">
        <v>179</v>
      </c>
      <c r="J611" s="131"/>
      <c r="K611" s="149" t="s">
        <v>850</v>
      </c>
    </row>
    <row r="612" spans="1:11" ht="28.9" customHeight="1" thickTop="1" thickBot="1" x14ac:dyDescent="0.75">
      <c r="A612" s="10">
        <v>610</v>
      </c>
      <c r="B612" s="57" t="str">
        <f>HYPERLINK("https://search.naver.com/search.naver?query=더 울프 오브 월 스트리트 영화", "더 울프 오브 월 스트리트")</f>
        <v>더 울프 오브 월 스트리트</v>
      </c>
      <c r="C612" s="8">
        <v>8.1</v>
      </c>
      <c r="D612" s="9" t="s">
        <v>1405</v>
      </c>
      <c r="E612" s="6" t="s">
        <v>24</v>
      </c>
      <c r="F612" s="6">
        <v>2013</v>
      </c>
      <c r="G612" s="6" t="s">
        <v>14</v>
      </c>
      <c r="H612" s="7" t="s">
        <v>20</v>
      </c>
      <c r="I612" s="6" t="s">
        <v>1406</v>
      </c>
      <c r="J612" s="130"/>
      <c r="K612" s="148" t="s">
        <v>1407</v>
      </c>
    </row>
    <row r="613" spans="1:11" ht="28.9" customHeight="1" thickTop="1" thickBot="1" x14ac:dyDescent="0.75">
      <c r="A613" s="6">
        <v>611</v>
      </c>
      <c r="B613" s="58" t="str">
        <f>HYPERLINK("https://search.naver.com/search.naver?query=더 웨딩 링거 영화", "더 웨딩 링거")</f>
        <v>더 웨딩 링거</v>
      </c>
      <c r="C613" s="12">
        <v>6.4</v>
      </c>
      <c r="D613" s="13" t="s">
        <v>1408</v>
      </c>
      <c r="E613" s="10" t="s">
        <v>24</v>
      </c>
      <c r="F613" s="10">
        <v>2015</v>
      </c>
      <c r="G613" s="10" t="s">
        <v>14</v>
      </c>
      <c r="H613" s="11" t="s">
        <v>91</v>
      </c>
      <c r="I613" s="10" t="s">
        <v>94</v>
      </c>
      <c r="J613" s="131"/>
      <c r="K613" s="149" t="s">
        <v>1409</v>
      </c>
    </row>
    <row r="614" spans="1:11" ht="28.9" customHeight="1" thickTop="1" thickBot="1" x14ac:dyDescent="0.75">
      <c r="A614" s="10">
        <v>612</v>
      </c>
      <c r="B614" s="57" t="str">
        <f>HYPERLINK("https://search.naver.com/search.naver?query=더 웨이 백 영화", "더 웨이 백")</f>
        <v>더 웨이 백</v>
      </c>
      <c r="C614" s="8">
        <v>8.27</v>
      </c>
      <c r="D614" s="9" t="s">
        <v>1410</v>
      </c>
      <c r="E614" s="6" t="s">
        <v>24</v>
      </c>
      <c r="F614" s="6">
        <v>2020</v>
      </c>
      <c r="G614" s="6" t="s">
        <v>14</v>
      </c>
      <c r="H614" s="7" t="s">
        <v>20</v>
      </c>
      <c r="I614" s="6" t="s">
        <v>38</v>
      </c>
      <c r="J614" s="130"/>
      <c r="K614" s="148" t="s">
        <v>1411</v>
      </c>
    </row>
    <row r="615" spans="1:11" ht="28.9" customHeight="1" thickTop="1" thickBot="1" x14ac:dyDescent="0.75">
      <c r="A615" s="6">
        <v>613</v>
      </c>
      <c r="B615" s="58" t="str">
        <f>HYPERLINK("https://search.naver.com/search.naver?query=더 웨이, 웨이 백 영화", "더 웨이, 웨이 백")</f>
        <v>더 웨이, 웨이 백</v>
      </c>
      <c r="C615" s="12">
        <v>9.67</v>
      </c>
      <c r="D615" s="13" t="s">
        <v>1412</v>
      </c>
      <c r="E615" s="10" t="s">
        <v>24</v>
      </c>
      <c r="F615" s="10">
        <v>2013</v>
      </c>
      <c r="G615" s="10" t="s">
        <v>14</v>
      </c>
      <c r="H615" s="11" t="s">
        <v>91</v>
      </c>
      <c r="I615" s="10" t="s">
        <v>276</v>
      </c>
      <c r="J615" s="131"/>
      <c r="K615" s="149" t="s">
        <v>1413</v>
      </c>
    </row>
    <row r="616" spans="1:11" ht="28.9" customHeight="1" thickTop="1" thickBot="1" x14ac:dyDescent="0.75">
      <c r="A616" s="10">
        <v>614</v>
      </c>
      <c r="B616" s="57" t="str">
        <f>HYPERLINK("https://search.naver.com/search.naver?query=더 웨이브 영화", "더 웨이브")</f>
        <v>더 웨이브</v>
      </c>
      <c r="C616" s="8">
        <v>7.7</v>
      </c>
      <c r="D616" s="9" t="s">
        <v>1414</v>
      </c>
      <c r="E616" s="6" t="s">
        <v>49</v>
      </c>
      <c r="F616" s="6">
        <v>2015</v>
      </c>
      <c r="G616" s="6" t="s">
        <v>14</v>
      </c>
      <c r="H616" s="7" t="s">
        <v>1255</v>
      </c>
      <c r="I616" s="6" t="s">
        <v>175</v>
      </c>
      <c r="J616" s="130"/>
      <c r="K616" s="148" t="s">
        <v>1415</v>
      </c>
    </row>
    <row r="617" spans="1:11" ht="28.9" customHeight="1" thickTop="1" thickBot="1" x14ac:dyDescent="0.75">
      <c r="A617" s="6">
        <v>615</v>
      </c>
      <c r="B617" s="58" t="str">
        <f>HYPERLINK("https://search.naver.com/search.naver?query=더 유니온 영화", "더 유니온")</f>
        <v>더 유니온</v>
      </c>
      <c r="C617" s="12">
        <v>4.47</v>
      </c>
      <c r="D617" s="13" t="s">
        <v>1416</v>
      </c>
      <c r="E617" s="10" t="s">
        <v>24</v>
      </c>
      <c r="F617" s="10">
        <v>2024</v>
      </c>
      <c r="G617" s="10" t="s">
        <v>14</v>
      </c>
      <c r="H617" s="11" t="s">
        <v>124</v>
      </c>
      <c r="I617" s="10" t="s">
        <v>101</v>
      </c>
      <c r="J617" s="131"/>
      <c r="K617" s="149" t="s">
        <v>1417</v>
      </c>
    </row>
    <row r="618" spans="1:11" ht="28.9" customHeight="1" thickTop="1" thickBot="1" x14ac:dyDescent="0.75">
      <c r="A618" s="10">
        <v>616</v>
      </c>
      <c r="B618" s="57" t="str">
        <f>HYPERLINK("https://search.naver.com/search.naver?query=더 이퀄라이저 영화", "더 이퀄라이저")</f>
        <v>더 이퀄라이저</v>
      </c>
      <c r="C618" s="8">
        <v>8.1300000000000008</v>
      </c>
      <c r="D618" s="9" t="s">
        <v>1418</v>
      </c>
      <c r="E618" s="6" t="s">
        <v>24</v>
      </c>
      <c r="F618" s="6">
        <v>2014</v>
      </c>
      <c r="G618" s="6" t="s">
        <v>14</v>
      </c>
      <c r="H618" s="7" t="s">
        <v>124</v>
      </c>
      <c r="I618" s="6" t="s">
        <v>558</v>
      </c>
      <c r="J618" s="130"/>
      <c r="K618" s="148" t="s">
        <v>1419</v>
      </c>
    </row>
    <row r="619" spans="1:11" ht="28.9" customHeight="1" thickTop="1" thickBot="1" x14ac:dyDescent="0.75">
      <c r="A619" s="6">
        <v>617</v>
      </c>
      <c r="B619" s="58" t="str">
        <f>HYPERLINK("https://search.naver.com/search.naver?query=더 이퀄라이저 2 영화", "더 이퀄라이저 2")</f>
        <v>더 이퀄라이저 2</v>
      </c>
      <c r="C619" s="12">
        <v>8.74</v>
      </c>
      <c r="D619" s="13" t="s">
        <v>1420</v>
      </c>
      <c r="E619" s="10" t="s">
        <v>24</v>
      </c>
      <c r="F619" s="10">
        <v>2018</v>
      </c>
      <c r="G619" s="10" t="s">
        <v>14</v>
      </c>
      <c r="H619" s="11" t="s">
        <v>124</v>
      </c>
      <c r="I619" s="10" t="s">
        <v>195</v>
      </c>
      <c r="J619" s="131"/>
      <c r="K619" s="149" t="s">
        <v>1421</v>
      </c>
    </row>
    <row r="620" spans="1:11" ht="28.9" customHeight="1" thickTop="1" thickBot="1" x14ac:dyDescent="0.75">
      <c r="A620" s="10">
        <v>618</v>
      </c>
      <c r="B620" s="57" t="str">
        <f>HYPERLINK("https://search.naver.com/search.naver?query=더 이퀄라이저 3 영화", "더 이퀄라이저 3")</f>
        <v>더 이퀄라이저 3</v>
      </c>
      <c r="C620" s="8">
        <v>6.4</v>
      </c>
      <c r="D620" s="9" t="s">
        <v>1422</v>
      </c>
      <c r="E620" s="6" t="s">
        <v>24</v>
      </c>
      <c r="F620" s="6">
        <v>2023</v>
      </c>
      <c r="G620" s="6" t="s">
        <v>14</v>
      </c>
      <c r="H620" s="7" t="s">
        <v>124</v>
      </c>
      <c r="I620" s="6" t="s">
        <v>276</v>
      </c>
      <c r="J620" s="130"/>
      <c r="K620" s="148" t="s">
        <v>1423</v>
      </c>
    </row>
    <row r="621" spans="1:11" ht="28.9" customHeight="1" thickTop="1" thickBot="1" x14ac:dyDescent="0.75">
      <c r="A621" s="6">
        <v>619</v>
      </c>
      <c r="B621" s="58" t="str">
        <f>HYPERLINK("https://search.naver.com/search.naver?query=더 익스프레스 영화", "더 익스프레스")</f>
        <v>더 익스프레스</v>
      </c>
      <c r="C621" s="12">
        <v>6.4</v>
      </c>
      <c r="D621" s="13" t="s">
        <v>1424</v>
      </c>
      <c r="E621" s="10" t="s">
        <v>24</v>
      </c>
      <c r="F621" s="10">
        <v>2008</v>
      </c>
      <c r="G621" s="10" t="s">
        <v>14</v>
      </c>
      <c r="H621" s="11" t="s">
        <v>20</v>
      </c>
      <c r="I621" s="10" t="s">
        <v>85</v>
      </c>
      <c r="J621" s="131"/>
      <c r="K621" s="149" t="s">
        <v>1425</v>
      </c>
    </row>
    <row r="622" spans="1:11" ht="28.9" customHeight="1" thickTop="1" thickBot="1" x14ac:dyDescent="0.75">
      <c r="A622" s="10">
        <v>620</v>
      </c>
      <c r="B622" s="57" t="str">
        <f>HYPERLINK("https://search.naver.com/search.naver?query=더 임파서블 영화", "더 임파서블")</f>
        <v>더 임파서블</v>
      </c>
      <c r="C622" s="8">
        <v>8.2200000000000006</v>
      </c>
      <c r="D622" s="9" t="s">
        <v>1426</v>
      </c>
      <c r="E622" s="6" t="s">
        <v>37</v>
      </c>
      <c r="F622" s="6">
        <v>2012</v>
      </c>
      <c r="G622" s="6" t="s">
        <v>14</v>
      </c>
      <c r="H622" s="7" t="s">
        <v>20</v>
      </c>
      <c r="I622" s="6" t="s">
        <v>98</v>
      </c>
      <c r="J622" s="130"/>
      <c r="K622" s="148" t="s">
        <v>1427</v>
      </c>
    </row>
    <row r="623" spans="1:11" ht="28.9" customHeight="1" thickTop="1" thickBot="1" x14ac:dyDescent="0.75">
      <c r="A623" s="6">
        <v>621</v>
      </c>
      <c r="B623" s="58" t="str">
        <f>HYPERLINK("https://search.naver.com/search.naver?query=더 저지 영화", "더 저지")</f>
        <v>더 저지</v>
      </c>
      <c r="C623" s="12">
        <v>9.09</v>
      </c>
      <c r="D623" s="13" t="s">
        <v>1428</v>
      </c>
      <c r="E623" s="10" t="s">
        <v>24</v>
      </c>
      <c r="F623" s="10">
        <v>2014</v>
      </c>
      <c r="G623" s="10" t="s">
        <v>14</v>
      </c>
      <c r="H623" s="11" t="s">
        <v>20</v>
      </c>
      <c r="I623" s="10" t="s">
        <v>759</v>
      </c>
      <c r="J623" s="131"/>
      <c r="K623" s="149" t="s">
        <v>1429</v>
      </c>
    </row>
    <row r="624" spans="1:11" ht="28.9" customHeight="1" thickTop="1" thickBot="1" x14ac:dyDescent="0.75">
      <c r="A624" s="10">
        <v>622</v>
      </c>
      <c r="B624" s="57" t="str">
        <f>HYPERLINK("https://search.naver.com/search.naver?query=더 카드 카운터 영화", "더 카드 카운터")</f>
        <v>더 카드 카운터</v>
      </c>
      <c r="C624" s="8">
        <v>6.4</v>
      </c>
      <c r="D624" s="9" t="s">
        <v>1430</v>
      </c>
      <c r="E624" s="6" t="s">
        <v>24</v>
      </c>
      <c r="F624" s="6">
        <v>2021</v>
      </c>
      <c r="G624" s="6" t="s">
        <v>14</v>
      </c>
      <c r="H624" s="7" t="s">
        <v>20</v>
      </c>
      <c r="I624" s="6" t="s">
        <v>137</v>
      </c>
      <c r="J624" s="130"/>
      <c r="K624" s="148" t="s">
        <v>1431</v>
      </c>
    </row>
    <row r="625" spans="1:11" ht="28.9" customHeight="1" thickTop="1" thickBot="1" x14ac:dyDescent="0.75">
      <c r="A625" s="6">
        <v>623</v>
      </c>
      <c r="B625" s="58" t="str">
        <f>HYPERLINK("https://search.naver.com/search.naver?query=더 캐니언 영화", "더 캐니언")</f>
        <v>더 캐니언</v>
      </c>
      <c r="C625" s="12">
        <v>8.76</v>
      </c>
      <c r="D625" s="13" t="s">
        <v>1432</v>
      </c>
      <c r="E625" s="10" t="s">
        <v>24</v>
      </c>
      <c r="F625" s="10">
        <v>2025</v>
      </c>
      <c r="G625" s="10" t="s">
        <v>14</v>
      </c>
      <c r="H625" s="11" t="s">
        <v>124</v>
      </c>
      <c r="I625" s="10" t="s">
        <v>116</v>
      </c>
      <c r="J625" s="131"/>
      <c r="K625" s="149" t="s">
        <v>1433</v>
      </c>
    </row>
    <row r="626" spans="1:11" ht="28.9" customHeight="1" thickTop="1" thickBot="1" x14ac:dyDescent="0.75">
      <c r="A626" s="10">
        <v>624</v>
      </c>
      <c r="B626" s="59" t="str">
        <f>HYPERLINK("https://search.naver.com/search.naver?query=더 캡처 시즌1", "더 캡처 시즌1")</f>
        <v>더 캡처 시즌1</v>
      </c>
      <c r="C626" s="16"/>
      <c r="D626" s="17" t="s">
        <v>1434</v>
      </c>
      <c r="E626" s="14" t="s">
        <v>29</v>
      </c>
      <c r="F626" s="14">
        <v>2019</v>
      </c>
      <c r="G626" s="14" t="s">
        <v>20</v>
      </c>
      <c r="H626" s="15" t="s">
        <v>15</v>
      </c>
      <c r="I626" s="14" t="s">
        <v>247</v>
      </c>
      <c r="J626" s="132"/>
      <c r="K626" s="150" t="s">
        <v>1435</v>
      </c>
    </row>
    <row r="627" spans="1:11" ht="28.9" customHeight="1" thickTop="1" thickBot="1" x14ac:dyDescent="0.75">
      <c r="A627" s="6">
        <v>625</v>
      </c>
      <c r="B627" s="59" t="str">
        <f>HYPERLINK("https://search.naver.com/search.naver?query=더 캡처 시즌2", "더 캡처 시즌2")</f>
        <v>더 캡처 시즌2</v>
      </c>
      <c r="C627" s="16"/>
      <c r="D627" s="17" t="s">
        <v>1434</v>
      </c>
      <c r="E627" s="14" t="s">
        <v>29</v>
      </c>
      <c r="F627" s="14">
        <v>2022</v>
      </c>
      <c r="G627" s="14" t="s">
        <v>20</v>
      </c>
      <c r="H627" s="15" t="s">
        <v>15</v>
      </c>
      <c r="I627" s="14" t="s">
        <v>247</v>
      </c>
      <c r="J627" s="132"/>
      <c r="K627" s="150" t="s">
        <v>1436</v>
      </c>
    </row>
    <row r="628" spans="1:11" ht="28.9" customHeight="1" thickTop="1" thickBot="1" x14ac:dyDescent="0.75">
      <c r="A628" s="10">
        <v>626</v>
      </c>
      <c r="B628" s="57" t="str">
        <f>HYPERLINK("https://search.naver.com/search.naver?query=더 캡틴 영화", "더 캡틴")</f>
        <v>더 캡틴</v>
      </c>
      <c r="C628" s="8">
        <v>8.2200000000000006</v>
      </c>
      <c r="D628" s="9" t="s">
        <v>1437</v>
      </c>
      <c r="E628" s="6" t="s">
        <v>136</v>
      </c>
      <c r="F628" s="6">
        <v>2017</v>
      </c>
      <c r="G628" s="6" t="s">
        <v>14</v>
      </c>
      <c r="H628" s="7" t="s">
        <v>20</v>
      </c>
      <c r="I628" s="6" t="s">
        <v>329</v>
      </c>
      <c r="J628" s="130"/>
      <c r="K628" s="148" t="s">
        <v>1438</v>
      </c>
    </row>
    <row r="629" spans="1:11" ht="28.9" customHeight="1" thickTop="1" thickBot="1" x14ac:dyDescent="0.75">
      <c r="A629" s="6">
        <v>627</v>
      </c>
      <c r="B629" s="58" t="str">
        <f>HYPERLINK("https://search.naver.com/search.naver?query=더 커리어 영화", "더 커리어")</f>
        <v>더 커리어</v>
      </c>
      <c r="C629" s="12">
        <v>4.9000000000000004</v>
      </c>
      <c r="D629" s="13" t="s">
        <v>1439</v>
      </c>
      <c r="E629" s="10" t="s">
        <v>24</v>
      </c>
      <c r="F629" s="10">
        <v>2019</v>
      </c>
      <c r="G629" s="10" t="s">
        <v>14</v>
      </c>
      <c r="H629" s="11" t="s">
        <v>91</v>
      </c>
      <c r="I629" s="10" t="s">
        <v>150</v>
      </c>
      <c r="J629" s="131"/>
      <c r="K629" s="149" t="s">
        <v>1440</v>
      </c>
    </row>
    <row r="630" spans="1:11" ht="28.9" customHeight="1" thickTop="1" thickBot="1" x14ac:dyDescent="0.75">
      <c r="A630" s="10">
        <v>628</v>
      </c>
      <c r="B630" s="57" t="str">
        <f>HYPERLINK("https://search.naver.com/search.naver?query=더 커버넌트 영화", "더 커버넌트")</f>
        <v>더 커버넌트</v>
      </c>
      <c r="C630" s="8">
        <v>8.64</v>
      </c>
      <c r="D630" s="9" t="s">
        <v>1441</v>
      </c>
      <c r="E630" s="6" t="s">
        <v>29</v>
      </c>
      <c r="F630" s="6">
        <v>2023</v>
      </c>
      <c r="G630" s="6" t="s">
        <v>14</v>
      </c>
      <c r="H630" s="7" t="s">
        <v>124</v>
      </c>
      <c r="I630" s="6" t="s">
        <v>76</v>
      </c>
      <c r="J630" s="130"/>
      <c r="K630" s="148" t="s">
        <v>1442</v>
      </c>
    </row>
    <row r="631" spans="1:11" ht="28.9" customHeight="1" thickTop="1" thickBot="1" x14ac:dyDescent="0.75">
      <c r="A631" s="6">
        <v>629</v>
      </c>
      <c r="B631" s="58" t="str">
        <f>HYPERLINK("https://search.naver.com/search.naver?query=더 컨트랙터 영화", "더 컨트랙터")</f>
        <v>더 컨트랙터</v>
      </c>
      <c r="C631" s="12">
        <v>7.05</v>
      </c>
      <c r="D631" s="13" t="s">
        <v>1443</v>
      </c>
      <c r="E631" s="10" t="s">
        <v>24</v>
      </c>
      <c r="F631" s="10">
        <v>2022</v>
      </c>
      <c r="G631" s="10" t="s">
        <v>14</v>
      </c>
      <c r="H631" s="11" t="s">
        <v>124</v>
      </c>
      <c r="I631" s="10" t="s">
        <v>276</v>
      </c>
      <c r="J631" s="131"/>
      <c r="K631" s="149" t="s">
        <v>1444</v>
      </c>
    </row>
    <row r="632" spans="1:11" ht="28.9" customHeight="1" thickTop="1" thickBot="1" x14ac:dyDescent="0.75">
      <c r="A632" s="10">
        <v>630</v>
      </c>
      <c r="B632" s="57" t="str">
        <f>HYPERLINK("https://search.naver.com/search.naver?query=더 컴퍼니 맨 영화", "더 컴퍼니 맨")</f>
        <v>더 컴퍼니 맨</v>
      </c>
      <c r="C632" s="8">
        <v>8.4</v>
      </c>
      <c r="D632" s="9" t="s">
        <v>1445</v>
      </c>
      <c r="E632" s="6" t="s">
        <v>24</v>
      </c>
      <c r="F632" s="6">
        <v>2010</v>
      </c>
      <c r="G632" s="6" t="s">
        <v>14</v>
      </c>
      <c r="H632" s="7" t="s">
        <v>20</v>
      </c>
      <c r="I632" s="6" t="s">
        <v>242</v>
      </c>
      <c r="J632" s="130"/>
      <c r="K632" s="148" t="s">
        <v>1446</v>
      </c>
    </row>
    <row r="633" spans="1:11" ht="28.9" customHeight="1" thickTop="1" thickBot="1" x14ac:dyDescent="0.75">
      <c r="A633" s="6">
        <v>631</v>
      </c>
      <c r="B633" s="58" t="str">
        <f>HYPERLINK("https://search.naver.com/search.naver?query=더 콘서트 영화", "더 콘서트")</f>
        <v>더 콘서트</v>
      </c>
      <c r="C633" s="12">
        <v>8.51</v>
      </c>
      <c r="D633" s="13" t="s">
        <v>1447</v>
      </c>
      <c r="E633" s="10" t="s">
        <v>310</v>
      </c>
      <c r="F633" s="10">
        <v>2009</v>
      </c>
      <c r="G633" s="10" t="s">
        <v>14</v>
      </c>
      <c r="H633" s="11" t="s">
        <v>20</v>
      </c>
      <c r="I633" s="10" t="s">
        <v>68</v>
      </c>
      <c r="J633" s="131"/>
      <c r="K633" s="149" t="s">
        <v>1448</v>
      </c>
    </row>
    <row r="634" spans="1:11" ht="28.9" customHeight="1" thickTop="1" thickBot="1" x14ac:dyDescent="0.75">
      <c r="A634" s="10">
        <v>632</v>
      </c>
      <c r="B634" s="57" t="str">
        <f>HYPERLINK("https://search.naver.com/search.naver?query=더 콜 영화", "더 콜")</f>
        <v>더 콜</v>
      </c>
      <c r="C634" s="8">
        <v>8.32</v>
      </c>
      <c r="D634" s="9" t="s">
        <v>1449</v>
      </c>
      <c r="E634" s="6" t="s">
        <v>24</v>
      </c>
      <c r="F634" s="6">
        <v>2013</v>
      </c>
      <c r="G634" s="6" t="s">
        <v>14</v>
      </c>
      <c r="H634" s="7" t="s">
        <v>54</v>
      </c>
      <c r="I634" s="6" t="s">
        <v>468</v>
      </c>
      <c r="J634" s="130"/>
      <c r="K634" s="148" t="s">
        <v>1450</v>
      </c>
    </row>
    <row r="635" spans="1:11" ht="28.9" customHeight="1" thickTop="1" thickBot="1" x14ac:dyDescent="0.75">
      <c r="A635" s="6">
        <v>633</v>
      </c>
      <c r="B635" s="58" t="str">
        <f>HYPERLINK("https://search.naver.com/search.naver?query=더 콜 오브 더 와일드 영화", "더 콜 오브 더 와일드")</f>
        <v>더 콜 오브 더 와일드</v>
      </c>
      <c r="C635" s="12">
        <v>8.6999999999999993</v>
      </c>
      <c r="D635" s="13" t="s">
        <v>1451</v>
      </c>
      <c r="E635" s="10" t="s">
        <v>24</v>
      </c>
      <c r="F635" s="10">
        <v>2020</v>
      </c>
      <c r="G635" s="10" t="s">
        <v>14</v>
      </c>
      <c r="H635" s="11" t="s">
        <v>1452</v>
      </c>
      <c r="I635" s="10" t="s">
        <v>179</v>
      </c>
      <c r="J635" s="131"/>
      <c r="K635" s="149" t="s">
        <v>1453</v>
      </c>
    </row>
    <row r="636" spans="1:11" ht="28.9" customHeight="1" thickTop="1" thickBot="1" x14ac:dyDescent="0.75">
      <c r="A636" s="10">
        <v>634</v>
      </c>
      <c r="B636" s="57" t="str">
        <f>HYPERLINK("https://search.naver.com/search.naver?query=더 콜링 영화", "더 콜링")</f>
        <v>더 콜링</v>
      </c>
      <c r="C636" s="8"/>
      <c r="D636" s="9" t="s">
        <v>1454</v>
      </c>
      <c r="E636" s="6" t="s">
        <v>275</v>
      </c>
      <c r="F636" s="6">
        <v>2014</v>
      </c>
      <c r="G636" s="6" t="s">
        <v>14</v>
      </c>
      <c r="H636" s="7" t="s">
        <v>54</v>
      </c>
      <c r="I636" s="6" t="s">
        <v>133</v>
      </c>
      <c r="J636" s="130"/>
      <c r="K636" s="148" t="s">
        <v>1455</v>
      </c>
    </row>
    <row r="637" spans="1:11" ht="28.9" customHeight="1" thickTop="1" thickBot="1" x14ac:dyDescent="0.75">
      <c r="A637" s="6">
        <v>635</v>
      </c>
      <c r="B637" s="58" t="str">
        <f>HYPERLINK("https://search.naver.com/search.naver?query=더 퀘에이크 영화", "더 퀘에이크")</f>
        <v>더 퀘에이크</v>
      </c>
      <c r="C637" s="12">
        <v>6.8</v>
      </c>
      <c r="D637" s="13" t="s">
        <v>1456</v>
      </c>
      <c r="E637" s="10" t="s">
        <v>49</v>
      </c>
      <c r="F637" s="10">
        <v>2018</v>
      </c>
      <c r="G637" s="10" t="s">
        <v>14</v>
      </c>
      <c r="H637" s="11" t="s">
        <v>1255</v>
      </c>
      <c r="I637" s="10" t="s">
        <v>443</v>
      </c>
      <c r="J637" s="131"/>
      <c r="K637" s="149" t="s">
        <v>1457</v>
      </c>
    </row>
    <row r="638" spans="1:11" ht="28.9" customHeight="1" thickTop="1" thickBot="1" x14ac:dyDescent="0.75">
      <c r="A638" s="10">
        <v>636</v>
      </c>
      <c r="B638" s="57" t="str">
        <f>HYPERLINK("https://search.naver.com/search.naver?query=더 퀸 영화", "더 퀸")</f>
        <v>더 퀸</v>
      </c>
      <c r="C638" s="8">
        <v>7.77</v>
      </c>
      <c r="D638" s="9" t="s">
        <v>1458</v>
      </c>
      <c r="E638" s="6" t="s">
        <v>29</v>
      </c>
      <c r="F638" s="6">
        <v>2006</v>
      </c>
      <c r="G638" s="6" t="s">
        <v>14</v>
      </c>
      <c r="H638" s="7" t="s">
        <v>20</v>
      </c>
      <c r="I638" s="6" t="s">
        <v>276</v>
      </c>
      <c r="J638" s="130"/>
      <c r="K638" s="148" t="s">
        <v>1459</v>
      </c>
    </row>
    <row r="639" spans="1:11" ht="28.9" customHeight="1" thickTop="1" thickBot="1" x14ac:dyDescent="0.75">
      <c r="A639" s="6">
        <v>637</v>
      </c>
      <c r="B639" s="59" t="str">
        <f>HYPERLINK("https://search.naver.com/search.naver?query=더 크라운 시즌1", "더 크라운 시즌1")</f>
        <v>더 크라운 시즌1</v>
      </c>
      <c r="C639" s="16"/>
      <c r="D639" s="17" t="s">
        <v>1460</v>
      </c>
      <c r="E639" s="14" t="s">
        <v>29</v>
      </c>
      <c r="F639" s="14">
        <v>2016</v>
      </c>
      <c r="G639" s="14" t="s">
        <v>20</v>
      </c>
      <c r="H639" s="15" t="s">
        <v>20</v>
      </c>
      <c r="I639" s="14" t="s">
        <v>64</v>
      </c>
      <c r="J639" s="132"/>
      <c r="K639" s="150" t="s">
        <v>1461</v>
      </c>
    </row>
    <row r="640" spans="1:11" ht="28.9" customHeight="1" thickTop="1" thickBot="1" x14ac:dyDescent="0.75">
      <c r="A640" s="10">
        <v>638</v>
      </c>
      <c r="B640" s="59" t="str">
        <f>HYPERLINK("https://search.naver.com/search.naver?query=더 크라운 시즌2", "더 크라운 시즌2")</f>
        <v>더 크라운 시즌2</v>
      </c>
      <c r="C640" s="16"/>
      <c r="D640" s="17" t="s">
        <v>1460</v>
      </c>
      <c r="E640" s="14" t="s">
        <v>29</v>
      </c>
      <c r="F640" s="14">
        <v>2017</v>
      </c>
      <c r="G640" s="14" t="s">
        <v>20</v>
      </c>
      <c r="H640" s="15" t="s">
        <v>20</v>
      </c>
      <c r="I640" s="14" t="s">
        <v>64</v>
      </c>
      <c r="J640" s="132"/>
      <c r="K640" s="150" t="s">
        <v>1462</v>
      </c>
    </row>
    <row r="641" spans="1:11" ht="28.9" customHeight="1" thickTop="1" thickBot="1" x14ac:dyDescent="0.75">
      <c r="A641" s="6">
        <v>639</v>
      </c>
      <c r="B641" s="59" t="str">
        <f>HYPERLINK("https://search.naver.com/search.naver?query=더 크라운 시즌3", "더 크라운 시즌3")</f>
        <v>더 크라운 시즌3</v>
      </c>
      <c r="C641" s="16"/>
      <c r="D641" s="17" t="s">
        <v>1463</v>
      </c>
      <c r="E641" s="14" t="s">
        <v>29</v>
      </c>
      <c r="F641" s="14">
        <v>2019</v>
      </c>
      <c r="G641" s="14" t="s">
        <v>20</v>
      </c>
      <c r="H641" s="15" t="s">
        <v>20</v>
      </c>
      <c r="I641" s="14" t="s">
        <v>64</v>
      </c>
      <c r="J641" s="132"/>
      <c r="K641" s="150" t="s">
        <v>1464</v>
      </c>
    </row>
    <row r="642" spans="1:11" ht="28.9" customHeight="1" thickTop="1" thickBot="1" x14ac:dyDescent="0.75">
      <c r="A642" s="10">
        <v>640</v>
      </c>
      <c r="B642" s="59" t="str">
        <f>HYPERLINK("https://search.naver.com/search.naver?query=더 크라운 시즌4", "더 크라운 시즌4")</f>
        <v>더 크라운 시즌4</v>
      </c>
      <c r="C642" s="16"/>
      <c r="D642" s="17"/>
      <c r="E642" s="14" t="s">
        <v>29</v>
      </c>
      <c r="F642" s="14">
        <v>2020</v>
      </c>
      <c r="G642" s="14" t="s">
        <v>20</v>
      </c>
      <c r="H642" s="15" t="s">
        <v>20</v>
      </c>
      <c r="I642" s="14" t="s">
        <v>64</v>
      </c>
      <c r="J642" s="132"/>
      <c r="K642" s="150" t="s">
        <v>1465</v>
      </c>
    </row>
    <row r="643" spans="1:11" ht="28.9" customHeight="1" thickTop="1" thickBot="1" x14ac:dyDescent="0.75">
      <c r="A643" s="6">
        <v>641</v>
      </c>
      <c r="B643" s="59" t="str">
        <f>HYPERLINK("https://search.naver.com/search.naver?query=더 크라운 시즌5", "더 크라운 시즌5")</f>
        <v>더 크라운 시즌5</v>
      </c>
      <c r="C643" s="16"/>
      <c r="D643" s="17"/>
      <c r="E643" s="14" t="s">
        <v>29</v>
      </c>
      <c r="F643" s="14">
        <v>2022</v>
      </c>
      <c r="G643" s="14" t="s">
        <v>20</v>
      </c>
      <c r="H643" s="15" t="s">
        <v>20</v>
      </c>
      <c r="I643" s="14" t="s">
        <v>64</v>
      </c>
      <c r="J643" s="132"/>
      <c r="K643" s="150" t="s">
        <v>1466</v>
      </c>
    </row>
    <row r="644" spans="1:11" ht="28.9" customHeight="1" thickTop="1" thickBot="1" x14ac:dyDescent="0.75">
      <c r="A644" s="10">
        <v>642</v>
      </c>
      <c r="B644" s="59" t="str">
        <f>HYPERLINK("https://search.naver.com/search.naver?query=더 크라운 시즌6 파트1", "더 크라운 시즌6 파트1")</f>
        <v>더 크라운 시즌6 파트1</v>
      </c>
      <c r="C644" s="16"/>
      <c r="D644" s="17"/>
      <c r="E644" s="14" t="s">
        <v>29</v>
      </c>
      <c r="F644" s="14">
        <v>2023</v>
      </c>
      <c r="G644" s="14" t="s">
        <v>20</v>
      </c>
      <c r="H644" s="15" t="s">
        <v>20</v>
      </c>
      <c r="I644" s="14" t="s">
        <v>1467</v>
      </c>
      <c r="J644" s="132"/>
      <c r="K644" s="150" t="s">
        <v>1468</v>
      </c>
    </row>
    <row r="645" spans="1:11" ht="28.9" customHeight="1" thickTop="1" thickBot="1" x14ac:dyDescent="0.75">
      <c r="A645" s="6">
        <v>643</v>
      </c>
      <c r="B645" s="59" t="str">
        <f>HYPERLINK("https://search.naver.com/search.naver?query=더 크라운 시즌6 파트2", "더 크라운 시즌6 파트2")</f>
        <v>더 크라운 시즌6 파트2</v>
      </c>
      <c r="C645" s="16"/>
      <c r="D645" s="17"/>
      <c r="E645" s="14" t="s">
        <v>29</v>
      </c>
      <c r="F645" s="14">
        <v>2023</v>
      </c>
      <c r="G645" s="14" t="s">
        <v>20</v>
      </c>
      <c r="H645" s="15" t="s">
        <v>20</v>
      </c>
      <c r="I645" s="14" t="s">
        <v>247</v>
      </c>
      <c r="J645" s="132"/>
      <c r="K645" s="150" t="s">
        <v>1469</v>
      </c>
    </row>
    <row r="646" spans="1:11" ht="28.9" customHeight="1" thickTop="1" thickBot="1" x14ac:dyDescent="0.75">
      <c r="A646" s="10">
        <v>644</v>
      </c>
      <c r="B646" s="57" t="str">
        <f>HYPERLINK("https://search.naver.com/search.naver?query=더 클럽 영화", "더 클럽")</f>
        <v>더 클럽</v>
      </c>
      <c r="C646" s="8">
        <v>6.17</v>
      </c>
      <c r="D646" s="9" t="s">
        <v>1470</v>
      </c>
      <c r="E646" s="6" t="s">
        <v>1471</v>
      </c>
      <c r="F646" s="6">
        <v>2015</v>
      </c>
      <c r="G646" s="6" t="s">
        <v>14</v>
      </c>
      <c r="H646" s="7" t="s">
        <v>20</v>
      </c>
      <c r="I646" s="6" t="s">
        <v>169</v>
      </c>
      <c r="J646" s="130"/>
      <c r="K646" s="148" t="s">
        <v>1472</v>
      </c>
    </row>
    <row r="647" spans="1:11" ht="28.9" customHeight="1" thickTop="1" thickBot="1" x14ac:dyDescent="0.75">
      <c r="A647" s="6">
        <v>645</v>
      </c>
      <c r="B647" s="58" t="str">
        <f>HYPERLINK("https://search.naver.com/search.naver?query=더 키친 영화", "더 키친")</f>
        <v>더 키친</v>
      </c>
      <c r="C647" s="12">
        <v>3.85</v>
      </c>
      <c r="D647" s="13" t="s">
        <v>1473</v>
      </c>
      <c r="E647" s="10" t="s">
        <v>24</v>
      </c>
      <c r="F647" s="10">
        <v>2019</v>
      </c>
      <c r="G647" s="10" t="s">
        <v>14</v>
      </c>
      <c r="H647" s="11" t="s">
        <v>428</v>
      </c>
      <c r="I647" s="10" t="s">
        <v>133</v>
      </c>
      <c r="J647" s="131"/>
      <c r="K647" s="149" t="s">
        <v>1474</v>
      </c>
    </row>
    <row r="648" spans="1:11" ht="28.9" customHeight="1" thickTop="1" thickBot="1" x14ac:dyDescent="0.75">
      <c r="A648" s="10">
        <v>646</v>
      </c>
      <c r="B648" s="57" t="str">
        <f>HYPERLINK("https://search.naver.com/search.naver?query=더 킬러스 영화", "더 킬러스")</f>
        <v>더 킬러스</v>
      </c>
      <c r="C648" s="8">
        <v>7.09</v>
      </c>
      <c r="D648" s="9" t="s">
        <v>1475</v>
      </c>
      <c r="E648" s="6" t="s">
        <v>19</v>
      </c>
      <c r="F648" s="6">
        <v>2012</v>
      </c>
      <c r="G648" s="6" t="s">
        <v>14</v>
      </c>
      <c r="H648" s="7" t="s">
        <v>428</v>
      </c>
      <c r="I648" s="6" t="s">
        <v>150</v>
      </c>
      <c r="J648" s="130"/>
      <c r="K648" s="148" t="s">
        <v>1476</v>
      </c>
    </row>
    <row r="649" spans="1:11" ht="28.9" customHeight="1" thickTop="1" thickBot="1" x14ac:dyDescent="0.75">
      <c r="A649" s="6">
        <v>647</v>
      </c>
      <c r="B649" s="58" t="str">
        <f>HYPERLINK("https://search.naver.com/search.naver?query=더 킬링 오브 어 세이크리드 디어 영화", "더 킬링 오브 어 세이크리드 디어")</f>
        <v>더 킬링 오브 어 세이크리드 디어</v>
      </c>
      <c r="C649" s="12"/>
      <c r="D649" s="13" t="s">
        <v>1477</v>
      </c>
      <c r="E649" s="10" t="s">
        <v>29</v>
      </c>
      <c r="F649" s="10">
        <v>2017</v>
      </c>
      <c r="G649" s="10" t="s">
        <v>14</v>
      </c>
      <c r="H649" s="11" t="s">
        <v>54</v>
      </c>
      <c r="I649" s="10" t="s">
        <v>195</v>
      </c>
      <c r="J649" s="131"/>
      <c r="K649" s="149" t="s">
        <v>1478</v>
      </c>
    </row>
    <row r="650" spans="1:11" ht="28.9" customHeight="1" thickTop="1" thickBot="1" x14ac:dyDescent="0.75">
      <c r="A650" s="10">
        <v>648</v>
      </c>
      <c r="B650" s="57" t="str">
        <f>HYPERLINK("https://search.naver.com/search.naver?query=더 킹 영화", "더 킹")</f>
        <v>더 킹</v>
      </c>
      <c r="C650" s="8">
        <v>8.39</v>
      </c>
      <c r="D650" s="9" t="s">
        <v>1479</v>
      </c>
      <c r="E650" s="6" t="s">
        <v>13</v>
      </c>
      <c r="F650" s="6">
        <v>2016</v>
      </c>
      <c r="G650" s="6" t="s">
        <v>14</v>
      </c>
      <c r="H650" s="7" t="s">
        <v>20</v>
      </c>
      <c r="I650" s="6" t="s">
        <v>917</v>
      </c>
      <c r="J650" s="130"/>
      <c r="K650" s="148" t="s">
        <v>1480</v>
      </c>
    </row>
    <row r="651" spans="1:11" ht="28.9" customHeight="1" thickTop="1" thickBot="1" x14ac:dyDescent="0.75">
      <c r="A651" s="6">
        <v>649</v>
      </c>
      <c r="B651" s="58" t="str">
        <f>HYPERLINK("https://search.naver.com/search.naver?query=더 테너 리리코 스핀토 영화", "더 테너 리리코 스핀토")</f>
        <v>더 테너 리리코 스핀토</v>
      </c>
      <c r="C651" s="12">
        <v>8.4600000000000009</v>
      </c>
      <c r="D651" s="13" t="s">
        <v>1481</v>
      </c>
      <c r="E651" s="10" t="s">
        <v>13</v>
      </c>
      <c r="F651" s="10">
        <v>2014</v>
      </c>
      <c r="G651" s="10" t="s">
        <v>14</v>
      </c>
      <c r="H651" s="11" t="s">
        <v>20</v>
      </c>
      <c r="I651" s="10" t="s">
        <v>195</v>
      </c>
      <c r="J651" s="131"/>
      <c r="K651" s="149" t="s">
        <v>1482</v>
      </c>
    </row>
    <row r="652" spans="1:11" ht="28.9" customHeight="1" thickTop="1" thickBot="1" x14ac:dyDescent="0.75">
      <c r="A652" s="10">
        <v>650</v>
      </c>
      <c r="B652" s="57" t="str">
        <f>HYPERLINK("https://namu.wiki/w/%EB%8D%94%20%ED%85%8C%EB%9F%AC%20%EB%9D%BC%EC%9D%B4%EB%B8%8C", "더 테러 라이브")</f>
        <v>더 테러 라이브</v>
      </c>
      <c r="C652" s="8">
        <v>4.16</v>
      </c>
      <c r="D652" s="9" t="s">
        <v>1483</v>
      </c>
      <c r="E652" s="6" t="s">
        <v>13</v>
      </c>
      <c r="F652" s="6">
        <v>2013</v>
      </c>
      <c r="G652" s="6" t="s">
        <v>14</v>
      </c>
      <c r="H652" s="7" t="s">
        <v>1255</v>
      </c>
      <c r="I652" s="6" t="s">
        <v>169</v>
      </c>
      <c r="J652" s="130"/>
      <c r="K652" s="148" t="s">
        <v>1484</v>
      </c>
    </row>
    <row r="653" spans="1:11" ht="28.9" customHeight="1" thickTop="1" thickBot="1" x14ac:dyDescent="0.75">
      <c r="A653" s="6">
        <v>651</v>
      </c>
      <c r="B653" s="58" t="str">
        <f>HYPERLINK("https://search.naver.com/search.naver?query=더 트러스트 영화", "더 트러스트")</f>
        <v>더 트러스트</v>
      </c>
      <c r="C653" s="12">
        <v>4.87</v>
      </c>
      <c r="D653" s="13" t="s">
        <v>1485</v>
      </c>
      <c r="E653" s="10" t="s">
        <v>24</v>
      </c>
      <c r="F653" s="10">
        <v>2016</v>
      </c>
      <c r="G653" s="10" t="s">
        <v>14</v>
      </c>
      <c r="H653" s="11" t="s">
        <v>428</v>
      </c>
      <c r="I653" s="10" t="s">
        <v>205</v>
      </c>
      <c r="J653" s="131"/>
      <c r="K653" s="149" t="s">
        <v>1486</v>
      </c>
    </row>
    <row r="654" spans="1:11" ht="28.9" customHeight="1" thickTop="1" thickBot="1" x14ac:dyDescent="0.75">
      <c r="A654" s="10">
        <v>652</v>
      </c>
      <c r="B654" s="57" t="str">
        <f>HYPERLINK("https://search.naver.com/search.naver?query=더 트루스-무언의 제보자 영화", "더 트루스-무언의 제보자")</f>
        <v>더 트루스-무언의 제보자</v>
      </c>
      <c r="C654" s="8">
        <v>6.4</v>
      </c>
      <c r="D654" s="9" t="s">
        <v>1487</v>
      </c>
      <c r="E654" s="6" t="s">
        <v>310</v>
      </c>
      <c r="F654" s="6">
        <v>2019</v>
      </c>
      <c r="G654" s="6" t="s">
        <v>14</v>
      </c>
      <c r="H654" s="7" t="s">
        <v>20</v>
      </c>
      <c r="I654" s="6" t="s">
        <v>443</v>
      </c>
      <c r="J654" s="130"/>
      <c r="K654" s="148" t="s">
        <v>1488</v>
      </c>
    </row>
    <row r="655" spans="1:11" ht="28.9" customHeight="1" thickTop="1" thickBot="1" x14ac:dyDescent="0.75">
      <c r="A655" s="6">
        <v>653</v>
      </c>
      <c r="B655" s="58" t="str">
        <f>HYPERLINK("https://search.naver.com/search.naver?query=더 트리 영화", "더 트리")</f>
        <v>더 트리</v>
      </c>
      <c r="C655" s="12">
        <v>7.6</v>
      </c>
      <c r="D655" s="13" t="s">
        <v>1489</v>
      </c>
      <c r="E655" s="10" t="s">
        <v>310</v>
      </c>
      <c r="F655" s="10">
        <v>2010</v>
      </c>
      <c r="G655" s="10" t="s">
        <v>14</v>
      </c>
      <c r="H655" s="11" t="s">
        <v>20</v>
      </c>
      <c r="I655" s="10" t="s">
        <v>179</v>
      </c>
      <c r="J655" s="131"/>
      <c r="K655" s="149" t="s">
        <v>1490</v>
      </c>
    </row>
    <row r="656" spans="1:11" ht="28.9" customHeight="1" thickTop="1" thickBot="1" x14ac:dyDescent="0.75">
      <c r="A656" s="10">
        <v>654</v>
      </c>
      <c r="B656" s="57" t="str">
        <f>HYPERLINK("https://search.naver.com/search.naver?query=더 파나틱 영화", "더 파나틱")</f>
        <v>더 파나틱</v>
      </c>
      <c r="C656" s="8">
        <v>6.4</v>
      </c>
      <c r="D656" s="9" t="s">
        <v>1491</v>
      </c>
      <c r="E656" s="6" t="s">
        <v>24</v>
      </c>
      <c r="F656" s="6">
        <v>2019</v>
      </c>
      <c r="G656" s="6" t="s">
        <v>14</v>
      </c>
      <c r="H656" s="7" t="s">
        <v>54</v>
      </c>
      <c r="I656" s="6" t="s">
        <v>345</v>
      </c>
      <c r="J656" s="130"/>
      <c r="K656" s="148" t="s">
        <v>1492</v>
      </c>
    </row>
    <row r="657" spans="1:11" ht="28.9" customHeight="1" thickTop="1" thickBot="1" x14ac:dyDescent="0.75">
      <c r="A657" s="6">
        <v>655</v>
      </c>
      <c r="B657" s="58" t="str">
        <f>HYPERLINK("https://search.naver.com/search.naver?query=더 파더 영화", "더 파더")</f>
        <v>더 파더</v>
      </c>
      <c r="C657" s="12">
        <v>8.85</v>
      </c>
      <c r="D657" s="13" t="s">
        <v>1493</v>
      </c>
      <c r="E657" s="10" t="s">
        <v>29</v>
      </c>
      <c r="F657" s="10">
        <v>2020</v>
      </c>
      <c r="G657" s="10" t="s">
        <v>14</v>
      </c>
      <c r="H657" s="11" t="s">
        <v>20</v>
      </c>
      <c r="I657" s="10" t="s">
        <v>169</v>
      </c>
      <c r="J657" s="131"/>
      <c r="K657" s="149" t="s">
        <v>1494</v>
      </c>
    </row>
    <row r="658" spans="1:11" ht="28.9" customHeight="1" thickTop="1" thickBot="1" x14ac:dyDescent="0.75">
      <c r="A658" s="10">
        <v>656</v>
      </c>
      <c r="B658" s="57" t="str">
        <f>HYPERLINK("https://search.naver.com/search.naver?query=더 파이니스트 아워스 영화", "더 파이니스트 아워스")</f>
        <v>더 파이니스트 아워스</v>
      </c>
      <c r="C658" s="8">
        <v>6.4</v>
      </c>
      <c r="D658" s="9" t="s">
        <v>1495</v>
      </c>
      <c r="E658" s="6" t="s">
        <v>24</v>
      </c>
      <c r="F658" s="6">
        <v>2016</v>
      </c>
      <c r="G658" s="6" t="s">
        <v>14</v>
      </c>
      <c r="H658" s="7" t="s">
        <v>124</v>
      </c>
      <c r="I658" s="6" t="s">
        <v>120</v>
      </c>
      <c r="J658" s="130"/>
      <c r="K658" s="148" t="s">
        <v>1496</v>
      </c>
    </row>
    <row r="659" spans="1:11" ht="28.9" customHeight="1" thickTop="1" thickBot="1" x14ac:dyDescent="0.75">
      <c r="A659" s="6">
        <v>657</v>
      </c>
      <c r="B659" s="58" t="str">
        <f>HYPERLINK("https://search.naver.com/search.naver?query=더 파이브 영화", "더 파이브")</f>
        <v>더 파이브</v>
      </c>
      <c r="C659" s="12">
        <v>6.1</v>
      </c>
      <c r="D659" s="13" t="s">
        <v>1497</v>
      </c>
      <c r="E659" s="10" t="s">
        <v>24</v>
      </c>
      <c r="F659" s="10">
        <v>2013</v>
      </c>
      <c r="G659" s="10" t="s">
        <v>14</v>
      </c>
      <c r="H659" s="11" t="s">
        <v>54</v>
      </c>
      <c r="I659" s="10" t="s">
        <v>156</v>
      </c>
      <c r="J659" s="131"/>
      <c r="K659" s="149" t="s">
        <v>1498</v>
      </c>
    </row>
    <row r="660" spans="1:11" ht="28.9" customHeight="1" thickTop="1" thickBot="1" x14ac:dyDescent="0.75">
      <c r="A660" s="10">
        <v>658</v>
      </c>
      <c r="B660" s="57" t="str">
        <f>HYPERLINK("https://search.naver.com/search.naver?query=더 파츠 유 루즈 영화", "더 파츠 유 루즈")</f>
        <v>더 파츠 유 루즈</v>
      </c>
      <c r="C660" s="8">
        <v>6.4</v>
      </c>
      <c r="D660" s="9" t="s">
        <v>1499</v>
      </c>
      <c r="E660" s="6" t="s">
        <v>24</v>
      </c>
      <c r="F660" s="6">
        <v>2019</v>
      </c>
      <c r="G660" s="6" t="s">
        <v>14</v>
      </c>
      <c r="H660" s="7" t="s">
        <v>20</v>
      </c>
      <c r="I660" s="6" t="s">
        <v>125</v>
      </c>
      <c r="J660" s="130"/>
      <c r="K660" s="148" t="s">
        <v>1500</v>
      </c>
    </row>
    <row r="661" spans="1:11" ht="28.9" customHeight="1" thickTop="1" thickBot="1" x14ac:dyDescent="0.75">
      <c r="A661" s="6">
        <v>659</v>
      </c>
      <c r="B661" s="58" t="str">
        <f>HYPERLINK("https://search.naver.com/search.naver?query=더 팩토리 영화", "더 팩토리")</f>
        <v>더 팩토리</v>
      </c>
      <c r="C661" s="12">
        <v>3.32</v>
      </c>
      <c r="D661" s="13" t="s">
        <v>1501</v>
      </c>
      <c r="E661" s="10" t="s">
        <v>24</v>
      </c>
      <c r="F661" s="10">
        <v>2011</v>
      </c>
      <c r="G661" s="10" t="s">
        <v>14</v>
      </c>
      <c r="H661" s="11" t="s">
        <v>54</v>
      </c>
      <c r="I661" s="10" t="s">
        <v>242</v>
      </c>
      <c r="J661" s="131"/>
      <c r="K661" s="149" t="s">
        <v>1502</v>
      </c>
    </row>
    <row r="662" spans="1:11" ht="28.9" customHeight="1" thickTop="1" thickBot="1" x14ac:dyDescent="0.75">
      <c r="A662" s="10">
        <v>660</v>
      </c>
      <c r="B662" s="57" t="str">
        <f>HYPERLINK("https://search.naver.com/search.naver?query=더 퍼지 : 거리의 반란 영화", "더 퍼지 - 거리의 반란")</f>
        <v>더 퍼지 - 거리의 반란</v>
      </c>
      <c r="C662" s="8">
        <v>7.5</v>
      </c>
      <c r="D662" s="9" t="s">
        <v>1503</v>
      </c>
      <c r="E662" s="6" t="s">
        <v>24</v>
      </c>
      <c r="F662" s="6">
        <v>2014</v>
      </c>
      <c r="G662" s="6" t="s">
        <v>14</v>
      </c>
      <c r="H662" s="7" t="s">
        <v>382</v>
      </c>
      <c r="I662" s="6" t="s">
        <v>276</v>
      </c>
      <c r="J662" s="130"/>
      <c r="K662" s="148" t="s">
        <v>1504</v>
      </c>
    </row>
    <row r="663" spans="1:11" ht="28.9" customHeight="1" thickTop="1" thickBot="1" x14ac:dyDescent="0.75">
      <c r="A663" s="6">
        <v>661</v>
      </c>
      <c r="B663" s="58" t="str">
        <f>HYPERLINK("https://search.naver.com/search.naver?query=더 페이버릿:여왕의 여자 영화", "더 페이버릿-여왕의 여자")</f>
        <v>더 페이버릿-여왕의 여자</v>
      </c>
      <c r="C663" s="12">
        <v>8.89</v>
      </c>
      <c r="D663" s="13" t="s">
        <v>1505</v>
      </c>
      <c r="E663" s="10" t="s">
        <v>29</v>
      </c>
      <c r="F663" s="10">
        <v>2018</v>
      </c>
      <c r="G663" s="10" t="s">
        <v>14</v>
      </c>
      <c r="H663" s="11" t="s">
        <v>20</v>
      </c>
      <c r="I663" s="10" t="s">
        <v>68</v>
      </c>
      <c r="J663" s="131"/>
      <c r="K663" s="149" t="s">
        <v>1506</v>
      </c>
    </row>
    <row r="664" spans="1:11" ht="28.9" customHeight="1" thickTop="1" thickBot="1" x14ac:dyDescent="0.75">
      <c r="A664" s="10">
        <v>662</v>
      </c>
      <c r="B664" s="57" t="str">
        <f>HYPERLINK("https://search.naver.com/search.naver?query=더 펜서", "더 펜서")</f>
        <v>더 펜서</v>
      </c>
      <c r="C664" s="8">
        <v>10</v>
      </c>
      <c r="D664" s="9" t="s">
        <v>1507</v>
      </c>
      <c r="E664" s="6" t="s">
        <v>1508</v>
      </c>
      <c r="F664" s="6">
        <v>2015</v>
      </c>
      <c r="G664" s="6" t="s">
        <v>14</v>
      </c>
      <c r="H664" s="7" t="s">
        <v>20</v>
      </c>
      <c r="I664" s="6" t="s">
        <v>16</v>
      </c>
      <c r="J664" s="130"/>
      <c r="K664" s="148" t="s">
        <v>1509</v>
      </c>
    </row>
    <row r="665" spans="1:11" ht="28.9" customHeight="1" thickTop="1" thickBot="1" x14ac:dyDescent="0.75">
      <c r="A665" s="6">
        <v>663</v>
      </c>
      <c r="B665" s="58" t="str">
        <f>HYPERLINK("https://search.naver.com/search.naver?query=더 포가튼 배틀 영화", "더 포가튼 배틀")</f>
        <v>더 포가튼 배틀</v>
      </c>
      <c r="C665" s="12">
        <v>7.95</v>
      </c>
      <c r="D665" s="13" t="s">
        <v>1510</v>
      </c>
      <c r="E665" s="10" t="s">
        <v>1511</v>
      </c>
      <c r="F665" s="10">
        <v>2021</v>
      </c>
      <c r="G665" s="10" t="s">
        <v>14</v>
      </c>
      <c r="H665" s="11" t="s">
        <v>1247</v>
      </c>
      <c r="I665" s="10" t="s">
        <v>183</v>
      </c>
      <c r="J665" s="131"/>
      <c r="K665" s="149" t="s">
        <v>1512</v>
      </c>
    </row>
    <row r="666" spans="1:11" ht="28.9" customHeight="1" thickTop="1" thickBot="1" x14ac:dyDescent="0.75">
      <c r="A666" s="10">
        <v>664</v>
      </c>
      <c r="B666" s="57" t="str">
        <f>HYPERLINK("https://search.naver.com/search.naver?query=더 포리너 영화", "더 포리너")</f>
        <v>더 포리너</v>
      </c>
      <c r="C666" s="8">
        <v>7.61</v>
      </c>
      <c r="D666" s="9" t="s">
        <v>1513</v>
      </c>
      <c r="E666" s="6" t="s">
        <v>29</v>
      </c>
      <c r="F666" s="6">
        <v>2017</v>
      </c>
      <c r="G666" s="6" t="s">
        <v>14</v>
      </c>
      <c r="H666" s="7" t="s">
        <v>124</v>
      </c>
      <c r="I666" s="6" t="s">
        <v>98</v>
      </c>
      <c r="J666" s="130"/>
      <c r="K666" s="148" t="s">
        <v>1514</v>
      </c>
    </row>
    <row r="667" spans="1:11" ht="28.9" customHeight="1" thickTop="1" thickBot="1" x14ac:dyDescent="0.75">
      <c r="A667" s="6">
        <v>665</v>
      </c>
      <c r="B667" s="58" t="str">
        <f>HYPERLINK("https://search.naver.com/search.naver?query=더 포스트 영화", "더 포스트")</f>
        <v>더 포스트</v>
      </c>
      <c r="C667" s="12">
        <v>8.7899999999999991</v>
      </c>
      <c r="D667" s="13" t="s">
        <v>1515</v>
      </c>
      <c r="E667" s="10" t="s">
        <v>24</v>
      </c>
      <c r="F667" s="10">
        <v>2017</v>
      </c>
      <c r="G667" s="10" t="s">
        <v>14</v>
      </c>
      <c r="H667" s="11" t="s">
        <v>20</v>
      </c>
      <c r="I667" s="10" t="s">
        <v>591</v>
      </c>
      <c r="J667" s="131"/>
      <c r="K667" s="149" t="s">
        <v>1516</v>
      </c>
    </row>
    <row r="668" spans="1:11" ht="28.9" customHeight="1" thickTop="1" thickBot="1" x14ac:dyDescent="0.75">
      <c r="A668" s="10">
        <v>666</v>
      </c>
      <c r="B668" s="57" t="str">
        <f>HYPERLINK("https://search.naver.com/search.naver?query=더 포저 영화", "더 포저")</f>
        <v>더 포저</v>
      </c>
      <c r="C668" s="8">
        <v>7.45</v>
      </c>
      <c r="D668" s="9" t="s">
        <v>1517</v>
      </c>
      <c r="E668" s="6" t="s">
        <v>24</v>
      </c>
      <c r="F668" s="6">
        <v>2014</v>
      </c>
      <c r="G668" s="6" t="s">
        <v>14</v>
      </c>
      <c r="H668" s="7" t="s">
        <v>428</v>
      </c>
      <c r="I668" s="6" t="s">
        <v>205</v>
      </c>
      <c r="J668" s="130"/>
      <c r="K668" s="148" t="s">
        <v>1518</v>
      </c>
    </row>
    <row r="669" spans="1:11" ht="28.9" customHeight="1" thickTop="1" thickBot="1" x14ac:dyDescent="0.75">
      <c r="A669" s="6">
        <v>667</v>
      </c>
      <c r="B669" s="58" t="str">
        <f>HYPERLINK("https://search.naver.com/search.naver?query=더 폰 영화", "더 폰")</f>
        <v>더 폰</v>
      </c>
      <c r="C669" s="12">
        <v>8.06</v>
      </c>
      <c r="D669" s="13" t="s">
        <v>1519</v>
      </c>
      <c r="E669" s="10" t="s">
        <v>13</v>
      </c>
      <c r="F669" s="10">
        <v>2015</v>
      </c>
      <c r="G669" s="10" t="s">
        <v>14</v>
      </c>
      <c r="H669" s="11" t="s">
        <v>54</v>
      </c>
      <c r="I669" s="10" t="s">
        <v>305</v>
      </c>
      <c r="J669" s="131"/>
      <c r="K669" s="149" t="s">
        <v>1520</v>
      </c>
    </row>
    <row r="670" spans="1:11" ht="28.9" customHeight="1" thickTop="1" thickBot="1" x14ac:dyDescent="0.75">
      <c r="A670" s="10">
        <v>668</v>
      </c>
      <c r="B670" s="57" t="str">
        <f>HYPERLINK("https://search.naver.com/search.naver?query=더 프로즌 그라운드 영화", "더 프로즌 그라운드")</f>
        <v>더 프로즌 그라운드</v>
      </c>
      <c r="C670" s="8">
        <v>6.4</v>
      </c>
      <c r="D670" s="9" t="s">
        <v>1521</v>
      </c>
      <c r="E670" s="6" t="s">
        <v>24</v>
      </c>
      <c r="F670" s="6">
        <v>2012</v>
      </c>
      <c r="G670" s="6" t="s">
        <v>14</v>
      </c>
      <c r="H670" s="7" t="s">
        <v>428</v>
      </c>
      <c r="I670" s="6" t="s">
        <v>175</v>
      </c>
      <c r="J670" s="130"/>
      <c r="K670" s="148" t="s">
        <v>1522</v>
      </c>
    </row>
    <row r="671" spans="1:11" ht="28.9" customHeight="1" thickTop="1" thickBot="1" x14ac:dyDescent="0.75">
      <c r="A671" s="6">
        <v>669</v>
      </c>
      <c r="B671" s="58" t="str">
        <f>HYPERLINK("https://search.naver.com/search.naver?query=더 프로티지 영화", "더 프로티지")</f>
        <v>더 프로티지</v>
      </c>
      <c r="C671" s="12"/>
      <c r="D671" s="13" t="s">
        <v>1523</v>
      </c>
      <c r="E671" s="10" t="s">
        <v>24</v>
      </c>
      <c r="F671" s="10">
        <v>2021</v>
      </c>
      <c r="G671" s="10" t="s">
        <v>14</v>
      </c>
      <c r="H671" s="11" t="s">
        <v>124</v>
      </c>
      <c r="I671" s="10" t="s">
        <v>187</v>
      </c>
      <c r="J671" s="131"/>
      <c r="K671" s="149" t="s">
        <v>1524</v>
      </c>
    </row>
    <row r="672" spans="1:11" ht="28.9" customHeight="1" thickTop="1" thickBot="1" x14ac:dyDescent="0.75">
      <c r="A672" s="10">
        <v>670</v>
      </c>
      <c r="B672" s="57" t="str">
        <f>HYPERLINK("https://search.naver.com/search.naver?query=더 프로페서 앤 더 매드맨 영화", "더 프로페서 앤 더 매드맨")</f>
        <v>더 프로페서 앤 더 매드맨</v>
      </c>
      <c r="C672" s="8">
        <v>7.66</v>
      </c>
      <c r="D672" s="9" t="s">
        <v>1525</v>
      </c>
      <c r="E672" s="6" t="s">
        <v>944</v>
      </c>
      <c r="F672" s="6">
        <v>2019</v>
      </c>
      <c r="G672" s="6" t="s">
        <v>14</v>
      </c>
      <c r="H672" s="7" t="s">
        <v>20</v>
      </c>
      <c r="I672" s="6" t="s">
        <v>183</v>
      </c>
      <c r="J672" s="130"/>
      <c r="K672" s="148" t="s">
        <v>1526</v>
      </c>
    </row>
    <row r="673" spans="1:11" ht="28.9" customHeight="1" thickTop="1" thickBot="1" x14ac:dyDescent="0.75">
      <c r="A673" s="6">
        <v>671</v>
      </c>
      <c r="B673" s="58" t="str">
        <f>HYPERLINK("https://search.naver.com/search.naver?query=더 하드 웨이 영화", "더 하드 웨이")</f>
        <v>더 하드 웨이</v>
      </c>
      <c r="C673" s="12">
        <v>6.4</v>
      </c>
      <c r="D673" s="13" t="s">
        <v>1527</v>
      </c>
      <c r="E673" s="10" t="s">
        <v>24</v>
      </c>
      <c r="F673" s="10">
        <v>2019</v>
      </c>
      <c r="G673" s="10" t="s">
        <v>14</v>
      </c>
      <c r="H673" s="11" t="s">
        <v>124</v>
      </c>
      <c r="I673" s="10" t="s">
        <v>156</v>
      </c>
      <c r="J673" s="131"/>
      <c r="K673" s="149" t="s">
        <v>1528</v>
      </c>
    </row>
    <row r="674" spans="1:11" ht="28.9" customHeight="1" thickTop="1" thickBot="1" x14ac:dyDescent="0.75">
      <c r="A674" s="10">
        <v>672</v>
      </c>
      <c r="B674" s="57" t="str">
        <f>HYPERLINK("https://search.naver.com/search.naver?query=더 허슬 영화", "더 허슬")</f>
        <v>더 허슬</v>
      </c>
      <c r="C674" s="8">
        <v>6.4</v>
      </c>
      <c r="D674" s="9" t="s">
        <v>1529</v>
      </c>
      <c r="E674" s="6" t="s">
        <v>24</v>
      </c>
      <c r="F674" s="6">
        <v>2019</v>
      </c>
      <c r="G674" s="6" t="s">
        <v>14</v>
      </c>
      <c r="H674" s="7" t="s">
        <v>91</v>
      </c>
      <c r="I674" s="6" t="s">
        <v>125</v>
      </c>
      <c r="J674" s="130"/>
      <c r="K674" s="148" t="s">
        <v>1530</v>
      </c>
    </row>
    <row r="675" spans="1:11" ht="28.9" customHeight="1" thickTop="1" thickBot="1" x14ac:dyDescent="0.75">
      <c r="A675" s="6">
        <v>673</v>
      </c>
      <c r="B675" s="58" t="str">
        <f>HYPERLINK("https://search.naver.com/search.naver?query=더 홈즈맨 영화", "더 홈즈맨")</f>
        <v>더 홈즈맨</v>
      </c>
      <c r="C675" s="12">
        <v>7.71</v>
      </c>
      <c r="D675" s="13" t="s">
        <v>1531</v>
      </c>
      <c r="E675" s="10" t="s">
        <v>24</v>
      </c>
      <c r="F675" s="10">
        <v>2014</v>
      </c>
      <c r="G675" s="10" t="s">
        <v>14</v>
      </c>
      <c r="H675" s="11" t="s">
        <v>1532</v>
      </c>
      <c r="I675" s="10" t="s">
        <v>141</v>
      </c>
      <c r="J675" s="131"/>
      <c r="K675" s="149" t="s">
        <v>1533</v>
      </c>
    </row>
    <row r="676" spans="1:11" ht="28.9" customHeight="1" thickTop="1" thickBot="1" x14ac:dyDescent="0.75">
      <c r="A676" s="10">
        <v>674</v>
      </c>
      <c r="B676" s="57" t="str">
        <f>HYPERLINK("https://search.naver.com/search.naver?query=더 휴머니티 뷰로 영화", "더 휴머니티 뷰로")</f>
        <v>더 휴머니티 뷰로</v>
      </c>
      <c r="C676" s="8"/>
      <c r="D676" s="9" t="s">
        <v>1534</v>
      </c>
      <c r="E676" s="6" t="s">
        <v>275</v>
      </c>
      <c r="F676" s="6">
        <v>2017</v>
      </c>
      <c r="G676" s="6" t="s">
        <v>14</v>
      </c>
      <c r="H676" s="7" t="s">
        <v>877</v>
      </c>
      <c r="I676" s="6" t="s">
        <v>150</v>
      </c>
      <c r="J676" s="130"/>
      <c r="K676" s="148" t="s">
        <v>1535</v>
      </c>
    </row>
    <row r="677" spans="1:11" ht="28.9" customHeight="1" thickTop="1" thickBot="1" x14ac:dyDescent="0.75">
      <c r="A677" s="6">
        <v>675</v>
      </c>
      <c r="B677" s="58" t="str">
        <f>HYPERLINK("https://search.naver.com/search.naver?query=더 히든 영화", "더 히든")</f>
        <v>더 히든</v>
      </c>
      <c r="C677" s="12">
        <v>4.8899999999999997</v>
      </c>
      <c r="D677" s="13" t="s">
        <v>1536</v>
      </c>
      <c r="E677" s="10" t="s">
        <v>24</v>
      </c>
      <c r="F677" s="10">
        <v>2020</v>
      </c>
      <c r="G677" s="10" t="s">
        <v>14</v>
      </c>
      <c r="H677" s="11" t="s">
        <v>382</v>
      </c>
      <c r="I677" s="10" t="s">
        <v>46</v>
      </c>
      <c r="J677" s="131"/>
      <c r="K677" s="149" t="s">
        <v>1537</v>
      </c>
    </row>
    <row r="678" spans="1:11" ht="28.9" customHeight="1" thickTop="1" thickBot="1" x14ac:dyDescent="0.75">
      <c r="A678" s="10">
        <v>676</v>
      </c>
      <c r="B678" s="57" t="str">
        <f>HYPERLINK("https://search.naver.com/search.naver?query=더도어 영화", "더도어")</f>
        <v>더도어</v>
      </c>
      <c r="C678" s="8"/>
      <c r="D678" s="9" t="s">
        <v>1538</v>
      </c>
      <c r="E678" s="6" t="s">
        <v>136</v>
      </c>
      <c r="F678" s="6">
        <v>2010</v>
      </c>
      <c r="G678" s="6" t="s">
        <v>14</v>
      </c>
      <c r="H678" s="7" t="s">
        <v>1539</v>
      </c>
      <c r="I678" s="6" t="s">
        <v>329</v>
      </c>
      <c r="J678" s="130"/>
      <c r="K678" s="148" t="s">
        <v>1540</v>
      </c>
    </row>
    <row r="679" spans="1:11" ht="28.9" customHeight="1" thickTop="1" thickBot="1" x14ac:dyDescent="0.75">
      <c r="A679" s="6">
        <v>677</v>
      </c>
      <c r="B679" s="58" t="str">
        <f>HYPERLINK("https://search.naver.com/search.naver?query=더박스 영화", "더박스")</f>
        <v>더박스</v>
      </c>
      <c r="C679" s="12">
        <v>5.39</v>
      </c>
      <c r="D679" s="13" t="s">
        <v>1541</v>
      </c>
      <c r="E679" s="10" t="s">
        <v>24</v>
      </c>
      <c r="F679" s="10">
        <v>2009</v>
      </c>
      <c r="G679" s="10" t="s">
        <v>14</v>
      </c>
      <c r="H679" s="11" t="s">
        <v>877</v>
      </c>
      <c r="I679" s="10" t="s">
        <v>60</v>
      </c>
      <c r="J679" s="131"/>
      <c r="K679" s="149" t="s">
        <v>1542</v>
      </c>
    </row>
    <row r="680" spans="1:11" ht="28.9" customHeight="1" thickTop="1" thickBot="1" x14ac:dyDescent="0.75">
      <c r="A680" s="10">
        <v>678</v>
      </c>
      <c r="B680" s="57" t="str">
        <f>HYPERLINK("https://search.naver.com/search.naver?query=더블2011", "더블")</f>
        <v>더블</v>
      </c>
      <c r="C680" s="8">
        <v>6.65</v>
      </c>
      <c r="D680" s="9" t="s">
        <v>1543</v>
      </c>
      <c r="E680" s="6" t="s">
        <v>24</v>
      </c>
      <c r="F680" s="6">
        <v>2012</v>
      </c>
      <c r="G680" s="6" t="s">
        <v>14</v>
      </c>
      <c r="H680" s="7" t="s">
        <v>428</v>
      </c>
      <c r="I680" s="6" t="s">
        <v>16</v>
      </c>
      <c r="J680" s="130"/>
      <c r="K680" s="148" t="s">
        <v>1544</v>
      </c>
    </row>
    <row r="681" spans="1:11" ht="28.9" customHeight="1" thickTop="1" thickBot="1" x14ac:dyDescent="0.75">
      <c r="A681" s="6">
        <v>679</v>
      </c>
      <c r="B681" s="58" t="str">
        <f>HYPERLINK("https://search.naver.com/search.naver?query=더블 타겟 영화", "더블 타겟")</f>
        <v>더블 타겟</v>
      </c>
      <c r="C681" s="12">
        <v>8.4</v>
      </c>
      <c r="D681" s="13" t="s">
        <v>1545</v>
      </c>
      <c r="E681" s="10" t="s">
        <v>24</v>
      </c>
      <c r="F681" s="10">
        <v>2007</v>
      </c>
      <c r="G681" s="10" t="s">
        <v>14</v>
      </c>
      <c r="H681" s="11" t="s">
        <v>124</v>
      </c>
      <c r="I681" s="10" t="s">
        <v>156</v>
      </c>
      <c r="J681" s="131"/>
      <c r="K681" s="149" t="s">
        <v>1546</v>
      </c>
    </row>
    <row r="682" spans="1:11" ht="28.9" customHeight="1" thickTop="1" thickBot="1" x14ac:dyDescent="0.75">
      <c r="A682" s="10">
        <v>680</v>
      </c>
      <c r="B682" s="57" t="str">
        <f>HYPERLINK("https://search.naver.com/search.naver?query=더킹:헨리5세 영화", "더킹-헨리5세")</f>
        <v>더킹-헨리5세</v>
      </c>
      <c r="C682" s="8">
        <v>8.4</v>
      </c>
      <c r="D682" s="9" t="s">
        <v>1547</v>
      </c>
      <c r="E682" s="6" t="s">
        <v>29</v>
      </c>
      <c r="F682" s="6">
        <v>2019</v>
      </c>
      <c r="G682" s="6" t="s">
        <v>14</v>
      </c>
      <c r="H682" s="7" t="s">
        <v>1548</v>
      </c>
      <c r="I682" s="6" t="s">
        <v>930</v>
      </c>
      <c r="J682" s="130"/>
      <c r="K682" s="148" t="s">
        <v>1549</v>
      </c>
    </row>
    <row r="683" spans="1:11" ht="28.9" customHeight="1" thickTop="1" thickBot="1" x14ac:dyDescent="0.75">
      <c r="A683" s="6">
        <v>681</v>
      </c>
      <c r="B683" s="58" t="str">
        <f>HYPERLINK("https://search.naver.com/search.naver?query=덕수리 5형제 영화", "덕수리 5형제")</f>
        <v>덕수리 5형제</v>
      </c>
      <c r="C683" s="12">
        <v>6.2</v>
      </c>
      <c r="D683" s="13" t="s">
        <v>1550</v>
      </c>
      <c r="E683" s="10" t="s">
        <v>13</v>
      </c>
      <c r="F683" s="10">
        <v>2014</v>
      </c>
      <c r="G683" s="10" t="s">
        <v>14</v>
      </c>
      <c r="H683" s="11" t="s">
        <v>91</v>
      </c>
      <c r="I683" s="10" t="s">
        <v>133</v>
      </c>
      <c r="J683" s="131"/>
      <c r="K683" s="149" t="s">
        <v>1551</v>
      </c>
    </row>
    <row r="684" spans="1:11" ht="28.9" customHeight="1" thickTop="1" thickBot="1" x14ac:dyDescent="0.75">
      <c r="A684" s="10">
        <v>682</v>
      </c>
      <c r="B684" s="57" t="str">
        <f>HYPERLINK("https://search.naver.com/search.naver?query=덕혜옹주 영화", "덕혜옹주")</f>
        <v>덕혜옹주</v>
      </c>
      <c r="C684" s="8">
        <v>8.7200000000000006</v>
      </c>
      <c r="D684" s="9" t="s">
        <v>1552</v>
      </c>
      <c r="E684" s="6" t="s">
        <v>13</v>
      </c>
      <c r="F684" s="6">
        <v>2016</v>
      </c>
      <c r="G684" s="6" t="s">
        <v>14</v>
      </c>
      <c r="H684" s="7" t="s">
        <v>1548</v>
      </c>
      <c r="I684" s="6" t="s">
        <v>210</v>
      </c>
      <c r="J684" s="130"/>
      <c r="K684" s="148" t="s">
        <v>1553</v>
      </c>
    </row>
    <row r="685" spans="1:11" ht="28.9" customHeight="1" thickTop="1" thickBot="1" x14ac:dyDescent="0.75">
      <c r="A685" s="6">
        <v>683</v>
      </c>
      <c r="B685" s="58" t="str">
        <f>HYPERLINK("https://search.naver.com/search.naver?query=던 월 영화", "던 월")</f>
        <v>던 월</v>
      </c>
      <c r="C685" s="12">
        <v>6.4</v>
      </c>
      <c r="D685" s="13" t="s">
        <v>1554</v>
      </c>
      <c r="E685" s="10" t="s">
        <v>24</v>
      </c>
      <c r="F685" s="10">
        <v>2017</v>
      </c>
      <c r="G685" s="10" t="s">
        <v>14</v>
      </c>
      <c r="H685" s="11" t="s">
        <v>1247</v>
      </c>
      <c r="I685" s="10" t="s">
        <v>345</v>
      </c>
      <c r="J685" s="131"/>
      <c r="K685" s="149" t="s">
        <v>1555</v>
      </c>
    </row>
    <row r="686" spans="1:11" ht="28.9" customHeight="1" thickTop="1" thickBot="1" x14ac:dyDescent="0.75">
      <c r="A686" s="10">
        <v>684</v>
      </c>
      <c r="B686" s="57" t="str">
        <f>HYPERLINK("https://search.naver.com/search.naver?query=덩케르크 영화", "덩케르크")</f>
        <v>덩케르크</v>
      </c>
      <c r="C686" s="8">
        <v>8.65</v>
      </c>
      <c r="D686" s="9" t="s">
        <v>1556</v>
      </c>
      <c r="E686" s="6" t="s">
        <v>29</v>
      </c>
      <c r="F686" s="6">
        <v>2017</v>
      </c>
      <c r="G686" s="6" t="s">
        <v>14</v>
      </c>
      <c r="H686" s="7" t="s">
        <v>1247</v>
      </c>
      <c r="I686" s="6" t="s">
        <v>443</v>
      </c>
      <c r="J686" s="130"/>
      <c r="K686" s="148" t="s">
        <v>1557</v>
      </c>
    </row>
    <row r="687" spans="1:11" ht="28.9" customHeight="1" thickTop="1" thickBot="1" x14ac:dyDescent="0.75">
      <c r="A687" s="6">
        <v>685</v>
      </c>
      <c r="B687" s="59" t="str">
        <f>HYPERLINK("https://search.naver.com/search.naver?query=데드 투 미 시즌1", "데드 투 미 시즌1")</f>
        <v>데드 투 미 시즌1</v>
      </c>
      <c r="C687" s="16"/>
      <c r="D687" s="17" t="s">
        <v>1558</v>
      </c>
      <c r="E687" s="14" t="s">
        <v>24</v>
      </c>
      <c r="F687" s="14">
        <v>2019</v>
      </c>
      <c r="G687" s="14" t="s">
        <v>20</v>
      </c>
      <c r="H687" s="15" t="s">
        <v>178</v>
      </c>
      <c r="I687" s="14" t="s">
        <v>64</v>
      </c>
      <c r="J687" s="132"/>
      <c r="K687" s="150" t="s">
        <v>1559</v>
      </c>
    </row>
    <row r="688" spans="1:11" ht="28.9" customHeight="1" thickTop="1" thickBot="1" x14ac:dyDescent="0.75">
      <c r="A688" s="10">
        <v>686</v>
      </c>
      <c r="B688" s="59" t="str">
        <f>HYPERLINK("https://search.naver.com/search.naver?query=데드 투 미 시즌2", "데드 투 미 시즌2")</f>
        <v>데드 투 미 시즌2</v>
      </c>
      <c r="C688" s="16"/>
      <c r="D688" s="17" t="s">
        <v>1558</v>
      </c>
      <c r="E688" s="14" t="s">
        <v>24</v>
      </c>
      <c r="F688" s="14">
        <v>2020</v>
      </c>
      <c r="G688" s="14" t="s">
        <v>20</v>
      </c>
      <c r="H688" s="15" t="s">
        <v>178</v>
      </c>
      <c r="I688" s="14" t="s">
        <v>64</v>
      </c>
      <c r="J688" s="132"/>
      <c r="K688" s="150" t="s">
        <v>1560</v>
      </c>
    </row>
    <row r="689" spans="1:11" ht="28.9" customHeight="1" thickTop="1" thickBot="1" x14ac:dyDescent="0.75">
      <c r="A689" s="6">
        <v>687</v>
      </c>
      <c r="B689" s="59" t="str">
        <f>HYPERLINK("https://search.naver.com/search.naver?query=데드 투 미 시즌3", "데드 투 미 시즌3")</f>
        <v>데드 투 미 시즌3</v>
      </c>
      <c r="C689" s="16"/>
      <c r="D689" s="17" t="s">
        <v>1558</v>
      </c>
      <c r="E689" s="14" t="s">
        <v>24</v>
      </c>
      <c r="F689" s="14">
        <v>2022</v>
      </c>
      <c r="G689" s="14" t="s">
        <v>20</v>
      </c>
      <c r="H689" s="15" t="s">
        <v>178</v>
      </c>
      <c r="I689" s="14" t="s">
        <v>64</v>
      </c>
      <c r="J689" s="132"/>
      <c r="K689" s="150" t="s">
        <v>1561</v>
      </c>
    </row>
    <row r="690" spans="1:11" ht="28.9" customHeight="1" thickTop="1" thickBot="1" x14ac:dyDescent="0.75">
      <c r="A690" s="10">
        <v>688</v>
      </c>
      <c r="B690" s="57" t="str">
        <f>HYPERLINK("https://search.naver.com/search.naver?query=데드폴 영화", "데드폴")</f>
        <v>데드폴</v>
      </c>
      <c r="C690" s="8">
        <v>6.58</v>
      </c>
      <c r="D690" s="9" t="s">
        <v>1562</v>
      </c>
      <c r="E690" s="6" t="s">
        <v>24</v>
      </c>
      <c r="F690" s="6">
        <v>2012</v>
      </c>
      <c r="G690" s="6" t="s">
        <v>14</v>
      </c>
      <c r="H690" s="7" t="s">
        <v>124</v>
      </c>
      <c r="I690" s="6" t="s">
        <v>150</v>
      </c>
      <c r="J690" s="130"/>
      <c r="K690" s="148" t="s">
        <v>1563</v>
      </c>
    </row>
    <row r="691" spans="1:11" ht="28.9" customHeight="1" thickTop="1" thickBot="1" x14ac:dyDescent="0.75">
      <c r="A691" s="6">
        <v>689</v>
      </c>
      <c r="B691" s="58" t="str">
        <f>HYPERLINK("https://search.naver.com/search.naver?query=데몰리션 영화", "데몰리션")</f>
        <v>데몰리션</v>
      </c>
      <c r="C691" s="12">
        <v>8.43</v>
      </c>
      <c r="D691" s="13" t="s">
        <v>1564</v>
      </c>
      <c r="E691" s="10" t="s">
        <v>24</v>
      </c>
      <c r="F691" s="10">
        <v>2016</v>
      </c>
      <c r="G691" s="10" t="s">
        <v>14</v>
      </c>
      <c r="H691" s="11" t="s">
        <v>20</v>
      </c>
      <c r="I691" s="10" t="s">
        <v>94</v>
      </c>
      <c r="J691" s="131"/>
      <c r="K691" s="149" t="s">
        <v>1565</v>
      </c>
    </row>
    <row r="692" spans="1:11" ht="28.9" customHeight="1" thickTop="1" thickBot="1" x14ac:dyDescent="0.75">
      <c r="A692" s="10">
        <v>690</v>
      </c>
      <c r="B692" s="57" t="str">
        <f>HYPERLINK("https://search.naver.com/search.naver?query=데미지 영화", "데미지")</f>
        <v>데미지</v>
      </c>
      <c r="C692" s="8">
        <v>7.47</v>
      </c>
      <c r="D692" s="9" t="s">
        <v>1566</v>
      </c>
      <c r="E692" s="6" t="s">
        <v>310</v>
      </c>
      <c r="F692" s="6">
        <v>1992</v>
      </c>
      <c r="G692" s="6" t="s">
        <v>14</v>
      </c>
      <c r="H692" s="7" t="s">
        <v>20</v>
      </c>
      <c r="I692" s="6" t="s">
        <v>137</v>
      </c>
      <c r="J692" s="130"/>
      <c r="K692" s="148" t="s">
        <v>1567</v>
      </c>
    </row>
    <row r="693" spans="1:11" ht="28.9" customHeight="1" thickTop="1" thickBot="1" x14ac:dyDescent="0.75">
      <c r="A693" s="6">
        <v>691</v>
      </c>
      <c r="B693" s="58" t="str">
        <f>HYPERLINK("https://search.naver.com/search.naver?query=데미지드 영화", "데미지드")</f>
        <v>데미지드</v>
      </c>
      <c r="C693" s="12">
        <v>3.7</v>
      </c>
      <c r="D693" s="13" t="s">
        <v>1568</v>
      </c>
      <c r="E693" s="10" t="s">
        <v>24</v>
      </c>
      <c r="F693" s="10">
        <v>2024</v>
      </c>
      <c r="G693" s="10" t="s">
        <v>14</v>
      </c>
      <c r="H693" s="11" t="s">
        <v>124</v>
      </c>
      <c r="I693" s="10" t="s">
        <v>80</v>
      </c>
      <c r="J693" s="131"/>
      <c r="K693" s="149" t="s">
        <v>1569</v>
      </c>
    </row>
    <row r="694" spans="1:11" ht="28.9" customHeight="1" thickTop="1" thickBot="1" x14ac:dyDescent="0.75">
      <c r="A694" s="10">
        <v>692</v>
      </c>
      <c r="B694" s="57" t="str">
        <f>HYPERLINK("https://search.naver.com/search.naver?query=데스 센텐스 영화", "데스 센텐스")</f>
        <v>데스 센텐스</v>
      </c>
      <c r="C694" s="8">
        <v>7.81</v>
      </c>
      <c r="D694" s="9" t="s">
        <v>1570</v>
      </c>
      <c r="E694" s="6" t="s">
        <v>24</v>
      </c>
      <c r="F694" s="6">
        <v>2007</v>
      </c>
      <c r="G694" s="6" t="s">
        <v>14</v>
      </c>
      <c r="H694" s="7" t="s">
        <v>124</v>
      </c>
      <c r="I694" s="6" t="s">
        <v>175</v>
      </c>
      <c r="J694" s="130"/>
      <c r="K694" s="148" t="s">
        <v>1571</v>
      </c>
    </row>
    <row r="695" spans="1:11" ht="28.9" customHeight="1" thickTop="1" thickBot="1" x14ac:dyDescent="0.75">
      <c r="A695" s="6">
        <v>693</v>
      </c>
      <c r="B695" s="58" t="str">
        <f>HYPERLINK("https://search.naver.com/search.naver?query=데스 위시 영화", "데스 위시")</f>
        <v>데스 위시</v>
      </c>
      <c r="C695" s="12">
        <v>7.45</v>
      </c>
      <c r="D695" s="13" t="s">
        <v>1572</v>
      </c>
      <c r="E695" s="10" t="s">
        <v>24</v>
      </c>
      <c r="F695" s="10">
        <v>2018</v>
      </c>
      <c r="G695" s="10" t="s">
        <v>14</v>
      </c>
      <c r="H695" s="11" t="s">
        <v>124</v>
      </c>
      <c r="I695" s="10" t="s">
        <v>101</v>
      </c>
      <c r="J695" s="131"/>
      <c r="K695" s="149" t="s">
        <v>1573</v>
      </c>
    </row>
    <row r="696" spans="1:11" ht="28.9" customHeight="1" thickTop="1" thickBot="1" x14ac:dyDescent="0.75">
      <c r="A696" s="10">
        <v>694</v>
      </c>
      <c r="B696" s="57" t="str">
        <f>HYPERLINK("https://search.naver.com/search.naver?query=데스 체이싱 영화", "데스 체이싱")</f>
        <v>데스 체이싱</v>
      </c>
      <c r="C696" s="8">
        <v>4.67</v>
      </c>
      <c r="D696" s="9" t="s">
        <v>1574</v>
      </c>
      <c r="E696" s="6" t="s">
        <v>24</v>
      </c>
      <c r="F696" s="6">
        <v>2019</v>
      </c>
      <c r="G696" s="6" t="s">
        <v>14</v>
      </c>
      <c r="H696" s="7" t="s">
        <v>124</v>
      </c>
      <c r="I696" s="6" t="s">
        <v>156</v>
      </c>
      <c r="J696" s="130"/>
      <c r="K696" s="148" t="s">
        <v>1575</v>
      </c>
    </row>
    <row r="697" spans="1:11" ht="28.9" customHeight="1" thickTop="1" thickBot="1" x14ac:dyDescent="0.75">
      <c r="A697" s="6">
        <v>695</v>
      </c>
      <c r="B697" s="58" t="str">
        <f>HYPERLINK("https://search.naver.com/search.naver?query=데어 윌 비 블러드 영화", "데어 윌 비 블러드")</f>
        <v>데어 윌 비 블러드</v>
      </c>
      <c r="C697" s="12">
        <v>9.6300000000000008</v>
      </c>
      <c r="D697" s="13" t="s">
        <v>1576</v>
      </c>
      <c r="E697" s="10" t="s">
        <v>24</v>
      </c>
      <c r="F697" s="10">
        <v>2007</v>
      </c>
      <c r="G697" s="10" t="s">
        <v>14</v>
      </c>
      <c r="H697" s="11" t="s">
        <v>20</v>
      </c>
      <c r="I697" s="10" t="s">
        <v>899</v>
      </c>
      <c r="J697" s="131"/>
      <c r="K697" s="149" t="s">
        <v>1577</v>
      </c>
    </row>
    <row r="698" spans="1:11" ht="28.9" customHeight="1" thickTop="1" thickBot="1" x14ac:dyDescent="0.75">
      <c r="A698" s="10">
        <v>696</v>
      </c>
      <c r="B698" s="57" t="str">
        <f>HYPERLINK("https://search.naver.com/search.naver?query=데이라이트 영화", "데이라이트")</f>
        <v>데이라이트</v>
      </c>
      <c r="C698" s="8">
        <v>7.31</v>
      </c>
      <c r="D698" s="9" t="s">
        <v>1578</v>
      </c>
      <c r="E698" s="6" t="s">
        <v>24</v>
      </c>
      <c r="F698" s="6">
        <v>2013</v>
      </c>
      <c r="G698" s="6" t="s">
        <v>14</v>
      </c>
      <c r="H698" s="7" t="s">
        <v>124</v>
      </c>
      <c r="I698" s="6" t="s">
        <v>150</v>
      </c>
      <c r="J698" s="130"/>
      <c r="K698" s="148" t="s">
        <v>1579</v>
      </c>
    </row>
    <row r="699" spans="1:11" ht="28.9" customHeight="1" thickTop="1" thickBot="1" x14ac:dyDescent="0.75">
      <c r="A699" s="6">
        <v>697</v>
      </c>
      <c r="B699" s="58" t="str">
        <f>HYPERLINK("https://search.naver.com/search.naver?query=데이비드 게일 영화", "데이비드 게일")</f>
        <v>데이비드 게일</v>
      </c>
      <c r="C699" s="12">
        <v>8.75</v>
      </c>
      <c r="D699" s="13" t="s">
        <v>1580</v>
      </c>
      <c r="E699" s="10" t="s">
        <v>24</v>
      </c>
      <c r="F699" s="10">
        <v>2003</v>
      </c>
      <c r="G699" s="10" t="s">
        <v>14</v>
      </c>
      <c r="H699" s="11" t="s">
        <v>20</v>
      </c>
      <c r="I699" s="10" t="s">
        <v>42</v>
      </c>
      <c r="J699" s="131"/>
      <c r="K699" s="149" t="s">
        <v>1581</v>
      </c>
    </row>
    <row r="700" spans="1:11" ht="28.9" customHeight="1" thickTop="1" thickBot="1" x14ac:dyDescent="0.75">
      <c r="A700" s="10">
        <v>698</v>
      </c>
      <c r="B700" s="57" t="str">
        <f>HYPERLINK("https://search.naver.com/search.naver?query=데인저러스 메소드 영화", "데인저러스 메소드")</f>
        <v>데인저러스 메소드</v>
      </c>
      <c r="C700" s="8">
        <v>8.32</v>
      </c>
      <c r="D700" s="9" t="s">
        <v>1582</v>
      </c>
      <c r="E700" s="6" t="s">
        <v>29</v>
      </c>
      <c r="F700" s="6">
        <v>2011</v>
      </c>
      <c r="G700" s="6" t="s">
        <v>14</v>
      </c>
      <c r="H700" s="7" t="s">
        <v>20</v>
      </c>
      <c r="I700" s="6" t="s">
        <v>109</v>
      </c>
      <c r="J700" s="130"/>
      <c r="K700" s="148" t="s">
        <v>1583</v>
      </c>
    </row>
    <row r="701" spans="1:11" ht="28.9" customHeight="1" thickTop="1" thickBot="1" x14ac:dyDescent="0.75">
      <c r="A701" s="6">
        <v>699</v>
      </c>
      <c r="B701" s="58" t="str">
        <f>HYPERLINK("https://search.naver.com/search.naver?query=데자뷰 영화", "데자뷰")</f>
        <v>데자뷰</v>
      </c>
      <c r="C701" s="12"/>
      <c r="D701" s="13" t="s">
        <v>1584</v>
      </c>
      <c r="E701" s="10" t="s">
        <v>24</v>
      </c>
      <c r="F701" s="10">
        <v>2006</v>
      </c>
      <c r="G701" s="10" t="s">
        <v>14</v>
      </c>
      <c r="H701" s="11" t="s">
        <v>124</v>
      </c>
      <c r="I701" s="10" t="s">
        <v>105</v>
      </c>
      <c r="J701" s="131"/>
      <c r="K701" s="149" t="s">
        <v>1585</v>
      </c>
    </row>
    <row r="702" spans="1:11" ht="28.9" customHeight="1" thickTop="1" thickBot="1" x14ac:dyDescent="0.75">
      <c r="A702" s="10">
        <v>700</v>
      </c>
      <c r="B702" s="59" t="str">
        <f>HYPERLINK("https://search.naver.com/search.naver?query=덱스터 시즌1", "덱스터 시즌1")</f>
        <v>덱스터 시즌1</v>
      </c>
      <c r="C702" s="16"/>
      <c r="D702" s="17" t="s">
        <v>1586</v>
      </c>
      <c r="E702" s="14" t="s">
        <v>24</v>
      </c>
      <c r="F702" s="14">
        <v>2006</v>
      </c>
      <c r="G702" s="14" t="s">
        <v>20</v>
      </c>
      <c r="H702" s="15" t="s">
        <v>1587</v>
      </c>
      <c r="I702" s="14" t="s">
        <v>1588</v>
      </c>
      <c r="J702" s="132"/>
      <c r="K702" s="150" t="s">
        <v>1589</v>
      </c>
    </row>
    <row r="703" spans="1:11" ht="28.9" customHeight="1" thickTop="1" thickBot="1" x14ac:dyDescent="0.75">
      <c r="A703" s="6">
        <v>701</v>
      </c>
      <c r="B703" s="59" t="str">
        <f>HYPERLINK("https://search.naver.com/search.naver?query=덱스터 시즌2", "덱스터 시즌2")</f>
        <v>덱스터 시즌2</v>
      </c>
      <c r="C703" s="16"/>
      <c r="D703" s="17"/>
      <c r="E703" s="14" t="s">
        <v>24</v>
      </c>
      <c r="F703" s="14">
        <v>2007</v>
      </c>
      <c r="G703" s="14" t="s">
        <v>20</v>
      </c>
      <c r="H703" s="15" t="s">
        <v>1587</v>
      </c>
      <c r="I703" s="14" t="s">
        <v>1588</v>
      </c>
      <c r="J703" s="132"/>
      <c r="K703" s="150" t="s">
        <v>1590</v>
      </c>
    </row>
    <row r="704" spans="1:11" ht="28.9" customHeight="1" thickTop="1" thickBot="1" x14ac:dyDescent="0.75">
      <c r="A704" s="10">
        <v>702</v>
      </c>
      <c r="B704" s="59" t="str">
        <f>HYPERLINK("https://search.naver.com/search.naver?query=덱스터 뉴 블러드", "덱스터: 뉴 블러드")</f>
        <v>덱스터: 뉴 블러드</v>
      </c>
      <c r="C704" s="16"/>
      <c r="D704" s="17" t="s">
        <v>1591</v>
      </c>
      <c r="E704" s="14" t="s">
        <v>24</v>
      </c>
      <c r="F704" s="14">
        <v>2021</v>
      </c>
      <c r="G704" s="14" t="s">
        <v>20</v>
      </c>
      <c r="H704" s="15" t="s">
        <v>1587</v>
      </c>
      <c r="I704" s="14" t="s">
        <v>64</v>
      </c>
      <c r="J704" s="132"/>
      <c r="K704" s="150" t="s">
        <v>1592</v>
      </c>
    </row>
    <row r="705" spans="1:11" ht="28.9" customHeight="1" thickTop="1" thickBot="1" x14ac:dyDescent="0.75">
      <c r="A705" s="6">
        <v>703</v>
      </c>
      <c r="B705" s="58" t="str">
        <f>HYPERLINK("https://search.naver.com/search.naver?query=델마 영화", "델마")</f>
        <v>델마</v>
      </c>
      <c r="C705" s="12">
        <v>7.89</v>
      </c>
      <c r="D705" s="13" t="s">
        <v>1593</v>
      </c>
      <c r="E705" s="10" t="s">
        <v>49</v>
      </c>
      <c r="F705" s="10">
        <v>2017</v>
      </c>
      <c r="G705" s="10" t="s">
        <v>14</v>
      </c>
      <c r="H705" s="11" t="s">
        <v>20</v>
      </c>
      <c r="I705" s="10" t="s">
        <v>591</v>
      </c>
      <c r="J705" s="131"/>
      <c r="K705" s="149" t="s">
        <v>1594</v>
      </c>
    </row>
    <row r="706" spans="1:11" ht="28.9" customHeight="1" thickTop="1" thickBot="1" x14ac:dyDescent="0.75">
      <c r="A706" s="10">
        <v>704</v>
      </c>
      <c r="B706" s="57" t="str">
        <f>HYPERLINK("https://search.naver.com/search.naver?query=도가니 영화", "도가니")</f>
        <v>도가니</v>
      </c>
      <c r="C706" s="8">
        <v>9.27</v>
      </c>
      <c r="D706" s="9" t="s">
        <v>1595</v>
      </c>
      <c r="E706" s="6" t="s">
        <v>13</v>
      </c>
      <c r="F706" s="6">
        <v>2011</v>
      </c>
      <c r="G706" s="6" t="s">
        <v>14</v>
      </c>
      <c r="H706" s="7" t="s">
        <v>20</v>
      </c>
      <c r="I706" s="6" t="s">
        <v>316</v>
      </c>
      <c r="J706" s="130"/>
      <c r="K706" s="148" t="s">
        <v>1596</v>
      </c>
    </row>
    <row r="707" spans="1:11" ht="28.9" customHeight="1" thickTop="1" thickBot="1" x14ac:dyDescent="0.75">
      <c r="A707" s="6">
        <v>705</v>
      </c>
      <c r="B707" s="58" t="str">
        <f>HYPERLINK("https://search.naver.com/search.naver?query=도굴 영화", "도굴")</f>
        <v>도굴</v>
      </c>
      <c r="C707" s="12">
        <v>8.4600000000000009</v>
      </c>
      <c r="D707" s="13" t="s">
        <v>1597</v>
      </c>
      <c r="E707" s="10" t="s">
        <v>13</v>
      </c>
      <c r="F707" s="10">
        <v>2020</v>
      </c>
      <c r="G707" s="10" t="s">
        <v>14</v>
      </c>
      <c r="H707" s="11" t="s">
        <v>428</v>
      </c>
      <c r="I707" s="10" t="s">
        <v>305</v>
      </c>
      <c r="J707" s="131"/>
      <c r="K707" s="149" t="s">
        <v>1598</v>
      </c>
    </row>
    <row r="708" spans="1:11" ht="28.9" customHeight="1" thickTop="1" thickBot="1" x14ac:dyDescent="0.75">
      <c r="A708" s="10">
        <v>706</v>
      </c>
      <c r="B708" s="57" t="str">
        <f>HYPERLINK("https://search.naver.com/search.naver?query=도그 영화", "도그")</f>
        <v>도그</v>
      </c>
      <c r="C708" s="8">
        <v>7.5</v>
      </c>
      <c r="D708" s="9" t="s">
        <v>1599</v>
      </c>
      <c r="E708" s="6" t="s">
        <v>24</v>
      </c>
      <c r="F708" s="6">
        <v>2022</v>
      </c>
      <c r="G708" s="6" t="s">
        <v>14</v>
      </c>
      <c r="H708" s="7" t="s">
        <v>91</v>
      </c>
      <c r="I708" s="6" t="s">
        <v>94</v>
      </c>
      <c r="J708" s="130"/>
      <c r="K708" s="148" t="s">
        <v>1600</v>
      </c>
    </row>
    <row r="709" spans="1:11" ht="28.9" customHeight="1" thickTop="1" thickBot="1" x14ac:dyDescent="0.75">
      <c r="A709" s="6">
        <v>707</v>
      </c>
      <c r="B709" s="58" t="str">
        <f>HYPERLINK("https://search.naver.com/search.naver?query=도둑 영화", "도둑")</f>
        <v>도둑</v>
      </c>
      <c r="C709" s="12">
        <v>3.83</v>
      </c>
      <c r="D709" s="13" t="s">
        <v>1601</v>
      </c>
      <c r="E709" s="10" t="s">
        <v>13</v>
      </c>
      <c r="F709" s="10">
        <v>2010</v>
      </c>
      <c r="G709" s="10" t="s">
        <v>14</v>
      </c>
      <c r="H709" s="11" t="s">
        <v>20</v>
      </c>
      <c r="I709" s="10" t="s">
        <v>150</v>
      </c>
      <c r="J709" s="131"/>
      <c r="K709" s="149" t="s">
        <v>1602</v>
      </c>
    </row>
    <row r="710" spans="1:11" ht="28.9" customHeight="1" thickTop="1" thickBot="1" x14ac:dyDescent="0.75">
      <c r="A710" s="10">
        <v>708</v>
      </c>
      <c r="B710" s="57" t="str">
        <f>HYPERLINK("https://search.naver.com/search.naver?query=도둑들 영화", "도둑들")</f>
        <v>도둑들</v>
      </c>
      <c r="C710" s="8">
        <v>7.67</v>
      </c>
      <c r="D710" s="9" t="s">
        <v>1603</v>
      </c>
      <c r="E710" s="6" t="s">
        <v>13</v>
      </c>
      <c r="F710" s="6">
        <v>2012</v>
      </c>
      <c r="G710" s="6" t="s">
        <v>14</v>
      </c>
      <c r="H710" s="7" t="s">
        <v>108</v>
      </c>
      <c r="I710" s="6" t="s">
        <v>51</v>
      </c>
      <c r="J710" s="130"/>
      <c r="K710" s="148" t="s">
        <v>1604</v>
      </c>
    </row>
    <row r="711" spans="1:11" ht="28.9" customHeight="1" thickTop="1" thickBot="1" x14ac:dyDescent="0.75">
      <c r="A711" s="6">
        <v>709</v>
      </c>
      <c r="B711" s="58" t="str">
        <f>HYPERLINK("https://search.naver.com/search.naver?query=도라 도라 도라 영화", "도라 도라 도라")</f>
        <v>도라 도라 도라</v>
      </c>
      <c r="C711" s="12">
        <v>8.2100000000000009</v>
      </c>
      <c r="D711" s="13" t="s">
        <v>1605</v>
      </c>
      <c r="E711" s="10" t="s">
        <v>24</v>
      </c>
      <c r="F711" s="10">
        <v>1970</v>
      </c>
      <c r="G711" s="10" t="s">
        <v>14</v>
      </c>
      <c r="H711" s="11" t="s">
        <v>1247</v>
      </c>
      <c r="I711" s="10" t="s">
        <v>57</v>
      </c>
      <c r="J711" s="131"/>
      <c r="K711" s="149" t="s">
        <v>1606</v>
      </c>
    </row>
    <row r="712" spans="1:11" ht="28.9" customHeight="1" thickTop="1" thickBot="1" x14ac:dyDescent="0.75">
      <c r="A712" s="10">
        <v>710</v>
      </c>
      <c r="B712" s="57" t="str">
        <f>HYPERLINK("https://search.naver.com/search.naver?query=도망친 여자 영화", "도망친 여자")</f>
        <v>도망친 여자</v>
      </c>
      <c r="C712" s="8">
        <v>8.07</v>
      </c>
      <c r="D712" s="9" t="s">
        <v>1607</v>
      </c>
      <c r="E712" s="6" t="s">
        <v>13</v>
      </c>
      <c r="F712" s="6">
        <v>2020</v>
      </c>
      <c r="G712" s="6" t="s">
        <v>14</v>
      </c>
      <c r="H712" s="7" t="s">
        <v>20</v>
      </c>
      <c r="I712" s="6" t="s">
        <v>1608</v>
      </c>
      <c r="J712" s="130"/>
      <c r="K712" s="148" t="s">
        <v>1609</v>
      </c>
    </row>
    <row r="713" spans="1:11" ht="28.9" customHeight="1" thickTop="1" thickBot="1" x14ac:dyDescent="0.75">
      <c r="A713" s="6">
        <v>711</v>
      </c>
      <c r="B713" s="58" t="str">
        <f>HYPERLINK("https://search.naver.com/search.naver?query=도모구이 영화", "도모구이")</f>
        <v>도모구이</v>
      </c>
      <c r="C713" s="12">
        <v>6.4</v>
      </c>
      <c r="D713" s="13" t="s">
        <v>1610</v>
      </c>
      <c r="E713" s="10" t="s">
        <v>19</v>
      </c>
      <c r="F713" s="10">
        <v>2013</v>
      </c>
      <c r="G713" s="10" t="s">
        <v>14</v>
      </c>
      <c r="H713" s="11" t="s">
        <v>20</v>
      </c>
      <c r="I713" s="10" t="s">
        <v>133</v>
      </c>
      <c r="J713" s="131"/>
      <c r="K713" s="149" t="s">
        <v>1611</v>
      </c>
    </row>
    <row r="714" spans="1:11" ht="28.9" customHeight="1" thickTop="1" thickBot="1" x14ac:dyDescent="0.75">
      <c r="A714" s="10">
        <v>712</v>
      </c>
      <c r="B714" s="57" t="str">
        <f>HYPERLINK("https://search.naver.com/search.naver?query=도어락 영화", "도어락")</f>
        <v>도어락</v>
      </c>
      <c r="C714" s="8">
        <v>7.69</v>
      </c>
      <c r="D714" s="9" t="s">
        <v>1612</v>
      </c>
      <c r="E714" s="6" t="s">
        <v>13</v>
      </c>
      <c r="F714" s="6">
        <v>2018</v>
      </c>
      <c r="G714" s="6" t="s">
        <v>14</v>
      </c>
      <c r="H714" s="7" t="s">
        <v>54</v>
      </c>
      <c r="I714" s="6" t="s">
        <v>133</v>
      </c>
      <c r="J714" s="130"/>
      <c r="K714" s="148" t="s">
        <v>1613</v>
      </c>
    </row>
    <row r="715" spans="1:11" ht="28.9" customHeight="1" thickTop="1" thickBot="1" x14ac:dyDescent="0.75">
      <c r="A715" s="6">
        <v>713</v>
      </c>
      <c r="B715" s="59" t="str">
        <f>HYPERLINK("https://search.naver.com/search.naver?query=도쿄 사기꾼들", "도쿄 사기꾼들")</f>
        <v>도쿄 사기꾼들</v>
      </c>
      <c r="C715" s="16"/>
      <c r="D715" s="17" t="s">
        <v>1614</v>
      </c>
      <c r="E715" s="14" t="s">
        <v>19</v>
      </c>
      <c r="F715" s="14">
        <v>2024</v>
      </c>
      <c r="G715" s="14" t="s">
        <v>20</v>
      </c>
      <c r="H715" s="15" t="s">
        <v>115</v>
      </c>
      <c r="I715" s="14" t="s">
        <v>512</v>
      </c>
      <c r="J715" s="132"/>
      <c r="K715" s="150" t="s">
        <v>1615</v>
      </c>
    </row>
    <row r="716" spans="1:11" ht="28.9" customHeight="1" thickTop="1" thickBot="1" x14ac:dyDescent="0.75">
      <c r="A716" s="10">
        <v>714</v>
      </c>
      <c r="B716" s="57" t="str">
        <f>HYPERLINK("https://search.naver.com/search.naver?query=도쿄 소나타 영화", "도쿄 소나타")</f>
        <v>도쿄 소나타</v>
      </c>
      <c r="C716" s="8">
        <v>8.36</v>
      </c>
      <c r="D716" s="9" t="s">
        <v>1616</v>
      </c>
      <c r="E716" s="6" t="s">
        <v>19</v>
      </c>
      <c r="F716" s="6">
        <v>2008</v>
      </c>
      <c r="G716" s="6" t="s">
        <v>14</v>
      </c>
      <c r="H716" s="7" t="s">
        <v>20</v>
      </c>
      <c r="I716" s="6" t="s">
        <v>116</v>
      </c>
      <c r="J716" s="130"/>
      <c r="K716" s="148" t="s">
        <v>1617</v>
      </c>
    </row>
    <row r="717" spans="1:11" ht="28.9" customHeight="1" thickTop="1" thickBot="1" x14ac:dyDescent="0.75">
      <c r="A717" s="6">
        <v>715</v>
      </c>
      <c r="B717" s="58" t="str">
        <f>HYPERLINK("https://search.naver.com/search.naver?query=도쿄 타워 영화", "도쿄 타워")</f>
        <v>도쿄 타워</v>
      </c>
      <c r="C717" s="12">
        <v>7.42</v>
      </c>
      <c r="D717" s="13" t="s">
        <v>1618</v>
      </c>
      <c r="E717" s="10" t="s">
        <v>19</v>
      </c>
      <c r="F717" s="10">
        <v>2007</v>
      </c>
      <c r="G717" s="10" t="s">
        <v>14</v>
      </c>
      <c r="H717" s="11" t="s">
        <v>20</v>
      </c>
      <c r="I717" s="10" t="s">
        <v>316</v>
      </c>
      <c r="J717" s="131"/>
      <c r="K717" s="149" t="s">
        <v>1619</v>
      </c>
    </row>
    <row r="718" spans="1:11" ht="28.9" customHeight="1" thickTop="1" thickBot="1" x14ac:dyDescent="0.75">
      <c r="A718" s="10">
        <v>716</v>
      </c>
      <c r="B718" s="57" t="str">
        <f>HYPERLINK("https://search.naver.com/search.naver?query=독수리 에디 영화", "독수리 에디")</f>
        <v>독수리 에디</v>
      </c>
      <c r="C718" s="8">
        <v>8.9700000000000006</v>
      </c>
      <c r="D718" s="9" t="s">
        <v>1620</v>
      </c>
      <c r="E718" s="6" t="s">
        <v>29</v>
      </c>
      <c r="F718" s="6">
        <v>2016</v>
      </c>
      <c r="G718" s="6" t="s">
        <v>14</v>
      </c>
      <c r="H718" s="7" t="s">
        <v>20</v>
      </c>
      <c r="I718" s="6" t="s">
        <v>443</v>
      </c>
      <c r="J718" s="130"/>
      <c r="K718" s="148" t="s">
        <v>1621</v>
      </c>
    </row>
    <row r="719" spans="1:11" ht="28.9" customHeight="1" thickTop="1" thickBot="1" x14ac:dyDescent="0.75">
      <c r="A719" s="6">
        <v>717</v>
      </c>
      <c r="B719" s="58" t="str">
        <f>HYPERLINK("https://search.naver.com/search.naver?query=독전 영화", "독전")</f>
        <v>독전</v>
      </c>
      <c r="C719" s="12">
        <v>2.11</v>
      </c>
      <c r="D719" s="13" t="s">
        <v>1622</v>
      </c>
      <c r="E719" s="10" t="s">
        <v>13</v>
      </c>
      <c r="F719" s="10">
        <v>2018</v>
      </c>
      <c r="G719" s="10" t="s">
        <v>14</v>
      </c>
      <c r="H719" s="11" t="s">
        <v>124</v>
      </c>
      <c r="I719" s="10" t="s">
        <v>591</v>
      </c>
      <c r="J719" s="131"/>
      <c r="K719" s="149" t="s">
        <v>1623</v>
      </c>
    </row>
    <row r="720" spans="1:11" ht="28.9" customHeight="1" thickTop="1" thickBot="1" x14ac:dyDescent="0.75">
      <c r="A720" s="10">
        <v>718</v>
      </c>
      <c r="B720" s="57" t="str">
        <f>HYPERLINK("https://search.naver.com/search.naver?query=돈 영화", "돈")</f>
        <v>돈</v>
      </c>
      <c r="C720" s="8">
        <v>8.3800000000000008</v>
      </c>
      <c r="D720" s="9" t="s">
        <v>1624</v>
      </c>
      <c r="E720" s="6" t="s">
        <v>13</v>
      </c>
      <c r="F720" s="6">
        <v>2019</v>
      </c>
      <c r="G720" s="6" t="s">
        <v>14</v>
      </c>
      <c r="H720" s="7" t="s">
        <v>428</v>
      </c>
      <c r="I720" s="6" t="s">
        <v>60</v>
      </c>
      <c r="J720" s="130"/>
      <c r="K720" s="148" t="s">
        <v>1625</v>
      </c>
    </row>
    <row r="721" spans="1:11" ht="28.9" customHeight="1" thickTop="1" thickBot="1" x14ac:dyDescent="0.75">
      <c r="A721" s="6">
        <v>719</v>
      </c>
      <c r="B721" s="58" t="str">
        <f>HYPERLINK("https://search.naver.com/search.naver?query=돈 룩 업 영화", "돈 룩 업")</f>
        <v>돈 룩 업</v>
      </c>
      <c r="C721" s="12">
        <v>8.23</v>
      </c>
      <c r="D721" s="13" t="s">
        <v>1626</v>
      </c>
      <c r="E721" s="10" t="s">
        <v>24</v>
      </c>
      <c r="F721" s="10">
        <v>2021</v>
      </c>
      <c r="G721" s="10" t="s">
        <v>14</v>
      </c>
      <c r="H721" s="11" t="s">
        <v>91</v>
      </c>
      <c r="I721" s="10" t="s">
        <v>1058</v>
      </c>
      <c r="J721" s="131"/>
      <c r="K721" s="149" t="s">
        <v>1627</v>
      </c>
    </row>
    <row r="722" spans="1:11" ht="28.9" customHeight="1" thickTop="1" thickBot="1" x14ac:dyDescent="0.75">
      <c r="A722" s="10">
        <v>720</v>
      </c>
      <c r="B722" s="57" t="str">
        <f>HYPERLINK("https://search.naver.com/search.naver?query=돈 크라이 마미 영화", "돈 크라이 마미")</f>
        <v>돈 크라이 마미</v>
      </c>
      <c r="C722" s="8">
        <v>6.45</v>
      </c>
      <c r="D722" s="9" t="s">
        <v>1628</v>
      </c>
      <c r="E722" s="6" t="s">
        <v>13</v>
      </c>
      <c r="F722" s="6">
        <v>2012</v>
      </c>
      <c r="G722" s="6" t="s">
        <v>14</v>
      </c>
      <c r="H722" s="7" t="s">
        <v>20</v>
      </c>
      <c r="I722" s="6" t="s">
        <v>205</v>
      </c>
      <c r="J722" s="130"/>
      <c r="K722" s="148" t="s">
        <v>1629</v>
      </c>
    </row>
    <row r="723" spans="1:11" ht="28.9" customHeight="1" thickTop="1" thickBot="1" x14ac:dyDescent="0.75">
      <c r="A723" s="6">
        <v>721</v>
      </c>
      <c r="B723" s="58" t="str">
        <f>HYPERLINK("https://search.naver.com/search.naver?query=돈의 맛 영화", "돈의 맛")</f>
        <v>돈의 맛</v>
      </c>
      <c r="C723" s="12">
        <v>6.82</v>
      </c>
      <c r="D723" s="13" t="s">
        <v>1630</v>
      </c>
      <c r="E723" s="10" t="s">
        <v>13</v>
      </c>
      <c r="F723" s="10">
        <v>2012</v>
      </c>
      <c r="G723" s="10" t="s">
        <v>14</v>
      </c>
      <c r="H723" s="11" t="s">
        <v>20</v>
      </c>
      <c r="I723" s="10" t="s">
        <v>60</v>
      </c>
      <c r="J723" s="131"/>
      <c r="K723" s="149" t="s">
        <v>1631</v>
      </c>
    </row>
    <row r="724" spans="1:11" ht="28.9" customHeight="1" thickTop="1" thickBot="1" x14ac:dyDescent="0.75">
      <c r="A724" s="10">
        <v>722</v>
      </c>
      <c r="B724" s="57" t="str">
        <f>HYPERLINK("https://search.naver.com/search.naver?query=돌로레스 클레이븐 영화", "돌로레스 클레이븐")</f>
        <v>돌로레스 클레이븐</v>
      </c>
      <c r="C724" s="8">
        <v>9.14</v>
      </c>
      <c r="D724" s="9" t="s">
        <v>1632</v>
      </c>
      <c r="E724" s="6" t="s">
        <v>24</v>
      </c>
      <c r="F724" s="6">
        <v>1995</v>
      </c>
      <c r="G724" s="6" t="s">
        <v>14</v>
      </c>
      <c r="H724" s="7" t="s">
        <v>54</v>
      </c>
      <c r="I724" s="6" t="s">
        <v>432</v>
      </c>
      <c r="J724" s="130"/>
      <c r="K724" s="148" t="s">
        <v>1633</v>
      </c>
    </row>
    <row r="725" spans="1:11" ht="28.9" customHeight="1" thickTop="1" thickBot="1" x14ac:dyDescent="0.75">
      <c r="A725" s="6">
        <v>723</v>
      </c>
      <c r="B725" s="58" t="str">
        <f>HYPERLINK("https://search.naver.com/search.naver?query=돌멩이 영화", "돌멩이")</f>
        <v>돌멩이</v>
      </c>
      <c r="C725" s="12">
        <v>9.1999999999999993</v>
      </c>
      <c r="D725" s="13" t="s">
        <v>1634</v>
      </c>
      <c r="E725" s="10" t="s">
        <v>13</v>
      </c>
      <c r="F725" s="10">
        <v>2020</v>
      </c>
      <c r="G725" s="10" t="s">
        <v>14</v>
      </c>
      <c r="H725" s="11" t="s">
        <v>20</v>
      </c>
      <c r="I725" s="10" t="s">
        <v>443</v>
      </c>
      <c r="J725" s="131"/>
      <c r="K725" s="149" t="s">
        <v>1635</v>
      </c>
    </row>
    <row r="726" spans="1:11" ht="28.9" customHeight="1" thickTop="1" thickBot="1" x14ac:dyDescent="0.75">
      <c r="A726" s="10">
        <v>724</v>
      </c>
      <c r="B726" s="59" t="str">
        <f>HYPERLINK("https://search.naver.com/search.naver?query=돌풍", "돌풍")</f>
        <v>돌풍</v>
      </c>
      <c r="C726" s="16"/>
      <c r="D726" s="17" t="s">
        <v>1636</v>
      </c>
      <c r="E726" s="14" t="s">
        <v>13</v>
      </c>
      <c r="F726" s="14">
        <v>2024</v>
      </c>
      <c r="G726" s="14" t="s">
        <v>20</v>
      </c>
      <c r="H726" s="15" t="s">
        <v>20</v>
      </c>
      <c r="I726" s="14" t="s">
        <v>1588</v>
      </c>
      <c r="J726" s="132"/>
      <c r="K726" s="150" t="s">
        <v>1637</v>
      </c>
    </row>
    <row r="727" spans="1:11" ht="28.9" customHeight="1" thickTop="1" thickBot="1" x14ac:dyDescent="0.75">
      <c r="A727" s="6">
        <v>725</v>
      </c>
      <c r="B727" s="58" t="str">
        <f>HYPERLINK("https://search.naver.com/search.naver?query=돌핀 테일 2 영화", "돌핀 테일 2")</f>
        <v>돌핀 테일 2</v>
      </c>
      <c r="C727" s="12">
        <v>6.4</v>
      </c>
      <c r="D727" s="13" t="s">
        <v>1638</v>
      </c>
      <c r="E727" s="10" t="s">
        <v>24</v>
      </c>
      <c r="F727" s="10">
        <v>2014</v>
      </c>
      <c r="G727" s="10" t="s">
        <v>14</v>
      </c>
      <c r="H727" s="11" t="s">
        <v>20</v>
      </c>
      <c r="I727" s="10" t="s">
        <v>101</v>
      </c>
      <c r="J727" s="131"/>
      <c r="K727" s="149" t="s">
        <v>1639</v>
      </c>
    </row>
    <row r="728" spans="1:11" ht="28.9" customHeight="1" thickTop="1" thickBot="1" x14ac:dyDescent="0.75">
      <c r="A728" s="10">
        <v>726</v>
      </c>
      <c r="B728" s="57" t="str">
        <f>HYPERLINK("https://search.naver.com/search.naver?query=돌핀테일 영화", "돌핀테일")</f>
        <v>돌핀테일</v>
      </c>
      <c r="C728" s="8">
        <v>3</v>
      </c>
      <c r="D728" s="9" t="s">
        <v>1638</v>
      </c>
      <c r="E728" s="6" t="s">
        <v>24</v>
      </c>
      <c r="F728" s="6">
        <v>2011</v>
      </c>
      <c r="G728" s="6" t="s">
        <v>14</v>
      </c>
      <c r="H728" s="7" t="s">
        <v>20</v>
      </c>
      <c r="I728" s="6" t="s">
        <v>98</v>
      </c>
      <c r="J728" s="130"/>
      <c r="K728" s="148" t="s">
        <v>1640</v>
      </c>
    </row>
    <row r="729" spans="1:11" ht="28.9" customHeight="1" thickTop="1" thickBot="1" x14ac:dyDescent="0.75">
      <c r="A729" s="6">
        <v>727</v>
      </c>
      <c r="B729" s="58" t="str">
        <f>HYPERLINK("https://search.naver.com/search.naver?query=돔 헤밍웨이 영화", "돔 헤밍웨이")</f>
        <v>돔 헤밍웨이</v>
      </c>
      <c r="C729" s="12"/>
      <c r="D729" s="13" t="s">
        <v>1641</v>
      </c>
      <c r="E729" s="10" t="s">
        <v>29</v>
      </c>
      <c r="F729" s="10">
        <v>2013</v>
      </c>
      <c r="G729" s="10" t="s">
        <v>14</v>
      </c>
      <c r="H729" s="11" t="s">
        <v>91</v>
      </c>
      <c r="I729" s="10" t="s">
        <v>125</v>
      </c>
      <c r="J729" s="131"/>
      <c r="K729" s="149" t="s">
        <v>1642</v>
      </c>
    </row>
    <row r="730" spans="1:11" ht="28.9" customHeight="1" thickTop="1" thickBot="1" x14ac:dyDescent="0.75">
      <c r="A730" s="10">
        <v>728</v>
      </c>
      <c r="B730" s="57" t="str">
        <f>HYPERLINK("https://search.naver.com/search.naver?query=동감 영화", "동감")</f>
        <v>동감</v>
      </c>
      <c r="C730" s="8">
        <v>6.43</v>
      </c>
      <c r="D730" s="9" t="s">
        <v>1643</v>
      </c>
      <c r="E730" s="6" t="s">
        <v>13</v>
      </c>
      <c r="F730" s="6">
        <v>2000</v>
      </c>
      <c r="G730" s="6" t="s">
        <v>14</v>
      </c>
      <c r="H730" s="7" t="s">
        <v>165</v>
      </c>
      <c r="I730" s="6" t="s">
        <v>305</v>
      </c>
      <c r="J730" s="130"/>
      <c r="K730" s="148" t="s">
        <v>1644</v>
      </c>
    </row>
    <row r="731" spans="1:11" ht="28.9" customHeight="1" thickTop="1" thickBot="1" x14ac:dyDescent="0.75">
      <c r="A731" s="6">
        <v>729</v>
      </c>
      <c r="B731" s="58" t="str">
        <f>HYPERLINK("https://search.naver.com/search.naver?query=동갑내기 과외하기 영화", "동갑내기 과외하기")</f>
        <v>동갑내기 과외하기</v>
      </c>
      <c r="C731" s="12">
        <v>6.43</v>
      </c>
      <c r="D731" s="13" t="s">
        <v>1645</v>
      </c>
      <c r="E731" s="10" t="s">
        <v>13</v>
      </c>
      <c r="F731" s="10">
        <v>2003</v>
      </c>
      <c r="G731" s="10" t="s">
        <v>14</v>
      </c>
      <c r="H731" s="11" t="s">
        <v>91</v>
      </c>
      <c r="I731" s="10" t="s">
        <v>316</v>
      </c>
      <c r="J731" s="131"/>
      <c r="K731" s="149" t="s">
        <v>1646</v>
      </c>
    </row>
    <row r="732" spans="1:11" ht="28.9" customHeight="1" thickTop="1" thickBot="1" x14ac:dyDescent="0.75">
      <c r="A732" s="10">
        <v>730</v>
      </c>
      <c r="B732" s="57" t="str">
        <f>HYPERLINK("https://search.naver.com/search.naver?query=동경가족 영화", "동경가족")</f>
        <v>동경가족</v>
      </c>
      <c r="C732" s="8">
        <v>8.31</v>
      </c>
      <c r="D732" s="9" t="s">
        <v>1647</v>
      </c>
      <c r="E732" s="6" t="s">
        <v>19</v>
      </c>
      <c r="F732" s="6">
        <v>2013</v>
      </c>
      <c r="G732" s="6" t="s">
        <v>14</v>
      </c>
      <c r="H732" s="7" t="s">
        <v>20</v>
      </c>
      <c r="I732" s="6" t="s">
        <v>1648</v>
      </c>
      <c r="J732" s="130"/>
      <c r="K732" s="148" t="s">
        <v>1649</v>
      </c>
    </row>
    <row r="733" spans="1:11" ht="28.9" customHeight="1" thickTop="1" thickBot="1" x14ac:dyDescent="0.75">
      <c r="A733" s="6">
        <v>731</v>
      </c>
      <c r="B733" s="58" t="str">
        <f>HYPERLINK("https://search.naver.com/search.naver?query=동네사람들 영화", "동네사람들")</f>
        <v>동네사람들</v>
      </c>
      <c r="C733" s="12">
        <v>7.12</v>
      </c>
      <c r="D733" s="13" t="s">
        <v>1650</v>
      </c>
      <c r="E733" s="10" t="s">
        <v>13</v>
      </c>
      <c r="F733" s="10">
        <v>2018</v>
      </c>
      <c r="G733" s="10" t="s">
        <v>14</v>
      </c>
      <c r="H733" s="11" t="s">
        <v>54</v>
      </c>
      <c r="I733" s="10" t="s">
        <v>16</v>
      </c>
      <c r="J733" s="131"/>
      <c r="K733" s="149" t="s">
        <v>1651</v>
      </c>
    </row>
    <row r="734" spans="1:11" ht="28.9" customHeight="1" thickTop="1" thickBot="1" x14ac:dyDescent="0.75">
      <c r="A734" s="10">
        <v>732</v>
      </c>
      <c r="B734" s="57" t="str">
        <f>HYPERLINK("https://search.naver.com/search.naver?query=동창생 영화", "동창생")</f>
        <v>동창생</v>
      </c>
      <c r="C734" s="8">
        <v>7.31</v>
      </c>
      <c r="D734" s="9" t="s">
        <v>1652</v>
      </c>
      <c r="E734" s="6" t="s">
        <v>13</v>
      </c>
      <c r="F734" s="6">
        <v>2013</v>
      </c>
      <c r="G734" s="6" t="s">
        <v>14</v>
      </c>
      <c r="H734" s="7" t="s">
        <v>20</v>
      </c>
      <c r="I734" s="6" t="s">
        <v>98</v>
      </c>
      <c r="J734" s="130"/>
      <c r="K734" s="148" t="s">
        <v>1653</v>
      </c>
    </row>
    <row r="735" spans="1:11" ht="28.9" customHeight="1" thickTop="1" thickBot="1" x14ac:dyDescent="0.75">
      <c r="A735" s="6">
        <v>733</v>
      </c>
      <c r="B735" s="58" t="str">
        <f>HYPERLINK("https://search.naver.com/search.naver?query=동화지만 청불입니다 영화", "동화지만 청불입니다")</f>
        <v>동화지만 청불입니다</v>
      </c>
      <c r="C735" s="12">
        <v>7.19</v>
      </c>
      <c r="D735" s="13" t="s">
        <v>1654</v>
      </c>
      <c r="E735" s="10" t="s">
        <v>13</v>
      </c>
      <c r="F735" s="10">
        <v>2025</v>
      </c>
      <c r="G735" s="10" t="s">
        <v>14</v>
      </c>
      <c r="H735" s="11" t="s">
        <v>91</v>
      </c>
      <c r="I735" s="10" t="s">
        <v>187</v>
      </c>
      <c r="J735" s="131"/>
      <c r="K735" s="149" t="s">
        <v>1655</v>
      </c>
    </row>
    <row r="736" spans="1:11" ht="28.9" customHeight="1" thickTop="1" thickBot="1" x14ac:dyDescent="0.75">
      <c r="A736" s="10">
        <v>734</v>
      </c>
      <c r="B736" s="57" t="str">
        <f>HYPERLINK("https://search.naver.com/search.naver?query=두 개의 사랑 영화", "두 개의 사랑")</f>
        <v>두 개의 사랑</v>
      </c>
      <c r="C736" s="8">
        <v>7.21</v>
      </c>
      <c r="D736" s="9" t="s">
        <v>1656</v>
      </c>
      <c r="E736" s="6" t="s">
        <v>24</v>
      </c>
      <c r="F736" s="6">
        <v>2017</v>
      </c>
      <c r="G736" s="6" t="s">
        <v>14</v>
      </c>
      <c r="H736" s="7" t="s">
        <v>165</v>
      </c>
      <c r="I736" s="6" t="s">
        <v>150</v>
      </c>
      <c r="J736" s="130"/>
      <c r="K736" s="148" t="s">
        <v>1657</v>
      </c>
    </row>
    <row r="737" spans="1:11" ht="28.9" customHeight="1" thickTop="1" thickBot="1" x14ac:dyDescent="0.75">
      <c r="A737" s="6">
        <v>735</v>
      </c>
      <c r="B737" s="58" t="str">
        <f>HYPERLINK("https://search.naver.com/search.naver?query=두 교황 영화", "두 교황")</f>
        <v>두 교황</v>
      </c>
      <c r="C737" s="12">
        <v>9.33</v>
      </c>
      <c r="D737" s="13" t="s">
        <v>1658</v>
      </c>
      <c r="E737" s="10" t="s">
        <v>29</v>
      </c>
      <c r="F737" s="10">
        <v>2019</v>
      </c>
      <c r="G737" s="10" t="s">
        <v>14</v>
      </c>
      <c r="H737" s="11" t="s">
        <v>20</v>
      </c>
      <c r="I737" s="10" t="s">
        <v>316</v>
      </c>
      <c r="J737" s="131"/>
      <c r="K737" s="149" t="s">
        <v>1659</v>
      </c>
    </row>
    <row r="738" spans="1:11" ht="28.9" customHeight="1" thickTop="1" thickBot="1" x14ac:dyDescent="0.75">
      <c r="A738" s="10">
        <v>736</v>
      </c>
      <c r="B738" s="57" t="str">
        <f>HYPERLINK("https://search.naver.com/search.naver?query=두 세계 사이에서 영화", "두 세계 사이에서")</f>
        <v>두 세계 사이에서</v>
      </c>
      <c r="C738" s="8">
        <v>7.62</v>
      </c>
      <c r="D738" s="9" t="s">
        <v>1660</v>
      </c>
      <c r="E738" s="6" t="s">
        <v>310</v>
      </c>
      <c r="F738" s="6">
        <v>2021</v>
      </c>
      <c r="G738" s="6" t="s">
        <v>14</v>
      </c>
      <c r="H738" s="7" t="s">
        <v>20</v>
      </c>
      <c r="I738" s="6" t="s">
        <v>443</v>
      </c>
      <c r="J738" s="130"/>
      <c r="K738" s="148" t="s">
        <v>1661</v>
      </c>
    </row>
    <row r="739" spans="1:11" ht="28.9" customHeight="1" thickTop="1" thickBot="1" x14ac:dyDescent="0.75">
      <c r="A739" s="6">
        <v>737</v>
      </c>
      <c r="B739" s="58" t="str">
        <f>HYPERLINK("https://search.naver.com/search.naver?query=두번째 사랑 영화", "두번째 사랑")</f>
        <v>두번째 사랑</v>
      </c>
      <c r="C739" s="12">
        <v>8.0299999999999994</v>
      </c>
      <c r="D739" s="13" t="s">
        <v>1662</v>
      </c>
      <c r="E739" s="10" t="s">
        <v>13</v>
      </c>
      <c r="F739" s="10">
        <v>2007</v>
      </c>
      <c r="G739" s="10" t="s">
        <v>14</v>
      </c>
      <c r="H739" s="11" t="s">
        <v>165</v>
      </c>
      <c r="I739" s="10" t="s">
        <v>94</v>
      </c>
      <c r="J739" s="131"/>
      <c r="K739" s="149" t="s">
        <v>1663</v>
      </c>
    </row>
    <row r="740" spans="1:11" ht="28.9" customHeight="1" thickTop="1" thickBot="1" x14ac:dyDescent="0.75">
      <c r="A740" s="10">
        <v>738</v>
      </c>
      <c r="B740" s="57" t="str">
        <f>HYPERLINK("https://search.naver.com/search.naver?query=듀 데이트 영화", "듀 데이트")</f>
        <v>듀 데이트</v>
      </c>
      <c r="C740" s="8">
        <v>7.19</v>
      </c>
      <c r="D740" s="9" t="s">
        <v>1664</v>
      </c>
      <c r="E740" s="6" t="s">
        <v>24</v>
      </c>
      <c r="F740" s="6">
        <v>2010</v>
      </c>
      <c r="G740" s="6" t="s">
        <v>14</v>
      </c>
      <c r="H740" s="7" t="s">
        <v>91</v>
      </c>
      <c r="I740" s="6" t="s">
        <v>150</v>
      </c>
      <c r="J740" s="130"/>
      <c r="K740" s="148" t="s">
        <v>1665</v>
      </c>
    </row>
    <row r="741" spans="1:11" ht="28.9" customHeight="1" thickTop="1" thickBot="1" x14ac:dyDescent="0.75">
      <c r="A741" s="6">
        <v>739</v>
      </c>
      <c r="B741" s="58" t="str">
        <f>HYPERLINK("https://search.naver.com/search.naver?query=듄 영화", "듄")</f>
        <v>듄</v>
      </c>
      <c r="C741" s="12">
        <v>8.92</v>
      </c>
      <c r="D741" s="13" t="s">
        <v>1666</v>
      </c>
      <c r="E741" s="10" t="s">
        <v>24</v>
      </c>
      <c r="F741" s="10">
        <v>2021</v>
      </c>
      <c r="G741" s="10" t="s">
        <v>14</v>
      </c>
      <c r="H741" s="11" t="s">
        <v>877</v>
      </c>
      <c r="I741" s="10" t="s">
        <v>262</v>
      </c>
      <c r="J741" s="131"/>
      <c r="K741" s="149" t="s">
        <v>1667</v>
      </c>
    </row>
    <row r="742" spans="1:11" ht="28.9" customHeight="1" thickTop="1" thickBot="1" x14ac:dyDescent="0.75">
      <c r="A742" s="10">
        <v>740</v>
      </c>
      <c r="B742" s="57" t="str">
        <f>HYPERLINK("https://search.naver.com/search.naver?query=드라이 영화", "드라이")</f>
        <v>드라이</v>
      </c>
      <c r="C742" s="8">
        <v>7.2</v>
      </c>
      <c r="D742" s="9" t="s">
        <v>1668</v>
      </c>
      <c r="E742" s="6" t="s">
        <v>45</v>
      </c>
      <c r="F742" s="6">
        <v>2020</v>
      </c>
      <c r="G742" s="6" t="s">
        <v>14</v>
      </c>
      <c r="H742" s="7" t="s">
        <v>54</v>
      </c>
      <c r="I742" s="6" t="s">
        <v>120</v>
      </c>
      <c r="J742" s="130"/>
      <c r="K742" s="148" t="s">
        <v>1669</v>
      </c>
    </row>
    <row r="743" spans="1:11" ht="28.9" customHeight="1" thickTop="1" thickBot="1" x14ac:dyDescent="0.75">
      <c r="A743" s="6">
        <v>741</v>
      </c>
      <c r="B743" s="58" t="str">
        <f>HYPERLINK("https://search.naver.com/search.naver?query=드라이브 영화", "드라이브")</f>
        <v>드라이브</v>
      </c>
      <c r="C743" s="12">
        <v>3.32</v>
      </c>
      <c r="D743" s="13" t="s">
        <v>1670</v>
      </c>
      <c r="E743" s="10" t="s">
        <v>24</v>
      </c>
      <c r="F743" s="10">
        <v>2011</v>
      </c>
      <c r="G743" s="10" t="s">
        <v>14</v>
      </c>
      <c r="H743" s="11" t="s">
        <v>124</v>
      </c>
      <c r="I743" s="10" t="s">
        <v>179</v>
      </c>
      <c r="J743" s="131"/>
      <c r="K743" s="149" t="s">
        <v>1671</v>
      </c>
    </row>
    <row r="744" spans="1:11" ht="28.9" customHeight="1" thickTop="1" thickBot="1" x14ac:dyDescent="0.75">
      <c r="A744" s="10">
        <v>742</v>
      </c>
      <c r="B744" s="57" t="str">
        <f>HYPERLINK("https://search.naver.com/search.naver?query=드라이브 마이 카 영화", "드라이브 마이 카")</f>
        <v>드라이브 마이 카</v>
      </c>
      <c r="C744" s="8">
        <v>8.6300000000000008</v>
      </c>
      <c r="D744" s="9" t="s">
        <v>1672</v>
      </c>
      <c r="E744" s="6" t="s">
        <v>19</v>
      </c>
      <c r="F744" s="6">
        <v>2021</v>
      </c>
      <c r="G744" s="6" t="s">
        <v>14</v>
      </c>
      <c r="H744" s="7" t="s">
        <v>20</v>
      </c>
      <c r="I744" s="6" t="s">
        <v>311</v>
      </c>
      <c r="J744" s="130"/>
      <c r="K744" s="148" t="s">
        <v>1673</v>
      </c>
    </row>
    <row r="745" spans="1:11" ht="28.9" customHeight="1" thickTop="1" thickBot="1" x14ac:dyDescent="0.75">
      <c r="A745" s="6">
        <v>743</v>
      </c>
      <c r="B745" s="58" t="str">
        <f>HYPERLINK("https://search.naver.com/search.naver?query=드라이브 앵그리 영화", "드라이브 앵그리")</f>
        <v>드라이브 앵그리</v>
      </c>
      <c r="C745" s="12"/>
      <c r="D745" s="13" t="s">
        <v>1674</v>
      </c>
      <c r="E745" s="10" t="s">
        <v>24</v>
      </c>
      <c r="F745" s="10">
        <v>2011</v>
      </c>
      <c r="G745" s="10" t="s">
        <v>14</v>
      </c>
      <c r="H745" s="11" t="s">
        <v>124</v>
      </c>
      <c r="I745" s="10" t="s">
        <v>242</v>
      </c>
      <c r="J745" s="131"/>
      <c r="K745" s="149" t="s">
        <v>1675</v>
      </c>
    </row>
    <row r="746" spans="1:11" ht="28.9" customHeight="1" thickTop="1" thickBot="1" x14ac:dyDescent="0.75">
      <c r="A746" s="10">
        <v>744</v>
      </c>
      <c r="B746" s="57" t="str">
        <f>HYPERLINK("https://search.naver.com/search.naver?query=드래그 영화", "드래그")</f>
        <v>드래그</v>
      </c>
      <c r="C746" s="8">
        <v>6.4</v>
      </c>
      <c r="D746" s="9" t="s">
        <v>1676</v>
      </c>
      <c r="E746" s="6" t="s">
        <v>24</v>
      </c>
      <c r="F746" s="6">
        <v>2018</v>
      </c>
      <c r="G746" s="6" t="s">
        <v>14</v>
      </c>
      <c r="H746" s="7" t="s">
        <v>124</v>
      </c>
      <c r="I746" s="6" t="s">
        <v>156</v>
      </c>
      <c r="J746" s="130"/>
      <c r="K746" s="148" t="s">
        <v>1677</v>
      </c>
    </row>
    <row r="747" spans="1:11" ht="28.9" customHeight="1" thickTop="1" thickBot="1" x14ac:dyDescent="0.75">
      <c r="A747" s="6">
        <v>745</v>
      </c>
      <c r="B747" s="58" t="str">
        <f>HYPERLINK("https://search.naver.com/search.naver?query=드래프트 데이 영화", "드래프트 데이")</f>
        <v>드래프트 데이</v>
      </c>
      <c r="C747" s="12">
        <v>8.1999999999999993</v>
      </c>
      <c r="D747" s="13" t="s">
        <v>1678</v>
      </c>
      <c r="E747" s="10" t="s">
        <v>24</v>
      </c>
      <c r="F747" s="10">
        <v>2014</v>
      </c>
      <c r="G747" s="10" t="s">
        <v>14</v>
      </c>
      <c r="H747" s="11" t="s">
        <v>20</v>
      </c>
      <c r="I747" s="10" t="s">
        <v>129</v>
      </c>
      <c r="J747" s="131"/>
      <c r="K747" s="149" t="s">
        <v>1679</v>
      </c>
    </row>
    <row r="748" spans="1:11" ht="28.9" customHeight="1" thickTop="1" thickBot="1" x14ac:dyDescent="0.75">
      <c r="A748" s="10">
        <v>746</v>
      </c>
      <c r="B748" s="57" t="str">
        <f>HYPERLINK("https://search.naver.com/search.naver?query=드레스메이커 영화", "드레스메이커")</f>
        <v>드레스메이커</v>
      </c>
      <c r="C748" s="8">
        <v>8.11</v>
      </c>
      <c r="D748" s="9" t="s">
        <v>1680</v>
      </c>
      <c r="E748" s="6" t="s">
        <v>45</v>
      </c>
      <c r="F748" s="6">
        <v>2015</v>
      </c>
      <c r="G748" s="6" t="s">
        <v>14</v>
      </c>
      <c r="H748" s="7" t="s">
        <v>20</v>
      </c>
      <c r="I748" s="6" t="s">
        <v>329</v>
      </c>
      <c r="J748" s="130"/>
      <c r="K748" s="148" t="s">
        <v>1681</v>
      </c>
    </row>
    <row r="749" spans="1:11" ht="28.9" customHeight="1" thickTop="1" thickBot="1" x14ac:dyDescent="0.75">
      <c r="A749" s="6">
        <v>747</v>
      </c>
      <c r="B749" s="58" t="str">
        <f>HYPERLINK("https://search.naver.com/search.naver?query=드론전쟁 - 굿 킬 영화", "드론전쟁 - 굿 킬")</f>
        <v>드론전쟁 - 굿 킬</v>
      </c>
      <c r="C749" s="12"/>
      <c r="D749" s="13" t="s">
        <v>1682</v>
      </c>
      <c r="E749" s="10" t="s">
        <v>24</v>
      </c>
      <c r="F749" s="10">
        <v>2014</v>
      </c>
      <c r="G749" s="10" t="s">
        <v>14</v>
      </c>
      <c r="H749" s="11" t="s">
        <v>20</v>
      </c>
      <c r="I749" s="10" t="s">
        <v>133</v>
      </c>
      <c r="J749" s="131"/>
      <c r="K749" s="149" t="s">
        <v>1683</v>
      </c>
    </row>
    <row r="750" spans="1:11" ht="28.9" customHeight="1" thickTop="1" thickBot="1" x14ac:dyDescent="0.75">
      <c r="A750" s="10">
        <v>748</v>
      </c>
      <c r="B750" s="57" t="str">
        <f>HYPERLINK("https://search.naver.com/search.naver?query=드론전쟁 굿킬 영화", "드론전쟁 굿킬")</f>
        <v>드론전쟁 굿킬</v>
      </c>
      <c r="C750" s="8">
        <v>6.4</v>
      </c>
      <c r="D750" s="9" t="s">
        <v>1682</v>
      </c>
      <c r="E750" s="6" t="s">
        <v>24</v>
      </c>
      <c r="F750" s="6">
        <v>2014</v>
      </c>
      <c r="G750" s="6" t="s">
        <v>14</v>
      </c>
      <c r="H750" s="7" t="s">
        <v>20</v>
      </c>
      <c r="I750" s="6" t="s">
        <v>133</v>
      </c>
      <c r="J750" s="130"/>
      <c r="K750" s="148" t="s">
        <v>1059</v>
      </c>
    </row>
    <row r="751" spans="1:11" ht="28.9" customHeight="1" thickTop="1" thickBot="1" x14ac:dyDescent="0.75">
      <c r="A751" s="6">
        <v>749</v>
      </c>
      <c r="B751" s="58" t="str">
        <f>HYPERLINK("https://search.naver.com/search.naver?query=드롭 영화", "드롭")</f>
        <v>드롭</v>
      </c>
      <c r="C751" s="12">
        <v>7.4</v>
      </c>
      <c r="D751" s="13" t="s">
        <v>1684</v>
      </c>
      <c r="E751" s="10" t="s">
        <v>24</v>
      </c>
      <c r="F751" s="10">
        <v>2025</v>
      </c>
      <c r="G751" s="10" t="s">
        <v>14</v>
      </c>
      <c r="H751" s="11" t="s">
        <v>54</v>
      </c>
      <c r="I751" s="10" t="s">
        <v>150</v>
      </c>
      <c r="J751" s="131"/>
      <c r="K751" s="149" t="s">
        <v>1685</v>
      </c>
    </row>
    <row r="752" spans="1:11" ht="28.9" customHeight="1" thickTop="1" thickBot="1" x14ac:dyDescent="0.75">
      <c r="A752" s="10">
        <v>750</v>
      </c>
      <c r="B752" s="57" t="str">
        <f>HYPERLINK("https://search.naver.com/search.naver?query=드리프트 영화", "드리프트")</f>
        <v>드리프트</v>
      </c>
      <c r="C752" s="8"/>
      <c r="D752" s="9" t="s">
        <v>1686</v>
      </c>
      <c r="E752" s="6" t="s">
        <v>45</v>
      </c>
      <c r="F752" s="6">
        <v>2013</v>
      </c>
      <c r="G752" s="6" t="s">
        <v>14</v>
      </c>
      <c r="H752" s="7" t="s">
        <v>20</v>
      </c>
      <c r="I752" s="6" t="s">
        <v>98</v>
      </c>
      <c r="J752" s="130"/>
      <c r="K752" s="148" t="s">
        <v>1687</v>
      </c>
    </row>
    <row r="753" spans="1:11" ht="28.9" customHeight="1" thickTop="1" thickBot="1" x14ac:dyDescent="0.75">
      <c r="A753" s="6">
        <v>751</v>
      </c>
      <c r="B753" s="58" t="str">
        <f>HYPERLINK("https://search.naver.com/search.naver?query=드림 하우스 영화", "드림 하우스")</f>
        <v>드림 하우스</v>
      </c>
      <c r="C753" s="12">
        <v>6.4</v>
      </c>
      <c r="D753" s="13" t="s">
        <v>1688</v>
      </c>
      <c r="E753" s="10" t="s">
        <v>24</v>
      </c>
      <c r="F753" s="10">
        <v>2011</v>
      </c>
      <c r="G753" s="10" t="s">
        <v>14</v>
      </c>
      <c r="H753" s="11" t="s">
        <v>54</v>
      </c>
      <c r="I753" s="10" t="s">
        <v>205</v>
      </c>
      <c r="J753" s="131"/>
      <c r="K753" s="149" t="s">
        <v>1689</v>
      </c>
    </row>
    <row r="754" spans="1:11" ht="28.9" customHeight="1" thickTop="1" thickBot="1" x14ac:dyDescent="0.75">
      <c r="A754" s="10">
        <v>752</v>
      </c>
      <c r="B754" s="57" t="str">
        <f>HYPERLINK("https://search.naver.com/search.naver?query=드림 호스 영화", "드림 호스")</f>
        <v>드림 호스</v>
      </c>
      <c r="C754" s="8">
        <v>6.4</v>
      </c>
      <c r="D754" s="9" t="s">
        <v>1690</v>
      </c>
      <c r="E754" s="6" t="s">
        <v>29</v>
      </c>
      <c r="F754" s="6">
        <v>2020</v>
      </c>
      <c r="G754" s="6" t="s">
        <v>14</v>
      </c>
      <c r="H754" s="7" t="s">
        <v>20</v>
      </c>
      <c r="I754" s="6" t="s">
        <v>98</v>
      </c>
      <c r="J754" s="130"/>
      <c r="K754" s="148" t="s">
        <v>1691</v>
      </c>
    </row>
    <row r="755" spans="1:11" ht="28.9" customHeight="1" thickTop="1" thickBot="1" x14ac:dyDescent="0.75">
      <c r="A755" s="6">
        <v>753</v>
      </c>
      <c r="B755" s="58" t="str">
        <f>HYPERLINK("https://search.naver.com/search.naver?query=들리나요 영화", "들리나요")</f>
        <v>들리나요</v>
      </c>
      <c r="C755" s="12">
        <v>9.4</v>
      </c>
      <c r="D755" s="13" t="s">
        <v>1692</v>
      </c>
      <c r="E755" s="10" t="s">
        <v>13</v>
      </c>
      <c r="F755" s="10">
        <v>2020</v>
      </c>
      <c r="G755" s="10" t="s">
        <v>14</v>
      </c>
      <c r="H755" s="11" t="s">
        <v>20</v>
      </c>
      <c r="I755" s="10" t="s">
        <v>904</v>
      </c>
      <c r="J755" s="131"/>
      <c r="K755" s="149" t="s">
        <v>1693</v>
      </c>
    </row>
    <row r="756" spans="1:11" ht="28.9" customHeight="1" thickTop="1" thickBot="1" x14ac:dyDescent="0.75">
      <c r="A756" s="10">
        <v>754</v>
      </c>
      <c r="B756" s="57" t="str">
        <f>HYPERLINK("https://search.naver.com/search.naver?query=들어는 봤니 모건 부부 영화", "들어는 봤니 모건 부부")</f>
        <v>들어는 봤니 모건 부부</v>
      </c>
      <c r="C756" s="8">
        <v>6.4</v>
      </c>
      <c r="D756" s="9" t="s">
        <v>1694</v>
      </c>
      <c r="E756" s="6" t="s">
        <v>24</v>
      </c>
      <c r="F756" s="6">
        <v>2009</v>
      </c>
      <c r="G756" s="6" t="s">
        <v>14</v>
      </c>
      <c r="H756" s="7" t="s">
        <v>91</v>
      </c>
      <c r="I756" s="6" t="s">
        <v>276</v>
      </c>
      <c r="J756" s="130"/>
      <c r="K756" s="148" t="s">
        <v>1695</v>
      </c>
    </row>
    <row r="757" spans="1:11" ht="28.9" customHeight="1" thickTop="1" thickBot="1" x14ac:dyDescent="0.75">
      <c r="A757" s="6">
        <v>755</v>
      </c>
      <c r="B757" s="58" t="str">
        <f>HYPERLINK("https://search.naver.com/search.naver?query=디 아더 우먼 영화", "디 아더 우먼")</f>
        <v>디 아더 우먼</v>
      </c>
      <c r="C757" s="12">
        <v>6.4</v>
      </c>
      <c r="D757" s="13" t="s">
        <v>1696</v>
      </c>
      <c r="E757" s="10" t="s">
        <v>24</v>
      </c>
      <c r="F757" s="10">
        <v>2014</v>
      </c>
      <c r="G757" s="10" t="s">
        <v>14</v>
      </c>
      <c r="H757" s="11" t="s">
        <v>91</v>
      </c>
      <c r="I757" s="10" t="s">
        <v>187</v>
      </c>
      <c r="J757" s="131"/>
      <c r="K757" s="149" t="s">
        <v>1697</v>
      </c>
    </row>
    <row r="758" spans="1:11" ht="28.9" customHeight="1" thickTop="1" thickBot="1" x14ac:dyDescent="0.75">
      <c r="A758" s="10">
        <v>756</v>
      </c>
      <c r="B758" s="57" t="str">
        <f>HYPERLINK("https://search.naver.com/search.naver?query=디 아더스 영화", "디 아더스")</f>
        <v>디 아더스</v>
      </c>
      <c r="C758" s="8">
        <v>8.52</v>
      </c>
      <c r="D758" s="9" t="s">
        <v>1698</v>
      </c>
      <c r="E758" s="6" t="s">
        <v>24</v>
      </c>
      <c r="F758" s="6">
        <v>2001</v>
      </c>
      <c r="G758" s="6" t="s">
        <v>14</v>
      </c>
      <c r="H758" s="7" t="s">
        <v>382</v>
      </c>
      <c r="I758" s="6" t="s">
        <v>94</v>
      </c>
      <c r="J758" s="130"/>
      <c r="K758" s="148" t="s">
        <v>1699</v>
      </c>
    </row>
    <row r="759" spans="1:11" ht="28.9" customHeight="1" thickTop="1" thickBot="1" x14ac:dyDescent="0.75">
      <c r="A759" s="6">
        <v>757</v>
      </c>
      <c r="B759" s="58" t="str">
        <f>HYPERLINK("https://search.naver.com/search.naver?query=디 오버나이트 영화", "디 오버나이트")</f>
        <v>디 오버나이트</v>
      </c>
      <c r="C759" s="12"/>
      <c r="D759" s="13" t="s">
        <v>1700</v>
      </c>
      <c r="E759" s="10" t="s">
        <v>24</v>
      </c>
      <c r="F759" s="10">
        <v>2015</v>
      </c>
      <c r="G759" s="10" t="s">
        <v>14</v>
      </c>
      <c r="H759" s="11" t="s">
        <v>91</v>
      </c>
      <c r="I759" s="10" t="s">
        <v>1250</v>
      </c>
      <c r="J759" s="131"/>
      <c r="K759" s="149" t="s">
        <v>1701</v>
      </c>
    </row>
    <row r="760" spans="1:11" ht="28.9" customHeight="1" thickTop="1" thickBot="1" x14ac:dyDescent="0.75">
      <c r="A760" s="10">
        <v>758</v>
      </c>
      <c r="B760" s="57" t="str">
        <f>HYPERLINK("https://search.naver.com/search.naver?query=디 인터뷰 영화", "디 인터뷰")</f>
        <v>디 인터뷰</v>
      </c>
      <c r="C760" s="8"/>
      <c r="D760" s="9" t="s">
        <v>1702</v>
      </c>
      <c r="E760" s="6" t="s">
        <v>24</v>
      </c>
      <c r="F760" s="6">
        <v>2014</v>
      </c>
      <c r="G760" s="6" t="s">
        <v>14</v>
      </c>
      <c r="H760" s="7" t="s">
        <v>91</v>
      </c>
      <c r="I760" s="6" t="s">
        <v>429</v>
      </c>
      <c r="J760" s="130"/>
      <c r="K760" s="148" t="s">
        <v>1703</v>
      </c>
    </row>
    <row r="761" spans="1:11" ht="28.9" customHeight="1" thickTop="1" thickBot="1" x14ac:dyDescent="0.75">
      <c r="A761" s="6">
        <v>759</v>
      </c>
      <c r="B761" s="58" t="str">
        <f>HYPERLINK("https://search.naver.com/search.naver?query=디바 영화", "디바")</f>
        <v>디바</v>
      </c>
      <c r="C761" s="12">
        <v>3.32</v>
      </c>
      <c r="D761" s="13" t="s">
        <v>1704</v>
      </c>
      <c r="E761" s="10" t="s">
        <v>13</v>
      </c>
      <c r="F761" s="10">
        <v>2020</v>
      </c>
      <c r="G761" s="10" t="s">
        <v>14</v>
      </c>
      <c r="H761" s="11" t="s">
        <v>54</v>
      </c>
      <c r="I761" s="10" t="s">
        <v>1705</v>
      </c>
      <c r="J761" s="131"/>
      <c r="K761" s="149" t="s">
        <v>1706</v>
      </c>
    </row>
    <row r="762" spans="1:11" ht="28.9" customHeight="1" thickTop="1" thickBot="1" x14ac:dyDescent="0.75">
      <c r="A762" s="10">
        <v>760</v>
      </c>
      <c r="B762" s="57" t="str">
        <f>HYPERLINK("https://search.naver.com/search.naver?query=디서비디언스 영화", "디서비디언스")</f>
        <v>디서비디언스</v>
      </c>
      <c r="C762" s="8">
        <v>6.4</v>
      </c>
      <c r="D762" s="9" t="s">
        <v>1707</v>
      </c>
      <c r="E762" s="6" t="s">
        <v>29</v>
      </c>
      <c r="F762" s="6">
        <v>2017</v>
      </c>
      <c r="G762" s="6" t="s">
        <v>14</v>
      </c>
      <c r="H762" s="7" t="s">
        <v>20</v>
      </c>
      <c r="I762" s="6" t="s">
        <v>305</v>
      </c>
      <c r="J762" s="130"/>
      <c r="K762" s="148" t="s">
        <v>1708</v>
      </c>
    </row>
    <row r="763" spans="1:11" ht="28.9" customHeight="1" thickTop="1" thickBot="1" x14ac:dyDescent="0.75">
      <c r="A763" s="6">
        <v>761</v>
      </c>
      <c r="B763" s="58" t="str">
        <f>HYPERLINK("https://search.naver.com/search.naver?query=디센던트 영화", "디센던트")</f>
        <v>디센던트</v>
      </c>
      <c r="C763" s="12">
        <v>8.2100000000000009</v>
      </c>
      <c r="D763" s="13" t="s">
        <v>1709</v>
      </c>
      <c r="E763" s="10" t="s">
        <v>24</v>
      </c>
      <c r="F763" s="10">
        <v>2011</v>
      </c>
      <c r="G763" s="10" t="s">
        <v>14</v>
      </c>
      <c r="H763" s="11" t="s">
        <v>20</v>
      </c>
      <c r="I763" s="10" t="s">
        <v>60</v>
      </c>
      <c r="J763" s="131"/>
      <c r="K763" s="149" t="s">
        <v>1710</v>
      </c>
    </row>
    <row r="764" spans="1:11" ht="28.9" customHeight="1" thickTop="1" thickBot="1" x14ac:dyDescent="0.75">
      <c r="A764" s="10">
        <v>762</v>
      </c>
      <c r="B764" s="57" t="str">
        <f>HYPERLINK("https://search.naver.com/search.naver?query=디스 민즈 워 영화", "디스 민즈 워")</f>
        <v>디스 민즈 워</v>
      </c>
      <c r="C764" s="8">
        <v>8.1999999999999993</v>
      </c>
      <c r="D764" s="9" t="s">
        <v>1711</v>
      </c>
      <c r="E764" s="6" t="s">
        <v>24</v>
      </c>
      <c r="F764" s="6">
        <v>2012</v>
      </c>
      <c r="G764" s="6" t="s">
        <v>14</v>
      </c>
      <c r="H764" s="7" t="s">
        <v>332</v>
      </c>
      <c r="I764" s="6" t="s">
        <v>276</v>
      </c>
      <c r="J764" s="130"/>
      <c r="K764" s="148" t="s">
        <v>1712</v>
      </c>
    </row>
    <row r="765" spans="1:11" ht="28.9" customHeight="1" thickTop="1" thickBot="1" x14ac:dyDescent="0.75">
      <c r="A765" s="6">
        <v>763</v>
      </c>
      <c r="B765" s="58" t="str">
        <f>HYPERLINK("https://search.naver.com/search.naver?query=디스이즈 40 영화", "디스이즈 40")</f>
        <v>디스이즈 40</v>
      </c>
      <c r="C765" s="12">
        <v>6.4</v>
      </c>
      <c r="D765" s="13" t="s">
        <v>1713</v>
      </c>
      <c r="E765" s="10" t="s">
        <v>24</v>
      </c>
      <c r="F765" s="10">
        <v>2012</v>
      </c>
      <c r="G765" s="10" t="s">
        <v>14</v>
      </c>
      <c r="H765" s="11" t="s">
        <v>91</v>
      </c>
      <c r="I765" s="10" t="s">
        <v>917</v>
      </c>
      <c r="J765" s="131"/>
      <c r="K765" s="149" t="s">
        <v>1714</v>
      </c>
    </row>
    <row r="766" spans="1:11" ht="28.9" customHeight="1" thickTop="1" thickBot="1" x14ac:dyDescent="0.75">
      <c r="A766" s="10">
        <v>764</v>
      </c>
      <c r="B766" s="57" t="str">
        <f>HYPERLINK("https://search.naver.com/search.naver?query=디스커넥트 영화", "디스커넥트")</f>
        <v>디스커넥트</v>
      </c>
      <c r="C766" s="8">
        <v>8.5299999999999994</v>
      </c>
      <c r="D766" s="9" t="s">
        <v>1715</v>
      </c>
      <c r="E766" s="6" t="s">
        <v>24</v>
      </c>
      <c r="F766" s="6">
        <v>2012</v>
      </c>
      <c r="G766" s="6" t="s">
        <v>14</v>
      </c>
      <c r="H766" s="7" t="s">
        <v>20</v>
      </c>
      <c r="I766" s="6" t="s">
        <v>60</v>
      </c>
      <c r="J766" s="130"/>
      <c r="K766" s="148" t="s">
        <v>1716</v>
      </c>
    </row>
    <row r="767" spans="1:11" ht="28.9" customHeight="1" thickTop="1" thickBot="1" x14ac:dyDescent="0.75">
      <c r="A767" s="6">
        <v>765</v>
      </c>
      <c r="B767" s="58" t="str">
        <f>HYPERLINK("https://search.naver.com/search.naver?query=디스커버리 영화", "디스커버리")</f>
        <v>디스커버리</v>
      </c>
      <c r="C767" s="12"/>
      <c r="D767" s="13" t="s">
        <v>1717</v>
      </c>
      <c r="E767" s="10" t="s">
        <v>24</v>
      </c>
      <c r="F767" s="10">
        <v>2017</v>
      </c>
      <c r="G767" s="10" t="s">
        <v>14</v>
      </c>
      <c r="H767" s="11" t="s">
        <v>238</v>
      </c>
      <c r="I767" s="10" t="s">
        <v>129</v>
      </c>
      <c r="J767" s="131"/>
      <c r="K767" s="149" t="s">
        <v>1718</v>
      </c>
    </row>
    <row r="768" spans="1:11" ht="28.9" customHeight="1" thickTop="1" thickBot="1" x14ac:dyDescent="0.75">
      <c r="A768" s="10">
        <v>766</v>
      </c>
      <c r="B768" s="59" t="str">
        <f>HYPERLINK("https://search.naver.com/search.naver?query=디스클레이머", "디스클레이머")</f>
        <v>디스클레이머</v>
      </c>
      <c r="C768" s="16"/>
      <c r="D768" s="17" t="s">
        <v>1719</v>
      </c>
      <c r="E768" s="14" t="s">
        <v>29</v>
      </c>
      <c r="F768" s="14">
        <v>2024</v>
      </c>
      <c r="G768" s="14" t="s">
        <v>20</v>
      </c>
      <c r="H768" s="15" t="s">
        <v>20</v>
      </c>
      <c r="I768" s="14" t="s">
        <v>512</v>
      </c>
      <c r="J768" s="132"/>
      <c r="K768" s="150" t="s">
        <v>1720</v>
      </c>
    </row>
    <row r="769" spans="1:11" ht="28.9" customHeight="1" thickTop="1" thickBot="1" x14ac:dyDescent="0.75">
      <c r="A769" s="6">
        <v>767</v>
      </c>
      <c r="B769" s="58" t="str">
        <f>HYPERLINK("https://search.naver.com/search.naver?query=디스터비아 영화", "디스터비아")</f>
        <v>디스터비아</v>
      </c>
      <c r="C769" s="12">
        <v>7.93</v>
      </c>
      <c r="D769" s="13" t="s">
        <v>1721</v>
      </c>
      <c r="E769" s="10" t="s">
        <v>24</v>
      </c>
      <c r="F769" s="10">
        <v>2007</v>
      </c>
      <c r="G769" s="10" t="s">
        <v>14</v>
      </c>
      <c r="H769" s="11" t="s">
        <v>54</v>
      </c>
      <c r="I769" s="10" t="s">
        <v>175</v>
      </c>
      <c r="J769" s="131"/>
      <c r="K769" s="149" t="s">
        <v>1722</v>
      </c>
    </row>
    <row r="770" spans="1:11" ht="28.9" customHeight="1" thickTop="1" thickBot="1" x14ac:dyDescent="0.75">
      <c r="A770" s="10">
        <v>768</v>
      </c>
      <c r="B770" s="57" t="str">
        <f>HYPERLINK("https://search.naver.com/search.naver?query=디아틀로프 영화", "디아틀로프")</f>
        <v>디아틀로프</v>
      </c>
      <c r="C770" s="8">
        <v>7.19</v>
      </c>
      <c r="D770" s="9" t="s">
        <v>1723</v>
      </c>
      <c r="E770" s="6" t="s">
        <v>24</v>
      </c>
      <c r="F770" s="6">
        <v>2013</v>
      </c>
      <c r="G770" s="6" t="s">
        <v>14</v>
      </c>
      <c r="H770" s="7" t="s">
        <v>382</v>
      </c>
      <c r="I770" s="6" t="s">
        <v>156</v>
      </c>
      <c r="J770" s="130"/>
      <c r="K770" s="148" t="s">
        <v>1724</v>
      </c>
    </row>
    <row r="771" spans="1:11" ht="28.9" customHeight="1" thickTop="1" thickBot="1" x14ac:dyDescent="0.75">
      <c r="A771" s="6">
        <v>769</v>
      </c>
      <c r="B771" s="58" t="str">
        <f>HYPERLINK("https://search.naver.com/search.naver?query=디어 한나 영화", "디어 한나")</f>
        <v>디어 한나</v>
      </c>
      <c r="C771" s="12">
        <v>8.11</v>
      </c>
      <c r="D771" s="13" t="s">
        <v>1725</v>
      </c>
      <c r="E771" s="10" t="s">
        <v>29</v>
      </c>
      <c r="F771" s="10">
        <v>2012</v>
      </c>
      <c r="G771" s="10" t="s">
        <v>14</v>
      </c>
      <c r="H771" s="11" t="s">
        <v>20</v>
      </c>
      <c r="I771" s="10" t="s">
        <v>361</v>
      </c>
      <c r="J771" s="131"/>
      <c r="K771" s="149" t="s">
        <v>1726</v>
      </c>
    </row>
    <row r="772" spans="1:11" ht="28.9" customHeight="1" thickTop="1" thickBot="1" x14ac:dyDescent="0.75">
      <c r="A772" s="10">
        <v>770</v>
      </c>
      <c r="B772" s="57" t="str">
        <f>HYPERLINK("https://search.naver.com/search.naver?query=디어리스트 영화", "디어리스트")</f>
        <v>디어리스트</v>
      </c>
      <c r="C772" s="8">
        <v>8.65</v>
      </c>
      <c r="D772" s="9" t="s">
        <v>1727</v>
      </c>
      <c r="E772" s="6" t="s">
        <v>186</v>
      </c>
      <c r="F772" s="6">
        <v>2014</v>
      </c>
      <c r="G772" s="6" t="s">
        <v>14</v>
      </c>
      <c r="H772" s="7" t="s">
        <v>20</v>
      </c>
      <c r="I772" s="6" t="s">
        <v>42</v>
      </c>
      <c r="J772" s="130"/>
      <c r="K772" s="148" t="s">
        <v>1728</v>
      </c>
    </row>
    <row r="773" spans="1:11" ht="28.9" customHeight="1" thickTop="1" thickBot="1" x14ac:dyDescent="0.75">
      <c r="A773" s="6">
        <v>771</v>
      </c>
      <c r="B773" s="58" t="str">
        <f>HYPERLINK("https://search.naver.com/search.naver?query=디트로이트 영화", "디트로이트")</f>
        <v>디트로이트</v>
      </c>
      <c r="C773" s="12">
        <v>8.44</v>
      </c>
      <c r="D773" s="13" t="s">
        <v>1729</v>
      </c>
      <c r="E773" s="10" t="s">
        <v>24</v>
      </c>
      <c r="F773" s="10">
        <v>2017</v>
      </c>
      <c r="G773" s="10" t="s">
        <v>14</v>
      </c>
      <c r="H773" s="11" t="s">
        <v>20</v>
      </c>
      <c r="I773" s="10" t="s">
        <v>30</v>
      </c>
      <c r="J773" s="131"/>
      <c r="K773" s="149" t="s">
        <v>1730</v>
      </c>
    </row>
    <row r="774" spans="1:11" ht="28.9" customHeight="1" thickTop="1" thickBot="1" x14ac:dyDescent="0.75">
      <c r="A774" s="10">
        <v>772</v>
      </c>
      <c r="B774" s="57" t="str">
        <f>HYPERLINK("https://search.naver.com/search.naver?query=디파이언스 영화", "디파이언스")</f>
        <v>디파이언스</v>
      </c>
      <c r="C774" s="8">
        <v>8.26</v>
      </c>
      <c r="D774" s="9" t="s">
        <v>1731</v>
      </c>
      <c r="E774" s="6" t="s">
        <v>24</v>
      </c>
      <c r="F774" s="6">
        <v>2008</v>
      </c>
      <c r="G774" s="6" t="s">
        <v>14</v>
      </c>
      <c r="H774" s="7" t="s">
        <v>20</v>
      </c>
      <c r="I774" s="6" t="s">
        <v>269</v>
      </c>
      <c r="J774" s="130"/>
      <c r="K774" s="148" t="s">
        <v>1732</v>
      </c>
    </row>
    <row r="775" spans="1:11" ht="28.9" customHeight="1" thickTop="1" thickBot="1" x14ac:dyDescent="0.75">
      <c r="A775" s="6">
        <v>773</v>
      </c>
      <c r="B775" s="58" t="str">
        <f>HYPERLINK("https://search.naver.com/search.naver?query=디파티드 영화", "디파티드")</f>
        <v>디파티드</v>
      </c>
      <c r="C775" s="12">
        <v>8.2799999999999994</v>
      </c>
      <c r="D775" s="13" t="s">
        <v>1733</v>
      </c>
      <c r="E775" s="10" t="s">
        <v>24</v>
      </c>
      <c r="F775" s="10">
        <v>2006</v>
      </c>
      <c r="G775" s="10" t="s">
        <v>14</v>
      </c>
      <c r="H775" s="11" t="s">
        <v>428</v>
      </c>
      <c r="I775" s="10" t="s">
        <v>1734</v>
      </c>
      <c r="J775" s="131"/>
      <c r="K775" s="149" t="s">
        <v>1735</v>
      </c>
    </row>
    <row r="776" spans="1:11" ht="28.9" customHeight="1" thickTop="1" thickBot="1" x14ac:dyDescent="0.75">
      <c r="A776" s="10">
        <v>774</v>
      </c>
      <c r="B776" s="59" t="str">
        <f>HYPERLINK("https://search.naver.com/search.naver?query=디피", "디피")</f>
        <v>디피</v>
      </c>
      <c r="C776" s="16"/>
      <c r="D776" s="17" t="s">
        <v>246</v>
      </c>
      <c r="E776" s="14" t="s">
        <v>13</v>
      </c>
      <c r="F776" s="14">
        <v>2021</v>
      </c>
      <c r="G776" s="14" t="s">
        <v>20</v>
      </c>
      <c r="H776" s="15" t="s">
        <v>1736</v>
      </c>
      <c r="I776" s="14" t="s">
        <v>247</v>
      </c>
      <c r="J776" s="132"/>
      <c r="K776" s="150" t="s">
        <v>1737</v>
      </c>
    </row>
    <row r="777" spans="1:11" ht="28.9" customHeight="1" thickTop="1" thickBot="1" x14ac:dyDescent="0.75">
      <c r="A777" s="6">
        <v>775</v>
      </c>
      <c r="B777" s="58" t="str">
        <f>HYPERLINK("https://search.naver.com/search.naver?query=딜리버리 맨 영화", "딜리버리 맨")</f>
        <v>딜리버리 맨</v>
      </c>
      <c r="C777" s="12">
        <v>8.69</v>
      </c>
      <c r="D777" s="13" t="s">
        <v>1738</v>
      </c>
      <c r="E777" s="10" t="s">
        <v>24</v>
      </c>
      <c r="F777" s="10">
        <v>2013</v>
      </c>
      <c r="G777" s="10" t="s">
        <v>14</v>
      </c>
      <c r="H777" s="11" t="s">
        <v>91</v>
      </c>
      <c r="I777" s="10" t="s">
        <v>276</v>
      </c>
      <c r="J777" s="131"/>
      <c r="K777" s="149" t="s">
        <v>1739</v>
      </c>
    </row>
    <row r="778" spans="1:11" ht="28.9" customHeight="1" thickTop="1" thickBot="1" x14ac:dyDescent="0.75">
      <c r="A778" s="10">
        <v>776</v>
      </c>
      <c r="B778" s="57" t="str">
        <f>HYPERLINK("https://search.naver.com/search.naver?query=딥 블루 씨 3 영화", "딥 블루 씨 3")</f>
        <v>딥 블루 씨 3</v>
      </c>
      <c r="C778" s="8">
        <v>6.4</v>
      </c>
      <c r="D778" s="13" t="s">
        <v>1740</v>
      </c>
      <c r="E778" s="6" t="s">
        <v>24</v>
      </c>
      <c r="F778" s="6">
        <v>2020</v>
      </c>
      <c r="G778" s="6" t="s">
        <v>14</v>
      </c>
      <c r="H778" s="7" t="s">
        <v>124</v>
      </c>
      <c r="I778" s="6" t="s">
        <v>179</v>
      </c>
      <c r="J778" s="130"/>
      <c r="K778" s="148" t="s">
        <v>1741</v>
      </c>
    </row>
    <row r="779" spans="1:11" ht="28.9" customHeight="1" thickTop="1" thickBot="1" x14ac:dyDescent="0.75">
      <c r="A779" s="6">
        <v>777</v>
      </c>
      <c r="B779" s="58" t="str">
        <f>HYPERLINK("https://search.naver.com/search.naver?query=딥 블루 씨2 영화", "딥 블루 씨2")</f>
        <v>딥 블루 씨2</v>
      </c>
      <c r="C779" s="12">
        <v>6.4</v>
      </c>
      <c r="D779" s="9" t="s">
        <v>1742</v>
      </c>
      <c r="E779" s="10" t="s">
        <v>24</v>
      </c>
      <c r="F779" s="10">
        <v>2018</v>
      </c>
      <c r="G779" s="10" t="s">
        <v>14</v>
      </c>
      <c r="H779" s="11" t="s">
        <v>124</v>
      </c>
      <c r="I779" s="10" t="s">
        <v>468</v>
      </c>
      <c r="J779" s="131"/>
      <c r="K779" s="149" t="s">
        <v>1743</v>
      </c>
    </row>
    <row r="780" spans="1:11" ht="28.9" customHeight="1" thickTop="1" thickBot="1" x14ac:dyDescent="0.75">
      <c r="A780" s="10">
        <v>778</v>
      </c>
      <c r="B780" s="57" t="str">
        <f>HYPERLINK("https://search.naver.com/search.naver?query=딥 워터 영화", "딥 워터")</f>
        <v>딥 워터</v>
      </c>
      <c r="C780" s="8">
        <v>7</v>
      </c>
      <c r="D780" s="9" t="s">
        <v>1744</v>
      </c>
      <c r="E780" s="6" t="s">
        <v>24</v>
      </c>
      <c r="F780" s="6">
        <v>2022</v>
      </c>
      <c r="G780" s="6" t="s">
        <v>14</v>
      </c>
      <c r="H780" s="7" t="s">
        <v>54</v>
      </c>
      <c r="I780" s="6" t="s">
        <v>60</v>
      </c>
      <c r="J780" s="130"/>
      <c r="K780" s="148" t="s">
        <v>1745</v>
      </c>
    </row>
    <row r="781" spans="1:11" ht="28.9" customHeight="1" thickTop="1" thickBot="1" x14ac:dyDescent="0.75">
      <c r="A781" s="6">
        <v>779</v>
      </c>
      <c r="B781" s="58" t="str">
        <f>HYPERLINK("https://search.naver.com/search.naver?query=딥 임팩트 영화", "딥 임팩트")</f>
        <v>딥 임팩트</v>
      </c>
      <c r="C781" s="12">
        <v>8.8000000000000007</v>
      </c>
      <c r="D781" s="13" t="s">
        <v>1746</v>
      </c>
      <c r="E781" s="10" t="s">
        <v>24</v>
      </c>
      <c r="F781" s="10">
        <v>1998</v>
      </c>
      <c r="G781" s="10" t="s">
        <v>14</v>
      </c>
      <c r="H781" s="11" t="s">
        <v>877</v>
      </c>
      <c r="I781" s="10" t="s">
        <v>116</v>
      </c>
      <c r="J781" s="131"/>
      <c r="K781" s="149" t="s">
        <v>1747</v>
      </c>
    </row>
    <row r="782" spans="1:11" ht="28.9" customHeight="1" thickTop="1" thickBot="1" x14ac:dyDescent="0.75">
      <c r="A782" s="10">
        <v>780</v>
      </c>
      <c r="B782" s="57" t="str">
        <f>HYPERLINK("https://search.naver.com/search.naver?query=딥워터 호라이즌 영화", "딥워터 호라이즌")</f>
        <v>딥워터 호라이즌</v>
      </c>
      <c r="C782" s="8">
        <v>8.75</v>
      </c>
      <c r="D782" s="9" t="s">
        <v>1748</v>
      </c>
      <c r="E782" s="6" t="s">
        <v>24</v>
      </c>
      <c r="F782" s="6">
        <v>2016</v>
      </c>
      <c r="G782" s="6" t="s">
        <v>14</v>
      </c>
      <c r="H782" s="7" t="s">
        <v>124</v>
      </c>
      <c r="I782" s="6" t="s">
        <v>101</v>
      </c>
      <c r="J782" s="130"/>
      <c r="K782" s="148" t="s">
        <v>1749</v>
      </c>
    </row>
    <row r="783" spans="1:11" ht="28.9" customHeight="1" thickTop="1" thickBot="1" x14ac:dyDescent="0.75">
      <c r="A783" s="6">
        <v>781</v>
      </c>
      <c r="B783" s="58" t="str">
        <f>HYPERLINK("https://search.naver.com/search.naver?query=딱따구리와 비 영화", "딱따구리와 비")</f>
        <v>딱따구리와 비</v>
      </c>
      <c r="C783" s="12">
        <v>8.18</v>
      </c>
      <c r="D783" s="13" t="s">
        <v>1750</v>
      </c>
      <c r="E783" s="10" t="s">
        <v>19</v>
      </c>
      <c r="F783" s="10">
        <v>2012</v>
      </c>
      <c r="G783" s="10" t="s">
        <v>14</v>
      </c>
      <c r="H783" s="11" t="s">
        <v>20</v>
      </c>
      <c r="I783" s="10" t="s">
        <v>146</v>
      </c>
      <c r="J783" s="131"/>
      <c r="K783" s="149" t="s">
        <v>1751</v>
      </c>
    </row>
    <row r="784" spans="1:11" ht="28.9" customHeight="1" thickTop="1" thickBot="1" x14ac:dyDescent="0.75">
      <c r="A784" s="10">
        <v>782</v>
      </c>
      <c r="B784" s="57" t="str">
        <f>HYPERLINK("https://search.naver.com/search.naver?query=땡스 포 쉐어링 영화", "땡스 포 쉐어링")</f>
        <v>땡스 포 쉐어링</v>
      </c>
      <c r="C784" s="8">
        <v>6.5</v>
      </c>
      <c r="D784" s="9" t="s">
        <v>1752</v>
      </c>
      <c r="E784" s="6" t="s">
        <v>24</v>
      </c>
      <c r="F784" s="6">
        <v>2012</v>
      </c>
      <c r="G784" s="6" t="s">
        <v>14</v>
      </c>
      <c r="H784" s="7" t="s">
        <v>91</v>
      </c>
      <c r="I784" s="6" t="s">
        <v>429</v>
      </c>
      <c r="J784" s="130"/>
      <c r="K784" s="148" t="s">
        <v>1753</v>
      </c>
    </row>
    <row r="785" spans="1:11" ht="28.9" customHeight="1" thickTop="1" thickBot="1" x14ac:dyDescent="0.75">
      <c r="A785" s="6">
        <v>783</v>
      </c>
      <c r="B785" s="58" t="str">
        <f>HYPERLINK("https://search.naver.com/search.naver?query=떠나기 전 해야할 일 영화", "떠나기 전 해야할 일")</f>
        <v>떠나기 전 해야할 일</v>
      </c>
      <c r="C785" s="12"/>
      <c r="D785" s="13" t="s">
        <v>1754</v>
      </c>
      <c r="E785" s="10" t="s">
        <v>29</v>
      </c>
      <c r="F785" s="10">
        <v>2014</v>
      </c>
      <c r="G785" s="10" t="s">
        <v>14</v>
      </c>
      <c r="H785" s="11" t="s">
        <v>20</v>
      </c>
      <c r="I785" s="10" t="s">
        <v>125</v>
      </c>
      <c r="J785" s="131"/>
      <c r="K785" s="149" t="s">
        <v>1755</v>
      </c>
    </row>
    <row r="786" spans="1:11" ht="28.9" customHeight="1" thickTop="1" thickBot="1" x14ac:dyDescent="0.75">
      <c r="A786" s="10">
        <v>784</v>
      </c>
      <c r="B786" s="57" t="str">
        <f>HYPERLINK("https://search.naver.com/search.naver?query=떨어지는 동백 영화", "떨어지는 동백")</f>
        <v>떨어지는 동백</v>
      </c>
      <c r="C786" s="8"/>
      <c r="D786" s="9" t="s">
        <v>1756</v>
      </c>
      <c r="E786" s="6" t="s">
        <v>19</v>
      </c>
      <c r="F786" s="6">
        <v>2018</v>
      </c>
      <c r="G786" s="6" t="s">
        <v>14</v>
      </c>
      <c r="H786" s="7" t="s">
        <v>1548</v>
      </c>
      <c r="I786" s="6" t="s">
        <v>116</v>
      </c>
      <c r="J786" s="130"/>
      <c r="K786" s="148" t="s">
        <v>1757</v>
      </c>
    </row>
    <row r="787" spans="1:11" ht="28.9" customHeight="1" thickTop="1" thickBot="1" x14ac:dyDescent="0.75">
      <c r="A787" s="6">
        <v>785</v>
      </c>
      <c r="B787" s="58" t="str">
        <f>HYPERLINK("https://search.naver.com/search.naver?query=또 하나의 약속 영화", "또 하나의 약속")</f>
        <v>또 하나의 약속</v>
      </c>
      <c r="C787" s="12">
        <v>9.25</v>
      </c>
      <c r="D787" s="13" t="s">
        <v>1758</v>
      </c>
      <c r="E787" s="10" t="s">
        <v>13</v>
      </c>
      <c r="F787" s="10">
        <v>2013</v>
      </c>
      <c r="G787" s="10" t="s">
        <v>14</v>
      </c>
      <c r="H787" s="11" t="s">
        <v>20</v>
      </c>
      <c r="I787" s="10" t="s">
        <v>305</v>
      </c>
      <c r="J787" s="131"/>
      <c r="K787" s="149" t="s">
        <v>1759</v>
      </c>
    </row>
    <row r="788" spans="1:11" ht="28.9" customHeight="1" thickTop="1" thickBot="1" x14ac:dyDescent="0.75">
      <c r="A788" s="10">
        <v>786</v>
      </c>
      <c r="B788" s="57" t="str">
        <f>HYPERLINK("https://search.naver.com/search.naver?query=뜨거운 안녕 영화", "뜨거운 안녕")</f>
        <v>뜨거운 안녕</v>
      </c>
      <c r="C788" s="8">
        <v>8.9499999999999993</v>
      </c>
      <c r="D788" s="9" t="s">
        <v>1760</v>
      </c>
      <c r="E788" s="6" t="s">
        <v>13</v>
      </c>
      <c r="F788" s="6">
        <v>2013</v>
      </c>
      <c r="G788" s="6" t="s">
        <v>14</v>
      </c>
      <c r="H788" s="7" t="s">
        <v>20</v>
      </c>
      <c r="I788" s="6" t="s">
        <v>109</v>
      </c>
      <c r="J788" s="130"/>
      <c r="K788" s="148" t="s">
        <v>1761</v>
      </c>
    </row>
    <row r="789" spans="1:11" ht="28.9" customHeight="1" thickTop="1" thickBot="1" x14ac:dyDescent="0.75">
      <c r="A789" s="6">
        <v>787</v>
      </c>
      <c r="B789" s="59" t="str">
        <f>HYPERLINK("https://search.naver.com/search.naver?query=라 팔마", "라 팔마")</f>
        <v>라 팔마</v>
      </c>
      <c r="C789" s="16"/>
      <c r="D789" s="17" t="s">
        <v>1762</v>
      </c>
      <c r="E789" s="14" t="s">
        <v>49</v>
      </c>
      <c r="F789" s="14">
        <v>2024</v>
      </c>
      <c r="G789" s="14" t="s">
        <v>20</v>
      </c>
      <c r="H789" s="15" t="s">
        <v>20</v>
      </c>
      <c r="I789" s="14" t="s">
        <v>1467</v>
      </c>
      <c r="J789" s="132"/>
      <c r="K789" s="150" t="s">
        <v>1763</v>
      </c>
    </row>
    <row r="790" spans="1:11" ht="28.9" customHeight="1" thickTop="1" thickBot="1" x14ac:dyDescent="0.75">
      <c r="A790" s="10">
        <v>788</v>
      </c>
      <c r="B790" s="57" t="str">
        <f>HYPERLINK("https://search.naver.com/search.naver?query=라디오 영화", "라디오")</f>
        <v>라디오</v>
      </c>
      <c r="C790" s="8"/>
      <c r="D790" s="9" t="s">
        <v>1764</v>
      </c>
      <c r="E790" s="6" t="s">
        <v>24</v>
      </c>
      <c r="F790" s="6">
        <v>2003</v>
      </c>
      <c r="G790" s="6" t="s">
        <v>14</v>
      </c>
      <c r="H790" s="7" t="s">
        <v>20</v>
      </c>
      <c r="I790" s="6" t="s">
        <v>187</v>
      </c>
      <c r="J790" s="130"/>
      <c r="K790" s="148" t="s">
        <v>1765</v>
      </c>
    </row>
    <row r="791" spans="1:11" ht="28.9" customHeight="1" thickTop="1" thickBot="1" x14ac:dyDescent="0.75">
      <c r="A791" s="6">
        <v>789</v>
      </c>
      <c r="B791" s="58" t="str">
        <f>HYPERLINK("https://search.naver.com/search.naver?query=라라랜드 영화", "라라랜드")</f>
        <v>라라랜드</v>
      </c>
      <c r="C791" s="12">
        <v>8.92</v>
      </c>
      <c r="D791" s="13" t="s">
        <v>1766</v>
      </c>
      <c r="E791" s="10" t="s">
        <v>24</v>
      </c>
      <c r="F791" s="10">
        <v>2016</v>
      </c>
      <c r="G791" s="10" t="s">
        <v>14</v>
      </c>
      <c r="H791" s="11" t="s">
        <v>165</v>
      </c>
      <c r="I791" s="10" t="s">
        <v>146</v>
      </c>
      <c r="J791" s="131"/>
      <c r="K791" s="149" t="s">
        <v>1767</v>
      </c>
    </row>
    <row r="792" spans="1:11" ht="28.9" customHeight="1" thickTop="1" thickBot="1" x14ac:dyDescent="0.75">
      <c r="A792" s="10">
        <v>790</v>
      </c>
      <c r="B792" s="57" t="str">
        <f>HYPERLINK("https://search.naver.com/search.naver?query=라면 걸 영화", "라면 걸")</f>
        <v>라면 걸</v>
      </c>
      <c r="C792" s="8">
        <v>6.4</v>
      </c>
      <c r="D792" s="9"/>
      <c r="E792" s="6" t="s">
        <v>24</v>
      </c>
      <c r="F792" s="6">
        <v>2008</v>
      </c>
      <c r="G792" s="6" t="s">
        <v>14</v>
      </c>
      <c r="H792" s="7" t="s">
        <v>91</v>
      </c>
      <c r="I792" s="6" t="s">
        <v>141</v>
      </c>
      <c r="J792" s="130"/>
      <c r="K792" s="148" t="s">
        <v>1768</v>
      </c>
    </row>
    <row r="793" spans="1:11" ht="28.9" customHeight="1" thickTop="1" thickBot="1" x14ac:dyDescent="0.75">
      <c r="A793" s="6">
        <v>791</v>
      </c>
      <c r="B793" s="58" t="str">
        <f>HYPERLINK("https://search.naver.com/search.naver?query=라비앙 로즈 영화", "라비앙 로즈")</f>
        <v>라비앙 로즈</v>
      </c>
      <c r="C793" s="12">
        <v>8.08</v>
      </c>
      <c r="D793" s="13" t="s">
        <v>1769</v>
      </c>
      <c r="E793" s="10" t="s">
        <v>310</v>
      </c>
      <c r="F793" s="10">
        <v>2007</v>
      </c>
      <c r="G793" s="10" t="s">
        <v>14</v>
      </c>
      <c r="H793" s="11" t="s">
        <v>20</v>
      </c>
      <c r="I793" s="10" t="s">
        <v>930</v>
      </c>
      <c r="J793" s="131"/>
      <c r="K793" s="149" t="s">
        <v>1770</v>
      </c>
    </row>
    <row r="794" spans="1:11" ht="28.9" customHeight="1" thickTop="1" thickBot="1" x14ac:dyDescent="0.75">
      <c r="A794" s="10">
        <v>792</v>
      </c>
      <c r="B794" s="57" t="str">
        <f>HYPERLINK("https://search.naver.com/search.naver?query=라쇼몽 영화", "라쇼몽")</f>
        <v>라쇼몽</v>
      </c>
      <c r="C794" s="8"/>
      <c r="D794" s="9" t="s">
        <v>1771</v>
      </c>
      <c r="E794" s="6" t="s">
        <v>19</v>
      </c>
      <c r="F794" s="6">
        <v>1950</v>
      </c>
      <c r="G794" s="6" t="s">
        <v>14</v>
      </c>
      <c r="H794" s="7" t="s">
        <v>20</v>
      </c>
      <c r="I794" s="6" t="s">
        <v>345</v>
      </c>
      <c r="J794" s="130"/>
      <c r="K794" s="148" t="s">
        <v>1772</v>
      </c>
    </row>
    <row r="795" spans="1:11" ht="28.9" customHeight="1" thickTop="1" thickBot="1" x14ac:dyDescent="0.75">
      <c r="A795" s="6">
        <v>793</v>
      </c>
      <c r="B795" s="58" t="str">
        <f>HYPERLINK("https://search.naver.com/search.naver?query=라스베가스를 떠나며 영화", "라스베가스를 떠나며")</f>
        <v>라스베가스를 떠나며</v>
      </c>
      <c r="C795" s="12">
        <v>7.44</v>
      </c>
      <c r="D795" s="13" t="s">
        <v>1773</v>
      </c>
      <c r="E795" s="10" t="s">
        <v>24</v>
      </c>
      <c r="F795" s="10">
        <v>1995</v>
      </c>
      <c r="G795" s="10" t="s">
        <v>14</v>
      </c>
      <c r="H795" s="11" t="s">
        <v>20</v>
      </c>
      <c r="I795" s="10" t="s">
        <v>137</v>
      </c>
      <c r="J795" s="131"/>
      <c r="K795" s="149" t="s">
        <v>1774</v>
      </c>
    </row>
    <row r="796" spans="1:11" ht="28.9" customHeight="1" thickTop="1" thickBot="1" x14ac:dyDescent="0.75">
      <c r="A796" s="10">
        <v>794</v>
      </c>
      <c r="B796" s="57" t="str">
        <f>HYPERLINK("https://search.naver.com/search.naver?query=라스베가스에서만 생길 수 있는 일 영화", "라스베가스에서만 생길 수 있는 일")</f>
        <v>라스베가스에서만 생길 수 있는 일</v>
      </c>
      <c r="C796" s="8">
        <v>8.43</v>
      </c>
      <c r="D796" s="9" t="s">
        <v>1775</v>
      </c>
      <c r="E796" s="6" t="s">
        <v>24</v>
      </c>
      <c r="F796" s="6">
        <v>2008</v>
      </c>
      <c r="G796" s="6" t="s">
        <v>14</v>
      </c>
      <c r="H796" s="7" t="s">
        <v>91</v>
      </c>
      <c r="I796" s="6" t="s">
        <v>109</v>
      </c>
      <c r="J796" s="130"/>
      <c r="K796" s="148" t="s">
        <v>1776</v>
      </c>
    </row>
    <row r="797" spans="1:11" ht="28.9" customHeight="1" thickTop="1" thickBot="1" x14ac:dyDescent="0.75">
      <c r="A797" s="6">
        <v>795</v>
      </c>
      <c r="B797" s="58" t="str">
        <f>HYPERLINK("https://search.naver.com/search.naver?query=라스트 나잇 영화", "라스트 나잇")</f>
        <v>라스트 나잇</v>
      </c>
      <c r="C797" s="12">
        <v>8.1</v>
      </c>
      <c r="D797" s="13" t="s">
        <v>1777</v>
      </c>
      <c r="E797" s="10" t="s">
        <v>24</v>
      </c>
      <c r="F797" s="10">
        <v>2010</v>
      </c>
      <c r="G797" s="10" t="s">
        <v>14</v>
      </c>
      <c r="H797" s="11" t="s">
        <v>165</v>
      </c>
      <c r="I797" s="10" t="s">
        <v>125</v>
      </c>
      <c r="J797" s="131"/>
      <c r="K797" s="149" t="s">
        <v>1778</v>
      </c>
    </row>
    <row r="798" spans="1:11" ht="28.9" customHeight="1" thickTop="1" thickBot="1" x14ac:dyDescent="0.75">
      <c r="A798" s="10">
        <v>796</v>
      </c>
      <c r="B798" s="57" t="str">
        <f>HYPERLINK("https://search.naver.com/search.naver?query=라스트 듀얼-최후의 결투 영화", "라스트 듀얼-최후의 결투")</f>
        <v>라스트 듀얼-최후의 결투</v>
      </c>
      <c r="C798" s="8"/>
      <c r="D798" s="9" t="s">
        <v>1779</v>
      </c>
      <c r="E798" s="6" t="s">
        <v>24</v>
      </c>
      <c r="F798" s="6">
        <v>2021</v>
      </c>
      <c r="G798" s="6" t="s">
        <v>14</v>
      </c>
      <c r="H798" s="7" t="s">
        <v>124</v>
      </c>
      <c r="I798" s="6" t="s">
        <v>1181</v>
      </c>
      <c r="J798" s="130"/>
      <c r="K798" s="148" t="s">
        <v>1780</v>
      </c>
    </row>
    <row r="799" spans="1:11" ht="28.9" customHeight="1" thickTop="1" thickBot="1" x14ac:dyDescent="0.75">
      <c r="A799" s="6">
        <v>797</v>
      </c>
      <c r="B799" s="58" t="str">
        <f>HYPERLINK("https://search.naver.com/search.naver?query=라스트 러브 인 뉴욕 영화", "라스트 러브 인 뉴욕")</f>
        <v>라스트 러브 인 뉴욕</v>
      </c>
      <c r="C799" s="12">
        <v>8.2799999999999994</v>
      </c>
      <c r="D799" s="13" t="s">
        <v>1781</v>
      </c>
      <c r="E799" s="10" t="s">
        <v>24</v>
      </c>
      <c r="F799" s="10">
        <v>2006</v>
      </c>
      <c r="G799" s="10" t="s">
        <v>14</v>
      </c>
      <c r="H799" s="11" t="s">
        <v>165</v>
      </c>
      <c r="I799" s="10" t="s">
        <v>16</v>
      </c>
      <c r="J799" s="131"/>
      <c r="K799" s="149" t="s">
        <v>1782</v>
      </c>
    </row>
    <row r="800" spans="1:11" ht="28.9" customHeight="1" thickTop="1" thickBot="1" x14ac:dyDescent="0.75">
      <c r="A800" s="10">
        <v>798</v>
      </c>
      <c r="B800" s="57" t="str">
        <f>HYPERLINK("https://search.naver.com/search.naver?query=라스트 레시피-기린의 혀의 기억 영화", "라스트 레시피-기린의 혀의 기억")</f>
        <v>라스트 레시피-기린의 혀의 기억</v>
      </c>
      <c r="C800" s="8"/>
      <c r="D800" s="9" t="s">
        <v>1783</v>
      </c>
      <c r="E800" s="6" t="s">
        <v>19</v>
      </c>
      <c r="F800" s="6">
        <v>2017</v>
      </c>
      <c r="G800" s="6" t="s">
        <v>14</v>
      </c>
      <c r="H800" s="7" t="s">
        <v>20</v>
      </c>
      <c r="I800" s="6" t="s">
        <v>105</v>
      </c>
      <c r="J800" s="130"/>
      <c r="K800" s="148" t="s">
        <v>1784</v>
      </c>
    </row>
    <row r="801" spans="1:11" ht="28.9" customHeight="1" thickTop="1" thickBot="1" x14ac:dyDescent="0.75">
      <c r="A801" s="6">
        <v>799</v>
      </c>
      <c r="B801" s="58" t="str">
        <f>HYPERLINK("https://search.naver.com/search.naver?query=라스트 레터 영화", "라스트 레터")</f>
        <v>라스트 레터</v>
      </c>
      <c r="C801" s="12">
        <v>8.2899999999999991</v>
      </c>
      <c r="D801" s="13" t="s">
        <v>1297</v>
      </c>
      <c r="E801" s="10" t="s">
        <v>19</v>
      </c>
      <c r="F801" s="10">
        <v>2019</v>
      </c>
      <c r="G801" s="10" t="s">
        <v>14</v>
      </c>
      <c r="H801" s="11" t="s">
        <v>20</v>
      </c>
      <c r="I801" s="10" t="s">
        <v>116</v>
      </c>
      <c r="J801" s="131"/>
      <c r="K801" s="149" t="s">
        <v>1785</v>
      </c>
    </row>
    <row r="802" spans="1:11" ht="28.9" customHeight="1" thickTop="1" thickBot="1" x14ac:dyDescent="0.75">
      <c r="A802" s="10">
        <v>800</v>
      </c>
      <c r="B802" s="57" t="str">
        <f>HYPERLINK("https://search.naver.com/search.naver?query=라스트 마일 영화", "라스트 마일")</f>
        <v>라스트 마일</v>
      </c>
      <c r="C802" s="8">
        <v>7.36</v>
      </c>
      <c r="D802" s="9" t="s">
        <v>1786</v>
      </c>
      <c r="E802" s="6" t="s">
        <v>19</v>
      </c>
      <c r="F802" s="6">
        <v>2024</v>
      </c>
      <c r="G802" s="6" t="s">
        <v>14</v>
      </c>
      <c r="H802" s="7" t="s">
        <v>20</v>
      </c>
      <c r="I802" s="6" t="s">
        <v>129</v>
      </c>
      <c r="J802" s="130"/>
      <c r="K802" s="148" t="s">
        <v>1787</v>
      </c>
    </row>
    <row r="803" spans="1:11" ht="28.9" customHeight="1" thickTop="1" thickBot="1" x14ac:dyDescent="0.75">
      <c r="A803" s="6">
        <v>801</v>
      </c>
      <c r="B803" s="58" t="str">
        <f>HYPERLINK("https://search.naver.com/search.naver?query=라스트 모히칸 영화", "라스트 모히칸")</f>
        <v>라스트 모히칸</v>
      </c>
      <c r="C803" s="12">
        <v>9.8000000000000007</v>
      </c>
      <c r="D803" s="13" t="s">
        <v>1788</v>
      </c>
      <c r="E803" s="10" t="s">
        <v>24</v>
      </c>
      <c r="F803" s="10">
        <v>1992</v>
      </c>
      <c r="G803" s="10" t="s">
        <v>14</v>
      </c>
      <c r="H803" s="11" t="s">
        <v>124</v>
      </c>
      <c r="I803" s="10" t="s">
        <v>429</v>
      </c>
      <c r="J803" s="131"/>
      <c r="K803" s="149" t="s">
        <v>1789</v>
      </c>
    </row>
    <row r="804" spans="1:11" ht="28.9" customHeight="1" thickTop="1" thickBot="1" x14ac:dyDescent="0.75">
      <c r="A804" s="10">
        <v>802</v>
      </c>
      <c r="B804" s="57" t="str">
        <f>HYPERLINK("https://search.naver.com/search.naver?query=라스트 미션 영화", "라스트 미션")</f>
        <v>라스트 미션</v>
      </c>
      <c r="C804" s="8">
        <v>8.91</v>
      </c>
      <c r="D804" s="9" t="s">
        <v>1790</v>
      </c>
      <c r="E804" s="6" t="s">
        <v>24</v>
      </c>
      <c r="F804" s="6">
        <v>2018</v>
      </c>
      <c r="G804" s="6" t="s">
        <v>14</v>
      </c>
      <c r="H804" s="7" t="s">
        <v>124</v>
      </c>
      <c r="I804" s="6" t="s">
        <v>150</v>
      </c>
      <c r="J804" s="130"/>
      <c r="K804" s="148" t="s">
        <v>1791</v>
      </c>
    </row>
    <row r="805" spans="1:11" ht="28.9" customHeight="1" thickTop="1" thickBot="1" x14ac:dyDescent="0.75">
      <c r="A805" s="6">
        <v>803</v>
      </c>
      <c r="B805" s="58" t="str">
        <f>HYPERLINK("https://search.naver.com/search.naver?query=라스트 베가스 영화", "라스트 베가스")</f>
        <v>라스트 베가스</v>
      </c>
      <c r="C805" s="12">
        <v>8.64</v>
      </c>
      <c r="D805" s="13" t="s">
        <v>1792</v>
      </c>
      <c r="E805" s="10" t="s">
        <v>24</v>
      </c>
      <c r="F805" s="10">
        <v>2013</v>
      </c>
      <c r="G805" s="10" t="s">
        <v>14</v>
      </c>
      <c r="H805" s="11" t="s">
        <v>91</v>
      </c>
      <c r="I805" s="10" t="s">
        <v>175</v>
      </c>
      <c r="J805" s="131"/>
      <c r="K805" s="149" t="s">
        <v>1793</v>
      </c>
    </row>
    <row r="806" spans="1:11" ht="28.9" customHeight="1" thickTop="1" thickBot="1" x14ac:dyDescent="0.75">
      <c r="A806" s="10">
        <v>804</v>
      </c>
      <c r="B806" s="57" t="str">
        <f>HYPERLINK("https://search.naver.com/search.naver?query=라스트 브레스 영화", "라스트 브레스")</f>
        <v>라스트 브레스</v>
      </c>
      <c r="C806" s="8">
        <v>6.4</v>
      </c>
      <c r="D806" s="9" t="s">
        <v>1794</v>
      </c>
      <c r="E806" s="6" t="s">
        <v>29</v>
      </c>
      <c r="F806" s="6">
        <v>2025</v>
      </c>
      <c r="G806" s="6" t="s">
        <v>14</v>
      </c>
      <c r="H806" s="7" t="s">
        <v>54</v>
      </c>
      <c r="I806" s="6" t="s">
        <v>179</v>
      </c>
      <c r="J806" s="130"/>
      <c r="K806" s="148" t="s">
        <v>1795</v>
      </c>
    </row>
    <row r="807" spans="1:11" ht="28.9" customHeight="1" thickTop="1" thickBot="1" x14ac:dyDescent="0.75">
      <c r="A807" s="6">
        <v>805</v>
      </c>
      <c r="B807" s="58" t="str">
        <f>HYPERLINK("https://search.naver.com/search.naver?query=라스트 송 영화", "라스트 송")</f>
        <v>라스트 송</v>
      </c>
      <c r="C807" s="12"/>
      <c r="D807" s="13" t="s">
        <v>1796</v>
      </c>
      <c r="E807" s="10" t="s">
        <v>24</v>
      </c>
      <c r="F807" s="10">
        <v>2010</v>
      </c>
      <c r="G807" s="10" t="s">
        <v>14</v>
      </c>
      <c r="H807" s="11" t="s">
        <v>20</v>
      </c>
      <c r="I807" s="10" t="s">
        <v>101</v>
      </c>
      <c r="J807" s="131"/>
      <c r="K807" s="149" t="s">
        <v>1797</v>
      </c>
    </row>
    <row r="808" spans="1:11" ht="28.9" customHeight="1" thickTop="1" thickBot="1" x14ac:dyDescent="0.75">
      <c r="A808" s="10">
        <v>806</v>
      </c>
      <c r="B808" s="59" t="str">
        <f>HYPERLINK("https://search.naver.com/search.naver?query=라스트 쉽 시즌1", "라스트 쉽 시즌1")</f>
        <v>라스트 쉽 시즌1</v>
      </c>
      <c r="C808" s="16"/>
      <c r="D808" s="17" t="s">
        <v>1798</v>
      </c>
      <c r="E808" s="14" t="s">
        <v>24</v>
      </c>
      <c r="F808" s="14">
        <v>2014</v>
      </c>
      <c r="G808" s="14" t="s">
        <v>20</v>
      </c>
      <c r="H808" s="15" t="s">
        <v>229</v>
      </c>
      <c r="I808" s="14" t="s">
        <v>64</v>
      </c>
      <c r="J808" s="132"/>
      <c r="K808" s="150" t="s">
        <v>1799</v>
      </c>
    </row>
    <row r="809" spans="1:11" ht="28.9" customHeight="1" thickTop="1" thickBot="1" x14ac:dyDescent="0.75">
      <c r="A809" s="6">
        <v>807</v>
      </c>
      <c r="B809" s="59" t="str">
        <f>HYPERLINK("https://search.naver.com/search.naver?query=라스트 쉽 시즌2", "라스트 쉽 시즌2")</f>
        <v>라스트 쉽 시즌2</v>
      </c>
      <c r="C809" s="16"/>
      <c r="D809" s="17" t="s">
        <v>1798</v>
      </c>
      <c r="E809" s="14" t="s">
        <v>24</v>
      </c>
      <c r="F809" s="14">
        <v>2015</v>
      </c>
      <c r="G809" s="14" t="s">
        <v>20</v>
      </c>
      <c r="H809" s="15" t="s">
        <v>229</v>
      </c>
      <c r="I809" s="14" t="s">
        <v>1108</v>
      </c>
      <c r="J809" s="132"/>
      <c r="K809" s="150" t="s">
        <v>1800</v>
      </c>
    </row>
    <row r="810" spans="1:11" ht="28.9" customHeight="1" thickTop="1" thickBot="1" x14ac:dyDescent="0.75">
      <c r="A810" s="10">
        <v>808</v>
      </c>
      <c r="B810" s="59" t="str">
        <f>HYPERLINK("https://search.naver.com/search.naver?query=라스트 쉽 시즌3", "라스트 쉽 시즌3")</f>
        <v>라스트 쉽 시즌3</v>
      </c>
      <c r="C810" s="16"/>
      <c r="D810" s="17" t="s">
        <v>1798</v>
      </c>
      <c r="E810" s="14" t="s">
        <v>24</v>
      </c>
      <c r="F810" s="14">
        <v>2016</v>
      </c>
      <c r="G810" s="14" t="s">
        <v>20</v>
      </c>
      <c r="H810" s="15" t="s">
        <v>229</v>
      </c>
      <c r="I810" s="14" t="s">
        <v>1108</v>
      </c>
      <c r="J810" s="132"/>
      <c r="K810" s="150" t="s">
        <v>1801</v>
      </c>
    </row>
    <row r="811" spans="1:11" ht="28.9" customHeight="1" thickTop="1" thickBot="1" x14ac:dyDescent="0.75">
      <c r="A811" s="6">
        <v>809</v>
      </c>
      <c r="B811" s="59" t="str">
        <f>HYPERLINK("https://search.naver.com/search.naver?query=라스트 쉽 시즌4", "라스트 쉽 시즌4")</f>
        <v>라스트 쉽 시즌4</v>
      </c>
      <c r="C811" s="16"/>
      <c r="D811" s="17" t="s">
        <v>1798</v>
      </c>
      <c r="E811" s="14" t="s">
        <v>24</v>
      </c>
      <c r="F811" s="14">
        <v>2017</v>
      </c>
      <c r="G811" s="14" t="s">
        <v>20</v>
      </c>
      <c r="H811" s="15" t="s">
        <v>229</v>
      </c>
      <c r="I811" s="14" t="s">
        <v>64</v>
      </c>
      <c r="J811" s="132"/>
      <c r="K811" s="150" t="s">
        <v>1802</v>
      </c>
    </row>
    <row r="812" spans="1:11" ht="28.9" customHeight="1" thickTop="1" thickBot="1" x14ac:dyDescent="0.75">
      <c r="A812" s="10">
        <v>810</v>
      </c>
      <c r="B812" s="59" t="str">
        <f>HYPERLINK("https://search.naver.com/search.naver?query=라스트 쉽 시즌5", "라스트 쉽 시즌5")</f>
        <v>라스트 쉽 시즌5</v>
      </c>
      <c r="C812" s="16"/>
      <c r="D812" s="17" t="s">
        <v>1798</v>
      </c>
      <c r="E812" s="14" t="s">
        <v>24</v>
      </c>
      <c r="F812" s="14">
        <v>2018</v>
      </c>
      <c r="G812" s="14" t="s">
        <v>20</v>
      </c>
      <c r="H812" s="15" t="s">
        <v>229</v>
      </c>
      <c r="I812" s="14" t="s">
        <v>64</v>
      </c>
      <c r="J812" s="132"/>
      <c r="K812" s="150" t="s">
        <v>1803</v>
      </c>
    </row>
    <row r="813" spans="1:11" ht="28.9" customHeight="1" thickTop="1" thickBot="1" x14ac:dyDescent="0.75">
      <c r="A813" s="6">
        <v>811</v>
      </c>
      <c r="B813" s="58" t="str">
        <f>HYPERLINK("https://search.naver.com/search.naver?query=라스트 스탠드 영화", "라스트 스탠드")</f>
        <v>라스트 스탠드</v>
      </c>
      <c r="C813" s="12">
        <v>7.81</v>
      </c>
      <c r="D813" s="13" t="s">
        <v>1804</v>
      </c>
      <c r="E813" s="10" t="s">
        <v>24</v>
      </c>
      <c r="F813" s="10">
        <v>2013</v>
      </c>
      <c r="G813" s="10" t="s">
        <v>14</v>
      </c>
      <c r="H813" s="11" t="s">
        <v>124</v>
      </c>
      <c r="I813" s="10" t="s">
        <v>101</v>
      </c>
      <c r="J813" s="131"/>
      <c r="K813" s="149" t="s">
        <v>1805</v>
      </c>
    </row>
    <row r="814" spans="1:11" ht="28.9" customHeight="1" thickTop="1" thickBot="1" x14ac:dyDescent="0.75">
      <c r="A814" s="10">
        <v>812</v>
      </c>
      <c r="B814" s="57" t="str">
        <f>HYPERLINK("https://search.naver.com/search.naver?query=라스트 시크릿 영화", "라스트 시크릿")</f>
        <v>라스트 시크릿</v>
      </c>
      <c r="C814" s="8"/>
      <c r="D814" s="9" t="s">
        <v>1806</v>
      </c>
      <c r="E814" s="6" t="s">
        <v>24</v>
      </c>
      <c r="F814" s="6">
        <v>2020</v>
      </c>
      <c r="G814" s="6" t="s">
        <v>14</v>
      </c>
      <c r="H814" s="7" t="s">
        <v>54</v>
      </c>
      <c r="I814" s="6" t="s">
        <v>205</v>
      </c>
      <c r="J814" s="130"/>
      <c r="K814" s="148" t="s">
        <v>1807</v>
      </c>
    </row>
    <row r="815" spans="1:11" ht="28.9" customHeight="1" thickTop="1" thickBot="1" x14ac:dyDescent="0.75">
      <c r="A815" s="6">
        <v>813</v>
      </c>
      <c r="B815" s="58" t="str">
        <f>HYPERLINK("https://search.naver.com/search.naver?query=라스트 워드 영화", "라스트 워드")</f>
        <v>라스트 워드</v>
      </c>
      <c r="C815" s="12">
        <v>6.4</v>
      </c>
      <c r="D815" s="13" t="s">
        <v>1808</v>
      </c>
      <c r="E815" s="10" t="s">
        <v>24</v>
      </c>
      <c r="F815" s="10">
        <v>2008</v>
      </c>
      <c r="G815" s="10" t="s">
        <v>14</v>
      </c>
      <c r="H815" s="11" t="s">
        <v>20</v>
      </c>
      <c r="I815" s="10" t="s">
        <v>156</v>
      </c>
      <c r="J815" s="131"/>
      <c r="K815" s="149" t="s">
        <v>873</v>
      </c>
    </row>
    <row r="816" spans="1:11" ht="28.9" customHeight="1" thickTop="1" thickBot="1" x14ac:dyDescent="0.75">
      <c r="A816" s="10">
        <v>814</v>
      </c>
      <c r="B816" s="57" t="str">
        <f>HYPERLINK("https://search.naver.com/search.naver?query=라스트 크리스마스 영화", "라스트 크리스마스")</f>
        <v>라스트 크리스마스</v>
      </c>
      <c r="C816" s="8">
        <v>7.18</v>
      </c>
      <c r="D816" s="9" t="s">
        <v>1809</v>
      </c>
      <c r="E816" s="6" t="s">
        <v>29</v>
      </c>
      <c r="F816" s="6">
        <v>2019</v>
      </c>
      <c r="G816" s="6" t="s">
        <v>14</v>
      </c>
      <c r="H816" s="7" t="s">
        <v>165</v>
      </c>
      <c r="I816" s="6" t="s">
        <v>276</v>
      </c>
      <c r="J816" s="130"/>
      <c r="K816" s="148" t="s">
        <v>1810</v>
      </c>
    </row>
    <row r="817" spans="1:11" ht="28.9" customHeight="1" thickTop="1" thickBot="1" x14ac:dyDescent="0.75">
      <c r="A817" s="6">
        <v>815</v>
      </c>
      <c r="B817" s="58" t="str">
        <f>HYPERLINK("https://search.naver.com/search.naver?query=라스트 킹 영화", "라스트 킹")</f>
        <v>라스트 킹</v>
      </c>
      <c r="C817" s="12">
        <v>6.4</v>
      </c>
      <c r="D817" s="13" t="s">
        <v>1811</v>
      </c>
      <c r="E817" s="10" t="s">
        <v>49</v>
      </c>
      <c r="F817" s="10">
        <v>2016</v>
      </c>
      <c r="G817" s="10" t="s">
        <v>14</v>
      </c>
      <c r="H817" s="11" t="s">
        <v>124</v>
      </c>
      <c r="I817" s="10" t="s">
        <v>109</v>
      </c>
      <c r="J817" s="131"/>
      <c r="K817" s="149" t="s">
        <v>1812</v>
      </c>
    </row>
    <row r="818" spans="1:11" ht="28.9" customHeight="1" thickTop="1" thickBot="1" x14ac:dyDescent="0.75">
      <c r="A818" s="10">
        <v>816</v>
      </c>
      <c r="B818" s="57" t="str">
        <f>HYPERLINK("https://search.naver.com/search.naver?query=라스트 풀 메저 영화", "라스트 풀 메저")</f>
        <v>라스트 풀 메저</v>
      </c>
      <c r="C818" s="8">
        <v>8</v>
      </c>
      <c r="D818" s="9" t="s">
        <v>1813</v>
      </c>
      <c r="E818" s="6" t="s">
        <v>24</v>
      </c>
      <c r="F818" s="6">
        <v>2019</v>
      </c>
      <c r="G818" s="6" t="s">
        <v>14</v>
      </c>
      <c r="H818" s="7" t="s">
        <v>20</v>
      </c>
      <c r="I818" s="6" t="s">
        <v>591</v>
      </c>
      <c r="J818" s="130"/>
      <c r="K818" s="148" t="s">
        <v>1814</v>
      </c>
    </row>
    <row r="819" spans="1:11" ht="28.9" customHeight="1" thickTop="1" thickBot="1" x14ac:dyDescent="0.75">
      <c r="A819" s="6">
        <v>817</v>
      </c>
      <c r="B819" s="59" t="str">
        <f>HYPERLINK("https://search.naver.com/search.naver?query=라스트 프런티어", "라스트 프런티어")</f>
        <v>라스트 프런티어</v>
      </c>
      <c r="C819" s="16"/>
      <c r="D819" s="17" t="s">
        <v>1815</v>
      </c>
      <c r="E819" s="14" t="s">
        <v>24</v>
      </c>
      <c r="F819" s="14">
        <v>2025</v>
      </c>
      <c r="G819" s="14" t="s">
        <v>20</v>
      </c>
      <c r="H819" s="15" t="s">
        <v>20</v>
      </c>
      <c r="I819" s="14" t="s">
        <v>64</v>
      </c>
      <c r="J819" s="132"/>
      <c r="K819" s="150" t="s">
        <v>1816</v>
      </c>
    </row>
    <row r="820" spans="1:11" ht="28.9" customHeight="1" thickTop="1" thickBot="1" x14ac:dyDescent="0.75">
      <c r="A820" s="10">
        <v>818</v>
      </c>
      <c r="B820" s="57" t="str">
        <f>HYPERLINK("https://search.naver.com/search.naver?query=라스트 필름 쇼 영화", "라스트 필름 쇼")</f>
        <v>라스트 필름 쇼</v>
      </c>
      <c r="C820" s="8">
        <v>8.18</v>
      </c>
      <c r="D820" s="9" t="s">
        <v>1817</v>
      </c>
      <c r="E820" s="6" t="s">
        <v>581</v>
      </c>
      <c r="F820" s="6">
        <v>2021</v>
      </c>
      <c r="G820" s="6" t="s">
        <v>14</v>
      </c>
      <c r="H820" s="7" t="s">
        <v>20</v>
      </c>
      <c r="I820" s="6" t="s">
        <v>129</v>
      </c>
      <c r="J820" s="130"/>
      <c r="K820" s="148" t="s">
        <v>1818</v>
      </c>
    </row>
    <row r="821" spans="1:11" ht="28.9" customHeight="1" thickTop="1" thickBot="1" x14ac:dyDescent="0.75">
      <c r="A821" s="6">
        <v>819</v>
      </c>
      <c r="B821" s="58" t="str">
        <f>HYPERLINK("https://search.naver.com/search.naver?query=라스트 홀리데이 영화", "라스트 홀리데이")</f>
        <v>라스트 홀리데이</v>
      </c>
      <c r="C821" s="12">
        <v>9.4499999999999993</v>
      </c>
      <c r="D821" s="13" t="s">
        <v>1819</v>
      </c>
      <c r="E821" s="10" t="s">
        <v>24</v>
      </c>
      <c r="F821" s="10">
        <v>2006</v>
      </c>
      <c r="G821" s="10" t="s">
        <v>14</v>
      </c>
      <c r="H821" s="11" t="s">
        <v>91</v>
      </c>
      <c r="I821" s="10" t="s">
        <v>429</v>
      </c>
      <c r="J821" s="131"/>
      <c r="K821" s="149" t="s">
        <v>1820</v>
      </c>
    </row>
    <row r="822" spans="1:11" ht="28.9" customHeight="1" thickTop="1" thickBot="1" x14ac:dyDescent="0.75">
      <c r="A822" s="10">
        <v>820</v>
      </c>
      <c r="B822" s="57" t="str">
        <f>HYPERLINK("https://search.naver.com/search.naver?query=라스트 홈", "라스트 홈")</f>
        <v>라스트 홈</v>
      </c>
      <c r="C822" s="8">
        <v>9.17</v>
      </c>
      <c r="D822" s="9" t="s">
        <v>1821</v>
      </c>
      <c r="E822" s="6" t="s">
        <v>24</v>
      </c>
      <c r="F822" s="6">
        <v>2016</v>
      </c>
      <c r="G822" s="6" t="s">
        <v>14</v>
      </c>
      <c r="H822" s="7" t="s">
        <v>20</v>
      </c>
      <c r="I822" s="6" t="s">
        <v>429</v>
      </c>
      <c r="J822" s="130"/>
      <c r="K822" s="148" t="s">
        <v>1822</v>
      </c>
    </row>
    <row r="823" spans="1:11" ht="28.9" customHeight="1" thickTop="1" thickBot="1" x14ac:dyDescent="0.75">
      <c r="A823" s="6">
        <v>821</v>
      </c>
      <c r="B823" s="58" t="str">
        <f>HYPERLINK("https://search.naver.com/search.naver?query=라스트씬 얼라이브 영화", "라스트씬 얼라이브")</f>
        <v>라스트씬 얼라이브</v>
      </c>
      <c r="C823" s="12">
        <v>6.4</v>
      </c>
      <c r="D823" s="13" t="s">
        <v>1823</v>
      </c>
      <c r="E823" s="10" t="s">
        <v>24</v>
      </c>
      <c r="F823" s="10">
        <v>2022</v>
      </c>
      <c r="G823" s="10" t="s">
        <v>14</v>
      </c>
      <c r="H823" s="11" t="s">
        <v>124</v>
      </c>
      <c r="I823" s="10" t="s">
        <v>150</v>
      </c>
      <c r="J823" s="131"/>
      <c r="K823" s="149" t="s">
        <v>1824</v>
      </c>
    </row>
    <row r="824" spans="1:11" ht="28.9" customHeight="1" thickTop="1" thickBot="1" x14ac:dyDescent="0.75">
      <c r="A824" s="10">
        <v>822</v>
      </c>
      <c r="B824" s="57" t="str">
        <f>HYPERLINK("https://search.naver.com/search.naver?query=라운드 업 영화", "라운드 업")</f>
        <v>라운드 업</v>
      </c>
      <c r="C824" s="8">
        <v>8.43</v>
      </c>
      <c r="D824" s="9" t="s">
        <v>1825</v>
      </c>
      <c r="E824" s="6" t="s">
        <v>310</v>
      </c>
      <c r="F824" s="6">
        <v>2010</v>
      </c>
      <c r="G824" s="6" t="s">
        <v>14</v>
      </c>
      <c r="H824" s="7" t="s">
        <v>124</v>
      </c>
      <c r="I824" s="6" t="s">
        <v>169</v>
      </c>
      <c r="J824" s="130"/>
      <c r="K824" s="148" t="s">
        <v>1826</v>
      </c>
    </row>
    <row r="825" spans="1:11" ht="28.9" customHeight="1" thickTop="1" thickBot="1" x14ac:dyDescent="0.75">
      <c r="A825" s="6">
        <v>823</v>
      </c>
      <c r="B825" s="58" t="str">
        <f>HYPERLINK("https://search.naver.com/search.naver?query=라이브 영화", "라이브")</f>
        <v>라이브</v>
      </c>
      <c r="C825" s="12"/>
      <c r="D825" s="13" t="s">
        <v>1827</v>
      </c>
      <c r="E825" s="10" t="s">
        <v>24</v>
      </c>
      <c r="F825" s="10">
        <v>2019</v>
      </c>
      <c r="G825" s="10" t="s">
        <v>14</v>
      </c>
      <c r="H825" s="11" t="s">
        <v>124</v>
      </c>
      <c r="I825" s="10" t="s">
        <v>16</v>
      </c>
      <c r="J825" s="131"/>
      <c r="K825" s="149" t="s">
        <v>1828</v>
      </c>
    </row>
    <row r="826" spans="1:11" ht="28.9" customHeight="1" thickTop="1" thickBot="1" x14ac:dyDescent="0.75">
      <c r="A826" s="10">
        <v>824</v>
      </c>
      <c r="B826" s="59" t="str">
        <f>HYPERLINK("https://search.naver.com/search.naver?query=라이어니스 특수작전팀", "라이어니스: 특수작전팀 시즌1")</f>
        <v>라이어니스: 특수작전팀 시즌1</v>
      </c>
      <c r="C826" s="16"/>
      <c r="D826" s="17" t="s">
        <v>1829</v>
      </c>
      <c r="E826" s="14" t="s">
        <v>24</v>
      </c>
      <c r="F826" s="14">
        <v>2023</v>
      </c>
      <c r="G826" s="14" t="s">
        <v>20</v>
      </c>
      <c r="H826" s="15" t="s">
        <v>229</v>
      </c>
      <c r="I826" s="14" t="s">
        <v>71</v>
      </c>
      <c r="J826" s="132"/>
      <c r="K826" s="150" t="s">
        <v>1830</v>
      </c>
    </row>
    <row r="827" spans="1:11" ht="28.9" customHeight="1" thickTop="1" thickBot="1" x14ac:dyDescent="0.75">
      <c r="A827" s="6">
        <v>825</v>
      </c>
      <c r="B827" s="59" t="str">
        <f>HYPERLINK("https://search.naver.com/search.naver?query=라이어니스 특수작전팀 시즌2", "라이어니스: 특수작전팀 시즌2")</f>
        <v>라이어니스: 특수작전팀 시즌2</v>
      </c>
      <c r="C827" s="16"/>
      <c r="D827" s="17" t="s">
        <v>1829</v>
      </c>
      <c r="E827" s="14" t="s">
        <v>24</v>
      </c>
      <c r="F827" s="14">
        <v>2024</v>
      </c>
      <c r="G827" s="14" t="s">
        <v>20</v>
      </c>
      <c r="H827" s="15" t="s">
        <v>229</v>
      </c>
      <c r="I827" s="14" t="s">
        <v>71</v>
      </c>
      <c r="J827" s="132"/>
      <c r="K827" s="150" t="s">
        <v>1831</v>
      </c>
    </row>
    <row r="828" spans="1:11" ht="28.9" customHeight="1" thickTop="1" thickBot="1" x14ac:dyDescent="0.75">
      <c r="A828" s="10">
        <v>826</v>
      </c>
      <c r="B828" s="57" t="str">
        <f>HYPERLINK("https://search.naver.com/search.naver?query=라이언 영화", "라이언")</f>
        <v>라이언</v>
      </c>
      <c r="C828" s="8">
        <v>9.31</v>
      </c>
      <c r="D828" s="9" t="s">
        <v>1832</v>
      </c>
      <c r="E828" s="6" t="s">
        <v>45</v>
      </c>
      <c r="F828" s="6">
        <v>2016</v>
      </c>
      <c r="G828" s="6" t="s">
        <v>14</v>
      </c>
      <c r="H828" s="7" t="s">
        <v>20</v>
      </c>
      <c r="I828" s="6" t="s">
        <v>329</v>
      </c>
      <c r="J828" s="130"/>
      <c r="K828" s="148" t="s">
        <v>1833</v>
      </c>
    </row>
    <row r="829" spans="1:11" ht="28.9" customHeight="1" thickTop="1" thickBot="1" x14ac:dyDescent="0.75">
      <c r="A829" s="6">
        <v>827</v>
      </c>
      <c r="B829" s="58" t="str">
        <f>HYPERLINK("https://search.naver.com/search.naver?query=라이언 일병 구하기 영화", "라이언 일병 구하기")</f>
        <v>라이언 일병 구하기</v>
      </c>
      <c r="C829" s="12">
        <v>9.14</v>
      </c>
      <c r="D829" s="13" t="s">
        <v>1834</v>
      </c>
      <c r="E829" s="10" t="s">
        <v>24</v>
      </c>
      <c r="F829" s="10">
        <v>1998</v>
      </c>
      <c r="G829" s="10" t="s">
        <v>14</v>
      </c>
      <c r="H829" s="11" t="s">
        <v>1247</v>
      </c>
      <c r="I829" s="10" t="s">
        <v>1835</v>
      </c>
      <c r="J829" s="131"/>
      <c r="K829" s="149" t="s">
        <v>1836</v>
      </c>
    </row>
    <row r="830" spans="1:11" ht="28.9" customHeight="1" thickTop="1" thickBot="1" x14ac:dyDescent="0.75">
      <c r="A830" s="10">
        <v>828</v>
      </c>
      <c r="B830" s="57" t="str">
        <f>HYPERLINK("https://search.naver.com/search.naver?query=라이크 크레이지 영화", "라이크 크레이지")</f>
        <v>라이크 크레이지</v>
      </c>
      <c r="C830" s="8">
        <v>7.34</v>
      </c>
      <c r="D830" s="9" t="s">
        <v>1837</v>
      </c>
      <c r="E830" s="6" t="s">
        <v>24</v>
      </c>
      <c r="F830" s="6">
        <v>2011</v>
      </c>
      <c r="G830" s="6" t="s">
        <v>14</v>
      </c>
      <c r="H830" s="7" t="s">
        <v>20</v>
      </c>
      <c r="I830" s="6" t="s">
        <v>156</v>
      </c>
      <c r="J830" s="130"/>
      <c r="K830" s="148" t="s">
        <v>1838</v>
      </c>
    </row>
    <row r="831" spans="1:11" ht="28.9" customHeight="1" thickTop="1" thickBot="1" x14ac:dyDescent="0.75">
      <c r="A831" s="6">
        <v>829</v>
      </c>
      <c r="B831" s="58" t="str">
        <f>HYPERLINK("https://search.naver.com/search.naver?query=라이프", "라이프")</f>
        <v>라이프</v>
      </c>
      <c r="C831" s="12"/>
      <c r="D831" s="13" t="s">
        <v>1839</v>
      </c>
      <c r="E831" s="10" t="s">
        <v>24</v>
      </c>
      <c r="F831" s="10">
        <v>2015</v>
      </c>
      <c r="G831" s="10" t="s">
        <v>14</v>
      </c>
      <c r="H831" s="11" t="s">
        <v>91</v>
      </c>
      <c r="I831" s="10" t="s">
        <v>429</v>
      </c>
      <c r="J831" s="131"/>
      <c r="K831" s="149" t="s">
        <v>1840</v>
      </c>
    </row>
    <row r="832" spans="1:11" ht="28.9" customHeight="1" thickTop="1" thickBot="1" x14ac:dyDescent="0.75">
      <c r="A832" s="10">
        <v>830</v>
      </c>
      <c r="B832" s="57" t="str">
        <f>HYPERLINK("https://search.naver.com/search.naver?query=라이프 영화", "라이프")</f>
        <v>라이프</v>
      </c>
      <c r="C832" s="8">
        <v>7.82</v>
      </c>
      <c r="D832" s="9" t="s">
        <v>1841</v>
      </c>
      <c r="E832" s="6" t="s">
        <v>24</v>
      </c>
      <c r="F832" s="6">
        <v>2017</v>
      </c>
      <c r="G832" s="6" t="s">
        <v>14</v>
      </c>
      <c r="H832" s="7" t="s">
        <v>877</v>
      </c>
      <c r="I832" s="6" t="s">
        <v>242</v>
      </c>
      <c r="J832" s="130"/>
      <c r="K832" s="148" t="s">
        <v>1842</v>
      </c>
    </row>
    <row r="833" spans="1:11" ht="28.9" customHeight="1" thickTop="1" thickBot="1" x14ac:dyDescent="0.75">
      <c r="A833" s="6">
        <v>831</v>
      </c>
      <c r="B833" s="59" t="str">
        <f>HYPERLINK("https://search.naver.com/search.naver?query=라이프 영화", "라이프")</f>
        <v>라이프</v>
      </c>
      <c r="C833" s="16"/>
      <c r="D833" s="17" t="s">
        <v>1843</v>
      </c>
      <c r="E833" s="14" t="s">
        <v>29</v>
      </c>
      <c r="F833" s="14">
        <v>2020</v>
      </c>
      <c r="G833" s="14" t="s">
        <v>20</v>
      </c>
      <c r="H833" s="15" t="s">
        <v>20</v>
      </c>
      <c r="I833" s="14" t="s">
        <v>247</v>
      </c>
      <c r="J833" s="132"/>
      <c r="K833" s="150" t="s">
        <v>1844</v>
      </c>
    </row>
    <row r="834" spans="1:11" ht="28.9" customHeight="1" thickTop="1" thickBot="1" x14ac:dyDescent="0.75">
      <c r="A834" s="10">
        <v>832</v>
      </c>
      <c r="B834" s="57" t="str">
        <f>HYPERLINK("https://search.naver.com/search.naver?query=라이프 라이크 영화", "라이프 라이크")</f>
        <v>라이프 라이크</v>
      </c>
      <c r="C834" s="8"/>
      <c r="D834" s="9" t="s">
        <v>1845</v>
      </c>
      <c r="E834" s="6" t="s">
        <v>24</v>
      </c>
      <c r="F834" s="6">
        <v>2019</v>
      </c>
      <c r="G834" s="6" t="s">
        <v>14</v>
      </c>
      <c r="H834" s="7" t="s">
        <v>877</v>
      </c>
      <c r="I834" s="6" t="s">
        <v>150</v>
      </c>
      <c r="J834" s="130"/>
      <c r="K834" s="148" t="s">
        <v>1846</v>
      </c>
    </row>
    <row r="835" spans="1:11" ht="28.9" customHeight="1" thickTop="1" thickBot="1" x14ac:dyDescent="0.75">
      <c r="A835" s="6">
        <v>833</v>
      </c>
      <c r="B835" s="58" t="str">
        <f>HYPERLINK("https://search.naver.com/search.naver?query=라이프 리스트", "라이프 리스트")</f>
        <v>라이프 리스트</v>
      </c>
      <c r="C835" s="12">
        <v>7.16</v>
      </c>
      <c r="D835" s="13" t="s">
        <v>1847</v>
      </c>
      <c r="E835" s="10" t="s">
        <v>24</v>
      </c>
      <c r="F835" s="10">
        <v>2025</v>
      </c>
      <c r="G835" s="10" t="s">
        <v>14</v>
      </c>
      <c r="H835" s="11" t="s">
        <v>149</v>
      </c>
      <c r="I835" s="10" t="s">
        <v>76</v>
      </c>
      <c r="J835" s="131"/>
      <c r="K835" s="149" t="s">
        <v>1848</v>
      </c>
    </row>
    <row r="836" spans="1:11" ht="28.9" customHeight="1" thickTop="1" thickBot="1" x14ac:dyDescent="0.75">
      <c r="A836" s="10">
        <v>834</v>
      </c>
      <c r="B836" s="57" t="str">
        <f>HYPERLINK("https://search.naver.com/search.naver?query=라이프 애즈 어 하우스 영화", "라이프 애즈 어 하우스")</f>
        <v>라이프 애즈 어 하우스</v>
      </c>
      <c r="C836" s="8"/>
      <c r="D836" s="9" t="s">
        <v>1849</v>
      </c>
      <c r="E836" s="6" t="s">
        <v>24</v>
      </c>
      <c r="F836" s="6">
        <v>2001</v>
      </c>
      <c r="G836" s="6" t="s">
        <v>14</v>
      </c>
      <c r="H836" s="7" t="s">
        <v>20</v>
      </c>
      <c r="I836" s="6" t="s">
        <v>183</v>
      </c>
      <c r="J836" s="130"/>
      <c r="K836" s="148" t="s">
        <v>1850</v>
      </c>
    </row>
    <row r="837" spans="1:11" ht="28.9" customHeight="1" thickTop="1" thickBot="1" x14ac:dyDescent="0.75">
      <c r="A837" s="6">
        <v>835</v>
      </c>
      <c r="B837" s="58" t="str">
        <f>HYPERLINK("https://search.naver.com/search.naver?query=라파예트 영화", "라파예트")</f>
        <v>라파예트</v>
      </c>
      <c r="C837" s="12">
        <v>8.18</v>
      </c>
      <c r="D837" s="13" t="s">
        <v>1851</v>
      </c>
      <c r="E837" s="10" t="s">
        <v>310</v>
      </c>
      <c r="F837" s="10">
        <v>2006</v>
      </c>
      <c r="G837" s="10" t="s">
        <v>14</v>
      </c>
      <c r="H837" s="11" t="s">
        <v>20</v>
      </c>
      <c r="I837" s="10" t="s">
        <v>129</v>
      </c>
      <c r="J837" s="131"/>
      <c r="K837" s="149" t="s">
        <v>1852</v>
      </c>
    </row>
    <row r="838" spans="1:11" ht="28.9" customHeight="1" thickTop="1" thickBot="1" x14ac:dyDescent="0.75">
      <c r="A838" s="10">
        <v>836</v>
      </c>
      <c r="B838" s="57" t="str">
        <f>HYPERLINK("https://search.naver.com/search.naver?query=라플라스의 마녀 영화", "라플라스의 마녀")</f>
        <v>라플라스의 마녀</v>
      </c>
      <c r="C838" s="8">
        <v>6.4</v>
      </c>
      <c r="D838" s="9" t="s">
        <v>1853</v>
      </c>
      <c r="E838" s="6" t="s">
        <v>19</v>
      </c>
      <c r="F838" s="6">
        <v>2018</v>
      </c>
      <c r="G838" s="6" t="s">
        <v>14</v>
      </c>
      <c r="H838" s="7" t="s">
        <v>194</v>
      </c>
      <c r="I838" s="6" t="s">
        <v>60</v>
      </c>
      <c r="J838" s="130"/>
      <c r="K838" s="148" t="s">
        <v>1854</v>
      </c>
    </row>
    <row r="839" spans="1:11" ht="28.9" customHeight="1" thickTop="1" thickBot="1" x14ac:dyDescent="0.75">
      <c r="A839" s="6">
        <v>837</v>
      </c>
      <c r="B839" s="58" t="str">
        <f>HYPERLINK("https://search.naver.com/search.naver?query=람보-라스트 워 영화", "람보-라스트 워")</f>
        <v>람보-라스트 워</v>
      </c>
      <c r="C839" s="12"/>
      <c r="D839" s="13" t="s">
        <v>1855</v>
      </c>
      <c r="E839" s="10" t="s">
        <v>24</v>
      </c>
      <c r="F839" s="10">
        <v>2019</v>
      </c>
      <c r="G839" s="10" t="s">
        <v>14</v>
      </c>
      <c r="H839" s="11" t="s">
        <v>124</v>
      </c>
      <c r="I839" s="10" t="s">
        <v>162</v>
      </c>
      <c r="J839" s="131"/>
      <c r="K839" s="149" t="s">
        <v>1856</v>
      </c>
    </row>
    <row r="840" spans="1:11" ht="28.9" customHeight="1" thickTop="1" thickBot="1" x14ac:dyDescent="0.75">
      <c r="A840" s="10">
        <v>838</v>
      </c>
      <c r="B840" s="57" t="str">
        <f>HYPERLINK("https://search.naver.com/search.naver?query=래기스 영화", "래기스")</f>
        <v>래기스</v>
      </c>
      <c r="C840" s="8">
        <v>6.4</v>
      </c>
      <c r="D840" s="9" t="s">
        <v>1857</v>
      </c>
      <c r="E840" s="6" t="s">
        <v>24</v>
      </c>
      <c r="F840" s="6">
        <v>2014</v>
      </c>
      <c r="G840" s="6" t="s">
        <v>14</v>
      </c>
      <c r="H840" s="7" t="s">
        <v>20</v>
      </c>
      <c r="I840" s="6" t="s">
        <v>150</v>
      </c>
      <c r="J840" s="130"/>
      <c r="K840" s="148" t="s">
        <v>1858</v>
      </c>
    </row>
    <row r="841" spans="1:11" ht="28.9" customHeight="1" thickTop="1" thickBot="1" x14ac:dyDescent="0.75">
      <c r="A841" s="6">
        <v>839</v>
      </c>
      <c r="B841" s="58" t="str">
        <f>HYPERLINK("https://search.naver.com/search.naver?query=래빗 홀 영화", "래빗 홀")</f>
        <v>래빗 홀</v>
      </c>
      <c r="C841" s="12">
        <v>8.06</v>
      </c>
      <c r="D841" s="13" t="s">
        <v>1859</v>
      </c>
      <c r="E841" s="10" t="s">
        <v>24</v>
      </c>
      <c r="F841" s="10">
        <v>2010</v>
      </c>
      <c r="G841" s="10" t="s">
        <v>14</v>
      </c>
      <c r="H841" s="11" t="s">
        <v>20</v>
      </c>
      <c r="I841" s="10" t="s">
        <v>361</v>
      </c>
      <c r="J841" s="131"/>
      <c r="K841" s="149" t="s">
        <v>1860</v>
      </c>
    </row>
    <row r="842" spans="1:11" ht="28.9" customHeight="1" thickTop="1" thickBot="1" x14ac:dyDescent="0.75">
      <c r="A842" s="10">
        <v>840</v>
      </c>
      <c r="B842" s="59" t="str">
        <f>HYPERLINK("https://search.naver.com/search.naver?query=래빗홀 드라마", "래빗홀")</f>
        <v>래빗홀</v>
      </c>
      <c r="C842" s="16"/>
      <c r="D842" s="17" t="s">
        <v>1861</v>
      </c>
      <c r="E842" s="14" t="s">
        <v>24</v>
      </c>
      <c r="F842" s="14">
        <v>2023</v>
      </c>
      <c r="G842" s="14" t="s">
        <v>20</v>
      </c>
      <c r="H842" s="15" t="s">
        <v>15</v>
      </c>
      <c r="I842" s="14" t="s">
        <v>71</v>
      </c>
      <c r="J842" s="132"/>
      <c r="K842" s="150" t="s">
        <v>1862</v>
      </c>
    </row>
    <row r="843" spans="1:11" ht="28.9" customHeight="1" thickTop="1" thickBot="1" x14ac:dyDescent="0.75">
      <c r="A843" s="6">
        <v>841</v>
      </c>
      <c r="B843" s="58" t="str">
        <f>HYPERLINK("https://search.naver.com/search.naver?query=래시 컴 홈 영화", "래시 컴 홈")</f>
        <v>래시 컴 홈</v>
      </c>
      <c r="C843" s="12">
        <v>7.61</v>
      </c>
      <c r="D843" s="13" t="s">
        <v>1863</v>
      </c>
      <c r="E843" s="10" t="s">
        <v>29</v>
      </c>
      <c r="F843" s="10">
        <v>2020</v>
      </c>
      <c r="G843" s="10" t="s">
        <v>14</v>
      </c>
      <c r="H843" s="11" t="s">
        <v>20</v>
      </c>
      <c r="I843" s="10" t="s">
        <v>109</v>
      </c>
      <c r="J843" s="131"/>
      <c r="K843" s="149" t="s">
        <v>1864</v>
      </c>
    </row>
    <row r="844" spans="1:11" ht="28.9" customHeight="1" thickTop="1" thickBot="1" x14ac:dyDescent="0.75">
      <c r="A844" s="10">
        <v>842</v>
      </c>
      <c r="B844" s="57" t="str">
        <f>HYPERLINK("https://search.naver.com/search.naver?query=랜드 영화", "랜드")</f>
        <v>랜드</v>
      </c>
      <c r="C844" s="8"/>
      <c r="D844" s="9" t="s">
        <v>1865</v>
      </c>
      <c r="E844" s="6" t="s">
        <v>24</v>
      </c>
      <c r="F844" s="6">
        <v>2021</v>
      </c>
      <c r="G844" s="6" t="s">
        <v>14</v>
      </c>
      <c r="H844" s="7" t="s">
        <v>20</v>
      </c>
      <c r="I844" s="6" t="s">
        <v>162</v>
      </c>
      <c r="J844" s="130"/>
      <c r="K844" s="148" t="s">
        <v>1866</v>
      </c>
    </row>
    <row r="845" spans="1:11" ht="28.9" customHeight="1" thickTop="1" thickBot="1" x14ac:dyDescent="0.75">
      <c r="A845" s="6">
        <v>843</v>
      </c>
      <c r="B845" s="58" t="str">
        <f>HYPERLINK("https://search.naver.com/search.naver?query=랜드 오브 배드 영화", "랜드 오브 배드")</f>
        <v>랜드 오브 배드</v>
      </c>
      <c r="C845" s="12">
        <v>8.31</v>
      </c>
      <c r="D845" s="13" t="s">
        <v>1867</v>
      </c>
      <c r="E845" s="10" t="s">
        <v>24</v>
      </c>
      <c r="F845" s="10">
        <v>2024</v>
      </c>
      <c r="G845" s="10" t="s">
        <v>14</v>
      </c>
      <c r="H845" s="11" t="s">
        <v>124</v>
      </c>
      <c r="I845" s="10" t="s">
        <v>129</v>
      </c>
      <c r="J845" s="131"/>
      <c r="K845" s="149" t="s">
        <v>1868</v>
      </c>
    </row>
    <row r="846" spans="1:11" ht="28.9" customHeight="1" thickTop="1" thickBot="1" x14ac:dyDescent="0.75">
      <c r="A846" s="10">
        <v>844</v>
      </c>
      <c r="B846" s="59" t="str">
        <f>HYPERLINK("https://search.naver.com/search.naver?query=랜드맨 시즌1", "랜드맨 시즌1")</f>
        <v>랜드맨 시즌1</v>
      </c>
      <c r="C846" s="16"/>
      <c r="D846" s="17" t="s">
        <v>1869</v>
      </c>
      <c r="E846" s="14" t="s">
        <v>24</v>
      </c>
      <c r="F846" s="14">
        <v>2024</v>
      </c>
      <c r="G846" s="14" t="s">
        <v>20</v>
      </c>
      <c r="H846" s="15" t="s">
        <v>20</v>
      </c>
      <c r="I846" s="14" t="s">
        <v>64</v>
      </c>
      <c r="J846" s="132"/>
      <c r="K846" s="150" t="s">
        <v>1870</v>
      </c>
    </row>
    <row r="847" spans="1:11" ht="28.9" customHeight="1" thickTop="1" thickBot="1" x14ac:dyDescent="0.75">
      <c r="A847" s="6">
        <v>845</v>
      </c>
      <c r="B847" s="58" t="str">
        <f>HYPERLINK("https://search.naver.com/search.naver?query=랜섬 영화", "랜섬")</f>
        <v>랜섬</v>
      </c>
      <c r="C847" s="12">
        <v>6.4</v>
      </c>
      <c r="D847" s="13" t="s">
        <v>1871</v>
      </c>
      <c r="E847" s="10" t="s">
        <v>24</v>
      </c>
      <c r="F847" s="10">
        <v>1996</v>
      </c>
      <c r="G847" s="10" t="s">
        <v>14</v>
      </c>
      <c r="H847" s="11" t="s">
        <v>124</v>
      </c>
      <c r="I847" s="10" t="s">
        <v>195</v>
      </c>
      <c r="J847" s="131"/>
      <c r="K847" s="149" t="s">
        <v>1872</v>
      </c>
    </row>
    <row r="848" spans="1:11" ht="28.9" customHeight="1" thickTop="1" thickBot="1" x14ac:dyDescent="0.75">
      <c r="A848" s="10">
        <v>846</v>
      </c>
      <c r="B848" s="57" t="str">
        <f>HYPERLINK("https://search.naver.com/search.naver?query=램페이지 영화", "램페이지")</f>
        <v>램페이지</v>
      </c>
      <c r="C848" s="8">
        <v>8.81</v>
      </c>
      <c r="D848" s="9" t="s">
        <v>1873</v>
      </c>
      <c r="E848" s="6" t="s">
        <v>24</v>
      </c>
      <c r="F848" s="6">
        <v>2018</v>
      </c>
      <c r="G848" s="6" t="s">
        <v>14</v>
      </c>
      <c r="H848" s="7" t="s">
        <v>124</v>
      </c>
      <c r="I848" s="6" t="s">
        <v>101</v>
      </c>
      <c r="J848" s="130"/>
      <c r="K848" s="148" t="s">
        <v>1874</v>
      </c>
    </row>
    <row r="849" spans="1:11" ht="28.9" customHeight="1" thickTop="1" thickBot="1" x14ac:dyDescent="0.75">
      <c r="A849" s="6">
        <v>847</v>
      </c>
      <c r="B849" s="58" t="str">
        <f>HYPERLINK("https://search.naver.com/search.naver?query=러닝 위드 더 데빌 영화", "러닝 위드 더 데빌")</f>
        <v>러닝 위드 더 데빌</v>
      </c>
      <c r="C849" s="12"/>
      <c r="D849" s="13" t="s">
        <v>1875</v>
      </c>
      <c r="E849" s="10" t="s">
        <v>24</v>
      </c>
      <c r="F849" s="10">
        <v>2019</v>
      </c>
      <c r="G849" s="10" t="s">
        <v>14</v>
      </c>
      <c r="H849" s="11" t="s">
        <v>124</v>
      </c>
      <c r="I849" s="10" t="s">
        <v>179</v>
      </c>
      <c r="J849" s="131"/>
      <c r="K849" s="149" t="s">
        <v>1876</v>
      </c>
    </row>
    <row r="850" spans="1:11" ht="28.9" customHeight="1" thickTop="1" thickBot="1" x14ac:dyDescent="0.75">
      <c r="A850" s="10">
        <v>848</v>
      </c>
      <c r="B850" s="57" t="str">
        <f>HYPERLINK("https://search.naver.com/search.naver?query=러덜리스 영화", "러덜리스")</f>
        <v>러덜리스</v>
      </c>
      <c r="C850" s="8">
        <v>8.68</v>
      </c>
      <c r="D850" s="9" t="s">
        <v>1877</v>
      </c>
      <c r="E850" s="6" t="s">
        <v>24</v>
      </c>
      <c r="F850" s="6">
        <v>2014</v>
      </c>
      <c r="G850" s="6" t="s">
        <v>14</v>
      </c>
      <c r="H850" s="7" t="s">
        <v>20</v>
      </c>
      <c r="I850" s="6" t="s">
        <v>175</v>
      </c>
      <c r="J850" s="130"/>
      <c r="K850" s="148" t="s">
        <v>1878</v>
      </c>
    </row>
    <row r="851" spans="1:11" ht="28.9" customHeight="1" thickTop="1" thickBot="1" x14ac:dyDescent="0.75">
      <c r="A851" s="6">
        <v>849</v>
      </c>
      <c r="B851" s="58" t="str">
        <f>HYPERLINK("https://search.naver.com/search.naver?query=러브 &amp; 드럭스 영화", "러브 &amp; 드럭스")</f>
        <v>러브 &amp; 드럭스</v>
      </c>
      <c r="C851" s="12">
        <v>4.57</v>
      </c>
      <c r="D851" s="13" t="s">
        <v>1879</v>
      </c>
      <c r="E851" s="10" t="s">
        <v>24</v>
      </c>
      <c r="F851" s="10">
        <v>2010</v>
      </c>
      <c r="G851" s="10" t="s">
        <v>14</v>
      </c>
      <c r="H851" s="11" t="s">
        <v>91</v>
      </c>
      <c r="I851" s="10" t="s">
        <v>429</v>
      </c>
      <c r="J851" s="131"/>
      <c r="K851" s="149" t="s">
        <v>1880</v>
      </c>
    </row>
    <row r="852" spans="1:11" ht="28.9" customHeight="1" thickTop="1" thickBot="1" x14ac:dyDescent="0.75">
      <c r="A852" s="10">
        <v>850</v>
      </c>
      <c r="B852" s="57" t="str">
        <f>HYPERLINK("https://search.naver.com/search.naver?query=러브 라이프 영화", "러브 라이프")</f>
        <v>러브 라이프</v>
      </c>
      <c r="C852" s="8">
        <v>7.6</v>
      </c>
      <c r="D852" s="9" t="s">
        <v>1881</v>
      </c>
      <c r="E852" s="6" t="s">
        <v>19</v>
      </c>
      <c r="F852" s="6">
        <v>2022</v>
      </c>
      <c r="G852" s="6" t="s">
        <v>14</v>
      </c>
      <c r="H852" s="7" t="s">
        <v>20</v>
      </c>
      <c r="I852" s="6" t="s">
        <v>76</v>
      </c>
      <c r="J852" s="130"/>
      <c r="K852" s="148" t="s">
        <v>1882</v>
      </c>
    </row>
    <row r="853" spans="1:11" ht="28.9" customHeight="1" thickTop="1" thickBot="1" x14ac:dyDescent="0.75">
      <c r="A853" s="6">
        <v>851</v>
      </c>
      <c r="B853" s="58" t="str">
        <f>HYPERLINK("https://search.naver.com/search.naver?query=러브 송 포 바비 롱 영화", "러브 송 포 바비 롱")</f>
        <v>러브 송 포 바비 롱</v>
      </c>
      <c r="C853" s="12">
        <v>6.4</v>
      </c>
      <c r="D853" s="13" t="s">
        <v>1883</v>
      </c>
      <c r="E853" s="10" t="s">
        <v>24</v>
      </c>
      <c r="F853" s="10">
        <v>2004</v>
      </c>
      <c r="G853" s="10" t="s">
        <v>14</v>
      </c>
      <c r="H853" s="11" t="s">
        <v>20</v>
      </c>
      <c r="I853" s="10" t="s">
        <v>68</v>
      </c>
      <c r="J853" s="131"/>
      <c r="K853" s="149" t="s">
        <v>1884</v>
      </c>
    </row>
    <row r="854" spans="1:11" ht="54.3" customHeight="1" thickTop="1" thickBot="1" x14ac:dyDescent="0.75">
      <c r="A854" s="10">
        <v>852</v>
      </c>
      <c r="B854" s="115" t="s">
        <v>1885</v>
      </c>
      <c r="C854" s="116">
        <v>8.3000000000000007</v>
      </c>
      <c r="D854" s="117" t="s">
        <v>1886</v>
      </c>
      <c r="E854" s="118" t="s">
        <v>24</v>
      </c>
      <c r="F854" s="119">
        <v>2026</v>
      </c>
      <c r="G854" s="119" t="s">
        <v>20</v>
      </c>
      <c r="H854" s="120" t="s">
        <v>1887</v>
      </c>
      <c r="I854" s="118" t="s">
        <v>364</v>
      </c>
      <c r="J854" s="121" t="s">
        <v>1888</v>
      </c>
      <c r="K854" s="152" t="s">
        <v>1889</v>
      </c>
    </row>
    <row r="855" spans="1:11" ht="28.9" customHeight="1" thickTop="1" thickBot="1" x14ac:dyDescent="0.75">
      <c r="A855" s="6">
        <v>853</v>
      </c>
      <c r="B855" s="57" t="str">
        <f>HYPERLINK("https://search.naver.com/search.naver?query=러브 액츄얼리 영화", "러브 액츄얼리")</f>
        <v>러브 액츄얼리</v>
      </c>
      <c r="C855" s="8">
        <v>8.1999999999999993</v>
      </c>
      <c r="D855" s="9" t="s">
        <v>1890</v>
      </c>
      <c r="E855" s="6" t="s">
        <v>29</v>
      </c>
      <c r="F855" s="6">
        <v>2003</v>
      </c>
      <c r="G855" s="6" t="s">
        <v>14</v>
      </c>
      <c r="H855" s="7" t="s">
        <v>165</v>
      </c>
      <c r="I855" s="6" t="s">
        <v>51</v>
      </c>
      <c r="J855" s="130"/>
      <c r="K855" s="148" t="s">
        <v>1891</v>
      </c>
    </row>
    <row r="856" spans="1:11" ht="28.9" customHeight="1" thickTop="1" thickBot="1" x14ac:dyDescent="0.75">
      <c r="A856" s="10">
        <v>854</v>
      </c>
      <c r="B856" s="59" t="str">
        <f>HYPERLINK("https://search.naver.com/search.naver?query=러브 앤 아나키 시즌1", "러브 앤 아나키 시즌1")</f>
        <v>러브 앤 아나키 시즌1</v>
      </c>
      <c r="C856" s="16"/>
      <c r="D856" s="17" t="s">
        <v>1892</v>
      </c>
      <c r="E856" s="14" t="s">
        <v>1043</v>
      </c>
      <c r="F856" s="14">
        <v>2020</v>
      </c>
      <c r="G856" s="14" t="s">
        <v>20</v>
      </c>
      <c r="H856" s="15" t="s">
        <v>1893</v>
      </c>
      <c r="I856" s="14" t="s">
        <v>71</v>
      </c>
      <c r="J856" s="132"/>
      <c r="K856" s="150" t="s">
        <v>1894</v>
      </c>
    </row>
    <row r="857" spans="1:11" ht="28.9" customHeight="1" thickTop="1" thickBot="1" x14ac:dyDescent="0.75">
      <c r="A857" s="6">
        <v>855</v>
      </c>
      <c r="B857" s="57" t="str">
        <f>HYPERLINK("https://search.naver.com/search.naver?query=러브 앤 아트 영화", "러브 앤 아트")</f>
        <v>러브 앤 아트</v>
      </c>
      <c r="C857" s="8">
        <v>8.4499999999999993</v>
      </c>
      <c r="D857" s="9" t="s">
        <v>1895</v>
      </c>
      <c r="E857" s="6" t="s">
        <v>19</v>
      </c>
      <c r="F857" s="6">
        <v>2013</v>
      </c>
      <c r="G857" s="6" t="s">
        <v>14</v>
      </c>
      <c r="H857" s="7" t="s">
        <v>20</v>
      </c>
      <c r="I857" s="6" t="s">
        <v>16</v>
      </c>
      <c r="J857" s="130"/>
      <c r="K857" s="148" t="s">
        <v>1896</v>
      </c>
    </row>
    <row r="858" spans="1:11" ht="28.9" customHeight="1" thickTop="1" thickBot="1" x14ac:dyDescent="0.75">
      <c r="A858" s="10">
        <v>856</v>
      </c>
      <c r="B858" s="58" t="str">
        <f>HYPERLINK("https://search.naver.com/search.naver?query=러브 앳 영화", "러브 앳")</f>
        <v>러브 앳</v>
      </c>
      <c r="C858" s="12">
        <v>9.14</v>
      </c>
      <c r="D858" s="13" t="s">
        <v>1897</v>
      </c>
      <c r="E858" s="10" t="s">
        <v>19</v>
      </c>
      <c r="F858" s="10">
        <v>2019</v>
      </c>
      <c r="G858" s="10" t="s">
        <v>14</v>
      </c>
      <c r="H858" s="11" t="s">
        <v>20</v>
      </c>
      <c r="I858" s="10" t="s">
        <v>150</v>
      </c>
      <c r="J858" s="131"/>
      <c r="K858" s="149" t="s">
        <v>1898</v>
      </c>
    </row>
    <row r="859" spans="1:11" ht="28.9" customHeight="1" thickTop="1" thickBot="1" x14ac:dyDescent="0.75">
      <c r="A859" s="6">
        <v>857</v>
      </c>
      <c r="B859" s="57" t="str">
        <f>HYPERLINK("https://search.naver.com/search.naver?query=러브 어페어-우리가 말하는 것, 우리가 하는 것 영화", "러브 어페어-우리가 말하는 것, 우리가 하는 것")</f>
        <v>러브 어페어-우리가 말하는 것, 우리가 하는 것</v>
      </c>
      <c r="C859" s="8"/>
      <c r="D859" s="9" t="s">
        <v>1899</v>
      </c>
      <c r="E859" s="6" t="s">
        <v>310</v>
      </c>
      <c r="F859" s="6">
        <v>2021</v>
      </c>
      <c r="G859" s="6" t="s">
        <v>14</v>
      </c>
      <c r="H859" s="7" t="s">
        <v>20</v>
      </c>
      <c r="I859" s="6" t="s">
        <v>179</v>
      </c>
      <c r="J859" s="130"/>
      <c r="K859" s="148" t="s">
        <v>1900</v>
      </c>
    </row>
    <row r="860" spans="1:11" ht="28.9" customHeight="1" thickTop="1" thickBot="1" x14ac:dyDescent="0.75">
      <c r="A860" s="10">
        <v>858</v>
      </c>
      <c r="B860" s="58" t="str">
        <f>HYPERLINK("https://search.naver.com/search.naver?query=러브 인 비즈니스클래스 영화", "러브 인 비즈니스클래스")</f>
        <v>러브 인 비즈니스클래스</v>
      </c>
      <c r="C860" s="12">
        <v>7</v>
      </c>
      <c r="D860" s="13" t="s">
        <v>1901</v>
      </c>
      <c r="E860" s="10" t="s">
        <v>310</v>
      </c>
      <c r="F860" s="10">
        <v>2014</v>
      </c>
      <c r="G860" s="10" t="s">
        <v>14</v>
      </c>
      <c r="H860" s="11" t="s">
        <v>1902</v>
      </c>
      <c r="I860" s="10" t="s">
        <v>80</v>
      </c>
      <c r="J860" s="131"/>
      <c r="K860" s="149" t="s">
        <v>1903</v>
      </c>
    </row>
    <row r="861" spans="1:11" ht="28.9" customHeight="1" thickTop="1" thickBot="1" x14ac:dyDescent="0.75">
      <c r="A861" s="6">
        <v>859</v>
      </c>
      <c r="B861" s="57" t="str">
        <f>HYPERLINK("https://search.naver.com/search.naver?query=러브 인 클라우즈 영화", "러브 인 클라우즈")</f>
        <v>러브 인 클라우즈</v>
      </c>
      <c r="C861" s="8">
        <v>7.7</v>
      </c>
      <c r="D861" s="9" t="s">
        <v>1904</v>
      </c>
      <c r="E861" s="6" t="s">
        <v>29</v>
      </c>
      <c r="F861" s="6">
        <v>2008</v>
      </c>
      <c r="G861" s="6" t="s">
        <v>14</v>
      </c>
      <c r="H861" s="7" t="s">
        <v>20</v>
      </c>
      <c r="I861" s="6" t="s">
        <v>116</v>
      </c>
      <c r="J861" s="130"/>
      <c r="K861" s="148" t="s">
        <v>1905</v>
      </c>
    </row>
    <row r="862" spans="1:11" ht="28.9" customHeight="1" thickTop="1" thickBot="1" x14ac:dyDescent="0.75">
      <c r="A862" s="10">
        <v>860</v>
      </c>
      <c r="B862" s="58" t="str">
        <f>HYPERLINK("https://search.naver.com/search.naver?query=러브 인 프로방스 영화", "러브 인 프로방스")</f>
        <v>러브 인 프로방스</v>
      </c>
      <c r="C862" s="12">
        <v>8.94</v>
      </c>
      <c r="D862" s="13" t="s">
        <v>1906</v>
      </c>
      <c r="E862" s="10" t="s">
        <v>310</v>
      </c>
      <c r="F862" s="10">
        <v>2014</v>
      </c>
      <c r="G862" s="10" t="s">
        <v>14</v>
      </c>
      <c r="H862" s="11" t="s">
        <v>91</v>
      </c>
      <c r="I862" s="10" t="s">
        <v>150</v>
      </c>
      <c r="J862" s="131"/>
      <c r="K862" s="149" t="s">
        <v>1907</v>
      </c>
    </row>
    <row r="863" spans="1:11" ht="28.9" customHeight="1" thickTop="1" thickBot="1" x14ac:dyDescent="0.75">
      <c r="A863" s="6">
        <v>861</v>
      </c>
      <c r="B863" s="57" t="str">
        <f>HYPERLINK("https://search.naver.com/search.naver?query=러브 펀치 영화", "러브 펀치")</f>
        <v>러브 펀치</v>
      </c>
      <c r="C863" s="8">
        <v>7.43</v>
      </c>
      <c r="D863" s="9" t="s">
        <v>1908</v>
      </c>
      <c r="E863" s="6" t="s">
        <v>310</v>
      </c>
      <c r="F863" s="6">
        <v>2013</v>
      </c>
      <c r="G863" s="6" t="s">
        <v>14</v>
      </c>
      <c r="H863" s="7" t="s">
        <v>91</v>
      </c>
      <c r="I863" s="6" t="s">
        <v>468</v>
      </c>
      <c r="J863" s="130"/>
      <c r="K863" s="148" t="s">
        <v>1909</v>
      </c>
    </row>
    <row r="864" spans="1:11" ht="28.9" customHeight="1" thickTop="1" thickBot="1" x14ac:dyDescent="0.75">
      <c r="A864" s="10">
        <v>862</v>
      </c>
      <c r="B864" s="58" t="str">
        <f>HYPERLINK("https://search.naver.com/search.naver?query=러브, 로지 영화", "러브, 로지")</f>
        <v>러브, 로지</v>
      </c>
      <c r="C864" s="12">
        <v>7.99</v>
      </c>
      <c r="D864" s="13" t="s">
        <v>1910</v>
      </c>
      <c r="E864" s="10" t="s">
        <v>29</v>
      </c>
      <c r="F864" s="10">
        <v>2014</v>
      </c>
      <c r="G864" s="10" t="s">
        <v>14</v>
      </c>
      <c r="H864" s="11" t="s">
        <v>165</v>
      </c>
      <c r="I864" s="10" t="s">
        <v>133</v>
      </c>
      <c r="J864" s="131"/>
      <c r="K864" s="149" t="s">
        <v>1911</v>
      </c>
    </row>
    <row r="865" spans="1:11" ht="28.9" customHeight="1" thickTop="1" thickBot="1" x14ac:dyDescent="0.75">
      <c r="A865" s="6">
        <v>863</v>
      </c>
      <c r="B865" s="57" t="str">
        <f>HYPERLINK("https://search.naver.com/search.naver?query=러브, 비하인드 영화", "러브, 비하인드")</f>
        <v>러브, 비하인드</v>
      </c>
      <c r="C865" s="8">
        <v>8.1999999999999993</v>
      </c>
      <c r="D865" s="9"/>
      <c r="E865" s="6" t="s">
        <v>19</v>
      </c>
      <c r="F865" s="6">
        <v>2012</v>
      </c>
      <c r="G865" s="6" t="s">
        <v>14</v>
      </c>
      <c r="H865" s="7" t="s">
        <v>20</v>
      </c>
      <c r="I865" s="6" t="s">
        <v>150</v>
      </c>
      <c r="J865" s="130"/>
      <c r="K865" s="148" t="s">
        <v>1912</v>
      </c>
    </row>
    <row r="866" spans="1:11" ht="28.9" customHeight="1" thickTop="1" thickBot="1" x14ac:dyDescent="0.75">
      <c r="A866" s="10">
        <v>864</v>
      </c>
      <c r="B866" s="58" t="str">
        <f>HYPERLINK("https://search.naver.com/search.naver?query=러브, 어게인 영화", "러브, 어게인")</f>
        <v>러브, 어게인</v>
      </c>
      <c r="C866" s="12">
        <v>8.31</v>
      </c>
      <c r="D866" s="13" t="s">
        <v>1913</v>
      </c>
      <c r="E866" s="10" t="s">
        <v>24</v>
      </c>
      <c r="F866" s="10">
        <v>2017</v>
      </c>
      <c r="G866" s="10" t="s">
        <v>14</v>
      </c>
      <c r="H866" s="11" t="s">
        <v>165</v>
      </c>
      <c r="I866" s="10" t="s">
        <v>169</v>
      </c>
      <c r="J866" s="131"/>
      <c r="K866" s="149" t="s">
        <v>1914</v>
      </c>
    </row>
    <row r="867" spans="1:11" ht="28.9" customHeight="1" thickTop="1" thickBot="1" x14ac:dyDescent="0.75">
      <c r="A867" s="6">
        <v>865</v>
      </c>
      <c r="B867" s="57" t="str">
        <f>HYPERLINK("https://search.naver.com/search.naver?query=러블리 본즈 영화", "러블리 본즈")</f>
        <v>러블리 본즈</v>
      </c>
      <c r="C867" s="8">
        <v>6.84</v>
      </c>
      <c r="D867" s="9" t="s">
        <v>1915</v>
      </c>
      <c r="E867" s="6" t="s">
        <v>24</v>
      </c>
      <c r="F867" s="6">
        <v>2009</v>
      </c>
      <c r="G867" s="6" t="s">
        <v>14</v>
      </c>
      <c r="H867" s="7" t="s">
        <v>20</v>
      </c>
      <c r="I867" s="6" t="s">
        <v>51</v>
      </c>
      <c r="J867" s="130"/>
      <c r="K867" s="148" t="s">
        <v>1916</v>
      </c>
    </row>
    <row r="868" spans="1:11" ht="28.9" customHeight="1" thickTop="1" thickBot="1" x14ac:dyDescent="0.75">
      <c r="A868" s="10">
        <v>866</v>
      </c>
      <c r="B868" s="58" t="str">
        <f>HYPERLINK("https://search.naver.com/search.naver?query=러빙 영화", "러빙")</f>
        <v>러빙</v>
      </c>
      <c r="C868" s="12">
        <v>8.2200000000000006</v>
      </c>
      <c r="D868" s="13" t="s">
        <v>1917</v>
      </c>
      <c r="E868" s="10" t="s">
        <v>24</v>
      </c>
      <c r="F868" s="10">
        <v>2016</v>
      </c>
      <c r="G868" s="10" t="s">
        <v>14</v>
      </c>
      <c r="H868" s="11" t="s">
        <v>20</v>
      </c>
      <c r="I868" s="10" t="s">
        <v>76</v>
      </c>
      <c r="J868" s="131"/>
      <c r="K868" s="149" t="s">
        <v>1918</v>
      </c>
    </row>
    <row r="869" spans="1:11" ht="28.9" customHeight="1" thickTop="1" thickBot="1" x14ac:dyDescent="0.75">
      <c r="A869" s="6">
        <v>867</v>
      </c>
      <c r="B869" s="57" t="str">
        <f>HYPERLINK("https://search.naver.com/search.naver?query=러스트 크릭 영화", "러스트 크릭")</f>
        <v>러스트 크릭</v>
      </c>
      <c r="C869" s="8">
        <v>6.4</v>
      </c>
      <c r="D869" s="9" t="s">
        <v>1919</v>
      </c>
      <c r="E869" s="6" t="s">
        <v>24</v>
      </c>
      <c r="F869" s="6">
        <v>2018</v>
      </c>
      <c r="G869" s="6" t="s">
        <v>14</v>
      </c>
      <c r="H869" s="7" t="s">
        <v>54</v>
      </c>
      <c r="I869" s="6" t="s">
        <v>38</v>
      </c>
      <c r="J869" s="130"/>
      <c r="K869" s="148" t="s">
        <v>1920</v>
      </c>
    </row>
    <row r="870" spans="1:11" ht="28.9" customHeight="1" thickTop="1" thickBot="1" x14ac:dyDescent="0.75">
      <c r="A870" s="10">
        <v>868</v>
      </c>
      <c r="B870" s="58" t="str">
        <f>HYPERLINK("https://search.naver.com/search.naver?query=러시 - 더 라이벌 영화", "러시 - 더 라이벌")</f>
        <v>러시 - 더 라이벌</v>
      </c>
      <c r="C870" s="12">
        <v>6.4</v>
      </c>
      <c r="D870" s="13" t="s">
        <v>1921</v>
      </c>
      <c r="E870" s="10" t="s">
        <v>29</v>
      </c>
      <c r="F870" s="10">
        <v>2013</v>
      </c>
      <c r="G870" s="10" t="s">
        <v>14</v>
      </c>
      <c r="H870" s="11" t="s">
        <v>124</v>
      </c>
      <c r="I870" s="10" t="s">
        <v>76</v>
      </c>
      <c r="J870" s="131"/>
      <c r="K870" s="149" t="s">
        <v>1922</v>
      </c>
    </row>
    <row r="871" spans="1:11" ht="28.9" customHeight="1" thickTop="1" thickBot="1" x14ac:dyDescent="0.75">
      <c r="A871" s="6">
        <v>869</v>
      </c>
      <c r="B871" s="57" t="str">
        <f>HYPERLINK("https://search.naver.com/search.naver?query=럭키 넘버 슬레븐 영화", "럭키 넘버 슬레븐")</f>
        <v>럭키 넘버 슬레븐</v>
      </c>
      <c r="C871" s="8">
        <v>8.2200000000000006</v>
      </c>
      <c r="D871" s="9" t="s">
        <v>1923</v>
      </c>
      <c r="E871" s="6" t="s">
        <v>24</v>
      </c>
      <c r="F871" s="6">
        <v>2006</v>
      </c>
      <c r="G871" s="6" t="s">
        <v>14</v>
      </c>
      <c r="H871" s="7" t="s">
        <v>428</v>
      </c>
      <c r="I871" s="6" t="s">
        <v>129</v>
      </c>
      <c r="J871" s="130"/>
      <c r="K871" s="148" t="s">
        <v>1924</v>
      </c>
    </row>
    <row r="872" spans="1:11" ht="28.9" customHeight="1" thickTop="1" thickBot="1" x14ac:dyDescent="0.75">
      <c r="A872" s="10">
        <v>870</v>
      </c>
      <c r="B872" s="58" t="str">
        <f>HYPERLINK("https://search.naver.com/search.naver?query=런 영화", "런")</f>
        <v>런</v>
      </c>
      <c r="C872" s="12">
        <v>3.32</v>
      </c>
      <c r="D872" s="13" t="s">
        <v>1925</v>
      </c>
      <c r="E872" s="10" t="s">
        <v>24</v>
      </c>
      <c r="F872" s="10">
        <v>2020</v>
      </c>
      <c r="G872" s="10" t="s">
        <v>14</v>
      </c>
      <c r="H872" s="11" t="s">
        <v>54</v>
      </c>
      <c r="I872" s="10" t="s">
        <v>156</v>
      </c>
      <c r="J872" s="131"/>
      <c r="K872" s="149" t="s">
        <v>1926</v>
      </c>
    </row>
    <row r="873" spans="1:11" ht="28.9" customHeight="1" thickTop="1" thickBot="1" x14ac:dyDescent="0.75">
      <c r="A873" s="6">
        <v>871</v>
      </c>
      <c r="B873" s="57" t="str">
        <f>HYPERLINK("https://search.naver.com/search.naver?query=런 올 나이트 영화", "런 올 나이트")</f>
        <v>런 올 나이트</v>
      </c>
      <c r="C873" s="8">
        <v>7.94</v>
      </c>
      <c r="D873" s="9" t="s">
        <v>1927</v>
      </c>
      <c r="E873" s="6" t="s">
        <v>24</v>
      </c>
      <c r="F873" s="6">
        <v>2015</v>
      </c>
      <c r="G873" s="6" t="s">
        <v>14</v>
      </c>
      <c r="H873" s="7" t="s">
        <v>124</v>
      </c>
      <c r="I873" s="6" t="s">
        <v>305</v>
      </c>
      <c r="J873" s="130"/>
      <c r="K873" s="148" t="s">
        <v>1928</v>
      </c>
    </row>
    <row r="874" spans="1:11" ht="28.9" customHeight="1" thickTop="1" thickBot="1" x14ac:dyDescent="0.75">
      <c r="A874" s="10">
        <v>872</v>
      </c>
      <c r="B874" s="58" t="str">
        <f>HYPERLINK("https://search.naver.com/search.naver?query=영화런닝맨", "런닝맨")</f>
        <v>런닝맨</v>
      </c>
      <c r="C874" s="12"/>
      <c r="D874" s="13" t="s">
        <v>1929</v>
      </c>
      <c r="E874" s="10" t="s">
        <v>13</v>
      </c>
      <c r="F874" s="10">
        <v>2013</v>
      </c>
      <c r="G874" s="10" t="s">
        <v>14</v>
      </c>
      <c r="H874" s="11" t="s">
        <v>124</v>
      </c>
      <c r="I874" s="10" t="s">
        <v>210</v>
      </c>
      <c r="J874" s="131"/>
      <c r="K874" s="149" t="s">
        <v>1930</v>
      </c>
    </row>
    <row r="875" spans="1:11" ht="28.9" customHeight="1" thickTop="1" thickBot="1" x14ac:dyDescent="0.75">
      <c r="A875" s="6">
        <v>873</v>
      </c>
      <c r="B875" s="57" t="str">
        <f>HYPERLINK("https://search.naver.com/search.naver?query=런던 블러바드 영화", "런던 블러바드")</f>
        <v>런던 블러바드</v>
      </c>
      <c r="C875" s="8">
        <v>5.91</v>
      </c>
      <c r="D875" s="9" t="s">
        <v>1931</v>
      </c>
      <c r="E875" s="6" t="s">
        <v>29</v>
      </c>
      <c r="F875" s="6">
        <v>2012</v>
      </c>
      <c r="G875" s="6" t="s">
        <v>14</v>
      </c>
      <c r="H875" s="7" t="s">
        <v>428</v>
      </c>
      <c r="I875" s="6" t="s">
        <v>276</v>
      </c>
      <c r="J875" s="130"/>
      <c r="K875" s="148" t="s">
        <v>1932</v>
      </c>
    </row>
    <row r="876" spans="1:11" ht="28.9" customHeight="1" thickTop="1" thickBot="1" x14ac:dyDescent="0.75">
      <c r="A876" s="10">
        <v>874</v>
      </c>
      <c r="B876" s="58" t="str">
        <f>HYPERLINK("https://search.naver.com/search.naver?query=런던 프라이드 영화", "런던 프라이드")</f>
        <v>런던 프라이드</v>
      </c>
      <c r="C876" s="12">
        <v>9.07</v>
      </c>
      <c r="D876" s="13" t="s">
        <v>1933</v>
      </c>
      <c r="E876" s="10" t="s">
        <v>29</v>
      </c>
      <c r="F876" s="10">
        <v>2014</v>
      </c>
      <c r="G876" s="10" t="s">
        <v>14</v>
      </c>
      <c r="H876" s="11" t="s">
        <v>20</v>
      </c>
      <c r="I876" s="10" t="s">
        <v>116</v>
      </c>
      <c r="J876" s="131"/>
      <c r="K876" s="149" t="s">
        <v>1934</v>
      </c>
    </row>
    <row r="877" spans="1:11" ht="28.9" customHeight="1" thickTop="1" thickBot="1" x14ac:dyDescent="0.75">
      <c r="A877" s="6">
        <v>875</v>
      </c>
      <c r="B877" s="57" t="str">
        <f>HYPERLINK("https://search.naver.com/search.naver?query=런던 해즈 폴른 영화", "런던 해즈 폴른")</f>
        <v>런던 해즈 폴른</v>
      </c>
      <c r="C877" s="8">
        <v>8.4700000000000006</v>
      </c>
      <c r="D877" s="9" t="s">
        <v>1935</v>
      </c>
      <c r="E877" s="6" t="s">
        <v>24</v>
      </c>
      <c r="F877" s="6">
        <v>2016</v>
      </c>
      <c r="G877" s="6" t="s">
        <v>14</v>
      </c>
      <c r="H877" s="7" t="s">
        <v>124</v>
      </c>
      <c r="I877" s="6" t="s">
        <v>109</v>
      </c>
      <c r="J877" s="130"/>
      <c r="K877" s="148" t="s">
        <v>1936</v>
      </c>
    </row>
    <row r="878" spans="1:11" ht="28.9" customHeight="1" thickTop="1" thickBot="1" x14ac:dyDescent="0.75">
      <c r="A878" s="10">
        <v>876</v>
      </c>
      <c r="B878" s="58" t="str">
        <f>HYPERLINK("https://search.naver.com/search.naver?query=런던시계탑 밑에서 사랑을 찾을 확률 영화", "런던시계탑 밑에서 사랑을 찾을 확률")</f>
        <v>런던시계탑 밑에서 사랑을 찾을 확률</v>
      </c>
      <c r="C878" s="12">
        <v>8.69</v>
      </c>
      <c r="D878" s="13" t="s">
        <v>1937</v>
      </c>
      <c r="E878" s="10" t="s">
        <v>29</v>
      </c>
      <c r="F878" s="10">
        <v>2016</v>
      </c>
      <c r="G878" s="10" t="s">
        <v>14</v>
      </c>
      <c r="H878" s="11" t="s">
        <v>91</v>
      </c>
      <c r="I878" s="10" t="s">
        <v>345</v>
      </c>
      <c r="J878" s="131"/>
      <c r="K878" s="149" t="s">
        <v>1938</v>
      </c>
    </row>
    <row r="879" spans="1:11" ht="28.9" customHeight="1" thickTop="1" thickBot="1" x14ac:dyDescent="0.75">
      <c r="A879" s="6">
        <v>877</v>
      </c>
      <c r="B879" s="57" t="str">
        <f>HYPERLINK("https://search.naver.com/search.naver?query=런어웨이 영화", "런어웨이")</f>
        <v>런어웨이</v>
      </c>
      <c r="C879" s="8">
        <v>8.32</v>
      </c>
      <c r="D879" s="9" t="s">
        <v>1939</v>
      </c>
      <c r="E879" s="6" t="s">
        <v>24</v>
      </c>
      <c r="F879" s="6">
        <v>2003</v>
      </c>
      <c r="G879" s="6" t="s">
        <v>14</v>
      </c>
      <c r="H879" s="7" t="s">
        <v>20</v>
      </c>
      <c r="I879" s="6" t="s">
        <v>16</v>
      </c>
      <c r="J879" s="130"/>
      <c r="K879" s="148" t="s">
        <v>1940</v>
      </c>
    </row>
    <row r="880" spans="1:11" ht="28.9" customHeight="1" thickTop="1" thickBot="1" x14ac:dyDescent="0.75">
      <c r="A880" s="10">
        <v>878</v>
      </c>
      <c r="B880" s="58" t="str">
        <f>HYPERLINK("https://search.naver.com/search.naver?query=런치박스 영화", "런치박스")</f>
        <v>런치박스</v>
      </c>
      <c r="C880" s="12">
        <v>8.65</v>
      </c>
      <c r="D880" s="13" t="s">
        <v>1941</v>
      </c>
      <c r="E880" s="10" t="s">
        <v>581</v>
      </c>
      <c r="F880" s="10">
        <v>2013</v>
      </c>
      <c r="G880" s="10" t="s">
        <v>14</v>
      </c>
      <c r="H880" s="11" t="s">
        <v>20</v>
      </c>
      <c r="I880" s="10" t="s">
        <v>242</v>
      </c>
      <c r="J880" s="131"/>
      <c r="K880" s="149" t="s">
        <v>1942</v>
      </c>
    </row>
    <row r="881" spans="1:11" ht="28.9" customHeight="1" thickTop="1" thickBot="1" x14ac:dyDescent="0.75">
      <c r="A881" s="6">
        <v>879</v>
      </c>
      <c r="B881" s="57" t="str">
        <f>HYPERLINK("https://search.naver.com/search.naver?query=럼 다이어리 영화", "럼 다이어리")</f>
        <v>럼 다이어리</v>
      </c>
      <c r="C881" s="8">
        <v>6.1</v>
      </c>
      <c r="D881" s="9" t="s">
        <v>1943</v>
      </c>
      <c r="E881" s="6" t="s">
        <v>24</v>
      </c>
      <c r="F881" s="6">
        <v>2011</v>
      </c>
      <c r="G881" s="6" t="s">
        <v>14</v>
      </c>
      <c r="H881" s="7" t="s">
        <v>91</v>
      </c>
      <c r="I881" s="6" t="s">
        <v>68</v>
      </c>
      <c r="J881" s="130"/>
      <c r="K881" s="148" t="s">
        <v>1944</v>
      </c>
    </row>
    <row r="882" spans="1:11" ht="28.9" customHeight="1" thickTop="1" thickBot="1" x14ac:dyDescent="0.75">
      <c r="A882" s="10">
        <v>880</v>
      </c>
      <c r="B882" s="58" t="str">
        <f>HYPERLINK("https://search.naver.com/search.naver?query=레거시 오브 라이즈 영화", "레거시 오브 라이즈")</f>
        <v>레거시 오브 라이즈</v>
      </c>
      <c r="C882" s="12">
        <v>4.46</v>
      </c>
      <c r="D882" s="13" t="s">
        <v>1945</v>
      </c>
      <c r="E882" s="10" t="s">
        <v>29</v>
      </c>
      <c r="F882" s="10">
        <v>2020</v>
      </c>
      <c r="G882" s="10" t="s">
        <v>14</v>
      </c>
      <c r="H882" s="11" t="s">
        <v>124</v>
      </c>
      <c r="I882" s="10" t="s">
        <v>179</v>
      </c>
      <c r="J882" s="131"/>
      <c r="K882" s="149" t="s">
        <v>1946</v>
      </c>
    </row>
    <row r="883" spans="1:11" ht="28.9" customHeight="1" thickTop="1" thickBot="1" x14ac:dyDescent="0.75">
      <c r="A883" s="6">
        <v>881</v>
      </c>
      <c r="B883" s="57" t="str">
        <f>HYPERLINK("https://search.naver.com/search.naver?query=레드 - 더 레전드 영화", "레드 - 더 레전드")</f>
        <v>레드 - 더 레전드</v>
      </c>
      <c r="C883" s="8"/>
      <c r="D883" s="9" t="s">
        <v>1947</v>
      </c>
      <c r="E883" s="6" t="s">
        <v>24</v>
      </c>
      <c r="F883" s="6">
        <v>2013</v>
      </c>
      <c r="G883" s="6" t="s">
        <v>14</v>
      </c>
      <c r="H883" s="7" t="s">
        <v>124</v>
      </c>
      <c r="I883" s="6" t="s">
        <v>60</v>
      </c>
      <c r="J883" s="130"/>
      <c r="K883" s="148" t="s">
        <v>1948</v>
      </c>
    </row>
    <row r="884" spans="1:11" ht="28.9" customHeight="1" thickTop="1" thickBot="1" x14ac:dyDescent="0.75">
      <c r="A884" s="10">
        <v>882</v>
      </c>
      <c r="B884" s="58" t="str">
        <f>HYPERLINK("https://search.naver.com/search.naver?query=레드 노티스 영화", "레드 노티스")</f>
        <v>레드 노티스</v>
      </c>
      <c r="C884" s="12">
        <v>6.6</v>
      </c>
      <c r="D884" s="13" t="s">
        <v>1949</v>
      </c>
      <c r="E884" s="10" t="s">
        <v>24</v>
      </c>
      <c r="F884" s="10">
        <v>2021</v>
      </c>
      <c r="G884" s="10" t="s">
        <v>14</v>
      </c>
      <c r="H884" s="11" t="s">
        <v>124</v>
      </c>
      <c r="I884" s="10" t="s">
        <v>329</v>
      </c>
      <c r="J884" s="131"/>
      <c r="K884" s="149" t="s">
        <v>1950</v>
      </c>
    </row>
    <row r="885" spans="1:11" ht="28.9" customHeight="1" thickTop="1" thickBot="1" x14ac:dyDescent="0.75">
      <c r="A885" s="6">
        <v>883</v>
      </c>
      <c r="B885" s="57" t="str">
        <f>HYPERLINK("https://search.naver.com/search.naver?query=레드 닷 영화", "레드 닷")</f>
        <v>레드 닷</v>
      </c>
      <c r="C885" s="8">
        <v>5.7</v>
      </c>
      <c r="D885" s="9" t="s">
        <v>1951</v>
      </c>
      <c r="E885" s="6" t="s">
        <v>1043</v>
      </c>
      <c r="F885" s="6">
        <v>2021</v>
      </c>
      <c r="G885" s="6" t="s">
        <v>14</v>
      </c>
      <c r="H885" s="7" t="s">
        <v>54</v>
      </c>
      <c r="I885" s="6" t="s">
        <v>46</v>
      </c>
      <c r="J885" s="130"/>
      <c r="K885" s="148" t="s">
        <v>1952</v>
      </c>
    </row>
    <row r="886" spans="1:11" ht="28.9" customHeight="1" thickTop="1" thickBot="1" x14ac:dyDescent="0.75">
      <c r="A886" s="10">
        <v>884</v>
      </c>
      <c r="B886" s="58" t="str">
        <f>HYPERLINK("https://search.naver.com/search.naver?query=레드 드래곤 영화", "레드 드래곤")</f>
        <v>레드 드래곤</v>
      </c>
      <c r="C886" s="12">
        <v>8.5299999999999994</v>
      </c>
      <c r="D886" s="13" t="s">
        <v>1953</v>
      </c>
      <c r="E886" s="10" t="s">
        <v>24</v>
      </c>
      <c r="F886" s="10">
        <v>2002</v>
      </c>
      <c r="G886" s="10" t="s">
        <v>14</v>
      </c>
      <c r="H886" s="11" t="s">
        <v>428</v>
      </c>
      <c r="I886" s="10" t="s">
        <v>183</v>
      </c>
      <c r="J886" s="131"/>
      <c r="K886" s="149" t="s">
        <v>1954</v>
      </c>
    </row>
    <row r="887" spans="1:11" ht="28.9" customHeight="1" thickTop="1" thickBot="1" x14ac:dyDescent="0.75">
      <c r="A887" s="6">
        <v>885</v>
      </c>
      <c r="B887" s="57" t="str">
        <f>HYPERLINK("https://search.naver.com/search.naver?query=레드 바론 영화", "레드 바론")</f>
        <v>레드 바론</v>
      </c>
      <c r="C887" s="8">
        <v>7.75</v>
      </c>
      <c r="D887" s="9" t="s">
        <v>1955</v>
      </c>
      <c r="E887" s="6" t="s">
        <v>136</v>
      </c>
      <c r="F887" s="6">
        <v>2008</v>
      </c>
      <c r="G887" s="6" t="s">
        <v>14</v>
      </c>
      <c r="H887" s="7" t="s">
        <v>1247</v>
      </c>
      <c r="I887" s="6" t="s">
        <v>443</v>
      </c>
      <c r="J887" s="130"/>
      <c r="K887" s="148" t="s">
        <v>1956</v>
      </c>
    </row>
    <row r="888" spans="1:11" ht="28.9" customHeight="1" thickTop="1" thickBot="1" x14ac:dyDescent="0.75">
      <c r="A888" s="10">
        <v>886</v>
      </c>
      <c r="B888" s="58" t="str">
        <f>HYPERLINK("https://search.naver.com/search.naver?query=레드 스패로 영화", "레드 스패로")</f>
        <v>레드 스패로</v>
      </c>
      <c r="C888" s="12">
        <v>8.58</v>
      </c>
      <c r="D888" s="13" t="s">
        <v>1957</v>
      </c>
      <c r="E888" s="10" t="s">
        <v>24</v>
      </c>
      <c r="F888" s="10">
        <v>2018</v>
      </c>
      <c r="G888" s="10" t="s">
        <v>14</v>
      </c>
      <c r="H888" s="11" t="s">
        <v>54</v>
      </c>
      <c r="I888" s="10" t="s">
        <v>930</v>
      </c>
      <c r="J888" s="131"/>
      <c r="K888" s="149" t="s">
        <v>1958</v>
      </c>
    </row>
    <row r="889" spans="1:11" ht="28.9" customHeight="1" thickTop="1" thickBot="1" x14ac:dyDescent="0.75">
      <c r="A889" s="6">
        <v>887</v>
      </c>
      <c r="B889" s="57" t="str">
        <f>HYPERLINK("https://search.naver.com/search.naver?query=레드라이트 영화", "레드라이트")</f>
        <v>레드라이트</v>
      </c>
      <c r="C889" s="8">
        <v>7.25</v>
      </c>
      <c r="D889" s="9" t="s">
        <v>1959</v>
      </c>
      <c r="E889" s="6" t="s">
        <v>24</v>
      </c>
      <c r="F889" s="6">
        <v>2012</v>
      </c>
      <c r="G889" s="6" t="s">
        <v>14</v>
      </c>
      <c r="H889" s="7" t="s">
        <v>54</v>
      </c>
      <c r="I889" s="6" t="s">
        <v>98</v>
      </c>
      <c r="J889" s="130"/>
      <c r="K889" s="148" t="s">
        <v>1960</v>
      </c>
    </row>
    <row r="890" spans="1:11" ht="28.9" customHeight="1" thickTop="1" thickBot="1" x14ac:dyDescent="0.75">
      <c r="A890" s="10">
        <v>888</v>
      </c>
      <c r="B890" s="58" t="str">
        <f>HYPERLINK("https://search.naver.com/search.naver?query=레드테일스 영화", "레드테일스")</f>
        <v>레드테일스</v>
      </c>
      <c r="C890" s="12"/>
      <c r="D890" s="13" t="s">
        <v>1961</v>
      </c>
      <c r="E890" s="10" t="s">
        <v>24</v>
      </c>
      <c r="F890" s="10">
        <v>2012</v>
      </c>
      <c r="G890" s="10" t="s">
        <v>14</v>
      </c>
      <c r="H890" s="11" t="s">
        <v>1247</v>
      </c>
      <c r="I890" s="10" t="s">
        <v>316</v>
      </c>
      <c r="J890" s="131"/>
      <c r="K890" s="149" t="s">
        <v>1962</v>
      </c>
    </row>
    <row r="891" spans="1:11" ht="28.9" customHeight="1" thickTop="1" thickBot="1" x14ac:dyDescent="0.75">
      <c r="A891" s="6">
        <v>889</v>
      </c>
      <c r="B891" s="57" t="str">
        <f>HYPERLINK("https://search.naver.com/search.naver?query=레디 오어 낫 영화", "레디 오어 낫")</f>
        <v>레디 오어 낫</v>
      </c>
      <c r="C891" s="8"/>
      <c r="D891" s="9" t="s">
        <v>1963</v>
      </c>
      <c r="E891" s="6" t="s">
        <v>24</v>
      </c>
      <c r="F891" s="6">
        <v>2019</v>
      </c>
      <c r="G891" s="6" t="s">
        <v>14</v>
      </c>
      <c r="H891" s="7" t="s">
        <v>382</v>
      </c>
      <c r="I891" s="6" t="s">
        <v>150</v>
      </c>
      <c r="J891" s="130"/>
      <c r="K891" s="148" t="s">
        <v>1964</v>
      </c>
    </row>
    <row r="892" spans="1:11" ht="28.9" customHeight="1" thickTop="1" thickBot="1" x14ac:dyDescent="0.75">
      <c r="A892" s="10">
        <v>890</v>
      </c>
      <c r="B892" s="58" t="str">
        <f>HYPERLINK("https://search.naver.com/search.naver?query=레디 플레이어 원 영화", "레디 플레이어 원")</f>
        <v>레디 플레이어 원</v>
      </c>
      <c r="C892" s="12">
        <v>8.7200000000000006</v>
      </c>
      <c r="D892" s="13" t="s">
        <v>1965</v>
      </c>
      <c r="E892" s="10" t="s">
        <v>24</v>
      </c>
      <c r="F892" s="10">
        <v>2018</v>
      </c>
      <c r="G892" s="10" t="s">
        <v>14</v>
      </c>
      <c r="H892" s="11" t="s">
        <v>877</v>
      </c>
      <c r="I892" s="10" t="s">
        <v>930</v>
      </c>
      <c r="J892" s="131"/>
      <c r="K892" s="149" t="s">
        <v>1966</v>
      </c>
    </row>
    <row r="893" spans="1:11" ht="28.9" customHeight="1" thickTop="1" thickBot="1" x14ac:dyDescent="0.75">
      <c r="A893" s="6">
        <v>891</v>
      </c>
      <c r="B893" s="57" t="str">
        <f>HYPERLINK("https://search.naver.com/search.naver?query=레미니센스 영화", "레미니센스")</f>
        <v>레미니센스</v>
      </c>
      <c r="C893" s="8">
        <v>6.68</v>
      </c>
      <c r="D893" s="9" t="s">
        <v>1967</v>
      </c>
      <c r="E893" s="6" t="s">
        <v>24</v>
      </c>
      <c r="F893" s="6">
        <v>2021</v>
      </c>
      <c r="G893" s="6" t="s">
        <v>14</v>
      </c>
      <c r="H893" s="7" t="s">
        <v>877</v>
      </c>
      <c r="I893" s="6" t="s">
        <v>591</v>
      </c>
      <c r="J893" s="130"/>
      <c r="K893" s="148" t="s">
        <v>1968</v>
      </c>
    </row>
    <row r="894" spans="1:11" ht="28.9" customHeight="1" thickTop="1" thickBot="1" x14ac:dyDescent="0.75">
      <c r="A894" s="10">
        <v>892</v>
      </c>
      <c r="B894" s="58" t="str">
        <f>HYPERLINK("https://search.naver.com/search.naver?query=레미-집 없는 아이 영화", "레미-집 없는 아이")</f>
        <v>레미-집 없는 아이</v>
      </c>
      <c r="C894" s="12"/>
      <c r="D894" s="13" t="s">
        <v>1969</v>
      </c>
      <c r="E894" s="10" t="s">
        <v>310</v>
      </c>
      <c r="F894" s="10">
        <v>2018</v>
      </c>
      <c r="G894" s="10" t="s">
        <v>14</v>
      </c>
      <c r="H894" s="11" t="s">
        <v>20</v>
      </c>
      <c r="I894" s="10" t="s">
        <v>187</v>
      </c>
      <c r="J894" s="131"/>
      <c r="K894" s="149" t="s">
        <v>1970</v>
      </c>
    </row>
    <row r="895" spans="1:11" ht="28.9" customHeight="1" thickTop="1" thickBot="1" x14ac:dyDescent="0.75">
      <c r="A895" s="6">
        <v>893</v>
      </c>
      <c r="B895" s="57" t="str">
        <f>HYPERLINK("https://search.naver.com/search.naver?query=레버넌트 - 죽음에서 돌아온 자 영화", "레버넌트 - 죽음에서 돌아온 자")</f>
        <v>레버넌트 - 죽음에서 돌아온 자</v>
      </c>
      <c r="C895" s="8"/>
      <c r="D895" s="9" t="s">
        <v>1971</v>
      </c>
      <c r="E895" s="6" t="s">
        <v>24</v>
      </c>
      <c r="F895" s="6">
        <v>2015</v>
      </c>
      <c r="G895" s="6" t="s">
        <v>14</v>
      </c>
      <c r="H895" s="7" t="s">
        <v>124</v>
      </c>
      <c r="I895" s="6" t="s">
        <v>465</v>
      </c>
      <c r="J895" s="130"/>
      <c r="K895" s="148" t="s">
        <v>1972</v>
      </c>
    </row>
    <row r="896" spans="1:11" ht="28.9" customHeight="1" thickTop="1" thickBot="1" x14ac:dyDescent="0.75">
      <c r="A896" s="10">
        <v>894</v>
      </c>
      <c r="B896" s="58" t="str">
        <f>HYPERLINK("https://search.naver.com/search.naver?query=레베카 영화", "레베카")</f>
        <v>레베카</v>
      </c>
      <c r="C896" s="12">
        <v>6.71</v>
      </c>
      <c r="D896" s="13" t="s">
        <v>1973</v>
      </c>
      <c r="E896" s="10" t="s">
        <v>29</v>
      </c>
      <c r="F896" s="10">
        <v>2020</v>
      </c>
      <c r="G896" s="10" t="s">
        <v>14</v>
      </c>
      <c r="H896" s="11" t="s">
        <v>20</v>
      </c>
      <c r="I896" s="10" t="s">
        <v>195</v>
      </c>
      <c r="J896" s="131"/>
      <c r="K896" s="149" t="s">
        <v>1974</v>
      </c>
    </row>
    <row r="897" spans="1:11" ht="28.9" customHeight="1" thickTop="1" thickBot="1" x14ac:dyDescent="0.75">
      <c r="A897" s="6">
        <v>895</v>
      </c>
      <c r="B897" s="57" t="str">
        <f>HYPERLINK("https://search.naver.com/search.naver?query=레벨 16 영화", "레벨 16")</f>
        <v>레벨 16</v>
      </c>
      <c r="C897" s="8">
        <v>6.51</v>
      </c>
      <c r="D897" s="9" t="s">
        <v>1975</v>
      </c>
      <c r="E897" s="6" t="s">
        <v>275</v>
      </c>
      <c r="F897" s="6">
        <v>2018</v>
      </c>
      <c r="G897" s="6" t="s">
        <v>14</v>
      </c>
      <c r="H897" s="7" t="s">
        <v>877</v>
      </c>
      <c r="I897" s="6" t="s">
        <v>133</v>
      </c>
      <c r="J897" s="130"/>
      <c r="K897" s="148" t="s">
        <v>1976</v>
      </c>
    </row>
    <row r="898" spans="1:11" ht="28.9" customHeight="1" thickTop="1" thickBot="1" x14ac:dyDescent="0.75">
      <c r="A898" s="10">
        <v>896</v>
      </c>
      <c r="B898" s="60" t="str">
        <f>HYPERLINK("https://search.naver.com/search.naver?query=레스큐 돈 영화", "레스큐 돈")</f>
        <v>레스큐 돈</v>
      </c>
      <c r="C898" s="34">
        <v>6.4</v>
      </c>
      <c r="D898" s="38" t="s">
        <v>1977</v>
      </c>
      <c r="E898" s="44" t="s">
        <v>24</v>
      </c>
      <c r="F898" s="46">
        <v>2006</v>
      </c>
      <c r="G898" s="46" t="s">
        <v>14</v>
      </c>
      <c r="H898" s="52" t="s">
        <v>124</v>
      </c>
      <c r="I898" s="54" t="s">
        <v>316</v>
      </c>
      <c r="J898" s="133"/>
      <c r="K898" s="153" t="s">
        <v>1978</v>
      </c>
    </row>
    <row r="899" spans="1:11" ht="28.9" customHeight="1" thickTop="1" thickBot="1" x14ac:dyDescent="0.75">
      <c r="A899" s="6">
        <v>897</v>
      </c>
      <c r="B899" s="57" t="str">
        <f>HYPERLINK("https://search.naver.com/search.naver?query=레슬러 영화", "레슬러")</f>
        <v>레슬러</v>
      </c>
      <c r="C899" s="8">
        <v>6.4</v>
      </c>
      <c r="D899" s="9" t="s">
        <v>1979</v>
      </c>
      <c r="E899" s="6" t="s">
        <v>19</v>
      </c>
      <c r="F899" s="6">
        <v>2017</v>
      </c>
      <c r="G899" s="6" t="s">
        <v>14</v>
      </c>
      <c r="H899" s="7" t="s">
        <v>20</v>
      </c>
      <c r="I899" s="6" t="s">
        <v>129</v>
      </c>
      <c r="J899" s="130"/>
      <c r="K899" s="148" t="s">
        <v>1980</v>
      </c>
    </row>
    <row r="900" spans="1:11" ht="28.9" customHeight="1" thickTop="1" thickBot="1" x14ac:dyDescent="0.75">
      <c r="A900" s="10">
        <v>898</v>
      </c>
      <c r="B900" s="57" t="str">
        <f>HYPERLINK("https://search.naver.com/search.naver?query=레옹 영화", "레옹")</f>
        <v>레옹</v>
      </c>
      <c r="C900" s="30">
        <v>8.73</v>
      </c>
      <c r="D900" s="9" t="s">
        <v>1981</v>
      </c>
      <c r="E900" s="43" t="s">
        <v>1982</v>
      </c>
      <c r="F900" s="43">
        <v>1995</v>
      </c>
      <c r="G900" s="43" t="s">
        <v>14</v>
      </c>
      <c r="H900" s="51" t="s">
        <v>428</v>
      </c>
      <c r="I900" s="43" t="s">
        <v>558</v>
      </c>
      <c r="J900" s="130"/>
      <c r="K900" s="148" t="s">
        <v>1983</v>
      </c>
    </row>
    <row r="901" spans="1:11" ht="28.9" customHeight="1" thickTop="1" thickBot="1" x14ac:dyDescent="0.75">
      <c r="A901" s="6">
        <v>899</v>
      </c>
      <c r="B901" s="58" t="str">
        <f>HYPERLINK("https://search.naver.com/search.naver?query=레이 영화", "레이")</f>
        <v>레이</v>
      </c>
      <c r="C901" s="12"/>
      <c r="D901" s="13" t="s">
        <v>1984</v>
      </c>
      <c r="E901" s="10" t="s">
        <v>24</v>
      </c>
      <c r="F901" s="10">
        <v>2004</v>
      </c>
      <c r="G901" s="10" t="s">
        <v>14</v>
      </c>
      <c r="H901" s="11" t="s">
        <v>20</v>
      </c>
      <c r="I901" s="10" t="s">
        <v>1181</v>
      </c>
      <c r="J901" s="131"/>
      <c r="K901" s="149" t="s">
        <v>1985</v>
      </c>
    </row>
    <row r="902" spans="1:11" ht="28.9" customHeight="1" thickTop="1" thickBot="1" x14ac:dyDescent="0.75">
      <c r="A902" s="10">
        <v>900</v>
      </c>
      <c r="B902" s="57" t="str">
        <f>HYPERLINK("https://search.naver.com/search.naver?query=레이더스", "레이더스")</f>
        <v>레이더스</v>
      </c>
      <c r="C902" s="8">
        <v>8.89</v>
      </c>
      <c r="D902" s="9" t="s">
        <v>1986</v>
      </c>
      <c r="E902" s="6" t="s">
        <v>24</v>
      </c>
      <c r="F902" s="6">
        <v>1982</v>
      </c>
      <c r="G902" s="6" t="s">
        <v>14</v>
      </c>
      <c r="H902" s="7" t="s">
        <v>1452</v>
      </c>
      <c r="I902" s="6" t="s">
        <v>60</v>
      </c>
      <c r="J902" s="134"/>
      <c r="K902" s="154" t="s">
        <v>1987</v>
      </c>
    </row>
    <row r="903" spans="1:11" ht="28.9" customHeight="1" thickTop="1" thickBot="1" x14ac:dyDescent="0.75">
      <c r="A903" s="6">
        <v>901</v>
      </c>
      <c r="B903" s="57" t="str">
        <f>HYPERLINK("https://search.naver.com/search.naver?query=레이디스 나잇 영화", "레이디스 나잇")</f>
        <v>레이디스 나잇</v>
      </c>
      <c r="C903" s="8">
        <v>8.2899999999999991</v>
      </c>
      <c r="D903" s="9" t="s">
        <v>1988</v>
      </c>
      <c r="E903" s="6" t="s">
        <v>24</v>
      </c>
      <c r="F903" s="6">
        <v>2017</v>
      </c>
      <c r="G903" s="6" t="s">
        <v>14</v>
      </c>
      <c r="H903" s="7" t="s">
        <v>91</v>
      </c>
      <c r="I903" s="6" t="s">
        <v>169</v>
      </c>
      <c r="J903" s="130"/>
      <c r="K903" s="148" t="s">
        <v>1989</v>
      </c>
    </row>
    <row r="904" spans="1:11" ht="28.9" customHeight="1" thickTop="1" thickBot="1" x14ac:dyDescent="0.75">
      <c r="A904" s="10">
        <v>902</v>
      </c>
      <c r="B904" s="58" t="str">
        <f>HYPERLINK("https://search.naver.com/search.naver?query=레이먼드 &amp; 레이 영화", "레이먼드 &amp; 레이")</f>
        <v>레이먼드 &amp; 레이</v>
      </c>
      <c r="C904" s="12"/>
      <c r="D904" s="13" t="s">
        <v>1990</v>
      </c>
      <c r="E904" s="10" t="s">
        <v>24</v>
      </c>
      <c r="F904" s="10">
        <v>2022</v>
      </c>
      <c r="G904" s="10" t="s">
        <v>14</v>
      </c>
      <c r="H904" s="11" t="s">
        <v>20</v>
      </c>
      <c r="I904" s="10" t="s">
        <v>175</v>
      </c>
      <c r="J904" s="131"/>
      <c r="K904" s="149" t="s">
        <v>1991</v>
      </c>
    </row>
    <row r="905" spans="1:11" ht="28.9" customHeight="1" thickTop="1" thickBot="1" x14ac:dyDescent="0.75">
      <c r="A905" s="6">
        <v>903</v>
      </c>
      <c r="B905" s="57" t="str">
        <f>HYPERLINK("https://search.naver.com/search.naver?query=레이버 데이 영화", "레이버 데이")</f>
        <v>레이버 데이</v>
      </c>
      <c r="C905" s="8"/>
      <c r="D905" s="9" t="s">
        <v>1992</v>
      </c>
      <c r="E905" s="6" t="s">
        <v>24</v>
      </c>
      <c r="F905" s="6">
        <v>2013</v>
      </c>
      <c r="G905" s="6" t="s">
        <v>14</v>
      </c>
      <c r="H905" s="7" t="s">
        <v>20</v>
      </c>
      <c r="I905" s="6" t="s">
        <v>137</v>
      </c>
      <c r="J905" s="130"/>
      <c r="K905" s="148" t="s">
        <v>1993</v>
      </c>
    </row>
    <row r="906" spans="1:11" ht="28.9" customHeight="1" thickTop="1" thickBot="1" x14ac:dyDescent="0.75">
      <c r="A906" s="10">
        <v>904</v>
      </c>
      <c r="B906" s="58" t="str">
        <f>HYPERLINK("https://search.naver.com/search.naver?query=레이스 영화", "레이스")</f>
        <v>레이스</v>
      </c>
      <c r="C906" s="12">
        <v>9.17</v>
      </c>
      <c r="D906" s="13" t="s">
        <v>1994</v>
      </c>
      <c r="E906" s="10" t="s">
        <v>24</v>
      </c>
      <c r="F906" s="10">
        <v>2016</v>
      </c>
      <c r="G906" s="10" t="s">
        <v>14</v>
      </c>
      <c r="H906" s="11" t="s">
        <v>20</v>
      </c>
      <c r="I906" s="10" t="s">
        <v>917</v>
      </c>
      <c r="J906" s="131"/>
      <c r="K906" s="149" t="s">
        <v>1995</v>
      </c>
    </row>
    <row r="907" spans="1:11" ht="28.9" customHeight="1" thickTop="1" thickBot="1" x14ac:dyDescent="0.75">
      <c r="A907" s="6">
        <v>905</v>
      </c>
      <c r="B907" s="57" t="str">
        <f>HYPERLINK("https://search.naver.com/search.naver?query=레이징 파이어 영화", "레이징 파이어")</f>
        <v>레이징 파이어</v>
      </c>
      <c r="C907" s="8">
        <v>7.5</v>
      </c>
      <c r="D907" s="9" t="s">
        <v>1996</v>
      </c>
      <c r="E907" s="6" t="s">
        <v>123</v>
      </c>
      <c r="F907" s="6">
        <v>2021</v>
      </c>
      <c r="G907" s="6" t="s">
        <v>14</v>
      </c>
      <c r="H907" s="7" t="s">
        <v>124</v>
      </c>
      <c r="I907" s="6" t="s">
        <v>105</v>
      </c>
      <c r="J907" s="130"/>
      <c r="K907" s="148" t="s">
        <v>1997</v>
      </c>
    </row>
    <row r="908" spans="1:11" ht="28.9" customHeight="1" thickTop="1" thickBot="1" x14ac:dyDescent="0.75">
      <c r="A908" s="10">
        <v>906</v>
      </c>
      <c r="B908" s="58" t="str">
        <f>HYPERLINK("https://search.naver.com/search.naver?query=레이크 하우스 영화", "레이크 하우스")</f>
        <v>레이크 하우스</v>
      </c>
      <c r="C908" s="12">
        <v>7.98</v>
      </c>
      <c r="D908" s="13" t="s">
        <v>1998</v>
      </c>
      <c r="E908" s="10" t="s">
        <v>24</v>
      </c>
      <c r="F908" s="10">
        <v>2006</v>
      </c>
      <c r="G908" s="10" t="s">
        <v>14</v>
      </c>
      <c r="H908" s="11" t="s">
        <v>165</v>
      </c>
      <c r="I908" s="10" t="s">
        <v>109</v>
      </c>
      <c r="J908" s="131"/>
      <c r="K908" s="149" t="s">
        <v>1999</v>
      </c>
    </row>
    <row r="909" spans="1:11" ht="28.9" customHeight="1" thickTop="1" thickBot="1" x14ac:dyDescent="0.75">
      <c r="A909" s="6">
        <v>907</v>
      </c>
      <c r="B909" s="57" t="str">
        <f>HYPERLINK("https://search.naver.com/search.naver?query=레저 시커 영화", "레저 시커")</f>
        <v>레저 시커</v>
      </c>
      <c r="C909" s="8"/>
      <c r="D909" s="9" t="s">
        <v>2000</v>
      </c>
      <c r="E909" s="6" t="s">
        <v>2001</v>
      </c>
      <c r="F909" s="6">
        <v>2017</v>
      </c>
      <c r="G909" s="6" t="s">
        <v>14</v>
      </c>
      <c r="H909" s="7" t="s">
        <v>20</v>
      </c>
      <c r="I909" s="6" t="s">
        <v>429</v>
      </c>
      <c r="J909" s="130"/>
      <c r="K909" s="148" t="s">
        <v>2002</v>
      </c>
    </row>
    <row r="910" spans="1:11" ht="28.9" customHeight="1" thickTop="1" thickBot="1" x14ac:dyDescent="0.75">
      <c r="A910" s="10">
        <v>908</v>
      </c>
      <c r="B910" s="58" t="str">
        <f>HYPERLINK("https://search.naver.com/search.naver?query=레저베이션 로드 영화", "레저베이션 로드")</f>
        <v>레저베이션 로드</v>
      </c>
      <c r="C910" s="12">
        <v>7.77</v>
      </c>
      <c r="D910" s="13" t="s">
        <v>2003</v>
      </c>
      <c r="E910" s="10" t="s">
        <v>24</v>
      </c>
      <c r="F910" s="10">
        <v>2007</v>
      </c>
      <c r="G910" s="10" t="s">
        <v>14</v>
      </c>
      <c r="H910" s="11" t="s">
        <v>20</v>
      </c>
      <c r="I910" s="10" t="s">
        <v>133</v>
      </c>
      <c r="J910" s="131"/>
      <c r="K910" s="149" t="s">
        <v>2004</v>
      </c>
    </row>
    <row r="911" spans="1:11" ht="28.9" customHeight="1" thickTop="1" thickBot="1" x14ac:dyDescent="0.75">
      <c r="A911" s="6">
        <v>909</v>
      </c>
      <c r="B911" s="57" t="str">
        <f>HYPERLINK("https://search.naver.com/search.naver?query=레전드 영화", "레전드")</f>
        <v>레전드</v>
      </c>
      <c r="C911" s="8">
        <v>7.51</v>
      </c>
      <c r="D911" s="9" t="s">
        <v>2005</v>
      </c>
      <c r="E911" s="6" t="s">
        <v>29</v>
      </c>
      <c r="F911" s="6">
        <v>2015</v>
      </c>
      <c r="G911" s="6" t="s">
        <v>14</v>
      </c>
      <c r="H911" s="7" t="s">
        <v>428</v>
      </c>
      <c r="I911" s="6" t="s">
        <v>432</v>
      </c>
      <c r="J911" s="130"/>
      <c r="K911" s="148" t="s">
        <v>2006</v>
      </c>
    </row>
    <row r="912" spans="1:11" ht="28.9" customHeight="1" thickTop="1" thickBot="1" x14ac:dyDescent="0.75">
      <c r="A912" s="10">
        <v>910</v>
      </c>
      <c r="B912" s="58" t="str">
        <f>HYPERLINK("https://search.naver.com/search.naver?query=레전드 &amp; 버터플라이 영화", "레전드 &amp; 버터플라이")</f>
        <v>레전드 &amp; 버터플라이</v>
      </c>
      <c r="C912" s="12">
        <v>7.51</v>
      </c>
      <c r="D912" s="13" t="s">
        <v>2007</v>
      </c>
      <c r="E912" s="10" t="s">
        <v>19</v>
      </c>
      <c r="F912" s="10">
        <v>2023</v>
      </c>
      <c r="G912" s="10" t="s">
        <v>14</v>
      </c>
      <c r="H912" s="11" t="s">
        <v>1548</v>
      </c>
      <c r="I912" s="10" t="s">
        <v>930</v>
      </c>
      <c r="J912" s="131"/>
      <c r="K912" s="149" t="s">
        <v>2008</v>
      </c>
    </row>
    <row r="913" spans="1:11" ht="28.9" customHeight="1" thickTop="1" thickBot="1" x14ac:dyDescent="0.75">
      <c r="A913" s="6">
        <v>911</v>
      </c>
      <c r="B913" s="57" t="str">
        <f>HYPERLINK("https://search.naver.com/search.naver?query=레전드 오브 타잔 영화", "레전드 오브 타잔")</f>
        <v>레전드 오브 타잔</v>
      </c>
      <c r="C913" s="8">
        <v>8.0299999999999994</v>
      </c>
      <c r="D913" s="9" t="s">
        <v>2009</v>
      </c>
      <c r="E913" s="6" t="s">
        <v>24</v>
      </c>
      <c r="F913" s="6">
        <v>2016</v>
      </c>
      <c r="G913" s="6" t="s">
        <v>14</v>
      </c>
      <c r="H913" s="7" t="s">
        <v>124</v>
      </c>
      <c r="I913" s="6" t="s">
        <v>129</v>
      </c>
      <c r="J913" s="130"/>
      <c r="K913" s="148" t="s">
        <v>2010</v>
      </c>
    </row>
    <row r="914" spans="1:11" ht="28.9" customHeight="1" thickTop="1" thickBot="1" x14ac:dyDescent="0.75">
      <c r="A914" s="10">
        <v>912</v>
      </c>
      <c r="B914" s="58" t="str">
        <f>HYPERLINK("https://search.naver.com/search.naver?query=레지스탕스 영화", "레지스탕스")</f>
        <v>레지스탕스</v>
      </c>
      <c r="C914" s="12">
        <v>3.32</v>
      </c>
      <c r="D914" s="13" t="s">
        <v>2011</v>
      </c>
      <c r="E914" s="10" t="s">
        <v>24</v>
      </c>
      <c r="F914" s="10">
        <v>2020</v>
      </c>
      <c r="G914" s="10" t="s">
        <v>14</v>
      </c>
      <c r="H914" s="11" t="s">
        <v>20</v>
      </c>
      <c r="I914" s="10" t="s">
        <v>116</v>
      </c>
      <c r="J914" s="131"/>
      <c r="K914" s="149" t="s">
        <v>2012</v>
      </c>
    </row>
    <row r="915" spans="1:11" ht="28.9" customHeight="1" thickTop="1" thickBot="1" x14ac:dyDescent="0.75">
      <c r="A915" s="6">
        <v>913</v>
      </c>
      <c r="B915" s="57" t="str">
        <f>HYPERLINK("https://search.naver.com/search.naver?query=레터스 투 줄리엣 영화", "레터스 투 줄리엣")</f>
        <v>레터스 투 줄리엣</v>
      </c>
      <c r="C915" s="8">
        <v>9.33</v>
      </c>
      <c r="D915" s="9" t="s">
        <v>2013</v>
      </c>
      <c r="E915" s="6" t="s">
        <v>24</v>
      </c>
      <c r="F915" s="6">
        <v>2010</v>
      </c>
      <c r="G915" s="6" t="s">
        <v>14</v>
      </c>
      <c r="H915" s="7" t="s">
        <v>165</v>
      </c>
      <c r="I915" s="6" t="s">
        <v>175</v>
      </c>
      <c r="J915" s="130"/>
      <c r="K915" s="148" t="s">
        <v>2014</v>
      </c>
    </row>
    <row r="916" spans="1:11" ht="28.9" customHeight="1" thickTop="1" thickBot="1" x14ac:dyDescent="0.75">
      <c r="A916" s="10">
        <v>914</v>
      </c>
      <c r="B916" s="58" t="str">
        <f>HYPERLINK("https://search.naver.com/search.naver?query=레트리뷰션 영화", "레트리뷰션")</f>
        <v>레트리뷰션</v>
      </c>
      <c r="C916" s="12">
        <v>6.86</v>
      </c>
      <c r="D916" s="13" t="s">
        <v>2015</v>
      </c>
      <c r="E916" s="10" t="s">
        <v>24</v>
      </c>
      <c r="F916" s="10">
        <v>2024</v>
      </c>
      <c r="G916" s="10" t="s">
        <v>14</v>
      </c>
      <c r="H916" s="11" t="s">
        <v>124</v>
      </c>
      <c r="I916" s="10" t="s">
        <v>150</v>
      </c>
      <c r="J916" s="131"/>
      <c r="K916" s="149" t="s">
        <v>2016</v>
      </c>
    </row>
    <row r="917" spans="1:11" ht="28.9" customHeight="1" thickTop="1" thickBot="1" x14ac:dyDescent="0.75">
      <c r="A917" s="6">
        <v>915</v>
      </c>
      <c r="B917" s="57" t="str">
        <f>HYPERLINK("https://search.naver.com/search.naver?query=레프트 비하인드 영화", "레프트 비하인드")</f>
        <v>레프트 비하인드</v>
      </c>
      <c r="C917" s="8">
        <v>6.47</v>
      </c>
      <c r="D917" s="9" t="s">
        <v>2017</v>
      </c>
      <c r="E917" s="6" t="s">
        <v>24</v>
      </c>
      <c r="F917" s="6">
        <v>2014</v>
      </c>
      <c r="G917" s="6" t="s">
        <v>14</v>
      </c>
      <c r="H917" s="7" t="s">
        <v>124</v>
      </c>
      <c r="I917" s="6" t="s">
        <v>129</v>
      </c>
      <c r="J917" s="130"/>
      <c r="K917" s="148" t="s">
        <v>2018</v>
      </c>
    </row>
    <row r="918" spans="1:11" ht="28.9" customHeight="1" thickTop="1" thickBot="1" x14ac:dyDescent="0.75">
      <c r="A918" s="10">
        <v>916</v>
      </c>
      <c r="B918" s="58" t="str">
        <f>HYPERLINK("https://search.naver.com/search.naver?query=렌디션 영화", "렌디션")</f>
        <v>렌디션</v>
      </c>
      <c r="C918" s="12"/>
      <c r="D918" s="13" t="s">
        <v>2019</v>
      </c>
      <c r="E918" s="10" t="s">
        <v>24</v>
      </c>
      <c r="F918" s="10">
        <v>2007</v>
      </c>
      <c r="G918" s="10" t="s">
        <v>14</v>
      </c>
      <c r="H918" s="11" t="s">
        <v>54</v>
      </c>
      <c r="I918" s="10" t="s">
        <v>141</v>
      </c>
      <c r="J918" s="131"/>
      <c r="K918" s="149" t="s">
        <v>2020</v>
      </c>
    </row>
    <row r="919" spans="1:11" ht="28.9" customHeight="1" thickTop="1" thickBot="1" x14ac:dyDescent="0.75">
      <c r="A919" s="6">
        <v>917</v>
      </c>
      <c r="B919" s="57" t="str">
        <f>HYPERLINK("https://search.naver.com/search.naver?query=렛 더 선샤인 인 영화", "렛 더 선샤인 인")</f>
        <v>렛 더 선샤인 인</v>
      </c>
      <c r="C919" s="8">
        <v>7.75</v>
      </c>
      <c r="D919" s="9" t="s">
        <v>2021</v>
      </c>
      <c r="E919" s="6" t="s">
        <v>310</v>
      </c>
      <c r="F919" s="6">
        <v>2017</v>
      </c>
      <c r="G919" s="6" t="s">
        <v>14</v>
      </c>
      <c r="H919" s="7" t="s">
        <v>20</v>
      </c>
      <c r="I919" s="6" t="s">
        <v>468</v>
      </c>
      <c r="J919" s="130"/>
      <c r="K919" s="148" t="s">
        <v>2022</v>
      </c>
    </row>
    <row r="920" spans="1:11" ht="28.9" customHeight="1" thickTop="1" thickBot="1" x14ac:dyDescent="0.75">
      <c r="A920" s="10">
        <v>918</v>
      </c>
      <c r="B920" s="58" t="str">
        <f>HYPERLINK("https://search.naver.com/search.naver?query=렛츠 비 캅스 영화", "렛츠 비 캅스")</f>
        <v>렛츠 비 캅스</v>
      </c>
      <c r="C920" s="12">
        <v>6.4</v>
      </c>
      <c r="D920" s="13" t="s">
        <v>2023</v>
      </c>
      <c r="E920" s="10" t="s">
        <v>24</v>
      </c>
      <c r="F920" s="10">
        <v>2014</v>
      </c>
      <c r="G920" s="10" t="s">
        <v>14</v>
      </c>
      <c r="H920" s="11" t="s">
        <v>91</v>
      </c>
      <c r="I920" s="10" t="s">
        <v>242</v>
      </c>
      <c r="J920" s="131"/>
      <c r="K920" s="149" t="s">
        <v>905</v>
      </c>
    </row>
    <row r="921" spans="1:11" ht="28.9" customHeight="1" thickTop="1" thickBot="1" x14ac:dyDescent="0.75">
      <c r="A921" s="6">
        <v>919</v>
      </c>
      <c r="B921" s="57" t="str">
        <f>HYPERLINK("https://search.naver.com/search.naver?query=렛힘고 영화", "렛힘고")</f>
        <v>렛힘고</v>
      </c>
      <c r="C921" s="8">
        <v>7.11</v>
      </c>
      <c r="D921" s="9" t="s">
        <v>2024</v>
      </c>
      <c r="E921" s="6" t="s">
        <v>24</v>
      </c>
      <c r="F921" s="6">
        <v>2020</v>
      </c>
      <c r="G921" s="6" t="s">
        <v>14</v>
      </c>
      <c r="H921" s="7" t="s">
        <v>54</v>
      </c>
      <c r="I921" s="6" t="s">
        <v>98</v>
      </c>
      <c r="J921" s="130"/>
      <c r="K921" s="148" t="s">
        <v>2025</v>
      </c>
    </row>
    <row r="922" spans="1:11" ht="28.9" customHeight="1" thickTop="1" thickBot="1" x14ac:dyDescent="0.75">
      <c r="A922" s="10">
        <v>920</v>
      </c>
      <c r="B922" s="58" t="str">
        <f>HYPERLINK("https://search.naver.com/search.naver?query=로건 럭키 영화", "로건 럭키")</f>
        <v>로건 럭키</v>
      </c>
      <c r="C922" s="12">
        <v>8.48</v>
      </c>
      <c r="D922" s="13" t="s">
        <v>2026</v>
      </c>
      <c r="E922" s="10" t="s">
        <v>24</v>
      </c>
      <c r="F922" s="10">
        <v>2017</v>
      </c>
      <c r="G922" s="10" t="s">
        <v>14</v>
      </c>
      <c r="H922" s="11" t="s">
        <v>91</v>
      </c>
      <c r="I922" s="10" t="s">
        <v>329</v>
      </c>
      <c r="J922" s="131"/>
      <c r="K922" s="149" t="s">
        <v>2027</v>
      </c>
    </row>
    <row r="923" spans="1:11" ht="28.9" customHeight="1" thickTop="1" thickBot="1" x14ac:dyDescent="0.75">
      <c r="A923" s="6">
        <v>921</v>
      </c>
      <c r="B923" s="57" t="str">
        <f>HYPERLINK("https://search.naver.com/search.naver?query=로기완 영화", "로기완")</f>
        <v>로기완</v>
      </c>
      <c r="C923" s="8">
        <v>6.45</v>
      </c>
      <c r="D923" s="9" t="s">
        <v>2028</v>
      </c>
      <c r="E923" s="6" t="s">
        <v>13</v>
      </c>
      <c r="F923" s="6">
        <v>2024</v>
      </c>
      <c r="G923" s="6" t="s">
        <v>14</v>
      </c>
      <c r="H923" s="7" t="s">
        <v>20</v>
      </c>
      <c r="I923" s="6" t="s">
        <v>432</v>
      </c>
      <c r="J923" s="130"/>
      <c r="K923" s="148" t="s">
        <v>2029</v>
      </c>
    </row>
    <row r="924" spans="1:11" ht="28.9" customHeight="1" thickTop="1" thickBot="1" x14ac:dyDescent="0.75">
      <c r="A924" s="10">
        <v>922</v>
      </c>
      <c r="B924" s="58" t="str">
        <f>HYPERLINK("https://search.naver.com/search.naver?query=로나의 침묵 영화", "로나의 침묵")</f>
        <v>로나의 침묵</v>
      </c>
      <c r="C924" s="12">
        <v>8.4600000000000009</v>
      </c>
      <c r="D924" s="13" t="s">
        <v>2030</v>
      </c>
      <c r="E924" s="10" t="s">
        <v>858</v>
      </c>
      <c r="F924" s="10">
        <v>2008</v>
      </c>
      <c r="G924" s="10" t="s">
        <v>14</v>
      </c>
      <c r="H924" s="11" t="s">
        <v>20</v>
      </c>
      <c r="I924" s="10" t="s">
        <v>175</v>
      </c>
      <c r="J924" s="131"/>
      <c r="K924" s="149" t="s">
        <v>2031</v>
      </c>
    </row>
    <row r="925" spans="1:11" ht="28.9" customHeight="1" thickTop="1" thickBot="1" x14ac:dyDescent="0.75">
      <c r="A925" s="6">
        <v>923</v>
      </c>
      <c r="B925" s="57" t="str">
        <f>HYPERLINK("https://search.naver.com/search.naver?query=로렐 영화", "로렐")</f>
        <v>로렐</v>
      </c>
      <c r="C925" s="8">
        <v>8.48</v>
      </c>
      <c r="D925" s="9" t="s">
        <v>2032</v>
      </c>
      <c r="E925" s="6" t="s">
        <v>24</v>
      </c>
      <c r="F925" s="6">
        <v>2015</v>
      </c>
      <c r="G925" s="6" t="s">
        <v>14</v>
      </c>
      <c r="H925" s="7" t="s">
        <v>20</v>
      </c>
      <c r="I925" s="6" t="s">
        <v>150</v>
      </c>
      <c r="J925" s="130"/>
      <c r="K925" s="148" t="s">
        <v>285</v>
      </c>
    </row>
    <row r="926" spans="1:11" ht="28.9" customHeight="1" thickTop="1" thickBot="1" x14ac:dyDescent="0.75">
      <c r="A926" s="10">
        <v>924</v>
      </c>
      <c r="B926" s="58" t="str">
        <f>HYPERLINK("https://search.naver.com/search.naver?query=로맨스 돌 영화", "로맨스 돌")</f>
        <v>로맨스 돌</v>
      </c>
      <c r="C926" s="12">
        <v>7.45</v>
      </c>
      <c r="D926" s="13" t="s">
        <v>2033</v>
      </c>
      <c r="E926" s="10" t="s">
        <v>19</v>
      </c>
      <c r="F926" s="10">
        <v>2020</v>
      </c>
      <c r="G926" s="10" t="s">
        <v>14</v>
      </c>
      <c r="H926" s="11" t="s">
        <v>20</v>
      </c>
      <c r="I926" s="10" t="s">
        <v>76</v>
      </c>
      <c r="J926" s="131"/>
      <c r="K926" s="149" t="s">
        <v>2034</v>
      </c>
    </row>
    <row r="927" spans="1:11" ht="28.9" customHeight="1" thickTop="1" thickBot="1" x14ac:dyDescent="0.75">
      <c r="A927" s="6">
        <v>925</v>
      </c>
      <c r="B927" s="57" t="str">
        <f>HYPERLINK("https://search.naver.com/search.naver?query=로맨틱 크라운 영화", "로맨틱 크라운")</f>
        <v>로맨틱 크라운</v>
      </c>
      <c r="C927" s="8">
        <v>7.2</v>
      </c>
      <c r="D927" s="9" t="s">
        <v>2035</v>
      </c>
      <c r="E927" s="6" t="s">
        <v>19</v>
      </c>
      <c r="F927" s="6">
        <v>2011</v>
      </c>
      <c r="G927" s="6" t="s">
        <v>14</v>
      </c>
      <c r="H927" s="7" t="s">
        <v>165</v>
      </c>
      <c r="I927" s="6" t="s">
        <v>16</v>
      </c>
      <c r="J927" s="130"/>
      <c r="K927" s="148" t="s">
        <v>2036</v>
      </c>
    </row>
    <row r="928" spans="1:11" ht="28.9" customHeight="1" thickTop="1" thickBot="1" x14ac:dyDescent="0.75">
      <c r="A928" s="10">
        <v>926</v>
      </c>
      <c r="B928" s="58" t="str">
        <f>HYPERLINK("https://search.naver.com/search.naver?query=로맨틱 홀리데이 영화", "로맨틱 홀리데이")</f>
        <v>로맨틱 홀리데이</v>
      </c>
      <c r="C928" s="12">
        <v>8.75</v>
      </c>
      <c r="D928" s="13" t="s">
        <v>2037</v>
      </c>
      <c r="E928" s="10" t="s">
        <v>24</v>
      </c>
      <c r="F928" s="10">
        <v>2006</v>
      </c>
      <c r="G928" s="10" t="s">
        <v>14</v>
      </c>
      <c r="H928" s="11" t="s">
        <v>165</v>
      </c>
      <c r="I928" s="10" t="s">
        <v>51</v>
      </c>
      <c r="J928" s="131"/>
      <c r="K928" s="149" t="s">
        <v>2038</v>
      </c>
    </row>
    <row r="929" spans="1:11" ht="28.9" customHeight="1" thickTop="1" thickBot="1" x14ac:dyDescent="0.75">
      <c r="A929" s="6">
        <v>927</v>
      </c>
      <c r="B929" s="57" t="str">
        <f>HYPERLINK("https://search.naver.com/search.naver?query=로미오 머스트 다이 영화", "로미오 머스트 다이")</f>
        <v>로미오 머스트 다이</v>
      </c>
      <c r="C929" s="8">
        <v>6.94</v>
      </c>
      <c r="D929" s="9" t="s">
        <v>2039</v>
      </c>
      <c r="E929" s="6" t="s">
        <v>24</v>
      </c>
      <c r="F929" s="6">
        <v>2000</v>
      </c>
      <c r="G929" s="6" t="s">
        <v>14</v>
      </c>
      <c r="H929" s="7" t="s">
        <v>124</v>
      </c>
      <c r="I929" s="6" t="s">
        <v>60</v>
      </c>
      <c r="J929" s="130"/>
      <c r="K929" s="148" t="s">
        <v>2040</v>
      </c>
    </row>
    <row r="930" spans="1:11" ht="28.9" customHeight="1" thickTop="1" thickBot="1" x14ac:dyDescent="0.75">
      <c r="A930" s="10">
        <v>928</v>
      </c>
      <c r="B930" s="58" t="str">
        <f>HYPERLINK("https://search.naver.com/search.naver?query=로봇 영화", "로봇")</f>
        <v>로봇</v>
      </c>
      <c r="C930" s="12">
        <v>6.5</v>
      </c>
      <c r="D930" s="13" t="s">
        <v>2041</v>
      </c>
      <c r="E930" s="10" t="s">
        <v>24</v>
      </c>
      <c r="F930" s="10">
        <v>2012</v>
      </c>
      <c r="G930" s="10" t="s">
        <v>14</v>
      </c>
      <c r="H930" s="11" t="s">
        <v>877</v>
      </c>
      <c r="I930" s="10" t="s">
        <v>150</v>
      </c>
      <c r="J930" s="131"/>
      <c r="K930" s="149" t="s">
        <v>2042</v>
      </c>
    </row>
    <row r="931" spans="1:11" ht="28.9" customHeight="1" thickTop="1" thickBot="1" x14ac:dyDescent="0.75">
      <c r="A931" s="6">
        <v>929</v>
      </c>
      <c r="B931" s="57" t="str">
        <f>HYPERLINK("https://search.naver.com/search.naver?query=로스트 영화", "로스트")</f>
        <v>로스트</v>
      </c>
      <c r="C931" s="8"/>
      <c r="D931" s="9" t="s">
        <v>1986</v>
      </c>
      <c r="E931" s="6" t="s">
        <v>24</v>
      </c>
      <c r="F931" s="6">
        <v>2012</v>
      </c>
      <c r="G931" s="6" t="s">
        <v>14</v>
      </c>
      <c r="H931" s="7" t="s">
        <v>20</v>
      </c>
      <c r="I931" s="6" t="s">
        <v>156</v>
      </c>
      <c r="J931" s="130"/>
      <c r="K931" s="148" t="s">
        <v>2043</v>
      </c>
    </row>
    <row r="932" spans="1:11" ht="28.9" customHeight="1" thickTop="1" thickBot="1" x14ac:dyDescent="0.75">
      <c r="A932" s="10">
        <v>930</v>
      </c>
      <c r="B932" s="58" t="str">
        <f>HYPERLINK("https://search.naver.com/search.naver?query=로스트 라이언즈 영화", "로스트 라이언즈")</f>
        <v>로스트 라이언즈</v>
      </c>
      <c r="C932" s="12">
        <v>6.77</v>
      </c>
      <c r="D932" s="13" t="s">
        <v>2044</v>
      </c>
      <c r="E932" s="10" t="s">
        <v>24</v>
      </c>
      <c r="F932" s="10">
        <v>2007</v>
      </c>
      <c r="G932" s="10" t="s">
        <v>14</v>
      </c>
      <c r="H932" s="11" t="s">
        <v>20</v>
      </c>
      <c r="I932" s="10" t="s">
        <v>150</v>
      </c>
      <c r="J932" s="131"/>
      <c r="K932" s="149" t="s">
        <v>2045</v>
      </c>
    </row>
    <row r="933" spans="1:11" ht="28.9" customHeight="1" thickTop="1" thickBot="1" x14ac:dyDescent="0.75">
      <c r="A933" s="6">
        <v>931</v>
      </c>
      <c r="B933" s="57" t="str">
        <f>HYPERLINK("https://search.naver.com/search.naver?query=로스트 인 더스트 영화", "로스트 인 더스트")</f>
        <v>로스트 인 더스트</v>
      </c>
      <c r="C933" s="8">
        <v>8.35</v>
      </c>
      <c r="D933" s="9" t="s">
        <v>2046</v>
      </c>
      <c r="E933" s="6" t="s">
        <v>24</v>
      </c>
      <c r="F933" s="6">
        <v>2016</v>
      </c>
      <c r="G933" s="6" t="s">
        <v>14</v>
      </c>
      <c r="H933" s="7" t="s">
        <v>428</v>
      </c>
      <c r="I933" s="6" t="s">
        <v>133</v>
      </c>
      <c r="J933" s="130"/>
      <c r="K933" s="148" t="s">
        <v>2047</v>
      </c>
    </row>
    <row r="934" spans="1:11" ht="28.9" customHeight="1" thickTop="1" thickBot="1" x14ac:dyDescent="0.75">
      <c r="A934" s="10">
        <v>932</v>
      </c>
      <c r="B934" s="58" t="str">
        <f>HYPERLINK("https://search.naver.com/search.naver?query=로스트 인 마운틴 영화", "로스트 인 마운틴")</f>
        <v>로스트 인 마운틴</v>
      </c>
      <c r="C934" s="12"/>
      <c r="D934" s="13" t="s">
        <v>2048</v>
      </c>
      <c r="E934" s="10" t="s">
        <v>24</v>
      </c>
      <c r="F934" s="10">
        <v>2017</v>
      </c>
      <c r="G934" s="10" t="s">
        <v>14</v>
      </c>
      <c r="H934" s="11" t="s">
        <v>20</v>
      </c>
      <c r="I934" s="10" t="s">
        <v>150</v>
      </c>
      <c r="J934" s="131"/>
      <c r="K934" s="149" t="s">
        <v>2049</v>
      </c>
    </row>
    <row r="935" spans="1:11" ht="28.9" customHeight="1" thickTop="1" thickBot="1" x14ac:dyDescent="0.75">
      <c r="A935" s="6">
        <v>933</v>
      </c>
      <c r="B935" s="57" t="str">
        <f>HYPERLINK("https://search.naver.com/search.naver?query=로스트 인 베이징 영화", "로스트 인 베이징")</f>
        <v>로스트 인 베이징</v>
      </c>
      <c r="C935" s="8">
        <v>8.07</v>
      </c>
      <c r="D935" s="9" t="s">
        <v>2050</v>
      </c>
      <c r="E935" s="6" t="s">
        <v>186</v>
      </c>
      <c r="F935" s="6">
        <v>2007</v>
      </c>
      <c r="G935" s="6" t="s">
        <v>14</v>
      </c>
      <c r="H935" s="7" t="s">
        <v>20</v>
      </c>
      <c r="I935" s="6" t="s">
        <v>179</v>
      </c>
      <c r="J935" s="130"/>
      <c r="K935" s="148" t="s">
        <v>2051</v>
      </c>
    </row>
    <row r="936" spans="1:11" ht="28.9" customHeight="1" thickTop="1" thickBot="1" x14ac:dyDescent="0.75">
      <c r="A936" s="10">
        <v>934</v>
      </c>
      <c r="B936" s="58" t="str">
        <f>HYPERLINK("https://search.naver.com/search.naver?query=로스트 케어 영화", "로스트 케어")</f>
        <v>로스트 케어</v>
      </c>
      <c r="C936" s="12">
        <v>6.4</v>
      </c>
      <c r="D936" s="13" t="s">
        <v>2052</v>
      </c>
      <c r="E936" s="10" t="s">
        <v>19</v>
      </c>
      <c r="F936" s="10">
        <v>2024</v>
      </c>
      <c r="G936" s="10" t="s">
        <v>14</v>
      </c>
      <c r="H936" s="11" t="s">
        <v>20</v>
      </c>
      <c r="I936" s="10" t="s">
        <v>129</v>
      </c>
      <c r="J936" s="131"/>
      <c r="K936" s="149" t="s">
        <v>2053</v>
      </c>
    </row>
    <row r="937" spans="1:11" ht="28.9" customHeight="1" thickTop="1" thickBot="1" x14ac:dyDescent="0.75">
      <c r="A937" s="6">
        <v>935</v>
      </c>
      <c r="B937" s="57" t="str">
        <f>HYPERLINK("https://search.naver.com/search.naver?query=로스트씨티 영화", "로스트씨티")</f>
        <v>로스트씨티</v>
      </c>
      <c r="C937" s="8">
        <v>6.41</v>
      </c>
      <c r="D937" s="9" t="s">
        <v>2054</v>
      </c>
      <c r="E937" s="6" t="s">
        <v>24</v>
      </c>
      <c r="F937" s="6">
        <v>2022</v>
      </c>
      <c r="G937" s="6" t="s">
        <v>14</v>
      </c>
      <c r="H937" s="7" t="s">
        <v>124</v>
      </c>
      <c r="I937" s="6" t="s">
        <v>429</v>
      </c>
      <c r="J937" s="130"/>
      <c r="K937" s="148" t="s">
        <v>2055</v>
      </c>
    </row>
    <row r="938" spans="1:11" ht="28.9" customHeight="1" thickTop="1" thickBot="1" x14ac:dyDescent="0.75">
      <c r="A938" s="10">
        <v>936</v>
      </c>
      <c r="B938" s="58" t="str">
        <f>HYPERLINK("https://search.naver.com/search.naver?query=로얄 테넌바움 영화", "로얄 테넌바움")</f>
        <v>로얄 테넌바움</v>
      </c>
      <c r="C938" s="12">
        <v>8.01</v>
      </c>
      <c r="D938" s="13" t="s">
        <v>2056</v>
      </c>
      <c r="E938" s="10" t="s">
        <v>24</v>
      </c>
      <c r="F938" s="10">
        <v>2001</v>
      </c>
      <c r="G938" s="10" t="s">
        <v>14</v>
      </c>
      <c r="H938" s="11" t="s">
        <v>91</v>
      </c>
      <c r="I938" s="10" t="s">
        <v>129</v>
      </c>
      <c r="J938" s="131"/>
      <c r="K938" s="149" t="s">
        <v>2057</v>
      </c>
    </row>
    <row r="939" spans="1:11" ht="28.9" customHeight="1" thickTop="1" thickBot="1" x14ac:dyDescent="0.75">
      <c r="A939" s="6">
        <v>937</v>
      </c>
      <c r="B939" s="57" t="str">
        <f>HYPERLINK("https://search.naver.com/search.naver?query=로즈 영화", "로즈")</f>
        <v>로즈</v>
      </c>
      <c r="C939" s="8">
        <v>8.07</v>
      </c>
      <c r="D939" s="9" t="s">
        <v>2058</v>
      </c>
      <c r="E939" s="6" t="s">
        <v>310</v>
      </c>
      <c r="F939" s="6">
        <v>2017</v>
      </c>
      <c r="G939" s="6" t="s">
        <v>14</v>
      </c>
      <c r="H939" s="7" t="s">
        <v>20</v>
      </c>
      <c r="I939" s="6" t="s">
        <v>16</v>
      </c>
      <c r="J939" s="130"/>
      <c r="K939" s="148" t="s">
        <v>2059</v>
      </c>
    </row>
    <row r="940" spans="1:11" ht="28.9" customHeight="1" thickTop="1" thickBot="1" x14ac:dyDescent="0.75">
      <c r="A940" s="10">
        <v>938</v>
      </c>
      <c r="B940" s="58" t="str">
        <f>HYPERLINK("https://search.naver.com/search.naver?query=로크 영화", "로크")</f>
        <v>로크</v>
      </c>
      <c r="C940" s="12">
        <v>6.37</v>
      </c>
      <c r="D940" s="13" t="s">
        <v>2060</v>
      </c>
      <c r="E940" s="10" t="s">
        <v>29</v>
      </c>
      <c r="F940" s="10">
        <v>2013</v>
      </c>
      <c r="G940" s="10" t="s">
        <v>14</v>
      </c>
      <c r="H940" s="11" t="s">
        <v>20</v>
      </c>
      <c r="I940" s="10" t="s">
        <v>46</v>
      </c>
      <c r="J940" s="131"/>
      <c r="K940" s="149" t="s">
        <v>2061</v>
      </c>
    </row>
    <row r="941" spans="1:11" ht="28.9" customHeight="1" thickTop="1" thickBot="1" x14ac:dyDescent="0.75">
      <c r="A941" s="6">
        <v>939</v>
      </c>
      <c r="B941" s="59" t="str">
        <f>HYPERLINK("https://search.naver.com/search.naver?query=로크 앤 키 시즌1", "로크 앤 키 시즌1")</f>
        <v>로크 앤 키 시즌1</v>
      </c>
      <c r="C941" s="16"/>
      <c r="D941" s="17" t="s">
        <v>2062</v>
      </c>
      <c r="E941" s="14" t="s">
        <v>24</v>
      </c>
      <c r="F941" s="14">
        <v>2020</v>
      </c>
      <c r="G941" s="14" t="s">
        <v>20</v>
      </c>
      <c r="H941" s="15" t="s">
        <v>2063</v>
      </c>
      <c r="I941" s="14" t="s">
        <v>64</v>
      </c>
      <c r="J941" s="132"/>
      <c r="K941" s="150" t="s">
        <v>2064</v>
      </c>
    </row>
    <row r="942" spans="1:11" ht="28.9" customHeight="1" thickTop="1" thickBot="1" x14ac:dyDescent="0.75">
      <c r="A942" s="10">
        <v>940</v>
      </c>
      <c r="B942" s="58" t="str">
        <f>HYPERLINK("https://search.naver.com/search.naver?query=로프트 영화", "로프트")</f>
        <v>로프트</v>
      </c>
      <c r="C942" s="12">
        <v>6.97</v>
      </c>
      <c r="D942" s="13" t="s">
        <v>2065</v>
      </c>
      <c r="E942" s="10" t="s">
        <v>24</v>
      </c>
      <c r="F942" s="10">
        <v>2014</v>
      </c>
      <c r="G942" s="10" t="s">
        <v>14</v>
      </c>
      <c r="H942" s="11" t="s">
        <v>54</v>
      </c>
      <c r="I942" s="10" t="s">
        <v>38</v>
      </c>
      <c r="J942" s="131"/>
      <c r="K942" s="149" t="s">
        <v>2066</v>
      </c>
    </row>
    <row r="943" spans="1:11" ht="28.9" customHeight="1" thickTop="1" thickBot="1" x14ac:dyDescent="0.75">
      <c r="A943" s="6">
        <v>941</v>
      </c>
      <c r="B943" s="57" t="str">
        <f>HYPERLINK("https://search.naver.com/search.naver?query=록트 영화", "록트")</f>
        <v>록트</v>
      </c>
      <c r="C943" s="8">
        <v>6.4</v>
      </c>
      <c r="D943" s="9" t="s">
        <v>2067</v>
      </c>
      <c r="E943" s="6" t="s">
        <v>24</v>
      </c>
      <c r="F943" s="6">
        <v>2025</v>
      </c>
      <c r="G943" s="6" t="s">
        <v>14</v>
      </c>
      <c r="H943" s="7" t="s">
        <v>124</v>
      </c>
      <c r="I943" s="6" t="s">
        <v>150</v>
      </c>
      <c r="J943" s="130"/>
      <c r="K943" s="148" t="s">
        <v>2068</v>
      </c>
    </row>
    <row r="944" spans="1:11" ht="28.9" customHeight="1" thickTop="1" thickBot="1" x14ac:dyDescent="0.75">
      <c r="A944" s="10">
        <v>942</v>
      </c>
      <c r="B944" s="58" t="str">
        <f>HYPERLINK("https://search.naver.com/search.naver?query=론 레인저 영화", "론 레인저")</f>
        <v>론 레인저</v>
      </c>
      <c r="C944" s="12">
        <v>7.34</v>
      </c>
      <c r="D944" s="13" t="s">
        <v>2069</v>
      </c>
      <c r="E944" s="10" t="s">
        <v>24</v>
      </c>
      <c r="F944" s="10">
        <v>2013</v>
      </c>
      <c r="G944" s="10" t="s">
        <v>14</v>
      </c>
      <c r="H944" s="11" t="s">
        <v>124</v>
      </c>
      <c r="I944" s="10" t="s">
        <v>810</v>
      </c>
      <c r="J944" s="131"/>
      <c r="K944" s="149" t="s">
        <v>2070</v>
      </c>
    </row>
    <row r="945" spans="1:11" ht="28.9" customHeight="1" thickTop="1" thickBot="1" x14ac:dyDescent="0.75">
      <c r="A945" s="6">
        <v>943</v>
      </c>
      <c r="B945" s="57" t="str">
        <f>HYPERLINK("https://search.naver.com/search.naver?query=론 서바이버 영화", "론 서바이버")</f>
        <v>론 서바이버</v>
      </c>
      <c r="C945" s="8">
        <v>1.29</v>
      </c>
      <c r="D945" s="9" t="s">
        <v>2071</v>
      </c>
      <c r="E945" s="6" t="s">
        <v>24</v>
      </c>
      <c r="F945" s="6">
        <v>2013</v>
      </c>
      <c r="G945" s="6" t="s">
        <v>14</v>
      </c>
      <c r="H945" s="7" t="s">
        <v>124</v>
      </c>
      <c r="I945" s="6" t="s">
        <v>195</v>
      </c>
      <c r="J945" s="130"/>
      <c r="K945" s="148" t="s">
        <v>2072</v>
      </c>
    </row>
    <row r="946" spans="1:11" ht="28.9" customHeight="1" thickTop="1" thickBot="1" x14ac:dyDescent="0.75">
      <c r="A946" s="10">
        <v>944</v>
      </c>
      <c r="B946" s="58" t="str">
        <f>HYPERLINK("https://search.naver.com/search.naver?query=론리 플래닛 영화", "론리 플래닛")</f>
        <v>론리 플래닛</v>
      </c>
      <c r="C946" s="12">
        <v>6.47</v>
      </c>
      <c r="D946" s="13" t="s">
        <v>2073</v>
      </c>
      <c r="E946" s="10" t="s">
        <v>24</v>
      </c>
      <c r="F946" s="10">
        <v>2024</v>
      </c>
      <c r="G946" s="10" t="s">
        <v>14</v>
      </c>
      <c r="H946" s="11" t="s">
        <v>165</v>
      </c>
      <c r="I946" s="10" t="s">
        <v>150</v>
      </c>
      <c r="J946" s="131"/>
      <c r="K946" s="149" t="s">
        <v>2074</v>
      </c>
    </row>
    <row r="947" spans="1:11" ht="28.9" customHeight="1" thickTop="1" thickBot="1" x14ac:dyDescent="0.75">
      <c r="A947" s="6">
        <v>945</v>
      </c>
      <c r="B947" s="57" t="str">
        <f>HYPERLINK("https://search.naver.com/search.naver?query=론리 플레이스 투 다이 영화", "론리 플레이스 투 다이")</f>
        <v>론리 플레이스 투 다이</v>
      </c>
      <c r="C947" s="8">
        <v>6.26</v>
      </c>
      <c r="D947" s="9" t="s">
        <v>2075</v>
      </c>
      <c r="E947" s="6" t="s">
        <v>29</v>
      </c>
      <c r="F947" s="6">
        <v>2011</v>
      </c>
      <c r="G947" s="6" t="s">
        <v>14</v>
      </c>
      <c r="H947" s="7" t="s">
        <v>54</v>
      </c>
      <c r="I947" s="6" t="s">
        <v>109</v>
      </c>
      <c r="J947" s="130"/>
      <c r="K947" s="148" t="s">
        <v>2076</v>
      </c>
    </row>
    <row r="948" spans="1:11" ht="28.9" customHeight="1" thickTop="1" thickBot="1" x14ac:dyDescent="0.75">
      <c r="A948" s="10">
        <v>946</v>
      </c>
      <c r="B948" s="58" t="str">
        <f>HYPERLINK("https://search.naver.com/search.naver?query=롬멜-사막의 여우 영화", "롬멜-사막의 여우")</f>
        <v>롬멜-사막의 여우</v>
      </c>
      <c r="C948" s="12"/>
      <c r="D948" s="13" t="s">
        <v>2077</v>
      </c>
      <c r="E948" s="10" t="s">
        <v>136</v>
      </c>
      <c r="F948" s="10">
        <v>2012</v>
      </c>
      <c r="G948" s="10" t="s">
        <v>14</v>
      </c>
      <c r="H948" s="11" t="s">
        <v>20</v>
      </c>
      <c r="I948" s="10" t="s">
        <v>116</v>
      </c>
      <c r="J948" s="131"/>
      <c r="K948" s="149" t="s">
        <v>2078</v>
      </c>
    </row>
    <row r="949" spans="1:11" ht="28.9" customHeight="1" thickTop="1" thickBot="1" x14ac:dyDescent="0.75">
      <c r="A949" s="6">
        <v>947</v>
      </c>
      <c r="B949" s="57" t="str">
        <f>HYPERLINK("https://search.naver.com/search.naver?query=롭 더 몹 영화", "롭 더 몹")</f>
        <v>롭 더 몹</v>
      </c>
      <c r="C949" s="8">
        <v>6.4</v>
      </c>
      <c r="D949" s="9" t="s">
        <v>2079</v>
      </c>
      <c r="E949" s="6" t="s">
        <v>24</v>
      </c>
      <c r="F949" s="6">
        <v>2014</v>
      </c>
      <c r="G949" s="6" t="s">
        <v>14</v>
      </c>
      <c r="H949" s="7" t="s">
        <v>428</v>
      </c>
      <c r="I949" s="6" t="s">
        <v>242</v>
      </c>
      <c r="J949" s="130"/>
      <c r="K949" s="148" t="s">
        <v>2080</v>
      </c>
    </row>
    <row r="950" spans="1:11" ht="28.9" customHeight="1" thickTop="1" thickBot="1" x14ac:dyDescent="0.75">
      <c r="A950" s="10">
        <v>948</v>
      </c>
      <c r="B950" s="58" t="str">
        <f>HYPERLINK("https://search.naver.com/search.naver?query=롱리브더킹: 목포영웅 영화", "롱리브더킹 - 목포영웅")</f>
        <v>롱리브더킹 - 목포영웅</v>
      </c>
      <c r="C950" s="12">
        <v>8.61</v>
      </c>
      <c r="D950" s="13"/>
      <c r="E950" s="10" t="s">
        <v>13</v>
      </c>
      <c r="F950" s="10">
        <v>2019</v>
      </c>
      <c r="G950" s="10" t="s">
        <v>14</v>
      </c>
      <c r="H950" s="11" t="s">
        <v>124</v>
      </c>
      <c r="I950" s="10" t="s">
        <v>329</v>
      </c>
      <c r="J950" s="131"/>
      <c r="K950" s="149" t="s">
        <v>2081</v>
      </c>
    </row>
    <row r="951" spans="1:11" ht="28.9" customHeight="1" thickTop="1" thickBot="1" x14ac:dyDescent="0.75">
      <c r="A951" s="6">
        <v>949</v>
      </c>
      <c r="B951" s="57" t="str">
        <f>HYPERLINK("https://search.naver.com/search.naver?query=롱샷 영화", "롱샷")</f>
        <v>롱샷</v>
      </c>
      <c r="C951" s="8">
        <v>8.8699999999999992</v>
      </c>
      <c r="D951" s="9" t="s">
        <v>2082</v>
      </c>
      <c r="E951" s="6" t="s">
        <v>24</v>
      </c>
      <c r="F951" s="6">
        <v>2019</v>
      </c>
      <c r="G951" s="6" t="s">
        <v>14</v>
      </c>
      <c r="H951" s="7" t="s">
        <v>91</v>
      </c>
      <c r="I951" s="6" t="s">
        <v>316</v>
      </c>
      <c r="J951" s="130"/>
      <c r="K951" s="148" t="s">
        <v>2083</v>
      </c>
    </row>
    <row r="952" spans="1:11" ht="28.9" customHeight="1" thickTop="1" thickBot="1" x14ac:dyDescent="0.75">
      <c r="A952" s="10">
        <v>950</v>
      </c>
      <c r="B952" s="58" t="str">
        <f>HYPERLINK("https://search.naver.com/search.naver?query=루디 이야기 영화", "루디 이야기")</f>
        <v>루디 이야기</v>
      </c>
      <c r="C952" s="12">
        <v>9.67</v>
      </c>
      <c r="D952" s="13" t="s">
        <v>2084</v>
      </c>
      <c r="E952" s="10" t="s">
        <v>24</v>
      </c>
      <c r="F952" s="10">
        <v>1993</v>
      </c>
      <c r="G952" s="10" t="s">
        <v>14</v>
      </c>
      <c r="H952" s="11" t="s">
        <v>20</v>
      </c>
      <c r="I952" s="10" t="s">
        <v>305</v>
      </c>
      <c r="J952" s="131"/>
      <c r="K952" s="149" t="s">
        <v>2085</v>
      </c>
    </row>
    <row r="953" spans="1:11" ht="28.9" customHeight="1" thickTop="1" thickBot="1" x14ac:dyDescent="0.75">
      <c r="A953" s="6">
        <v>951</v>
      </c>
      <c r="B953" s="57" t="str">
        <f>HYPERLINK("https://search.naver.com/search.naver?query=루비 스팍스 영화", "루비 스팍스")</f>
        <v>루비 스팍스</v>
      </c>
      <c r="C953" s="8">
        <v>7.7</v>
      </c>
      <c r="D953" s="9" t="s">
        <v>2086</v>
      </c>
      <c r="E953" s="6" t="s">
        <v>24</v>
      </c>
      <c r="F953" s="6">
        <v>2012</v>
      </c>
      <c r="G953" s="6" t="s">
        <v>14</v>
      </c>
      <c r="H953" s="7" t="s">
        <v>91</v>
      </c>
      <c r="I953" s="6" t="s">
        <v>242</v>
      </c>
      <c r="J953" s="130"/>
      <c r="K953" s="148" t="s">
        <v>2087</v>
      </c>
    </row>
    <row r="954" spans="1:11" ht="28.9" customHeight="1" thickTop="1" thickBot="1" x14ac:dyDescent="0.75">
      <c r="A954" s="10">
        <v>952</v>
      </c>
      <c r="B954" s="58" t="str">
        <f>HYPERLINK("https://search.naver.com/search.naver?query=루시 영화", "루시")</f>
        <v>루시</v>
      </c>
      <c r="C954" s="12">
        <v>7.16</v>
      </c>
      <c r="D954" s="13" t="s">
        <v>2088</v>
      </c>
      <c r="E954" s="10" t="s">
        <v>310</v>
      </c>
      <c r="F954" s="10">
        <v>2014</v>
      </c>
      <c r="G954" s="10" t="s">
        <v>14</v>
      </c>
      <c r="H954" s="11" t="s">
        <v>124</v>
      </c>
      <c r="I954" s="10" t="s">
        <v>162</v>
      </c>
      <c r="J954" s="131"/>
      <c r="K954" s="149" t="s">
        <v>2089</v>
      </c>
    </row>
    <row r="955" spans="1:11" ht="28.9" customHeight="1" thickTop="1" thickBot="1" x14ac:dyDescent="0.75">
      <c r="A955" s="6">
        <v>953</v>
      </c>
      <c r="B955" s="57" t="str">
        <f>HYPERLINK("https://search.naver.com/search.naver?query=루카스 영화", "루카스")</f>
        <v>루카스</v>
      </c>
      <c r="C955" s="8"/>
      <c r="D955" s="9" t="s">
        <v>2090</v>
      </c>
      <c r="E955" s="6" t="s">
        <v>136</v>
      </c>
      <c r="F955" s="6">
        <v>2018</v>
      </c>
      <c r="G955" s="6" t="s">
        <v>14</v>
      </c>
      <c r="H955" s="7" t="s">
        <v>20</v>
      </c>
      <c r="I955" s="6" t="s">
        <v>175</v>
      </c>
      <c r="J955" s="130"/>
      <c r="K955" s="148" t="s">
        <v>2091</v>
      </c>
    </row>
    <row r="956" spans="1:11" ht="28.9" customHeight="1" thickTop="1" thickBot="1" x14ac:dyDescent="0.75">
      <c r="A956" s="10">
        <v>954</v>
      </c>
      <c r="B956" s="58" t="str">
        <f>HYPERLINK("https://search.naver.com/search.naver?query=루킹 글라스 영화", "루킹 글라스")</f>
        <v>루킹 글라스</v>
      </c>
      <c r="C956" s="12">
        <v>3.35</v>
      </c>
      <c r="D956" s="13" t="s">
        <v>711</v>
      </c>
      <c r="E956" s="10" t="s">
        <v>275</v>
      </c>
      <c r="F956" s="10">
        <v>2018</v>
      </c>
      <c r="G956" s="10" t="s">
        <v>14</v>
      </c>
      <c r="H956" s="11" t="s">
        <v>54</v>
      </c>
      <c r="I956" s="10" t="s">
        <v>276</v>
      </c>
      <c r="J956" s="131"/>
      <c r="K956" s="149" t="s">
        <v>2092</v>
      </c>
    </row>
    <row r="957" spans="1:11" ht="28.9" customHeight="1" thickTop="1" thickBot="1" x14ac:dyDescent="0.75">
      <c r="A957" s="6">
        <v>955</v>
      </c>
      <c r="B957" s="57" t="str">
        <f>HYPERLINK("https://search.naver.com/search.naver?query=룰스 오브 인게이지먼트 영화", "룰스 오브 인게이지먼트")</f>
        <v>룰스 오브 인게이지먼트</v>
      </c>
      <c r="C957" s="8">
        <v>7.28</v>
      </c>
      <c r="D957" s="9" t="s">
        <v>2093</v>
      </c>
      <c r="E957" s="6" t="s">
        <v>24</v>
      </c>
      <c r="F957" s="6">
        <v>2000</v>
      </c>
      <c r="G957" s="6" t="s">
        <v>14</v>
      </c>
      <c r="H957" s="7" t="s">
        <v>20</v>
      </c>
      <c r="I957" s="6" t="s">
        <v>146</v>
      </c>
      <c r="J957" s="130"/>
      <c r="K957" s="148" t="s">
        <v>2094</v>
      </c>
    </row>
    <row r="958" spans="1:11" ht="28.9" customHeight="1" thickTop="1" thickBot="1" x14ac:dyDescent="0.75">
      <c r="A958" s="10">
        <v>956</v>
      </c>
      <c r="B958" s="58" t="str">
        <f>HYPERLINK("https://search.naver.com/search.naver?query=룸 영화", "룸")</f>
        <v>룸</v>
      </c>
      <c r="C958" s="12">
        <v>9.0399999999999991</v>
      </c>
      <c r="D958" s="13" t="s">
        <v>2095</v>
      </c>
      <c r="E958" s="10" t="s">
        <v>944</v>
      </c>
      <c r="F958" s="10">
        <v>2015</v>
      </c>
      <c r="G958" s="10" t="s">
        <v>14</v>
      </c>
      <c r="H958" s="11" t="s">
        <v>20</v>
      </c>
      <c r="I958" s="10" t="s">
        <v>120</v>
      </c>
      <c r="J958" s="131"/>
      <c r="K958" s="149" t="s">
        <v>2096</v>
      </c>
    </row>
    <row r="959" spans="1:11" ht="28.9" customHeight="1" thickTop="1" thickBot="1" x14ac:dyDescent="0.75">
      <c r="A959" s="6">
        <v>957</v>
      </c>
      <c r="B959" s="57" t="str">
        <f>HYPERLINK("https://search.naver.com/search.naver?query=룸 넥스트 도어 영화", "룸 넥스트 도어")</f>
        <v>룸 넥스트 도어</v>
      </c>
      <c r="C959" s="8">
        <v>8.2100000000000009</v>
      </c>
      <c r="D959" s="9" t="s">
        <v>2097</v>
      </c>
      <c r="E959" s="6" t="s">
        <v>37</v>
      </c>
      <c r="F959" s="6">
        <v>2024</v>
      </c>
      <c r="G959" s="6" t="s">
        <v>14</v>
      </c>
      <c r="H959" s="7" t="s">
        <v>20</v>
      </c>
      <c r="I959" s="6" t="s">
        <v>129</v>
      </c>
      <c r="J959" s="130"/>
      <c r="K959" s="148" t="s">
        <v>2098</v>
      </c>
    </row>
    <row r="960" spans="1:11" ht="28.9" customHeight="1" thickTop="1" thickBot="1" x14ac:dyDescent="0.75">
      <c r="A960" s="10">
        <v>958</v>
      </c>
      <c r="B960" s="58" t="str">
        <f>HYPERLINK("https://search.naver.com/search.naver?query=리 밀러 카메라를 든 여자 영화", "리 밀러 카메라를 든 여자")</f>
        <v>리 밀러 카메라를 든 여자</v>
      </c>
      <c r="C960" s="12">
        <v>7.76</v>
      </c>
      <c r="D960" s="13" t="s">
        <v>2099</v>
      </c>
      <c r="E960" s="10" t="s">
        <v>29</v>
      </c>
      <c r="F960" s="10">
        <v>2023</v>
      </c>
      <c r="G960" s="10" t="s">
        <v>14</v>
      </c>
      <c r="H960" s="11" t="s">
        <v>20</v>
      </c>
      <c r="I960" s="10" t="s">
        <v>120</v>
      </c>
      <c r="J960" s="131"/>
      <c r="K960" s="149" t="s">
        <v>2100</v>
      </c>
    </row>
    <row r="961" spans="1:11" ht="28.9" customHeight="1" thickTop="1" thickBot="1" x14ac:dyDescent="0.75">
      <c r="A961" s="6">
        <v>959</v>
      </c>
      <c r="B961" s="57" t="str">
        <f>HYPERLINK("https://search.naver.com/search.naver?query=리그레션 영화", "리그레션")</f>
        <v>리그레션</v>
      </c>
      <c r="C961" s="8">
        <v>6.74</v>
      </c>
      <c r="D961" s="9" t="s">
        <v>2101</v>
      </c>
      <c r="E961" s="6" t="s">
        <v>24</v>
      </c>
      <c r="F961" s="6">
        <v>2015</v>
      </c>
      <c r="G961" s="6" t="s">
        <v>14</v>
      </c>
      <c r="H961" s="7" t="s">
        <v>54</v>
      </c>
      <c r="I961" s="6" t="s">
        <v>443</v>
      </c>
      <c r="J961" s="130"/>
      <c r="K961" s="148" t="s">
        <v>2102</v>
      </c>
    </row>
    <row r="962" spans="1:11" ht="28.9" customHeight="1" thickTop="1" thickBot="1" x14ac:dyDescent="0.75">
      <c r="A962" s="10">
        <v>960</v>
      </c>
      <c r="B962" s="58" t="str">
        <f>HYPERLINK("https://search.naver.com/search.naver?query=리뎀션 데이 영화", "리뎀션 데이")</f>
        <v>리뎀션 데이</v>
      </c>
      <c r="C962" s="12">
        <v>3</v>
      </c>
      <c r="D962" s="13" t="s">
        <v>2103</v>
      </c>
      <c r="E962" s="10" t="s">
        <v>24</v>
      </c>
      <c r="F962" s="10">
        <v>2021</v>
      </c>
      <c r="G962" s="10" t="s">
        <v>14</v>
      </c>
      <c r="H962" s="11" t="s">
        <v>124</v>
      </c>
      <c r="I962" s="10" t="s">
        <v>109</v>
      </c>
      <c r="J962" s="131"/>
      <c r="K962" s="149" t="s">
        <v>2104</v>
      </c>
    </row>
    <row r="963" spans="1:11" ht="28.9" customHeight="1" thickTop="1" thickBot="1" x14ac:dyDescent="0.75">
      <c r="A963" s="6">
        <v>961</v>
      </c>
      <c r="B963" s="57" t="str">
        <f>HYPERLINK("https://search.naver.com/search.naver?query=리듬 오브 리벤지 영화", "리듬 오브 리벤지")</f>
        <v>리듬 오브 리벤지</v>
      </c>
      <c r="C963" s="8">
        <v>3.94</v>
      </c>
      <c r="D963" s="9" t="s">
        <v>2105</v>
      </c>
      <c r="E963" s="6" t="s">
        <v>29</v>
      </c>
      <c r="F963" s="6">
        <v>2020</v>
      </c>
      <c r="G963" s="6" t="s">
        <v>14</v>
      </c>
      <c r="H963" s="7" t="s">
        <v>124</v>
      </c>
      <c r="I963" s="6" t="s">
        <v>187</v>
      </c>
      <c r="J963" s="130"/>
      <c r="K963" s="148" t="s">
        <v>2106</v>
      </c>
    </row>
    <row r="964" spans="1:11" ht="28.9" customHeight="1" thickTop="1" thickBot="1" x14ac:dyDescent="0.75">
      <c r="A964" s="10">
        <v>962</v>
      </c>
      <c r="B964" s="58" t="str">
        <f>HYPERLINK("https://search.naver.com/search.naver?query=리디밍 러브 영화", "리디밍 러브")</f>
        <v>리디밍 러브</v>
      </c>
      <c r="C964" s="12">
        <v>6.86</v>
      </c>
      <c r="D964" s="13" t="s">
        <v>2107</v>
      </c>
      <c r="E964" s="10" t="s">
        <v>24</v>
      </c>
      <c r="F964" s="10">
        <v>2022</v>
      </c>
      <c r="G964" s="10" t="s">
        <v>14</v>
      </c>
      <c r="H964" s="11" t="s">
        <v>20</v>
      </c>
      <c r="I964" s="10" t="s">
        <v>917</v>
      </c>
      <c r="J964" s="131"/>
      <c r="K964" s="149" t="s">
        <v>2108</v>
      </c>
    </row>
    <row r="965" spans="1:11" ht="28.9" customHeight="1" thickTop="1" thickBot="1" x14ac:dyDescent="0.75">
      <c r="A965" s="6">
        <v>963</v>
      </c>
      <c r="B965" s="57" t="str">
        <f>HYPERLINK("https://search.naver.com/search.naver?query=리멤버 영화", "리멤버")</f>
        <v>리멤버</v>
      </c>
      <c r="C965" s="8">
        <v>7.77</v>
      </c>
      <c r="D965" s="9" t="s">
        <v>2109</v>
      </c>
      <c r="E965" s="6" t="s">
        <v>13</v>
      </c>
      <c r="F965" s="6">
        <v>2022</v>
      </c>
      <c r="G965" s="6" t="s">
        <v>14</v>
      </c>
      <c r="H965" s="7" t="s">
        <v>54</v>
      </c>
      <c r="I965" s="6" t="s">
        <v>179</v>
      </c>
      <c r="J965" s="130"/>
      <c r="K965" s="148" t="s">
        <v>2110</v>
      </c>
    </row>
    <row r="966" spans="1:11" ht="28.9" customHeight="1" thickTop="1" thickBot="1" x14ac:dyDescent="0.75">
      <c r="A966" s="10">
        <v>964</v>
      </c>
      <c r="B966" s="58" t="str">
        <f>HYPERLINK("https://search.naver.com/search.naver?query=리멤버:기억의 살인자 영화", "리멤버")</f>
        <v>리멤버</v>
      </c>
      <c r="C966" s="12">
        <v>7.64</v>
      </c>
      <c r="D966" s="13" t="s">
        <v>2111</v>
      </c>
      <c r="E966" s="10" t="s">
        <v>275</v>
      </c>
      <c r="F966" s="10">
        <v>2015</v>
      </c>
      <c r="G966" s="10" t="s">
        <v>14</v>
      </c>
      <c r="H966" s="11" t="s">
        <v>20</v>
      </c>
      <c r="I966" s="10" t="s">
        <v>468</v>
      </c>
      <c r="J966" s="131"/>
      <c r="K966" s="149" t="s">
        <v>2112</v>
      </c>
    </row>
    <row r="967" spans="1:11" ht="28.9" customHeight="1" thickTop="1" thickBot="1" x14ac:dyDescent="0.75">
      <c r="A967" s="6">
        <v>965</v>
      </c>
      <c r="B967" s="57" t="str">
        <f>HYPERLINK("https://search.naver.com/search.naver?query=리멤버 미 2010", "리멤버 미")</f>
        <v>리멤버 미</v>
      </c>
      <c r="C967" s="8">
        <v>7.52</v>
      </c>
      <c r="D967" s="13" t="s">
        <v>2113</v>
      </c>
      <c r="E967" s="6" t="s">
        <v>24</v>
      </c>
      <c r="F967" s="6">
        <v>2010</v>
      </c>
      <c r="G967" s="6" t="s">
        <v>14</v>
      </c>
      <c r="H967" s="7" t="s">
        <v>20</v>
      </c>
      <c r="I967" s="6" t="s">
        <v>98</v>
      </c>
      <c r="J967" s="130"/>
      <c r="K967" s="148" t="s">
        <v>2114</v>
      </c>
    </row>
    <row r="968" spans="1:11" ht="28.9" customHeight="1" thickTop="1" thickBot="1" x14ac:dyDescent="0.75">
      <c r="A968" s="10">
        <v>966</v>
      </c>
      <c r="B968" s="58" t="str">
        <f>HYPERLINK("https://search.naver.com/search.naver?query=리멤버 타이탄 영화", "리멤버 타이탄")</f>
        <v>리멤버 타이탄</v>
      </c>
      <c r="C968" s="12">
        <v>9.25</v>
      </c>
      <c r="D968" s="9" t="s">
        <v>2115</v>
      </c>
      <c r="E968" s="10" t="s">
        <v>24</v>
      </c>
      <c r="F968" s="10">
        <v>2000</v>
      </c>
      <c r="G968" s="10" t="s">
        <v>14</v>
      </c>
      <c r="H968" s="11" t="s">
        <v>20</v>
      </c>
      <c r="I968" s="10" t="s">
        <v>98</v>
      </c>
      <c r="J968" s="131"/>
      <c r="K968" s="149" t="s">
        <v>2116</v>
      </c>
    </row>
    <row r="969" spans="1:11" ht="28.9" customHeight="1" thickTop="1" thickBot="1" x14ac:dyDescent="0.75">
      <c r="A969" s="6">
        <v>967</v>
      </c>
      <c r="B969" s="57" t="str">
        <f>HYPERLINK("https://search.naver.com/search.naver?query=리미트리스 영화", "리미트리스")</f>
        <v>리미트리스</v>
      </c>
      <c r="C969" s="8">
        <v>8.19</v>
      </c>
      <c r="D969" s="9" t="s">
        <v>2117</v>
      </c>
      <c r="E969" s="6" t="s">
        <v>24</v>
      </c>
      <c r="F969" s="6">
        <v>2011</v>
      </c>
      <c r="G969" s="6" t="s">
        <v>14</v>
      </c>
      <c r="H969" s="7" t="s">
        <v>877</v>
      </c>
      <c r="I969" s="6" t="s">
        <v>175</v>
      </c>
      <c r="J969" s="130"/>
      <c r="K969" s="148" t="s">
        <v>2118</v>
      </c>
    </row>
    <row r="970" spans="1:11" ht="28.9" customHeight="1" thickTop="1" thickBot="1" x14ac:dyDescent="0.75">
      <c r="A970" s="10">
        <v>968</v>
      </c>
      <c r="B970" s="58" t="str">
        <f>HYPERLINK("https://search.naver.com/search.naver?query=리바이어던 영화", "리바이어던")</f>
        <v>리바이어던</v>
      </c>
      <c r="C970" s="12">
        <v>8.19</v>
      </c>
      <c r="D970" s="13" t="s">
        <v>2119</v>
      </c>
      <c r="E970" s="10" t="s">
        <v>75</v>
      </c>
      <c r="F970" s="10">
        <v>2014</v>
      </c>
      <c r="G970" s="10" t="s">
        <v>14</v>
      </c>
      <c r="H970" s="11" t="s">
        <v>20</v>
      </c>
      <c r="I970" s="10" t="s">
        <v>930</v>
      </c>
      <c r="J970" s="131"/>
      <c r="K970" s="149" t="s">
        <v>2120</v>
      </c>
    </row>
    <row r="971" spans="1:11" ht="28.9" customHeight="1" thickTop="1" thickBot="1" x14ac:dyDescent="0.75">
      <c r="A971" s="6">
        <v>969</v>
      </c>
      <c r="B971" s="57" t="str">
        <f>HYPERLINK("https://search.naver.com/search.naver?query=리버럴 아츠 영화", "리버럴 아츠")</f>
        <v>리버럴 아츠</v>
      </c>
      <c r="C971" s="8">
        <v>6.4</v>
      </c>
      <c r="D971" s="9" t="s">
        <v>2121</v>
      </c>
      <c r="E971" s="6" t="s">
        <v>24</v>
      </c>
      <c r="F971" s="6">
        <v>2012</v>
      </c>
      <c r="G971" s="6" t="s">
        <v>14</v>
      </c>
      <c r="H971" s="7" t="s">
        <v>91</v>
      </c>
      <c r="I971" s="6" t="s">
        <v>169</v>
      </c>
      <c r="J971" s="130"/>
      <c r="K971" s="148" t="s">
        <v>2122</v>
      </c>
    </row>
    <row r="972" spans="1:11" ht="28.9" customHeight="1" thickTop="1" thickBot="1" x14ac:dyDescent="0.75">
      <c r="A972" s="10">
        <v>970</v>
      </c>
      <c r="B972" s="58" t="str">
        <f>HYPERLINK("https://search.naver.com/search.naver?query=리볼버 영화", "리볼버")</f>
        <v>리볼버</v>
      </c>
      <c r="C972" s="12">
        <v>6.03</v>
      </c>
      <c r="D972" s="13" t="s">
        <v>2123</v>
      </c>
      <c r="E972" s="10" t="s">
        <v>13</v>
      </c>
      <c r="F972" s="10">
        <v>2024</v>
      </c>
      <c r="G972" s="10" t="s">
        <v>14</v>
      </c>
      <c r="H972" s="11" t="s">
        <v>124</v>
      </c>
      <c r="I972" s="10" t="s">
        <v>305</v>
      </c>
      <c r="J972" s="131"/>
      <c r="K972" s="149" t="s">
        <v>2124</v>
      </c>
    </row>
    <row r="973" spans="1:11" ht="28.9" customHeight="1" thickTop="1" thickBot="1" x14ac:dyDescent="0.75">
      <c r="A973" s="6">
        <v>971</v>
      </c>
      <c r="B973" s="57" t="str">
        <f>HYPERLINK("https://search.naver.com/search.naver?query=리브 더 월드 비하인드 영화", "리브 더 월드 비하인드")</f>
        <v>리브 더 월드 비하인드</v>
      </c>
      <c r="C973" s="8">
        <v>4.46</v>
      </c>
      <c r="D973" s="9" t="s">
        <v>2125</v>
      </c>
      <c r="E973" s="6" t="s">
        <v>24</v>
      </c>
      <c r="F973" s="6">
        <v>2023</v>
      </c>
      <c r="G973" s="6" t="s">
        <v>14</v>
      </c>
      <c r="H973" s="7" t="s">
        <v>20</v>
      </c>
      <c r="I973" s="6" t="s">
        <v>930</v>
      </c>
      <c r="J973" s="130"/>
      <c r="K973" s="148" t="s">
        <v>2126</v>
      </c>
    </row>
    <row r="974" spans="1:11" ht="28.9" customHeight="1" thickTop="1" thickBot="1" x14ac:dyDescent="0.75">
      <c r="A974" s="10">
        <v>972</v>
      </c>
      <c r="B974" s="58" t="str">
        <f>HYPERLINK("https://search.naver.com/search.naver?query=리빙보이 인 뉴욕 영화", "리빙보이 인 뉴욕")</f>
        <v>리빙보이 인 뉴욕</v>
      </c>
      <c r="C974" s="12">
        <v>8.14</v>
      </c>
      <c r="D974" s="13" t="s">
        <v>2127</v>
      </c>
      <c r="E974" s="10" t="s">
        <v>24</v>
      </c>
      <c r="F974" s="10">
        <v>2017</v>
      </c>
      <c r="G974" s="10" t="s">
        <v>14</v>
      </c>
      <c r="H974" s="11" t="s">
        <v>20</v>
      </c>
      <c r="I974" s="10" t="s">
        <v>150</v>
      </c>
      <c r="J974" s="131"/>
      <c r="K974" s="149" t="s">
        <v>2128</v>
      </c>
    </row>
    <row r="975" spans="1:11" ht="28.9" customHeight="1" thickTop="1" thickBot="1" x14ac:dyDescent="0.75">
      <c r="A975" s="6">
        <v>973</v>
      </c>
      <c r="B975" s="57" t="str">
        <f>HYPERLINK("https://search.naver.com/search.naver?query=리빙:어떤 인생 영화", "리빙-어떤 인생")</f>
        <v>리빙-어떤 인생</v>
      </c>
      <c r="C975" s="8">
        <v>7.75</v>
      </c>
      <c r="D975" s="9" t="s">
        <v>2129</v>
      </c>
      <c r="E975" s="6" t="s">
        <v>29</v>
      </c>
      <c r="F975" s="6">
        <v>2022</v>
      </c>
      <c r="G975" s="6" t="s">
        <v>14</v>
      </c>
      <c r="H975" s="7" t="s">
        <v>20</v>
      </c>
      <c r="I975" s="6" t="s">
        <v>133</v>
      </c>
      <c r="J975" s="130"/>
      <c r="K975" s="148" t="s">
        <v>2130</v>
      </c>
    </row>
    <row r="976" spans="1:11" ht="28.9" customHeight="1" thickTop="1" thickBot="1" x14ac:dyDescent="0.75">
      <c r="A976" s="10">
        <v>974</v>
      </c>
      <c r="B976" s="58" t="str">
        <f>HYPERLINK("https://search.naver.com/search.naver?query=리스본행 야간열차 영화", "리스본행 야간열차")</f>
        <v>리스본행 야간열차</v>
      </c>
      <c r="C976" s="12">
        <v>8.34</v>
      </c>
      <c r="D976" s="13" t="s">
        <v>2131</v>
      </c>
      <c r="E976" s="10" t="s">
        <v>136</v>
      </c>
      <c r="F976" s="10">
        <v>2013</v>
      </c>
      <c r="G976" s="10" t="s">
        <v>14</v>
      </c>
      <c r="H976" s="11" t="s">
        <v>20</v>
      </c>
      <c r="I976" s="10" t="s">
        <v>137</v>
      </c>
      <c r="J976" s="131"/>
      <c r="K976" s="149" t="s">
        <v>2132</v>
      </c>
    </row>
    <row r="977" spans="1:11" ht="28.9" customHeight="1" thickTop="1" thickBot="1" x14ac:dyDescent="0.75">
      <c r="A977" s="6">
        <v>975</v>
      </c>
      <c r="B977" s="57" t="str">
        <f>HYPERLINK("https://search.naver.com/search.naver?query=리스펙트 영화", "리스펙트")</f>
        <v>리스펙트</v>
      </c>
      <c r="C977" s="8">
        <v>7.36</v>
      </c>
      <c r="D977" s="9" t="s">
        <v>2133</v>
      </c>
      <c r="E977" s="6" t="s">
        <v>24</v>
      </c>
      <c r="F977" s="6">
        <v>2021</v>
      </c>
      <c r="G977" s="6" t="s">
        <v>14</v>
      </c>
      <c r="H977" s="7" t="s">
        <v>20</v>
      </c>
      <c r="I977" s="6" t="s">
        <v>251</v>
      </c>
      <c r="J977" s="130"/>
      <c r="K977" s="148" t="s">
        <v>2134</v>
      </c>
    </row>
    <row r="978" spans="1:11" ht="28.9" customHeight="1" thickTop="1" thickBot="1" x14ac:dyDescent="0.75">
      <c r="A978" s="10">
        <v>976</v>
      </c>
      <c r="B978" s="58" t="str">
        <f>HYPERLINK("https://search.naver.com/search.naver?query=리슨 영화", "리슨")</f>
        <v>리슨</v>
      </c>
      <c r="C978" s="12">
        <v>7.75</v>
      </c>
      <c r="D978" s="13" t="s">
        <v>2135</v>
      </c>
      <c r="E978" s="10" t="s">
        <v>29</v>
      </c>
      <c r="F978" s="10">
        <v>2021</v>
      </c>
      <c r="G978" s="10" t="s">
        <v>14</v>
      </c>
      <c r="H978" s="11" t="s">
        <v>20</v>
      </c>
      <c r="I978" s="10" t="s">
        <v>150</v>
      </c>
      <c r="J978" s="131"/>
      <c r="K978" s="149" t="s">
        <v>2136</v>
      </c>
    </row>
    <row r="979" spans="1:11" ht="28.9" customHeight="1" thickTop="1" thickBot="1" x14ac:dyDescent="0.75">
      <c r="A979" s="6">
        <v>977</v>
      </c>
      <c r="B979" s="57" t="str">
        <f>HYPERLINK("https://search.naver.com/search.naver?query=리차드 쥬얼", "리차드 쥬얼")</f>
        <v>리차드 쥬얼</v>
      </c>
      <c r="C979" s="8">
        <v>8.94</v>
      </c>
      <c r="D979" s="9" t="s">
        <v>2137</v>
      </c>
      <c r="E979" s="6" t="s">
        <v>24</v>
      </c>
      <c r="F979" s="6">
        <v>2019</v>
      </c>
      <c r="G979" s="6" t="s">
        <v>14</v>
      </c>
      <c r="H979" s="7" t="s">
        <v>20</v>
      </c>
      <c r="I979" s="6" t="s">
        <v>432</v>
      </c>
      <c r="J979" s="130"/>
      <c r="K979" s="148" t="s">
        <v>2138</v>
      </c>
    </row>
    <row r="980" spans="1:11" ht="28.9" customHeight="1" thickTop="1" thickBot="1" x14ac:dyDescent="0.75">
      <c r="A980" s="10">
        <v>978</v>
      </c>
      <c r="B980" s="59" t="str">
        <f>HYPERLINK("https://search.naver.com/search.naver?query=리처 시즌1", "리처 시즌1")</f>
        <v>리처 시즌1</v>
      </c>
      <c r="C980" s="16"/>
      <c r="D980" s="17" t="s">
        <v>2139</v>
      </c>
      <c r="E980" s="14" t="s">
        <v>24</v>
      </c>
      <c r="F980" s="14">
        <v>2022</v>
      </c>
      <c r="G980" s="14" t="s">
        <v>20</v>
      </c>
      <c r="H980" s="15" t="s">
        <v>2140</v>
      </c>
      <c r="I980" s="14" t="s">
        <v>71</v>
      </c>
      <c r="J980" s="132"/>
      <c r="K980" s="150" t="s">
        <v>2141</v>
      </c>
    </row>
    <row r="981" spans="1:11" ht="28.9" customHeight="1" thickTop="1" thickBot="1" x14ac:dyDescent="0.75">
      <c r="A981" s="6">
        <v>979</v>
      </c>
      <c r="B981" s="59" t="str">
        <f>HYPERLINK("https://search.naver.com/search.naver?query=리처 시즌2", "리처 시즌2")</f>
        <v>리처 시즌2</v>
      </c>
      <c r="C981" s="16"/>
      <c r="D981" s="17" t="s">
        <v>2139</v>
      </c>
      <c r="E981" s="14" t="s">
        <v>24</v>
      </c>
      <c r="F981" s="14">
        <v>2023</v>
      </c>
      <c r="G981" s="14" t="s">
        <v>20</v>
      </c>
      <c r="H981" s="15" t="s">
        <v>2140</v>
      </c>
      <c r="I981" s="14" t="s">
        <v>71</v>
      </c>
      <c r="J981" s="132"/>
      <c r="K981" s="150" t="s">
        <v>2142</v>
      </c>
    </row>
    <row r="982" spans="1:11" ht="28.9" customHeight="1" thickTop="1" thickBot="1" x14ac:dyDescent="0.75">
      <c r="A982" s="10">
        <v>980</v>
      </c>
      <c r="B982" s="59" t="str">
        <f>HYPERLINK("https://search.naver.com/search.naver?query=리처 시즌3", "리처 시즌3")</f>
        <v>리처 시즌3</v>
      </c>
      <c r="C982" s="16"/>
      <c r="D982" s="17" t="s">
        <v>2139</v>
      </c>
      <c r="E982" s="14" t="s">
        <v>24</v>
      </c>
      <c r="F982" s="14">
        <v>2025</v>
      </c>
      <c r="G982" s="14" t="s">
        <v>20</v>
      </c>
      <c r="H982" s="15" t="s">
        <v>2140</v>
      </c>
      <c r="I982" s="14" t="s">
        <v>71</v>
      </c>
      <c r="J982" s="132"/>
      <c r="K982" s="150" t="s">
        <v>2143</v>
      </c>
    </row>
    <row r="983" spans="1:11" ht="28.9" customHeight="1" thickTop="1" thickBot="1" x14ac:dyDescent="0.75">
      <c r="A983" s="6">
        <v>981</v>
      </c>
      <c r="B983" s="57" t="str">
        <f>HYPERLINK("https://search.naver.com/search.naver?query=리카운트 영화", "리카운트")</f>
        <v>리카운트</v>
      </c>
      <c r="C983" s="8"/>
      <c r="D983" s="9" t="s">
        <v>2144</v>
      </c>
      <c r="E983" s="6" t="s">
        <v>24</v>
      </c>
      <c r="F983" s="6">
        <v>2008</v>
      </c>
      <c r="G983" s="6" t="s">
        <v>14</v>
      </c>
      <c r="H983" s="7" t="s">
        <v>20</v>
      </c>
      <c r="I983" s="6" t="s">
        <v>591</v>
      </c>
      <c r="J983" s="130"/>
      <c r="K983" s="148" t="s">
        <v>2145</v>
      </c>
    </row>
    <row r="984" spans="1:11" ht="28.9" customHeight="1" thickTop="1" thickBot="1" x14ac:dyDescent="0.75">
      <c r="A984" s="10">
        <v>982</v>
      </c>
      <c r="B984" s="58" t="str">
        <f>HYPERLINK("https://search.naver.com/search.naver?query=리턴 영화", "리턴")</f>
        <v>리턴</v>
      </c>
      <c r="C984" s="12">
        <v>8.3699999999999992</v>
      </c>
      <c r="D984" s="13" t="s">
        <v>2146</v>
      </c>
      <c r="E984" s="10" t="s">
        <v>24</v>
      </c>
      <c r="F984" s="10">
        <v>2007</v>
      </c>
      <c r="G984" s="10" t="s">
        <v>14</v>
      </c>
      <c r="H984" s="11" t="s">
        <v>20</v>
      </c>
      <c r="I984" s="10" t="s">
        <v>150</v>
      </c>
      <c r="J984" s="131"/>
      <c r="K984" s="149" t="s">
        <v>2147</v>
      </c>
    </row>
    <row r="985" spans="1:11" ht="28.9" customHeight="1" thickTop="1" thickBot="1" x14ac:dyDescent="0.75">
      <c r="A985" s="6">
        <v>983</v>
      </c>
      <c r="B985" s="57" t="str">
        <f>HYPERLINK("https://search.naver.com/search.naver?query=리턴 투 센더 영화", "리턴 투 센더")</f>
        <v>리턴 투 센더</v>
      </c>
      <c r="C985" s="8">
        <v>6</v>
      </c>
      <c r="D985" s="9" t="s">
        <v>2148</v>
      </c>
      <c r="E985" s="6" t="s">
        <v>24</v>
      </c>
      <c r="F985" s="6">
        <v>2015</v>
      </c>
      <c r="G985" s="6" t="s">
        <v>14</v>
      </c>
      <c r="H985" s="7" t="s">
        <v>54</v>
      </c>
      <c r="I985" s="6" t="s">
        <v>150</v>
      </c>
      <c r="J985" s="130"/>
      <c r="K985" s="148" t="s">
        <v>2149</v>
      </c>
    </row>
    <row r="986" spans="1:11" ht="28.9" customHeight="1" thickTop="1" thickBot="1" x14ac:dyDescent="0.75">
      <c r="A986" s="10">
        <v>984</v>
      </c>
      <c r="B986" s="58" t="str">
        <f>HYPERLINK("https://search.naver.com/search.naver?query=리틀 보이 영화", "리틀 보이")</f>
        <v>리틀 보이</v>
      </c>
      <c r="C986" s="12">
        <v>9</v>
      </c>
      <c r="D986" s="13" t="s">
        <v>2150</v>
      </c>
      <c r="E986" s="10" t="s">
        <v>24</v>
      </c>
      <c r="F986" s="10">
        <v>2015</v>
      </c>
      <c r="G986" s="10" t="s">
        <v>14</v>
      </c>
      <c r="H986" s="11" t="s">
        <v>20</v>
      </c>
      <c r="I986" s="10" t="s">
        <v>443</v>
      </c>
      <c r="J986" s="131"/>
      <c r="K986" s="149" t="s">
        <v>2151</v>
      </c>
    </row>
    <row r="987" spans="1:11" ht="28.9" customHeight="1" thickTop="1" thickBot="1" x14ac:dyDescent="0.75">
      <c r="A987" s="6">
        <v>985</v>
      </c>
      <c r="B987" s="57" t="str">
        <f>HYPERLINK("https://search.naver.com/search.naver?query=리틀 칠드런 영화", "리틀 칠드런")</f>
        <v>리틀 칠드런</v>
      </c>
      <c r="C987" s="8">
        <v>8.18</v>
      </c>
      <c r="D987" s="9" t="s">
        <v>2152</v>
      </c>
      <c r="E987" s="6" t="s">
        <v>24</v>
      </c>
      <c r="F987" s="6">
        <v>2006</v>
      </c>
      <c r="G987" s="6" t="s">
        <v>14</v>
      </c>
      <c r="H987" s="7" t="s">
        <v>20</v>
      </c>
      <c r="I987" s="6" t="s">
        <v>578</v>
      </c>
      <c r="J987" s="130"/>
      <c r="K987" s="148" t="s">
        <v>2153</v>
      </c>
    </row>
    <row r="988" spans="1:11" ht="28.9" customHeight="1" thickTop="1" thickBot="1" x14ac:dyDescent="0.75">
      <c r="A988" s="10">
        <v>986</v>
      </c>
      <c r="B988" s="58" t="str">
        <f>HYPERLINK("https://search.naver.com/search.naver?query=리틀 포레스트 영화", "리틀 포레스트")</f>
        <v>리틀 포레스트</v>
      </c>
      <c r="C988" s="12">
        <v>9.01</v>
      </c>
      <c r="D988" s="13" t="s">
        <v>2154</v>
      </c>
      <c r="E988" s="10" t="s">
        <v>13</v>
      </c>
      <c r="F988" s="10">
        <v>2018</v>
      </c>
      <c r="G988" s="10" t="s">
        <v>14</v>
      </c>
      <c r="H988" s="11" t="s">
        <v>20</v>
      </c>
      <c r="I988" s="10" t="s">
        <v>276</v>
      </c>
      <c r="J988" s="131"/>
      <c r="K988" s="149" t="s">
        <v>2155</v>
      </c>
    </row>
    <row r="989" spans="1:11" ht="28.9" customHeight="1" thickTop="1" thickBot="1" x14ac:dyDescent="0.75">
      <c r="A989" s="6">
        <v>987</v>
      </c>
      <c r="B989" s="57" t="str">
        <f>HYPERLINK("https://search.naver.com/search.naver?query=리틀 포레스트 : 여름과 가을 영화", "리틀 포레스트 - 여름과 가을")</f>
        <v>리틀 포레스트 - 여름과 가을</v>
      </c>
      <c r="C989" s="8">
        <v>8.61</v>
      </c>
      <c r="D989" s="9" t="s">
        <v>2156</v>
      </c>
      <c r="E989" s="6" t="s">
        <v>19</v>
      </c>
      <c r="F989" s="6">
        <v>2014</v>
      </c>
      <c r="G989" s="6" t="s">
        <v>14</v>
      </c>
      <c r="H989" s="7" t="s">
        <v>20</v>
      </c>
      <c r="I989" s="6" t="s">
        <v>137</v>
      </c>
      <c r="J989" s="130"/>
      <c r="K989" s="148" t="s">
        <v>2157</v>
      </c>
    </row>
    <row r="990" spans="1:11" ht="28.9" customHeight="1" thickTop="1" thickBot="1" x14ac:dyDescent="0.75">
      <c r="A990" s="10">
        <v>988</v>
      </c>
      <c r="B990" s="58" t="str">
        <f>HYPERLINK("https://search.naver.com/search.naver?query=리틀 포레스트2 : 겨울과 봄 영화", "리틀 포레스트2 - 겨울과 봄")</f>
        <v>리틀 포레스트2 - 겨울과 봄</v>
      </c>
      <c r="C990" s="12">
        <v>8.58</v>
      </c>
      <c r="D990" s="13" t="s">
        <v>2156</v>
      </c>
      <c r="E990" s="10" t="s">
        <v>19</v>
      </c>
      <c r="F990" s="10">
        <v>2015</v>
      </c>
      <c r="G990" s="10" t="s">
        <v>14</v>
      </c>
      <c r="H990" s="11" t="s">
        <v>20</v>
      </c>
      <c r="I990" s="10" t="s">
        <v>116</v>
      </c>
      <c r="J990" s="131"/>
      <c r="K990" s="149" t="s">
        <v>2158</v>
      </c>
    </row>
    <row r="991" spans="1:11" ht="28.9" customHeight="1" thickTop="1" thickBot="1" x14ac:dyDescent="0.75">
      <c r="A991" s="6">
        <v>989</v>
      </c>
      <c r="B991" s="57" t="str">
        <f>HYPERLINK("https://search.naver.com/search.naver?query=리프라이즐 영화", "리프라이즐")</f>
        <v>리프라이즐</v>
      </c>
      <c r="C991" s="8"/>
      <c r="D991" s="9" t="s">
        <v>2159</v>
      </c>
      <c r="E991" s="6" t="s">
        <v>24</v>
      </c>
      <c r="F991" s="6">
        <v>2018</v>
      </c>
      <c r="G991" s="6" t="s">
        <v>14</v>
      </c>
      <c r="H991" s="7" t="s">
        <v>124</v>
      </c>
      <c r="I991" s="6" t="s">
        <v>205</v>
      </c>
      <c r="J991" s="130"/>
      <c r="K991" s="148" t="s">
        <v>2160</v>
      </c>
    </row>
    <row r="992" spans="1:11" ht="28.9" customHeight="1" thickTop="1" thickBot="1" x14ac:dyDescent="0.75">
      <c r="A992" s="10">
        <v>990</v>
      </c>
      <c r="B992" s="58" t="str">
        <f>HYPERLINK("https://search.naver.com/search.naver?query=리프트:비행기를 털어라 영화", "리프트-비행기를 털어라")</f>
        <v>리프트-비행기를 털어라</v>
      </c>
      <c r="C992" s="12">
        <v>6.16</v>
      </c>
      <c r="D992" s="13" t="s">
        <v>2161</v>
      </c>
      <c r="E992" s="10" t="s">
        <v>24</v>
      </c>
      <c r="F992" s="10">
        <v>2024</v>
      </c>
      <c r="G992" s="10" t="s">
        <v>14</v>
      </c>
      <c r="H992" s="11" t="s">
        <v>124</v>
      </c>
      <c r="I992" s="10" t="s">
        <v>242</v>
      </c>
      <c r="J992" s="131"/>
      <c r="K992" s="149" t="s">
        <v>2162</v>
      </c>
    </row>
    <row r="993" spans="1:11" ht="28.9" customHeight="1" thickTop="1" thickBot="1" x14ac:dyDescent="0.75">
      <c r="A993" s="6">
        <v>991</v>
      </c>
      <c r="B993" s="57" t="str">
        <f>HYPERLINK("https://search.naver.com/search.naver?query=리플레이", "리플레이")</f>
        <v>리플레이</v>
      </c>
      <c r="C993" s="8">
        <v>5.5</v>
      </c>
      <c r="D993" s="9" t="s">
        <v>2163</v>
      </c>
      <c r="E993" s="6" t="s">
        <v>24</v>
      </c>
      <c r="F993" s="6">
        <v>2020</v>
      </c>
      <c r="G993" s="6" t="s">
        <v>14</v>
      </c>
      <c r="H993" s="7" t="s">
        <v>20</v>
      </c>
      <c r="I993" s="6" t="s">
        <v>109</v>
      </c>
      <c r="J993" s="130"/>
      <c r="K993" s="148" t="s">
        <v>2164</v>
      </c>
    </row>
    <row r="994" spans="1:11" ht="28.9" customHeight="1" thickTop="1" thickBot="1" x14ac:dyDescent="0.75">
      <c r="A994" s="10">
        <v>992</v>
      </c>
      <c r="B994" s="58" t="str">
        <f>HYPERLINK("https://search.naver.com/search.naver?query=리플리 영화", "리플리")</f>
        <v>리플리</v>
      </c>
      <c r="C994" s="12">
        <v>8.77</v>
      </c>
      <c r="D994" s="13" t="s">
        <v>2165</v>
      </c>
      <c r="E994" s="10" t="s">
        <v>24</v>
      </c>
      <c r="F994" s="10">
        <v>1999</v>
      </c>
      <c r="G994" s="10" t="s">
        <v>14</v>
      </c>
      <c r="H994" s="11" t="s">
        <v>20</v>
      </c>
      <c r="I994" s="10" t="s">
        <v>476</v>
      </c>
      <c r="J994" s="131"/>
      <c r="K994" s="149" t="s">
        <v>2166</v>
      </c>
    </row>
    <row r="995" spans="1:11" ht="28.9" customHeight="1" thickTop="1" thickBot="1" x14ac:dyDescent="0.75">
      <c r="A995" s="6">
        <v>993</v>
      </c>
      <c r="B995" s="57" t="str">
        <f>HYPERLINK("https://search.naver.com/search.naver?query=린 온 피트 영화", "린 온 피트")</f>
        <v>린 온 피트</v>
      </c>
      <c r="C995" s="8">
        <v>8.74</v>
      </c>
      <c r="D995" s="9" t="s">
        <v>2167</v>
      </c>
      <c r="E995" s="6" t="s">
        <v>29</v>
      </c>
      <c r="F995" s="6">
        <v>2017</v>
      </c>
      <c r="G995" s="6" t="s">
        <v>14</v>
      </c>
      <c r="H995" s="7" t="s">
        <v>20</v>
      </c>
      <c r="I995" s="6" t="s">
        <v>195</v>
      </c>
      <c r="J995" s="130"/>
      <c r="K995" s="148" t="s">
        <v>2168</v>
      </c>
    </row>
    <row r="996" spans="1:11" ht="28.9" customHeight="1" thickTop="1" thickBot="1" x14ac:dyDescent="0.75">
      <c r="A996" s="10">
        <v>994</v>
      </c>
      <c r="B996" s="58" t="str">
        <f>HYPERLINK("https://search.naver.com/search.naver?query=립반윙클의 신부 영화", "립반윙클의 신부")</f>
        <v>립반윙클의 신부</v>
      </c>
      <c r="C996" s="12">
        <v>7.82</v>
      </c>
      <c r="D996" s="13" t="s">
        <v>2169</v>
      </c>
      <c r="E996" s="10" t="s">
        <v>19</v>
      </c>
      <c r="F996" s="10">
        <v>2016</v>
      </c>
      <c r="G996" s="10" t="s">
        <v>14</v>
      </c>
      <c r="H996" s="11" t="s">
        <v>20</v>
      </c>
      <c r="I996" s="10" t="s">
        <v>311</v>
      </c>
      <c r="J996" s="131"/>
      <c r="K996" s="149" t="s">
        <v>2170</v>
      </c>
    </row>
    <row r="997" spans="1:11" ht="28.9" customHeight="1" thickTop="1" thickBot="1" x14ac:dyDescent="0.75">
      <c r="A997" s="6">
        <v>995</v>
      </c>
      <c r="B997" s="57" t="str">
        <f>HYPERLINK("https://search.naver.com/search.naver?query=링컨 차를 타는 변호사 영화", "링컨 차를 타는 변호사")</f>
        <v>링컨 차를 타는 변호사</v>
      </c>
      <c r="C997" s="8">
        <v>8.1999999999999993</v>
      </c>
      <c r="D997" s="9" t="s">
        <v>2171</v>
      </c>
      <c r="E997" s="6" t="s">
        <v>24</v>
      </c>
      <c r="F997" s="6">
        <v>2011</v>
      </c>
      <c r="G997" s="6" t="s">
        <v>14</v>
      </c>
      <c r="H997" s="7" t="s">
        <v>428</v>
      </c>
      <c r="I997" s="6" t="s">
        <v>329</v>
      </c>
      <c r="J997" s="130"/>
      <c r="K997" s="148" t="s">
        <v>2172</v>
      </c>
    </row>
    <row r="998" spans="1:11" ht="28.9" customHeight="1" thickTop="1" thickBot="1" x14ac:dyDescent="0.75">
      <c r="A998" s="10">
        <v>996</v>
      </c>
      <c r="B998" s="58" t="str">
        <f>HYPERLINK("https://search.naver.com/search.naver?query=마녀 영화", "마녀")</f>
        <v>마녀</v>
      </c>
      <c r="C998" s="12">
        <v>8.58</v>
      </c>
      <c r="D998" s="13" t="s">
        <v>2173</v>
      </c>
      <c r="E998" s="10" t="s">
        <v>13</v>
      </c>
      <c r="F998" s="10">
        <v>2018</v>
      </c>
      <c r="G998" s="10" t="s">
        <v>14</v>
      </c>
      <c r="H998" s="11" t="s">
        <v>124</v>
      </c>
      <c r="I998" s="10" t="s">
        <v>316</v>
      </c>
      <c r="J998" s="131"/>
      <c r="K998" s="149" t="s">
        <v>2174</v>
      </c>
    </row>
    <row r="999" spans="1:11" ht="28.9" customHeight="1" thickTop="1" thickBot="1" x14ac:dyDescent="0.75">
      <c r="A999" s="6">
        <v>997</v>
      </c>
      <c r="B999" s="57" t="str">
        <f>HYPERLINK("https://search.naver.com/search.naver?query=마녀 2 영화", "마녀 2")</f>
        <v>마녀 2</v>
      </c>
      <c r="C999" s="8">
        <v>6.58</v>
      </c>
      <c r="D999" s="9" t="s">
        <v>2175</v>
      </c>
      <c r="E999" s="6" t="s">
        <v>13</v>
      </c>
      <c r="F999" s="6">
        <v>2022</v>
      </c>
      <c r="G999" s="6" t="s">
        <v>14</v>
      </c>
      <c r="H999" s="7" t="s">
        <v>124</v>
      </c>
      <c r="I999" s="6" t="s">
        <v>269</v>
      </c>
      <c r="J999" s="130"/>
      <c r="K999" s="148" t="s">
        <v>2176</v>
      </c>
    </row>
    <row r="1000" spans="1:11" ht="28.9" customHeight="1" thickTop="1" thickBot="1" x14ac:dyDescent="0.75">
      <c r="A1000" s="10">
        <v>998</v>
      </c>
      <c r="B1000" s="59" t="str">
        <f>HYPERLINK("https://search.naver.com/search.naver?query=마녀의 발견 시즌1", "마녀의 발견 시즌1")</f>
        <v>마녀의 발견 시즌1</v>
      </c>
      <c r="C1000" s="16"/>
      <c r="D1000" s="17" t="s">
        <v>2177</v>
      </c>
      <c r="E1000" s="14" t="s">
        <v>29</v>
      </c>
      <c r="F1000" s="14">
        <v>2018</v>
      </c>
      <c r="G1000" s="14" t="s">
        <v>20</v>
      </c>
      <c r="H1000" s="15" t="s">
        <v>20</v>
      </c>
      <c r="I1000" s="14" t="s">
        <v>71</v>
      </c>
      <c r="J1000" s="132"/>
      <c r="K1000" s="150" t="s">
        <v>2178</v>
      </c>
    </row>
    <row r="1001" spans="1:11" ht="28.9" customHeight="1" thickTop="1" thickBot="1" x14ac:dyDescent="0.75">
      <c r="A1001" s="6">
        <v>999</v>
      </c>
      <c r="B1001" s="59" t="str">
        <f>HYPERLINK("https://search.naver.com/search.naver?query=마녀의 발견 시즌2", "마녀의 발견 시즌2")</f>
        <v>마녀의 발견 시즌2</v>
      </c>
      <c r="C1001" s="16"/>
      <c r="D1001" s="17" t="s">
        <v>2177</v>
      </c>
      <c r="E1001" s="14" t="s">
        <v>29</v>
      </c>
      <c r="F1001" s="14">
        <v>2021</v>
      </c>
      <c r="G1001" s="14" t="s">
        <v>20</v>
      </c>
      <c r="H1001" s="15" t="s">
        <v>20</v>
      </c>
      <c r="I1001" s="14" t="s">
        <v>64</v>
      </c>
      <c r="J1001" s="132"/>
      <c r="K1001" s="150" t="s">
        <v>2179</v>
      </c>
    </row>
    <row r="1002" spans="1:11" ht="28.9" customHeight="1" thickTop="1" thickBot="1" x14ac:dyDescent="0.75">
      <c r="A1002" s="10">
        <v>1000</v>
      </c>
      <c r="B1002" s="59" t="str">
        <f>HYPERLINK("https://search.naver.com/search.naver?query=마녀의 발견 시즌3", "마녀의 발견 시즌3")</f>
        <v>마녀의 발견 시즌3</v>
      </c>
      <c r="C1002" s="16"/>
      <c r="D1002" s="17" t="s">
        <v>2177</v>
      </c>
      <c r="E1002" s="14" t="s">
        <v>29</v>
      </c>
      <c r="F1002" s="14">
        <v>2022</v>
      </c>
      <c r="G1002" s="14" t="s">
        <v>20</v>
      </c>
      <c r="H1002" s="15" t="s">
        <v>20</v>
      </c>
      <c r="I1002" s="14" t="s">
        <v>512</v>
      </c>
      <c r="J1002" s="132"/>
      <c r="K1002" s="150" t="s">
        <v>2180</v>
      </c>
    </row>
    <row r="1003" spans="1:11" ht="28.9" customHeight="1" thickTop="1" thickBot="1" x14ac:dyDescent="0.75">
      <c r="A1003" s="6">
        <v>1001</v>
      </c>
      <c r="B1003" s="57" t="str">
        <f>HYPERLINK("https://search.naver.com/search.naver?query=마농의 샘1 영화", "마농의 샘 1")</f>
        <v>마농의 샘 1</v>
      </c>
      <c r="C1003" s="8">
        <v>9.42</v>
      </c>
      <c r="D1003" s="9" t="s">
        <v>2181</v>
      </c>
      <c r="E1003" s="6" t="s">
        <v>310</v>
      </c>
      <c r="F1003" s="6">
        <v>1986</v>
      </c>
      <c r="G1003" s="6" t="s">
        <v>14</v>
      </c>
      <c r="H1003" s="7" t="s">
        <v>20</v>
      </c>
      <c r="I1003" s="6" t="s">
        <v>116</v>
      </c>
      <c r="J1003" s="130"/>
      <c r="K1003" s="148" t="s">
        <v>2182</v>
      </c>
    </row>
    <row r="1004" spans="1:11" ht="28.9" customHeight="1" thickTop="1" thickBot="1" x14ac:dyDescent="0.75">
      <c r="A1004" s="10">
        <v>1002</v>
      </c>
      <c r="B1004" s="58" t="str">
        <f>HYPERLINK("https://search.naver.com/search.naver?query=마농의 샘 2 영화", "마농의 샘 2")</f>
        <v>마농의 샘 2</v>
      </c>
      <c r="C1004" s="12">
        <v>9.34</v>
      </c>
      <c r="D1004" s="13" t="s">
        <v>2183</v>
      </c>
      <c r="E1004" s="10" t="s">
        <v>310</v>
      </c>
      <c r="F1004" s="10">
        <v>1986</v>
      </c>
      <c r="G1004" s="10" t="s">
        <v>14</v>
      </c>
      <c r="H1004" s="11" t="s">
        <v>20</v>
      </c>
      <c r="I1004" s="10" t="s">
        <v>98</v>
      </c>
      <c r="J1004" s="131"/>
      <c r="K1004" s="149" t="s">
        <v>2184</v>
      </c>
    </row>
    <row r="1005" spans="1:11" ht="28.9" customHeight="1" thickTop="1" thickBot="1" x14ac:dyDescent="0.75">
      <c r="A1005" s="6">
        <v>1003</v>
      </c>
      <c r="B1005" s="59" t="str">
        <f>HYPERLINK("https://search.naver.com/search.naver?query=마담 세크리터리 시즌1", "마담 세크리터리 시즌1")</f>
        <v>마담 세크리터리 시즌1</v>
      </c>
      <c r="C1005" s="16"/>
      <c r="D1005" s="17" t="s">
        <v>2185</v>
      </c>
      <c r="E1005" s="14" t="s">
        <v>24</v>
      </c>
      <c r="F1005" s="14">
        <v>2015</v>
      </c>
      <c r="G1005" s="14" t="s">
        <v>20</v>
      </c>
      <c r="H1005" s="15" t="s">
        <v>2186</v>
      </c>
      <c r="I1005" s="14" t="s">
        <v>569</v>
      </c>
      <c r="J1005" s="132"/>
      <c r="K1005" s="150" t="s">
        <v>2187</v>
      </c>
    </row>
    <row r="1006" spans="1:11" ht="28.9" customHeight="1" thickTop="1" thickBot="1" x14ac:dyDescent="0.75">
      <c r="A1006" s="10">
        <v>1004</v>
      </c>
      <c r="B1006" s="59" t="str">
        <f>HYPERLINK("https://search.naver.com/search.naver?query=마담 세크리터리 시즌2", "마담 세크리터리 시즌2")</f>
        <v>마담 세크리터리 시즌2</v>
      </c>
      <c r="C1006" s="16"/>
      <c r="D1006" s="17" t="s">
        <v>2185</v>
      </c>
      <c r="E1006" s="14" t="s">
        <v>24</v>
      </c>
      <c r="F1006" s="14">
        <v>2016</v>
      </c>
      <c r="G1006" s="14" t="s">
        <v>20</v>
      </c>
      <c r="H1006" s="15" t="s">
        <v>2186</v>
      </c>
      <c r="I1006" s="14" t="s">
        <v>1322</v>
      </c>
      <c r="J1006" s="132"/>
      <c r="K1006" s="150" t="s">
        <v>2188</v>
      </c>
    </row>
    <row r="1007" spans="1:11" ht="28.9" customHeight="1" thickTop="1" thickBot="1" x14ac:dyDescent="0.75">
      <c r="A1007" s="6">
        <v>1005</v>
      </c>
      <c r="B1007" s="59" t="str">
        <f>HYPERLINK("https://search.naver.com/search.naver?query=마담 세크리터리 시즌36", "마담 세크리터리 시즌3")</f>
        <v>마담 세크리터리 시즌3</v>
      </c>
      <c r="C1007" s="16"/>
      <c r="D1007" s="17" t="s">
        <v>2185</v>
      </c>
      <c r="E1007" s="14" t="s">
        <v>24</v>
      </c>
      <c r="F1007" s="14">
        <v>2017</v>
      </c>
      <c r="G1007" s="14" t="s">
        <v>20</v>
      </c>
      <c r="H1007" s="15" t="s">
        <v>2186</v>
      </c>
      <c r="I1007" s="14" t="s">
        <v>64</v>
      </c>
      <c r="J1007" s="132"/>
      <c r="K1007" s="150" t="s">
        <v>2189</v>
      </c>
    </row>
    <row r="1008" spans="1:11" ht="28.9" customHeight="1" thickTop="1" thickBot="1" x14ac:dyDescent="0.75">
      <c r="A1008" s="10">
        <v>1006</v>
      </c>
      <c r="B1008" s="59" t="str">
        <f>HYPERLINK("https://search.naver.com/search.naver?query=마담 시크리터리 시즌4", "마담 시크리터리 시즌4")</f>
        <v>마담 시크리터리 시즌4</v>
      </c>
      <c r="C1008" s="16"/>
      <c r="D1008" s="17" t="s">
        <v>2185</v>
      </c>
      <c r="E1008" s="14" t="s">
        <v>24</v>
      </c>
      <c r="F1008" s="14">
        <v>2018</v>
      </c>
      <c r="G1008" s="14" t="s">
        <v>20</v>
      </c>
      <c r="H1008" s="15" t="s">
        <v>2186</v>
      </c>
      <c r="I1008" s="14" t="s">
        <v>569</v>
      </c>
      <c r="J1008" s="132"/>
      <c r="K1008" s="150" t="s">
        <v>2190</v>
      </c>
    </row>
    <row r="1009" spans="1:11" ht="28.9" customHeight="1" thickTop="1" thickBot="1" x14ac:dyDescent="0.75">
      <c r="A1009" s="6">
        <v>1007</v>
      </c>
      <c r="B1009" s="59" t="str">
        <f>HYPERLINK("https://search.naver.com/search.naver?query=마담 시크리터리 시즌5", "마담 시크리터리 시즌5")</f>
        <v>마담 시크리터리 시즌5</v>
      </c>
      <c r="C1009" s="16"/>
      <c r="D1009" s="17" t="s">
        <v>2185</v>
      </c>
      <c r="E1009" s="14" t="s">
        <v>24</v>
      </c>
      <c r="F1009" s="14">
        <v>2019</v>
      </c>
      <c r="G1009" s="14" t="s">
        <v>20</v>
      </c>
      <c r="H1009" s="15" t="s">
        <v>2186</v>
      </c>
      <c r="I1009" s="14" t="s">
        <v>566</v>
      </c>
      <c r="J1009" s="132"/>
      <c r="K1009" s="150" t="s">
        <v>2191</v>
      </c>
    </row>
    <row r="1010" spans="1:11" ht="28.9" customHeight="1" thickTop="1" thickBot="1" x14ac:dyDescent="0.75">
      <c r="A1010" s="10">
        <v>1008</v>
      </c>
      <c r="B1010" s="59" t="str">
        <f>HYPERLINK("https://search.naver.com/search.naver?query=마담 시크리터리 시즌6", "마담 시크리터리 시즌6")</f>
        <v>마담 시크리터리 시즌6</v>
      </c>
      <c r="C1010" s="16"/>
      <c r="D1010" s="17" t="s">
        <v>2185</v>
      </c>
      <c r="E1010" s="14" t="s">
        <v>24</v>
      </c>
      <c r="F1010" s="14">
        <v>2019</v>
      </c>
      <c r="G1010" s="14" t="s">
        <v>20</v>
      </c>
      <c r="H1010" s="15" t="s">
        <v>2186</v>
      </c>
      <c r="I1010" s="14" t="s">
        <v>566</v>
      </c>
      <c r="J1010" s="132"/>
      <c r="K1010" s="150" t="s">
        <v>2192</v>
      </c>
    </row>
    <row r="1011" spans="1:11" ht="28.9" customHeight="1" thickTop="1" thickBot="1" x14ac:dyDescent="0.75">
      <c r="A1011" s="6">
        <v>1009</v>
      </c>
      <c r="B1011" s="57" t="str">
        <f>HYPERLINK("https://search.naver.com/search.naver?query=마담 싸이코 영화", "마담 싸이코")</f>
        <v>마담 싸이코</v>
      </c>
      <c r="C1011" s="8">
        <v>8.9700000000000006</v>
      </c>
      <c r="D1011" s="9" t="s">
        <v>2193</v>
      </c>
      <c r="E1011" s="6" t="s">
        <v>24</v>
      </c>
      <c r="F1011" s="6">
        <v>2018</v>
      </c>
      <c r="G1011" s="6" t="s">
        <v>14</v>
      </c>
      <c r="H1011" s="7" t="s">
        <v>54</v>
      </c>
      <c r="I1011" s="6" t="s">
        <v>16</v>
      </c>
      <c r="J1011" s="130"/>
      <c r="K1011" s="148" t="s">
        <v>2194</v>
      </c>
    </row>
    <row r="1012" spans="1:11" ht="28.9" customHeight="1" thickTop="1" thickBot="1" x14ac:dyDescent="0.75">
      <c r="A1012" s="10">
        <v>1010</v>
      </c>
      <c r="B1012" s="58" t="str">
        <f>HYPERLINK("https://search.naver.com/search.naver?query=마더 영화", "마더")</f>
        <v>마더</v>
      </c>
      <c r="C1012" s="12">
        <v>9.42</v>
      </c>
      <c r="D1012" s="13" t="s">
        <v>2195</v>
      </c>
      <c r="E1012" s="10" t="s">
        <v>13</v>
      </c>
      <c r="F1012" s="10">
        <v>2009</v>
      </c>
      <c r="G1012" s="10" t="s">
        <v>14</v>
      </c>
      <c r="H1012" s="11" t="s">
        <v>20</v>
      </c>
      <c r="I1012" s="10" t="s">
        <v>146</v>
      </c>
      <c r="J1012" s="131"/>
      <c r="K1012" s="149" t="s">
        <v>2196</v>
      </c>
    </row>
    <row r="1013" spans="1:11" ht="28.9" customHeight="1" thickTop="1" thickBot="1" x14ac:dyDescent="0.75">
      <c r="A1013" s="6">
        <v>1011</v>
      </c>
      <c r="B1013" s="57" t="str">
        <f>HYPERLINK("https://namu.wiki/w/%EB%A7%88%EB%8D%94(%EC%9D%BC%EB%B3%B8%20%EC%98%81%ED%99%94)", "마더")</f>
        <v>마더</v>
      </c>
      <c r="C1013" s="8">
        <v>9.42</v>
      </c>
      <c r="D1013" s="9" t="s">
        <v>2197</v>
      </c>
      <c r="E1013" s="6" t="s">
        <v>19</v>
      </c>
      <c r="F1013" s="6">
        <v>2020</v>
      </c>
      <c r="G1013" s="6" t="s">
        <v>14</v>
      </c>
      <c r="H1013" s="7" t="s">
        <v>2198</v>
      </c>
      <c r="I1013" s="6" t="s">
        <v>150</v>
      </c>
      <c r="J1013" s="130"/>
      <c r="K1013" s="148" t="s">
        <v>2199</v>
      </c>
    </row>
    <row r="1014" spans="1:11" ht="28.9" customHeight="1" thickTop="1" thickBot="1" x14ac:dyDescent="0.75">
      <c r="A1014" s="10">
        <v>1012</v>
      </c>
      <c r="B1014" s="58" t="str">
        <f>HYPERLINK("https://search.naver.com/search.naver?query=마더 2017", "마더")</f>
        <v>마더</v>
      </c>
      <c r="C1014" s="12">
        <v>9.42</v>
      </c>
      <c r="D1014" s="13" t="s">
        <v>2200</v>
      </c>
      <c r="E1014" s="10" t="s">
        <v>24</v>
      </c>
      <c r="F1014" s="10">
        <v>2017</v>
      </c>
      <c r="G1014" s="10" t="s">
        <v>14</v>
      </c>
      <c r="H1014" s="11" t="s">
        <v>54</v>
      </c>
      <c r="I1014" s="10" t="s">
        <v>195</v>
      </c>
      <c r="J1014" s="131"/>
      <c r="K1014" s="149" t="s">
        <v>2201</v>
      </c>
    </row>
    <row r="1015" spans="1:11" ht="28.9" customHeight="1" thickTop="1" thickBot="1" x14ac:dyDescent="0.75">
      <c r="A1015" s="6">
        <v>1013</v>
      </c>
      <c r="B1015" s="57" t="str">
        <f>HYPERLINK("https://search.naver.com/search.naver?query=마더 앤 머더 영화", "마더 앤 머더")</f>
        <v>마더 앤 머더</v>
      </c>
      <c r="C1015" s="8">
        <v>3.32</v>
      </c>
      <c r="D1015" s="9" t="s">
        <v>2202</v>
      </c>
      <c r="E1015" s="6" t="s">
        <v>275</v>
      </c>
      <c r="F1015" s="6">
        <v>2021</v>
      </c>
      <c r="G1015" s="6" t="s">
        <v>14</v>
      </c>
      <c r="H1015" s="7" t="s">
        <v>54</v>
      </c>
      <c r="I1015" s="6" t="s">
        <v>162</v>
      </c>
      <c r="J1015" s="130"/>
      <c r="K1015" s="148" t="s">
        <v>2203</v>
      </c>
    </row>
    <row r="1016" spans="1:11" ht="28.9" customHeight="1" thickTop="1" thickBot="1" x14ac:dyDescent="0.75">
      <c r="A1016" s="10">
        <v>1014</v>
      </c>
      <c r="B1016" s="58" t="str">
        <f>HYPERLINK("https://search.naver.com/search.naver?query=마더 앤 차일드 영화", "마더 앤 차일드")</f>
        <v>마더 앤 차일드</v>
      </c>
      <c r="C1016" s="12">
        <v>8.3699999999999992</v>
      </c>
      <c r="D1016" s="13" t="s">
        <v>2204</v>
      </c>
      <c r="E1016" s="10" t="s">
        <v>24</v>
      </c>
      <c r="F1016" s="10">
        <v>2009</v>
      </c>
      <c r="G1016" s="10" t="s">
        <v>14</v>
      </c>
      <c r="H1016" s="11" t="s">
        <v>20</v>
      </c>
      <c r="I1016" s="10" t="s">
        <v>316</v>
      </c>
      <c r="J1016" s="131"/>
      <c r="K1016" s="149" t="s">
        <v>2205</v>
      </c>
    </row>
    <row r="1017" spans="1:11" ht="28.9" customHeight="1" thickTop="1" thickBot="1" x14ac:dyDescent="0.75">
      <c r="A1017" s="6">
        <v>1015</v>
      </c>
      <c r="B1017" s="57" t="str">
        <f>HYPERLINK("https://search.naver.com/search.naver?query=마리 퀴리 영화", "마리 퀴리")</f>
        <v>마리 퀴리</v>
      </c>
      <c r="C1017" s="8">
        <v>8.5</v>
      </c>
      <c r="D1017" s="9" t="s">
        <v>2206</v>
      </c>
      <c r="E1017" s="6" t="s">
        <v>2207</v>
      </c>
      <c r="F1017" s="6">
        <v>2020</v>
      </c>
      <c r="G1017" s="6" t="s">
        <v>14</v>
      </c>
      <c r="H1017" s="7" t="s">
        <v>20</v>
      </c>
      <c r="I1017" s="6" t="s">
        <v>179</v>
      </c>
      <c r="J1017" s="130"/>
      <c r="K1017" s="148" t="s">
        <v>2208</v>
      </c>
    </row>
    <row r="1018" spans="1:11" ht="28.9" customHeight="1" thickTop="1" thickBot="1" x14ac:dyDescent="0.75">
      <c r="A1018" s="10">
        <v>1016</v>
      </c>
      <c r="B1018" s="58" t="str">
        <f>HYPERLINK("https://search.naver.com/search.naver?query=마린 영화", "마린")</f>
        <v>마린</v>
      </c>
      <c r="C1018" s="12">
        <v>8.17</v>
      </c>
      <c r="D1018" s="13" t="s">
        <v>2209</v>
      </c>
      <c r="E1018" s="10" t="s">
        <v>310</v>
      </c>
      <c r="F1018" s="10">
        <v>2012</v>
      </c>
      <c r="G1018" s="10" t="s">
        <v>14</v>
      </c>
      <c r="H1018" s="11" t="s">
        <v>20</v>
      </c>
      <c r="I1018" s="10" t="s">
        <v>179</v>
      </c>
      <c r="J1018" s="131"/>
      <c r="K1018" s="149" t="s">
        <v>2210</v>
      </c>
    </row>
    <row r="1019" spans="1:11" ht="28.9" customHeight="1" thickTop="1" thickBot="1" x14ac:dyDescent="0.75">
      <c r="A1019" s="6">
        <v>1017</v>
      </c>
      <c r="B1019" s="57" t="str">
        <f>HYPERLINK("https://search.naver.com/search.naver?query=마릴린 먼로와 함께한 일주일 영화", "마릴린 먼로와 함께한 일주일")</f>
        <v>마릴린 먼로와 함께한 일주일</v>
      </c>
      <c r="C1019" s="8">
        <v>7.87</v>
      </c>
      <c r="D1019" s="9" t="s">
        <v>2211</v>
      </c>
      <c r="E1019" s="6" t="s">
        <v>29</v>
      </c>
      <c r="F1019" s="6">
        <v>2011</v>
      </c>
      <c r="G1019" s="6" t="s">
        <v>14</v>
      </c>
      <c r="H1019" s="7" t="s">
        <v>20</v>
      </c>
      <c r="I1019" s="6" t="s">
        <v>109</v>
      </c>
      <c r="J1019" s="130"/>
      <c r="K1019" s="148" t="s">
        <v>2212</v>
      </c>
    </row>
    <row r="1020" spans="1:11" ht="28.9" customHeight="1" thickTop="1" thickBot="1" x14ac:dyDescent="0.75">
      <c r="A1020" s="10">
        <v>1018</v>
      </c>
      <c r="B1020" s="58" t="str">
        <f>HYPERLINK("https://search.naver.com/search.naver?query=마미웨이 영화", "마미웨이")</f>
        <v>마미웨이</v>
      </c>
      <c r="C1020" s="12">
        <v>7.22</v>
      </c>
      <c r="D1020" s="13"/>
      <c r="E1020" s="10" t="s">
        <v>13</v>
      </c>
      <c r="F1020" s="10">
        <v>2011</v>
      </c>
      <c r="G1020" s="10" t="s">
        <v>14</v>
      </c>
      <c r="H1020" s="11" t="s">
        <v>20</v>
      </c>
      <c r="I1020" s="10" t="s">
        <v>269</v>
      </c>
      <c r="J1020" s="131"/>
      <c r="K1020" s="149" t="s">
        <v>2213</v>
      </c>
    </row>
    <row r="1021" spans="1:11" ht="28.9" customHeight="1" thickTop="1" thickBot="1" x14ac:dyDescent="0.75">
      <c r="A1021" s="6">
        <v>1019</v>
      </c>
      <c r="B1021" s="57" t="str">
        <f>HYPERLINK("https://search.naver.com/search.naver?query=마션 영화", "마션")</f>
        <v>마션</v>
      </c>
      <c r="C1021" s="8">
        <v>8.7200000000000006</v>
      </c>
      <c r="D1021" s="9" t="s">
        <v>2214</v>
      </c>
      <c r="E1021" s="6" t="s">
        <v>24</v>
      </c>
      <c r="F1021" s="6">
        <v>2015</v>
      </c>
      <c r="G1021" s="6" t="s">
        <v>14</v>
      </c>
      <c r="H1021" s="7" t="s">
        <v>877</v>
      </c>
      <c r="I1021" s="6" t="s">
        <v>759</v>
      </c>
      <c r="J1021" s="130"/>
      <c r="K1021" s="148" t="s">
        <v>2215</v>
      </c>
    </row>
    <row r="1022" spans="1:11" ht="28.9" customHeight="1" thickTop="1" thickBot="1" x14ac:dyDescent="0.75">
      <c r="A1022" s="10">
        <v>1020</v>
      </c>
      <c r="B1022" s="59" t="str">
        <f>HYPERLINK("https://search.naver.com/search.naver?query=마스크걸", "마스크걸")</f>
        <v>마스크걸</v>
      </c>
      <c r="C1022" s="16"/>
      <c r="D1022" s="17" t="s">
        <v>2216</v>
      </c>
      <c r="E1022" s="14" t="s">
        <v>13</v>
      </c>
      <c r="F1022" s="14">
        <v>2023</v>
      </c>
      <c r="G1022" s="14" t="s">
        <v>20</v>
      </c>
      <c r="H1022" s="15" t="s">
        <v>15</v>
      </c>
      <c r="I1022" s="14" t="s">
        <v>512</v>
      </c>
      <c r="J1022" s="132"/>
      <c r="K1022" s="150" t="s">
        <v>2217</v>
      </c>
    </row>
    <row r="1023" spans="1:11" ht="28.9" customHeight="1" thickTop="1" thickBot="1" x14ac:dyDescent="0.75">
      <c r="A1023" s="6">
        <v>1021</v>
      </c>
      <c r="B1023" s="57" t="str">
        <f>HYPERLINK("https://search.naver.com/search.naver?query=마스터 영화", "마스터")</f>
        <v>마스터</v>
      </c>
      <c r="C1023" s="8">
        <v>8.66</v>
      </c>
      <c r="D1023" s="9" t="s">
        <v>2218</v>
      </c>
      <c r="E1023" s="6" t="s">
        <v>13</v>
      </c>
      <c r="F1023" s="6">
        <v>2016</v>
      </c>
      <c r="G1023" s="6" t="s">
        <v>14</v>
      </c>
      <c r="H1023" s="7" t="s">
        <v>428</v>
      </c>
      <c r="I1023" s="6" t="s">
        <v>30</v>
      </c>
      <c r="J1023" s="130"/>
      <c r="K1023" s="148" t="s">
        <v>2219</v>
      </c>
    </row>
    <row r="1024" spans="1:11" ht="28.9" customHeight="1" thickTop="1" thickBot="1" x14ac:dyDescent="0.75">
      <c r="A1024" s="10">
        <v>1022</v>
      </c>
      <c r="B1024" s="58" t="str">
        <f>HYPERLINK("https://search.naver.com/search.naver?query=마스터 영화", "마스터")</f>
        <v>마스터</v>
      </c>
      <c r="C1024" s="12">
        <v>8.66</v>
      </c>
      <c r="D1024" s="13" t="s">
        <v>2220</v>
      </c>
      <c r="E1024" s="10" t="s">
        <v>24</v>
      </c>
      <c r="F1024" s="10">
        <v>2012</v>
      </c>
      <c r="G1024" s="10" t="s">
        <v>14</v>
      </c>
      <c r="H1024" s="11" t="s">
        <v>20</v>
      </c>
      <c r="I1024" s="10" t="s">
        <v>269</v>
      </c>
      <c r="J1024" s="131"/>
      <c r="K1024" s="149" t="s">
        <v>2221</v>
      </c>
    </row>
    <row r="1025" spans="1:11" ht="28.9" customHeight="1" thickTop="1" thickBot="1" x14ac:dyDescent="0.75">
      <c r="A1025" s="6">
        <v>1023</v>
      </c>
      <c r="B1025" s="57" t="str">
        <f>HYPERLINK("https://search.naver.com/search.naver?query=마스터 앤드 커맨더 영화", "마스터 앤드 커맨더")</f>
        <v>마스터 앤드 커맨더</v>
      </c>
      <c r="C1025" s="8"/>
      <c r="D1025" s="9" t="s">
        <v>2222</v>
      </c>
      <c r="E1025" s="6" t="s">
        <v>24</v>
      </c>
      <c r="F1025" s="6">
        <v>2003</v>
      </c>
      <c r="G1025" s="6" t="s">
        <v>14</v>
      </c>
      <c r="H1025" s="7" t="s">
        <v>124</v>
      </c>
      <c r="I1025" s="6" t="s">
        <v>1058</v>
      </c>
      <c r="J1025" s="130"/>
      <c r="K1025" s="148" t="s">
        <v>2223</v>
      </c>
    </row>
    <row r="1026" spans="1:11" ht="28.9" customHeight="1" thickTop="1" thickBot="1" x14ac:dyDescent="0.75">
      <c r="A1026" s="10">
        <v>1024</v>
      </c>
      <c r="B1026" s="59" t="str">
        <f>HYPERLINK("https://search.naver.com/search.naver?query=마스터스 오브 디 에어", "마스터스 오브 디 에어")</f>
        <v>마스터스 오브 디 에어</v>
      </c>
      <c r="C1026" s="16"/>
      <c r="D1026" s="17" t="s">
        <v>2224</v>
      </c>
      <c r="E1026" s="14" t="s">
        <v>24</v>
      </c>
      <c r="F1026" s="14">
        <v>2024</v>
      </c>
      <c r="G1026" s="14" t="s">
        <v>20</v>
      </c>
      <c r="H1026" s="15" t="s">
        <v>67</v>
      </c>
      <c r="I1026" s="14" t="s">
        <v>364</v>
      </c>
      <c r="J1026" s="132"/>
      <c r="K1026" s="150" t="s">
        <v>2225</v>
      </c>
    </row>
    <row r="1027" spans="1:11" ht="28.9" customHeight="1" thickTop="1" thickBot="1" x14ac:dyDescent="0.75">
      <c r="A1027" s="6">
        <v>1025</v>
      </c>
      <c r="B1027" s="57" t="str">
        <f>HYPERLINK("https://search.naver.com/search.naver?query=마약왕 영화", "마약왕")</f>
        <v>마약왕</v>
      </c>
      <c r="C1027" s="8">
        <v>7.16</v>
      </c>
      <c r="D1027" s="9" t="s">
        <v>2226</v>
      </c>
      <c r="E1027" s="6" t="s">
        <v>13</v>
      </c>
      <c r="F1027" s="6">
        <v>2018</v>
      </c>
      <c r="G1027" s="6" t="s">
        <v>14</v>
      </c>
      <c r="H1027" s="7" t="s">
        <v>428</v>
      </c>
      <c r="I1027" s="6" t="s">
        <v>476</v>
      </c>
      <c r="J1027" s="130"/>
      <c r="K1027" s="148" t="s">
        <v>2227</v>
      </c>
    </row>
    <row r="1028" spans="1:11" ht="28.9" customHeight="1" thickTop="1" thickBot="1" x14ac:dyDescent="0.75">
      <c r="A1028" s="10">
        <v>1026</v>
      </c>
      <c r="B1028" s="58" t="str">
        <f>HYPERLINK("https://search.naver.com/search.naver?query=마에스트로 영화", "마에스트로")</f>
        <v>마에스트로</v>
      </c>
      <c r="C1028" s="12">
        <v>6.96</v>
      </c>
      <c r="D1028" s="13" t="s">
        <v>2228</v>
      </c>
      <c r="E1028" s="10" t="s">
        <v>310</v>
      </c>
      <c r="F1028" s="10">
        <v>2015</v>
      </c>
      <c r="G1028" s="10" t="s">
        <v>14</v>
      </c>
      <c r="H1028" s="11" t="s">
        <v>20</v>
      </c>
      <c r="I1028" s="10" t="s">
        <v>150</v>
      </c>
      <c r="J1028" s="131"/>
      <c r="K1028" s="149" t="s">
        <v>2229</v>
      </c>
    </row>
    <row r="1029" spans="1:11" ht="28.9" customHeight="1" thickTop="1" thickBot="1" x14ac:dyDescent="0.75">
      <c r="A1029" s="6">
        <v>1027</v>
      </c>
      <c r="B1029" s="57" t="str">
        <f>HYPERLINK("https://search.naver.com/search.naver?query=마음에 부는 바람 영화", "마음에 부는 바람")</f>
        <v>마음에 부는 바람</v>
      </c>
      <c r="C1029" s="8">
        <v>9.32</v>
      </c>
      <c r="D1029" s="9" t="s">
        <v>2230</v>
      </c>
      <c r="E1029" s="6" t="s">
        <v>19</v>
      </c>
      <c r="F1029" s="6">
        <v>2020</v>
      </c>
      <c r="G1029" s="6" t="s">
        <v>14</v>
      </c>
      <c r="H1029" s="7" t="s">
        <v>20</v>
      </c>
      <c r="I1029" s="6" t="s">
        <v>179</v>
      </c>
      <c r="J1029" s="130"/>
      <c r="K1029" s="148" t="s">
        <v>2231</v>
      </c>
    </row>
    <row r="1030" spans="1:11" ht="28.9" customHeight="1" thickTop="1" thickBot="1" x14ac:dyDescent="0.75">
      <c r="A1030" s="10">
        <v>1028</v>
      </c>
      <c r="B1030" s="58" t="str">
        <f>HYPERLINK("https://search.naver.com/search.naver?query=마음이 외치고 싶어해 영화", "마음이 외치고 싶어해")</f>
        <v>마음이 외치고 싶어해</v>
      </c>
      <c r="C1030" s="12">
        <v>7.28</v>
      </c>
      <c r="D1030" s="13" t="s">
        <v>2232</v>
      </c>
      <c r="E1030" s="10" t="s">
        <v>19</v>
      </c>
      <c r="F1030" s="10">
        <v>2017</v>
      </c>
      <c r="G1030" s="10" t="s">
        <v>14</v>
      </c>
      <c r="H1030" s="11" t="s">
        <v>20</v>
      </c>
      <c r="I1030" s="10" t="s">
        <v>68</v>
      </c>
      <c r="J1030" s="131"/>
      <c r="K1030" s="149" t="s">
        <v>2233</v>
      </c>
    </row>
    <row r="1031" spans="1:11" ht="28.9" customHeight="1" thickTop="1" thickBot="1" x14ac:dyDescent="0.75">
      <c r="A1031" s="6">
        <v>1029</v>
      </c>
      <c r="B1031" s="57" t="str">
        <f>HYPERLINK("https://search.naver.com/search.naver?query=마이 뉴욕 다이어리 영화", "마이 뉴욕 다이어리")</f>
        <v>마이 뉴욕 다이어리</v>
      </c>
      <c r="C1031" s="8">
        <v>7.18</v>
      </c>
      <c r="D1031" s="9" t="s">
        <v>2234</v>
      </c>
      <c r="E1031" s="6" t="s">
        <v>275</v>
      </c>
      <c r="F1031" s="6">
        <v>2020</v>
      </c>
      <c r="G1031" s="6" t="s">
        <v>14</v>
      </c>
      <c r="H1031" s="7" t="s">
        <v>20</v>
      </c>
      <c r="I1031" s="6" t="s">
        <v>94</v>
      </c>
      <c r="J1031" s="130"/>
      <c r="K1031" s="148" t="s">
        <v>2235</v>
      </c>
    </row>
    <row r="1032" spans="1:11" ht="28.9" customHeight="1" thickTop="1" thickBot="1" x14ac:dyDescent="0.75">
      <c r="A1032" s="10">
        <v>1030</v>
      </c>
      <c r="B1032" s="58" t="str">
        <f>HYPERLINK("https://search.naver.com/search.naver?query=마이 리틀 히어로 영화", "마이 리틀 히어로")</f>
        <v>마이 리틀 히어로</v>
      </c>
      <c r="C1032" s="12">
        <v>8.44</v>
      </c>
      <c r="D1032" s="13" t="s">
        <v>2236</v>
      </c>
      <c r="E1032" s="10" t="s">
        <v>13</v>
      </c>
      <c r="F1032" s="10">
        <v>2012</v>
      </c>
      <c r="G1032" s="10" t="s">
        <v>14</v>
      </c>
      <c r="H1032" s="11" t="s">
        <v>20</v>
      </c>
      <c r="I1032" s="10" t="s">
        <v>51</v>
      </c>
      <c r="J1032" s="131"/>
      <c r="K1032" s="149" t="s">
        <v>2237</v>
      </c>
    </row>
    <row r="1033" spans="1:11" ht="28.9" customHeight="1" thickTop="1" thickBot="1" x14ac:dyDescent="0.75">
      <c r="A1033" s="6">
        <v>1031</v>
      </c>
      <c r="B1033" s="57" t="str">
        <f>HYPERLINK("https://search.naver.com/search.naver?query=마이 블루베리 나이츠 영화", "마이 블루베리 나이츠")</f>
        <v>마이 블루베리 나이츠</v>
      </c>
      <c r="C1033" s="8">
        <v>7.73</v>
      </c>
      <c r="D1033" s="9" t="s">
        <v>2238</v>
      </c>
      <c r="E1033" s="6" t="s">
        <v>123</v>
      </c>
      <c r="F1033" s="6">
        <v>2007</v>
      </c>
      <c r="G1033" s="6" t="s">
        <v>14</v>
      </c>
      <c r="H1033" s="7" t="s">
        <v>20</v>
      </c>
      <c r="I1033" s="6" t="s">
        <v>156</v>
      </c>
      <c r="J1033" s="130"/>
      <c r="K1033" s="148" t="s">
        <v>2239</v>
      </c>
    </row>
    <row r="1034" spans="1:11" ht="28.9" customHeight="1" thickTop="1" thickBot="1" x14ac:dyDescent="0.75">
      <c r="A1034" s="10">
        <v>1032</v>
      </c>
      <c r="B1034" s="58" t="str">
        <f>HYPERLINK("https://search.naver.com/search.naver?query=마이 선 영화", "마이 선")</f>
        <v>마이 선</v>
      </c>
      <c r="C1034" s="12">
        <v>5.64</v>
      </c>
      <c r="D1034" s="13" t="s">
        <v>2240</v>
      </c>
      <c r="E1034" s="10" t="s">
        <v>29</v>
      </c>
      <c r="F1034" s="10">
        <v>2021</v>
      </c>
      <c r="G1034" s="10" t="s">
        <v>14</v>
      </c>
      <c r="H1034" s="11" t="s">
        <v>54</v>
      </c>
      <c r="I1034" s="10" t="s">
        <v>150</v>
      </c>
      <c r="J1034" s="131"/>
      <c r="K1034" s="149" t="s">
        <v>2241</v>
      </c>
    </row>
    <row r="1035" spans="1:11" ht="28.9" customHeight="1" thickTop="1" thickBot="1" x14ac:dyDescent="0.75">
      <c r="A1035" s="6">
        <v>1033</v>
      </c>
      <c r="B1035" s="57" t="str">
        <f>HYPERLINK("https://search.naver.com/search.naver?query=마이 스파이 영화", "마이 스파이")</f>
        <v>마이 스파이</v>
      </c>
      <c r="C1035" s="8">
        <v>7.84</v>
      </c>
      <c r="D1035" s="9" t="s">
        <v>2242</v>
      </c>
      <c r="E1035" s="6" t="s">
        <v>24</v>
      </c>
      <c r="F1035" s="6">
        <v>2020</v>
      </c>
      <c r="G1035" s="6" t="s">
        <v>14</v>
      </c>
      <c r="H1035" s="7" t="s">
        <v>124</v>
      </c>
      <c r="I1035" s="6" t="s">
        <v>109</v>
      </c>
      <c r="J1035" s="130"/>
      <c r="K1035" s="148" t="s">
        <v>2243</v>
      </c>
    </row>
    <row r="1036" spans="1:11" ht="28.9" customHeight="1" thickTop="1" thickBot="1" x14ac:dyDescent="0.75">
      <c r="A1036" s="10">
        <v>1034</v>
      </c>
      <c r="B1036" s="58" t="str">
        <f>HYPERLINK("https://search.naver.com/search.naver?query=마이 시스터즈 키퍼 영화", "마이 시스터즈 키퍼")</f>
        <v>마이 시스터즈 키퍼</v>
      </c>
      <c r="C1036" s="12">
        <v>9</v>
      </c>
      <c r="D1036" s="13" t="s">
        <v>2244</v>
      </c>
      <c r="E1036" s="10" t="s">
        <v>24</v>
      </c>
      <c r="F1036" s="10">
        <v>2009</v>
      </c>
      <c r="G1036" s="10" t="s">
        <v>14</v>
      </c>
      <c r="H1036" s="11" t="s">
        <v>20</v>
      </c>
      <c r="I1036" s="10" t="s">
        <v>187</v>
      </c>
      <c r="J1036" s="131"/>
      <c r="K1036" s="149" t="s">
        <v>2245</v>
      </c>
    </row>
    <row r="1037" spans="1:11" ht="28.9" customHeight="1" thickTop="1" thickBot="1" x14ac:dyDescent="0.75">
      <c r="A1037" s="6">
        <v>1035</v>
      </c>
      <c r="B1037" s="57" t="str">
        <f>HYPERLINK("https://search.naver.com/search.naver?query=마이 파더 영화", "마이 파더")</f>
        <v>마이 파더</v>
      </c>
      <c r="C1037" s="8">
        <v>8.24</v>
      </c>
      <c r="D1037" s="9" t="s">
        <v>2246</v>
      </c>
      <c r="E1037" s="6" t="s">
        <v>13</v>
      </c>
      <c r="F1037" s="6">
        <v>2007</v>
      </c>
      <c r="G1037" s="6" t="s">
        <v>14</v>
      </c>
      <c r="H1037" s="7" t="s">
        <v>20</v>
      </c>
      <c r="I1037" s="6" t="s">
        <v>443</v>
      </c>
      <c r="J1037" s="130"/>
      <c r="K1037" s="148" t="s">
        <v>2247</v>
      </c>
    </row>
    <row r="1038" spans="1:11" ht="28.9" customHeight="1" thickTop="1" thickBot="1" x14ac:dyDescent="0.75">
      <c r="A1038" s="10">
        <v>1036</v>
      </c>
      <c r="B1038" s="58" t="str">
        <f>HYPERLINK("https://search.naver.com/search.naver?query=마이너리티 리포트 영화", "마이너리티 리포트")</f>
        <v>마이너리티 리포트</v>
      </c>
      <c r="C1038" s="12">
        <v>9.23</v>
      </c>
      <c r="D1038" s="13" t="s">
        <v>2248</v>
      </c>
      <c r="E1038" s="10" t="s">
        <v>24</v>
      </c>
      <c r="F1038" s="10">
        <v>2002</v>
      </c>
      <c r="G1038" s="10" t="s">
        <v>14</v>
      </c>
      <c r="H1038" s="11" t="s">
        <v>877</v>
      </c>
      <c r="I1038" s="10" t="s">
        <v>251</v>
      </c>
      <c r="J1038" s="131"/>
      <c r="K1038" s="149" t="s">
        <v>2249</v>
      </c>
    </row>
    <row r="1039" spans="1:11" ht="28.9" customHeight="1" thickTop="1" thickBot="1" x14ac:dyDescent="0.75">
      <c r="A1039" s="6">
        <v>1037</v>
      </c>
      <c r="B1039" s="59" t="str">
        <f>HYPERLINK("https://search.naver.com/search.naver?query=마이네임", "마이네임")</f>
        <v>마이네임</v>
      </c>
      <c r="C1039" s="16"/>
      <c r="D1039" s="17"/>
      <c r="E1039" s="14" t="s">
        <v>13</v>
      </c>
      <c r="F1039" s="14">
        <v>2021</v>
      </c>
      <c r="G1039" s="14" t="s">
        <v>20</v>
      </c>
      <c r="H1039" s="15" t="s">
        <v>229</v>
      </c>
      <c r="I1039" s="14" t="s">
        <v>71</v>
      </c>
      <c r="J1039" s="132"/>
      <c r="K1039" s="150" t="s">
        <v>2250</v>
      </c>
    </row>
    <row r="1040" spans="1:11" ht="28.9" customHeight="1" thickTop="1" thickBot="1" x14ac:dyDescent="0.75">
      <c r="A1040" s="10">
        <v>1038</v>
      </c>
      <c r="B1040" s="58" t="str">
        <f>HYPERLINK("https://search.naver.com/search.naver?query=마이어로위츠 이야기 영화", "마이어로위츠 이야기")</f>
        <v>마이어로위츠 이야기</v>
      </c>
      <c r="C1040" s="12">
        <v>6.4</v>
      </c>
      <c r="D1040" s="13" t="s">
        <v>2251</v>
      </c>
      <c r="E1040" s="10" t="s">
        <v>24</v>
      </c>
      <c r="F1040" s="10">
        <v>2017</v>
      </c>
      <c r="G1040" s="10" t="s">
        <v>14</v>
      </c>
      <c r="H1040" s="11" t="s">
        <v>91</v>
      </c>
      <c r="I1040" s="10" t="s">
        <v>429</v>
      </c>
      <c r="J1040" s="131"/>
      <c r="K1040" s="149" t="s">
        <v>2252</v>
      </c>
    </row>
    <row r="1041" spans="1:11" ht="28.9" customHeight="1" thickTop="1" thickBot="1" x14ac:dyDescent="0.75">
      <c r="A1041" s="6">
        <v>1039</v>
      </c>
      <c r="B1041" s="57" t="str">
        <f>HYPERLINK("https://search.naver.com/search.naver?query=마이클 클레이튼 영화", "마이클 클레이튼")</f>
        <v>마이클 클레이튼</v>
      </c>
      <c r="C1041" s="8">
        <v>6.72</v>
      </c>
      <c r="D1041" s="9" t="s">
        <v>2253</v>
      </c>
      <c r="E1041" s="6" t="s">
        <v>24</v>
      </c>
      <c r="F1041" s="6">
        <v>2007</v>
      </c>
      <c r="G1041" s="6" t="s">
        <v>14</v>
      </c>
      <c r="H1041" s="7" t="s">
        <v>20</v>
      </c>
      <c r="I1041" s="6" t="s">
        <v>68</v>
      </c>
      <c r="J1041" s="130"/>
      <c r="K1041" s="148" t="s">
        <v>2254</v>
      </c>
    </row>
    <row r="1042" spans="1:11" ht="28.9" customHeight="1" thickTop="1" thickBot="1" x14ac:dyDescent="0.75">
      <c r="A1042" s="10">
        <v>1040</v>
      </c>
      <c r="B1042" s="58" t="str">
        <f>HYPERLINK("https://search.naver.com/search.naver?query=마인 영화", "마인")</f>
        <v>마인</v>
      </c>
      <c r="C1042" s="12"/>
      <c r="D1042" s="13" t="s">
        <v>2255</v>
      </c>
      <c r="E1042" s="10" t="s">
        <v>24</v>
      </c>
      <c r="F1042" s="10">
        <v>2016</v>
      </c>
      <c r="G1042" s="10" t="s">
        <v>14</v>
      </c>
      <c r="H1042" s="11" t="s">
        <v>54</v>
      </c>
      <c r="I1042" s="10" t="s">
        <v>443</v>
      </c>
      <c r="J1042" s="131"/>
      <c r="K1042" s="149" t="s">
        <v>2256</v>
      </c>
    </row>
    <row r="1043" spans="1:11" ht="28.9" customHeight="1" thickTop="1" thickBot="1" x14ac:dyDescent="0.75">
      <c r="A1043" s="6">
        <v>1041</v>
      </c>
      <c r="B1043" s="57" t="str">
        <f>HYPERLINK("https://search.naver.com/search.naver?query=마인드스케이프 영화", "마인드스케이프")</f>
        <v>마인드스케이프</v>
      </c>
      <c r="C1043" s="8">
        <v>7.33</v>
      </c>
      <c r="D1043" s="9" t="s">
        <v>2257</v>
      </c>
      <c r="E1043" s="6" t="s">
        <v>37</v>
      </c>
      <c r="F1043" s="6">
        <v>2013</v>
      </c>
      <c r="G1043" s="6" t="s">
        <v>14</v>
      </c>
      <c r="H1043" s="7" t="s">
        <v>54</v>
      </c>
      <c r="I1043" s="6" t="s">
        <v>16</v>
      </c>
      <c r="J1043" s="130"/>
      <c r="K1043" s="148" t="s">
        <v>2258</v>
      </c>
    </row>
    <row r="1044" spans="1:11" ht="28.9" customHeight="1" thickTop="1" thickBot="1" x14ac:dyDescent="0.75">
      <c r="A1044" s="10">
        <v>1042</v>
      </c>
      <c r="B1044" s="58" t="str">
        <f>HYPERLINK("https://search.naver.com/search.naver?query=마인드케이지 영화", "마인드케이지")</f>
        <v>마인드케이지</v>
      </c>
      <c r="C1044" s="12">
        <v>4</v>
      </c>
      <c r="D1044" s="13" t="s">
        <v>2259</v>
      </c>
      <c r="E1044" s="10" t="s">
        <v>24</v>
      </c>
      <c r="F1044" s="10">
        <v>2022</v>
      </c>
      <c r="G1044" s="10" t="s">
        <v>14</v>
      </c>
      <c r="H1044" s="11" t="s">
        <v>54</v>
      </c>
      <c r="I1044" s="10" t="s">
        <v>80</v>
      </c>
      <c r="J1044" s="131"/>
      <c r="K1044" s="149" t="s">
        <v>2260</v>
      </c>
    </row>
    <row r="1045" spans="1:11" ht="28.9" customHeight="1" thickTop="1" thickBot="1" x14ac:dyDescent="0.75">
      <c r="A1045" s="6">
        <v>1043</v>
      </c>
      <c r="B1045" s="57" t="str">
        <f>HYPERLINK("https://search.naver.com/search.naver?query=마인드헌터 영화", "마인드헌터")</f>
        <v>마인드헌터</v>
      </c>
      <c r="C1045" s="8">
        <v>7.92</v>
      </c>
      <c r="D1045" s="9" t="s">
        <v>2261</v>
      </c>
      <c r="E1045" s="6" t="s">
        <v>24</v>
      </c>
      <c r="F1045" s="6">
        <v>2004</v>
      </c>
      <c r="G1045" s="6" t="s">
        <v>14</v>
      </c>
      <c r="H1045" s="7" t="s">
        <v>428</v>
      </c>
      <c r="I1045" s="6" t="s">
        <v>443</v>
      </c>
      <c r="J1045" s="130"/>
      <c r="K1045" s="148" t="s">
        <v>2262</v>
      </c>
    </row>
    <row r="1046" spans="1:11" ht="28.9" customHeight="1" thickTop="1" thickBot="1" x14ac:dyDescent="0.75">
      <c r="A1046" s="10">
        <v>1044</v>
      </c>
      <c r="B1046" s="58" t="str">
        <f>HYPERLINK("https://search.naver.com/search.naver?query=마일 22 영화", "마일 22")</f>
        <v>마일 22</v>
      </c>
      <c r="C1046" s="12">
        <v>7.77</v>
      </c>
      <c r="D1046" s="13" t="s">
        <v>2263</v>
      </c>
      <c r="E1046" s="10" t="s">
        <v>24</v>
      </c>
      <c r="F1046" s="10">
        <v>2018</v>
      </c>
      <c r="G1046" s="10" t="s">
        <v>14</v>
      </c>
      <c r="H1046" s="11" t="s">
        <v>124</v>
      </c>
      <c r="I1046" s="10" t="s">
        <v>468</v>
      </c>
      <c r="J1046" s="131"/>
      <c r="K1046" s="149" t="s">
        <v>1743</v>
      </c>
    </row>
    <row r="1047" spans="1:11" ht="28.9" customHeight="1" thickTop="1" thickBot="1" x14ac:dyDescent="0.75">
      <c r="A1047" s="6">
        <v>1045</v>
      </c>
      <c r="B1047" s="57" t="str">
        <f>HYPERLINK("https://search.naver.com/search.naver?query=마일스 영화", "마일스")</f>
        <v>마일스</v>
      </c>
      <c r="C1047" s="8">
        <v>7.72</v>
      </c>
      <c r="D1047" s="9" t="s">
        <v>2264</v>
      </c>
      <c r="E1047" s="6" t="s">
        <v>24</v>
      </c>
      <c r="F1047" s="6">
        <v>2015</v>
      </c>
      <c r="G1047" s="6" t="s">
        <v>14</v>
      </c>
      <c r="H1047" s="7" t="s">
        <v>20</v>
      </c>
      <c r="I1047" s="6" t="s">
        <v>150</v>
      </c>
      <c r="J1047" s="130"/>
      <c r="K1047" s="148" t="s">
        <v>2265</v>
      </c>
    </row>
    <row r="1048" spans="1:11" ht="28.9" customHeight="1" thickTop="1" thickBot="1" x14ac:dyDescent="0.75">
      <c r="A1048" s="10">
        <v>1046</v>
      </c>
      <c r="B1048" s="58" t="str">
        <f>HYPERLINK("https://search.naver.com/search.naver?query=마지막 4중주 영화", "마지막 4중주")</f>
        <v>마지막 4중주</v>
      </c>
      <c r="C1048" s="12">
        <v>8.8000000000000007</v>
      </c>
      <c r="D1048" s="13" t="s">
        <v>2266</v>
      </c>
      <c r="E1048" s="10" t="s">
        <v>24</v>
      </c>
      <c r="F1048" s="10">
        <v>2012</v>
      </c>
      <c r="G1048" s="10" t="s">
        <v>14</v>
      </c>
      <c r="H1048" s="11" t="s">
        <v>20</v>
      </c>
      <c r="I1048" s="10" t="s">
        <v>175</v>
      </c>
      <c r="J1048" s="131"/>
      <c r="K1048" s="149" t="s">
        <v>2267</v>
      </c>
    </row>
    <row r="1049" spans="1:11" ht="28.9" customHeight="1" thickTop="1" thickBot="1" x14ac:dyDescent="0.75">
      <c r="A1049" s="6">
        <v>1047</v>
      </c>
      <c r="B1049" s="57" t="str">
        <f>HYPERLINK("https://search.naver.com/search.naver?query=마지막 게임 영화", "마지막 게임")</f>
        <v>마지막 게임</v>
      </c>
      <c r="C1049" s="8">
        <v>4.3899999999999997</v>
      </c>
      <c r="D1049" s="9" t="s">
        <v>2268</v>
      </c>
      <c r="E1049" s="6" t="s">
        <v>24</v>
      </c>
      <c r="F1049" s="6">
        <v>2020</v>
      </c>
      <c r="G1049" s="6" t="s">
        <v>14</v>
      </c>
      <c r="H1049" s="7" t="s">
        <v>428</v>
      </c>
      <c r="I1049" s="6" t="s">
        <v>60</v>
      </c>
      <c r="J1049" s="130"/>
      <c r="K1049" s="148" t="s">
        <v>2269</v>
      </c>
    </row>
    <row r="1050" spans="1:11" ht="28.9" customHeight="1" thickTop="1" thickBot="1" x14ac:dyDescent="0.75">
      <c r="A1050" s="10">
        <v>1048</v>
      </c>
      <c r="B1050" s="58" t="str">
        <f>HYPERLINK("https://search.naver.com/search.naver?query=마지막 사랑 영화", "마지막 사랑")</f>
        <v>마지막 사랑</v>
      </c>
      <c r="C1050" s="12">
        <v>8.4499999999999993</v>
      </c>
      <c r="D1050" s="13" t="s">
        <v>2270</v>
      </c>
      <c r="E1050" s="10" t="s">
        <v>29</v>
      </c>
      <c r="F1050" s="10">
        <v>1995</v>
      </c>
      <c r="G1050" s="10" t="s">
        <v>14</v>
      </c>
      <c r="H1050" s="11" t="s">
        <v>20</v>
      </c>
      <c r="I1050" s="10" t="s">
        <v>1058</v>
      </c>
      <c r="J1050" s="131"/>
      <c r="K1050" s="149" t="s">
        <v>2271</v>
      </c>
    </row>
    <row r="1051" spans="1:11" ht="28.9" customHeight="1" thickTop="1" thickBot="1" x14ac:dyDescent="0.75">
      <c r="A1051" s="6">
        <v>1049</v>
      </c>
      <c r="B1051" s="57" t="str">
        <f>HYPERLINK("https://search.naver.com/search.naver?query=마지막 편지 영화", "마지막 편지")</f>
        <v>마지막 편지</v>
      </c>
      <c r="C1051" s="8">
        <v>6.59</v>
      </c>
      <c r="D1051" s="9" t="s">
        <v>2272</v>
      </c>
      <c r="E1051" s="6" t="s">
        <v>19</v>
      </c>
      <c r="F1051" s="6">
        <v>2018</v>
      </c>
      <c r="G1051" s="6" t="s">
        <v>14</v>
      </c>
      <c r="H1051" s="7" t="s">
        <v>20</v>
      </c>
      <c r="I1051" s="6" t="s">
        <v>179</v>
      </c>
      <c r="J1051" s="130"/>
      <c r="K1051" s="148" t="s">
        <v>2273</v>
      </c>
    </row>
    <row r="1052" spans="1:11" ht="28.9" customHeight="1" thickTop="1" thickBot="1" x14ac:dyDescent="0.75">
      <c r="A1052" s="10">
        <v>1050</v>
      </c>
      <c r="B1052" s="58" t="str">
        <f>HYPERLINK("https://search.naver.com/search.naver?query=마지막 한 걸음까지 영화", "마지막 한 걸음까지")</f>
        <v>마지막 한 걸음까지</v>
      </c>
      <c r="C1052" s="12"/>
      <c r="D1052" s="13" t="s">
        <v>2274</v>
      </c>
      <c r="E1052" s="10" t="s">
        <v>19</v>
      </c>
      <c r="F1052" s="10">
        <v>2001</v>
      </c>
      <c r="G1052" s="10" t="s">
        <v>14</v>
      </c>
      <c r="H1052" s="11" t="s">
        <v>20</v>
      </c>
      <c r="I1052" s="10" t="s">
        <v>150</v>
      </c>
      <c r="J1052" s="131"/>
      <c r="K1052" s="149" t="s">
        <v>2275</v>
      </c>
    </row>
    <row r="1053" spans="1:11" ht="28.9" customHeight="1" thickTop="1" thickBot="1" x14ac:dyDescent="0.75">
      <c r="A1053" s="6">
        <v>1051</v>
      </c>
      <c r="B1053" s="57" t="str">
        <f>HYPERLINK("https://search.naver.com/search.naver?query=마진 콜 - 24시간, 조작된 진실 영화", "마진 콜 - 24시간, 조작된 진실")</f>
        <v>마진 콜 - 24시간, 조작된 진실</v>
      </c>
      <c r="C1053" s="8"/>
      <c r="D1053" s="9" t="s">
        <v>2276</v>
      </c>
      <c r="E1053" s="6" t="s">
        <v>24</v>
      </c>
      <c r="F1053" s="6">
        <v>2011</v>
      </c>
      <c r="G1053" s="6" t="s">
        <v>14</v>
      </c>
      <c r="H1053" s="7" t="s">
        <v>20</v>
      </c>
      <c r="I1053" s="6" t="s">
        <v>101</v>
      </c>
      <c r="J1053" s="130"/>
      <c r="K1053" s="148" t="s">
        <v>2277</v>
      </c>
    </row>
    <row r="1054" spans="1:11" ht="28.9" customHeight="1" thickTop="1" thickBot="1" x14ac:dyDescent="0.75">
      <c r="A1054" s="10">
        <v>1052</v>
      </c>
      <c r="B1054" s="58" t="str">
        <f>HYPERLINK("https://search.naver.com/search.naver?query=마차 타고 고래고래 영화", "마차 타고 고래고래")</f>
        <v>마차 타고 고래고래</v>
      </c>
      <c r="C1054" s="12">
        <v>8.7100000000000009</v>
      </c>
      <c r="D1054" s="13" t="s">
        <v>2278</v>
      </c>
      <c r="E1054" s="10" t="s">
        <v>13</v>
      </c>
      <c r="F1054" s="10">
        <v>2016</v>
      </c>
      <c r="G1054" s="10" t="s">
        <v>14</v>
      </c>
      <c r="H1054" s="11" t="s">
        <v>20</v>
      </c>
      <c r="I1054" s="10" t="s">
        <v>169</v>
      </c>
      <c r="J1054" s="131"/>
      <c r="K1054" s="149" t="s">
        <v>2279</v>
      </c>
    </row>
    <row r="1055" spans="1:11" ht="28.9" customHeight="1" thickTop="1" thickBot="1" x14ac:dyDescent="0.75">
      <c r="A1055" s="6">
        <v>1053</v>
      </c>
      <c r="B1055" s="57" t="str">
        <f>HYPERLINK("https://search.naver.com/search.naver?query=마크 펠트 영화", "마크 펠트")</f>
        <v>마크 펠트</v>
      </c>
      <c r="C1055" s="8"/>
      <c r="D1055" s="9" t="s">
        <v>2280</v>
      </c>
      <c r="E1055" s="6" t="s">
        <v>24</v>
      </c>
      <c r="F1055" s="6">
        <v>2017</v>
      </c>
      <c r="G1055" s="6" t="s">
        <v>14</v>
      </c>
      <c r="H1055" s="7" t="s">
        <v>20</v>
      </c>
      <c r="I1055" s="6" t="s">
        <v>276</v>
      </c>
      <c r="J1055" s="130"/>
      <c r="K1055" s="148" t="s">
        <v>2281</v>
      </c>
    </row>
    <row r="1056" spans="1:11" ht="28.9" customHeight="1" thickTop="1" thickBot="1" x14ac:dyDescent="0.75">
      <c r="A1056" s="10">
        <v>1054</v>
      </c>
      <c r="B1056" s="58" t="str">
        <f>HYPERLINK("https://search.naver.com/search.naver?query=마크맨 영화", "마크맨")</f>
        <v>마크맨</v>
      </c>
      <c r="C1056" s="12">
        <v>5.8</v>
      </c>
      <c r="D1056" s="13" t="s">
        <v>2282</v>
      </c>
      <c r="E1056" s="10" t="s">
        <v>24</v>
      </c>
      <c r="F1056" s="10">
        <v>2021</v>
      </c>
      <c r="G1056" s="10" t="s">
        <v>14</v>
      </c>
      <c r="H1056" s="11" t="s">
        <v>124</v>
      </c>
      <c r="I1056" s="10" t="s">
        <v>38</v>
      </c>
      <c r="J1056" s="131"/>
      <c r="K1056" s="149" t="s">
        <v>2283</v>
      </c>
    </row>
    <row r="1057" spans="1:11" ht="28.9" customHeight="1" thickTop="1" thickBot="1" x14ac:dyDescent="0.75">
      <c r="A1057" s="6">
        <v>1055</v>
      </c>
      <c r="B1057" s="57" t="str">
        <f>HYPERLINK("https://search.naver.com/search.naver?query=마타도어 영화", "마타도어")</f>
        <v>마타도어</v>
      </c>
      <c r="C1057" s="8">
        <v>6.4</v>
      </c>
      <c r="D1057" s="9" t="s">
        <v>2284</v>
      </c>
      <c r="E1057" s="6" t="s">
        <v>161</v>
      </c>
      <c r="F1057" s="6">
        <v>2005</v>
      </c>
      <c r="G1057" s="6" t="s">
        <v>14</v>
      </c>
      <c r="H1057" s="7" t="s">
        <v>20</v>
      </c>
      <c r="I1057" s="6" t="s">
        <v>150</v>
      </c>
      <c r="J1057" s="130"/>
      <c r="K1057" s="148" t="s">
        <v>2285</v>
      </c>
    </row>
    <row r="1058" spans="1:11" ht="28.9" customHeight="1" thickTop="1" thickBot="1" x14ac:dyDescent="0.75">
      <c r="A1058" s="10">
        <v>1056</v>
      </c>
      <c r="B1058" s="58" t="str">
        <f>HYPERLINK("https://search.naver.com/search.naver?query=만능감정사 Q - 모나리자의 눈동자 영화", "만능감정사 Q - 모나리자의 눈동자")</f>
        <v>만능감정사 Q - 모나리자의 눈동자</v>
      </c>
      <c r="C1058" s="12"/>
      <c r="D1058" s="13" t="s">
        <v>2286</v>
      </c>
      <c r="E1058" s="10" t="s">
        <v>19</v>
      </c>
      <c r="F1058" s="10">
        <v>2014</v>
      </c>
      <c r="G1058" s="10" t="s">
        <v>14</v>
      </c>
      <c r="H1058" s="11" t="s">
        <v>20</v>
      </c>
      <c r="I1058" s="10" t="s">
        <v>116</v>
      </c>
      <c r="J1058" s="131"/>
      <c r="K1058" s="149" t="s">
        <v>2287</v>
      </c>
    </row>
    <row r="1059" spans="1:11" ht="28.9" customHeight="1" thickTop="1" thickBot="1" x14ac:dyDescent="0.75">
      <c r="A1059" s="6">
        <v>1057</v>
      </c>
      <c r="B1059" s="57" t="str">
        <f>HYPERLINK("https://search.naver.com/search.naver?query=만추 영화", "만추")</f>
        <v>만추</v>
      </c>
      <c r="C1059" s="8">
        <v>8.15</v>
      </c>
      <c r="D1059" s="9" t="s">
        <v>2288</v>
      </c>
      <c r="E1059" s="6" t="s">
        <v>13</v>
      </c>
      <c r="F1059" s="6">
        <v>2010</v>
      </c>
      <c r="G1059" s="6" t="s">
        <v>14</v>
      </c>
      <c r="H1059" s="7" t="s">
        <v>165</v>
      </c>
      <c r="I1059" s="6" t="s">
        <v>60</v>
      </c>
      <c r="J1059" s="130"/>
      <c r="K1059" s="148" t="s">
        <v>2289</v>
      </c>
    </row>
    <row r="1060" spans="1:11" ht="28.9" customHeight="1" thickTop="1" thickBot="1" x14ac:dyDescent="0.75">
      <c r="A1060" s="10">
        <v>1058</v>
      </c>
      <c r="B1060" s="58" t="str">
        <f>HYPERLINK("https://search.naver.com/search.naver?query=말 할수 없는 비밀 영화", "말 할수 없는 비밀")</f>
        <v>말 할수 없는 비밀</v>
      </c>
      <c r="C1060" s="12">
        <v>7.96</v>
      </c>
      <c r="D1060" s="13" t="s">
        <v>2290</v>
      </c>
      <c r="E1060" s="10" t="s">
        <v>608</v>
      </c>
      <c r="F1060" s="10">
        <v>2007</v>
      </c>
      <c r="G1060" s="10" t="s">
        <v>14</v>
      </c>
      <c r="H1060" s="11" t="s">
        <v>165</v>
      </c>
      <c r="I1060" s="10" t="s">
        <v>94</v>
      </c>
      <c r="J1060" s="131"/>
      <c r="K1060" s="149" t="s">
        <v>2291</v>
      </c>
    </row>
    <row r="1061" spans="1:11" ht="28.9" customHeight="1" thickTop="1" thickBot="1" x14ac:dyDescent="0.75">
      <c r="A1061" s="6">
        <v>1059</v>
      </c>
      <c r="B1061" s="57" t="str">
        <f>HYPERLINK("https://search.naver.com/search.naver?query=말리와 나 영화", "말리와 나")</f>
        <v>말리와 나</v>
      </c>
      <c r="C1061" s="8">
        <v>8.67</v>
      </c>
      <c r="D1061" s="9" t="s">
        <v>2292</v>
      </c>
      <c r="E1061" s="6" t="s">
        <v>24</v>
      </c>
      <c r="F1061" s="6">
        <v>2008</v>
      </c>
      <c r="G1061" s="6" t="s">
        <v>14</v>
      </c>
      <c r="H1061" s="7" t="s">
        <v>91</v>
      </c>
      <c r="I1061" s="6" t="s">
        <v>60</v>
      </c>
      <c r="J1061" s="130"/>
      <c r="K1061" s="148" t="s">
        <v>2293</v>
      </c>
    </row>
    <row r="1062" spans="1:11" ht="28.9" customHeight="1" thickTop="1" thickBot="1" x14ac:dyDescent="0.75">
      <c r="A1062" s="10">
        <v>1060</v>
      </c>
      <c r="B1062" s="58" t="str">
        <f>HYPERLINK("https://search.naver.com/search.naver?query=말모이 영화", "말모이")</f>
        <v>말모이</v>
      </c>
      <c r="C1062" s="12">
        <v>9.19</v>
      </c>
      <c r="D1062" s="13" t="s">
        <v>2294</v>
      </c>
      <c r="E1062" s="10" t="s">
        <v>13</v>
      </c>
      <c r="F1062" s="10">
        <v>2018</v>
      </c>
      <c r="G1062" s="10" t="s">
        <v>14</v>
      </c>
      <c r="H1062" s="11" t="s">
        <v>20</v>
      </c>
      <c r="I1062" s="10" t="s">
        <v>51</v>
      </c>
      <c r="J1062" s="131"/>
      <c r="K1062" s="149" t="s">
        <v>2295</v>
      </c>
    </row>
    <row r="1063" spans="1:11" ht="28.9" customHeight="1" thickTop="1" thickBot="1" x14ac:dyDescent="0.75">
      <c r="A1063" s="6">
        <v>1061</v>
      </c>
      <c r="B1063" s="57" t="str">
        <f>HYPERLINK("https://search.naver.com/search.naver?query=말하는 건축가 영화", "말하는 건축가")</f>
        <v>말하는 건축가</v>
      </c>
      <c r="C1063" s="8">
        <v>9.0399999999999991</v>
      </c>
      <c r="D1063" s="9" t="s">
        <v>2296</v>
      </c>
      <c r="E1063" s="6" t="s">
        <v>13</v>
      </c>
      <c r="F1063" s="6">
        <v>2011</v>
      </c>
      <c r="G1063" s="6" t="s">
        <v>14</v>
      </c>
      <c r="H1063" s="7" t="s">
        <v>226</v>
      </c>
      <c r="I1063" s="6" t="s">
        <v>150</v>
      </c>
      <c r="J1063" s="130"/>
      <c r="K1063" s="148" t="s">
        <v>2297</v>
      </c>
    </row>
    <row r="1064" spans="1:11" ht="28.9" customHeight="1" thickTop="1" thickBot="1" x14ac:dyDescent="0.75">
      <c r="A1064" s="10">
        <v>1062</v>
      </c>
      <c r="B1064" s="58" t="str">
        <f>HYPERLINK("https://search.naver.com/search.naver?query=맘 앤 대드 영화", "맘 앤 대드")</f>
        <v>맘 앤 대드</v>
      </c>
      <c r="C1064" s="12">
        <v>6.4</v>
      </c>
      <c r="D1064" s="13" t="s">
        <v>2298</v>
      </c>
      <c r="E1064" s="10" t="s">
        <v>24</v>
      </c>
      <c r="F1064" s="10">
        <v>2017</v>
      </c>
      <c r="G1064" s="10" t="s">
        <v>14</v>
      </c>
      <c r="H1064" s="11" t="s">
        <v>54</v>
      </c>
      <c r="I1064" s="10" t="s">
        <v>2299</v>
      </c>
      <c r="J1064" s="131"/>
      <c r="K1064" s="149" t="s">
        <v>2300</v>
      </c>
    </row>
    <row r="1065" spans="1:11" ht="28.9" customHeight="1" thickTop="1" thickBot="1" x14ac:dyDescent="0.75">
      <c r="A1065" s="6">
        <v>1063</v>
      </c>
      <c r="B1065" s="57" t="str">
        <f>HYPERLINK("https://search.naver.com/search.naver?query=맘마 미아! 영화", "맘마 미아!")</f>
        <v>맘마 미아!</v>
      </c>
      <c r="C1065" s="8">
        <v>9.09</v>
      </c>
      <c r="D1065" s="9" t="s">
        <v>2301</v>
      </c>
      <c r="E1065" s="6" t="s">
        <v>29</v>
      </c>
      <c r="F1065" s="6">
        <v>2008</v>
      </c>
      <c r="G1065" s="6" t="s">
        <v>14</v>
      </c>
      <c r="H1065" s="7" t="s">
        <v>91</v>
      </c>
      <c r="I1065" s="6" t="s">
        <v>38</v>
      </c>
      <c r="J1065" s="130"/>
      <c r="K1065" s="148" t="s">
        <v>2302</v>
      </c>
    </row>
    <row r="1066" spans="1:11" ht="28.9" customHeight="1" thickTop="1" thickBot="1" x14ac:dyDescent="0.75">
      <c r="A1066" s="10">
        <v>1064</v>
      </c>
      <c r="B1066" s="58" t="str">
        <f>HYPERLINK("https://search.naver.com/search.naver?query=맘마미아!2 영화", "맘마미아!2")</f>
        <v>맘마미아!2</v>
      </c>
      <c r="C1066" s="12">
        <v>9.09</v>
      </c>
      <c r="D1066" s="13" t="s">
        <v>2303</v>
      </c>
      <c r="E1066" s="10" t="s">
        <v>29</v>
      </c>
      <c r="F1066" s="10">
        <v>2018</v>
      </c>
      <c r="G1066" s="10" t="s">
        <v>14</v>
      </c>
      <c r="H1066" s="11" t="s">
        <v>91</v>
      </c>
      <c r="I1066" s="10" t="s">
        <v>305</v>
      </c>
      <c r="J1066" s="131"/>
      <c r="K1066" s="149" t="s">
        <v>2304</v>
      </c>
    </row>
    <row r="1067" spans="1:11" ht="28.9" customHeight="1" thickTop="1" thickBot="1" x14ac:dyDescent="0.75">
      <c r="A1067" s="6">
        <v>1065</v>
      </c>
      <c r="B1067" s="59" t="str">
        <f>HYPERLINK("https://search.naver.com/search.naver?query=매니페스트 시즌1", "매니페스트 시즌1")</f>
        <v>매니페스트 시즌1</v>
      </c>
      <c r="C1067" s="16"/>
      <c r="D1067" s="17" t="s">
        <v>2305</v>
      </c>
      <c r="E1067" s="14" t="s">
        <v>24</v>
      </c>
      <c r="F1067" s="14">
        <v>2018</v>
      </c>
      <c r="G1067" s="14" t="s">
        <v>20</v>
      </c>
      <c r="H1067" s="15" t="s">
        <v>213</v>
      </c>
      <c r="I1067" s="14" t="s">
        <v>825</v>
      </c>
      <c r="J1067" s="132"/>
      <c r="K1067" s="150" t="s">
        <v>2306</v>
      </c>
    </row>
    <row r="1068" spans="1:11" ht="28.9" customHeight="1" thickTop="1" thickBot="1" x14ac:dyDescent="0.75">
      <c r="A1068" s="10">
        <v>1066</v>
      </c>
      <c r="B1068" s="59" t="str">
        <f>HYPERLINK("https://search.naver.com/search.naver?query=매니페스트 시즌2", "매니페스트 시즌2")</f>
        <v>매니페스트 시즌2</v>
      </c>
      <c r="C1068" s="16"/>
      <c r="D1068" s="17" t="s">
        <v>2305</v>
      </c>
      <c r="E1068" s="14" t="s">
        <v>24</v>
      </c>
      <c r="F1068" s="14">
        <v>2020</v>
      </c>
      <c r="G1068" s="14" t="s">
        <v>20</v>
      </c>
      <c r="H1068" s="15" t="s">
        <v>213</v>
      </c>
      <c r="I1068" s="14" t="s">
        <v>1108</v>
      </c>
      <c r="J1068" s="132"/>
      <c r="K1068" s="150" t="s">
        <v>2307</v>
      </c>
    </row>
    <row r="1069" spans="1:11" ht="28.9" customHeight="1" thickTop="1" thickBot="1" x14ac:dyDescent="0.75">
      <c r="A1069" s="6">
        <v>1067</v>
      </c>
      <c r="B1069" s="57" t="str">
        <f>HYPERLINK("https://search.naver.com/search.naver?query=매드 위민스 볼 영화", "매드 위민스 볼")</f>
        <v>매드 위민스 볼</v>
      </c>
      <c r="C1069" s="8">
        <v>6.4</v>
      </c>
      <c r="D1069" s="9" t="s">
        <v>2308</v>
      </c>
      <c r="E1069" s="6" t="s">
        <v>310</v>
      </c>
      <c r="F1069" s="6">
        <v>2021</v>
      </c>
      <c r="G1069" s="6" t="s">
        <v>14</v>
      </c>
      <c r="H1069" s="7" t="s">
        <v>20</v>
      </c>
      <c r="I1069" s="6" t="s">
        <v>116</v>
      </c>
      <c r="J1069" s="130"/>
      <c r="K1069" s="148" t="s">
        <v>2309</v>
      </c>
    </row>
    <row r="1070" spans="1:11" ht="28.9" customHeight="1" thickTop="1" thickBot="1" x14ac:dyDescent="0.75">
      <c r="A1070" s="10">
        <v>1068</v>
      </c>
      <c r="B1070" s="58" t="str">
        <f>HYPERLINK("https://search.naver.com/search.naver?query=매드맥스 - 분노의 도로 영화", "매드맥스 - 분노의 도로")</f>
        <v>매드맥스 - 분노의 도로</v>
      </c>
      <c r="C1070" s="12">
        <v>6.4</v>
      </c>
      <c r="D1070" s="13" t="s">
        <v>2310</v>
      </c>
      <c r="E1070" s="10" t="s">
        <v>45</v>
      </c>
      <c r="F1070" s="10">
        <v>2015</v>
      </c>
      <c r="G1070" s="10" t="s">
        <v>14</v>
      </c>
      <c r="H1070" s="11" t="s">
        <v>124</v>
      </c>
      <c r="I1070" s="10" t="s">
        <v>116</v>
      </c>
      <c r="J1070" s="131"/>
      <c r="K1070" s="149" t="s">
        <v>2311</v>
      </c>
    </row>
    <row r="1071" spans="1:11" ht="28.9" customHeight="1" thickTop="1" thickBot="1" x14ac:dyDescent="0.75">
      <c r="A1071" s="6">
        <v>1069</v>
      </c>
      <c r="B1071" s="57" t="str">
        <f>HYPERLINK("https://search.naver.com/search.naver?query=매디슨 카운티의 다리 영화", "매디슨 카운티의 다리")</f>
        <v>매디슨 카운티의 다리</v>
      </c>
      <c r="C1071" s="8">
        <v>9.07</v>
      </c>
      <c r="D1071" s="9" t="s">
        <v>2312</v>
      </c>
      <c r="E1071" s="6" t="s">
        <v>24</v>
      </c>
      <c r="F1071" s="6">
        <v>1995</v>
      </c>
      <c r="G1071" s="6" t="s">
        <v>14</v>
      </c>
      <c r="H1071" s="7" t="s">
        <v>20</v>
      </c>
      <c r="I1071" s="6" t="s">
        <v>51</v>
      </c>
      <c r="J1071" s="130"/>
      <c r="K1071" s="148" t="s">
        <v>2313</v>
      </c>
    </row>
    <row r="1072" spans="1:11" ht="28.9" customHeight="1" thickTop="1" thickBot="1" x14ac:dyDescent="0.75">
      <c r="A1072" s="10">
        <v>1070</v>
      </c>
      <c r="B1072" s="58" t="str">
        <f>HYPERLINK("https://search.naver.com/search.naver?query=매스커레이드 호텔 영화", "매스커레이드 호텔")</f>
        <v>매스커레이드 호텔</v>
      </c>
      <c r="C1072" s="12">
        <v>6.4</v>
      </c>
      <c r="D1072" s="13" t="s">
        <v>2314</v>
      </c>
      <c r="E1072" s="10" t="s">
        <v>19</v>
      </c>
      <c r="F1072" s="10">
        <v>2019</v>
      </c>
      <c r="G1072" s="10" t="s">
        <v>14</v>
      </c>
      <c r="H1072" s="11" t="s">
        <v>194</v>
      </c>
      <c r="I1072" s="10" t="s">
        <v>112</v>
      </c>
      <c r="J1072" s="131"/>
      <c r="K1072" s="149" t="s">
        <v>2315</v>
      </c>
    </row>
    <row r="1073" spans="1:11" ht="28.9" customHeight="1" thickTop="1" thickBot="1" x14ac:dyDescent="0.75">
      <c r="A1073" s="6">
        <v>1071</v>
      </c>
      <c r="B1073" s="57" t="str">
        <f>HYPERLINK("https://search.naver.com/search.naver?query=매직 마이크 영화", "매직 마이크")</f>
        <v>매직 마이크</v>
      </c>
      <c r="C1073" s="8">
        <v>7.61</v>
      </c>
      <c r="D1073" s="9" t="s">
        <v>2316</v>
      </c>
      <c r="E1073" s="6" t="s">
        <v>24</v>
      </c>
      <c r="F1073" s="6">
        <v>2012</v>
      </c>
      <c r="G1073" s="6" t="s">
        <v>14</v>
      </c>
      <c r="H1073" s="7" t="s">
        <v>91</v>
      </c>
      <c r="I1073" s="6" t="s">
        <v>129</v>
      </c>
      <c r="J1073" s="130"/>
      <c r="K1073" s="148" t="s">
        <v>2317</v>
      </c>
    </row>
    <row r="1074" spans="1:11" ht="28.9" customHeight="1" thickTop="1" thickBot="1" x14ac:dyDescent="0.75">
      <c r="A1074" s="10">
        <v>1072</v>
      </c>
      <c r="B1074" s="58" t="str">
        <f>HYPERLINK("https://search.naver.com/search.naver?query=매직 오브 벨 아일 영화", "매직 오브 벨 아일")</f>
        <v>매직 오브 벨 아일</v>
      </c>
      <c r="C1074" s="12">
        <v>6.4</v>
      </c>
      <c r="D1074" s="13" t="s">
        <v>2318</v>
      </c>
      <c r="E1074" s="10" t="s">
        <v>24</v>
      </c>
      <c r="F1074" s="10">
        <v>2012</v>
      </c>
      <c r="G1074" s="10" t="s">
        <v>14</v>
      </c>
      <c r="H1074" s="11" t="s">
        <v>20</v>
      </c>
      <c r="I1074" s="10" t="s">
        <v>187</v>
      </c>
      <c r="J1074" s="131"/>
      <c r="K1074" s="149" t="s">
        <v>1306</v>
      </c>
    </row>
    <row r="1075" spans="1:11" ht="28.9" customHeight="1" thickTop="1" thickBot="1" x14ac:dyDescent="0.75">
      <c r="A1075" s="6">
        <v>1073</v>
      </c>
      <c r="B1075" s="57" t="str">
        <f>HYPERLINK("https://search.naver.com/search.naver?query=매치 포인트 영화", "매치 포인트")</f>
        <v>매치 포인트</v>
      </c>
      <c r="C1075" s="8">
        <v>8</v>
      </c>
      <c r="D1075" s="9" t="s">
        <v>2319</v>
      </c>
      <c r="E1075" s="6" t="s">
        <v>29</v>
      </c>
      <c r="F1075" s="6">
        <v>2005</v>
      </c>
      <c r="G1075" s="6" t="s">
        <v>14</v>
      </c>
      <c r="H1075" s="7" t="s">
        <v>20</v>
      </c>
      <c r="I1075" s="6" t="s">
        <v>183</v>
      </c>
      <c r="J1075" s="130"/>
      <c r="K1075" s="148" t="s">
        <v>2320</v>
      </c>
    </row>
    <row r="1076" spans="1:11" ht="28.9" customHeight="1" thickTop="1" thickBot="1" x14ac:dyDescent="0.75">
      <c r="A1076" s="10">
        <v>1074</v>
      </c>
      <c r="B1076" s="59" t="str">
        <f>HYPERLINK("https://search.naver.com/search.naver?query=매트록 시즌1", "매트록 시즌1")</f>
        <v>매트록 시즌1</v>
      </c>
      <c r="C1076" s="16"/>
      <c r="D1076" s="17" t="s">
        <v>2321</v>
      </c>
      <c r="E1076" s="14" t="s">
        <v>24</v>
      </c>
      <c r="F1076" s="14">
        <v>2024</v>
      </c>
      <c r="G1076" s="14" t="s">
        <v>20</v>
      </c>
      <c r="H1076" s="15" t="s">
        <v>20</v>
      </c>
      <c r="I1076" s="14" t="s">
        <v>1467</v>
      </c>
      <c r="J1076" s="132"/>
      <c r="K1076" s="150" t="s">
        <v>1290</v>
      </c>
    </row>
    <row r="1077" spans="1:11" ht="28.9" customHeight="1" thickTop="1" thickBot="1" x14ac:dyDescent="0.75">
      <c r="A1077" s="6">
        <v>1075</v>
      </c>
      <c r="B1077" s="57" t="str">
        <f>HYPERLINK("https://search.naver.com/search.naver?query=매트릭스-리저렉션 영화", "매트릭스-리저렉션")</f>
        <v>매트릭스-리저렉션</v>
      </c>
      <c r="C1077" s="8"/>
      <c r="D1077" s="9" t="s">
        <v>2322</v>
      </c>
      <c r="E1077" s="6" t="s">
        <v>24</v>
      </c>
      <c r="F1077" s="6">
        <v>2021</v>
      </c>
      <c r="G1077" s="6" t="s">
        <v>14</v>
      </c>
      <c r="H1077" s="7" t="s">
        <v>124</v>
      </c>
      <c r="I1077" s="6" t="s">
        <v>34</v>
      </c>
      <c r="J1077" s="130"/>
      <c r="K1077" s="148" t="s">
        <v>2323</v>
      </c>
    </row>
    <row r="1078" spans="1:11" ht="28.9" customHeight="1" thickTop="1" thickBot="1" x14ac:dyDescent="0.75">
      <c r="A1078" s="10">
        <v>1076</v>
      </c>
      <c r="B1078" s="58" t="str">
        <f>HYPERLINK("https://search.naver.com/search.naver?query=매혹당한 사람들 영화", "매혹당한 사람들")</f>
        <v>매혹당한 사람들</v>
      </c>
      <c r="C1078" s="12">
        <v>7.79</v>
      </c>
      <c r="D1078" s="13" t="s">
        <v>2324</v>
      </c>
      <c r="E1078" s="10" t="s">
        <v>19</v>
      </c>
      <c r="F1078" s="10">
        <v>2017</v>
      </c>
      <c r="G1078" s="10" t="s">
        <v>14</v>
      </c>
      <c r="H1078" s="11" t="s">
        <v>20</v>
      </c>
      <c r="I1078" s="10" t="s">
        <v>150</v>
      </c>
      <c r="J1078" s="131"/>
      <c r="K1078" s="149" t="s">
        <v>2325</v>
      </c>
    </row>
    <row r="1079" spans="1:11" ht="28.9" customHeight="1" thickTop="1" thickBot="1" x14ac:dyDescent="0.75">
      <c r="A1079" s="6">
        <v>1077</v>
      </c>
      <c r="B1079" s="57" t="str">
        <f>HYPERLINK("https://search.naver.com/search.naver?query=맥스 영화", "맥스")</f>
        <v>맥스</v>
      </c>
      <c r="C1079" s="8"/>
      <c r="D1079" s="9" t="s">
        <v>2326</v>
      </c>
      <c r="E1079" s="6" t="s">
        <v>24</v>
      </c>
      <c r="F1079" s="6">
        <v>2015</v>
      </c>
      <c r="G1079" s="6" t="s">
        <v>14</v>
      </c>
      <c r="H1079" s="7" t="s">
        <v>20</v>
      </c>
      <c r="I1079" s="6" t="s">
        <v>137</v>
      </c>
      <c r="J1079" s="130"/>
      <c r="K1079" s="148" t="s">
        <v>2327</v>
      </c>
    </row>
    <row r="1080" spans="1:11" ht="28.9" customHeight="1" thickTop="1" thickBot="1" x14ac:dyDescent="0.75">
      <c r="A1080" s="10">
        <v>1078</v>
      </c>
      <c r="B1080" s="58" t="str">
        <f>HYPERLINK("https://search.naver.com/search.naver?query=맥스 영화", "맥스")</f>
        <v>맥스</v>
      </c>
      <c r="C1080" s="12"/>
      <c r="D1080" s="13" t="s">
        <v>2326</v>
      </c>
      <c r="E1080" s="10" t="s">
        <v>24</v>
      </c>
      <c r="F1080" s="10">
        <v>2015</v>
      </c>
      <c r="G1080" s="10" t="s">
        <v>14</v>
      </c>
      <c r="H1080" s="11" t="s">
        <v>20</v>
      </c>
      <c r="I1080" s="10" t="s">
        <v>137</v>
      </c>
      <c r="J1080" s="131"/>
      <c r="K1080" s="149" t="s">
        <v>2327</v>
      </c>
    </row>
    <row r="1081" spans="1:11" ht="28.9" customHeight="1" thickTop="1" thickBot="1" x14ac:dyDescent="0.75">
      <c r="A1081" s="6">
        <v>1079</v>
      </c>
      <c r="B1081" s="57" t="str">
        <f>HYPERLINK("https://search.naver.com/search.naver?query=맥아더 - 일본 침몰에 관한 불편한 해석 영화", "맥아더 - 일본 침몰에 관한 불편한 해석")</f>
        <v>맥아더 - 일본 침몰에 관한 불편한 해석</v>
      </c>
      <c r="C1081" s="8"/>
      <c r="D1081" s="9" t="s">
        <v>2328</v>
      </c>
      <c r="E1081" s="6" t="s">
        <v>19</v>
      </c>
      <c r="F1081" s="6">
        <v>2012</v>
      </c>
      <c r="G1081" s="6" t="s">
        <v>14</v>
      </c>
      <c r="H1081" s="7" t="s">
        <v>20</v>
      </c>
      <c r="I1081" s="6" t="s">
        <v>179</v>
      </c>
      <c r="J1081" s="130"/>
      <c r="K1081" s="148" t="s">
        <v>2329</v>
      </c>
    </row>
    <row r="1082" spans="1:11" ht="28.9" customHeight="1" thickTop="1" thickBot="1" x14ac:dyDescent="0.75">
      <c r="A1082" s="10">
        <v>1080</v>
      </c>
      <c r="B1082" s="58" t="str">
        <f>HYPERLINK("https://search.naver.com/search.naver?query=맥팔랜드 영화", "맥팔랜드")</f>
        <v>맥팔랜드</v>
      </c>
      <c r="C1082" s="12"/>
      <c r="D1082" s="13" t="s">
        <v>2330</v>
      </c>
      <c r="E1082" s="10" t="s">
        <v>24</v>
      </c>
      <c r="F1082" s="10">
        <v>2015</v>
      </c>
      <c r="G1082" s="10" t="s">
        <v>14</v>
      </c>
      <c r="H1082" s="11" t="s">
        <v>20</v>
      </c>
      <c r="I1082" s="10" t="s">
        <v>85</v>
      </c>
      <c r="J1082" s="131"/>
      <c r="K1082" s="149" t="s">
        <v>2331</v>
      </c>
    </row>
    <row r="1083" spans="1:11" ht="28.9" customHeight="1" thickTop="1" thickBot="1" x14ac:dyDescent="0.75">
      <c r="A1083" s="6">
        <v>1081</v>
      </c>
      <c r="B1083" s="57" t="str">
        <f>HYPERLINK("https://search.naver.com/search.naver?query=맨 오브 마스크 영화", "맨 오브 마스크")</f>
        <v>맨 오브 마스크</v>
      </c>
      <c r="C1083" s="8">
        <v>9.06</v>
      </c>
      <c r="D1083" s="9" t="s">
        <v>2332</v>
      </c>
      <c r="E1083" s="6" t="s">
        <v>310</v>
      </c>
      <c r="F1083" s="6">
        <v>2018</v>
      </c>
      <c r="G1083" s="6" t="s">
        <v>14</v>
      </c>
      <c r="H1083" s="7" t="s">
        <v>20</v>
      </c>
      <c r="I1083" s="6" t="s">
        <v>120</v>
      </c>
      <c r="J1083" s="130"/>
      <c r="K1083" s="148" t="s">
        <v>2333</v>
      </c>
    </row>
    <row r="1084" spans="1:11" ht="28.9" customHeight="1" thickTop="1" thickBot="1" x14ac:dyDescent="0.75">
      <c r="A1084" s="10">
        <v>1082</v>
      </c>
      <c r="B1084" s="58" t="str">
        <f>HYPERLINK("https://search.naver.com/search.naver?query=맨 프롬 UNCLE 영화", "맨 프롬 UNCLE")</f>
        <v>맨 프롬 UNCLE</v>
      </c>
      <c r="C1084" s="12">
        <v>8.06</v>
      </c>
      <c r="D1084" s="13" t="s">
        <v>2334</v>
      </c>
      <c r="E1084" s="10" t="s">
        <v>24</v>
      </c>
      <c r="F1084" s="10">
        <v>2015</v>
      </c>
      <c r="G1084" s="10" t="s">
        <v>14</v>
      </c>
      <c r="H1084" s="11" t="s">
        <v>124</v>
      </c>
      <c r="I1084" s="10" t="s">
        <v>591</v>
      </c>
      <c r="J1084" s="131"/>
      <c r="K1084" s="149" t="s">
        <v>2335</v>
      </c>
    </row>
    <row r="1085" spans="1:11" ht="28.9" customHeight="1" thickTop="1" thickBot="1" x14ac:dyDescent="0.75">
      <c r="A1085" s="6">
        <v>1083</v>
      </c>
      <c r="B1085" s="57" t="str">
        <f>HYPERLINK("https://search.naver.com/search.naver?query=맨발의 승리 영화", "맨발의 승리")</f>
        <v>맨발의 승리</v>
      </c>
      <c r="C1085" s="8">
        <v>8</v>
      </c>
      <c r="D1085" s="9" t="s">
        <v>2336</v>
      </c>
      <c r="E1085" s="6" t="s">
        <v>24</v>
      </c>
      <c r="F1085" s="6">
        <v>2021</v>
      </c>
      <c r="G1085" s="6" t="s">
        <v>14</v>
      </c>
      <c r="H1085" s="7" t="s">
        <v>20</v>
      </c>
      <c r="I1085" s="6" t="s">
        <v>329</v>
      </c>
      <c r="J1085" s="130"/>
      <c r="K1085" s="148" t="s">
        <v>2337</v>
      </c>
    </row>
    <row r="1086" spans="1:11" ht="28.9" customHeight="1" thickTop="1" thickBot="1" x14ac:dyDescent="0.75">
      <c r="A1086" s="10">
        <v>1084</v>
      </c>
      <c r="B1086" s="58" t="str">
        <f>HYPERLINK("https://search.naver.com/search.naver?query=맨온렛지 영화", "맨온렛지")</f>
        <v>맨온렛지</v>
      </c>
      <c r="C1086" s="12">
        <v>7.31</v>
      </c>
      <c r="D1086" s="13" t="s">
        <v>2338</v>
      </c>
      <c r="E1086" s="10" t="s">
        <v>24</v>
      </c>
      <c r="F1086" s="10">
        <v>2012</v>
      </c>
      <c r="G1086" s="10" t="s">
        <v>14</v>
      </c>
      <c r="H1086" s="11" t="s">
        <v>124</v>
      </c>
      <c r="I1086" s="10" t="s">
        <v>133</v>
      </c>
      <c r="J1086" s="131"/>
      <c r="K1086" s="149" t="s">
        <v>2339</v>
      </c>
    </row>
    <row r="1087" spans="1:11" ht="28.9" customHeight="1" thickTop="1" thickBot="1" x14ac:dyDescent="0.75">
      <c r="A1087" s="6">
        <v>1085</v>
      </c>
      <c r="B1087" s="57" t="str">
        <f>HYPERLINK("https://search.naver.com/search.naver?query=맨체스터 바이 더 씨 영화", "맨체스터 바이 더 씨")</f>
        <v>맨체스터 바이 더 씨</v>
      </c>
      <c r="C1087" s="8">
        <v>8.89</v>
      </c>
      <c r="D1087" s="9" t="s">
        <v>2340</v>
      </c>
      <c r="E1087" s="6" t="s">
        <v>24</v>
      </c>
      <c r="F1087" s="6">
        <v>2016</v>
      </c>
      <c r="G1087" s="6" t="s">
        <v>14</v>
      </c>
      <c r="H1087" s="7" t="s">
        <v>20</v>
      </c>
      <c r="I1087" s="6" t="s">
        <v>269</v>
      </c>
      <c r="J1087" s="130"/>
      <c r="K1087" s="148" t="s">
        <v>2341</v>
      </c>
    </row>
    <row r="1088" spans="1:11" ht="28.9" customHeight="1" thickTop="1" thickBot="1" x14ac:dyDescent="0.75">
      <c r="A1088" s="10">
        <v>1086</v>
      </c>
      <c r="B1088" s="58" t="str">
        <f>HYPERLINK("https://search.naver.com/search.naver?query=맨츄리안 켄디데이트 영화", "맨츄리안 켄디데이트")</f>
        <v>맨츄리안 켄디데이트</v>
      </c>
      <c r="C1088" s="12">
        <v>7.57</v>
      </c>
      <c r="D1088" s="13" t="s">
        <v>2342</v>
      </c>
      <c r="E1088" s="10" t="s">
        <v>24</v>
      </c>
      <c r="F1088" s="10">
        <v>2004</v>
      </c>
      <c r="G1088" s="10" t="s">
        <v>14</v>
      </c>
      <c r="H1088" s="11" t="s">
        <v>54</v>
      </c>
      <c r="I1088" s="10" t="s">
        <v>85</v>
      </c>
      <c r="J1088" s="131"/>
      <c r="K1088" s="149" t="s">
        <v>2343</v>
      </c>
    </row>
    <row r="1089" spans="1:11" ht="28.9" customHeight="1" thickTop="1" thickBot="1" x14ac:dyDescent="0.75">
      <c r="A1089" s="6">
        <v>1087</v>
      </c>
      <c r="B1089" s="57" t="str">
        <f>HYPERLINK("https://search.naver.com/search.naver?query=맨하탄 나이트 영화", "맨하탄 나이트")</f>
        <v>맨하탄 나이트</v>
      </c>
      <c r="C1089" s="8"/>
      <c r="D1089" s="9" t="s">
        <v>2344</v>
      </c>
      <c r="E1089" s="6" t="s">
        <v>24</v>
      </c>
      <c r="F1089" s="6">
        <v>2016</v>
      </c>
      <c r="G1089" s="6" t="s">
        <v>14</v>
      </c>
      <c r="H1089" s="7" t="s">
        <v>54</v>
      </c>
      <c r="I1089" s="6" t="s">
        <v>98</v>
      </c>
      <c r="J1089" s="130"/>
      <c r="K1089" s="148" t="s">
        <v>2345</v>
      </c>
    </row>
    <row r="1090" spans="1:11" ht="28.9" customHeight="1" thickTop="1" thickBot="1" x14ac:dyDescent="0.75">
      <c r="A1090" s="10">
        <v>1088</v>
      </c>
      <c r="B1090" s="58" t="str">
        <f>HYPERLINK("https://search.naver.com/search.naver?query=맨하탄 녹턴 영화", "맨하탄 녹턴")</f>
        <v>맨하탄 녹턴</v>
      </c>
      <c r="C1090" s="12"/>
      <c r="D1090" s="13" t="s">
        <v>2344</v>
      </c>
      <c r="E1090" s="10" t="s">
        <v>24</v>
      </c>
      <c r="F1090" s="10">
        <v>2016</v>
      </c>
      <c r="G1090" s="10" t="s">
        <v>14</v>
      </c>
      <c r="H1090" s="11" t="s">
        <v>54</v>
      </c>
      <c r="I1090" s="10" t="s">
        <v>98</v>
      </c>
      <c r="J1090" s="131"/>
      <c r="K1090" s="149" t="s">
        <v>2346</v>
      </c>
    </row>
    <row r="1091" spans="1:11" ht="28.9" customHeight="1" thickTop="1" thickBot="1" x14ac:dyDescent="0.75">
      <c r="A1091" s="6">
        <v>1089</v>
      </c>
      <c r="B1091" s="59" t="str">
        <f>HYPERLINK("https://search.naver.com/search.naver?query=맨헌트-유나바머", "맨헌트-유나바머")</f>
        <v>맨헌트-유나바머</v>
      </c>
      <c r="C1091" s="16"/>
      <c r="D1091" s="17" t="s">
        <v>2347</v>
      </c>
      <c r="E1091" s="14" t="s">
        <v>24</v>
      </c>
      <c r="F1091" s="14">
        <v>2017</v>
      </c>
      <c r="G1091" s="14" t="s">
        <v>20</v>
      </c>
      <c r="H1091" s="15" t="s">
        <v>115</v>
      </c>
      <c r="I1091" s="14" t="s">
        <v>71</v>
      </c>
      <c r="J1091" s="132"/>
      <c r="K1091" s="150" t="s">
        <v>2348</v>
      </c>
    </row>
    <row r="1092" spans="1:11" ht="28.9" customHeight="1" thickTop="1" thickBot="1" x14ac:dyDescent="0.75">
      <c r="A1092" s="10">
        <v>1090</v>
      </c>
      <c r="B1092" s="58" t="str">
        <f>HYPERLINK("https://search.naver.com/search.naver?query=맹글혼 영화", "맹글혼")</f>
        <v>맹글혼</v>
      </c>
      <c r="C1092" s="12">
        <v>7.45</v>
      </c>
      <c r="D1092" s="13" t="s">
        <v>2349</v>
      </c>
      <c r="E1092" s="10" t="s">
        <v>24</v>
      </c>
      <c r="F1092" s="10">
        <v>2014</v>
      </c>
      <c r="G1092" s="10" t="s">
        <v>14</v>
      </c>
      <c r="H1092" s="11" t="s">
        <v>20</v>
      </c>
      <c r="I1092" s="10" t="s">
        <v>169</v>
      </c>
      <c r="J1092" s="131"/>
      <c r="K1092" s="149" t="s">
        <v>414</v>
      </c>
    </row>
    <row r="1093" spans="1:11" ht="28.9" customHeight="1" thickTop="1" thickBot="1" x14ac:dyDescent="0.75">
      <c r="A1093" s="6">
        <v>1091</v>
      </c>
      <c r="B1093" s="57" t="str">
        <f>HYPERLINK("https://search.naver.com/search.naver?query=머나먼 사랑 영화", "머나먼 사랑")</f>
        <v>머나먼 사랑</v>
      </c>
      <c r="C1093" s="8">
        <v>7.13</v>
      </c>
      <c r="D1093" s="9" t="s">
        <v>2350</v>
      </c>
      <c r="E1093" s="6" t="s">
        <v>24</v>
      </c>
      <c r="F1093" s="6">
        <v>2004</v>
      </c>
      <c r="G1093" s="6" t="s">
        <v>14</v>
      </c>
      <c r="H1093" s="7" t="s">
        <v>20</v>
      </c>
      <c r="I1093" s="6" t="s">
        <v>210</v>
      </c>
      <c r="J1093" s="130"/>
      <c r="K1093" s="148" t="s">
        <v>2351</v>
      </c>
    </row>
    <row r="1094" spans="1:11" ht="28.9" customHeight="1" thickTop="1" thickBot="1" x14ac:dyDescent="0.75">
      <c r="A1094" s="10">
        <v>1092</v>
      </c>
      <c r="B1094" s="58" t="str">
        <f>HYPERLINK("https://search.naver.com/search.naver?query=머나먼 여정 영화", "머나먼 여정")</f>
        <v>머나먼 여정</v>
      </c>
      <c r="C1094" s="12">
        <v>9.2799999999999994</v>
      </c>
      <c r="D1094" s="13" t="s">
        <v>2352</v>
      </c>
      <c r="E1094" s="10" t="s">
        <v>24</v>
      </c>
      <c r="F1094" s="10">
        <v>1993</v>
      </c>
      <c r="G1094" s="10" t="s">
        <v>14</v>
      </c>
      <c r="H1094" s="11" t="s">
        <v>20</v>
      </c>
      <c r="I1094" s="10" t="s">
        <v>205</v>
      </c>
      <c r="J1094" s="131"/>
      <c r="K1094" s="149" t="s">
        <v>2353</v>
      </c>
    </row>
    <row r="1095" spans="1:11" ht="28.9" customHeight="1" thickTop="1" thickBot="1" x14ac:dyDescent="0.75">
      <c r="A1095" s="6">
        <v>1093</v>
      </c>
      <c r="B1095" s="57" t="str">
        <f>HYPERLINK("https://search.naver.com/search.naver?query=머니 몬스터 영화", "머니 몬스터")</f>
        <v>머니 몬스터</v>
      </c>
      <c r="C1095" s="8">
        <v>8.41</v>
      </c>
      <c r="D1095" s="9" t="s">
        <v>2354</v>
      </c>
      <c r="E1095" s="6" t="s">
        <v>24</v>
      </c>
      <c r="F1095" s="6">
        <v>2016</v>
      </c>
      <c r="G1095" s="6" t="s">
        <v>14</v>
      </c>
      <c r="H1095" s="7" t="s">
        <v>20</v>
      </c>
      <c r="I1095" s="6" t="s">
        <v>16</v>
      </c>
      <c r="J1095" s="130"/>
      <c r="K1095" s="148" t="s">
        <v>1995</v>
      </c>
    </row>
    <row r="1096" spans="1:11" ht="28.9" customHeight="1" thickTop="1" thickBot="1" x14ac:dyDescent="0.75">
      <c r="A1096" s="10">
        <v>1094</v>
      </c>
      <c r="B1096" s="58" t="str">
        <f>HYPERLINK("https://search.naver.com/search.naver?query=머니볼 영화", "머니볼")</f>
        <v>머니볼</v>
      </c>
      <c r="C1096" s="12">
        <v>8.4600000000000009</v>
      </c>
      <c r="D1096" s="13" t="s">
        <v>2355</v>
      </c>
      <c r="E1096" s="10" t="s">
        <v>24</v>
      </c>
      <c r="F1096" s="10">
        <v>2011</v>
      </c>
      <c r="G1096" s="10" t="s">
        <v>14</v>
      </c>
      <c r="H1096" s="11" t="s">
        <v>20</v>
      </c>
      <c r="I1096" s="10" t="s">
        <v>112</v>
      </c>
      <c r="J1096" s="131"/>
      <c r="K1096" s="149" t="s">
        <v>2356</v>
      </c>
    </row>
    <row r="1097" spans="1:11" ht="28.9" customHeight="1" thickTop="1" thickBot="1" x14ac:dyDescent="0.75">
      <c r="A1097" s="6">
        <v>1095</v>
      </c>
      <c r="B1097" s="57" t="str">
        <f>HYPERLINK("https://search.naver.com/search.naver?query=머더리스 브루클린 영화", "머더리스 브루클린")</f>
        <v>머더리스 브루클린</v>
      </c>
      <c r="C1097" s="8">
        <v>6.4</v>
      </c>
      <c r="D1097" s="9" t="s">
        <v>2357</v>
      </c>
      <c r="E1097" s="6" t="s">
        <v>24</v>
      </c>
      <c r="F1097" s="6">
        <v>2019</v>
      </c>
      <c r="G1097" s="6" t="s">
        <v>14</v>
      </c>
      <c r="H1097" s="7" t="s">
        <v>428</v>
      </c>
      <c r="I1097" s="6" t="s">
        <v>57</v>
      </c>
      <c r="J1097" s="130"/>
      <c r="K1097" s="148" t="s">
        <v>2358</v>
      </c>
    </row>
    <row r="1098" spans="1:11" ht="28.9" customHeight="1" thickTop="1" thickBot="1" x14ac:dyDescent="0.75">
      <c r="A1098" s="10">
        <v>1096</v>
      </c>
      <c r="B1098" s="58" t="str">
        <f>HYPERLINK("https://search.naver.com/search.naver?query=머드 영화", "머드")</f>
        <v>머드</v>
      </c>
      <c r="C1098" s="12">
        <v>8.44</v>
      </c>
      <c r="D1098" s="13" t="s">
        <v>2359</v>
      </c>
      <c r="E1098" s="10" t="s">
        <v>24</v>
      </c>
      <c r="F1098" s="10">
        <v>2012</v>
      </c>
      <c r="G1098" s="10" t="s">
        <v>14</v>
      </c>
      <c r="H1098" s="11" t="s">
        <v>20</v>
      </c>
      <c r="I1098" s="10" t="s">
        <v>42</v>
      </c>
      <c r="J1098" s="131"/>
      <c r="K1098" s="149" t="s">
        <v>2360</v>
      </c>
    </row>
    <row r="1099" spans="1:11" ht="28.9" customHeight="1" thickTop="1" thickBot="1" x14ac:dyDescent="0.75">
      <c r="A1099" s="6">
        <v>1097</v>
      </c>
      <c r="B1099" s="57" t="str">
        <f>HYPERLINK("https://search.naver.com/search.naver?query=머신건 프리처 영화", "머신건 프리처")</f>
        <v>머신건 프리처</v>
      </c>
      <c r="C1099" s="8">
        <v>8.01</v>
      </c>
      <c r="D1099" s="9" t="s">
        <v>2361</v>
      </c>
      <c r="E1099" s="6" t="s">
        <v>24</v>
      </c>
      <c r="F1099" s="6">
        <v>2011</v>
      </c>
      <c r="G1099" s="6" t="s">
        <v>14</v>
      </c>
      <c r="H1099" s="7" t="s">
        <v>124</v>
      </c>
      <c r="I1099" s="6" t="s">
        <v>85</v>
      </c>
      <c r="J1099" s="130"/>
      <c r="K1099" s="148" t="s">
        <v>2362</v>
      </c>
    </row>
    <row r="1100" spans="1:11" ht="28.9" customHeight="1" thickTop="1" thickBot="1" x14ac:dyDescent="0.75">
      <c r="A1100" s="10">
        <v>1098</v>
      </c>
      <c r="B1100" s="58" t="str">
        <f>HYPERLINK("https://search.naver.com/search.naver?query=머티리얼리스트 영화", "머티리얼리스트")</f>
        <v>머티리얼리스트</v>
      </c>
      <c r="C1100" s="12">
        <v>7.29</v>
      </c>
      <c r="D1100" s="13" t="s">
        <v>2363</v>
      </c>
      <c r="E1100" s="10" t="s">
        <v>24</v>
      </c>
      <c r="F1100" s="10">
        <v>2025</v>
      </c>
      <c r="G1100" s="10" t="s">
        <v>14</v>
      </c>
      <c r="H1100" s="11" t="s">
        <v>91</v>
      </c>
      <c r="I1100" s="10" t="s">
        <v>179</v>
      </c>
      <c r="J1100" s="131"/>
      <c r="K1100" s="149" t="s">
        <v>2364</v>
      </c>
    </row>
    <row r="1101" spans="1:11" ht="28.9" customHeight="1" thickTop="1" thickBot="1" x14ac:dyDescent="0.75">
      <c r="A1101" s="6">
        <v>1099</v>
      </c>
      <c r="B1101" s="57" t="str">
        <f>HYPERLINK("https://search.naver.com/search.naver?query=먼 훗날 우리", "먼 훗날 우리")</f>
        <v>먼 훗날 우리</v>
      </c>
      <c r="C1101" s="8">
        <v>9.48</v>
      </c>
      <c r="D1101" s="9" t="s">
        <v>2365</v>
      </c>
      <c r="E1101" s="6" t="s">
        <v>186</v>
      </c>
      <c r="F1101" s="6">
        <v>2018</v>
      </c>
      <c r="G1101" s="6" t="s">
        <v>14</v>
      </c>
      <c r="H1101" s="7" t="s">
        <v>20</v>
      </c>
      <c r="I1101" s="6" t="s">
        <v>116</v>
      </c>
      <c r="J1101" s="130"/>
      <c r="K1101" s="148" t="s">
        <v>2366</v>
      </c>
    </row>
    <row r="1102" spans="1:11" ht="28.9" customHeight="1" thickTop="1" thickBot="1" x14ac:dyDescent="0.75">
      <c r="A1102" s="10">
        <v>1100</v>
      </c>
      <c r="B1102" s="58" t="str">
        <f>HYPERLINK("https://search.naver.com/search.naver?query=멀리서 늘 곁에 있어 영화", "멀리서 늘 곁에 있어")</f>
        <v>멀리서 늘 곁에 있어</v>
      </c>
      <c r="C1102" s="12">
        <v>6.4</v>
      </c>
      <c r="D1102" s="13"/>
      <c r="E1102" s="10" t="s">
        <v>19</v>
      </c>
      <c r="F1102" s="10">
        <v>2013</v>
      </c>
      <c r="G1102" s="10" t="s">
        <v>14</v>
      </c>
      <c r="H1102" s="11" t="s">
        <v>20</v>
      </c>
      <c r="I1102" s="10" t="s">
        <v>16</v>
      </c>
      <c r="J1102" s="131"/>
      <c r="K1102" s="149" t="s">
        <v>2367</v>
      </c>
    </row>
    <row r="1103" spans="1:11" ht="28.9" customHeight="1" thickTop="1" thickBot="1" x14ac:dyDescent="0.75">
      <c r="A1103" s="6">
        <v>1101</v>
      </c>
      <c r="B1103" s="57" t="str">
        <f>HYPERLINK("https://search.naver.com/search.naver?query=멋진 녀석들 영화", "멋진 녀석들")</f>
        <v>멋진 녀석들</v>
      </c>
      <c r="C1103" s="8">
        <v>8.57</v>
      </c>
      <c r="D1103" s="9" t="s">
        <v>2368</v>
      </c>
      <c r="E1103" s="6" t="s">
        <v>24</v>
      </c>
      <c r="F1103" s="6">
        <v>2016</v>
      </c>
      <c r="G1103" s="6" t="s">
        <v>14</v>
      </c>
      <c r="H1103" s="7" t="s">
        <v>332</v>
      </c>
      <c r="I1103" s="6" t="s">
        <v>591</v>
      </c>
      <c r="J1103" s="130"/>
      <c r="K1103" s="148" t="s">
        <v>2369</v>
      </c>
    </row>
    <row r="1104" spans="1:11" ht="28.9" customHeight="1" thickTop="1" thickBot="1" x14ac:dyDescent="0.75">
      <c r="A1104" s="10">
        <v>1102</v>
      </c>
      <c r="B1104" s="58" t="str">
        <f>HYPERLINK("https://search.naver.com/search.naver?query=멋진 세계 영화", "멋진 세계")</f>
        <v>멋진 세계</v>
      </c>
      <c r="C1104" s="12">
        <v>8.02</v>
      </c>
      <c r="D1104" s="13" t="s">
        <v>2370</v>
      </c>
      <c r="E1104" s="10" t="s">
        <v>19</v>
      </c>
      <c r="F1104" s="10">
        <v>2020</v>
      </c>
      <c r="G1104" s="10" t="s">
        <v>14</v>
      </c>
      <c r="H1104" s="11" t="s">
        <v>20</v>
      </c>
      <c r="I1104" s="10" t="s">
        <v>432</v>
      </c>
      <c r="J1104" s="131"/>
      <c r="K1104" s="149" t="s">
        <v>2371</v>
      </c>
    </row>
    <row r="1105" spans="1:11" ht="28.9" customHeight="1" thickTop="1" thickBot="1" x14ac:dyDescent="0.75">
      <c r="A1105" s="6">
        <v>1103</v>
      </c>
      <c r="B1105" s="57" t="str">
        <f>HYPERLINK("https://search.naver.com/search.naver?query=멋진 악몽 영화", "멋진 악몽")</f>
        <v>멋진 악몽</v>
      </c>
      <c r="C1105" s="8">
        <v>8.24</v>
      </c>
      <c r="D1105" s="9" t="s">
        <v>2372</v>
      </c>
      <c r="E1105" s="6" t="s">
        <v>19</v>
      </c>
      <c r="F1105" s="6">
        <v>2012</v>
      </c>
      <c r="G1105" s="6" t="s">
        <v>14</v>
      </c>
      <c r="H1105" s="7" t="s">
        <v>91</v>
      </c>
      <c r="I1105" s="6" t="s">
        <v>356</v>
      </c>
      <c r="J1105" s="130"/>
      <c r="K1105" s="148" t="s">
        <v>2373</v>
      </c>
    </row>
    <row r="1106" spans="1:11" ht="28.9" customHeight="1" thickTop="1" thickBot="1" x14ac:dyDescent="0.75">
      <c r="A1106" s="10">
        <v>1104</v>
      </c>
      <c r="B1106" s="58" t="str">
        <f>HYPERLINK("https://search.naver.com/search.naver?query=멋진하루 영화", "멋진하루")</f>
        <v>멋진하루</v>
      </c>
      <c r="C1106" s="12">
        <v>8.27</v>
      </c>
      <c r="D1106" s="13" t="s">
        <v>2374</v>
      </c>
      <c r="E1106" s="10" t="s">
        <v>13</v>
      </c>
      <c r="F1106" s="10">
        <v>2008</v>
      </c>
      <c r="G1106" s="10" t="s">
        <v>14</v>
      </c>
      <c r="H1106" s="11" t="s">
        <v>20</v>
      </c>
      <c r="I1106" s="10" t="s">
        <v>76</v>
      </c>
      <c r="J1106" s="131"/>
      <c r="K1106" s="149" t="s">
        <v>2375</v>
      </c>
    </row>
    <row r="1107" spans="1:11" ht="28.9" customHeight="1" thickTop="1" thickBot="1" x14ac:dyDescent="0.75">
      <c r="A1107" s="6">
        <v>1105</v>
      </c>
      <c r="B1107" s="57" t="str">
        <f>HYPERLINK("https://search.naver.com/search.naver?query=메가로돈 영화", "메가로돈")</f>
        <v>메가로돈</v>
      </c>
      <c r="C1107" s="8">
        <v>5.49</v>
      </c>
      <c r="D1107" s="9" t="s">
        <v>2376</v>
      </c>
      <c r="E1107" s="6" t="s">
        <v>24</v>
      </c>
      <c r="F1107" s="6">
        <v>2018</v>
      </c>
      <c r="G1107" s="6" t="s">
        <v>14</v>
      </c>
      <c r="H1107" s="7" t="s">
        <v>124</v>
      </c>
      <c r="I1107" s="6" t="s">
        <v>98</v>
      </c>
      <c r="J1107" s="130"/>
      <c r="K1107" s="148" t="s">
        <v>2377</v>
      </c>
    </row>
    <row r="1108" spans="1:11" ht="28.9" customHeight="1" thickTop="1" thickBot="1" x14ac:dyDescent="0.75">
      <c r="A1108" s="10">
        <v>1106</v>
      </c>
      <c r="B1108" s="58" t="str">
        <f>HYPERLINK("https://search.naver.com/search.naver?query=메건 리비 영화", "메건 리비")</f>
        <v>메건 리비</v>
      </c>
      <c r="C1108" s="12">
        <v>6.4</v>
      </c>
      <c r="D1108" s="13" t="s">
        <v>2378</v>
      </c>
      <c r="E1108" s="10" t="s">
        <v>24</v>
      </c>
      <c r="F1108" s="10">
        <v>2017</v>
      </c>
      <c r="G1108" s="10" t="s">
        <v>14</v>
      </c>
      <c r="H1108" s="11" t="s">
        <v>20</v>
      </c>
      <c r="I1108" s="10" t="s">
        <v>591</v>
      </c>
      <c r="J1108" s="131"/>
      <c r="K1108" s="149" t="s">
        <v>2379</v>
      </c>
    </row>
    <row r="1109" spans="1:11" ht="28.9" customHeight="1" thickTop="1" thickBot="1" x14ac:dyDescent="0.75">
      <c r="A1109" s="6">
        <v>1107</v>
      </c>
      <c r="B1109" s="57" t="str">
        <f>HYPERLINK("https://search.naver.com/search.naver?query=메루 영화", "메루")</f>
        <v>메루</v>
      </c>
      <c r="C1109" s="8"/>
      <c r="D1109" s="9" t="s">
        <v>2380</v>
      </c>
      <c r="E1109" s="6" t="s">
        <v>24</v>
      </c>
      <c r="F1109" s="6">
        <v>2015</v>
      </c>
      <c r="G1109" s="6" t="s">
        <v>14</v>
      </c>
      <c r="H1109" s="7" t="s">
        <v>226</v>
      </c>
      <c r="I1109" s="6" t="s">
        <v>156</v>
      </c>
      <c r="J1109" s="130"/>
      <c r="K1109" s="148" t="s">
        <v>2381</v>
      </c>
    </row>
    <row r="1110" spans="1:11" ht="28.9" customHeight="1" thickTop="1" thickBot="1" x14ac:dyDescent="0.75">
      <c r="A1110" s="10">
        <v>1108</v>
      </c>
      <c r="B1110" s="58" t="str">
        <f>HYPERLINK("https://search.naver.com/search.naver?query=메리 영화", "메리")</f>
        <v>메리</v>
      </c>
      <c r="C1110" s="12">
        <v>6.4</v>
      </c>
      <c r="D1110" s="13" t="s">
        <v>2382</v>
      </c>
      <c r="E1110" s="10" t="s">
        <v>24</v>
      </c>
      <c r="F1110" s="10">
        <v>2019</v>
      </c>
      <c r="G1110" s="10" t="s">
        <v>14</v>
      </c>
      <c r="H1110" s="11" t="s">
        <v>382</v>
      </c>
      <c r="I1110" s="10" t="s">
        <v>1705</v>
      </c>
      <c r="J1110" s="131"/>
      <c r="K1110" s="149" t="s">
        <v>2383</v>
      </c>
    </row>
    <row r="1111" spans="1:11" ht="28.9" customHeight="1" thickTop="1" thickBot="1" x14ac:dyDescent="0.75">
      <c r="A1111" s="6">
        <v>1109</v>
      </c>
      <c r="B1111" s="57" t="str">
        <f>HYPERLINK("https://search.naver.com/search.naver?query=메리 미 영화", "메리 미")</f>
        <v>메리 미</v>
      </c>
      <c r="C1111" s="8"/>
      <c r="D1111" s="9" t="s">
        <v>2384</v>
      </c>
      <c r="E1111" s="6" t="s">
        <v>24</v>
      </c>
      <c r="F1111" s="6">
        <v>2022</v>
      </c>
      <c r="G1111" s="6" t="s">
        <v>14</v>
      </c>
      <c r="H1111" s="7" t="s">
        <v>165</v>
      </c>
      <c r="I1111" s="6" t="s">
        <v>429</v>
      </c>
      <c r="J1111" s="130"/>
      <c r="K1111" s="148" t="s">
        <v>2385</v>
      </c>
    </row>
    <row r="1112" spans="1:11" ht="28.9" customHeight="1" thickTop="1" thickBot="1" x14ac:dyDescent="0.75">
      <c r="A1112" s="10">
        <v>1110</v>
      </c>
      <c r="B1112" s="58" t="str">
        <f>HYPERLINK("https://search.naver.com/search.naver?query=메멘토 영화", "메멘토")</f>
        <v>메멘토</v>
      </c>
      <c r="C1112" s="12">
        <v>9.0500000000000007</v>
      </c>
      <c r="D1112" s="13" t="s">
        <v>2386</v>
      </c>
      <c r="E1112" s="10" t="s">
        <v>24</v>
      </c>
      <c r="F1112" s="10">
        <v>2000</v>
      </c>
      <c r="G1112" s="10" t="s">
        <v>14</v>
      </c>
      <c r="H1112" s="11" t="s">
        <v>54</v>
      </c>
      <c r="I1112" s="10" t="s">
        <v>98</v>
      </c>
      <c r="J1112" s="131"/>
      <c r="K1112" s="149" t="s">
        <v>2387</v>
      </c>
    </row>
    <row r="1113" spans="1:11" ht="28.9" customHeight="1" thickTop="1" thickBot="1" x14ac:dyDescent="0.75">
      <c r="A1113" s="6">
        <v>1111</v>
      </c>
      <c r="B1113" s="57" t="str">
        <f>HYPERLINK("https://search.naver.com/search.naver?query=메모리 영화", "메모리")</f>
        <v>메모리</v>
      </c>
      <c r="C1113" s="8">
        <v>3.83</v>
      </c>
      <c r="D1113" s="9" t="s">
        <v>2388</v>
      </c>
      <c r="E1113" s="6" t="s">
        <v>24</v>
      </c>
      <c r="F1113" s="6">
        <v>2022</v>
      </c>
      <c r="G1113" s="6" t="s">
        <v>14</v>
      </c>
      <c r="H1113" s="7" t="s">
        <v>124</v>
      </c>
      <c r="I1113" s="6" t="s">
        <v>305</v>
      </c>
      <c r="J1113" s="130"/>
      <c r="K1113" s="148" t="s">
        <v>2389</v>
      </c>
    </row>
    <row r="1114" spans="1:11" ht="28.9" customHeight="1" thickTop="1" thickBot="1" x14ac:dyDescent="0.75">
      <c r="A1114" s="10">
        <v>1112</v>
      </c>
      <c r="B1114" s="59" t="str">
        <f>HYPERLINK("https://search.naver.com/search.naver?query=메시아 시즌1", "메시아 시즌1")</f>
        <v>메시아 시즌1</v>
      </c>
      <c r="C1114" s="16"/>
      <c r="D1114" s="17" t="s">
        <v>2390</v>
      </c>
      <c r="E1114" s="14" t="s">
        <v>24</v>
      </c>
      <c r="F1114" s="14">
        <v>2020</v>
      </c>
      <c r="G1114" s="14" t="s">
        <v>20</v>
      </c>
      <c r="H1114" s="15" t="s">
        <v>20</v>
      </c>
      <c r="I1114" s="14" t="s">
        <v>64</v>
      </c>
      <c r="J1114" s="132"/>
      <c r="K1114" s="150" t="s">
        <v>2391</v>
      </c>
    </row>
    <row r="1115" spans="1:11" ht="28.9" customHeight="1" thickTop="1" thickBot="1" x14ac:dyDescent="0.75">
      <c r="A1115" s="6">
        <v>1113</v>
      </c>
      <c r="B1115" s="57" t="str">
        <f>HYPERLINK("https://search.naver.com/search.naver?query=메시지 맨 영화", "메시지 맨")</f>
        <v>메시지 맨</v>
      </c>
      <c r="C1115" s="8">
        <v>6.4</v>
      </c>
      <c r="D1115" s="9" t="s">
        <v>2392</v>
      </c>
      <c r="E1115" s="6" t="s">
        <v>45</v>
      </c>
      <c r="F1115" s="6">
        <v>2018</v>
      </c>
      <c r="G1115" s="6" t="s">
        <v>14</v>
      </c>
      <c r="H1115" s="7" t="s">
        <v>124</v>
      </c>
      <c r="I1115" s="6" t="s">
        <v>205</v>
      </c>
      <c r="J1115" s="130"/>
      <c r="K1115" s="148" t="s">
        <v>2393</v>
      </c>
    </row>
    <row r="1116" spans="1:11" ht="28.9" customHeight="1" thickTop="1" thickBot="1" x14ac:dyDescent="0.75">
      <c r="A1116" s="10">
        <v>1114</v>
      </c>
      <c r="B1116" s="59" t="str">
        <f>HYPERLINK("https://search.naver.com/search.naver?query=메어 오브 이스트타운", "메어 오브 이스트타운")</f>
        <v>메어 오브 이스트타운</v>
      </c>
      <c r="C1116" s="16"/>
      <c r="D1116" s="17" t="s">
        <v>2394</v>
      </c>
      <c r="E1116" s="14" t="s">
        <v>24</v>
      </c>
      <c r="F1116" s="14">
        <v>2021</v>
      </c>
      <c r="G1116" s="14" t="s">
        <v>20</v>
      </c>
      <c r="H1116" s="15" t="s">
        <v>115</v>
      </c>
      <c r="I1116" s="14" t="s">
        <v>512</v>
      </c>
      <c r="J1116" s="132"/>
      <c r="K1116" s="150" t="s">
        <v>2395</v>
      </c>
    </row>
    <row r="1117" spans="1:11" ht="28.9" customHeight="1" thickTop="1" thickBot="1" x14ac:dyDescent="0.75">
      <c r="A1117" s="6">
        <v>1115</v>
      </c>
      <c r="B1117" s="57" t="str">
        <f>HYPERLINK("https://search.naver.com/search.naver?query=메이 디셈버 영화", "메이 디셈버")</f>
        <v>메이 디셈버</v>
      </c>
      <c r="C1117" s="8">
        <v>7.26</v>
      </c>
      <c r="D1117" s="9" t="s">
        <v>2396</v>
      </c>
      <c r="E1117" s="6" t="s">
        <v>24</v>
      </c>
      <c r="F1117" s="6">
        <v>2023</v>
      </c>
      <c r="G1117" s="6" t="s">
        <v>14</v>
      </c>
      <c r="H1117" s="7" t="s">
        <v>20</v>
      </c>
      <c r="I1117" s="6" t="s">
        <v>98</v>
      </c>
      <c r="J1117" s="130"/>
      <c r="K1117" s="148" t="s">
        <v>2397</v>
      </c>
    </row>
    <row r="1118" spans="1:11" ht="28.9" customHeight="1" thickTop="1" thickBot="1" x14ac:dyDescent="0.75">
      <c r="A1118" s="10">
        <v>1116</v>
      </c>
      <c r="B1118" s="59" t="str">
        <f>HYPERLINK("https://search.naver.com/search.naver?query=메이드인코리아", "메이드인코리아")</f>
        <v>메이드인코리아</v>
      </c>
      <c r="C1118" s="16"/>
      <c r="D1118" s="17" t="s">
        <v>2398</v>
      </c>
      <c r="E1118" s="14" t="s">
        <v>13</v>
      </c>
      <c r="F1118" s="14">
        <v>2025</v>
      </c>
      <c r="G1118" s="14" t="s">
        <v>20</v>
      </c>
      <c r="H1118" s="15" t="s">
        <v>20</v>
      </c>
      <c r="I1118" s="14" t="s">
        <v>247</v>
      </c>
      <c r="J1118" s="132"/>
      <c r="K1118" s="150" t="s">
        <v>2399</v>
      </c>
    </row>
    <row r="1119" spans="1:11" ht="28.9" customHeight="1" thickTop="1" thickBot="1" x14ac:dyDescent="0.75">
      <c r="A1119" s="6">
        <v>1117</v>
      </c>
      <c r="B1119" s="59" t="str">
        <f>HYPERLINK("https://search.naver.com/search.naver?query=메이어 오브 킹스타운 시즌1", "메이어 오브 킹스타운 시즌1")</f>
        <v>메이어 오브 킹스타운 시즌1</v>
      </c>
      <c r="C1119" s="16"/>
      <c r="D1119" s="17" t="s">
        <v>2400</v>
      </c>
      <c r="E1119" s="14" t="s">
        <v>24</v>
      </c>
      <c r="F1119" s="14">
        <v>2022</v>
      </c>
      <c r="G1119" s="14" t="s">
        <v>20</v>
      </c>
      <c r="H1119" s="15" t="s">
        <v>20</v>
      </c>
      <c r="I1119" s="14" t="s">
        <v>64</v>
      </c>
      <c r="J1119" s="132"/>
      <c r="K1119" s="150" t="s">
        <v>234</v>
      </c>
    </row>
    <row r="1120" spans="1:11" ht="28.9" customHeight="1" thickTop="1" thickBot="1" x14ac:dyDescent="0.75">
      <c r="A1120" s="10">
        <v>1118</v>
      </c>
      <c r="B1120" s="59" t="str">
        <f>HYPERLINK("https://search.naver.com/search.naver?query=메이어 오브 킹스타운 시즌2", "메이어 오브 킹스타운 시즌2")</f>
        <v>메이어 오브 킹스타운 시즌2</v>
      </c>
      <c r="C1120" s="16"/>
      <c r="D1120" s="17" t="s">
        <v>2400</v>
      </c>
      <c r="E1120" s="14" t="s">
        <v>24</v>
      </c>
      <c r="F1120" s="14">
        <v>2023</v>
      </c>
      <c r="G1120" s="14" t="s">
        <v>20</v>
      </c>
      <c r="H1120" s="15" t="s">
        <v>20</v>
      </c>
      <c r="I1120" s="14" t="s">
        <v>64</v>
      </c>
      <c r="J1120" s="132"/>
      <c r="K1120" s="150" t="s">
        <v>2401</v>
      </c>
    </row>
    <row r="1121" spans="1:11" ht="28.9" customHeight="1" thickTop="1" thickBot="1" x14ac:dyDescent="0.75">
      <c r="A1121" s="6">
        <v>1119</v>
      </c>
      <c r="B1121" s="57" t="str">
        <f>HYPERLINK("https://search.naver.com/search.naver?query=메이지가 알고 있었던 일 영화", "메이지가 알고 있었던 일")</f>
        <v>메이지가 알고 있었던 일</v>
      </c>
      <c r="C1121" s="8">
        <v>8.1999999999999993</v>
      </c>
      <c r="D1121" s="9" t="s">
        <v>2402</v>
      </c>
      <c r="E1121" s="6" t="s">
        <v>24</v>
      </c>
      <c r="F1121" s="6">
        <v>2012</v>
      </c>
      <c r="G1121" s="6" t="s">
        <v>14</v>
      </c>
      <c r="H1121" s="7" t="s">
        <v>20</v>
      </c>
      <c r="I1121" s="6" t="s">
        <v>109</v>
      </c>
      <c r="J1121" s="130"/>
      <c r="K1121" s="148" t="s">
        <v>2403</v>
      </c>
    </row>
    <row r="1122" spans="1:11" ht="28.9" customHeight="1" thickTop="1" thickBot="1" x14ac:dyDescent="0.75">
      <c r="A1122" s="10">
        <v>1120</v>
      </c>
      <c r="B1122" s="59" t="str">
        <f>HYPERLINK("https://search.naver.com/search.naver?query=메종 드 폴리스", "메종 드 폴리스")</f>
        <v>메종 드 폴리스</v>
      </c>
      <c r="C1122" s="16"/>
      <c r="D1122" s="17" t="s">
        <v>2404</v>
      </c>
      <c r="E1122" s="14" t="s">
        <v>19</v>
      </c>
      <c r="F1122" s="14">
        <v>2019</v>
      </c>
      <c r="G1122" s="14" t="s">
        <v>20</v>
      </c>
      <c r="H1122" s="15" t="s">
        <v>20</v>
      </c>
      <c r="I1122" s="14" t="s">
        <v>64</v>
      </c>
      <c r="J1122" s="132"/>
      <c r="K1122" s="150" t="s">
        <v>2405</v>
      </c>
    </row>
    <row r="1123" spans="1:11" ht="28.9" customHeight="1" thickTop="1" thickBot="1" x14ac:dyDescent="0.75">
      <c r="A1123" s="6">
        <v>1121</v>
      </c>
      <c r="B1123" s="57" t="str">
        <f>HYPERLINK("https://search.naver.com/search.naver?query=멘, 우먼 &amp; 칠드런 영화", "멘, 우먼 &amp; 칠드런")</f>
        <v>멘, 우먼 &amp; 칠드런</v>
      </c>
      <c r="C1123" s="8">
        <v>3.83</v>
      </c>
      <c r="D1123" s="9" t="s">
        <v>2406</v>
      </c>
      <c r="E1123" s="6" t="s">
        <v>24</v>
      </c>
      <c r="F1123" s="6">
        <v>2014</v>
      </c>
      <c r="G1123" s="6" t="s">
        <v>14</v>
      </c>
      <c r="H1123" s="7" t="s">
        <v>20</v>
      </c>
      <c r="I1123" s="6" t="s">
        <v>68</v>
      </c>
      <c r="J1123" s="130"/>
      <c r="K1123" s="148" t="s">
        <v>2407</v>
      </c>
    </row>
    <row r="1124" spans="1:11" ht="28.9" customHeight="1" thickTop="1" thickBot="1" x14ac:dyDescent="0.75">
      <c r="A1124" s="10">
        <v>1122</v>
      </c>
      <c r="B1124" s="123" t="str">
        <f>HYPERLINK("https://search.naver.com/search.naver?query=멘탈리스트 시즌1", "멘탈리스트 시즌1")</f>
        <v>멘탈리스트 시즌1</v>
      </c>
      <c r="C1124" s="16"/>
      <c r="D1124" s="17" t="s">
        <v>2408</v>
      </c>
      <c r="E1124" s="14" t="s">
        <v>24</v>
      </c>
      <c r="F1124" s="14">
        <v>2008</v>
      </c>
      <c r="G1124" s="14" t="s">
        <v>20</v>
      </c>
      <c r="H1124" s="15" t="s">
        <v>2409</v>
      </c>
      <c r="I1124" s="14" t="s">
        <v>566</v>
      </c>
      <c r="J1124" s="132"/>
      <c r="K1124" s="150" t="s">
        <v>2410</v>
      </c>
    </row>
    <row r="1125" spans="1:11" ht="28.9" customHeight="1" thickTop="1" thickBot="1" x14ac:dyDescent="0.75">
      <c r="A1125" s="6">
        <v>1123</v>
      </c>
      <c r="B1125" s="57" t="str">
        <f>HYPERLINK("https://search.naver.com/search.naver?query=명당 영화", "명당")</f>
        <v>명당</v>
      </c>
      <c r="C1125" s="8">
        <v>7.75</v>
      </c>
      <c r="D1125" s="9" t="s">
        <v>2411</v>
      </c>
      <c r="E1125" s="6" t="s">
        <v>13</v>
      </c>
      <c r="F1125" s="6">
        <v>2018</v>
      </c>
      <c r="G1125" s="6" t="s">
        <v>14</v>
      </c>
      <c r="H1125" s="7" t="s">
        <v>1548</v>
      </c>
      <c r="I1125" s="6" t="s">
        <v>105</v>
      </c>
      <c r="J1125" s="130"/>
      <c r="K1125" s="148" t="s">
        <v>2412</v>
      </c>
    </row>
    <row r="1126" spans="1:11" ht="28.9" customHeight="1" thickTop="1" thickBot="1" x14ac:dyDescent="0.75">
      <c r="A1126" s="10">
        <v>1124</v>
      </c>
      <c r="B1126" s="58" t="str">
        <f>HYPERLINK("https://search.naver.com/search.naver?query=명량 영화", "명량")</f>
        <v>명량</v>
      </c>
      <c r="C1126" s="12">
        <v>8.8800000000000008</v>
      </c>
      <c r="D1126" s="13" t="s">
        <v>2413</v>
      </c>
      <c r="E1126" s="10" t="s">
        <v>13</v>
      </c>
      <c r="F1126" s="10">
        <v>2014</v>
      </c>
      <c r="G1126" s="10" t="s">
        <v>14</v>
      </c>
      <c r="H1126" s="11" t="s">
        <v>1548</v>
      </c>
      <c r="I1126" s="10" t="s">
        <v>146</v>
      </c>
      <c r="J1126" s="131"/>
      <c r="K1126" s="149" t="s">
        <v>2414</v>
      </c>
    </row>
    <row r="1127" spans="1:11" ht="28.9" customHeight="1" thickTop="1" thickBot="1" x14ac:dyDescent="0.75">
      <c r="A1127" s="6">
        <v>1125</v>
      </c>
      <c r="B1127" s="57" t="str">
        <f>HYPERLINK("https://search.naver.com/search.naver?query=명운화장사 영화", "명운화장사")</f>
        <v>명운화장사</v>
      </c>
      <c r="C1127" s="8"/>
      <c r="D1127" s="9" t="s">
        <v>2415</v>
      </c>
      <c r="E1127" s="6" t="s">
        <v>608</v>
      </c>
      <c r="F1127" s="6">
        <v>2011</v>
      </c>
      <c r="G1127" s="6" t="s">
        <v>14</v>
      </c>
      <c r="H1127" s="7" t="s">
        <v>20</v>
      </c>
      <c r="I1127" s="6" t="s">
        <v>101</v>
      </c>
      <c r="J1127" s="130"/>
      <c r="K1127" s="148" t="s">
        <v>2416</v>
      </c>
    </row>
    <row r="1128" spans="1:11" ht="28.9" customHeight="1" thickTop="1" thickBot="1" x14ac:dyDescent="0.75">
      <c r="A1128" s="10">
        <v>1126</v>
      </c>
      <c r="B1128" s="58" t="str">
        <f>HYPERLINK("https://search.naver.com/search.naver?query=모가디슈 영화", "모가디슈")</f>
        <v>모가디슈</v>
      </c>
      <c r="C1128" s="12">
        <v>8.6199999999999992</v>
      </c>
      <c r="D1128" s="13" t="s">
        <v>2417</v>
      </c>
      <c r="E1128" s="10" t="s">
        <v>13</v>
      </c>
      <c r="F1128" s="10">
        <v>2021</v>
      </c>
      <c r="G1128" s="10" t="s">
        <v>14</v>
      </c>
      <c r="H1128" s="11" t="s">
        <v>124</v>
      </c>
      <c r="I1128" s="10" t="s">
        <v>195</v>
      </c>
      <c r="J1128" s="131"/>
      <c r="K1128" s="149" t="s">
        <v>2418</v>
      </c>
    </row>
    <row r="1129" spans="1:11" ht="28.9" customHeight="1" thickTop="1" thickBot="1" x14ac:dyDescent="0.75">
      <c r="A1129" s="6">
        <v>1127</v>
      </c>
      <c r="B1129" s="57" t="str">
        <f>HYPERLINK("https://search.naver.com/search.naver?query=모나리자 스마일 영화", "모나리자 스마일")</f>
        <v>모나리자 스마일</v>
      </c>
      <c r="C1129" s="8">
        <v>8.1199999999999992</v>
      </c>
      <c r="D1129" s="9" t="s">
        <v>2419</v>
      </c>
      <c r="E1129" s="6" t="s">
        <v>24</v>
      </c>
      <c r="F1129" s="6">
        <v>2003</v>
      </c>
      <c r="G1129" s="6" t="s">
        <v>14</v>
      </c>
      <c r="H1129" s="7" t="s">
        <v>20</v>
      </c>
      <c r="I1129" s="6" t="s">
        <v>120</v>
      </c>
      <c r="J1129" s="130"/>
      <c r="K1129" s="148" t="s">
        <v>2420</v>
      </c>
    </row>
    <row r="1130" spans="1:11" ht="28.9" customHeight="1" thickTop="1" thickBot="1" x14ac:dyDescent="0.75">
      <c r="A1130" s="10">
        <v>1128</v>
      </c>
      <c r="B1130" s="58" t="str">
        <f>HYPERLINK("https://search.naver.com/search.naver?query=모놀리스 영화", "모놀리스")</f>
        <v>모놀리스</v>
      </c>
      <c r="C1130" s="12">
        <v>4.0599999999999996</v>
      </c>
      <c r="D1130" s="13" t="s">
        <v>2421</v>
      </c>
      <c r="E1130" s="10" t="s">
        <v>24</v>
      </c>
      <c r="F1130" s="10">
        <v>2016</v>
      </c>
      <c r="G1130" s="10" t="s">
        <v>14</v>
      </c>
      <c r="H1130" s="11" t="s">
        <v>877</v>
      </c>
      <c r="I1130" s="10" t="s">
        <v>156</v>
      </c>
      <c r="J1130" s="131"/>
      <c r="K1130" s="149" t="s">
        <v>2422</v>
      </c>
    </row>
    <row r="1131" spans="1:11" ht="28.9" customHeight="1" thickTop="1" thickBot="1" x14ac:dyDescent="0.75">
      <c r="A1131" s="6">
        <v>1129</v>
      </c>
      <c r="B1131" s="57" t="str">
        <f>HYPERLINK("https://search.naver.com/search.naver?query=모뉴먼츠 맨 - 세기의 작전 영화", "모뉴먼츠 맨 - 세기의 작전")</f>
        <v>모뉴먼츠 맨 - 세기의 작전</v>
      </c>
      <c r="C1131" s="8"/>
      <c r="D1131" s="9" t="s">
        <v>2423</v>
      </c>
      <c r="E1131" s="6" t="s">
        <v>24</v>
      </c>
      <c r="F1131" s="6">
        <v>2014</v>
      </c>
      <c r="G1131" s="6" t="s">
        <v>14</v>
      </c>
      <c r="H1131" s="7" t="s">
        <v>124</v>
      </c>
      <c r="I1131" s="6" t="s">
        <v>329</v>
      </c>
      <c r="J1131" s="130"/>
      <c r="K1131" s="148" t="s">
        <v>2424</v>
      </c>
    </row>
    <row r="1132" spans="1:11" ht="28.9" customHeight="1" thickTop="1" thickBot="1" x14ac:dyDescent="0.75">
      <c r="A1132" s="10">
        <v>1130</v>
      </c>
      <c r="B1132" s="58" t="str">
        <f>HYPERLINK("https://search.naver.com/search.naver?query=모데카이 영화", "모데카이")</f>
        <v>모데카이</v>
      </c>
      <c r="C1132" s="12">
        <v>7.46</v>
      </c>
      <c r="D1132" s="13" t="s">
        <v>2425</v>
      </c>
      <c r="E1132" s="10" t="s">
        <v>24</v>
      </c>
      <c r="F1132" s="10">
        <v>2015</v>
      </c>
      <c r="G1132" s="10" t="s">
        <v>14</v>
      </c>
      <c r="H1132" s="11" t="s">
        <v>124</v>
      </c>
      <c r="I1132" s="10" t="s">
        <v>101</v>
      </c>
      <c r="J1132" s="131"/>
      <c r="K1132" s="149" t="s">
        <v>2426</v>
      </c>
    </row>
    <row r="1133" spans="1:11" ht="28.9" customHeight="1" thickTop="1" thickBot="1" x14ac:dyDescent="0.75">
      <c r="A1133" s="6">
        <v>1131</v>
      </c>
      <c r="B1133" s="57" t="str">
        <f>HYPERLINK("https://search.naver.com/search.naver?query=모든 비밀스러운 것들 영화", "모든 비밀스러운 것들")</f>
        <v>모든 비밀스러운 것들</v>
      </c>
      <c r="C1133" s="8">
        <v>8.25</v>
      </c>
      <c r="D1133" s="9" t="s">
        <v>2427</v>
      </c>
      <c r="E1133" s="6" t="s">
        <v>24</v>
      </c>
      <c r="F1133" s="6">
        <v>2014</v>
      </c>
      <c r="G1133" s="6" t="s">
        <v>14</v>
      </c>
      <c r="H1133" s="7" t="s">
        <v>20</v>
      </c>
      <c r="I1133" s="6" t="s">
        <v>150</v>
      </c>
      <c r="J1133" s="130"/>
      <c r="K1133" s="148" t="s">
        <v>2428</v>
      </c>
    </row>
    <row r="1134" spans="1:11" ht="28.9" customHeight="1" thickTop="1" thickBot="1" x14ac:dyDescent="0.75">
      <c r="A1134" s="10">
        <v>1132</v>
      </c>
      <c r="B1134" s="58" t="str">
        <f>HYPERLINK("https://search.naver.com/search.naver?query=모라토리움기의 다마코 영화", "모라토리움기의 다마코")</f>
        <v>모라토리움기의 다마코</v>
      </c>
      <c r="C1134" s="12">
        <v>7.96</v>
      </c>
      <c r="D1134" s="13" t="s">
        <v>2429</v>
      </c>
      <c r="E1134" s="10" t="s">
        <v>19</v>
      </c>
      <c r="F1134" s="10">
        <v>2013</v>
      </c>
      <c r="G1134" s="10" t="s">
        <v>14</v>
      </c>
      <c r="H1134" s="11" t="s">
        <v>20</v>
      </c>
      <c r="I1134" s="10" t="s">
        <v>2430</v>
      </c>
      <c r="J1134" s="131"/>
      <c r="K1134" s="149" t="s">
        <v>2431</v>
      </c>
    </row>
    <row r="1135" spans="1:11" ht="28.9" customHeight="1" thickTop="1" thickBot="1" x14ac:dyDescent="0.75">
      <c r="A1135" s="6">
        <v>1133</v>
      </c>
      <c r="B1135" s="57" t="str">
        <f>HYPERLINK("https://search.naver.com/search.naver?query=모래와 안개의 집 영화", "모래와 안개의 집")</f>
        <v>모래와 안개의 집</v>
      </c>
      <c r="C1135" s="8">
        <v>8.42</v>
      </c>
      <c r="D1135" s="9" t="s">
        <v>2432</v>
      </c>
      <c r="E1135" s="6" t="s">
        <v>24</v>
      </c>
      <c r="F1135" s="6">
        <v>2003</v>
      </c>
      <c r="G1135" s="6" t="s">
        <v>14</v>
      </c>
      <c r="H1135" s="7" t="s">
        <v>20</v>
      </c>
      <c r="I1135" s="6" t="s">
        <v>105</v>
      </c>
      <c r="J1135" s="130"/>
      <c r="K1135" s="148" t="s">
        <v>2433</v>
      </c>
    </row>
    <row r="1136" spans="1:11" ht="28.9" customHeight="1" thickTop="1" thickBot="1" x14ac:dyDescent="0.75">
      <c r="A1136" s="10">
        <v>1134</v>
      </c>
      <c r="B1136" s="58" t="str">
        <f>HYPERLINK("https://search.naver.com/search.naver?query=모리타니안 영화", "모리타니안")</f>
        <v>모리타니안</v>
      </c>
      <c r="C1136" s="12">
        <v>8.6300000000000008</v>
      </c>
      <c r="D1136" s="13" t="s">
        <v>2434</v>
      </c>
      <c r="E1136" s="10" t="s">
        <v>29</v>
      </c>
      <c r="F1136" s="10">
        <v>2021</v>
      </c>
      <c r="G1136" s="10" t="s">
        <v>14</v>
      </c>
      <c r="H1136" s="11" t="s">
        <v>20</v>
      </c>
      <c r="I1136" s="10" t="s">
        <v>85</v>
      </c>
      <c r="J1136" s="131"/>
      <c r="K1136" s="149" t="s">
        <v>2435</v>
      </c>
    </row>
    <row r="1137" spans="1:11" ht="28.9" customHeight="1" thickTop="1" thickBot="1" x14ac:dyDescent="0.75">
      <c r="A1137" s="6">
        <v>1135</v>
      </c>
      <c r="B1137" s="57" t="str">
        <f>HYPERLINK("https://search.naver.com/search.naver?query=모멘텀 영화", "모멘텀")</f>
        <v>모멘텀</v>
      </c>
      <c r="C1137" s="8"/>
      <c r="D1137" s="9" t="s">
        <v>2436</v>
      </c>
      <c r="E1137" s="6" t="s">
        <v>2437</v>
      </c>
      <c r="F1137" s="6">
        <v>2015</v>
      </c>
      <c r="G1137" s="6" t="s">
        <v>14</v>
      </c>
      <c r="H1137" s="7" t="s">
        <v>124</v>
      </c>
      <c r="I1137" s="6" t="s">
        <v>80</v>
      </c>
      <c r="J1137" s="130"/>
      <c r="K1137" s="148" t="s">
        <v>2438</v>
      </c>
    </row>
    <row r="1138" spans="1:11" ht="28.9" customHeight="1" thickTop="1" thickBot="1" x14ac:dyDescent="0.75">
      <c r="A1138" s="10">
        <v>1136</v>
      </c>
      <c r="B1138" s="59" t="str">
        <f>HYPERLINK("https://search.naver.com/search.naver?query=모범가족", "모범가족")</f>
        <v>모범가족</v>
      </c>
      <c r="C1138" s="16"/>
      <c r="D1138" s="17" t="s">
        <v>2439</v>
      </c>
      <c r="E1138" s="14" t="s">
        <v>13</v>
      </c>
      <c r="F1138" s="14">
        <v>2022</v>
      </c>
      <c r="G1138" s="14" t="s">
        <v>20</v>
      </c>
      <c r="H1138" s="15" t="s">
        <v>115</v>
      </c>
      <c r="I1138" s="14" t="s">
        <v>64</v>
      </c>
      <c r="J1138" s="132"/>
      <c r="K1138" s="150" t="s">
        <v>2440</v>
      </c>
    </row>
    <row r="1139" spans="1:11" ht="28.9" customHeight="1" thickTop="1" thickBot="1" x14ac:dyDescent="0.75">
      <c r="A1139" s="6">
        <v>1137</v>
      </c>
      <c r="B1139" s="57" t="str">
        <f>HYPERLINK("https://search.naver.com/search.naver?query=모범시민 영화", "모범시민")</f>
        <v>모범시민</v>
      </c>
      <c r="C1139" s="8">
        <v>7.72</v>
      </c>
      <c r="D1139" s="9" t="s">
        <v>2441</v>
      </c>
      <c r="E1139" s="6" t="s">
        <v>24</v>
      </c>
      <c r="F1139" s="6">
        <v>2009</v>
      </c>
      <c r="G1139" s="6" t="s">
        <v>14</v>
      </c>
      <c r="H1139" s="7" t="s">
        <v>54</v>
      </c>
      <c r="I1139" s="6" t="s">
        <v>38</v>
      </c>
      <c r="J1139" s="130"/>
      <c r="K1139" s="148" t="s">
        <v>2442</v>
      </c>
    </row>
    <row r="1140" spans="1:11" ht="28.9" customHeight="1" thickTop="1" thickBot="1" x14ac:dyDescent="0.75">
      <c r="A1140" s="10">
        <v>1138</v>
      </c>
      <c r="B1140" s="58" t="str">
        <f>HYPERLINK("https://search.naver.com/search.naver?query=모비딕 영화", "모비딕")</f>
        <v>모비딕</v>
      </c>
      <c r="C1140" s="12">
        <v>7.3</v>
      </c>
      <c r="D1140" s="13" t="s">
        <v>2443</v>
      </c>
      <c r="E1140" s="10" t="s">
        <v>13</v>
      </c>
      <c r="F1140" s="10">
        <v>2011</v>
      </c>
      <c r="G1140" s="10" t="s">
        <v>14</v>
      </c>
      <c r="H1140" s="11" t="s">
        <v>20</v>
      </c>
      <c r="I1140" s="10" t="s">
        <v>60</v>
      </c>
      <c r="J1140" s="131"/>
      <c r="K1140" s="149" t="s">
        <v>2444</v>
      </c>
    </row>
    <row r="1141" spans="1:11" ht="28.9" customHeight="1" thickTop="1" thickBot="1" x14ac:dyDescent="0.75">
      <c r="A1141" s="6">
        <v>1139</v>
      </c>
      <c r="B1141" s="57" t="str">
        <f>HYPERLINK("https://search.naver.com/search.naver?query=모스트 바이어런트 영화", "모스트 바이어런트")</f>
        <v>모스트 바이어런트</v>
      </c>
      <c r="C1141" s="8">
        <v>7.93</v>
      </c>
      <c r="D1141" s="9" t="s">
        <v>2445</v>
      </c>
      <c r="E1141" s="6" t="s">
        <v>24</v>
      </c>
      <c r="F1141" s="6">
        <v>2014</v>
      </c>
      <c r="G1141" s="6" t="s">
        <v>14</v>
      </c>
      <c r="H1141" s="7" t="s">
        <v>20</v>
      </c>
      <c r="I1141" s="6" t="s">
        <v>316</v>
      </c>
      <c r="J1141" s="130"/>
      <c r="K1141" s="148" t="s">
        <v>2446</v>
      </c>
    </row>
    <row r="1142" spans="1:11" ht="28.9" customHeight="1" thickTop="1" thickBot="1" x14ac:dyDescent="0.75">
      <c r="A1142" s="10">
        <v>1140</v>
      </c>
      <c r="B1142" s="58" t="str">
        <f>HYPERLINK("https://search.naver.com/search.naver?query=모스트 원티드 맨 영화", "모스트 원티드 맨")</f>
        <v>모스트 원티드 맨</v>
      </c>
      <c r="C1142" s="12">
        <v>8.43</v>
      </c>
      <c r="D1142" s="13" t="s">
        <v>2447</v>
      </c>
      <c r="E1142" s="10" t="s">
        <v>29</v>
      </c>
      <c r="F1142" s="10">
        <v>2014</v>
      </c>
      <c r="G1142" s="10" t="s">
        <v>14</v>
      </c>
      <c r="H1142" s="11" t="s">
        <v>54</v>
      </c>
      <c r="I1142" s="10" t="s">
        <v>141</v>
      </c>
      <c r="J1142" s="131"/>
      <c r="K1142" s="149" t="s">
        <v>2448</v>
      </c>
    </row>
    <row r="1143" spans="1:11" ht="28.9" customHeight="1" thickTop="1" thickBot="1" x14ac:dyDescent="0.75">
      <c r="A1143" s="6">
        <v>1141</v>
      </c>
      <c r="B1143" s="57" t="str">
        <f>HYPERLINK("https://search.naver.com/search.naver?query=모즈 영화", "모즈")</f>
        <v>모즈</v>
      </c>
      <c r="C1143" s="8">
        <v>3.47</v>
      </c>
      <c r="D1143" s="9" t="s">
        <v>2449</v>
      </c>
      <c r="E1143" s="6" t="s">
        <v>944</v>
      </c>
      <c r="F1143" s="6">
        <v>2016</v>
      </c>
      <c r="G1143" s="6" t="s">
        <v>14</v>
      </c>
      <c r="H1143" s="7" t="s">
        <v>20</v>
      </c>
      <c r="I1143" s="6" t="s">
        <v>60</v>
      </c>
      <c r="J1143" s="130"/>
      <c r="K1143" s="148" t="s">
        <v>2450</v>
      </c>
    </row>
    <row r="1144" spans="1:11" ht="28.9" customHeight="1" thickTop="1" thickBot="1" x14ac:dyDescent="0.75">
      <c r="A1144" s="10">
        <v>1142</v>
      </c>
      <c r="B1144" s="58" t="str">
        <f>HYPERLINK("https://search.naver.com/search.naver?query=모차르트 타운 영화", "모차르트 타운")</f>
        <v>모차르트 타운</v>
      </c>
      <c r="C1144" s="12">
        <v>7.22</v>
      </c>
      <c r="D1144" s="13" t="s">
        <v>2451</v>
      </c>
      <c r="E1144" s="10" t="s">
        <v>13</v>
      </c>
      <c r="F1144" s="10">
        <v>2008</v>
      </c>
      <c r="G1144" s="10" t="s">
        <v>14</v>
      </c>
      <c r="H1144" s="11" t="s">
        <v>20</v>
      </c>
      <c r="I1144" s="10" t="s">
        <v>156</v>
      </c>
      <c r="J1144" s="131"/>
      <c r="K1144" s="149" t="s">
        <v>2452</v>
      </c>
    </row>
    <row r="1145" spans="1:11" ht="28.9" customHeight="1" thickTop="1" thickBot="1" x14ac:dyDescent="0.75">
      <c r="A1145" s="6">
        <v>1143</v>
      </c>
      <c r="B1145" s="57" t="str">
        <f>HYPERLINK("https://search.naver.com/search.naver?query=목격자", "목격자")</f>
        <v>목격자</v>
      </c>
      <c r="C1145" s="8">
        <v>7.56</v>
      </c>
      <c r="D1145" s="9" t="s">
        <v>2453</v>
      </c>
      <c r="E1145" s="6" t="s">
        <v>13</v>
      </c>
      <c r="F1145" s="6">
        <v>2017</v>
      </c>
      <c r="G1145" s="6" t="s">
        <v>14</v>
      </c>
      <c r="H1145" s="7" t="s">
        <v>54</v>
      </c>
      <c r="I1145" s="6" t="s">
        <v>137</v>
      </c>
      <c r="J1145" s="130"/>
      <c r="K1145" s="148" t="s">
        <v>2454</v>
      </c>
    </row>
    <row r="1146" spans="1:11" ht="28.9" customHeight="1" thickTop="1" thickBot="1" x14ac:dyDescent="0.75">
      <c r="A1146" s="10">
        <v>1144</v>
      </c>
      <c r="B1146" s="58" t="str">
        <f>HYPERLINK("https://search.naver.com/search.naver?query=몬태나 영화", "몬태나")</f>
        <v>몬태나</v>
      </c>
      <c r="C1146" s="12">
        <v>8.43</v>
      </c>
      <c r="D1146" s="13" t="s">
        <v>2455</v>
      </c>
      <c r="E1146" s="10" t="s">
        <v>24</v>
      </c>
      <c r="F1146" s="10">
        <v>2017</v>
      </c>
      <c r="G1146" s="10" t="s">
        <v>14</v>
      </c>
      <c r="H1146" s="11" t="s">
        <v>124</v>
      </c>
      <c r="I1146" s="10" t="s">
        <v>125</v>
      </c>
      <c r="J1146" s="131"/>
      <c r="K1146" s="149" t="s">
        <v>2456</v>
      </c>
    </row>
    <row r="1147" spans="1:11" ht="28.9" customHeight="1" thickTop="1" thickBot="1" x14ac:dyDescent="0.75">
      <c r="A1147" s="6">
        <v>1145</v>
      </c>
      <c r="B1147" s="57" t="str">
        <f>HYPERLINK("https://search.naver.com/search.naver?query=몰리스 게임 영화", "몰리스 게임")</f>
        <v>몰리스 게임</v>
      </c>
      <c r="C1147" s="8">
        <v>8.5</v>
      </c>
      <c r="D1147" s="9" t="s">
        <v>2457</v>
      </c>
      <c r="E1147" s="6" t="s">
        <v>24</v>
      </c>
      <c r="F1147" s="6">
        <v>2017</v>
      </c>
      <c r="G1147" s="6" t="s">
        <v>14</v>
      </c>
      <c r="H1147" s="7" t="s">
        <v>20</v>
      </c>
      <c r="I1147" s="6" t="s">
        <v>930</v>
      </c>
      <c r="J1147" s="130"/>
      <c r="K1147" s="148" t="s">
        <v>2458</v>
      </c>
    </row>
    <row r="1148" spans="1:11" ht="28.9" customHeight="1" thickTop="1" thickBot="1" x14ac:dyDescent="0.75">
      <c r="A1148" s="10">
        <v>1146</v>
      </c>
      <c r="B1148" s="58" t="str">
        <f>HYPERLINK("https://search.naver.com/search.naver?query=몽타주 영화", "몽타주")</f>
        <v>몽타주</v>
      </c>
      <c r="C1148" s="12">
        <v>8.56</v>
      </c>
      <c r="D1148" s="13" t="s">
        <v>2459</v>
      </c>
      <c r="E1148" s="10" t="s">
        <v>13</v>
      </c>
      <c r="F1148" s="10">
        <v>2012</v>
      </c>
      <c r="G1148" s="10" t="s">
        <v>14</v>
      </c>
      <c r="H1148" s="11" t="s">
        <v>54</v>
      </c>
      <c r="I1148" s="10" t="s">
        <v>116</v>
      </c>
      <c r="J1148" s="131"/>
      <c r="K1148" s="149" t="s">
        <v>2460</v>
      </c>
    </row>
    <row r="1149" spans="1:11" ht="28.9" customHeight="1" thickTop="1" thickBot="1" x14ac:dyDescent="0.75">
      <c r="A1149" s="6">
        <v>1147</v>
      </c>
      <c r="B1149" s="57" t="str">
        <f>HYPERLINK("https://search.naver.com/search.naver?query=무곡 영화", "무곡")</f>
        <v>무곡</v>
      </c>
      <c r="C1149" s="8">
        <v>7.1</v>
      </c>
      <c r="D1149" s="9" t="s">
        <v>2461</v>
      </c>
      <c r="E1149" s="6" t="s">
        <v>19</v>
      </c>
      <c r="F1149" s="6">
        <v>2018</v>
      </c>
      <c r="G1149" s="6" t="s">
        <v>14</v>
      </c>
      <c r="H1149" s="7" t="s">
        <v>20</v>
      </c>
      <c r="I1149" s="6" t="s">
        <v>105</v>
      </c>
      <c r="J1149" s="130"/>
      <c r="K1149" s="148" t="s">
        <v>2462</v>
      </c>
    </row>
    <row r="1150" spans="1:11" ht="28.9" customHeight="1" thickTop="1" thickBot="1" x14ac:dyDescent="0.75">
      <c r="A1150" s="10">
        <v>1148</v>
      </c>
      <c r="B1150" s="58" t="str">
        <f>HYPERLINK("https://search.naver.com/search.naver?query=무도실무관 영화", "무도실무관")</f>
        <v>무도실무관</v>
      </c>
      <c r="C1150" s="12">
        <v>9</v>
      </c>
      <c r="D1150" s="13" t="s">
        <v>2463</v>
      </c>
      <c r="E1150" s="10" t="s">
        <v>13</v>
      </c>
      <c r="F1150" s="10">
        <v>2024</v>
      </c>
      <c r="G1150" s="10" t="s">
        <v>14</v>
      </c>
      <c r="H1150" s="11" t="s">
        <v>124</v>
      </c>
      <c r="I1150" s="10" t="s">
        <v>38</v>
      </c>
      <c r="J1150" s="131"/>
      <c r="K1150" s="149" t="s">
        <v>2464</v>
      </c>
    </row>
    <row r="1151" spans="1:11" ht="28.9" customHeight="1" thickTop="1" thickBot="1" x14ac:dyDescent="0.75">
      <c r="A1151" s="6">
        <v>1149</v>
      </c>
      <c r="B1151" s="57" t="str">
        <f>HYPERLINK("https://search.naver.com/search.naver?query=무뢰한 영화", "무뢰한")</f>
        <v>무뢰한</v>
      </c>
      <c r="C1151" s="8">
        <v>7.33</v>
      </c>
      <c r="D1151" s="9" t="s">
        <v>2465</v>
      </c>
      <c r="E1151" s="6" t="s">
        <v>13</v>
      </c>
      <c r="F1151" s="6">
        <v>2014</v>
      </c>
      <c r="G1151" s="6" t="s">
        <v>14</v>
      </c>
      <c r="H1151" s="7" t="s">
        <v>20</v>
      </c>
      <c r="I1151" s="6" t="s">
        <v>329</v>
      </c>
      <c r="J1151" s="130"/>
      <c r="K1151" s="148" t="s">
        <v>2466</v>
      </c>
    </row>
    <row r="1152" spans="1:11" ht="28.9" customHeight="1" thickTop="1" thickBot="1" x14ac:dyDescent="0.75">
      <c r="A1152" s="10">
        <v>1150</v>
      </c>
      <c r="B1152" s="58" t="str">
        <f>HYPERLINK("https://search.naver.com/search.naver?query=무명인 영화", "무명인")</f>
        <v>무명인</v>
      </c>
      <c r="C1152" s="12">
        <v>6.6</v>
      </c>
      <c r="D1152" s="13" t="s">
        <v>2467</v>
      </c>
      <c r="E1152" s="10" t="s">
        <v>13</v>
      </c>
      <c r="F1152" s="10">
        <v>2014</v>
      </c>
      <c r="G1152" s="10" t="s">
        <v>14</v>
      </c>
      <c r="H1152" s="11" t="s">
        <v>194</v>
      </c>
      <c r="I1152" s="10" t="s">
        <v>116</v>
      </c>
      <c r="J1152" s="131"/>
      <c r="K1152" s="149" t="s">
        <v>2468</v>
      </c>
    </row>
    <row r="1153" spans="1:11" ht="28.9" customHeight="1" thickTop="1" thickBot="1" x14ac:dyDescent="0.75">
      <c r="A1153" s="6">
        <v>1151</v>
      </c>
      <c r="B1153" s="57" t="str">
        <f>HYPERLINK("https://search.naver.com/search.naver?query=무반주 영화", "무반주")</f>
        <v>무반주</v>
      </c>
      <c r="C1153" s="8">
        <v>6.4</v>
      </c>
      <c r="D1153" s="9" t="s">
        <v>2469</v>
      </c>
      <c r="E1153" s="6" t="s">
        <v>19</v>
      </c>
      <c r="F1153" s="6">
        <v>2016</v>
      </c>
      <c r="G1153" s="6" t="s">
        <v>14</v>
      </c>
      <c r="H1153" s="7" t="s">
        <v>20</v>
      </c>
      <c r="I1153" s="6" t="s">
        <v>150</v>
      </c>
      <c r="J1153" s="130"/>
      <c r="K1153" s="148" t="s">
        <v>2470</v>
      </c>
    </row>
    <row r="1154" spans="1:11" ht="28.9" customHeight="1" thickTop="1" thickBot="1" x14ac:dyDescent="0.75">
      <c r="A1154" s="10">
        <v>1152</v>
      </c>
      <c r="B1154" s="59" t="str">
        <f>HYPERLINK("https://search.naver.com/search.naver?query=무브 투 헤븐", "무브 투 헤븐")</f>
        <v>무브 투 헤븐</v>
      </c>
      <c r="C1154" s="16"/>
      <c r="D1154" s="17" t="s">
        <v>2471</v>
      </c>
      <c r="E1154" s="14" t="s">
        <v>13</v>
      </c>
      <c r="F1154" s="14">
        <v>2021</v>
      </c>
      <c r="G1154" s="14" t="s">
        <v>20</v>
      </c>
      <c r="H1154" s="15" t="s">
        <v>20</v>
      </c>
      <c r="I1154" s="14" t="s">
        <v>64</v>
      </c>
      <c r="J1154" s="132"/>
      <c r="K1154" s="150" t="s">
        <v>2250</v>
      </c>
    </row>
    <row r="1155" spans="1:11" ht="28.9" customHeight="1" thickTop="1" thickBot="1" x14ac:dyDescent="0.75">
      <c r="A1155" s="6">
        <v>1153</v>
      </c>
      <c r="B1155" s="59" t="str">
        <f>HYPERLINK("https://search.naver.com/search.naver?query=무빙", "무빙")</f>
        <v>무빙</v>
      </c>
      <c r="C1155" s="16"/>
      <c r="D1155" s="17" t="s">
        <v>2472</v>
      </c>
      <c r="E1155" s="14" t="s">
        <v>13</v>
      </c>
      <c r="F1155" s="14">
        <v>2023</v>
      </c>
      <c r="G1155" s="14" t="s">
        <v>20</v>
      </c>
      <c r="H1155" s="15" t="s">
        <v>2473</v>
      </c>
      <c r="I1155" s="14" t="s">
        <v>1322</v>
      </c>
      <c r="J1155" s="132"/>
      <c r="K1155" s="150" t="s">
        <v>2474</v>
      </c>
    </row>
    <row r="1156" spans="1:11" ht="28.9" customHeight="1" thickTop="1" thickBot="1" x14ac:dyDescent="0.75">
      <c r="A1156" s="10">
        <v>1154</v>
      </c>
      <c r="B1156" s="58" t="str">
        <f>HYPERLINK("https://search.naver.com/search.naver?query=무쌍 영화", "무쌍")</f>
        <v>무쌍</v>
      </c>
      <c r="C1156" s="12"/>
      <c r="D1156" s="13" t="s">
        <v>2475</v>
      </c>
      <c r="E1156" s="10" t="s">
        <v>186</v>
      </c>
      <c r="F1156" s="10">
        <v>2018</v>
      </c>
      <c r="G1156" s="10" t="s">
        <v>14</v>
      </c>
      <c r="H1156" s="11" t="s">
        <v>124</v>
      </c>
      <c r="I1156" s="10" t="s">
        <v>179</v>
      </c>
      <c r="J1156" s="131"/>
      <c r="K1156" s="149" t="s">
        <v>2476</v>
      </c>
    </row>
    <row r="1157" spans="1:11" ht="28.9" customHeight="1" thickTop="1" thickBot="1" x14ac:dyDescent="0.75">
      <c r="A1157" s="6">
        <v>1155</v>
      </c>
      <c r="B1157" s="59" t="str">
        <f>HYPERLINK("https://search.naver.com/search.naver?query=무죄추정 미드", "무죄추정")</f>
        <v>무죄추정</v>
      </c>
      <c r="C1157" s="16"/>
      <c r="D1157" s="17" t="s">
        <v>2477</v>
      </c>
      <c r="E1157" s="14" t="s">
        <v>24</v>
      </c>
      <c r="F1157" s="14">
        <v>2024</v>
      </c>
      <c r="G1157" s="14" t="s">
        <v>20</v>
      </c>
      <c r="H1157" s="15" t="s">
        <v>20</v>
      </c>
      <c r="I1157" s="14" t="s">
        <v>71</v>
      </c>
      <c r="J1157" s="132"/>
      <c r="K1157" s="150" t="s">
        <v>2478</v>
      </c>
    </row>
    <row r="1158" spans="1:11" ht="28.9" customHeight="1" thickTop="1" thickBot="1" x14ac:dyDescent="0.75">
      <c r="A1158" s="10">
        <v>1156</v>
      </c>
      <c r="B1158" s="58" t="str">
        <f>HYPERLINK("https://search.naver.com/search.naver?query=무협 영화", "무협")</f>
        <v>무협</v>
      </c>
      <c r="C1158" s="12">
        <v>6.5</v>
      </c>
      <c r="D1158" s="13" t="s">
        <v>2479</v>
      </c>
      <c r="E1158" s="10" t="s">
        <v>123</v>
      </c>
      <c r="F1158" s="10">
        <v>2011</v>
      </c>
      <c r="G1158" s="10" t="s">
        <v>14</v>
      </c>
      <c r="H1158" s="11" t="s">
        <v>124</v>
      </c>
      <c r="I1158" s="10" t="s">
        <v>150</v>
      </c>
      <c r="J1158" s="131"/>
      <c r="K1158" s="149" t="s">
        <v>2480</v>
      </c>
    </row>
    <row r="1159" spans="1:11" ht="28.9" customHeight="1" thickTop="1" thickBot="1" x14ac:dyDescent="0.75">
      <c r="A1159" s="6">
        <v>1157</v>
      </c>
      <c r="B1159" s="57" t="str">
        <f>HYPERLINK("https://search.naver.com/search.naver?query=문 섀도우 영화", "문 섀도우")</f>
        <v>문 섀도우</v>
      </c>
      <c r="C1159" s="8">
        <v>6.75</v>
      </c>
      <c r="D1159" s="9" t="s">
        <v>2481</v>
      </c>
      <c r="E1159" s="6" t="s">
        <v>24</v>
      </c>
      <c r="F1159" s="6">
        <v>2019</v>
      </c>
      <c r="G1159" s="6" t="s">
        <v>14</v>
      </c>
      <c r="H1159" s="7" t="s">
        <v>54</v>
      </c>
      <c r="I1159" s="6" t="s">
        <v>60</v>
      </c>
      <c r="J1159" s="130"/>
      <c r="K1159" s="148" t="s">
        <v>2482</v>
      </c>
    </row>
    <row r="1160" spans="1:11" ht="28.9" customHeight="1" thickTop="1" thickBot="1" x14ac:dyDescent="0.75">
      <c r="A1160" s="10">
        <v>1158</v>
      </c>
      <c r="B1160" s="58" t="str">
        <f>HYPERLINK("https://search.naver.com/search.naver?query=문라이트 영화", "문라이트")</f>
        <v>문라이트</v>
      </c>
      <c r="C1160" s="12">
        <v>8.43</v>
      </c>
      <c r="D1160" s="13" t="s">
        <v>2483</v>
      </c>
      <c r="E1160" s="10" t="s">
        <v>24</v>
      </c>
      <c r="F1160" s="10">
        <v>2016</v>
      </c>
      <c r="G1160" s="10" t="s">
        <v>14</v>
      </c>
      <c r="H1160" s="11" t="s">
        <v>20</v>
      </c>
      <c r="I1160" s="10" t="s">
        <v>137</v>
      </c>
      <c r="J1160" s="131"/>
      <c r="K1160" s="149" t="s">
        <v>2484</v>
      </c>
    </row>
    <row r="1161" spans="1:11" ht="28.9" customHeight="1" thickTop="1" thickBot="1" x14ac:dyDescent="0.75">
      <c r="A1161" s="6">
        <v>1159</v>
      </c>
      <c r="B1161" s="57" t="str">
        <f>HYPERLINK("https://search.naver.com/search.naver?query=문신을 한 신부님 영화", "문신을 한 신부님")</f>
        <v>문신을 한 신부님</v>
      </c>
      <c r="C1161" s="8">
        <v>8.27</v>
      </c>
      <c r="D1161" s="9" t="s">
        <v>2485</v>
      </c>
      <c r="E1161" s="6" t="s">
        <v>2207</v>
      </c>
      <c r="F1161" s="6">
        <v>2020</v>
      </c>
      <c r="G1161" s="6" t="s">
        <v>14</v>
      </c>
      <c r="H1161" s="7" t="s">
        <v>91</v>
      </c>
      <c r="I1161" s="6" t="s">
        <v>591</v>
      </c>
      <c r="J1161" s="130"/>
      <c r="K1161" s="148" t="s">
        <v>2486</v>
      </c>
    </row>
    <row r="1162" spans="1:11" ht="28.9" customHeight="1" thickTop="1" thickBot="1" x14ac:dyDescent="0.75">
      <c r="A1162" s="10">
        <v>1160</v>
      </c>
      <c r="B1162" s="58" t="str">
        <f>HYPERLINK("https://search.naver.com/search.naver?query=문폴 영화", "문폴")</f>
        <v>문폴</v>
      </c>
      <c r="C1162" s="12">
        <v>5.58</v>
      </c>
      <c r="D1162" s="13" t="s">
        <v>2487</v>
      </c>
      <c r="E1162" s="10" t="s">
        <v>24</v>
      </c>
      <c r="F1162" s="10">
        <v>2022</v>
      </c>
      <c r="G1162" s="10" t="s">
        <v>14</v>
      </c>
      <c r="H1162" s="11" t="s">
        <v>877</v>
      </c>
      <c r="I1162" s="10" t="s">
        <v>42</v>
      </c>
      <c r="J1162" s="131"/>
      <c r="K1162" s="149" t="s">
        <v>2488</v>
      </c>
    </row>
    <row r="1163" spans="1:11" ht="28.9" customHeight="1" thickTop="1" thickBot="1" x14ac:dyDescent="0.75">
      <c r="A1163" s="6">
        <v>1161</v>
      </c>
      <c r="B1163" s="57" t="str">
        <f>HYPERLINK("https://search.naver.com/search.naver?query=묻지마 사랑 영화", "묻지마 사랑")</f>
        <v>묻지마 사랑</v>
      </c>
      <c r="C1163" s="8"/>
      <c r="D1163" s="9" t="s">
        <v>2489</v>
      </c>
      <c r="E1163" s="6" t="s">
        <v>19</v>
      </c>
      <c r="F1163" s="6">
        <v>2013</v>
      </c>
      <c r="G1163" s="6" t="s">
        <v>14</v>
      </c>
      <c r="H1163" s="7" t="s">
        <v>165</v>
      </c>
      <c r="I1163" s="6" t="s">
        <v>120</v>
      </c>
      <c r="J1163" s="130"/>
      <c r="K1163" s="148" t="s">
        <v>2490</v>
      </c>
    </row>
    <row r="1164" spans="1:11" ht="28.9" customHeight="1" thickTop="1" thickBot="1" x14ac:dyDescent="0.75">
      <c r="A1164" s="10">
        <v>1162</v>
      </c>
      <c r="B1164" s="58" t="str">
        <f>HYPERLINK("https://search.naver.com/search.naver?query=물괴 영화", "물괴")</f>
        <v>물괴</v>
      </c>
      <c r="C1164" s="12">
        <v>6.45</v>
      </c>
      <c r="D1164" s="13" t="s">
        <v>2491</v>
      </c>
      <c r="E1164" s="10" t="s">
        <v>13</v>
      </c>
      <c r="F1164" s="10">
        <v>2018</v>
      </c>
      <c r="G1164" s="10" t="s">
        <v>14</v>
      </c>
      <c r="H1164" s="11" t="s">
        <v>124</v>
      </c>
      <c r="I1164" s="10" t="s">
        <v>175</v>
      </c>
      <c r="J1164" s="131"/>
      <c r="K1164" s="149" t="s">
        <v>2492</v>
      </c>
    </row>
    <row r="1165" spans="1:11" ht="28.9" customHeight="1" thickTop="1" thickBot="1" x14ac:dyDescent="0.75">
      <c r="A1165" s="6">
        <v>1163</v>
      </c>
      <c r="B1165" s="57" t="str">
        <f>HYPERLINK("https://search.naver.com/search.naver?query=물랑 루즈 영화", "물랑 루즈")</f>
        <v>물랑 루즈</v>
      </c>
      <c r="C1165" s="8">
        <v>8.85</v>
      </c>
      <c r="D1165" s="9" t="s">
        <v>2493</v>
      </c>
      <c r="E1165" s="6" t="s">
        <v>24</v>
      </c>
      <c r="F1165" s="6">
        <v>2001</v>
      </c>
      <c r="G1165" s="6" t="s">
        <v>14</v>
      </c>
      <c r="H1165" s="7" t="s">
        <v>165</v>
      </c>
      <c r="I1165" s="6" t="s">
        <v>210</v>
      </c>
      <c r="J1165" s="130"/>
      <c r="K1165" s="148" t="s">
        <v>2494</v>
      </c>
    </row>
    <row r="1166" spans="1:11" ht="28.9" customHeight="1" thickTop="1" thickBot="1" x14ac:dyDescent="0.75">
      <c r="A1166" s="10">
        <v>1164</v>
      </c>
      <c r="B1166" s="58" t="str">
        <f>HYPERLINK("https://search.naver.com/search.naver?query=뮌헨 영화", "뮌헨")</f>
        <v>뮌헨</v>
      </c>
      <c r="C1166" s="12">
        <v>7.46</v>
      </c>
      <c r="D1166" s="13" t="s">
        <v>2495</v>
      </c>
      <c r="E1166" s="10" t="s">
        <v>24</v>
      </c>
      <c r="F1166" s="10">
        <v>2005</v>
      </c>
      <c r="G1166" s="10" t="s">
        <v>14</v>
      </c>
      <c r="H1166" s="11" t="s">
        <v>20</v>
      </c>
      <c r="I1166" s="10" t="s">
        <v>1168</v>
      </c>
      <c r="J1166" s="131"/>
      <c r="K1166" s="149" t="s">
        <v>2496</v>
      </c>
    </row>
    <row r="1167" spans="1:11" ht="28.9" customHeight="1" thickTop="1" thickBot="1" x14ac:dyDescent="0.75">
      <c r="A1167" s="6">
        <v>1165</v>
      </c>
      <c r="B1167" s="57" t="str">
        <f>HYPERLINK("https://search.naver.com/search.naver?query=뮌헨 전쟁의 문턱에서 영화", "뮌헨 전쟁의 문턱에서")</f>
        <v>뮌헨 전쟁의 문턱에서</v>
      </c>
      <c r="C1167" s="8">
        <v>9.1999999999999993</v>
      </c>
      <c r="D1167" s="9" t="s">
        <v>2497</v>
      </c>
      <c r="E1167" s="6" t="s">
        <v>29</v>
      </c>
      <c r="F1167" s="6">
        <v>2021</v>
      </c>
      <c r="G1167" s="6" t="s">
        <v>14</v>
      </c>
      <c r="H1167" s="7" t="s">
        <v>20</v>
      </c>
      <c r="I1167" s="6" t="s">
        <v>432</v>
      </c>
      <c r="J1167" s="130"/>
      <c r="K1167" s="148" t="s">
        <v>2498</v>
      </c>
    </row>
    <row r="1168" spans="1:11" ht="28.9" customHeight="1" thickTop="1" thickBot="1" x14ac:dyDescent="0.75">
      <c r="A1168" s="10">
        <v>1166</v>
      </c>
      <c r="B1168" s="58" t="str">
        <f>HYPERLINK("https://search.naver.com/search.naver?query=뮤직 네버 스탑 영화", "뮤직 네버 스탑")</f>
        <v>뮤직 네버 스탑</v>
      </c>
      <c r="C1168" s="12">
        <v>9</v>
      </c>
      <c r="D1168" s="13" t="s">
        <v>2499</v>
      </c>
      <c r="E1168" s="10" t="s">
        <v>24</v>
      </c>
      <c r="F1168" s="10">
        <v>2011</v>
      </c>
      <c r="G1168" s="10" t="s">
        <v>14</v>
      </c>
      <c r="H1168" s="11" t="s">
        <v>20</v>
      </c>
      <c r="I1168" s="10" t="s">
        <v>175</v>
      </c>
      <c r="J1168" s="131"/>
      <c r="K1168" s="149" t="s">
        <v>2500</v>
      </c>
    </row>
    <row r="1169" spans="1:11" ht="28.9" customHeight="1" thickTop="1" thickBot="1" x14ac:dyDescent="0.75">
      <c r="A1169" s="6">
        <v>1167</v>
      </c>
      <c r="B1169" s="57" t="str">
        <f>HYPERLINK("https://search.naver.com/search.naver?query=뮤직 박스 영화", "뮤직 박스")</f>
        <v>뮤직 박스</v>
      </c>
      <c r="C1169" s="8">
        <v>9.0299999999999994</v>
      </c>
      <c r="D1169" s="9" t="s">
        <v>2501</v>
      </c>
      <c r="E1169" s="6" t="s">
        <v>24</v>
      </c>
      <c r="F1169" s="6">
        <v>1989</v>
      </c>
      <c r="G1169" s="6" t="s">
        <v>14</v>
      </c>
      <c r="H1169" s="7" t="s">
        <v>20</v>
      </c>
      <c r="I1169" s="6" t="s">
        <v>183</v>
      </c>
      <c r="J1169" s="130"/>
      <c r="K1169" s="148" t="s">
        <v>2502</v>
      </c>
    </row>
    <row r="1170" spans="1:11" ht="28.9" customHeight="1" thickTop="1" thickBot="1" x14ac:dyDescent="0.75">
      <c r="A1170" s="10">
        <v>1168</v>
      </c>
      <c r="B1170" s="58" t="str">
        <f>HYPERLINK("https://search.naver.com/search.naver?query=뮬란 영화", "뮬란")</f>
        <v>뮬란</v>
      </c>
      <c r="C1170" s="12"/>
      <c r="D1170" s="13" t="s">
        <v>2503</v>
      </c>
      <c r="E1170" s="10" t="s">
        <v>24</v>
      </c>
      <c r="F1170" s="10">
        <v>2020</v>
      </c>
      <c r="G1170" s="10" t="s">
        <v>14</v>
      </c>
      <c r="H1170" s="11" t="s">
        <v>124</v>
      </c>
      <c r="I1170" s="10" t="s">
        <v>60</v>
      </c>
      <c r="J1170" s="131"/>
      <c r="K1170" s="149" t="s">
        <v>2504</v>
      </c>
    </row>
    <row r="1171" spans="1:11" ht="28.9" customHeight="1" thickTop="1" thickBot="1" x14ac:dyDescent="0.75">
      <c r="A1171" s="6">
        <v>1169</v>
      </c>
      <c r="B1171" s="57" t="str">
        <f>HYPERLINK("https://search.naver.com/search.naver?query=뮬란-전사의 귀환 영화", "뮬란-전사의 귀환")</f>
        <v>뮬란-전사의 귀환</v>
      </c>
      <c r="C1171" s="8"/>
      <c r="D1171" s="9" t="s">
        <v>2505</v>
      </c>
      <c r="E1171" s="6" t="s">
        <v>186</v>
      </c>
      <c r="F1171" s="6">
        <v>2009</v>
      </c>
      <c r="G1171" s="6" t="s">
        <v>14</v>
      </c>
      <c r="H1171" s="7" t="s">
        <v>124</v>
      </c>
      <c r="I1171" s="6" t="s">
        <v>179</v>
      </c>
      <c r="J1171" s="130"/>
      <c r="K1171" s="148" t="s">
        <v>2506</v>
      </c>
    </row>
    <row r="1172" spans="1:11" ht="28.9" customHeight="1" thickTop="1" thickBot="1" x14ac:dyDescent="0.75">
      <c r="A1172" s="10">
        <v>1170</v>
      </c>
      <c r="B1172" s="58" t="str">
        <f>HYPERLINK("https://search.naver.com/search.naver?query=미 비포 유 영화", "미 비포 유")</f>
        <v>미 비포 유</v>
      </c>
      <c r="C1172" s="12">
        <v>8.7799999999999994</v>
      </c>
      <c r="D1172" s="13" t="s">
        <v>2507</v>
      </c>
      <c r="E1172" s="10" t="s">
        <v>29</v>
      </c>
      <c r="F1172" s="10">
        <v>2016</v>
      </c>
      <c r="G1172" s="10" t="s">
        <v>14</v>
      </c>
      <c r="H1172" s="11" t="s">
        <v>165</v>
      </c>
      <c r="I1172" s="10" t="s">
        <v>443</v>
      </c>
      <c r="J1172" s="131"/>
      <c r="K1172" s="149" t="s">
        <v>2508</v>
      </c>
    </row>
    <row r="1173" spans="1:11" ht="28.9" customHeight="1" thickTop="1" thickBot="1" x14ac:dyDescent="0.75">
      <c r="A1173" s="6">
        <v>1171</v>
      </c>
      <c r="B1173" s="57" t="str">
        <f>HYPERLINK("https://search.naver.com/search.naver?query=미결처리반4-순수의 배신 영화", "미결처리반4-순수의 배신")</f>
        <v>미결처리반4-순수의 배신</v>
      </c>
      <c r="C1173" s="8"/>
      <c r="D1173" s="9" t="s">
        <v>2509</v>
      </c>
      <c r="E1173" s="6" t="s">
        <v>19</v>
      </c>
      <c r="F1173" s="6">
        <v>2018</v>
      </c>
      <c r="G1173" s="6" t="s">
        <v>14</v>
      </c>
      <c r="H1173" s="7" t="s">
        <v>20</v>
      </c>
      <c r="I1173" s="6" t="s">
        <v>150</v>
      </c>
      <c r="J1173" s="130"/>
      <c r="K1173" s="148" t="s">
        <v>2510</v>
      </c>
    </row>
    <row r="1174" spans="1:11" ht="28.9" customHeight="1" thickTop="1" thickBot="1" x14ac:dyDescent="0.75">
      <c r="A1174" s="10">
        <v>1172</v>
      </c>
      <c r="B1174" s="58" t="str">
        <f>HYPERLINK("https://search.naver.com/search.naver?query=미나마타 영화", "미나마타")</f>
        <v>미나마타</v>
      </c>
      <c r="C1174" s="12"/>
      <c r="D1174" s="13" t="s">
        <v>2511</v>
      </c>
      <c r="E1174" s="10" t="s">
        <v>29</v>
      </c>
      <c r="F1174" s="10">
        <v>2020</v>
      </c>
      <c r="G1174" s="10" t="s">
        <v>14</v>
      </c>
      <c r="H1174" s="11" t="s">
        <v>20</v>
      </c>
      <c r="I1174" s="10" t="s">
        <v>60</v>
      </c>
      <c r="J1174" s="131"/>
      <c r="K1174" s="149" t="s">
        <v>2512</v>
      </c>
    </row>
    <row r="1175" spans="1:11" ht="28.9" customHeight="1" thickTop="1" thickBot="1" x14ac:dyDescent="0.75">
      <c r="A1175" s="6">
        <v>1173</v>
      </c>
      <c r="B1175" s="57" t="str">
        <f>HYPERLINK("https://search.naver.com/search.naver?query=미녀 삼총사3 영화", "미녀 삼총사3")</f>
        <v>미녀 삼총사3</v>
      </c>
      <c r="C1175" s="8">
        <v>7.25</v>
      </c>
      <c r="D1175" s="9" t="s">
        <v>2513</v>
      </c>
      <c r="E1175" s="6" t="s">
        <v>24</v>
      </c>
      <c r="F1175" s="6">
        <v>2019</v>
      </c>
      <c r="G1175" s="6" t="s">
        <v>14</v>
      </c>
      <c r="H1175" s="7" t="s">
        <v>124</v>
      </c>
      <c r="I1175" s="6" t="s">
        <v>329</v>
      </c>
      <c r="J1175" s="130"/>
      <c r="K1175" s="148" t="s">
        <v>2514</v>
      </c>
    </row>
    <row r="1176" spans="1:11" ht="28.9" customHeight="1" thickTop="1" thickBot="1" x14ac:dyDescent="0.75">
      <c r="A1176" s="10">
        <v>1174</v>
      </c>
      <c r="B1176" s="58" t="str">
        <f>HYPERLINK("https://search.naver.com/search.naver?query=미드나이트 스카이 영화", "미드나이트 스카이")</f>
        <v>미드나이트 스카이</v>
      </c>
      <c r="C1176" s="12">
        <v>7.6</v>
      </c>
      <c r="D1176" s="13" t="s">
        <v>2515</v>
      </c>
      <c r="E1176" s="10" t="s">
        <v>24</v>
      </c>
      <c r="F1176" s="10">
        <v>2020</v>
      </c>
      <c r="G1176" s="10" t="s">
        <v>14</v>
      </c>
      <c r="H1176" s="11" t="s">
        <v>877</v>
      </c>
      <c r="I1176" s="10" t="s">
        <v>329</v>
      </c>
      <c r="J1176" s="131"/>
      <c r="K1176" s="149" t="s">
        <v>2516</v>
      </c>
    </row>
    <row r="1177" spans="1:11" ht="28.9" customHeight="1" thickTop="1" thickBot="1" x14ac:dyDescent="0.75">
      <c r="A1177" s="6">
        <v>1175</v>
      </c>
      <c r="B1177" s="57" t="str">
        <f>HYPERLINK("https://search.naver.com/search.naver?query=미드나잇 버스 영화", "미드나잇 버스")</f>
        <v>미드나잇 버스</v>
      </c>
      <c r="C1177" s="8">
        <v>8.42</v>
      </c>
      <c r="D1177" s="9" t="s">
        <v>2517</v>
      </c>
      <c r="E1177" s="6" t="s">
        <v>19</v>
      </c>
      <c r="F1177" s="6">
        <v>2021</v>
      </c>
      <c r="G1177" s="6" t="s">
        <v>14</v>
      </c>
      <c r="H1177" s="7" t="s">
        <v>20</v>
      </c>
      <c r="I1177" s="6" t="s">
        <v>150</v>
      </c>
      <c r="J1177" s="130"/>
      <c r="K1177" s="148" t="s">
        <v>2518</v>
      </c>
    </row>
    <row r="1178" spans="1:11" ht="28.9" customHeight="1" thickTop="1" thickBot="1" x14ac:dyDescent="0.75">
      <c r="A1178" s="10">
        <v>1176</v>
      </c>
      <c r="B1178" s="58" t="str">
        <f>HYPERLINK("https://search.naver.com/search.naver?query=미드나잇 선 영화", "미드나잇 선")</f>
        <v>미드나잇 선</v>
      </c>
      <c r="C1178" s="12">
        <v>7.88</v>
      </c>
      <c r="D1178" s="13" t="s">
        <v>2519</v>
      </c>
      <c r="E1178" s="10" t="s">
        <v>24</v>
      </c>
      <c r="F1178" s="10">
        <v>2018</v>
      </c>
      <c r="G1178" s="10" t="s">
        <v>14</v>
      </c>
      <c r="H1178" s="11" t="s">
        <v>165</v>
      </c>
      <c r="I1178" s="10" t="s">
        <v>361</v>
      </c>
      <c r="J1178" s="131"/>
      <c r="K1178" s="149" t="s">
        <v>2520</v>
      </c>
    </row>
    <row r="1179" spans="1:11" ht="28.9" customHeight="1" thickTop="1" thickBot="1" x14ac:dyDescent="0.75">
      <c r="A1179" s="6">
        <v>1177</v>
      </c>
      <c r="B1179" s="57" t="str">
        <f>HYPERLINK("https://search.naver.com/search.naver?query=미드나잇 스페샬 영화", "미드나잇 스페샬")</f>
        <v>미드나잇 스페샬</v>
      </c>
      <c r="C1179" s="8">
        <v>6.4</v>
      </c>
      <c r="D1179" s="9" t="s">
        <v>2521</v>
      </c>
      <c r="E1179" s="6" t="s">
        <v>24</v>
      </c>
      <c r="F1179" s="6">
        <v>2016</v>
      </c>
      <c r="G1179" s="6" t="s">
        <v>14</v>
      </c>
      <c r="H1179" s="7" t="s">
        <v>877</v>
      </c>
      <c r="I1179" s="6" t="s">
        <v>429</v>
      </c>
      <c r="J1179" s="130"/>
      <c r="K1179" s="148" t="s">
        <v>2522</v>
      </c>
    </row>
    <row r="1180" spans="1:11" ht="28.9" customHeight="1" thickTop="1" thickBot="1" x14ac:dyDescent="0.75">
      <c r="A1180" s="10">
        <v>1178</v>
      </c>
      <c r="B1180" s="58" t="str">
        <f>HYPERLINK("https://search.naver.com/search.naver?query=미드나잇 인 더 스위치그래스 영화", "미드나잇 인 더 스위치그래스")</f>
        <v>미드나잇 인 더 스위치그래스</v>
      </c>
      <c r="C1180" s="12"/>
      <c r="D1180" s="13" t="s">
        <v>2523</v>
      </c>
      <c r="E1180" s="10" t="s">
        <v>24</v>
      </c>
      <c r="F1180" s="10">
        <v>2021</v>
      </c>
      <c r="G1180" s="10" t="s">
        <v>14</v>
      </c>
      <c r="H1180" s="11" t="s">
        <v>54</v>
      </c>
      <c r="I1180" s="10" t="s">
        <v>109</v>
      </c>
      <c r="J1180" s="131"/>
      <c r="K1180" s="149" t="s">
        <v>2524</v>
      </c>
    </row>
    <row r="1181" spans="1:11" ht="28.9" customHeight="1" thickTop="1" thickBot="1" x14ac:dyDescent="0.75">
      <c r="A1181" s="6">
        <v>1179</v>
      </c>
      <c r="B1181" s="57" t="str">
        <f>HYPERLINK("https://search.naver.com/search.naver?query=미드나잇 인 파리 영화", "미드나잇 인 파리")</f>
        <v>미드나잇 인 파리</v>
      </c>
      <c r="C1181" s="8">
        <v>8.5</v>
      </c>
      <c r="D1181" s="9" t="s">
        <v>2525</v>
      </c>
      <c r="E1181" s="6" t="s">
        <v>24</v>
      </c>
      <c r="F1181" s="6">
        <v>2011</v>
      </c>
      <c r="G1181" s="6" t="s">
        <v>14</v>
      </c>
      <c r="H1181" s="7" t="s">
        <v>91</v>
      </c>
      <c r="I1181" s="6" t="s">
        <v>468</v>
      </c>
      <c r="J1181" s="130"/>
      <c r="K1181" s="148" t="s">
        <v>2526</v>
      </c>
    </row>
    <row r="1182" spans="1:11" ht="28.9" customHeight="1" thickTop="1" thickBot="1" x14ac:dyDescent="0.75">
      <c r="A1182" s="10">
        <v>1180</v>
      </c>
      <c r="B1182" s="58" t="str">
        <f>HYPERLINK("https://search.naver.com/search.naver?query=미드소마 영화", "미드소마")</f>
        <v>미드소마</v>
      </c>
      <c r="C1182" s="12">
        <v>7.7</v>
      </c>
      <c r="D1182" s="13" t="s">
        <v>2527</v>
      </c>
      <c r="E1182" s="10" t="s">
        <v>24</v>
      </c>
      <c r="F1182" s="10">
        <v>2019</v>
      </c>
      <c r="G1182" s="10" t="s">
        <v>14</v>
      </c>
      <c r="H1182" s="11" t="s">
        <v>382</v>
      </c>
      <c r="I1182" s="10" t="s">
        <v>221</v>
      </c>
      <c r="J1182" s="131"/>
      <c r="K1182" s="149" t="s">
        <v>2528</v>
      </c>
    </row>
    <row r="1183" spans="1:11" ht="28.9" customHeight="1" thickTop="1" thickBot="1" x14ac:dyDescent="0.75">
      <c r="A1183" s="6">
        <v>1181</v>
      </c>
      <c r="B1183" s="57" t="str">
        <f>HYPERLINK("https://search.naver.com/search.naver?query=미드웨이 영화", "미드웨이")</f>
        <v>미드웨이</v>
      </c>
      <c r="C1183" s="8">
        <v>8.66</v>
      </c>
      <c r="D1183" s="9" t="s">
        <v>2529</v>
      </c>
      <c r="E1183" s="6" t="s">
        <v>24</v>
      </c>
      <c r="F1183" s="6">
        <v>2019</v>
      </c>
      <c r="G1183" s="6" t="s">
        <v>14</v>
      </c>
      <c r="H1183" s="7" t="s">
        <v>1247</v>
      </c>
      <c r="I1183" s="6" t="s">
        <v>1058</v>
      </c>
      <c r="J1183" s="130"/>
      <c r="K1183" s="148" t="s">
        <v>2530</v>
      </c>
    </row>
    <row r="1184" spans="1:11" ht="28.9" customHeight="1" thickTop="1" thickBot="1" x14ac:dyDescent="0.75">
      <c r="A1184" s="10">
        <v>1182</v>
      </c>
      <c r="B1184" s="58" t="str">
        <f>HYPERLINK("https://search.naver.com/search.naver?query=미라클 벨리에 영화", "미라클 벨리에")</f>
        <v>미라클 벨리에</v>
      </c>
      <c r="C1184" s="12">
        <v>6.4</v>
      </c>
      <c r="D1184" s="13" t="s">
        <v>2531</v>
      </c>
      <c r="E1184" s="10" t="s">
        <v>310</v>
      </c>
      <c r="F1184" s="10">
        <v>2014</v>
      </c>
      <c r="G1184" s="10" t="s">
        <v>14</v>
      </c>
      <c r="H1184" s="11" t="s">
        <v>91</v>
      </c>
      <c r="I1184" s="10" t="s">
        <v>175</v>
      </c>
      <c r="J1184" s="131"/>
      <c r="K1184" s="149" t="s">
        <v>2532</v>
      </c>
    </row>
    <row r="1185" spans="1:11" ht="28.9" customHeight="1" thickTop="1" thickBot="1" x14ac:dyDescent="0.75">
      <c r="A1185" s="6">
        <v>1183</v>
      </c>
      <c r="B1185" s="57" t="str">
        <f>HYPERLINK("https://search.naver.com/search.naver?query=미라클 시즌 영화", "미라클 시즌")</f>
        <v>미라클 시즌</v>
      </c>
      <c r="C1185" s="8">
        <v>6.4</v>
      </c>
      <c r="D1185" s="9" t="s">
        <v>2533</v>
      </c>
      <c r="E1185" s="6" t="s">
        <v>24</v>
      </c>
      <c r="F1185" s="6">
        <v>2018</v>
      </c>
      <c r="G1185" s="6" t="s">
        <v>14</v>
      </c>
      <c r="H1185" s="7" t="s">
        <v>20</v>
      </c>
      <c r="I1185" s="6" t="s">
        <v>94</v>
      </c>
      <c r="J1185" s="130"/>
      <c r="K1185" s="148" t="s">
        <v>2534</v>
      </c>
    </row>
    <row r="1186" spans="1:11" ht="28.9" customHeight="1" thickTop="1" thickBot="1" x14ac:dyDescent="0.75">
      <c r="A1186" s="10">
        <v>1184</v>
      </c>
      <c r="B1186" s="58" t="str">
        <f>HYPERLINK("https://search.naver.com/search.naver?query=미라클 프롬 헤븐 영화", "미라클 프롬 헤븐")</f>
        <v>미라클 프롬 헤븐</v>
      </c>
      <c r="C1186" s="12">
        <v>9.4700000000000006</v>
      </c>
      <c r="D1186" s="13" t="s">
        <v>2535</v>
      </c>
      <c r="E1186" s="10" t="s">
        <v>24</v>
      </c>
      <c r="F1186" s="10">
        <v>2016</v>
      </c>
      <c r="G1186" s="10" t="s">
        <v>14</v>
      </c>
      <c r="H1186" s="11" t="s">
        <v>20</v>
      </c>
      <c r="I1186" s="10" t="s">
        <v>187</v>
      </c>
      <c r="J1186" s="131"/>
      <c r="K1186" s="149" t="s">
        <v>1565</v>
      </c>
    </row>
    <row r="1187" spans="1:11" ht="28.9" customHeight="1" thickTop="1" thickBot="1" x14ac:dyDescent="0.75">
      <c r="A1187" s="6">
        <v>1185</v>
      </c>
      <c r="B1187" s="57" t="str">
        <f>HYPERLINK("https://search.naver.com/search.naver?query=미래를 걷는 소녀 영화", "미래를 걷는 소녀")</f>
        <v>미래를 걷는 소녀</v>
      </c>
      <c r="C1187" s="8">
        <v>8.68</v>
      </c>
      <c r="D1187" s="9" t="s">
        <v>2536</v>
      </c>
      <c r="E1187" s="6" t="s">
        <v>19</v>
      </c>
      <c r="F1187" s="6">
        <v>2009</v>
      </c>
      <c r="G1187" s="6" t="s">
        <v>14</v>
      </c>
      <c r="H1187" s="7" t="s">
        <v>20</v>
      </c>
      <c r="I1187" s="6" t="s">
        <v>150</v>
      </c>
      <c r="J1187" s="130"/>
      <c r="K1187" s="148" t="s">
        <v>2537</v>
      </c>
    </row>
    <row r="1188" spans="1:11" ht="28.9" customHeight="1" thickTop="1" thickBot="1" x14ac:dyDescent="0.75">
      <c r="A1188" s="10">
        <v>1186</v>
      </c>
      <c r="B1188" s="58" t="str">
        <f>HYPERLINK("https://search.naver.com/search.naver?query=미성년 영화", "미성년")</f>
        <v>미성년</v>
      </c>
      <c r="C1188" s="12">
        <v>8.65</v>
      </c>
      <c r="D1188" s="13" t="s">
        <v>2538</v>
      </c>
      <c r="E1188" s="10" t="s">
        <v>13</v>
      </c>
      <c r="F1188" s="10">
        <v>2019</v>
      </c>
      <c r="G1188" s="10" t="s">
        <v>14</v>
      </c>
      <c r="H1188" s="11" t="s">
        <v>20</v>
      </c>
      <c r="I1188" s="10" t="s">
        <v>80</v>
      </c>
      <c r="J1188" s="131"/>
      <c r="K1188" s="149" t="s">
        <v>2539</v>
      </c>
    </row>
    <row r="1189" spans="1:11" ht="28.9" customHeight="1" thickTop="1" thickBot="1" x14ac:dyDescent="0.75">
      <c r="A1189" s="6">
        <v>1187</v>
      </c>
      <c r="B1189" s="57" t="str">
        <f>HYPERLINK("https://search.naver.com/search.naver?query=미션 영화", "미션 (
The Mission,1986)")</f>
        <v>미션 (
The Mission,1986)</v>
      </c>
      <c r="C1189" s="8">
        <v>9.11</v>
      </c>
      <c r="D1189" s="9" t="s">
        <v>2540</v>
      </c>
      <c r="E1189" s="6" t="s">
        <v>29</v>
      </c>
      <c r="F1189" s="6">
        <v>1986</v>
      </c>
      <c r="G1189" s="6" t="s">
        <v>14</v>
      </c>
      <c r="H1189" s="7" t="s">
        <v>20</v>
      </c>
      <c r="I1189" s="6" t="s">
        <v>316</v>
      </c>
      <c r="J1189" s="130"/>
      <c r="K1189" s="148" t="s">
        <v>2541</v>
      </c>
    </row>
    <row r="1190" spans="1:11" ht="28.9" customHeight="1" thickTop="1" thickBot="1" x14ac:dyDescent="0.75">
      <c r="A1190" s="10">
        <v>1188</v>
      </c>
      <c r="B1190" s="57" t="str">
        <f>HYPERLINK("https://search.naver.com/search.naver?query=미션 이스탄불3-더 리벤지 영화", "미션 이스탄불3-더 리벤지")</f>
        <v>미션 이스탄불3-더 리벤지</v>
      </c>
      <c r="C1190" s="8">
        <v>6.4</v>
      </c>
      <c r="D1190" s="9" t="s">
        <v>2540</v>
      </c>
      <c r="E1190" s="6" t="s">
        <v>2542</v>
      </c>
      <c r="F1190" s="6">
        <v>2014</v>
      </c>
      <c r="G1190" s="6" t="s">
        <v>14</v>
      </c>
      <c r="H1190" s="7" t="s">
        <v>124</v>
      </c>
      <c r="I1190" s="6" t="s">
        <v>179</v>
      </c>
      <c r="J1190" s="130"/>
      <c r="K1190" s="148" t="s">
        <v>2543</v>
      </c>
    </row>
    <row r="1191" spans="1:11" ht="28.9" customHeight="1" thickTop="1" thickBot="1" x14ac:dyDescent="0.75">
      <c r="A1191" s="6">
        <v>1189</v>
      </c>
      <c r="B1191" s="58" t="str">
        <f>HYPERLINK("https://search.naver.com/search.naver?query=미션 임파서블 영화", "미션 임파서블")</f>
        <v>미션 임파서블</v>
      </c>
      <c r="C1191" s="12">
        <v>8.7799999999999994</v>
      </c>
      <c r="D1191" s="13" t="s">
        <v>2544</v>
      </c>
      <c r="E1191" s="10" t="s">
        <v>24</v>
      </c>
      <c r="F1191" s="10">
        <v>1996</v>
      </c>
      <c r="G1191" s="10" t="s">
        <v>14</v>
      </c>
      <c r="H1191" s="11" t="s">
        <v>124</v>
      </c>
      <c r="I1191" s="10" t="s">
        <v>129</v>
      </c>
      <c r="J1191" s="131"/>
      <c r="K1191" s="149" t="s">
        <v>2545</v>
      </c>
    </row>
    <row r="1192" spans="1:11" ht="28.9" customHeight="1" thickTop="1" thickBot="1" x14ac:dyDescent="0.75">
      <c r="A1192" s="10">
        <v>1190</v>
      </c>
      <c r="B1192" s="57" t="str">
        <f>HYPERLINK("https://search.naver.com/search.naver?query=미션 임파서블 - 로그네이션 영화", "미션 임파서블 - 로그네이션")</f>
        <v>미션 임파서블 - 로그네이션</v>
      </c>
      <c r="C1192" s="8"/>
      <c r="D1192" s="9" t="s">
        <v>2546</v>
      </c>
      <c r="E1192" s="6" t="s">
        <v>24</v>
      </c>
      <c r="F1192" s="6">
        <v>2015</v>
      </c>
      <c r="G1192" s="6" t="s">
        <v>14</v>
      </c>
      <c r="H1192" s="7" t="s">
        <v>124</v>
      </c>
      <c r="I1192" s="6" t="s">
        <v>432</v>
      </c>
      <c r="J1192" s="130"/>
      <c r="K1192" s="148" t="s">
        <v>2547</v>
      </c>
    </row>
    <row r="1193" spans="1:11" ht="28.9" customHeight="1" thickTop="1" thickBot="1" x14ac:dyDescent="0.75">
      <c r="A1193" s="6">
        <v>1191</v>
      </c>
      <c r="B1193" s="58" t="str">
        <f>HYPERLINK("https://search.naver.com/search.naver?query=미션 임파서블 2 영화", "미션 임파서블 2")</f>
        <v>미션 임파서블 2</v>
      </c>
      <c r="C1193" s="12">
        <v>5.47</v>
      </c>
      <c r="D1193" s="13" t="s">
        <v>2548</v>
      </c>
      <c r="E1193" s="10" t="s">
        <v>24</v>
      </c>
      <c r="F1193" s="10">
        <v>2000</v>
      </c>
      <c r="G1193" s="10" t="s">
        <v>14</v>
      </c>
      <c r="H1193" s="11" t="s">
        <v>124</v>
      </c>
      <c r="I1193" s="10" t="s">
        <v>76</v>
      </c>
      <c r="J1193" s="131"/>
      <c r="K1193" s="149" t="s">
        <v>2549</v>
      </c>
    </row>
    <row r="1194" spans="1:11" ht="28.9" customHeight="1" thickTop="1" thickBot="1" x14ac:dyDescent="0.75">
      <c r="A1194" s="10">
        <v>1192</v>
      </c>
      <c r="B1194" s="57" t="str">
        <f>HYPERLINK("https://search.naver.com/search.naver?query=미션 임파서블 3 영화", "미션 임파서블 3")</f>
        <v>미션 임파서블 3</v>
      </c>
      <c r="C1194" s="8">
        <v>8.83</v>
      </c>
      <c r="D1194" s="9" t="s">
        <v>2550</v>
      </c>
      <c r="E1194" s="6" t="s">
        <v>24</v>
      </c>
      <c r="F1194" s="6">
        <v>2006</v>
      </c>
      <c r="G1194" s="6" t="s">
        <v>14</v>
      </c>
      <c r="H1194" s="7" t="s">
        <v>124</v>
      </c>
      <c r="I1194" s="6" t="s">
        <v>105</v>
      </c>
      <c r="J1194" s="130"/>
      <c r="K1194" s="148" t="s">
        <v>2551</v>
      </c>
    </row>
    <row r="1195" spans="1:11" ht="28.9" customHeight="1" thickTop="1" thickBot="1" x14ac:dyDescent="0.75">
      <c r="A1195" s="6">
        <v>1193</v>
      </c>
      <c r="B1195" s="58" t="str">
        <f>HYPERLINK("https://search.naver.com/search.naver?query=미션 임파서블 고스트 프로토콜 영화", "미션 임파서블 고스트 프로토콜")</f>
        <v>미션 임파서블 고스트 프로토콜</v>
      </c>
      <c r="C1195" s="12">
        <v>8.75</v>
      </c>
      <c r="D1195" s="13" t="s">
        <v>2552</v>
      </c>
      <c r="E1195" s="10" t="s">
        <v>24</v>
      </c>
      <c r="F1195" s="10">
        <v>2011</v>
      </c>
      <c r="G1195" s="10" t="s">
        <v>14</v>
      </c>
      <c r="H1195" s="11" t="s">
        <v>124</v>
      </c>
      <c r="I1195" s="10" t="s">
        <v>558</v>
      </c>
      <c r="J1195" s="131"/>
      <c r="K1195" s="149" t="s">
        <v>2553</v>
      </c>
    </row>
    <row r="1196" spans="1:11" ht="28.9" customHeight="1" thickTop="1" thickBot="1" x14ac:dyDescent="0.75">
      <c r="A1196" s="10">
        <v>1194</v>
      </c>
      <c r="B1196" s="57" t="str">
        <f>HYPERLINK("https://search.naver.com/search.naver?query=미션 임파서블-데드 레코닝 영화", "미션 임파서블-데드 레코닝")</f>
        <v>미션 임파서블-데드 레코닝</v>
      </c>
      <c r="C1196" s="8"/>
      <c r="D1196" s="9" t="s">
        <v>2554</v>
      </c>
      <c r="E1196" s="6" t="s">
        <v>24</v>
      </c>
      <c r="F1196" s="6">
        <v>2023</v>
      </c>
      <c r="G1196" s="6" t="s">
        <v>14</v>
      </c>
      <c r="H1196" s="7" t="s">
        <v>124</v>
      </c>
      <c r="I1196" s="6" t="s">
        <v>26</v>
      </c>
      <c r="J1196" s="130"/>
      <c r="K1196" s="148" t="s">
        <v>2555</v>
      </c>
    </row>
    <row r="1197" spans="1:11" ht="28.9" customHeight="1" thickTop="1" thickBot="1" x14ac:dyDescent="0.75">
      <c r="A1197" s="6">
        <v>1195</v>
      </c>
      <c r="B1197" s="58" t="str">
        <f>HYPERLINK("https://search.naver.com/search.naver?query=미션 임파서블-파이널 레코닝 영화", "미션 임파서블-파이널 레코닝")</f>
        <v>미션 임파서블-파이널 레코닝</v>
      </c>
      <c r="C1197" s="12">
        <v>6.4</v>
      </c>
      <c r="D1197" s="13" t="s">
        <v>2554</v>
      </c>
      <c r="E1197" s="10" t="s">
        <v>24</v>
      </c>
      <c r="F1197" s="10">
        <v>2025</v>
      </c>
      <c r="G1197" s="10" t="s">
        <v>14</v>
      </c>
      <c r="H1197" s="11" t="s">
        <v>124</v>
      </c>
      <c r="I1197" s="10" t="s">
        <v>2556</v>
      </c>
      <c r="J1197" s="131"/>
      <c r="K1197" s="149" t="s">
        <v>2557</v>
      </c>
    </row>
    <row r="1198" spans="1:11" ht="28.9" customHeight="1" thickTop="1" thickBot="1" x14ac:dyDescent="0.75">
      <c r="A1198" s="10">
        <v>1196</v>
      </c>
      <c r="B1198" s="57" t="str">
        <f>HYPERLINK("https://search.naver.com/search.naver?query=미션 임파서블-폴 아웃 영화", "미션 임파서블-폴 아웃")</f>
        <v>미션 임파서블-폴 아웃</v>
      </c>
      <c r="C1198" s="8">
        <v>9.14</v>
      </c>
      <c r="D1198" s="9" t="s">
        <v>2558</v>
      </c>
      <c r="E1198" s="6" t="s">
        <v>24</v>
      </c>
      <c r="F1198" s="6">
        <v>2018</v>
      </c>
      <c r="G1198" s="6" t="s">
        <v>14</v>
      </c>
      <c r="H1198" s="7" t="s">
        <v>124</v>
      </c>
      <c r="I1198" s="6" t="s">
        <v>221</v>
      </c>
      <c r="J1198" s="130"/>
      <c r="K1198" s="148" t="s">
        <v>2559</v>
      </c>
    </row>
    <row r="1199" spans="1:11" ht="28.9" customHeight="1" thickTop="1" thickBot="1" x14ac:dyDescent="0.75">
      <c r="A1199" s="6">
        <v>1197</v>
      </c>
      <c r="B1199" s="58" t="str">
        <f>HYPERLINK("https://search.naver.com/search.naver?query=미션파서블 영화", "미션파서블")</f>
        <v>미션파서블</v>
      </c>
      <c r="C1199" s="12">
        <v>8.42</v>
      </c>
      <c r="D1199" s="13" t="s">
        <v>2560</v>
      </c>
      <c r="E1199" s="10" t="s">
        <v>13</v>
      </c>
      <c r="F1199" s="10">
        <v>2021</v>
      </c>
      <c r="G1199" s="10" t="s">
        <v>14</v>
      </c>
      <c r="H1199" s="11" t="s">
        <v>124</v>
      </c>
      <c r="I1199" s="10" t="s">
        <v>175</v>
      </c>
      <c r="J1199" s="131"/>
      <c r="K1199" s="149" t="s">
        <v>2561</v>
      </c>
    </row>
    <row r="1200" spans="1:11" ht="28.9" customHeight="1" thickTop="1" thickBot="1" x14ac:dyDescent="0.75">
      <c r="A1200" s="10">
        <v>1198</v>
      </c>
      <c r="B1200" s="57" t="str">
        <f>HYPERLINK("https://search.naver.com/search.naver?query=미스 리틀 선샤인 영화", "미스 리틀 선샤인")</f>
        <v>미스 리틀 선샤인</v>
      </c>
      <c r="C1200" s="8">
        <v>8.9700000000000006</v>
      </c>
      <c r="D1200" s="9" t="s">
        <v>2562</v>
      </c>
      <c r="E1200" s="6" t="s">
        <v>24</v>
      </c>
      <c r="F1200" s="6">
        <v>2006</v>
      </c>
      <c r="G1200" s="6" t="s">
        <v>14</v>
      </c>
      <c r="H1200" s="7" t="s">
        <v>91</v>
      </c>
      <c r="I1200" s="6" t="s">
        <v>94</v>
      </c>
      <c r="J1200" s="130"/>
      <c r="K1200" s="148" t="s">
        <v>2563</v>
      </c>
    </row>
    <row r="1201" spans="1:11" ht="28.9" customHeight="1" thickTop="1" thickBot="1" x14ac:dyDescent="0.75">
      <c r="A1201" s="6">
        <v>1199</v>
      </c>
      <c r="B1201" s="58" t="str">
        <f>HYPERLINK("https://search.naver.com/search.naver?query=미스 유 올레디 영화", "미스 유 올레디")</f>
        <v>미스 유 올레디</v>
      </c>
      <c r="C1201" s="12">
        <v>8.8699999999999992</v>
      </c>
      <c r="D1201" s="13" t="s">
        <v>2564</v>
      </c>
      <c r="E1201" s="10" t="s">
        <v>29</v>
      </c>
      <c r="F1201" s="10">
        <v>2015</v>
      </c>
      <c r="G1201" s="10" t="s">
        <v>14</v>
      </c>
      <c r="H1201" s="11" t="s">
        <v>20</v>
      </c>
      <c r="I1201" s="10" t="s">
        <v>429</v>
      </c>
      <c r="J1201" s="131"/>
      <c r="K1201" s="149" t="s">
        <v>2565</v>
      </c>
    </row>
    <row r="1202" spans="1:11" ht="28.9" customHeight="1" thickTop="1" thickBot="1" x14ac:dyDescent="0.75">
      <c r="A1202" s="10">
        <v>1200</v>
      </c>
      <c r="B1202" s="57" t="str">
        <f>HYPERLINK("https://search.naver.com/search.naver?query=미스 페티그루의 어느 특별한 하루 영화", "미스 페티그루의 어느 특별한 하루")</f>
        <v>미스 페티그루의 어느 특별한 하루</v>
      </c>
      <c r="C1202" s="8">
        <v>8.0500000000000007</v>
      </c>
      <c r="D1202" s="9" t="s">
        <v>2566</v>
      </c>
      <c r="E1202" s="6" t="s">
        <v>24</v>
      </c>
      <c r="F1202" s="6">
        <v>2008</v>
      </c>
      <c r="G1202" s="6" t="s">
        <v>14</v>
      </c>
      <c r="H1202" s="7" t="s">
        <v>91</v>
      </c>
      <c r="I1202" s="6" t="s">
        <v>205</v>
      </c>
      <c r="J1202" s="130"/>
      <c r="K1202" s="148" t="s">
        <v>2567</v>
      </c>
    </row>
    <row r="1203" spans="1:11" ht="28.9" customHeight="1" thickTop="1" thickBot="1" x14ac:dyDescent="0.75">
      <c r="A1203" s="6">
        <v>1201</v>
      </c>
      <c r="B1203" s="58" t="str">
        <f>HYPERLINK("https://search.naver.com/search.naver?query=미스언더스탠드 영화", "미스언더스탠드")</f>
        <v>미스언더스탠드</v>
      </c>
      <c r="C1203" s="12">
        <v>7.58</v>
      </c>
      <c r="D1203" s="13" t="s">
        <v>2568</v>
      </c>
      <c r="E1203" s="10" t="s">
        <v>24</v>
      </c>
      <c r="F1203" s="10">
        <v>2008</v>
      </c>
      <c r="G1203" s="10" t="s">
        <v>14</v>
      </c>
      <c r="H1203" s="11" t="s">
        <v>20</v>
      </c>
      <c r="I1203" s="10" t="s">
        <v>591</v>
      </c>
      <c r="J1203" s="131"/>
      <c r="K1203" s="149" t="s">
        <v>422</v>
      </c>
    </row>
    <row r="1204" spans="1:11" ht="28.9" customHeight="1" thickTop="1" thickBot="1" x14ac:dyDescent="0.75">
      <c r="A1204" s="10">
        <v>1202</v>
      </c>
      <c r="B1204" s="57" t="str">
        <f>HYPERLINK("https://search.naver.com/search.naver?query=미스컨덕트 영화", "미스컨덕트")</f>
        <v>미스컨덕트</v>
      </c>
      <c r="C1204" s="8">
        <v>6.19</v>
      </c>
      <c r="D1204" s="9" t="s">
        <v>2569</v>
      </c>
      <c r="E1204" s="6" t="s">
        <v>24</v>
      </c>
      <c r="F1204" s="6">
        <v>2016</v>
      </c>
      <c r="G1204" s="6" t="s">
        <v>14</v>
      </c>
      <c r="H1204" s="7" t="s">
        <v>54</v>
      </c>
      <c r="I1204" s="6" t="s">
        <v>443</v>
      </c>
      <c r="J1204" s="130"/>
      <c r="K1204" s="148" t="s">
        <v>2570</v>
      </c>
    </row>
    <row r="1205" spans="1:11" ht="28.9" customHeight="1" thickTop="1" thickBot="1" x14ac:dyDescent="0.75">
      <c r="A1205" s="6">
        <v>1203</v>
      </c>
      <c r="B1205" s="58" t="str">
        <f>HYPERLINK("https://search.naver.com/search.naver?query=미스터 노바디 영화", "미스터 노바디")</f>
        <v>미스터 노바디</v>
      </c>
      <c r="C1205" s="12">
        <v>8.23</v>
      </c>
      <c r="D1205" s="13" t="s">
        <v>2571</v>
      </c>
      <c r="E1205" s="10" t="s">
        <v>858</v>
      </c>
      <c r="F1205" s="10">
        <v>2009</v>
      </c>
      <c r="G1205" s="10" t="s">
        <v>14</v>
      </c>
      <c r="H1205" s="11" t="s">
        <v>877</v>
      </c>
      <c r="I1205" s="10" t="s">
        <v>759</v>
      </c>
      <c r="J1205" s="131"/>
      <c r="K1205" s="149" t="s">
        <v>2572</v>
      </c>
    </row>
    <row r="1206" spans="1:11" ht="28.9" customHeight="1" thickTop="1" thickBot="1" x14ac:dyDescent="0.75">
      <c r="A1206" s="10">
        <v>1204</v>
      </c>
      <c r="B1206" s="57" t="str">
        <f>HYPERLINK("https://search.naver.com/search.naver?query=미스터 스마일 영화", "미스터 스마일")</f>
        <v>미스터 스마일</v>
      </c>
      <c r="C1206" s="8">
        <v>8.01</v>
      </c>
      <c r="D1206" s="9" t="s">
        <v>2573</v>
      </c>
      <c r="E1206" s="6" t="s">
        <v>24</v>
      </c>
      <c r="F1206" s="6">
        <v>2018</v>
      </c>
      <c r="G1206" s="6" t="s">
        <v>14</v>
      </c>
      <c r="H1206" s="7" t="s">
        <v>20</v>
      </c>
      <c r="I1206" s="6" t="s">
        <v>125</v>
      </c>
      <c r="J1206" s="130"/>
      <c r="K1206" s="148" t="s">
        <v>2574</v>
      </c>
    </row>
    <row r="1207" spans="1:11" ht="28.9" customHeight="1" thickTop="1" thickBot="1" x14ac:dyDescent="0.75">
      <c r="A1207" s="6">
        <v>1205</v>
      </c>
      <c r="B1207" s="58" t="str">
        <f>HYPERLINK("https://search.naver.com/search.naver?query=미스터 주:사라진 VIP 영화", "미스터 주-사라진 VIP")</f>
        <v>미스터 주-사라진 VIP</v>
      </c>
      <c r="C1207" s="12">
        <v>7.54</v>
      </c>
      <c r="D1207" s="13" t="s">
        <v>2575</v>
      </c>
      <c r="E1207" s="10" t="s">
        <v>13</v>
      </c>
      <c r="F1207" s="10">
        <v>2020</v>
      </c>
      <c r="G1207" s="10" t="s">
        <v>14</v>
      </c>
      <c r="H1207" s="11" t="s">
        <v>91</v>
      </c>
      <c r="I1207" s="10" t="s">
        <v>429</v>
      </c>
      <c r="J1207" s="131"/>
      <c r="K1207" s="149" t="s">
        <v>2576</v>
      </c>
    </row>
    <row r="1208" spans="1:11" ht="28.9" customHeight="1" thickTop="1" thickBot="1" x14ac:dyDescent="0.75">
      <c r="A1208" s="10">
        <v>1206</v>
      </c>
      <c r="B1208" s="57" t="str">
        <f>HYPERLINK("https://search.naver.com/search.naver?query=미스터 홈즈 영화", "미스터 홈즈")</f>
        <v>미스터 홈즈</v>
      </c>
      <c r="C1208" s="8">
        <v>8.3000000000000007</v>
      </c>
      <c r="D1208" s="9" t="s">
        <v>2577</v>
      </c>
      <c r="E1208" s="6" t="s">
        <v>29</v>
      </c>
      <c r="F1208" s="6">
        <v>2015</v>
      </c>
      <c r="G1208" s="6" t="s">
        <v>14</v>
      </c>
      <c r="H1208" s="7" t="s">
        <v>20</v>
      </c>
      <c r="I1208" s="6" t="s">
        <v>242</v>
      </c>
      <c r="J1208" s="130"/>
      <c r="K1208" s="148" t="s">
        <v>2578</v>
      </c>
    </row>
    <row r="1209" spans="1:11" ht="28.9" customHeight="1" thickTop="1" thickBot="1" x14ac:dyDescent="0.75">
      <c r="A1209" s="6">
        <v>1207</v>
      </c>
      <c r="B1209" s="58" t="str">
        <f>HYPERLINK("https://search.naver.com/search.naver?query=미스트리스 아메리카 영화", "미스트리스 아메리카")</f>
        <v>미스트리스 아메리카</v>
      </c>
      <c r="C1209" s="12">
        <v>7.8</v>
      </c>
      <c r="D1209" s="13" t="s">
        <v>2579</v>
      </c>
      <c r="E1209" s="10" t="s">
        <v>24</v>
      </c>
      <c r="F1209" s="10">
        <v>2015</v>
      </c>
      <c r="G1209" s="10" t="s">
        <v>14</v>
      </c>
      <c r="H1209" s="11" t="s">
        <v>91</v>
      </c>
      <c r="I1209" s="10" t="s">
        <v>1705</v>
      </c>
      <c r="J1209" s="131"/>
      <c r="K1209" s="149" t="s">
        <v>2580</v>
      </c>
    </row>
    <row r="1210" spans="1:11" ht="28.9" customHeight="1" thickTop="1" thickBot="1" x14ac:dyDescent="0.75">
      <c r="A1210" s="10">
        <v>1208</v>
      </c>
      <c r="B1210" s="57" t="str">
        <f>HYPERLINK("https://search.naver.com/search.naver?query=미스틱 리버 영화", "미스틱 리버")</f>
        <v>미스틱 리버</v>
      </c>
      <c r="C1210" s="8">
        <v>8.0299999999999994</v>
      </c>
      <c r="D1210" s="9" t="s">
        <v>2581</v>
      </c>
      <c r="E1210" s="6" t="s">
        <v>24</v>
      </c>
      <c r="F1210" s="6">
        <v>2003</v>
      </c>
      <c r="G1210" s="6" t="s">
        <v>14</v>
      </c>
      <c r="H1210" s="7" t="s">
        <v>20</v>
      </c>
      <c r="I1210" s="6" t="s">
        <v>1058</v>
      </c>
      <c r="J1210" s="130"/>
      <c r="K1210" s="148" t="s">
        <v>2582</v>
      </c>
    </row>
    <row r="1211" spans="1:11" ht="28.9" customHeight="1" thickTop="1" thickBot="1" x14ac:dyDescent="0.75">
      <c r="A1211" s="6">
        <v>1209</v>
      </c>
      <c r="B1211" s="58" t="str">
        <f>HYPERLINK("https://search.naver.com/search.naver?query=미스포터 영화", "미스포터")</f>
        <v>미스포터</v>
      </c>
      <c r="C1211" s="12">
        <v>7.92</v>
      </c>
      <c r="D1211" s="13" t="s">
        <v>2583</v>
      </c>
      <c r="E1211" s="10" t="s">
        <v>29</v>
      </c>
      <c r="F1211" s="10">
        <v>2006</v>
      </c>
      <c r="G1211" s="10" t="s">
        <v>14</v>
      </c>
      <c r="H1211" s="11" t="s">
        <v>20</v>
      </c>
      <c r="I1211" s="10" t="s">
        <v>345</v>
      </c>
      <c r="J1211" s="131"/>
      <c r="K1211" s="149" t="s">
        <v>2584</v>
      </c>
    </row>
    <row r="1212" spans="1:11" ht="28.9" customHeight="1" thickTop="1" thickBot="1" x14ac:dyDescent="0.75">
      <c r="A1212" s="10">
        <v>1210</v>
      </c>
      <c r="B1212" s="57" t="str">
        <f>HYPERLINK("https://search.naver.com/search.naver?query=미스피츠 영화", "미스피츠")</f>
        <v>미스피츠</v>
      </c>
      <c r="C1212" s="8">
        <v>3.61</v>
      </c>
      <c r="D1212" s="9" t="s">
        <v>2585</v>
      </c>
      <c r="E1212" s="6" t="s">
        <v>24</v>
      </c>
      <c r="F1212" s="6">
        <v>2021</v>
      </c>
      <c r="G1212" s="6" t="s">
        <v>14</v>
      </c>
      <c r="H1212" s="7" t="s">
        <v>124</v>
      </c>
      <c r="I1212" s="6" t="s">
        <v>468</v>
      </c>
      <c r="J1212" s="130"/>
      <c r="K1212" s="148" t="s">
        <v>2586</v>
      </c>
    </row>
    <row r="1213" spans="1:11" ht="28.9" customHeight="1" thickTop="1" thickBot="1" x14ac:dyDescent="0.75">
      <c r="A1213" s="6">
        <v>1211</v>
      </c>
      <c r="B1213" s="58" t="str">
        <f>HYPERLINK("https://search.naver.com/search.naver?query=미시즈 해리스 파리에 가다 영화", "미시즈 해리스 파리에 가다")</f>
        <v>미시즈 해리스 파리에 가다</v>
      </c>
      <c r="C1213" s="12">
        <v>8.09</v>
      </c>
      <c r="D1213" s="13" t="s">
        <v>2587</v>
      </c>
      <c r="E1213" s="10" t="s">
        <v>29</v>
      </c>
      <c r="F1213" s="10">
        <v>2022</v>
      </c>
      <c r="G1213" s="10" t="s">
        <v>14</v>
      </c>
      <c r="H1213" s="11" t="s">
        <v>91</v>
      </c>
      <c r="I1213" s="10" t="s">
        <v>60</v>
      </c>
      <c r="J1213" s="131"/>
      <c r="K1213" s="149" t="s">
        <v>2588</v>
      </c>
    </row>
    <row r="1214" spans="1:11" ht="28.9" customHeight="1" thickTop="1" thickBot="1" x14ac:dyDescent="0.75">
      <c r="A1214" s="10">
        <v>1212</v>
      </c>
      <c r="B1214" s="57" t="str">
        <f>HYPERLINK("https://search.naver.com/search.naver?query=미쓰 와이프 영화", "미쓰 와이프")</f>
        <v>미쓰 와이프</v>
      </c>
      <c r="C1214" s="8">
        <v>8.6999999999999993</v>
      </c>
      <c r="D1214" s="9" t="s">
        <v>2589</v>
      </c>
      <c r="E1214" s="6" t="s">
        <v>13</v>
      </c>
      <c r="F1214" s="6">
        <v>2015</v>
      </c>
      <c r="G1214" s="6" t="s">
        <v>14</v>
      </c>
      <c r="H1214" s="7" t="s">
        <v>91</v>
      </c>
      <c r="I1214" s="6" t="s">
        <v>316</v>
      </c>
      <c r="J1214" s="130"/>
      <c r="K1214" s="148" t="s">
        <v>2590</v>
      </c>
    </row>
    <row r="1215" spans="1:11" ht="28.9" customHeight="1" thickTop="1" thickBot="1" x14ac:dyDescent="0.75">
      <c r="A1215" s="6">
        <v>1213</v>
      </c>
      <c r="B1215" s="58" t="str">
        <f>HYPERLINK("https://search.naver.com/search.naver?query=미쓰백 영화", "미쓰백")</f>
        <v>미쓰백</v>
      </c>
      <c r="C1215" s="12">
        <v>9.25</v>
      </c>
      <c r="D1215" s="13" t="s">
        <v>2591</v>
      </c>
      <c r="E1215" s="10" t="s">
        <v>13</v>
      </c>
      <c r="F1215" s="10">
        <v>2018</v>
      </c>
      <c r="G1215" s="10" t="s">
        <v>14</v>
      </c>
      <c r="H1215" s="11" t="s">
        <v>20</v>
      </c>
      <c r="I1215" s="10" t="s">
        <v>16</v>
      </c>
      <c r="J1215" s="131"/>
      <c r="K1215" s="149" t="s">
        <v>2592</v>
      </c>
    </row>
    <row r="1216" spans="1:11" ht="28.9" customHeight="1" thickTop="1" thickBot="1" x14ac:dyDescent="0.75">
      <c r="A1216" s="10">
        <v>1214</v>
      </c>
      <c r="B1216" s="57" t="str">
        <f>HYPERLINK("https://search.naver.com/search.naver?query=미씽 영화", "미씽")</f>
        <v>미씽</v>
      </c>
      <c r="C1216" s="8">
        <v>8.5299999999999994</v>
      </c>
      <c r="D1216" s="9" t="s">
        <v>2593</v>
      </c>
      <c r="E1216" s="6" t="s">
        <v>24</v>
      </c>
      <c r="F1216" s="6">
        <v>2023</v>
      </c>
      <c r="G1216" s="6" t="s">
        <v>14</v>
      </c>
      <c r="H1216" s="7" t="s">
        <v>54</v>
      </c>
      <c r="I1216" s="6" t="s">
        <v>150</v>
      </c>
      <c r="J1216" s="130"/>
      <c r="K1216" s="148" t="s">
        <v>2594</v>
      </c>
    </row>
    <row r="1217" spans="1:11" ht="28.9" customHeight="1" thickTop="1" thickBot="1" x14ac:dyDescent="0.75">
      <c r="A1217" s="6">
        <v>1215</v>
      </c>
      <c r="B1217" s="58" t="str">
        <f>HYPERLINK("https://search.naver.com/search.naver?query=미씽 - 사라진 여자", "미씽 - 사라진 여자")</f>
        <v>미씽 - 사라진 여자</v>
      </c>
      <c r="C1217" s="12">
        <v>8.5299999999999994</v>
      </c>
      <c r="D1217" s="13" t="s">
        <v>2595</v>
      </c>
      <c r="E1217" s="10" t="s">
        <v>13</v>
      </c>
      <c r="F1217" s="10">
        <v>2016</v>
      </c>
      <c r="G1217" s="10" t="s">
        <v>14</v>
      </c>
      <c r="H1217" s="11" t="s">
        <v>54</v>
      </c>
      <c r="I1217" s="10" t="s">
        <v>179</v>
      </c>
      <c r="J1217" s="131"/>
      <c r="K1217" s="149" t="s">
        <v>2596</v>
      </c>
    </row>
    <row r="1218" spans="1:11" ht="28.9" customHeight="1" thickTop="1" thickBot="1" x14ac:dyDescent="0.75">
      <c r="A1218" s="10">
        <v>1216</v>
      </c>
      <c r="B1218" s="57" t="str">
        <f>HYPERLINK("https://search.naver.com/search.naver?query=미안해요, 리키 영화", "미안해요, 리키")</f>
        <v>미안해요, 리키</v>
      </c>
      <c r="C1218" s="8">
        <v>9.19</v>
      </c>
      <c r="D1218" s="9" t="s">
        <v>2597</v>
      </c>
      <c r="E1218" s="6" t="s">
        <v>29</v>
      </c>
      <c r="F1218" s="6">
        <v>2019</v>
      </c>
      <c r="G1218" s="6" t="s">
        <v>14</v>
      </c>
      <c r="H1218" s="7" t="s">
        <v>20</v>
      </c>
      <c r="I1218" s="6" t="s">
        <v>150</v>
      </c>
      <c r="J1218" s="130"/>
      <c r="K1218" s="148" t="s">
        <v>2598</v>
      </c>
    </row>
    <row r="1219" spans="1:11" ht="28.9" customHeight="1" thickTop="1" thickBot="1" x14ac:dyDescent="0.75">
      <c r="A1219" s="6">
        <v>1217</v>
      </c>
      <c r="B1219" s="59" t="str">
        <f>HYPERLINK("https://search.naver.com/search.naver?query=미야모토 무사시", "미야모토 무사시")</f>
        <v>미야모토 무사시</v>
      </c>
      <c r="C1219" s="16"/>
      <c r="D1219" s="17" t="s">
        <v>2599</v>
      </c>
      <c r="E1219" s="14" t="s">
        <v>19</v>
      </c>
      <c r="F1219" s="14">
        <v>2014</v>
      </c>
      <c r="G1219" s="14" t="s">
        <v>20</v>
      </c>
      <c r="H1219" s="15" t="s">
        <v>552</v>
      </c>
      <c r="I1219" s="14" t="s">
        <v>2600</v>
      </c>
      <c r="J1219" s="132"/>
      <c r="K1219" s="150" t="s">
        <v>2601</v>
      </c>
    </row>
    <row r="1220" spans="1:11" ht="28.9" customHeight="1" thickTop="1" thickBot="1" x14ac:dyDescent="0.75">
      <c r="A1220" s="10">
        <v>1218</v>
      </c>
      <c r="B1220" s="57" t="str">
        <f>HYPERLINK("https://search.naver.com/search.naver?query=미옥 영화", "미옥")</f>
        <v>미옥</v>
      </c>
      <c r="C1220" s="8">
        <v>6.92</v>
      </c>
      <c r="D1220" s="9" t="s">
        <v>2602</v>
      </c>
      <c r="E1220" s="6" t="s">
        <v>13</v>
      </c>
      <c r="F1220" s="6">
        <v>2017</v>
      </c>
      <c r="G1220" s="6" t="s">
        <v>14</v>
      </c>
      <c r="H1220" s="7" t="s">
        <v>20</v>
      </c>
      <c r="I1220" s="6" t="s">
        <v>361</v>
      </c>
      <c r="J1220" s="130"/>
      <c r="K1220" s="148" t="s">
        <v>2603</v>
      </c>
    </row>
    <row r="1221" spans="1:11" ht="28.9" customHeight="1" thickTop="1" thickBot="1" x14ac:dyDescent="0.75">
      <c r="A1221" s="6">
        <v>1219</v>
      </c>
      <c r="B1221" s="58" t="str">
        <f>HYPERLINK("https://search.naver.com/search.naver?query=미운 오리 새끼 영화", "미운 오리 새끼")</f>
        <v>미운 오리 새끼</v>
      </c>
      <c r="C1221" s="12">
        <v>8.7200000000000006</v>
      </c>
      <c r="D1221" s="13" t="s">
        <v>2604</v>
      </c>
      <c r="E1221" s="10" t="s">
        <v>13</v>
      </c>
      <c r="F1221" s="10">
        <v>2012</v>
      </c>
      <c r="G1221" s="10" t="s">
        <v>14</v>
      </c>
      <c r="H1221" s="11" t="s">
        <v>20</v>
      </c>
      <c r="I1221" s="10" t="s">
        <v>150</v>
      </c>
      <c r="J1221" s="131"/>
      <c r="K1221" s="149" t="s">
        <v>2605</v>
      </c>
    </row>
    <row r="1222" spans="1:11" ht="28.9" customHeight="1" thickTop="1" thickBot="1" x14ac:dyDescent="0.75">
      <c r="A1222" s="10">
        <v>1220</v>
      </c>
      <c r="B1222" s="57" t="str">
        <f>HYPERLINK("https://search.naver.com/search.naver?query=미이라 영화", "미이라")</f>
        <v>미이라</v>
      </c>
      <c r="C1222" s="8">
        <v>9.25</v>
      </c>
      <c r="D1222" s="9" t="s">
        <v>2606</v>
      </c>
      <c r="E1222" s="6" t="s">
        <v>24</v>
      </c>
      <c r="F1222" s="6">
        <v>2017</v>
      </c>
      <c r="G1222" s="6" t="s">
        <v>14</v>
      </c>
      <c r="H1222" s="7" t="s">
        <v>124</v>
      </c>
      <c r="I1222" s="6" t="s">
        <v>129</v>
      </c>
      <c r="J1222" s="130"/>
      <c r="K1222" s="148" t="s">
        <v>2607</v>
      </c>
    </row>
    <row r="1223" spans="1:11" ht="28.9" customHeight="1" thickTop="1" thickBot="1" x14ac:dyDescent="0.75">
      <c r="A1223" s="6">
        <v>1221</v>
      </c>
      <c r="B1223" s="58" t="str">
        <f>HYPERLINK("https://search.naver.com/search.naver?query=미하엘 콜하스의 선택 영화", "미하엘 콜하스의 선택")</f>
        <v>미하엘 콜하스의 선택</v>
      </c>
      <c r="C1223" s="12">
        <v>8.1300000000000008</v>
      </c>
      <c r="D1223" s="13" t="s">
        <v>2608</v>
      </c>
      <c r="E1223" s="10" t="s">
        <v>310</v>
      </c>
      <c r="F1223" s="10">
        <v>2013</v>
      </c>
      <c r="G1223" s="10" t="s">
        <v>14</v>
      </c>
      <c r="H1223" s="11" t="s">
        <v>20</v>
      </c>
      <c r="I1223" s="10" t="s">
        <v>141</v>
      </c>
      <c r="J1223" s="131"/>
      <c r="K1223" s="149" t="s">
        <v>2609</v>
      </c>
    </row>
    <row r="1224" spans="1:11" ht="28.9" customHeight="1" thickTop="1" thickBot="1" x14ac:dyDescent="0.75">
      <c r="A1224" s="10">
        <v>1222</v>
      </c>
      <c r="B1224" s="57" t="str">
        <f>HYPERLINK("https://search.naver.com/search.naver?query=믹막-티르라리고 사람들 영화", "믹막-티르라리고 사람들")</f>
        <v>믹막-티르라리고 사람들</v>
      </c>
      <c r="C1224" s="8"/>
      <c r="D1224" s="9" t="s">
        <v>2610</v>
      </c>
      <c r="E1224" s="6" t="s">
        <v>310</v>
      </c>
      <c r="F1224" s="6">
        <v>2009</v>
      </c>
      <c r="G1224" s="6" t="s">
        <v>14</v>
      </c>
      <c r="H1224" s="7" t="s">
        <v>91</v>
      </c>
      <c r="I1224" s="6" t="s">
        <v>175</v>
      </c>
      <c r="J1224" s="130"/>
      <c r="K1224" s="148" t="s">
        <v>2611</v>
      </c>
    </row>
    <row r="1225" spans="1:11" ht="28.9" customHeight="1" thickTop="1" thickBot="1" x14ac:dyDescent="0.75">
      <c r="A1225" s="6">
        <v>1223</v>
      </c>
      <c r="B1225" s="58" t="str">
        <f>HYPERLINK("https://search.naver.com/search.naver?query=믹스 영화", "믹스")</f>
        <v>믹스</v>
      </c>
      <c r="C1225" s="12">
        <v>6.4</v>
      </c>
      <c r="D1225" s="13" t="s">
        <v>2612</v>
      </c>
      <c r="E1225" s="10" t="s">
        <v>19</v>
      </c>
      <c r="F1225" s="10">
        <v>2017</v>
      </c>
      <c r="G1225" s="10" t="s">
        <v>14</v>
      </c>
      <c r="H1225" s="11" t="s">
        <v>20</v>
      </c>
      <c r="I1225" s="10" t="s">
        <v>150</v>
      </c>
      <c r="J1225" s="131"/>
      <c r="K1225" s="149" t="s">
        <v>2233</v>
      </c>
    </row>
    <row r="1226" spans="1:11" ht="28.9" customHeight="1" thickTop="1" thickBot="1" x14ac:dyDescent="0.75">
      <c r="A1226" s="10">
        <v>1224</v>
      </c>
      <c r="B1226" s="57" t="str">
        <f>HYPERLINK("https://search.naver.com/search.naver?query=민스미트 작전 영화", "민스미트 작전")</f>
        <v>민스미트 작전</v>
      </c>
      <c r="C1226" s="8">
        <v>7.22</v>
      </c>
      <c r="D1226" s="9" t="s">
        <v>2613</v>
      </c>
      <c r="E1226" s="6" t="s">
        <v>29</v>
      </c>
      <c r="F1226" s="6">
        <v>2021</v>
      </c>
      <c r="G1226" s="6" t="s">
        <v>14</v>
      </c>
      <c r="H1226" s="7" t="s">
        <v>20</v>
      </c>
      <c r="I1226" s="6" t="s">
        <v>146</v>
      </c>
      <c r="J1226" s="130"/>
      <c r="K1226" s="148" t="s">
        <v>2614</v>
      </c>
    </row>
    <row r="1227" spans="1:11" ht="28.9" customHeight="1" thickTop="1" thickBot="1" x14ac:dyDescent="0.75">
      <c r="A1227" s="6">
        <v>1225</v>
      </c>
      <c r="B1227" s="58" t="str">
        <f>HYPERLINK("https://search.naver.com/search.naver?query=믿음의 승부 영화", "믿음의 승부")</f>
        <v>믿음의 승부</v>
      </c>
      <c r="C1227" s="12">
        <v>8.86</v>
      </c>
      <c r="D1227" s="13" t="s">
        <v>2615</v>
      </c>
      <c r="E1227" s="10" t="s">
        <v>24</v>
      </c>
      <c r="F1227" s="10">
        <v>2006</v>
      </c>
      <c r="G1227" s="10" t="s">
        <v>14</v>
      </c>
      <c r="H1227" s="11" t="s">
        <v>20</v>
      </c>
      <c r="I1227" s="10" t="s">
        <v>137</v>
      </c>
      <c r="J1227" s="131"/>
      <c r="K1227" s="149" t="s">
        <v>2616</v>
      </c>
    </row>
    <row r="1228" spans="1:11" ht="28.9" customHeight="1" thickTop="1" thickBot="1" x14ac:dyDescent="0.75">
      <c r="A1228" s="10">
        <v>1226</v>
      </c>
      <c r="B1228" s="59" t="str">
        <f>HYPERLINK("https://search.naver.com/search.naver?query=밀고는 부른다 경시청 감찰 파일", "밀고는 부른다 경시청 감찰 파일")</f>
        <v>밀고는 부른다 경시청 감찰 파일</v>
      </c>
      <c r="C1228" s="16"/>
      <c r="D1228" s="17"/>
      <c r="E1228" s="14" t="s">
        <v>19</v>
      </c>
      <c r="F1228" s="14">
        <v>2021</v>
      </c>
      <c r="G1228" s="14" t="s">
        <v>20</v>
      </c>
      <c r="H1228" s="15" t="s">
        <v>115</v>
      </c>
      <c r="I1228" s="14" t="s">
        <v>247</v>
      </c>
      <c r="J1228" s="132"/>
      <c r="K1228" s="150" t="s">
        <v>2617</v>
      </c>
    </row>
    <row r="1229" spans="1:11" ht="28.9" customHeight="1" thickTop="1" thickBot="1" x14ac:dyDescent="0.75">
      <c r="A1229" s="6">
        <v>1227</v>
      </c>
      <c r="B1229" s="58" t="str">
        <f>HYPERLINK("https://search.naver.com/search.naver?query=밀레니엄 여자를 증오한 남자들 영화", "밀레니엄 여자를 증오한 남자들")</f>
        <v>밀레니엄 여자를 증오한 남자들</v>
      </c>
      <c r="C1229" s="12">
        <v>8.11</v>
      </c>
      <c r="D1229" s="13" t="s">
        <v>2618</v>
      </c>
      <c r="E1229" s="10" t="s">
        <v>24</v>
      </c>
      <c r="F1229" s="10">
        <v>2011</v>
      </c>
      <c r="G1229" s="10" t="s">
        <v>14</v>
      </c>
      <c r="H1229" s="11" t="s">
        <v>428</v>
      </c>
      <c r="I1229" s="10" t="s">
        <v>899</v>
      </c>
      <c r="J1229" s="131"/>
      <c r="K1229" s="149" t="s">
        <v>2619</v>
      </c>
    </row>
    <row r="1230" spans="1:11" ht="28.9" customHeight="1" thickTop="1" thickBot="1" x14ac:dyDescent="0.75">
      <c r="A1230" s="10">
        <v>1228</v>
      </c>
      <c r="B1230" s="57" t="str">
        <f>HYPERLINK("https://search.naver.com/search.naver?query=밀수 영화", "밀수")</f>
        <v>밀수</v>
      </c>
      <c r="C1230" s="8">
        <v>7.92</v>
      </c>
      <c r="D1230" s="9" t="s">
        <v>2620</v>
      </c>
      <c r="E1230" s="6" t="s">
        <v>13</v>
      </c>
      <c r="F1230" s="6">
        <v>2023</v>
      </c>
      <c r="G1230" s="6" t="s">
        <v>14</v>
      </c>
      <c r="H1230" s="7" t="s">
        <v>428</v>
      </c>
      <c r="I1230" s="6" t="s">
        <v>316</v>
      </c>
      <c r="J1230" s="130"/>
      <c r="K1230" s="148" t="s">
        <v>2621</v>
      </c>
    </row>
    <row r="1231" spans="1:11" ht="28.9" customHeight="1" thickTop="1" thickBot="1" x14ac:dyDescent="0.75">
      <c r="A1231" s="6">
        <v>1229</v>
      </c>
      <c r="B1231" s="58" t="str">
        <f>HYPERLINK("https://search.naver.com/search.naver?query=밀양 영화", "밀양")</f>
        <v>밀양</v>
      </c>
      <c r="C1231" s="12">
        <v>8.94</v>
      </c>
      <c r="D1231" s="13" t="s">
        <v>2622</v>
      </c>
      <c r="E1231" s="10" t="s">
        <v>13</v>
      </c>
      <c r="F1231" s="10">
        <v>2007</v>
      </c>
      <c r="G1231" s="10" t="s">
        <v>14</v>
      </c>
      <c r="H1231" s="11" t="s">
        <v>20</v>
      </c>
      <c r="I1231" s="10" t="s">
        <v>356</v>
      </c>
      <c r="J1231" s="131"/>
      <c r="K1231" s="149" t="s">
        <v>2623</v>
      </c>
    </row>
    <row r="1232" spans="1:11" ht="28.9" customHeight="1" thickTop="1" thickBot="1" x14ac:dyDescent="0.75">
      <c r="A1232" s="10">
        <v>1230</v>
      </c>
      <c r="B1232" s="57" t="str">
        <f>HYPERLINK("https://search.naver.com/search.naver?query=밀정 영화", "밀정")</f>
        <v>밀정</v>
      </c>
      <c r="C1232" s="8">
        <v>8.57</v>
      </c>
      <c r="D1232" s="9" t="s">
        <v>2624</v>
      </c>
      <c r="E1232" s="6" t="s">
        <v>13</v>
      </c>
      <c r="F1232" s="6">
        <v>2016</v>
      </c>
      <c r="G1232" s="6" t="s">
        <v>14</v>
      </c>
      <c r="H1232" s="7" t="s">
        <v>124</v>
      </c>
      <c r="I1232" s="6" t="s">
        <v>930</v>
      </c>
      <c r="J1232" s="130"/>
      <c r="K1232" s="148" t="s">
        <v>2625</v>
      </c>
    </row>
    <row r="1233" spans="1:11" ht="28.9" customHeight="1" thickTop="1" thickBot="1" x14ac:dyDescent="0.75">
      <c r="A1233" s="6">
        <v>1231</v>
      </c>
      <c r="B1233" s="58" t="str">
        <f>HYPERLINK("https://search.naver.com/search.naver?query=바느질 위의 인생", "바느질 위의 인생")</f>
        <v>바느질 위의 인생</v>
      </c>
      <c r="C1233" s="12">
        <v>7.76</v>
      </c>
      <c r="D1233" s="13" t="s">
        <v>2626</v>
      </c>
      <c r="E1233" s="10" t="s">
        <v>19</v>
      </c>
      <c r="F1233" s="10">
        <v>2016</v>
      </c>
      <c r="G1233" s="10" t="s">
        <v>14</v>
      </c>
      <c r="H1233" s="11" t="s">
        <v>20</v>
      </c>
      <c r="I1233" s="10" t="s">
        <v>242</v>
      </c>
      <c r="J1233" s="131"/>
      <c r="K1233" s="149" t="s">
        <v>2627</v>
      </c>
    </row>
    <row r="1234" spans="1:11" ht="28.9" customHeight="1" thickTop="1" thickBot="1" x14ac:dyDescent="0.75">
      <c r="A1234" s="10">
        <v>1232</v>
      </c>
      <c r="B1234" s="57" t="str">
        <f>HYPERLINK("https://search.naver.com/search.naver?query=바다 쪽으로, 한 뼘 더 영화", "바다 쪽으로, 한 뼘 더")</f>
        <v>바다 쪽으로, 한 뼘 더</v>
      </c>
      <c r="C1234" s="8">
        <v>8.14</v>
      </c>
      <c r="D1234" s="9" t="s">
        <v>2628</v>
      </c>
      <c r="E1234" s="6" t="s">
        <v>13</v>
      </c>
      <c r="F1234" s="6">
        <v>2009</v>
      </c>
      <c r="G1234" s="6" t="s">
        <v>14</v>
      </c>
      <c r="H1234" s="7" t="s">
        <v>20</v>
      </c>
      <c r="I1234" s="6" t="s">
        <v>156</v>
      </c>
      <c r="J1234" s="130"/>
      <c r="K1234" s="148" t="s">
        <v>2629</v>
      </c>
    </row>
    <row r="1235" spans="1:11" ht="28.9" customHeight="1" thickTop="1" thickBot="1" x14ac:dyDescent="0.75">
      <c r="A1235" s="6">
        <v>1233</v>
      </c>
      <c r="B1235" s="58" t="str">
        <f>HYPERLINK("https://search.naver.com/search.naver?query=바닷마을 다이어리 영화", "바닷마을 다이어리")</f>
        <v>바닷마을 다이어리</v>
      </c>
      <c r="C1235" s="12">
        <v>8.81</v>
      </c>
      <c r="D1235" s="13" t="s">
        <v>2630</v>
      </c>
      <c r="E1235" s="10" t="s">
        <v>19</v>
      </c>
      <c r="F1235" s="10">
        <v>2015</v>
      </c>
      <c r="G1235" s="10" t="s">
        <v>14</v>
      </c>
      <c r="H1235" s="11" t="s">
        <v>20</v>
      </c>
      <c r="I1235" s="10" t="s">
        <v>210</v>
      </c>
      <c r="J1235" s="131"/>
      <c r="K1235" s="149" t="s">
        <v>2631</v>
      </c>
    </row>
    <row r="1236" spans="1:11" ht="28.9" customHeight="1" thickTop="1" thickBot="1" x14ac:dyDescent="0.75">
      <c r="A1236" s="10">
        <v>1234</v>
      </c>
      <c r="B1236" s="59" t="str">
        <f>HYPERLINK("https://search.naver.com/search.naver?query=바디 오브 프루프 시즌1", "바디 오브 프루프 시즌1")</f>
        <v>바디 오브 프루프 시즌1</v>
      </c>
      <c r="C1236" s="16"/>
      <c r="D1236" s="17" t="s">
        <v>2632</v>
      </c>
      <c r="E1236" s="14" t="s">
        <v>24</v>
      </c>
      <c r="F1236" s="14">
        <v>2011</v>
      </c>
      <c r="G1236" s="14" t="s">
        <v>20</v>
      </c>
      <c r="H1236" s="15" t="s">
        <v>20</v>
      </c>
      <c r="I1236" s="14" t="s">
        <v>364</v>
      </c>
      <c r="J1236" s="132"/>
      <c r="K1236" s="150" t="s">
        <v>2633</v>
      </c>
    </row>
    <row r="1237" spans="1:11" ht="28.9" customHeight="1" thickTop="1" thickBot="1" x14ac:dyDescent="0.75">
      <c r="A1237" s="6">
        <v>1235</v>
      </c>
      <c r="B1237" s="59" t="str">
        <f>HYPERLINK("https://search.naver.com/search.naver?query=바디 오브 프루프 시즌2", "바디 오브 프루프 시즌2")</f>
        <v>바디 오브 프루프 시즌2</v>
      </c>
      <c r="C1237" s="16"/>
      <c r="D1237" s="17" t="s">
        <v>2632</v>
      </c>
      <c r="E1237" s="14" t="s">
        <v>24</v>
      </c>
      <c r="F1237" s="14">
        <v>2012</v>
      </c>
      <c r="G1237" s="14" t="s">
        <v>20</v>
      </c>
      <c r="H1237" s="15" t="s">
        <v>20</v>
      </c>
      <c r="I1237" s="14" t="s">
        <v>1322</v>
      </c>
      <c r="J1237" s="132"/>
      <c r="K1237" s="150" t="s">
        <v>2634</v>
      </c>
    </row>
    <row r="1238" spans="1:11" ht="28.9" customHeight="1" thickTop="1" thickBot="1" x14ac:dyDescent="0.75">
      <c r="A1238" s="10">
        <v>1236</v>
      </c>
      <c r="B1238" s="59" t="str">
        <f>HYPERLINK("https://search.naver.com/search.naver?query=바디 오브 프루프 시즌3", "바디 오브 프루프 시즌3")</f>
        <v>바디 오브 프루프 시즌3</v>
      </c>
      <c r="C1238" s="16"/>
      <c r="D1238" s="17" t="s">
        <v>2632</v>
      </c>
      <c r="E1238" s="14" t="s">
        <v>24</v>
      </c>
      <c r="F1238" s="14">
        <v>2013</v>
      </c>
      <c r="G1238" s="14" t="s">
        <v>20</v>
      </c>
      <c r="H1238" s="15" t="s">
        <v>20</v>
      </c>
      <c r="I1238" s="14" t="s">
        <v>1108</v>
      </c>
      <c r="J1238" s="132"/>
      <c r="K1238" s="150" t="s">
        <v>2635</v>
      </c>
    </row>
    <row r="1239" spans="1:11" ht="28.9" customHeight="1" thickTop="1" thickBot="1" x14ac:dyDescent="0.75">
      <c r="A1239" s="6">
        <v>1237</v>
      </c>
      <c r="B1239" s="58" t="str">
        <f>HYPERLINK("https://search.naver.com/search.naver?query=바람 영화", "바람")</f>
        <v>바람</v>
      </c>
      <c r="C1239" s="12">
        <v>9.2899999999999991</v>
      </c>
      <c r="D1239" s="13" t="s">
        <v>2636</v>
      </c>
      <c r="E1239" s="10" t="s">
        <v>13</v>
      </c>
      <c r="F1239" s="10">
        <v>2009</v>
      </c>
      <c r="G1239" s="10" t="s">
        <v>14</v>
      </c>
      <c r="H1239" s="11" t="s">
        <v>20</v>
      </c>
      <c r="I1239" s="10" t="s">
        <v>101</v>
      </c>
      <c r="J1239" s="131"/>
      <c r="K1239" s="149" t="s">
        <v>2637</v>
      </c>
    </row>
    <row r="1240" spans="1:11" ht="28.9" customHeight="1" thickTop="1" thickBot="1" x14ac:dyDescent="0.75">
      <c r="A1240" s="10">
        <v>1238</v>
      </c>
      <c r="B1240" s="57" t="str">
        <f>HYPERLINK("https://search.naver.com/search.naver?query=바람 바람 바람 영화", "바람 바람 바람")</f>
        <v>바람 바람 바람</v>
      </c>
      <c r="C1240" s="8">
        <v>6.65</v>
      </c>
      <c r="D1240" s="9" t="s">
        <v>2638</v>
      </c>
      <c r="E1240" s="6" t="s">
        <v>13</v>
      </c>
      <c r="F1240" s="6">
        <v>2017</v>
      </c>
      <c r="G1240" s="6" t="s">
        <v>14</v>
      </c>
      <c r="H1240" s="7" t="s">
        <v>91</v>
      </c>
      <c r="I1240" s="6" t="s">
        <v>179</v>
      </c>
      <c r="J1240" s="130"/>
      <c r="K1240" s="148" t="s">
        <v>2639</v>
      </c>
    </row>
    <row r="1241" spans="1:11" ht="28.9" customHeight="1" thickTop="1" thickBot="1" x14ac:dyDescent="0.75">
      <c r="A1241" s="6">
        <v>1239</v>
      </c>
      <c r="B1241" s="58" t="str">
        <f>HYPERLINK("https://search.naver.com/search.naver?query=바람과 함께 사라지다 영화", "바람과 함께 사라지다")</f>
        <v>바람과 함께 사라지다</v>
      </c>
      <c r="C1241" s="12">
        <v>6.4</v>
      </c>
      <c r="D1241" s="13" t="s">
        <v>2640</v>
      </c>
      <c r="E1241" s="10" t="s">
        <v>24</v>
      </c>
      <c r="F1241" s="10">
        <v>1939</v>
      </c>
      <c r="G1241" s="10" t="s">
        <v>14</v>
      </c>
      <c r="H1241" s="11" t="s">
        <v>20</v>
      </c>
      <c r="I1241" s="10" t="s">
        <v>2641</v>
      </c>
      <c r="J1241" s="131"/>
      <c r="K1241" s="149" t="s">
        <v>2642</v>
      </c>
    </row>
    <row r="1242" spans="1:11" ht="28.9" customHeight="1" thickTop="1" thickBot="1" x14ac:dyDescent="0.75">
      <c r="A1242" s="10">
        <v>1240</v>
      </c>
      <c r="B1242" s="57" t="str">
        <f>HYPERLINK("https://search.naver.com/search.naver?query=더 보이 후 하네스드 더 윈드", "바람을 길들인 풍차소년")</f>
        <v>바람을 길들인 풍차소년</v>
      </c>
      <c r="C1242" s="8"/>
      <c r="D1242" s="9" t="s">
        <v>2643</v>
      </c>
      <c r="E1242" s="6" t="s">
        <v>29</v>
      </c>
      <c r="F1242" s="6">
        <v>2019</v>
      </c>
      <c r="G1242" s="6" t="s">
        <v>14</v>
      </c>
      <c r="H1242" s="7" t="s">
        <v>20</v>
      </c>
      <c r="I1242" s="6" t="s">
        <v>98</v>
      </c>
      <c r="J1242" s="130"/>
      <c r="K1242" s="148" t="s">
        <v>2644</v>
      </c>
    </row>
    <row r="1243" spans="1:11" ht="28.9" customHeight="1" thickTop="1" thickBot="1" x14ac:dyDescent="0.75">
      <c r="A1243" s="6">
        <v>1241</v>
      </c>
      <c r="B1243" s="58" t="str">
        <f>HYPERLINK("https://search.naver.com/search.naver?query=바람의 검심 영화", "바람의 검심")</f>
        <v>바람의 검심</v>
      </c>
      <c r="C1243" s="12">
        <v>9.0500000000000007</v>
      </c>
      <c r="D1243" s="13" t="s">
        <v>2645</v>
      </c>
      <c r="E1243" s="10" t="s">
        <v>19</v>
      </c>
      <c r="F1243" s="10">
        <v>2012</v>
      </c>
      <c r="G1243" s="10" t="s">
        <v>14</v>
      </c>
      <c r="H1243" s="11" t="s">
        <v>124</v>
      </c>
      <c r="I1243" s="10" t="s">
        <v>917</v>
      </c>
      <c r="J1243" s="131"/>
      <c r="K1243" s="149" t="s">
        <v>2646</v>
      </c>
    </row>
    <row r="1244" spans="1:11" ht="28.9" customHeight="1" thickTop="1" thickBot="1" x14ac:dyDescent="0.75">
      <c r="A1244" s="10">
        <v>1242</v>
      </c>
      <c r="B1244" s="57" t="str">
        <f>HYPERLINK("https://search.naver.com/search.naver?query=바람의 검심 최종장 더 파이널 영화", "바람의 검심 최종장 더 파이널")</f>
        <v>바람의 검심 최종장 더 파이널</v>
      </c>
      <c r="C1244" s="8">
        <v>8.3699999999999992</v>
      </c>
      <c r="D1244" s="9" t="s">
        <v>2647</v>
      </c>
      <c r="E1244" s="6" t="s">
        <v>19</v>
      </c>
      <c r="F1244" s="6">
        <v>2021</v>
      </c>
      <c r="G1244" s="6" t="s">
        <v>14</v>
      </c>
      <c r="H1244" s="7" t="s">
        <v>124</v>
      </c>
      <c r="I1244" s="6" t="s">
        <v>1058</v>
      </c>
      <c r="J1244" s="130"/>
      <c r="K1244" s="148" t="s">
        <v>2648</v>
      </c>
    </row>
    <row r="1245" spans="1:11" ht="28.9" customHeight="1" thickTop="1" thickBot="1" x14ac:dyDescent="0.75">
      <c r="A1245" s="6">
        <v>1243</v>
      </c>
      <c r="B1245" s="58" t="str">
        <f>HYPERLINK("https://search.naver.com/search.naver?query=바람의 검심-교토 대화재편 영화", "바람의 검심-교토 대화재편")</f>
        <v>바람의 검심-교토 대화재편</v>
      </c>
      <c r="C1245" s="12"/>
      <c r="D1245" s="13" t="s">
        <v>2649</v>
      </c>
      <c r="E1245" s="10" t="s">
        <v>19</v>
      </c>
      <c r="F1245" s="10">
        <v>2014</v>
      </c>
      <c r="G1245" s="10" t="s">
        <v>14</v>
      </c>
      <c r="H1245" s="11" t="s">
        <v>124</v>
      </c>
      <c r="I1245" s="10" t="s">
        <v>476</v>
      </c>
      <c r="J1245" s="131"/>
      <c r="K1245" s="149" t="s">
        <v>2650</v>
      </c>
    </row>
    <row r="1246" spans="1:11" ht="28.9" customHeight="1" thickTop="1" thickBot="1" x14ac:dyDescent="0.75">
      <c r="A1246" s="10">
        <v>1244</v>
      </c>
      <c r="B1246" s="57" t="str">
        <f>HYPERLINK("https://search.naver.com/search.naver?query=바람의 검심-전설의 최후편 영화", "바람의 검심-전설의 최후편")</f>
        <v>바람의 검심-전설의 최후편</v>
      </c>
      <c r="C1246" s="8"/>
      <c r="D1246" s="9" t="s">
        <v>2649</v>
      </c>
      <c r="E1246" s="6" t="s">
        <v>19</v>
      </c>
      <c r="F1246" s="6">
        <v>2014</v>
      </c>
      <c r="G1246" s="6" t="s">
        <v>14</v>
      </c>
      <c r="H1246" s="7" t="s">
        <v>124</v>
      </c>
      <c r="I1246" s="6" t="s">
        <v>51</v>
      </c>
      <c r="J1246" s="130"/>
      <c r="K1246" s="148" t="s">
        <v>2650</v>
      </c>
    </row>
    <row r="1247" spans="1:11" ht="28.9" customHeight="1" thickTop="1" thickBot="1" x14ac:dyDescent="0.75">
      <c r="A1247" s="6">
        <v>1245</v>
      </c>
      <c r="B1247" s="58" t="str">
        <f>HYPERLINK("https://search.naver.com/search.naver?query=바람의 소리 영화", "바람의 소리")</f>
        <v>바람의 소리</v>
      </c>
      <c r="C1247" s="12">
        <v>8.83</v>
      </c>
      <c r="D1247" s="13" t="s">
        <v>2651</v>
      </c>
      <c r="E1247" s="10" t="s">
        <v>186</v>
      </c>
      <c r="F1247" s="10">
        <v>2009</v>
      </c>
      <c r="G1247" s="10" t="s">
        <v>14</v>
      </c>
      <c r="H1247" s="11" t="s">
        <v>428</v>
      </c>
      <c r="I1247" s="10" t="s">
        <v>429</v>
      </c>
      <c r="J1247" s="131"/>
      <c r="K1247" s="149" t="s">
        <v>2652</v>
      </c>
    </row>
    <row r="1248" spans="1:11" ht="28.9" customHeight="1" thickTop="1" thickBot="1" x14ac:dyDescent="0.75">
      <c r="A1248" s="10">
        <v>1246</v>
      </c>
      <c r="B1248" s="57" t="str">
        <f>HYPERLINK("https://search.naver.com/search.naver?query=바르다가 사랑한 얼굴들 영화", "바르다가 사랑한 얼굴들")</f>
        <v>바르다가 사랑한 얼굴들</v>
      </c>
      <c r="C1248" s="8">
        <v>8.92</v>
      </c>
      <c r="D1248" s="9" t="s">
        <v>2653</v>
      </c>
      <c r="E1248" s="6" t="s">
        <v>310</v>
      </c>
      <c r="F1248" s="6">
        <v>2017</v>
      </c>
      <c r="G1248" s="6" t="s">
        <v>14</v>
      </c>
      <c r="H1248" s="7" t="s">
        <v>226</v>
      </c>
      <c r="I1248" s="6" t="s">
        <v>162</v>
      </c>
      <c r="J1248" s="130"/>
      <c r="K1248" s="148" t="s">
        <v>2654</v>
      </c>
    </row>
    <row r="1249" spans="1:11" ht="28.9" customHeight="1" thickTop="1" thickBot="1" x14ac:dyDescent="0.75">
      <c r="A1249" s="6">
        <v>1247</v>
      </c>
      <c r="B1249" s="58" t="str">
        <f>HYPERLINK("https://search.naver.com/search.naver?query=바르샤바 영화", "바르샤바")</f>
        <v>바르샤바</v>
      </c>
      <c r="C1249" s="12">
        <v>10</v>
      </c>
      <c r="D1249" s="13" t="s">
        <v>2655</v>
      </c>
      <c r="E1249" s="10" t="s">
        <v>2207</v>
      </c>
      <c r="F1249" s="10">
        <v>2014</v>
      </c>
      <c r="G1249" s="10" t="s">
        <v>14</v>
      </c>
      <c r="H1249" s="11" t="s">
        <v>1247</v>
      </c>
      <c r="I1249" s="10" t="s">
        <v>42</v>
      </c>
      <c r="J1249" s="131"/>
      <c r="K1249" s="149" t="s">
        <v>2656</v>
      </c>
    </row>
    <row r="1250" spans="1:11" ht="28.9" customHeight="1" thickTop="1" thickBot="1" x14ac:dyDescent="0.75">
      <c r="A1250" s="10">
        <v>1248</v>
      </c>
      <c r="B1250" s="57" t="str">
        <f>HYPERLINK("https://search.naver.com/search.naver?query=바벨 영화", "바벨")</f>
        <v>바벨</v>
      </c>
      <c r="C1250" s="8">
        <v>6.8</v>
      </c>
      <c r="D1250" s="9" t="s">
        <v>2657</v>
      </c>
      <c r="E1250" s="6" t="s">
        <v>24</v>
      </c>
      <c r="F1250" s="6">
        <v>2006</v>
      </c>
      <c r="G1250" s="6" t="s">
        <v>14</v>
      </c>
      <c r="H1250" s="7" t="s">
        <v>20</v>
      </c>
      <c r="I1250" s="6" t="s">
        <v>30</v>
      </c>
      <c r="J1250" s="130"/>
      <c r="K1250" s="148" t="s">
        <v>2658</v>
      </c>
    </row>
    <row r="1251" spans="1:11" ht="28.9" customHeight="1" thickTop="1" thickBot="1" x14ac:dyDescent="0.75">
      <c r="A1251" s="6">
        <v>1249</v>
      </c>
      <c r="B1251" s="58" t="str">
        <f>HYPERLINK("https://search.naver.com/search.naver?query=바보 영화", "바보")</f>
        <v>바보</v>
      </c>
      <c r="C1251" s="12">
        <v>8.06</v>
      </c>
      <c r="D1251" s="13" t="s">
        <v>2659</v>
      </c>
      <c r="E1251" s="10" t="s">
        <v>13</v>
      </c>
      <c r="F1251" s="10">
        <v>2008</v>
      </c>
      <c r="G1251" s="10" t="s">
        <v>14</v>
      </c>
      <c r="H1251" s="11" t="s">
        <v>20</v>
      </c>
      <c r="I1251" s="10" t="s">
        <v>150</v>
      </c>
      <c r="J1251" s="131"/>
      <c r="K1251" s="149" t="s">
        <v>2660</v>
      </c>
    </row>
    <row r="1252" spans="1:11" ht="28.9" customHeight="1" thickTop="1" thickBot="1" x14ac:dyDescent="0.75">
      <c r="A1252" s="10">
        <v>1250</v>
      </c>
      <c r="B1252" s="57" t="str">
        <f>HYPERLINK("https://search.naver.com/search.naver?query=바보 일본영화", "바보")</f>
        <v>바보</v>
      </c>
      <c r="C1252" s="8">
        <v>3.32</v>
      </c>
      <c r="D1252" s="9" t="s">
        <v>2661</v>
      </c>
      <c r="E1252" s="6" t="s">
        <v>19</v>
      </c>
      <c r="F1252" s="6">
        <v>2010</v>
      </c>
      <c r="G1252" s="6" t="s">
        <v>14</v>
      </c>
      <c r="H1252" s="7" t="s">
        <v>20</v>
      </c>
      <c r="I1252" s="6" t="s">
        <v>116</v>
      </c>
      <c r="J1252" s="130"/>
      <c r="K1252" s="148" t="s">
        <v>2662</v>
      </c>
    </row>
    <row r="1253" spans="1:11" ht="28.9" customHeight="1" thickTop="1" thickBot="1" x14ac:dyDescent="0.75">
      <c r="A1253" s="6">
        <v>1251</v>
      </c>
      <c r="B1253" s="58" t="str">
        <f>HYPERLINK("https://search.naver.com/search.naver?query=바비 영화", "바비")</f>
        <v>바비</v>
      </c>
      <c r="C1253" s="12">
        <v>8.2899999999999991</v>
      </c>
      <c r="D1253" s="13" t="s">
        <v>2663</v>
      </c>
      <c r="E1253" s="10" t="s">
        <v>24</v>
      </c>
      <c r="F1253" s="10">
        <v>2006</v>
      </c>
      <c r="G1253" s="10" t="s">
        <v>14</v>
      </c>
      <c r="H1253" s="11" t="s">
        <v>20</v>
      </c>
      <c r="I1253" s="10" t="s">
        <v>116</v>
      </c>
      <c r="J1253" s="131"/>
      <c r="K1253" s="149" t="s">
        <v>2664</v>
      </c>
    </row>
    <row r="1254" spans="1:11" ht="28.9" customHeight="1" thickTop="1" thickBot="1" x14ac:dyDescent="0.75">
      <c r="A1254" s="10">
        <v>1252</v>
      </c>
      <c r="B1254" s="57" t="str">
        <f>HYPERLINK("https://search.naver.com/search.naver?query=바비를 위한 기도 영화", "바비를 위한 기도")</f>
        <v>바비를 위한 기도</v>
      </c>
      <c r="C1254" s="8"/>
      <c r="D1254" s="9" t="s">
        <v>2665</v>
      </c>
      <c r="E1254" s="6" t="s">
        <v>24</v>
      </c>
      <c r="F1254" s="6">
        <v>2009</v>
      </c>
      <c r="G1254" s="6" t="s">
        <v>14</v>
      </c>
      <c r="H1254" s="7" t="s">
        <v>20</v>
      </c>
      <c r="I1254" s="6" t="s">
        <v>162</v>
      </c>
      <c r="J1254" s="130"/>
      <c r="K1254" s="148" t="s">
        <v>2666</v>
      </c>
    </row>
    <row r="1255" spans="1:11" ht="28.9" customHeight="1" thickTop="1" thickBot="1" x14ac:dyDescent="0.75">
      <c r="A1255" s="6">
        <v>1253</v>
      </c>
      <c r="B1255" s="58" t="str">
        <f>HYPERLINK("https://search.naver.com/search.naver?query=바스티유 데이 영화", "바스티유 데이")</f>
        <v>바스티유 데이</v>
      </c>
      <c r="C1255" s="12">
        <v>8.4</v>
      </c>
      <c r="D1255" s="13" t="s">
        <v>2667</v>
      </c>
      <c r="E1255" s="10" t="s">
        <v>310</v>
      </c>
      <c r="F1255" s="10">
        <v>2016</v>
      </c>
      <c r="G1255" s="10" t="s">
        <v>14</v>
      </c>
      <c r="H1255" s="11" t="s">
        <v>124</v>
      </c>
      <c r="I1255" s="10" t="s">
        <v>205</v>
      </c>
      <c r="J1255" s="131"/>
      <c r="K1255" s="149" t="s">
        <v>2668</v>
      </c>
    </row>
    <row r="1256" spans="1:11" ht="28.9" customHeight="1" thickTop="1" thickBot="1" x14ac:dyDescent="0.75">
      <c r="A1256" s="10">
        <v>1254</v>
      </c>
      <c r="B1256" s="57" t="str">
        <f>HYPERLINK("https://search.naver.com/search.naver?query=바운더리스 영화", "바운더리스")</f>
        <v>바운더리스</v>
      </c>
      <c r="C1256" s="8">
        <v>6.4</v>
      </c>
      <c r="D1256" s="9" t="s">
        <v>2669</v>
      </c>
      <c r="E1256" s="6" t="s">
        <v>24</v>
      </c>
      <c r="F1256" s="6">
        <v>2018</v>
      </c>
      <c r="G1256" s="6" t="s">
        <v>14</v>
      </c>
      <c r="H1256" s="7" t="s">
        <v>91</v>
      </c>
      <c r="I1256" s="6" t="s">
        <v>242</v>
      </c>
      <c r="J1256" s="130"/>
      <c r="K1256" s="148" t="s">
        <v>2670</v>
      </c>
    </row>
    <row r="1257" spans="1:11" ht="28.9" customHeight="1" thickTop="1" thickBot="1" x14ac:dyDescent="0.75">
      <c r="A1257" s="6">
        <v>1255</v>
      </c>
      <c r="B1257" s="58" t="str">
        <f>HYPERLINK("https://search.naver.com/search.naver?query=바이 더 씨 영화", "바이 더 씨")</f>
        <v>바이 더 씨</v>
      </c>
      <c r="C1257" s="12">
        <v>7.75</v>
      </c>
      <c r="D1257" s="13" t="s">
        <v>2671</v>
      </c>
      <c r="E1257" s="10" t="s">
        <v>24</v>
      </c>
      <c r="F1257" s="10">
        <v>2015</v>
      </c>
      <c r="G1257" s="10" t="s">
        <v>14</v>
      </c>
      <c r="H1257" s="11" t="s">
        <v>20</v>
      </c>
      <c r="I1257" s="10" t="s">
        <v>141</v>
      </c>
      <c r="J1257" s="131"/>
      <c r="K1257" s="149" t="s">
        <v>2672</v>
      </c>
    </row>
    <row r="1258" spans="1:11" ht="28.9" customHeight="1" thickTop="1" thickBot="1" x14ac:dyDescent="0.75">
      <c r="A1258" s="10">
        <v>1256</v>
      </c>
      <c r="B1258" s="57" t="str">
        <f>HYPERLINK("https://search.naver.com/search.naver?query=바이스 영화", "바이스")</f>
        <v>바이스</v>
      </c>
      <c r="C1258" s="8">
        <v>8.75</v>
      </c>
      <c r="D1258" s="9" t="s">
        <v>2673</v>
      </c>
      <c r="E1258" s="6" t="s">
        <v>24</v>
      </c>
      <c r="F1258" s="6">
        <v>2018</v>
      </c>
      <c r="G1258" s="6" t="s">
        <v>14</v>
      </c>
      <c r="H1258" s="7" t="s">
        <v>20</v>
      </c>
      <c r="I1258" s="6" t="s">
        <v>558</v>
      </c>
      <c r="J1258" s="130"/>
      <c r="K1258" s="148" t="s">
        <v>2674</v>
      </c>
    </row>
    <row r="1259" spans="1:11" ht="28.9" customHeight="1" thickTop="1" thickBot="1" x14ac:dyDescent="0.75">
      <c r="A1259" s="6">
        <v>1257</v>
      </c>
      <c r="B1259" s="58" t="str">
        <f>HYPERLINK("https://search.naver.com/search.naver?query=바이올런트 러브 영화", "바이올런트 러브")</f>
        <v>바이올런트 러브</v>
      </c>
      <c r="C1259" s="12">
        <v>3.32</v>
      </c>
      <c r="D1259" s="13" t="s">
        <v>2675</v>
      </c>
      <c r="E1259" s="10" t="s">
        <v>24</v>
      </c>
      <c r="F1259" s="10">
        <v>2020</v>
      </c>
      <c r="G1259" s="10" t="s">
        <v>14</v>
      </c>
      <c r="H1259" s="11" t="s">
        <v>20</v>
      </c>
      <c r="I1259" s="10" t="s">
        <v>101</v>
      </c>
      <c r="J1259" s="131"/>
      <c r="K1259" s="149" t="s">
        <v>2676</v>
      </c>
    </row>
    <row r="1260" spans="1:11" ht="28.9" customHeight="1" thickTop="1" thickBot="1" x14ac:dyDescent="0.75">
      <c r="A1260" s="10">
        <v>1258</v>
      </c>
      <c r="B1260" s="59" t="str">
        <f>HYPERLINK("https://search.naver.com/search.naver?query=바이킹스 시즌1", "바이킹스 시즌1")</f>
        <v>바이킹스 시즌1</v>
      </c>
      <c r="C1260" s="16"/>
      <c r="D1260" s="17" t="s">
        <v>2677</v>
      </c>
      <c r="E1260" s="14" t="s">
        <v>24</v>
      </c>
      <c r="F1260" s="14">
        <v>2013</v>
      </c>
      <c r="G1260" s="14" t="s">
        <v>20</v>
      </c>
      <c r="H1260" s="15" t="s">
        <v>229</v>
      </c>
      <c r="I1260" s="14" t="s">
        <v>364</v>
      </c>
      <c r="J1260" s="132"/>
      <c r="K1260" s="150" t="s">
        <v>2678</v>
      </c>
    </row>
    <row r="1261" spans="1:11" ht="28.9" customHeight="1" thickTop="1" thickBot="1" x14ac:dyDescent="0.75">
      <c r="A1261" s="6">
        <v>1259</v>
      </c>
      <c r="B1261" s="59" t="str">
        <f>HYPERLINK("https://search.naver.com/search.naver?query=바이킹스 시즌2", "바이킹스 시즌2")</f>
        <v>바이킹스 시즌2</v>
      </c>
      <c r="C1261" s="16"/>
      <c r="D1261" s="17"/>
      <c r="E1261" s="14" t="s">
        <v>24</v>
      </c>
      <c r="F1261" s="14">
        <v>2014</v>
      </c>
      <c r="G1261" s="14" t="s">
        <v>20</v>
      </c>
      <c r="H1261" s="15" t="s">
        <v>229</v>
      </c>
      <c r="I1261" s="14" t="s">
        <v>64</v>
      </c>
      <c r="J1261" s="132"/>
      <c r="K1261" s="150" t="s">
        <v>2679</v>
      </c>
    </row>
    <row r="1262" spans="1:11" ht="28.9" customHeight="1" thickTop="1" thickBot="1" x14ac:dyDescent="0.75">
      <c r="A1262" s="10">
        <v>1260</v>
      </c>
      <c r="B1262" s="59" t="str">
        <f>HYPERLINK("https://search.naver.com/search.naver?query=바이킹스 시즌3", "바이킹스 시즌3")</f>
        <v>바이킹스 시즌3</v>
      </c>
      <c r="C1262" s="16"/>
      <c r="D1262" s="17" t="s">
        <v>2680</v>
      </c>
      <c r="E1262" s="14" t="s">
        <v>24</v>
      </c>
      <c r="F1262" s="14">
        <v>2015</v>
      </c>
      <c r="G1262" s="14" t="s">
        <v>20</v>
      </c>
      <c r="H1262" s="15" t="s">
        <v>229</v>
      </c>
      <c r="I1262" s="14" t="s">
        <v>64</v>
      </c>
      <c r="J1262" s="132"/>
      <c r="K1262" s="150" t="s">
        <v>2681</v>
      </c>
    </row>
    <row r="1263" spans="1:11" ht="28.9" customHeight="1" thickTop="1" thickBot="1" x14ac:dyDescent="0.75">
      <c r="A1263" s="6">
        <v>1261</v>
      </c>
      <c r="B1263" s="59" t="str">
        <f>HYPERLINK("https://search.naver.com/search.naver?query=바이킹스 시즌4", "바이킹스 시즌4")</f>
        <v>바이킹스 시즌4</v>
      </c>
      <c r="C1263" s="16"/>
      <c r="D1263" s="17" t="s">
        <v>2682</v>
      </c>
      <c r="E1263" s="14" t="s">
        <v>24</v>
      </c>
      <c r="F1263" s="14">
        <v>2016</v>
      </c>
      <c r="G1263" s="14" t="s">
        <v>20</v>
      </c>
      <c r="H1263" s="15" t="s">
        <v>229</v>
      </c>
      <c r="I1263" s="14" t="s">
        <v>1322</v>
      </c>
      <c r="J1263" s="132"/>
      <c r="K1263" s="150" t="s">
        <v>2683</v>
      </c>
    </row>
    <row r="1264" spans="1:11" ht="28.9" customHeight="1" thickTop="1" thickBot="1" x14ac:dyDescent="0.75">
      <c r="A1264" s="10">
        <v>1262</v>
      </c>
      <c r="B1264" s="59" t="str">
        <f>HYPERLINK("https://search.naver.com/search.naver?query=바이킹스 시즌5", "바이킹스 시즌5")</f>
        <v>바이킹스 시즌5</v>
      </c>
      <c r="C1264" s="16"/>
      <c r="D1264" s="17"/>
      <c r="E1264" s="14" t="s">
        <v>24</v>
      </c>
      <c r="F1264" s="14">
        <v>2019</v>
      </c>
      <c r="G1264" s="14" t="s">
        <v>20</v>
      </c>
      <c r="H1264" s="15" t="s">
        <v>229</v>
      </c>
      <c r="I1264" s="14" t="s">
        <v>1322</v>
      </c>
      <c r="J1264" s="132"/>
      <c r="K1264" s="150" t="s">
        <v>2684</v>
      </c>
    </row>
    <row r="1265" spans="1:11" ht="28.9" customHeight="1" thickTop="1" thickBot="1" x14ac:dyDescent="0.75">
      <c r="A1265" s="6">
        <v>1263</v>
      </c>
      <c r="B1265" s="59" t="str">
        <f>HYPERLINK("https://search.naver.com/search.naver?query=바이킹스 시즌6", "바이킹스 시즌6")</f>
        <v>바이킹스 시즌6</v>
      </c>
      <c r="C1265" s="16"/>
      <c r="D1265" s="17" t="s">
        <v>2685</v>
      </c>
      <c r="E1265" s="14" t="s">
        <v>24</v>
      </c>
      <c r="F1265" s="14">
        <v>2020</v>
      </c>
      <c r="G1265" s="14" t="s">
        <v>20</v>
      </c>
      <c r="H1265" s="15" t="s">
        <v>229</v>
      </c>
      <c r="I1265" s="14" t="s">
        <v>1322</v>
      </c>
      <c r="J1265" s="132"/>
      <c r="K1265" s="150" t="s">
        <v>2686</v>
      </c>
    </row>
    <row r="1266" spans="1:11" ht="28.9" customHeight="1" thickTop="1" thickBot="1" x14ac:dyDescent="0.75">
      <c r="A1266" s="10">
        <v>1264</v>
      </c>
      <c r="B1266" s="57" t="str">
        <f>HYPERLINK("https://search.naver.com/search.naver?query=바쿠만 영화", "바쿠만")</f>
        <v>바쿠만</v>
      </c>
      <c r="C1266" s="8">
        <v>8.8000000000000007</v>
      </c>
      <c r="D1266" s="9" t="s">
        <v>2687</v>
      </c>
      <c r="E1266" s="6" t="s">
        <v>19</v>
      </c>
      <c r="F1266" s="6">
        <v>2015</v>
      </c>
      <c r="G1266" s="6" t="s">
        <v>14</v>
      </c>
      <c r="H1266" s="7" t="s">
        <v>20</v>
      </c>
      <c r="I1266" s="6" t="s">
        <v>68</v>
      </c>
      <c r="J1266" s="130"/>
      <c r="K1266" s="148" t="s">
        <v>2688</v>
      </c>
    </row>
    <row r="1267" spans="1:11" ht="28.9" customHeight="1" thickTop="1" thickBot="1" x14ac:dyDescent="0.75">
      <c r="A1267" s="6">
        <v>1265</v>
      </c>
      <c r="B1267" s="58" t="str">
        <f>HYPERLINK("https://search.naver.com/search.naver?query=박물관이 살아있다 - 비밀의 무덤 영화", "박물관이 살아있다 - 비밀의 무덤")</f>
        <v>박물관이 살아있다 - 비밀의 무덤</v>
      </c>
      <c r="C1267" s="12"/>
      <c r="D1267" s="13" t="s">
        <v>2689</v>
      </c>
      <c r="E1267" s="10" t="s">
        <v>24</v>
      </c>
      <c r="F1267" s="10">
        <v>2014</v>
      </c>
      <c r="G1267" s="10" t="s">
        <v>14</v>
      </c>
      <c r="H1267" s="11" t="s">
        <v>91</v>
      </c>
      <c r="I1267" s="10" t="s">
        <v>169</v>
      </c>
      <c r="J1267" s="131"/>
      <c r="K1267" s="149" t="s">
        <v>2690</v>
      </c>
    </row>
    <row r="1268" spans="1:11" ht="28.9" customHeight="1" thickTop="1" thickBot="1" x14ac:dyDescent="0.75">
      <c r="A1268" s="10">
        <v>1266</v>
      </c>
      <c r="B1268" s="57" t="str">
        <f>HYPERLINK("https://search.naver.com/search.naver?query=박사가 사랑한 수식 영화", "박사가 사랑한 수식")</f>
        <v>박사가 사랑한 수식</v>
      </c>
      <c r="C1268" s="8">
        <v>8.8000000000000007</v>
      </c>
      <c r="D1268" s="9" t="s">
        <v>2691</v>
      </c>
      <c r="E1268" s="6" t="s">
        <v>19</v>
      </c>
      <c r="F1268" s="6">
        <v>2005</v>
      </c>
      <c r="G1268" s="6" t="s">
        <v>14</v>
      </c>
      <c r="H1268" s="7" t="s">
        <v>20</v>
      </c>
      <c r="I1268" s="6" t="s">
        <v>120</v>
      </c>
      <c r="J1268" s="130"/>
      <c r="K1268" s="148" t="s">
        <v>2692</v>
      </c>
    </row>
    <row r="1269" spans="1:11" ht="28.9" customHeight="1" thickTop="1" thickBot="1" x14ac:dyDescent="0.75">
      <c r="A1269" s="6">
        <v>1267</v>
      </c>
      <c r="B1269" s="58" t="str">
        <f>HYPERLINK("https://search.naver.com/search.naver?query=박수건달 영화", "박수건달")</f>
        <v>박수건달</v>
      </c>
      <c r="C1269" s="12">
        <v>8.1300000000000008</v>
      </c>
      <c r="D1269" s="13" t="s">
        <v>2693</v>
      </c>
      <c r="E1269" s="10" t="s">
        <v>13</v>
      </c>
      <c r="F1269" s="10">
        <v>2012</v>
      </c>
      <c r="G1269" s="10" t="s">
        <v>14</v>
      </c>
      <c r="H1269" s="11" t="s">
        <v>91</v>
      </c>
      <c r="I1269" s="10" t="s">
        <v>210</v>
      </c>
      <c r="J1269" s="131"/>
      <c r="K1269" s="149" t="s">
        <v>2694</v>
      </c>
    </row>
    <row r="1270" spans="1:11" ht="28.9" customHeight="1" thickTop="1" thickBot="1" x14ac:dyDescent="0.75">
      <c r="A1270" s="10">
        <v>1268</v>
      </c>
      <c r="B1270" s="57" t="str">
        <f>HYPERLINK("https://search.naver.com/search.naver?query=반도 영화", "반도")</f>
        <v>반도</v>
      </c>
      <c r="C1270" s="8">
        <v>7.17</v>
      </c>
      <c r="D1270" s="9" t="s">
        <v>2695</v>
      </c>
      <c r="E1270" s="6" t="s">
        <v>13</v>
      </c>
      <c r="F1270" s="6">
        <v>2020</v>
      </c>
      <c r="G1270" s="6" t="s">
        <v>14</v>
      </c>
      <c r="H1270" s="7" t="s">
        <v>124</v>
      </c>
      <c r="I1270" s="6" t="s">
        <v>591</v>
      </c>
      <c r="J1270" s="130"/>
      <c r="K1270" s="148" t="s">
        <v>2696</v>
      </c>
    </row>
    <row r="1271" spans="1:11" ht="28.9" customHeight="1" thickTop="1" thickBot="1" x14ac:dyDescent="0.75">
      <c r="A1271" s="6">
        <v>1269</v>
      </c>
      <c r="B1271" s="58" t="str">
        <f>HYPERLINK("https://search.naver.com/search.naver?query=반드시 잡는다 영화", "반드시 잡는다")</f>
        <v>반드시 잡는다</v>
      </c>
      <c r="C1271" s="12">
        <v>8.1199999999999992</v>
      </c>
      <c r="D1271" s="13" t="s">
        <v>2697</v>
      </c>
      <c r="E1271" s="10" t="s">
        <v>13</v>
      </c>
      <c r="F1271" s="10">
        <v>2017</v>
      </c>
      <c r="G1271" s="10" t="s">
        <v>14</v>
      </c>
      <c r="H1271" s="11" t="s">
        <v>54</v>
      </c>
      <c r="I1271" s="10" t="s">
        <v>129</v>
      </c>
      <c r="J1271" s="131"/>
      <c r="K1271" s="149" t="s">
        <v>2698</v>
      </c>
    </row>
    <row r="1272" spans="1:11" ht="28.9" customHeight="1" thickTop="1" thickBot="1" x14ac:dyDescent="0.75">
      <c r="A1272" s="10">
        <v>1270</v>
      </c>
      <c r="B1272" s="57" t="str">
        <f>HYPERLINK("https://search.naver.com/search.naver?query=반지를 끼워주고 싶다 영화", "반지를 끼워주고 싶다")</f>
        <v>반지를 끼워주고 싶다</v>
      </c>
      <c r="C1272" s="8">
        <v>6.4</v>
      </c>
      <c r="D1272" s="9" t="s">
        <v>2699</v>
      </c>
      <c r="E1272" s="6" t="s">
        <v>19</v>
      </c>
      <c r="F1272" s="6">
        <v>2011</v>
      </c>
      <c r="G1272" s="6" t="s">
        <v>14</v>
      </c>
      <c r="H1272" s="7" t="s">
        <v>165</v>
      </c>
      <c r="I1272" s="6" t="s">
        <v>38</v>
      </c>
      <c r="J1272" s="130"/>
      <c r="K1272" s="148" t="s">
        <v>2700</v>
      </c>
    </row>
    <row r="1273" spans="1:11" ht="28.9" customHeight="1" thickTop="1" thickBot="1" x14ac:dyDescent="0.75">
      <c r="A1273" s="6">
        <v>1271</v>
      </c>
      <c r="B1273" s="58" t="str">
        <f>HYPERLINK("https://search.naver.com/search.naver?query=발레리나 영화", "발레리나")</f>
        <v>발레리나</v>
      </c>
      <c r="C1273" s="12">
        <v>8.09</v>
      </c>
      <c r="D1273" s="13" t="s">
        <v>2701</v>
      </c>
      <c r="E1273" s="10" t="s">
        <v>24</v>
      </c>
      <c r="F1273" s="10">
        <v>2025</v>
      </c>
      <c r="G1273" s="10" t="s">
        <v>14</v>
      </c>
      <c r="H1273" s="11" t="s">
        <v>124</v>
      </c>
      <c r="I1273" s="10" t="s">
        <v>316</v>
      </c>
      <c r="J1273" s="131"/>
      <c r="K1273" s="149" t="s">
        <v>2702</v>
      </c>
    </row>
    <row r="1274" spans="1:11" ht="28.9" customHeight="1" thickTop="1" thickBot="1" x14ac:dyDescent="0.75">
      <c r="A1274" s="10">
        <v>1272</v>
      </c>
      <c r="B1274" s="57" t="str">
        <f>HYPERLINK("https://search.naver.com/search.naver?query=발레리안 - 천 개 행성의 도시 영화", "발레리안 - 천 개 행성의 도시")</f>
        <v>발레리안 - 천 개 행성의 도시</v>
      </c>
      <c r="C1274" s="8">
        <v>3.32</v>
      </c>
      <c r="D1274" s="9" t="s">
        <v>2703</v>
      </c>
      <c r="E1274" s="6" t="s">
        <v>310</v>
      </c>
      <c r="F1274" s="6">
        <v>2017</v>
      </c>
      <c r="G1274" s="6" t="s">
        <v>14</v>
      </c>
      <c r="H1274" s="7" t="s">
        <v>877</v>
      </c>
      <c r="I1274" s="6" t="s">
        <v>269</v>
      </c>
      <c r="J1274" s="130"/>
      <c r="K1274" s="148" t="s">
        <v>2704</v>
      </c>
    </row>
    <row r="1275" spans="1:11" ht="28.9" customHeight="1" thickTop="1" thickBot="1" x14ac:dyDescent="0.75">
      <c r="A1275" s="6">
        <v>1273</v>
      </c>
      <c r="B1275" s="58" t="str">
        <f>HYPERLINK("https://search.naver.com/search.naver?query=발렌타인 데이 영화", "발렌타인 데이")</f>
        <v>발렌타인 데이</v>
      </c>
      <c r="C1275" s="12">
        <v>8.02</v>
      </c>
      <c r="D1275" s="13" t="s">
        <v>2705</v>
      </c>
      <c r="E1275" s="10" t="s">
        <v>24</v>
      </c>
      <c r="F1275" s="10">
        <v>2010</v>
      </c>
      <c r="G1275" s="10" t="s">
        <v>14</v>
      </c>
      <c r="H1275" s="11" t="s">
        <v>91</v>
      </c>
      <c r="I1275" s="10" t="s">
        <v>316</v>
      </c>
      <c r="J1275" s="131"/>
      <c r="K1275" s="149" t="s">
        <v>2706</v>
      </c>
    </row>
    <row r="1276" spans="1:11" ht="28.9" customHeight="1" thickTop="1" thickBot="1" x14ac:dyDescent="0.75">
      <c r="A1276" s="10">
        <v>1274</v>
      </c>
      <c r="B1276" s="57" t="str">
        <f>HYPERLINK("https://search.naver.com/search.naver?query=발명의 아버지 영화", "발명의 아버지")</f>
        <v>발명의 아버지</v>
      </c>
      <c r="C1276" s="8">
        <v>6.4</v>
      </c>
      <c r="D1276" s="9" t="s">
        <v>2707</v>
      </c>
      <c r="E1276" s="6" t="s">
        <v>24</v>
      </c>
      <c r="F1276" s="6">
        <v>2010</v>
      </c>
      <c r="G1276" s="6" t="s">
        <v>14</v>
      </c>
      <c r="H1276" s="7" t="s">
        <v>20</v>
      </c>
      <c r="I1276" s="6" t="s">
        <v>150</v>
      </c>
      <c r="J1276" s="130"/>
      <c r="K1276" s="148" t="s">
        <v>2708</v>
      </c>
    </row>
    <row r="1277" spans="1:11" ht="28.9" customHeight="1" thickTop="1" thickBot="1" x14ac:dyDescent="0.75">
      <c r="A1277" s="6">
        <v>1275</v>
      </c>
      <c r="B1277" s="58" t="str">
        <f>HYPERLINK("https://search.naver.com/search.naver?query=발신제한 영화", "발신제한")</f>
        <v>발신제한</v>
      </c>
      <c r="C1277" s="12">
        <v>7.54</v>
      </c>
      <c r="D1277" s="13" t="s">
        <v>2709</v>
      </c>
      <c r="E1277" s="10" t="s">
        <v>13</v>
      </c>
      <c r="F1277" s="10">
        <v>2021</v>
      </c>
      <c r="G1277" s="10" t="s">
        <v>14</v>
      </c>
      <c r="H1277" s="11" t="s">
        <v>54</v>
      </c>
      <c r="I1277" s="10" t="s">
        <v>468</v>
      </c>
      <c r="J1277" s="131"/>
      <c r="K1277" s="149" t="s">
        <v>2710</v>
      </c>
    </row>
    <row r="1278" spans="1:11" ht="28.9" customHeight="1" thickTop="1" thickBot="1" x14ac:dyDescent="0.75">
      <c r="A1278" s="10">
        <v>1276</v>
      </c>
      <c r="B1278" s="57" t="str">
        <f>HYPERLINK("https://search.naver.com/search.naver?query=밤쉘-세상을 바꾼 폭탄선언 영화", "밤쉘-세상을 바꾼 폭탄선언")</f>
        <v>밤쉘-세상을 바꾼 폭탄선언</v>
      </c>
      <c r="C1278" s="8">
        <v>6.4</v>
      </c>
      <c r="D1278" s="9" t="s">
        <v>2711</v>
      </c>
      <c r="E1278" s="6" t="s">
        <v>24</v>
      </c>
      <c r="F1278" s="6">
        <v>2019</v>
      </c>
      <c r="G1278" s="6" t="s">
        <v>14</v>
      </c>
      <c r="H1278" s="7" t="s">
        <v>20</v>
      </c>
      <c r="I1278" s="6" t="s">
        <v>187</v>
      </c>
      <c r="J1278" s="130"/>
      <c r="K1278" s="148" t="s">
        <v>2712</v>
      </c>
    </row>
    <row r="1279" spans="1:11" ht="28.9" customHeight="1" thickTop="1" thickBot="1" x14ac:dyDescent="0.75">
      <c r="A1279" s="6">
        <v>1277</v>
      </c>
      <c r="B1279" s="58" t="str">
        <f>HYPERLINK("https://search.naver.com/search.naver?query=밤에 우리 영혼은 영화", "밤에 우리 영혼은")</f>
        <v>밤에 우리 영혼은</v>
      </c>
      <c r="C1279" s="12"/>
      <c r="D1279" s="13" t="s">
        <v>2713</v>
      </c>
      <c r="E1279" s="10" t="s">
        <v>24</v>
      </c>
      <c r="F1279" s="10">
        <v>2017</v>
      </c>
      <c r="G1279" s="10" t="s">
        <v>14</v>
      </c>
      <c r="H1279" s="11" t="s">
        <v>20</v>
      </c>
      <c r="I1279" s="10" t="s">
        <v>276</v>
      </c>
      <c r="J1279" s="131"/>
      <c r="K1279" s="149" t="s">
        <v>2714</v>
      </c>
    </row>
    <row r="1280" spans="1:11" ht="28.9" customHeight="1" thickTop="1" thickBot="1" x14ac:dyDescent="0.75">
      <c r="A1280" s="10">
        <v>1278</v>
      </c>
      <c r="B1280" s="57" t="str">
        <f>HYPERLINK("https://search.naver.com/search.naver?query=방가 방가! 영화", "방가 방가!")</f>
        <v>방가 방가!</v>
      </c>
      <c r="C1280" s="8">
        <v>7.92</v>
      </c>
      <c r="D1280" s="9" t="s">
        <v>2715</v>
      </c>
      <c r="E1280" s="6" t="s">
        <v>13</v>
      </c>
      <c r="F1280" s="6">
        <v>2010</v>
      </c>
      <c r="G1280" s="6" t="s">
        <v>14</v>
      </c>
      <c r="H1280" s="7" t="s">
        <v>91</v>
      </c>
      <c r="I1280" s="6" t="s">
        <v>129</v>
      </c>
      <c r="J1280" s="130"/>
      <c r="K1280" s="148" t="s">
        <v>2716</v>
      </c>
    </row>
    <row r="1281" spans="1:11" ht="28.9" customHeight="1" thickTop="1" thickBot="1" x14ac:dyDescent="0.75">
      <c r="A1281" s="6">
        <v>1279</v>
      </c>
      <c r="B1281" s="58" t="str">
        <f>HYPERLINK("https://search.naver.com/search.naver?query=방황하는 칼날 영화", "방황하는 칼날")</f>
        <v>방황하는 칼날</v>
      </c>
      <c r="C1281" s="12">
        <v>7.5</v>
      </c>
      <c r="D1281" s="13" t="s">
        <v>2717</v>
      </c>
      <c r="E1281" s="10" t="s">
        <v>13</v>
      </c>
      <c r="F1281" s="10">
        <v>2013</v>
      </c>
      <c r="G1281" s="10" t="s">
        <v>14</v>
      </c>
      <c r="H1281" s="11" t="s">
        <v>54</v>
      </c>
      <c r="I1281" s="10" t="s">
        <v>195</v>
      </c>
      <c r="J1281" s="131"/>
      <c r="K1281" s="149" t="s">
        <v>2718</v>
      </c>
    </row>
    <row r="1282" spans="1:11" ht="28.9" customHeight="1" thickTop="1" thickBot="1" x14ac:dyDescent="0.75">
      <c r="A1282" s="10">
        <v>1280</v>
      </c>
      <c r="B1282" s="57" t="str">
        <f>HYPERLINK("https://search.naver.com/search.naver?query=배드 맘스 영화", "배드 맘스")</f>
        <v>배드 맘스</v>
      </c>
      <c r="C1282" s="8"/>
      <c r="D1282" s="9" t="s">
        <v>2719</v>
      </c>
      <c r="E1282" s="6" t="s">
        <v>24</v>
      </c>
      <c r="F1282" s="6">
        <v>2016</v>
      </c>
      <c r="G1282" s="6" t="s">
        <v>14</v>
      </c>
      <c r="H1282" s="7" t="s">
        <v>91</v>
      </c>
      <c r="I1282" s="6" t="s">
        <v>179</v>
      </c>
      <c r="J1282" s="130"/>
      <c r="K1282" s="148" t="s">
        <v>2720</v>
      </c>
    </row>
    <row r="1283" spans="1:11" ht="28.9" customHeight="1" thickTop="1" thickBot="1" x14ac:dyDescent="0.75">
      <c r="A1283" s="6">
        <v>1281</v>
      </c>
      <c r="B1283" s="58" t="str">
        <f>HYPERLINK("https://search.naver.com/search.naver?query=배드 지니어스 영화", "배드 지니어스")</f>
        <v>배드 지니어스</v>
      </c>
      <c r="C1283" s="12">
        <v>8.75</v>
      </c>
      <c r="D1283" s="13" t="s">
        <v>2721</v>
      </c>
      <c r="E1283" s="10" t="s">
        <v>2722</v>
      </c>
      <c r="F1283" s="10">
        <v>2017</v>
      </c>
      <c r="G1283" s="10" t="s">
        <v>14</v>
      </c>
      <c r="H1283" s="11" t="s">
        <v>54</v>
      </c>
      <c r="I1283" s="10" t="s">
        <v>42</v>
      </c>
      <c r="J1283" s="131"/>
      <c r="K1283" s="149" t="s">
        <v>2723</v>
      </c>
    </row>
    <row r="1284" spans="1:11" ht="28.9" customHeight="1" thickTop="1" thickBot="1" x14ac:dyDescent="0.75">
      <c r="A1284" s="10">
        <v>1282</v>
      </c>
      <c r="B1284" s="57" t="str">
        <f>HYPERLINK("https://search.naver.com/search.naver?query=배드 컨트리 영화", "배드 컨트리")</f>
        <v>배드 컨트리</v>
      </c>
      <c r="C1284" s="8">
        <v>6.4</v>
      </c>
      <c r="D1284" s="9" t="s">
        <v>2724</v>
      </c>
      <c r="E1284" s="6" t="s">
        <v>24</v>
      </c>
      <c r="F1284" s="6">
        <v>2014</v>
      </c>
      <c r="G1284" s="6" t="s">
        <v>14</v>
      </c>
      <c r="H1284" s="7" t="s">
        <v>124</v>
      </c>
      <c r="I1284" s="6" t="s">
        <v>150</v>
      </c>
      <c r="J1284" s="130"/>
      <c r="K1284" s="148" t="s">
        <v>2725</v>
      </c>
    </row>
    <row r="1285" spans="1:11" ht="28.9" customHeight="1" thickTop="1" thickBot="1" x14ac:dyDescent="0.75">
      <c r="A1285" s="6">
        <v>1283</v>
      </c>
      <c r="B1285" s="58" t="str">
        <f>HYPERLINK("https://search.naver.com/search.naver?query=배심원 #2 영화", "배심원 #2")</f>
        <v>배심원 #2</v>
      </c>
      <c r="C1285" s="12"/>
      <c r="D1285" s="13" t="s">
        <v>2726</v>
      </c>
      <c r="E1285" s="10" t="s">
        <v>24</v>
      </c>
      <c r="F1285" s="10">
        <v>2024</v>
      </c>
      <c r="G1285" s="10" t="s">
        <v>14</v>
      </c>
      <c r="H1285" s="11" t="s">
        <v>20</v>
      </c>
      <c r="I1285" s="10" t="s">
        <v>305</v>
      </c>
      <c r="J1285" s="131"/>
      <c r="K1285" s="149" t="s">
        <v>2727</v>
      </c>
    </row>
    <row r="1286" spans="1:11" ht="28.9" customHeight="1" thickTop="1" thickBot="1" x14ac:dyDescent="0.75">
      <c r="A1286" s="10">
        <v>1284</v>
      </c>
      <c r="B1286" s="57" t="str">
        <f>HYPERLINK("https://search.naver.com/search.naver?query=배심원들 영화", "배심원들")</f>
        <v>배심원들</v>
      </c>
      <c r="C1286" s="8">
        <v>9.34</v>
      </c>
      <c r="D1286" s="9" t="s">
        <v>2728</v>
      </c>
      <c r="E1286" s="6" t="s">
        <v>13</v>
      </c>
      <c r="F1286" s="6">
        <v>2018</v>
      </c>
      <c r="G1286" s="6" t="s">
        <v>14</v>
      </c>
      <c r="H1286" s="7" t="s">
        <v>20</v>
      </c>
      <c r="I1286" s="6" t="s">
        <v>305</v>
      </c>
      <c r="J1286" s="130"/>
      <c r="K1286" s="148" t="s">
        <v>2729</v>
      </c>
    </row>
    <row r="1287" spans="1:11" ht="28.9" customHeight="1" thickTop="1" thickBot="1" x14ac:dyDescent="0.75">
      <c r="A1287" s="6">
        <v>1285</v>
      </c>
      <c r="B1287" s="58" t="str">
        <f>HYPERLINK("https://search.naver.com/search.naver?query=백 인 액션 영화", "백 인 액션")</f>
        <v>백 인 액션</v>
      </c>
      <c r="C1287" s="12">
        <v>7.93</v>
      </c>
      <c r="D1287" s="13" t="s">
        <v>2730</v>
      </c>
      <c r="E1287" s="10" t="s">
        <v>24</v>
      </c>
      <c r="F1287" s="10">
        <v>2025</v>
      </c>
      <c r="G1287" s="10" t="s">
        <v>14</v>
      </c>
      <c r="H1287" s="11" t="s">
        <v>124</v>
      </c>
      <c r="I1287" s="10" t="s">
        <v>179</v>
      </c>
      <c r="J1287" s="131"/>
      <c r="K1287" s="149" t="s">
        <v>2068</v>
      </c>
    </row>
    <row r="1288" spans="1:11" ht="28.9" customHeight="1" thickTop="1" thickBot="1" x14ac:dyDescent="0.75">
      <c r="A1288" s="10">
        <v>1286</v>
      </c>
      <c r="B1288" s="57" t="str">
        <f>HYPERLINK("https://search.naver.com/search.naver?query=백 투 더 비기닝 영화", "백 투 더 비기닝")</f>
        <v>백 투 더 비기닝</v>
      </c>
      <c r="C1288" s="8">
        <v>7.37</v>
      </c>
      <c r="D1288" s="9" t="s">
        <v>2731</v>
      </c>
      <c r="E1288" s="6" t="s">
        <v>24</v>
      </c>
      <c r="F1288" s="6">
        <v>2014</v>
      </c>
      <c r="G1288" s="6" t="s">
        <v>14</v>
      </c>
      <c r="H1288" s="7" t="s">
        <v>877</v>
      </c>
      <c r="I1288" s="6" t="s">
        <v>150</v>
      </c>
      <c r="J1288" s="130"/>
      <c r="K1288" s="148" t="s">
        <v>2732</v>
      </c>
    </row>
    <row r="1289" spans="1:11" ht="28.9" customHeight="1" thickTop="1" thickBot="1" x14ac:dyDescent="0.75">
      <c r="A1289" s="6">
        <v>1287</v>
      </c>
      <c r="B1289" s="58" t="str">
        <f>HYPERLINK("https://search.naver.com/search.naver?query=백두산 영화", "백두산")</f>
        <v>백두산</v>
      </c>
      <c r="C1289" s="12">
        <v>7.47</v>
      </c>
      <c r="D1289" s="13" t="s">
        <v>2733</v>
      </c>
      <c r="E1289" s="10" t="s">
        <v>13</v>
      </c>
      <c r="F1289" s="10">
        <v>2019</v>
      </c>
      <c r="G1289" s="10" t="s">
        <v>14</v>
      </c>
      <c r="H1289" s="11" t="s">
        <v>124</v>
      </c>
      <c r="I1289" s="10" t="s">
        <v>146</v>
      </c>
      <c r="J1289" s="131"/>
      <c r="K1289" s="149" t="s">
        <v>2734</v>
      </c>
    </row>
    <row r="1290" spans="1:11" ht="28.9" customHeight="1" thickTop="1" thickBot="1" x14ac:dyDescent="0.75">
      <c r="A1290" s="10">
        <v>1288</v>
      </c>
      <c r="B1290" s="57" t="str">
        <f>HYPERLINK("https://search.naver.com/search.naver?query=백만엔걸 스즈코 영화", "백만엔걸 스즈코")</f>
        <v>백만엔걸 스즈코</v>
      </c>
      <c r="C1290" s="8">
        <v>8.82</v>
      </c>
      <c r="D1290" s="9" t="s">
        <v>2735</v>
      </c>
      <c r="E1290" s="6" t="s">
        <v>19</v>
      </c>
      <c r="F1290" s="6">
        <v>2014</v>
      </c>
      <c r="G1290" s="6" t="s">
        <v>14</v>
      </c>
      <c r="H1290" s="7" t="s">
        <v>20</v>
      </c>
      <c r="I1290" s="6" t="s">
        <v>150</v>
      </c>
      <c r="J1290" s="130"/>
      <c r="K1290" s="148" t="s">
        <v>2736</v>
      </c>
    </row>
    <row r="1291" spans="1:11" ht="28.9" customHeight="1" thickTop="1" thickBot="1" x14ac:dyDescent="0.75">
      <c r="A1291" s="6">
        <v>1289</v>
      </c>
      <c r="B1291" s="58" t="str">
        <f>HYPERLINK("https://search.naver.com/search.naver?query=백발마녀전 - 명월천국 영화", "백발마녀전 - 명월천국")</f>
        <v>백발마녀전 - 명월천국</v>
      </c>
      <c r="C1291" s="12"/>
      <c r="D1291" s="13" t="s">
        <v>2737</v>
      </c>
      <c r="E1291" s="10" t="s">
        <v>186</v>
      </c>
      <c r="F1291" s="10">
        <v>2014</v>
      </c>
      <c r="G1291" s="10" t="s">
        <v>14</v>
      </c>
      <c r="H1291" s="11" t="s">
        <v>124</v>
      </c>
      <c r="I1291" s="10" t="s">
        <v>276</v>
      </c>
      <c r="J1291" s="131"/>
      <c r="K1291" s="149" t="s">
        <v>2738</v>
      </c>
    </row>
    <row r="1292" spans="1:11" ht="28.9" customHeight="1" thickTop="1" thickBot="1" x14ac:dyDescent="0.75">
      <c r="A1292" s="10">
        <v>1290</v>
      </c>
      <c r="B1292" s="57" t="str">
        <f>HYPERLINK("https://search.naver.com/search.naver?query=백설공주 영화", "백설공주")</f>
        <v>백설공주</v>
      </c>
      <c r="C1292" s="8">
        <v>5.56</v>
      </c>
      <c r="D1292" s="9" t="s">
        <v>2739</v>
      </c>
      <c r="E1292" s="6" t="s">
        <v>24</v>
      </c>
      <c r="F1292" s="6">
        <v>2012</v>
      </c>
      <c r="G1292" s="6" t="s">
        <v>14</v>
      </c>
      <c r="H1292" s="7" t="s">
        <v>1539</v>
      </c>
      <c r="I1292" s="6" t="s">
        <v>443</v>
      </c>
      <c r="J1292" s="130"/>
      <c r="K1292" s="148" t="s">
        <v>2740</v>
      </c>
    </row>
    <row r="1293" spans="1:11" ht="28.9" customHeight="1" thickTop="1" thickBot="1" x14ac:dyDescent="0.75">
      <c r="A1293" s="6">
        <v>1291</v>
      </c>
      <c r="B1293" s="58" t="str">
        <f>HYPERLINK("https://search.naver.com/search.naver?query=백설공주 살인사건 영화", "백설공주 살인사건")</f>
        <v>백설공주 살인사건</v>
      </c>
      <c r="C1293" s="12">
        <v>8.2100000000000009</v>
      </c>
      <c r="D1293" s="13" t="s">
        <v>2741</v>
      </c>
      <c r="E1293" s="10" t="s">
        <v>19</v>
      </c>
      <c r="F1293" s="10">
        <v>2014</v>
      </c>
      <c r="G1293" s="10" t="s">
        <v>14</v>
      </c>
      <c r="H1293" s="11" t="s">
        <v>194</v>
      </c>
      <c r="I1293" s="10" t="s">
        <v>105</v>
      </c>
      <c r="J1293" s="131"/>
      <c r="K1293" s="149" t="s">
        <v>2742</v>
      </c>
    </row>
    <row r="1294" spans="1:11" ht="28.9" customHeight="1" thickTop="1" thickBot="1" x14ac:dyDescent="0.75">
      <c r="A1294" s="10">
        <v>1292</v>
      </c>
      <c r="B1294" s="57" t="str">
        <f>HYPERLINK("https://search.naver.com/search.naver?query=백스태빙 포 비기너스 영화", "백스태빙 포 비기너스")</f>
        <v>백스태빙 포 비기너스</v>
      </c>
      <c r="C1294" s="8">
        <v>6.4</v>
      </c>
      <c r="D1294" s="9" t="s">
        <v>2743</v>
      </c>
      <c r="E1294" s="6" t="s">
        <v>24</v>
      </c>
      <c r="F1294" s="6">
        <v>2018</v>
      </c>
      <c r="G1294" s="6" t="s">
        <v>14</v>
      </c>
      <c r="H1294" s="7" t="s">
        <v>20</v>
      </c>
      <c r="I1294" s="6" t="s">
        <v>38</v>
      </c>
      <c r="J1294" s="130"/>
      <c r="K1294" s="148" t="s">
        <v>2744</v>
      </c>
    </row>
    <row r="1295" spans="1:11" ht="28.9" customHeight="1" thickTop="1" thickBot="1" x14ac:dyDescent="0.75">
      <c r="A1295" s="6">
        <v>1293</v>
      </c>
      <c r="B1295" s="58" t="str">
        <f>HYPERLINK("https://search.naver.com/search.naver?query=백악관 최후의 날 영화", "백악관 최후의 날")</f>
        <v>백악관 최후의 날</v>
      </c>
      <c r="C1295" s="12">
        <v>5.42</v>
      </c>
      <c r="D1295" s="13" t="s">
        <v>2745</v>
      </c>
      <c r="E1295" s="10" t="s">
        <v>24</v>
      </c>
      <c r="F1295" s="10">
        <v>2013</v>
      </c>
      <c r="G1295" s="10" t="s">
        <v>14</v>
      </c>
      <c r="H1295" s="11" t="s">
        <v>124</v>
      </c>
      <c r="I1295" s="10" t="s">
        <v>432</v>
      </c>
      <c r="J1295" s="131"/>
      <c r="K1295" s="149" t="s">
        <v>2746</v>
      </c>
    </row>
    <row r="1296" spans="1:11" ht="28.9" customHeight="1" thickTop="1" thickBot="1" x14ac:dyDescent="0.75">
      <c r="A1296" s="10">
        <v>1294</v>
      </c>
      <c r="B1296" s="57" t="str">
        <f>HYPERLINK("https://search.naver.com/search.naver?query=백악관을 무너뜨린 사나이 영화", "백악관을 무너뜨린 사나이")</f>
        <v>백악관을 무너뜨린 사나이</v>
      </c>
      <c r="C1296" s="8">
        <v>6.4</v>
      </c>
      <c r="D1296" s="9" t="s">
        <v>2280</v>
      </c>
      <c r="E1296" s="6" t="s">
        <v>24</v>
      </c>
      <c r="F1296" s="6">
        <v>2017</v>
      </c>
      <c r="G1296" s="6" t="s">
        <v>14</v>
      </c>
      <c r="H1296" s="7" t="s">
        <v>20</v>
      </c>
      <c r="I1296" s="6" t="s">
        <v>276</v>
      </c>
      <c r="J1296" s="130"/>
      <c r="K1296" s="148" t="s">
        <v>2747</v>
      </c>
    </row>
    <row r="1297" spans="1:11" ht="28.9" customHeight="1" thickTop="1" thickBot="1" x14ac:dyDescent="0.75">
      <c r="A1297" s="6">
        <v>1295</v>
      </c>
      <c r="B1297" s="58" t="str">
        <f>HYPERLINK("https://search.naver.com/search.naver?query=백야 영화", "백야")</f>
        <v>백야</v>
      </c>
      <c r="C1297" s="12">
        <v>3.83</v>
      </c>
      <c r="D1297" s="13" t="s">
        <v>2748</v>
      </c>
      <c r="E1297" s="10" t="s">
        <v>24</v>
      </c>
      <c r="F1297" s="10">
        <v>1985</v>
      </c>
      <c r="G1297" s="10" t="s">
        <v>14</v>
      </c>
      <c r="H1297" s="11" t="s">
        <v>20</v>
      </c>
      <c r="I1297" s="10" t="s">
        <v>578</v>
      </c>
      <c r="J1297" s="131"/>
      <c r="K1297" s="149" t="s">
        <v>2749</v>
      </c>
    </row>
    <row r="1298" spans="1:11" ht="28.9" customHeight="1" thickTop="1" thickBot="1" x14ac:dyDescent="0.75">
      <c r="A1298" s="10">
        <v>1296</v>
      </c>
      <c r="B1298" s="57" t="str">
        <f>HYPERLINK("https://search.naver.com/search.naver?query=백야행 영화", "백야행 - 하얀 어둠 속을 걷다")</f>
        <v>백야행 - 하얀 어둠 속을 걷다</v>
      </c>
      <c r="C1298" s="8">
        <v>7.93</v>
      </c>
      <c r="D1298" s="9" t="s">
        <v>2750</v>
      </c>
      <c r="E1298" s="6" t="s">
        <v>13</v>
      </c>
      <c r="F1298" s="6">
        <v>2009</v>
      </c>
      <c r="G1298" s="6" t="s">
        <v>14</v>
      </c>
      <c r="H1298" s="7" t="s">
        <v>194</v>
      </c>
      <c r="I1298" s="6" t="s">
        <v>51</v>
      </c>
      <c r="J1298" s="130"/>
      <c r="K1298" s="148" t="s">
        <v>2751</v>
      </c>
    </row>
    <row r="1299" spans="1:11" ht="28.9" customHeight="1" thickTop="1" thickBot="1" x14ac:dyDescent="0.75">
      <c r="A1299" s="6">
        <v>1297</v>
      </c>
      <c r="B1299" s="58" t="str">
        <f>HYPERLINK("https://search.naver.com/search.naver?query=백컨트리 영화", "백컨트리")</f>
        <v>백컨트리</v>
      </c>
      <c r="C1299" s="12"/>
      <c r="D1299" s="13" t="s">
        <v>2752</v>
      </c>
      <c r="E1299" s="10" t="s">
        <v>275</v>
      </c>
      <c r="F1299" s="10">
        <v>2014</v>
      </c>
      <c r="G1299" s="10" t="s">
        <v>14</v>
      </c>
      <c r="H1299" s="11" t="s">
        <v>54</v>
      </c>
      <c r="I1299" s="10" t="s">
        <v>205</v>
      </c>
      <c r="J1299" s="131"/>
      <c r="K1299" s="149" t="s">
        <v>2753</v>
      </c>
    </row>
    <row r="1300" spans="1:11" ht="28.9" customHeight="1" thickTop="1" thickBot="1" x14ac:dyDescent="0.75">
      <c r="A1300" s="10">
        <v>1298</v>
      </c>
      <c r="B1300" s="57" t="str">
        <f>HYPERLINK("https://search.naver.com/search.naver?query=백컨트리 - 야생곰의 습격 영화", "백컨트리 - 야생곰의 습격")</f>
        <v>백컨트리 - 야생곰의 습격</v>
      </c>
      <c r="C1300" s="8"/>
      <c r="D1300" s="9" t="s">
        <v>2752</v>
      </c>
      <c r="E1300" s="6" t="s">
        <v>275</v>
      </c>
      <c r="F1300" s="6">
        <v>2014</v>
      </c>
      <c r="G1300" s="6" t="s">
        <v>14</v>
      </c>
      <c r="H1300" s="7" t="s">
        <v>54</v>
      </c>
      <c r="I1300" s="6" t="s">
        <v>205</v>
      </c>
      <c r="J1300" s="130"/>
      <c r="K1300" s="148" t="s">
        <v>2754</v>
      </c>
    </row>
    <row r="1301" spans="1:11" ht="28.9" customHeight="1" thickTop="1" thickBot="1" x14ac:dyDescent="0.75">
      <c r="A1301" s="6">
        <v>1299</v>
      </c>
      <c r="B1301" s="58" t="str">
        <f>HYPERLINK("https://search.naver.com/search.naver?query=백트레이스 영화", "백트레이스")</f>
        <v>백트레이스</v>
      </c>
      <c r="C1301" s="12">
        <v>6.4</v>
      </c>
      <c r="D1301" s="13" t="s">
        <v>2755</v>
      </c>
      <c r="E1301" s="10" t="s">
        <v>24</v>
      </c>
      <c r="F1301" s="10">
        <v>2018</v>
      </c>
      <c r="G1301" s="10" t="s">
        <v>14</v>
      </c>
      <c r="H1301" s="11" t="s">
        <v>124</v>
      </c>
      <c r="I1301" s="10" t="s">
        <v>205</v>
      </c>
      <c r="J1301" s="131"/>
      <c r="K1301" s="149" t="s">
        <v>2756</v>
      </c>
    </row>
    <row r="1302" spans="1:11" ht="28.9" customHeight="1" thickTop="1" thickBot="1" x14ac:dyDescent="0.75">
      <c r="A1302" s="10">
        <v>1300</v>
      </c>
      <c r="B1302" s="57" t="str">
        <f>HYPERLINK("https://search.naver.com/search.naver?query=뱅크 오브 데이브 영화", "뱅크 오브 데이브")</f>
        <v>뱅크 오브 데이브</v>
      </c>
      <c r="C1302" s="8">
        <v>9.4</v>
      </c>
      <c r="D1302" s="9" t="s">
        <v>2757</v>
      </c>
      <c r="E1302" s="6" t="s">
        <v>29</v>
      </c>
      <c r="F1302" s="6">
        <v>2023</v>
      </c>
      <c r="G1302" s="6" t="s">
        <v>14</v>
      </c>
      <c r="H1302" s="7" t="s">
        <v>20</v>
      </c>
      <c r="I1302" s="6" t="s">
        <v>101</v>
      </c>
      <c r="J1302" s="130"/>
      <c r="K1302" s="148" t="s">
        <v>2758</v>
      </c>
    </row>
    <row r="1303" spans="1:11" ht="28.9" customHeight="1" thickTop="1" thickBot="1" x14ac:dyDescent="0.75">
      <c r="A1303" s="6">
        <v>1301</v>
      </c>
      <c r="B1303" s="58" t="str">
        <f>HYPERLINK("https://search.naver.com/search.naver?query=뱅크 오브 데이브 2 더 론 레인저 영화", "뱅크 오브 데이브 2 더 론 레인저")</f>
        <v>뱅크 오브 데이브 2 더 론 레인저</v>
      </c>
      <c r="C1303" s="12">
        <v>6.4</v>
      </c>
      <c r="D1303" s="13" t="s">
        <v>2759</v>
      </c>
      <c r="E1303" s="10" t="s">
        <v>29</v>
      </c>
      <c r="F1303" s="10">
        <v>2025</v>
      </c>
      <c r="G1303" s="10" t="s">
        <v>14</v>
      </c>
      <c r="H1303" s="11" t="s">
        <v>91</v>
      </c>
      <c r="I1303" s="10" t="s">
        <v>150</v>
      </c>
      <c r="J1303" s="131"/>
      <c r="K1303" s="149" t="s">
        <v>2760</v>
      </c>
    </row>
    <row r="1304" spans="1:11" ht="28.9" customHeight="1" thickTop="1" thickBot="1" x14ac:dyDescent="0.75">
      <c r="A1304" s="10">
        <v>1302</v>
      </c>
      <c r="B1304" s="57" t="str">
        <f>HYPERLINK("https://search.naver.com/search.naver?query=버닝 영화", "버닝")</f>
        <v>버닝</v>
      </c>
      <c r="C1304" s="8">
        <v>7.84</v>
      </c>
      <c r="D1304" s="9" t="s">
        <v>2761</v>
      </c>
      <c r="E1304" s="6" t="s">
        <v>13</v>
      </c>
      <c r="F1304" s="6">
        <v>2018</v>
      </c>
      <c r="G1304" s="6" t="s">
        <v>14</v>
      </c>
      <c r="H1304" s="7" t="s">
        <v>20</v>
      </c>
      <c r="I1304" s="6" t="s">
        <v>34</v>
      </c>
      <c r="J1304" s="130"/>
      <c r="K1304" s="148" t="s">
        <v>2762</v>
      </c>
    </row>
    <row r="1305" spans="1:11" ht="28.9" customHeight="1" thickTop="1" thickBot="1" x14ac:dyDescent="0.75">
      <c r="A1305" s="6">
        <v>1303</v>
      </c>
      <c r="B1305" s="58" t="str">
        <f>HYPERLINK("https://search.naver.com/search.naver?query=버닝 플레인 영화", "버닝 플레인")</f>
        <v>버닝 플레인</v>
      </c>
      <c r="C1305" s="12"/>
      <c r="D1305" s="13" t="s">
        <v>2763</v>
      </c>
      <c r="E1305" s="10" t="s">
        <v>24</v>
      </c>
      <c r="F1305" s="10">
        <v>2008</v>
      </c>
      <c r="G1305" s="10" t="s">
        <v>14</v>
      </c>
      <c r="H1305" s="11" t="s">
        <v>20</v>
      </c>
      <c r="I1305" s="10" t="s">
        <v>101</v>
      </c>
      <c r="J1305" s="131"/>
      <c r="K1305" s="149" t="s">
        <v>2764</v>
      </c>
    </row>
    <row r="1306" spans="1:11" ht="28.9" customHeight="1" thickTop="1" thickBot="1" x14ac:dyDescent="0.75">
      <c r="A1306" s="10">
        <v>1304</v>
      </c>
      <c r="B1306" s="57" t="str">
        <f>HYPERLINK("https://search.naver.com/search.naver?query=버드 박스 영화", "버드 박스")</f>
        <v>버드 박스</v>
      </c>
      <c r="C1306" s="8">
        <v>6.4</v>
      </c>
      <c r="D1306" s="9" t="s">
        <v>2765</v>
      </c>
      <c r="E1306" s="6" t="s">
        <v>24</v>
      </c>
      <c r="F1306" s="6">
        <v>2018</v>
      </c>
      <c r="G1306" s="6" t="s">
        <v>14</v>
      </c>
      <c r="H1306" s="7" t="s">
        <v>54</v>
      </c>
      <c r="I1306" s="6" t="s">
        <v>183</v>
      </c>
      <c r="J1306" s="130"/>
      <c r="K1306" s="148" t="s">
        <v>2766</v>
      </c>
    </row>
    <row r="1307" spans="1:11" ht="28.9" customHeight="1" thickTop="1" thickBot="1" x14ac:dyDescent="0.75">
      <c r="A1307" s="6">
        <v>1305</v>
      </c>
      <c r="B1307" s="58" t="str">
        <f>HYPERLINK("https://search.naver.com/search.naver?query=버드맨 영화", "버드맨")</f>
        <v>버드맨</v>
      </c>
      <c r="C1307" s="12">
        <v>8.4600000000000009</v>
      </c>
      <c r="D1307" s="13" t="s">
        <v>2767</v>
      </c>
      <c r="E1307" s="10" t="s">
        <v>24</v>
      </c>
      <c r="F1307" s="10">
        <v>2014</v>
      </c>
      <c r="G1307" s="10" t="s">
        <v>14</v>
      </c>
      <c r="H1307" s="11" t="s">
        <v>20</v>
      </c>
      <c r="I1307" s="10" t="s">
        <v>68</v>
      </c>
      <c r="J1307" s="131"/>
      <c r="K1307" s="149" t="s">
        <v>2768</v>
      </c>
    </row>
    <row r="1308" spans="1:11" ht="28.9" customHeight="1" thickTop="1" thickBot="1" x14ac:dyDescent="0.75">
      <c r="A1308" s="10">
        <v>1306</v>
      </c>
      <c r="B1308" s="57" t="str">
        <f>HYPERLINK("https://search.naver.com/search.naver?query=버든-세상을 바꾸는 힘 영화", "버든-세상을 바꾸는 힘")</f>
        <v>버든-세상을 바꾸는 힘</v>
      </c>
      <c r="C1308" s="8">
        <v>3</v>
      </c>
      <c r="D1308" s="9" t="s">
        <v>2769</v>
      </c>
      <c r="E1308" s="6" t="s">
        <v>24</v>
      </c>
      <c r="F1308" s="6">
        <v>2018</v>
      </c>
      <c r="G1308" s="6" t="s">
        <v>14</v>
      </c>
      <c r="H1308" s="7" t="s">
        <v>20</v>
      </c>
      <c r="I1308" s="6" t="s">
        <v>120</v>
      </c>
      <c r="J1308" s="130"/>
      <c r="K1308" s="148" t="s">
        <v>2770</v>
      </c>
    </row>
    <row r="1309" spans="1:11" ht="28.9" customHeight="1" thickTop="1" thickBot="1" x14ac:dyDescent="0.75">
      <c r="A1309" s="6">
        <v>1307</v>
      </c>
      <c r="B1309" s="58" t="str">
        <f>HYPERLINK("https://search.naver.com/search.naver?query=버스 657 영화", "버스 657")</f>
        <v>버스 657</v>
      </c>
      <c r="C1309" s="12">
        <v>8.5</v>
      </c>
      <c r="D1309" s="13" t="s">
        <v>2771</v>
      </c>
      <c r="E1309" s="10" t="s">
        <v>24</v>
      </c>
      <c r="F1309" s="10">
        <v>2015</v>
      </c>
      <c r="G1309" s="10" t="s">
        <v>14</v>
      </c>
      <c r="H1309" s="11" t="s">
        <v>124</v>
      </c>
      <c r="I1309" s="10" t="s">
        <v>205</v>
      </c>
      <c r="J1309" s="131"/>
      <c r="K1309" s="149" t="s">
        <v>2772</v>
      </c>
    </row>
    <row r="1310" spans="1:11" ht="28.9" customHeight="1" thickTop="1" thickBot="1" x14ac:dyDescent="0.75">
      <c r="A1310" s="10">
        <v>1308</v>
      </c>
      <c r="B1310" s="59" t="str">
        <f>HYPERLINK("https://search.naver.com/search.naver?query=버진리버 시즌1", "버진리버 시즌1")</f>
        <v>버진리버 시즌1</v>
      </c>
      <c r="C1310" s="16"/>
      <c r="D1310" s="17" t="s">
        <v>2773</v>
      </c>
      <c r="E1310" s="14" t="s">
        <v>24</v>
      </c>
      <c r="F1310" s="14">
        <v>2019</v>
      </c>
      <c r="G1310" s="14" t="s">
        <v>20</v>
      </c>
      <c r="H1310" s="15" t="s">
        <v>20</v>
      </c>
      <c r="I1310" s="14" t="s">
        <v>64</v>
      </c>
      <c r="J1310" s="132"/>
      <c r="K1310" s="150" t="s">
        <v>734</v>
      </c>
    </row>
    <row r="1311" spans="1:11" ht="28.9" customHeight="1" thickTop="1" thickBot="1" x14ac:dyDescent="0.75">
      <c r="A1311" s="6">
        <v>1309</v>
      </c>
      <c r="B1311" s="59" t="str">
        <f>HYPERLINK("https://search.naver.com/search.naver?query=버진리버 시즌2", "버진리버 시즌2")</f>
        <v>버진리버 시즌2</v>
      </c>
      <c r="C1311" s="16"/>
      <c r="D1311" s="17" t="s">
        <v>2773</v>
      </c>
      <c r="E1311" s="14" t="s">
        <v>24</v>
      </c>
      <c r="F1311" s="14">
        <v>2020</v>
      </c>
      <c r="G1311" s="14" t="s">
        <v>20</v>
      </c>
      <c r="H1311" s="15" t="s">
        <v>20</v>
      </c>
      <c r="I1311" s="14" t="s">
        <v>64</v>
      </c>
      <c r="J1311" s="132"/>
      <c r="K1311" s="150" t="s">
        <v>2774</v>
      </c>
    </row>
    <row r="1312" spans="1:11" ht="28.9" customHeight="1" thickTop="1" thickBot="1" x14ac:dyDescent="0.75">
      <c r="A1312" s="10">
        <v>1310</v>
      </c>
      <c r="B1312" s="59" t="str">
        <f>HYPERLINK("https://search.naver.com/search.naver?query=버진리버 시즌3", "버진리버 시즌3")</f>
        <v>버진리버 시즌3</v>
      </c>
      <c r="C1312" s="16"/>
      <c r="D1312" s="17" t="s">
        <v>2773</v>
      </c>
      <c r="E1312" s="14" t="s">
        <v>24</v>
      </c>
      <c r="F1312" s="14">
        <v>2021</v>
      </c>
      <c r="G1312" s="14" t="s">
        <v>20</v>
      </c>
      <c r="H1312" s="15" t="s">
        <v>20</v>
      </c>
      <c r="I1312" s="14" t="s">
        <v>64</v>
      </c>
      <c r="J1312" s="132"/>
      <c r="K1312" s="150" t="s">
        <v>2775</v>
      </c>
    </row>
    <row r="1313" spans="1:11" ht="28.9" customHeight="1" thickTop="1" thickBot="1" x14ac:dyDescent="0.75">
      <c r="A1313" s="6">
        <v>1311</v>
      </c>
      <c r="B1313" s="59" t="str">
        <f>HYPERLINK("https://search.naver.com/search.naver?query=버진리버 시즌5", "버진리버 시즌5")</f>
        <v>버진리버 시즌5</v>
      </c>
      <c r="C1313" s="16"/>
      <c r="D1313" s="17" t="s">
        <v>2773</v>
      </c>
      <c r="E1313" s="14" t="s">
        <v>24</v>
      </c>
      <c r="F1313" s="14">
        <v>2023</v>
      </c>
      <c r="G1313" s="14" t="s">
        <v>20</v>
      </c>
      <c r="H1313" s="15" t="s">
        <v>20</v>
      </c>
      <c r="I1313" s="14" t="s">
        <v>64</v>
      </c>
      <c r="J1313" s="132"/>
      <c r="K1313" s="150" t="s">
        <v>1862</v>
      </c>
    </row>
    <row r="1314" spans="1:11" ht="28.9" customHeight="1" thickTop="1" thickBot="1" x14ac:dyDescent="0.75">
      <c r="A1314" s="10">
        <v>1312</v>
      </c>
      <c r="B1314" s="59" t="str">
        <f>HYPERLINK("https://search.naver.com/search.naver?query=버진리버 시즌6", "버진리버 시즌6")</f>
        <v>버진리버 시즌6</v>
      </c>
      <c r="C1314" s="16"/>
      <c r="D1314" s="17" t="s">
        <v>2773</v>
      </c>
      <c r="E1314" s="14" t="s">
        <v>24</v>
      </c>
      <c r="F1314" s="14">
        <v>2024</v>
      </c>
      <c r="G1314" s="14" t="s">
        <v>20</v>
      </c>
      <c r="H1314" s="15" t="s">
        <v>20</v>
      </c>
      <c r="I1314" s="14" t="s">
        <v>64</v>
      </c>
      <c r="J1314" s="132"/>
      <c r="K1314" s="150" t="s">
        <v>2776</v>
      </c>
    </row>
    <row r="1315" spans="1:11" ht="28.9" customHeight="1" thickTop="1" thickBot="1" x14ac:dyDescent="0.75">
      <c r="A1315" s="6">
        <v>1313</v>
      </c>
      <c r="B1315" s="58" t="str">
        <f>HYPERLINK("https://search.naver.com/search.naver?query=버킷 리스트 - 죽기 전에 꼭 하고 싶은 것들 영화", "버킷 리스트 - 죽기 전에 꼭 하고 싶은 것들")</f>
        <v>버킷 리스트 - 죽기 전에 꼭 하고 싶은 것들</v>
      </c>
      <c r="C1315" s="12">
        <v>3.83</v>
      </c>
      <c r="D1315" s="13" t="s">
        <v>2777</v>
      </c>
      <c r="E1315" s="10" t="s">
        <v>24</v>
      </c>
      <c r="F1315" s="10">
        <v>2007</v>
      </c>
      <c r="G1315" s="10" t="s">
        <v>14</v>
      </c>
      <c r="H1315" s="11" t="s">
        <v>20</v>
      </c>
      <c r="I1315" s="10" t="s">
        <v>169</v>
      </c>
      <c r="J1315" s="131"/>
      <c r="K1315" s="149" t="s">
        <v>2778</v>
      </c>
    </row>
    <row r="1316" spans="1:11" ht="28.9" customHeight="1" thickTop="1" thickBot="1" x14ac:dyDescent="0.75">
      <c r="A1316" s="10">
        <v>1314</v>
      </c>
      <c r="B1316" s="59" t="str">
        <f>HYPERLINK("https://search.naver.com/search.naver?query=버터플라이 드라마", "버터플라이")</f>
        <v>버터플라이</v>
      </c>
      <c r="C1316" s="16"/>
      <c r="D1316" s="17" t="s">
        <v>2779</v>
      </c>
      <c r="E1316" s="14" t="s">
        <v>13</v>
      </c>
      <c r="F1316" s="14">
        <v>2025</v>
      </c>
      <c r="G1316" s="14" t="s">
        <v>20</v>
      </c>
      <c r="H1316" s="15" t="s">
        <v>20</v>
      </c>
      <c r="I1316" s="14" t="s">
        <v>247</v>
      </c>
      <c r="J1316" s="132"/>
      <c r="K1316" s="150" t="s">
        <v>2780</v>
      </c>
    </row>
    <row r="1317" spans="1:11" ht="28.9" customHeight="1" thickTop="1" thickBot="1" x14ac:dyDescent="0.75">
      <c r="A1317" s="6">
        <v>1315</v>
      </c>
      <c r="B1317" s="58" t="str">
        <f>HYPERLINK("https://search.naver.com/search.naver?query=버틀러-대통령의집사 영화", "버틀러-대통령의집사")</f>
        <v>버틀러-대통령의집사</v>
      </c>
      <c r="C1317" s="12"/>
      <c r="D1317" s="13" t="s">
        <v>2781</v>
      </c>
      <c r="E1317" s="10" t="s">
        <v>24</v>
      </c>
      <c r="F1317" s="10">
        <v>2013</v>
      </c>
      <c r="G1317" s="10" t="s">
        <v>14</v>
      </c>
      <c r="H1317" s="11" t="s">
        <v>20</v>
      </c>
      <c r="I1317" s="10" t="s">
        <v>558</v>
      </c>
      <c r="J1317" s="131"/>
      <c r="K1317" s="149" t="s">
        <v>2782</v>
      </c>
    </row>
    <row r="1318" spans="1:11" ht="28.9" customHeight="1" thickTop="1" thickBot="1" x14ac:dyDescent="0.75">
      <c r="A1318" s="10">
        <v>1316</v>
      </c>
      <c r="B1318" s="57" t="str">
        <f>HYPERLINK("https://search.naver.com/search.naver?query=버티고 영화", "버티고")</f>
        <v>버티고</v>
      </c>
      <c r="C1318" s="8">
        <v>7.05</v>
      </c>
      <c r="D1318" s="9" t="s">
        <v>2783</v>
      </c>
      <c r="E1318" s="6" t="s">
        <v>24</v>
      </c>
      <c r="F1318" s="6">
        <v>1958</v>
      </c>
      <c r="G1318" s="6" t="s">
        <v>14</v>
      </c>
      <c r="H1318" s="7" t="s">
        <v>54</v>
      </c>
      <c r="I1318" s="6" t="s">
        <v>146</v>
      </c>
      <c r="J1318" s="130"/>
      <c r="K1318" s="148" t="s">
        <v>2784</v>
      </c>
    </row>
    <row r="1319" spans="1:11" ht="28.9" customHeight="1" thickTop="1" thickBot="1" x14ac:dyDescent="0.75">
      <c r="A1319" s="6">
        <v>1317</v>
      </c>
      <c r="B1319" s="58" t="str">
        <f>HYPERLINK("https://search.naver.com/search.naver?query=번 애프터 리딩 영화", "번 애프터 리딩")</f>
        <v>번 애프터 리딩</v>
      </c>
      <c r="C1319" s="12">
        <v>6.46</v>
      </c>
      <c r="D1319" s="13" t="s">
        <v>2785</v>
      </c>
      <c r="E1319" s="10" t="s">
        <v>24</v>
      </c>
      <c r="F1319" s="10">
        <v>2008</v>
      </c>
      <c r="G1319" s="10" t="s">
        <v>14</v>
      </c>
      <c r="H1319" s="11" t="s">
        <v>91</v>
      </c>
      <c r="I1319" s="10" t="s">
        <v>80</v>
      </c>
      <c r="J1319" s="131"/>
      <c r="K1319" s="149" t="s">
        <v>1768</v>
      </c>
    </row>
    <row r="1320" spans="1:11" ht="28.9" customHeight="1" thickTop="1" thickBot="1" x14ac:dyDescent="0.75">
      <c r="A1320" s="10">
        <v>1318</v>
      </c>
      <c r="B1320" s="57" t="str">
        <f>HYPERLINK("https://search.naver.com/search.naver?query=벌룬 영화", "벌룬")</f>
        <v>벌룬</v>
      </c>
      <c r="C1320" s="8">
        <v>6.4</v>
      </c>
      <c r="D1320" s="9" t="s">
        <v>2786</v>
      </c>
      <c r="E1320" s="6" t="s">
        <v>136</v>
      </c>
      <c r="F1320" s="6">
        <v>2018</v>
      </c>
      <c r="G1320" s="6" t="s">
        <v>14</v>
      </c>
      <c r="H1320" s="7" t="s">
        <v>20</v>
      </c>
      <c r="I1320" s="6" t="s">
        <v>316</v>
      </c>
      <c r="J1320" s="130"/>
      <c r="K1320" s="148" t="s">
        <v>2787</v>
      </c>
    </row>
    <row r="1321" spans="1:11" ht="28.9" customHeight="1" thickTop="1" thickBot="1" x14ac:dyDescent="0.75">
      <c r="A1321" s="6">
        <v>1319</v>
      </c>
      <c r="B1321" s="58" t="str">
        <f>HYPERLINK("https://search.naver.com/search.naver?query=일본영화 범인에게 고한다 2007", "범인에게 고한다")</f>
        <v>범인에게 고한다</v>
      </c>
      <c r="C1321" s="12">
        <v>6.4</v>
      </c>
      <c r="D1321" s="13" t="s">
        <v>2788</v>
      </c>
      <c r="E1321" s="10" t="s">
        <v>13</v>
      </c>
      <c r="F1321" s="10">
        <v>2007</v>
      </c>
      <c r="G1321" s="10" t="s">
        <v>14</v>
      </c>
      <c r="H1321" s="11" t="s">
        <v>54</v>
      </c>
      <c r="I1321" s="10" t="s">
        <v>120</v>
      </c>
      <c r="J1321" s="131"/>
      <c r="K1321" s="149" t="s">
        <v>2789</v>
      </c>
    </row>
    <row r="1322" spans="1:11" ht="28.9" customHeight="1" thickTop="1" thickBot="1" x14ac:dyDescent="0.75">
      <c r="A1322" s="10">
        <v>1320</v>
      </c>
      <c r="B1322" s="57" t="str">
        <f>HYPERLINK("https://search.naver.com/search.naver?query=범죄도시 영화", "범죄도시")</f>
        <v>범죄도시</v>
      </c>
      <c r="C1322" s="8">
        <v>7.4</v>
      </c>
      <c r="D1322" s="9" t="s">
        <v>2790</v>
      </c>
      <c r="E1322" s="6" t="s">
        <v>13</v>
      </c>
      <c r="F1322" s="6">
        <v>2017</v>
      </c>
      <c r="G1322" s="6" t="s">
        <v>14</v>
      </c>
      <c r="H1322" s="7" t="s">
        <v>124</v>
      </c>
      <c r="I1322" s="6" t="s">
        <v>195</v>
      </c>
      <c r="J1322" s="130"/>
      <c r="K1322" s="148" t="s">
        <v>2791</v>
      </c>
    </row>
    <row r="1323" spans="1:11" ht="28.9" customHeight="1" thickTop="1" thickBot="1" x14ac:dyDescent="0.75">
      <c r="A1323" s="6">
        <v>1321</v>
      </c>
      <c r="B1323" s="58" t="str">
        <f>HYPERLINK("https://search.naver.com/search.naver?query=범죄도시2 영화", "범죄도시2")</f>
        <v>범죄도시2</v>
      </c>
      <c r="C1323" s="12">
        <v>8.94</v>
      </c>
      <c r="D1323" s="13" t="s">
        <v>2792</v>
      </c>
      <c r="E1323" s="10" t="s">
        <v>13</v>
      </c>
      <c r="F1323" s="10">
        <v>2022</v>
      </c>
      <c r="G1323" s="10" t="s">
        <v>14</v>
      </c>
      <c r="H1323" s="11" t="s">
        <v>124</v>
      </c>
      <c r="I1323" s="10" t="s">
        <v>443</v>
      </c>
      <c r="J1323" s="131"/>
      <c r="K1323" s="149" t="s">
        <v>2793</v>
      </c>
    </row>
    <row r="1324" spans="1:11" ht="28.9" customHeight="1" thickTop="1" thickBot="1" x14ac:dyDescent="0.75">
      <c r="A1324" s="10">
        <v>1322</v>
      </c>
      <c r="B1324" s="57" t="str">
        <f>HYPERLINK("https://search.naver.com/search.naver?query=범죄도시3 영화", "범죄도시3")</f>
        <v>범죄도시3</v>
      </c>
      <c r="C1324" s="8">
        <v>7.54</v>
      </c>
      <c r="D1324" s="9" t="s">
        <v>2794</v>
      </c>
      <c r="E1324" s="6" t="s">
        <v>13</v>
      </c>
      <c r="F1324" s="6">
        <v>2023</v>
      </c>
      <c r="G1324" s="6" t="s">
        <v>14</v>
      </c>
      <c r="H1324" s="7" t="s">
        <v>124</v>
      </c>
      <c r="I1324" s="6" t="s">
        <v>175</v>
      </c>
      <c r="J1324" s="130"/>
      <c r="K1324" s="148" t="s">
        <v>2795</v>
      </c>
    </row>
    <row r="1325" spans="1:11" ht="28.9" customHeight="1" thickTop="1" thickBot="1" x14ac:dyDescent="0.75">
      <c r="A1325" s="6">
        <v>1323</v>
      </c>
      <c r="B1325" s="58" t="str">
        <f>HYPERLINK("https://search.naver.com/search.naver?query=범죄도시4 영화", "범죄도시4")</f>
        <v>범죄도시4</v>
      </c>
      <c r="C1325" s="12">
        <v>7.4</v>
      </c>
      <c r="D1325" s="13" t="s">
        <v>2796</v>
      </c>
      <c r="E1325" s="10" t="s">
        <v>13</v>
      </c>
      <c r="F1325" s="10">
        <v>2024</v>
      </c>
      <c r="G1325" s="10" t="s">
        <v>14</v>
      </c>
      <c r="H1325" s="11" t="s">
        <v>124</v>
      </c>
      <c r="I1325" s="10" t="s">
        <v>187</v>
      </c>
      <c r="J1325" s="131"/>
      <c r="K1325" s="149" t="s">
        <v>2797</v>
      </c>
    </row>
    <row r="1326" spans="1:11" ht="28.9" customHeight="1" thickTop="1" thickBot="1" x14ac:dyDescent="0.75">
      <c r="A1326" s="10">
        <v>1324</v>
      </c>
      <c r="B1326" s="57" t="str">
        <f>HYPERLINK("https://search.naver.com/search.naver?query=범죄와의 전쟁 나쁜놈들 전성시대 영화", "범죄와의 전쟁 나쁜놈들 전성시대")</f>
        <v>범죄와의 전쟁 나쁜놈들 전성시대</v>
      </c>
      <c r="C1326" s="8">
        <v>8.67</v>
      </c>
      <c r="D1326" s="9" t="s">
        <v>2798</v>
      </c>
      <c r="E1326" s="6" t="s">
        <v>13</v>
      </c>
      <c r="F1326" s="6">
        <v>2011</v>
      </c>
      <c r="G1326" s="6" t="s">
        <v>14</v>
      </c>
      <c r="H1326" s="7" t="s">
        <v>428</v>
      </c>
      <c r="I1326" s="6" t="s">
        <v>112</v>
      </c>
      <c r="J1326" s="130"/>
      <c r="K1326" s="148" t="s">
        <v>2799</v>
      </c>
    </row>
    <row r="1327" spans="1:11" ht="28.9" customHeight="1" thickTop="1" thickBot="1" x14ac:dyDescent="0.75">
      <c r="A1327" s="6">
        <v>1325</v>
      </c>
      <c r="B1327" s="59" t="str">
        <f>HYPERLINK("https://search.naver.com/search.naver?query=범죄의 재구성 시즌1", "범죄의 재구성 시즌1")</f>
        <v>범죄의 재구성 시즌1</v>
      </c>
      <c r="C1327" s="16"/>
      <c r="D1327" s="17" t="s">
        <v>2800</v>
      </c>
      <c r="E1327" s="14" t="s">
        <v>24</v>
      </c>
      <c r="F1327" s="14">
        <v>2014</v>
      </c>
      <c r="G1327" s="14" t="s">
        <v>20</v>
      </c>
      <c r="H1327" s="15" t="s">
        <v>115</v>
      </c>
      <c r="I1327" s="14" t="s">
        <v>2801</v>
      </c>
      <c r="J1327" s="132"/>
      <c r="K1327" s="150" t="s">
        <v>2802</v>
      </c>
    </row>
    <row r="1328" spans="1:11" ht="28.9" customHeight="1" thickTop="1" thickBot="1" x14ac:dyDescent="0.75">
      <c r="A1328" s="10">
        <v>1326</v>
      </c>
      <c r="B1328" s="59" t="str">
        <f>HYPERLINK("https://search.naver.com/search.naver?query=범죄의 재구성 시즌2", "범죄의 재구성 시즌2")</f>
        <v>범죄의 재구성 시즌2</v>
      </c>
      <c r="C1328" s="16"/>
      <c r="D1328" s="17" t="s">
        <v>2800</v>
      </c>
      <c r="E1328" s="14" t="s">
        <v>24</v>
      </c>
      <c r="F1328" s="14">
        <v>2015</v>
      </c>
      <c r="G1328" s="14" t="s">
        <v>20</v>
      </c>
      <c r="H1328" s="15" t="s">
        <v>115</v>
      </c>
      <c r="I1328" s="14" t="s">
        <v>2801</v>
      </c>
      <c r="J1328" s="132"/>
      <c r="K1328" s="150" t="s">
        <v>2803</v>
      </c>
    </row>
    <row r="1329" spans="1:11" ht="28.9" customHeight="1" thickTop="1" thickBot="1" x14ac:dyDescent="0.75">
      <c r="A1329" s="6">
        <v>1327</v>
      </c>
      <c r="B1329" s="59" t="str">
        <f>HYPERLINK("https://search.naver.com/search.naver?query=범죄의 재구성 시즌3", "범죄의 재구성 시즌3")</f>
        <v>범죄의 재구성 시즌3</v>
      </c>
      <c r="C1329" s="16"/>
      <c r="D1329" s="17" t="s">
        <v>2800</v>
      </c>
      <c r="E1329" s="14" t="s">
        <v>24</v>
      </c>
      <c r="F1329" s="14">
        <v>2016</v>
      </c>
      <c r="G1329" s="14" t="s">
        <v>20</v>
      </c>
      <c r="H1329" s="15" t="s">
        <v>115</v>
      </c>
      <c r="I1329" s="14" t="s">
        <v>2801</v>
      </c>
      <c r="J1329" s="132"/>
      <c r="K1329" s="150" t="s">
        <v>2804</v>
      </c>
    </row>
    <row r="1330" spans="1:11" ht="28.9" customHeight="1" thickTop="1" thickBot="1" x14ac:dyDescent="0.75">
      <c r="A1330" s="10">
        <v>1328</v>
      </c>
      <c r="B1330" s="59" t="str">
        <f>HYPERLINK("https://search.naver.com/search.naver?query=범죄의 재구성 시즌4", "범죄의 재구성 시즌4")</f>
        <v>범죄의 재구성 시즌4</v>
      </c>
      <c r="C1330" s="16"/>
      <c r="D1330" s="17" t="s">
        <v>2800</v>
      </c>
      <c r="E1330" s="14" t="s">
        <v>24</v>
      </c>
      <c r="F1330" s="14">
        <v>2017</v>
      </c>
      <c r="G1330" s="14" t="s">
        <v>20</v>
      </c>
      <c r="H1330" s="15" t="s">
        <v>115</v>
      </c>
      <c r="I1330" s="14" t="s">
        <v>2801</v>
      </c>
      <c r="J1330" s="132"/>
      <c r="K1330" s="150" t="s">
        <v>2805</v>
      </c>
    </row>
    <row r="1331" spans="1:11" ht="28.9" customHeight="1" thickTop="1" thickBot="1" x14ac:dyDescent="0.75">
      <c r="A1331" s="6">
        <v>1329</v>
      </c>
      <c r="B1331" s="59" t="str">
        <f>HYPERLINK("https://search.naver.com/search.naver?query=범죄의 재구성 시즌5", "범죄의 재구성 시즌5")</f>
        <v>범죄의 재구성 시즌5</v>
      </c>
      <c r="C1331" s="16"/>
      <c r="D1331" s="17" t="s">
        <v>2800</v>
      </c>
      <c r="E1331" s="14" t="s">
        <v>24</v>
      </c>
      <c r="F1331" s="14">
        <v>2018</v>
      </c>
      <c r="G1331" s="14" t="s">
        <v>20</v>
      </c>
      <c r="H1331" s="15" t="s">
        <v>115</v>
      </c>
      <c r="I1331" s="14" t="s">
        <v>2801</v>
      </c>
      <c r="J1331" s="132"/>
      <c r="K1331" s="150" t="s">
        <v>2806</v>
      </c>
    </row>
    <row r="1332" spans="1:11" ht="28.9" customHeight="1" thickTop="1" thickBot="1" x14ac:dyDescent="0.75">
      <c r="A1332" s="10">
        <v>1330</v>
      </c>
      <c r="B1332" s="59" t="str">
        <f>HYPERLINK("https://search.naver.com/search.naver?query=범죄의 재구성 시즌6", "범죄의 재구성 시즌6")</f>
        <v>범죄의 재구성 시즌6</v>
      </c>
      <c r="C1332" s="16"/>
      <c r="D1332" s="17" t="s">
        <v>2800</v>
      </c>
      <c r="E1332" s="14" t="s">
        <v>24</v>
      </c>
      <c r="F1332" s="14">
        <v>2019</v>
      </c>
      <c r="G1332" s="14" t="s">
        <v>20</v>
      </c>
      <c r="H1332" s="15" t="s">
        <v>115</v>
      </c>
      <c r="I1332" s="14" t="s">
        <v>2801</v>
      </c>
      <c r="J1332" s="132"/>
      <c r="K1332" s="150" t="s">
        <v>1559</v>
      </c>
    </row>
    <row r="1333" spans="1:11" ht="28.9" customHeight="1" thickTop="1" thickBot="1" x14ac:dyDescent="0.75">
      <c r="A1333" s="6">
        <v>1331</v>
      </c>
      <c r="B1333" s="58" t="str">
        <f>HYPERLINK("https://search.naver.com/search.naver?query=벚꽃 물든 게이샤 영화", "벚꽃 물든 게이샤")</f>
        <v>벚꽃 물든 게이샤</v>
      </c>
      <c r="C1333" s="12"/>
      <c r="D1333" s="13" t="s">
        <v>2807</v>
      </c>
      <c r="E1333" s="10" t="s">
        <v>19</v>
      </c>
      <c r="F1333" s="10">
        <v>2014</v>
      </c>
      <c r="G1333" s="10" t="s">
        <v>14</v>
      </c>
      <c r="H1333" s="11" t="s">
        <v>20</v>
      </c>
      <c r="I1333" s="10" t="s">
        <v>150</v>
      </c>
      <c r="J1333" s="131"/>
      <c r="K1333" s="149" t="s">
        <v>2808</v>
      </c>
    </row>
    <row r="1334" spans="1:11" ht="28.9" customHeight="1" thickTop="1" thickBot="1" x14ac:dyDescent="0.75">
      <c r="A1334" s="10">
        <v>1332</v>
      </c>
      <c r="B1334" s="57" t="str">
        <f>HYPERLINK("https://search.naver.com/search.naver?query=벚꽃, 다시 한 번 카나코 영화", "벚꽃, 다시 한 번 카나코")</f>
        <v>벚꽃, 다시 한 번 카나코</v>
      </c>
      <c r="C1334" s="8">
        <v>6.4</v>
      </c>
      <c r="D1334" s="9" t="s">
        <v>2809</v>
      </c>
      <c r="E1334" s="6" t="s">
        <v>19</v>
      </c>
      <c r="F1334" s="6">
        <v>2013</v>
      </c>
      <c r="G1334" s="6" t="s">
        <v>14</v>
      </c>
      <c r="H1334" s="7" t="s">
        <v>20</v>
      </c>
      <c r="I1334" s="6" t="s">
        <v>16</v>
      </c>
      <c r="J1334" s="130"/>
      <c r="K1334" s="148" t="s">
        <v>2810</v>
      </c>
    </row>
    <row r="1335" spans="1:11" ht="28.9" customHeight="1" thickTop="1" thickBot="1" x14ac:dyDescent="0.75">
      <c r="A1335" s="6">
        <v>1333</v>
      </c>
      <c r="B1335" s="58" t="str">
        <f>HYPERLINK("https://search.naver.com/search.naver?query=베가번스의 전설 영화", "베가번스의 전설")</f>
        <v>베가번스의 전설</v>
      </c>
      <c r="C1335" s="12">
        <v>7.79</v>
      </c>
      <c r="D1335" s="13" t="s">
        <v>2811</v>
      </c>
      <c r="E1335" s="10" t="s">
        <v>24</v>
      </c>
      <c r="F1335" s="10">
        <v>2000</v>
      </c>
      <c r="G1335" s="10" t="s">
        <v>14</v>
      </c>
      <c r="H1335" s="11" t="s">
        <v>20</v>
      </c>
      <c r="I1335" s="10" t="s">
        <v>105</v>
      </c>
      <c r="J1335" s="131"/>
      <c r="K1335" s="149" t="s">
        <v>2812</v>
      </c>
    </row>
    <row r="1336" spans="1:11" ht="28.9" customHeight="1" thickTop="1" thickBot="1" x14ac:dyDescent="0.75">
      <c r="A1336" s="10">
        <v>1334</v>
      </c>
      <c r="B1336" s="57" t="str">
        <f>HYPERLINK("https://search.naver.com/search.naver?query=베네데타 영화", "베네데타")</f>
        <v>베네데타</v>
      </c>
      <c r="C1336" s="8">
        <v>7.85</v>
      </c>
      <c r="D1336" s="9" t="s">
        <v>2813</v>
      </c>
      <c r="E1336" s="6" t="s">
        <v>310</v>
      </c>
      <c r="F1336" s="6">
        <v>2021</v>
      </c>
      <c r="G1336" s="6" t="s">
        <v>14</v>
      </c>
      <c r="H1336" s="7" t="s">
        <v>20</v>
      </c>
      <c r="I1336" s="6" t="s">
        <v>432</v>
      </c>
      <c r="J1336" s="130"/>
      <c r="K1336" s="148" t="s">
        <v>2814</v>
      </c>
    </row>
    <row r="1337" spans="1:11" ht="28.9" customHeight="1" thickTop="1" thickBot="1" x14ac:dyDescent="0.75">
      <c r="A1337" s="6">
        <v>1335</v>
      </c>
      <c r="B1337" s="58" t="str">
        <f>HYPERLINK("https://search.naver.com/search.naver?query=베놈 영화", "베놈")</f>
        <v>베놈</v>
      </c>
      <c r="C1337" s="12">
        <v>7.13</v>
      </c>
      <c r="D1337" s="13" t="s">
        <v>2815</v>
      </c>
      <c r="E1337" s="10" t="s">
        <v>24</v>
      </c>
      <c r="F1337" s="10">
        <v>2018</v>
      </c>
      <c r="G1337" s="10" t="s">
        <v>14</v>
      </c>
      <c r="H1337" s="11" t="s">
        <v>124</v>
      </c>
      <c r="I1337" s="10" t="s">
        <v>429</v>
      </c>
      <c r="J1337" s="131"/>
      <c r="K1337" s="149" t="s">
        <v>2816</v>
      </c>
    </row>
    <row r="1338" spans="1:11" ht="28.9" customHeight="1" thickTop="1" thickBot="1" x14ac:dyDescent="0.75">
      <c r="A1338" s="10">
        <v>1336</v>
      </c>
      <c r="B1338" s="57" t="str">
        <f>HYPERLINK("https://search.naver.com/search.naver?query=베로니카 게린 영화", "베로니카 게린")</f>
        <v>베로니카 게린</v>
      </c>
      <c r="C1338" s="8">
        <v>8.56</v>
      </c>
      <c r="D1338" s="9" t="s">
        <v>2817</v>
      </c>
      <c r="E1338" s="6" t="s">
        <v>944</v>
      </c>
      <c r="F1338" s="6">
        <v>2003</v>
      </c>
      <c r="G1338" s="6" t="s">
        <v>14</v>
      </c>
      <c r="H1338" s="7" t="s">
        <v>20</v>
      </c>
      <c r="I1338" s="6" t="s">
        <v>16</v>
      </c>
      <c r="J1338" s="130"/>
      <c r="K1338" s="148" t="s">
        <v>2818</v>
      </c>
    </row>
    <row r="1339" spans="1:11" ht="28.9" customHeight="1" thickTop="1" thickBot="1" x14ac:dyDescent="0.75">
      <c r="A1339" s="6">
        <v>1337</v>
      </c>
      <c r="B1339" s="58" t="str">
        <f>HYPERLINK("https://search.naver.com/search.naver?query=베로니카의 이중 생활 영화", "베로니카의 이중 생활")</f>
        <v>베로니카의 이중 생활</v>
      </c>
      <c r="C1339" s="12">
        <v>8.9600000000000009</v>
      </c>
      <c r="D1339" s="13" t="s">
        <v>2819</v>
      </c>
      <c r="E1339" s="10" t="s">
        <v>310</v>
      </c>
      <c r="F1339" s="10">
        <v>1991</v>
      </c>
      <c r="G1339" s="10" t="s">
        <v>14</v>
      </c>
      <c r="H1339" s="11" t="s">
        <v>20</v>
      </c>
      <c r="I1339" s="10" t="s">
        <v>16</v>
      </c>
      <c r="J1339" s="131"/>
      <c r="K1339" s="149" t="s">
        <v>2820</v>
      </c>
    </row>
    <row r="1340" spans="1:11" ht="28.9" customHeight="1" thickTop="1" thickBot="1" x14ac:dyDescent="0.75">
      <c r="A1340" s="10">
        <v>1338</v>
      </c>
      <c r="B1340" s="57" t="str">
        <f>HYPERLINK("https://search.naver.com/search.naver?query=베를린 영화", "베를린")</f>
        <v>베를린</v>
      </c>
      <c r="C1340" s="8">
        <v>8.5</v>
      </c>
      <c r="D1340" s="9" t="s">
        <v>2821</v>
      </c>
      <c r="E1340" s="6" t="s">
        <v>13</v>
      </c>
      <c r="F1340" s="6">
        <v>2013</v>
      </c>
      <c r="G1340" s="6" t="s">
        <v>14</v>
      </c>
      <c r="H1340" s="7" t="s">
        <v>124</v>
      </c>
      <c r="I1340" s="6" t="s">
        <v>116</v>
      </c>
      <c r="J1340" s="130"/>
      <c r="K1340" s="148" t="s">
        <v>2822</v>
      </c>
    </row>
    <row r="1341" spans="1:11" ht="28.9" customHeight="1" thickTop="1" thickBot="1" x14ac:dyDescent="0.75">
      <c r="A1341" s="6">
        <v>1339</v>
      </c>
      <c r="B1341" s="58" t="str">
        <f>HYPERLINK("https://search.naver.com/search.naver?query=베리 굿 걸 영화", "베리 굿 걸")</f>
        <v>베리 굿 걸</v>
      </c>
      <c r="C1341" s="12">
        <v>6.95</v>
      </c>
      <c r="D1341" s="13" t="s">
        <v>2823</v>
      </c>
      <c r="E1341" s="10" t="s">
        <v>19</v>
      </c>
      <c r="F1341" s="10">
        <v>2013</v>
      </c>
      <c r="G1341" s="10" t="s">
        <v>14</v>
      </c>
      <c r="H1341" s="11" t="s">
        <v>20</v>
      </c>
      <c r="I1341" s="10" t="s">
        <v>150</v>
      </c>
      <c r="J1341" s="131"/>
      <c r="K1341" s="149" t="s">
        <v>2824</v>
      </c>
    </row>
    <row r="1342" spans="1:11" ht="28.9" customHeight="1" thickTop="1" thickBot="1" x14ac:dyDescent="0.75">
      <c r="A1342" s="10">
        <v>1340</v>
      </c>
      <c r="B1342" s="57" t="str">
        <f>HYPERLINK("https://search.naver.com/search.naver?query=베스트 엑조틱 메리골드 호텔 영화", "베스트 엑조틱 메리골드 호텔")</f>
        <v>베스트 엑조틱 메리골드 호텔</v>
      </c>
      <c r="C1342" s="8">
        <v>8.07</v>
      </c>
      <c r="D1342" s="9" t="s">
        <v>2825</v>
      </c>
      <c r="E1342" s="6" t="s">
        <v>29</v>
      </c>
      <c r="F1342" s="6">
        <v>2011</v>
      </c>
      <c r="G1342" s="6" t="s">
        <v>14</v>
      </c>
      <c r="H1342" s="7" t="s">
        <v>91</v>
      </c>
      <c r="I1342" s="6" t="s">
        <v>183</v>
      </c>
      <c r="J1342" s="130"/>
      <c r="K1342" s="148" t="s">
        <v>2826</v>
      </c>
    </row>
    <row r="1343" spans="1:11" ht="28.9" customHeight="1" thickTop="1" thickBot="1" x14ac:dyDescent="0.75">
      <c r="A1343" s="6">
        <v>1341</v>
      </c>
      <c r="B1343" s="58" t="str">
        <f>HYPERLINK("https://search.naver.com/search.naver?query=베스트 엑조틱 메리골드 호텔 2 영화", "베스트 엑조틱 메리골드 호텔 2")</f>
        <v>베스트 엑조틱 메리골드 호텔 2</v>
      </c>
      <c r="C1343" s="12"/>
      <c r="D1343" s="13" t="s">
        <v>2827</v>
      </c>
      <c r="E1343" s="10" t="s">
        <v>29</v>
      </c>
      <c r="F1343" s="10">
        <v>2015</v>
      </c>
      <c r="G1343" s="10" t="s">
        <v>14</v>
      </c>
      <c r="H1343" s="11" t="s">
        <v>91</v>
      </c>
      <c r="I1343" s="10" t="s">
        <v>141</v>
      </c>
      <c r="J1343" s="131"/>
      <c r="K1343" s="149" t="s">
        <v>2828</v>
      </c>
    </row>
    <row r="1344" spans="1:11" ht="28.9" customHeight="1" thickTop="1" thickBot="1" x14ac:dyDescent="0.75">
      <c r="A1344" s="10">
        <v>1342</v>
      </c>
      <c r="B1344" s="57" t="str">
        <f>HYPERLINK("https://search.naver.com/search.naver?query=베스트 오퍼 영화", "베스트 오퍼")</f>
        <v>베스트 오퍼</v>
      </c>
      <c r="C1344" s="8">
        <v>8.56</v>
      </c>
      <c r="D1344" s="9" t="s">
        <v>2829</v>
      </c>
      <c r="E1344" s="6" t="s">
        <v>2001</v>
      </c>
      <c r="F1344" s="6">
        <v>2013</v>
      </c>
      <c r="G1344" s="6" t="s">
        <v>14</v>
      </c>
      <c r="H1344" s="7" t="s">
        <v>20</v>
      </c>
      <c r="I1344" s="6" t="s">
        <v>432</v>
      </c>
      <c r="J1344" s="130"/>
      <c r="K1344" s="148" t="s">
        <v>2830</v>
      </c>
    </row>
    <row r="1345" spans="1:11" ht="28.9" customHeight="1" thickTop="1" thickBot="1" x14ac:dyDescent="0.75">
      <c r="A1345" s="6">
        <v>1343</v>
      </c>
      <c r="B1345" s="58" t="str">
        <f>HYPERLINK("https://search.naver.com/search.naver?query=베스트셀러 영화", "베스트셀러")</f>
        <v>베스트셀러</v>
      </c>
      <c r="C1345" s="12">
        <v>7.59</v>
      </c>
      <c r="D1345" s="13" t="s">
        <v>2831</v>
      </c>
      <c r="E1345" s="10" t="s">
        <v>13</v>
      </c>
      <c r="F1345" s="10">
        <v>2010</v>
      </c>
      <c r="G1345" s="10" t="s">
        <v>14</v>
      </c>
      <c r="H1345" s="11" t="s">
        <v>54</v>
      </c>
      <c r="I1345" s="10" t="s">
        <v>60</v>
      </c>
      <c r="J1345" s="131"/>
      <c r="K1345" s="149" t="s">
        <v>2832</v>
      </c>
    </row>
    <row r="1346" spans="1:11" ht="28.9" customHeight="1" thickTop="1" thickBot="1" x14ac:dyDescent="0.75">
      <c r="A1346" s="10">
        <v>1344</v>
      </c>
      <c r="B1346" s="57" t="str">
        <f>HYPERLINK("https://search.naver.com/search.naver?query=베이 오브 사일런스 영화", "베이 오브 사일런스")</f>
        <v>베이 오브 사일런스</v>
      </c>
      <c r="C1346" s="8"/>
      <c r="D1346" s="9" t="s">
        <v>2833</v>
      </c>
      <c r="E1346" s="6" t="s">
        <v>29</v>
      </c>
      <c r="F1346" s="6">
        <v>2020</v>
      </c>
      <c r="G1346" s="6" t="s">
        <v>14</v>
      </c>
      <c r="H1346" s="7" t="s">
        <v>54</v>
      </c>
      <c r="I1346" s="6" t="s">
        <v>125</v>
      </c>
      <c r="J1346" s="130"/>
      <c r="K1346" s="148" t="s">
        <v>2834</v>
      </c>
    </row>
    <row r="1347" spans="1:11" ht="28.9" customHeight="1" thickTop="1" thickBot="1" x14ac:dyDescent="0.75">
      <c r="A1347" s="6">
        <v>1345</v>
      </c>
      <c r="B1347" s="58" t="str">
        <f>HYPERLINK("https://search.naver.com/search.naver?query=베일리 어게인 영화", "베일리 어게인")</f>
        <v>베일리 어게인</v>
      </c>
      <c r="C1347" s="12">
        <v>9.42</v>
      </c>
      <c r="D1347" s="13" t="s">
        <v>2835</v>
      </c>
      <c r="E1347" s="10" t="s">
        <v>24</v>
      </c>
      <c r="F1347" s="10">
        <v>2017</v>
      </c>
      <c r="G1347" s="10" t="s">
        <v>14</v>
      </c>
      <c r="H1347" s="11" t="s">
        <v>20</v>
      </c>
      <c r="I1347" s="10" t="s">
        <v>179</v>
      </c>
      <c r="J1347" s="131"/>
      <c r="K1347" s="149" t="s">
        <v>2128</v>
      </c>
    </row>
    <row r="1348" spans="1:11" ht="28.9" customHeight="1" thickTop="1" thickBot="1" x14ac:dyDescent="0.75">
      <c r="A1348" s="10">
        <v>1346</v>
      </c>
      <c r="B1348" s="57" t="str">
        <f>HYPERLINK("https://search.naver.com/search.naver?query=베터 데이즈 영화", "베터 데이즈")</f>
        <v>베터 데이즈</v>
      </c>
      <c r="C1348" s="8">
        <v>8.75</v>
      </c>
      <c r="D1348" s="9" t="s">
        <v>2836</v>
      </c>
      <c r="E1348" s="6" t="s">
        <v>186</v>
      </c>
      <c r="F1348" s="6">
        <v>2019</v>
      </c>
      <c r="G1348" s="6" t="s">
        <v>14</v>
      </c>
      <c r="H1348" s="7" t="s">
        <v>20</v>
      </c>
      <c r="I1348" s="6" t="s">
        <v>51</v>
      </c>
      <c r="J1348" s="130"/>
      <c r="K1348" s="148" t="s">
        <v>2837</v>
      </c>
    </row>
    <row r="1349" spans="1:11" ht="28.9" customHeight="1" thickTop="1" thickBot="1" x14ac:dyDescent="0.75">
      <c r="A1349" s="6">
        <v>1347</v>
      </c>
      <c r="B1349" s="59" t="str">
        <f>HYPERLINK("https://search.naver.com/search.naver?query=베터 콜 사울 시즌1", "베터 콜 사울 시즌1")</f>
        <v>베터 콜 사울 시즌1</v>
      </c>
      <c r="C1349" s="16"/>
      <c r="D1349" s="17" t="s">
        <v>2838</v>
      </c>
      <c r="E1349" s="14" t="s">
        <v>24</v>
      </c>
      <c r="F1349" s="14">
        <v>2015</v>
      </c>
      <c r="G1349" s="14" t="s">
        <v>20</v>
      </c>
      <c r="H1349" s="15" t="s">
        <v>115</v>
      </c>
      <c r="I1349" s="14" t="s">
        <v>64</v>
      </c>
      <c r="J1349" s="132"/>
      <c r="K1349" s="150" t="s">
        <v>2839</v>
      </c>
    </row>
    <row r="1350" spans="1:11" ht="28.9" customHeight="1" thickTop="1" thickBot="1" x14ac:dyDescent="0.75">
      <c r="A1350" s="10">
        <v>1348</v>
      </c>
      <c r="B1350" s="59" t="str">
        <f>HYPERLINK("https://search.naver.com/search.naver?query=베터 콜 사울 시즌2", "베터 콜 사울 시즌2")</f>
        <v>베터 콜 사울 시즌2</v>
      </c>
      <c r="C1350" s="16"/>
      <c r="D1350" s="17" t="s">
        <v>2838</v>
      </c>
      <c r="E1350" s="14" t="s">
        <v>24</v>
      </c>
      <c r="F1350" s="14">
        <v>2016</v>
      </c>
      <c r="G1350" s="14" t="s">
        <v>20</v>
      </c>
      <c r="H1350" s="15" t="s">
        <v>115</v>
      </c>
      <c r="I1350" s="14" t="s">
        <v>64</v>
      </c>
      <c r="J1350" s="132"/>
      <c r="K1350" s="150" t="s">
        <v>2188</v>
      </c>
    </row>
    <row r="1351" spans="1:11" ht="28.9" customHeight="1" thickTop="1" thickBot="1" x14ac:dyDescent="0.75">
      <c r="A1351" s="6">
        <v>1349</v>
      </c>
      <c r="B1351" s="59" t="str">
        <f>HYPERLINK("https://search.naver.com/search.naver?query=베터 콜 사울 시즌3", "베터 콜 사울 시즌3")</f>
        <v>베터 콜 사울 시즌3</v>
      </c>
      <c r="C1351" s="16"/>
      <c r="D1351" s="17" t="s">
        <v>2840</v>
      </c>
      <c r="E1351" s="14" t="s">
        <v>24</v>
      </c>
      <c r="F1351" s="14">
        <v>2017</v>
      </c>
      <c r="G1351" s="14" t="s">
        <v>20</v>
      </c>
      <c r="H1351" s="15" t="s">
        <v>115</v>
      </c>
      <c r="I1351" s="14" t="s">
        <v>64</v>
      </c>
      <c r="J1351" s="132"/>
      <c r="K1351" s="150" t="s">
        <v>2841</v>
      </c>
    </row>
    <row r="1352" spans="1:11" ht="28.9" customHeight="1" thickTop="1" thickBot="1" x14ac:dyDescent="0.75">
      <c r="A1352" s="10">
        <v>1350</v>
      </c>
      <c r="B1352" s="59" t="str">
        <f>HYPERLINK("https://search.naver.com/search.naver?query=베터 콜 사울 시즌4", "베터 콜 사울 시즌4")</f>
        <v>베터 콜 사울 시즌4</v>
      </c>
      <c r="C1352" s="16"/>
      <c r="D1352" s="17" t="s">
        <v>2838</v>
      </c>
      <c r="E1352" s="14" t="s">
        <v>24</v>
      </c>
      <c r="F1352" s="14">
        <v>2018</v>
      </c>
      <c r="G1352" s="14" t="s">
        <v>20</v>
      </c>
      <c r="H1352" s="15" t="s">
        <v>115</v>
      </c>
      <c r="I1352" s="14" t="s">
        <v>64</v>
      </c>
      <c r="J1352" s="132"/>
      <c r="K1352" s="150" t="s">
        <v>2842</v>
      </c>
    </row>
    <row r="1353" spans="1:11" ht="28.9" customHeight="1" thickTop="1" thickBot="1" x14ac:dyDescent="0.75">
      <c r="A1353" s="6">
        <v>1351</v>
      </c>
      <c r="B1353" s="59" t="str">
        <f>HYPERLINK("https://search.naver.com/search.naver?query=베터 콜 사울 시즌5", "베터 콜 사울 시즌5")</f>
        <v>베터 콜 사울 시즌5</v>
      </c>
      <c r="C1353" s="16"/>
      <c r="D1353" s="17" t="s">
        <v>2838</v>
      </c>
      <c r="E1353" s="14" t="s">
        <v>24</v>
      </c>
      <c r="F1353" s="14">
        <v>2020</v>
      </c>
      <c r="G1353" s="14" t="s">
        <v>20</v>
      </c>
      <c r="H1353" s="15" t="s">
        <v>115</v>
      </c>
      <c r="I1353" s="14" t="s">
        <v>64</v>
      </c>
      <c r="J1353" s="132"/>
      <c r="K1353" s="150" t="s">
        <v>2843</v>
      </c>
    </row>
    <row r="1354" spans="1:11" ht="28.9" customHeight="1" thickTop="1" thickBot="1" x14ac:dyDescent="0.75">
      <c r="A1354" s="10">
        <v>1352</v>
      </c>
      <c r="B1354" s="59" t="str">
        <f>HYPERLINK("https://search.naver.com/search.naver?query=베터 콜 사울 시즌6", "베터 콜 사울 시즌6")</f>
        <v>베터 콜 사울 시즌6</v>
      </c>
      <c r="C1354" s="16"/>
      <c r="D1354" s="17" t="s">
        <v>2844</v>
      </c>
      <c r="E1354" s="14" t="s">
        <v>24</v>
      </c>
      <c r="F1354" s="14">
        <v>2022</v>
      </c>
      <c r="G1354" s="14" t="s">
        <v>20</v>
      </c>
      <c r="H1354" s="15" t="s">
        <v>115</v>
      </c>
      <c r="I1354" s="14" t="s">
        <v>1588</v>
      </c>
      <c r="J1354" s="132"/>
      <c r="K1354" s="150" t="s">
        <v>2845</v>
      </c>
    </row>
    <row r="1355" spans="1:11" ht="28.9" customHeight="1" thickTop="1" thickBot="1" x14ac:dyDescent="0.75">
      <c r="A1355" s="6">
        <v>1353</v>
      </c>
      <c r="B1355" s="58" t="str">
        <f>HYPERLINK("https://search.naver.com/search.naver?query=베테랑1 영화", "베테랑")</f>
        <v>베테랑</v>
      </c>
      <c r="C1355" s="12">
        <v>9.2200000000000006</v>
      </c>
      <c r="D1355" s="13" t="s">
        <v>2846</v>
      </c>
      <c r="E1355" s="10" t="s">
        <v>13</v>
      </c>
      <c r="F1355" s="10">
        <v>2015</v>
      </c>
      <c r="G1355" s="10" t="s">
        <v>14</v>
      </c>
      <c r="H1355" s="11" t="s">
        <v>124</v>
      </c>
      <c r="I1355" s="10" t="s">
        <v>183</v>
      </c>
      <c r="J1355" s="131"/>
      <c r="K1355" s="149" t="s">
        <v>2847</v>
      </c>
    </row>
    <row r="1356" spans="1:11" ht="28.9" customHeight="1" thickTop="1" thickBot="1" x14ac:dyDescent="0.75">
      <c r="A1356" s="10">
        <v>1354</v>
      </c>
      <c r="B1356" s="57" t="str">
        <f>HYPERLINK("https://search.naver.com/search.naver?query=베테랑2 영화", "베테랑2")</f>
        <v>베테랑2</v>
      </c>
      <c r="C1356" s="8">
        <v>6.62</v>
      </c>
      <c r="D1356" s="9" t="s">
        <v>2848</v>
      </c>
      <c r="E1356" s="6" t="s">
        <v>13</v>
      </c>
      <c r="F1356" s="6">
        <v>2024</v>
      </c>
      <c r="G1356" s="6" t="s">
        <v>14</v>
      </c>
      <c r="H1356" s="7" t="s">
        <v>124</v>
      </c>
      <c r="I1356" s="6" t="s">
        <v>329</v>
      </c>
      <c r="J1356" s="130"/>
      <c r="K1356" s="148" t="s">
        <v>2849</v>
      </c>
    </row>
    <row r="1357" spans="1:11" ht="28.9" customHeight="1" thickTop="1" thickBot="1" x14ac:dyDescent="0.75">
      <c r="A1357" s="6">
        <v>1355</v>
      </c>
      <c r="B1357" s="58" t="str">
        <f>HYPERLINK("https://search.naver.com/search.naver?query=벡키 영화", "벡키")</f>
        <v>벡키</v>
      </c>
      <c r="C1357" s="12">
        <v>6.21</v>
      </c>
      <c r="D1357" s="13" t="s">
        <v>2850</v>
      </c>
      <c r="E1357" s="10" t="s">
        <v>24</v>
      </c>
      <c r="F1357" s="10">
        <v>2020</v>
      </c>
      <c r="G1357" s="10" t="s">
        <v>14</v>
      </c>
      <c r="H1357" s="11" t="s">
        <v>124</v>
      </c>
      <c r="I1357" s="10" t="s">
        <v>125</v>
      </c>
      <c r="J1357" s="131"/>
      <c r="K1357" s="149" t="s">
        <v>2851</v>
      </c>
    </row>
    <row r="1358" spans="1:11" ht="28.9" customHeight="1" thickTop="1" thickBot="1" x14ac:dyDescent="0.75">
      <c r="A1358" s="10">
        <v>1356</v>
      </c>
      <c r="B1358" s="57" t="str">
        <f>HYPERLINK("https://search.naver.com/search.naver?query=벤자민 버튼의 시간은 거꾸로 간다 영화", "벤자민 버튼의 시간은 거꾸로 간다")</f>
        <v>벤자민 버튼의 시간은 거꾸로 간다</v>
      </c>
      <c r="C1358" s="8">
        <v>9.52</v>
      </c>
      <c r="D1358" s="9" t="s">
        <v>2852</v>
      </c>
      <c r="E1358" s="6" t="s">
        <v>24</v>
      </c>
      <c r="F1358" s="6">
        <v>2008</v>
      </c>
      <c r="G1358" s="6" t="s">
        <v>14</v>
      </c>
      <c r="H1358" s="7" t="s">
        <v>20</v>
      </c>
      <c r="I1358" s="6" t="s">
        <v>2853</v>
      </c>
      <c r="J1358" s="130"/>
      <c r="K1358" s="148" t="s">
        <v>2854</v>
      </c>
    </row>
    <row r="1359" spans="1:11" ht="28.9" customHeight="1" thickTop="1" thickBot="1" x14ac:dyDescent="0.75">
      <c r="A1359" s="6">
        <v>1357</v>
      </c>
      <c r="B1359" s="58" t="str">
        <f>HYPERLINK("https://search.naver.com/search.naver?query=벤쿠버의 아침 영화", "벤쿠버의 아침")</f>
        <v>벤쿠버의 아침</v>
      </c>
      <c r="C1359" s="12"/>
      <c r="D1359" s="13" t="s">
        <v>2855</v>
      </c>
      <c r="E1359" s="10" t="s">
        <v>19</v>
      </c>
      <c r="F1359" s="10">
        <v>2014</v>
      </c>
      <c r="G1359" s="10" t="s">
        <v>14</v>
      </c>
      <c r="H1359" s="11" t="s">
        <v>20</v>
      </c>
      <c r="I1359" s="10" t="s">
        <v>917</v>
      </c>
      <c r="J1359" s="131"/>
      <c r="K1359" s="149" t="s">
        <v>2808</v>
      </c>
    </row>
    <row r="1360" spans="1:11" ht="28.9" customHeight="1" thickTop="1" thickBot="1" x14ac:dyDescent="0.75">
      <c r="A1360" s="10">
        <v>1358</v>
      </c>
      <c r="B1360" s="57" t="str">
        <f>HYPERLINK("https://search.naver.com/search.naver?query=벨 칸토 영화", "벨 칸토")</f>
        <v>벨 칸토</v>
      </c>
      <c r="C1360" s="8">
        <v>7.36</v>
      </c>
      <c r="D1360" s="9" t="s">
        <v>2856</v>
      </c>
      <c r="E1360" s="6" t="s">
        <v>24</v>
      </c>
      <c r="F1360" s="6">
        <v>2018</v>
      </c>
      <c r="G1360" s="6" t="s">
        <v>14</v>
      </c>
      <c r="H1360" s="7" t="s">
        <v>20</v>
      </c>
      <c r="I1360" s="6" t="s">
        <v>133</v>
      </c>
      <c r="J1360" s="130"/>
      <c r="K1360" s="148" t="s">
        <v>2857</v>
      </c>
    </row>
    <row r="1361" spans="1:11" ht="28.9" customHeight="1" thickTop="1" thickBot="1" x14ac:dyDescent="0.75">
      <c r="A1361" s="6">
        <v>1359</v>
      </c>
      <c r="B1361" s="58" t="str">
        <f>HYPERLINK("https://search.naver.com/search.naver?query=벨과 세바스찬 영화", "벨과 세바스찬")</f>
        <v>벨과 세바스찬</v>
      </c>
      <c r="C1361" s="12">
        <v>8.86</v>
      </c>
      <c r="D1361" s="13" t="s">
        <v>2858</v>
      </c>
      <c r="E1361" s="10" t="s">
        <v>310</v>
      </c>
      <c r="F1361" s="10">
        <v>2013</v>
      </c>
      <c r="G1361" s="10" t="s">
        <v>14</v>
      </c>
      <c r="H1361" s="11" t="s">
        <v>20</v>
      </c>
      <c r="I1361" s="10" t="s">
        <v>242</v>
      </c>
      <c r="J1361" s="131"/>
      <c r="K1361" s="149" t="s">
        <v>2859</v>
      </c>
    </row>
    <row r="1362" spans="1:11" ht="28.9" customHeight="1" thickTop="1" thickBot="1" x14ac:dyDescent="0.75">
      <c r="A1362" s="10">
        <v>1360</v>
      </c>
      <c r="B1362" s="57" t="str">
        <f>HYPERLINK("https://search.naver.com/search.naver?query=벨라 영화", "벨라")</f>
        <v>벨라</v>
      </c>
      <c r="C1362" s="8">
        <v>8.4</v>
      </c>
      <c r="D1362" s="9" t="s">
        <v>2860</v>
      </c>
      <c r="E1362" s="6" t="s">
        <v>24</v>
      </c>
      <c r="F1362" s="6">
        <v>2006</v>
      </c>
      <c r="G1362" s="6" t="s">
        <v>14</v>
      </c>
      <c r="H1362" s="7" t="s">
        <v>20</v>
      </c>
      <c r="I1362" s="6" t="s">
        <v>361</v>
      </c>
      <c r="J1362" s="130"/>
      <c r="K1362" s="148" t="s">
        <v>2861</v>
      </c>
    </row>
    <row r="1363" spans="1:11" ht="28.9" customHeight="1" thickTop="1" thickBot="1" x14ac:dyDescent="0.75">
      <c r="A1363" s="6">
        <v>1361</v>
      </c>
      <c r="B1363" s="58" t="str">
        <f>HYPERLINK("https://search.naver.com/search.naver?query=벨벳 버즈소 영화", "벨벳 버즈소")</f>
        <v>벨벳 버즈소</v>
      </c>
      <c r="C1363" s="12"/>
      <c r="D1363" s="13" t="s">
        <v>2862</v>
      </c>
      <c r="E1363" s="10" t="s">
        <v>24</v>
      </c>
      <c r="F1363" s="10">
        <v>2019</v>
      </c>
      <c r="G1363" s="10" t="s">
        <v>14</v>
      </c>
      <c r="H1363" s="11" t="s">
        <v>54</v>
      </c>
      <c r="I1363" s="10" t="s">
        <v>98</v>
      </c>
      <c r="J1363" s="131"/>
      <c r="K1363" s="149" t="s">
        <v>2863</v>
      </c>
    </row>
    <row r="1364" spans="1:11" ht="28.9" customHeight="1" thickTop="1" thickBot="1" x14ac:dyDescent="0.75">
      <c r="A1364" s="10">
        <v>1362</v>
      </c>
      <c r="B1364" s="57" t="str">
        <f>HYPERLINK("https://search.naver.com/search.naver?query=벨아미 영화", "벨아미")</f>
        <v>벨아미</v>
      </c>
      <c r="C1364" s="8">
        <v>6.66</v>
      </c>
      <c r="D1364" s="9" t="s">
        <v>2864</v>
      </c>
      <c r="E1364" s="6" t="s">
        <v>29</v>
      </c>
      <c r="F1364" s="6">
        <v>2012</v>
      </c>
      <c r="G1364" s="6" t="s">
        <v>14</v>
      </c>
      <c r="H1364" s="7" t="s">
        <v>20</v>
      </c>
      <c r="I1364" s="6" t="s">
        <v>133</v>
      </c>
      <c r="J1364" s="130"/>
      <c r="K1364" s="148" t="s">
        <v>2865</v>
      </c>
    </row>
    <row r="1365" spans="1:11" ht="28.9" customHeight="1" thickTop="1" thickBot="1" x14ac:dyDescent="0.75">
      <c r="A1365" s="6">
        <v>1363</v>
      </c>
      <c r="B1365" s="58" t="str">
        <f>HYPERLINK("https://search.naver.com/search.naver?query=변산 영화", "변산")</f>
        <v>변산</v>
      </c>
      <c r="C1365" s="12">
        <v>8.34</v>
      </c>
      <c r="D1365" s="13" t="s">
        <v>2866</v>
      </c>
      <c r="E1365" s="10" t="s">
        <v>13</v>
      </c>
      <c r="F1365" s="10">
        <v>2017</v>
      </c>
      <c r="G1365" s="10" t="s">
        <v>14</v>
      </c>
      <c r="H1365" s="11" t="s">
        <v>20</v>
      </c>
      <c r="I1365" s="10" t="s">
        <v>76</v>
      </c>
      <c r="J1365" s="131"/>
      <c r="K1365" s="149" t="s">
        <v>2867</v>
      </c>
    </row>
    <row r="1366" spans="1:11" ht="28.9" customHeight="1" thickTop="1" thickBot="1" x14ac:dyDescent="0.75">
      <c r="A1366" s="10">
        <v>1364</v>
      </c>
      <c r="B1366" s="57" t="str">
        <f>HYPERLINK("https://search.naver.com/search.naver?query=변호인 영화", "변호인")</f>
        <v>변호인</v>
      </c>
      <c r="C1366" s="8">
        <v>9.3000000000000007</v>
      </c>
      <c r="D1366" s="9" t="s">
        <v>2868</v>
      </c>
      <c r="E1366" s="6" t="s">
        <v>13</v>
      </c>
      <c r="F1366" s="6">
        <v>2013</v>
      </c>
      <c r="G1366" s="6" t="s">
        <v>14</v>
      </c>
      <c r="H1366" s="7" t="s">
        <v>20</v>
      </c>
      <c r="I1366" s="6" t="s">
        <v>210</v>
      </c>
      <c r="J1366" s="130"/>
      <c r="K1366" s="148" t="s">
        <v>2869</v>
      </c>
    </row>
    <row r="1367" spans="1:11" ht="28.9" customHeight="1" thickTop="1" thickBot="1" x14ac:dyDescent="0.75">
      <c r="A1367" s="6">
        <v>1365</v>
      </c>
      <c r="B1367" s="58" t="str">
        <f>HYPERLINK("https://search.naver.com/search.naver?query=보고타:마지막 기회의 땅 영화", "보고타 - 마지막 기회의 땅")</f>
        <v>보고타 - 마지막 기회의 땅</v>
      </c>
      <c r="C1367" s="12">
        <v>6.23</v>
      </c>
      <c r="D1367" s="13" t="s">
        <v>2870</v>
      </c>
      <c r="E1367" s="10" t="s">
        <v>13</v>
      </c>
      <c r="F1367" s="10">
        <v>2024</v>
      </c>
      <c r="G1367" s="10" t="s">
        <v>14</v>
      </c>
      <c r="H1367" s="11" t="s">
        <v>428</v>
      </c>
      <c r="I1367" s="10" t="s">
        <v>101</v>
      </c>
      <c r="J1367" s="131"/>
      <c r="K1367" s="149" t="s">
        <v>2871</v>
      </c>
    </row>
    <row r="1368" spans="1:11" ht="28.9" customHeight="1" thickTop="1" thickBot="1" x14ac:dyDescent="0.75">
      <c r="A1368" s="10">
        <v>1366</v>
      </c>
      <c r="B1368" s="57" t="str">
        <f>HYPERLINK("https://search.naver.com/search.naver?query=보더타운 영화", "보더타운")</f>
        <v>보더타운</v>
      </c>
      <c r="C1368" s="8">
        <v>6.4</v>
      </c>
      <c r="D1368" s="9" t="s">
        <v>2872</v>
      </c>
      <c r="E1368" s="6" t="s">
        <v>24</v>
      </c>
      <c r="F1368" s="6">
        <v>2007</v>
      </c>
      <c r="G1368" s="6" t="s">
        <v>14</v>
      </c>
      <c r="H1368" s="7" t="s">
        <v>20</v>
      </c>
      <c r="I1368" s="6" t="s">
        <v>429</v>
      </c>
      <c r="J1368" s="130"/>
      <c r="K1368" s="148" t="s">
        <v>2873</v>
      </c>
    </row>
    <row r="1369" spans="1:11" ht="28.9" customHeight="1" thickTop="1" thickBot="1" x14ac:dyDescent="0.75">
      <c r="A1369" s="6">
        <v>1367</v>
      </c>
      <c r="B1369" s="58" t="str">
        <f>HYPERLINK("https://search.naver.com/search.naver?query=보디가드", "보디가드")</f>
        <v>보디가드</v>
      </c>
      <c r="C1369" s="12">
        <v>4.7300000000000004</v>
      </c>
      <c r="D1369" s="13" t="s">
        <v>1359</v>
      </c>
      <c r="E1369" s="10" t="s">
        <v>24</v>
      </c>
      <c r="F1369" s="10">
        <v>1992</v>
      </c>
      <c r="G1369" s="10" t="s">
        <v>14</v>
      </c>
      <c r="H1369" s="11" t="s">
        <v>165</v>
      </c>
      <c r="I1369" s="10" t="s">
        <v>85</v>
      </c>
      <c r="J1369" s="131"/>
      <c r="K1369" s="149" t="s">
        <v>2874</v>
      </c>
    </row>
    <row r="1370" spans="1:11" ht="28.9" customHeight="1" thickTop="1" thickBot="1" x14ac:dyDescent="0.75">
      <c r="A1370" s="10">
        <v>1368</v>
      </c>
      <c r="B1370" s="59" t="str">
        <f>HYPERLINK("https://search.naver.com/search.naver?query=보디가드 영화", "보디가드")</f>
        <v>보디가드</v>
      </c>
      <c r="C1370" s="16"/>
      <c r="D1370" s="17" t="s">
        <v>2875</v>
      </c>
      <c r="E1370" s="14" t="s">
        <v>29</v>
      </c>
      <c r="F1370" s="14">
        <v>2018</v>
      </c>
      <c r="G1370" s="14" t="s">
        <v>20</v>
      </c>
      <c r="H1370" s="15" t="s">
        <v>15</v>
      </c>
      <c r="I1370" s="14" t="s">
        <v>247</v>
      </c>
      <c r="J1370" s="132"/>
      <c r="K1370" s="150" t="s">
        <v>2876</v>
      </c>
    </row>
    <row r="1371" spans="1:11" ht="28.9" customHeight="1" thickTop="1" thickBot="1" x14ac:dyDescent="0.75">
      <c r="A1371" s="6">
        <v>1369</v>
      </c>
      <c r="B1371" s="59" t="str">
        <f>HYPERLINK("https://search.naver.com/search.naver?query=보슈 시즌1", "보슈 시즌1")</f>
        <v>보슈 시즌1</v>
      </c>
      <c r="C1371" s="16"/>
      <c r="D1371" s="17" t="s">
        <v>2877</v>
      </c>
      <c r="E1371" s="14" t="s">
        <v>24</v>
      </c>
      <c r="F1371" s="14">
        <v>2014</v>
      </c>
      <c r="G1371" s="14" t="s">
        <v>20</v>
      </c>
      <c r="H1371" s="15" t="s">
        <v>20</v>
      </c>
      <c r="I1371" s="14" t="s">
        <v>64</v>
      </c>
      <c r="J1371" s="132"/>
      <c r="K1371" s="150" t="s">
        <v>2878</v>
      </c>
    </row>
    <row r="1372" spans="1:11" ht="28.9" customHeight="1" thickTop="1" thickBot="1" x14ac:dyDescent="0.75">
      <c r="A1372" s="10">
        <v>1370</v>
      </c>
      <c r="B1372" s="57" t="str">
        <f>HYPERLINK("https://search.naver.com/search.naver?query=보스턴 교살자 영화", "보스턴 교살자")</f>
        <v>보스턴 교살자</v>
      </c>
      <c r="C1372" s="8">
        <v>7.77</v>
      </c>
      <c r="D1372" s="9" t="s">
        <v>2879</v>
      </c>
      <c r="E1372" s="6" t="s">
        <v>24</v>
      </c>
      <c r="F1372" s="6">
        <v>2023</v>
      </c>
      <c r="G1372" s="6" t="s">
        <v>14</v>
      </c>
      <c r="H1372" s="7" t="s">
        <v>428</v>
      </c>
      <c r="I1372" s="6" t="s">
        <v>429</v>
      </c>
      <c r="J1372" s="130"/>
      <c r="K1372" s="148" t="s">
        <v>2880</v>
      </c>
    </row>
    <row r="1373" spans="1:11" ht="28.9" customHeight="1" thickTop="1" thickBot="1" x14ac:dyDescent="0.75">
      <c r="A1373" s="6">
        <v>1371</v>
      </c>
      <c r="B1373" s="58" t="str">
        <f>HYPERLINK("https://search.naver.com/search.naver?query=보이 이레이즈드 영화", "보이 이레이즈드")</f>
        <v>보이 이레이즈드</v>
      </c>
      <c r="C1373" s="12">
        <v>6.4</v>
      </c>
      <c r="D1373" s="13" t="s">
        <v>2881</v>
      </c>
      <c r="E1373" s="10" t="s">
        <v>24</v>
      </c>
      <c r="F1373" s="10">
        <v>2018</v>
      </c>
      <c r="G1373" s="10" t="s">
        <v>14</v>
      </c>
      <c r="H1373" s="11" t="s">
        <v>20</v>
      </c>
      <c r="I1373" s="10" t="s">
        <v>60</v>
      </c>
      <c r="J1373" s="131"/>
      <c r="K1373" s="149" t="s">
        <v>2882</v>
      </c>
    </row>
    <row r="1374" spans="1:11" ht="28.9" customHeight="1" thickTop="1" thickBot="1" x14ac:dyDescent="0.75">
      <c r="A1374" s="10">
        <v>1372</v>
      </c>
      <c r="B1374" s="59" t="str">
        <f>HYPERLINK("https://search.naver.com/search.naver?query=보이스 시즌1", "보이스")</f>
        <v>보이스</v>
      </c>
      <c r="C1374" s="16"/>
      <c r="D1374" s="17" t="s">
        <v>2883</v>
      </c>
      <c r="E1374" s="14" t="s">
        <v>13</v>
      </c>
      <c r="F1374" s="14">
        <v>2017</v>
      </c>
      <c r="G1374" s="14" t="s">
        <v>20</v>
      </c>
      <c r="H1374" s="15" t="s">
        <v>54</v>
      </c>
      <c r="I1374" s="14" t="s">
        <v>825</v>
      </c>
      <c r="J1374" s="132"/>
      <c r="K1374" s="150" t="s">
        <v>2884</v>
      </c>
    </row>
    <row r="1375" spans="1:11" ht="28.9" customHeight="1" thickTop="1" thickBot="1" x14ac:dyDescent="0.75">
      <c r="A1375" s="6">
        <v>1373</v>
      </c>
      <c r="B1375" s="58" t="str">
        <f>HYPERLINK("https://search.naver.com/search.naver?query=보이스 영화", "보이스")</f>
        <v>보이스</v>
      </c>
      <c r="C1375" s="12">
        <v>7.84</v>
      </c>
      <c r="D1375" s="13" t="s">
        <v>2885</v>
      </c>
      <c r="E1375" s="10" t="s">
        <v>13</v>
      </c>
      <c r="F1375" s="10">
        <v>2021</v>
      </c>
      <c r="G1375" s="10" t="s">
        <v>14</v>
      </c>
      <c r="H1375" s="11" t="s">
        <v>54</v>
      </c>
      <c r="I1375" s="10" t="s">
        <v>187</v>
      </c>
      <c r="J1375" s="131"/>
      <c r="K1375" s="149" t="s">
        <v>2886</v>
      </c>
    </row>
    <row r="1376" spans="1:11" ht="28.9" customHeight="1" thickTop="1" thickBot="1" x14ac:dyDescent="0.75">
      <c r="A1376" s="10">
        <v>1374</v>
      </c>
      <c r="B1376" s="57" t="str">
        <f>HYPERLINK("https://search.naver.com/search.naver?query=보이저스 영화", "보이저스")</f>
        <v>보이저스</v>
      </c>
      <c r="C1376" s="8">
        <v>7.27</v>
      </c>
      <c r="D1376" s="9" t="s">
        <v>2887</v>
      </c>
      <c r="E1376" s="6" t="s">
        <v>24</v>
      </c>
      <c r="F1376" s="6">
        <v>2021</v>
      </c>
      <c r="G1376" s="6" t="s">
        <v>14</v>
      </c>
      <c r="H1376" s="7" t="s">
        <v>877</v>
      </c>
      <c r="I1376" s="6" t="s">
        <v>38</v>
      </c>
      <c r="J1376" s="130"/>
      <c r="K1376" s="148" t="s">
        <v>2888</v>
      </c>
    </row>
    <row r="1377" spans="1:11" ht="28.9" customHeight="1" thickTop="1" thickBot="1" x14ac:dyDescent="0.75">
      <c r="A1377" s="6">
        <v>1375</v>
      </c>
      <c r="B1377" s="58" t="str">
        <f>HYPERLINK("https://search.naver.com/search.naver?query=보이카 - 언디스퓨티드 파이널 영화", "보이카 - 언디스퓨티드 파이널")</f>
        <v>보이카 - 언디스퓨티드 파이널</v>
      </c>
      <c r="C1377" s="12">
        <v>6.4</v>
      </c>
      <c r="D1377" s="13" t="s">
        <v>2889</v>
      </c>
      <c r="E1377" s="10" t="s">
        <v>24</v>
      </c>
      <c r="F1377" s="10">
        <v>2016</v>
      </c>
      <c r="G1377" s="10" t="s">
        <v>14</v>
      </c>
      <c r="H1377" s="11" t="s">
        <v>124</v>
      </c>
      <c r="I1377" s="10" t="s">
        <v>1136</v>
      </c>
      <c r="J1377" s="131"/>
      <c r="K1377" s="149" t="s">
        <v>2890</v>
      </c>
    </row>
    <row r="1378" spans="1:11" ht="28.9" customHeight="1" thickTop="1" thickBot="1" x14ac:dyDescent="0.75">
      <c r="A1378" s="10">
        <v>1376</v>
      </c>
      <c r="B1378" s="57" t="str">
        <f>HYPERLINK("https://search.naver.com/search.naver?query=보이후드 영화", "보이후드")</f>
        <v>보이후드</v>
      </c>
      <c r="C1378" s="8">
        <v>8.9</v>
      </c>
      <c r="D1378" s="9" t="s">
        <v>2891</v>
      </c>
      <c r="E1378" s="6" t="s">
        <v>24</v>
      </c>
      <c r="F1378" s="6">
        <v>2014</v>
      </c>
      <c r="G1378" s="6" t="s">
        <v>14</v>
      </c>
      <c r="H1378" s="7" t="s">
        <v>20</v>
      </c>
      <c r="I1378" s="6" t="s">
        <v>961</v>
      </c>
      <c r="J1378" s="130"/>
      <c r="K1378" s="148" t="s">
        <v>2892</v>
      </c>
    </row>
    <row r="1379" spans="1:11" ht="28.9" customHeight="1" thickTop="1" thickBot="1" x14ac:dyDescent="0.75">
      <c r="A1379" s="6">
        <v>1377</v>
      </c>
      <c r="B1379" s="58" t="str">
        <f>HYPERLINK("https://search.naver.com/search.naver?query=보통사람 영화", "보통사람")</f>
        <v>보통사람</v>
      </c>
      <c r="C1379" s="12">
        <v>8.49</v>
      </c>
      <c r="D1379" s="13" t="s">
        <v>2893</v>
      </c>
      <c r="E1379" s="10" t="s">
        <v>13</v>
      </c>
      <c r="F1379" s="10">
        <v>2017</v>
      </c>
      <c r="G1379" s="10" t="s">
        <v>14</v>
      </c>
      <c r="H1379" s="11" t="s">
        <v>20</v>
      </c>
      <c r="I1379" s="10" t="s">
        <v>195</v>
      </c>
      <c r="J1379" s="131"/>
      <c r="K1379" s="149" t="s">
        <v>2867</v>
      </c>
    </row>
    <row r="1380" spans="1:11" ht="28.9" customHeight="1" thickTop="1" thickBot="1" x14ac:dyDescent="0.75">
      <c r="A1380" s="10">
        <v>1378</v>
      </c>
      <c r="B1380" s="57" t="str">
        <f>HYPERLINK("https://search.naver.com/search.naver?query=보통의 가족 영화", "보통의 가족")</f>
        <v>보통의 가족</v>
      </c>
      <c r="C1380" s="8">
        <v>8.01</v>
      </c>
      <c r="D1380" s="9" t="s">
        <v>2894</v>
      </c>
      <c r="E1380" s="6" t="s">
        <v>13</v>
      </c>
      <c r="F1380" s="6">
        <v>2024</v>
      </c>
      <c r="G1380" s="6" t="s">
        <v>14</v>
      </c>
      <c r="H1380" s="7" t="s">
        <v>20</v>
      </c>
      <c r="I1380" s="6" t="s">
        <v>187</v>
      </c>
      <c r="J1380" s="130"/>
      <c r="K1380" s="148" t="s">
        <v>2895</v>
      </c>
    </row>
    <row r="1381" spans="1:11" ht="28.9" customHeight="1" thickTop="1" thickBot="1" x14ac:dyDescent="0.75">
      <c r="A1381" s="6">
        <v>1379</v>
      </c>
      <c r="B1381" s="58" t="str">
        <f>HYPERLINK("https://search.naver.com/search.naver?query=보헤미안 랩소디 영화", "보헤미안 랩소디")</f>
        <v>보헤미안 랩소디</v>
      </c>
      <c r="C1381" s="12">
        <v>9.4499999999999993</v>
      </c>
      <c r="D1381" s="13" t="s">
        <v>2896</v>
      </c>
      <c r="E1381" s="10" t="s">
        <v>29</v>
      </c>
      <c r="F1381" s="10">
        <v>2018</v>
      </c>
      <c r="G1381" s="10" t="s">
        <v>14</v>
      </c>
      <c r="H1381" s="11" t="s">
        <v>20</v>
      </c>
      <c r="I1381" s="10" t="s">
        <v>917</v>
      </c>
      <c r="J1381" s="131"/>
      <c r="K1381" s="149" t="s">
        <v>2897</v>
      </c>
    </row>
    <row r="1382" spans="1:11" ht="28.9" customHeight="1" thickTop="1" thickBot="1" x14ac:dyDescent="0.75">
      <c r="A1382" s="10">
        <v>1380</v>
      </c>
      <c r="B1382" s="57" t="str">
        <f>HYPERLINK("https://search.naver.com/search.naver?query=보호받지 못한 사람들 영화", "보호받지 못한 사람들")</f>
        <v>보호받지 못한 사람들</v>
      </c>
      <c r="C1382" s="8">
        <v>6.4</v>
      </c>
      <c r="D1382" s="9" t="s">
        <v>2898</v>
      </c>
      <c r="E1382" s="6" t="s">
        <v>19</v>
      </c>
      <c r="F1382" s="6">
        <v>2021</v>
      </c>
      <c r="G1382" s="6" t="s">
        <v>14</v>
      </c>
      <c r="H1382" s="7" t="s">
        <v>20</v>
      </c>
      <c r="I1382" s="6" t="s">
        <v>51</v>
      </c>
      <c r="J1382" s="130"/>
      <c r="K1382" s="148" t="s">
        <v>2899</v>
      </c>
    </row>
    <row r="1383" spans="1:11" ht="28.9" customHeight="1" thickTop="1" thickBot="1" x14ac:dyDescent="0.75">
      <c r="A1383" s="6">
        <v>1381</v>
      </c>
      <c r="B1383" s="58" t="str">
        <f>HYPERLINK("https://search.naver.com/search.naver?query=보호자 영화", "보호자")</f>
        <v>보호자</v>
      </c>
      <c r="C1383" s="12">
        <v>5.39</v>
      </c>
      <c r="D1383" s="13" t="s">
        <v>2900</v>
      </c>
      <c r="E1383" s="10" t="s">
        <v>13</v>
      </c>
      <c r="F1383" s="10">
        <v>2023</v>
      </c>
      <c r="G1383" s="10" t="s">
        <v>14</v>
      </c>
      <c r="H1383" s="11" t="s">
        <v>124</v>
      </c>
      <c r="I1383" s="10" t="s">
        <v>169</v>
      </c>
      <c r="J1383" s="131"/>
      <c r="K1383" s="149" t="s">
        <v>2901</v>
      </c>
    </row>
    <row r="1384" spans="1:11" ht="28.9" customHeight="1" thickTop="1" thickBot="1" x14ac:dyDescent="0.75">
      <c r="A1384" s="10">
        <v>1382</v>
      </c>
      <c r="B1384" s="57" t="str">
        <f>HYPERLINK("https://search.naver.com/search.naver?query=복수는 나의 것 영화", "복수는 나의 것")</f>
        <v>복수는 나의 것</v>
      </c>
      <c r="C1384" s="8">
        <v>8.44</v>
      </c>
      <c r="D1384" s="9" t="s">
        <v>2902</v>
      </c>
      <c r="E1384" s="6" t="s">
        <v>19</v>
      </c>
      <c r="F1384" s="6">
        <v>1979</v>
      </c>
      <c r="G1384" s="6" t="s">
        <v>14</v>
      </c>
      <c r="H1384" s="7" t="s">
        <v>428</v>
      </c>
      <c r="I1384" s="6" t="s">
        <v>930</v>
      </c>
      <c r="J1384" s="130"/>
      <c r="K1384" s="148" t="s">
        <v>2903</v>
      </c>
    </row>
    <row r="1385" spans="1:11" ht="28.9" customHeight="1" thickTop="1" thickBot="1" x14ac:dyDescent="0.75">
      <c r="A1385" s="6">
        <v>1383</v>
      </c>
      <c r="B1385" s="58" t="str">
        <f>HYPERLINK("https://search.naver.com/search.naver?query=복수의 사도-어포슬 영화", "복수의 사도-어포슬")</f>
        <v>복수의 사도-어포슬</v>
      </c>
      <c r="C1385" s="12"/>
      <c r="D1385" s="13" t="s">
        <v>2904</v>
      </c>
      <c r="E1385" s="10" t="s">
        <v>29</v>
      </c>
      <c r="F1385" s="10">
        <v>2018</v>
      </c>
      <c r="G1385" s="10" t="s">
        <v>14</v>
      </c>
      <c r="H1385" s="11" t="s">
        <v>382</v>
      </c>
      <c r="I1385" s="10" t="s">
        <v>42</v>
      </c>
      <c r="J1385" s="131"/>
      <c r="K1385" s="149" t="s">
        <v>2905</v>
      </c>
    </row>
    <row r="1386" spans="1:11" ht="28.9" customHeight="1" thickTop="1" thickBot="1" x14ac:dyDescent="0.75">
      <c r="A1386" s="10">
        <v>1384</v>
      </c>
      <c r="B1386" s="57" t="str">
        <f>HYPERLINK("https://search.naver.com/search.naver?query=본 슈프리머시 영화", "본 슈프리머시")</f>
        <v>본 슈프리머시</v>
      </c>
      <c r="C1386" s="8">
        <v>8.99</v>
      </c>
      <c r="D1386" s="9" t="s">
        <v>2906</v>
      </c>
      <c r="E1386" s="6" t="s">
        <v>24</v>
      </c>
      <c r="F1386" s="6">
        <v>2004</v>
      </c>
      <c r="G1386" s="6" t="s">
        <v>14</v>
      </c>
      <c r="H1386" s="7" t="s">
        <v>124</v>
      </c>
      <c r="I1386" s="6" t="s">
        <v>38</v>
      </c>
      <c r="J1386" s="130"/>
      <c r="K1386" s="148" t="s">
        <v>2907</v>
      </c>
    </row>
    <row r="1387" spans="1:11" ht="28.9" customHeight="1" thickTop="1" thickBot="1" x14ac:dyDescent="0.75">
      <c r="A1387" s="6">
        <v>1385</v>
      </c>
      <c r="B1387" s="58" t="str">
        <f>HYPERLINK("https://search.naver.com/search.naver?query=본 투 비 블루 영화", "본 투 비 블루")</f>
        <v>본 투 비 블루</v>
      </c>
      <c r="C1387" s="12">
        <v>8.85</v>
      </c>
      <c r="D1387" s="13" t="s">
        <v>2908</v>
      </c>
      <c r="E1387" s="10" t="s">
        <v>275</v>
      </c>
      <c r="F1387" s="10">
        <v>2015</v>
      </c>
      <c r="G1387" s="10" t="s">
        <v>14</v>
      </c>
      <c r="H1387" s="11" t="s">
        <v>20</v>
      </c>
      <c r="I1387" s="10" t="s">
        <v>169</v>
      </c>
      <c r="J1387" s="131"/>
      <c r="K1387" s="149" t="s">
        <v>2909</v>
      </c>
    </row>
    <row r="1388" spans="1:11" ht="28.9" customHeight="1" thickTop="1" thickBot="1" x14ac:dyDescent="0.75">
      <c r="A1388" s="10">
        <v>1386</v>
      </c>
      <c r="B1388" s="57" t="str">
        <f>HYPERLINK("https://search.naver.com/search.naver?query=볼케이노 영화", "볼케이노")</f>
        <v>볼케이노</v>
      </c>
      <c r="C1388" s="8">
        <v>8.89</v>
      </c>
      <c r="D1388" s="9" t="s">
        <v>2910</v>
      </c>
      <c r="E1388" s="6" t="s">
        <v>24</v>
      </c>
      <c r="F1388" s="6">
        <v>1997</v>
      </c>
      <c r="G1388" s="6" t="s">
        <v>14</v>
      </c>
      <c r="H1388" s="7" t="s">
        <v>124</v>
      </c>
      <c r="I1388" s="6" t="s">
        <v>242</v>
      </c>
      <c r="J1388" s="130"/>
      <c r="K1388" s="148" t="s">
        <v>2911</v>
      </c>
    </row>
    <row r="1389" spans="1:11" ht="28.9" customHeight="1" thickTop="1" thickBot="1" x14ac:dyDescent="0.75">
      <c r="A1389" s="6">
        <v>1387</v>
      </c>
      <c r="B1389" s="58" t="str">
        <f>HYPERLINK("https://search.naver.com/search.naver?query=봄날 영화", "봄날")</f>
        <v>봄날</v>
      </c>
      <c r="C1389" s="12">
        <v>7.23</v>
      </c>
      <c r="D1389" s="13" t="s">
        <v>2912</v>
      </c>
      <c r="E1389" s="10" t="s">
        <v>13</v>
      </c>
      <c r="F1389" s="10">
        <v>2022</v>
      </c>
      <c r="G1389" s="10" t="s">
        <v>14</v>
      </c>
      <c r="H1389" s="11" t="s">
        <v>20</v>
      </c>
      <c r="I1389" s="10" t="s">
        <v>133</v>
      </c>
      <c r="J1389" s="131"/>
      <c r="K1389" s="149" t="s">
        <v>2913</v>
      </c>
    </row>
    <row r="1390" spans="1:11" ht="28.9" customHeight="1" thickTop="1" thickBot="1" x14ac:dyDescent="0.75">
      <c r="A1390" s="10">
        <v>1388</v>
      </c>
      <c r="B1390" s="57" t="str">
        <f>HYPERLINK("https://search.naver.com/search.naver?query=봄날은 간다 영화", "봄날은 간다")</f>
        <v>봄날은 간다</v>
      </c>
      <c r="C1390" s="8">
        <v>9.15</v>
      </c>
      <c r="D1390" s="9" t="s">
        <v>2914</v>
      </c>
      <c r="E1390" s="6" t="s">
        <v>13</v>
      </c>
      <c r="F1390" s="6">
        <v>2001</v>
      </c>
      <c r="G1390" s="6" t="s">
        <v>14</v>
      </c>
      <c r="H1390" s="7" t="s">
        <v>20</v>
      </c>
      <c r="I1390" s="6" t="s">
        <v>443</v>
      </c>
      <c r="J1390" s="130"/>
      <c r="K1390" s="148" t="s">
        <v>2915</v>
      </c>
    </row>
    <row r="1391" spans="1:11" ht="28.9" customHeight="1" thickTop="1" thickBot="1" x14ac:dyDescent="0.75">
      <c r="A1391" s="6">
        <v>1389</v>
      </c>
      <c r="B1391" s="58" t="str">
        <f>HYPERLINK("https://search.naver.com/search.naver?query=봄을 짊어지고 영화", "봄을 짊어지고")</f>
        <v>봄을 짊어지고</v>
      </c>
      <c r="C1391" s="12">
        <v>6.4</v>
      </c>
      <c r="D1391" s="13" t="s">
        <v>2916</v>
      </c>
      <c r="E1391" s="10" t="s">
        <v>19</v>
      </c>
      <c r="F1391" s="10">
        <v>2014</v>
      </c>
      <c r="G1391" s="10" t="s">
        <v>14</v>
      </c>
      <c r="H1391" s="11" t="s">
        <v>20</v>
      </c>
      <c r="I1391" s="10" t="s">
        <v>591</v>
      </c>
      <c r="J1391" s="131"/>
      <c r="K1391" s="149" t="s">
        <v>2917</v>
      </c>
    </row>
    <row r="1392" spans="1:11" ht="28.9" customHeight="1" thickTop="1" thickBot="1" x14ac:dyDescent="0.75">
      <c r="A1392" s="10">
        <v>1390</v>
      </c>
      <c r="B1392" s="57" t="str">
        <f>HYPERLINK("https://search.naver.com/search.naver?query=봉오동 전투 영화", "봉오동 전투")</f>
        <v>봉오동 전투</v>
      </c>
      <c r="C1392" s="8">
        <v>9.07</v>
      </c>
      <c r="D1392" s="9" t="s">
        <v>2918</v>
      </c>
      <c r="E1392" s="6" t="s">
        <v>13</v>
      </c>
      <c r="F1392" s="6">
        <v>2019</v>
      </c>
      <c r="G1392" s="6" t="s">
        <v>14</v>
      </c>
      <c r="H1392" s="7" t="s">
        <v>1247</v>
      </c>
      <c r="I1392" s="6" t="s">
        <v>51</v>
      </c>
      <c r="J1392" s="130"/>
      <c r="K1392" s="148" t="s">
        <v>2919</v>
      </c>
    </row>
    <row r="1393" spans="1:11" ht="28.9" customHeight="1" thickTop="1" thickBot="1" x14ac:dyDescent="0.75">
      <c r="A1393" s="6">
        <v>1391</v>
      </c>
      <c r="B1393" s="58" t="str">
        <f>HYPERLINK("https://search.naver.com/search.naver?query=봉이 김선달 영화", "봉이 김선달")</f>
        <v>봉이 김선달</v>
      </c>
      <c r="C1393" s="12">
        <v>8.27</v>
      </c>
      <c r="D1393" s="13" t="s">
        <v>2920</v>
      </c>
      <c r="E1393" s="10" t="s">
        <v>13</v>
      </c>
      <c r="F1393" s="10">
        <v>2016</v>
      </c>
      <c r="G1393" s="10" t="s">
        <v>14</v>
      </c>
      <c r="H1393" s="11" t="s">
        <v>91</v>
      </c>
      <c r="I1393" s="10" t="s">
        <v>195</v>
      </c>
      <c r="J1393" s="131"/>
      <c r="K1393" s="149" t="s">
        <v>2921</v>
      </c>
    </row>
    <row r="1394" spans="1:11" ht="28.9" customHeight="1" thickTop="1" thickBot="1" x14ac:dyDescent="0.75">
      <c r="A1394" s="10">
        <v>1392</v>
      </c>
      <c r="B1394" s="57" t="str">
        <f>HYPERLINK("https://search.naver.com/search.naver?query=부라더 영화", "부라더")</f>
        <v>부라더</v>
      </c>
      <c r="C1394" s="8">
        <v>7.83</v>
      </c>
      <c r="D1394" s="9" t="s">
        <v>2922</v>
      </c>
      <c r="E1394" s="6" t="s">
        <v>13</v>
      </c>
      <c r="F1394" s="6">
        <v>2017</v>
      </c>
      <c r="G1394" s="6" t="s">
        <v>14</v>
      </c>
      <c r="H1394" s="7" t="s">
        <v>91</v>
      </c>
      <c r="I1394" s="6" t="s">
        <v>133</v>
      </c>
      <c r="J1394" s="130"/>
      <c r="K1394" s="148" t="s">
        <v>2923</v>
      </c>
    </row>
    <row r="1395" spans="1:11" ht="28.9" customHeight="1" thickTop="1" thickBot="1" x14ac:dyDescent="0.75">
      <c r="A1395" s="6">
        <v>1393</v>
      </c>
      <c r="B1395" s="58" t="str">
        <f>HYPERLINK("https://search.naver.com/search.naver?query=부러진 화살 영화", "부러진 화살")</f>
        <v>부러진 화살</v>
      </c>
      <c r="C1395" s="12">
        <v>8.91</v>
      </c>
      <c r="D1395" s="13" t="s">
        <v>2924</v>
      </c>
      <c r="E1395" s="10" t="s">
        <v>13</v>
      </c>
      <c r="F1395" s="10">
        <v>2011</v>
      </c>
      <c r="G1395" s="10" t="s">
        <v>14</v>
      </c>
      <c r="H1395" s="11" t="s">
        <v>20</v>
      </c>
      <c r="I1395" s="10" t="s">
        <v>179</v>
      </c>
      <c r="J1395" s="131"/>
      <c r="K1395" s="149" t="s">
        <v>2925</v>
      </c>
    </row>
    <row r="1396" spans="1:11" ht="28.9" customHeight="1" thickTop="1" thickBot="1" x14ac:dyDescent="0.75">
      <c r="A1396" s="10">
        <v>1394</v>
      </c>
      <c r="B1396" s="57" t="str">
        <f>HYPERLINK("https://search.naver.com/search.naver?query=부모님과 이혼하는 방법 영화", "부모님과 이혼하는 방법")</f>
        <v>부모님과 이혼하는 방법</v>
      </c>
      <c r="C1396" s="8">
        <v>7.78</v>
      </c>
      <c r="D1396" s="9" t="s">
        <v>2926</v>
      </c>
      <c r="E1396" s="6" t="s">
        <v>24</v>
      </c>
      <c r="F1396" s="6">
        <v>2016</v>
      </c>
      <c r="G1396" s="6" t="s">
        <v>14</v>
      </c>
      <c r="H1396" s="7" t="s">
        <v>20</v>
      </c>
      <c r="I1396" s="6" t="s">
        <v>443</v>
      </c>
      <c r="J1396" s="130"/>
      <c r="K1396" s="148" t="s">
        <v>2927</v>
      </c>
    </row>
    <row r="1397" spans="1:11" ht="28.9" customHeight="1" thickTop="1" thickBot="1" x14ac:dyDescent="0.75">
      <c r="A1397" s="6">
        <v>1395</v>
      </c>
      <c r="B1397" s="58" t="str">
        <f>HYPERLINK("https://search.naver.com/search.naver?query=부산행 영화", "부산행")</f>
        <v>부산행</v>
      </c>
      <c r="C1397" s="12">
        <v>8.6</v>
      </c>
      <c r="D1397" s="13" t="s">
        <v>2928</v>
      </c>
      <c r="E1397" s="10" t="s">
        <v>13</v>
      </c>
      <c r="F1397" s="10">
        <v>2016</v>
      </c>
      <c r="G1397" s="10" t="s">
        <v>14</v>
      </c>
      <c r="H1397" s="11" t="s">
        <v>124</v>
      </c>
      <c r="I1397" s="10" t="s">
        <v>329</v>
      </c>
      <c r="J1397" s="131"/>
      <c r="K1397" s="149" t="s">
        <v>2929</v>
      </c>
    </row>
    <row r="1398" spans="1:11" ht="28.9" customHeight="1" thickTop="1" thickBot="1" x14ac:dyDescent="0.75">
      <c r="A1398" s="10">
        <v>1396</v>
      </c>
      <c r="B1398" s="57" t="str">
        <f>HYPERLINK("https://search.naver.com/search.naver?query=부에나 비스타 소셜 클럽 영화", "부에나 비스타 소셜 클럽")</f>
        <v>부에나 비스타 소셜 클럽</v>
      </c>
      <c r="C1398" s="8">
        <v>8.82</v>
      </c>
      <c r="D1398" s="9" t="s">
        <v>2930</v>
      </c>
      <c r="E1398" s="6" t="s">
        <v>136</v>
      </c>
      <c r="F1398" s="6">
        <v>1999</v>
      </c>
      <c r="G1398" s="6" t="s">
        <v>14</v>
      </c>
      <c r="H1398" s="7" t="s">
        <v>226</v>
      </c>
      <c r="I1398" s="6" t="s">
        <v>175</v>
      </c>
      <c r="J1398" s="130"/>
      <c r="K1398" s="148" t="s">
        <v>2931</v>
      </c>
    </row>
    <row r="1399" spans="1:11" ht="28.9" customHeight="1" thickTop="1" thickBot="1" x14ac:dyDescent="0.75">
      <c r="A1399" s="6">
        <v>1397</v>
      </c>
      <c r="B1399" s="59" t="str">
        <f>HYPERLINK("https://search.naver.com/search.naver?query=부인은 취급주의", "부인은 취급주의")</f>
        <v>부인은 취급주의</v>
      </c>
      <c r="C1399" s="16"/>
      <c r="D1399" s="17" t="s">
        <v>2932</v>
      </c>
      <c r="E1399" s="14" t="s">
        <v>19</v>
      </c>
      <c r="F1399" s="14">
        <v>2017</v>
      </c>
      <c r="G1399" s="14" t="s">
        <v>20</v>
      </c>
      <c r="H1399" s="15" t="s">
        <v>20</v>
      </c>
      <c r="I1399" s="14" t="s">
        <v>64</v>
      </c>
      <c r="J1399" s="132"/>
      <c r="K1399" s="150" t="s">
        <v>2933</v>
      </c>
    </row>
    <row r="1400" spans="1:11" ht="28.9" customHeight="1" thickTop="1" thickBot="1" x14ac:dyDescent="0.75">
      <c r="A1400" s="10">
        <v>1398</v>
      </c>
      <c r="B1400" s="57" t="str">
        <f>HYPERLINK("https://search.naver.com/search.naver?query=부재양니고단 영화", "부재양니고단")</f>
        <v>부재양니고단</v>
      </c>
      <c r="C1400" s="8">
        <v>8.81</v>
      </c>
      <c r="D1400" s="9" t="s">
        <v>2934</v>
      </c>
      <c r="E1400" s="6" t="s">
        <v>186</v>
      </c>
      <c r="F1400" s="6">
        <v>2011</v>
      </c>
      <c r="G1400" s="6" t="s">
        <v>14</v>
      </c>
      <c r="H1400" s="7" t="s">
        <v>20</v>
      </c>
      <c r="I1400" s="6" t="s">
        <v>183</v>
      </c>
      <c r="J1400" s="130"/>
      <c r="K1400" s="148" t="s">
        <v>2935</v>
      </c>
    </row>
    <row r="1401" spans="1:11" ht="28.9" customHeight="1" thickTop="1" thickBot="1" x14ac:dyDescent="0.75">
      <c r="A1401" s="6">
        <v>1399</v>
      </c>
      <c r="B1401" s="58" t="str">
        <f>HYPERLINK("https://search.naver.com/search.naver?query=부탁 하나만 들어줘 영화", "부탁 하나만 들어줘")</f>
        <v>부탁 하나만 들어줘</v>
      </c>
      <c r="C1401" s="12">
        <v>8.16</v>
      </c>
      <c r="D1401" s="13" t="s">
        <v>2936</v>
      </c>
      <c r="E1401" s="10" t="s">
        <v>24</v>
      </c>
      <c r="F1401" s="10">
        <v>2018</v>
      </c>
      <c r="G1401" s="10" t="s">
        <v>14</v>
      </c>
      <c r="H1401" s="11" t="s">
        <v>428</v>
      </c>
      <c r="I1401" s="10" t="s">
        <v>120</v>
      </c>
      <c r="J1401" s="131"/>
      <c r="K1401" s="149" t="s">
        <v>2937</v>
      </c>
    </row>
    <row r="1402" spans="1:11" ht="28.9" customHeight="1" thickTop="1" thickBot="1" x14ac:dyDescent="0.75">
      <c r="A1402" s="10">
        <v>1400</v>
      </c>
      <c r="B1402" s="57" t="str">
        <f>HYPERLINK("https://search.naver.com/search.naver?query=부활 영화", "부활")</f>
        <v>부활</v>
      </c>
      <c r="C1402" s="8">
        <v>8.93</v>
      </c>
      <c r="D1402" s="9" t="s">
        <v>2938</v>
      </c>
      <c r="E1402" s="6" t="s">
        <v>24</v>
      </c>
      <c r="F1402" s="6">
        <v>2016</v>
      </c>
      <c r="G1402" s="6" t="s">
        <v>14</v>
      </c>
      <c r="H1402" s="7" t="s">
        <v>20</v>
      </c>
      <c r="I1402" s="6" t="s">
        <v>38</v>
      </c>
      <c r="J1402" s="130"/>
      <c r="K1402" s="148" t="s">
        <v>2939</v>
      </c>
    </row>
    <row r="1403" spans="1:11" ht="28.9" customHeight="1" thickTop="1" thickBot="1" x14ac:dyDescent="0.75">
      <c r="A1403" s="6">
        <v>1401</v>
      </c>
      <c r="B1403" s="58" t="str">
        <f>HYPERLINK("https://search.naver.com/search.naver?query=북 오브 러브 영화", "북 오브 러브")</f>
        <v>북 오브 러브</v>
      </c>
      <c r="C1403" s="12">
        <v>8</v>
      </c>
      <c r="D1403" s="13" t="s">
        <v>2940</v>
      </c>
      <c r="E1403" s="10" t="s">
        <v>2941</v>
      </c>
      <c r="F1403" s="10">
        <v>2022</v>
      </c>
      <c r="G1403" s="10" t="s">
        <v>14</v>
      </c>
      <c r="H1403" s="11" t="s">
        <v>91</v>
      </c>
      <c r="I1403" s="10" t="s">
        <v>443</v>
      </c>
      <c r="J1403" s="131"/>
      <c r="K1403" s="149" t="s">
        <v>2942</v>
      </c>
    </row>
    <row r="1404" spans="1:11" ht="28.9" customHeight="1" thickTop="1" thickBot="1" x14ac:dyDescent="0.75">
      <c r="A1404" s="10">
        <v>1402</v>
      </c>
      <c r="B1404" s="59" t="str">
        <f>HYPERLINK("https://search.naver.com/search.naver?query=북극성", "북극성")</f>
        <v>북극성</v>
      </c>
      <c r="C1404" s="16"/>
      <c r="D1404" s="17" t="s">
        <v>2943</v>
      </c>
      <c r="E1404" s="14" t="s">
        <v>13</v>
      </c>
      <c r="F1404" s="14">
        <v>2025</v>
      </c>
      <c r="G1404" s="14" t="s">
        <v>20</v>
      </c>
      <c r="H1404" s="15" t="s">
        <v>20</v>
      </c>
      <c r="I1404" s="14" t="s">
        <v>364</v>
      </c>
      <c r="J1404" s="132"/>
      <c r="K1404" s="150" t="s">
        <v>2944</v>
      </c>
    </row>
    <row r="1405" spans="1:11" ht="28.9" customHeight="1" thickTop="1" thickBot="1" x14ac:dyDescent="0.75">
      <c r="A1405" s="6">
        <v>1403</v>
      </c>
      <c r="B1405" s="58" t="str">
        <f>HYPERLINK("https://search.naver.com/search.naver?query=북의 영년 영화", "북의 영년")</f>
        <v>북의 영년</v>
      </c>
      <c r="C1405" s="12">
        <v>6.4</v>
      </c>
      <c r="D1405" s="13" t="s">
        <v>2945</v>
      </c>
      <c r="E1405" s="10" t="s">
        <v>19</v>
      </c>
      <c r="F1405" s="10">
        <v>2004</v>
      </c>
      <c r="G1405" s="10" t="s">
        <v>14</v>
      </c>
      <c r="H1405" s="11" t="s">
        <v>20</v>
      </c>
      <c r="I1405" s="10" t="s">
        <v>2946</v>
      </c>
      <c r="J1405" s="131"/>
      <c r="K1405" s="149" t="s">
        <v>2947</v>
      </c>
    </row>
    <row r="1406" spans="1:11" ht="28.9" customHeight="1" thickTop="1" thickBot="1" x14ac:dyDescent="0.75">
      <c r="A1406" s="10">
        <v>1404</v>
      </c>
      <c r="B1406" s="57" t="str">
        <f>HYPERLINK("https://search.naver.com/search.naver?query=북쪽의 카나리아들 영화", "북쪽의 카나리아들")</f>
        <v>북쪽의 카나리아들</v>
      </c>
      <c r="C1406" s="8"/>
      <c r="D1406" s="9" t="s">
        <v>2948</v>
      </c>
      <c r="E1406" s="6" t="s">
        <v>19</v>
      </c>
      <c r="F1406" s="6">
        <v>2012</v>
      </c>
      <c r="G1406" s="6" t="s">
        <v>14</v>
      </c>
      <c r="H1406" s="7" t="s">
        <v>20</v>
      </c>
      <c r="I1406" s="6" t="s">
        <v>183</v>
      </c>
      <c r="J1406" s="130"/>
      <c r="K1406" s="148" t="s">
        <v>2949</v>
      </c>
    </row>
    <row r="1407" spans="1:11" ht="28.9" customHeight="1" thickTop="1" thickBot="1" x14ac:dyDescent="0.75">
      <c r="A1407" s="6">
        <v>1405</v>
      </c>
      <c r="B1407" s="58" t="str">
        <f>HYPERLINK("https://search.naver.com/search.naver?query=분노 영화", "분노")</f>
        <v>분노</v>
      </c>
      <c r="C1407" s="12">
        <v>8.75</v>
      </c>
      <c r="D1407" s="13" t="s">
        <v>2950</v>
      </c>
      <c r="E1407" s="10" t="s">
        <v>19</v>
      </c>
      <c r="F1407" s="10">
        <v>2017</v>
      </c>
      <c r="G1407" s="10" t="s">
        <v>14</v>
      </c>
      <c r="H1407" s="11" t="s">
        <v>54</v>
      </c>
      <c r="I1407" s="10" t="s">
        <v>356</v>
      </c>
      <c r="J1407" s="131"/>
      <c r="K1407" s="149" t="s">
        <v>2951</v>
      </c>
    </row>
    <row r="1408" spans="1:11" ht="28.9" customHeight="1" thickTop="1" thickBot="1" x14ac:dyDescent="0.75">
      <c r="A1408" s="10">
        <v>1406</v>
      </c>
      <c r="B1408" s="57" t="str">
        <f>HYPERLINK("https://search.naver.com/search.naver?query=분노의 역류 영화", "분노의 역류")</f>
        <v>분노의 역류</v>
      </c>
      <c r="C1408" s="8">
        <v>9.2100000000000009</v>
      </c>
      <c r="D1408" s="9" t="s">
        <v>2952</v>
      </c>
      <c r="E1408" s="6" t="s">
        <v>24</v>
      </c>
      <c r="F1408" s="6">
        <v>1991</v>
      </c>
      <c r="G1408" s="6" t="s">
        <v>14</v>
      </c>
      <c r="H1408" s="7" t="s">
        <v>20</v>
      </c>
      <c r="I1408" s="6" t="s">
        <v>558</v>
      </c>
      <c r="J1408" s="130"/>
      <c r="K1408" s="148" t="s">
        <v>2953</v>
      </c>
    </row>
    <row r="1409" spans="1:11" ht="28.9" customHeight="1" thickTop="1" thickBot="1" x14ac:dyDescent="0.75">
      <c r="A1409" s="6">
        <v>1407</v>
      </c>
      <c r="B1409" s="58" t="str">
        <f>HYPERLINK("https://search.naver.com/search.naver?query=영화 분노의 역류2019", "분노의 역류-2")</f>
        <v>분노의 역류-2</v>
      </c>
      <c r="C1409" s="12"/>
      <c r="D1409" s="13" t="s">
        <v>2954</v>
      </c>
      <c r="E1409" s="10" t="s">
        <v>24</v>
      </c>
      <c r="F1409" s="10">
        <v>2019</v>
      </c>
      <c r="G1409" s="10" t="s">
        <v>14</v>
      </c>
      <c r="H1409" s="11" t="s">
        <v>20</v>
      </c>
      <c r="I1409" s="10" t="s">
        <v>150</v>
      </c>
      <c r="J1409" s="131"/>
      <c r="K1409" s="149" t="s">
        <v>1383</v>
      </c>
    </row>
    <row r="1410" spans="1:11" ht="28.9" customHeight="1" thickTop="1" thickBot="1" x14ac:dyDescent="0.75">
      <c r="A1410" s="10">
        <v>1408</v>
      </c>
      <c r="B1410" s="57" t="str">
        <f>HYPERLINK("https://search.naver.com/search.naver?query=분노의 질주 더 맥시멈 영화", "분노의 질주 - 더 맥시멈")</f>
        <v>분노의 질주 - 더 맥시멈</v>
      </c>
      <c r="C1410" s="8">
        <v>8.82</v>
      </c>
      <c r="D1410" s="9" t="s">
        <v>2955</v>
      </c>
      <c r="E1410" s="6" t="s">
        <v>24</v>
      </c>
      <c r="F1410" s="6">
        <v>2013</v>
      </c>
      <c r="G1410" s="6" t="s">
        <v>14</v>
      </c>
      <c r="H1410" s="7" t="s">
        <v>124</v>
      </c>
      <c r="I1410" s="6" t="s">
        <v>42</v>
      </c>
      <c r="J1410" s="130"/>
      <c r="K1410" s="148" t="s">
        <v>2956</v>
      </c>
    </row>
    <row r="1411" spans="1:11" ht="28.9" customHeight="1" thickTop="1" thickBot="1" x14ac:dyDescent="0.75">
      <c r="A1411" s="6">
        <v>1409</v>
      </c>
      <c r="B1411" s="58" t="str">
        <f>HYPERLINK("https://search.naver.com/search.naver?query=분노의 질주 더 세븐 영화", "분노의 질주 - 더 세븐")</f>
        <v>분노의 질주 - 더 세븐</v>
      </c>
      <c r="C1411" s="12">
        <v>9.2100000000000009</v>
      </c>
      <c r="D1411" s="13" t="s">
        <v>2957</v>
      </c>
      <c r="E1411" s="10" t="s">
        <v>24</v>
      </c>
      <c r="F1411" s="10">
        <v>2015</v>
      </c>
      <c r="G1411" s="10" t="s">
        <v>14</v>
      </c>
      <c r="H1411" s="11" t="s">
        <v>124</v>
      </c>
      <c r="I1411" s="10" t="s">
        <v>269</v>
      </c>
      <c r="J1411" s="131"/>
      <c r="K1411" s="149" t="s">
        <v>2958</v>
      </c>
    </row>
    <row r="1412" spans="1:11" ht="28.9" customHeight="1" thickTop="1" thickBot="1" x14ac:dyDescent="0.75">
      <c r="A1412" s="10">
        <v>1410</v>
      </c>
      <c r="B1412" s="57" t="str">
        <f>HYPERLINK("https://search.naver.com/search.naver?query=분노의 질주 8 더 익스트림 영화", "분노의 질주 8 더 익스트림")</f>
        <v>분노의 질주 8 더 익스트림</v>
      </c>
      <c r="C1412" s="8">
        <v>6.4</v>
      </c>
      <c r="D1412" s="9" t="s">
        <v>2959</v>
      </c>
      <c r="E1412" s="6" t="s">
        <v>24</v>
      </c>
      <c r="F1412" s="6">
        <v>2017</v>
      </c>
      <c r="G1412" s="6" t="s">
        <v>14</v>
      </c>
      <c r="H1412" s="7" t="s">
        <v>124</v>
      </c>
      <c r="I1412" s="6" t="s">
        <v>578</v>
      </c>
      <c r="J1412" s="130"/>
      <c r="K1412" s="148" t="s">
        <v>2960</v>
      </c>
    </row>
    <row r="1413" spans="1:11" ht="28.9" customHeight="1" thickTop="1" thickBot="1" x14ac:dyDescent="0.75">
      <c r="A1413" s="6">
        <v>1411</v>
      </c>
      <c r="B1413" s="58" t="str">
        <f>HYPERLINK("https://search.naver.com/search.naver?query=분노의 질주 더 얼티메이트 영화", "분노의 질주-더 얼티메이트")</f>
        <v>분노의 질주-더 얼티메이트</v>
      </c>
      <c r="C1413" s="12">
        <v>8.74</v>
      </c>
      <c r="D1413" s="13" t="s">
        <v>2961</v>
      </c>
      <c r="E1413" s="10" t="s">
        <v>24</v>
      </c>
      <c r="F1413" s="10">
        <v>2021</v>
      </c>
      <c r="G1413" s="10" t="s">
        <v>14</v>
      </c>
      <c r="H1413" s="11" t="s">
        <v>124</v>
      </c>
      <c r="I1413" s="10" t="s">
        <v>30</v>
      </c>
      <c r="J1413" s="131"/>
      <c r="K1413" s="149" t="s">
        <v>2962</v>
      </c>
    </row>
    <row r="1414" spans="1:11" ht="28.9" customHeight="1" thickTop="1" thickBot="1" x14ac:dyDescent="0.75">
      <c r="A1414" s="10">
        <v>1412</v>
      </c>
      <c r="B1414" s="57" t="str">
        <f>HYPERLINK("https://search.naver.com/search.naver?query=분노의 질주 홉스&amp;쇼 영화", "분노의 질주-홉스&amp;쇼")</f>
        <v>분노의 질주-홉스&amp;쇼</v>
      </c>
      <c r="C1414" s="8">
        <v>6.4</v>
      </c>
      <c r="D1414" s="9" t="s">
        <v>2963</v>
      </c>
      <c r="E1414" s="6" t="s">
        <v>24</v>
      </c>
      <c r="F1414" s="6">
        <v>2019</v>
      </c>
      <c r="G1414" s="6" t="s">
        <v>14</v>
      </c>
      <c r="H1414" s="7" t="s">
        <v>124</v>
      </c>
      <c r="I1414" s="6" t="s">
        <v>269</v>
      </c>
      <c r="J1414" s="130"/>
      <c r="K1414" s="148" t="s">
        <v>2964</v>
      </c>
    </row>
    <row r="1415" spans="1:11" ht="28.9" customHeight="1" thickTop="1" thickBot="1" x14ac:dyDescent="0.75">
      <c r="A1415" s="6">
        <v>1413</v>
      </c>
      <c r="B1415" s="58" t="str">
        <f>HYPERLINK("https://search.naver.com/search.naver?query=분노의 추격자 영화", "분노의 추격자")</f>
        <v>분노의 추격자</v>
      </c>
      <c r="C1415" s="12">
        <v>4.78</v>
      </c>
      <c r="D1415" s="13" t="s">
        <v>1823</v>
      </c>
      <c r="E1415" s="10" t="s">
        <v>24</v>
      </c>
      <c r="F1415" s="10">
        <v>2022</v>
      </c>
      <c r="G1415" s="10" t="s">
        <v>14</v>
      </c>
      <c r="H1415" s="11" t="s">
        <v>124</v>
      </c>
      <c r="I1415" s="10" t="s">
        <v>150</v>
      </c>
      <c r="J1415" s="131"/>
      <c r="K1415" s="149" t="s">
        <v>2965</v>
      </c>
    </row>
    <row r="1416" spans="1:11" ht="28.9" customHeight="1" thickTop="1" thickBot="1" x14ac:dyDescent="0.75">
      <c r="A1416" s="10">
        <v>1414</v>
      </c>
      <c r="B1416" s="57" t="str">
        <f>HYPERLINK("https://search.naver.com/search.naver?query=불능범 영화", "불능범")</f>
        <v>불능범</v>
      </c>
      <c r="C1416" s="8">
        <v>6.4</v>
      </c>
      <c r="D1416" s="9" t="s">
        <v>2966</v>
      </c>
      <c r="E1416" s="6" t="s">
        <v>19</v>
      </c>
      <c r="F1416" s="6">
        <v>2018</v>
      </c>
      <c r="G1416" s="6" t="s">
        <v>14</v>
      </c>
      <c r="H1416" s="7" t="s">
        <v>194</v>
      </c>
      <c r="I1416" s="6" t="s">
        <v>101</v>
      </c>
      <c r="J1416" s="130"/>
      <c r="K1416" s="148" t="s">
        <v>2967</v>
      </c>
    </row>
    <row r="1417" spans="1:11" ht="28.9" customHeight="1" thickTop="1" thickBot="1" x14ac:dyDescent="0.75">
      <c r="A1417" s="6">
        <v>1415</v>
      </c>
      <c r="B1417" s="58" t="str">
        <f>HYPERLINK("https://search.naver.com/search.naver?query=불량소녀 너를 응원해 영화", "불량소녀, 너를 응원해")</f>
        <v>불량소녀, 너를 응원해</v>
      </c>
      <c r="C1417" s="12">
        <v>9.0399999999999991</v>
      </c>
      <c r="D1417" s="13" t="s">
        <v>2968</v>
      </c>
      <c r="E1417" s="10" t="s">
        <v>19</v>
      </c>
      <c r="F1417" s="10">
        <v>2015</v>
      </c>
      <c r="G1417" s="10" t="s">
        <v>14</v>
      </c>
      <c r="H1417" s="11" t="s">
        <v>20</v>
      </c>
      <c r="I1417" s="10" t="s">
        <v>120</v>
      </c>
      <c r="J1417" s="131"/>
      <c r="K1417" s="149" t="s">
        <v>2969</v>
      </c>
    </row>
    <row r="1418" spans="1:11" ht="28.9" customHeight="1" thickTop="1" thickBot="1" x14ac:dyDescent="0.75">
      <c r="A1418" s="10">
        <v>1416</v>
      </c>
      <c r="B1418" s="57" t="str">
        <f>HYPERLINK("https://search.naver.com/search.naver?query=불쾌한 과거 영화", "불쾌한 과거")</f>
        <v>불쾌한 과거</v>
      </c>
      <c r="C1418" s="8"/>
      <c r="D1418" s="9" t="s">
        <v>2970</v>
      </c>
      <c r="E1418" s="6" t="s">
        <v>19</v>
      </c>
      <c r="F1418" s="6">
        <v>2016</v>
      </c>
      <c r="G1418" s="6" t="s">
        <v>14</v>
      </c>
      <c r="H1418" s="7" t="s">
        <v>20</v>
      </c>
      <c r="I1418" s="6" t="s">
        <v>116</v>
      </c>
      <c r="J1418" s="130"/>
      <c r="K1418" s="148" t="s">
        <v>2971</v>
      </c>
    </row>
    <row r="1419" spans="1:11" ht="28.9" customHeight="1" thickTop="1" thickBot="1" x14ac:dyDescent="0.75">
      <c r="A1419" s="6">
        <v>1417</v>
      </c>
      <c r="B1419" s="58" t="str">
        <f>HYPERLINK("https://search.naver.com/search.naver?query=붉은 수수밭 영화", "붉은 수수밭")</f>
        <v>붉은 수수밭</v>
      </c>
      <c r="C1419" s="12">
        <v>8.23</v>
      </c>
      <c r="D1419" s="13" t="s">
        <v>2972</v>
      </c>
      <c r="E1419" s="10" t="s">
        <v>186</v>
      </c>
      <c r="F1419" s="10">
        <v>1987</v>
      </c>
      <c r="G1419" s="10" t="s">
        <v>14</v>
      </c>
      <c r="H1419" s="11" t="s">
        <v>20</v>
      </c>
      <c r="I1419" s="10" t="s">
        <v>361</v>
      </c>
      <c r="J1419" s="131"/>
      <c r="K1419" s="149" t="s">
        <v>2973</v>
      </c>
    </row>
    <row r="1420" spans="1:11" ht="28.9" customHeight="1" thickTop="1" thickBot="1" x14ac:dyDescent="0.75">
      <c r="A1420" s="10">
        <v>1418</v>
      </c>
      <c r="B1420" s="57" t="str">
        <f>HYPERLINK("https://search.naver.com/search.naver?query=뷰티 인 더 글라스 영화", "뷰티 인 더 글라스")</f>
        <v>뷰티 인 더 글라스</v>
      </c>
      <c r="C1420" s="8">
        <v>7.73</v>
      </c>
      <c r="D1420" s="9" t="s">
        <v>2974</v>
      </c>
      <c r="E1420" s="6" t="s">
        <v>24</v>
      </c>
      <c r="F1420" s="6">
        <v>2019</v>
      </c>
      <c r="G1420" s="6" t="s">
        <v>14</v>
      </c>
      <c r="H1420" s="7" t="s">
        <v>20</v>
      </c>
      <c r="I1420" s="6" t="s">
        <v>46</v>
      </c>
      <c r="J1420" s="130"/>
      <c r="K1420" s="148" t="s">
        <v>2975</v>
      </c>
    </row>
    <row r="1421" spans="1:11" ht="28.9" customHeight="1" thickTop="1" thickBot="1" x14ac:dyDescent="0.75">
      <c r="A1421" s="6">
        <v>1419</v>
      </c>
      <c r="B1421" s="58" t="str">
        <f>HYPERLINK("https://search.naver.com/search.naver?query=뷰티풀 데이즈 영화", "뷰티풀 데이즈")</f>
        <v>뷰티풀 데이즈</v>
      </c>
      <c r="C1421" s="12">
        <v>8.2799999999999994</v>
      </c>
      <c r="D1421" s="13" t="s">
        <v>2976</v>
      </c>
      <c r="E1421" s="10" t="s">
        <v>13</v>
      </c>
      <c r="F1421" s="10">
        <v>2018</v>
      </c>
      <c r="G1421" s="10" t="s">
        <v>14</v>
      </c>
      <c r="H1421" s="11" t="s">
        <v>20</v>
      </c>
      <c r="I1421" s="10" t="s">
        <v>242</v>
      </c>
      <c r="J1421" s="131"/>
      <c r="K1421" s="149" t="s">
        <v>2977</v>
      </c>
    </row>
    <row r="1422" spans="1:11" ht="28.9" customHeight="1" thickTop="1" thickBot="1" x14ac:dyDescent="0.75">
      <c r="A1422" s="10">
        <v>1420</v>
      </c>
      <c r="B1422" s="57" t="str">
        <f>HYPERLINK("https://search.naver.com/search.naver?query=뷰티풀 라이 영화", "뷰티풀 라이")</f>
        <v>뷰티풀 라이</v>
      </c>
      <c r="C1422" s="8">
        <v>9.5500000000000007</v>
      </c>
      <c r="D1422" s="9" t="s">
        <v>2978</v>
      </c>
      <c r="E1422" s="6" t="s">
        <v>24</v>
      </c>
      <c r="F1422" s="6">
        <v>2015</v>
      </c>
      <c r="G1422" s="6" t="s">
        <v>14</v>
      </c>
      <c r="H1422" s="7" t="s">
        <v>20</v>
      </c>
      <c r="I1422" s="6" t="s">
        <v>129</v>
      </c>
      <c r="J1422" s="130"/>
      <c r="K1422" s="148" t="s">
        <v>2979</v>
      </c>
    </row>
    <row r="1423" spans="1:11" ht="28.9" customHeight="1" thickTop="1" thickBot="1" x14ac:dyDescent="0.75">
      <c r="A1423" s="6">
        <v>1421</v>
      </c>
      <c r="B1423" s="58" t="str">
        <f>HYPERLINK("https://search.naver.com/search.naver?query=뷰티풀 프래니 영화", "뷰티풀 프래니")</f>
        <v>뷰티풀 프래니</v>
      </c>
      <c r="C1423" s="12">
        <v>6.69</v>
      </c>
      <c r="D1423" s="13" t="s">
        <v>2980</v>
      </c>
      <c r="E1423" s="10" t="s">
        <v>24</v>
      </c>
      <c r="F1423" s="10">
        <v>2016</v>
      </c>
      <c r="G1423" s="10" t="s">
        <v>14</v>
      </c>
      <c r="H1423" s="11" t="s">
        <v>20</v>
      </c>
      <c r="I1423" s="10" t="s">
        <v>125</v>
      </c>
      <c r="J1423" s="131"/>
      <c r="K1423" s="149" t="s">
        <v>2981</v>
      </c>
    </row>
    <row r="1424" spans="1:11" ht="28.9" customHeight="1" thickTop="1" thickBot="1" x14ac:dyDescent="0.75">
      <c r="A1424" s="10">
        <v>1422</v>
      </c>
      <c r="B1424" s="57" t="str">
        <f>HYPERLINK("https://search.naver.com/search.naver?query=브라더 영화", "브라더")</f>
        <v>브라더</v>
      </c>
      <c r="C1424" s="8">
        <v>3.85</v>
      </c>
      <c r="D1424" s="9" t="s">
        <v>2982</v>
      </c>
      <c r="E1424" s="6" t="s">
        <v>19</v>
      </c>
      <c r="F1424" s="6">
        <v>2000</v>
      </c>
      <c r="G1424" s="6" t="s">
        <v>14</v>
      </c>
      <c r="H1424" s="7" t="s">
        <v>20</v>
      </c>
      <c r="I1424" s="6" t="s">
        <v>305</v>
      </c>
      <c r="J1424" s="130"/>
      <c r="K1424" s="148" t="s">
        <v>2983</v>
      </c>
    </row>
    <row r="1425" spans="1:11" ht="28.9" customHeight="1" thickTop="1" thickBot="1" x14ac:dyDescent="0.75">
      <c r="A1425" s="6">
        <v>1423</v>
      </c>
      <c r="B1425" s="58" t="str">
        <f>HYPERLINK("https://search.naver.com/search.naver?query=브라더스 영화", "브라더스")</f>
        <v>브라더스</v>
      </c>
      <c r="C1425" s="12"/>
      <c r="D1425" s="13" t="s">
        <v>2984</v>
      </c>
      <c r="E1425" s="10" t="s">
        <v>24</v>
      </c>
      <c r="F1425" s="10">
        <v>2009</v>
      </c>
      <c r="G1425" s="10" t="s">
        <v>14</v>
      </c>
      <c r="H1425" s="11" t="s">
        <v>20</v>
      </c>
      <c r="I1425" s="10" t="s">
        <v>175</v>
      </c>
      <c r="J1425" s="131"/>
      <c r="K1425" s="149" t="s">
        <v>2985</v>
      </c>
    </row>
    <row r="1426" spans="1:11" ht="28.9" customHeight="1" thickTop="1" thickBot="1" x14ac:dyDescent="0.75">
      <c r="A1426" s="10">
        <v>1424</v>
      </c>
      <c r="B1426" s="57" t="str">
        <f>HYPERLINK("https://search.naver.com/search.naver?query=브레이브 언더 파이어 영화", "브레이브 언더 파이어")</f>
        <v>브레이브 언더 파이어</v>
      </c>
      <c r="C1426" s="8">
        <v>7.53</v>
      </c>
      <c r="D1426" s="9" t="s">
        <v>2986</v>
      </c>
      <c r="E1426" s="6" t="s">
        <v>24</v>
      </c>
      <c r="F1426" s="6">
        <v>2021</v>
      </c>
      <c r="G1426" s="6" t="s">
        <v>14</v>
      </c>
      <c r="H1426" s="7" t="s">
        <v>124</v>
      </c>
      <c r="I1426" s="6" t="s">
        <v>150</v>
      </c>
      <c r="J1426" s="130"/>
      <c r="K1426" s="148" t="s">
        <v>2987</v>
      </c>
    </row>
    <row r="1427" spans="1:11" ht="28.9" customHeight="1" thickTop="1" thickBot="1" x14ac:dyDescent="0.75">
      <c r="A1427" s="6">
        <v>1425</v>
      </c>
      <c r="B1427" s="58" t="str">
        <f>HYPERLINK("https://search.naver.com/search.naver?query=브레이브 원 영화", "브레이브 원")</f>
        <v>브레이브 원</v>
      </c>
      <c r="C1427" s="12">
        <v>7.62</v>
      </c>
      <c r="D1427" s="13" t="s">
        <v>2988</v>
      </c>
      <c r="E1427" s="10" t="s">
        <v>24</v>
      </c>
      <c r="F1427" s="10">
        <v>2007</v>
      </c>
      <c r="G1427" s="10" t="s">
        <v>14</v>
      </c>
      <c r="H1427" s="11" t="s">
        <v>54</v>
      </c>
      <c r="I1427" s="10" t="s">
        <v>141</v>
      </c>
      <c r="J1427" s="131"/>
      <c r="K1427" s="149" t="s">
        <v>2989</v>
      </c>
    </row>
    <row r="1428" spans="1:11" ht="28.9" customHeight="1" thickTop="1" thickBot="1" x14ac:dyDescent="0.75">
      <c r="A1428" s="10">
        <v>1426</v>
      </c>
      <c r="B1428" s="57" t="str">
        <f>HYPERLINK("https://search.naver.com/search.naver?query=브레이브 하트 영화", "브레이브 하트")</f>
        <v>브레이브 하트</v>
      </c>
      <c r="C1428" s="8">
        <v>9.27</v>
      </c>
      <c r="D1428" s="9" t="s">
        <v>2990</v>
      </c>
      <c r="E1428" s="6" t="s">
        <v>24</v>
      </c>
      <c r="F1428" s="6">
        <v>1995</v>
      </c>
      <c r="G1428" s="6" t="s">
        <v>14</v>
      </c>
      <c r="H1428" s="7" t="s">
        <v>20</v>
      </c>
      <c r="I1428" s="6" t="s">
        <v>2991</v>
      </c>
      <c r="J1428" s="130"/>
      <c r="K1428" s="148" t="s">
        <v>2992</v>
      </c>
    </row>
    <row r="1429" spans="1:11" ht="28.9" customHeight="1" thickTop="1" thickBot="1" x14ac:dyDescent="0.75">
      <c r="A1429" s="6">
        <v>1427</v>
      </c>
      <c r="B1429" s="58" t="str">
        <f>HYPERLINK("https://search.naver.com/search.naver?query=브레이븐 영화", "브레이븐")</f>
        <v>브레이븐</v>
      </c>
      <c r="C1429" s="12">
        <v>9.6</v>
      </c>
      <c r="D1429" s="13" t="s">
        <v>2993</v>
      </c>
      <c r="E1429" s="10" t="s">
        <v>275</v>
      </c>
      <c r="F1429" s="10">
        <v>2018</v>
      </c>
      <c r="G1429" s="10" t="s">
        <v>14</v>
      </c>
      <c r="H1429" s="11" t="s">
        <v>124</v>
      </c>
      <c r="I1429" s="10" t="s">
        <v>468</v>
      </c>
      <c r="J1429" s="131"/>
      <c r="K1429" s="149" t="s">
        <v>2994</v>
      </c>
    </row>
    <row r="1430" spans="1:11" ht="28.9" customHeight="1" thickTop="1" thickBot="1" x14ac:dyDescent="0.75">
      <c r="A1430" s="10">
        <v>1428</v>
      </c>
      <c r="B1430" s="57" t="str">
        <f>HYPERLINK("https://search.naver.com/search.naver?query=브레이즌 영화", "브레이즌")</f>
        <v>브레이즌</v>
      </c>
      <c r="C1430" s="8">
        <v>2.69</v>
      </c>
      <c r="D1430" s="9" t="s">
        <v>2995</v>
      </c>
      <c r="E1430" s="6" t="s">
        <v>24</v>
      </c>
      <c r="F1430" s="6">
        <v>2022</v>
      </c>
      <c r="G1430" s="6" t="s">
        <v>14</v>
      </c>
      <c r="H1430" s="7" t="s">
        <v>54</v>
      </c>
      <c r="I1430" s="6" t="s">
        <v>150</v>
      </c>
      <c r="J1430" s="130"/>
      <c r="K1430" s="148" t="s">
        <v>2260</v>
      </c>
    </row>
    <row r="1431" spans="1:11" ht="28.9" customHeight="1" thickTop="1" thickBot="1" x14ac:dyDescent="0.75">
      <c r="A1431" s="6">
        <v>1429</v>
      </c>
      <c r="B1431" s="58" t="str">
        <f>HYPERLINK("https://search.naver.com/search.naver?query=브레이크다운 영화", "브레이크다운")</f>
        <v>브레이크다운</v>
      </c>
      <c r="C1431" s="12">
        <v>9</v>
      </c>
      <c r="D1431" s="13" t="s">
        <v>2996</v>
      </c>
      <c r="E1431" s="10" t="s">
        <v>24</v>
      </c>
      <c r="F1431" s="10">
        <v>1997</v>
      </c>
      <c r="G1431" s="10" t="s">
        <v>14</v>
      </c>
      <c r="H1431" s="11" t="s">
        <v>54</v>
      </c>
      <c r="I1431" s="10" t="s">
        <v>125</v>
      </c>
      <c r="J1431" s="131"/>
      <c r="K1431" s="149" t="s">
        <v>2997</v>
      </c>
    </row>
    <row r="1432" spans="1:11" ht="28.9" customHeight="1" thickTop="1" thickBot="1" x14ac:dyDescent="0.75">
      <c r="A1432" s="10">
        <v>1430</v>
      </c>
      <c r="B1432" s="57" t="str">
        <f>HYPERLINK("https://search.naver.com/search.naver?query=브레이크스루 영화", "브레이크스루")</f>
        <v>브레이크스루</v>
      </c>
      <c r="C1432" s="8"/>
      <c r="D1432" s="9" t="s">
        <v>2998</v>
      </c>
      <c r="E1432" s="6" t="s">
        <v>24</v>
      </c>
      <c r="F1432" s="6">
        <v>2019</v>
      </c>
      <c r="G1432" s="6" t="s">
        <v>14</v>
      </c>
      <c r="H1432" s="7" t="s">
        <v>20</v>
      </c>
      <c r="I1432" s="6" t="s">
        <v>591</v>
      </c>
      <c r="J1432" s="130"/>
      <c r="K1432" s="148" t="s">
        <v>2999</v>
      </c>
    </row>
    <row r="1433" spans="1:11" ht="28.9" customHeight="1" thickTop="1" thickBot="1" x14ac:dyDescent="0.75">
      <c r="A1433" s="6">
        <v>1431</v>
      </c>
      <c r="B1433" s="59" t="str">
        <f>HYPERLINK("https://search.naver.com/search.naver?query=브레이킹 배드 시즌1", "브레이킹 배드 시즌1")</f>
        <v>브레이킹 배드 시즌1</v>
      </c>
      <c r="C1433" s="16"/>
      <c r="D1433" s="17" t="s">
        <v>3000</v>
      </c>
      <c r="E1433" s="14" t="s">
        <v>24</v>
      </c>
      <c r="F1433" s="14">
        <v>2008</v>
      </c>
      <c r="G1433" s="14" t="s">
        <v>20</v>
      </c>
      <c r="H1433" s="15" t="s">
        <v>115</v>
      </c>
      <c r="I1433" s="14" t="s">
        <v>512</v>
      </c>
      <c r="J1433" s="132"/>
      <c r="K1433" s="150" t="s">
        <v>3001</v>
      </c>
    </row>
    <row r="1434" spans="1:11" ht="28.9" customHeight="1" thickTop="1" thickBot="1" x14ac:dyDescent="0.75">
      <c r="A1434" s="10">
        <v>1432</v>
      </c>
      <c r="B1434" s="59" t="str">
        <f>HYPERLINK("https://search.naver.com/search.naver?query=브레이킹 배드 시즌2", "브레이킹 배드 시즌2")</f>
        <v>브레이킹 배드 시즌2</v>
      </c>
      <c r="C1434" s="16"/>
      <c r="D1434" s="17"/>
      <c r="E1434" s="14" t="s">
        <v>24</v>
      </c>
      <c r="F1434" s="14">
        <v>2009</v>
      </c>
      <c r="G1434" s="14" t="s">
        <v>20</v>
      </c>
      <c r="H1434" s="15" t="s">
        <v>115</v>
      </c>
      <c r="I1434" s="14" t="s">
        <v>1108</v>
      </c>
      <c r="J1434" s="132"/>
      <c r="K1434" s="150" t="s">
        <v>3002</v>
      </c>
    </row>
    <row r="1435" spans="1:11" ht="28.9" customHeight="1" thickTop="1" thickBot="1" x14ac:dyDescent="0.75">
      <c r="A1435" s="6">
        <v>1433</v>
      </c>
      <c r="B1435" s="59" t="str">
        <f>HYPERLINK("https://search.naver.com/search.naver?query=브레이킹 배드 시즌3", "브레이킹 배드 시즌3")</f>
        <v>브레이킹 배드 시즌3</v>
      </c>
      <c r="C1435" s="16"/>
      <c r="D1435" s="17" t="s">
        <v>3000</v>
      </c>
      <c r="E1435" s="14" t="s">
        <v>24</v>
      </c>
      <c r="F1435" s="14">
        <v>2010</v>
      </c>
      <c r="G1435" s="14" t="s">
        <v>20</v>
      </c>
      <c r="H1435" s="15" t="s">
        <v>115</v>
      </c>
      <c r="I1435" s="14" t="s">
        <v>1108</v>
      </c>
      <c r="J1435" s="132"/>
      <c r="K1435" s="150" t="s">
        <v>3003</v>
      </c>
    </row>
    <row r="1436" spans="1:11" ht="28.9" customHeight="1" thickTop="1" thickBot="1" x14ac:dyDescent="0.75">
      <c r="A1436" s="10">
        <v>1434</v>
      </c>
      <c r="B1436" s="59" t="str">
        <f>HYPERLINK("https://search.naver.com/search.naver?query=브레이킹 배드 시즌4", "브레이킹 배드 시즌4")</f>
        <v>브레이킹 배드 시즌4</v>
      </c>
      <c r="C1436" s="16"/>
      <c r="D1436" s="17" t="s">
        <v>3000</v>
      </c>
      <c r="E1436" s="14" t="s">
        <v>24</v>
      </c>
      <c r="F1436" s="14">
        <v>2011</v>
      </c>
      <c r="G1436" s="14" t="s">
        <v>20</v>
      </c>
      <c r="H1436" s="15" t="s">
        <v>115</v>
      </c>
      <c r="I1436" s="14" t="s">
        <v>1108</v>
      </c>
      <c r="J1436" s="132"/>
      <c r="K1436" s="150" t="s">
        <v>3004</v>
      </c>
    </row>
    <row r="1437" spans="1:11" ht="28.9" customHeight="1" thickTop="1" thickBot="1" x14ac:dyDescent="0.75">
      <c r="A1437" s="6">
        <v>1435</v>
      </c>
      <c r="B1437" s="59" t="str">
        <f>HYPERLINK("https://search.naver.com/search.naver?query=브레이킹 배드 시즌5", "브레이킹 배드 시즌5")</f>
        <v>브레이킹 배드 시즌5</v>
      </c>
      <c r="C1437" s="16"/>
      <c r="D1437" s="17" t="s">
        <v>3000</v>
      </c>
      <c r="E1437" s="14" t="s">
        <v>24</v>
      </c>
      <c r="F1437" s="14">
        <v>2012</v>
      </c>
      <c r="G1437" s="14" t="s">
        <v>20</v>
      </c>
      <c r="H1437" s="15" t="s">
        <v>115</v>
      </c>
      <c r="I1437" s="14" t="s">
        <v>825</v>
      </c>
      <c r="J1437" s="132"/>
      <c r="K1437" s="150" t="s">
        <v>3005</v>
      </c>
    </row>
    <row r="1438" spans="1:11" ht="28.9" customHeight="1" thickTop="1" thickBot="1" x14ac:dyDescent="0.75">
      <c r="A1438" s="10">
        <v>1436</v>
      </c>
      <c r="B1438" s="57" t="str">
        <f>HYPERLINK("https://search.naver.com/search.naver?query=브레이킹 앤 엔터링 영화", "브레이킹 앤 엔터링")</f>
        <v>브레이킹 앤 엔터링</v>
      </c>
      <c r="C1438" s="8"/>
      <c r="D1438" s="9" t="s">
        <v>3006</v>
      </c>
      <c r="E1438" s="6" t="s">
        <v>29</v>
      </c>
      <c r="F1438" s="6">
        <v>2006</v>
      </c>
      <c r="G1438" s="6" t="s">
        <v>14</v>
      </c>
      <c r="H1438" s="7" t="s">
        <v>20</v>
      </c>
      <c r="I1438" s="6" t="s">
        <v>116</v>
      </c>
      <c r="J1438" s="130"/>
      <c r="K1438" s="148" t="s">
        <v>3007</v>
      </c>
    </row>
    <row r="1439" spans="1:11" ht="28.9" customHeight="1" thickTop="1" thickBot="1" x14ac:dyDescent="0.75">
      <c r="A1439" s="6">
        <v>1437</v>
      </c>
      <c r="B1439" s="58" t="str">
        <f>HYPERLINK("https://search.naver.com/search.naver?query=브렉시트 치열한 전쟁 영화", "브렉시트-치열한 전쟁")</f>
        <v>브렉시트-치열한 전쟁</v>
      </c>
      <c r="C1439" s="12">
        <v>6.4</v>
      </c>
      <c r="D1439" s="13" t="s">
        <v>3008</v>
      </c>
      <c r="E1439" s="10" t="s">
        <v>29</v>
      </c>
      <c r="F1439" s="10">
        <v>2019</v>
      </c>
      <c r="G1439" s="10" t="s">
        <v>14</v>
      </c>
      <c r="H1439" s="11" t="s">
        <v>20</v>
      </c>
      <c r="I1439" s="10" t="s">
        <v>205</v>
      </c>
      <c r="J1439" s="131"/>
      <c r="K1439" s="149" t="s">
        <v>3009</v>
      </c>
    </row>
    <row r="1440" spans="1:11" ht="28.9" customHeight="1" thickTop="1" thickBot="1" x14ac:dyDescent="0.75">
      <c r="A1440" s="10">
        <v>1438</v>
      </c>
      <c r="B1440" s="57" t="str">
        <f>HYPERLINK("https://search.naver.com/search.naver?query=브로커 영화", "브로커")</f>
        <v>브로커</v>
      </c>
      <c r="C1440" s="8">
        <v>6.53</v>
      </c>
      <c r="D1440" s="9" t="s">
        <v>3010</v>
      </c>
      <c r="E1440" s="6" t="s">
        <v>13</v>
      </c>
      <c r="F1440" s="6">
        <v>2022</v>
      </c>
      <c r="G1440" s="6" t="s">
        <v>14</v>
      </c>
      <c r="H1440" s="7" t="s">
        <v>20</v>
      </c>
      <c r="I1440" s="6" t="s">
        <v>85</v>
      </c>
      <c r="J1440" s="130"/>
      <c r="K1440" s="148" t="s">
        <v>3011</v>
      </c>
    </row>
    <row r="1441" spans="1:11" ht="28.9" customHeight="1" thickTop="1" thickBot="1" x14ac:dyDescent="0.75">
      <c r="A1441" s="6">
        <v>1439</v>
      </c>
      <c r="B1441" s="58" t="str">
        <f>HYPERLINK("https://search.naver.com/search.naver?query=브로큰 영화", "브로큰")</f>
        <v>브로큰</v>
      </c>
      <c r="C1441" s="12">
        <v>5.39</v>
      </c>
      <c r="D1441" s="13" t="s">
        <v>3012</v>
      </c>
      <c r="E1441" s="10" t="s">
        <v>24</v>
      </c>
      <c r="F1441" s="10">
        <v>2025</v>
      </c>
      <c r="G1441" s="10" t="s">
        <v>14</v>
      </c>
      <c r="H1441" s="11" t="s">
        <v>54</v>
      </c>
      <c r="I1441" s="10" t="s">
        <v>150</v>
      </c>
      <c r="J1441" s="131"/>
      <c r="K1441" s="149" t="s">
        <v>3013</v>
      </c>
    </row>
    <row r="1442" spans="1:11" ht="28.9" customHeight="1" thickTop="1" thickBot="1" x14ac:dyDescent="0.75">
      <c r="A1442" s="10">
        <v>1440</v>
      </c>
      <c r="B1442" s="57" t="str">
        <f>HYPERLINK("https://search.naver.com/search.naver?query=브로큰 플라워 영화", "브로큰 플라워")</f>
        <v>브로큰 플라워</v>
      </c>
      <c r="C1442" s="8">
        <v>7.81</v>
      </c>
      <c r="D1442" s="9" t="s">
        <v>3014</v>
      </c>
      <c r="E1442" s="6" t="s">
        <v>24</v>
      </c>
      <c r="F1442" s="6">
        <v>2005</v>
      </c>
      <c r="G1442" s="6" t="s">
        <v>14</v>
      </c>
      <c r="H1442" s="7" t="s">
        <v>91</v>
      </c>
      <c r="I1442" s="6" t="s">
        <v>443</v>
      </c>
      <c r="J1442" s="130"/>
      <c r="K1442" s="148" t="s">
        <v>3015</v>
      </c>
    </row>
    <row r="1443" spans="1:11" ht="28.9" customHeight="1" thickTop="1" thickBot="1" x14ac:dyDescent="0.75">
      <c r="A1443" s="6">
        <v>1441</v>
      </c>
      <c r="B1443" s="58" t="str">
        <f>HYPERLINK("https://search.naver.com/search.naver?query=브루스 올마이티 영화", "브루스 올마이티")</f>
        <v>브루스 올마이티</v>
      </c>
      <c r="C1443" s="12">
        <v>9.07</v>
      </c>
      <c r="D1443" s="13" t="s">
        <v>3016</v>
      </c>
      <c r="E1443" s="10" t="s">
        <v>24</v>
      </c>
      <c r="F1443" s="10">
        <v>2003</v>
      </c>
      <c r="G1443" s="10" t="s">
        <v>14</v>
      </c>
      <c r="H1443" s="11" t="s">
        <v>91</v>
      </c>
      <c r="I1443" s="10" t="s">
        <v>94</v>
      </c>
      <c r="J1443" s="131"/>
      <c r="K1443" s="149" t="s">
        <v>3017</v>
      </c>
    </row>
    <row r="1444" spans="1:11" ht="28.9" customHeight="1" thickTop="1" thickBot="1" x14ac:dyDescent="0.75">
      <c r="A1444" s="10">
        <v>1442</v>
      </c>
      <c r="B1444" s="57" t="str">
        <f>HYPERLINK("https://search.naver.com/search.naver?query=브루클린 영화", "브루클린")</f>
        <v>브루클린</v>
      </c>
      <c r="C1444" s="8">
        <v>8.42</v>
      </c>
      <c r="D1444" s="9" t="s">
        <v>3018</v>
      </c>
      <c r="E1444" s="6" t="s">
        <v>944</v>
      </c>
      <c r="F1444" s="6">
        <v>2015</v>
      </c>
      <c r="G1444" s="6" t="s">
        <v>14</v>
      </c>
      <c r="H1444" s="7" t="s">
        <v>20</v>
      </c>
      <c r="I1444" s="6" t="s">
        <v>137</v>
      </c>
      <c r="J1444" s="130"/>
      <c r="K1444" s="148" t="s">
        <v>3019</v>
      </c>
    </row>
    <row r="1445" spans="1:11" ht="28.9" customHeight="1" thickTop="1" thickBot="1" x14ac:dyDescent="0.75">
      <c r="A1445" s="6">
        <v>1443</v>
      </c>
      <c r="B1445" s="58" t="str">
        <f>HYPERLINK("https://search.naver.com/search.naver?query=브루클린의 멋진 주말 영화", "브루클린의 멋진 주말")</f>
        <v>브루클린의 멋진 주말</v>
      </c>
      <c r="C1445" s="12">
        <v>8.52</v>
      </c>
      <c r="D1445" s="13" t="s">
        <v>3020</v>
      </c>
      <c r="E1445" s="10" t="s">
        <v>24</v>
      </c>
      <c r="F1445" s="10">
        <v>2014</v>
      </c>
      <c r="G1445" s="10" t="s">
        <v>14</v>
      </c>
      <c r="H1445" s="11" t="s">
        <v>91</v>
      </c>
      <c r="I1445" s="10" t="s">
        <v>150</v>
      </c>
      <c r="J1445" s="131"/>
      <c r="K1445" s="149" t="s">
        <v>3021</v>
      </c>
    </row>
    <row r="1446" spans="1:11" ht="28.9" customHeight="1" thickTop="1" thickBot="1" x14ac:dyDescent="0.75">
      <c r="A1446" s="10">
        <v>1444</v>
      </c>
      <c r="B1446" s="57" t="str">
        <f>HYPERLINK("https://search.naver.com/search.naver?query=브룩클린스 파이니스트 영화", "브룩클린스 파이니스트")</f>
        <v>브룩클린스 파이니스트</v>
      </c>
      <c r="C1446" s="8">
        <v>7.89</v>
      </c>
      <c r="D1446" s="9" t="s">
        <v>3022</v>
      </c>
      <c r="E1446" s="6" t="s">
        <v>24</v>
      </c>
      <c r="F1446" s="6">
        <v>2009</v>
      </c>
      <c r="G1446" s="6" t="s">
        <v>14</v>
      </c>
      <c r="H1446" s="7" t="s">
        <v>428</v>
      </c>
      <c r="I1446" s="6" t="s">
        <v>558</v>
      </c>
      <c r="J1446" s="130"/>
      <c r="K1446" s="148" t="s">
        <v>3023</v>
      </c>
    </row>
    <row r="1447" spans="1:11" ht="28.9" customHeight="1" thickTop="1" thickBot="1" x14ac:dyDescent="0.75">
      <c r="A1447" s="6">
        <v>1445</v>
      </c>
      <c r="B1447" s="58" t="str">
        <f>HYPERLINK("https://search.naver.com/search.naver?query=브룩클린으로 가는 마지막 비상구 영화", "브룩클린으로 가는 마지막 비상구")</f>
        <v>브룩클린으로 가는 마지막 비상구</v>
      </c>
      <c r="C1447" s="12">
        <v>8.66</v>
      </c>
      <c r="D1447" s="13" t="s">
        <v>3024</v>
      </c>
      <c r="E1447" s="10" t="s">
        <v>24</v>
      </c>
      <c r="F1447" s="10">
        <v>1989</v>
      </c>
      <c r="G1447" s="10" t="s">
        <v>14</v>
      </c>
      <c r="H1447" s="11" t="s">
        <v>20</v>
      </c>
      <c r="I1447" s="10" t="s">
        <v>133</v>
      </c>
      <c r="J1447" s="131"/>
      <c r="K1447" s="149" t="s">
        <v>3025</v>
      </c>
    </row>
    <row r="1448" spans="1:11" ht="28.9" customHeight="1" thickTop="1" thickBot="1" x14ac:dyDescent="0.75">
      <c r="A1448" s="10">
        <v>1446</v>
      </c>
      <c r="B1448" s="57" t="str">
        <f>HYPERLINK("https://search.naver.com/search.naver?query=브리짓 존스의 베이비 영화", "브리짓 존스의 베이비")</f>
        <v>브리짓 존스의 베이비</v>
      </c>
      <c r="C1448" s="8">
        <v>9.1</v>
      </c>
      <c r="D1448" s="9" t="s">
        <v>3026</v>
      </c>
      <c r="E1448" s="6" t="s">
        <v>29</v>
      </c>
      <c r="F1448" s="6">
        <v>2016</v>
      </c>
      <c r="G1448" s="6" t="s">
        <v>14</v>
      </c>
      <c r="H1448" s="7" t="s">
        <v>91</v>
      </c>
      <c r="I1448" s="6" t="s">
        <v>329</v>
      </c>
      <c r="J1448" s="130"/>
      <c r="K1448" s="148" t="s">
        <v>3027</v>
      </c>
    </row>
    <row r="1449" spans="1:11" ht="28.9" customHeight="1" thickTop="1" thickBot="1" x14ac:dyDescent="0.75">
      <c r="A1449" s="6">
        <v>1447</v>
      </c>
      <c r="B1449" s="58" t="str">
        <f>HYPERLINK("https://search.naver.com/search.naver?query=브리치 영화", "브리치")</f>
        <v>브리치</v>
      </c>
      <c r="C1449" s="12">
        <v>6.92</v>
      </c>
      <c r="D1449" s="13" t="s">
        <v>3028</v>
      </c>
      <c r="E1449" s="10" t="s">
        <v>24</v>
      </c>
      <c r="F1449" s="10">
        <v>2007</v>
      </c>
      <c r="G1449" s="10" t="s">
        <v>14</v>
      </c>
      <c r="H1449" s="11" t="s">
        <v>54</v>
      </c>
      <c r="I1449" s="10" t="s">
        <v>129</v>
      </c>
      <c r="J1449" s="131"/>
      <c r="K1449" s="149" t="s">
        <v>3029</v>
      </c>
    </row>
    <row r="1450" spans="1:11" ht="28.9" customHeight="1" thickTop="1" thickBot="1" x14ac:dyDescent="0.75">
      <c r="A1450" s="10">
        <v>1448</v>
      </c>
      <c r="B1450" s="57" t="str">
        <f>HYPERLINK("https://search.naver.com/search.naver?query=브릭 영화", "브릭")</f>
        <v>브릭</v>
      </c>
      <c r="C1450" s="8">
        <v>3.84</v>
      </c>
      <c r="D1450" s="9" t="s">
        <v>3030</v>
      </c>
      <c r="E1450" s="6" t="s">
        <v>24</v>
      </c>
      <c r="F1450" s="6">
        <v>2005</v>
      </c>
      <c r="G1450" s="6" t="s">
        <v>14</v>
      </c>
      <c r="H1450" s="7" t="s">
        <v>194</v>
      </c>
      <c r="I1450" s="6" t="s">
        <v>129</v>
      </c>
      <c r="J1450" s="130"/>
      <c r="K1450" s="148" t="s">
        <v>3031</v>
      </c>
    </row>
    <row r="1451" spans="1:11" ht="28.9" customHeight="1" thickTop="1" thickBot="1" x14ac:dyDescent="0.75">
      <c r="A1451" s="6">
        <v>1449</v>
      </c>
      <c r="B1451" s="58" t="str">
        <f>HYPERLINK("https://search.naver.com/search.naver?query=브이 포 벤데타 영화", "브이 포 벤데타")</f>
        <v>브이 포 벤데타</v>
      </c>
      <c r="C1451" s="12">
        <v>8.5399999999999991</v>
      </c>
      <c r="D1451" s="13" t="s">
        <v>3032</v>
      </c>
      <c r="E1451" s="10" t="s">
        <v>24</v>
      </c>
      <c r="F1451" s="10">
        <v>2005</v>
      </c>
      <c r="G1451" s="10" t="s">
        <v>14</v>
      </c>
      <c r="H1451" s="11" t="s">
        <v>124</v>
      </c>
      <c r="I1451" s="10" t="s">
        <v>558</v>
      </c>
      <c r="J1451" s="131"/>
      <c r="K1451" s="149" t="s">
        <v>3033</v>
      </c>
    </row>
    <row r="1452" spans="1:11" ht="28.9" customHeight="1" thickTop="1" thickBot="1" x14ac:dyDescent="0.75">
      <c r="A1452" s="10">
        <v>1450</v>
      </c>
      <c r="B1452" s="57" t="str">
        <f>HYPERLINK("https://namu.wiki/w/%EB%B8%94%EB%9D%BC%EC%9D%B8%EB%93%9C(2007%EB%85%84%20%EC%98%81%ED%99%94)", "블라인드")</f>
        <v>블라인드</v>
      </c>
      <c r="C1452" s="8">
        <v>4.16</v>
      </c>
      <c r="D1452" s="9" t="s">
        <v>3034</v>
      </c>
      <c r="E1452" s="6" t="s">
        <v>1511</v>
      </c>
      <c r="F1452" s="6">
        <v>2007</v>
      </c>
      <c r="G1452" s="6" t="s">
        <v>14</v>
      </c>
      <c r="H1452" s="7" t="s">
        <v>3035</v>
      </c>
      <c r="I1452" s="6" t="s">
        <v>276</v>
      </c>
      <c r="J1452" s="130"/>
      <c r="K1452" s="148" t="s">
        <v>3036</v>
      </c>
    </row>
    <row r="1453" spans="1:11" ht="28.9" customHeight="1" thickTop="1" thickBot="1" x14ac:dyDescent="0.75">
      <c r="A1453" s="6">
        <v>1451</v>
      </c>
      <c r="B1453" s="58" t="str">
        <f>HYPERLINK("https://search.naver.com/search.naver?query=블라인드 마운틴 영화", "블라인드 마운틴")</f>
        <v>블라인드 마운틴</v>
      </c>
      <c r="C1453" s="12">
        <v>8.64</v>
      </c>
      <c r="D1453" s="13" t="s">
        <v>3037</v>
      </c>
      <c r="E1453" s="10" t="s">
        <v>186</v>
      </c>
      <c r="F1453" s="10">
        <v>2007</v>
      </c>
      <c r="G1453" s="10" t="s">
        <v>14</v>
      </c>
      <c r="H1453" s="11" t="s">
        <v>20</v>
      </c>
      <c r="I1453" s="10" t="s">
        <v>150</v>
      </c>
      <c r="J1453" s="131"/>
      <c r="K1453" s="149" t="s">
        <v>3038</v>
      </c>
    </row>
    <row r="1454" spans="1:11" ht="28.9" customHeight="1" thickTop="1" thickBot="1" x14ac:dyDescent="0.75">
      <c r="A1454" s="10">
        <v>1452</v>
      </c>
      <c r="B1454" s="57" t="str">
        <f>HYPERLINK("https://search.naver.com/search.naver?query=블라인드 맨 영화", "블라인드 맨")</f>
        <v>블라인드 맨</v>
      </c>
      <c r="C1454" s="8">
        <v>6.4</v>
      </c>
      <c r="D1454" s="9" t="s">
        <v>3039</v>
      </c>
      <c r="E1454" s="6" t="s">
        <v>24</v>
      </c>
      <c r="F1454" s="6">
        <v>2012</v>
      </c>
      <c r="G1454" s="6" t="s">
        <v>14</v>
      </c>
      <c r="H1454" s="7" t="s">
        <v>20</v>
      </c>
      <c r="I1454" s="6" t="s">
        <v>175</v>
      </c>
      <c r="J1454" s="130"/>
      <c r="K1454" s="148" t="s">
        <v>3040</v>
      </c>
    </row>
    <row r="1455" spans="1:11" ht="28.9" customHeight="1" thickTop="1" thickBot="1" x14ac:dyDescent="0.75">
      <c r="A1455" s="6">
        <v>1453</v>
      </c>
      <c r="B1455" s="58" t="str">
        <f>HYPERLINK("https://search.naver.com/search.naver?query=블라인드 사이드 영화", "블라인드 사이드")</f>
        <v>블라인드 사이드</v>
      </c>
      <c r="C1455" s="12">
        <v>9.33</v>
      </c>
      <c r="D1455" s="13" t="s">
        <v>3041</v>
      </c>
      <c r="E1455" s="10" t="s">
        <v>24</v>
      </c>
      <c r="F1455" s="10">
        <v>2009</v>
      </c>
      <c r="G1455" s="10" t="s">
        <v>14</v>
      </c>
      <c r="H1455" s="11" t="s">
        <v>20</v>
      </c>
      <c r="I1455" s="10" t="s">
        <v>85</v>
      </c>
      <c r="J1455" s="131"/>
      <c r="K1455" s="149" t="s">
        <v>173</v>
      </c>
    </row>
    <row r="1456" spans="1:11" ht="28.9" customHeight="1" thickTop="1" thickBot="1" x14ac:dyDescent="0.75">
      <c r="A1456" s="10">
        <v>1454</v>
      </c>
      <c r="B1456" s="59" t="str">
        <f>HYPERLINK("https://search.naver.com/search.naver?query=블라인드 스팟 시즌1", "블라인드 스팟 시즌1")</f>
        <v>블라인드 스팟 시즌1</v>
      </c>
      <c r="C1456" s="16"/>
      <c r="D1456" s="17" t="s">
        <v>3042</v>
      </c>
      <c r="E1456" s="14" t="s">
        <v>24</v>
      </c>
      <c r="F1456" s="14">
        <v>2015</v>
      </c>
      <c r="G1456" s="14" t="s">
        <v>20</v>
      </c>
      <c r="H1456" s="15" t="s">
        <v>115</v>
      </c>
      <c r="I1456" s="14" t="s">
        <v>566</v>
      </c>
      <c r="J1456" s="132"/>
      <c r="K1456" s="150" t="s">
        <v>1800</v>
      </c>
    </row>
    <row r="1457" spans="1:11" ht="28.9" customHeight="1" thickTop="1" thickBot="1" x14ac:dyDescent="0.75">
      <c r="A1457" s="6">
        <v>1455</v>
      </c>
      <c r="B1457" s="59" t="str">
        <f>HYPERLINK("https://search.naver.com/search.naver?query=블라인드 스팟 시즌2", "블라인드 스팟 시즌2")</f>
        <v>블라인드 스팟 시즌2</v>
      </c>
      <c r="C1457" s="16"/>
      <c r="D1457" s="17" t="s">
        <v>3042</v>
      </c>
      <c r="E1457" s="14" t="s">
        <v>24</v>
      </c>
      <c r="F1457" s="14">
        <v>2016</v>
      </c>
      <c r="G1457" s="14" t="s">
        <v>20</v>
      </c>
      <c r="H1457" s="15" t="s">
        <v>115</v>
      </c>
      <c r="I1457" s="14" t="s">
        <v>569</v>
      </c>
      <c r="J1457" s="132"/>
      <c r="K1457" s="150" t="s">
        <v>3043</v>
      </c>
    </row>
    <row r="1458" spans="1:11" ht="28.9" customHeight="1" thickTop="1" thickBot="1" x14ac:dyDescent="0.75">
      <c r="A1458" s="10">
        <v>1456</v>
      </c>
      <c r="B1458" s="59" t="str">
        <f>HYPERLINK("https://search.naver.com/search.naver?query=블라인드 스팟 시즌3", "블라인드 스팟 시즌3")</f>
        <v>블라인드 스팟 시즌3</v>
      </c>
      <c r="C1458" s="16"/>
      <c r="D1458" s="17" t="s">
        <v>3042</v>
      </c>
      <c r="E1458" s="14" t="s">
        <v>24</v>
      </c>
      <c r="F1458" s="14">
        <v>2017</v>
      </c>
      <c r="G1458" s="14" t="s">
        <v>20</v>
      </c>
      <c r="H1458" s="15" t="s">
        <v>115</v>
      </c>
      <c r="I1458" s="14" t="s">
        <v>569</v>
      </c>
      <c r="J1458" s="132"/>
      <c r="K1458" s="150" t="s">
        <v>3044</v>
      </c>
    </row>
    <row r="1459" spans="1:11" ht="28.9" customHeight="1" thickTop="1" thickBot="1" x14ac:dyDescent="0.75">
      <c r="A1459" s="6">
        <v>1457</v>
      </c>
      <c r="B1459" s="59" t="str">
        <f>HYPERLINK("https://search.naver.com/search.naver?query=블라인드 스팟 시즌4", "블라인드 스팟 시즌4")</f>
        <v>블라인드 스팟 시즌4</v>
      </c>
      <c r="C1459" s="16"/>
      <c r="D1459" s="17" t="s">
        <v>3042</v>
      </c>
      <c r="E1459" s="14" t="s">
        <v>24</v>
      </c>
      <c r="F1459" s="14">
        <v>2018</v>
      </c>
      <c r="G1459" s="14" t="s">
        <v>20</v>
      </c>
      <c r="H1459" s="15" t="s">
        <v>115</v>
      </c>
      <c r="I1459" s="14" t="s">
        <v>3045</v>
      </c>
      <c r="J1459" s="132"/>
      <c r="K1459" s="150" t="s">
        <v>2190</v>
      </c>
    </row>
    <row r="1460" spans="1:11" ht="28.9" customHeight="1" thickTop="1" thickBot="1" x14ac:dyDescent="0.75">
      <c r="A1460" s="10">
        <v>1458</v>
      </c>
      <c r="B1460" s="59" t="str">
        <f>HYPERLINK("https://search.naver.com/search.naver?query=블라인드 스팟 시즌5", "블라인드 스팟 시즌5")</f>
        <v>블라인드 스팟 시즌5</v>
      </c>
      <c r="C1460" s="16"/>
      <c r="D1460" s="17" t="s">
        <v>3042</v>
      </c>
      <c r="E1460" s="14" t="s">
        <v>24</v>
      </c>
      <c r="F1460" s="14">
        <v>2020</v>
      </c>
      <c r="G1460" s="14" t="s">
        <v>20</v>
      </c>
      <c r="H1460" s="15" t="s">
        <v>115</v>
      </c>
      <c r="I1460" s="14" t="s">
        <v>888</v>
      </c>
      <c r="J1460" s="132"/>
      <c r="K1460" s="150" t="s">
        <v>2686</v>
      </c>
    </row>
    <row r="1461" spans="1:11" ht="28.9" customHeight="1" thickTop="1" thickBot="1" x14ac:dyDescent="0.75">
      <c r="A1461" s="6">
        <v>1459</v>
      </c>
      <c r="B1461" s="58" t="str">
        <f>HYPERLINK("https://search.naver.com/search.naver?query=블랙 영화", "블랙")</f>
        <v>블랙</v>
      </c>
      <c r="C1461" s="12">
        <v>9.42</v>
      </c>
      <c r="D1461" s="13" t="s">
        <v>3046</v>
      </c>
      <c r="E1461" s="10" t="s">
        <v>24</v>
      </c>
      <c r="F1461" s="10">
        <v>2005</v>
      </c>
      <c r="G1461" s="10" t="s">
        <v>14</v>
      </c>
      <c r="H1461" s="11" t="s">
        <v>20</v>
      </c>
      <c r="I1461" s="10" t="s">
        <v>150</v>
      </c>
      <c r="J1461" s="131"/>
      <c r="K1461" s="149" t="s">
        <v>3047</v>
      </c>
    </row>
    <row r="1462" spans="1:11" ht="28.9" customHeight="1" thickTop="1" thickBot="1" x14ac:dyDescent="0.75">
      <c r="A1462" s="10">
        <v>1460</v>
      </c>
      <c r="B1462" s="57" t="str">
        <f>HYPERLINK("https://search.naver.com/search.naver?query=블랙 골드 영화", "블랙 골드")</f>
        <v>블랙 골드</v>
      </c>
      <c r="C1462" s="8">
        <v>6.4</v>
      </c>
      <c r="D1462" s="9" t="s">
        <v>3048</v>
      </c>
      <c r="E1462" s="6" t="s">
        <v>24</v>
      </c>
      <c r="F1462" s="6">
        <v>2011</v>
      </c>
      <c r="G1462" s="6" t="s">
        <v>14</v>
      </c>
      <c r="H1462" s="7" t="s">
        <v>20</v>
      </c>
      <c r="I1462" s="6" t="s">
        <v>150</v>
      </c>
      <c r="J1462" s="130"/>
      <c r="K1462" s="148" t="s">
        <v>3049</v>
      </c>
    </row>
    <row r="1463" spans="1:11" ht="28.9" customHeight="1" thickTop="1" thickBot="1" x14ac:dyDescent="0.75">
      <c r="A1463" s="6">
        <v>1461</v>
      </c>
      <c r="B1463" s="59" t="str">
        <f>HYPERLINK("https://search.naver.com/search.naver?query=블랙 도브 시즌1", "블랙 도브 시즌1")</f>
        <v>블랙 도브 시즌1</v>
      </c>
      <c r="C1463" s="16"/>
      <c r="D1463" s="17" t="s">
        <v>3050</v>
      </c>
      <c r="E1463" s="14" t="s">
        <v>29</v>
      </c>
      <c r="F1463" s="14">
        <v>2024</v>
      </c>
      <c r="G1463" s="14" t="s">
        <v>20</v>
      </c>
      <c r="H1463" s="15" t="s">
        <v>15</v>
      </c>
      <c r="I1463" s="14" t="s">
        <v>247</v>
      </c>
      <c r="J1463" s="132"/>
      <c r="K1463" s="150" t="s">
        <v>3051</v>
      </c>
    </row>
    <row r="1464" spans="1:11" ht="28.9" customHeight="1" thickTop="1" thickBot="1" x14ac:dyDescent="0.75">
      <c r="A1464" s="10">
        <v>1462</v>
      </c>
      <c r="B1464" s="57" t="str">
        <f>HYPERLINK("https://search.naver.com/search.naver?query=블랙 매스 영화", "블랙 매스")</f>
        <v>블랙 매스</v>
      </c>
      <c r="C1464" s="8">
        <v>6.4</v>
      </c>
      <c r="D1464" s="9" t="s">
        <v>3052</v>
      </c>
      <c r="E1464" s="6" t="s">
        <v>24</v>
      </c>
      <c r="F1464" s="6">
        <v>2015</v>
      </c>
      <c r="G1464" s="6" t="s">
        <v>14</v>
      </c>
      <c r="H1464" s="7" t="s">
        <v>428</v>
      </c>
      <c r="I1464" s="6" t="s">
        <v>141</v>
      </c>
      <c r="J1464" s="130"/>
      <c r="K1464" s="148" t="s">
        <v>3053</v>
      </c>
    </row>
    <row r="1465" spans="1:11" ht="28.9" customHeight="1" thickTop="1" thickBot="1" x14ac:dyDescent="0.75">
      <c r="A1465" s="6">
        <v>1463</v>
      </c>
      <c r="B1465" s="59" t="str">
        <f>HYPERLINK("https://search.naver.com/search.naver?query=블랙 미러 시즌1", "블랙 미러 시즌1")</f>
        <v>블랙 미러 시즌1</v>
      </c>
      <c r="C1465" s="16"/>
      <c r="D1465" s="17" t="s">
        <v>3054</v>
      </c>
      <c r="E1465" s="14" t="s">
        <v>29</v>
      </c>
      <c r="F1465" s="14">
        <v>2011</v>
      </c>
      <c r="G1465" s="14" t="s">
        <v>20</v>
      </c>
      <c r="H1465" s="15" t="s">
        <v>519</v>
      </c>
      <c r="I1465" s="14" t="s">
        <v>3055</v>
      </c>
      <c r="J1465" s="132"/>
      <c r="K1465" s="150" t="s">
        <v>3056</v>
      </c>
    </row>
    <row r="1466" spans="1:11" ht="28.9" customHeight="1" thickTop="1" thickBot="1" x14ac:dyDescent="0.75">
      <c r="A1466" s="10">
        <v>1464</v>
      </c>
      <c r="B1466" s="59" t="str">
        <f>HYPERLINK("https://search.naver.com/search.naver?query=블랙 미러 시즌2", "블랙 미러 시즌2")</f>
        <v>블랙 미러 시즌2</v>
      </c>
      <c r="C1466" s="16"/>
      <c r="D1466" s="17" t="s">
        <v>3054</v>
      </c>
      <c r="E1466" s="14" t="s">
        <v>29</v>
      </c>
      <c r="F1466" s="14">
        <v>2013</v>
      </c>
      <c r="G1466" s="14" t="s">
        <v>20</v>
      </c>
      <c r="H1466" s="15" t="s">
        <v>519</v>
      </c>
      <c r="I1466" s="14" t="s">
        <v>3055</v>
      </c>
      <c r="J1466" s="132"/>
      <c r="K1466" s="150" t="s">
        <v>3057</v>
      </c>
    </row>
    <row r="1467" spans="1:11" ht="28.9" customHeight="1" thickTop="1" thickBot="1" x14ac:dyDescent="0.75">
      <c r="A1467" s="6">
        <v>1465</v>
      </c>
      <c r="B1467" s="59" t="str">
        <f>HYPERLINK("https://search.naver.com/search.naver?query=블랙 미러 시즌4", "블랙 미러 시즌4")</f>
        <v>블랙 미러 시즌4</v>
      </c>
      <c r="C1467" s="16"/>
      <c r="D1467" s="17" t="s">
        <v>3054</v>
      </c>
      <c r="E1467" s="14" t="s">
        <v>29</v>
      </c>
      <c r="F1467" s="14">
        <v>2017</v>
      </c>
      <c r="G1467" s="14" t="s">
        <v>20</v>
      </c>
      <c r="H1467" s="15" t="s">
        <v>519</v>
      </c>
      <c r="I1467" s="14" t="s">
        <v>247</v>
      </c>
      <c r="J1467" s="132"/>
      <c r="K1467" s="150" t="s">
        <v>3058</v>
      </c>
    </row>
    <row r="1468" spans="1:11" ht="28.9" customHeight="1" thickTop="1" thickBot="1" x14ac:dyDescent="0.75">
      <c r="A1468" s="10">
        <v>1466</v>
      </c>
      <c r="B1468" s="59" t="str">
        <f>HYPERLINK("https://search.naver.com/search.naver?query=블랙 미러 시즌5", "블랙 미러 시즌5")</f>
        <v>블랙 미러 시즌5</v>
      </c>
      <c r="C1468" s="16"/>
      <c r="D1468" s="17" t="s">
        <v>3054</v>
      </c>
      <c r="E1468" s="14" t="s">
        <v>29</v>
      </c>
      <c r="F1468" s="14">
        <v>2019</v>
      </c>
      <c r="G1468" s="14" t="s">
        <v>20</v>
      </c>
      <c r="H1468" s="15" t="s">
        <v>519</v>
      </c>
      <c r="I1468" s="14" t="s">
        <v>3055</v>
      </c>
      <c r="J1468" s="132"/>
      <c r="K1468" s="150" t="s">
        <v>3059</v>
      </c>
    </row>
    <row r="1469" spans="1:11" ht="28.9" customHeight="1" thickTop="1" thickBot="1" x14ac:dyDescent="0.75">
      <c r="A1469" s="6">
        <v>1467</v>
      </c>
      <c r="B1469" s="59" t="str">
        <f>HYPERLINK("https://search.naver.com/search.naver?query=블랙 미러 시즌6", "블랙 미러 시즌6")</f>
        <v>블랙 미러 시즌6</v>
      </c>
      <c r="C1469" s="16"/>
      <c r="D1469" s="17" t="s">
        <v>3054</v>
      </c>
      <c r="E1469" s="14" t="s">
        <v>29</v>
      </c>
      <c r="F1469" s="14">
        <v>2023</v>
      </c>
      <c r="G1469" s="14" t="s">
        <v>20</v>
      </c>
      <c r="H1469" s="15" t="s">
        <v>519</v>
      </c>
      <c r="I1469" s="14" t="s">
        <v>1184</v>
      </c>
      <c r="J1469" s="132"/>
      <c r="K1469" s="150" t="s">
        <v>3060</v>
      </c>
    </row>
    <row r="1470" spans="1:11" ht="28.9" customHeight="1" thickTop="1" thickBot="1" x14ac:dyDescent="0.75">
      <c r="A1470" s="10">
        <v>1468</v>
      </c>
      <c r="B1470" s="59" t="str">
        <f>HYPERLINK("https://search.naver.com/search.naver?query=블랙 미러 시즌7", "블랙 미러 시즌7")</f>
        <v>블랙 미러 시즌7</v>
      </c>
      <c r="C1470" s="16"/>
      <c r="D1470" s="17" t="s">
        <v>3054</v>
      </c>
      <c r="E1470" s="14" t="s">
        <v>29</v>
      </c>
      <c r="F1470" s="14">
        <v>2025</v>
      </c>
      <c r="G1470" s="14" t="s">
        <v>20</v>
      </c>
      <c r="H1470" s="15" t="s">
        <v>519</v>
      </c>
      <c r="I1470" s="14" t="s">
        <v>247</v>
      </c>
      <c r="J1470" s="132"/>
      <c r="K1470" s="150" t="s">
        <v>3061</v>
      </c>
    </row>
    <row r="1471" spans="1:11" ht="28.9" customHeight="1" thickTop="1" thickBot="1" x14ac:dyDescent="0.75">
      <c r="A1471" s="6">
        <v>1469</v>
      </c>
      <c r="B1471" s="58" t="str">
        <f>HYPERLINK("https://search.naver.com/search.naver?query=블랙 백 영화", "블랙 백")</f>
        <v>블랙 백</v>
      </c>
      <c r="C1471" s="12">
        <v>7.18</v>
      </c>
      <c r="D1471" s="13" t="s">
        <v>3062</v>
      </c>
      <c r="E1471" s="10" t="s">
        <v>24</v>
      </c>
      <c r="F1471" s="10">
        <v>2025</v>
      </c>
      <c r="G1471" s="10" t="s">
        <v>14</v>
      </c>
      <c r="H1471" s="11" t="s">
        <v>54</v>
      </c>
      <c r="I1471" s="10" t="s">
        <v>129</v>
      </c>
      <c r="J1471" s="131"/>
      <c r="K1471" s="149" t="s">
        <v>3063</v>
      </c>
    </row>
    <row r="1472" spans="1:11" ht="28.9" customHeight="1" thickTop="1" thickBot="1" x14ac:dyDescent="0.75">
      <c r="A1472" s="10">
        <v>1470</v>
      </c>
      <c r="B1472" s="59" t="str">
        <f>HYPERLINK("https://search.naver.com/search.naver?query=블랙 버드", "블랙 버드")</f>
        <v>블랙 버드</v>
      </c>
      <c r="C1472" s="16"/>
      <c r="D1472" s="17" t="s">
        <v>3064</v>
      </c>
      <c r="E1472" s="14" t="s">
        <v>24</v>
      </c>
      <c r="F1472" s="14">
        <v>2022</v>
      </c>
      <c r="G1472" s="14" t="s">
        <v>20</v>
      </c>
      <c r="H1472" s="15" t="s">
        <v>1587</v>
      </c>
      <c r="I1472" s="14" t="s">
        <v>247</v>
      </c>
      <c r="J1472" s="132"/>
      <c r="K1472" s="150" t="s">
        <v>3065</v>
      </c>
    </row>
    <row r="1473" spans="1:11" ht="28.9" customHeight="1" thickTop="1" thickBot="1" x14ac:dyDescent="0.75">
      <c r="A1473" s="6">
        <v>1471</v>
      </c>
      <c r="B1473" s="58" t="str">
        <f>HYPERLINK("https://search.naver.com/search.naver?query=블랙 뷰티 영화", "블랙 뷰티")</f>
        <v>블랙 뷰티</v>
      </c>
      <c r="C1473" s="12">
        <v>6.4</v>
      </c>
      <c r="D1473" s="13" t="s">
        <v>3066</v>
      </c>
      <c r="E1473" s="10" t="s">
        <v>24</v>
      </c>
      <c r="F1473" s="10">
        <v>2020</v>
      </c>
      <c r="G1473" s="10" t="s">
        <v>14</v>
      </c>
      <c r="H1473" s="11" t="s">
        <v>20</v>
      </c>
      <c r="I1473" s="10" t="s">
        <v>129</v>
      </c>
      <c r="J1473" s="131"/>
      <c r="K1473" s="149" t="s">
        <v>3067</v>
      </c>
    </row>
    <row r="1474" spans="1:11" ht="28.9" customHeight="1" thickTop="1" thickBot="1" x14ac:dyDescent="0.75">
      <c r="A1474" s="10">
        <v>1472</v>
      </c>
      <c r="B1474" s="57" t="str">
        <f>HYPERLINK("https://search.naver.com/search.naver?query=블랙 사이트 영화", "블랙 사이트")</f>
        <v>블랙 사이트</v>
      </c>
      <c r="C1474" s="8">
        <v>4.96</v>
      </c>
      <c r="D1474" s="9" t="s">
        <v>3068</v>
      </c>
      <c r="E1474" s="6" t="s">
        <v>24</v>
      </c>
      <c r="F1474" s="6">
        <v>2022</v>
      </c>
      <c r="G1474" s="6" t="s">
        <v>14</v>
      </c>
      <c r="H1474" s="7" t="s">
        <v>124</v>
      </c>
      <c r="I1474" s="6" t="s">
        <v>150</v>
      </c>
      <c r="J1474" s="130"/>
      <c r="K1474" s="148" t="s">
        <v>3069</v>
      </c>
    </row>
    <row r="1475" spans="1:11" ht="28.9" customHeight="1" thickTop="1" thickBot="1" x14ac:dyDescent="0.75">
      <c r="A1475" s="6">
        <v>1473</v>
      </c>
      <c r="B1475" s="58" t="str">
        <f>HYPERLINK("https://search.naver.com/search.naver?query=블랙 스완 영화", "블랙 스완")</f>
        <v>블랙 스완</v>
      </c>
      <c r="C1475" s="12">
        <v>8.9600000000000009</v>
      </c>
      <c r="D1475" s="13" t="s">
        <v>3070</v>
      </c>
      <c r="E1475" s="10" t="s">
        <v>24</v>
      </c>
      <c r="F1475" s="10">
        <v>2010</v>
      </c>
      <c r="G1475" s="10" t="s">
        <v>14</v>
      </c>
      <c r="H1475" s="11" t="s">
        <v>20</v>
      </c>
      <c r="I1475" s="10" t="s">
        <v>38</v>
      </c>
      <c r="J1475" s="131"/>
      <c r="K1475" s="149" t="s">
        <v>3071</v>
      </c>
    </row>
    <row r="1476" spans="1:11" ht="28.9" customHeight="1" thickTop="1" thickBot="1" x14ac:dyDescent="0.75">
      <c r="A1476" s="10">
        <v>1474</v>
      </c>
      <c r="B1476" s="57" t="str">
        <f>HYPERLINK("https://search.naver.com/search.naver?query=블랙 씨 영화", "블랙 씨")</f>
        <v>블랙 씨</v>
      </c>
      <c r="C1476" s="8"/>
      <c r="D1476" s="9" t="s">
        <v>3072</v>
      </c>
      <c r="E1476" s="6" t="s">
        <v>29</v>
      </c>
      <c r="F1476" s="6">
        <v>2014</v>
      </c>
      <c r="G1476" s="6" t="s">
        <v>14</v>
      </c>
      <c r="H1476" s="7" t="s">
        <v>54</v>
      </c>
      <c r="I1476" s="6" t="s">
        <v>305</v>
      </c>
      <c r="J1476" s="130"/>
      <c r="K1476" s="148" t="s">
        <v>3073</v>
      </c>
    </row>
    <row r="1477" spans="1:11" ht="28.9" customHeight="1" thickTop="1" thickBot="1" x14ac:dyDescent="0.75">
      <c r="A1477" s="6">
        <v>1475</v>
      </c>
      <c r="B1477" s="58" t="str">
        <f>HYPERLINK("https://search.naver.com/search.naver?query=블랙 워터 영화", "블랙 워터")</f>
        <v>블랙 워터</v>
      </c>
      <c r="C1477" s="12">
        <v>3.95</v>
      </c>
      <c r="D1477" s="13" t="s">
        <v>3074</v>
      </c>
      <c r="E1477" s="10" t="s">
        <v>24</v>
      </c>
      <c r="F1477" s="10">
        <v>2018</v>
      </c>
      <c r="G1477" s="10" t="s">
        <v>14</v>
      </c>
      <c r="H1477" s="11" t="s">
        <v>124</v>
      </c>
      <c r="I1477" s="10" t="s">
        <v>150</v>
      </c>
      <c r="J1477" s="131"/>
      <c r="K1477" s="149" t="s">
        <v>3075</v>
      </c>
    </row>
    <row r="1478" spans="1:11" ht="28.9" customHeight="1" thickTop="1" thickBot="1" x14ac:dyDescent="0.75">
      <c r="A1478" s="10">
        <v>1476</v>
      </c>
      <c r="B1478" s="57" t="str">
        <f>HYPERLINK("https://search.naver.com/search.naver?query=블랙 워터 아비스 영화", "블랙 워터-아비스")</f>
        <v>블랙 워터-아비스</v>
      </c>
      <c r="C1478" s="8">
        <v>3.95</v>
      </c>
      <c r="D1478" s="9" t="s">
        <v>3076</v>
      </c>
      <c r="E1478" s="6" t="s">
        <v>45</v>
      </c>
      <c r="F1478" s="6">
        <v>2020</v>
      </c>
      <c r="G1478" s="6" t="s">
        <v>14</v>
      </c>
      <c r="H1478" s="7" t="s">
        <v>382</v>
      </c>
      <c r="I1478" s="6" t="s">
        <v>16</v>
      </c>
      <c r="J1478" s="130"/>
      <c r="K1478" s="148" t="s">
        <v>3077</v>
      </c>
    </row>
    <row r="1479" spans="1:11" ht="28.9" customHeight="1" thickTop="1" thickBot="1" x14ac:dyDescent="0.75">
      <c r="A1479" s="6">
        <v>1477</v>
      </c>
      <c r="B1479" s="58" t="str">
        <f>HYPERLINK("https://search.naver.com/search.naver?query=블랙 위도우 영화", "블랙 위도우")</f>
        <v>블랙 위도우</v>
      </c>
      <c r="C1479" s="12">
        <v>6.4</v>
      </c>
      <c r="D1479" s="13" t="s">
        <v>3078</v>
      </c>
      <c r="E1479" s="10" t="s">
        <v>24</v>
      </c>
      <c r="F1479" s="10">
        <v>2021</v>
      </c>
      <c r="G1479" s="10" t="s">
        <v>14</v>
      </c>
      <c r="H1479" s="11" t="s">
        <v>124</v>
      </c>
      <c r="I1479" s="10" t="s">
        <v>917</v>
      </c>
      <c r="J1479" s="131"/>
      <c r="K1479" s="149" t="s">
        <v>3079</v>
      </c>
    </row>
    <row r="1480" spans="1:11" ht="28.9" customHeight="1" thickTop="1" thickBot="1" x14ac:dyDescent="0.75">
      <c r="A1480" s="10">
        <v>1478</v>
      </c>
      <c r="B1480" s="57" t="str">
        <f>HYPERLINK("https://search.naver.com/search.naver?query=블랙 위도우 파이널 챕터 영화", "블랙 위도우-파이널 챕터")</f>
        <v>블랙 위도우-파이널 챕터</v>
      </c>
      <c r="C1480" s="8">
        <v>6.4</v>
      </c>
      <c r="D1480" s="9" t="s">
        <v>3080</v>
      </c>
      <c r="E1480" s="6" t="s">
        <v>24</v>
      </c>
      <c r="F1480" s="6">
        <v>2019</v>
      </c>
      <c r="G1480" s="6" t="s">
        <v>14</v>
      </c>
      <c r="H1480" s="7" t="s">
        <v>124</v>
      </c>
      <c r="I1480" s="6" t="s">
        <v>150</v>
      </c>
      <c r="J1480" s="130"/>
      <c r="K1480" s="148" t="s">
        <v>3081</v>
      </c>
    </row>
    <row r="1481" spans="1:11" ht="28.9" customHeight="1" thickTop="1" thickBot="1" x14ac:dyDescent="0.75">
      <c r="A1481" s="6">
        <v>1479</v>
      </c>
      <c r="B1481" s="58" t="str">
        <f>HYPERLINK("https://search.naver.com/search.naver?query=블랙 크랩 영화", "블랙 크랩")</f>
        <v>블랙 크랩</v>
      </c>
      <c r="C1481" s="12">
        <v>5.03</v>
      </c>
      <c r="D1481" s="13" t="s">
        <v>3082</v>
      </c>
      <c r="E1481" s="10" t="s">
        <v>1043</v>
      </c>
      <c r="F1481" s="10">
        <v>2022</v>
      </c>
      <c r="G1481" s="10" t="s">
        <v>14</v>
      </c>
      <c r="H1481" s="11" t="s">
        <v>124</v>
      </c>
      <c r="I1481" s="10" t="s">
        <v>305</v>
      </c>
      <c r="J1481" s="131"/>
      <c r="K1481" s="149" t="s">
        <v>3083</v>
      </c>
    </row>
    <row r="1482" spans="1:11" ht="28.9" customHeight="1" thickTop="1" thickBot="1" x14ac:dyDescent="0.75">
      <c r="A1482" s="10">
        <v>1480</v>
      </c>
      <c r="B1482" s="57" t="str">
        <f>HYPERLINK("https://search.naver.com/search.naver?query=블랙 호크 다운 영화", "블랙 호크 다운")</f>
        <v>블랙 호크 다운</v>
      </c>
      <c r="C1482" s="8">
        <v>2</v>
      </c>
      <c r="D1482" s="9" t="s">
        <v>3084</v>
      </c>
      <c r="E1482" s="6" t="s">
        <v>24</v>
      </c>
      <c r="F1482" s="6">
        <v>2001</v>
      </c>
      <c r="G1482" s="6" t="s">
        <v>14</v>
      </c>
      <c r="H1482" s="7" t="s">
        <v>1247</v>
      </c>
      <c r="I1482" s="6" t="s">
        <v>57</v>
      </c>
      <c r="J1482" s="130"/>
      <c r="K1482" s="148" t="s">
        <v>3085</v>
      </c>
    </row>
    <row r="1483" spans="1:11" ht="28.9" customHeight="1" thickTop="1" thickBot="1" x14ac:dyDescent="0.75">
      <c r="A1483" s="6">
        <v>1481</v>
      </c>
      <c r="B1483" s="58" t="str">
        <f>HYPERLINK("https://search.naver.com/search.naver?query=블랙라이트 영화", "블랙라이트")</f>
        <v>블랙라이트</v>
      </c>
      <c r="C1483" s="12">
        <v>6.49</v>
      </c>
      <c r="D1483" s="13" t="s">
        <v>3086</v>
      </c>
      <c r="E1483" s="10" t="s">
        <v>24</v>
      </c>
      <c r="F1483" s="10">
        <v>2022</v>
      </c>
      <c r="G1483" s="10" t="s">
        <v>14</v>
      </c>
      <c r="H1483" s="11" t="s">
        <v>124</v>
      </c>
      <c r="I1483" s="10" t="s">
        <v>242</v>
      </c>
      <c r="J1483" s="131"/>
      <c r="K1483" s="149" t="s">
        <v>3087</v>
      </c>
    </row>
    <row r="1484" spans="1:11" ht="28.9" customHeight="1" thickTop="1" thickBot="1" x14ac:dyDescent="0.75">
      <c r="A1484" s="10">
        <v>1482</v>
      </c>
      <c r="B1484" s="59" t="str">
        <f>HYPERLINK("https://search.naver.com/search.naver?query=블랙리스트 시즌1", "블랙리스트 시즌1")</f>
        <v>블랙리스트 시즌1</v>
      </c>
      <c r="C1484" s="16"/>
      <c r="D1484" s="17" t="s">
        <v>3088</v>
      </c>
      <c r="E1484" s="14" t="s">
        <v>24</v>
      </c>
      <c r="F1484" s="14">
        <v>2013</v>
      </c>
      <c r="G1484" s="14" t="s">
        <v>20</v>
      </c>
      <c r="H1484" s="15" t="s">
        <v>115</v>
      </c>
      <c r="I1484" s="14" t="s">
        <v>569</v>
      </c>
      <c r="J1484" s="132"/>
      <c r="K1484" s="150" t="s">
        <v>3089</v>
      </c>
    </row>
    <row r="1485" spans="1:11" ht="28.9" customHeight="1" thickTop="1" thickBot="1" x14ac:dyDescent="0.75">
      <c r="A1485" s="6">
        <v>1483</v>
      </c>
      <c r="B1485" s="59" t="str">
        <f>HYPERLINK("https://search.naver.com/search.naver?query=블랙리스트 시즌2", "블랙리스트 시즌2")</f>
        <v>블랙리스트 시즌2</v>
      </c>
      <c r="C1485" s="16"/>
      <c r="D1485" s="17" t="s">
        <v>3088</v>
      </c>
      <c r="E1485" s="14" t="s">
        <v>24</v>
      </c>
      <c r="F1485" s="14">
        <v>2014</v>
      </c>
      <c r="G1485" s="14" t="s">
        <v>20</v>
      </c>
      <c r="H1485" s="15" t="s">
        <v>115</v>
      </c>
      <c r="I1485" s="14" t="s">
        <v>569</v>
      </c>
      <c r="J1485" s="132"/>
      <c r="K1485" s="150" t="s">
        <v>3090</v>
      </c>
    </row>
    <row r="1486" spans="1:11" ht="28.9" customHeight="1" thickTop="1" thickBot="1" x14ac:dyDescent="0.75">
      <c r="A1486" s="10">
        <v>1484</v>
      </c>
      <c r="B1486" s="59" t="str">
        <f>HYPERLINK("https://search.naver.com/search.naver?query=블랙리스트 시즌3", "블랙리스트 시즌3")</f>
        <v>블랙리스트 시즌3</v>
      </c>
      <c r="C1486" s="16"/>
      <c r="D1486" s="17" t="s">
        <v>3088</v>
      </c>
      <c r="E1486" s="14" t="s">
        <v>24</v>
      </c>
      <c r="F1486" s="14">
        <v>2015</v>
      </c>
      <c r="G1486" s="14" t="s">
        <v>20</v>
      </c>
      <c r="H1486" s="15" t="s">
        <v>115</v>
      </c>
      <c r="I1486" s="14" t="s">
        <v>566</v>
      </c>
      <c r="J1486" s="132"/>
      <c r="K1486" s="150" t="s">
        <v>3091</v>
      </c>
    </row>
    <row r="1487" spans="1:11" ht="28.9" customHeight="1" thickTop="1" thickBot="1" x14ac:dyDescent="0.75">
      <c r="A1487" s="6">
        <v>1485</v>
      </c>
      <c r="B1487" s="59" t="str">
        <f>HYPERLINK("https://search.naver.com/search.naver?query=블랙리스트 시즌4", "블랙리스트 시즌4")</f>
        <v>블랙리스트 시즌4</v>
      </c>
      <c r="C1487" s="16"/>
      <c r="D1487" s="17" t="s">
        <v>3088</v>
      </c>
      <c r="E1487" s="14" t="s">
        <v>24</v>
      </c>
      <c r="F1487" s="14">
        <v>2016</v>
      </c>
      <c r="G1487" s="14" t="s">
        <v>20</v>
      </c>
      <c r="H1487" s="15" t="s">
        <v>115</v>
      </c>
      <c r="I1487" s="14" t="s">
        <v>569</v>
      </c>
      <c r="J1487" s="132"/>
      <c r="K1487" s="150" t="s">
        <v>731</v>
      </c>
    </row>
    <row r="1488" spans="1:11" ht="28.9" customHeight="1" thickTop="1" thickBot="1" x14ac:dyDescent="0.75">
      <c r="A1488" s="10">
        <v>1486</v>
      </c>
      <c r="B1488" s="59" t="str">
        <f>HYPERLINK("https://search.naver.com/search.naver?query=블랙리스트 시즌5", "블랙리스트 시즌5")</f>
        <v>블랙리스트 시즌5</v>
      </c>
      <c r="C1488" s="16"/>
      <c r="D1488" s="17" t="s">
        <v>3092</v>
      </c>
      <c r="E1488" s="14" t="s">
        <v>24</v>
      </c>
      <c r="F1488" s="14">
        <v>2017</v>
      </c>
      <c r="G1488" s="14" t="s">
        <v>20</v>
      </c>
      <c r="H1488" s="15" t="s">
        <v>115</v>
      </c>
      <c r="I1488" s="14" t="s">
        <v>569</v>
      </c>
      <c r="J1488" s="132"/>
      <c r="K1488" s="150" t="s">
        <v>3093</v>
      </c>
    </row>
    <row r="1489" spans="1:11" ht="28.9" customHeight="1" thickTop="1" thickBot="1" x14ac:dyDescent="0.75">
      <c r="A1489" s="6">
        <v>1487</v>
      </c>
      <c r="B1489" s="59" t="str">
        <f>HYPERLINK("https://search.naver.com/search.naver?query=블랙리스트 시즌6", "블랙리스트 시즌6")</f>
        <v>블랙리스트 시즌6</v>
      </c>
      <c r="C1489" s="16"/>
      <c r="D1489" s="17" t="s">
        <v>3088</v>
      </c>
      <c r="E1489" s="14" t="s">
        <v>24</v>
      </c>
      <c r="F1489" s="14">
        <v>2019</v>
      </c>
      <c r="G1489" s="14" t="s">
        <v>20</v>
      </c>
      <c r="H1489" s="15" t="s">
        <v>115</v>
      </c>
      <c r="I1489" s="14" t="s">
        <v>569</v>
      </c>
      <c r="J1489" s="132"/>
      <c r="K1489" s="150" t="s">
        <v>3094</v>
      </c>
    </row>
    <row r="1490" spans="1:11" ht="28.9" customHeight="1" thickTop="1" thickBot="1" x14ac:dyDescent="0.75">
      <c r="A1490" s="10">
        <v>1488</v>
      </c>
      <c r="B1490" s="59" t="str">
        <f>HYPERLINK("https://search.naver.com/search.naver?query=블랙리스트 시즌7", "블랙리스트 시즌7")</f>
        <v>블랙리스트 시즌7</v>
      </c>
      <c r="C1490" s="16"/>
      <c r="D1490" s="17" t="s">
        <v>3088</v>
      </c>
      <c r="E1490" s="14" t="s">
        <v>24</v>
      </c>
      <c r="F1490" s="14">
        <v>2019</v>
      </c>
      <c r="G1490" s="14" t="s">
        <v>20</v>
      </c>
      <c r="H1490" s="15" t="s">
        <v>115</v>
      </c>
      <c r="I1490" s="14" t="s">
        <v>3095</v>
      </c>
      <c r="J1490" s="132"/>
      <c r="K1490" s="150" t="s">
        <v>3096</v>
      </c>
    </row>
    <row r="1491" spans="1:11" ht="28.9" customHeight="1" thickTop="1" thickBot="1" x14ac:dyDescent="0.75">
      <c r="A1491" s="6">
        <v>1489</v>
      </c>
      <c r="B1491" s="59" t="str">
        <f>HYPERLINK("https://search.naver.com/search.naver?query=블랙리스트 시즌8", "블랙리스트 시즌8")</f>
        <v>블랙리스트 시즌8</v>
      </c>
      <c r="C1491" s="16"/>
      <c r="D1491" s="17" t="s">
        <v>3088</v>
      </c>
      <c r="E1491" s="14" t="s">
        <v>24</v>
      </c>
      <c r="F1491" s="14">
        <v>2020</v>
      </c>
      <c r="G1491" s="14" t="s">
        <v>20</v>
      </c>
      <c r="H1491" s="15" t="s">
        <v>115</v>
      </c>
      <c r="I1491" s="14" t="s">
        <v>569</v>
      </c>
      <c r="J1491" s="132"/>
      <c r="K1491" s="150" t="s">
        <v>3097</v>
      </c>
    </row>
    <row r="1492" spans="1:11" ht="28.9" customHeight="1" thickTop="1" thickBot="1" x14ac:dyDescent="0.75">
      <c r="A1492" s="10">
        <v>1490</v>
      </c>
      <c r="B1492" s="57" t="str">
        <f>HYPERLINK("https://search.naver.com/search.naver?query=블랙머니 영화", "블랙머니")</f>
        <v>블랙머니</v>
      </c>
      <c r="C1492" s="8">
        <v>8.75</v>
      </c>
      <c r="D1492" s="9" t="s">
        <v>3098</v>
      </c>
      <c r="E1492" s="6" t="s">
        <v>13</v>
      </c>
      <c r="F1492" s="6">
        <v>2019</v>
      </c>
      <c r="G1492" s="6" t="s">
        <v>14</v>
      </c>
      <c r="H1492" s="7" t="s">
        <v>428</v>
      </c>
      <c r="I1492" s="6" t="s">
        <v>98</v>
      </c>
      <c r="J1492" s="130"/>
      <c r="K1492" s="148" t="s">
        <v>3099</v>
      </c>
    </row>
    <row r="1493" spans="1:11" ht="28.9" customHeight="1" thickTop="1" thickBot="1" x14ac:dyDescent="0.75">
      <c r="A1493" s="6">
        <v>1491</v>
      </c>
      <c r="B1493" s="58" t="str">
        <f>HYPERLINK("https://search.naver.com/search.naver?query=블랙미션 영화", "블랙미션")</f>
        <v>블랙미션</v>
      </c>
      <c r="C1493" s="12">
        <v>1.8</v>
      </c>
      <c r="D1493" s="13" t="s">
        <v>3100</v>
      </c>
      <c r="E1493" s="10" t="s">
        <v>24</v>
      </c>
      <c r="F1493" s="10">
        <v>2024</v>
      </c>
      <c r="G1493" s="10" t="s">
        <v>14</v>
      </c>
      <c r="H1493" s="11" t="s">
        <v>124</v>
      </c>
      <c r="I1493" s="10" t="s">
        <v>150</v>
      </c>
      <c r="J1493" s="131"/>
      <c r="K1493" s="149" t="s">
        <v>3101</v>
      </c>
    </row>
    <row r="1494" spans="1:11" ht="28.9" customHeight="1" thickTop="1" thickBot="1" x14ac:dyDescent="0.75">
      <c r="A1494" s="10">
        <v>1492</v>
      </c>
      <c r="B1494" s="57" t="str">
        <f>HYPERLINK("https://search.naver.com/search.naver?query=블랙버드 영화", "블랙버드")</f>
        <v>블랙버드</v>
      </c>
      <c r="C1494" s="8">
        <v>7.29</v>
      </c>
      <c r="D1494" s="9" t="s">
        <v>3102</v>
      </c>
      <c r="E1494" s="6" t="s">
        <v>24</v>
      </c>
      <c r="F1494" s="6">
        <v>2019</v>
      </c>
      <c r="G1494" s="6" t="s">
        <v>14</v>
      </c>
      <c r="H1494" s="7" t="s">
        <v>20</v>
      </c>
      <c r="I1494" s="6" t="s">
        <v>16</v>
      </c>
      <c r="J1494" s="130"/>
      <c r="K1494" s="148" t="s">
        <v>3103</v>
      </c>
    </row>
    <row r="1495" spans="1:11" ht="28.9" customHeight="1" thickTop="1" thickBot="1" x14ac:dyDescent="0.75">
      <c r="A1495" s="6">
        <v>1493</v>
      </c>
      <c r="B1495" s="58" t="str">
        <f>HYPERLINK("https://search.naver.com/search.naver?query=블랙북 영화", "블랙북")</f>
        <v>블랙북</v>
      </c>
      <c r="C1495" s="12">
        <v>8.82</v>
      </c>
      <c r="D1495" s="13" t="s">
        <v>3104</v>
      </c>
      <c r="E1495" s="10" t="s">
        <v>1511</v>
      </c>
      <c r="F1495" s="10">
        <v>2006</v>
      </c>
      <c r="G1495" s="10" t="s">
        <v>14</v>
      </c>
      <c r="H1495" s="11" t="s">
        <v>20</v>
      </c>
      <c r="I1495" s="10" t="s">
        <v>251</v>
      </c>
      <c r="J1495" s="131"/>
      <c r="K1495" s="149" t="s">
        <v>3105</v>
      </c>
    </row>
    <row r="1496" spans="1:11" ht="28.9" customHeight="1" thickTop="1" thickBot="1" x14ac:dyDescent="0.75">
      <c r="A1496" s="10">
        <v>1494</v>
      </c>
      <c r="B1496" s="57" t="str">
        <f>HYPERLINK("https://search.naver.com/search.naver?query=블랙웨이 영화", "블랙웨이")</f>
        <v>블랙웨이</v>
      </c>
      <c r="C1496" s="8"/>
      <c r="D1496" s="9" t="s">
        <v>3106</v>
      </c>
      <c r="E1496" s="6" t="s">
        <v>24</v>
      </c>
      <c r="F1496" s="6">
        <v>2015</v>
      </c>
      <c r="G1496" s="6" t="s">
        <v>14</v>
      </c>
      <c r="H1496" s="7" t="s">
        <v>54</v>
      </c>
      <c r="I1496" s="6" t="s">
        <v>156</v>
      </c>
      <c r="J1496" s="130"/>
      <c r="K1496" s="148" t="s">
        <v>3107</v>
      </c>
    </row>
    <row r="1497" spans="1:11" ht="28.9" customHeight="1" thickTop="1" thickBot="1" x14ac:dyDescent="0.75">
      <c r="A1497" s="6">
        <v>1495</v>
      </c>
      <c r="B1497" s="58" t="str">
        <f>HYPERLINK("https://search.naver.com/search.naver?query=블랙코드 영화", "블랙코드")</f>
        <v>블랙코드</v>
      </c>
      <c r="C1497" s="12">
        <v>6.4</v>
      </c>
      <c r="D1497" s="13" t="s">
        <v>3108</v>
      </c>
      <c r="E1497" s="10" t="s">
        <v>275</v>
      </c>
      <c r="F1497" s="10">
        <v>2015</v>
      </c>
      <c r="G1497" s="10" t="s">
        <v>14</v>
      </c>
      <c r="H1497" s="11" t="s">
        <v>226</v>
      </c>
      <c r="I1497" s="10" t="s">
        <v>150</v>
      </c>
      <c r="J1497" s="131"/>
      <c r="K1497" s="149" t="s">
        <v>3109</v>
      </c>
    </row>
    <row r="1498" spans="1:11" ht="28.9" customHeight="1" thickTop="1" thickBot="1" x14ac:dyDescent="0.75">
      <c r="A1498" s="10">
        <v>1496</v>
      </c>
      <c r="B1498" s="57" t="str">
        <f>HYPERLINK("https://search.naver.com/search.naver?query=블랙폰 영화", "블랙폰")</f>
        <v>블랙폰</v>
      </c>
      <c r="C1498" s="8">
        <v>6.55</v>
      </c>
      <c r="D1498" s="9" t="s">
        <v>3110</v>
      </c>
      <c r="E1498" s="6" t="s">
        <v>24</v>
      </c>
      <c r="F1498" s="6">
        <v>2021</v>
      </c>
      <c r="G1498" s="6" t="s">
        <v>14</v>
      </c>
      <c r="H1498" s="7" t="s">
        <v>382</v>
      </c>
      <c r="I1498" s="6" t="s">
        <v>276</v>
      </c>
      <c r="J1498" s="130"/>
      <c r="K1498" s="148" t="s">
        <v>3111</v>
      </c>
    </row>
    <row r="1499" spans="1:11" ht="28.9" customHeight="1" thickTop="1" thickBot="1" x14ac:dyDescent="0.75">
      <c r="A1499" s="6">
        <v>1497</v>
      </c>
      <c r="B1499" s="58" t="str">
        <f>HYPERLINK("https://search.naver.com/search.naver?query=블랜디드 영화", "블랜디드")</f>
        <v>블랜디드</v>
      </c>
      <c r="C1499" s="12"/>
      <c r="D1499" s="13" t="s">
        <v>3112</v>
      </c>
      <c r="E1499" s="10" t="s">
        <v>24</v>
      </c>
      <c r="F1499" s="10">
        <v>2014</v>
      </c>
      <c r="G1499" s="10" t="s">
        <v>14</v>
      </c>
      <c r="H1499" s="11" t="s">
        <v>91</v>
      </c>
      <c r="I1499" s="10" t="s">
        <v>120</v>
      </c>
      <c r="J1499" s="131"/>
      <c r="K1499" s="149" t="s">
        <v>2690</v>
      </c>
    </row>
    <row r="1500" spans="1:11" ht="28.9" customHeight="1" thickTop="1" thickBot="1" x14ac:dyDescent="0.75">
      <c r="A1500" s="10">
        <v>1498</v>
      </c>
      <c r="B1500" s="57" t="str">
        <f>HYPERLINK("https://search.naver.com/search.naver?query=블러드 다이아몬드 영화", "블러드 다이아몬드")</f>
        <v>블러드 다이아몬드</v>
      </c>
      <c r="C1500" s="8">
        <v>9.14</v>
      </c>
      <c r="D1500" s="9" t="s">
        <v>3113</v>
      </c>
      <c r="E1500" s="6" t="s">
        <v>24</v>
      </c>
      <c r="F1500" s="6">
        <v>2006</v>
      </c>
      <c r="G1500" s="6" t="s">
        <v>14</v>
      </c>
      <c r="H1500" s="7" t="s">
        <v>124</v>
      </c>
      <c r="I1500" s="6" t="s">
        <v>30</v>
      </c>
      <c r="J1500" s="130"/>
      <c r="K1500" s="148" t="s">
        <v>3114</v>
      </c>
    </row>
    <row r="1501" spans="1:11" ht="28.9" customHeight="1" thickTop="1" thickBot="1" x14ac:dyDescent="0.75">
      <c r="A1501" s="6">
        <v>1499</v>
      </c>
      <c r="B1501" s="58" t="str">
        <f>HYPERLINK("https://search.naver.com/search.naver?query=블러드 앤 머니 영화", "블러드 앤 머니")</f>
        <v>블러드 앤 머니</v>
      </c>
      <c r="C1501" s="12"/>
      <c r="D1501" s="13" t="s">
        <v>3115</v>
      </c>
      <c r="E1501" s="10" t="s">
        <v>24</v>
      </c>
      <c r="F1501" s="10">
        <v>2020</v>
      </c>
      <c r="G1501" s="10" t="s">
        <v>14</v>
      </c>
      <c r="H1501" s="11" t="s">
        <v>54</v>
      </c>
      <c r="I1501" s="10" t="s">
        <v>162</v>
      </c>
      <c r="J1501" s="131"/>
      <c r="K1501" s="149" t="s">
        <v>3116</v>
      </c>
    </row>
    <row r="1502" spans="1:11" ht="28.9" customHeight="1" thickTop="1" thickBot="1" x14ac:dyDescent="0.75">
      <c r="A1502" s="10">
        <v>1500</v>
      </c>
      <c r="B1502" s="57" t="str">
        <f>HYPERLINK("https://search.naver.com/search.naver?query=블러드 킬 영화", "블러드 킬")</f>
        <v>블러드 킬</v>
      </c>
      <c r="C1502" s="8">
        <v>5.05</v>
      </c>
      <c r="D1502" s="9" t="s">
        <v>3117</v>
      </c>
      <c r="E1502" s="6" t="s">
        <v>24</v>
      </c>
      <c r="F1502" s="6">
        <v>2020</v>
      </c>
      <c r="G1502" s="6" t="s">
        <v>14</v>
      </c>
      <c r="H1502" s="7" t="s">
        <v>124</v>
      </c>
      <c r="I1502" s="6" t="s">
        <v>150</v>
      </c>
      <c r="J1502" s="130"/>
      <c r="K1502" s="148" t="s">
        <v>3118</v>
      </c>
    </row>
    <row r="1503" spans="1:11" ht="28.9" customHeight="1" thickTop="1" thickBot="1" x14ac:dyDescent="0.75">
      <c r="A1503" s="6">
        <v>1501</v>
      </c>
      <c r="B1503" s="58" t="str">
        <f>HYPERLINK("https://search.naver.com/search.naver?query=블러드 파더 영화", "블러드 파더")</f>
        <v>블러드 파더</v>
      </c>
      <c r="C1503" s="12"/>
      <c r="D1503" s="13" t="s">
        <v>3119</v>
      </c>
      <c r="E1503" s="10" t="s">
        <v>310</v>
      </c>
      <c r="F1503" s="10">
        <v>2016</v>
      </c>
      <c r="G1503" s="10" t="s">
        <v>14</v>
      </c>
      <c r="H1503" s="11" t="s">
        <v>124</v>
      </c>
      <c r="I1503" s="10" t="s">
        <v>345</v>
      </c>
      <c r="J1503" s="131"/>
      <c r="K1503" s="149" t="s">
        <v>3120</v>
      </c>
    </row>
    <row r="1504" spans="1:11" ht="28.9" customHeight="1" thickTop="1" thickBot="1" x14ac:dyDescent="0.75">
      <c r="A1504" s="10">
        <v>1502</v>
      </c>
      <c r="B1504" s="57" t="str">
        <f>HYPERLINK("https://search.naver.com/search.naver?query=블레이드 러너 영화", "블레이드 러너")</f>
        <v>블레이드 러너</v>
      </c>
      <c r="C1504" s="8">
        <v>8.3000000000000007</v>
      </c>
      <c r="D1504" s="9" t="s">
        <v>3121</v>
      </c>
      <c r="E1504" s="6" t="s">
        <v>24</v>
      </c>
      <c r="F1504" s="6">
        <v>2017</v>
      </c>
      <c r="G1504" s="6" t="s">
        <v>14</v>
      </c>
      <c r="H1504" s="7" t="s">
        <v>877</v>
      </c>
      <c r="I1504" s="6" t="s">
        <v>1168</v>
      </c>
      <c r="J1504" s="130"/>
      <c r="K1504" s="148" t="s">
        <v>3122</v>
      </c>
    </row>
    <row r="1505" spans="1:11" ht="28.9" customHeight="1" thickTop="1" thickBot="1" x14ac:dyDescent="0.75">
      <c r="A1505" s="6">
        <v>1503</v>
      </c>
      <c r="B1505" s="58" t="str">
        <f>HYPERLINK("https://search.naver.com/search.naver?query=블로우 더 맨 다운 영화", "블로우 더 맨 다운")</f>
        <v>블로우 더 맨 다운</v>
      </c>
      <c r="C1505" s="12">
        <v>6.4</v>
      </c>
      <c r="D1505" s="13" t="s">
        <v>3123</v>
      </c>
      <c r="E1505" s="10" t="s">
        <v>24</v>
      </c>
      <c r="F1505" s="10">
        <v>2019</v>
      </c>
      <c r="G1505" s="10" t="s">
        <v>14</v>
      </c>
      <c r="H1505" s="11" t="s">
        <v>91</v>
      </c>
      <c r="I1505" s="10" t="s">
        <v>156</v>
      </c>
      <c r="J1505" s="131"/>
      <c r="K1505" s="149" t="s">
        <v>3124</v>
      </c>
    </row>
    <row r="1506" spans="1:11" ht="28.9" customHeight="1" thickTop="1" thickBot="1" x14ac:dyDescent="0.75">
      <c r="A1506" s="10">
        <v>1504</v>
      </c>
      <c r="B1506" s="57" t="str">
        <f>HYPERLINK("https://search.naver.com/search.naver?query=블루 루인 영화", "블루 루인")</f>
        <v>블루 루인</v>
      </c>
      <c r="C1506" s="8">
        <v>6.4</v>
      </c>
      <c r="D1506" s="9" t="s">
        <v>3125</v>
      </c>
      <c r="E1506" s="6" t="s">
        <v>24</v>
      </c>
      <c r="F1506" s="6">
        <v>2013</v>
      </c>
      <c r="G1506" s="6" t="s">
        <v>14</v>
      </c>
      <c r="H1506" s="7" t="s">
        <v>54</v>
      </c>
      <c r="I1506" s="6" t="s">
        <v>156</v>
      </c>
      <c r="J1506" s="130"/>
      <c r="K1506" s="148" t="s">
        <v>3126</v>
      </c>
    </row>
    <row r="1507" spans="1:11" ht="28.9" customHeight="1" thickTop="1" thickBot="1" x14ac:dyDescent="0.75">
      <c r="A1507" s="6">
        <v>1505</v>
      </c>
      <c r="B1507" s="58" t="str">
        <f>HYPERLINK("https://search.naver.com/search.naver?query=블루 미라클 영화", "블루 미라클")</f>
        <v>블루 미라클</v>
      </c>
      <c r="C1507" s="12">
        <v>9.67</v>
      </c>
      <c r="D1507" s="13" t="s">
        <v>3127</v>
      </c>
      <c r="E1507" s="10" t="s">
        <v>2941</v>
      </c>
      <c r="F1507" s="10">
        <v>2021</v>
      </c>
      <c r="G1507" s="10" t="s">
        <v>14</v>
      </c>
      <c r="H1507" s="11" t="s">
        <v>20</v>
      </c>
      <c r="I1507" s="10" t="s">
        <v>150</v>
      </c>
      <c r="J1507" s="131"/>
      <c r="K1507" s="149" t="s">
        <v>3128</v>
      </c>
    </row>
    <row r="1508" spans="1:11" ht="28.9" customHeight="1" thickTop="1" thickBot="1" x14ac:dyDescent="0.75">
      <c r="A1508" s="10">
        <v>1506</v>
      </c>
      <c r="B1508" s="57" t="str">
        <f>HYPERLINK("https://search.naver.com/search.naver?query=블루 발렌타인 영화", "블루 발렌타인")</f>
        <v>블루 발렌타인</v>
      </c>
      <c r="C1508" s="8">
        <v>8.33</v>
      </c>
      <c r="D1508" s="9" t="s">
        <v>3129</v>
      </c>
      <c r="E1508" s="6" t="s">
        <v>24</v>
      </c>
      <c r="F1508" s="6">
        <v>2010</v>
      </c>
      <c r="G1508" s="6" t="s">
        <v>14</v>
      </c>
      <c r="H1508" s="7" t="s">
        <v>20</v>
      </c>
      <c r="I1508" s="6" t="s">
        <v>429</v>
      </c>
      <c r="J1508" s="130"/>
      <c r="K1508" s="148" t="s">
        <v>3130</v>
      </c>
    </row>
    <row r="1509" spans="1:11" ht="28.9" customHeight="1" thickTop="1" thickBot="1" x14ac:dyDescent="0.75">
      <c r="A1509" s="6">
        <v>1507</v>
      </c>
      <c r="B1509" s="58" t="str">
        <f>HYPERLINK("https://search.naver.com/search.naver?query=블루 스톰 영화", "블루 스톰")</f>
        <v>블루 스톰</v>
      </c>
      <c r="C1509" s="12">
        <v>7.15</v>
      </c>
      <c r="D1509" s="13" t="s">
        <v>3131</v>
      </c>
      <c r="E1509" s="10" t="s">
        <v>123</v>
      </c>
      <c r="F1509" s="10">
        <v>2005</v>
      </c>
      <c r="G1509" s="10" t="s">
        <v>14</v>
      </c>
      <c r="H1509" s="11" t="s">
        <v>124</v>
      </c>
      <c r="I1509" s="10" t="s">
        <v>150</v>
      </c>
      <c r="J1509" s="131"/>
      <c r="K1509" s="149" t="s">
        <v>3132</v>
      </c>
    </row>
    <row r="1510" spans="1:11" ht="28.9" customHeight="1" thickTop="1" thickBot="1" x14ac:dyDescent="0.75">
      <c r="A1510" s="10">
        <v>1508</v>
      </c>
      <c r="B1510" s="57" t="str">
        <f>HYPERLINK("https://search.naver.com/search.naver?query=블루 재스민 영화", "블루 재스민")</f>
        <v>블루 재스민</v>
      </c>
      <c r="C1510" s="8">
        <v>9.2899999999999991</v>
      </c>
      <c r="D1510" s="9" t="s">
        <v>3133</v>
      </c>
      <c r="E1510" s="6" t="s">
        <v>24</v>
      </c>
      <c r="F1510" s="6">
        <v>2013</v>
      </c>
      <c r="G1510" s="6" t="s">
        <v>14</v>
      </c>
      <c r="H1510" s="7" t="s">
        <v>20</v>
      </c>
      <c r="I1510" s="6" t="s">
        <v>16</v>
      </c>
      <c r="J1510" s="130"/>
      <c r="K1510" s="148" t="s">
        <v>3134</v>
      </c>
    </row>
    <row r="1511" spans="1:11" ht="28.9" customHeight="1" thickTop="1" thickBot="1" x14ac:dyDescent="0.75">
      <c r="A1511" s="6">
        <v>1509</v>
      </c>
      <c r="B1511" s="58" t="str">
        <f>HYPERLINK("https://search.naver.com/search.naver?query=블루밍 러브 영화", "블루밍 러브")</f>
        <v>블루밍 러브</v>
      </c>
      <c r="C1511" s="12"/>
      <c r="D1511" s="13" t="s">
        <v>3135</v>
      </c>
      <c r="E1511" s="10" t="s">
        <v>29</v>
      </c>
      <c r="F1511" s="10">
        <v>2014</v>
      </c>
      <c r="G1511" s="10" t="s">
        <v>14</v>
      </c>
      <c r="H1511" s="11" t="s">
        <v>165</v>
      </c>
      <c r="I1511" s="10" t="s">
        <v>120</v>
      </c>
      <c r="J1511" s="131"/>
      <c r="K1511" s="149" t="s">
        <v>3136</v>
      </c>
    </row>
    <row r="1512" spans="1:11" ht="28.9" customHeight="1" thickTop="1" thickBot="1" x14ac:dyDescent="0.75">
      <c r="A1512" s="10">
        <v>1510</v>
      </c>
      <c r="B1512" s="57" t="str">
        <f>HYPERLINK("https://search.naver.com/search.naver?query=블루버드 인 마이 하트 영화", "블루버드 인 마이 하트")</f>
        <v>블루버드 인 마이 하트</v>
      </c>
      <c r="C1512" s="8">
        <v>6.83</v>
      </c>
      <c r="D1512" s="9" t="s">
        <v>3137</v>
      </c>
      <c r="E1512" s="6" t="s">
        <v>858</v>
      </c>
      <c r="F1512" s="6">
        <v>2018</v>
      </c>
      <c r="G1512" s="6" t="s">
        <v>14</v>
      </c>
      <c r="H1512" s="7" t="s">
        <v>20</v>
      </c>
      <c r="I1512" s="6" t="s">
        <v>46</v>
      </c>
      <c r="J1512" s="130"/>
      <c r="K1512" s="148" t="s">
        <v>3138</v>
      </c>
    </row>
    <row r="1513" spans="1:11" ht="28.9" customHeight="1" thickTop="1" thickBot="1" x14ac:dyDescent="0.75">
      <c r="A1513" s="6">
        <v>1511</v>
      </c>
      <c r="B1513" s="58" t="str">
        <f>HYPERLINK("https://search.naver.com/search.naver?query=블리드 포 디스 영화", "블리드 포 디스")</f>
        <v>블리드 포 디스</v>
      </c>
      <c r="C1513" s="12">
        <v>9.19</v>
      </c>
      <c r="D1513" s="13" t="s">
        <v>3139</v>
      </c>
      <c r="E1513" s="10" t="s">
        <v>24</v>
      </c>
      <c r="F1513" s="10">
        <v>2016</v>
      </c>
      <c r="G1513" s="10" t="s">
        <v>14</v>
      </c>
      <c r="H1513" s="11" t="s">
        <v>20</v>
      </c>
      <c r="I1513" s="10" t="s">
        <v>591</v>
      </c>
      <c r="J1513" s="131"/>
      <c r="K1513" s="149" t="s">
        <v>3140</v>
      </c>
    </row>
    <row r="1514" spans="1:11" ht="28.9" customHeight="1" thickTop="1" thickBot="1" x14ac:dyDescent="0.75">
      <c r="A1514" s="10">
        <v>1512</v>
      </c>
      <c r="B1514" s="57" t="str">
        <f>HYPERLINK("https://search.naver.com/search.naver?query=블리츠 영화", "블리츠")</f>
        <v>블리츠</v>
      </c>
      <c r="C1514" s="8">
        <v>6.95</v>
      </c>
      <c r="D1514" s="9" t="s">
        <v>3141</v>
      </c>
      <c r="E1514" s="6" t="s">
        <v>29</v>
      </c>
      <c r="F1514" s="6">
        <v>2011</v>
      </c>
      <c r="G1514" s="6" t="s">
        <v>14</v>
      </c>
      <c r="H1514" s="7" t="s">
        <v>124</v>
      </c>
      <c r="I1514" s="6" t="s">
        <v>169</v>
      </c>
      <c r="J1514" s="130"/>
      <c r="K1514" s="148" t="s">
        <v>3142</v>
      </c>
    </row>
    <row r="1515" spans="1:11" ht="28.9" customHeight="1" thickTop="1" thickBot="1" x14ac:dyDescent="0.75">
      <c r="A1515" s="6">
        <v>1513</v>
      </c>
      <c r="B1515" s="58" t="str">
        <f>HYPERLINK("https://search.naver.com/search.naver?query=블링 링 영화", "블링 링")</f>
        <v>블링 링</v>
      </c>
      <c r="C1515" s="12">
        <v>5.38</v>
      </c>
      <c r="D1515" s="13" t="s">
        <v>3143</v>
      </c>
      <c r="E1515" s="10" t="s">
        <v>24</v>
      </c>
      <c r="F1515" s="10">
        <v>2013</v>
      </c>
      <c r="G1515" s="10" t="s">
        <v>14</v>
      </c>
      <c r="H1515" s="11" t="s">
        <v>428</v>
      </c>
      <c r="I1515" s="10" t="s">
        <v>156</v>
      </c>
      <c r="J1515" s="131"/>
      <c r="K1515" s="149" t="s">
        <v>3144</v>
      </c>
    </row>
    <row r="1516" spans="1:11" ht="28.9" customHeight="1" thickTop="1" thickBot="1" x14ac:dyDescent="0.75">
      <c r="A1516" s="10">
        <v>1514</v>
      </c>
      <c r="B1516" s="57" t="str">
        <f>HYPERLINK("https://search.naver.com/search.naver?query=비거 스플래쉬 영화", "비거 스플래쉬")</f>
        <v>비거 스플래쉬</v>
      </c>
      <c r="C1516" s="8">
        <v>7.48</v>
      </c>
      <c r="D1516" s="9" t="s">
        <v>3145</v>
      </c>
      <c r="E1516" s="6" t="s">
        <v>2001</v>
      </c>
      <c r="F1516" s="6">
        <v>2015</v>
      </c>
      <c r="G1516" s="6" t="s">
        <v>14</v>
      </c>
      <c r="H1516" s="7" t="s">
        <v>20</v>
      </c>
      <c r="I1516" s="6" t="s">
        <v>183</v>
      </c>
      <c r="J1516" s="130"/>
      <c r="K1516" s="148" t="s">
        <v>3146</v>
      </c>
    </row>
    <row r="1517" spans="1:11" ht="28.9" customHeight="1" thickTop="1" thickBot="1" x14ac:dyDescent="0.75">
      <c r="A1517" s="6">
        <v>1515</v>
      </c>
      <c r="B1517" s="58" t="str">
        <f>HYPERLINK("https://search.naver.com/search.naver?query=비공식작전 영화", "비공식작전")</f>
        <v>비공식작전</v>
      </c>
      <c r="C1517" s="12">
        <v>7.74</v>
      </c>
      <c r="D1517" s="13" t="s">
        <v>3147</v>
      </c>
      <c r="E1517" s="10" t="s">
        <v>13</v>
      </c>
      <c r="F1517" s="10">
        <v>2023</v>
      </c>
      <c r="G1517" s="10" t="s">
        <v>14</v>
      </c>
      <c r="H1517" s="11" t="s">
        <v>124</v>
      </c>
      <c r="I1517" s="10" t="s">
        <v>558</v>
      </c>
      <c r="J1517" s="131"/>
      <c r="K1517" s="149" t="s">
        <v>3148</v>
      </c>
    </row>
    <row r="1518" spans="1:11" ht="28.9" customHeight="1" thickTop="1" thickBot="1" x14ac:dyDescent="0.75">
      <c r="A1518" s="10">
        <v>1516</v>
      </c>
      <c r="B1518" s="57" t="str">
        <f>HYPERLINK("https://search.naver.com/search.naver?query=비그치다 영화", "비그치다")</f>
        <v>비그치다</v>
      </c>
      <c r="C1518" s="8"/>
      <c r="D1518" s="9"/>
      <c r="E1518" s="6" t="s">
        <v>19</v>
      </c>
      <c r="F1518" s="6">
        <v>1999</v>
      </c>
      <c r="G1518" s="6" t="s">
        <v>14</v>
      </c>
      <c r="H1518" s="7" t="s">
        <v>20</v>
      </c>
      <c r="I1518" s="6" t="s">
        <v>361</v>
      </c>
      <c r="J1518" s="130"/>
      <c r="K1518" s="148" t="s">
        <v>3149</v>
      </c>
    </row>
    <row r="1519" spans="1:11" ht="28.9" customHeight="1" thickTop="1" thickBot="1" x14ac:dyDescent="0.75">
      <c r="A1519" s="6">
        <v>1517</v>
      </c>
      <c r="B1519" s="58" t="str">
        <f>HYPERLINK("https://search.naver.com/search.naver?query=비기너스 영화", "비기너스")</f>
        <v>비기너스</v>
      </c>
      <c r="C1519" s="12">
        <v>8.24</v>
      </c>
      <c r="D1519" s="13" t="s">
        <v>3150</v>
      </c>
      <c r="E1519" s="10" t="s">
        <v>24</v>
      </c>
      <c r="F1519" s="10">
        <v>2010</v>
      </c>
      <c r="G1519" s="10" t="s">
        <v>14</v>
      </c>
      <c r="H1519" s="11" t="s">
        <v>91</v>
      </c>
      <c r="I1519" s="10" t="s">
        <v>175</v>
      </c>
      <c r="J1519" s="131"/>
      <c r="K1519" s="149" t="s">
        <v>3151</v>
      </c>
    </row>
    <row r="1520" spans="1:11" ht="28.9" customHeight="1" thickTop="1" thickBot="1" x14ac:dyDescent="0.75">
      <c r="A1520" s="10">
        <v>1518</v>
      </c>
      <c r="B1520" s="57" t="str">
        <f>HYPERLINK("https://search.naver.com/search.naver?query=비긴 어게인 영화", "비긴 어게인")</f>
        <v>비긴 어게인</v>
      </c>
      <c r="C1520" s="8">
        <v>9.1</v>
      </c>
      <c r="D1520" s="9" t="s">
        <v>3152</v>
      </c>
      <c r="E1520" s="6" t="s">
        <v>24</v>
      </c>
      <c r="F1520" s="6">
        <v>2013</v>
      </c>
      <c r="G1520" s="6" t="s">
        <v>14</v>
      </c>
      <c r="H1520" s="7" t="s">
        <v>20</v>
      </c>
      <c r="I1520" s="6" t="s">
        <v>242</v>
      </c>
      <c r="J1520" s="130"/>
      <c r="K1520" s="148" t="s">
        <v>3153</v>
      </c>
    </row>
    <row r="1521" spans="1:11" ht="28.9" customHeight="1" thickTop="1" thickBot="1" x14ac:dyDescent="0.75">
      <c r="A1521" s="6">
        <v>1519</v>
      </c>
      <c r="B1521" s="58" t="str">
        <f>HYPERLINK("https://search.naver.com/search.naver?query=비눗방울 영화", "비눗방울")</f>
        <v>비눗방울</v>
      </c>
      <c r="C1521" s="12">
        <v>6.4</v>
      </c>
      <c r="D1521" s="13" t="s">
        <v>3154</v>
      </c>
      <c r="E1521" s="10" t="s">
        <v>19</v>
      </c>
      <c r="F1521" s="10">
        <v>2017</v>
      </c>
      <c r="G1521" s="10" t="s">
        <v>14</v>
      </c>
      <c r="H1521" s="11" t="s">
        <v>20</v>
      </c>
      <c r="I1521" s="10" t="s">
        <v>38</v>
      </c>
      <c r="J1521" s="131"/>
      <c r="K1521" s="149" t="s">
        <v>3155</v>
      </c>
    </row>
    <row r="1522" spans="1:11" ht="28.9" customHeight="1" thickTop="1" thickBot="1" x14ac:dyDescent="0.75">
      <c r="A1522" s="10">
        <v>1520</v>
      </c>
      <c r="B1522" s="57" t="str">
        <f>HYPERLINK("https://search.naver.com/search.naver?query=비닐하우스 영화", "비닐하우스")</f>
        <v>비닐하우스</v>
      </c>
      <c r="C1522" s="8">
        <v>7.44</v>
      </c>
      <c r="D1522" s="9" t="s">
        <v>3156</v>
      </c>
      <c r="E1522" s="6" t="s">
        <v>13</v>
      </c>
      <c r="F1522" s="6">
        <v>2023</v>
      </c>
      <c r="G1522" s="6" t="s">
        <v>14</v>
      </c>
      <c r="H1522" s="7" t="s">
        <v>20</v>
      </c>
      <c r="I1522" s="6" t="s">
        <v>150</v>
      </c>
      <c r="J1522" s="130"/>
      <c r="K1522" s="148" t="s">
        <v>3157</v>
      </c>
    </row>
    <row r="1523" spans="1:11" ht="28.9" customHeight="1" thickTop="1" thickBot="1" x14ac:dyDescent="0.75">
      <c r="A1523" s="6">
        <v>1521</v>
      </c>
      <c r="B1523" s="58" t="str">
        <f>HYPERLINK("https://search.naver.com/search.naver?query=비리갸루 영화", "비리갸루")</f>
        <v>비리갸루</v>
      </c>
      <c r="C1523" s="12"/>
      <c r="D1523" s="13"/>
      <c r="E1523" s="10" t="s">
        <v>19</v>
      </c>
      <c r="F1523" s="10">
        <v>2015</v>
      </c>
      <c r="G1523" s="10" t="s">
        <v>14</v>
      </c>
      <c r="H1523" s="11" t="s">
        <v>20</v>
      </c>
      <c r="I1523" s="10" t="s">
        <v>150</v>
      </c>
      <c r="J1523" s="131"/>
      <c r="K1523" s="149" t="s">
        <v>3158</v>
      </c>
    </row>
    <row r="1524" spans="1:11" ht="28.9" customHeight="1" thickTop="1" thickBot="1" x14ac:dyDescent="0.75">
      <c r="A1524" s="10">
        <v>1522</v>
      </c>
      <c r="B1524" s="57" t="str">
        <f>HYPERLINK("https://search.naver.com/search.naver?query=비밀 영화", "비밀")</f>
        <v>비밀</v>
      </c>
      <c r="C1524" s="8">
        <v>9</v>
      </c>
      <c r="D1524" s="9" t="s">
        <v>3159</v>
      </c>
      <c r="E1524" s="6" t="s">
        <v>13</v>
      </c>
      <c r="F1524" s="6">
        <v>1999</v>
      </c>
      <c r="G1524" s="6" t="s">
        <v>14</v>
      </c>
      <c r="H1524" s="7" t="s">
        <v>20</v>
      </c>
      <c r="I1524" s="6" t="s">
        <v>150</v>
      </c>
      <c r="J1524" s="130"/>
      <c r="K1524" s="148" t="s">
        <v>3160</v>
      </c>
    </row>
    <row r="1525" spans="1:11" ht="28.9" customHeight="1" thickTop="1" thickBot="1" x14ac:dyDescent="0.75">
      <c r="A1525" s="6">
        <v>1523</v>
      </c>
      <c r="B1525" s="58" t="str">
        <f>HYPERLINK("https://search.naver.com/search.naver?query=비밀과 거짓말 영화", "비밀과 거짓말")</f>
        <v>비밀과 거짓말</v>
      </c>
      <c r="C1525" s="12">
        <v>8.8000000000000007</v>
      </c>
      <c r="D1525" s="13" t="s">
        <v>3161</v>
      </c>
      <c r="E1525" s="10" t="s">
        <v>29</v>
      </c>
      <c r="F1525" s="10">
        <v>1996</v>
      </c>
      <c r="G1525" s="10" t="s">
        <v>14</v>
      </c>
      <c r="H1525" s="11" t="s">
        <v>20</v>
      </c>
      <c r="I1525" s="10" t="s">
        <v>356</v>
      </c>
      <c r="J1525" s="131"/>
      <c r="K1525" s="149" t="s">
        <v>3162</v>
      </c>
    </row>
    <row r="1526" spans="1:11" ht="28.9" customHeight="1" thickTop="1" thickBot="1" x14ac:dyDescent="0.75">
      <c r="A1526" s="10">
        <v>1524</v>
      </c>
      <c r="B1526" s="57" t="str">
        <f>HYPERLINK("https://search.naver.com/search.naver?query=비밀과 거짓말의 차이 영화", "비밀과 거짓말의 차이")</f>
        <v>비밀과 거짓말의 차이</v>
      </c>
      <c r="C1526" s="8">
        <v>6.4</v>
      </c>
      <c r="D1526" s="9" t="s">
        <v>3163</v>
      </c>
      <c r="E1526" s="6" t="s">
        <v>24</v>
      </c>
      <c r="F1526" s="6">
        <v>2005</v>
      </c>
      <c r="G1526" s="6" t="s">
        <v>14</v>
      </c>
      <c r="H1526" s="7" t="s">
        <v>165</v>
      </c>
      <c r="I1526" s="6" t="s">
        <v>16</v>
      </c>
      <c r="J1526" s="130"/>
      <c r="K1526" s="148" t="s">
        <v>3164</v>
      </c>
    </row>
    <row r="1527" spans="1:11" ht="28.9" customHeight="1" thickTop="1" thickBot="1" x14ac:dyDescent="0.75">
      <c r="A1527" s="6">
        <v>1525</v>
      </c>
      <c r="B1527" s="58" t="str">
        <f>HYPERLINK("https://search.naver.com/search.naver?query=비밀애 영화", "비밀애")</f>
        <v>비밀애</v>
      </c>
      <c r="C1527" s="12">
        <v>4.8600000000000003</v>
      </c>
      <c r="D1527" s="13" t="s">
        <v>3165</v>
      </c>
      <c r="E1527" s="10" t="s">
        <v>13</v>
      </c>
      <c r="F1527" s="10">
        <v>2010</v>
      </c>
      <c r="G1527" s="10" t="s">
        <v>14</v>
      </c>
      <c r="H1527" s="11" t="s">
        <v>165</v>
      </c>
      <c r="I1527" s="10" t="s">
        <v>175</v>
      </c>
      <c r="J1527" s="131"/>
      <c r="K1527" s="149" t="s">
        <v>3166</v>
      </c>
    </row>
    <row r="1528" spans="1:11" ht="28.9" customHeight="1" thickTop="1" thickBot="1" x14ac:dyDescent="0.75">
      <c r="A1528" s="10">
        <v>1526</v>
      </c>
      <c r="B1528" s="59" t="str">
        <f>HYPERLINK("https://search.naver.com/search.naver?query=비밀의 비밀 시즌1", "비밀의 비밀 시즌1")</f>
        <v>비밀의 비밀 시즌1</v>
      </c>
      <c r="C1528" s="16"/>
      <c r="D1528" s="17" t="s">
        <v>3167</v>
      </c>
      <c r="E1528" s="14" t="s">
        <v>29</v>
      </c>
      <c r="F1528" s="14">
        <v>2024</v>
      </c>
      <c r="G1528" s="14" t="s">
        <v>20</v>
      </c>
      <c r="H1528" s="15" t="s">
        <v>20</v>
      </c>
      <c r="I1528" s="14" t="s">
        <v>71</v>
      </c>
      <c r="J1528" s="132"/>
      <c r="K1528" s="150" t="s">
        <v>3168</v>
      </c>
    </row>
    <row r="1529" spans="1:11" ht="28.9" customHeight="1" thickTop="1" thickBot="1" x14ac:dyDescent="0.75">
      <c r="A1529" s="6">
        <v>1527</v>
      </c>
      <c r="B1529" s="58" t="str">
        <f>HYPERLINK("https://search.naver.com/search.naver?query=비밀정보원 인 더 프리즌 영화", "비밀정보원-인 더 프리즌")</f>
        <v>비밀정보원-인 더 프리즌</v>
      </c>
      <c r="C1529" s="12">
        <v>7.56</v>
      </c>
      <c r="D1529" s="13" t="s">
        <v>3169</v>
      </c>
      <c r="E1529" s="10" t="s">
        <v>29</v>
      </c>
      <c r="F1529" s="10">
        <v>2019</v>
      </c>
      <c r="G1529" s="10" t="s">
        <v>14</v>
      </c>
      <c r="H1529" s="11" t="s">
        <v>428</v>
      </c>
      <c r="I1529" s="10" t="s">
        <v>98</v>
      </c>
      <c r="J1529" s="131"/>
      <c r="K1529" s="149" t="s">
        <v>3170</v>
      </c>
    </row>
    <row r="1530" spans="1:11" ht="28.9" customHeight="1" thickTop="1" thickBot="1" x14ac:dyDescent="0.75">
      <c r="A1530" s="10">
        <v>1528</v>
      </c>
      <c r="B1530" s="57" t="str">
        <f>HYPERLINK("https://search.naver.com/search.naver?query=비버 영화", "비버")</f>
        <v>비버</v>
      </c>
      <c r="C1530" s="8"/>
      <c r="D1530" s="9" t="s">
        <v>3171</v>
      </c>
      <c r="E1530" s="6" t="s">
        <v>24</v>
      </c>
      <c r="F1530" s="6">
        <v>2011</v>
      </c>
      <c r="G1530" s="6" t="s">
        <v>14</v>
      </c>
      <c r="H1530" s="7" t="s">
        <v>20</v>
      </c>
      <c r="I1530" s="6" t="s">
        <v>361</v>
      </c>
      <c r="J1530" s="130"/>
      <c r="K1530" s="148" t="s">
        <v>3172</v>
      </c>
    </row>
    <row r="1531" spans="1:11" ht="28.9" customHeight="1" thickTop="1" thickBot="1" x14ac:dyDescent="0.75">
      <c r="A1531" s="6">
        <v>1529</v>
      </c>
      <c r="B1531" s="58" t="str">
        <f>HYPERLINK("https://search.naver.com/search.naver?query=비상선언 영화", "비상선언")</f>
        <v>비상선언</v>
      </c>
      <c r="C1531" s="12">
        <v>6.17</v>
      </c>
      <c r="D1531" s="13" t="s">
        <v>3173</v>
      </c>
      <c r="E1531" s="10" t="s">
        <v>13</v>
      </c>
      <c r="F1531" s="10">
        <v>2022</v>
      </c>
      <c r="G1531" s="10" t="s">
        <v>14</v>
      </c>
      <c r="H1531" s="11" t="s">
        <v>1255</v>
      </c>
      <c r="I1531" s="10" t="s">
        <v>930</v>
      </c>
      <c r="J1531" s="131"/>
      <c r="K1531" s="149" t="s">
        <v>3174</v>
      </c>
    </row>
    <row r="1532" spans="1:11" ht="28.9" customHeight="1" thickTop="1" thickBot="1" x14ac:dyDescent="0.75">
      <c r="A1532" s="10">
        <v>1530</v>
      </c>
      <c r="B1532" s="57" t="str">
        <f>HYPERLINK("https://search.naver.com/search.naver?query=비스트 2019", "비스트")</f>
        <v>비스트</v>
      </c>
      <c r="C1532" s="8">
        <v>8.18</v>
      </c>
      <c r="D1532" s="9" t="s">
        <v>3175</v>
      </c>
      <c r="E1532" s="6" t="s">
        <v>13</v>
      </c>
      <c r="F1532" s="6">
        <v>2019</v>
      </c>
      <c r="G1532" s="6" t="s">
        <v>14</v>
      </c>
      <c r="H1532" s="7" t="s">
        <v>428</v>
      </c>
      <c r="I1532" s="6" t="s">
        <v>42</v>
      </c>
      <c r="J1532" s="130"/>
      <c r="K1532" s="148" t="s">
        <v>3176</v>
      </c>
    </row>
    <row r="1533" spans="1:11" ht="28.9" customHeight="1" thickTop="1" thickBot="1" x14ac:dyDescent="0.75">
      <c r="A1533" s="6">
        <v>1531</v>
      </c>
      <c r="B1533" s="58" t="str">
        <f>HYPERLINK("https://search.naver.com/search.naver?query=비스트 영화", "비스트")</f>
        <v>비스트</v>
      </c>
      <c r="C1533" s="12">
        <v>6.94</v>
      </c>
      <c r="D1533" s="13" t="s">
        <v>3177</v>
      </c>
      <c r="E1533" s="10" t="s">
        <v>29</v>
      </c>
      <c r="F1533" s="10">
        <v>2017</v>
      </c>
      <c r="G1533" s="10" t="s">
        <v>14</v>
      </c>
      <c r="H1533" s="11" t="s">
        <v>20</v>
      </c>
      <c r="I1533" s="10" t="s">
        <v>443</v>
      </c>
      <c r="J1533" s="131"/>
      <c r="K1533" s="149" t="s">
        <v>3178</v>
      </c>
    </row>
    <row r="1534" spans="1:11" ht="28.9" customHeight="1" thickTop="1" thickBot="1" x14ac:dyDescent="0.75">
      <c r="A1534" s="10">
        <v>1532</v>
      </c>
      <c r="B1534" s="57" t="str">
        <f>HYPERLINK("https://search.naver.com/search.naver?query=비스트 오브 노 네이션 영화", "비스트 오브 노 네이션")</f>
        <v>비스트 오브 노 네이션</v>
      </c>
      <c r="C1534" s="8">
        <v>9.15</v>
      </c>
      <c r="D1534" s="9" t="s">
        <v>3179</v>
      </c>
      <c r="E1534" s="6" t="s">
        <v>24</v>
      </c>
      <c r="F1534" s="6">
        <v>2015</v>
      </c>
      <c r="G1534" s="6" t="s">
        <v>14</v>
      </c>
      <c r="H1534" s="7" t="s">
        <v>20</v>
      </c>
      <c r="I1534" s="6" t="s">
        <v>269</v>
      </c>
      <c r="J1534" s="130"/>
      <c r="K1534" s="148" t="s">
        <v>3180</v>
      </c>
    </row>
    <row r="1535" spans="1:11" ht="28.9" customHeight="1" thickTop="1" thickBot="1" x14ac:dyDescent="0.75">
      <c r="A1535" s="6">
        <v>1533</v>
      </c>
      <c r="B1535" s="58" t="str">
        <f>HYPERLINK("https://search.naver.com/search.naver?query=비와 당신의 이야기 영화", "비와 당신의 이야기")</f>
        <v>비와 당신의 이야기</v>
      </c>
      <c r="C1535" s="12">
        <v>7.82</v>
      </c>
      <c r="D1535" s="13" t="s">
        <v>3181</v>
      </c>
      <c r="E1535" s="10" t="s">
        <v>13</v>
      </c>
      <c r="F1535" s="10">
        <v>2021</v>
      </c>
      <c r="G1535" s="10" t="s">
        <v>14</v>
      </c>
      <c r="H1535" s="11" t="s">
        <v>165</v>
      </c>
      <c r="I1535" s="10" t="s">
        <v>38</v>
      </c>
      <c r="J1535" s="131"/>
      <c r="K1535" s="149" t="s">
        <v>3182</v>
      </c>
    </row>
    <row r="1536" spans="1:11" ht="28.9" customHeight="1" thickTop="1" thickBot="1" x14ac:dyDescent="0.75">
      <c r="A1536" s="10">
        <v>1534</v>
      </c>
      <c r="B1536" s="57" t="str">
        <f>HYPERLINK("https://search.naver.com/search.naver?query=비욘의 아내 영화", "비욘의 아내")</f>
        <v>비욘의 아내</v>
      </c>
      <c r="C1536" s="8">
        <v>6.4</v>
      </c>
      <c r="D1536" s="9" t="s">
        <v>3183</v>
      </c>
      <c r="E1536" s="6" t="s">
        <v>19</v>
      </c>
      <c r="F1536" s="6">
        <v>2009</v>
      </c>
      <c r="G1536" s="6" t="s">
        <v>14</v>
      </c>
      <c r="H1536" s="7" t="s">
        <v>20</v>
      </c>
      <c r="I1536" s="6" t="s">
        <v>305</v>
      </c>
      <c r="J1536" s="130"/>
      <c r="K1536" s="148" t="s">
        <v>3184</v>
      </c>
    </row>
    <row r="1537" spans="1:11" ht="28.9" customHeight="1" thickTop="1" thickBot="1" x14ac:dyDescent="0.75">
      <c r="A1537" s="6">
        <v>1535</v>
      </c>
      <c r="B1537" s="58" t="str">
        <f>HYPERLINK("https://search.naver.com/search.naver?query=비우티풀 영화", "비우티풀")</f>
        <v>비우티풀</v>
      </c>
      <c r="C1537" s="12">
        <v>8.44</v>
      </c>
      <c r="D1537" s="13" t="s">
        <v>3185</v>
      </c>
      <c r="E1537" s="10" t="s">
        <v>2941</v>
      </c>
      <c r="F1537" s="10">
        <v>2010</v>
      </c>
      <c r="G1537" s="10" t="s">
        <v>14</v>
      </c>
      <c r="H1537" s="11" t="s">
        <v>20</v>
      </c>
      <c r="I1537" s="10" t="s">
        <v>34</v>
      </c>
      <c r="J1537" s="131"/>
      <c r="K1537" s="149" t="s">
        <v>3186</v>
      </c>
    </row>
    <row r="1538" spans="1:11" ht="28.9" customHeight="1" thickTop="1" thickBot="1" x14ac:dyDescent="0.75">
      <c r="A1538" s="10">
        <v>1536</v>
      </c>
      <c r="B1538" s="57" t="str">
        <f>HYPERLINK("https://search.naver.com/search.naver?query=비잉 더 리카도 영화", "비잉 더 리카도")</f>
        <v>비잉 더 리카도</v>
      </c>
      <c r="C1538" s="8">
        <v>6.4</v>
      </c>
      <c r="D1538" s="9" t="s">
        <v>3187</v>
      </c>
      <c r="E1538" s="6" t="s">
        <v>24</v>
      </c>
      <c r="F1538" s="6">
        <v>2021</v>
      </c>
      <c r="G1538" s="6" t="s">
        <v>14</v>
      </c>
      <c r="H1538" s="7" t="s">
        <v>20</v>
      </c>
      <c r="I1538" s="6" t="s">
        <v>432</v>
      </c>
      <c r="J1538" s="130"/>
      <c r="K1538" s="148" t="s">
        <v>3188</v>
      </c>
    </row>
    <row r="1539" spans="1:11" ht="28.9" customHeight="1" thickTop="1" thickBot="1" x14ac:dyDescent="0.75">
      <c r="A1539" s="6">
        <v>1537</v>
      </c>
      <c r="B1539" s="58" t="str">
        <f>HYPERLINK("https://search.naver.com/search.naver?query=비치 영화", "비치")</f>
        <v>비치</v>
      </c>
      <c r="C1539" s="12">
        <v>7.97</v>
      </c>
      <c r="D1539" s="13" t="s">
        <v>3189</v>
      </c>
      <c r="E1539" s="10" t="s">
        <v>24</v>
      </c>
      <c r="F1539" s="10">
        <v>2000</v>
      </c>
      <c r="G1539" s="10" t="s">
        <v>14</v>
      </c>
      <c r="H1539" s="11" t="s">
        <v>1452</v>
      </c>
      <c r="I1539" s="10" t="s">
        <v>68</v>
      </c>
      <c r="J1539" s="131"/>
      <c r="K1539" s="149" t="s">
        <v>3190</v>
      </c>
    </row>
    <row r="1540" spans="1:11" ht="28.9" customHeight="1" thickTop="1" thickBot="1" x14ac:dyDescent="0.75">
      <c r="A1540" s="10">
        <v>1538</v>
      </c>
      <c r="B1540" s="57" t="str">
        <f>HYPERLINK("https://search.naver.com/search.naver?query=비키와 그녀의 미스테리 영화", "비키와 그녀의 미스테리")</f>
        <v>비키와 그녀의 미스테리</v>
      </c>
      <c r="C1540" s="8">
        <v>6.4</v>
      </c>
      <c r="D1540" s="9" t="s">
        <v>3191</v>
      </c>
      <c r="E1540" s="6" t="s">
        <v>310</v>
      </c>
      <c r="F1540" s="6">
        <v>2021</v>
      </c>
      <c r="G1540" s="6" t="s">
        <v>14</v>
      </c>
      <c r="H1540" s="7" t="s">
        <v>20</v>
      </c>
      <c r="I1540" s="6" t="s">
        <v>150</v>
      </c>
      <c r="J1540" s="130"/>
      <c r="K1540" s="148" t="s">
        <v>3192</v>
      </c>
    </row>
    <row r="1541" spans="1:11" ht="28.9" customHeight="1" thickTop="1" thickBot="1" x14ac:dyDescent="0.75">
      <c r="A1541" s="6">
        <v>1539</v>
      </c>
      <c r="B1541" s="58" t="str">
        <f>HYPERLINK("https://search.naver.com/search.naver?query=비투스 영화", "비투스")</f>
        <v>비투스</v>
      </c>
      <c r="C1541" s="12">
        <v>8.9600000000000009</v>
      </c>
      <c r="D1541" s="13" t="s">
        <v>3193</v>
      </c>
      <c r="E1541" s="10" t="s">
        <v>374</v>
      </c>
      <c r="F1541" s="10">
        <v>2006</v>
      </c>
      <c r="G1541" s="10" t="s">
        <v>14</v>
      </c>
      <c r="H1541" s="11" t="s">
        <v>20</v>
      </c>
      <c r="I1541" s="10" t="s">
        <v>76</v>
      </c>
      <c r="J1541" s="131"/>
      <c r="K1541" s="149" t="s">
        <v>3194</v>
      </c>
    </row>
    <row r="1542" spans="1:11" ht="28.9" customHeight="1" thickTop="1" thickBot="1" x14ac:dyDescent="0.75">
      <c r="A1542" s="10">
        <v>1540</v>
      </c>
      <c r="B1542" s="57" t="str">
        <f>HYPERLINK("https://search.naver.com/search.naver?query=비포 미드나잇 영화", "비포 미드나잇")</f>
        <v>비포 미드나잇</v>
      </c>
      <c r="C1542" s="8">
        <v>8.31</v>
      </c>
      <c r="D1542" s="9" t="s">
        <v>3195</v>
      </c>
      <c r="E1542" s="6" t="s">
        <v>24</v>
      </c>
      <c r="F1542" s="6">
        <v>2013</v>
      </c>
      <c r="G1542" s="6" t="s">
        <v>14</v>
      </c>
      <c r="H1542" s="7" t="s">
        <v>20</v>
      </c>
      <c r="I1542" s="6" t="s">
        <v>187</v>
      </c>
      <c r="J1542" s="130"/>
      <c r="K1542" s="148" t="s">
        <v>3196</v>
      </c>
    </row>
    <row r="1543" spans="1:11" ht="28.9" customHeight="1" thickTop="1" thickBot="1" x14ac:dyDescent="0.75">
      <c r="A1543" s="6">
        <v>1541</v>
      </c>
      <c r="B1543" s="58" t="str">
        <f>HYPERLINK("https://search.naver.com/search.naver?query=비포 선라이즈 영화", "비포 선라이즈")</f>
        <v>비포 선라이즈</v>
      </c>
      <c r="C1543" s="12">
        <v>8.94</v>
      </c>
      <c r="D1543" s="13" t="s">
        <v>3197</v>
      </c>
      <c r="E1543" s="10" t="s">
        <v>24</v>
      </c>
      <c r="F1543" s="10">
        <v>1995</v>
      </c>
      <c r="G1543" s="10" t="s">
        <v>14</v>
      </c>
      <c r="H1543" s="11" t="s">
        <v>20</v>
      </c>
      <c r="I1543" s="10" t="s">
        <v>94</v>
      </c>
      <c r="J1543" s="131"/>
      <c r="K1543" s="149" t="s">
        <v>3198</v>
      </c>
    </row>
    <row r="1544" spans="1:11" ht="28.9" customHeight="1" thickTop="1" thickBot="1" x14ac:dyDescent="0.75">
      <c r="A1544" s="10">
        <v>1542</v>
      </c>
      <c r="B1544" s="57" t="str">
        <f>HYPERLINK("https://search.naver.com/search.naver?query=비포 선셋 영화", "비포 선셋")</f>
        <v>비포 선셋</v>
      </c>
      <c r="C1544" s="8">
        <v>8.8800000000000008</v>
      </c>
      <c r="D1544" s="9" t="s">
        <v>3199</v>
      </c>
      <c r="E1544" s="6" t="s">
        <v>24</v>
      </c>
      <c r="F1544" s="6">
        <v>2004</v>
      </c>
      <c r="G1544" s="6" t="s">
        <v>14</v>
      </c>
      <c r="H1544" s="7" t="s">
        <v>20</v>
      </c>
      <c r="I1544" s="6" t="s">
        <v>764</v>
      </c>
      <c r="J1544" s="130"/>
      <c r="K1544" s="148" t="s">
        <v>3200</v>
      </c>
    </row>
    <row r="1545" spans="1:11" ht="28.9" customHeight="1" thickTop="1" thickBot="1" x14ac:dyDescent="0.75">
      <c r="A1545" s="6">
        <v>1543</v>
      </c>
      <c r="B1545" s="58" t="str">
        <f>HYPERLINK("https://search.naver.com/search.naver?query=비포 위 고 영화", "비포 위 고")</f>
        <v>비포 위 고</v>
      </c>
      <c r="C1545" s="12">
        <v>6.4</v>
      </c>
      <c r="D1545" s="13" t="s">
        <v>3201</v>
      </c>
      <c r="E1545" s="10" t="s">
        <v>24</v>
      </c>
      <c r="F1545" s="10">
        <v>2014</v>
      </c>
      <c r="G1545" s="10" t="s">
        <v>14</v>
      </c>
      <c r="H1545" s="11" t="s">
        <v>20</v>
      </c>
      <c r="I1545" s="10" t="s">
        <v>150</v>
      </c>
      <c r="J1545" s="131"/>
      <c r="K1545" s="149" t="s">
        <v>1639</v>
      </c>
    </row>
    <row r="1546" spans="1:11" ht="28.9" customHeight="1" thickTop="1" thickBot="1" x14ac:dyDescent="0.75">
      <c r="A1546" s="10">
        <v>1544</v>
      </c>
      <c r="B1546" s="57" t="str">
        <f>HYPERLINK("https://search.naver.com/search.naver?query=비홀드 마이 하트 영화", "비홀드 마이 하트")</f>
        <v>비홀드 마이 하트</v>
      </c>
      <c r="C1546" s="8">
        <v>9.4499999999999993</v>
      </c>
      <c r="D1546" s="9" t="s">
        <v>3202</v>
      </c>
      <c r="E1546" s="6" t="s">
        <v>24</v>
      </c>
      <c r="F1546" s="6">
        <v>2014</v>
      </c>
      <c r="G1546" s="6" t="s">
        <v>14</v>
      </c>
      <c r="H1546" s="7" t="s">
        <v>382</v>
      </c>
      <c r="I1546" s="6" t="s">
        <v>156</v>
      </c>
      <c r="J1546" s="130"/>
      <c r="K1546" s="148" t="s">
        <v>3203</v>
      </c>
    </row>
    <row r="1547" spans="1:11" ht="28.9" customHeight="1" thickTop="1" thickBot="1" x14ac:dyDescent="0.75">
      <c r="A1547" s="6">
        <v>1545</v>
      </c>
      <c r="B1547" s="58" t="str">
        <f>HYPERLINK("https://search.naver.com/search.naver?query=빅 게임 영화", "빅 게임")</f>
        <v>빅 게임</v>
      </c>
      <c r="C1547" s="12"/>
      <c r="D1547" s="13" t="s">
        <v>3204</v>
      </c>
      <c r="E1547" s="10" t="s">
        <v>1508</v>
      </c>
      <c r="F1547" s="10">
        <v>2014</v>
      </c>
      <c r="G1547" s="10" t="s">
        <v>14</v>
      </c>
      <c r="H1547" s="11" t="s">
        <v>124</v>
      </c>
      <c r="I1547" s="10" t="s">
        <v>129</v>
      </c>
      <c r="J1547" s="131"/>
      <c r="K1547" s="149" t="s">
        <v>3205</v>
      </c>
    </row>
    <row r="1548" spans="1:11" ht="28.9" customHeight="1" thickTop="1" thickBot="1" x14ac:dyDescent="0.75">
      <c r="A1548" s="10">
        <v>1546</v>
      </c>
      <c r="B1548" s="59" t="str">
        <f>HYPERLINK("https://search.naver.com/search.naver?query=빅 리틀 라이즈 시즌1", "빅 리틀 라이즈 시즌1")</f>
        <v>빅 리틀 라이즈 시즌1</v>
      </c>
      <c r="C1548" s="16"/>
      <c r="D1548" s="17" t="s">
        <v>3206</v>
      </c>
      <c r="E1548" s="14" t="s">
        <v>24</v>
      </c>
      <c r="F1548" s="14">
        <v>2017</v>
      </c>
      <c r="G1548" s="14" t="s">
        <v>20</v>
      </c>
      <c r="H1548" s="15" t="s">
        <v>20</v>
      </c>
      <c r="I1548" s="14" t="s">
        <v>512</v>
      </c>
      <c r="J1548" s="132"/>
      <c r="K1548" s="150" t="s">
        <v>3207</v>
      </c>
    </row>
    <row r="1549" spans="1:11" ht="28.9" customHeight="1" thickTop="1" thickBot="1" x14ac:dyDescent="0.75">
      <c r="A1549" s="6">
        <v>1547</v>
      </c>
      <c r="B1549" s="59" t="str">
        <f>HYPERLINK("https://search.naver.com/search.naver?query=빅 리틀 라이즈 시즌2", "빅 리틀 라이즈 시즌2")</f>
        <v>빅 리틀 라이즈 시즌2</v>
      </c>
      <c r="C1549" s="16"/>
      <c r="D1549" s="17" t="s">
        <v>3206</v>
      </c>
      <c r="E1549" s="14" t="s">
        <v>24</v>
      </c>
      <c r="F1549" s="14">
        <v>2019</v>
      </c>
      <c r="G1549" s="14" t="s">
        <v>20</v>
      </c>
      <c r="H1549" s="15" t="s">
        <v>20</v>
      </c>
      <c r="I1549" s="14" t="s">
        <v>512</v>
      </c>
      <c r="J1549" s="132"/>
      <c r="K1549" s="150" t="s">
        <v>3208</v>
      </c>
    </row>
    <row r="1550" spans="1:11" ht="28.9" customHeight="1" thickTop="1" thickBot="1" x14ac:dyDescent="0.75">
      <c r="A1550" s="10">
        <v>1548</v>
      </c>
      <c r="B1550" s="57" t="str">
        <f>HYPERLINK("https://search.naver.com/search.naver?query=빅 미라클 영화", "빅 미라클")</f>
        <v>빅 미라클</v>
      </c>
      <c r="C1550" s="8">
        <v>8.44</v>
      </c>
      <c r="D1550" s="9" t="s">
        <v>3209</v>
      </c>
      <c r="E1550" s="6" t="s">
        <v>24</v>
      </c>
      <c r="F1550" s="6">
        <v>2012</v>
      </c>
      <c r="G1550" s="6" t="s">
        <v>14</v>
      </c>
      <c r="H1550" s="7" t="s">
        <v>20</v>
      </c>
      <c r="I1550" s="6" t="s">
        <v>101</v>
      </c>
      <c r="J1550" s="130"/>
      <c r="K1550" s="148" t="s">
        <v>3210</v>
      </c>
    </row>
    <row r="1551" spans="1:11" ht="28.9" customHeight="1" thickTop="1" thickBot="1" x14ac:dyDescent="0.75">
      <c r="A1551" s="6">
        <v>1549</v>
      </c>
      <c r="B1551" s="58" t="str">
        <f>HYPERLINK("https://search.naver.com/search.naver?query=빅 아이즈 영화", "빅 아이즈")</f>
        <v>빅 아이즈</v>
      </c>
      <c r="C1551" s="12">
        <v>7.99</v>
      </c>
      <c r="D1551" s="13" t="s">
        <v>3211</v>
      </c>
      <c r="E1551" s="10" t="s">
        <v>24</v>
      </c>
      <c r="F1551" s="10">
        <v>2014</v>
      </c>
      <c r="G1551" s="10" t="s">
        <v>14</v>
      </c>
      <c r="H1551" s="11" t="s">
        <v>20</v>
      </c>
      <c r="I1551" s="10" t="s">
        <v>443</v>
      </c>
      <c r="J1551" s="131"/>
      <c r="K1551" s="149" t="s">
        <v>3212</v>
      </c>
    </row>
    <row r="1552" spans="1:11" ht="28.9" customHeight="1" thickTop="1" thickBot="1" x14ac:dyDescent="0.75">
      <c r="A1552" s="10">
        <v>1550</v>
      </c>
      <c r="B1552" s="57" t="str">
        <f>HYPERLINK("https://search.naver.com/search.naver?query=빅 웨딩 영화", "빅 웨딩")</f>
        <v>빅 웨딩</v>
      </c>
      <c r="C1552" s="8">
        <v>6.47</v>
      </c>
      <c r="D1552" s="9" t="s">
        <v>3213</v>
      </c>
      <c r="E1552" s="6" t="s">
        <v>24</v>
      </c>
      <c r="F1552" s="6">
        <v>2013</v>
      </c>
      <c r="G1552" s="6" t="s">
        <v>14</v>
      </c>
      <c r="H1552" s="7" t="s">
        <v>91</v>
      </c>
      <c r="I1552" s="6" t="s">
        <v>162</v>
      </c>
      <c r="J1552" s="130"/>
      <c r="K1552" s="148" t="s">
        <v>3214</v>
      </c>
    </row>
    <row r="1553" spans="1:11" ht="28.9" customHeight="1" thickTop="1" thickBot="1" x14ac:dyDescent="0.75">
      <c r="A1553" s="6">
        <v>1551</v>
      </c>
      <c r="B1553" s="58" t="str">
        <f>HYPERLINK("https://search.naver.com/search.naver?query=빅쇼트 영화", "빅쇼트")</f>
        <v>빅쇼트</v>
      </c>
      <c r="C1553" s="12">
        <v>8.11</v>
      </c>
      <c r="D1553" s="13" t="s">
        <v>3215</v>
      </c>
      <c r="E1553" s="10" t="s">
        <v>24</v>
      </c>
      <c r="F1553" s="10">
        <v>2015</v>
      </c>
      <c r="G1553" s="10" t="s">
        <v>14</v>
      </c>
      <c r="H1553" s="11" t="s">
        <v>20</v>
      </c>
      <c r="I1553" s="10" t="s">
        <v>42</v>
      </c>
      <c r="J1553" s="131"/>
      <c r="K1553" s="149" t="s">
        <v>3216</v>
      </c>
    </row>
    <row r="1554" spans="1:11" ht="28.9" customHeight="1" thickTop="1" thickBot="1" x14ac:dyDescent="0.75">
      <c r="A1554" s="10">
        <v>1552</v>
      </c>
      <c r="B1554" s="57" t="str">
        <f>HYPERLINK("https://search.naver.com/search.naver?query=빅식 영화", "빅식")</f>
        <v>빅식</v>
      </c>
      <c r="C1554" s="8">
        <v>8.66</v>
      </c>
      <c r="D1554" s="9" t="s">
        <v>3217</v>
      </c>
      <c r="E1554" s="6" t="s">
        <v>24</v>
      </c>
      <c r="F1554" s="6">
        <v>2017</v>
      </c>
      <c r="G1554" s="6" t="s">
        <v>14</v>
      </c>
      <c r="H1554" s="7" t="s">
        <v>91</v>
      </c>
      <c r="I1554" s="6" t="s">
        <v>116</v>
      </c>
      <c r="J1554" s="130"/>
      <c r="K1554" s="148" t="s">
        <v>3218</v>
      </c>
    </row>
    <row r="1555" spans="1:11" ht="28.9" customHeight="1" thickTop="1" thickBot="1" x14ac:dyDescent="0.75">
      <c r="A1555" s="6">
        <v>1553</v>
      </c>
      <c r="B1555" s="58" t="str">
        <f>HYPERLINK("https://search.naver.com/search.naver?query=빅토리 영화", "빅토리")</f>
        <v>빅토리</v>
      </c>
      <c r="C1555" s="12">
        <v>7.89</v>
      </c>
      <c r="D1555" s="13" t="s">
        <v>3219</v>
      </c>
      <c r="E1555" s="10" t="s">
        <v>13</v>
      </c>
      <c r="F1555" s="10">
        <v>2024</v>
      </c>
      <c r="G1555" s="10" t="s">
        <v>14</v>
      </c>
      <c r="H1555" s="11" t="s">
        <v>20</v>
      </c>
      <c r="I1555" s="10" t="s">
        <v>129</v>
      </c>
      <c r="J1555" s="131"/>
      <c r="K1555" s="149" t="s">
        <v>3220</v>
      </c>
    </row>
    <row r="1556" spans="1:11" ht="28.9" customHeight="1" thickTop="1" thickBot="1" x14ac:dyDescent="0.75">
      <c r="A1556" s="10">
        <v>1554</v>
      </c>
      <c r="B1556" s="57" t="str">
        <f>HYPERLINK("https://search.naver.com/search.naver?query=빅토리아 &amp; 압둘 영화", "빅토리아 &amp; 압둘")</f>
        <v>빅토리아 &amp; 압둘</v>
      </c>
      <c r="C1556" s="8">
        <v>4.8899999999999997</v>
      </c>
      <c r="D1556" s="9" t="s">
        <v>3221</v>
      </c>
      <c r="E1556" s="6" t="s">
        <v>29</v>
      </c>
      <c r="F1556" s="6">
        <v>2017</v>
      </c>
      <c r="G1556" s="6" t="s">
        <v>14</v>
      </c>
      <c r="H1556" s="7" t="s">
        <v>20</v>
      </c>
      <c r="I1556" s="6" t="s">
        <v>429</v>
      </c>
      <c r="J1556" s="130"/>
      <c r="K1556" s="148" t="s">
        <v>3222</v>
      </c>
    </row>
    <row r="1557" spans="1:11" ht="28.9" customHeight="1" thickTop="1" thickBot="1" x14ac:dyDescent="0.75">
      <c r="A1557" s="6">
        <v>1555</v>
      </c>
      <c r="B1557" s="58" t="str">
        <f>HYPERLINK("https://search.naver.com/search.naver?query=빈 집 영화", "빈 집")</f>
        <v>빈 집</v>
      </c>
      <c r="C1557" s="12">
        <v>7.9</v>
      </c>
      <c r="D1557" s="13" t="s">
        <v>3223</v>
      </c>
      <c r="E1557" s="10" t="s">
        <v>13</v>
      </c>
      <c r="F1557" s="10">
        <v>2004</v>
      </c>
      <c r="G1557" s="10" t="s">
        <v>14</v>
      </c>
      <c r="H1557" s="11" t="s">
        <v>20</v>
      </c>
      <c r="I1557" s="10" t="s">
        <v>150</v>
      </c>
      <c r="J1557" s="131"/>
      <c r="K1557" s="149" t="s">
        <v>3224</v>
      </c>
    </row>
    <row r="1558" spans="1:11" ht="28.9" customHeight="1" thickTop="1" thickBot="1" x14ac:dyDescent="0.75">
      <c r="A1558" s="10">
        <v>1556</v>
      </c>
      <c r="B1558" s="57" t="str">
        <f>HYPERLINK("https://cine21.com/movie/info/?movie_id=56427", "빌런")</f>
        <v>빌런</v>
      </c>
      <c r="C1558" s="8"/>
      <c r="D1558" s="9" t="s">
        <v>3225</v>
      </c>
      <c r="E1558" s="6" t="s">
        <v>29</v>
      </c>
      <c r="F1558" s="6">
        <v>2020</v>
      </c>
      <c r="G1558" s="6" t="s">
        <v>14</v>
      </c>
      <c r="H1558" s="7" t="s">
        <v>290</v>
      </c>
      <c r="I1558" s="6" t="s">
        <v>169</v>
      </c>
      <c r="J1558" s="130"/>
      <c r="K1558" s="148" t="s">
        <v>3226</v>
      </c>
    </row>
    <row r="1559" spans="1:11" ht="28.9" customHeight="1" thickTop="1" thickBot="1" x14ac:dyDescent="0.75">
      <c r="A1559" s="6">
        <v>1557</v>
      </c>
      <c r="B1559" s="58" t="str">
        <f>HYPERLINK("https://search.naver.com/search.naver?query=빌리 린스 롱 하프타임 워크 영화", "빌리 린스 롱 하프타임 워크")</f>
        <v>빌리 린스 롱 하프타임 워크</v>
      </c>
      <c r="C1559" s="12">
        <v>6.4</v>
      </c>
      <c r="D1559" s="13" t="s">
        <v>3227</v>
      </c>
      <c r="E1559" s="10" t="s">
        <v>24</v>
      </c>
      <c r="F1559" s="10">
        <v>2016</v>
      </c>
      <c r="G1559" s="10" t="s">
        <v>14</v>
      </c>
      <c r="H1559" s="11" t="s">
        <v>20</v>
      </c>
      <c r="I1559" s="10" t="s">
        <v>98</v>
      </c>
      <c r="J1559" s="131"/>
      <c r="K1559" s="149" t="s">
        <v>3228</v>
      </c>
    </row>
    <row r="1560" spans="1:11" ht="28.9" customHeight="1" thickTop="1" thickBot="1" x14ac:dyDescent="0.75">
      <c r="A1560" s="10">
        <v>1558</v>
      </c>
      <c r="B1560" s="57" t="str">
        <f>HYPERLINK("https://search.naver.com/search.naver?query=빌리 진 킹 세기의 대결 영화", "빌리 진 킹 - 세기의 대결")</f>
        <v>빌리 진 킹 - 세기의 대결</v>
      </c>
      <c r="C1560" s="8">
        <v>8.7799999999999994</v>
      </c>
      <c r="D1560" s="9" t="s">
        <v>3229</v>
      </c>
      <c r="E1560" s="6" t="s">
        <v>24</v>
      </c>
      <c r="F1560" s="6">
        <v>2017</v>
      </c>
      <c r="G1560" s="6" t="s">
        <v>14</v>
      </c>
      <c r="H1560" s="7" t="s">
        <v>20</v>
      </c>
      <c r="I1560" s="6" t="s">
        <v>195</v>
      </c>
      <c r="J1560" s="130"/>
      <c r="K1560" s="148" t="s">
        <v>3230</v>
      </c>
    </row>
    <row r="1561" spans="1:11" ht="28.9" customHeight="1" thickTop="1" thickBot="1" x14ac:dyDescent="0.75">
      <c r="A1561" s="6">
        <v>1559</v>
      </c>
      <c r="B1561" s="59" t="str">
        <f>HYPERLINK("https://search.naver.com/search.naver?query=빌리언스 시즌1", "빌리언스 시즌1")</f>
        <v>빌리언스 시즌1</v>
      </c>
      <c r="C1561" s="16"/>
      <c r="D1561" s="17" t="s">
        <v>3231</v>
      </c>
      <c r="E1561" s="14" t="s">
        <v>24</v>
      </c>
      <c r="F1561" s="14">
        <v>2016</v>
      </c>
      <c r="G1561" s="14" t="s">
        <v>20</v>
      </c>
      <c r="H1561" s="15" t="s">
        <v>20</v>
      </c>
      <c r="I1561" s="14" t="s">
        <v>1588</v>
      </c>
      <c r="J1561" s="132"/>
      <c r="K1561" s="150" t="s">
        <v>3232</v>
      </c>
    </row>
    <row r="1562" spans="1:11" ht="28.9" customHeight="1" thickTop="1" thickBot="1" x14ac:dyDescent="0.75">
      <c r="A1562" s="10">
        <v>1560</v>
      </c>
      <c r="B1562" s="59" t="str">
        <f>HYPERLINK("https://search.naver.com/search.naver?query=빌리언스 시즌2", "빌리언스 시즌2")</f>
        <v>빌리언스 시즌2</v>
      </c>
      <c r="C1562" s="16"/>
      <c r="D1562" s="17" t="s">
        <v>3231</v>
      </c>
      <c r="E1562" s="14" t="s">
        <v>24</v>
      </c>
      <c r="F1562" s="14">
        <v>2017</v>
      </c>
      <c r="G1562" s="14" t="s">
        <v>20</v>
      </c>
      <c r="H1562" s="15" t="s">
        <v>20</v>
      </c>
      <c r="I1562" s="14" t="s">
        <v>1588</v>
      </c>
      <c r="J1562" s="132"/>
      <c r="K1562" s="150" t="s">
        <v>3233</v>
      </c>
    </row>
    <row r="1563" spans="1:11" ht="28.9" customHeight="1" thickTop="1" thickBot="1" x14ac:dyDescent="0.75">
      <c r="A1563" s="6">
        <v>1561</v>
      </c>
      <c r="B1563" s="59" t="str">
        <f>HYPERLINK("https://search.naver.com/search.naver?query=빌리언스 시즌3", "빌리언스 시즌3")</f>
        <v>빌리언스 시즌3</v>
      </c>
      <c r="C1563" s="16"/>
      <c r="D1563" s="17" t="s">
        <v>3231</v>
      </c>
      <c r="E1563" s="14" t="s">
        <v>24</v>
      </c>
      <c r="F1563" s="14">
        <v>2018</v>
      </c>
      <c r="G1563" s="14" t="s">
        <v>20</v>
      </c>
      <c r="H1563" s="15" t="s">
        <v>20</v>
      </c>
      <c r="I1563" s="14" t="s">
        <v>1588</v>
      </c>
      <c r="J1563" s="132"/>
      <c r="K1563" s="150" t="s">
        <v>3234</v>
      </c>
    </row>
    <row r="1564" spans="1:11" ht="28.9" customHeight="1" thickTop="1" thickBot="1" x14ac:dyDescent="0.75">
      <c r="A1564" s="10">
        <v>1562</v>
      </c>
      <c r="B1564" s="59" t="str">
        <f>HYPERLINK("https://search.naver.com/search.naver?query=빌리언스 시즌4", "빌리언스 시즌4")</f>
        <v>빌리언스 시즌4</v>
      </c>
      <c r="C1564" s="16"/>
      <c r="D1564" s="17"/>
      <c r="E1564" s="14" t="s">
        <v>24</v>
      </c>
      <c r="F1564" s="14">
        <v>2019</v>
      </c>
      <c r="G1564" s="14" t="s">
        <v>20</v>
      </c>
      <c r="H1564" s="15" t="s">
        <v>20</v>
      </c>
      <c r="I1564" s="14" t="s">
        <v>1588</v>
      </c>
      <c r="J1564" s="132"/>
      <c r="K1564" s="150" t="s">
        <v>3235</v>
      </c>
    </row>
    <row r="1565" spans="1:11" ht="28.9" customHeight="1" thickTop="1" thickBot="1" x14ac:dyDescent="0.75">
      <c r="A1565" s="6">
        <v>1563</v>
      </c>
      <c r="B1565" s="59" t="str">
        <f>HYPERLINK("https://search.naver.com/search.naver?query=빌리언스 시즌5", "빌리언스 시즌5")</f>
        <v>빌리언스 시즌5</v>
      </c>
      <c r="C1565" s="16"/>
      <c r="D1565" s="17" t="s">
        <v>3231</v>
      </c>
      <c r="E1565" s="14" t="s">
        <v>24</v>
      </c>
      <c r="F1565" s="14">
        <v>2020</v>
      </c>
      <c r="G1565" s="14" t="s">
        <v>20</v>
      </c>
      <c r="H1565" s="15" t="s">
        <v>20</v>
      </c>
      <c r="I1565" s="14" t="s">
        <v>1588</v>
      </c>
      <c r="J1565" s="132"/>
      <c r="K1565" s="150" t="s">
        <v>3236</v>
      </c>
    </row>
    <row r="1566" spans="1:11" ht="28.9" customHeight="1" thickTop="1" thickBot="1" x14ac:dyDescent="0.75">
      <c r="A1566" s="10">
        <v>1564</v>
      </c>
      <c r="B1566" s="59" t="str">
        <f>HYPERLINK("https://search.naver.com/search.naver?query=빌리언스 시즌6", "빌리언스 시즌6")</f>
        <v>빌리언스 시즌6</v>
      </c>
      <c r="C1566" s="16"/>
      <c r="D1566" s="17" t="s">
        <v>3231</v>
      </c>
      <c r="E1566" s="14" t="s">
        <v>24</v>
      </c>
      <c r="F1566" s="14">
        <v>2022</v>
      </c>
      <c r="G1566" s="14" t="s">
        <v>20</v>
      </c>
      <c r="H1566" s="15" t="s">
        <v>20</v>
      </c>
      <c r="I1566" s="14" t="s">
        <v>1588</v>
      </c>
      <c r="J1566" s="132"/>
      <c r="K1566" s="150" t="s">
        <v>3237</v>
      </c>
    </row>
    <row r="1567" spans="1:11" ht="28.9" customHeight="1" thickTop="1" thickBot="1" x14ac:dyDescent="0.75">
      <c r="A1567" s="6">
        <v>1565</v>
      </c>
      <c r="B1567" s="58" t="str">
        <f>HYPERLINK("https://search.naver.com/search.naver?query=빙 플린 영화", "빙 플린")</f>
        <v>빙 플린</v>
      </c>
      <c r="C1567" s="12"/>
      <c r="D1567" s="13" t="s">
        <v>3238</v>
      </c>
      <c r="E1567" s="10" t="s">
        <v>24</v>
      </c>
      <c r="F1567" s="10">
        <v>2012</v>
      </c>
      <c r="G1567" s="10" t="s">
        <v>14</v>
      </c>
      <c r="H1567" s="11" t="s">
        <v>20</v>
      </c>
      <c r="I1567" s="10" t="s">
        <v>133</v>
      </c>
      <c r="J1567" s="131"/>
      <c r="K1567" s="149" t="s">
        <v>3239</v>
      </c>
    </row>
    <row r="1568" spans="1:11" ht="28.9" customHeight="1" thickTop="1" thickBot="1" x14ac:dyDescent="0.75">
      <c r="A1568" s="10">
        <v>1566</v>
      </c>
      <c r="B1568" s="57" t="str">
        <f>HYPERLINK("https://search.naver.com/search.naver?query=빛나는 영화", "빛나는")</f>
        <v>빛나는</v>
      </c>
      <c r="C1568" s="8">
        <v>8.2200000000000006</v>
      </c>
      <c r="D1568" s="9" t="s">
        <v>3240</v>
      </c>
      <c r="E1568" s="6" t="s">
        <v>19</v>
      </c>
      <c r="F1568" s="6">
        <v>2017</v>
      </c>
      <c r="G1568" s="6" t="s">
        <v>14</v>
      </c>
      <c r="H1568" s="7" t="s">
        <v>20</v>
      </c>
      <c r="I1568" s="6" t="s">
        <v>133</v>
      </c>
      <c r="J1568" s="130"/>
      <c r="K1568" s="148" t="s">
        <v>3241</v>
      </c>
    </row>
    <row r="1569" spans="1:11" ht="28.9" customHeight="1" thickTop="1" thickBot="1" x14ac:dyDescent="0.75">
      <c r="A1569" s="6">
        <v>1567</v>
      </c>
      <c r="B1569" s="58" t="str">
        <f>HYPERLINK("https://search.naver.com/search.naver?query=빠삐용 영화", "빠삐용")</f>
        <v>빠삐용</v>
      </c>
      <c r="C1569" s="12">
        <v>8.86</v>
      </c>
      <c r="D1569" s="13" t="s">
        <v>3242</v>
      </c>
      <c r="E1569" s="10" t="s">
        <v>24</v>
      </c>
      <c r="F1569" s="10">
        <v>2017</v>
      </c>
      <c r="G1569" s="10" t="s">
        <v>14</v>
      </c>
      <c r="H1569" s="11" t="s">
        <v>20</v>
      </c>
      <c r="I1569" s="10" t="s">
        <v>112</v>
      </c>
      <c r="J1569" s="131"/>
      <c r="K1569" s="149" t="s">
        <v>3243</v>
      </c>
    </row>
    <row r="1570" spans="1:11" ht="28.9" customHeight="1" thickTop="1" thickBot="1" x14ac:dyDescent="0.75">
      <c r="A1570" s="10">
        <v>1568</v>
      </c>
      <c r="B1570" s="57" t="str">
        <f>HYPERLINK("https://search.naver.com/search.naver?query=뺑반 영화", "뺑반")</f>
        <v>뺑반</v>
      </c>
      <c r="C1570" s="8">
        <v>7.15</v>
      </c>
      <c r="D1570" s="9" t="s">
        <v>3244</v>
      </c>
      <c r="E1570" s="6" t="s">
        <v>13</v>
      </c>
      <c r="F1570" s="6">
        <v>2018</v>
      </c>
      <c r="G1570" s="6" t="s">
        <v>14</v>
      </c>
      <c r="H1570" s="7" t="s">
        <v>124</v>
      </c>
      <c r="I1570" s="6" t="s">
        <v>112</v>
      </c>
      <c r="J1570" s="130"/>
      <c r="K1570" s="148" t="s">
        <v>3245</v>
      </c>
    </row>
    <row r="1571" spans="1:11" ht="28.9" customHeight="1" thickTop="1" thickBot="1" x14ac:dyDescent="0.75">
      <c r="A1571" s="6">
        <v>1569</v>
      </c>
      <c r="B1571" s="58" t="str">
        <f>HYPERLINK("https://search.naver.com/search.naver?query=쁘띠 아만다 영화", "쁘띠 아만다")</f>
        <v>쁘띠 아만다</v>
      </c>
      <c r="C1571" s="12">
        <v>8.67</v>
      </c>
      <c r="D1571" s="13" t="s">
        <v>3246</v>
      </c>
      <c r="E1571" s="10" t="s">
        <v>310</v>
      </c>
      <c r="F1571" s="10">
        <v>2018</v>
      </c>
      <c r="G1571" s="10" t="s">
        <v>14</v>
      </c>
      <c r="H1571" s="11" t="s">
        <v>20</v>
      </c>
      <c r="I1571" s="10" t="s">
        <v>101</v>
      </c>
      <c r="J1571" s="131"/>
      <c r="K1571" s="149" t="s">
        <v>3247</v>
      </c>
    </row>
    <row r="1572" spans="1:11" ht="28.9" customHeight="1" thickTop="1" thickBot="1" x14ac:dyDescent="0.75">
      <c r="A1572" s="10">
        <v>1570</v>
      </c>
      <c r="B1572" s="59" t="str">
        <f>HYPERLINK("https://search.naver.com/search.naver?query=사나다마루", "사나다마루")</f>
        <v>사나다마루</v>
      </c>
      <c r="C1572" s="16"/>
      <c r="D1572" s="17" t="s">
        <v>3248</v>
      </c>
      <c r="E1572" s="14" t="s">
        <v>19</v>
      </c>
      <c r="F1572" s="14">
        <v>2016</v>
      </c>
      <c r="G1572" s="14" t="s">
        <v>20</v>
      </c>
      <c r="H1572" s="15" t="s">
        <v>552</v>
      </c>
      <c r="I1572" s="14" t="s">
        <v>553</v>
      </c>
      <c r="J1572" s="132"/>
      <c r="K1572" s="150" t="s">
        <v>3249</v>
      </c>
    </row>
    <row r="1573" spans="1:11" ht="28.9" customHeight="1" thickTop="1" thickBot="1" x14ac:dyDescent="0.75">
      <c r="A1573" s="6">
        <v>1571</v>
      </c>
      <c r="B1573" s="58" t="str">
        <f>HYPERLINK("https://search.naver.com/search.naver?query=사냥 영화", "사냥")</f>
        <v>사냥</v>
      </c>
      <c r="C1573" s="12">
        <v>5.93</v>
      </c>
      <c r="D1573" s="13" t="s">
        <v>3250</v>
      </c>
      <c r="E1573" s="10" t="s">
        <v>13</v>
      </c>
      <c r="F1573" s="10">
        <v>2016</v>
      </c>
      <c r="G1573" s="10" t="s">
        <v>14</v>
      </c>
      <c r="H1573" s="11" t="s">
        <v>124</v>
      </c>
      <c r="I1573" s="10" t="s">
        <v>150</v>
      </c>
      <c r="J1573" s="131"/>
      <c r="K1573" s="149" t="s">
        <v>3251</v>
      </c>
    </row>
    <row r="1574" spans="1:11" ht="28.9" customHeight="1" thickTop="1" thickBot="1" x14ac:dyDescent="0.75">
      <c r="A1574" s="10">
        <v>1572</v>
      </c>
      <c r="B1574" s="57" t="str">
        <f>HYPERLINK("https://cine21.com/movie/info/?movie_id=54142", "사냥의 시간")</f>
        <v>사냥의 시간</v>
      </c>
      <c r="C1574" s="8"/>
      <c r="D1574" s="9" t="s">
        <v>3252</v>
      </c>
      <c r="E1574" s="6" t="s">
        <v>13</v>
      </c>
      <c r="F1574" s="6">
        <v>2020</v>
      </c>
      <c r="G1574" s="6" t="s">
        <v>14</v>
      </c>
      <c r="H1574" s="7" t="s">
        <v>124</v>
      </c>
      <c r="I1574" s="6" t="s">
        <v>917</v>
      </c>
      <c r="J1574" s="130"/>
      <c r="K1574" s="148" t="s">
        <v>3253</v>
      </c>
    </row>
    <row r="1575" spans="1:11" ht="28.9" customHeight="1" thickTop="1" thickBot="1" x14ac:dyDescent="0.75">
      <c r="A1575" s="6">
        <v>1573</v>
      </c>
      <c r="B1575" s="58" t="str">
        <f>HYPERLINK("https://search.naver.com/search.naver?query=사도 영화", "사도")</f>
        <v>사도</v>
      </c>
      <c r="C1575" s="12">
        <v>8.49</v>
      </c>
      <c r="D1575" s="13" t="s">
        <v>3254</v>
      </c>
      <c r="E1575" s="10" t="s">
        <v>13</v>
      </c>
      <c r="F1575" s="10">
        <v>2015</v>
      </c>
      <c r="G1575" s="10" t="s">
        <v>14</v>
      </c>
      <c r="H1575" s="11" t="s">
        <v>1548</v>
      </c>
      <c r="I1575" s="10" t="s">
        <v>316</v>
      </c>
      <c r="J1575" s="131"/>
      <c r="K1575" s="149" t="s">
        <v>3255</v>
      </c>
    </row>
    <row r="1576" spans="1:11" ht="28.9" customHeight="1" thickTop="1" thickBot="1" x14ac:dyDescent="0.75">
      <c r="A1576" s="10">
        <v>1574</v>
      </c>
      <c r="B1576" s="57" t="str">
        <f>HYPERLINK("https://search.naver.com/search.naver?query=사라 영화", "사라")</f>
        <v>사라</v>
      </c>
      <c r="C1576" s="8"/>
      <c r="D1576" s="9" t="s">
        <v>3256</v>
      </c>
      <c r="E1576" s="6" t="s">
        <v>19</v>
      </c>
      <c r="F1576" s="6">
        <v>2014</v>
      </c>
      <c r="G1576" s="6" t="s">
        <v>14</v>
      </c>
      <c r="H1576" s="7" t="s">
        <v>20</v>
      </c>
      <c r="I1576" s="6" t="s">
        <v>150</v>
      </c>
      <c r="J1576" s="130"/>
      <c r="K1576" s="148" t="s">
        <v>3257</v>
      </c>
    </row>
    <row r="1577" spans="1:11" ht="28.9" customHeight="1" thickTop="1" thickBot="1" x14ac:dyDescent="0.75">
      <c r="A1577" s="6">
        <v>1575</v>
      </c>
      <c r="B1577" s="58" t="str">
        <f>HYPERLINK("https://search.naver.com/search.naver?query=사라의 열쇠 영화", "사라의 열쇠")</f>
        <v>사라의 열쇠</v>
      </c>
      <c r="C1577" s="12">
        <v>8.43</v>
      </c>
      <c r="D1577" s="13" t="s">
        <v>3256</v>
      </c>
      <c r="E1577" s="10" t="s">
        <v>310</v>
      </c>
      <c r="F1577" s="10">
        <v>2010</v>
      </c>
      <c r="G1577" s="10" t="s">
        <v>14</v>
      </c>
      <c r="H1577" s="11" t="s">
        <v>20</v>
      </c>
      <c r="I1577" s="10" t="s">
        <v>137</v>
      </c>
      <c r="J1577" s="131"/>
      <c r="K1577" s="149" t="s">
        <v>3258</v>
      </c>
    </row>
    <row r="1578" spans="1:11" ht="28.9" customHeight="1" thickTop="1" thickBot="1" x14ac:dyDescent="0.75">
      <c r="A1578" s="10">
        <v>1576</v>
      </c>
      <c r="B1578" s="57" t="str">
        <f>HYPERLINK("https://search.naver.com/search.naver?query=사라져버린 영화", "사라져버린")</f>
        <v>사라져버린</v>
      </c>
      <c r="C1578" s="8">
        <v>6.16</v>
      </c>
      <c r="D1578" s="9" t="s">
        <v>3259</v>
      </c>
      <c r="E1578" s="6" t="s">
        <v>24</v>
      </c>
      <c r="F1578" s="6">
        <v>2021</v>
      </c>
      <c r="G1578" s="6" t="s">
        <v>14</v>
      </c>
      <c r="H1578" s="7" t="s">
        <v>124</v>
      </c>
      <c r="I1578" s="6" t="s">
        <v>305</v>
      </c>
      <c r="J1578" s="130"/>
      <c r="K1578" s="148" t="s">
        <v>3260</v>
      </c>
    </row>
    <row r="1579" spans="1:11" ht="28.9" customHeight="1" thickTop="1" thickBot="1" x14ac:dyDescent="0.75">
      <c r="A1579" s="6">
        <v>1577</v>
      </c>
      <c r="B1579" s="58" t="str">
        <f>HYPERLINK("https://search.naver.com/search.naver?query=사라진 밤 영화", "사라진 밤")</f>
        <v>사라진 밤</v>
      </c>
      <c r="C1579" s="12">
        <v>7.94</v>
      </c>
      <c r="D1579" s="13" t="s">
        <v>3261</v>
      </c>
      <c r="E1579" s="10" t="s">
        <v>13</v>
      </c>
      <c r="F1579" s="10">
        <v>2018</v>
      </c>
      <c r="G1579" s="10" t="s">
        <v>14</v>
      </c>
      <c r="H1579" s="11" t="s">
        <v>54</v>
      </c>
      <c r="I1579" s="10" t="s">
        <v>94</v>
      </c>
      <c r="J1579" s="131"/>
      <c r="K1579" s="149" t="s">
        <v>3262</v>
      </c>
    </row>
    <row r="1580" spans="1:11" ht="28.9" customHeight="1" thickTop="1" thickBot="1" x14ac:dyDescent="0.75">
      <c r="A1580" s="10">
        <v>1578</v>
      </c>
      <c r="B1580" s="57" t="str">
        <f>HYPERLINK("https://f-fox1213.tistory.com/99", "사라진 소녀들")</f>
        <v>사라진 소녀들</v>
      </c>
      <c r="C1580" s="8"/>
      <c r="D1580" s="9" t="s">
        <v>3263</v>
      </c>
      <c r="E1580" s="6" t="s">
        <v>24</v>
      </c>
      <c r="F1580" s="6">
        <v>2020</v>
      </c>
      <c r="G1580" s="6" t="s">
        <v>14</v>
      </c>
      <c r="H1580" s="7" t="s">
        <v>20</v>
      </c>
      <c r="I1580" s="6" t="s">
        <v>150</v>
      </c>
      <c r="J1580" s="130"/>
      <c r="K1580" s="148" t="s">
        <v>3264</v>
      </c>
    </row>
    <row r="1581" spans="1:11" ht="28.9" customHeight="1" thickTop="1" thickBot="1" x14ac:dyDescent="0.75">
      <c r="A1581" s="6">
        <v>1579</v>
      </c>
      <c r="B1581" s="58" t="str">
        <f>HYPERLINK("https://search.naver.com/search.naver?query=사라짐의 순서 지옥행 제설차 영화", "사라짐의 순서 - 지옥행 제설차")</f>
        <v>사라짐의 순서 - 지옥행 제설차</v>
      </c>
      <c r="C1581" s="12">
        <v>1</v>
      </c>
      <c r="D1581" s="13" t="s">
        <v>3265</v>
      </c>
      <c r="E1581" s="10" t="s">
        <v>49</v>
      </c>
      <c r="F1581" s="10">
        <v>2014</v>
      </c>
      <c r="G1581" s="10" t="s">
        <v>14</v>
      </c>
      <c r="H1581" s="11" t="s">
        <v>124</v>
      </c>
      <c r="I1581" s="10" t="s">
        <v>591</v>
      </c>
      <c r="J1581" s="131"/>
      <c r="K1581" s="149" t="s">
        <v>3266</v>
      </c>
    </row>
    <row r="1582" spans="1:11" ht="28.9" customHeight="1" thickTop="1" thickBot="1" x14ac:dyDescent="0.75">
      <c r="A1582" s="10">
        <v>1580</v>
      </c>
      <c r="B1582" s="57" t="str">
        <f>HYPERLINK("https://search.naver.com/search.naver?query=사랑 후에 남겨진 것들 영화", "사랑 후에 남겨진 것들")</f>
        <v>사랑 후에 남겨진 것들</v>
      </c>
      <c r="C1582" s="8">
        <v>8.9</v>
      </c>
      <c r="D1582" s="9" t="s">
        <v>3267</v>
      </c>
      <c r="E1582" s="6" t="s">
        <v>136</v>
      </c>
      <c r="F1582" s="6">
        <v>2009</v>
      </c>
      <c r="G1582" s="6" t="s">
        <v>14</v>
      </c>
      <c r="H1582" s="7" t="s">
        <v>20</v>
      </c>
      <c r="I1582" s="6" t="s">
        <v>210</v>
      </c>
      <c r="J1582" s="130"/>
      <c r="K1582" s="148" t="s">
        <v>3268</v>
      </c>
    </row>
    <row r="1583" spans="1:11" ht="28.9" customHeight="1" thickTop="1" thickBot="1" x14ac:dyDescent="0.75">
      <c r="A1583" s="6">
        <v>1581</v>
      </c>
      <c r="B1583" s="58" t="str">
        <f>HYPERLINK("https://search.naver.com/search.naver?query=사랑 후에 오는 것들", "사랑 후에 오는 것들")</f>
        <v>사랑 후에 오는 것들</v>
      </c>
      <c r="C1583" s="12">
        <v>4.32</v>
      </c>
      <c r="D1583" s="13" t="s">
        <v>3269</v>
      </c>
      <c r="E1583" s="10" t="s">
        <v>13</v>
      </c>
      <c r="F1583" s="10">
        <v>2024</v>
      </c>
      <c r="G1583" s="10" t="s">
        <v>14</v>
      </c>
      <c r="H1583" s="11" t="s">
        <v>165</v>
      </c>
      <c r="I1583" s="10" t="s">
        <v>329</v>
      </c>
      <c r="J1583" s="131"/>
      <c r="K1583" s="149" t="s">
        <v>3270</v>
      </c>
    </row>
    <row r="1584" spans="1:11" ht="28.9" customHeight="1" thickTop="1" thickBot="1" x14ac:dyDescent="0.75">
      <c r="A1584" s="10">
        <v>1582</v>
      </c>
      <c r="B1584" s="57" t="str">
        <f>HYPERLINK("https://search.naver.com/search.naver?query=사랑 후의 두 여자 영화", "사랑 후의 두 여자")</f>
        <v>사랑 후의 두 여자</v>
      </c>
      <c r="C1584" s="8">
        <v>8.0399999999999991</v>
      </c>
      <c r="D1584" s="9" t="s">
        <v>3271</v>
      </c>
      <c r="E1584" s="6" t="s">
        <v>310</v>
      </c>
      <c r="F1584" s="6">
        <v>2020</v>
      </c>
      <c r="G1584" s="6" t="s">
        <v>14</v>
      </c>
      <c r="H1584" s="7" t="s">
        <v>20</v>
      </c>
      <c r="I1584" s="6" t="s">
        <v>179</v>
      </c>
      <c r="J1584" s="130"/>
      <c r="K1584" s="148" t="s">
        <v>3272</v>
      </c>
    </row>
    <row r="1585" spans="1:11" ht="28.9" customHeight="1" thickTop="1" thickBot="1" x14ac:dyDescent="0.75">
      <c r="A1585" s="6">
        <v>1583</v>
      </c>
      <c r="B1585" s="58" t="str">
        <f>HYPERLINK("https://search.naver.com/search.naver?query=사랑노래 약속의 나쿠히토 영화", "사랑노래 - 약속의 나쿠히토")</f>
        <v>사랑노래 - 약속의 나쿠히토</v>
      </c>
      <c r="C1585" s="12">
        <v>6.4</v>
      </c>
      <c r="D1585" s="13" t="s">
        <v>3273</v>
      </c>
      <c r="E1585" s="10" t="s">
        <v>19</v>
      </c>
      <c r="F1585" s="10">
        <v>2019</v>
      </c>
      <c r="G1585" s="10" t="s">
        <v>14</v>
      </c>
      <c r="H1585" s="11" t="s">
        <v>20</v>
      </c>
      <c r="I1585" s="10" t="s">
        <v>150</v>
      </c>
      <c r="J1585" s="131"/>
      <c r="K1585" s="149" t="s">
        <v>3274</v>
      </c>
    </row>
    <row r="1586" spans="1:11" ht="28.9" customHeight="1" thickTop="1" thickBot="1" x14ac:dyDescent="0.75">
      <c r="A1586" s="10">
        <v>1584</v>
      </c>
      <c r="B1586" s="57" t="str">
        <f>HYPERLINK("https://search.naver.com/search.naver?query=사랑도 통역이 되나요 영화", "사랑도 통역이 되나요")</f>
        <v>사랑도 통역이 되나요</v>
      </c>
      <c r="C1586" s="8">
        <v>7.2</v>
      </c>
      <c r="D1586" s="9" t="s">
        <v>3275</v>
      </c>
      <c r="E1586" s="6" t="s">
        <v>24</v>
      </c>
      <c r="F1586" s="6">
        <v>2003</v>
      </c>
      <c r="G1586" s="6" t="s">
        <v>14</v>
      </c>
      <c r="H1586" s="7" t="s">
        <v>20</v>
      </c>
      <c r="I1586" s="6" t="s">
        <v>133</v>
      </c>
      <c r="J1586" s="130"/>
      <c r="K1586" s="148" t="s">
        <v>3276</v>
      </c>
    </row>
    <row r="1587" spans="1:11" ht="28.9" customHeight="1" thickTop="1" thickBot="1" x14ac:dyDescent="0.75">
      <c r="A1587" s="6">
        <v>1585</v>
      </c>
      <c r="B1587" s="58" t="str">
        <f>HYPERLINK("https://search.naver.com/search.naver?query=사랑보다 황금 영화", "사랑보다 황금")</f>
        <v>사랑보다 황금</v>
      </c>
      <c r="C1587" s="12">
        <v>6.54</v>
      </c>
      <c r="D1587" s="13" t="s">
        <v>3277</v>
      </c>
      <c r="E1587" s="10" t="s">
        <v>24</v>
      </c>
      <c r="F1587" s="10">
        <v>2008</v>
      </c>
      <c r="G1587" s="10" t="s">
        <v>14</v>
      </c>
      <c r="H1587" s="11" t="s">
        <v>1452</v>
      </c>
      <c r="I1587" s="10" t="s">
        <v>429</v>
      </c>
      <c r="J1587" s="131"/>
      <c r="K1587" s="149" t="s">
        <v>3278</v>
      </c>
    </row>
    <row r="1588" spans="1:11" ht="28.9" customHeight="1" thickTop="1" thickBot="1" x14ac:dyDescent="0.75">
      <c r="A1588" s="10">
        <v>1586</v>
      </c>
      <c r="B1588" s="57" t="str">
        <f>HYPERLINK("https://search.naver.com/search.naver?query=사랑에 대한 모든 것 영화", "사랑에 대한 모든 것")</f>
        <v>사랑에 대한 모든 것</v>
      </c>
      <c r="C1588" s="8">
        <v>7.98</v>
      </c>
      <c r="D1588" s="9" t="s">
        <v>3279</v>
      </c>
      <c r="E1588" s="6" t="s">
        <v>29</v>
      </c>
      <c r="F1588" s="6">
        <v>2014</v>
      </c>
      <c r="G1588" s="6" t="s">
        <v>14</v>
      </c>
      <c r="H1588" s="7" t="s">
        <v>20</v>
      </c>
      <c r="I1588" s="6" t="s">
        <v>76</v>
      </c>
      <c r="J1588" s="130"/>
      <c r="K1588" s="148" t="s">
        <v>3280</v>
      </c>
    </row>
    <row r="1589" spans="1:11" ht="28.9" customHeight="1" thickTop="1" thickBot="1" x14ac:dyDescent="0.75">
      <c r="A1589" s="6">
        <v>1587</v>
      </c>
      <c r="B1589" s="58" t="str">
        <f>HYPERLINK("https://search.naver.com/search.naver?query=사랑에 빠진 것처럼 영화", "사랑에 빠진 것처럼")</f>
        <v>사랑에 빠진 것처럼</v>
      </c>
      <c r="C1589" s="12">
        <v>6.92</v>
      </c>
      <c r="D1589" s="13" t="s">
        <v>3281</v>
      </c>
      <c r="E1589" s="10" t="s">
        <v>310</v>
      </c>
      <c r="F1589" s="10">
        <v>2013</v>
      </c>
      <c r="G1589" s="10" t="s">
        <v>14</v>
      </c>
      <c r="H1589" s="11" t="s">
        <v>20</v>
      </c>
      <c r="I1589" s="10" t="s">
        <v>187</v>
      </c>
      <c r="J1589" s="131"/>
      <c r="K1589" s="149" t="s">
        <v>3282</v>
      </c>
    </row>
    <row r="1590" spans="1:11" ht="28.9" customHeight="1" thickTop="1" thickBot="1" x14ac:dyDescent="0.75">
      <c r="A1590" s="10">
        <v>1588</v>
      </c>
      <c r="B1590" s="57" t="str">
        <f>HYPERLINK("https://search.naver.com/search.naver?query=사랑은 너무 복잡해 영화", "사랑은 너무 복잡해")</f>
        <v>사랑은 너무 복잡해</v>
      </c>
      <c r="C1590" s="8">
        <v>8.64</v>
      </c>
      <c r="D1590" s="9" t="s">
        <v>3283</v>
      </c>
      <c r="E1590" s="6" t="s">
        <v>24</v>
      </c>
      <c r="F1590" s="6">
        <v>2010</v>
      </c>
      <c r="G1590" s="6" t="s">
        <v>14</v>
      </c>
      <c r="H1590" s="7" t="s">
        <v>91</v>
      </c>
      <c r="I1590" s="6" t="s">
        <v>116</v>
      </c>
      <c r="J1590" s="130"/>
      <c r="K1590" s="148" t="s">
        <v>3284</v>
      </c>
    </row>
    <row r="1591" spans="1:11" ht="28.9" customHeight="1" thickTop="1" thickBot="1" x14ac:dyDescent="0.75">
      <c r="A1591" s="6">
        <v>1589</v>
      </c>
      <c r="B1591" s="58" t="str">
        <f>HYPERLINK("https://search.naver.com/search.naver?query=사랑은 비가 갠 뒤처럼 영화", "사랑은 비가 갠 뒤처럼")</f>
        <v>사랑은 비가 갠 뒤처럼</v>
      </c>
      <c r="C1591" s="12">
        <v>9</v>
      </c>
      <c r="D1591" s="13" t="s">
        <v>3285</v>
      </c>
      <c r="E1591" s="10" t="s">
        <v>19</v>
      </c>
      <c r="F1591" s="10">
        <v>2018</v>
      </c>
      <c r="G1591" s="10" t="s">
        <v>14</v>
      </c>
      <c r="H1591" s="11" t="s">
        <v>20</v>
      </c>
      <c r="I1591" s="10" t="s">
        <v>429</v>
      </c>
      <c r="J1591" s="131"/>
      <c r="K1591" s="149" t="s">
        <v>3286</v>
      </c>
    </row>
    <row r="1592" spans="1:11" ht="28.9" customHeight="1" thickTop="1" thickBot="1" x14ac:dyDescent="0.75">
      <c r="A1592" s="10">
        <v>1590</v>
      </c>
      <c r="B1592" s="57" t="str">
        <f>HYPERLINK("https://search.naver.com/search.naver?query=사랑을 놓치다 영화", "사랑을 놓치다")</f>
        <v>사랑을 놓치다</v>
      </c>
      <c r="C1592" s="8">
        <v>8.23</v>
      </c>
      <c r="D1592" s="9" t="s">
        <v>3287</v>
      </c>
      <c r="E1592" s="6" t="s">
        <v>13</v>
      </c>
      <c r="F1592" s="6">
        <v>2006</v>
      </c>
      <c r="G1592" s="6" t="s">
        <v>14</v>
      </c>
      <c r="H1592" s="7" t="s">
        <v>165</v>
      </c>
      <c r="I1592" s="6" t="s">
        <v>150</v>
      </c>
      <c r="J1592" s="130"/>
      <c r="K1592" s="148" t="s">
        <v>3288</v>
      </c>
    </row>
    <row r="1593" spans="1:11" ht="28.9" customHeight="1" thickTop="1" thickBot="1" x14ac:dyDescent="0.75">
      <c r="A1593" s="6">
        <v>1591</v>
      </c>
      <c r="B1593" s="58" t="str">
        <f>HYPERLINK("https://search.naver.com/search.naver?query=사랑을 부르는, 파리 영화", "사랑을 부르는, 파리")</f>
        <v>사랑을 부르는, 파리</v>
      </c>
      <c r="C1593" s="12">
        <v>7.45</v>
      </c>
      <c r="D1593" s="13" t="s">
        <v>3289</v>
      </c>
      <c r="E1593" s="10" t="s">
        <v>310</v>
      </c>
      <c r="F1593" s="10">
        <v>2009</v>
      </c>
      <c r="G1593" s="10" t="s">
        <v>14</v>
      </c>
      <c r="H1593" s="11" t="s">
        <v>165</v>
      </c>
      <c r="I1593" s="10" t="s">
        <v>42</v>
      </c>
      <c r="J1593" s="131"/>
      <c r="K1593" s="149" t="s">
        <v>3290</v>
      </c>
    </row>
    <row r="1594" spans="1:11" ht="28.9" customHeight="1" thickTop="1" thickBot="1" x14ac:dyDescent="0.75">
      <c r="A1594" s="10">
        <v>1592</v>
      </c>
      <c r="B1594" s="57" t="str">
        <f>HYPERLINK("https://search.naver.com/search.naver?query=사랑을 카피하다 영화", "사랑을 카피하다")</f>
        <v>사랑을 카피하다</v>
      </c>
      <c r="C1594" s="8">
        <v>8.33</v>
      </c>
      <c r="D1594" s="9" t="s">
        <v>3291</v>
      </c>
      <c r="E1594" s="6" t="s">
        <v>310</v>
      </c>
      <c r="F1594" s="6">
        <v>2011</v>
      </c>
      <c r="G1594" s="6" t="s">
        <v>14</v>
      </c>
      <c r="H1594" s="7" t="s">
        <v>20</v>
      </c>
      <c r="I1594" s="6" t="s">
        <v>443</v>
      </c>
      <c r="J1594" s="130"/>
      <c r="K1594" s="148" t="s">
        <v>3292</v>
      </c>
    </row>
    <row r="1595" spans="1:11" ht="28.9" customHeight="1" thickTop="1" thickBot="1" x14ac:dyDescent="0.75">
      <c r="A1595" s="6">
        <v>1593</v>
      </c>
      <c r="B1595" s="58" t="s">
        <v>3293</v>
      </c>
      <c r="C1595" s="12">
        <v>8.59</v>
      </c>
      <c r="D1595" s="13" t="s">
        <v>3294</v>
      </c>
      <c r="E1595" s="10" t="s">
        <v>24</v>
      </c>
      <c r="F1595" s="10">
        <v>1993</v>
      </c>
      <c r="G1595" s="10" t="s">
        <v>14</v>
      </c>
      <c r="H1595" s="11" t="s">
        <v>165</v>
      </c>
      <c r="I1595" s="10" t="s">
        <v>94</v>
      </c>
      <c r="J1595" s="131"/>
      <c r="K1595" s="149" t="s">
        <v>3295</v>
      </c>
    </row>
    <row r="1596" spans="1:11" ht="28.9" customHeight="1" thickTop="1" thickBot="1" x14ac:dyDescent="0.75">
      <c r="A1596" s="10">
        <v>1594</v>
      </c>
      <c r="B1596" s="57" t="s">
        <v>3296</v>
      </c>
      <c r="C1596" s="8">
        <v>9.2100000000000009</v>
      </c>
      <c r="D1596" s="9" t="s">
        <v>3297</v>
      </c>
      <c r="E1596" s="6" t="s">
        <v>29</v>
      </c>
      <c r="F1596" s="6">
        <v>2008</v>
      </c>
      <c r="G1596" s="6" t="s">
        <v>14</v>
      </c>
      <c r="H1596" s="7" t="s">
        <v>20</v>
      </c>
      <c r="I1596" s="6" t="s">
        <v>150</v>
      </c>
      <c r="J1596" s="130"/>
      <c r="K1596" s="148" t="s">
        <v>3298</v>
      </c>
    </row>
    <row r="1597" spans="1:11" ht="28.9" customHeight="1" thickTop="1" thickBot="1" x14ac:dyDescent="0.75">
      <c r="A1597" s="6">
        <v>1595</v>
      </c>
      <c r="B1597" s="58" t="s">
        <v>3299</v>
      </c>
      <c r="C1597" s="12"/>
      <c r="D1597" s="13" t="s">
        <v>3300</v>
      </c>
      <c r="E1597" s="10" t="s">
        <v>19</v>
      </c>
      <c r="F1597" s="10">
        <v>2007</v>
      </c>
      <c r="G1597" s="10" t="s">
        <v>14</v>
      </c>
      <c r="H1597" s="11" t="s">
        <v>165</v>
      </c>
      <c r="I1597" s="10" t="s">
        <v>316</v>
      </c>
      <c r="J1597" s="131"/>
      <c r="K1597" s="149" t="s">
        <v>3301</v>
      </c>
    </row>
    <row r="1598" spans="1:11" ht="28.9" customHeight="1" thickTop="1" thickBot="1" x14ac:dyDescent="0.75">
      <c r="A1598" s="10">
        <v>1596</v>
      </c>
      <c r="B1598" s="57" t="s">
        <v>3302</v>
      </c>
      <c r="C1598" s="8">
        <v>7.89</v>
      </c>
      <c r="D1598" s="9" t="s">
        <v>3303</v>
      </c>
      <c r="E1598" s="6" t="s">
        <v>310</v>
      </c>
      <c r="F1598" s="6">
        <v>2014</v>
      </c>
      <c r="G1598" s="6" t="s">
        <v>14</v>
      </c>
      <c r="H1598" s="7" t="s">
        <v>91</v>
      </c>
      <c r="I1598" s="6" t="s">
        <v>169</v>
      </c>
      <c r="J1598" s="130"/>
      <c r="K1598" s="148" t="s">
        <v>3304</v>
      </c>
    </row>
    <row r="1599" spans="1:11" ht="28.9" customHeight="1" thickTop="1" thickBot="1" x14ac:dyDescent="0.75">
      <c r="A1599" s="6">
        <v>1597</v>
      </c>
      <c r="B1599" s="58" t="s">
        <v>3305</v>
      </c>
      <c r="C1599" s="12">
        <v>6.3</v>
      </c>
      <c r="D1599" s="13" t="s">
        <v>3306</v>
      </c>
      <c r="E1599" s="10" t="s">
        <v>310</v>
      </c>
      <c r="F1599" s="10">
        <v>2016</v>
      </c>
      <c r="G1599" s="10" t="s">
        <v>14</v>
      </c>
      <c r="H1599" s="11" t="s">
        <v>91</v>
      </c>
      <c r="I1599" s="10" t="s">
        <v>98</v>
      </c>
      <c r="J1599" s="131"/>
      <c r="K1599" s="149" t="s">
        <v>3307</v>
      </c>
    </row>
    <row r="1600" spans="1:11" ht="28.9" customHeight="1" thickTop="1" thickBot="1" x14ac:dyDescent="0.75">
      <c r="A1600" s="10">
        <v>1598</v>
      </c>
      <c r="B1600" s="57" t="s">
        <v>3308</v>
      </c>
      <c r="C1600" s="8">
        <v>8.26</v>
      </c>
      <c r="D1600" s="9" t="s">
        <v>3309</v>
      </c>
      <c r="E1600" s="6" t="s">
        <v>24</v>
      </c>
      <c r="F1600" s="6">
        <v>1999</v>
      </c>
      <c r="G1600" s="6" t="s">
        <v>14</v>
      </c>
      <c r="H1600" s="7" t="s">
        <v>20</v>
      </c>
      <c r="I1600" s="6" t="s">
        <v>175</v>
      </c>
      <c r="J1600" s="130"/>
      <c r="K1600" s="148" t="s">
        <v>3310</v>
      </c>
    </row>
    <row r="1601" spans="1:11" ht="28.9" customHeight="1" thickTop="1" thickBot="1" x14ac:dyDescent="0.75">
      <c r="A1601" s="6">
        <v>1599</v>
      </c>
      <c r="B1601" s="58" t="s">
        <v>3308</v>
      </c>
      <c r="C1601" s="12">
        <v>9.01</v>
      </c>
      <c r="D1601" s="13" t="s">
        <v>3311</v>
      </c>
      <c r="E1601" s="10" t="s">
        <v>37</v>
      </c>
      <c r="F1601" s="10">
        <v>2018</v>
      </c>
      <c r="G1601" s="10" t="s">
        <v>14</v>
      </c>
      <c r="H1601" s="11" t="s">
        <v>20</v>
      </c>
      <c r="I1601" s="10" t="s">
        <v>356</v>
      </c>
      <c r="J1601" s="131"/>
      <c r="K1601" s="149" t="s">
        <v>3312</v>
      </c>
    </row>
    <row r="1602" spans="1:11" ht="28.9" customHeight="1" thickTop="1" thickBot="1" x14ac:dyDescent="0.75">
      <c r="A1602" s="10">
        <v>1600</v>
      </c>
      <c r="B1602" s="57" t="s">
        <v>3313</v>
      </c>
      <c r="C1602" s="8">
        <v>8.61</v>
      </c>
      <c r="D1602" s="9" t="s">
        <v>3314</v>
      </c>
      <c r="E1602" s="6" t="s">
        <v>161</v>
      </c>
      <c r="F1602" s="6">
        <v>2014</v>
      </c>
      <c r="G1602" s="6" t="s">
        <v>14</v>
      </c>
      <c r="H1602" s="7" t="s">
        <v>20</v>
      </c>
      <c r="I1602" s="6" t="s">
        <v>80</v>
      </c>
      <c r="J1602" s="130"/>
      <c r="K1602" s="148" t="s">
        <v>3315</v>
      </c>
    </row>
    <row r="1603" spans="1:11" ht="28.9" customHeight="1" thickTop="1" thickBot="1" x14ac:dyDescent="0.75">
      <c r="A1603" s="6">
        <v>1601</v>
      </c>
      <c r="B1603" s="58" t="s">
        <v>3316</v>
      </c>
      <c r="C1603" s="12"/>
      <c r="D1603" s="13" t="s">
        <v>3317</v>
      </c>
      <c r="E1603" s="10" t="s">
        <v>24</v>
      </c>
      <c r="F1603" s="10">
        <v>2004</v>
      </c>
      <c r="G1603" s="10" t="s">
        <v>14</v>
      </c>
      <c r="H1603" s="11" t="s">
        <v>91</v>
      </c>
      <c r="I1603" s="10" t="s">
        <v>120</v>
      </c>
      <c r="J1603" s="131"/>
      <c r="K1603" s="149" t="s">
        <v>3318</v>
      </c>
    </row>
    <row r="1604" spans="1:11" ht="28.9" customHeight="1" thickTop="1" thickBot="1" x14ac:dyDescent="0.75">
      <c r="A1604" s="10">
        <v>1602</v>
      </c>
      <c r="B1604" s="57" t="s">
        <v>3319</v>
      </c>
      <c r="C1604" s="8">
        <v>8.5399999999999991</v>
      </c>
      <c r="D1604" s="9" t="s">
        <v>3320</v>
      </c>
      <c r="E1604" s="6" t="s">
        <v>2941</v>
      </c>
      <c r="F1604" s="6">
        <v>2016</v>
      </c>
      <c r="G1604" s="6" t="s">
        <v>14</v>
      </c>
      <c r="H1604" s="7" t="s">
        <v>91</v>
      </c>
      <c r="I1604" s="6" t="s">
        <v>101</v>
      </c>
      <c r="J1604" s="130"/>
      <c r="K1604" s="148" t="s">
        <v>3321</v>
      </c>
    </row>
    <row r="1605" spans="1:11" ht="28.9" customHeight="1" thickTop="1" thickBot="1" x14ac:dyDescent="0.75">
      <c r="A1605" s="6">
        <v>1603</v>
      </c>
      <c r="B1605" s="58" t="s">
        <v>3322</v>
      </c>
      <c r="C1605" s="12">
        <v>8.57</v>
      </c>
      <c r="D1605" s="13" t="s">
        <v>3323</v>
      </c>
      <c r="E1605" s="10" t="s">
        <v>13</v>
      </c>
      <c r="F1605" s="10">
        <v>2004</v>
      </c>
      <c r="G1605" s="10" t="s">
        <v>14</v>
      </c>
      <c r="H1605" s="11" t="s">
        <v>20</v>
      </c>
      <c r="I1605" s="10" t="s">
        <v>150</v>
      </c>
      <c r="J1605" s="131"/>
      <c r="K1605" s="149" t="s">
        <v>3324</v>
      </c>
    </row>
    <row r="1606" spans="1:11" ht="28.9" customHeight="1" thickTop="1" thickBot="1" x14ac:dyDescent="0.75">
      <c r="A1606" s="10">
        <v>1604</v>
      </c>
      <c r="B1606" s="57" t="s">
        <v>3325</v>
      </c>
      <c r="C1606" s="8">
        <v>6.89</v>
      </c>
      <c r="D1606" s="9" t="s">
        <v>3326</v>
      </c>
      <c r="E1606" s="6" t="s">
        <v>29</v>
      </c>
      <c r="F1606" s="6">
        <v>2011</v>
      </c>
      <c r="G1606" s="6" t="s">
        <v>14</v>
      </c>
      <c r="H1606" s="7" t="s">
        <v>20</v>
      </c>
      <c r="I1606" s="6" t="s">
        <v>101</v>
      </c>
      <c r="J1606" s="130"/>
      <c r="K1606" s="148" t="s">
        <v>3327</v>
      </c>
    </row>
    <row r="1607" spans="1:11" ht="28.9" customHeight="1" thickTop="1" thickBot="1" x14ac:dyDescent="0.75">
      <c r="A1607" s="6">
        <v>1605</v>
      </c>
      <c r="B1607" s="58" t="s">
        <v>3328</v>
      </c>
      <c r="C1607" s="12">
        <v>8.0500000000000007</v>
      </c>
      <c r="D1607" s="13" t="s">
        <v>3329</v>
      </c>
      <c r="E1607" s="10" t="s">
        <v>19</v>
      </c>
      <c r="F1607" s="10">
        <v>2014</v>
      </c>
      <c r="G1607" s="10" t="s">
        <v>14</v>
      </c>
      <c r="H1607" s="11" t="s">
        <v>1548</v>
      </c>
      <c r="I1607" s="10" t="s">
        <v>38</v>
      </c>
      <c r="J1607" s="131"/>
      <c r="K1607" s="149" t="s">
        <v>3330</v>
      </c>
    </row>
    <row r="1608" spans="1:11" ht="28.9" customHeight="1" thickTop="1" thickBot="1" x14ac:dyDescent="0.75">
      <c r="A1608" s="10">
        <v>1606</v>
      </c>
      <c r="B1608" s="57" t="s">
        <v>3331</v>
      </c>
      <c r="C1608" s="8"/>
      <c r="D1608" s="9" t="s">
        <v>3332</v>
      </c>
      <c r="E1608" s="6" t="s">
        <v>13</v>
      </c>
      <c r="F1608" s="6">
        <v>2019</v>
      </c>
      <c r="G1608" s="6" t="s">
        <v>14</v>
      </c>
      <c r="H1608" s="7" t="s">
        <v>194</v>
      </c>
      <c r="I1608" s="6" t="s">
        <v>141</v>
      </c>
      <c r="J1608" s="130"/>
      <c r="K1608" s="148" t="s">
        <v>3333</v>
      </c>
    </row>
    <row r="1609" spans="1:11" ht="28.9" customHeight="1" thickTop="1" thickBot="1" x14ac:dyDescent="0.75">
      <c r="A1609" s="6">
        <v>1607</v>
      </c>
      <c r="B1609" s="58" t="s">
        <v>3334</v>
      </c>
      <c r="C1609" s="12">
        <v>7.45</v>
      </c>
      <c r="D1609" s="13" t="s">
        <v>3335</v>
      </c>
      <c r="E1609" s="10" t="s">
        <v>24</v>
      </c>
      <c r="F1609" s="10">
        <v>2014</v>
      </c>
      <c r="G1609" s="10" t="s">
        <v>14</v>
      </c>
      <c r="H1609" s="11" t="s">
        <v>124</v>
      </c>
      <c r="I1609" s="10" t="s">
        <v>187</v>
      </c>
      <c r="J1609" s="131"/>
      <c r="K1609" s="149" t="s">
        <v>3336</v>
      </c>
    </row>
    <row r="1610" spans="1:11" ht="28.9" customHeight="1" thickTop="1" thickBot="1" x14ac:dyDescent="0.75">
      <c r="A1610" s="10">
        <v>1608</v>
      </c>
      <c r="B1610" s="57" t="s">
        <v>3337</v>
      </c>
      <c r="C1610" s="8">
        <v>7.72</v>
      </c>
      <c r="D1610" s="9" t="s">
        <v>3338</v>
      </c>
      <c r="E1610" s="6" t="s">
        <v>19</v>
      </c>
      <c r="F1610" s="6">
        <v>2010</v>
      </c>
      <c r="G1610" s="6" t="s">
        <v>14</v>
      </c>
      <c r="H1610" s="7" t="s">
        <v>165</v>
      </c>
      <c r="I1610" s="6" t="s">
        <v>116</v>
      </c>
      <c r="J1610" s="130"/>
      <c r="K1610" s="148" t="s">
        <v>3339</v>
      </c>
    </row>
    <row r="1611" spans="1:11" ht="28.9" customHeight="1" thickTop="1" thickBot="1" x14ac:dyDescent="0.75">
      <c r="A1611" s="6">
        <v>1609</v>
      </c>
      <c r="B1611" s="58" t="s">
        <v>3340</v>
      </c>
      <c r="C1611" s="12">
        <v>7.72</v>
      </c>
      <c r="D1611" s="13" t="s">
        <v>3341</v>
      </c>
      <c r="E1611" s="10" t="s">
        <v>24</v>
      </c>
      <c r="F1611" s="10">
        <v>2016</v>
      </c>
      <c r="G1611" s="10" t="s">
        <v>14</v>
      </c>
      <c r="H1611" s="11" t="s">
        <v>20</v>
      </c>
      <c r="I1611" s="10" t="s">
        <v>1705</v>
      </c>
      <c r="J1611" s="131"/>
      <c r="K1611" s="149" t="s">
        <v>3342</v>
      </c>
    </row>
    <row r="1612" spans="1:11" ht="28.9" customHeight="1" thickTop="1" thickBot="1" x14ac:dyDescent="0.75">
      <c r="A1612" s="10">
        <v>1610</v>
      </c>
      <c r="B1612" s="57" t="s">
        <v>3343</v>
      </c>
      <c r="C1612" s="8"/>
      <c r="D1612" s="9" t="s">
        <v>3344</v>
      </c>
      <c r="E1612" s="6" t="s">
        <v>24</v>
      </c>
      <c r="F1612" s="6">
        <v>2015</v>
      </c>
      <c r="G1612" s="6" t="s">
        <v>14</v>
      </c>
      <c r="H1612" s="7" t="s">
        <v>20</v>
      </c>
      <c r="I1612" s="6" t="s">
        <v>183</v>
      </c>
      <c r="J1612" s="130"/>
      <c r="K1612" s="148" t="s">
        <v>3345</v>
      </c>
    </row>
    <row r="1613" spans="1:11" ht="28.9" customHeight="1" thickTop="1" thickBot="1" x14ac:dyDescent="0.75">
      <c r="A1613" s="6">
        <v>1611</v>
      </c>
      <c r="B1613" s="58" t="s">
        <v>3346</v>
      </c>
      <c r="C1613" s="12">
        <v>8.5399999999999991</v>
      </c>
      <c r="D1613" s="13" t="s">
        <v>3347</v>
      </c>
      <c r="E1613" s="10" t="s">
        <v>24</v>
      </c>
      <c r="F1613" s="10">
        <v>2023</v>
      </c>
      <c r="G1613" s="10" t="s">
        <v>14</v>
      </c>
      <c r="H1613" s="11" t="s">
        <v>20</v>
      </c>
      <c r="I1613" s="10" t="s">
        <v>432</v>
      </c>
      <c r="J1613" s="131"/>
      <c r="K1613" s="149" t="s">
        <v>3348</v>
      </c>
    </row>
    <row r="1614" spans="1:11" ht="28.9" customHeight="1" thickTop="1" thickBot="1" x14ac:dyDescent="0.75">
      <c r="A1614" s="10">
        <v>1612</v>
      </c>
      <c r="B1614" s="57" t="s">
        <v>3349</v>
      </c>
      <c r="C1614" s="8">
        <v>8.67</v>
      </c>
      <c r="D1614" s="9" t="s">
        <v>3350</v>
      </c>
      <c r="E1614" s="6" t="s">
        <v>1094</v>
      </c>
      <c r="F1614" s="6">
        <v>2015</v>
      </c>
      <c r="G1614" s="6" t="s">
        <v>14</v>
      </c>
      <c r="H1614" s="7" t="s">
        <v>20</v>
      </c>
      <c r="I1614" s="6" t="s">
        <v>101</v>
      </c>
      <c r="J1614" s="130"/>
      <c r="K1614" s="148" t="s">
        <v>1300</v>
      </c>
    </row>
    <row r="1615" spans="1:11" ht="28.9" customHeight="1" thickTop="1" thickBot="1" x14ac:dyDescent="0.75">
      <c r="A1615" s="6">
        <v>1613</v>
      </c>
      <c r="B1615" s="58" t="s">
        <v>3351</v>
      </c>
      <c r="C1615" s="12">
        <v>8.67</v>
      </c>
      <c r="D1615" s="13" t="s">
        <v>3352</v>
      </c>
      <c r="E1615" s="10" t="s">
        <v>24</v>
      </c>
      <c r="F1615" s="10">
        <v>2013</v>
      </c>
      <c r="G1615" s="10" t="s">
        <v>14</v>
      </c>
      <c r="H1615" s="11" t="s">
        <v>54</v>
      </c>
      <c r="I1615" s="10" t="s">
        <v>443</v>
      </c>
      <c r="J1615" s="131"/>
      <c r="K1615" s="149" t="s">
        <v>3353</v>
      </c>
    </row>
    <row r="1616" spans="1:11" ht="28.9" customHeight="1" thickTop="1" thickBot="1" x14ac:dyDescent="0.75">
      <c r="A1616" s="10">
        <v>1614</v>
      </c>
      <c r="B1616" s="57" t="s">
        <v>3354</v>
      </c>
      <c r="C1616" s="8">
        <v>7.6</v>
      </c>
      <c r="D1616" s="9" t="s">
        <v>3355</v>
      </c>
      <c r="E1616" s="6" t="s">
        <v>24</v>
      </c>
      <c r="F1616" s="6">
        <v>2004</v>
      </c>
      <c r="G1616" s="6" t="s">
        <v>14</v>
      </c>
      <c r="H1616" s="7" t="s">
        <v>91</v>
      </c>
      <c r="I1616" s="6" t="s">
        <v>105</v>
      </c>
      <c r="J1616" s="130"/>
      <c r="K1616" s="148" t="s">
        <v>3356</v>
      </c>
    </row>
    <row r="1617" spans="1:11" ht="28.9" customHeight="1" thickTop="1" thickBot="1" x14ac:dyDescent="0.75">
      <c r="A1617" s="6">
        <v>1615</v>
      </c>
      <c r="B1617" s="58" t="s">
        <v>3357</v>
      </c>
      <c r="C1617" s="12">
        <v>8.57</v>
      </c>
      <c r="D1617" s="13" t="s">
        <v>3358</v>
      </c>
      <c r="E1617" s="10" t="s">
        <v>19</v>
      </c>
      <c r="F1617" s="10">
        <v>2007</v>
      </c>
      <c r="G1617" s="10" t="s">
        <v>14</v>
      </c>
      <c r="H1617" s="11" t="s">
        <v>20</v>
      </c>
      <c r="I1617" s="10" t="s">
        <v>150</v>
      </c>
      <c r="J1617" s="131"/>
      <c r="K1617" s="149" t="s">
        <v>3359</v>
      </c>
    </row>
    <row r="1618" spans="1:11" ht="28.9" customHeight="1" thickTop="1" thickBot="1" x14ac:dyDescent="0.75">
      <c r="A1618" s="10">
        <v>1616</v>
      </c>
      <c r="B1618" s="59" t="s">
        <v>3360</v>
      </c>
      <c r="C1618" s="16"/>
      <c r="D1618" s="17" t="s">
        <v>3361</v>
      </c>
      <c r="E1618" s="14" t="s">
        <v>24</v>
      </c>
      <c r="F1618" s="14">
        <v>2025</v>
      </c>
      <c r="G1618" s="14" t="s">
        <v>20</v>
      </c>
      <c r="H1618" s="15" t="s">
        <v>20</v>
      </c>
      <c r="I1618" s="14" t="s">
        <v>1184</v>
      </c>
      <c r="J1618" s="132"/>
      <c r="K1618" s="150" t="s">
        <v>3362</v>
      </c>
    </row>
    <row r="1619" spans="1:11" ht="28.9" customHeight="1" thickTop="1" thickBot="1" x14ac:dyDescent="0.75">
      <c r="A1619" s="6">
        <v>1617</v>
      </c>
      <c r="B1619" s="58" t="s">
        <v>3363</v>
      </c>
      <c r="C1619" s="12">
        <v>4.32</v>
      </c>
      <c r="D1619" s="13" t="s">
        <v>3364</v>
      </c>
      <c r="E1619" s="10" t="s">
        <v>13</v>
      </c>
      <c r="F1619" s="10">
        <v>2013</v>
      </c>
      <c r="G1619" s="10" t="s">
        <v>14</v>
      </c>
      <c r="H1619" s="11" t="s">
        <v>54</v>
      </c>
      <c r="I1619" s="10" t="s">
        <v>150</v>
      </c>
      <c r="J1619" s="131"/>
      <c r="K1619" s="149" t="s">
        <v>3365</v>
      </c>
    </row>
    <row r="1620" spans="1:11" ht="28.9" customHeight="1" thickTop="1" thickBot="1" x14ac:dyDescent="0.75">
      <c r="A1620" s="10">
        <v>1618</v>
      </c>
      <c r="B1620" s="59" t="s">
        <v>3366</v>
      </c>
      <c r="C1620" s="16"/>
      <c r="D1620" s="17" t="s">
        <v>3367</v>
      </c>
      <c r="E1620" s="14" t="s">
        <v>19</v>
      </c>
      <c r="F1620" s="14">
        <v>2022</v>
      </c>
      <c r="G1620" s="14" t="s">
        <v>20</v>
      </c>
      <c r="H1620" s="15" t="s">
        <v>149</v>
      </c>
      <c r="I1620" s="14" t="s">
        <v>888</v>
      </c>
      <c r="J1620" s="132"/>
      <c r="K1620" s="150" t="s">
        <v>3368</v>
      </c>
    </row>
    <row r="1621" spans="1:11" ht="28.9" customHeight="1" thickTop="1" thickBot="1" x14ac:dyDescent="0.75">
      <c r="A1621" s="6">
        <v>1619</v>
      </c>
      <c r="B1621" s="58" t="s">
        <v>3369</v>
      </c>
      <c r="C1621" s="12">
        <v>4.84</v>
      </c>
      <c r="D1621" s="13" t="s">
        <v>3370</v>
      </c>
      <c r="E1621" s="10" t="s">
        <v>275</v>
      </c>
      <c r="F1621" s="10">
        <v>2006</v>
      </c>
      <c r="G1621" s="10" t="s">
        <v>14</v>
      </c>
      <c r="H1621" s="11" t="s">
        <v>382</v>
      </c>
      <c r="I1621" s="10" t="s">
        <v>316</v>
      </c>
      <c r="J1621" s="131"/>
      <c r="K1621" s="149" t="s">
        <v>3371</v>
      </c>
    </row>
    <row r="1622" spans="1:11" ht="28.9" customHeight="1" thickTop="1" thickBot="1" x14ac:dyDescent="0.75">
      <c r="A1622" s="10">
        <v>1620</v>
      </c>
      <c r="B1622" s="57" t="s">
        <v>3372</v>
      </c>
      <c r="C1622" s="8">
        <v>7.74</v>
      </c>
      <c r="D1622" s="9" t="s">
        <v>3373</v>
      </c>
      <c r="E1622" s="6" t="s">
        <v>13</v>
      </c>
      <c r="F1622" s="6">
        <v>2019</v>
      </c>
      <c r="G1622" s="6" t="s">
        <v>14</v>
      </c>
      <c r="H1622" s="7" t="s">
        <v>382</v>
      </c>
      <c r="I1622" s="6" t="s">
        <v>85</v>
      </c>
      <c r="J1622" s="130"/>
      <c r="K1622" s="148" t="s">
        <v>3374</v>
      </c>
    </row>
    <row r="1623" spans="1:11" ht="28.9" customHeight="1" thickTop="1" thickBot="1" x14ac:dyDescent="0.75">
      <c r="A1623" s="6">
        <v>1621</v>
      </c>
      <c r="B1623" s="58" t="s">
        <v>3375</v>
      </c>
      <c r="C1623" s="12">
        <v>7.89</v>
      </c>
      <c r="D1623" s="13" t="s">
        <v>3376</v>
      </c>
      <c r="E1623" s="10" t="s">
        <v>24</v>
      </c>
      <c r="F1623" s="10">
        <v>2020</v>
      </c>
      <c r="G1623" s="10" t="s">
        <v>14</v>
      </c>
      <c r="H1623" s="11" t="s">
        <v>428</v>
      </c>
      <c r="I1623" s="10" t="s">
        <v>150</v>
      </c>
      <c r="J1623" s="131"/>
      <c r="K1623" s="149" t="s">
        <v>3377</v>
      </c>
    </row>
    <row r="1624" spans="1:11" ht="28.9" customHeight="1" thickTop="1" thickBot="1" x14ac:dyDescent="0.75">
      <c r="A1624" s="10">
        <v>1622</v>
      </c>
      <c r="B1624" s="57" t="s">
        <v>3378</v>
      </c>
      <c r="C1624" s="8">
        <v>6.71</v>
      </c>
      <c r="D1624" s="9" t="s">
        <v>3379</v>
      </c>
      <c r="E1624" s="6" t="s">
        <v>19</v>
      </c>
      <c r="F1624" s="6">
        <v>2006</v>
      </c>
      <c r="G1624" s="6" t="s">
        <v>14</v>
      </c>
      <c r="H1624" s="7" t="s">
        <v>20</v>
      </c>
      <c r="I1624" s="6" t="s">
        <v>137</v>
      </c>
      <c r="J1624" s="130"/>
      <c r="K1624" s="148" t="s">
        <v>3380</v>
      </c>
    </row>
    <row r="1625" spans="1:11" ht="28.9" customHeight="1" thickTop="1" thickBot="1" x14ac:dyDescent="0.75">
      <c r="A1625" s="6">
        <v>1623</v>
      </c>
      <c r="B1625" s="58" t="s">
        <v>3381</v>
      </c>
      <c r="C1625" s="12">
        <v>8.42</v>
      </c>
      <c r="D1625" s="13" t="s">
        <v>3382</v>
      </c>
      <c r="E1625" s="10" t="s">
        <v>19</v>
      </c>
      <c r="F1625" s="10">
        <v>2001</v>
      </c>
      <c r="G1625" s="10" t="s">
        <v>14</v>
      </c>
      <c r="H1625" s="11" t="s">
        <v>91</v>
      </c>
      <c r="I1625" s="10" t="s">
        <v>129</v>
      </c>
      <c r="J1625" s="131"/>
      <c r="K1625" s="149" t="s">
        <v>3383</v>
      </c>
    </row>
    <row r="1626" spans="1:11" ht="28.9" customHeight="1" thickTop="1" thickBot="1" x14ac:dyDescent="0.75">
      <c r="A1626" s="10">
        <v>1624</v>
      </c>
      <c r="B1626" s="57" t="s">
        <v>3384</v>
      </c>
      <c r="C1626" s="8">
        <v>7.95</v>
      </c>
      <c r="D1626" s="9" t="s">
        <v>3385</v>
      </c>
      <c r="E1626" s="6" t="s">
        <v>310</v>
      </c>
      <c r="F1626" s="6">
        <v>1958</v>
      </c>
      <c r="G1626" s="6" t="s">
        <v>14</v>
      </c>
      <c r="H1626" s="7" t="s">
        <v>54</v>
      </c>
      <c r="I1626" s="6" t="s">
        <v>361</v>
      </c>
      <c r="J1626" s="130"/>
      <c r="K1626" s="148" t="s">
        <v>3386</v>
      </c>
    </row>
    <row r="1627" spans="1:11" ht="28.9" customHeight="1" thickTop="1" thickBot="1" x14ac:dyDescent="0.75">
      <c r="A1627" s="6">
        <v>1625</v>
      </c>
      <c r="B1627" s="58" t="s">
        <v>3387</v>
      </c>
      <c r="C1627" s="12">
        <v>7.73</v>
      </c>
      <c r="D1627" s="13" t="s">
        <v>3388</v>
      </c>
      <c r="E1627" s="10" t="s">
        <v>19</v>
      </c>
      <c r="F1627" s="10">
        <v>2011</v>
      </c>
      <c r="G1627" s="10" t="s">
        <v>14</v>
      </c>
      <c r="H1627" s="11" t="s">
        <v>20</v>
      </c>
      <c r="I1627" s="10" t="s">
        <v>105</v>
      </c>
      <c r="J1627" s="131"/>
      <c r="K1627" s="149" t="s">
        <v>3389</v>
      </c>
    </row>
    <row r="1628" spans="1:11" ht="28.9" customHeight="1" thickTop="1" thickBot="1" x14ac:dyDescent="0.75">
      <c r="A1628" s="10">
        <v>1626</v>
      </c>
      <c r="B1628" s="57" t="s">
        <v>3390</v>
      </c>
      <c r="C1628" s="8">
        <v>9.52</v>
      </c>
      <c r="D1628" s="9" t="s">
        <v>3391</v>
      </c>
      <c r="E1628" s="6" t="s">
        <v>186</v>
      </c>
      <c r="F1628" s="6">
        <v>2010</v>
      </c>
      <c r="G1628" s="6" t="s">
        <v>14</v>
      </c>
      <c r="H1628" s="7" t="s">
        <v>20</v>
      </c>
      <c r="I1628" s="6" t="s">
        <v>60</v>
      </c>
      <c r="J1628" s="130"/>
      <c r="K1628" s="148" t="s">
        <v>3392</v>
      </c>
    </row>
    <row r="1629" spans="1:11" ht="28.9" customHeight="1" thickTop="1" thickBot="1" x14ac:dyDescent="0.75">
      <c r="A1629" s="6">
        <v>1627</v>
      </c>
      <c r="B1629" s="58" t="s">
        <v>3393</v>
      </c>
      <c r="C1629" s="12"/>
      <c r="D1629" s="13" t="s">
        <v>3394</v>
      </c>
      <c r="E1629" s="10" t="s">
        <v>19</v>
      </c>
      <c r="F1629" s="10">
        <v>2018</v>
      </c>
      <c r="G1629" s="10" t="s">
        <v>14</v>
      </c>
      <c r="H1629" s="11" t="s">
        <v>20</v>
      </c>
      <c r="I1629" s="10" t="s">
        <v>120</v>
      </c>
      <c r="J1629" s="131"/>
      <c r="K1629" s="149" t="s">
        <v>3395</v>
      </c>
    </row>
    <row r="1630" spans="1:11" ht="28.9" customHeight="1" thickTop="1" thickBot="1" x14ac:dyDescent="0.75">
      <c r="A1630" s="10">
        <v>1628</v>
      </c>
      <c r="B1630" s="57" t="s">
        <v>3396</v>
      </c>
      <c r="C1630" s="8">
        <v>8.83</v>
      </c>
      <c r="D1630" s="9" t="s">
        <v>3397</v>
      </c>
      <c r="E1630" s="6" t="s">
        <v>186</v>
      </c>
      <c r="F1630" s="6">
        <v>2016</v>
      </c>
      <c r="G1630" s="6" t="s">
        <v>14</v>
      </c>
      <c r="H1630" s="7" t="s">
        <v>20</v>
      </c>
      <c r="I1630" s="6" t="s">
        <v>101</v>
      </c>
      <c r="J1630" s="130"/>
      <c r="K1630" s="148" t="s">
        <v>3398</v>
      </c>
    </row>
    <row r="1631" spans="1:11" ht="28.9" customHeight="1" thickTop="1" thickBot="1" x14ac:dyDescent="0.75">
      <c r="A1631" s="6">
        <v>1629</v>
      </c>
      <c r="B1631" s="58" t="s">
        <v>3399</v>
      </c>
      <c r="C1631" s="12">
        <v>8.83</v>
      </c>
      <c r="D1631" s="13" t="s">
        <v>3400</v>
      </c>
      <c r="E1631" s="10" t="s">
        <v>2437</v>
      </c>
      <c r="F1631" s="10">
        <v>2020</v>
      </c>
      <c r="G1631" s="10" t="s">
        <v>14</v>
      </c>
      <c r="H1631" s="11" t="s">
        <v>124</v>
      </c>
      <c r="I1631" s="10" t="s">
        <v>38</v>
      </c>
      <c r="J1631" s="131"/>
      <c r="K1631" s="149" t="s">
        <v>3401</v>
      </c>
    </row>
    <row r="1632" spans="1:11" ht="28.9" customHeight="1" thickTop="1" thickBot="1" x14ac:dyDescent="0.75">
      <c r="A1632" s="10">
        <v>1630</v>
      </c>
      <c r="B1632" s="59" t="s">
        <v>3402</v>
      </c>
      <c r="C1632" s="16"/>
      <c r="D1632" s="17"/>
      <c r="E1632" s="14" t="s">
        <v>19</v>
      </c>
      <c r="F1632" s="14">
        <v>2024</v>
      </c>
      <c r="G1632" s="14" t="s">
        <v>20</v>
      </c>
      <c r="H1632" s="15" t="s">
        <v>20</v>
      </c>
      <c r="I1632" s="14" t="s">
        <v>64</v>
      </c>
      <c r="J1632" s="132"/>
      <c r="K1632" s="150" t="s">
        <v>3403</v>
      </c>
    </row>
    <row r="1633" spans="1:11" ht="28.9" customHeight="1" thickTop="1" thickBot="1" x14ac:dyDescent="0.75">
      <c r="A1633" s="6">
        <v>1631</v>
      </c>
      <c r="B1633" s="58" t="s">
        <v>3404</v>
      </c>
      <c r="C1633" s="12"/>
      <c r="D1633" s="13" t="s">
        <v>3405</v>
      </c>
      <c r="E1633" s="10" t="s">
        <v>24</v>
      </c>
      <c r="F1633" s="10">
        <v>1984</v>
      </c>
      <c r="G1633" s="10" t="s">
        <v>14</v>
      </c>
      <c r="H1633" s="11" t="s">
        <v>20</v>
      </c>
      <c r="I1633" s="10" t="s">
        <v>141</v>
      </c>
      <c r="J1633" s="131"/>
      <c r="K1633" s="149" t="s">
        <v>3406</v>
      </c>
    </row>
    <row r="1634" spans="1:11" ht="28.9" customHeight="1" thickTop="1" thickBot="1" x14ac:dyDescent="0.75">
      <c r="A1634" s="10">
        <v>1632</v>
      </c>
      <c r="B1634" s="57" t="s">
        <v>3407</v>
      </c>
      <c r="C1634" s="8"/>
      <c r="D1634" s="9" t="s">
        <v>3408</v>
      </c>
      <c r="E1634" s="6" t="s">
        <v>1094</v>
      </c>
      <c r="F1634" s="6">
        <v>2021</v>
      </c>
      <c r="G1634" s="6" t="s">
        <v>14</v>
      </c>
      <c r="H1634" s="7" t="s">
        <v>20</v>
      </c>
      <c r="I1634" s="6" t="s">
        <v>345</v>
      </c>
      <c r="J1634" s="130"/>
      <c r="K1634" s="148" t="s">
        <v>3409</v>
      </c>
    </row>
    <row r="1635" spans="1:11" ht="28.9" customHeight="1" thickTop="1" thickBot="1" x14ac:dyDescent="0.75">
      <c r="A1635" s="6">
        <v>1633</v>
      </c>
      <c r="B1635" s="58" t="s">
        <v>3410</v>
      </c>
      <c r="C1635" s="12">
        <v>8</v>
      </c>
      <c r="D1635" s="13" t="s">
        <v>3411</v>
      </c>
      <c r="E1635" s="10" t="s">
        <v>13</v>
      </c>
      <c r="F1635" s="10">
        <v>2012</v>
      </c>
      <c r="G1635" s="10" t="s">
        <v>14</v>
      </c>
      <c r="H1635" s="11" t="s">
        <v>54</v>
      </c>
      <c r="I1635" s="10" t="s">
        <v>150</v>
      </c>
      <c r="J1635" s="131"/>
      <c r="K1635" s="149" t="s">
        <v>2460</v>
      </c>
    </row>
    <row r="1636" spans="1:11" ht="28.9" customHeight="1" thickTop="1" thickBot="1" x14ac:dyDescent="0.75">
      <c r="A1636" s="10">
        <v>1634</v>
      </c>
      <c r="B1636" s="59" t="s">
        <v>3412</v>
      </c>
      <c r="C1636" s="16"/>
      <c r="D1636" s="17" t="s">
        <v>3413</v>
      </c>
      <c r="E1636" s="14" t="s">
        <v>29</v>
      </c>
      <c r="F1636" s="14">
        <v>2011</v>
      </c>
      <c r="G1636" s="14" t="s">
        <v>20</v>
      </c>
      <c r="H1636" s="15" t="s">
        <v>20</v>
      </c>
      <c r="I1636" s="14" t="s">
        <v>247</v>
      </c>
      <c r="J1636" s="132"/>
      <c r="K1636" s="150" t="s">
        <v>3414</v>
      </c>
    </row>
    <row r="1637" spans="1:11" ht="28.9" customHeight="1" thickTop="1" thickBot="1" x14ac:dyDescent="0.75">
      <c r="A1637" s="6">
        <v>1635</v>
      </c>
      <c r="B1637" s="57" t="s">
        <v>3415</v>
      </c>
      <c r="C1637" s="8">
        <v>6.4</v>
      </c>
      <c r="D1637" s="9" t="s">
        <v>3416</v>
      </c>
      <c r="E1637" s="6" t="s">
        <v>13</v>
      </c>
      <c r="F1637" s="6">
        <v>2003</v>
      </c>
      <c r="G1637" s="6" t="s">
        <v>14</v>
      </c>
      <c r="H1637" s="7" t="s">
        <v>428</v>
      </c>
      <c r="I1637" s="6" t="s">
        <v>558</v>
      </c>
      <c r="J1637" s="130"/>
      <c r="K1637" s="148" t="s">
        <v>3417</v>
      </c>
    </row>
    <row r="1638" spans="1:11" ht="28.9" customHeight="1" thickTop="1" thickBot="1" x14ac:dyDescent="0.75">
      <c r="A1638" s="10">
        <v>1636</v>
      </c>
      <c r="B1638" s="58" t="s">
        <v>3418</v>
      </c>
      <c r="C1638" s="12">
        <v>9.6</v>
      </c>
      <c r="D1638" s="13" t="s">
        <v>3419</v>
      </c>
      <c r="E1638" s="10" t="s">
        <v>13</v>
      </c>
      <c r="F1638" s="10">
        <v>2014</v>
      </c>
      <c r="G1638" s="10" t="s">
        <v>14</v>
      </c>
      <c r="H1638" s="11" t="s">
        <v>54</v>
      </c>
      <c r="I1638" s="10" t="s">
        <v>242</v>
      </c>
      <c r="J1638" s="131"/>
      <c r="K1638" s="149" t="s">
        <v>3420</v>
      </c>
    </row>
    <row r="1639" spans="1:11" ht="28.9" customHeight="1" thickTop="1" thickBot="1" x14ac:dyDescent="0.75">
      <c r="A1639" s="6">
        <v>1637</v>
      </c>
      <c r="B1639" s="57" t="s">
        <v>3421</v>
      </c>
      <c r="C1639" s="8">
        <v>7.02</v>
      </c>
      <c r="D1639" s="9" t="s">
        <v>3422</v>
      </c>
      <c r="E1639" s="6" t="s">
        <v>13</v>
      </c>
      <c r="F1639" s="6">
        <v>2025</v>
      </c>
      <c r="G1639" s="6" t="s">
        <v>14</v>
      </c>
      <c r="H1639" s="7" t="s">
        <v>54</v>
      </c>
      <c r="I1639" s="6" t="s">
        <v>150</v>
      </c>
      <c r="J1639" s="130"/>
      <c r="K1639" s="148" t="s">
        <v>3423</v>
      </c>
    </row>
    <row r="1640" spans="1:11" ht="28.9" customHeight="1" thickTop="1" thickBot="1" x14ac:dyDescent="0.75">
      <c r="A1640" s="10">
        <v>1638</v>
      </c>
      <c r="B1640" s="59" t="s">
        <v>3424</v>
      </c>
      <c r="C1640" s="16"/>
      <c r="D1640" s="17" t="s">
        <v>3425</v>
      </c>
      <c r="E1640" s="14" t="s">
        <v>13</v>
      </c>
      <c r="F1640" s="14">
        <v>2024</v>
      </c>
      <c r="G1640" s="14" t="s">
        <v>20</v>
      </c>
      <c r="H1640" s="15" t="s">
        <v>1587</v>
      </c>
      <c r="I1640" s="14" t="s">
        <v>71</v>
      </c>
      <c r="J1640" s="132"/>
      <c r="K1640" s="150" t="s">
        <v>3426</v>
      </c>
    </row>
    <row r="1641" spans="1:11" ht="28.9" customHeight="1" thickTop="1" thickBot="1" x14ac:dyDescent="0.75">
      <c r="A1641" s="6">
        <v>1639</v>
      </c>
      <c r="B1641" s="57" t="s">
        <v>3427</v>
      </c>
      <c r="C1641" s="8">
        <v>4.32</v>
      </c>
      <c r="D1641" s="9" t="s">
        <v>3428</v>
      </c>
      <c r="E1641" s="6" t="s">
        <v>13</v>
      </c>
      <c r="F1641" s="6">
        <v>2017</v>
      </c>
      <c r="G1641" s="6" t="s">
        <v>14</v>
      </c>
      <c r="H1641" s="7" t="s">
        <v>428</v>
      </c>
      <c r="I1641" s="6" t="s">
        <v>329</v>
      </c>
      <c r="J1641" s="130"/>
      <c r="K1641" s="148" t="s">
        <v>3429</v>
      </c>
    </row>
    <row r="1642" spans="1:11" ht="28.9" customHeight="1" thickTop="1" thickBot="1" x14ac:dyDescent="0.75">
      <c r="A1642" s="10">
        <v>1640</v>
      </c>
      <c r="B1642" s="58" t="s">
        <v>3430</v>
      </c>
      <c r="C1642" s="12">
        <v>8.17</v>
      </c>
      <c r="D1642" s="13" t="s">
        <v>3431</v>
      </c>
      <c r="E1642" s="10" t="s">
        <v>13</v>
      </c>
      <c r="F1642" s="10">
        <v>2020</v>
      </c>
      <c r="G1642" s="10" t="s">
        <v>14</v>
      </c>
      <c r="H1642" s="11" t="s">
        <v>20</v>
      </c>
      <c r="I1642" s="10" t="s">
        <v>129</v>
      </c>
      <c r="J1642" s="131"/>
      <c r="K1642" s="149" t="s">
        <v>3432</v>
      </c>
    </row>
    <row r="1643" spans="1:11" ht="28.9" customHeight="1" thickTop="1" thickBot="1" x14ac:dyDescent="0.75">
      <c r="A1643" s="6">
        <v>1641</v>
      </c>
      <c r="B1643" s="59" t="s">
        <v>3433</v>
      </c>
      <c r="C1643" s="16"/>
      <c r="D1643" s="17" t="s">
        <v>3434</v>
      </c>
      <c r="E1643" s="14" t="s">
        <v>24</v>
      </c>
      <c r="F1643" s="14">
        <v>2024</v>
      </c>
      <c r="G1643" s="14" t="s">
        <v>20</v>
      </c>
      <c r="H1643" s="15" t="s">
        <v>519</v>
      </c>
      <c r="I1643" s="14" t="s">
        <v>71</v>
      </c>
      <c r="J1643" s="132"/>
      <c r="K1643" s="150" t="s">
        <v>3435</v>
      </c>
    </row>
    <row r="1644" spans="1:11" ht="28.9" customHeight="1" thickTop="1" thickBot="1" x14ac:dyDescent="0.75">
      <c r="A1644" s="10">
        <v>1642</v>
      </c>
      <c r="B1644" s="58" t="s">
        <v>3436</v>
      </c>
      <c r="C1644" s="12">
        <v>4.32</v>
      </c>
      <c r="D1644" s="13" t="s">
        <v>3437</v>
      </c>
      <c r="E1644" s="10" t="s">
        <v>13</v>
      </c>
      <c r="F1644" s="10">
        <v>2018</v>
      </c>
      <c r="G1644" s="10" t="s">
        <v>14</v>
      </c>
      <c r="H1644" s="11" t="s">
        <v>20</v>
      </c>
      <c r="I1644" s="10" t="s">
        <v>179</v>
      </c>
      <c r="J1644" s="131"/>
      <c r="K1644" s="149" t="s">
        <v>3438</v>
      </c>
    </row>
    <row r="1645" spans="1:11" ht="28.9" customHeight="1" thickTop="1" thickBot="1" x14ac:dyDescent="0.75">
      <c r="A1645" s="6">
        <v>1643</v>
      </c>
      <c r="B1645" s="57" t="s">
        <v>3439</v>
      </c>
      <c r="C1645" s="8">
        <v>5.64</v>
      </c>
      <c r="D1645" s="9" t="s">
        <v>3440</v>
      </c>
      <c r="E1645" s="6" t="s">
        <v>19</v>
      </c>
      <c r="F1645" s="6">
        <v>2010</v>
      </c>
      <c r="G1645" s="6" t="s">
        <v>14</v>
      </c>
      <c r="H1645" s="7" t="s">
        <v>20</v>
      </c>
      <c r="I1645" s="6" t="s">
        <v>112</v>
      </c>
      <c r="J1645" s="130"/>
      <c r="K1645" s="148" t="s">
        <v>3441</v>
      </c>
    </row>
    <row r="1646" spans="1:11" ht="28.9" customHeight="1" thickTop="1" thickBot="1" x14ac:dyDescent="0.75">
      <c r="A1646" s="10">
        <v>1644</v>
      </c>
      <c r="B1646" s="58" t="s">
        <v>3442</v>
      </c>
      <c r="C1646" s="12">
        <v>4.91</v>
      </c>
      <c r="D1646" s="13" t="s">
        <v>3443</v>
      </c>
      <c r="E1646" s="10" t="s">
        <v>13</v>
      </c>
      <c r="F1646" s="10">
        <v>2014</v>
      </c>
      <c r="G1646" s="10" t="s">
        <v>14</v>
      </c>
      <c r="H1646" s="11" t="s">
        <v>1548</v>
      </c>
      <c r="I1646" s="10" t="s">
        <v>210</v>
      </c>
      <c r="J1646" s="131"/>
      <c r="K1646" s="149" t="s">
        <v>3444</v>
      </c>
    </row>
    <row r="1647" spans="1:11" ht="28.9" customHeight="1" thickTop="1" thickBot="1" x14ac:dyDescent="0.75">
      <c r="A1647" s="6">
        <v>1645</v>
      </c>
      <c r="B1647" s="57" t="s">
        <v>3445</v>
      </c>
      <c r="C1647" s="8">
        <v>7.79</v>
      </c>
      <c r="D1647" s="9" t="s">
        <v>3446</v>
      </c>
      <c r="E1647" s="6" t="s">
        <v>24</v>
      </c>
      <c r="F1647" s="6">
        <v>2003</v>
      </c>
      <c r="G1647" s="6" t="s">
        <v>14</v>
      </c>
      <c r="H1647" s="7" t="s">
        <v>124</v>
      </c>
      <c r="I1647" s="6" t="s">
        <v>305</v>
      </c>
      <c r="J1647" s="130"/>
      <c r="K1647" s="148" t="s">
        <v>3447</v>
      </c>
    </row>
    <row r="1648" spans="1:11" ht="28.9" customHeight="1" thickTop="1" thickBot="1" x14ac:dyDescent="0.75">
      <c r="A1648" s="10">
        <v>1646</v>
      </c>
      <c r="B1648" s="58" t="s">
        <v>3448</v>
      </c>
      <c r="C1648" s="12">
        <v>8.3699999999999992</v>
      </c>
      <c r="D1648" s="13" t="s">
        <v>3449</v>
      </c>
      <c r="E1648" s="10" t="s">
        <v>19</v>
      </c>
      <c r="F1648" s="10">
        <v>2013</v>
      </c>
      <c r="G1648" s="10" t="s">
        <v>14</v>
      </c>
      <c r="H1648" s="11" t="s">
        <v>165</v>
      </c>
      <c r="I1648" s="10" t="s">
        <v>305</v>
      </c>
      <c r="J1648" s="131"/>
      <c r="K1648" s="149" t="s">
        <v>3450</v>
      </c>
    </row>
    <row r="1649" spans="1:11" ht="28.9" customHeight="1" thickTop="1" thickBot="1" x14ac:dyDescent="0.75">
      <c r="A1649" s="6">
        <v>1647</v>
      </c>
      <c r="B1649" s="57" t="s">
        <v>3451</v>
      </c>
      <c r="C1649" s="8">
        <v>8.07</v>
      </c>
      <c r="D1649" s="9" t="s">
        <v>3197</v>
      </c>
      <c r="E1649" s="6" t="s">
        <v>19</v>
      </c>
      <c r="F1649" s="6">
        <v>2011</v>
      </c>
      <c r="G1649" s="6" t="s">
        <v>14</v>
      </c>
      <c r="H1649" s="7" t="s">
        <v>20</v>
      </c>
      <c r="I1649" s="6" t="s">
        <v>85</v>
      </c>
      <c r="J1649" s="130"/>
      <c r="K1649" s="148" t="s">
        <v>3452</v>
      </c>
    </row>
    <row r="1650" spans="1:11" ht="28.9" customHeight="1" thickTop="1" thickBot="1" x14ac:dyDescent="0.75">
      <c r="A1650" s="10">
        <v>1648</v>
      </c>
      <c r="B1650" s="58" t="s">
        <v>3453</v>
      </c>
      <c r="C1650" s="12"/>
      <c r="D1650" s="13" t="s">
        <v>3454</v>
      </c>
      <c r="E1650" s="10" t="s">
        <v>19</v>
      </c>
      <c r="F1650" s="10">
        <v>2017</v>
      </c>
      <c r="G1650" s="10" t="s">
        <v>14</v>
      </c>
      <c r="H1650" s="11" t="s">
        <v>20</v>
      </c>
      <c r="I1650" s="10" t="s">
        <v>150</v>
      </c>
      <c r="J1650" s="131"/>
      <c r="K1650" s="149" t="s">
        <v>3455</v>
      </c>
    </row>
    <row r="1651" spans="1:11" ht="28.9" customHeight="1" thickTop="1" thickBot="1" x14ac:dyDescent="0.75">
      <c r="A1651" s="6">
        <v>1649</v>
      </c>
      <c r="B1651" s="57" t="s">
        <v>3456</v>
      </c>
      <c r="C1651" s="8">
        <v>8.81</v>
      </c>
      <c r="D1651" s="9" t="s">
        <v>3457</v>
      </c>
      <c r="E1651" s="6" t="s">
        <v>608</v>
      </c>
      <c r="F1651" s="6">
        <v>2007</v>
      </c>
      <c r="G1651" s="6" t="s">
        <v>14</v>
      </c>
      <c r="H1651" s="7" t="s">
        <v>20</v>
      </c>
      <c r="I1651" s="6" t="s">
        <v>3458</v>
      </c>
      <c r="J1651" s="130"/>
      <c r="K1651" s="148" t="s">
        <v>3459</v>
      </c>
    </row>
    <row r="1652" spans="1:11" ht="28.9" customHeight="1" thickTop="1" thickBot="1" x14ac:dyDescent="0.75">
      <c r="A1652" s="10">
        <v>1650</v>
      </c>
      <c r="B1652" s="58" t="s">
        <v>3460</v>
      </c>
      <c r="C1652" s="12">
        <v>8.81</v>
      </c>
      <c r="D1652" s="13" t="s">
        <v>3461</v>
      </c>
      <c r="E1652" s="10" t="s">
        <v>24</v>
      </c>
      <c r="F1652" s="10">
        <v>2015</v>
      </c>
      <c r="G1652" s="10" t="s">
        <v>14</v>
      </c>
      <c r="H1652" s="11" t="s">
        <v>124</v>
      </c>
      <c r="I1652" s="10" t="s">
        <v>305</v>
      </c>
      <c r="J1652" s="131"/>
      <c r="K1652" s="149" t="s">
        <v>3462</v>
      </c>
    </row>
    <row r="1653" spans="1:11" ht="28.9" customHeight="1" thickTop="1" thickBot="1" x14ac:dyDescent="0.75">
      <c r="A1653" s="6">
        <v>1651</v>
      </c>
      <c r="B1653" s="57" t="s">
        <v>3463</v>
      </c>
      <c r="C1653" s="8">
        <v>8.3000000000000007</v>
      </c>
      <c r="D1653" s="9" t="s">
        <v>3464</v>
      </c>
      <c r="E1653" s="6" t="s">
        <v>13</v>
      </c>
      <c r="F1653" s="6">
        <v>2018</v>
      </c>
      <c r="G1653" s="6" t="s">
        <v>14</v>
      </c>
      <c r="H1653" s="7" t="s">
        <v>20</v>
      </c>
      <c r="I1653" s="6" t="s">
        <v>116</v>
      </c>
      <c r="J1653" s="130"/>
      <c r="K1653" s="148" t="s">
        <v>3465</v>
      </c>
    </row>
    <row r="1654" spans="1:11" ht="28.9" customHeight="1" thickTop="1" thickBot="1" x14ac:dyDescent="0.75">
      <c r="A1654" s="10">
        <v>1652</v>
      </c>
      <c r="B1654" s="58" t="s">
        <v>3466</v>
      </c>
      <c r="C1654" s="12">
        <v>9.01</v>
      </c>
      <c r="D1654" s="13" t="s">
        <v>3467</v>
      </c>
      <c r="E1654" s="10" t="s">
        <v>24</v>
      </c>
      <c r="F1654" s="10">
        <v>2014</v>
      </c>
      <c r="G1654" s="10" t="s">
        <v>14</v>
      </c>
      <c r="H1654" s="11" t="s">
        <v>1452</v>
      </c>
      <c r="I1654" s="10" t="s">
        <v>109</v>
      </c>
      <c r="J1654" s="131"/>
      <c r="K1654" s="149" t="s">
        <v>3468</v>
      </c>
    </row>
    <row r="1655" spans="1:11" ht="28.9" customHeight="1" thickTop="1" thickBot="1" x14ac:dyDescent="0.75">
      <c r="A1655" s="6">
        <v>1653</v>
      </c>
      <c r="B1655" s="57" t="s">
        <v>3469</v>
      </c>
      <c r="C1655" s="8"/>
      <c r="D1655" s="9" t="s">
        <v>3470</v>
      </c>
      <c r="E1655" s="6" t="s">
        <v>24</v>
      </c>
      <c r="F1655" s="6">
        <v>2011</v>
      </c>
      <c r="G1655" s="6" t="s">
        <v>14</v>
      </c>
      <c r="H1655" s="7" t="s">
        <v>124</v>
      </c>
      <c r="I1655" s="6" t="s">
        <v>38</v>
      </c>
      <c r="J1655" s="130"/>
      <c r="K1655" s="148" t="s">
        <v>3471</v>
      </c>
    </row>
    <row r="1656" spans="1:11" ht="28.9" customHeight="1" thickTop="1" thickBot="1" x14ac:dyDescent="0.75">
      <c r="A1656" s="10">
        <v>1654</v>
      </c>
      <c r="B1656" s="58" t="s">
        <v>3472</v>
      </c>
      <c r="C1656" s="12">
        <v>9.09</v>
      </c>
      <c r="D1656" s="13" t="s">
        <v>3473</v>
      </c>
      <c r="E1656" s="10" t="s">
        <v>45</v>
      </c>
      <c r="F1656" s="10">
        <v>1996</v>
      </c>
      <c r="G1656" s="10" t="s">
        <v>14</v>
      </c>
      <c r="H1656" s="11" t="s">
        <v>20</v>
      </c>
      <c r="I1656" s="10" t="s">
        <v>175</v>
      </c>
      <c r="J1656" s="131"/>
      <c r="K1656" s="149" t="s">
        <v>3474</v>
      </c>
    </row>
    <row r="1657" spans="1:11" ht="28.9" customHeight="1" thickTop="1" thickBot="1" x14ac:dyDescent="0.75">
      <c r="A1657" s="6">
        <v>1655</v>
      </c>
      <c r="B1657" s="57" t="s">
        <v>3475</v>
      </c>
      <c r="C1657" s="8">
        <v>9.09</v>
      </c>
      <c r="D1657" s="9" t="s">
        <v>3476</v>
      </c>
      <c r="E1657" s="6" t="s">
        <v>24</v>
      </c>
      <c r="F1657" s="6">
        <v>2023</v>
      </c>
      <c r="G1657" s="6" t="s">
        <v>14</v>
      </c>
      <c r="H1657" s="7" t="s">
        <v>428</v>
      </c>
      <c r="I1657" s="6" t="s">
        <v>591</v>
      </c>
      <c r="J1657" s="130"/>
      <c r="K1657" s="148" t="s">
        <v>3477</v>
      </c>
    </row>
    <row r="1658" spans="1:11" ht="28.9" customHeight="1" thickTop="1" thickBot="1" x14ac:dyDescent="0.75">
      <c r="A1658" s="10">
        <v>1656</v>
      </c>
      <c r="B1658" s="58" t="s">
        <v>3478</v>
      </c>
      <c r="C1658" s="12">
        <v>7.46</v>
      </c>
      <c r="D1658" s="13" t="s">
        <v>3479</v>
      </c>
      <c r="E1658" s="10" t="s">
        <v>24</v>
      </c>
      <c r="F1658" s="10">
        <v>2017</v>
      </c>
      <c r="G1658" s="10" t="s">
        <v>14</v>
      </c>
      <c r="H1658" s="11" t="s">
        <v>428</v>
      </c>
      <c r="I1658" s="10" t="s">
        <v>195</v>
      </c>
      <c r="J1658" s="131"/>
      <c r="K1658" s="149" t="s">
        <v>3480</v>
      </c>
    </row>
    <row r="1659" spans="1:11" ht="28.9" customHeight="1" thickTop="1" thickBot="1" x14ac:dyDescent="0.75">
      <c r="A1659" s="6">
        <v>1657</v>
      </c>
      <c r="B1659" s="57" t="s">
        <v>3481</v>
      </c>
      <c r="C1659" s="8">
        <v>8.83</v>
      </c>
      <c r="D1659" s="9" t="s">
        <v>3482</v>
      </c>
      <c r="E1659" s="6" t="s">
        <v>29</v>
      </c>
      <c r="F1659" s="6">
        <v>2012</v>
      </c>
      <c r="G1659" s="6" t="s">
        <v>14</v>
      </c>
      <c r="H1659" s="7" t="s">
        <v>54</v>
      </c>
      <c r="I1659" s="6" t="s">
        <v>94</v>
      </c>
      <c r="J1659" s="130"/>
      <c r="K1659" s="148" t="s">
        <v>3483</v>
      </c>
    </row>
    <row r="1660" spans="1:11" ht="28.9" customHeight="1" thickTop="1" thickBot="1" x14ac:dyDescent="0.75">
      <c r="A1660" s="10">
        <v>1658</v>
      </c>
      <c r="B1660" s="58" t="s">
        <v>3484</v>
      </c>
      <c r="C1660" s="12">
        <v>7.3</v>
      </c>
      <c r="D1660" s="13" t="s">
        <v>3485</v>
      </c>
      <c r="E1660" s="10" t="s">
        <v>310</v>
      </c>
      <c r="F1660" s="10">
        <v>2014</v>
      </c>
      <c r="G1660" s="10" t="s">
        <v>14</v>
      </c>
      <c r="H1660" s="11" t="s">
        <v>91</v>
      </c>
      <c r="I1660" s="10" t="s">
        <v>205</v>
      </c>
      <c r="J1660" s="131"/>
      <c r="K1660" s="149" t="s">
        <v>3486</v>
      </c>
    </row>
    <row r="1661" spans="1:11" ht="28.9" customHeight="1" thickTop="1" thickBot="1" x14ac:dyDescent="0.75">
      <c r="A1661" s="6">
        <v>1659</v>
      </c>
      <c r="B1661" s="57" t="s">
        <v>3487</v>
      </c>
      <c r="C1661" s="8">
        <v>8.36</v>
      </c>
      <c r="D1661" s="9" t="s">
        <v>3488</v>
      </c>
      <c r="E1661" s="6" t="s">
        <v>24</v>
      </c>
      <c r="F1661" s="6">
        <v>2015</v>
      </c>
      <c r="G1661" s="6" t="s">
        <v>14</v>
      </c>
      <c r="H1661" s="7" t="s">
        <v>124</v>
      </c>
      <c r="I1661" s="6" t="s">
        <v>80</v>
      </c>
      <c r="J1661" s="130"/>
      <c r="K1661" s="148" t="s">
        <v>3489</v>
      </c>
    </row>
    <row r="1662" spans="1:11" ht="28.9" customHeight="1" thickTop="1" thickBot="1" x14ac:dyDescent="0.75">
      <c r="A1662" s="10">
        <v>1660</v>
      </c>
      <c r="B1662" s="58" t="s">
        <v>3490</v>
      </c>
      <c r="C1662" s="12">
        <v>3.32</v>
      </c>
      <c r="D1662" s="13" t="s">
        <v>3491</v>
      </c>
      <c r="E1662" s="10" t="s">
        <v>19</v>
      </c>
      <c r="F1662" s="10">
        <v>2017</v>
      </c>
      <c r="G1662" s="10" t="s">
        <v>14</v>
      </c>
      <c r="H1662" s="11" t="s">
        <v>91</v>
      </c>
      <c r="I1662" s="10" t="s">
        <v>120</v>
      </c>
      <c r="J1662" s="131"/>
      <c r="K1662" s="149" t="s">
        <v>3492</v>
      </c>
    </row>
    <row r="1663" spans="1:11" ht="28.9" customHeight="1" thickTop="1" thickBot="1" x14ac:dyDescent="0.75">
      <c r="A1663" s="6">
        <v>1661</v>
      </c>
      <c r="B1663" s="57" t="s">
        <v>3493</v>
      </c>
      <c r="C1663" s="8">
        <v>8.61</v>
      </c>
      <c r="D1663" s="9" t="s">
        <v>3494</v>
      </c>
      <c r="E1663" s="6" t="s">
        <v>24</v>
      </c>
      <c r="F1663" s="6">
        <v>2017</v>
      </c>
      <c r="G1663" s="6" t="s">
        <v>14</v>
      </c>
      <c r="H1663" s="7" t="s">
        <v>91</v>
      </c>
      <c r="I1663" s="6" t="s">
        <v>175</v>
      </c>
      <c r="J1663" s="130"/>
      <c r="K1663" s="148" t="s">
        <v>3495</v>
      </c>
    </row>
    <row r="1664" spans="1:11" ht="28.9" customHeight="1" thickTop="1" thickBot="1" x14ac:dyDescent="0.75">
      <c r="A1664" s="10">
        <v>1662</v>
      </c>
      <c r="B1664" s="59" t="s">
        <v>3496</v>
      </c>
      <c r="C1664" s="16"/>
      <c r="D1664" s="17" t="s">
        <v>3497</v>
      </c>
      <c r="E1664" s="14" t="s">
        <v>24</v>
      </c>
      <c r="F1664" s="14">
        <v>2019</v>
      </c>
      <c r="G1664" s="14" t="s">
        <v>20</v>
      </c>
      <c r="H1664" s="15" t="s">
        <v>15</v>
      </c>
      <c r="I1664" s="14" t="s">
        <v>64</v>
      </c>
      <c r="J1664" s="132"/>
      <c r="K1664" s="150" t="s">
        <v>3498</v>
      </c>
    </row>
    <row r="1665" spans="1:11" ht="28.9" customHeight="1" thickTop="1" thickBot="1" x14ac:dyDescent="0.75">
      <c r="A1665" s="6">
        <v>1663</v>
      </c>
      <c r="B1665" s="59" t="s">
        <v>3499</v>
      </c>
      <c r="C1665" s="16"/>
      <c r="D1665" s="17" t="s">
        <v>3497</v>
      </c>
      <c r="E1665" s="14" t="s">
        <v>24</v>
      </c>
      <c r="F1665" s="14">
        <v>2021</v>
      </c>
      <c r="G1665" s="14" t="s">
        <v>20</v>
      </c>
      <c r="H1665" s="15" t="s">
        <v>15</v>
      </c>
      <c r="I1665" s="14" t="s">
        <v>64</v>
      </c>
      <c r="J1665" s="132"/>
      <c r="K1665" s="150" t="s">
        <v>232</v>
      </c>
    </row>
    <row r="1666" spans="1:11" ht="28.9" customHeight="1" thickTop="1" thickBot="1" x14ac:dyDescent="0.75">
      <c r="A1666" s="10">
        <v>1664</v>
      </c>
      <c r="B1666" s="58" t="s">
        <v>3500</v>
      </c>
      <c r="C1666" s="12">
        <v>6.4</v>
      </c>
      <c r="D1666" s="13" t="s">
        <v>3501</v>
      </c>
      <c r="E1666" s="10" t="s">
        <v>136</v>
      </c>
      <c r="F1666" s="10">
        <v>2022</v>
      </c>
      <c r="G1666" s="10" t="s">
        <v>14</v>
      </c>
      <c r="H1666" s="11" t="s">
        <v>1247</v>
      </c>
      <c r="I1666" s="10" t="s">
        <v>221</v>
      </c>
      <c r="J1666" s="131"/>
      <c r="K1666" s="149" t="s">
        <v>3502</v>
      </c>
    </row>
    <row r="1667" spans="1:11" ht="28.9" customHeight="1" thickTop="1" thickBot="1" x14ac:dyDescent="0.75">
      <c r="A1667" s="6">
        <v>1665</v>
      </c>
      <c r="B1667" s="57" t="s">
        <v>3503</v>
      </c>
      <c r="C1667" s="8">
        <v>9.0299999999999994</v>
      </c>
      <c r="D1667" s="9" t="s">
        <v>3504</v>
      </c>
      <c r="E1667" s="6" t="s">
        <v>13</v>
      </c>
      <c r="F1667" s="6">
        <v>2015</v>
      </c>
      <c r="G1667" s="6" t="s">
        <v>14</v>
      </c>
      <c r="H1667" s="7" t="s">
        <v>1247</v>
      </c>
      <c r="I1667" s="6" t="s">
        <v>429</v>
      </c>
      <c r="J1667" s="130"/>
      <c r="K1667" s="148" t="s">
        <v>3505</v>
      </c>
    </row>
    <row r="1668" spans="1:11" ht="28.9" customHeight="1" thickTop="1" thickBot="1" x14ac:dyDescent="0.75">
      <c r="A1668" s="10">
        <v>1666</v>
      </c>
      <c r="B1668" s="58" t="s">
        <v>3506</v>
      </c>
      <c r="C1668" s="12">
        <v>7.16</v>
      </c>
      <c r="D1668" s="13" t="s">
        <v>3507</v>
      </c>
      <c r="E1668" s="10" t="s">
        <v>136</v>
      </c>
      <c r="F1668" s="10">
        <v>2017</v>
      </c>
      <c r="G1668" s="10" t="s">
        <v>14</v>
      </c>
      <c r="H1668" s="11" t="s">
        <v>20</v>
      </c>
      <c r="I1668" s="10" t="s">
        <v>429</v>
      </c>
      <c r="J1668" s="131"/>
      <c r="K1668" s="149" t="s">
        <v>3508</v>
      </c>
    </row>
    <row r="1669" spans="1:11" ht="28.9" customHeight="1" thickTop="1" thickBot="1" x14ac:dyDescent="0.75">
      <c r="A1669" s="6">
        <v>1667</v>
      </c>
      <c r="B1669" s="61" t="str">
        <f>HYPERLINK("https://search.naver.com/search.naver?query=서브스턴스 영화", "서브스턴스")</f>
        <v>서브스턴스</v>
      </c>
      <c r="C1669" s="8">
        <v>8.51</v>
      </c>
      <c r="D1669" s="9" t="s">
        <v>3509</v>
      </c>
      <c r="E1669" s="6" t="s">
        <v>29</v>
      </c>
      <c r="F1669" s="6">
        <v>2024</v>
      </c>
      <c r="G1669" s="6" t="s">
        <v>14</v>
      </c>
      <c r="H1669" s="7" t="s">
        <v>54</v>
      </c>
      <c r="I1669" s="6" t="s">
        <v>759</v>
      </c>
      <c r="J1669" s="130"/>
      <c r="K1669" s="148" t="s">
        <v>3510</v>
      </c>
    </row>
    <row r="1670" spans="1:11" ht="28.9" customHeight="1" thickTop="1" thickBot="1" x14ac:dyDescent="0.75">
      <c r="A1670" s="10">
        <v>1668</v>
      </c>
      <c r="B1670" s="58" t="str">
        <f>HYPERLINK("https://search.naver.com/search.naver?query=서약 영화", "서약")</f>
        <v>서약</v>
      </c>
      <c r="C1670" s="12">
        <v>8.2799999999999994</v>
      </c>
      <c r="D1670" s="13" t="s">
        <v>3511</v>
      </c>
      <c r="E1670" s="10" t="s">
        <v>24</v>
      </c>
      <c r="F1670" s="10">
        <v>2012</v>
      </c>
      <c r="G1670" s="10" t="s">
        <v>14</v>
      </c>
      <c r="H1670" s="11" t="s">
        <v>20</v>
      </c>
      <c r="I1670" s="10" t="s">
        <v>242</v>
      </c>
      <c r="J1670" s="131"/>
      <c r="K1670" s="149" t="s">
        <v>3512</v>
      </c>
    </row>
    <row r="1671" spans="1:11" ht="28.9" customHeight="1" thickTop="1" thickBot="1" x14ac:dyDescent="0.75">
      <c r="A1671" s="6">
        <v>1669</v>
      </c>
      <c r="B1671" s="57" t="str">
        <f>HYPERLINK("https://search.naver.com/search.naver?query=서울의 봄 영화", "서울의 봄")</f>
        <v>서울의 봄</v>
      </c>
      <c r="C1671" s="8">
        <v>9.39</v>
      </c>
      <c r="D1671" s="9" t="s">
        <v>3513</v>
      </c>
      <c r="E1671" s="6" t="s">
        <v>13</v>
      </c>
      <c r="F1671" s="6">
        <v>2023</v>
      </c>
      <c r="G1671" s="6" t="s">
        <v>14</v>
      </c>
      <c r="H1671" s="7" t="s">
        <v>20</v>
      </c>
      <c r="I1671" s="6" t="s">
        <v>759</v>
      </c>
      <c r="J1671" s="130"/>
      <c r="K1671" s="148" t="s">
        <v>3514</v>
      </c>
    </row>
    <row r="1672" spans="1:11" ht="28.9" customHeight="1" thickTop="1" thickBot="1" x14ac:dyDescent="0.75">
      <c r="A1672" s="10">
        <v>1670</v>
      </c>
      <c r="B1672" s="58" t="str">
        <f>HYPERLINK("https://search.naver.com/search.naver?query=서치 영화", "서치")</f>
        <v>서치</v>
      </c>
      <c r="C1672" s="12">
        <v>3.83</v>
      </c>
      <c r="D1672" s="13" t="s">
        <v>3515</v>
      </c>
      <c r="E1672" s="10" t="s">
        <v>24</v>
      </c>
      <c r="F1672" s="10">
        <v>2018</v>
      </c>
      <c r="G1672" s="10" t="s">
        <v>14</v>
      </c>
      <c r="H1672" s="11" t="s">
        <v>54</v>
      </c>
      <c r="I1672" s="10" t="s">
        <v>133</v>
      </c>
      <c r="J1672" s="131"/>
      <c r="K1672" s="149" t="s">
        <v>3516</v>
      </c>
    </row>
    <row r="1673" spans="1:11" ht="28.9" customHeight="1" thickTop="1" thickBot="1" x14ac:dyDescent="0.75">
      <c r="A1673" s="6">
        <v>1671</v>
      </c>
      <c r="B1673" s="57" t="str">
        <f>HYPERLINK("https://search.naver.com/search.naver?query=서치 2 영화", "서치 2")</f>
        <v>서치 2</v>
      </c>
      <c r="C1673" s="8">
        <v>8.2100000000000009</v>
      </c>
      <c r="D1673" s="9" t="s">
        <v>2593</v>
      </c>
      <c r="E1673" s="6" t="s">
        <v>24</v>
      </c>
      <c r="F1673" s="6">
        <v>2023</v>
      </c>
      <c r="G1673" s="6" t="s">
        <v>14</v>
      </c>
      <c r="H1673" s="7" t="s">
        <v>54</v>
      </c>
      <c r="I1673" s="6" t="s">
        <v>137</v>
      </c>
      <c r="J1673" s="130"/>
      <c r="K1673" s="148" t="s">
        <v>3517</v>
      </c>
    </row>
    <row r="1674" spans="1:11" ht="28.9" customHeight="1" thickTop="1" thickBot="1" x14ac:dyDescent="0.75">
      <c r="A1674" s="10">
        <v>1672</v>
      </c>
      <c r="B1674" s="58" t="str">
        <f>HYPERLINK("https://search.naver.com/search.naver?query=서툴지만, 사랑 영화", "서툴지만, 사랑")</f>
        <v>서툴지만, 사랑</v>
      </c>
      <c r="C1674" s="12">
        <v>8.36</v>
      </c>
      <c r="D1674" s="13" t="s">
        <v>3518</v>
      </c>
      <c r="E1674" s="10" t="s">
        <v>19</v>
      </c>
      <c r="F1674" s="10">
        <v>2015</v>
      </c>
      <c r="G1674" s="10" t="s">
        <v>14</v>
      </c>
      <c r="H1674" s="11" t="s">
        <v>165</v>
      </c>
      <c r="I1674" s="10" t="s">
        <v>60</v>
      </c>
      <c r="J1674" s="131"/>
      <c r="K1674" s="149" t="s">
        <v>3519</v>
      </c>
    </row>
    <row r="1675" spans="1:11" ht="28.9" customHeight="1" thickTop="1" thickBot="1" x14ac:dyDescent="0.75">
      <c r="A1675" s="6">
        <v>1673</v>
      </c>
      <c r="B1675" s="57" t="str">
        <f>HYPERLINK("https://search.naver.com/search.naver?query=서펀트 죽음의 협곡 영화", "서펀트 - 죽음의 협곡")</f>
        <v>서펀트 - 죽음의 협곡</v>
      </c>
      <c r="C1675" s="8"/>
      <c r="D1675" s="9" t="s">
        <v>3520</v>
      </c>
      <c r="E1675" s="6" t="s">
        <v>24</v>
      </c>
      <c r="F1675" s="6">
        <v>2017</v>
      </c>
      <c r="G1675" s="6" t="s">
        <v>14</v>
      </c>
      <c r="H1675" s="7" t="s">
        <v>54</v>
      </c>
      <c r="I1675" s="6" t="s">
        <v>150</v>
      </c>
      <c r="J1675" s="130"/>
      <c r="K1675" s="148" t="s">
        <v>3521</v>
      </c>
    </row>
    <row r="1676" spans="1:11" ht="28.9" customHeight="1" thickTop="1" thickBot="1" x14ac:dyDescent="0.75">
      <c r="A1676" s="10">
        <v>1674</v>
      </c>
      <c r="B1676" s="58" t="str">
        <f>HYPERLINK("https://search.naver.com/search.naver?query=서프러제트 영화", "서프러제트")</f>
        <v>서프러제트</v>
      </c>
      <c r="C1676" s="12">
        <v>9.07</v>
      </c>
      <c r="D1676" s="13" t="s">
        <v>3522</v>
      </c>
      <c r="E1676" s="10" t="s">
        <v>29</v>
      </c>
      <c r="F1676" s="10">
        <v>2015</v>
      </c>
      <c r="G1676" s="10" t="s">
        <v>14</v>
      </c>
      <c r="H1676" s="11" t="s">
        <v>20</v>
      </c>
      <c r="I1676" s="10" t="s">
        <v>443</v>
      </c>
      <c r="J1676" s="131"/>
      <c r="K1676" s="149" t="s">
        <v>3523</v>
      </c>
    </row>
    <row r="1677" spans="1:11" ht="28.9" customHeight="1" thickTop="1" thickBot="1" x14ac:dyDescent="0.75">
      <c r="A1677" s="6">
        <v>1675</v>
      </c>
      <c r="B1677" s="59" t="str">
        <f>HYPERLINK("https://search.naver.com/search.naver?query=석세션 시즌1", "석세션 시즌1")</f>
        <v>석세션 시즌1</v>
      </c>
      <c r="C1677" s="16"/>
      <c r="D1677" s="17" t="s">
        <v>3524</v>
      </c>
      <c r="E1677" s="14" t="s">
        <v>24</v>
      </c>
      <c r="F1677" s="14">
        <v>2018</v>
      </c>
      <c r="G1677" s="14" t="s">
        <v>20</v>
      </c>
      <c r="H1677" s="15" t="s">
        <v>20</v>
      </c>
      <c r="I1677" s="14" t="s">
        <v>64</v>
      </c>
      <c r="J1677" s="132"/>
      <c r="K1677" s="150" t="s">
        <v>3525</v>
      </c>
    </row>
    <row r="1678" spans="1:11" ht="28.9" customHeight="1" thickTop="1" thickBot="1" x14ac:dyDescent="0.75">
      <c r="A1678" s="10">
        <v>1676</v>
      </c>
      <c r="B1678" s="59" t="str">
        <f>HYPERLINK("https://search.naver.com/search.naver?query=석세션 시즌2", "석세션 시즌2")</f>
        <v>석세션 시즌2</v>
      </c>
      <c r="C1678" s="16"/>
      <c r="D1678" s="17" t="s">
        <v>3524</v>
      </c>
      <c r="E1678" s="14" t="s">
        <v>24</v>
      </c>
      <c r="F1678" s="14">
        <v>2019</v>
      </c>
      <c r="G1678" s="14" t="s">
        <v>20</v>
      </c>
      <c r="H1678" s="15" t="s">
        <v>20</v>
      </c>
      <c r="I1678" s="14" t="s">
        <v>64</v>
      </c>
      <c r="J1678" s="132"/>
      <c r="K1678" s="150" t="s">
        <v>3526</v>
      </c>
    </row>
    <row r="1679" spans="1:11" ht="28.9" customHeight="1" thickTop="1" thickBot="1" x14ac:dyDescent="0.75">
      <c r="A1679" s="6">
        <v>1677</v>
      </c>
      <c r="B1679" s="59" t="str">
        <f>HYPERLINK("https://search.naver.com/search.naver?query=석세션 시즌3", "석세션 시즌3")</f>
        <v>석세션 시즌3</v>
      </c>
      <c r="C1679" s="16"/>
      <c r="D1679" s="17" t="s">
        <v>3524</v>
      </c>
      <c r="E1679" s="14" t="s">
        <v>24</v>
      </c>
      <c r="F1679" s="14">
        <v>2021</v>
      </c>
      <c r="G1679" s="14" t="s">
        <v>20</v>
      </c>
      <c r="H1679" s="15" t="s">
        <v>20</v>
      </c>
      <c r="I1679" s="14" t="s">
        <v>364</v>
      </c>
      <c r="J1679" s="132"/>
      <c r="K1679" s="150" t="s">
        <v>3527</v>
      </c>
    </row>
    <row r="1680" spans="1:11" ht="28.9" customHeight="1" thickTop="1" thickBot="1" x14ac:dyDescent="0.75">
      <c r="A1680" s="10">
        <v>1678</v>
      </c>
      <c r="B1680" s="59" t="str">
        <f>HYPERLINK("https://search.naver.com/search.naver?query=선산", "선산")</f>
        <v>선산</v>
      </c>
      <c r="C1680" s="16"/>
      <c r="D1680" s="17" t="s">
        <v>3528</v>
      </c>
      <c r="E1680" s="14" t="s">
        <v>13</v>
      </c>
      <c r="F1680" s="14">
        <v>2024</v>
      </c>
      <c r="G1680" s="14" t="s">
        <v>20</v>
      </c>
      <c r="H1680" s="15" t="s">
        <v>15</v>
      </c>
      <c r="I1680" s="14" t="s">
        <v>247</v>
      </c>
      <c r="J1680" s="132"/>
      <c r="K1680" s="150" t="s">
        <v>3529</v>
      </c>
    </row>
    <row r="1681" spans="1:11" ht="28.9" customHeight="1" thickTop="1" thickBot="1" x14ac:dyDescent="0.75">
      <c r="A1681" s="6">
        <v>1679</v>
      </c>
      <c r="B1681" s="57" t="str">
        <f>HYPERLINK("https://search.naver.com/search.naver?query=선생님 내 옆에 앉아줄래요", "선생님, 내 옆에 앉아줄래요")</f>
        <v>선생님, 내 옆에 앉아줄래요</v>
      </c>
      <c r="C1681" s="8">
        <v>6.4</v>
      </c>
      <c r="D1681" s="9" t="s">
        <v>3530</v>
      </c>
      <c r="E1681" s="6" t="s">
        <v>19</v>
      </c>
      <c r="F1681" s="6">
        <v>2021</v>
      </c>
      <c r="G1681" s="6" t="s">
        <v>14</v>
      </c>
      <c r="H1681" s="7" t="s">
        <v>91</v>
      </c>
      <c r="I1681" s="6" t="s">
        <v>68</v>
      </c>
      <c r="J1681" s="130"/>
      <c r="K1681" s="148" t="s">
        <v>3531</v>
      </c>
    </row>
    <row r="1682" spans="1:11" ht="28.9" customHeight="1" thickTop="1" thickBot="1" x14ac:dyDescent="0.75">
      <c r="A1682" s="10">
        <v>1680</v>
      </c>
      <c r="B1682" s="58" t="str">
        <f>HYPERLINK("https://search.naver.com/search.naver?query=설계 영화", "설계")</f>
        <v>설계</v>
      </c>
      <c r="C1682" s="12">
        <v>5.9</v>
      </c>
      <c r="D1682" s="13" t="s">
        <v>3532</v>
      </c>
      <c r="E1682" s="10" t="s">
        <v>13</v>
      </c>
      <c r="F1682" s="10">
        <v>2014</v>
      </c>
      <c r="G1682" s="10" t="s">
        <v>14</v>
      </c>
      <c r="H1682" s="11" t="s">
        <v>54</v>
      </c>
      <c r="I1682" s="10" t="s">
        <v>150</v>
      </c>
      <c r="J1682" s="131"/>
      <c r="K1682" s="149" t="s">
        <v>3533</v>
      </c>
    </row>
    <row r="1683" spans="1:11" ht="28.9" customHeight="1" thickTop="1" thickBot="1" x14ac:dyDescent="0.75">
      <c r="A1683" s="6">
        <v>1681</v>
      </c>
      <c r="B1683" s="57" t="str">
        <f>HYPERLINK("https://search.naver.com/search.naver?query=설국열차 영화", "설국열차")</f>
        <v>설국열차</v>
      </c>
      <c r="C1683" s="8">
        <v>8.23</v>
      </c>
      <c r="D1683" s="9" t="s">
        <v>3534</v>
      </c>
      <c r="E1683" s="6" t="s">
        <v>13</v>
      </c>
      <c r="F1683" s="6">
        <v>2013</v>
      </c>
      <c r="G1683" s="6" t="s">
        <v>14</v>
      </c>
      <c r="H1683" s="7" t="s">
        <v>877</v>
      </c>
      <c r="I1683" s="6" t="s">
        <v>105</v>
      </c>
      <c r="J1683" s="130"/>
      <c r="K1683" s="148" t="s">
        <v>3535</v>
      </c>
    </row>
    <row r="1684" spans="1:11" ht="28.9" customHeight="1" thickTop="1" thickBot="1" x14ac:dyDescent="0.75">
      <c r="A1684" s="10">
        <v>1682</v>
      </c>
      <c r="B1684" s="58" t="str">
        <f>HYPERLINK("https://search.naver.com/search.naver?query=설리 허드슨강의 기적 영화", "설리 - 허드슨강의 기적")</f>
        <v>설리 - 허드슨강의 기적</v>
      </c>
      <c r="C1684" s="12">
        <v>8.92</v>
      </c>
      <c r="D1684" s="13" t="s">
        <v>3536</v>
      </c>
      <c r="E1684" s="10" t="s">
        <v>24</v>
      </c>
      <c r="F1684" s="10">
        <v>2016</v>
      </c>
      <c r="G1684" s="10" t="s">
        <v>14</v>
      </c>
      <c r="H1684" s="11" t="s">
        <v>20</v>
      </c>
      <c r="I1684" s="10" t="s">
        <v>80</v>
      </c>
      <c r="J1684" s="131"/>
      <c r="K1684" s="149" t="s">
        <v>3537</v>
      </c>
    </row>
    <row r="1685" spans="1:11" ht="28.9" customHeight="1" thickTop="1" thickBot="1" x14ac:dyDescent="0.75">
      <c r="A1685" s="6">
        <v>1683</v>
      </c>
      <c r="B1685" s="57" t="str">
        <f>HYPERLINK("https://search.naver.com/search.naver?query=섬 사라진 사람들 영화", "섬 사라진 사람들")</f>
        <v>섬 사라진 사람들</v>
      </c>
      <c r="C1685" s="8">
        <v>7.89</v>
      </c>
      <c r="D1685" s="9" t="s">
        <v>3538</v>
      </c>
      <c r="E1685" s="6" t="s">
        <v>13</v>
      </c>
      <c r="F1685" s="6">
        <v>2015</v>
      </c>
      <c r="G1685" s="6" t="s">
        <v>14</v>
      </c>
      <c r="H1685" s="7" t="s">
        <v>20</v>
      </c>
      <c r="I1685" s="6" t="s">
        <v>150</v>
      </c>
      <c r="J1685" s="130"/>
      <c r="K1685" s="148" t="s">
        <v>3539</v>
      </c>
    </row>
    <row r="1686" spans="1:11" ht="28.9" customHeight="1" thickTop="1" thickBot="1" x14ac:dyDescent="0.75">
      <c r="A1686" s="10">
        <v>1684</v>
      </c>
      <c r="B1686" s="58" t="str">
        <f>HYPERLINK("https://search.naver.com/search.naver?query=성난 군중으로부터 멀리 영화", "성난 군중으로부터 멀리")</f>
        <v>성난 군중으로부터 멀리</v>
      </c>
      <c r="C1686" s="12">
        <v>6.4</v>
      </c>
      <c r="D1686" s="13" t="s">
        <v>3540</v>
      </c>
      <c r="E1686" s="10" t="s">
        <v>29</v>
      </c>
      <c r="F1686" s="10">
        <v>2015</v>
      </c>
      <c r="G1686" s="10" t="s">
        <v>14</v>
      </c>
      <c r="H1686" s="11" t="s">
        <v>20</v>
      </c>
      <c r="I1686" s="10" t="s">
        <v>68</v>
      </c>
      <c r="J1686" s="131"/>
      <c r="K1686" s="149" t="s">
        <v>3541</v>
      </c>
    </row>
    <row r="1687" spans="1:11" ht="28.9" customHeight="1" thickTop="1" thickBot="1" x14ac:dyDescent="0.75">
      <c r="A1687" s="6">
        <v>1685</v>
      </c>
      <c r="B1687" s="57" t="str">
        <f>HYPERLINK("https://search.naver.com/search.naver?query=성난 변호사 영화", "성난 변호사")</f>
        <v>성난 변호사</v>
      </c>
      <c r="C1687" s="8">
        <v>8.48</v>
      </c>
      <c r="D1687" s="9" t="s">
        <v>3542</v>
      </c>
      <c r="E1687" s="6" t="s">
        <v>13</v>
      </c>
      <c r="F1687" s="6">
        <v>2015</v>
      </c>
      <c r="G1687" s="6" t="s">
        <v>14</v>
      </c>
      <c r="H1687" s="7" t="s">
        <v>20</v>
      </c>
      <c r="I1687" s="6" t="s">
        <v>150</v>
      </c>
      <c r="J1687" s="130"/>
      <c r="K1687" s="148" t="s">
        <v>3543</v>
      </c>
    </row>
    <row r="1688" spans="1:11" ht="28.9" customHeight="1" thickTop="1" thickBot="1" x14ac:dyDescent="0.75">
      <c r="A1688" s="10">
        <v>1686</v>
      </c>
      <c r="B1688" s="58" t="str">
        <f>HYPERLINK("https://search.naver.com/search.naver?query=성난황소 영화", "성난황소")</f>
        <v>성난황소</v>
      </c>
      <c r="C1688" s="12">
        <v>8.66</v>
      </c>
      <c r="D1688" s="13" t="s">
        <v>3544</v>
      </c>
      <c r="E1688" s="10" t="s">
        <v>13</v>
      </c>
      <c r="F1688" s="10">
        <v>2018</v>
      </c>
      <c r="G1688" s="10" t="s">
        <v>14</v>
      </c>
      <c r="H1688" s="11" t="s">
        <v>124</v>
      </c>
      <c r="I1688" s="10" t="s">
        <v>60</v>
      </c>
      <c r="J1688" s="131"/>
      <c r="K1688" s="149" t="s">
        <v>3545</v>
      </c>
    </row>
    <row r="1689" spans="1:11" ht="28.9" customHeight="1" thickTop="1" thickBot="1" x14ac:dyDescent="0.75">
      <c r="A1689" s="6">
        <v>1687</v>
      </c>
      <c r="B1689" s="57" t="str">
        <f>HYPERLINK("https://search.naver.com/search.naver?query=세 도시 이야기 영화", "세 도시 이야기")</f>
        <v>세 도시 이야기</v>
      </c>
      <c r="C1689" s="8"/>
      <c r="D1689" s="9" t="s">
        <v>3546</v>
      </c>
      <c r="E1689" s="6" t="s">
        <v>13</v>
      </c>
      <c r="F1689" s="6">
        <v>2015</v>
      </c>
      <c r="G1689" s="6" t="s">
        <v>14</v>
      </c>
      <c r="H1689" s="7" t="s">
        <v>20</v>
      </c>
      <c r="I1689" s="6" t="s">
        <v>150</v>
      </c>
      <c r="J1689" s="130"/>
      <c r="K1689" s="148" t="s">
        <v>3547</v>
      </c>
    </row>
    <row r="1690" spans="1:11" ht="28.9" customHeight="1" thickTop="1" thickBot="1" x14ac:dyDescent="0.75">
      <c r="A1690" s="10">
        <v>1688</v>
      </c>
      <c r="B1690" s="58" t="str">
        <f>HYPERLINK("https://search.naver.com/search.naver?query=세 번째 살인 영화", "세 번째 살인")</f>
        <v>세 번째 살인</v>
      </c>
      <c r="C1690" s="12">
        <v>8.2200000000000006</v>
      </c>
      <c r="D1690" s="13" t="s">
        <v>3548</v>
      </c>
      <c r="E1690" s="10" t="s">
        <v>19</v>
      </c>
      <c r="F1690" s="10">
        <v>2017</v>
      </c>
      <c r="G1690" s="10" t="s">
        <v>14</v>
      </c>
      <c r="H1690" s="11" t="s">
        <v>428</v>
      </c>
      <c r="I1690" s="10" t="s">
        <v>183</v>
      </c>
      <c r="J1690" s="131"/>
      <c r="K1690" s="149" t="s">
        <v>3549</v>
      </c>
    </row>
    <row r="1691" spans="1:11" ht="28.9" customHeight="1" thickTop="1" thickBot="1" x14ac:dyDescent="0.75">
      <c r="A1691" s="6">
        <v>1689</v>
      </c>
      <c r="B1691" s="57" t="str">
        <f>HYPERLINK("https://search.naver.com/search.naver?query=세 얼간이 영화", "세 얼간이")</f>
        <v>세 얼간이</v>
      </c>
      <c r="C1691" s="8">
        <v>9.35</v>
      </c>
      <c r="D1691" s="9" t="s">
        <v>3550</v>
      </c>
      <c r="E1691" s="6" t="s">
        <v>581</v>
      </c>
      <c r="F1691" s="6">
        <v>2009</v>
      </c>
      <c r="G1691" s="6" t="s">
        <v>14</v>
      </c>
      <c r="H1691" s="7" t="s">
        <v>91</v>
      </c>
      <c r="I1691" s="6" t="s">
        <v>2946</v>
      </c>
      <c r="J1691" s="130"/>
      <c r="K1691" s="148" t="s">
        <v>3551</v>
      </c>
    </row>
    <row r="1692" spans="1:11" ht="28.9" customHeight="1" thickTop="1" thickBot="1" x14ac:dyDescent="0.75">
      <c r="A1692" s="10">
        <v>1690</v>
      </c>
      <c r="B1692" s="58" t="str">
        <f>HYPERLINK("https://search.naver.com/search.naver?query=세기의 매치 영화", "세기의 매치")</f>
        <v>세기의 매치</v>
      </c>
      <c r="C1692" s="12">
        <v>7.97</v>
      </c>
      <c r="D1692" s="13" t="s">
        <v>3552</v>
      </c>
      <c r="E1692" s="10" t="s">
        <v>24</v>
      </c>
      <c r="F1692" s="10">
        <v>2014</v>
      </c>
      <c r="G1692" s="10" t="s">
        <v>14</v>
      </c>
      <c r="H1692" s="11" t="s">
        <v>20</v>
      </c>
      <c r="I1692" s="10" t="s">
        <v>60</v>
      </c>
      <c r="J1692" s="131"/>
      <c r="K1692" s="149" t="s">
        <v>3553</v>
      </c>
    </row>
    <row r="1693" spans="1:11" ht="28.9" customHeight="1" thickTop="1" thickBot="1" x14ac:dyDescent="0.75">
      <c r="A1693" s="6">
        <v>1691</v>
      </c>
      <c r="B1693" s="57" t="str">
        <f>HYPERLINK("https://search.naver.com/search.naver?query=세레나 영화", "세레나")</f>
        <v>세레나</v>
      </c>
      <c r="C1693" s="8">
        <v>5.44</v>
      </c>
      <c r="D1693" s="9" t="s">
        <v>3554</v>
      </c>
      <c r="E1693" s="6" t="s">
        <v>24</v>
      </c>
      <c r="F1693" s="6">
        <v>2014</v>
      </c>
      <c r="G1693" s="6" t="s">
        <v>14</v>
      </c>
      <c r="H1693" s="7" t="s">
        <v>20</v>
      </c>
      <c r="I1693" s="6" t="s">
        <v>187</v>
      </c>
      <c r="J1693" s="130"/>
      <c r="K1693" s="148" t="s">
        <v>3555</v>
      </c>
    </row>
    <row r="1694" spans="1:11" ht="28.9" customHeight="1" thickTop="1" thickBot="1" x14ac:dyDescent="0.75">
      <c r="A1694" s="10">
        <v>1692</v>
      </c>
      <c r="B1694" s="58" t="str">
        <f>HYPERLINK("https://search.naver.com/search.naver?query=세레니티 영화", "세레니티")</f>
        <v>세레니티</v>
      </c>
      <c r="C1694" s="12"/>
      <c r="D1694" s="13" t="s">
        <v>3556</v>
      </c>
      <c r="E1694" s="10" t="s">
        <v>24</v>
      </c>
      <c r="F1694" s="10">
        <v>2019</v>
      </c>
      <c r="G1694" s="10" t="s">
        <v>14</v>
      </c>
      <c r="H1694" s="11" t="s">
        <v>54</v>
      </c>
      <c r="I1694" s="10" t="s">
        <v>443</v>
      </c>
      <c r="J1694" s="131"/>
      <c r="K1694" s="149" t="s">
        <v>3557</v>
      </c>
    </row>
    <row r="1695" spans="1:11" ht="28.9" customHeight="1" thickTop="1" thickBot="1" x14ac:dyDescent="0.75">
      <c r="A1695" s="6">
        <v>1693</v>
      </c>
      <c r="B1695" s="57" t="str">
        <f>HYPERLINK("https://search.naver.com/search.naver?query=세렌디피티 영화", "세렌디피티")</f>
        <v>세렌디피티</v>
      </c>
      <c r="C1695" s="8">
        <v>7.96</v>
      </c>
      <c r="D1695" s="9" t="s">
        <v>3558</v>
      </c>
      <c r="E1695" s="6" t="s">
        <v>24</v>
      </c>
      <c r="F1695" s="6">
        <v>2001</v>
      </c>
      <c r="G1695" s="6" t="s">
        <v>14</v>
      </c>
      <c r="H1695" s="7" t="s">
        <v>165</v>
      </c>
      <c r="I1695" s="6" t="s">
        <v>156</v>
      </c>
      <c r="J1695" s="130"/>
      <c r="K1695" s="148" t="s">
        <v>3559</v>
      </c>
    </row>
    <row r="1696" spans="1:11" ht="28.9" customHeight="1" thickTop="1" thickBot="1" x14ac:dyDescent="0.75">
      <c r="A1696" s="10">
        <v>1694</v>
      </c>
      <c r="B1696" s="58" t="str">
        <f>HYPERLINK("https://search.naver.com/search.naver?query=세번째 사랑 영화", "세번째 사랑")</f>
        <v>세번째 사랑</v>
      </c>
      <c r="C1696" s="12">
        <v>8.16</v>
      </c>
      <c r="D1696" s="13" t="s">
        <v>3560</v>
      </c>
      <c r="E1696" s="10" t="s">
        <v>275</v>
      </c>
      <c r="F1696" s="10">
        <v>2012</v>
      </c>
      <c r="G1696" s="10" t="s">
        <v>14</v>
      </c>
      <c r="H1696" s="11" t="s">
        <v>165</v>
      </c>
      <c r="I1696" s="10" t="s">
        <v>917</v>
      </c>
      <c r="J1696" s="131"/>
      <c r="K1696" s="149" t="s">
        <v>3561</v>
      </c>
    </row>
    <row r="1697" spans="1:11" ht="28.9" customHeight="1" thickTop="1" thickBot="1" x14ac:dyDescent="0.75">
      <c r="A1697" s="6">
        <v>1695</v>
      </c>
      <c r="B1697" s="57" t="str">
        <f>HYPERLINK("https://search.naver.com/search.naver?query=세븐 데이즈 영화", "세븐 데이즈")</f>
        <v>세븐 데이즈</v>
      </c>
      <c r="C1697" s="8">
        <v>9.0500000000000007</v>
      </c>
      <c r="D1697" s="9"/>
      <c r="E1697" s="6" t="s">
        <v>24</v>
      </c>
      <c r="F1697" s="6">
        <v>2007</v>
      </c>
      <c r="G1697" s="6" t="s">
        <v>14</v>
      </c>
      <c r="H1697" s="7" t="s">
        <v>54</v>
      </c>
      <c r="I1697" s="6" t="s">
        <v>150</v>
      </c>
      <c r="J1697" s="130"/>
      <c r="K1697" s="148" t="s">
        <v>3562</v>
      </c>
    </row>
    <row r="1698" spans="1:11" ht="28.9" customHeight="1" thickTop="1" thickBot="1" x14ac:dyDescent="0.75">
      <c r="A1698" s="10">
        <v>1696</v>
      </c>
      <c r="B1698" s="58" t="str">
        <f>HYPERLINK("https://search.naver.com/search.naver?query=세상에서 가장 아름다운 이별 영화", "세상에서 가장 아름다운 이별")</f>
        <v>세상에서 가장 아름다운 이별</v>
      </c>
      <c r="C1698" s="12">
        <v>9.2799999999999994</v>
      </c>
      <c r="D1698" s="13" t="s">
        <v>3563</v>
      </c>
      <c r="E1698" s="10" t="s">
        <v>13</v>
      </c>
      <c r="F1698" s="10">
        <v>2011</v>
      </c>
      <c r="G1698" s="10" t="s">
        <v>14</v>
      </c>
      <c r="H1698" s="11" t="s">
        <v>20</v>
      </c>
      <c r="I1698" s="10" t="s">
        <v>150</v>
      </c>
      <c r="J1698" s="131"/>
      <c r="K1698" s="149" t="s">
        <v>3564</v>
      </c>
    </row>
    <row r="1699" spans="1:11" ht="28.9" customHeight="1" thickTop="1" thickBot="1" x14ac:dyDescent="0.75">
      <c r="A1699" s="6">
        <v>1697</v>
      </c>
      <c r="B1699" s="57" t="str">
        <f>HYPERLINK("https://search.naver.com/search.naver?query=세상에서 고양이가 사라진다면 영화", "세상에서 고양이가 사라진다면")</f>
        <v>세상에서 고양이가 사라진다면</v>
      </c>
      <c r="C1699" s="8">
        <v>8.7200000000000006</v>
      </c>
      <c r="D1699" s="9" t="s">
        <v>3565</v>
      </c>
      <c r="E1699" s="6" t="s">
        <v>19</v>
      </c>
      <c r="F1699" s="6">
        <v>2016</v>
      </c>
      <c r="G1699" s="6" t="s">
        <v>14</v>
      </c>
      <c r="H1699" s="7" t="s">
        <v>20</v>
      </c>
      <c r="I1699" s="6" t="s">
        <v>276</v>
      </c>
      <c r="J1699" s="130"/>
      <c r="K1699" s="148" t="s">
        <v>3566</v>
      </c>
    </row>
    <row r="1700" spans="1:11" ht="28.9" customHeight="1" thickTop="1" thickBot="1" x14ac:dyDescent="0.75">
      <c r="A1700" s="10">
        <v>1698</v>
      </c>
      <c r="B1700" s="58" t="str">
        <f>HYPERLINK("https://search.naver.com/search.naver?query=세상을 바꾼 변호인 영화", "세상을 바꾼 변호인")</f>
        <v>세상을 바꾼 변호인</v>
      </c>
      <c r="C1700" s="12">
        <v>9.19</v>
      </c>
      <c r="D1700" s="13" t="s">
        <v>3567</v>
      </c>
      <c r="E1700" s="10" t="s">
        <v>24</v>
      </c>
      <c r="F1700" s="10">
        <v>2019</v>
      </c>
      <c r="G1700" s="10" t="s">
        <v>14</v>
      </c>
      <c r="H1700" s="11" t="s">
        <v>20</v>
      </c>
      <c r="I1700" s="10" t="s">
        <v>116</v>
      </c>
      <c r="J1700" s="131"/>
      <c r="K1700" s="149" t="s">
        <v>3568</v>
      </c>
    </row>
    <row r="1701" spans="1:11" ht="28.9" customHeight="1" thickTop="1" thickBot="1" x14ac:dyDescent="0.75">
      <c r="A1701" s="6">
        <v>1699</v>
      </c>
      <c r="B1701" s="57" t="str">
        <f>HYPERLINK("https://search.naver.com/search.naver?query=세상의 끝까지 21일 영화", "세상의 끝까지 21일")</f>
        <v>세상의 끝까지 21일</v>
      </c>
      <c r="C1701" s="8">
        <v>8.14</v>
      </c>
      <c r="D1701" s="9" t="s">
        <v>3569</v>
      </c>
      <c r="E1701" s="6" t="s">
        <v>24</v>
      </c>
      <c r="F1701" s="6">
        <v>2013</v>
      </c>
      <c r="G1701" s="6" t="s">
        <v>14</v>
      </c>
      <c r="H1701" s="7" t="s">
        <v>91</v>
      </c>
      <c r="I1701" s="6" t="s">
        <v>94</v>
      </c>
      <c r="J1701" s="130"/>
      <c r="K1701" s="148" t="s">
        <v>3570</v>
      </c>
    </row>
    <row r="1702" spans="1:11" ht="28.9" customHeight="1" thickTop="1" thickBot="1" x14ac:dyDescent="0.75">
      <c r="A1702" s="10">
        <v>1700</v>
      </c>
      <c r="B1702" s="58" t="str">
        <f>HYPERLINK("https://search.naver.com/search.naver?query=세상의 끝에서 커피 한 잔 영화", "세상의 끝에서 커피 한 잔")</f>
        <v>세상의 끝에서 커피 한 잔</v>
      </c>
      <c r="C1702" s="12">
        <v>8.66</v>
      </c>
      <c r="D1702" s="13" t="s">
        <v>3571</v>
      </c>
      <c r="E1702" s="10" t="s">
        <v>19</v>
      </c>
      <c r="F1702" s="10">
        <v>2014</v>
      </c>
      <c r="G1702" s="10" t="s">
        <v>14</v>
      </c>
      <c r="H1702" s="11" t="s">
        <v>20</v>
      </c>
      <c r="I1702" s="10" t="s">
        <v>150</v>
      </c>
      <c r="J1702" s="131"/>
      <c r="K1702" s="149" t="s">
        <v>3572</v>
      </c>
    </row>
    <row r="1703" spans="1:11" ht="28.9" customHeight="1" thickTop="1" thickBot="1" x14ac:dyDescent="0.75">
      <c r="A1703" s="6">
        <v>1701</v>
      </c>
      <c r="B1703" s="57" t="str">
        <f>HYPERLINK("https://search.naver.com/search.naver?query=세상의 모든 디저트 러브 사라 영화", "세상의 모든 디저트-러브 사라")</f>
        <v>세상의 모든 디저트-러브 사라</v>
      </c>
      <c r="C1703" s="8">
        <v>3</v>
      </c>
      <c r="D1703" s="9" t="s">
        <v>3573</v>
      </c>
      <c r="E1703" s="6" t="s">
        <v>29</v>
      </c>
      <c r="F1703" s="6">
        <v>2020</v>
      </c>
      <c r="G1703" s="6" t="s">
        <v>14</v>
      </c>
      <c r="H1703" s="7" t="s">
        <v>20</v>
      </c>
      <c r="I1703" s="6" t="s">
        <v>179</v>
      </c>
      <c r="J1703" s="130"/>
      <c r="K1703" s="148" t="s">
        <v>3574</v>
      </c>
    </row>
    <row r="1704" spans="1:11" ht="28.9" customHeight="1" thickTop="1" thickBot="1" x14ac:dyDescent="0.75">
      <c r="A1704" s="10">
        <v>1702</v>
      </c>
      <c r="B1704" s="58" t="str">
        <f>HYPERLINK("https://search.naver.com/search.naver?query=세션 이 남자가 사랑하는 법 영화", "세션 - 이 남자가 사랑하는 법")</f>
        <v>세션 - 이 남자가 사랑하는 법</v>
      </c>
      <c r="C1704" s="12">
        <v>6.4</v>
      </c>
      <c r="D1704" s="13" t="s">
        <v>3575</v>
      </c>
      <c r="E1704" s="10" t="s">
        <v>24</v>
      </c>
      <c r="F1704" s="10">
        <v>2012</v>
      </c>
      <c r="G1704" s="10" t="s">
        <v>14</v>
      </c>
      <c r="H1704" s="11" t="s">
        <v>20</v>
      </c>
      <c r="I1704" s="10" t="s">
        <v>150</v>
      </c>
      <c r="J1704" s="131"/>
      <c r="K1704" s="149" t="s">
        <v>3576</v>
      </c>
    </row>
    <row r="1705" spans="1:11" ht="28.9" customHeight="1" thickTop="1" thickBot="1" x14ac:dyDescent="0.75">
      <c r="A1705" s="6">
        <v>1703</v>
      </c>
      <c r="B1705" s="57" t="str">
        <f>HYPERLINK("https://search.naver.com/search.naver?query=세이브 어 라이프 영화", "세이브 어 라이프")</f>
        <v>세이브 어 라이프</v>
      </c>
      <c r="C1705" s="8">
        <v>8.9</v>
      </c>
      <c r="D1705" s="9" t="s">
        <v>3577</v>
      </c>
      <c r="E1705" s="6" t="s">
        <v>24</v>
      </c>
      <c r="F1705" s="6">
        <v>2010</v>
      </c>
      <c r="G1705" s="6" t="s">
        <v>14</v>
      </c>
      <c r="H1705" s="7" t="s">
        <v>20</v>
      </c>
      <c r="I1705" s="6" t="s">
        <v>116</v>
      </c>
      <c r="J1705" s="130"/>
      <c r="K1705" s="148" t="s">
        <v>3578</v>
      </c>
    </row>
    <row r="1706" spans="1:11" ht="28.9" customHeight="1" thickTop="1" thickBot="1" x14ac:dyDescent="0.75">
      <c r="A1706" s="10">
        <v>1704</v>
      </c>
      <c r="B1706" s="58" t="str">
        <f>HYPERLINK("https://search.naver.com/search.naver?query=세이빙 MR.뱅크스 영화", "세이빙 MR.뱅크스")</f>
        <v>세이빙 MR.뱅크스</v>
      </c>
      <c r="C1706" s="12">
        <v>8.5299999999999994</v>
      </c>
      <c r="D1706" s="13" t="s">
        <v>3579</v>
      </c>
      <c r="E1706" s="10" t="s">
        <v>24</v>
      </c>
      <c r="F1706" s="10">
        <v>2013</v>
      </c>
      <c r="G1706" s="10" t="s">
        <v>14</v>
      </c>
      <c r="H1706" s="11" t="s">
        <v>20</v>
      </c>
      <c r="I1706" s="10" t="s">
        <v>316</v>
      </c>
      <c r="J1706" s="131"/>
      <c r="K1706" s="149" t="s">
        <v>3580</v>
      </c>
    </row>
    <row r="1707" spans="1:11" ht="28.9" customHeight="1" thickTop="1" thickBot="1" x14ac:dyDescent="0.75">
      <c r="A1707" s="6">
        <v>1705</v>
      </c>
      <c r="B1707" s="57" t="str">
        <f>HYPERLINK("https://search.naver.com/search.naver?query=세이빙 레닌그라드 영화", "세이빙 레닌그라드")</f>
        <v>세이빙 레닌그라드</v>
      </c>
      <c r="C1707" s="8">
        <v>6.4</v>
      </c>
      <c r="D1707" s="9" t="s">
        <v>3581</v>
      </c>
      <c r="E1707" s="6" t="s">
        <v>75</v>
      </c>
      <c r="F1707" s="6">
        <v>2019</v>
      </c>
      <c r="G1707" s="6" t="s">
        <v>14</v>
      </c>
      <c r="H1707" s="7" t="s">
        <v>1247</v>
      </c>
      <c r="I1707" s="6" t="s">
        <v>169</v>
      </c>
      <c r="J1707" s="130"/>
      <c r="K1707" s="148" t="s">
        <v>3582</v>
      </c>
    </row>
    <row r="1708" spans="1:11" ht="28.9" customHeight="1" thickTop="1" thickBot="1" x14ac:dyDescent="0.75">
      <c r="A1708" s="10">
        <v>1706</v>
      </c>
      <c r="B1708" s="58" t="str">
        <f>HYPERLINK("https://search.naver.com/search.naver?query=세이지 육지의 물고기 영화", "세이지 - 육지의 물고기")</f>
        <v>세이지 - 육지의 물고기</v>
      </c>
      <c r="C1708" s="12">
        <v>6.4</v>
      </c>
      <c r="D1708" s="13"/>
      <c r="E1708" s="10" t="s">
        <v>19</v>
      </c>
      <c r="F1708" s="10">
        <v>2011</v>
      </c>
      <c r="G1708" s="10" t="s">
        <v>14</v>
      </c>
      <c r="H1708" s="11" t="s">
        <v>20</v>
      </c>
      <c r="I1708" s="10" t="s">
        <v>150</v>
      </c>
      <c r="J1708" s="131"/>
      <c r="K1708" s="149" t="s">
        <v>3583</v>
      </c>
    </row>
    <row r="1709" spans="1:11" ht="28.9" customHeight="1" thickTop="1" thickBot="1" x14ac:dyDescent="0.75">
      <c r="A1709" s="6">
        <v>1707</v>
      </c>
      <c r="B1709" s="57" t="str">
        <f>HYPERLINK("https://search.naver.com/search.naver?query=세이프 헤이븐 영화", "세이프 헤이븐")</f>
        <v>세이프 헤이븐</v>
      </c>
      <c r="C1709" s="8">
        <v>8.56</v>
      </c>
      <c r="D1709" s="9" t="s">
        <v>3584</v>
      </c>
      <c r="E1709" s="6" t="s">
        <v>24</v>
      </c>
      <c r="F1709" s="6">
        <v>2013</v>
      </c>
      <c r="G1709" s="6" t="s">
        <v>14</v>
      </c>
      <c r="H1709" s="7" t="s">
        <v>20</v>
      </c>
      <c r="I1709" s="6" t="s">
        <v>60</v>
      </c>
      <c r="J1709" s="130"/>
      <c r="K1709" s="148" t="s">
        <v>3580</v>
      </c>
    </row>
    <row r="1710" spans="1:11" ht="28.9" customHeight="1" thickTop="1" thickBot="1" x14ac:dyDescent="0.75">
      <c r="A1710" s="10">
        <v>1708</v>
      </c>
      <c r="B1710" s="58" t="str">
        <f>HYPERLINK("https://search.naver.com/search.naver?query=세이프하우스 영화", "세이프하우스")</f>
        <v>세이프하우스</v>
      </c>
      <c r="C1710" s="12"/>
      <c r="D1710" s="13" t="s">
        <v>3585</v>
      </c>
      <c r="E1710" s="10" t="s">
        <v>24</v>
      </c>
      <c r="F1710" s="10">
        <v>2012</v>
      </c>
      <c r="G1710" s="10" t="s">
        <v>14</v>
      </c>
      <c r="H1710" s="11" t="s">
        <v>124</v>
      </c>
      <c r="I1710" s="10" t="s">
        <v>60</v>
      </c>
      <c r="J1710" s="131"/>
      <c r="K1710" s="149" t="s">
        <v>3586</v>
      </c>
    </row>
    <row r="1711" spans="1:11" ht="28.9" customHeight="1" thickTop="1" thickBot="1" x14ac:dyDescent="0.75">
      <c r="A1711" s="6">
        <v>1709</v>
      </c>
      <c r="B1711" s="57" t="str">
        <f>HYPERLINK("https://search.naver.com/search.naver?query=세인트 빈센트 영화", "세인트 빈센트")</f>
        <v>세인트 빈센트</v>
      </c>
      <c r="C1711" s="8">
        <v>8.5299999999999994</v>
      </c>
      <c r="D1711" s="9" t="s">
        <v>3587</v>
      </c>
      <c r="E1711" s="6" t="s">
        <v>24</v>
      </c>
      <c r="F1711" s="6">
        <v>2014</v>
      </c>
      <c r="G1711" s="6" t="s">
        <v>14</v>
      </c>
      <c r="H1711" s="7" t="s">
        <v>91</v>
      </c>
      <c r="I1711" s="6" t="s">
        <v>133</v>
      </c>
      <c r="J1711" s="130"/>
      <c r="K1711" s="148" t="s">
        <v>3588</v>
      </c>
    </row>
    <row r="1712" spans="1:11" ht="28.9" customHeight="1" thickTop="1" thickBot="1" x14ac:dyDescent="0.75">
      <c r="A1712" s="10">
        <v>1710</v>
      </c>
      <c r="B1712" s="58" t="str">
        <f>HYPERLINK("https://search.naver.com/search.naver?query=세인트 클라우드 영화", "세인트 클라우드")</f>
        <v>세인트 클라우드</v>
      </c>
      <c r="C1712" s="12">
        <v>7.34</v>
      </c>
      <c r="D1712" s="13" t="s">
        <v>3589</v>
      </c>
      <c r="E1712" s="10" t="s">
        <v>24</v>
      </c>
      <c r="F1712" s="10">
        <v>2010</v>
      </c>
      <c r="G1712" s="10" t="s">
        <v>14</v>
      </c>
      <c r="H1712" s="11" t="s">
        <v>20</v>
      </c>
      <c r="I1712" s="10" t="s">
        <v>150</v>
      </c>
      <c r="J1712" s="131"/>
      <c r="K1712" s="149" t="s">
        <v>3590</v>
      </c>
    </row>
    <row r="1713" spans="1:11" ht="28.9" customHeight="1" thickTop="1" thickBot="1" x14ac:dyDescent="0.75">
      <c r="A1713" s="6">
        <v>1711</v>
      </c>
      <c r="B1713" s="57" t="str">
        <f>HYPERLINK("https://search.naver.com/search.naver?query=세자매", "세자매")</f>
        <v>세자매</v>
      </c>
      <c r="C1713" s="8">
        <v>8.9499999999999993</v>
      </c>
      <c r="D1713" s="9" t="s">
        <v>3591</v>
      </c>
      <c r="E1713" s="6" t="s">
        <v>13</v>
      </c>
      <c r="F1713" s="6">
        <v>2020</v>
      </c>
      <c r="G1713" s="6" t="s">
        <v>14</v>
      </c>
      <c r="H1713" s="7" t="s">
        <v>20</v>
      </c>
      <c r="I1713" s="6" t="s">
        <v>150</v>
      </c>
      <c r="J1713" s="130"/>
      <c r="K1713" s="148" t="s">
        <v>1200</v>
      </c>
    </row>
    <row r="1714" spans="1:11" ht="28.9" customHeight="1" thickTop="1" thickBot="1" x14ac:dyDescent="0.75">
      <c r="A1714" s="10">
        <v>1712</v>
      </c>
      <c r="B1714" s="58" t="str">
        <f>HYPERLINK("https://search.naver.com/search.naver?query=세컨드 마더 영화", "세컨드 마더")</f>
        <v>세컨드 마더</v>
      </c>
      <c r="C1714" s="12">
        <v>9.1300000000000008</v>
      </c>
      <c r="D1714" s="13" t="s">
        <v>3592</v>
      </c>
      <c r="E1714" s="10" t="s">
        <v>846</v>
      </c>
      <c r="F1714" s="10">
        <v>2015</v>
      </c>
      <c r="G1714" s="10" t="s">
        <v>14</v>
      </c>
      <c r="H1714" s="11" t="s">
        <v>20</v>
      </c>
      <c r="I1714" s="10" t="s">
        <v>429</v>
      </c>
      <c r="J1714" s="131"/>
      <c r="K1714" s="149" t="s">
        <v>3593</v>
      </c>
    </row>
    <row r="1715" spans="1:11" ht="28.9" customHeight="1" thickTop="1" thickBot="1" x14ac:dyDescent="0.75">
      <c r="A1715" s="6">
        <v>1713</v>
      </c>
      <c r="B1715" s="57" t="str">
        <f>HYPERLINK("https://search.naver.com/search.naver?query=세컨드 액트 영화", "세컨드 액트")</f>
        <v>세컨드 액트</v>
      </c>
      <c r="C1715" s="8"/>
      <c r="D1715" s="9" t="s">
        <v>3594</v>
      </c>
      <c r="E1715" s="6" t="s">
        <v>24</v>
      </c>
      <c r="F1715" s="6">
        <v>2018</v>
      </c>
      <c r="G1715" s="6" t="s">
        <v>14</v>
      </c>
      <c r="H1715" s="7" t="s">
        <v>91</v>
      </c>
      <c r="I1715" s="6" t="s">
        <v>276</v>
      </c>
      <c r="J1715" s="130"/>
      <c r="K1715" s="148" t="s">
        <v>3595</v>
      </c>
    </row>
    <row r="1716" spans="1:11" ht="28.9" customHeight="1" thickTop="1" thickBot="1" x14ac:dyDescent="0.75">
      <c r="A1716" s="10">
        <v>1714</v>
      </c>
      <c r="B1716" s="58" t="str">
        <f>HYPERLINK("https://search.naver.com/search.naver?query=세컨핸드 라이온스 영화", "세컨핸드 라이온스")</f>
        <v>세컨핸드 라이온스</v>
      </c>
      <c r="C1716" s="12">
        <v>9.0299999999999994</v>
      </c>
      <c r="D1716" s="13" t="s">
        <v>3596</v>
      </c>
      <c r="E1716" s="10" t="s">
        <v>24</v>
      </c>
      <c r="F1716" s="10">
        <v>2003</v>
      </c>
      <c r="G1716" s="10" t="s">
        <v>14</v>
      </c>
      <c r="H1716" s="11" t="s">
        <v>20</v>
      </c>
      <c r="I1716" s="10" t="s">
        <v>187</v>
      </c>
      <c r="J1716" s="131"/>
      <c r="K1716" s="149" t="s">
        <v>2420</v>
      </c>
    </row>
    <row r="1717" spans="1:11" ht="28.9" customHeight="1" thickTop="1" thickBot="1" x14ac:dyDescent="0.75">
      <c r="A1717" s="6">
        <v>1715</v>
      </c>
      <c r="B1717" s="57" t="str">
        <f>HYPERLINK("https://search.naver.com/search.naver?query=세크리테어리엇 영화", "세크리테어리엇")</f>
        <v>세크리테어리엇</v>
      </c>
      <c r="C1717" s="8"/>
      <c r="D1717" s="9" t="s">
        <v>3597</v>
      </c>
      <c r="E1717" s="6" t="s">
        <v>24</v>
      </c>
      <c r="F1717" s="6">
        <v>2010</v>
      </c>
      <c r="G1717" s="6" t="s">
        <v>14</v>
      </c>
      <c r="H1717" s="7" t="s">
        <v>20</v>
      </c>
      <c r="I1717" s="6" t="s">
        <v>591</v>
      </c>
      <c r="J1717" s="130"/>
      <c r="K1717" s="148" t="s">
        <v>3598</v>
      </c>
    </row>
    <row r="1718" spans="1:11" ht="28.9" customHeight="1" thickTop="1" thickBot="1" x14ac:dyDescent="0.75">
      <c r="A1718" s="10">
        <v>1716</v>
      </c>
      <c r="B1718" s="58" t="str">
        <f>HYPERLINK("https://search.naver.com/search.naver?query=세키가하라 영화", "세키가하라")</f>
        <v>세키가하라</v>
      </c>
      <c r="C1718" s="12"/>
      <c r="D1718" s="13" t="s">
        <v>3599</v>
      </c>
      <c r="E1718" s="10" t="s">
        <v>19</v>
      </c>
      <c r="F1718" s="10">
        <v>2017</v>
      </c>
      <c r="G1718" s="10" t="s">
        <v>14</v>
      </c>
      <c r="H1718" s="11" t="s">
        <v>1548</v>
      </c>
      <c r="I1718" s="10" t="s">
        <v>810</v>
      </c>
      <c r="J1718" s="131"/>
      <c r="K1718" s="149" t="s">
        <v>3600</v>
      </c>
    </row>
    <row r="1719" spans="1:11" ht="28.9" customHeight="1" thickTop="1" thickBot="1" x14ac:dyDescent="0.75">
      <c r="A1719" s="6">
        <v>1717</v>
      </c>
      <c r="B1719" s="59" t="str">
        <f>HYPERLINK("https://search.naver.com/search.naver?query=섹스 라이프 시즌1", "섹스 라이프 시즌1")</f>
        <v>섹스 라이프 시즌1</v>
      </c>
      <c r="C1719" s="16"/>
      <c r="D1719" s="17" t="s">
        <v>3601</v>
      </c>
      <c r="E1719" s="14" t="s">
        <v>24</v>
      </c>
      <c r="F1719" s="14">
        <v>2021</v>
      </c>
      <c r="G1719" s="14" t="s">
        <v>20</v>
      </c>
      <c r="H1719" s="15" t="s">
        <v>20</v>
      </c>
      <c r="I1719" s="14" t="s">
        <v>71</v>
      </c>
      <c r="J1719" s="132"/>
      <c r="K1719" s="150" t="s">
        <v>3602</v>
      </c>
    </row>
    <row r="1720" spans="1:11" ht="28.9" customHeight="1" thickTop="1" thickBot="1" x14ac:dyDescent="0.75">
      <c r="A1720" s="10">
        <v>1718</v>
      </c>
      <c r="B1720" s="58" t="str">
        <f>HYPERLINK("https://search.naver.com/search.naver?query=센트럴 인텔리전스 영화", "센트럴 인텔리전스")</f>
        <v>센트럴 인텔리전스</v>
      </c>
      <c r="C1720" s="12"/>
      <c r="D1720" s="13" t="s">
        <v>3603</v>
      </c>
      <c r="E1720" s="10" t="s">
        <v>24</v>
      </c>
      <c r="F1720" s="10">
        <v>2016</v>
      </c>
      <c r="G1720" s="10" t="s">
        <v>14</v>
      </c>
      <c r="H1720" s="11" t="s">
        <v>124</v>
      </c>
      <c r="I1720" s="10" t="s">
        <v>101</v>
      </c>
      <c r="J1720" s="131"/>
      <c r="K1720" s="149" t="s">
        <v>435</v>
      </c>
    </row>
    <row r="1721" spans="1:11" ht="28.9" customHeight="1" thickTop="1" thickBot="1" x14ac:dyDescent="0.75">
      <c r="A1721" s="6">
        <v>1719</v>
      </c>
      <c r="B1721" s="57" t="str">
        <f>HYPERLINK("https://search.naver.com/search.naver?query=센티넬 영화", "센티넬")</f>
        <v>센티넬</v>
      </c>
      <c r="C1721" s="8">
        <v>3.83</v>
      </c>
      <c r="D1721" s="9" t="s">
        <v>3604</v>
      </c>
      <c r="E1721" s="6" t="s">
        <v>24</v>
      </c>
      <c r="F1721" s="6">
        <v>2006</v>
      </c>
      <c r="G1721" s="6" t="s">
        <v>14</v>
      </c>
      <c r="H1721" s="7" t="s">
        <v>124</v>
      </c>
      <c r="I1721" s="6" t="s">
        <v>38</v>
      </c>
      <c r="J1721" s="130"/>
      <c r="K1721" s="148" t="s">
        <v>3605</v>
      </c>
    </row>
    <row r="1722" spans="1:11" ht="28.9" customHeight="1" thickTop="1" thickBot="1" x14ac:dyDescent="0.75">
      <c r="A1722" s="10">
        <v>1720</v>
      </c>
      <c r="B1722" s="58" t="str">
        <f>HYPERLINK("https://search.naver.com/search.naver?query=셀프 리스 영화", "셀프 리스")</f>
        <v>셀프 리스</v>
      </c>
      <c r="C1722" s="12">
        <v>7.82</v>
      </c>
      <c r="D1722" s="13" t="s">
        <v>3606</v>
      </c>
      <c r="E1722" s="10" t="s">
        <v>24</v>
      </c>
      <c r="F1722" s="10">
        <v>2015</v>
      </c>
      <c r="G1722" s="10" t="s">
        <v>14</v>
      </c>
      <c r="H1722" s="11" t="s">
        <v>877</v>
      </c>
      <c r="I1722" s="10" t="s">
        <v>591</v>
      </c>
      <c r="J1722" s="131"/>
      <c r="K1722" s="149" t="s">
        <v>3607</v>
      </c>
    </row>
    <row r="1723" spans="1:11" ht="28.9" customHeight="1" thickTop="1" thickBot="1" x14ac:dyDescent="0.75">
      <c r="A1723" s="6">
        <v>1721</v>
      </c>
      <c r="B1723" s="57" t="str">
        <f>HYPERLINK("https://search.naver.com/search.naver?query=셜록 유령신부 영화", "셜록 - 유령신부")</f>
        <v>셜록 - 유령신부</v>
      </c>
      <c r="C1723" s="8">
        <v>7.5</v>
      </c>
      <c r="D1723" s="9" t="s">
        <v>3608</v>
      </c>
      <c r="E1723" s="6" t="s">
        <v>29</v>
      </c>
      <c r="F1723" s="6">
        <v>2016</v>
      </c>
      <c r="G1723" s="6" t="s">
        <v>14</v>
      </c>
      <c r="H1723" s="7" t="s">
        <v>428</v>
      </c>
      <c r="I1723" s="6" t="s">
        <v>156</v>
      </c>
      <c r="J1723" s="130"/>
      <c r="K1723" s="148" t="s">
        <v>3609</v>
      </c>
    </row>
    <row r="1724" spans="1:11" ht="28.9" customHeight="1" thickTop="1" thickBot="1" x14ac:dyDescent="0.75">
      <c r="A1724" s="10">
        <v>1722</v>
      </c>
      <c r="B1724" s="58" t="str">
        <f>HYPERLINK("https://search.naver.com/search.naver?query=셜록홈즈 그림자 게임 영화", "셜록홈즈 그림자 게임")</f>
        <v>셜록홈즈 그림자 게임</v>
      </c>
      <c r="C1724" s="12">
        <v>8.01</v>
      </c>
      <c r="D1724" s="13" t="s">
        <v>3610</v>
      </c>
      <c r="E1724" s="10" t="s">
        <v>24</v>
      </c>
      <c r="F1724" s="10">
        <v>2011</v>
      </c>
      <c r="G1724" s="10" t="s">
        <v>14</v>
      </c>
      <c r="H1724" s="11" t="s">
        <v>124</v>
      </c>
      <c r="I1724" s="10" t="s">
        <v>85</v>
      </c>
      <c r="J1724" s="131"/>
      <c r="K1724" s="149" t="s">
        <v>3611</v>
      </c>
    </row>
    <row r="1725" spans="1:11" ht="28.9" customHeight="1" thickTop="1" thickBot="1" x14ac:dyDescent="0.75">
      <c r="A1725" s="6">
        <v>1723</v>
      </c>
      <c r="B1725" s="57" t="str">
        <f>HYPERLINK("https://search.naver.com/search.naver?query=셰이프 오브 워터 사랑의 모양 영화", "셰이프 오브 워터-사랑의 모양")</f>
        <v>셰이프 오브 워터-사랑의 모양</v>
      </c>
      <c r="C1725" s="8">
        <v>8.69</v>
      </c>
      <c r="D1725" s="9" t="s">
        <v>3612</v>
      </c>
      <c r="E1725" s="6" t="s">
        <v>24</v>
      </c>
      <c r="F1725" s="6">
        <v>2017</v>
      </c>
      <c r="G1725" s="6" t="s">
        <v>14</v>
      </c>
      <c r="H1725" s="7" t="s">
        <v>1539</v>
      </c>
      <c r="I1725" s="6" t="s">
        <v>76</v>
      </c>
      <c r="J1725" s="130"/>
      <c r="K1725" s="148" t="s">
        <v>3613</v>
      </c>
    </row>
    <row r="1726" spans="1:11" ht="28.9" customHeight="1" thickTop="1" thickBot="1" x14ac:dyDescent="0.75">
      <c r="A1726" s="10">
        <v>1724</v>
      </c>
      <c r="B1726" s="58" t="str">
        <f>HYPERLINK("https://search.naver.com/search.naver?query=셰임 영화", "셰임")</f>
        <v>셰임</v>
      </c>
      <c r="C1726" s="12">
        <v>8.67</v>
      </c>
      <c r="D1726" s="13" t="s">
        <v>3614</v>
      </c>
      <c r="E1726" s="10" t="s">
        <v>29</v>
      </c>
      <c r="F1726" s="10">
        <v>2011</v>
      </c>
      <c r="G1726" s="10" t="s">
        <v>14</v>
      </c>
      <c r="H1726" s="11" t="s">
        <v>20</v>
      </c>
      <c r="I1726" s="10" t="s">
        <v>94</v>
      </c>
      <c r="J1726" s="131"/>
      <c r="K1726" s="149" t="s">
        <v>3615</v>
      </c>
    </row>
    <row r="1727" spans="1:11" ht="28.9" customHeight="1" thickTop="1" thickBot="1" x14ac:dyDescent="0.75">
      <c r="A1727" s="6">
        <v>1725</v>
      </c>
      <c r="B1727" s="57" t="str">
        <f>HYPERLINK("https://search.naver.com/search.naver?query=셰터드 영화", "셰터드")</f>
        <v>셰터드</v>
      </c>
      <c r="C1727" s="8">
        <v>6.65</v>
      </c>
      <c r="D1727" s="9" t="s">
        <v>3616</v>
      </c>
      <c r="E1727" s="6" t="s">
        <v>24</v>
      </c>
      <c r="F1727" s="6">
        <v>2022</v>
      </c>
      <c r="G1727" s="6" t="s">
        <v>14</v>
      </c>
      <c r="H1727" s="7" t="s">
        <v>54</v>
      </c>
      <c r="I1727" s="6" t="s">
        <v>205</v>
      </c>
      <c r="J1727" s="130"/>
      <c r="K1727" s="148" t="s">
        <v>3617</v>
      </c>
    </row>
    <row r="1728" spans="1:11" ht="28.9" customHeight="1" thickTop="1" thickBot="1" x14ac:dyDescent="0.75">
      <c r="A1728" s="10">
        <v>1726</v>
      </c>
      <c r="B1728" s="58" t="str">
        <f>HYPERLINK("https://search.naver.com/search.naver?query=셰프 영화", "셰프")</f>
        <v>셰프</v>
      </c>
      <c r="C1728" s="12"/>
      <c r="D1728" s="13" t="s">
        <v>3618</v>
      </c>
      <c r="E1728" s="10" t="s">
        <v>24</v>
      </c>
      <c r="F1728" s="10">
        <v>2014</v>
      </c>
      <c r="G1728" s="10" t="s">
        <v>14</v>
      </c>
      <c r="H1728" s="11" t="s">
        <v>91</v>
      </c>
      <c r="I1728" s="10" t="s">
        <v>305</v>
      </c>
      <c r="J1728" s="131"/>
      <c r="K1728" s="149" t="s">
        <v>3619</v>
      </c>
    </row>
    <row r="1729" spans="1:11" ht="28.9" customHeight="1" thickTop="1" thickBot="1" x14ac:dyDescent="0.75">
      <c r="A1729" s="6">
        <v>1727</v>
      </c>
      <c r="B1729" s="59" t="str">
        <f>HYPERLINK("https://search.naver.com/search.naver?query=소년시대", "소년시대")</f>
        <v>소년시대</v>
      </c>
      <c r="C1729" s="16"/>
      <c r="D1729" s="17" t="s">
        <v>3620</v>
      </c>
      <c r="E1729" s="14" t="s">
        <v>13</v>
      </c>
      <c r="F1729" s="14">
        <v>2023</v>
      </c>
      <c r="G1729" s="14" t="s">
        <v>20</v>
      </c>
      <c r="H1729" s="15" t="s">
        <v>178</v>
      </c>
      <c r="I1729" s="14" t="s">
        <v>64</v>
      </c>
      <c r="J1729" s="132"/>
      <c r="K1729" s="150" t="s">
        <v>3621</v>
      </c>
    </row>
    <row r="1730" spans="1:11" ht="28.9" customHeight="1" thickTop="1" thickBot="1" x14ac:dyDescent="0.75">
      <c r="A1730" s="10">
        <v>1728</v>
      </c>
      <c r="B1730" s="58" t="str">
        <f>HYPERLINK("https://search.naver.com/search.naver?query=소년시절의 너 영화", "소년시절의 너")</f>
        <v>소년시절의 너</v>
      </c>
      <c r="C1730" s="12">
        <v>8.75</v>
      </c>
      <c r="D1730" s="13" t="s">
        <v>2836</v>
      </c>
      <c r="E1730" s="10" t="s">
        <v>186</v>
      </c>
      <c r="F1730" s="10">
        <v>2019</v>
      </c>
      <c r="G1730" s="10" t="s">
        <v>14</v>
      </c>
      <c r="H1730" s="11" t="s">
        <v>20</v>
      </c>
      <c r="I1730" s="10" t="s">
        <v>51</v>
      </c>
      <c r="J1730" s="131"/>
      <c r="K1730" s="149" t="s">
        <v>3622</v>
      </c>
    </row>
    <row r="1731" spans="1:11" ht="28.9" customHeight="1" thickTop="1" thickBot="1" x14ac:dyDescent="0.75">
      <c r="A1731" s="6">
        <v>1729</v>
      </c>
      <c r="B1731" s="59" t="str">
        <f>HYPERLINK("https://search.naver.com/search.naver?query=소년심판", "소년심판")</f>
        <v>소년심판</v>
      </c>
      <c r="C1731" s="16"/>
      <c r="D1731" s="17" t="s">
        <v>3623</v>
      </c>
      <c r="E1731" s="14" t="s">
        <v>13</v>
      </c>
      <c r="F1731" s="14">
        <v>2022</v>
      </c>
      <c r="G1731" s="14" t="s">
        <v>20</v>
      </c>
      <c r="H1731" s="15" t="s">
        <v>20</v>
      </c>
      <c r="I1731" s="14" t="s">
        <v>64</v>
      </c>
      <c r="J1731" s="132"/>
      <c r="K1731" s="150" t="s">
        <v>3624</v>
      </c>
    </row>
    <row r="1732" spans="1:11" ht="28.9" customHeight="1" thickTop="1" thickBot="1" x14ac:dyDescent="0.75">
      <c r="A1732" s="10">
        <v>1730</v>
      </c>
      <c r="B1732" s="59" t="str">
        <f>HYPERLINK("https://search.naver.com/search.naver?query=소년의 시간", "소년의 시간")</f>
        <v>소년의 시간</v>
      </c>
      <c r="C1732" s="16"/>
      <c r="D1732" s="17" t="s">
        <v>3625</v>
      </c>
      <c r="E1732" s="14" t="s">
        <v>29</v>
      </c>
      <c r="F1732" s="14">
        <v>2025</v>
      </c>
      <c r="G1732" s="14" t="s">
        <v>20</v>
      </c>
      <c r="H1732" s="15" t="s">
        <v>20</v>
      </c>
      <c r="I1732" s="14" t="s">
        <v>1467</v>
      </c>
      <c r="J1732" s="132"/>
      <c r="K1732" s="150" t="s">
        <v>3061</v>
      </c>
    </row>
    <row r="1733" spans="1:11" ht="28.9" customHeight="1" thickTop="1" thickBot="1" x14ac:dyDescent="0.75">
      <c r="A1733" s="6">
        <v>1731</v>
      </c>
      <c r="B1733" s="57" t="str">
        <f>HYPERLINK("https://search.naver.com/search.naver?query=소라닌 영화", "소라닌")</f>
        <v>소라닌</v>
      </c>
      <c r="C1733" s="8">
        <v>8.42</v>
      </c>
      <c r="D1733" s="9" t="s">
        <v>3626</v>
      </c>
      <c r="E1733" s="6" t="s">
        <v>19</v>
      </c>
      <c r="F1733" s="6">
        <v>2010</v>
      </c>
      <c r="G1733" s="6" t="s">
        <v>14</v>
      </c>
      <c r="H1733" s="7" t="s">
        <v>20</v>
      </c>
      <c r="I1733" s="6" t="s">
        <v>105</v>
      </c>
      <c r="J1733" s="130"/>
      <c r="K1733" s="148" t="s">
        <v>3627</v>
      </c>
    </row>
    <row r="1734" spans="1:11" ht="28.9" customHeight="1" thickTop="1" thickBot="1" x14ac:dyDescent="0.75">
      <c r="A1734" s="10">
        <v>1732</v>
      </c>
      <c r="B1734" s="58" t="str">
        <f>HYPERLINK("https://search.naver.com/search.naver?query=소리도 없이 영화", "소리도 없이")</f>
        <v>소리도 없이</v>
      </c>
      <c r="C1734" s="12">
        <v>7.8</v>
      </c>
      <c r="D1734" s="13" t="s">
        <v>3628</v>
      </c>
      <c r="E1734" s="10" t="s">
        <v>13</v>
      </c>
      <c r="F1734" s="10">
        <v>2020</v>
      </c>
      <c r="G1734" s="10" t="s">
        <v>14</v>
      </c>
      <c r="H1734" s="11" t="s">
        <v>20</v>
      </c>
      <c r="I1734" s="10" t="s">
        <v>109</v>
      </c>
      <c r="J1734" s="131"/>
      <c r="K1734" s="149" t="s">
        <v>3629</v>
      </c>
    </row>
    <row r="1735" spans="1:11" ht="28.9" customHeight="1" thickTop="1" thickBot="1" x14ac:dyDescent="0.75">
      <c r="A1735" s="6">
        <v>1733</v>
      </c>
      <c r="B1735" s="57" t="str">
        <f>HYPERLINK("https://search.naver.com/search.naver?query=소방관 영화", "소방관")</f>
        <v>소방관</v>
      </c>
      <c r="C1735" s="8">
        <v>7.86</v>
      </c>
      <c r="D1735" s="9" t="s">
        <v>3630</v>
      </c>
      <c r="E1735" s="6" t="s">
        <v>13</v>
      </c>
      <c r="F1735" s="6">
        <v>2024</v>
      </c>
      <c r="G1735" s="6" t="s">
        <v>14</v>
      </c>
      <c r="H1735" s="7" t="s">
        <v>20</v>
      </c>
      <c r="I1735" s="6" t="s">
        <v>129</v>
      </c>
      <c r="J1735" s="130"/>
      <c r="K1735" s="148" t="s">
        <v>3631</v>
      </c>
    </row>
    <row r="1736" spans="1:11" ht="28.9" customHeight="1" thickTop="1" thickBot="1" x14ac:dyDescent="0.75">
      <c r="A1736" s="10">
        <v>1734</v>
      </c>
      <c r="B1736" s="58" t="str">
        <f>HYPERLINK("https://search.naver.com/search.naver?query=소수의견 영화", "소수의견")</f>
        <v>소수의견</v>
      </c>
      <c r="C1736" s="12">
        <v>8.7100000000000009</v>
      </c>
      <c r="D1736" s="13" t="s">
        <v>3632</v>
      </c>
      <c r="E1736" s="10" t="s">
        <v>13</v>
      </c>
      <c r="F1736" s="10">
        <v>2013</v>
      </c>
      <c r="G1736" s="10" t="s">
        <v>14</v>
      </c>
      <c r="H1736" s="11" t="s">
        <v>20</v>
      </c>
      <c r="I1736" s="10" t="s">
        <v>329</v>
      </c>
      <c r="J1736" s="131"/>
      <c r="K1736" s="149" t="s">
        <v>3633</v>
      </c>
    </row>
    <row r="1737" spans="1:11" ht="28.9" customHeight="1" thickTop="1" thickBot="1" x14ac:dyDescent="0.75">
      <c r="A1737" s="6">
        <v>1735</v>
      </c>
      <c r="B1737" s="57" t="str">
        <f>HYPERLINK("https://search.naver.com/search.naver?query=소스 코드 영화", "소스 코드")</f>
        <v>소스 코드</v>
      </c>
      <c r="C1737" s="8">
        <v>9.01</v>
      </c>
      <c r="D1737" s="9" t="s">
        <v>3634</v>
      </c>
      <c r="E1737" s="6" t="s">
        <v>24</v>
      </c>
      <c r="F1737" s="6">
        <v>2011</v>
      </c>
      <c r="G1737" s="6" t="s">
        <v>14</v>
      </c>
      <c r="H1737" s="7" t="s">
        <v>877</v>
      </c>
      <c r="I1737" s="6" t="s">
        <v>125</v>
      </c>
      <c r="J1737" s="130"/>
      <c r="K1737" s="148" t="s">
        <v>3635</v>
      </c>
    </row>
    <row r="1738" spans="1:11" ht="28.9" customHeight="1" thickTop="1" thickBot="1" x14ac:dyDescent="0.75">
      <c r="A1738" s="10">
        <v>1736</v>
      </c>
      <c r="B1738" s="58" t="str">
        <f>HYPERLINK("https://search.naver.com/search.naver?query=소울 서퍼 영화", "소울 서퍼")</f>
        <v>소울 서퍼</v>
      </c>
      <c r="C1738" s="12"/>
      <c r="D1738" s="13" t="s">
        <v>3636</v>
      </c>
      <c r="E1738" s="10" t="s">
        <v>24</v>
      </c>
      <c r="F1738" s="10">
        <v>2011</v>
      </c>
      <c r="G1738" s="10" t="s">
        <v>14</v>
      </c>
      <c r="H1738" s="11" t="s">
        <v>20</v>
      </c>
      <c r="I1738" s="10" t="s">
        <v>443</v>
      </c>
      <c r="J1738" s="131"/>
      <c r="K1738" s="149" t="s">
        <v>3637</v>
      </c>
    </row>
    <row r="1739" spans="1:11" ht="28.9" customHeight="1" thickTop="1" thickBot="1" x14ac:dyDescent="0.75">
      <c r="A1739" s="6">
        <v>1737</v>
      </c>
      <c r="B1739" s="57" t="str">
        <f>HYPERLINK("https://search.naver.com/search.naver?query=소원 영화", "소원")</f>
        <v>소원</v>
      </c>
      <c r="C1739" s="8">
        <v>9.34</v>
      </c>
      <c r="D1739" s="9" t="s">
        <v>3638</v>
      </c>
      <c r="E1739" s="6" t="s">
        <v>13</v>
      </c>
      <c r="F1739" s="6">
        <v>2013</v>
      </c>
      <c r="G1739" s="6" t="s">
        <v>14</v>
      </c>
      <c r="H1739" s="7" t="s">
        <v>20</v>
      </c>
      <c r="I1739" s="6" t="s">
        <v>150</v>
      </c>
      <c r="J1739" s="130"/>
      <c r="K1739" s="148" t="s">
        <v>3639</v>
      </c>
    </row>
    <row r="1740" spans="1:11" ht="28.9" customHeight="1" thickTop="1" thickBot="1" x14ac:dyDescent="0.75">
      <c r="A1740" s="10">
        <v>1738</v>
      </c>
      <c r="B1740" s="58" t="str">
        <f>HYPERLINK("https://search.naver.com/search.naver?query=소프트 보이즈 영화", "소프트 보이즈")</f>
        <v>소프트 보이즈</v>
      </c>
      <c r="C1740" s="12">
        <v>6.5</v>
      </c>
      <c r="D1740" s="13" t="s">
        <v>3640</v>
      </c>
      <c r="E1740" s="10" t="s">
        <v>19</v>
      </c>
      <c r="F1740" s="10">
        <v>2012</v>
      </c>
      <c r="G1740" s="10" t="s">
        <v>14</v>
      </c>
      <c r="H1740" s="11" t="s">
        <v>20</v>
      </c>
      <c r="I1740" s="10" t="s">
        <v>98</v>
      </c>
      <c r="J1740" s="131"/>
      <c r="K1740" s="149" t="s">
        <v>1208</v>
      </c>
    </row>
    <row r="1741" spans="1:11" ht="28.9" customHeight="1" thickTop="1" thickBot="1" x14ac:dyDescent="0.75">
      <c r="A1741" s="6">
        <v>1739</v>
      </c>
      <c r="B1741" s="57" t="str">
        <f>HYPERLINK("https://search.naver.com/search.naver?query=소피 숄의 마지막 날들 영화", "소피 숄의 마지막 날들")</f>
        <v>소피 숄의 마지막 날들</v>
      </c>
      <c r="C1741" s="8">
        <v>8.42</v>
      </c>
      <c r="D1741" s="9" t="s">
        <v>3641</v>
      </c>
      <c r="E1741" s="6" t="s">
        <v>136</v>
      </c>
      <c r="F1741" s="6">
        <v>2005</v>
      </c>
      <c r="G1741" s="6" t="s">
        <v>14</v>
      </c>
      <c r="H1741" s="7" t="s">
        <v>20</v>
      </c>
      <c r="I1741" s="6" t="s">
        <v>116</v>
      </c>
      <c r="J1741" s="130"/>
      <c r="K1741" s="148" t="s">
        <v>3642</v>
      </c>
    </row>
    <row r="1742" spans="1:11" ht="28.9" customHeight="1" thickTop="1" thickBot="1" x14ac:dyDescent="0.75">
      <c r="A1742" s="10">
        <v>1740</v>
      </c>
      <c r="B1742" s="58" t="str">
        <f>HYPERLINK("https://search.naver.com/search.naver?query=소피아 영화", "소피아")</f>
        <v>소피아</v>
      </c>
      <c r="C1742" s="12"/>
      <c r="D1742" s="13" t="s">
        <v>3643</v>
      </c>
      <c r="E1742" s="10" t="s">
        <v>24</v>
      </c>
      <c r="F1742" s="10">
        <v>2019</v>
      </c>
      <c r="G1742" s="10" t="s">
        <v>14</v>
      </c>
      <c r="H1742" s="11" t="s">
        <v>20</v>
      </c>
      <c r="I1742" s="10" t="s">
        <v>361</v>
      </c>
      <c r="J1742" s="131"/>
      <c r="K1742" s="149" t="s">
        <v>3644</v>
      </c>
    </row>
    <row r="1743" spans="1:11" ht="28.9" customHeight="1" thickTop="1" thickBot="1" x14ac:dyDescent="0.75">
      <c r="A1743" s="6">
        <v>1741</v>
      </c>
      <c r="B1743" s="57" t="str">
        <f>HYPERLINK("https://search.naver.com/search.naver?query=솔러스 영화", "솔러스")</f>
        <v>솔러스</v>
      </c>
      <c r="C1743" s="8"/>
      <c r="D1743" s="9" t="s">
        <v>3645</v>
      </c>
      <c r="E1743" s="6" t="s">
        <v>24</v>
      </c>
      <c r="F1743" s="6">
        <v>2002</v>
      </c>
      <c r="G1743" s="6" t="s">
        <v>14</v>
      </c>
      <c r="H1743" s="7" t="s">
        <v>877</v>
      </c>
      <c r="I1743" s="6" t="s">
        <v>109</v>
      </c>
      <c r="J1743" s="130"/>
      <c r="K1743" s="148" t="s">
        <v>3646</v>
      </c>
    </row>
    <row r="1744" spans="1:11" ht="28.9" customHeight="1" thickTop="1" thickBot="1" x14ac:dyDescent="0.75">
      <c r="A1744" s="10">
        <v>1742</v>
      </c>
      <c r="B1744" s="58" t="str">
        <f>HYPERLINK("https://search.naver.com/search.naver?query=솔로몬의 위증 전편 사건 영화", "솔로몬의 위증 전편-사건")</f>
        <v>솔로몬의 위증 전편-사건</v>
      </c>
      <c r="C1744" s="12">
        <v>6.07</v>
      </c>
      <c r="D1744" s="13" t="s">
        <v>3647</v>
      </c>
      <c r="E1744" s="10" t="s">
        <v>19</v>
      </c>
      <c r="F1744" s="10">
        <v>2015</v>
      </c>
      <c r="G1744" s="10" t="s">
        <v>14</v>
      </c>
      <c r="H1744" s="11" t="s">
        <v>194</v>
      </c>
      <c r="I1744" s="10" t="s">
        <v>195</v>
      </c>
      <c r="J1744" s="131"/>
      <c r="K1744" s="149" t="s">
        <v>3648</v>
      </c>
    </row>
    <row r="1745" spans="1:11" ht="28.9" customHeight="1" thickTop="1" thickBot="1" x14ac:dyDescent="0.75">
      <c r="A1745" s="6">
        <v>1743</v>
      </c>
      <c r="B1745" s="57" t="str">
        <f>HYPERLINK("https://search.naver.com/search.naver?query=솔로몬의 위증 후편 재판 영화", "솔로몬의 위증 후편-재판")</f>
        <v>솔로몬의 위증 후편-재판</v>
      </c>
      <c r="C1745" s="8">
        <v>5.85</v>
      </c>
      <c r="D1745" s="9" t="s">
        <v>3647</v>
      </c>
      <c r="E1745" s="6" t="s">
        <v>19</v>
      </c>
      <c r="F1745" s="6">
        <v>2015</v>
      </c>
      <c r="G1745" s="6" t="s">
        <v>14</v>
      </c>
      <c r="H1745" s="7" t="s">
        <v>194</v>
      </c>
      <c r="I1745" s="6" t="s">
        <v>116</v>
      </c>
      <c r="J1745" s="130"/>
      <c r="K1745" s="148" t="s">
        <v>3649</v>
      </c>
    </row>
    <row r="1746" spans="1:11" ht="28.9" customHeight="1" thickTop="1" thickBot="1" x14ac:dyDescent="0.75">
      <c r="A1746" s="10">
        <v>1744</v>
      </c>
      <c r="B1746" s="58" t="str">
        <f>HYPERLINK("https://search.naver.com/search.naver?query=솔로이스트 영화", "솔로이스트")</f>
        <v>솔로이스트</v>
      </c>
      <c r="C1746" s="12">
        <v>6.76</v>
      </c>
      <c r="D1746" s="13" t="s">
        <v>3650</v>
      </c>
      <c r="E1746" s="10" t="s">
        <v>24</v>
      </c>
      <c r="F1746" s="10">
        <v>2009</v>
      </c>
      <c r="G1746" s="10" t="s">
        <v>14</v>
      </c>
      <c r="H1746" s="11" t="s">
        <v>20</v>
      </c>
      <c r="I1746" s="10" t="s">
        <v>120</v>
      </c>
      <c r="J1746" s="131"/>
      <c r="K1746" s="149" t="s">
        <v>3651</v>
      </c>
    </row>
    <row r="1747" spans="1:11" ht="28.9" customHeight="1" thickTop="1" thickBot="1" x14ac:dyDescent="0.75">
      <c r="A1747" s="6">
        <v>1745</v>
      </c>
      <c r="B1747" s="57" t="str">
        <f>HYPERLINK("https://search.naver.com/search.naver?query=솔리터리 맨 영화", "솔리터리 맨")</f>
        <v>솔리터리 맨</v>
      </c>
      <c r="C1747" s="8">
        <v>6.4</v>
      </c>
      <c r="D1747" s="9" t="s">
        <v>3652</v>
      </c>
      <c r="E1747" s="6" t="s">
        <v>24</v>
      </c>
      <c r="F1747" s="6">
        <v>2009</v>
      </c>
      <c r="G1747" s="6" t="s">
        <v>14</v>
      </c>
      <c r="H1747" s="7" t="s">
        <v>91</v>
      </c>
      <c r="I1747" s="6" t="s">
        <v>156</v>
      </c>
      <c r="J1747" s="130"/>
      <c r="K1747" s="148" t="s">
        <v>3653</v>
      </c>
    </row>
    <row r="1748" spans="1:11" ht="28.9" customHeight="1" thickTop="1" thickBot="1" x14ac:dyDescent="0.75">
      <c r="A1748" s="10">
        <v>1746</v>
      </c>
      <c r="B1748" s="58" t="str">
        <f>HYPERLINK("https://search.naver.com/search.naver?query=송 원 영화", "송 원")</f>
        <v>송 원</v>
      </c>
      <c r="C1748" s="12">
        <v>5.08</v>
      </c>
      <c r="D1748" s="13" t="s">
        <v>3654</v>
      </c>
      <c r="E1748" s="10" t="s">
        <v>24</v>
      </c>
      <c r="F1748" s="10">
        <v>2014</v>
      </c>
      <c r="G1748" s="10" t="s">
        <v>14</v>
      </c>
      <c r="H1748" s="11" t="s">
        <v>20</v>
      </c>
      <c r="I1748" s="10" t="s">
        <v>1136</v>
      </c>
      <c r="J1748" s="131"/>
      <c r="K1748" s="149" t="s">
        <v>3655</v>
      </c>
    </row>
    <row r="1749" spans="1:11" ht="28.9" customHeight="1" thickTop="1" thickBot="1" x14ac:dyDescent="0.75">
      <c r="A1749" s="6">
        <v>1747</v>
      </c>
      <c r="B1749" s="57" t="str">
        <f>HYPERLINK("https://search.naver.com/search.naver?query=송가황조 영화", "송가황조")</f>
        <v>송가황조</v>
      </c>
      <c r="C1749" s="8">
        <v>8.19</v>
      </c>
      <c r="D1749" s="9" t="s">
        <v>3656</v>
      </c>
      <c r="E1749" s="6" t="s">
        <v>123</v>
      </c>
      <c r="F1749" s="6">
        <v>1997</v>
      </c>
      <c r="G1749" s="6" t="s">
        <v>14</v>
      </c>
      <c r="H1749" s="7" t="s">
        <v>20</v>
      </c>
      <c r="I1749" s="6" t="s">
        <v>251</v>
      </c>
      <c r="J1749" s="130"/>
      <c r="K1749" s="148" t="s">
        <v>3657</v>
      </c>
    </row>
    <row r="1750" spans="1:11" ht="28.9" customHeight="1" thickTop="1" thickBot="1" x14ac:dyDescent="0.75">
      <c r="A1750" s="10">
        <v>1748</v>
      </c>
      <c r="B1750" s="59" t="str">
        <f>HYPERLINK("https://search.naver.com/search.naver?query=쇼군", "쇼군")</f>
        <v>쇼군</v>
      </c>
      <c r="C1750" s="16"/>
      <c r="D1750" s="17" t="s">
        <v>3658</v>
      </c>
      <c r="E1750" s="14" t="s">
        <v>24</v>
      </c>
      <c r="F1750" s="14">
        <v>2024</v>
      </c>
      <c r="G1750" s="14" t="s">
        <v>20</v>
      </c>
      <c r="H1750" s="15" t="s">
        <v>552</v>
      </c>
      <c r="I1750" s="14" t="s">
        <v>64</v>
      </c>
      <c r="J1750" s="132"/>
      <c r="K1750" s="150" t="s">
        <v>1290</v>
      </c>
    </row>
    <row r="1751" spans="1:11" ht="28.9" customHeight="1" thickTop="1" thickBot="1" x14ac:dyDescent="0.75">
      <c r="A1751" s="6">
        <v>1749</v>
      </c>
      <c r="B1751" s="57" t="str">
        <f>HYPERLINK("https://search.naver.com/search.naver?query=쇼를 사랑한 남자 영화", "쇼를 사랑한 남자")</f>
        <v>쇼를 사랑한 남자</v>
      </c>
      <c r="C1751" s="8">
        <v>7.7</v>
      </c>
      <c r="D1751" s="9" t="s">
        <v>3659</v>
      </c>
      <c r="E1751" s="6" t="s">
        <v>24</v>
      </c>
      <c r="F1751" s="6">
        <v>2013</v>
      </c>
      <c r="G1751" s="6" t="s">
        <v>14</v>
      </c>
      <c r="H1751" s="7" t="s">
        <v>20</v>
      </c>
      <c r="I1751" s="6" t="s">
        <v>329</v>
      </c>
      <c r="J1751" s="130"/>
      <c r="K1751" s="148" t="s">
        <v>3660</v>
      </c>
    </row>
    <row r="1752" spans="1:11" ht="28.9" customHeight="1" thickTop="1" thickBot="1" x14ac:dyDescent="0.75">
      <c r="A1752" s="10">
        <v>1750</v>
      </c>
      <c r="B1752" s="58" t="str">
        <f>HYPERLINK("https://search.naver.com/search.naver?query=쇼생크 탈출 영화", "쇼생크 탈출")</f>
        <v>쇼생크 탈출</v>
      </c>
      <c r="C1752" s="12">
        <v>9.51</v>
      </c>
      <c r="D1752" s="13" t="s">
        <v>3661</v>
      </c>
      <c r="E1752" s="10" t="s">
        <v>24</v>
      </c>
      <c r="F1752" s="10">
        <v>1994</v>
      </c>
      <c r="G1752" s="10" t="s">
        <v>14</v>
      </c>
      <c r="H1752" s="11" t="s">
        <v>20</v>
      </c>
      <c r="I1752" s="10" t="s">
        <v>356</v>
      </c>
      <c r="J1752" s="131"/>
      <c r="K1752" s="149" t="s">
        <v>3662</v>
      </c>
    </row>
    <row r="1753" spans="1:11" ht="28.9" customHeight="1" thickTop="1" thickBot="1" x14ac:dyDescent="0.75">
      <c r="A1753" s="6">
        <v>1751</v>
      </c>
      <c r="B1753" s="57" t="str">
        <f>HYPERLINK("https://search.naver.com/search.naver?query=숏텀12 영화", "숏텀12")</f>
        <v>숏텀12</v>
      </c>
      <c r="C1753" s="8">
        <v>9</v>
      </c>
      <c r="D1753" s="9" t="s">
        <v>3663</v>
      </c>
      <c r="E1753" s="6" t="s">
        <v>24</v>
      </c>
      <c r="F1753" s="6">
        <v>2013</v>
      </c>
      <c r="G1753" s="6" t="s">
        <v>14</v>
      </c>
      <c r="H1753" s="7" t="s">
        <v>20</v>
      </c>
      <c r="I1753" s="6" t="s">
        <v>80</v>
      </c>
      <c r="J1753" s="130"/>
      <c r="K1753" s="148" t="s">
        <v>3664</v>
      </c>
    </row>
    <row r="1754" spans="1:11" ht="28.9" customHeight="1" thickTop="1" thickBot="1" x14ac:dyDescent="0.75">
      <c r="A1754" s="10">
        <v>1752</v>
      </c>
      <c r="B1754" s="59" t="str">
        <f>HYPERLINK("https://search.naver.com/search.naver?query=수리남", "수리남")</f>
        <v>수리남</v>
      </c>
      <c r="C1754" s="16"/>
      <c r="D1754" s="17" t="s">
        <v>3665</v>
      </c>
      <c r="E1754" s="14" t="s">
        <v>13</v>
      </c>
      <c r="F1754" s="14">
        <v>2022</v>
      </c>
      <c r="G1754" s="14" t="s">
        <v>20</v>
      </c>
      <c r="H1754" s="15" t="s">
        <v>115</v>
      </c>
      <c r="I1754" s="14" t="s">
        <v>247</v>
      </c>
      <c r="J1754" s="132"/>
      <c r="K1754" s="150" t="s">
        <v>3666</v>
      </c>
    </row>
    <row r="1755" spans="1:11" ht="28.9" customHeight="1" thickTop="1" thickBot="1" x14ac:dyDescent="0.75">
      <c r="A1755" s="6">
        <v>1753</v>
      </c>
      <c r="B1755" s="57" t="str">
        <f>HYPERLINK("https://search.naver.com/search.naver?query=수부라 게이트 영화", "수부라 게이트")</f>
        <v>수부라 게이트</v>
      </c>
      <c r="C1755" s="8">
        <v>6.91</v>
      </c>
      <c r="D1755" s="9" t="s">
        <v>3667</v>
      </c>
      <c r="E1755" s="6" t="s">
        <v>19</v>
      </c>
      <c r="F1755" s="6">
        <v>2015</v>
      </c>
      <c r="G1755" s="6" t="s">
        <v>14</v>
      </c>
      <c r="H1755" s="7" t="s">
        <v>20</v>
      </c>
      <c r="I1755" s="6" t="s">
        <v>150</v>
      </c>
      <c r="J1755" s="130"/>
      <c r="K1755" s="148" t="s">
        <v>3668</v>
      </c>
    </row>
    <row r="1756" spans="1:11" ht="28.9" customHeight="1" thickTop="1" thickBot="1" x14ac:dyDescent="0.75">
      <c r="A1756" s="10">
        <v>1754</v>
      </c>
      <c r="B1756" s="58" t="str">
        <f>HYPERLINK("https://search.naver.com/search.naver?query=수상한 그녀 영화", "수상한 그녀")</f>
        <v>수상한 그녀</v>
      </c>
      <c r="C1756" s="12">
        <v>9.09</v>
      </c>
      <c r="D1756" s="13" t="s">
        <v>3669</v>
      </c>
      <c r="E1756" s="10" t="s">
        <v>13</v>
      </c>
      <c r="F1756" s="10">
        <v>2014</v>
      </c>
      <c r="G1756" s="10" t="s">
        <v>14</v>
      </c>
      <c r="H1756" s="11" t="s">
        <v>91</v>
      </c>
      <c r="I1756" s="10" t="s">
        <v>183</v>
      </c>
      <c r="J1756" s="131"/>
      <c r="K1756" s="149" t="s">
        <v>3670</v>
      </c>
    </row>
    <row r="1757" spans="1:11" ht="28.9" customHeight="1" thickTop="1" thickBot="1" x14ac:dyDescent="0.75">
      <c r="A1757" s="6">
        <v>1755</v>
      </c>
      <c r="B1757" s="57" t="str">
        <f>HYPERLINK("https://search.naver.com/search.naver?query=수색자 영화", "수색자")</f>
        <v>수색자</v>
      </c>
      <c r="C1757" s="8">
        <v>7.74</v>
      </c>
      <c r="D1757" s="9" t="s">
        <v>3671</v>
      </c>
      <c r="E1757" s="6" t="s">
        <v>13</v>
      </c>
      <c r="F1757" s="6">
        <v>2021</v>
      </c>
      <c r="G1757" s="6" t="s">
        <v>14</v>
      </c>
      <c r="H1757" s="7" t="s">
        <v>124</v>
      </c>
      <c r="I1757" s="6" t="s">
        <v>150</v>
      </c>
      <c r="J1757" s="130"/>
      <c r="K1757" s="148" t="s">
        <v>3672</v>
      </c>
    </row>
    <row r="1758" spans="1:11" ht="28.9" customHeight="1" thickTop="1" thickBot="1" x14ac:dyDescent="0.75">
      <c r="A1758" s="10">
        <v>1756</v>
      </c>
      <c r="B1758" s="58" t="str">
        <f>HYPERLINK("https://search.naver.com/search.naver?query=수영장으로 간 남자들 영화", "수영장으로 간 남자들")</f>
        <v>수영장으로 간 남자들</v>
      </c>
      <c r="C1758" s="12">
        <v>9.06</v>
      </c>
      <c r="D1758" s="13" t="s">
        <v>3673</v>
      </c>
      <c r="E1758" s="10" t="s">
        <v>310</v>
      </c>
      <c r="F1758" s="10">
        <v>2019</v>
      </c>
      <c r="G1758" s="10" t="s">
        <v>14</v>
      </c>
      <c r="H1758" s="11" t="s">
        <v>91</v>
      </c>
      <c r="I1758" s="10" t="s">
        <v>141</v>
      </c>
      <c r="J1758" s="131"/>
      <c r="K1758" s="149" t="s">
        <v>3674</v>
      </c>
    </row>
    <row r="1759" spans="1:11" ht="28.9" customHeight="1" thickTop="1" thickBot="1" x14ac:dyDescent="0.75">
      <c r="A1759" s="6">
        <v>1757</v>
      </c>
      <c r="B1759" s="57" t="str">
        <f>HYPERLINK("https://search.naver.com/search.naver?query=순정 영화", "순정")</f>
        <v>순정</v>
      </c>
      <c r="C1759" s="8">
        <v>8.93</v>
      </c>
      <c r="D1759" s="9" t="s">
        <v>3675</v>
      </c>
      <c r="E1759" s="6" t="s">
        <v>13</v>
      </c>
      <c r="F1759" s="6">
        <v>2015</v>
      </c>
      <c r="G1759" s="6" t="s">
        <v>14</v>
      </c>
      <c r="H1759" s="7" t="s">
        <v>165</v>
      </c>
      <c r="I1759" s="6" t="s">
        <v>133</v>
      </c>
      <c r="J1759" s="130"/>
      <c r="K1759" s="148" t="s">
        <v>3676</v>
      </c>
    </row>
    <row r="1760" spans="1:11" ht="28.9" customHeight="1" thickTop="1" thickBot="1" x14ac:dyDescent="0.75">
      <c r="A1760" s="10">
        <v>1758</v>
      </c>
      <c r="B1760" s="58" t="str">
        <f>HYPERLINK("https://search.naver.com/search.naver?query=숨바꼭질 영화", "숨바꼭질")</f>
        <v>숨바꼭질</v>
      </c>
      <c r="C1760" s="12">
        <v>6.73</v>
      </c>
      <c r="D1760" s="13" t="s">
        <v>3677</v>
      </c>
      <c r="E1760" s="10" t="s">
        <v>13</v>
      </c>
      <c r="F1760" s="10">
        <v>2013</v>
      </c>
      <c r="G1760" s="10" t="s">
        <v>14</v>
      </c>
      <c r="H1760" s="11" t="s">
        <v>54</v>
      </c>
      <c r="I1760" s="10" t="s">
        <v>101</v>
      </c>
      <c r="J1760" s="131"/>
      <c r="K1760" s="149" t="s">
        <v>3678</v>
      </c>
    </row>
    <row r="1761" spans="1:11" ht="28.9" customHeight="1" thickTop="1" thickBot="1" x14ac:dyDescent="0.75">
      <c r="A1761" s="6">
        <v>1759</v>
      </c>
      <c r="B1761" s="57" t="str">
        <f>HYPERLINK("https://search.naver.com/search.naver?query=쉐프 영화", "쉐프")</f>
        <v>쉐프</v>
      </c>
      <c r="C1761" s="8">
        <v>8.85</v>
      </c>
      <c r="D1761" s="9" t="s">
        <v>1227</v>
      </c>
      <c r="E1761" s="6" t="s">
        <v>24</v>
      </c>
      <c r="F1761" s="6">
        <v>2012</v>
      </c>
      <c r="G1761" s="6" t="s">
        <v>14</v>
      </c>
      <c r="H1761" s="7" t="s">
        <v>20</v>
      </c>
      <c r="I1761" s="6" t="s">
        <v>150</v>
      </c>
      <c r="J1761" s="130"/>
      <c r="K1761" s="148" t="s">
        <v>2360</v>
      </c>
    </row>
    <row r="1762" spans="1:11" ht="28.9" customHeight="1" thickTop="1" thickBot="1" x14ac:dyDescent="0.75">
      <c r="A1762" s="10">
        <v>1760</v>
      </c>
      <c r="B1762" s="58" t="str">
        <f>HYPERLINK("https://search.naver.com/search.naver?query=쉘터 영화", "쉘터")</f>
        <v>쉘터</v>
      </c>
      <c r="C1762" s="12"/>
      <c r="D1762" s="13" t="s">
        <v>3679</v>
      </c>
      <c r="E1762" s="10" t="s">
        <v>24</v>
      </c>
      <c r="F1762" s="10">
        <v>2026</v>
      </c>
      <c r="G1762" s="10" t="s">
        <v>14</v>
      </c>
      <c r="H1762" s="11" t="s">
        <v>20</v>
      </c>
      <c r="I1762" s="10" t="s">
        <v>150</v>
      </c>
      <c r="J1762" s="131"/>
      <c r="K1762" s="149" t="s">
        <v>3680</v>
      </c>
    </row>
    <row r="1763" spans="1:11" ht="28.9" customHeight="1" thickTop="1" thickBot="1" x14ac:dyDescent="0.75">
      <c r="A1763" s="6">
        <v>1761</v>
      </c>
      <c r="B1763" s="57" t="str">
        <f>HYPERLINK("https://search.naver.com/search.naver?query=쉬핑뉴스 영화", "쉬핑뉴스")</f>
        <v>쉬핑뉴스</v>
      </c>
      <c r="C1763" s="8">
        <v>7.95</v>
      </c>
      <c r="D1763" s="9" t="s">
        <v>3681</v>
      </c>
      <c r="E1763" s="6" t="s">
        <v>24</v>
      </c>
      <c r="F1763" s="6">
        <v>2001</v>
      </c>
      <c r="G1763" s="6" t="s">
        <v>14</v>
      </c>
      <c r="H1763" s="7" t="s">
        <v>20</v>
      </c>
      <c r="I1763" s="6" t="s">
        <v>137</v>
      </c>
      <c r="J1763" s="130"/>
      <c r="K1763" s="148" t="s">
        <v>3682</v>
      </c>
    </row>
    <row r="1764" spans="1:11" ht="28.9" customHeight="1" thickTop="1" thickBot="1" x14ac:dyDescent="0.75">
      <c r="A1764" s="10">
        <v>1762</v>
      </c>
      <c r="B1764" s="59" t="str">
        <f>HYPERLINK("https://search.naver.com/search.naver?query=슈츠 시즌1", "슈츠 시즌1")</f>
        <v>슈츠 시즌1</v>
      </c>
      <c r="C1764" s="16"/>
      <c r="D1764" s="17" t="s">
        <v>3683</v>
      </c>
      <c r="E1764" s="14" t="s">
        <v>24</v>
      </c>
      <c r="F1764" s="14">
        <v>2011</v>
      </c>
      <c r="G1764" s="14" t="s">
        <v>20</v>
      </c>
      <c r="H1764" s="15" t="s">
        <v>20</v>
      </c>
      <c r="I1764" s="14" t="s">
        <v>1588</v>
      </c>
      <c r="J1764" s="132"/>
      <c r="K1764" s="150" t="s">
        <v>570</v>
      </c>
    </row>
    <row r="1765" spans="1:11" ht="28.9" customHeight="1" thickTop="1" thickBot="1" x14ac:dyDescent="0.75">
      <c r="A1765" s="6">
        <v>1763</v>
      </c>
      <c r="B1765" s="59" t="str">
        <f>HYPERLINK("https://search.naver.com/search.naver?query=슈츠 시즌2", "슈츠 시즌2")</f>
        <v>슈츠 시즌2</v>
      </c>
      <c r="C1765" s="16"/>
      <c r="D1765" s="17" t="s">
        <v>3683</v>
      </c>
      <c r="E1765" s="14" t="s">
        <v>24</v>
      </c>
      <c r="F1765" s="14">
        <v>2012</v>
      </c>
      <c r="G1765" s="14" t="s">
        <v>20</v>
      </c>
      <c r="H1765" s="15" t="s">
        <v>20</v>
      </c>
      <c r="I1765" s="14" t="s">
        <v>825</v>
      </c>
      <c r="J1765" s="132"/>
      <c r="K1765" s="150" t="s">
        <v>3684</v>
      </c>
    </row>
    <row r="1766" spans="1:11" ht="28.9" customHeight="1" thickTop="1" thickBot="1" x14ac:dyDescent="0.75">
      <c r="A1766" s="10">
        <v>1764</v>
      </c>
      <c r="B1766" s="59" t="str">
        <f>HYPERLINK("https://search.naver.com/search.naver?query=슈츠 시즌3", "슈츠 시즌3")</f>
        <v>슈츠 시즌3</v>
      </c>
      <c r="C1766" s="16"/>
      <c r="D1766" s="17" t="s">
        <v>3683</v>
      </c>
      <c r="E1766" s="14" t="s">
        <v>24</v>
      </c>
      <c r="F1766" s="14">
        <v>2013</v>
      </c>
      <c r="G1766" s="14" t="s">
        <v>20</v>
      </c>
      <c r="H1766" s="15" t="s">
        <v>20</v>
      </c>
      <c r="I1766" s="14" t="s">
        <v>825</v>
      </c>
      <c r="J1766" s="132"/>
      <c r="K1766" s="150" t="s">
        <v>3685</v>
      </c>
    </row>
    <row r="1767" spans="1:11" ht="28.9" customHeight="1" thickTop="1" thickBot="1" x14ac:dyDescent="0.75">
      <c r="A1767" s="6">
        <v>1765</v>
      </c>
      <c r="B1767" s="59" t="str">
        <f>HYPERLINK("https://search.naver.com/search.naver?query=슈츠 시즌4", "슈츠 시즌4")</f>
        <v>슈츠 시즌4</v>
      </c>
      <c r="C1767" s="16"/>
      <c r="D1767" s="17" t="s">
        <v>3683</v>
      </c>
      <c r="E1767" s="14" t="s">
        <v>24</v>
      </c>
      <c r="F1767" s="14">
        <v>2014</v>
      </c>
      <c r="G1767" s="14" t="s">
        <v>20</v>
      </c>
      <c r="H1767" s="15" t="s">
        <v>20</v>
      </c>
      <c r="I1767" s="14" t="s">
        <v>825</v>
      </c>
      <c r="J1767" s="132"/>
      <c r="K1767" s="150" t="s">
        <v>3686</v>
      </c>
    </row>
    <row r="1768" spans="1:11" ht="28.9" customHeight="1" thickTop="1" thickBot="1" x14ac:dyDescent="0.75">
      <c r="A1768" s="10">
        <v>1766</v>
      </c>
      <c r="B1768" s="59" t="str">
        <f>HYPERLINK("https://search.naver.com/search.naver?query=슈츠 시즌5", "슈츠 시즌5")</f>
        <v>슈츠 시즌5</v>
      </c>
      <c r="C1768" s="16"/>
      <c r="D1768" s="17" t="s">
        <v>3683</v>
      </c>
      <c r="E1768" s="14" t="s">
        <v>24</v>
      </c>
      <c r="F1768" s="14">
        <v>2015</v>
      </c>
      <c r="G1768" s="14" t="s">
        <v>20</v>
      </c>
      <c r="H1768" s="15" t="s">
        <v>20</v>
      </c>
      <c r="I1768" s="14" t="s">
        <v>825</v>
      </c>
      <c r="J1768" s="132"/>
      <c r="K1768" s="150" t="s">
        <v>3687</v>
      </c>
    </row>
    <row r="1769" spans="1:11" ht="28.9" customHeight="1" thickTop="1" thickBot="1" x14ac:dyDescent="0.75">
      <c r="A1769" s="6">
        <v>1767</v>
      </c>
      <c r="B1769" s="59" t="str">
        <f>HYPERLINK("https://search.naver.com/search.naver?query=슈츠 시즌6", "슈츠 시즌6")</f>
        <v>슈츠 시즌6</v>
      </c>
      <c r="C1769" s="16"/>
      <c r="D1769" s="17" t="s">
        <v>3683</v>
      </c>
      <c r="E1769" s="14" t="s">
        <v>24</v>
      </c>
      <c r="F1769" s="14">
        <v>2016</v>
      </c>
      <c r="G1769" s="14" t="s">
        <v>20</v>
      </c>
      <c r="H1769" s="15" t="s">
        <v>20</v>
      </c>
      <c r="I1769" s="14" t="s">
        <v>825</v>
      </c>
      <c r="J1769" s="132"/>
      <c r="K1769" s="150" t="s">
        <v>3688</v>
      </c>
    </row>
    <row r="1770" spans="1:11" ht="28.9" customHeight="1" thickTop="1" thickBot="1" x14ac:dyDescent="0.75">
      <c r="A1770" s="10">
        <v>1768</v>
      </c>
      <c r="B1770" s="59" t="str">
        <f>HYPERLINK("https://search.naver.com/search.naver?query=슈츠 시즌7", "슈츠 시즌7")</f>
        <v>슈츠 시즌7</v>
      </c>
      <c r="C1770" s="16"/>
      <c r="D1770" s="17" t="s">
        <v>3683</v>
      </c>
      <c r="E1770" s="14" t="s">
        <v>24</v>
      </c>
      <c r="F1770" s="14">
        <v>2017</v>
      </c>
      <c r="G1770" s="14" t="s">
        <v>20</v>
      </c>
      <c r="H1770" s="15" t="s">
        <v>20</v>
      </c>
      <c r="I1770" s="14" t="s">
        <v>825</v>
      </c>
      <c r="J1770" s="132"/>
      <c r="K1770" s="150" t="s">
        <v>2841</v>
      </c>
    </row>
    <row r="1771" spans="1:11" ht="28.9" customHeight="1" thickTop="1" thickBot="1" x14ac:dyDescent="0.75">
      <c r="A1771" s="6">
        <v>1769</v>
      </c>
      <c r="B1771" s="59" t="str">
        <f>HYPERLINK("https://search.naver.com/search.naver?query=슈츠 시즌8", "슈츠 시즌8")</f>
        <v>슈츠 시즌8</v>
      </c>
      <c r="C1771" s="16"/>
      <c r="D1771" s="17" t="s">
        <v>3689</v>
      </c>
      <c r="E1771" s="14" t="s">
        <v>24</v>
      </c>
      <c r="F1771" s="14">
        <v>2018</v>
      </c>
      <c r="G1771" s="14" t="s">
        <v>20</v>
      </c>
      <c r="H1771" s="15" t="s">
        <v>20</v>
      </c>
      <c r="I1771" s="14" t="s">
        <v>825</v>
      </c>
      <c r="J1771" s="132"/>
      <c r="K1771" s="150" t="s">
        <v>2306</v>
      </c>
    </row>
    <row r="1772" spans="1:11" ht="28.9" customHeight="1" thickTop="1" thickBot="1" x14ac:dyDescent="0.75">
      <c r="A1772" s="10">
        <v>1770</v>
      </c>
      <c r="B1772" s="59" t="str">
        <f>HYPERLINK("https://search.naver.com/search.naver?query=슈츠 시즌9", "슈츠 시즌9")</f>
        <v>슈츠 시즌9</v>
      </c>
      <c r="C1772" s="16"/>
      <c r="D1772" s="17" t="s">
        <v>3690</v>
      </c>
      <c r="E1772" s="14" t="s">
        <v>24</v>
      </c>
      <c r="F1772" s="14">
        <v>2019</v>
      </c>
      <c r="G1772" s="14" t="s">
        <v>20</v>
      </c>
      <c r="H1772" s="15" t="s">
        <v>20</v>
      </c>
      <c r="I1772" s="14" t="s">
        <v>64</v>
      </c>
      <c r="J1772" s="132"/>
      <c r="K1772" s="150" t="s">
        <v>3691</v>
      </c>
    </row>
    <row r="1773" spans="1:11" ht="28.9" customHeight="1" thickTop="1" thickBot="1" x14ac:dyDescent="0.75">
      <c r="A1773" s="6">
        <v>1771</v>
      </c>
      <c r="B1773" s="57" t="str">
        <f>HYPERLINK("https://search.naver.com/search.naver?query=슈퍼노바 영화", "슈퍼노바")</f>
        <v>슈퍼노바</v>
      </c>
      <c r="C1773" s="8">
        <v>7.34</v>
      </c>
      <c r="D1773" s="9" t="s">
        <v>3692</v>
      </c>
      <c r="E1773" s="6" t="s">
        <v>29</v>
      </c>
      <c r="F1773" s="6">
        <v>2020</v>
      </c>
      <c r="G1773" s="6" t="s">
        <v>14</v>
      </c>
      <c r="H1773" s="7" t="s">
        <v>20</v>
      </c>
      <c r="I1773" s="6" t="s">
        <v>125</v>
      </c>
      <c r="J1773" s="130"/>
      <c r="K1773" s="148" t="s">
        <v>3693</v>
      </c>
    </row>
    <row r="1774" spans="1:11" ht="28.9" customHeight="1" thickTop="1" thickBot="1" x14ac:dyDescent="0.75">
      <c r="A1774" s="10">
        <v>1772</v>
      </c>
      <c r="B1774" s="58" t="str">
        <f>HYPERLINK("https://search.naver.com/search.naver?query=스기하라 지우네 영화", "스기하라 지우네")</f>
        <v>스기하라 지우네</v>
      </c>
      <c r="C1774" s="12"/>
      <c r="D1774" s="13" t="s">
        <v>3694</v>
      </c>
      <c r="E1774" s="10" t="s">
        <v>19</v>
      </c>
      <c r="F1774" s="10">
        <v>2015</v>
      </c>
      <c r="G1774" s="10" t="s">
        <v>14</v>
      </c>
      <c r="H1774" s="11" t="s">
        <v>20</v>
      </c>
      <c r="I1774" s="10" t="s">
        <v>179</v>
      </c>
      <c r="J1774" s="131"/>
      <c r="K1774" s="149" t="s">
        <v>3695</v>
      </c>
    </row>
    <row r="1775" spans="1:11" ht="28.9" customHeight="1" thickTop="1" thickBot="1" x14ac:dyDescent="0.75">
      <c r="A1775" s="6">
        <v>1773</v>
      </c>
      <c r="B1775" s="57" t="str">
        <f>HYPERLINK("https://search.naver.com/search.naver?query=스기하라 치우네 영화", "스기하라 치우네")</f>
        <v>스기하라 치우네</v>
      </c>
      <c r="C1775" s="8">
        <v>6.4</v>
      </c>
      <c r="D1775" s="9" t="s">
        <v>3694</v>
      </c>
      <c r="E1775" s="6" t="s">
        <v>19</v>
      </c>
      <c r="F1775" s="6">
        <v>2015</v>
      </c>
      <c r="G1775" s="6" t="s">
        <v>14</v>
      </c>
      <c r="H1775" s="7" t="s">
        <v>20</v>
      </c>
      <c r="I1775" s="6" t="s">
        <v>179</v>
      </c>
      <c r="J1775" s="130"/>
      <c r="K1775" s="148" t="s">
        <v>3696</v>
      </c>
    </row>
    <row r="1776" spans="1:11" ht="28.9" customHeight="1" thickTop="1" thickBot="1" x14ac:dyDescent="0.75">
      <c r="A1776" s="10">
        <v>1774</v>
      </c>
      <c r="B1776" s="58" t="str">
        <f>HYPERLINK("https://search.naver.com/search.naver?query=스나이퍼 얼티밋 킬 영화", "스나이퍼 - 얼티밋 킬")</f>
        <v>스나이퍼 - 얼티밋 킬</v>
      </c>
      <c r="C1776" s="12"/>
      <c r="D1776" s="13" t="s">
        <v>3697</v>
      </c>
      <c r="E1776" s="10" t="s">
        <v>24</v>
      </c>
      <c r="F1776" s="10">
        <v>2017</v>
      </c>
      <c r="G1776" s="10" t="s">
        <v>14</v>
      </c>
      <c r="H1776" s="11" t="s">
        <v>124</v>
      </c>
      <c r="I1776" s="10" t="s">
        <v>125</v>
      </c>
      <c r="J1776" s="131"/>
      <c r="K1776" s="149" t="s">
        <v>3698</v>
      </c>
    </row>
    <row r="1777" spans="1:11" ht="28.9" customHeight="1" thickTop="1" thickBot="1" x14ac:dyDescent="0.75">
      <c r="A1777" s="6">
        <v>1775</v>
      </c>
      <c r="B1777" s="57" t="str">
        <f>HYPERLINK("https://search.naver.com/search.naver?query=스나이퍼 특수작전부대 영화", "스나이퍼 - 특수작전부대")</f>
        <v>스나이퍼 - 특수작전부대</v>
      </c>
      <c r="C1777" s="8">
        <v>3.35</v>
      </c>
      <c r="D1777" s="9" t="s">
        <v>3699</v>
      </c>
      <c r="E1777" s="6" t="s">
        <v>24</v>
      </c>
      <c r="F1777" s="6">
        <v>2016</v>
      </c>
      <c r="G1777" s="6" t="s">
        <v>14</v>
      </c>
      <c r="H1777" s="7" t="s">
        <v>124</v>
      </c>
      <c r="I1777" s="6" t="s">
        <v>1705</v>
      </c>
      <c r="J1777" s="130"/>
      <c r="K1777" s="148" t="s">
        <v>3700</v>
      </c>
    </row>
    <row r="1778" spans="1:11" ht="28.9" customHeight="1" thickTop="1" thickBot="1" x14ac:dyDescent="0.75">
      <c r="A1778" s="10">
        <v>1776</v>
      </c>
      <c r="B1778" s="58" t="str">
        <f>HYPERLINK("https://search.naver.com/search.naver?query=스나이퍼 고스트 슈터 영화", "스나이퍼 고스트 슈터")</f>
        <v>스나이퍼 고스트 슈터</v>
      </c>
      <c r="C1778" s="12">
        <v>5.31</v>
      </c>
      <c r="D1778" s="13" t="s">
        <v>3701</v>
      </c>
      <c r="E1778" s="10" t="s">
        <v>24</v>
      </c>
      <c r="F1778" s="10">
        <v>2016</v>
      </c>
      <c r="G1778" s="10" t="s">
        <v>14</v>
      </c>
      <c r="H1778" s="11" t="s">
        <v>124</v>
      </c>
      <c r="I1778" s="10" t="s">
        <v>109</v>
      </c>
      <c r="J1778" s="131"/>
      <c r="K1778" s="149" t="s">
        <v>3702</v>
      </c>
    </row>
    <row r="1779" spans="1:11" ht="28.9" customHeight="1" thickTop="1" thickBot="1" x14ac:dyDescent="0.75">
      <c r="A1779" s="6">
        <v>1777</v>
      </c>
      <c r="B1779" s="57" t="str">
        <f>HYPERLINK("https://search.naver.com/search.naver?query=스나이퍼 라스트 미션 영화", "스나이퍼 라스트 미션")</f>
        <v>스나이퍼 라스트 미션</v>
      </c>
      <c r="C1779" s="8">
        <v>7</v>
      </c>
      <c r="D1779" s="9" t="s">
        <v>3703</v>
      </c>
      <c r="E1779" s="6" t="s">
        <v>24</v>
      </c>
      <c r="F1779" s="6">
        <v>2019</v>
      </c>
      <c r="G1779" s="6" t="s">
        <v>14</v>
      </c>
      <c r="H1779" s="7" t="s">
        <v>124</v>
      </c>
      <c r="I1779" s="6" t="s">
        <v>150</v>
      </c>
      <c r="J1779" s="130"/>
      <c r="K1779" s="148" t="s">
        <v>3704</v>
      </c>
    </row>
    <row r="1780" spans="1:11" ht="28.9" customHeight="1" thickTop="1" thickBot="1" x14ac:dyDescent="0.75">
      <c r="A1780" s="10">
        <v>1778</v>
      </c>
      <c r="B1780" s="58" t="str">
        <f>HYPERLINK("https://search.naver.com/search.naver?query=스나이퍼 암살자의 최후 영화", "스나이퍼 암살자의 최후")</f>
        <v>스나이퍼 암살자의 최후</v>
      </c>
      <c r="C1780" s="12">
        <v>5.78</v>
      </c>
      <c r="D1780" s="13" t="s">
        <v>3705</v>
      </c>
      <c r="E1780" s="10" t="s">
        <v>24</v>
      </c>
      <c r="F1780" s="10">
        <v>2020</v>
      </c>
      <c r="G1780" s="10" t="s">
        <v>14</v>
      </c>
      <c r="H1780" s="11" t="s">
        <v>124</v>
      </c>
      <c r="I1780" s="10" t="s">
        <v>150</v>
      </c>
      <c r="J1780" s="131"/>
      <c r="K1780" s="149" t="s">
        <v>3706</v>
      </c>
    </row>
    <row r="1781" spans="1:11" ht="28.9" customHeight="1" thickTop="1" thickBot="1" x14ac:dyDescent="0.75">
      <c r="A1781" s="6">
        <v>1779</v>
      </c>
      <c r="B1781" s="57" t="str">
        <f>HYPERLINK("https://search.naver.com/search.naver?query=스노든 영화", "스노든")</f>
        <v>스노든</v>
      </c>
      <c r="C1781" s="8">
        <v>8.86</v>
      </c>
      <c r="D1781" s="9" t="s">
        <v>3707</v>
      </c>
      <c r="E1781" s="6" t="s">
        <v>24</v>
      </c>
      <c r="F1781" s="6">
        <v>2016</v>
      </c>
      <c r="G1781" s="6" t="s">
        <v>14</v>
      </c>
      <c r="H1781" s="7" t="s">
        <v>20</v>
      </c>
      <c r="I1781" s="6" t="s">
        <v>917</v>
      </c>
      <c r="J1781" s="130"/>
      <c r="K1781" s="148" t="s">
        <v>3708</v>
      </c>
    </row>
    <row r="1782" spans="1:11" ht="28.9" customHeight="1" thickTop="1" thickBot="1" x14ac:dyDescent="0.75">
      <c r="A1782" s="10">
        <v>1780</v>
      </c>
      <c r="B1782" s="58" t="str">
        <f>HYPERLINK("https://search.naver.com/search.naver?query=스노우맨 영화", "스노우맨")</f>
        <v>스노우맨</v>
      </c>
      <c r="C1782" s="12">
        <v>5.68</v>
      </c>
      <c r="D1782" s="13" t="s">
        <v>3709</v>
      </c>
      <c r="E1782" s="10" t="s">
        <v>29</v>
      </c>
      <c r="F1782" s="10">
        <v>2017</v>
      </c>
      <c r="G1782" s="10" t="s">
        <v>14</v>
      </c>
      <c r="H1782" s="11" t="s">
        <v>428</v>
      </c>
      <c r="I1782" s="10" t="s">
        <v>68</v>
      </c>
      <c r="J1782" s="131"/>
      <c r="K1782" s="149" t="s">
        <v>3710</v>
      </c>
    </row>
    <row r="1783" spans="1:11" ht="28.9" customHeight="1" thickTop="1" thickBot="1" x14ac:dyDescent="0.75">
      <c r="A1783" s="6">
        <v>1781</v>
      </c>
      <c r="B1783" s="57" t="str">
        <f>HYPERLINK("https://search.naver.com/search.naver?query=스노우워커 영화", "스노우워커")</f>
        <v>스노우워커</v>
      </c>
      <c r="C1783" s="8">
        <v>8.99</v>
      </c>
      <c r="D1783" s="9" t="s">
        <v>3711</v>
      </c>
      <c r="E1783" s="6" t="s">
        <v>275</v>
      </c>
      <c r="F1783" s="6">
        <v>2003</v>
      </c>
      <c r="G1783" s="6" t="s">
        <v>14</v>
      </c>
      <c r="H1783" s="7" t="s">
        <v>20</v>
      </c>
      <c r="I1783" s="6" t="s">
        <v>276</v>
      </c>
      <c r="J1783" s="130"/>
      <c r="K1783" s="148" t="s">
        <v>3712</v>
      </c>
    </row>
    <row r="1784" spans="1:11" ht="28.9" customHeight="1" thickTop="1" thickBot="1" x14ac:dyDescent="0.75">
      <c r="A1784" s="10">
        <v>1782</v>
      </c>
      <c r="B1784" s="58" t="str">
        <f>HYPERLINK("https://search.naver.com/search.naver?query=스니치 영화", "스니치")</f>
        <v>스니치</v>
      </c>
      <c r="C1784" s="12">
        <v>8.41</v>
      </c>
      <c r="D1784" s="13" t="s">
        <v>3713</v>
      </c>
      <c r="E1784" s="10" t="s">
        <v>24</v>
      </c>
      <c r="F1784" s="10">
        <v>2013</v>
      </c>
      <c r="G1784" s="10" t="s">
        <v>14</v>
      </c>
      <c r="H1784" s="11" t="s">
        <v>124</v>
      </c>
      <c r="I1784" s="10" t="s">
        <v>429</v>
      </c>
      <c r="J1784" s="131"/>
      <c r="K1784" s="149" t="s">
        <v>3714</v>
      </c>
    </row>
    <row r="1785" spans="1:11" ht="28.9" customHeight="1" thickTop="1" thickBot="1" x14ac:dyDescent="0.75">
      <c r="A1785" s="6">
        <v>1783</v>
      </c>
      <c r="B1785" s="57" t="str">
        <f>HYPERLINK("https://search.naver.com/search.naver?query=스마트폰을 떨어뜨렸을 뿐인데 영화", "스마트폰을 떨어뜨렸을 뿐인데")</f>
        <v>스마트폰을 떨어뜨렸을 뿐인데</v>
      </c>
      <c r="C1785" s="8">
        <v>6.88</v>
      </c>
      <c r="D1785" s="9" t="s">
        <v>3715</v>
      </c>
      <c r="E1785" s="6" t="s">
        <v>19</v>
      </c>
      <c r="F1785" s="6">
        <v>2018</v>
      </c>
      <c r="G1785" s="6" t="s">
        <v>14</v>
      </c>
      <c r="H1785" s="7" t="s">
        <v>54</v>
      </c>
      <c r="I1785" s="6" t="s">
        <v>591</v>
      </c>
      <c r="J1785" s="130"/>
      <c r="K1785" s="148" t="s">
        <v>3716</v>
      </c>
    </row>
    <row r="1786" spans="1:11" ht="28.9" customHeight="1" thickTop="1" thickBot="1" x14ac:dyDescent="0.75">
      <c r="A1786" s="10">
        <v>1784</v>
      </c>
      <c r="B1786" s="58" t="str">
        <f>HYPERLINK("https://search.naver.com/search.naver?query=스매쉬드 영화", "스매쉬드")</f>
        <v>스매쉬드</v>
      </c>
      <c r="C1786" s="12">
        <v>6.4</v>
      </c>
      <c r="D1786" s="13" t="s">
        <v>3717</v>
      </c>
      <c r="E1786" s="10" t="s">
        <v>24</v>
      </c>
      <c r="F1786" s="10">
        <v>2012</v>
      </c>
      <c r="G1786" s="10" t="s">
        <v>14</v>
      </c>
      <c r="H1786" s="11" t="s">
        <v>20</v>
      </c>
      <c r="I1786" s="10" t="s">
        <v>904</v>
      </c>
      <c r="J1786" s="131"/>
      <c r="K1786" s="149" t="s">
        <v>3718</v>
      </c>
    </row>
    <row r="1787" spans="1:11" ht="28.9" customHeight="1" thickTop="1" thickBot="1" x14ac:dyDescent="0.75">
      <c r="A1787" s="6">
        <v>1785</v>
      </c>
      <c r="B1787" s="57" t="str">
        <f>HYPERLINK("https://search.naver.com/search.naver?query=스시 장인 지로의 꿈 영화", "스시 장인-지로의 꿈")</f>
        <v>스시 장인-지로의 꿈</v>
      </c>
      <c r="C1787" s="8">
        <v>6.4</v>
      </c>
      <c r="D1787" s="9" t="s">
        <v>3719</v>
      </c>
      <c r="E1787" s="6" t="s">
        <v>24</v>
      </c>
      <c r="F1787" s="6">
        <v>2011</v>
      </c>
      <c r="G1787" s="6" t="s">
        <v>14</v>
      </c>
      <c r="H1787" s="7" t="s">
        <v>226</v>
      </c>
      <c r="I1787" s="6" t="s">
        <v>904</v>
      </c>
      <c r="J1787" s="130"/>
      <c r="K1787" s="148" t="s">
        <v>3720</v>
      </c>
    </row>
    <row r="1788" spans="1:11" ht="28.9" customHeight="1" thickTop="1" thickBot="1" x14ac:dyDescent="0.75">
      <c r="A1788" s="10">
        <v>1786</v>
      </c>
      <c r="B1788" s="59" t="str">
        <f>HYPERLINK("https://search.naver.com/search.naver?query=스와트 시즌1", "스와트 시즌1")</f>
        <v>스와트 시즌1</v>
      </c>
      <c r="C1788" s="16"/>
      <c r="D1788" s="17" t="s">
        <v>3721</v>
      </c>
      <c r="E1788" s="14" t="s">
        <v>24</v>
      </c>
      <c r="F1788" s="14">
        <v>2017</v>
      </c>
      <c r="G1788" s="14" t="s">
        <v>20</v>
      </c>
      <c r="H1788" s="15" t="s">
        <v>229</v>
      </c>
      <c r="I1788" s="14" t="s">
        <v>569</v>
      </c>
      <c r="J1788" s="132"/>
      <c r="K1788" s="150" t="s">
        <v>3722</v>
      </c>
    </row>
    <row r="1789" spans="1:11" ht="28.9" customHeight="1" thickTop="1" thickBot="1" x14ac:dyDescent="0.75">
      <c r="A1789" s="6">
        <v>1787</v>
      </c>
      <c r="B1789" s="59" t="str">
        <f>HYPERLINK("https://search.naver.com/search.naver?query=스와트 시즌2", "스와트 시즌2")</f>
        <v>스와트 시즌2</v>
      </c>
      <c r="C1789" s="16"/>
      <c r="D1789" s="17" t="s">
        <v>3721</v>
      </c>
      <c r="E1789" s="14" t="s">
        <v>24</v>
      </c>
      <c r="F1789" s="14">
        <v>2018</v>
      </c>
      <c r="G1789" s="14" t="s">
        <v>20</v>
      </c>
      <c r="H1789" s="15" t="s">
        <v>229</v>
      </c>
      <c r="I1789" s="14" t="s">
        <v>566</v>
      </c>
      <c r="J1789" s="132"/>
      <c r="K1789" s="150" t="s">
        <v>3234</v>
      </c>
    </row>
    <row r="1790" spans="1:11" ht="28.9" customHeight="1" thickTop="1" thickBot="1" x14ac:dyDescent="0.75">
      <c r="A1790" s="10">
        <v>1788</v>
      </c>
      <c r="B1790" s="59" t="str">
        <f>HYPERLINK("https://search.naver.com/search.naver?query=스와트 시즌3", "스와트 시즌3")</f>
        <v>스와트 시즌3</v>
      </c>
      <c r="C1790" s="16"/>
      <c r="D1790" s="17" t="s">
        <v>3721</v>
      </c>
      <c r="E1790" s="14" t="s">
        <v>24</v>
      </c>
      <c r="F1790" s="14">
        <v>2019</v>
      </c>
      <c r="G1790" s="14" t="s">
        <v>20</v>
      </c>
      <c r="H1790" s="15" t="s">
        <v>229</v>
      </c>
      <c r="I1790" s="14" t="s">
        <v>3045</v>
      </c>
      <c r="J1790" s="132"/>
      <c r="K1790" s="150" t="s">
        <v>2684</v>
      </c>
    </row>
    <row r="1791" spans="1:11" ht="28.9" customHeight="1" thickTop="1" thickBot="1" x14ac:dyDescent="0.75">
      <c r="A1791" s="6">
        <v>1789</v>
      </c>
      <c r="B1791" s="59" t="str">
        <f>HYPERLINK("https://search.naver.com/search.naver?query=스와트 시즌4", "스와트 시즌4")</f>
        <v>스와트 시즌4</v>
      </c>
      <c r="C1791" s="16"/>
      <c r="D1791" s="17" t="s">
        <v>3721</v>
      </c>
      <c r="E1791" s="14" t="s">
        <v>24</v>
      </c>
      <c r="F1791" s="14">
        <v>2020</v>
      </c>
      <c r="G1791" s="14" t="s">
        <v>20</v>
      </c>
      <c r="H1791" s="15" t="s">
        <v>229</v>
      </c>
      <c r="I1791" s="14" t="s">
        <v>233</v>
      </c>
      <c r="J1791" s="132"/>
      <c r="K1791" s="150" t="s">
        <v>3723</v>
      </c>
    </row>
    <row r="1792" spans="1:11" ht="28.9" customHeight="1" thickTop="1" thickBot="1" x14ac:dyDescent="0.75">
      <c r="A1792" s="10">
        <v>1790</v>
      </c>
      <c r="B1792" s="59" t="str">
        <f>HYPERLINK("https://search.naver.com/search.naver?query=스와트 시즌5", "스와트 시즌5")</f>
        <v>스와트 시즌5</v>
      </c>
      <c r="C1792" s="16"/>
      <c r="D1792" s="17" t="s">
        <v>3721</v>
      </c>
      <c r="E1792" s="14" t="s">
        <v>24</v>
      </c>
      <c r="F1792" s="14">
        <v>2022</v>
      </c>
      <c r="G1792" s="14" t="s">
        <v>20</v>
      </c>
      <c r="H1792" s="15" t="s">
        <v>229</v>
      </c>
      <c r="I1792" s="14" t="s">
        <v>569</v>
      </c>
      <c r="J1792" s="132"/>
      <c r="K1792" s="150" t="s">
        <v>3724</v>
      </c>
    </row>
    <row r="1793" spans="1:11" ht="28.9" customHeight="1" thickTop="1" thickBot="1" x14ac:dyDescent="0.75">
      <c r="A1793" s="6">
        <v>1791</v>
      </c>
      <c r="B1793" s="59" t="str">
        <f>HYPERLINK("https://search.naver.com/search.naver?query=스와트 시즌7", "스와트 시즌7")</f>
        <v>스와트 시즌7</v>
      </c>
      <c r="C1793" s="16"/>
      <c r="D1793" s="17" t="s">
        <v>3721</v>
      </c>
      <c r="E1793" s="14" t="s">
        <v>24</v>
      </c>
      <c r="F1793" s="14">
        <v>2024</v>
      </c>
      <c r="G1793" s="14" t="s">
        <v>20</v>
      </c>
      <c r="H1793" s="15" t="s">
        <v>229</v>
      </c>
      <c r="I1793" s="14" t="s">
        <v>1108</v>
      </c>
      <c r="J1793" s="132"/>
      <c r="K1793" s="150" t="s">
        <v>3725</v>
      </c>
    </row>
    <row r="1794" spans="1:11" ht="28.9" customHeight="1" thickTop="1" thickBot="1" x14ac:dyDescent="0.75">
      <c r="A1794" s="10">
        <v>1792</v>
      </c>
      <c r="B1794" s="58" t="str">
        <f>HYPERLINK("https://search.naver.com/search.naver?query=스위칭 로맨스 영화", "스위칭 로맨스")</f>
        <v>스위칭 로맨스</v>
      </c>
      <c r="C1794" s="12">
        <v>6.4</v>
      </c>
      <c r="D1794" s="13" t="s">
        <v>3726</v>
      </c>
      <c r="E1794" s="10" t="s">
        <v>24</v>
      </c>
      <c r="F1794" s="10">
        <v>2023</v>
      </c>
      <c r="G1794" s="10" t="s">
        <v>14</v>
      </c>
      <c r="H1794" s="11" t="s">
        <v>91</v>
      </c>
      <c r="I1794" s="10" t="s">
        <v>150</v>
      </c>
      <c r="J1794" s="131"/>
      <c r="K1794" s="149" t="s">
        <v>3727</v>
      </c>
    </row>
    <row r="1795" spans="1:11" ht="28.9" customHeight="1" thickTop="1" thickBot="1" x14ac:dyDescent="0.75">
      <c r="A1795" s="6">
        <v>1793</v>
      </c>
      <c r="B1795" s="57" t="str">
        <f>HYPERLINK("https://search.naver.com/search.naver?query=스위트 리틀 라이즈 영화", "스위트 리틀 라이즈")</f>
        <v>스위트 리틀 라이즈</v>
      </c>
      <c r="C1795" s="8"/>
      <c r="D1795" s="9" t="s">
        <v>3728</v>
      </c>
      <c r="E1795" s="6" t="s">
        <v>136</v>
      </c>
      <c r="F1795" s="6">
        <v>2010</v>
      </c>
      <c r="G1795" s="6" t="s">
        <v>14</v>
      </c>
      <c r="H1795" s="7" t="s">
        <v>91</v>
      </c>
      <c r="I1795" s="6" t="s">
        <v>150</v>
      </c>
      <c r="J1795" s="130"/>
      <c r="K1795" s="148" t="s">
        <v>3729</v>
      </c>
    </row>
    <row r="1796" spans="1:11" ht="28.9" customHeight="1" thickTop="1" thickBot="1" x14ac:dyDescent="0.75">
      <c r="A1796" s="10">
        <v>1794</v>
      </c>
      <c r="B1796" s="58" t="str">
        <f>HYPERLINK("https://search.naver.com/search.naver?query=스윗 리틀 라이즈 영화", "스윗 리틀 라이즈")</f>
        <v>스윗 리틀 라이즈</v>
      </c>
      <c r="C1796" s="12">
        <v>6.4</v>
      </c>
      <c r="D1796" s="13" t="s">
        <v>3728</v>
      </c>
      <c r="E1796" s="10" t="s">
        <v>136</v>
      </c>
      <c r="F1796" s="10">
        <v>2010</v>
      </c>
      <c r="G1796" s="10" t="s">
        <v>14</v>
      </c>
      <c r="H1796" s="11" t="s">
        <v>91</v>
      </c>
      <c r="I1796" s="10" t="s">
        <v>150</v>
      </c>
      <c r="J1796" s="131"/>
      <c r="K1796" s="149" t="s">
        <v>3730</v>
      </c>
    </row>
    <row r="1797" spans="1:11" ht="28.9" customHeight="1" thickTop="1" thickBot="1" x14ac:dyDescent="0.75">
      <c r="A1797" s="6">
        <v>1795</v>
      </c>
      <c r="B1797" s="57" t="str">
        <f>HYPERLINK("https://search.naver.com/search.naver?query=스윗 프랑세즈 영화", "스윗 프랑세즈")</f>
        <v>스윗 프랑세즈</v>
      </c>
      <c r="C1797" s="8">
        <v>8.8699999999999992</v>
      </c>
      <c r="D1797" s="9" t="s">
        <v>3731</v>
      </c>
      <c r="E1797" s="6" t="s">
        <v>310</v>
      </c>
      <c r="F1797" s="6">
        <v>2014</v>
      </c>
      <c r="G1797" s="6" t="s">
        <v>14</v>
      </c>
      <c r="H1797" s="7" t="s">
        <v>91</v>
      </c>
      <c r="I1797" s="6" t="s">
        <v>150</v>
      </c>
      <c r="J1797" s="130"/>
      <c r="K1797" s="148" t="s">
        <v>3732</v>
      </c>
    </row>
    <row r="1798" spans="1:11" ht="28.9" customHeight="1" thickTop="1" thickBot="1" x14ac:dyDescent="0.75">
      <c r="A1798" s="10">
        <v>1796</v>
      </c>
      <c r="B1798" s="58" t="str">
        <f>HYPERLINK("https://search.naver.com/search.naver?query=스윙 보트 영화", "스윙 보트")</f>
        <v>스윙 보트</v>
      </c>
      <c r="C1798" s="12">
        <v>8.57</v>
      </c>
      <c r="D1798" s="13" t="s">
        <v>3733</v>
      </c>
      <c r="E1798" s="10" t="s">
        <v>24</v>
      </c>
      <c r="F1798" s="10">
        <v>2008</v>
      </c>
      <c r="G1798" s="10" t="s">
        <v>14</v>
      </c>
      <c r="H1798" s="11" t="s">
        <v>91</v>
      </c>
      <c r="I1798" s="10" t="s">
        <v>116</v>
      </c>
      <c r="J1798" s="131"/>
      <c r="K1798" s="149" t="s">
        <v>3734</v>
      </c>
    </row>
    <row r="1799" spans="1:11" ht="28.9" customHeight="1" thickTop="1" thickBot="1" x14ac:dyDescent="0.75">
      <c r="A1799" s="6">
        <v>1797</v>
      </c>
      <c r="B1799" s="57" t="str">
        <f>HYPERLINK("https://search.naver.com/search.naver?query=스윙키즈 영화", "스윙키즈")</f>
        <v>스윙키즈</v>
      </c>
      <c r="C1799" s="8">
        <v>8.93</v>
      </c>
      <c r="D1799" s="9" t="s">
        <v>3735</v>
      </c>
      <c r="E1799" s="6" t="s">
        <v>13</v>
      </c>
      <c r="F1799" s="6">
        <v>2018</v>
      </c>
      <c r="G1799" s="6" t="s">
        <v>14</v>
      </c>
      <c r="H1799" s="7" t="s">
        <v>20</v>
      </c>
      <c r="I1799" s="6" t="s">
        <v>112</v>
      </c>
      <c r="J1799" s="130"/>
      <c r="K1799" s="148" t="s">
        <v>3736</v>
      </c>
    </row>
    <row r="1800" spans="1:11" ht="28.9" customHeight="1" thickTop="1" thickBot="1" x14ac:dyDescent="0.75">
      <c r="A1800" s="10">
        <v>1798</v>
      </c>
      <c r="B1800" s="58" t="str">
        <f>HYPERLINK("https://search.naver.com/search.naver?query=스카이바운드 영화", "스카이바운드")</f>
        <v>스카이바운드</v>
      </c>
      <c r="C1800" s="12">
        <v>4.08</v>
      </c>
      <c r="D1800" s="13" t="s">
        <v>3737</v>
      </c>
      <c r="E1800" s="10" t="s">
        <v>136</v>
      </c>
      <c r="F1800" s="10">
        <v>2017</v>
      </c>
      <c r="G1800" s="10" t="s">
        <v>14</v>
      </c>
      <c r="H1800" s="11" t="s">
        <v>54</v>
      </c>
      <c r="I1800" s="10" t="s">
        <v>3738</v>
      </c>
      <c r="J1800" s="131"/>
      <c r="K1800" s="149" t="s">
        <v>3739</v>
      </c>
    </row>
    <row r="1801" spans="1:11" ht="28.9" customHeight="1" thickTop="1" thickBot="1" x14ac:dyDescent="0.75">
      <c r="A1801" s="6">
        <v>1799</v>
      </c>
      <c r="B1801" s="57" t="str">
        <f>HYPERLINK("https://search.naver.com/search.naver?query=스카이스크랩퍼 영화", "스카이스크랩퍼")</f>
        <v>스카이스크랩퍼</v>
      </c>
      <c r="C1801" s="8">
        <v>8.65</v>
      </c>
      <c r="D1801" s="9" t="s">
        <v>3740</v>
      </c>
      <c r="E1801" s="6" t="s">
        <v>24</v>
      </c>
      <c r="F1801" s="6">
        <v>2018</v>
      </c>
      <c r="G1801" s="6" t="s">
        <v>14</v>
      </c>
      <c r="H1801" s="7" t="s">
        <v>124</v>
      </c>
      <c r="I1801" s="6" t="s">
        <v>133</v>
      </c>
      <c r="J1801" s="130"/>
      <c r="K1801" s="148" t="s">
        <v>3741</v>
      </c>
    </row>
    <row r="1802" spans="1:11" ht="28.9" customHeight="1" thickTop="1" thickBot="1" x14ac:dyDescent="0.75">
      <c r="A1802" s="10">
        <v>1800</v>
      </c>
      <c r="B1802" s="58" t="str">
        <f>HYPERLINK("https://search.naver.com/search.naver?query=스케이터 걸 영화", "스케이터 걸")</f>
        <v>스케이터 걸</v>
      </c>
      <c r="C1802" s="12">
        <v>6</v>
      </c>
      <c r="D1802" s="13" t="s">
        <v>3742</v>
      </c>
      <c r="E1802" s="10" t="s">
        <v>581</v>
      </c>
      <c r="F1802" s="10">
        <v>2021</v>
      </c>
      <c r="G1802" s="10" t="s">
        <v>14</v>
      </c>
      <c r="H1802" s="11" t="s">
        <v>20</v>
      </c>
      <c r="I1802" s="10" t="s">
        <v>187</v>
      </c>
      <c r="J1802" s="131"/>
      <c r="K1802" s="149" t="s">
        <v>3743</v>
      </c>
    </row>
    <row r="1803" spans="1:11" ht="28.9" customHeight="1" thickTop="1" thickBot="1" x14ac:dyDescent="0.75">
      <c r="A1803" s="6">
        <v>1801</v>
      </c>
      <c r="B1803" s="57" t="str">
        <f>HYPERLINK("https://search.naver.com/search.naver?query=스코어 투 셔틀 영화", "스코어 투 셔틀")</f>
        <v>스코어 투 셔틀</v>
      </c>
      <c r="C1803" s="8">
        <v>6.4</v>
      </c>
      <c r="D1803" s="9" t="s">
        <v>3744</v>
      </c>
      <c r="E1803" s="6" t="s">
        <v>24</v>
      </c>
      <c r="F1803" s="6">
        <v>2019</v>
      </c>
      <c r="G1803" s="6" t="s">
        <v>14</v>
      </c>
      <c r="H1803" s="7" t="s">
        <v>124</v>
      </c>
      <c r="I1803" s="6" t="s">
        <v>242</v>
      </c>
      <c r="J1803" s="130"/>
      <c r="K1803" s="148" t="s">
        <v>3745</v>
      </c>
    </row>
    <row r="1804" spans="1:11" ht="28.9" customHeight="1" thickTop="1" thickBot="1" x14ac:dyDescent="0.75">
      <c r="A1804" s="10">
        <v>1802</v>
      </c>
      <c r="B1804" s="58" t="str">
        <f>HYPERLINK("https://search.naver.com/search.naver?query=스쿠프 영화", "스쿠프")</f>
        <v>스쿠프</v>
      </c>
      <c r="C1804" s="12">
        <v>7.6</v>
      </c>
      <c r="D1804" s="13" t="s">
        <v>3746</v>
      </c>
      <c r="E1804" s="10" t="s">
        <v>29</v>
      </c>
      <c r="F1804" s="10">
        <v>2006</v>
      </c>
      <c r="G1804" s="10" t="s">
        <v>14</v>
      </c>
      <c r="H1804" s="11" t="s">
        <v>54</v>
      </c>
      <c r="I1804" s="10" t="s">
        <v>80</v>
      </c>
      <c r="J1804" s="131"/>
      <c r="K1804" s="149" t="s">
        <v>3747</v>
      </c>
    </row>
    <row r="1805" spans="1:11" ht="28.9" customHeight="1" thickTop="1" thickBot="1" x14ac:dyDescent="0.75">
      <c r="A1805" s="6">
        <v>1803</v>
      </c>
      <c r="B1805" s="57" t="str">
        <f>HYPERLINK("https://search.naver.com/search.naver?query=스쿨 오브 락 영화", "스쿨 오브 락")</f>
        <v>스쿨 오브 락</v>
      </c>
      <c r="C1805" s="8">
        <v>9.2100000000000009</v>
      </c>
      <c r="D1805" s="9" t="s">
        <v>3748</v>
      </c>
      <c r="E1805" s="6" t="s">
        <v>24</v>
      </c>
      <c r="F1805" s="6">
        <v>2003</v>
      </c>
      <c r="G1805" s="6" t="s">
        <v>14</v>
      </c>
      <c r="H1805" s="7" t="s">
        <v>91</v>
      </c>
      <c r="I1805" s="6" t="s">
        <v>38</v>
      </c>
      <c r="J1805" s="130"/>
      <c r="K1805" s="148" t="s">
        <v>3017</v>
      </c>
    </row>
    <row r="1806" spans="1:11" ht="28.9" customHeight="1" thickTop="1" thickBot="1" x14ac:dyDescent="0.75">
      <c r="A1806" s="10">
        <v>1804</v>
      </c>
      <c r="B1806" s="58" t="str">
        <f>HYPERLINK("https://search.naver.com/search.naver?query=스크림 영화", "스크림")</f>
        <v>스크림</v>
      </c>
      <c r="C1806" s="12">
        <v>6.12</v>
      </c>
      <c r="D1806" s="13" t="s">
        <v>3749</v>
      </c>
      <c r="E1806" s="10" t="s">
        <v>24</v>
      </c>
      <c r="F1806" s="10">
        <v>2022</v>
      </c>
      <c r="G1806" s="10" t="s">
        <v>14</v>
      </c>
      <c r="H1806" s="11" t="s">
        <v>382</v>
      </c>
      <c r="I1806" s="10" t="s">
        <v>305</v>
      </c>
      <c r="J1806" s="131"/>
      <c r="K1806" s="149" t="s">
        <v>3750</v>
      </c>
    </row>
    <row r="1807" spans="1:11" ht="28.9" customHeight="1" thickTop="1" thickBot="1" x14ac:dyDescent="0.75">
      <c r="A1807" s="6">
        <v>1805</v>
      </c>
      <c r="B1807" s="57" t="str">
        <f>HYPERLINK("https://search.naver.com/search.naver?query=스킵트레이스 합동수사 영화", "스킵트레이스 - 합동수사")</f>
        <v>스킵트레이스 - 합동수사</v>
      </c>
      <c r="C1807" s="8">
        <v>8.41</v>
      </c>
      <c r="D1807" s="9" t="s">
        <v>3751</v>
      </c>
      <c r="E1807" s="6" t="s">
        <v>186</v>
      </c>
      <c r="F1807" s="6">
        <v>2016</v>
      </c>
      <c r="G1807" s="6" t="s">
        <v>14</v>
      </c>
      <c r="H1807" s="7" t="s">
        <v>124</v>
      </c>
      <c r="I1807" s="6" t="s">
        <v>101</v>
      </c>
      <c r="J1807" s="130"/>
      <c r="K1807" s="148" t="s">
        <v>3752</v>
      </c>
    </row>
    <row r="1808" spans="1:11" ht="28.9" customHeight="1" thickTop="1" thickBot="1" x14ac:dyDescent="0.75">
      <c r="A1808" s="10">
        <v>1806</v>
      </c>
      <c r="B1808" s="58" t="str">
        <f>HYPERLINK("https://search.naver.com/search.naver?query=스타 이즈 본 영화", "스타 이즈 본")</f>
        <v>스타 이즈 본</v>
      </c>
      <c r="C1808" s="12">
        <v>9.11</v>
      </c>
      <c r="D1808" s="13" t="s">
        <v>3753</v>
      </c>
      <c r="E1808" s="10" t="s">
        <v>24</v>
      </c>
      <c r="F1808" s="10">
        <v>2018</v>
      </c>
      <c r="G1808" s="10" t="s">
        <v>14</v>
      </c>
      <c r="H1808" s="11" t="s">
        <v>20</v>
      </c>
      <c r="I1808" s="10" t="s">
        <v>51</v>
      </c>
      <c r="J1808" s="131"/>
      <c r="K1808" s="149" t="s">
        <v>3754</v>
      </c>
    </row>
    <row r="1809" spans="1:11" ht="28.9" customHeight="1" thickTop="1" thickBot="1" x14ac:dyDescent="0.75">
      <c r="A1809" s="6">
        <v>1807</v>
      </c>
      <c r="B1809" s="57" t="str">
        <f>HYPERLINK("https://search.naver.com/search.naver?query=스타렛 영화", "스타렛")</f>
        <v>스타렛</v>
      </c>
      <c r="C1809" s="8">
        <v>8.2899999999999991</v>
      </c>
      <c r="D1809" s="9" t="s">
        <v>3755</v>
      </c>
      <c r="E1809" s="6" t="s">
        <v>24</v>
      </c>
      <c r="F1809" s="6">
        <v>2012</v>
      </c>
      <c r="G1809" s="6" t="s">
        <v>14</v>
      </c>
      <c r="H1809" s="7" t="s">
        <v>20</v>
      </c>
      <c r="I1809" s="6" t="s">
        <v>276</v>
      </c>
      <c r="J1809" s="130"/>
      <c r="K1809" s="148" t="s">
        <v>3210</v>
      </c>
    </row>
    <row r="1810" spans="1:11" ht="28.9" customHeight="1" thickTop="1" thickBot="1" x14ac:dyDescent="0.75">
      <c r="A1810" s="10">
        <v>1808</v>
      </c>
      <c r="B1810" s="58" t="str">
        <f>HYPERLINK("https://search.naver.com/search.naver?query=스타워즈 깨어난 포스 영화", "스타워즈 깨어난 포스")</f>
        <v>스타워즈 깨어난 포스</v>
      </c>
      <c r="C1810" s="12">
        <v>8.2100000000000009</v>
      </c>
      <c r="D1810" s="13" t="s">
        <v>3756</v>
      </c>
      <c r="E1810" s="10" t="s">
        <v>24</v>
      </c>
      <c r="F1810" s="10">
        <v>2015</v>
      </c>
      <c r="G1810" s="10" t="s">
        <v>14</v>
      </c>
      <c r="H1810" s="11" t="s">
        <v>877</v>
      </c>
      <c r="I1810" s="10" t="s">
        <v>1058</v>
      </c>
      <c r="J1810" s="131"/>
      <c r="K1810" s="149" t="s">
        <v>3757</v>
      </c>
    </row>
    <row r="1811" spans="1:11" ht="28.9" customHeight="1" thickTop="1" thickBot="1" x14ac:dyDescent="0.75">
      <c r="A1811" s="6">
        <v>1809</v>
      </c>
      <c r="B1811" s="57" t="str">
        <f>HYPERLINK("https://search.naver.com/search.naver?query=스탠딩 업 영화", "스탠딩 업")</f>
        <v>스탠딩 업</v>
      </c>
      <c r="C1811" s="8">
        <v>8.58</v>
      </c>
      <c r="D1811" s="9" t="s">
        <v>3758</v>
      </c>
      <c r="E1811" s="6" t="s">
        <v>24</v>
      </c>
      <c r="F1811" s="6">
        <v>2013</v>
      </c>
      <c r="G1811" s="6" t="s">
        <v>14</v>
      </c>
      <c r="H1811" s="7" t="s">
        <v>20</v>
      </c>
      <c r="I1811" s="6" t="s">
        <v>156</v>
      </c>
      <c r="J1811" s="130"/>
      <c r="K1811" s="148" t="s">
        <v>3759</v>
      </c>
    </row>
    <row r="1812" spans="1:11" ht="28.9" customHeight="1" thickTop="1" thickBot="1" x14ac:dyDescent="0.75">
      <c r="A1812" s="10">
        <v>1810</v>
      </c>
      <c r="B1812" s="58" t="str">
        <f>HYPERLINK("https://search.naver.com/search.naver?query=스탠리의 도시락 영화", "스탠리의 도시락")</f>
        <v>스탠리의 도시락</v>
      </c>
      <c r="C1812" s="12">
        <v>8.2799999999999994</v>
      </c>
      <c r="D1812" s="13" t="s">
        <v>3760</v>
      </c>
      <c r="E1812" s="10" t="s">
        <v>581</v>
      </c>
      <c r="F1812" s="10">
        <v>2011</v>
      </c>
      <c r="G1812" s="10" t="s">
        <v>14</v>
      </c>
      <c r="H1812" s="11" t="s">
        <v>20</v>
      </c>
      <c r="I1812" s="10" t="s">
        <v>150</v>
      </c>
      <c r="J1812" s="131"/>
      <c r="K1812" s="149" t="s">
        <v>3761</v>
      </c>
    </row>
    <row r="1813" spans="1:11" ht="28.9" customHeight="1" thickTop="1" thickBot="1" x14ac:dyDescent="0.75">
      <c r="A1813" s="6">
        <v>1811</v>
      </c>
      <c r="B1813" s="57" t="str">
        <f>HYPERLINK("https://search.naver.com/search.naver?query=스턱 인 러브 영화", "스턱 인 러브")</f>
        <v>스턱 인 러브</v>
      </c>
      <c r="C1813" s="8">
        <v>7.3</v>
      </c>
      <c r="D1813" s="9" t="s">
        <v>3762</v>
      </c>
      <c r="E1813" s="6" t="s">
        <v>24</v>
      </c>
      <c r="F1813" s="6">
        <v>2012</v>
      </c>
      <c r="G1813" s="6" t="s">
        <v>14</v>
      </c>
      <c r="H1813" s="7" t="s">
        <v>91</v>
      </c>
      <c r="I1813" s="6" t="s">
        <v>169</v>
      </c>
      <c r="J1813" s="130"/>
      <c r="K1813" s="148" t="s">
        <v>3763</v>
      </c>
    </row>
    <row r="1814" spans="1:11" ht="28.9" customHeight="1" thickTop="1" thickBot="1" x14ac:dyDescent="0.75">
      <c r="A1814" s="10">
        <v>1812</v>
      </c>
      <c r="B1814" s="58" t="str">
        <f>HYPERLINK("https://search.naver.com/search.naver?query=스테이션 7 영화", "스테이션 7")</f>
        <v>스테이션 7</v>
      </c>
      <c r="C1814" s="12">
        <v>9.16</v>
      </c>
      <c r="D1814" s="13" t="s">
        <v>3764</v>
      </c>
      <c r="E1814" s="10" t="s">
        <v>136</v>
      </c>
      <c r="F1814" s="10">
        <v>2017</v>
      </c>
      <c r="G1814" s="10" t="s">
        <v>14</v>
      </c>
      <c r="H1814" s="11" t="s">
        <v>54</v>
      </c>
      <c r="I1814" s="10" t="s">
        <v>150</v>
      </c>
      <c r="J1814" s="131"/>
      <c r="K1814" s="149" t="s">
        <v>3765</v>
      </c>
    </row>
    <row r="1815" spans="1:11" ht="28.9" customHeight="1" thickTop="1" thickBot="1" x14ac:dyDescent="0.75">
      <c r="A1815" s="6">
        <v>1813</v>
      </c>
      <c r="B1815" s="57" t="str">
        <f>HYPERLINK("https://search.naver.com/search.naver?query=스테이트 오브 플레이 영화", "스테이트 오브 플레이")</f>
        <v>스테이트 오브 플레이</v>
      </c>
      <c r="C1815" s="8">
        <v>7.64</v>
      </c>
      <c r="D1815" s="9" t="s">
        <v>3766</v>
      </c>
      <c r="E1815" s="6" t="s">
        <v>24</v>
      </c>
      <c r="F1815" s="6">
        <v>2009</v>
      </c>
      <c r="G1815" s="6" t="s">
        <v>14</v>
      </c>
      <c r="H1815" s="7" t="s">
        <v>54</v>
      </c>
      <c r="I1815" s="6" t="s">
        <v>210</v>
      </c>
      <c r="J1815" s="130"/>
      <c r="K1815" s="148" t="s">
        <v>3767</v>
      </c>
    </row>
    <row r="1816" spans="1:11" ht="28.9" customHeight="1" thickTop="1" thickBot="1" x14ac:dyDescent="0.75">
      <c r="A1816" s="10">
        <v>1814</v>
      </c>
      <c r="B1816" s="58" t="str">
        <f>HYPERLINK("https://search.naver.com/search.naver?query=스텔라 영화", "스텔라")</f>
        <v>스텔라</v>
      </c>
      <c r="C1816" s="12">
        <v>3.32</v>
      </c>
      <c r="D1816" s="13" t="s">
        <v>3768</v>
      </c>
      <c r="E1816" s="10" t="s">
        <v>136</v>
      </c>
      <c r="F1816" s="10">
        <v>2023</v>
      </c>
      <c r="G1816" s="10" t="s">
        <v>14</v>
      </c>
      <c r="H1816" s="11" t="s">
        <v>20</v>
      </c>
      <c r="I1816" s="10" t="s">
        <v>60</v>
      </c>
      <c r="J1816" s="131"/>
      <c r="K1816" s="149" t="s">
        <v>3769</v>
      </c>
    </row>
    <row r="1817" spans="1:11" ht="28.9" customHeight="1" thickTop="1" thickBot="1" x14ac:dyDescent="0.75">
      <c r="A1817" s="6">
        <v>1815</v>
      </c>
      <c r="B1817" s="57" t="str">
        <f>HYPERLINK("https://search.naver.com/search.naver?query=스텝 업 영화", "스텝 업")</f>
        <v>스텝 업</v>
      </c>
      <c r="C1817" s="8">
        <v>3.83</v>
      </c>
      <c r="D1817" s="9" t="s">
        <v>3770</v>
      </c>
      <c r="E1817" s="6" t="s">
        <v>24</v>
      </c>
      <c r="F1817" s="6">
        <v>2006</v>
      </c>
      <c r="G1817" s="6" t="s">
        <v>14</v>
      </c>
      <c r="H1817" s="7" t="s">
        <v>20</v>
      </c>
      <c r="I1817" s="6" t="s">
        <v>242</v>
      </c>
      <c r="J1817" s="130"/>
      <c r="K1817" s="148" t="s">
        <v>3771</v>
      </c>
    </row>
    <row r="1818" spans="1:11" ht="28.9" customHeight="1" thickTop="1" thickBot="1" x14ac:dyDescent="0.75">
      <c r="A1818" s="10">
        <v>1816</v>
      </c>
      <c r="B1818" s="58" t="str">
        <f>HYPERLINK("https://search.naver.com/search.naver?query=스텝 업 3 영화", "스텝 업 3")</f>
        <v>스텝 업 3</v>
      </c>
      <c r="C1818" s="12">
        <v>9.14</v>
      </c>
      <c r="D1818" s="13" t="s">
        <v>3772</v>
      </c>
      <c r="E1818" s="10" t="s">
        <v>24</v>
      </c>
      <c r="F1818" s="10">
        <v>2010</v>
      </c>
      <c r="G1818" s="10" t="s">
        <v>14</v>
      </c>
      <c r="H1818" s="11" t="s">
        <v>20</v>
      </c>
      <c r="I1818" s="10" t="s">
        <v>101</v>
      </c>
      <c r="J1818" s="131"/>
      <c r="K1818" s="149" t="s">
        <v>3773</v>
      </c>
    </row>
    <row r="1819" spans="1:11" ht="28.9" customHeight="1" thickTop="1" thickBot="1" x14ac:dyDescent="0.75">
      <c r="A1819" s="6">
        <v>1817</v>
      </c>
      <c r="B1819" s="57" t="str">
        <f>HYPERLINK("https://search.naver.com/search.naver?query=스텝업 올인 영화", "스텝업 - 올인")</f>
        <v>스텝업 - 올인</v>
      </c>
      <c r="C1819" s="8">
        <v>8.3000000000000007</v>
      </c>
      <c r="D1819" s="9" t="s">
        <v>3774</v>
      </c>
      <c r="E1819" s="6" t="s">
        <v>24</v>
      </c>
      <c r="F1819" s="6">
        <v>2014</v>
      </c>
      <c r="G1819" s="6" t="s">
        <v>14</v>
      </c>
      <c r="H1819" s="7" t="s">
        <v>20</v>
      </c>
      <c r="I1819" s="6" t="s">
        <v>429</v>
      </c>
      <c r="J1819" s="130"/>
      <c r="K1819" s="148" t="s">
        <v>3775</v>
      </c>
    </row>
    <row r="1820" spans="1:11" ht="28.9" customHeight="1" thickTop="1" thickBot="1" x14ac:dyDescent="0.75">
      <c r="A1820" s="10">
        <v>1818</v>
      </c>
      <c r="B1820" s="58" t="str">
        <f>HYPERLINK("https://search.naver.com/search.naver?query=스텝업4 레볼루션 영화", "스텝업4 - 레볼루션")</f>
        <v>스텝업4 - 레볼루션</v>
      </c>
      <c r="C1820" s="12">
        <v>8.7899999999999991</v>
      </c>
      <c r="D1820" s="13" t="s">
        <v>3776</v>
      </c>
      <c r="E1820" s="10" t="s">
        <v>24</v>
      </c>
      <c r="F1820" s="10">
        <v>2012</v>
      </c>
      <c r="G1820" s="10" t="s">
        <v>14</v>
      </c>
      <c r="H1820" s="11" t="s">
        <v>20</v>
      </c>
      <c r="I1820" s="10" t="s">
        <v>109</v>
      </c>
      <c r="J1820" s="131"/>
      <c r="K1820" s="149" t="s">
        <v>3777</v>
      </c>
    </row>
    <row r="1821" spans="1:11" ht="28.9" customHeight="1" thickTop="1" thickBot="1" x14ac:dyDescent="0.75">
      <c r="A1821" s="6">
        <v>1819</v>
      </c>
      <c r="B1821" s="57" t="str">
        <f>HYPERLINK("https://search.naver.com/search.naver?query=스토커 영화", "스토커")</f>
        <v>스토커</v>
      </c>
      <c r="C1821" s="8">
        <v>7.6</v>
      </c>
      <c r="D1821" s="9" t="s">
        <v>3778</v>
      </c>
      <c r="E1821" s="6" t="s">
        <v>24</v>
      </c>
      <c r="F1821" s="6">
        <v>2013</v>
      </c>
      <c r="G1821" s="6" t="s">
        <v>14</v>
      </c>
      <c r="H1821" s="7" t="s">
        <v>54</v>
      </c>
      <c r="I1821" s="6" t="s">
        <v>109</v>
      </c>
      <c r="J1821" s="130"/>
      <c r="K1821" s="148" t="s">
        <v>3779</v>
      </c>
    </row>
    <row r="1822" spans="1:11" ht="28.9" customHeight="1" thickTop="1" thickBot="1" x14ac:dyDescent="0.75">
      <c r="A1822" s="10">
        <v>1820</v>
      </c>
      <c r="B1822" s="58" t="str">
        <f>HYPERLINK("https://search.naver.com/search.naver?query=스톡홀름 영화", "스톡홀름")</f>
        <v>스톡홀름</v>
      </c>
      <c r="C1822" s="12"/>
      <c r="D1822" s="13" t="s">
        <v>3780</v>
      </c>
      <c r="E1822" s="10" t="s">
        <v>24</v>
      </c>
      <c r="F1822" s="10">
        <v>2018</v>
      </c>
      <c r="G1822" s="10" t="s">
        <v>14</v>
      </c>
      <c r="H1822" s="11" t="s">
        <v>91</v>
      </c>
      <c r="I1822" s="10" t="s">
        <v>205</v>
      </c>
      <c r="J1822" s="131"/>
      <c r="K1822" s="149" t="s">
        <v>3781</v>
      </c>
    </row>
    <row r="1823" spans="1:11" ht="28.9" customHeight="1" thickTop="1" thickBot="1" x14ac:dyDescent="0.75">
      <c r="A1823" s="6">
        <v>1821</v>
      </c>
      <c r="B1823" s="57" t="str">
        <f>HYPERLINK("https://search.naver.com/search.naver?query=스톤 영화", "스톤")</f>
        <v>스톤</v>
      </c>
      <c r="C1823" s="8">
        <v>6.92</v>
      </c>
      <c r="D1823" s="9" t="s">
        <v>3782</v>
      </c>
      <c r="E1823" s="6" t="s">
        <v>24</v>
      </c>
      <c r="F1823" s="6">
        <v>2010</v>
      </c>
      <c r="G1823" s="6" t="s">
        <v>14</v>
      </c>
      <c r="H1823" s="7" t="s">
        <v>20</v>
      </c>
      <c r="I1823" s="6" t="s">
        <v>175</v>
      </c>
      <c r="J1823" s="130"/>
      <c r="K1823" s="148" t="s">
        <v>3783</v>
      </c>
    </row>
    <row r="1824" spans="1:11" ht="28.9" customHeight="1" thickTop="1" thickBot="1" x14ac:dyDescent="0.75">
      <c r="A1824" s="10">
        <v>1822</v>
      </c>
      <c r="B1824" s="58" t="str">
        <f>HYPERLINK("https://search.naver.com/search.naver?query=스톤 영화", "스톤")</f>
        <v>스톤</v>
      </c>
      <c r="C1824" s="12">
        <v>6.92</v>
      </c>
      <c r="D1824" s="13" t="s">
        <v>3782</v>
      </c>
      <c r="E1824" s="10" t="s">
        <v>19</v>
      </c>
      <c r="F1824" s="10">
        <v>2013</v>
      </c>
      <c r="G1824" s="10" t="s">
        <v>14</v>
      </c>
      <c r="H1824" s="11" t="s">
        <v>20</v>
      </c>
      <c r="I1824" s="10" t="s">
        <v>150</v>
      </c>
      <c r="J1824" s="131"/>
      <c r="K1824" s="149" t="s">
        <v>749</v>
      </c>
    </row>
    <row r="1825" spans="1:11" ht="28.9" customHeight="1" thickTop="1" thickBot="1" x14ac:dyDescent="0.75">
      <c r="A1825" s="6">
        <v>1823</v>
      </c>
      <c r="B1825" s="57" t="str">
        <f>HYPERLINK("https://search.naver.com/search.naver?query=스톨런 영화", "스톨런")</f>
        <v>스톨런</v>
      </c>
      <c r="C1825" s="8">
        <v>6</v>
      </c>
      <c r="D1825" s="9" t="s">
        <v>3784</v>
      </c>
      <c r="E1825" s="6" t="s">
        <v>24</v>
      </c>
      <c r="F1825" s="6">
        <v>2012</v>
      </c>
      <c r="G1825" s="6" t="s">
        <v>14</v>
      </c>
      <c r="H1825" s="7" t="s">
        <v>124</v>
      </c>
      <c r="I1825" s="6" t="s">
        <v>80</v>
      </c>
      <c r="J1825" s="130"/>
      <c r="K1825" s="148" t="s">
        <v>3785</v>
      </c>
    </row>
    <row r="1826" spans="1:11" ht="28.9" customHeight="1" thickTop="1" thickBot="1" x14ac:dyDescent="0.75">
      <c r="A1826" s="10">
        <v>1824</v>
      </c>
      <c r="B1826" s="58" t="str">
        <f>HYPERLINK("https://search.naver.com/search.naver?query=스톰 보이 영화", "스톰 보이")</f>
        <v>스톰 보이</v>
      </c>
      <c r="C1826" s="12">
        <v>7.14</v>
      </c>
      <c r="D1826" s="13" t="s">
        <v>3786</v>
      </c>
      <c r="E1826" s="10" t="s">
        <v>45</v>
      </c>
      <c r="F1826" s="10">
        <v>2019</v>
      </c>
      <c r="G1826" s="10" t="s">
        <v>14</v>
      </c>
      <c r="H1826" s="11" t="s">
        <v>20</v>
      </c>
      <c r="I1826" s="10" t="s">
        <v>109</v>
      </c>
      <c r="J1826" s="131"/>
      <c r="K1826" s="149" t="s">
        <v>3787</v>
      </c>
    </row>
    <row r="1827" spans="1:11" ht="28.9" customHeight="1" thickTop="1" thickBot="1" x14ac:dyDescent="0.75">
      <c r="A1827" s="6">
        <v>1825</v>
      </c>
      <c r="B1827" s="57" t="str">
        <f>HYPERLINK("https://search.naver.com/search.naver?query=스톱로스 영화", "스톱로스")</f>
        <v>스톱로스</v>
      </c>
      <c r="C1827" s="8"/>
      <c r="D1827" s="9" t="s">
        <v>3788</v>
      </c>
      <c r="E1827" s="6" t="s">
        <v>24</v>
      </c>
      <c r="F1827" s="6">
        <v>2008</v>
      </c>
      <c r="G1827" s="6" t="s">
        <v>14</v>
      </c>
      <c r="H1827" s="7" t="s">
        <v>20</v>
      </c>
      <c r="I1827" s="6" t="s">
        <v>429</v>
      </c>
      <c r="J1827" s="130"/>
      <c r="K1827" s="148" t="s">
        <v>3789</v>
      </c>
    </row>
    <row r="1828" spans="1:11" ht="28.9" customHeight="1" thickTop="1" thickBot="1" x14ac:dyDescent="0.75">
      <c r="A1828" s="10">
        <v>1826</v>
      </c>
      <c r="B1828" s="58" t="str">
        <f>HYPERLINK("https://search.naver.com/search.naver?query=스트라튼 영화", "스트라튼")</f>
        <v>스트라튼</v>
      </c>
      <c r="C1828" s="12"/>
      <c r="D1828" s="13" t="s">
        <v>3790</v>
      </c>
      <c r="E1828" s="10" t="s">
        <v>29</v>
      </c>
      <c r="F1828" s="10">
        <v>2017</v>
      </c>
      <c r="G1828" s="10" t="s">
        <v>14</v>
      </c>
      <c r="H1828" s="11" t="s">
        <v>124</v>
      </c>
      <c r="I1828" s="10" t="s">
        <v>468</v>
      </c>
      <c r="J1828" s="131"/>
      <c r="K1828" s="149" t="s">
        <v>3791</v>
      </c>
    </row>
    <row r="1829" spans="1:11" ht="28.9" customHeight="1" thickTop="1" thickBot="1" x14ac:dyDescent="0.75">
      <c r="A1829" s="6">
        <v>1827</v>
      </c>
      <c r="B1829" s="57" t="str">
        <f>HYPERLINK("https://search.naver.com/search.naver?query=스트레인저랜드 영화", "스트레인저랜드")</f>
        <v>스트레인저랜드</v>
      </c>
      <c r="C1829" s="8">
        <v>5.48</v>
      </c>
      <c r="D1829" s="9" t="s">
        <v>3792</v>
      </c>
      <c r="E1829" s="6" t="s">
        <v>45</v>
      </c>
      <c r="F1829" s="6">
        <v>2015</v>
      </c>
      <c r="G1829" s="6" t="s">
        <v>14</v>
      </c>
      <c r="H1829" s="7" t="s">
        <v>20</v>
      </c>
      <c r="I1829" s="6" t="s">
        <v>429</v>
      </c>
      <c r="J1829" s="130"/>
      <c r="K1829" s="148" t="s">
        <v>3793</v>
      </c>
    </row>
    <row r="1830" spans="1:11" ht="28.9" customHeight="1" thickTop="1" thickBot="1" x14ac:dyDescent="0.75">
      <c r="A1830" s="10">
        <v>1828</v>
      </c>
      <c r="B1830" s="58" t="str">
        <f>HYPERLINK("https://search.naver.com/search.naver?query=스트로베리 나이트 극장판 영화", "스트로베리 나이트 극장판")</f>
        <v>스트로베리 나이트 극장판</v>
      </c>
      <c r="C1830" s="12">
        <v>6.4</v>
      </c>
      <c r="D1830" s="13" t="s">
        <v>3794</v>
      </c>
      <c r="E1830" s="10" t="s">
        <v>19</v>
      </c>
      <c r="F1830" s="10">
        <v>2013</v>
      </c>
      <c r="G1830" s="10" t="s">
        <v>14</v>
      </c>
      <c r="H1830" s="11" t="s">
        <v>428</v>
      </c>
      <c r="I1830" s="10" t="s">
        <v>195</v>
      </c>
      <c r="J1830" s="131"/>
      <c r="K1830" s="149" t="s">
        <v>3795</v>
      </c>
    </row>
    <row r="1831" spans="1:11" ht="28.9" customHeight="1" thickTop="1" thickBot="1" x14ac:dyDescent="0.75">
      <c r="A1831" s="6">
        <v>1829</v>
      </c>
      <c r="B1831" s="57" t="str">
        <f>HYPERLINK("https://search.naver.com/search.naver?query=스트롱거 영화", "스트롱거")</f>
        <v>스트롱거</v>
      </c>
      <c r="C1831" s="8">
        <v>8.6300000000000008</v>
      </c>
      <c r="D1831" s="9" t="s">
        <v>3796</v>
      </c>
      <c r="E1831" s="6" t="s">
        <v>24</v>
      </c>
      <c r="F1831" s="6">
        <v>2017</v>
      </c>
      <c r="G1831" s="6" t="s">
        <v>14</v>
      </c>
      <c r="H1831" s="7" t="s">
        <v>20</v>
      </c>
      <c r="I1831" s="6" t="s">
        <v>68</v>
      </c>
      <c r="J1831" s="130"/>
      <c r="K1831" s="148" t="s">
        <v>3797</v>
      </c>
    </row>
    <row r="1832" spans="1:11" ht="28.9" customHeight="1" thickTop="1" thickBot="1" x14ac:dyDescent="0.75">
      <c r="A1832" s="10">
        <v>1830</v>
      </c>
      <c r="B1832" s="58" t="str">
        <f>HYPERLINK("https://search.naver.com/search.naver?query=스티브 잡스 영화", "스티브 잡스")</f>
        <v>스티브 잡스</v>
      </c>
      <c r="C1832" s="12">
        <v>7.81</v>
      </c>
      <c r="D1832" s="13" t="s">
        <v>3798</v>
      </c>
      <c r="E1832" s="10" t="s">
        <v>24</v>
      </c>
      <c r="F1832" s="10">
        <v>2015</v>
      </c>
      <c r="G1832" s="10" t="s">
        <v>14</v>
      </c>
      <c r="H1832" s="11" t="s">
        <v>20</v>
      </c>
      <c r="I1832" s="10" t="s">
        <v>141</v>
      </c>
      <c r="J1832" s="131"/>
      <c r="K1832" s="149" t="s">
        <v>3799</v>
      </c>
    </row>
    <row r="1833" spans="1:11" ht="28.9" customHeight="1" thickTop="1" thickBot="1" x14ac:dyDescent="0.75">
      <c r="A1833" s="6">
        <v>1831</v>
      </c>
      <c r="B1833" s="57" t="str">
        <f>HYPERLINK("https://search.naver.com/search.naver?query=스티브 잡스 미래를 읽는 천재 영화", "스티브 잡스 미래를 읽는 천재")</f>
        <v>스티브 잡스 미래를 읽는 천재</v>
      </c>
      <c r="C1833" s="8"/>
      <c r="D1833" s="9" t="s">
        <v>3800</v>
      </c>
      <c r="E1833" s="6" t="s">
        <v>24</v>
      </c>
      <c r="F1833" s="6">
        <v>2015</v>
      </c>
      <c r="G1833" s="6" t="s">
        <v>14</v>
      </c>
      <c r="H1833" s="7" t="s">
        <v>226</v>
      </c>
      <c r="I1833" s="6" t="s">
        <v>146</v>
      </c>
      <c r="J1833" s="130"/>
      <c r="K1833" s="148" t="s">
        <v>3801</v>
      </c>
    </row>
    <row r="1834" spans="1:11" ht="28.9" customHeight="1" thickTop="1" thickBot="1" x14ac:dyDescent="0.75">
      <c r="A1834" s="10">
        <v>1832</v>
      </c>
      <c r="B1834" s="58" t="str">
        <f>HYPERLINK("https://search.naver.com/search.naver?query=스티븐 시걸의 제네럴 커맨더 영화", "스티븐 시걸의 제네럴 커맨더")</f>
        <v>스티븐 시걸의 제네럴 커맨더</v>
      </c>
      <c r="C1834" s="12"/>
      <c r="D1834" s="13" t="s">
        <v>3802</v>
      </c>
      <c r="E1834" s="10" t="s">
        <v>24</v>
      </c>
      <c r="F1834" s="10">
        <v>2019</v>
      </c>
      <c r="G1834" s="10" t="s">
        <v>14</v>
      </c>
      <c r="H1834" s="11" t="s">
        <v>124</v>
      </c>
      <c r="I1834" s="10" t="s">
        <v>345</v>
      </c>
      <c r="J1834" s="131"/>
      <c r="K1834" s="149" t="s">
        <v>3803</v>
      </c>
    </row>
    <row r="1835" spans="1:11" ht="28.9" customHeight="1" thickTop="1" thickBot="1" x14ac:dyDescent="0.75">
      <c r="A1835" s="6">
        <v>1833</v>
      </c>
      <c r="B1835" s="57" t="str">
        <f>HYPERLINK("https://search.naver.com/search.naver?query=스틸 영화", "스틸")</f>
        <v>스틸</v>
      </c>
      <c r="C1835" s="8">
        <v>7.54</v>
      </c>
      <c r="D1835" s="9" t="s">
        <v>3804</v>
      </c>
      <c r="E1835" s="6" t="s">
        <v>24</v>
      </c>
      <c r="F1835" s="6">
        <v>2012</v>
      </c>
      <c r="G1835" s="6" t="s">
        <v>14</v>
      </c>
      <c r="H1835" s="7" t="s">
        <v>124</v>
      </c>
      <c r="I1835" s="6" t="s">
        <v>150</v>
      </c>
      <c r="J1835" s="130"/>
      <c r="K1835" s="148" t="s">
        <v>3805</v>
      </c>
    </row>
    <row r="1836" spans="1:11" ht="28.9" customHeight="1" thickTop="1" thickBot="1" x14ac:dyDescent="0.75">
      <c r="A1836" s="10">
        <v>1834</v>
      </c>
      <c r="B1836" s="58" t="str">
        <f>HYPERLINK("https://search.naver.com/search.naver?query=스틸 라이프 영화", "스틸 라이프")</f>
        <v>스틸 라이프</v>
      </c>
      <c r="C1836" s="12">
        <v>8.4700000000000006</v>
      </c>
      <c r="D1836" s="13" t="s">
        <v>3806</v>
      </c>
      <c r="E1836" s="10" t="s">
        <v>29</v>
      </c>
      <c r="F1836" s="10">
        <v>2013</v>
      </c>
      <c r="G1836" s="10" t="s">
        <v>14</v>
      </c>
      <c r="H1836" s="11" t="s">
        <v>20</v>
      </c>
      <c r="I1836" s="10" t="s">
        <v>1069</v>
      </c>
      <c r="J1836" s="131"/>
      <c r="K1836" s="149" t="s">
        <v>3807</v>
      </c>
    </row>
    <row r="1837" spans="1:11" ht="28.9" customHeight="1" thickTop="1" thickBot="1" x14ac:dyDescent="0.75">
      <c r="A1837" s="6">
        <v>1835</v>
      </c>
      <c r="B1837" s="57" t="str">
        <f>HYPERLINK("https://search.naver.com/search.naver?query=스틸 앨리스 영화", "스틸 앨리스")</f>
        <v>스틸 앨리스</v>
      </c>
      <c r="C1837" s="8">
        <v>8.43</v>
      </c>
      <c r="D1837" s="9" t="s">
        <v>3808</v>
      </c>
      <c r="E1837" s="6" t="s">
        <v>24</v>
      </c>
      <c r="F1837" s="6">
        <v>2014</v>
      </c>
      <c r="G1837" s="6" t="s">
        <v>14</v>
      </c>
      <c r="H1837" s="7" t="s">
        <v>20</v>
      </c>
      <c r="I1837" s="6" t="s">
        <v>94</v>
      </c>
      <c r="J1837" s="130"/>
      <c r="K1837" s="148" t="s">
        <v>652</v>
      </c>
    </row>
    <row r="1838" spans="1:11" ht="28.9" customHeight="1" thickTop="1" thickBot="1" x14ac:dyDescent="0.75">
      <c r="A1838" s="10">
        <v>1836</v>
      </c>
      <c r="B1838" s="58" t="str">
        <f>HYPERLINK("https://search.naver.com/search.naver?query=스틸워터 영화", "스틸워터")</f>
        <v>스틸워터</v>
      </c>
      <c r="C1838" s="12">
        <v>7.35</v>
      </c>
      <c r="D1838" s="13" t="s">
        <v>3809</v>
      </c>
      <c r="E1838" s="10" t="s">
        <v>24</v>
      </c>
      <c r="F1838" s="10">
        <v>2021</v>
      </c>
      <c r="G1838" s="10" t="s">
        <v>14</v>
      </c>
      <c r="H1838" s="11" t="s">
        <v>20</v>
      </c>
      <c r="I1838" s="10" t="s">
        <v>476</v>
      </c>
      <c r="J1838" s="131"/>
      <c r="K1838" s="149" t="s">
        <v>3810</v>
      </c>
    </row>
    <row r="1839" spans="1:11" ht="28.9" customHeight="1" thickTop="1" thickBot="1" x14ac:dyDescent="0.75">
      <c r="A1839" s="6">
        <v>1837</v>
      </c>
      <c r="B1839" s="57" t="str">
        <f>HYPERLINK("https://search.naver.com/search.naver?query=한국영화 스파이", "스파이")</f>
        <v>스파이</v>
      </c>
      <c r="C1839" s="8">
        <v>6.93</v>
      </c>
      <c r="D1839" s="9" t="s">
        <v>3811</v>
      </c>
      <c r="E1839" s="6" t="s">
        <v>13</v>
      </c>
      <c r="F1839" s="6">
        <v>2013</v>
      </c>
      <c r="G1839" s="6" t="s">
        <v>14</v>
      </c>
      <c r="H1839" s="7" t="s">
        <v>91</v>
      </c>
      <c r="I1839" s="6" t="s">
        <v>195</v>
      </c>
      <c r="J1839" s="130"/>
      <c r="K1839" s="148" t="s">
        <v>3812</v>
      </c>
    </row>
    <row r="1840" spans="1:11" ht="28.9" customHeight="1" thickTop="1" thickBot="1" x14ac:dyDescent="0.75">
      <c r="A1840" s="10">
        <v>1838</v>
      </c>
      <c r="B1840" s="58" t="str">
        <f>HYPERLINK("https://search.naver.com/search.naver?query=스파이 영화", "스파이")</f>
        <v>스파이</v>
      </c>
      <c r="C1840" s="12">
        <v>3.83</v>
      </c>
      <c r="D1840" s="13" t="s">
        <v>3813</v>
      </c>
      <c r="E1840" s="10" t="s">
        <v>24</v>
      </c>
      <c r="F1840" s="10">
        <v>2015</v>
      </c>
      <c r="G1840" s="10" t="s">
        <v>14</v>
      </c>
      <c r="H1840" s="11" t="s">
        <v>124</v>
      </c>
      <c r="I1840" s="10" t="s">
        <v>68</v>
      </c>
      <c r="J1840" s="131"/>
      <c r="K1840" s="149" t="s">
        <v>3814</v>
      </c>
    </row>
    <row r="1841" spans="1:11" ht="28.9" customHeight="1" thickTop="1" thickBot="1" x14ac:dyDescent="0.75">
      <c r="A1841" s="6">
        <v>1839</v>
      </c>
      <c r="B1841" s="57" t="str">
        <f>HYPERLINK("https://search.naver.com/search.naver?query=스파이 게임 영화", "스파이 게임")</f>
        <v>스파이 게임</v>
      </c>
      <c r="C1841" s="8">
        <v>8.92</v>
      </c>
      <c r="D1841" s="9" t="s">
        <v>3811</v>
      </c>
      <c r="E1841" s="6" t="s">
        <v>24</v>
      </c>
      <c r="F1841" s="6">
        <v>2001</v>
      </c>
      <c r="G1841" s="6" t="s">
        <v>14</v>
      </c>
      <c r="H1841" s="7" t="s">
        <v>124</v>
      </c>
      <c r="I1841" s="6" t="s">
        <v>105</v>
      </c>
      <c r="J1841" s="130"/>
      <c r="K1841" s="148" t="s">
        <v>3815</v>
      </c>
    </row>
    <row r="1842" spans="1:11" ht="28.9" customHeight="1" thickTop="1" thickBot="1" x14ac:dyDescent="0.75">
      <c r="A1842" s="10">
        <v>1840</v>
      </c>
      <c r="B1842" s="58" t="str">
        <f>HYPERLINK("https://search.naver.com/search.naver?query=스파이 게임 영화", "스파이 게임")</f>
        <v>스파이 게임</v>
      </c>
      <c r="C1842" s="12">
        <v>8.92</v>
      </c>
      <c r="D1842" s="13" t="s">
        <v>3811</v>
      </c>
      <c r="E1842" s="10" t="s">
        <v>24</v>
      </c>
      <c r="F1842" s="10">
        <v>2017</v>
      </c>
      <c r="G1842" s="10" t="s">
        <v>14</v>
      </c>
      <c r="H1842" s="11" t="s">
        <v>124</v>
      </c>
      <c r="I1842" s="10" t="s">
        <v>150</v>
      </c>
      <c r="J1842" s="131"/>
      <c r="K1842" s="149" t="s">
        <v>3816</v>
      </c>
    </row>
    <row r="1843" spans="1:11" ht="28.9" customHeight="1" thickTop="1" thickBot="1" x14ac:dyDescent="0.75">
      <c r="A1843" s="6">
        <v>1841</v>
      </c>
      <c r="B1843" s="57" t="str">
        <f>HYPERLINK("https://search.naver.com/search.naver?query=스파이 브릿지 영화", "스파이 브릿지")</f>
        <v>스파이 브릿지</v>
      </c>
      <c r="C1843" s="8">
        <v>8.67</v>
      </c>
      <c r="D1843" s="9" t="s">
        <v>3817</v>
      </c>
      <c r="E1843" s="6" t="s">
        <v>24</v>
      </c>
      <c r="F1843" s="6">
        <v>2015</v>
      </c>
      <c r="G1843" s="6" t="s">
        <v>14</v>
      </c>
      <c r="H1843" s="7" t="s">
        <v>20</v>
      </c>
      <c r="I1843" s="6" t="s">
        <v>356</v>
      </c>
      <c r="J1843" s="130"/>
      <c r="K1843" s="148" t="s">
        <v>3818</v>
      </c>
    </row>
    <row r="1844" spans="1:11" ht="28.9" customHeight="1" thickTop="1" thickBot="1" x14ac:dyDescent="0.75">
      <c r="A1844" s="10">
        <v>1842</v>
      </c>
      <c r="B1844" s="59" t="str">
        <f>HYPERLINK("https://search.naver.com/search.naver?query=스파이가 된 남자", "스파이가 된 남자")</f>
        <v>스파이가 된 남자</v>
      </c>
      <c r="C1844" s="16"/>
      <c r="D1844" s="17" t="s">
        <v>3819</v>
      </c>
      <c r="E1844" s="14" t="s">
        <v>24</v>
      </c>
      <c r="F1844" s="14">
        <v>2024</v>
      </c>
      <c r="G1844" s="14" t="s">
        <v>20</v>
      </c>
      <c r="H1844" s="15" t="s">
        <v>20</v>
      </c>
      <c r="I1844" s="14" t="s">
        <v>71</v>
      </c>
      <c r="J1844" s="132"/>
      <c r="K1844" s="150" t="s">
        <v>3820</v>
      </c>
    </row>
    <row r="1845" spans="1:11" ht="28.9" customHeight="1" thickTop="1" thickBot="1" x14ac:dyDescent="0.75">
      <c r="A1845" s="6">
        <v>1843</v>
      </c>
      <c r="B1845" s="57" t="str">
        <f>HYPERLINK("https://search.naver.com/search.naver?query=스파이럴 영화", "스파이럴")</f>
        <v>스파이럴</v>
      </c>
      <c r="C1845" s="8"/>
      <c r="D1845" s="9" t="s">
        <v>3821</v>
      </c>
      <c r="E1845" s="6" t="s">
        <v>24</v>
      </c>
      <c r="F1845" s="6">
        <v>2021</v>
      </c>
      <c r="G1845" s="6" t="s">
        <v>14</v>
      </c>
      <c r="H1845" s="7" t="s">
        <v>382</v>
      </c>
      <c r="I1845" s="6" t="s">
        <v>125</v>
      </c>
      <c r="J1845" s="130"/>
      <c r="K1845" s="148" t="s">
        <v>3822</v>
      </c>
    </row>
    <row r="1846" spans="1:11" ht="28.9" customHeight="1" thickTop="1" thickBot="1" x14ac:dyDescent="0.75">
      <c r="A1846" s="10">
        <v>1844</v>
      </c>
      <c r="B1846" s="58" t="str">
        <f>HYPERLINK("https://search.naver.com/search.naver?query=스파이의 아내 영화", "스파이의 아내")</f>
        <v>스파이의 아내</v>
      </c>
      <c r="C1846" s="12">
        <v>8.69</v>
      </c>
      <c r="D1846" s="13" t="s">
        <v>3823</v>
      </c>
      <c r="E1846" s="10" t="s">
        <v>19</v>
      </c>
      <c r="F1846" s="10">
        <v>2020</v>
      </c>
      <c r="G1846" s="10" t="s">
        <v>14</v>
      </c>
      <c r="H1846" s="11" t="s">
        <v>20</v>
      </c>
      <c r="I1846" s="10" t="s">
        <v>60</v>
      </c>
      <c r="J1846" s="131"/>
      <c r="K1846" s="149" t="s">
        <v>3824</v>
      </c>
    </row>
    <row r="1847" spans="1:11" ht="28.9" customHeight="1" thickTop="1" thickBot="1" x14ac:dyDescent="0.75">
      <c r="A1847" s="6">
        <v>1845</v>
      </c>
      <c r="B1847" s="57" t="str">
        <f>HYPERLINK("https://search.naver.com/search.naver?query=스페셜 포스 블러드 마운틴 영화", "스페셜 포스：블러드 마운틴")</f>
        <v>스페셜 포스：블러드 마운틴</v>
      </c>
      <c r="C1847" s="8">
        <v>6.4</v>
      </c>
      <c r="D1847" s="9"/>
      <c r="E1847" s="6" t="s">
        <v>24</v>
      </c>
      <c r="F1847" s="6">
        <v>2021</v>
      </c>
      <c r="G1847" s="6" t="s">
        <v>14</v>
      </c>
      <c r="H1847" s="7" t="s">
        <v>124</v>
      </c>
      <c r="I1847" s="6" t="s">
        <v>156</v>
      </c>
      <c r="J1847" s="130"/>
      <c r="K1847" s="148" t="s">
        <v>3825</v>
      </c>
    </row>
    <row r="1848" spans="1:11" ht="28.9" customHeight="1" thickTop="1" thickBot="1" x14ac:dyDescent="0.75">
      <c r="A1848" s="10">
        <v>1846</v>
      </c>
      <c r="B1848" s="58" t="str">
        <f>HYPERLINK("https://search.naver.com/search.naver?query=스페이스 비트윈 어스 영화", "스페이스 비트윈 어스")</f>
        <v>스페이스 비트윈 어스</v>
      </c>
      <c r="C1848" s="12">
        <v>8.34</v>
      </c>
      <c r="D1848" s="13" t="s">
        <v>3826</v>
      </c>
      <c r="E1848" s="10" t="s">
        <v>24</v>
      </c>
      <c r="F1848" s="10">
        <v>2017</v>
      </c>
      <c r="G1848" s="10" t="s">
        <v>14</v>
      </c>
      <c r="H1848" s="11" t="s">
        <v>877</v>
      </c>
      <c r="I1848" s="10" t="s">
        <v>116</v>
      </c>
      <c r="J1848" s="131"/>
      <c r="K1848" s="149" t="s">
        <v>3827</v>
      </c>
    </row>
    <row r="1849" spans="1:11" ht="28.9" customHeight="1" thickTop="1" thickBot="1" x14ac:dyDescent="0.75">
      <c r="A1849" s="6">
        <v>1847</v>
      </c>
      <c r="B1849" s="57" t="str">
        <f>HYPERLINK("https://search.naver.com/search.naver?query=스페이스 워커 영화", "스페이스 워커")</f>
        <v>스페이스 워커</v>
      </c>
      <c r="C1849" s="8">
        <v>6.4</v>
      </c>
      <c r="D1849" s="9" t="s">
        <v>3828</v>
      </c>
      <c r="E1849" s="6" t="s">
        <v>75</v>
      </c>
      <c r="F1849" s="6">
        <v>2017</v>
      </c>
      <c r="G1849" s="6" t="s">
        <v>14</v>
      </c>
      <c r="H1849" s="7" t="s">
        <v>20</v>
      </c>
      <c r="I1849" s="6" t="s">
        <v>137</v>
      </c>
      <c r="J1849" s="130"/>
      <c r="K1849" s="148" t="s">
        <v>1594</v>
      </c>
    </row>
    <row r="1850" spans="1:11" ht="28.9" customHeight="1" thickTop="1" thickBot="1" x14ac:dyDescent="0.75">
      <c r="A1850" s="10">
        <v>1848</v>
      </c>
      <c r="B1850" s="58" t="str">
        <f>HYPERLINK("https://search.naver.com/search.naver?query=스페이스 카우보이 영화", "스페이스 카우보이")</f>
        <v>스페이스 카우보이</v>
      </c>
      <c r="C1850" s="12">
        <v>8.5</v>
      </c>
      <c r="D1850" s="13" t="s">
        <v>3829</v>
      </c>
      <c r="E1850" s="10" t="s">
        <v>24</v>
      </c>
      <c r="F1850" s="10">
        <v>2000</v>
      </c>
      <c r="G1850" s="10" t="s">
        <v>14</v>
      </c>
      <c r="H1850" s="11" t="s">
        <v>124</v>
      </c>
      <c r="I1850" s="10" t="s">
        <v>42</v>
      </c>
      <c r="J1850" s="131"/>
      <c r="K1850" s="149" t="s">
        <v>3830</v>
      </c>
    </row>
    <row r="1851" spans="1:11" ht="28.9" customHeight="1" thickTop="1" thickBot="1" x14ac:dyDescent="0.75">
      <c r="A1851" s="6">
        <v>1849</v>
      </c>
      <c r="B1851" s="57" t="str">
        <f>HYPERLINK("https://search.naver.com/search.naver?query=스펜서 영화", "스펜서")</f>
        <v>스펜서</v>
      </c>
      <c r="C1851" s="8">
        <v>7.78</v>
      </c>
      <c r="D1851" s="9" t="s">
        <v>3831</v>
      </c>
      <c r="E1851" s="6" t="s">
        <v>29</v>
      </c>
      <c r="F1851" s="6">
        <v>2021</v>
      </c>
      <c r="G1851" s="6" t="s">
        <v>14</v>
      </c>
      <c r="H1851" s="7" t="s">
        <v>20</v>
      </c>
      <c r="I1851" s="6" t="s">
        <v>137</v>
      </c>
      <c r="J1851" s="130"/>
      <c r="K1851" s="148" t="s">
        <v>3832</v>
      </c>
    </row>
    <row r="1852" spans="1:11" ht="28.9" customHeight="1" thickTop="1" thickBot="1" x14ac:dyDescent="0.75">
      <c r="A1852" s="10">
        <v>1850</v>
      </c>
      <c r="B1852" s="58" t="str">
        <f>HYPERLINK("https://search.naver.com/search.naver?query=스펜서 컨피덴셜 영화", "스펜서 컨피덴셜")</f>
        <v>스펜서 컨피덴셜</v>
      </c>
      <c r="C1852" s="12">
        <v>6.79</v>
      </c>
      <c r="D1852" s="13" t="s">
        <v>3833</v>
      </c>
      <c r="E1852" s="10" t="s">
        <v>24</v>
      </c>
      <c r="F1852" s="10">
        <v>2020</v>
      </c>
      <c r="G1852" s="10" t="s">
        <v>14</v>
      </c>
      <c r="H1852" s="11" t="s">
        <v>124</v>
      </c>
      <c r="I1852" s="10" t="s">
        <v>137</v>
      </c>
      <c r="J1852" s="131"/>
      <c r="K1852" s="149" t="s">
        <v>3834</v>
      </c>
    </row>
    <row r="1853" spans="1:11" ht="28.9" customHeight="1" thickTop="1" thickBot="1" x14ac:dyDescent="0.75">
      <c r="A1853" s="6">
        <v>1851</v>
      </c>
      <c r="B1853" s="57" t="str">
        <f>HYPERLINK("https://search.naver.com/search.naver?query=스포트라이트 영화", "스포트라이트")</f>
        <v>스포트라이트</v>
      </c>
      <c r="C1853" s="8">
        <v>8.91</v>
      </c>
      <c r="D1853" s="9" t="s">
        <v>3835</v>
      </c>
      <c r="E1853" s="6" t="s">
        <v>24</v>
      </c>
      <c r="F1853" s="6">
        <v>2015</v>
      </c>
      <c r="G1853" s="6" t="s">
        <v>14</v>
      </c>
      <c r="H1853" s="7" t="s">
        <v>20</v>
      </c>
      <c r="I1853" s="6" t="s">
        <v>146</v>
      </c>
      <c r="J1853" s="130"/>
      <c r="K1853" s="148" t="s">
        <v>3836</v>
      </c>
    </row>
    <row r="1854" spans="1:11" ht="28.9" customHeight="1" thickTop="1" thickBot="1" x14ac:dyDescent="0.75">
      <c r="A1854" s="10">
        <v>1852</v>
      </c>
      <c r="B1854" s="58" t="str">
        <f>HYPERLINK("https://search.naver.com/search.naver?query=스푹스 더 그레이터 굿 영화", "스푹스 - 더 그레이터 굿")</f>
        <v>스푹스 - 더 그레이터 굿</v>
      </c>
      <c r="C1854" s="12">
        <v>6.4</v>
      </c>
      <c r="D1854" s="13" t="s">
        <v>3837</v>
      </c>
      <c r="E1854" s="10" t="s">
        <v>29</v>
      </c>
      <c r="F1854" s="10">
        <v>2015</v>
      </c>
      <c r="G1854" s="10" t="s">
        <v>14</v>
      </c>
      <c r="H1854" s="11" t="s">
        <v>124</v>
      </c>
      <c r="I1854" s="10" t="s">
        <v>242</v>
      </c>
      <c r="J1854" s="131"/>
      <c r="K1854" s="149" t="s">
        <v>3838</v>
      </c>
    </row>
    <row r="1855" spans="1:11" ht="28.9" customHeight="1" thickTop="1" thickBot="1" x14ac:dyDescent="0.75">
      <c r="A1855" s="6">
        <v>1853</v>
      </c>
      <c r="B1855" s="57" t="str">
        <f>HYPERLINK("https://search.naver.com/search.naver?query=스플릿 영화", "스플릿")</f>
        <v>스플릿</v>
      </c>
      <c r="C1855" s="8">
        <v>9.16</v>
      </c>
      <c r="D1855" s="9" t="s">
        <v>118</v>
      </c>
      <c r="E1855" s="6" t="s">
        <v>24</v>
      </c>
      <c r="F1855" s="6">
        <v>2016</v>
      </c>
      <c r="G1855" s="6" t="s">
        <v>14</v>
      </c>
      <c r="H1855" s="7" t="s">
        <v>54</v>
      </c>
      <c r="I1855" s="6" t="s">
        <v>120</v>
      </c>
      <c r="J1855" s="130"/>
      <c r="K1855" s="148" t="s">
        <v>3839</v>
      </c>
    </row>
    <row r="1856" spans="1:11" ht="28.9" customHeight="1" thickTop="1" thickBot="1" x14ac:dyDescent="0.75">
      <c r="A1856" s="10">
        <v>1854</v>
      </c>
      <c r="B1856" s="58" t="str">
        <f>HYPERLINK("https://search.naver.com/search.naver?query=스피닝 맨 영화", "스피닝 맨")</f>
        <v>스피닝 맨</v>
      </c>
      <c r="C1856" s="12">
        <v>6.09</v>
      </c>
      <c r="D1856" s="13" t="s">
        <v>3840</v>
      </c>
      <c r="E1856" s="10" t="s">
        <v>24</v>
      </c>
      <c r="F1856" s="10">
        <v>2018</v>
      </c>
      <c r="G1856" s="10" t="s">
        <v>14</v>
      </c>
      <c r="H1856" s="11" t="s">
        <v>54</v>
      </c>
      <c r="I1856" s="10" t="s">
        <v>179</v>
      </c>
      <c r="J1856" s="131"/>
      <c r="K1856" s="149" t="s">
        <v>3841</v>
      </c>
    </row>
    <row r="1857" spans="1:11" ht="28.9" customHeight="1" thickTop="1" thickBot="1" x14ac:dyDescent="0.75">
      <c r="A1857" s="10">
        <v>1855</v>
      </c>
      <c r="B1857" s="57" t="str">
        <f>HYPERLINK("https://search.naver.com/search.naver?query=스픽 노 이블 영화", "스픽 노 이블")</f>
        <v>스픽 노 이블</v>
      </c>
      <c r="C1857" s="8">
        <v>7.9</v>
      </c>
      <c r="D1857" s="9" t="s">
        <v>3842</v>
      </c>
      <c r="E1857" s="6" t="s">
        <v>161</v>
      </c>
      <c r="F1857" s="6">
        <v>2022</v>
      </c>
      <c r="G1857" s="6" t="s">
        <v>14</v>
      </c>
      <c r="H1857" s="7" t="s">
        <v>382</v>
      </c>
      <c r="I1857" s="6" t="s">
        <v>169</v>
      </c>
      <c r="J1857" s="130"/>
      <c r="K1857" s="148" t="s">
        <v>3843</v>
      </c>
    </row>
    <row r="1858" spans="1:11" ht="28.9" customHeight="1" thickTop="1" thickBot="1" x14ac:dyDescent="0.75">
      <c r="A1858" s="6">
        <v>1856</v>
      </c>
      <c r="B1858" s="58" t="str">
        <f>HYPERLINK("https://search.naver.com/search.naver?query=슬럼독 밀리어네어 영화", "슬럼독 밀리어네어")</f>
        <v>슬럼독 밀리어네어</v>
      </c>
      <c r="C1858" s="12">
        <v>9.1300000000000008</v>
      </c>
      <c r="D1858" s="13" t="s">
        <v>3844</v>
      </c>
      <c r="E1858" s="10" t="s">
        <v>29</v>
      </c>
      <c r="F1858" s="10">
        <v>2008</v>
      </c>
      <c r="G1858" s="10" t="s">
        <v>14</v>
      </c>
      <c r="H1858" s="11" t="s">
        <v>20</v>
      </c>
      <c r="I1858" s="10" t="s">
        <v>116</v>
      </c>
      <c r="J1858" s="131"/>
      <c r="K1858" s="149" t="s">
        <v>3845</v>
      </c>
    </row>
    <row r="1859" spans="1:11" ht="28.9" customHeight="1" thickTop="1" thickBot="1" x14ac:dyDescent="0.75">
      <c r="A1859" s="10">
        <v>1857</v>
      </c>
      <c r="B1859" s="59" t="str">
        <f>HYPERLINK("https://search.naver.com/search.naver?query=슬로 호시스 시즌1", "슬로 호시스 시즌1")</f>
        <v>슬로 호시스 시즌1</v>
      </c>
      <c r="C1859" s="16"/>
      <c r="D1859" s="17" t="s">
        <v>3846</v>
      </c>
      <c r="E1859" s="14" t="s">
        <v>29</v>
      </c>
      <c r="F1859" s="14">
        <v>2021</v>
      </c>
      <c r="G1859" s="14" t="s">
        <v>20</v>
      </c>
      <c r="H1859" s="15" t="s">
        <v>15</v>
      </c>
      <c r="I1859" s="14" t="s">
        <v>2600</v>
      </c>
      <c r="J1859" s="132"/>
      <c r="K1859" s="150" t="s">
        <v>3847</v>
      </c>
    </row>
    <row r="1860" spans="1:11" ht="28.9" customHeight="1" thickTop="1" thickBot="1" x14ac:dyDescent="0.75">
      <c r="A1860" s="10">
        <v>1858</v>
      </c>
      <c r="B1860" s="59" t="str">
        <f>HYPERLINK("https://search.naver.com/search.naver?query=슬로 호시스 시즌2", "슬로 호시스 시즌2")</f>
        <v>슬로 호시스 시즌2</v>
      </c>
      <c r="C1860" s="16"/>
      <c r="D1860" s="17" t="s">
        <v>3846</v>
      </c>
      <c r="E1860" s="14" t="s">
        <v>29</v>
      </c>
      <c r="F1860" s="14">
        <v>2022</v>
      </c>
      <c r="G1860" s="14" t="s">
        <v>20</v>
      </c>
      <c r="H1860" s="15" t="s">
        <v>15</v>
      </c>
      <c r="I1860" s="14" t="s">
        <v>247</v>
      </c>
      <c r="J1860" s="132"/>
      <c r="K1860" s="150" t="s">
        <v>3848</v>
      </c>
    </row>
    <row r="1861" spans="1:11" ht="28.9" customHeight="1" thickTop="1" thickBot="1" x14ac:dyDescent="0.75">
      <c r="A1861" s="6">
        <v>1859</v>
      </c>
      <c r="B1861" s="59" t="str">
        <f>HYPERLINK("https://search.naver.com/search.naver?query=슬로 호시스 시즌3", "슬로 호시스 시즌3")</f>
        <v>슬로 호시스 시즌3</v>
      </c>
      <c r="C1861" s="16"/>
      <c r="D1861" s="17" t="s">
        <v>3846</v>
      </c>
      <c r="E1861" s="14" t="s">
        <v>29</v>
      </c>
      <c r="F1861" s="14">
        <v>2023</v>
      </c>
      <c r="G1861" s="14" t="s">
        <v>20</v>
      </c>
      <c r="H1861" s="15" t="s">
        <v>15</v>
      </c>
      <c r="I1861" s="14" t="s">
        <v>247</v>
      </c>
      <c r="J1861" s="132"/>
      <c r="K1861" s="150" t="s">
        <v>3849</v>
      </c>
    </row>
    <row r="1862" spans="1:11" ht="28.9" customHeight="1" thickTop="1" thickBot="1" x14ac:dyDescent="0.75">
      <c r="A1862" s="10">
        <v>1860</v>
      </c>
      <c r="B1862" s="59" t="str">
        <f>HYPERLINK("https://search.naver.com/search.naver?query=슬로 호시스 시즌4", "슬로 호시스 시즌4")</f>
        <v>슬로 호시스 시즌4</v>
      </c>
      <c r="C1862" s="16"/>
      <c r="D1862" s="17" t="s">
        <v>3846</v>
      </c>
      <c r="E1862" s="14" t="s">
        <v>29</v>
      </c>
      <c r="F1862" s="14">
        <v>2024</v>
      </c>
      <c r="G1862" s="14" t="s">
        <v>20</v>
      </c>
      <c r="H1862" s="15" t="s">
        <v>15</v>
      </c>
      <c r="I1862" s="14" t="s">
        <v>247</v>
      </c>
      <c r="J1862" s="132"/>
      <c r="K1862" s="150" t="s">
        <v>3850</v>
      </c>
    </row>
    <row r="1863" spans="1:11" ht="28.9" customHeight="1" thickTop="1" thickBot="1" x14ac:dyDescent="0.75">
      <c r="A1863" s="10">
        <v>1861</v>
      </c>
      <c r="B1863" s="59" t="str">
        <f>HYPERLINK("https://search.naver.com/search.naver?query=슬로 호시스 시즌5", "슬로 호시스 시즌5")</f>
        <v>슬로 호시스 시즌5</v>
      </c>
      <c r="C1863" s="16"/>
      <c r="D1863" s="17" t="s">
        <v>3846</v>
      </c>
      <c r="E1863" s="14" t="s">
        <v>29</v>
      </c>
      <c r="F1863" s="14">
        <v>2025</v>
      </c>
      <c r="G1863" s="14" t="s">
        <v>20</v>
      </c>
      <c r="H1863" s="15" t="s">
        <v>15</v>
      </c>
      <c r="I1863" s="14" t="s">
        <v>247</v>
      </c>
      <c r="J1863" s="132"/>
      <c r="K1863" s="150" t="s">
        <v>3851</v>
      </c>
    </row>
    <row r="1864" spans="1:11" ht="28.9" customHeight="1" thickTop="1" thickBot="1" x14ac:dyDescent="0.75">
      <c r="A1864" s="6">
        <v>1862</v>
      </c>
      <c r="B1864" s="57" t="str">
        <f>HYPERLINK("https://search.naver.com/search.naver?query=슬로우 비디오 영화", "슬로우 비디오")</f>
        <v>슬로우 비디오</v>
      </c>
      <c r="C1864" s="8">
        <v>7.78</v>
      </c>
      <c r="D1864" s="9" t="s">
        <v>3852</v>
      </c>
      <c r="E1864" s="6" t="s">
        <v>13</v>
      </c>
      <c r="F1864" s="6">
        <v>2014</v>
      </c>
      <c r="G1864" s="6" t="s">
        <v>14</v>
      </c>
      <c r="H1864" s="7" t="s">
        <v>91</v>
      </c>
      <c r="I1864" s="6" t="s">
        <v>175</v>
      </c>
      <c r="J1864" s="130"/>
      <c r="K1864" s="148" t="s">
        <v>3853</v>
      </c>
    </row>
    <row r="1865" spans="1:11" ht="28.9" customHeight="1" thickTop="1" thickBot="1" x14ac:dyDescent="0.75">
      <c r="A1865" s="10">
        <v>1863</v>
      </c>
      <c r="B1865" s="58" t="str">
        <f>HYPERLINK("https://search.naver.com/search.naver?query=슬리핑 위드 아더 피플 영화", "슬리핑 위드 아더 피플")</f>
        <v>슬리핑 위드 아더 피플</v>
      </c>
      <c r="C1865" s="12">
        <v>7.73</v>
      </c>
      <c r="D1865" s="13" t="s">
        <v>3854</v>
      </c>
      <c r="E1865" s="10" t="s">
        <v>24</v>
      </c>
      <c r="F1865" s="10">
        <v>2015</v>
      </c>
      <c r="G1865" s="10" t="s">
        <v>14</v>
      </c>
      <c r="H1865" s="11" t="s">
        <v>91</v>
      </c>
      <c r="I1865" s="10" t="s">
        <v>94</v>
      </c>
      <c r="J1865" s="131"/>
      <c r="K1865" s="149" t="s">
        <v>3855</v>
      </c>
    </row>
    <row r="1866" spans="1:11" ht="28.9" customHeight="1" thickTop="1" thickBot="1" x14ac:dyDescent="0.75">
      <c r="A1866" s="10">
        <v>1864</v>
      </c>
      <c r="B1866" s="57" t="str">
        <f>HYPERLINK("https://search.naver.com/search.naver?query=슬픔보다 더 슬픈이야기 영화", "슬픔보다 더 슬픈이야기")</f>
        <v>슬픔보다 더 슬픈이야기</v>
      </c>
      <c r="C1866" s="8">
        <v>8.42</v>
      </c>
      <c r="D1866" s="9" t="s">
        <v>3856</v>
      </c>
      <c r="E1866" s="6" t="s">
        <v>13</v>
      </c>
      <c r="F1866" s="6">
        <v>2009</v>
      </c>
      <c r="G1866" s="6" t="s">
        <v>14</v>
      </c>
      <c r="H1866" s="7" t="s">
        <v>165</v>
      </c>
      <c r="I1866" s="6" t="s">
        <v>175</v>
      </c>
      <c r="J1866" s="130"/>
      <c r="K1866" s="148" t="s">
        <v>3857</v>
      </c>
    </row>
    <row r="1867" spans="1:11" ht="28.9" customHeight="1" thickTop="1" thickBot="1" x14ac:dyDescent="0.75">
      <c r="A1867" s="6">
        <v>1865</v>
      </c>
      <c r="B1867" s="58" t="str">
        <f>HYPERLINK("https://search.naver.com/search.naver?query=승부 영화", "승부")</f>
        <v>승부</v>
      </c>
      <c r="C1867" s="12">
        <v>8.4600000000000009</v>
      </c>
      <c r="D1867" s="13" t="s">
        <v>3858</v>
      </c>
      <c r="E1867" s="10" t="s">
        <v>13</v>
      </c>
      <c r="F1867" s="10">
        <v>2025</v>
      </c>
      <c r="G1867" s="10" t="s">
        <v>14</v>
      </c>
      <c r="H1867" s="11" t="s">
        <v>20</v>
      </c>
      <c r="I1867" s="10" t="s">
        <v>60</v>
      </c>
      <c r="J1867" s="131"/>
      <c r="K1867" s="149" t="s">
        <v>3859</v>
      </c>
    </row>
    <row r="1868" spans="1:11" ht="28.9" customHeight="1" thickTop="1" thickBot="1" x14ac:dyDescent="0.75">
      <c r="A1868" s="10">
        <v>1866</v>
      </c>
      <c r="B1868" s="57" t="str">
        <f>HYPERLINK("https://search.naver.com/search.naver?query=시간 여행자의 아내 영화", "시간 여행자의 아내")</f>
        <v>시간 여행자의 아내</v>
      </c>
      <c r="C1868" s="8">
        <v>8.3000000000000007</v>
      </c>
      <c r="D1868" s="9" t="s">
        <v>3860</v>
      </c>
      <c r="E1868" s="6" t="s">
        <v>24</v>
      </c>
      <c r="F1868" s="6">
        <v>2009</v>
      </c>
      <c r="G1868" s="6" t="s">
        <v>14</v>
      </c>
      <c r="H1868" s="7" t="s">
        <v>20</v>
      </c>
      <c r="I1868" s="6" t="s">
        <v>101</v>
      </c>
      <c r="J1868" s="130"/>
      <c r="K1868" s="148" t="s">
        <v>3861</v>
      </c>
    </row>
    <row r="1869" spans="1:11" ht="28.9" customHeight="1" thickTop="1" thickBot="1" x14ac:dyDescent="0.75">
      <c r="A1869" s="10">
        <v>1867</v>
      </c>
      <c r="B1869" s="58" t="str">
        <f>HYPERLINK("https://search.naver.com/search.naver?query=시간을 달리는 소녀 영화", "시간을 달리는 소녀")</f>
        <v>시간을 달리는 소녀</v>
      </c>
      <c r="C1869" s="12">
        <v>8.86</v>
      </c>
      <c r="D1869" s="13" t="s">
        <v>3862</v>
      </c>
      <c r="E1869" s="10" t="s">
        <v>19</v>
      </c>
      <c r="F1869" s="10">
        <v>2006</v>
      </c>
      <c r="G1869" s="10" t="s">
        <v>14</v>
      </c>
      <c r="H1869" s="11" t="s">
        <v>3863</v>
      </c>
      <c r="I1869" s="10" t="s">
        <v>16</v>
      </c>
      <c r="J1869" s="131"/>
      <c r="K1869" s="149" t="s">
        <v>3864</v>
      </c>
    </row>
    <row r="1870" spans="1:11" ht="28.9" customHeight="1" thickTop="1" thickBot="1" x14ac:dyDescent="0.75">
      <c r="A1870" s="6">
        <v>1868</v>
      </c>
      <c r="B1870" s="59" t="str">
        <f>HYPERLINK("https://search.naver.com/search.naver?query=시그널1", "시그널1")</f>
        <v>시그널1</v>
      </c>
      <c r="C1870" s="16"/>
      <c r="D1870" s="17" t="s">
        <v>3865</v>
      </c>
      <c r="E1870" s="14" t="s">
        <v>13</v>
      </c>
      <c r="F1870" s="14">
        <v>2016</v>
      </c>
      <c r="G1870" s="14" t="s">
        <v>20</v>
      </c>
      <c r="H1870" s="15" t="s">
        <v>1587</v>
      </c>
      <c r="I1870" s="14" t="s">
        <v>825</v>
      </c>
      <c r="J1870" s="132"/>
      <c r="K1870" s="150" t="s">
        <v>3866</v>
      </c>
    </row>
    <row r="1871" spans="1:11" ht="28.9" customHeight="1" thickTop="1" thickBot="1" x14ac:dyDescent="0.75">
      <c r="A1871" s="10">
        <v>1869</v>
      </c>
      <c r="B1871" s="58" t="str">
        <f>HYPERLINK("https://search.naver.com/search.naver?query=시동 영화", "시동")</f>
        <v>시동</v>
      </c>
      <c r="C1871" s="12">
        <v>8.61</v>
      </c>
      <c r="D1871" s="13" t="s">
        <v>3867</v>
      </c>
      <c r="E1871" s="10" t="s">
        <v>13</v>
      </c>
      <c r="F1871" s="10">
        <v>2019</v>
      </c>
      <c r="G1871" s="10" t="s">
        <v>14</v>
      </c>
      <c r="H1871" s="11" t="s">
        <v>20</v>
      </c>
      <c r="I1871" s="10" t="s">
        <v>133</v>
      </c>
      <c r="J1871" s="131"/>
      <c r="K1871" s="149" t="s">
        <v>3868</v>
      </c>
    </row>
    <row r="1872" spans="1:11" ht="28.9" customHeight="1" thickTop="1" thickBot="1" x14ac:dyDescent="0.75">
      <c r="A1872" s="10">
        <v>1870</v>
      </c>
      <c r="B1872" s="57" t="str">
        <f>HYPERLINK("https://search.naver.com/search.naver?query=시라노 연애조작단 영화", "시라노-연애조작단")</f>
        <v>시라노-연애조작단</v>
      </c>
      <c r="C1872" s="8">
        <v>8.73</v>
      </c>
      <c r="D1872" s="9" t="s">
        <v>3869</v>
      </c>
      <c r="E1872" s="6" t="s">
        <v>13</v>
      </c>
      <c r="F1872" s="6">
        <v>2010</v>
      </c>
      <c r="G1872" s="6" t="s">
        <v>14</v>
      </c>
      <c r="H1872" s="7" t="s">
        <v>91</v>
      </c>
      <c r="I1872" s="6" t="s">
        <v>329</v>
      </c>
      <c r="J1872" s="130"/>
      <c r="K1872" s="148" t="s">
        <v>3870</v>
      </c>
    </row>
    <row r="1873" spans="1:11" ht="28.9" customHeight="1" thickTop="1" thickBot="1" x14ac:dyDescent="0.75">
      <c r="A1873" s="6">
        <v>1871</v>
      </c>
      <c r="B1873" s="58" t="str">
        <f>HYPERLINK("https://search.naver.com/search.naver?query=시리아나 영화", "시리아나")</f>
        <v>시리아나</v>
      </c>
      <c r="C1873" s="12">
        <v>7.42</v>
      </c>
      <c r="D1873" s="13" t="s">
        <v>3871</v>
      </c>
      <c r="E1873" s="10" t="s">
        <v>24</v>
      </c>
      <c r="F1873" s="10">
        <v>2005</v>
      </c>
      <c r="G1873" s="10" t="s">
        <v>14</v>
      </c>
      <c r="H1873" s="11" t="s">
        <v>20</v>
      </c>
      <c r="I1873" s="10" t="s">
        <v>146</v>
      </c>
      <c r="J1873" s="131"/>
      <c r="K1873" s="149" t="s">
        <v>3872</v>
      </c>
    </row>
    <row r="1874" spans="1:11" ht="28.9" customHeight="1" thickTop="1" thickBot="1" x14ac:dyDescent="0.75">
      <c r="A1874" s="10">
        <v>1872</v>
      </c>
      <c r="B1874" s="57" t="str">
        <f>HYPERLINK("https://search.naver.com/search.naver?query=시빌 영화", "시빌")</f>
        <v>시빌</v>
      </c>
      <c r="C1874" s="8">
        <v>9</v>
      </c>
      <c r="D1874" s="9" t="s">
        <v>3873</v>
      </c>
      <c r="E1874" s="6" t="s">
        <v>310</v>
      </c>
      <c r="F1874" s="6">
        <v>2019</v>
      </c>
      <c r="G1874" s="6" t="s">
        <v>14</v>
      </c>
      <c r="H1874" s="7" t="s">
        <v>20</v>
      </c>
      <c r="I1874" s="6" t="s">
        <v>94</v>
      </c>
      <c r="J1874" s="130"/>
      <c r="K1874" s="148" t="s">
        <v>3874</v>
      </c>
    </row>
    <row r="1875" spans="1:11" ht="28.9" customHeight="1" thickTop="1" thickBot="1" x14ac:dyDescent="0.75">
      <c r="A1875" s="10">
        <v>1873</v>
      </c>
      <c r="B1875" s="58" t="str">
        <f>HYPERLINK("https://search.naver.com/search.naver?query=시빌워 영화", "시빌워")</f>
        <v>시빌워</v>
      </c>
      <c r="C1875" s="12">
        <v>8.2799999999999994</v>
      </c>
      <c r="D1875" s="13" t="s">
        <v>3875</v>
      </c>
      <c r="E1875" s="10" t="s">
        <v>24</v>
      </c>
      <c r="F1875" s="10">
        <v>2024</v>
      </c>
      <c r="G1875" s="10" t="s">
        <v>14</v>
      </c>
      <c r="H1875" s="11" t="s">
        <v>124</v>
      </c>
      <c r="I1875" s="10" t="s">
        <v>187</v>
      </c>
      <c r="J1875" s="131"/>
      <c r="K1875" s="149" t="s">
        <v>3876</v>
      </c>
    </row>
    <row r="1876" spans="1:11" ht="28.9" customHeight="1" thickTop="1" thickBot="1" x14ac:dyDescent="0.75">
      <c r="A1876" s="6">
        <v>1874</v>
      </c>
      <c r="B1876" s="57" t="str">
        <f>HYPERLINK("https://search.naver.com/search.naver?query=시선 영화", "시선")</f>
        <v>시선</v>
      </c>
      <c r="C1876" s="8">
        <v>8.82</v>
      </c>
      <c r="D1876" s="9" t="s">
        <v>3877</v>
      </c>
      <c r="E1876" s="6" t="s">
        <v>13</v>
      </c>
      <c r="F1876" s="6">
        <v>2013</v>
      </c>
      <c r="G1876" s="6" t="s">
        <v>14</v>
      </c>
      <c r="H1876" s="7" t="s">
        <v>20</v>
      </c>
      <c r="I1876" s="6" t="s">
        <v>150</v>
      </c>
      <c r="J1876" s="130"/>
      <c r="K1876" s="148" t="s">
        <v>1761</v>
      </c>
    </row>
    <row r="1877" spans="1:11" ht="28.9" customHeight="1" thickTop="1" thickBot="1" x14ac:dyDescent="0.75">
      <c r="A1877" s="10">
        <v>1875</v>
      </c>
      <c r="B1877" s="58" t="str">
        <f>HYPERLINK("https://search.naver.com/search.naver?query=시스터스 브라더스 영화", "시스터스 브라더스")</f>
        <v>시스터스 브라더스</v>
      </c>
      <c r="C1877" s="12"/>
      <c r="D1877" s="13" t="s">
        <v>3878</v>
      </c>
      <c r="E1877" s="10" t="s">
        <v>310</v>
      </c>
      <c r="F1877" s="10">
        <v>2018</v>
      </c>
      <c r="G1877" s="10" t="s">
        <v>14</v>
      </c>
      <c r="H1877" s="11" t="s">
        <v>1532</v>
      </c>
      <c r="I1877" s="10" t="s">
        <v>141</v>
      </c>
      <c r="J1877" s="131"/>
      <c r="K1877" s="149" t="s">
        <v>3879</v>
      </c>
    </row>
    <row r="1878" spans="1:11" ht="28.9" customHeight="1" thickTop="1" thickBot="1" x14ac:dyDescent="0.75">
      <c r="A1878" s="10">
        <v>1876</v>
      </c>
      <c r="B1878" s="57" t="str">
        <f>HYPERLINK("https://search.naver.com/search.naver?query=시스터즈 영화", "시스터즈")</f>
        <v>시스터즈</v>
      </c>
      <c r="C1878" s="8"/>
      <c r="D1878" s="9" t="s">
        <v>3880</v>
      </c>
      <c r="E1878" s="6" t="s">
        <v>24</v>
      </c>
      <c r="F1878" s="6">
        <v>2015</v>
      </c>
      <c r="G1878" s="6" t="s">
        <v>14</v>
      </c>
      <c r="H1878" s="7" t="s">
        <v>91</v>
      </c>
      <c r="I1878" s="6" t="s">
        <v>329</v>
      </c>
      <c r="J1878" s="130"/>
      <c r="K1878" s="148" t="s">
        <v>1701</v>
      </c>
    </row>
    <row r="1879" spans="1:11" ht="28.9" customHeight="1" thickTop="1" thickBot="1" x14ac:dyDescent="0.75">
      <c r="A1879" s="6">
        <v>1877</v>
      </c>
      <c r="B1879" s="58" t="str">
        <f>HYPERLINK("https://search.naver.com/search.naver?query=시월애 영화", "시월애")</f>
        <v>시월애</v>
      </c>
      <c r="C1879" s="12">
        <v>8.14</v>
      </c>
      <c r="D1879" s="13" t="s">
        <v>3881</v>
      </c>
      <c r="E1879" s="10" t="s">
        <v>13</v>
      </c>
      <c r="F1879" s="10">
        <v>2000</v>
      </c>
      <c r="G1879" s="10" t="s">
        <v>14</v>
      </c>
      <c r="H1879" s="11" t="s">
        <v>165</v>
      </c>
      <c r="I1879" s="10" t="s">
        <v>80</v>
      </c>
      <c r="J1879" s="131"/>
      <c r="K1879" s="149" t="s">
        <v>3882</v>
      </c>
    </row>
    <row r="1880" spans="1:11" ht="28.9" customHeight="1" thickTop="1" thickBot="1" x14ac:dyDescent="0.75">
      <c r="A1880" s="10">
        <v>1878</v>
      </c>
      <c r="B1880" s="57" t="str">
        <f>HYPERLINK("https://search.naver.com/search.naver?query=영화 시작은 키스", "시작은 키스")</f>
        <v>시작은 키스</v>
      </c>
      <c r="C1880" s="8">
        <v>8.4</v>
      </c>
      <c r="D1880" s="9" t="s">
        <v>3883</v>
      </c>
      <c r="E1880" s="6" t="s">
        <v>310</v>
      </c>
      <c r="F1880" s="6">
        <v>2012</v>
      </c>
      <c r="G1880" s="6" t="s">
        <v>14</v>
      </c>
      <c r="H1880" s="7" t="s">
        <v>91</v>
      </c>
      <c r="I1880" s="6" t="s">
        <v>38</v>
      </c>
      <c r="J1880" s="130"/>
      <c r="K1880" s="148" t="s">
        <v>3884</v>
      </c>
    </row>
    <row r="1881" spans="1:11" ht="28.9" customHeight="1" thickTop="1" thickBot="1" x14ac:dyDescent="0.75">
      <c r="A1881" s="10">
        <v>1879</v>
      </c>
      <c r="B1881" s="58" t="str">
        <f>HYPERLINK("https://search.naver.com/search.naver?query=시작의 길 영화", "시작의 길")</f>
        <v>시작의 길</v>
      </c>
      <c r="C1881" s="12">
        <v>6.4</v>
      </c>
      <c r="D1881" s="13" t="s">
        <v>3885</v>
      </c>
      <c r="E1881" s="10" t="s">
        <v>19</v>
      </c>
      <c r="F1881" s="10">
        <v>2013</v>
      </c>
      <c r="G1881" s="10" t="s">
        <v>14</v>
      </c>
      <c r="H1881" s="11" t="s">
        <v>20</v>
      </c>
      <c r="I1881" s="10" t="s">
        <v>150</v>
      </c>
      <c r="J1881" s="131"/>
      <c r="K1881" s="149" t="s">
        <v>3886</v>
      </c>
    </row>
    <row r="1882" spans="1:11" ht="28.9" customHeight="1" thickTop="1" thickBot="1" x14ac:dyDescent="0.75">
      <c r="A1882" s="6">
        <v>1880</v>
      </c>
      <c r="B1882" s="57" t="str">
        <f>HYPERLINK("https://search.naver.com/search.naver?query=시절인연 영화", "시절인연")</f>
        <v>시절인연</v>
      </c>
      <c r="C1882" s="8">
        <v>8.56</v>
      </c>
      <c r="D1882" s="9" t="s">
        <v>3887</v>
      </c>
      <c r="E1882" s="6" t="s">
        <v>186</v>
      </c>
      <c r="F1882" s="6">
        <v>2013</v>
      </c>
      <c r="G1882" s="6" t="s">
        <v>14</v>
      </c>
      <c r="H1882" s="7" t="s">
        <v>165</v>
      </c>
      <c r="I1882" s="6" t="s">
        <v>183</v>
      </c>
      <c r="J1882" s="130"/>
      <c r="K1882" s="148" t="s">
        <v>3888</v>
      </c>
    </row>
    <row r="1883" spans="1:11" ht="28.9" customHeight="1" thickTop="1" thickBot="1" x14ac:dyDescent="0.75">
      <c r="A1883" s="10">
        <v>1881</v>
      </c>
      <c r="B1883" s="58" t="str">
        <f>HYPERLINK("https://search.naver.com/search.naver?query=시절인연 2 북 오브 러브 영화", "시절인연 2 (북 오브 러브)")</f>
        <v>시절인연 2 (북 오브 러브)</v>
      </c>
      <c r="C1883" s="12">
        <v>6.4</v>
      </c>
      <c r="D1883" s="13" t="s">
        <v>3889</v>
      </c>
      <c r="E1883" s="10" t="s">
        <v>24</v>
      </c>
      <c r="F1883" s="10">
        <v>2016</v>
      </c>
      <c r="G1883" s="10" t="s">
        <v>14</v>
      </c>
      <c r="H1883" s="11" t="s">
        <v>91</v>
      </c>
      <c r="I1883" s="10" t="s">
        <v>443</v>
      </c>
      <c r="J1883" s="131"/>
      <c r="K1883" s="149" t="s">
        <v>3890</v>
      </c>
    </row>
    <row r="1884" spans="1:11" ht="28.9" customHeight="1" thickTop="1" thickBot="1" x14ac:dyDescent="0.75">
      <c r="A1884" s="10">
        <v>1882</v>
      </c>
      <c r="B1884" s="57" t="str">
        <f>HYPERLINK("https://search.naver.com/search.naver?query=시체가 돌아왔다 영화", "시체가 돌아왔다")</f>
        <v>시체가 돌아왔다</v>
      </c>
      <c r="C1884" s="8">
        <v>7.42</v>
      </c>
      <c r="D1884" s="9" t="s">
        <v>3891</v>
      </c>
      <c r="E1884" s="6" t="s">
        <v>13</v>
      </c>
      <c r="F1884" s="6">
        <v>2012</v>
      </c>
      <c r="G1884" s="6" t="s">
        <v>14</v>
      </c>
      <c r="H1884" s="7" t="s">
        <v>91</v>
      </c>
      <c r="I1884" s="6" t="s">
        <v>150</v>
      </c>
      <c r="J1884" s="130"/>
      <c r="K1884" s="148" t="s">
        <v>3892</v>
      </c>
    </row>
    <row r="1885" spans="1:11" ht="28.9" customHeight="1" thickTop="1" thickBot="1" x14ac:dyDescent="0.75">
      <c r="A1885" s="6">
        <v>1883</v>
      </c>
      <c r="B1885" s="58" t="str">
        <f>HYPERLINK("https://search.naver.com/search.naver?query=시카고 하이스트 영화", "시카고 하이스트")</f>
        <v>시카고 하이스트</v>
      </c>
      <c r="C1885" s="12">
        <v>6.6</v>
      </c>
      <c r="D1885" s="13" t="s">
        <v>3893</v>
      </c>
      <c r="E1885" s="10" t="s">
        <v>24</v>
      </c>
      <c r="F1885" s="10">
        <v>2023</v>
      </c>
      <c r="G1885" s="10" t="s">
        <v>14</v>
      </c>
      <c r="H1885" s="11" t="s">
        <v>428</v>
      </c>
      <c r="I1885" s="10" t="s">
        <v>129</v>
      </c>
      <c r="J1885" s="131"/>
      <c r="K1885" s="149" t="s">
        <v>3894</v>
      </c>
    </row>
    <row r="1886" spans="1:11" ht="28.9" customHeight="1" thickTop="1" thickBot="1" x14ac:dyDescent="0.75">
      <c r="A1886" s="10">
        <v>1884</v>
      </c>
      <c r="B1886" s="57" t="str">
        <f>HYPERLINK("https://search.naver.com/search.naver?query=시카리오 암살자의 도시 영화", "시카리오 - 암살자의 도시")</f>
        <v>시카리오 - 암살자의 도시</v>
      </c>
      <c r="C1886" s="8"/>
      <c r="D1886" s="9" t="s">
        <v>3895</v>
      </c>
      <c r="E1886" s="6" t="s">
        <v>24</v>
      </c>
      <c r="F1886" s="6">
        <v>2015</v>
      </c>
      <c r="G1886" s="6" t="s">
        <v>14</v>
      </c>
      <c r="H1886" s="7" t="s">
        <v>124</v>
      </c>
      <c r="I1886" s="6" t="s">
        <v>195</v>
      </c>
      <c r="J1886" s="130"/>
      <c r="K1886" s="148" t="s">
        <v>3896</v>
      </c>
    </row>
    <row r="1887" spans="1:11" ht="28.9" customHeight="1" thickTop="1" thickBot="1" x14ac:dyDescent="0.75">
      <c r="A1887" s="10">
        <v>1885</v>
      </c>
      <c r="B1887" s="58" t="str">
        <f>HYPERLINK("https://search.naver.com/search.naver?query=시카리오 데이 오브 솔다도 영화", "시카리오-데이 오브 솔다도")</f>
        <v>시카리오-데이 오브 솔다도</v>
      </c>
      <c r="C1887" s="12">
        <v>8.8699999999999992</v>
      </c>
      <c r="D1887" s="13" t="s">
        <v>3897</v>
      </c>
      <c r="E1887" s="10" t="s">
        <v>24</v>
      </c>
      <c r="F1887" s="10">
        <v>2018</v>
      </c>
      <c r="G1887" s="10" t="s">
        <v>14</v>
      </c>
      <c r="H1887" s="11" t="s">
        <v>124</v>
      </c>
      <c r="I1887" s="10" t="s">
        <v>141</v>
      </c>
      <c r="J1887" s="131"/>
      <c r="K1887" s="149" t="s">
        <v>3898</v>
      </c>
    </row>
    <row r="1888" spans="1:11" ht="28.9" customHeight="1" thickTop="1" thickBot="1" x14ac:dyDescent="0.75">
      <c r="A1888" s="6">
        <v>1886</v>
      </c>
      <c r="B1888" s="57" t="str">
        <f>HYPERLINK("https://search.naver.com/search.naver?query=시크릿 레터 영화", "시크릿 레터")</f>
        <v>시크릿 레터</v>
      </c>
      <c r="C1888" s="8">
        <v>8</v>
      </c>
      <c r="D1888" s="9" t="s">
        <v>3899</v>
      </c>
      <c r="E1888" s="6" t="s">
        <v>2001</v>
      </c>
      <c r="F1888" s="6">
        <v>2017</v>
      </c>
      <c r="G1888" s="6" t="s">
        <v>14</v>
      </c>
      <c r="H1888" s="7" t="s">
        <v>20</v>
      </c>
      <c r="I1888" s="6" t="s">
        <v>141</v>
      </c>
      <c r="J1888" s="130"/>
      <c r="K1888" s="148" t="s">
        <v>3900</v>
      </c>
    </row>
    <row r="1889" spans="1:11" ht="28.9" customHeight="1" thickTop="1" thickBot="1" x14ac:dyDescent="0.75">
      <c r="A1889" s="10">
        <v>1887</v>
      </c>
      <c r="B1889" s="58" t="str">
        <f>HYPERLINK("https://search.naver.com/search.naver?query=시크릿 슈퍼스타 영화", "시크릿 슈퍼스타")</f>
        <v>시크릿 슈퍼스타</v>
      </c>
      <c r="C1889" s="12">
        <v>9.14</v>
      </c>
      <c r="D1889" s="13" t="s">
        <v>3901</v>
      </c>
      <c r="E1889" s="10" t="s">
        <v>581</v>
      </c>
      <c r="F1889" s="10">
        <v>2017</v>
      </c>
      <c r="G1889" s="10" t="s">
        <v>14</v>
      </c>
      <c r="H1889" s="11" t="s">
        <v>20</v>
      </c>
      <c r="I1889" s="10" t="s">
        <v>882</v>
      </c>
      <c r="J1889" s="131"/>
      <c r="K1889" s="149" t="s">
        <v>3902</v>
      </c>
    </row>
    <row r="1890" spans="1:11" ht="28.9" customHeight="1" thickTop="1" thickBot="1" x14ac:dyDescent="0.75">
      <c r="A1890" s="10">
        <v>1888</v>
      </c>
      <c r="B1890" s="57" t="str">
        <f>HYPERLINK("https://search.naver.com/search.naver?query=시크릿 에이전트 영화", "시크릿 에이전트")</f>
        <v>시크릿 에이전트</v>
      </c>
      <c r="C1890" s="8">
        <v>6.4</v>
      </c>
      <c r="D1890" s="9" t="s">
        <v>3903</v>
      </c>
      <c r="E1890" s="6" t="s">
        <v>29</v>
      </c>
      <c r="F1890" s="6">
        <v>2021</v>
      </c>
      <c r="G1890" s="6" t="s">
        <v>14</v>
      </c>
      <c r="H1890" s="7" t="s">
        <v>20</v>
      </c>
      <c r="I1890" s="6" t="s">
        <v>76</v>
      </c>
      <c r="J1890" s="130"/>
      <c r="K1890" s="148" t="s">
        <v>3904</v>
      </c>
    </row>
    <row r="1891" spans="1:11" ht="28.9" customHeight="1" thickTop="1" thickBot="1" x14ac:dyDescent="0.75">
      <c r="A1891" s="6">
        <v>1889</v>
      </c>
      <c r="B1891" s="58" t="str">
        <f>HYPERLINK("https://search.naver.com/search.naver?query=시크릿 인 데어 아이즈 영화", "시크릿 인 데어 아이즈")</f>
        <v>시크릿 인 데어 아이즈</v>
      </c>
      <c r="C1891" s="12">
        <v>7.44</v>
      </c>
      <c r="D1891" s="13" t="s">
        <v>3905</v>
      </c>
      <c r="E1891" s="10" t="s">
        <v>24</v>
      </c>
      <c r="F1891" s="10">
        <v>2015</v>
      </c>
      <c r="G1891" s="10" t="s">
        <v>14</v>
      </c>
      <c r="H1891" s="11" t="s">
        <v>428</v>
      </c>
      <c r="I1891" s="10" t="s">
        <v>137</v>
      </c>
      <c r="J1891" s="131"/>
      <c r="K1891" s="149" t="s">
        <v>3906</v>
      </c>
    </row>
    <row r="1892" spans="1:11" ht="28.9" customHeight="1" thickTop="1" thickBot="1" x14ac:dyDescent="0.75">
      <c r="A1892" s="10">
        <v>1890</v>
      </c>
      <c r="B1892" s="59" t="str">
        <f>HYPERLINK("https://search.naver.com/search.naver?query=시타델 시즌1", "시타델 시즌1")</f>
        <v>시타델 시즌1</v>
      </c>
      <c r="C1892" s="16"/>
      <c r="D1892" s="17" t="s">
        <v>3907</v>
      </c>
      <c r="E1892" s="14" t="s">
        <v>24</v>
      </c>
      <c r="F1892" s="14">
        <v>2023</v>
      </c>
      <c r="G1892" s="14" t="s">
        <v>20</v>
      </c>
      <c r="H1892" s="15" t="s">
        <v>229</v>
      </c>
      <c r="I1892" s="14" t="s">
        <v>247</v>
      </c>
      <c r="J1892" s="132"/>
      <c r="K1892" s="150" t="s">
        <v>3908</v>
      </c>
    </row>
    <row r="1893" spans="1:11" ht="28.9" customHeight="1" thickTop="1" thickBot="1" x14ac:dyDescent="0.75">
      <c r="A1893" s="10">
        <v>1891</v>
      </c>
      <c r="B1893" s="58" t="str">
        <f>HYPERLINK("https://search.naver.com/search.naver?query=시티 오브 엠버 빛의 도시를 찾아서 영화", "시티 오브 엠버- 빛의 도시를 찾아서")</f>
        <v>시티 오브 엠버- 빛의 도시를 찾아서</v>
      </c>
      <c r="C1893" s="12">
        <v>6.4</v>
      </c>
      <c r="D1893" s="13" t="s">
        <v>3909</v>
      </c>
      <c r="E1893" s="10" t="s">
        <v>24</v>
      </c>
      <c r="F1893" s="10">
        <v>2008</v>
      </c>
      <c r="G1893" s="10" t="s">
        <v>14</v>
      </c>
      <c r="H1893" s="11" t="s">
        <v>1452</v>
      </c>
      <c r="I1893" s="10" t="s">
        <v>150</v>
      </c>
      <c r="J1893" s="131"/>
      <c r="K1893" s="149" t="s">
        <v>3910</v>
      </c>
    </row>
    <row r="1894" spans="1:11" ht="28.9" customHeight="1" thickTop="1" thickBot="1" x14ac:dyDescent="0.75">
      <c r="A1894" s="6">
        <v>1892</v>
      </c>
      <c r="B1894" s="57" t="str">
        <f>HYPERLINK("https://search.naver.com/search.naver?query=영화 식스 빌로우", "식스 빌로우 빌로우 - 미라클 온 더 마운틴")</f>
        <v>식스 빌로우 빌로우 - 미라클 온 더 마운틴</v>
      </c>
      <c r="C1894" s="8">
        <v>7.52</v>
      </c>
      <c r="D1894" s="9" t="s">
        <v>3911</v>
      </c>
      <c r="E1894" s="6" t="s">
        <v>24</v>
      </c>
      <c r="F1894" s="6">
        <v>2018</v>
      </c>
      <c r="G1894" s="6" t="s">
        <v>14</v>
      </c>
      <c r="H1894" s="7" t="s">
        <v>229</v>
      </c>
      <c r="I1894" s="6" t="s">
        <v>16</v>
      </c>
      <c r="J1894" s="130"/>
      <c r="K1894" s="148" t="s">
        <v>2534</v>
      </c>
    </row>
    <row r="1895" spans="1:11" ht="28.9" customHeight="1" thickTop="1" thickBot="1" x14ac:dyDescent="0.75">
      <c r="A1895" s="10">
        <v>1893</v>
      </c>
      <c r="B1895" s="58" t="str">
        <f>HYPERLINK("https://search.naver.com/search.naver?query=식스틴 블럭 영화", "식스틴 블럭")</f>
        <v>식스틴 블럭</v>
      </c>
      <c r="C1895" s="12">
        <v>7.94</v>
      </c>
      <c r="D1895" s="13" t="s">
        <v>3912</v>
      </c>
      <c r="E1895" s="10" t="s">
        <v>24</v>
      </c>
      <c r="F1895" s="10">
        <v>2006</v>
      </c>
      <c r="G1895" s="10" t="s">
        <v>14</v>
      </c>
      <c r="H1895" s="11" t="s">
        <v>124</v>
      </c>
      <c r="I1895" s="10" t="s">
        <v>133</v>
      </c>
      <c r="J1895" s="131"/>
      <c r="K1895" s="149" t="s">
        <v>3913</v>
      </c>
    </row>
    <row r="1896" spans="1:11" ht="28.9" customHeight="1" thickTop="1" thickBot="1" x14ac:dyDescent="0.75">
      <c r="A1896" s="10">
        <v>1894</v>
      </c>
      <c r="B1896" s="57" t="str">
        <f>HYPERLINK("https://search.naver.com/search.naver?query=신과 나눈 이야기 영화", "신과 나눈 이야기")</f>
        <v>신과 나눈 이야기</v>
      </c>
      <c r="C1896" s="8">
        <v>8.06</v>
      </c>
      <c r="D1896" s="9" t="s">
        <v>3914</v>
      </c>
      <c r="E1896" s="6" t="s">
        <v>24</v>
      </c>
      <c r="F1896" s="6">
        <v>2006</v>
      </c>
      <c r="G1896" s="6" t="s">
        <v>14</v>
      </c>
      <c r="H1896" s="7" t="s">
        <v>20</v>
      </c>
      <c r="I1896" s="6" t="s">
        <v>187</v>
      </c>
      <c r="J1896" s="130"/>
      <c r="K1896" s="148" t="s">
        <v>3915</v>
      </c>
    </row>
    <row r="1897" spans="1:11" ht="28.9" customHeight="1" thickTop="1" thickBot="1" x14ac:dyDescent="0.75">
      <c r="A1897" s="6">
        <v>1895</v>
      </c>
      <c r="B1897" s="58" t="str">
        <f>HYPERLINK("https://search.naver.com/search.naver?query=신과 인간 영화", "신과 인간")</f>
        <v>신과 인간</v>
      </c>
      <c r="C1897" s="12">
        <v>8.1999999999999993</v>
      </c>
      <c r="D1897" s="13" t="s">
        <v>3916</v>
      </c>
      <c r="E1897" s="10" t="s">
        <v>310</v>
      </c>
      <c r="F1897" s="10">
        <v>2010</v>
      </c>
      <c r="G1897" s="10" t="s">
        <v>14</v>
      </c>
      <c r="H1897" s="11" t="s">
        <v>20</v>
      </c>
      <c r="I1897" s="10" t="s">
        <v>141</v>
      </c>
      <c r="J1897" s="131"/>
      <c r="K1897" s="149" t="s">
        <v>3917</v>
      </c>
    </row>
    <row r="1898" spans="1:11" ht="28.9" customHeight="1" thickTop="1" thickBot="1" x14ac:dyDescent="0.75">
      <c r="A1898" s="10">
        <v>1896</v>
      </c>
      <c r="B1898" s="57" t="str">
        <f>HYPERLINK("https://search.naver.com/search.naver?query=신과 인간 사이 영화", "신과 인간 사이")</f>
        <v>신과 인간 사이</v>
      </c>
      <c r="C1898" s="8">
        <v>6.4</v>
      </c>
      <c r="D1898" s="9" t="s">
        <v>3918</v>
      </c>
      <c r="E1898" s="6" t="s">
        <v>19</v>
      </c>
      <c r="F1898" s="6">
        <v>2017</v>
      </c>
      <c r="G1898" s="6" t="s">
        <v>14</v>
      </c>
      <c r="H1898" s="7" t="s">
        <v>20</v>
      </c>
      <c r="I1898" s="6" t="s">
        <v>162</v>
      </c>
      <c r="J1898" s="130"/>
      <c r="K1898" s="148" t="s">
        <v>1980</v>
      </c>
    </row>
    <row r="1899" spans="1:11" ht="28.9" customHeight="1" thickTop="1" thickBot="1" x14ac:dyDescent="0.75">
      <c r="A1899" s="10">
        <v>1897</v>
      </c>
      <c r="B1899" s="58" t="str">
        <f>HYPERLINK("https://search.naver.com/search.naver?query=신과 함께 가라 영화", "신과 함께 가라")</f>
        <v>신과 함께 가라</v>
      </c>
      <c r="C1899" s="12">
        <v>9.08</v>
      </c>
      <c r="D1899" s="13" t="s">
        <v>3919</v>
      </c>
      <c r="E1899" s="10" t="s">
        <v>136</v>
      </c>
      <c r="F1899" s="10">
        <v>2002</v>
      </c>
      <c r="G1899" s="10" t="s">
        <v>14</v>
      </c>
      <c r="H1899" s="11" t="s">
        <v>91</v>
      </c>
      <c r="I1899" s="10" t="s">
        <v>443</v>
      </c>
      <c r="J1899" s="131"/>
      <c r="K1899" s="149" t="s">
        <v>3920</v>
      </c>
    </row>
    <row r="1900" spans="1:11" ht="28.9" customHeight="1" thickTop="1" thickBot="1" x14ac:dyDescent="0.75">
      <c r="A1900" s="6">
        <v>1898</v>
      </c>
      <c r="B1900" s="57" t="str">
        <f>HYPERLINK("https://search.naver.com/search.naver?query=신과 함께 죄와 벌 영화", "신과 함께-죄와 벌")</f>
        <v>신과 함께-죄와 벌</v>
      </c>
      <c r="C1900" s="8">
        <v>8.73</v>
      </c>
      <c r="D1900" s="9" t="s">
        <v>3921</v>
      </c>
      <c r="E1900" s="6" t="s">
        <v>13</v>
      </c>
      <c r="F1900" s="6">
        <v>2017</v>
      </c>
      <c r="G1900" s="6" t="s">
        <v>14</v>
      </c>
      <c r="H1900" s="7" t="s">
        <v>1539</v>
      </c>
      <c r="I1900" s="6" t="s">
        <v>476</v>
      </c>
      <c r="J1900" s="130"/>
      <c r="K1900" s="148" t="s">
        <v>3922</v>
      </c>
    </row>
    <row r="1901" spans="1:11" ht="28.9" customHeight="1" thickTop="1" thickBot="1" x14ac:dyDescent="0.75">
      <c r="A1901" s="10">
        <v>1899</v>
      </c>
      <c r="B1901" s="58" t="str">
        <f>HYPERLINK("https://search.naver.com/search.naver?query=신과함께 인과 연 영화", "신과함께-인과 연")</f>
        <v>신과함께-인과 연</v>
      </c>
      <c r="C1901" s="12">
        <v>8.6300000000000008</v>
      </c>
      <c r="D1901" s="13" t="s">
        <v>3923</v>
      </c>
      <c r="E1901" s="10" t="s">
        <v>13</v>
      </c>
      <c r="F1901" s="10">
        <v>2018</v>
      </c>
      <c r="G1901" s="10" t="s">
        <v>14</v>
      </c>
      <c r="H1901" s="11" t="s">
        <v>1539</v>
      </c>
      <c r="I1901" s="10" t="s">
        <v>759</v>
      </c>
      <c r="J1901" s="131"/>
      <c r="K1901" s="149" t="s">
        <v>3924</v>
      </c>
    </row>
    <row r="1902" spans="1:11" ht="28.9" customHeight="1" thickTop="1" thickBot="1" x14ac:dyDescent="0.75">
      <c r="A1902" s="10">
        <v>1900</v>
      </c>
      <c r="B1902" s="57" t="str">
        <f>HYPERLINK("https://search.naver.com/search.naver?query=신기전 영화", "신기전")</f>
        <v>신기전</v>
      </c>
      <c r="C1902" s="8">
        <v>8.2799999999999994</v>
      </c>
      <c r="D1902" s="9" t="s">
        <v>3925</v>
      </c>
      <c r="E1902" s="6" t="s">
        <v>13</v>
      </c>
      <c r="F1902" s="6">
        <v>2008</v>
      </c>
      <c r="G1902" s="6" t="s">
        <v>14</v>
      </c>
      <c r="H1902" s="7" t="s">
        <v>1548</v>
      </c>
      <c r="I1902" s="6" t="s">
        <v>329</v>
      </c>
      <c r="J1902" s="130"/>
      <c r="K1902" s="148" t="s">
        <v>3926</v>
      </c>
    </row>
    <row r="1903" spans="1:11" ht="28.9" customHeight="1" thickTop="1" thickBot="1" x14ac:dyDescent="0.75">
      <c r="A1903" s="6">
        <v>1901</v>
      </c>
      <c r="B1903" s="58" t="str">
        <f>HYPERLINK("https://search.naver.com/search.naver?query=신데렐라 맨 영화", "신데렐라 맨")</f>
        <v>신데렐라 맨</v>
      </c>
      <c r="C1903" s="12">
        <v>9.26</v>
      </c>
      <c r="D1903" s="13" t="s">
        <v>3927</v>
      </c>
      <c r="E1903" s="10" t="s">
        <v>24</v>
      </c>
      <c r="F1903" s="10">
        <v>2005</v>
      </c>
      <c r="G1903" s="10" t="s">
        <v>14</v>
      </c>
      <c r="H1903" s="11" t="s">
        <v>20</v>
      </c>
      <c r="I1903" s="10" t="s">
        <v>57</v>
      </c>
      <c r="J1903" s="131"/>
      <c r="K1903" s="149" t="s">
        <v>3928</v>
      </c>
    </row>
    <row r="1904" spans="1:11" ht="28.9" customHeight="1" thickTop="1" thickBot="1" x14ac:dyDescent="0.75">
      <c r="A1904" s="10">
        <v>1902</v>
      </c>
      <c r="B1904" s="57" t="str">
        <f>HYPERLINK("https://search.naver.com/search.naver?query=신문기자", "신문기자")</f>
        <v>신문기자</v>
      </c>
      <c r="C1904" s="8">
        <v>7.53</v>
      </c>
      <c r="D1904" s="9" t="s">
        <v>3929</v>
      </c>
      <c r="E1904" s="6" t="s">
        <v>19</v>
      </c>
      <c r="F1904" s="6">
        <v>2019</v>
      </c>
      <c r="G1904" s="6" t="s">
        <v>14</v>
      </c>
      <c r="H1904" s="7" t="s">
        <v>20</v>
      </c>
      <c r="I1904" s="6" t="s">
        <v>98</v>
      </c>
      <c r="J1904" s="130"/>
      <c r="K1904" s="148" t="s">
        <v>3930</v>
      </c>
    </row>
    <row r="1905" spans="1:11" ht="28.9" customHeight="1" thickTop="1" thickBot="1" x14ac:dyDescent="0.75">
      <c r="A1905" s="10">
        <v>1903</v>
      </c>
      <c r="B1905" s="59" t="str">
        <f>HYPERLINK("https://search.naver.com/search.naver?query=신문기자 드라마", "신문기자")</f>
        <v>신문기자</v>
      </c>
      <c r="C1905" s="16"/>
      <c r="D1905" s="17" t="s">
        <v>3931</v>
      </c>
      <c r="E1905" s="14" t="s">
        <v>19</v>
      </c>
      <c r="F1905" s="14">
        <v>2022</v>
      </c>
      <c r="G1905" s="14" t="s">
        <v>20</v>
      </c>
      <c r="H1905" s="15" t="s">
        <v>20</v>
      </c>
      <c r="I1905" s="14" t="s">
        <v>247</v>
      </c>
      <c r="J1905" s="132"/>
      <c r="K1905" s="150" t="s">
        <v>3932</v>
      </c>
    </row>
    <row r="1906" spans="1:11" ht="28.9" customHeight="1" thickTop="1" thickBot="1" x14ac:dyDescent="0.75">
      <c r="A1906" s="6">
        <v>1904</v>
      </c>
      <c r="B1906" s="57" t="str">
        <f>HYPERLINK("https://search.naver.com/search.naver?query=신부가 된 복서 영화", "신부가 된 복서")</f>
        <v>신부가 된 복서</v>
      </c>
      <c r="C1906" s="8">
        <v>6.4</v>
      </c>
      <c r="D1906" s="9" t="s">
        <v>3933</v>
      </c>
      <c r="E1906" s="6" t="s">
        <v>24</v>
      </c>
      <c r="F1906" s="6">
        <v>2022</v>
      </c>
      <c r="G1906" s="6" t="s">
        <v>14</v>
      </c>
      <c r="H1906" s="7" t="s">
        <v>20</v>
      </c>
      <c r="I1906" s="6" t="s">
        <v>183</v>
      </c>
      <c r="J1906" s="130"/>
      <c r="K1906" s="148" t="s">
        <v>3934</v>
      </c>
    </row>
    <row r="1907" spans="1:11" ht="28.9" customHeight="1" thickTop="1" thickBot="1" x14ac:dyDescent="0.75">
      <c r="A1907" s="10">
        <v>1905</v>
      </c>
      <c r="B1907" s="58" t="str">
        <f>HYPERLINK("https://search.naver.com/search.naver?query=신세계 영화", "신세계")</f>
        <v>신세계</v>
      </c>
      <c r="C1907" s="12">
        <v>8.9499999999999993</v>
      </c>
      <c r="D1907" s="13" t="s">
        <v>3935</v>
      </c>
      <c r="E1907" s="10" t="s">
        <v>13</v>
      </c>
      <c r="F1907" s="10">
        <v>2012</v>
      </c>
      <c r="G1907" s="10" t="s">
        <v>14</v>
      </c>
      <c r="H1907" s="11" t="s">
        <v>428</v>
      </c>
      <c r="I1907" s="10" t="s">
        <v>917</v>
      </c>
      <c r="J1907" s="131"/>
      <c r="K1907" s="149" t="s">
        <v>3936</v>
      </c>
    </row>
    <row r="1908" spans="1:11" ht="28.9" customHeight="1" thickTop="1" thickBot="1" x14ac:dyDescent="0.75">
      <c r="A1908" s="10">
        <v>1906</v>
      </c>
      <c r="B1908" s="57" t="str">
        <f>HYPERLINK("https://search.naver.com/search.naver?query=신은 죽지 않았다 2 영화", "신은 죽지 않았다 2")</f>
        <v>신은 죽지 않았다 2</v>
      </c>
      <c r="C1908" s="8">
        <v>9.56</v>
      </c>
      <c r="D1908" s="9" t="s">
        <v>3937</v>
      </c>
      <c r="E1908" s="6" t="s">
        <v>24</v>
      </c>
      <c r="F1908" s="6">
        <v>2016</v>
      </c>
      <c r="G1908" s="6" t="s">
        <v>14</v>
      </c>
      <c r="H1908" s="7" t="s">
        <v>20</v>
      </c>
      <c r="I1908" s="6" t="s">
        <v>195</v>
      </c>
      <c r="J1908" s="130"/>
      <c r="K1908" s="148" t="s">
        <v>3938</v>
      </c>
    </row>
    <row r="1909" spans="1:11" ht="28.9" customHeight="1" thickTop="1" thickBot="1" x14ac:dyDescent="0.75">
      <c r="A1909" s="6">
        <v>1907</v>
      </c>
      <c r="B1909" s="58" t="str">
        <f>HYPERLINK("https://search.naver.com/search.naver?query=신은 죽지 않았다 3 어둠 속의 빛 영화", "신은 죽지 않았다 3-어둠 속의 빛")</f>
        <v>신은 죽지 않았다 3-어둠 속의 빛</v>
      </c>
      <c r="C1909" s="12">
        <v>8.9700000000000006</v>
      </c>
      <c r="D1909" s="13" t="s">
        <v>3939</v>
      </c>
      <c r="E1909" s="10" t="s">
        <v>24</v>
      </c>
      <c r="F1909" s="10">
        <v>2018</v>
      </c>
      <c r="G1909" s="10" t="s">
        <v>14</v>
      </c>
      <c r="H1909" s="11" t="s">
        <v>20</v>
      </c>
      <c r="I1909" s="10" t="s">
        <v>242</v>
      </c>
      <c r="J1909" s="131"/>
      <c r="K1909" s="149" t="s">
        <v>3940</v>
      </c>
    </row>
    <row r="1910" spans="1:11" ht="28.9" customHeight="1" thickTop="1" thickBot="1" x14ac:dyDescent="0.75">
      <c r="A1910" s="10">
        <v>1908</v>
      </c>
      <c r="B1910" s="57" t="str">
        <f>HYPERLINK("https://search.naver.com/search.naver?query=신을 믿습니까 영화", "신을 믿습니까")</f>
        <v>신을 믿습니까</v>
      </c>
      <c r="C1910" s="8">
        <v>9.11</v>
      </c>
      <c r="D1910" s="9" t="s">
        <v>3941</v>
      </c>
      <c r="E1910" s="6" t="s">
        <v>24</v>
      </c>
      <c r="F1910" s="6">
        <v>2015</v>
      </c>
      <c r="G1910" s="6" t="s">
        <v>14</v>
      </c>
      <c r="H1910" s="7" t="s">
        <v>20</v>
      </c>
      <c r="I1910" s="6" t="s">
        <v>60</v>
      </c>
      <c r="J1910" s="130"/>
      <c r="K1910" s="148" t="s">
        <v>3216</v>
      </c>
    </row>
    <row r="1911" spans="1:11" ht="28.9" customHeight="1" thickTop="1" thickBot="1" x14ac:dyDescent="0.75">
      <c r="A1911" s="10">
        <v>1909</v>
      </c>
      <c r="B1911" s="58" t="str">
        <f>HYPERLINK("https://search.naver.com/search.naver?query=신의 기적 영화", "신의 기적")</f>
        <v>신의 기적</v>
      </c>
      <c r="C1911" s="12">
        <v>5.78</v>
      </c>
      <c r="D1911" s="13" t="s">
        <v>3942</v>
      </c>
      <c r="E1911" s="10" t="s">
        <v>24</v>
      </c>
      <c r="F1911" s="10">
        <v>2017</v>
      </c>
      <c r="G1911" s="10" t="s">
        <v>14</v>
      </c>
      <c r="H1911" s="11" t="s">
        <v>20</v>
      </c>
      <c r="I1911" s="10" t="s">
        <v>125</v>
      </c>
      <c r="J1911" s="131"/>
      <c r="K1911" s="149" t="s">
        <v>3943</v>
      </c>
    </row>
    <row r="1912" spans="1:11" ht="28.9" customHeight="1" thickTop="1" thickBot="1" x14ac:dyDescent="0.75">
      <c r="A1912" s="6">
        <v>1910</v>
      </c>
      <c r="B1912" s="57" t="str">
        <f>HYPERLINK("https://search.naver.com/search.naver?query=신의 나라 영화", "신의 나라")</f>
        <v>신의 나라</v>
      </c>
      <c r="C1912" s="8">
        <v>7.5</v>
      </c>
      <c r="D1912" s="9" t="s">
        <v>3944</v>
      </c>
      <c r="E1912" s="6" t="s">
        <v>29</v>
      </c>
      <c r="F1912" s="6">
        <v>2017</v>
      </c>
      <c r="G1912" s="6" t="s">
        <v>14</v>
      </c>
      <c r="H1912" s="7" t="s">
        <v>20</v>
      </c>
      <c r="I1912" s="6" t="s">
        <v>242</v>
      </c>
      <c r="J1912" s="130"/>
      <c r="K1912" s="148" t="s">
        <v>3945</v>
      </c>
    </row>
    <row r="1913" spans="1:11" ht="28.9" customHeight="1" thickTop="1" thickBot="1" x14ac:dyDescent="0.75">
      <c r="A1913" s="10">
        <v>1911</v>
      </c>
      <c r="B1913" s="59" t="str">
        <f>HYPERLINK("https://search.naver.com/search.naver?query=신의 물방울", "신의 물방울")</f>
        <v>신의 물방울</v>
      </c>
      <c r="C1913" s="16"/>
      <c r="D1913" s="17" t="s">
        <v>3946</v>
      </c>
      <c r="E1913" s="14" t="s">
        <v>310</v>
      </c>
      <c r="F1913" s="14">
        <v>2023</v>
      </c>
      <c r="G1913" s="14" t="s">
        <v>20</v>
      </c>
      <c r="H1913" s="15" t="s">
        <v>20</v>
      </c>
      <c r="I1913" s="14" t="s">
        <v>71</v>
      </c>
      <c r="J1913" s="132"/>
      <c r="K1913" s="150" t="s">
        <v>3947</v>
      </c>
    </row>
    <row r="1914" spans="1:11" ht="28.9" customHeight="1" thickTop="1" thickBot="1" x14ac:dyDescent="0.75">
      <c r="A1914" s="10">
        <v>1912</v>
      </c>
      <c r="B1914" s="57" t="str">
        <f>HYPERLINK("https://search.naver.com/search.naver?query=신의 카르테 영화", "신의 카르테")</f>
        <v>신의 카르테</v>
      </c>
      <c r="C1914" s="8"/>
      <c r="D1914" s="9" t="s">
        <v>3948</v>
      </c>
      <c r="E1914" s="6" t="s">
        <v>19</v>
      </c>
      <c r="F1914" s="6">
        <v>2011</v>
      </c>
      <c r="G1914" s="6" t="s">
        <v>14</v>
      </c>
      <c r="H1914" s="7" t="s">
        <v>20</v>
      </c>
      <c r="I1914" s="6" t="s">
        <v>150</v>
      </c>
      <c r="J1914" s="130"/>
      <c r="K1914" s="148" t="s">
        <v>3949</v>
      </c>
    </row>
    <row r="1915" spans="1:11" ht="28.9" customHeight="1" thickTop="1" thickBot="1" x14ac:dyDescent="0.75">
      <c r="A1915" s="6">
        <v>1913</v>
      </c>
      <c r="B1915" s="58" t="str">
        <f>HYPERLINK("https://search.naver.com/search.naver?query=신의 카르테 2 영화", "신의 카르테 2")</f>
        <v>신의 카르테 2</v>
      </c>
      <c r="C1915" s="12">
        <v>6.4</v>
      </c>
      <c r="D1915" s="13" t="s">
        <v>3950</v>
      </c>
      <c r="E1915" s="10" t="s">
        <v>19</v>
      </c>
      <c r="F1915" s="10">
        <v>2014</v>
      </c>
      <c r="G1915" s="10" t="s">
        <v>14</v>
      </c>
      <c r="H1915" s="11" t="s">
        <v>20</v>
      </c>
      <c r="I1915" s="10" t="s">
        <v>150</v>
      </c>
      <c r="J1915" s="131"/>
      <c r="K1915" s="149" t="s">
        <v>3951</v>
      </c>
    </row>
    <row r="1916" spans="1:11" ht="28.9" customHeight="1" thickTop="1" thickBot="1" x14ac:dyDescent="0.75">
      <c r="A1916" s="10">
        <v>1914</v>
      </c>
      <c r="B1916" s="57" t="str">
        <f>HYPERLINK("https://search.naver.com/search.naver?query=신의 한 수 영화", "신의 한 수")</f>
        <v>신의 한 수</v>
      </c>
      <c r="C1916" s="8">
        <v>8.41</v>
      </c>
      <c r="D1916" s="9" t="s">
        <v>3952</v>
      </c>
      <c r="E1916" s="6" t="s">
        <v>13</v>
      </c>
      <c r="F1916" s="6">
        <v>2014</v>
      </c>
      <c r="G1916" s="6" t="s">
        <v>14</v>
      </c>
      <c r="H1916" s="7" t="s">
        <v>124</v>
      </c>
      <c r="I1916" s="6" t="s">
        <v>329</v>
      </c>
      <c r="J1916" s="130"/>
      <c r="K1916" s="148" t="s">
        <v>3953</v>
      </c>
    </row>
    <row r="1917" spans="1:11" ht="28.9" customHeight="1" thickTop="1" thickBot="1" x14ac:dyDescent="0.75">
      <c r="A1917" s="10">
        <v>1915</v>
      </c>
      <c r="B1917" s="58" t="str">
        <f>HYPERLINK("https://search.naver.com/search.naver?query=신의 한 수 귀수편 영화", "신의 한 수 귀수편")</f>
        <v>신의 한 수 귀수편</v>
      </c>
      <c r="C1917" s="12">
        <v>8.66</v>
      </c>
      <c r="D1917" s="13" t="s">
        <v>3954</v>
      </c>
      <c r="E1917" s="10" t="s">
        <v>13</v>
      </c>
      <c r="F1917" s="10">
        <v>2019</v>
      </c>
      <c r="G1917" s="10" t="s">
        <v>14</v>
      </c>
      <c r="H1917" s="11" t="s">
        <v>124</v>
      </c>
      <c r="I1917" s="10" t="s">
        <v>443</v>
      </c>
      <c r="J1917" s="131"/>
      <c r="K1917" s="149" t="s">
        <v>3955</v>
      </c>
    </row>
    <row r="1918" spans="1:11" ht="28.9" customHeight="1" thickTop="1" thickBot="1" x14ac:dyDescent="0.75">
      <c r="A1918" s="6">
        <v>1916</v>
      </c>
      <c r="B1918" s="57" t="str">
        <f>HYPERLINK("https://search.naver.com/search.naver?query=신이 보낸 사람 영화", "신이 보낸 사람")</f>
        <v>신이 보낸 사람</v>
      </c>
      <c r="C1918" s="8">
        <v>8.57</v>
      </c>
      <c r="D1918" s="9" t="s">
        <v>3956</v>
      </c>
      <c r="E1918" s="6" t="s">
        <v>13</v>
      </c>
      <c r="F1918" s="6">
        <v>2014</v>
      </c>
      <c r="G1918" s="6" t="s">
        <v>14</v>
      </c>
      <c r="H1918" s="7" t="s">
        <v>20</v>
      </c>
      <c r="I1918" s="6" t="s">
        <v>150</v>
      </c>
      <c r="J1918" s="130"/>
      <c r="K1918" s="148" t="s">
        <v>3957</v>
      </c>
    </row>
    <row r="1919" spans="1:11" ht="28.9" customHeight="1" thickTop="1" thickBot="1" x14ac:dyDescent="0.75">
      <c r="A1919" s="10">
        <v>1917</v>
      </c>
      <c r="B1919" s="58" t="str">
        <f>HYPERLINK("https://search.naver.com/search.naver?query=실고 영화", "실고")</f>
        <v>실고</v>
      </c>
      <c r="C1919" s="12">
        <v>8.65</v>
      </c>
      <c r="D1919" s="13" t="s">
        <v>3958</v>
      </c>
      <c r="E1919" s="10" t="s">
        <v>186</v>
      </c>
      <c r="F1919" s="10">
        <v>2015</v>
      </c>
      <c r="G1919" s="10" t="s">
        <v>14</v>
      </c>
      <c r="H1919" s="11" t="s">
        <v>20</v>
      </c>
      <c r="I1919" s="10" t="s">
        <v>38</v>
      </c>
      <c r="J1919" s="131"/>
      <c r="K1919" s="149" t="s">
        <v>3959</v>
      </c>
    </row>
    <row r="1920" spans="1:11" ht="28.9" customHeight="1" thickTop="1" thickBot="1" x14ac:dyDescent="0.75">
      <c r="A1920" s="10">
        <v>1918</v>
      </c>
      <c r="B1920" s="57" t="str">
        <f>HYPERLINK("https://search.naver.com/search.naver?query=실락원 영화", "실락원")</f>
        <v>실락원</v>
      </c>
      <c r="C1920" s="8">
        <v>7.48</v>
      </c>
      <c r="D1920" s="9" t="s">
        <v>3960</v>
      </c>
      <c r="E1920" s="6" t="s">
        <v>24</v>
      </c>
      <c r="F1920" s="6">
        <v>1997</v>
      </c>
      <c r="G1920" s="6" t="s">
        <v>14</v>
      </c>
      <c r="H1920" s="7" t="s">
        <v>20</v>
      </c>
      <c r="I1920" s="6" t="s">
        <v>150</v>
      </c>
      <c r="J1920" s="130"/>
      <c r="K1920" s="148" t="s">
        <v>3961</v>
      </c>
    </row>
    <row r="1921" spans="1:11" ht="28.9" customHeight="1" thickTop="1" thickBot="1" x14ac:dyDescent="0.75">
      <c r="A1921" s="6">
        <v>1919</v>
      </c>
      <c r="B1921" s="58" t="str">
        <f>HYPERLINK("https://search.naver.com/search.naver?query=실미도 영화", "실미도")</f>
        <v>실미도</v>
      </c>
      <c r="C1921" s="12">
        <v>8.39</v>
      </c>
      <c r="D1921" s="13" t="s">
        <v>3962</v>
      </c>
      <c r="E1921" s="10" t="s">
        <v>13</v>
      </c>
      <c r="F1921" s="10">
        <v>2003</v>
      </c>
      <c r="G1921" s="10" t="s">
        <v>14</v>
      </c>
      <c r="H1921" s="11" t="s">
        <v>20</v>
      </c>
      <c r="I1921" s="10" t="s">
        <v>51</v>
      </c>
      <c r="J1921" s="131"/>
      <c r="K1921" s="149" t="s">
        <v>3963</v>
      </c>
    </row>
    <row r="1922" spans="1:11" ht="28.9" customHeight="1" thickTop="1" thickBot="1" x14ac:dyDescent="0.75">
      <c r="A1922" s="10">
        <v>1920</v>
      </c>
      <c r="B1922" s="57" t="str">
        <f>HYPERLINK("https://search.naver.com/search.naver?query=실버라이닝 플레이북 영화", "실버라이닝 플레이북")</f>
        <v>실버라이닝 플레이북</v>
      </c>
      <c r="C1922" s="8">
        <v>8.6300000000000008</v>
      </c>
      <c r="D1922" s="9" t="s">
        <v>3964</v>
      </c>
      <c r="E1922" s="6" t="s">
        <v>24</v>
      </c>
      <c r="F1922" s="6">
        <v>2012</v>
      </c>
      <c r="G1922" s="6" t="s">
        <v>14</v>
      </c>
      <c r="H1922" s="7" t="s">
        <v>91</v>
      </c>
      <c r="I1922" s="6" t="s">
        <v>141</v>
      </c>
      <c r="J1922" s="130"/>
      <c r="K1922" s="148" t="s">
        <v>3965</v>
      </c>
    </row>
    <row r="1923" spans="1:11" ht="28.9" customHeight="1" thickTop="1" thickBot="1" x14ac:dyDescent="0.75">
      <c r="A1923" s="10">
        <v>1921</v>
      </c>
      <c r="B1923" s="58" t="str">
        <f>HYPERLINK("https://search.naver.com/search.naver?query=실 인연의 시작 영화", "실-인연의 시작")</f>
        <v>실-인연의 시작</v>
      </c>
      <c r="C1923" s="12">
        <v>7.71</v>
      </c>
      <c r="D1923" s="13" t="s">
        <v>3966</v>
      </c>
      <c r="E1923" s="10" t="s">
        <v>19</v>
      </c>
      <c r="F1923" s="10">
        <v>2021</v>
      </c>
      <c r="G1923" s="10" t="s">
        <v>14</v>
      </c>
      <c r="H1923" s="11" t="s">
        <v>20</v>
      </c>
      <c r="I1923" s="10" t="s">
        <v>150</v>
      </c>
      <c r="J1923" s="131"/>
      <c r="K1923" s="149" t="s">
        <v>3967</v>
      </c>
    </row>
    <row r="1924" spans="1:11" ht="28.9" customHeight="1" thickTop="1" thickBot="1" x14ac:dyDescent="0.75">
      <c r="A1924" s="6">
        <v>1922</v>
      </c>
      <c r="B1924" s="57" t="str">
        <f>HYPERLINK("https://search.naver.com/search.naver?query=실종 영화", "실종")</f>
        <v>실종</v>
      </c>
      <c r="C1924" s="8">
        <v>7.74</v>
      </c>
      <c r="D1924" s="9" t="s">
        <v>3968</v>
      </c>
      <c r="E1924" s="6" t="s">
        <v>19</v>
      </c>
      <c r="F1924" s="6">
        <v>2022</v>
      </c>
      <c r="G1924" s="6" t="s">
        <v>14</v>
      </c>
      <c r="H1924" s="7" t="s">
        <v>54</v>
      </c>
      <c r="I1924" s="6" t="s">
        <v>76</v>
      </c>
      <c r="J1924" s="130"/>
      <c r="K1924" s="148" t="s">
        <v>3969</v>
      </c>
    </row>
    <row r="1925" spans="1:11" ht="28.9" customHeight="1" thickTop="1" thickBot="1" x14ac:dyDescent="0.75">
      <c r="A1925" s="10">
        <v>1923</v>
      </c>
      <c r="B1925" s="58" t="str">
        <f>HYPERLINK("https://search.naver.com/search.naver?query=실크 로드 영화", "실크 로드")</f>
        <v>실크 로드</v>
      </c>
      <c r="C1925" s="12">
        <v>7.24</v>
      </c>
      <c r="D1925" s="13" t="s">
        <v>3970</v>
      </c>
      <c r="E1925" s="10" t="s">
        <v>24</v>
      </c>
      <c r="F1925" s="10">
        <v>2021</v>
      </c>
      <c r="G1925" s="10" t="s">
        <v>14</v>
      </c>
      <c r="H1925" s="11" t="s">
        <v>428</v>
      </c>
      <c r="I1925" s="10" t="s">
        <v>429</v>
      </c>
      <c r="J1925" s="131"/>
      <c r="K1925" s="149" t="s">
        <v>3971</v>
      </c>
    </row>
    <row r="1926" spans="1:11" ht="28.9" customHeight="1" thickTop="1" thickBot="1" x14ac:dyDescent="0.75">
      <c r="A1926" s="10">
        <v>1924</v>
      </c>
      <c r="B1926" s="59" t="str">
        <f>HYPERLINK("https://search.naver.com/search.naver?query=실크 시즌1", "실크 시즌1")</f>
        <v>실크 시즌1</v>
      </c>
      <c r="C1926" s="16"/>
      <c r="D1926" s="17" t="s">
        <v>3972</v>
      </c>
      <c r="E1926" s="14" t="s">
        <v>29</v>
      </c>
      <c r="F1926" s="14">
        <v>2011</v>
      </c>
      <c r="G1926" s="14" t="s">
        <v>20</v>
      </c>
      <c r="H1926" s="15" t="s">
        <v>20</v>
      </c>
      <c r="I1926" s="14" t="s">
        <v>247</v>
      </c>
      <c r="J1926" s="132"/>
      <c r="K1926" s="150" t="s">
        <v>3973</v>
      </c>
    </row>
    <row r="1927" spans="1:11" ht="28.9" customHeight="1" thickTop="1" thickBot="1" x14ac:dyDescent="0.75">
      <c r="A1927" s="6">
        <v>1925</v>
      </c>
      <c r="B1927" s="59" t="str">
        <f>HYPERLINK("https://search.naver.com/search.naver?query=실크 시즌2", "실크 시즌2")</f>
        <v>실크 시즌2</v>
      </c>
      <c r="C1927" s="16"/>
      <c r="D1927" s="17" t="s">
        <v>3974</v>
      </c>
      <c r="E1927" s="14" t="s">
        <v>29</v>
      </c>
      <c r="F1927" s="14">
        <v>2012</v>
      </c>
      <c r="G1927" s="14" t="s">
        <v>20</v>
      </c>
      <c r="H1927" s="15" t="s">
        <v>20</v>
      </c>
      <c r="I1927" s="14" t="s">
        <v>247</v>
      </c>
      <c r="J1927" s="132"/>
      <c r="K1927" s="150" t="s">
        <v>3975</v>
      </c>
    </row>
    <row r="1928" spans="1:11" ht="28.9" customHeight="1" thickTop="1" thickBot="1" x14ac:dyDescent="0.75">
      <c r="A1928" s="10">
        <v>1926</v>
      </c>
      <c r="B1928" s="57" t="str">
        <f>HYPERLINK("https://search.naver.com/search.naver?query=실화 숨겨진 비밀 영화", "실화-숨겨진 비밀")</f>
        <v>실화-숨겨진 비밀</v>
      </c>
      <c r="C1928" s="8">
        <v>5.1100000000000003</v>
      </c>
      <c r="D1928" s="9" t="s">
        <v>3976</v>
      </c>
      <c r="E1928" s="6" t="s">
        <v>310</v>
      </c>
      <c r="F1928" s="6">
        <v>2019</v>
      </c>
      <c r="G1928" s="6" t="s">
        <v>14</v>
      </c>
      <c r="H1928" s="7" t="s">
        <v>54</v>
      </c>
      <c r="I1928" s="6" t="s">
        <v>150</v>
      </c>
      <c r="J1928" s="130"/>
      <c r="K1928" s="148" t="s">
        <v>3977</v>
      </c>
    </row>
    <row r="1929" spans="1:11" ht="28.9" customHeight="1" thickTop="1" thickBot="1" x14ac:dyDescent="0.75">
      <c r="A1929" s="10">
        <v>1927</v>
      </c>
      <c r="B1929" s="58" t="str">
        <f>HYPERLINK("https://search.naver.com/search.naver?query=심야식당 영화", "심야식당")</f>
        <v>심야식당</v>
      </c>
      <c r="C1929" s="12">
        <v>8.7899999999999991</v>
      </c>
      <c r="D1929" s="13" t="s">
        <v>3978</v>
      </c>
      <c r="E1929" s="10" t="s">
        <v>19</v>
      </c>
      <c r="F1929" s="10">
        <v>2015</v>
      </c>
      <c r="G1929" s="10" t="s">
        <v>14</v>
      </c>
      <c r="H1929" s="11" t="s">
        <v>20</v>
      </c>
      <c r="I1929" s="10" t="s">
        <v>68</v>
      </c>
      <c r="J1929" s="131"/>
      <c r="K1929" s="149" t="s">
        <v>3979</v>
      </c>
    </row>
    <row r="1930" spans="1:11" ht="28.9" customHeight="1" thickTop="1" thickBot="1" x14ac:dyDescent="0.75">
      <c r="A1930" s="6">
        <v>1928</v>
      </c>
      <c r="B1930" s="57" t="str">
        <f>HYPERLINK("https://search.naver.com/search.naver?query=심야식당 2 영화", "심야식당 2")</f>
        <v>심야식당 2</v>
      </c>
      <c r="C1930" s="8">
        <v>8.7899999999999991</v>
      </c>
      <c r="D1930" s="9" t="s">
        <v>3980</v>
      </c>
      <c r="E1930" s="6" t="s">
        <v>19</v>
      </c>
      <c r="F1930" s="6">
        <v>2016</v>
      </c>
      <c r="G1930" s="6" t="s">
        <v>14</v>
      </c>
      <c r="H1930" s="7" t="s">
        <v>20</v>
      </c>
      <c r="I1930" s="6" t="s">
        <v>38</v>
      </c>
      <c r="J1930" s="130"/>
      <c r="K1930" s="148" t="s">
        <v>3981</v>
      </c>
    </row>
    <row r="1931" spans="1:11" ht="28.9" customHeight="1" thickTop="1" thickBot="1" x14ac:dyDescent="0.75">
      <c r="A1931" s="10">
        <v>1929</v>
      </c>
      <c r="B1931" s="58" t="str">
        <f>HYPERLINK("https://search.naver.com/search.naver?query=심야의 FM 영화", "심야의 FM")</f>
        <v>심야의 FM</v>
      </c>
      <c r="C1931" s="12">
        <v>6.83</v>
      </c>
      <c r="D1931" s="13" t="s">
        <v>3982</v>
      </c>
      <c r="E1931" s="10" t="s">
        <v>13</v>
      </c>
      <c r="F1931" s="10">
        <v>2010</v>
      </c>
      <c r="G1931" s="10" t="s">
        <v>14</v>
      </c>
      <c r="H1931" s="11" t="s">
        <v>54</v>
      </c>
      <c r="I1931" s="10" t="s">
        <v>179</v>
      </c>
      <c r="J1931" s="131"/>
      <c r="K1931" s="149" t="s">
        <v>3983</v>
      </c>
    </row>
    <row r="1932" spans="1:11" ht="28.9" customHeight="1" thickTop="1" thickBot="1" x14ac:dyDescent="0.75">
      <c r="A1932" s="10">
        <v>1930</v>
      </c>
      <c r="B1932" s="57" t="str">
        <f>HYPERLINK("https://search.naver.com/search.naver?query=심장이 뛴다 영화", "심장이 뛴다")</f>
        <v>심장이 뛴다</v>
      </c>
      <c r="C1932" s="8">
        <v>7.53</v>
      </c>
      <c r="D1932" s="9" t="s">
        <v>3984</v>
      </c>
      <c r="E1932" s="6" t="s">
        <v>13</v>
      </c>
      <c r="F1932" s="6">
        <v>2011</v>
      </c>
      <c r="G1932" s="6" t="s">
        <v>14</v>
      </c>
      <c r="H1932" s="7" t="s">
        <v>124</v>
      </c>
      <c r="I1932" s="6" t="s">
        <v>150</v>
      </c>
      <c r="J1932" s="130"/>
      <c r="K1932" s="148" t="s">
        <v>3985</v>
      </c>
    </row>
    <row r="1933" spans="1:11" ht="28.9" customHeight="1" thickTop="1" thickBot="1" x14ac:dyDescent="0.75">
      <c r="A1933" s="6">
        <v>1931</v>
      </c>
      <c r="B1933" s="58" t="str">
        <f>HYPERLINK("https://search.naver.com/search.naver?query=심판 영화", "심판")</f>
        <v>심판</v>
      </c>
      <c r="C1933" s="12">
        <v>8.2899999999999991</v>
      </c>
      <c r="D1933" s="13" t="s">
        <v>3986</v>
      </c>
      <c r="E1933" s="10" t="s">
        <v>136</v>
      </c>
      <c r="F1933" s="10">
        <v>2019</v>
      </c>
      <c r="G1933" s="10" t="s">
        <v>14</v>
      </c>
      <c r="H1933" s="11" t="s">
        <v>20</v>
      </c>
      <c r="I1933" s="10" t="s">
        <v>443</v>
      </c>
      <c r="J1933" s="131"/>
      <c r="K1933" s="149" t="s">
        <v>3987</v>
      </c>
    </row>
    <row r="1934" spans="1:11" ht="28.9" customHeight="1" thickTop="1" thickBot="1" x14ac:dyDescent="0.75">
      <c r="A1934" s="10">
        <v>1932</v>
      </c>
      <c r="B1934" s="57" t="str">
        <f>HYPERLINK("https://search.naver.com/search.naver?query=심플 라이프 영화", "심플 라이프")</f>
        <v>심플 라이프</v>
      </c>
      <c r="C1934" s="8">
        <v>8.93</v>
      </c>
      <c r="D1934" s="9" t="s">
        <v>3988</v>
      </c>
      <c r="E1934" s="6" t="s">
        <v>123</v>
      </c>
      <c r="F1934" s="6">
        <v>2011</v>
      </c>
      <c r="G1934" s="6" t="s">
        <v>14</v>
      </c>
      <c r="H1934" s="7" t="s">
        <v>20</v>
      </c>
      <c r="I1934" s="6" t="s">
        <v>329</v>
      </c>
      <c r="J1934" s="130"/>
      <c r="K1934" s="148" t="s">
        <v>3989</v>
      </c>
    </row>
    <row r="1935" spans="1:11" ht="28.9" customHeight="1" thickTop="1" thickBot="1" x14ac:dyDescent="0.75">
      <c r="A1935" s="10">
        <v>1933</v>
      </c>
      <c r="B1935" s="58" t="str">
        <f>HYPERLINK("https://search.naver.com/search.naver?query=싱글 맨 영화", "싱글 맨")</f>
        <v>싱글 맨</v>
      </c>
      <c r="C1935" s="12">
        <v>8.77</v>
      </c>
      <c r="D1935" s="13" t="s">
        <v>3990</v>
      </c>
      <c r="E1935" s="10" t="s">
        <v>24</v>
      </c>
      <c r="F1935" s="10">
        <v>2009</v>
      </c>
      <c r="G1935" s="10" t="s">
        <v>14</v>
      </c>
      <c r="H1935" s="11" t="s">
        <v>20</v>
      </c>
      <c r="I1935" s="10" t="s">
        <v>109</v>
      </c>
      <c r="J1935" s="131"/>
      <c r="K1935" s="149" t="s">
        <v>3991</v>
      </c>
    </row>
    <row r="1936" spans="1:11" ht="28.9" customHeight="1" thickTop="1" thickBot="1" x14ac:dyDescent="0.75">
      <c r="A1936" s="6">
        <v>1934</v>
      </c>
      <c r="B1936" s="57" t="str">
        <f>HYPERLINK("https://search.naver.com/search.naver?query=싱글라이더 영화", "싱글라이더")</f>
        <v>싱글라이더</v>
      </c>
      <c r="C1936" s="8">
        <v>8</v>
      </c>
      <c r="D1936" s="9" t="s">
        <v>3992</v>
      </c>
      <c r="E1936" s="6" t="s">
        <v>13</v>
      </c>
      <c r="F1936" s="6">
        <v>2017</v>
      </c>
      <c r="G1936" s="6" t="s">
        <v>14</v>
      </c>
      <c r="H1936" s="7" t="s">
        <v>20</v>
      </c>
      <c r="I1936" s="6" t="s">
        <v>80</v>
      </c>
      <c r="J1936" s="130"/>
      <c r="K1936" s="148" t="s">
        <v>3993</v>
      </c>
    </row>
    <row r="1937" spans="1:11" ht="28.9" customHeight="1" thickTop="1" thickBot="1" x14ac:dyDescent="0.75">
      <c r="A1937" s="10">
        <v>1935</v>
      </c>
      <c r="B1937" s="58" t="str">
        <f>HYPERLINK("https://search.naver.com/search.naver?query=싱크로닉 영화", "싱크로닉")</f>
        <v>싱크로닉</v>
      </c>
      <c r="C1937" s="12">
        <v>5.55</v>
      </c>
      <c r="D1937" s="13" t="s">
        <v>3994</v>
      </c>
      <c r="E1937" s="10" t="s">
        <v>24</v>
      </c>
      <c r="F1937" s="10">
        <v>2019</v>
      </c>
      <c r="G1937" s="10" t="s">
        <v>14</v>
      </c>
      <c r="H1937" s="11" t="s">
        <v>877</v>
      </c>
      <c r="I1937" s="10" t="s">
        <v>80</v>
      </c>
      <c r="J1937" s="131"/>
      <c r="K1937" s="149" t="s">
        <v>3995</v>
      </c>
    </row>
    <row r="1938" spans="1:11" ht="28.9" customHeight="1" thickTop="1" thickBot="1" x14ac:dyDescent="0.75">
      <c r="A1938" s="10">
        <v>1936</v>
      </c>
      <c r="B1938" s="57" t="str">
        <f>HYPERLINK("https://search.naver.com/search.naver?query=싱크홀 영화", "싱크홀")</f>
        <v>싱크홀</v>
      </c>
      <c r="C1938" s="8">
        <v>6.81</v>
      </c>
      <c r="D1938" s="9" t="s">
        <v>3996</v>
      </c>
      <c r="E1938" s="6" t="s">
        <v>13</v>
      </c>
      <c r="F1938" s="6">
        <v>2021</v>
      </c>
      <c r="G1938" s="6" t="s">
        <v>14</v>
      </c>
      <c r="H1938" s="7" t="s">
        <v>1255</v>
      </c>
      <c r="I1938" s="6" t="s">
        <v>98</v>
      </c>
      <c r="J1938" s="130"/>
      <c r="K1938" s="148" t="s">
        <v>3997</v>
      </c>
    </row>
    <row r="1939" spans="1:11" ht="28.9" customHeight="1" thickTop="1" thickBot="1" x14ac:dyDescent="0.75">
      <c r="A1939" s="6">
        <v>1937</v>
      </c>
      <c r="B1939" s="58" t="str">
        <f>HYPERLINK("https://search.naver.com/search.naver?query=싸이보그 그녀 영화", "싸이보그 그녀")</f>
        <v>싸이보그 그녀</v>
      </c>
      <c r="C1939" s="12">
        <v>8.5500000000000007</v>
      </c>
      <c r="D1939" s="13" t="s">
        <v>3998</v>
      </c>
      <c r="E1939" s="10" t="s">
        <v>19</v>
      </c>
      <c r="F1939" s="10">
        <v>2008</v>
      </c>
      <c r="G1939" s="10" t="s">
        <v>14</v>
      </c>
      <c r="H1939" s="11" t="s">
        <v>877</v>
      </c>
      <c r="I1939" s="10" t="s">
        <v>60</v>
      </c>
      <c r="J1939" s="131"/>
      <c r="K1939" s="149" t="s">
        <v>3999</v>
      </c>
    </row>
    <row r="1940" spans="1:11" ht="28.9" customHeight="1" thickTop="1" thickBot="1" x14ac:dyDescent="0.75">
      <c r="A1940" s="10">
        <v>1938</v>
      </c>
      <c r="B1940" s="57" t="str">
        <f>HYPERLINK("https://search.naver.com/search.naver?query=싸인 영화", "싸인")</f>
        <v>싸인</v>
      </c>
      <c r="C1940" s="8">
        <v>7.44</v>
      </c>
      <c r="D1940" s="9" t="s">
        <v>4000</v>
      </c>
      <c r="E1940" s="6" t="s">
        <v>24</v>
      </c>
      <c r="F1940" s="6">
        <v>2002</v>
      </c>
      <c r="G1940" s="6" t="s">
        <v>14</v>
      </c>
      <c r="H1940" s="7" t="s">
        <v>877</v>
      </c>
      <c r="I1940" s="6" t="s">
        <v>443</v>
      </c>
      <c r="J1940" s="130"/>
      <c r="K1940" s="148" t="s">
        <v>4001</v>
      </c>
    </row>
    <row r="1941" spans="1:11" ht="28.9" customHeight="1" thickTop="1" thickBot="1" x14ac:dyDescent="0.75">
      <c r="A1941" s="10">
        <v>1939</v>
      </c>
      <c r="B1941" s="58" t="str">
        <f>HYPERLINK("https://search.naver.com/search.naver?query=쌍화점 영화", "쌍화점")</f>
        <v>쌍화점</v>
      </c>
      <c r="C1941" s="12">
        <v>7.28</v>
      </c>
      <c r="D1941" s="13" t="s">
        <v>4002</v>
      </c>
      <c r="E1941" s="10" t="s">
        <v>13</v>
      </c>
      <c r="F1941" s="10">
        <v>2008</v>
      </c>
      <c r="G1941" s="10" t="s">
        <v>14</v>
      </c>
      <c r="H1941" s="11" t="s">
        <v>1548</v>
      </c>
      <c r="I1941" s="10" t="s">
        <v>558</v>
      </c>
      <c r="J1941" s="131"/>
      <c r="K1941" s="149" t="s">
        <v>4003</v>
      </c>
    </row>
    <row r="1942" spans="1:11" ht="28.9" customHeight="1" thickTop="1" thickBot="1" x14ac:dyDescent="0.75">
      <c r="A1942" s="6">
        <v>1940</v>
      </c>
      <c r="B1942" s="57" t="str">
        <f>HYPERLINK("https://search.naver.com/search.naver?query=써니2011", "써니")</f>
        <v>써니</v>
      </c>
      <c r="C1942" s="8">
        <v>9.1199999999999992</v>
      </c>
      <c r="D1942" s="9" t="s">
        <v>4004</v>
      </c>
      <c r="E1942" s="6" t="s">
        <v>13</v>
      </c>
      <c r="F1942" s="6">
        <v>2011</v>
      </c>
      <c r="G1942" s="6" t="s">
        <v>14</v>
      </c>
      <c r="H1942" s="7" t="s">
        <v>20</v>
      </c>
      <c r="I1942" s="6" t="s">
        <v>183</v>
      </c>
      <c r="J1942" s="130"/>
      <c r="K1942" s="148" t="s">
        <v>4005</v>
      </c>
    </row>
    <row r="1943" spans="1:11" ht="28.9" customHeight="1" thickTop="1" thickBot="1" x14ac:dyDescent="0.75">
      <c r="A1943" s="10">
        <v>1941</v>
      </c>
      <c r="B1943" s="58" t="str">
        <f>HYPERLINK("https://search.naver.com/search.naver?query=써니 강한 마음, 강한 사랑", "써니 강한 마음, 강한 사랑")</f>
        <v>써니 강한 마음, 강한 사랑</v>
      </c>
      <c r="C1943" s="12">
        <v>3.83</v>
      </c>
      <c r="D1943" s="13"/>
      <c r="E1943" s="10" t="s">
        <v>19</v>
      </c>
      <c r="F1943" s="10">
        <v>2021</v>
      </c>
      <c r="G1943" s="10" t="s">
        <v>14</v>
      </c>
      <c r="H1943" s="11" t="s">
        <v>20</v>
      </c>
      <c r="I1943" s="10" t="s">
        <v>68</v>
      </c>
      <c r="J1943" s="131"/>
      <c r="K1943" s="149" t="s">
        <v>4006</v>
      </c>
    </row>
    <row r="1944" spans="1:11" ht="28.9" customHeight="1" thickTop="1" thickBot="1" x14ac:dyDescent="0.75">
      <c r="A1944" s="10">
        <v>1942</v>
      </c>
      <c r="B1944" s="57" t="str">
        <f>HYPERLINK("https://search.naver.com/search.naver?query=써드 퍼슨 영화", "써드 퍼슨")</f>
        <v>써드 퍼슨</v>
      </c>
      <c r="C1944" s="8">
        <v>6.89</v>
      </c>
      <c r="D1944" s="9" t="s">
        <v>4007</v>
      </c>
      <c r="E1944" s="6" t="s">
        <v>24</v>
      </c>
      <c r="F1944" s="6">
        <v>2013</v>
      </c>
      <c r="G1944" s="6" t="s">
        <v>14</v>
      </c>
      <c r="H1944" s="7" t="s">
        <v>20</v>
      </c>
      <c r="I1944" s="6" t="s">
        <v>269</v>
      </c>
      <c r="J1944" s="130"/>
      <c r="K1944" s="148" t="s">
        <v>4008</v>
      </c>
    </row>
    <row r="1945" spans="1:11" ht="28.9" customHeight="1" thickTop="1" thickBot="1" x14ac:dyDescent="0.75">
      <c r="A1945" s="6">
        <v>1943</v>
      </c>
      <c r="B1945" s="58" t="str">
        <f>HYPERLINK("https://search.naver.com/search.naver?query=써머스비 영화", "써머스비")</f>
        <v>써머스비</v>
      </c>
      <c r="C1945" s="12">
        <v>8.82</v>
      </c>
      <c r="D1945" s="13" t="s">
        <v>4009</v>
      </c>
      <c r="E1945" s="10" t="s">
        <v>24</v>
      </c>
      <c r="F1945" s="10">
        <v>1993</v>
      </c>
      <c r="G1945" s="10" t="s">
        <v>14</v>
      </c>
      <c r="H1945" s="11" t="s">
        <v>20</v>
      </c>
      <c r="I1945" s="10" t="s">
        <v>305</v>
      </c>
      <c r="J1945" s="131"/>
      <c r="K1945" s="149" t="s">
        <v>4010</v>
      </c>
    </row>
    <row r="1946" spans="1:11" ht="28.9" customHeight="1" thickTop="1" thickBot="1" x14ac:dyDescent="0.75">
      <c r="A1946" s="10">
        <v>1944</v>
      </c>
      <c r="B1946" s="57" t="str">
        <f>HYPERLINK("https://search.naver.com/search.naver?query=썸원 썸웨어 영화", "썸원 썸웨어")</f>
        <v>썸원 썸웨어</v>
      </c>
      <c r="C1946" s="8">
        <v>9.14</v>
      </c>
      <c r="D1946" s="9" t="s">
        <v>4011</v>
      </c>
      <c r="E1946" s="6" t="s">
        <v>310</v>
      </c>
      <c r="F1946" s="6">
        <v>2019</v>
      </c>
      <c r="G1946" s="6" t="s">
        <v>14</v>
      </c>
      <c r="H1946" s="7" t="s">
        <v>91</v>
      </c>
      <c r="I1946" s="6" t="s">
        <v>150</v>
      </c>
      <c r="J1946" s="130"/>
      <c r="K1946" s="148" t="s">
        <v>4012</v>
      </c>
    </row>
    <row r="1947" spans="1:11" ht="28.9" customHeight="1" thickTop="1" thickBot="1" x14ac:dyDescent="0.75">
      <c r="A1947" s="10">
        <v>1945</v>
      </c>
      <c r="B1947" s="58" t="str">
        <f>HYPERLINK("https://search.naver.com/search.naver?query=쎄시봉 영화", "쎄시봉")</f>
        <v>쎄시봉</v>
      </c>
      <c r="C1947" s="12">
        <v>7.95</v>
      </c>
      <c r="D1947" s="13" t="s">
        <v>4013</v>
      </c>
      <c r="E1947" s="10" t="s">
        <v>13</v>
      </c>
      <c r="F1947" s="10">
        <v>2015</v>
      </c>
      <c r="G1947" s="10" t="s">
        <v>14</v>
      </c>
      <c r="H1947" s="11" t="s">
        <v>20</v>
      </c>
      <c r="I1947" s="10" t="s">
        <v>141</v>
      </c>
      <c r="J1947" s="131"/>
      <c r="K1947" s="149" t="s">
        <v>4014</v>
      </c>
    </row>
    <row r="1948" spans="1:11" ht="28.9" customHeight="1" thickTop="1" thickBot="1" x14ac:dyDescent="0.75">
      <c r="A1948" s="6">
        <v>1946</v>
      </c>
      <c r="B1948" s="57" t="str">
        <f>HYPERLINK("https://search.naver.com/search.naver?query=쏘리 투 바더 유 영화", "쏘리 투 바더 유")</f>
        <v>쏘리 투 바더 유</v>
      </c>
      <c r="C1948" s="8"/>
      <c r="D1948" s="9" t="s">
        <v>4015</v>
      </c>
      <c r="E1948" s="6" t="s">
        <v>24</v>
      </c>
      <c r="F1948" s="6">
        <v>2018</v>
      </c>
      <c r="G1948" s="6" t="s">
        <v>14</v>
      </c>
      <c r="H1948" s="7" t="s">
        <v>91</v>
      </c>
      <c r="I1948" s="6" t="s">
        <v>137</v>
      </c>
      <c r="J1948" s="130"/>
      <c r="K1948" s="148" t="s">
        <v>4016</v>
      </c>
    </row>
    <row r="1949" spans="1:11" ht="28.9" customHeight="1" thickTop="1" thickBot="1" x14ac:dyDescent="0.75">
      <c r="A1949" s="10">
        <v>1947</v>
      </c>
      <c r="B1949" s="58" t="str">
        <f>HYPERLINK("https://search.naver.com/search.naver?query=쓰리 데이즈 영화", "쓰리 데이즈")</f>
        <v>쓰리 데이즈</v>
      </c>
      <c r="C1949" s="12">
        <v>8.32</v>
      </c>
      <c r="D1949" s="13" t="s">
        <v>4017</v>
      </c>
      <c r="E1949" s="10" t="s">
        <v>24</v>
      </c>
      <c r="F1949" s="10">
        <v>2010</v>
      </c>
      <c r="G1949" s="10" t="s">
        <v>14</v>
      </c>
      <c r="H1949" s="11" t="s">
        <v>54</v>
      </c>
      <c r="I1949" s="10" t="s">
        <v>150</v>
      </c>
      <c r="J1949" s="131"/>
      <c r="K1949" s="149" t="s">
        <v>4018</v>
      </c>
    </row>
    <row r="1950" spans="1:11" ht="28.9" customHeight="1" thickTop="1" thickBot="1" x14ac:dyDescent="0.75">
      <c r="A1950" s="10">
        <v>1948</v>
      </c>
      <c r="B1950" s="57" t="str">
        <f>HYPERLINK("https://search.naver.com/search.naver?query=쓰리 빌보드 영화", "쓰리 빌보드")</f>
        <v>쓰리 빌보드</v>
      </c>
      <c r="C1950" s="8">
        <v>9</v>
      </c>
      <c r="D1950" s="9" t="s">
        <v>4019</v>
      </c>
      <c r="E1950" s="6" t="s">
        <v>29</v>
      </c>
      <c r="F1950" s="6">
        <v>2017</v>
      </c>
      <c r="G1950" s="6" t="s">
        <v>14</v>
      </c>
      <c r="H1950" s="7" t="s">
        <v>20</v>
      </c>
      <c r="I1950" s="6" t="s">
        <v>60</v>
      </c>
      <c r="J1950" s="130"/>
      <c r="K1950" s="148" t="s">
        <v>4020</v>
      </c>
    </row>
    <row r="1951" spans="1:11" ht="28.9" customHeight="1" thickTop="1" thickBot="1" x14ac:dyDescent="0.75">
      <c r="A1951" s="6">
        <v>1949</v>
      </c>
      <c r="B1951" s="58" t="str">
        <f>HYPERLINK("https://search.naver.com/search.naver?query=쓰리 세컨즈 영화", "쓰리 세컨즈")</f>
        <v>쓰리 세컨즈</v>
      </c>
      <c r="C1951" s="12">
        <v>9.8000000000000007</v>
      </c>
      <c r="D1951" s="13" t="s">
        <v>4021</v>
      </c>
      <c r="E1951" s="10" t="s">
        <v>1043</v>
      </c>
      <c r="F1951" s="10">
        <v>2017</v>
      </c>
      <c r="G1951" s="10" t="s">
        <v>14</v>
      </c>
      <c r="H1951" s="11" t="s">
        <v>54</v>
      </c>
      <c r="I1951" s="10" t="s">
        <v>150</v>
      </c>
      <c r="J1951" s="131"/>
      <c r="K1951" s="149" t="s">
        <v>4022</v>
      </c>
    </row>
    <row r="1952" spans="1:11" ht="28.9" customHeight="1" thickTop="1" thickBot="1" x14ac:dyDescent="0.75">
      <c r="A1952" s="10">
        <v>1950</v>
      </c>
      <c r="B1952" s="57" t="str">
        <f>HYPERLINK("https://search.naver.com/search.naver?query=쓰리데이즈 투 킬 영화", "쓰리데이즈 투 킬")</f>
        <v>쓰리데이즈 투 킬</v>
      </c>
      <c r="C1952" s="8">
        <v>7.6</v>
      </c>
      <c r="D1952" s="9" t="s">
        <v>4023</v>
      </c>
      <c r="E1952" s="6" t="s">
        <v>24</v>
      </c>
      <c r="F1952" s="6">
        <v>2014</v>
      </c>
      <c r="G1952" s="6" t="s">
        <v>14</v>
      </c>
      <c r="H1952" s="7" t="s">
        <v>124</v>
      </c>
      <c r="I1952" s="6" t="s">
        <v>120</v>
      </c>
      <c r="J1952" s="130"/>
      <c r="K1952" s="148" t="s">
        <v>4024</v>
      </c>
    </row>
    <row r="1953" spans="1:11" ht="28.9" customHeight="1" thickTop="1" thickBot="1" x14ac:dyDescent="0.75">
      <c r="A1953" s="10">
        <v>1951</v>
      </c>
      <c r="B1953" s="58" t="str">
        <f>HYPERLINK("https://search.naver.com/search.naver?query=씨 오브 트리스 영화", "씨 오브 트리스")</f>
        <v>씨 오브 트리스</v>
      </c>
      <c r="C1953" s="12">
        <v>7</v>
      </c>
      <c r="D1953" s="13" t="s">
        <v>4025</v>
      </c>
      <c r="E1953" s="10" t="s">
        <v>24</v>
      </c>
      <c r="F1953" s="10">
        <v>2015</v>
      </c>
      <c r="G1953" s="10" t="s">
        <v>14</v>
      </c>
      <c r="H1953" s="11" t="s">
        <v>20</v>
      </c>
      <c r="I1953" s="10" t="s">
        <v>129</v>
      </c>
      <c r="J1953" s="131"/>
      <c r="K1953" s="149" t="s">
        <v>4026</v>
      </c>
    </row>
    <row r="1954" spans="1:11" ht="28.9" customHeight="1" thickTop="1" thickBot="1" x14ac:dyDescent="0.75">
      <c r="A1954" s="6">
        <v>1952</v>
      </c>
      <c r="B1954" s="57" t="str">
        <f>HYPERLINK("https://search.naver.com/search.naver?query=씨.바이퍼 영화", "씨.바이퍼")</f>
        <v>씨.바이퍼</v>
      </c>
      <c r="C1954" s="8"/>
      <c r="D1954" s="9" t="s">
        <v>4027</v>
      </c>
      <c r="E1954" s="6" t="s">
        <v>24</v>
      </c>
      <c r="F1954" s="6">
        <v>2012</v>
      </c>
      <c r="G1954" s="6" t="s">
        <v>14</v>
      </c>
      <c r="H1954" s="7" t="s">
        <v>124</v>
      </c>
      <c r="I1954" s="6" t="s">
        <v>150</v>
      </c>
      <c r="J1954" s="130"/>
      <c r="K1954" s="148" t="s">
        <v>4028</v>
      </c>
    </row>
    <row r="1955" spans="1:11" ht="28.9" customHeight="1" thickTop="1" thickBot="1" x14ac:dyDescent="0.75">
      <c r="A1955" s="10">
        <v>1953</v>
      </c>
      <c r="B1955" s="58" t="str">
        <f>HYPERLINK("https://search.naver.com/search.naver?query=씨민과 나데르의 별거 영화", "씨민과 나데르의 별거")</f>
        <v>씨민과 나데르의 별거</v>
      </c>
      <c r="C1955" s="12">
        <v>9.01</v>
      </c>
      <c r="D1955" s="13" t="s">
        <v>4029</v>
      </c>
      <c r="E1955" s="10" t="s">
        <v>4030</v>
      </c>
      <c r="F1955" s="10">
        <v>2011</v>
      </c>
      <c r="G1955" s="10" t="s">
        <v>14</v>
      </c>
      <c r="H1955" s="11" t="s">
        <v>20</v>
      </c>
      <c r="I1955" s="10" t="s">
        <v>76</v>
      </c>
      <c r="J1955" s="131"/>
      <c r="K1955" s="149" t="s">
        <v>4031</v>
      </c>
    </row>
    <row r="1956" spans="1:11" ht="28.9" customHeight="1" thickTop="1" thickBot="1" x14ac:dyDescent="0.75">
      <c r="A1956" s="10">
        <v>1954</v>
      </c>
      <c r="B1956" s="57" t="str">
        <f>HYPERLINK("https://search.naver.com/search.naver?query=씨비스킷 영화", "씨비스킷")</f>
        <v>씨비스킷</v>
      </c>
      <c r="C1956" s="8">
        <v>8.99</v>
      </c>
      <c r="D1956" s="9" t="s">
        <v>4032</v>
      </c>
      <c r="E1956" s="6" t="s">
        <v>24</v>
      </c>
      <c r="F1956" s="6">
        <v>2003</v>
      </c>
      <c r="G1956" s="6" t="s">
        <v>14</v>
      </c>
      <c r="H1956" s="7" t="s">
        <v>20</v>
      </c>
      <c r="I1956" s="6" t="s">
        <v>930</v>
      </c>
      <c r="J1956" s="130"/>
      <c r="K1956" s="148" t="s">
        <v>4033</v>
      </c>
    </row>
    <row r="1957" spans="1:11" ht="28.9" customHeight="1" thickTop="1" thickBot="1" x14ac:dyDescent="0.75">
      <c r="A1957" s="6">
        <v>1955</v>
      </c>
      <c r="B1957" s="58" t="str">
        <f>HYPERLINK("https://search.naver.com/search.naver?query=씬 레드 라인 영화", "씬 레드 라인")</f>
        <v>씬 레드 라인</v>
      </c>
      <c r="C1957" s="12">
        <v>8.1199999999999992</v>
      </c>
      <c r="D1957" s="13" t="s">
        <v>4034</v>
      </c>
      <c r="E1957" s="10" t="s">
        <v>24</v>
      </c>
      <c r="F1957" s="10">
        <v>1998</v>
      </c>
      <c r="G1957" s="10" t="s">
        <v>14</v>
      </c>
      <c r="H1957" s="11" t="s">
        <v>1247</v>
      </c>
      <c r="I1957" s="10" t="s">
        <v>2946</v>
      </c>
      <c r="J1957" s="131"/>
      <c r="K1957" s="149" t="s">
        <v>4035</v>
      </c>
    </row>
    <row r="1958" spans="1:11" ht="28.9" customHeight="1" thickTop="1" thickBot="1" x14ac:dyDescent="0.75">
      <c r="A1958" s="10">
        <v>1956</v>
      </c>
      <c r="B1958" s="59" t="str">
        <f>HYPERLINK("https://search.naver.com/search.naver?query=씰 팀 시즌1", "씰 팀 시즌1")</f>
        <v>씰 팀 시즌1</v>
      </c>
      <c r="C1958" s="16"/>
      <c r="D1958" s="17" t="s">
        <v>4036</v>
      </c>
      <c r="E1958" s="14" t="s">
        <v>24</v>
      </c>
      <c r="F1958" s="14">
        <v>2017</v>
      </c>
      <c r="G1958" s="14" t="s">
        <v>20</v>
      </c>
      <c r="H1958" s="15" t="s">
        <v>229</v>
      </c>
      <c r="I1958" s="14" t="s">
        <v>569</v>
      </c>
      <c r="J1958" s="132"/>
      <c r="K1958" s="150" t="s">
        <v>4037</v>
      </c>
    </row>
    <row r="1959" spans="1:11" ht="28.9" customHeight="1" thickTop="1" thickBot="1" x14ac:dyDescent="0.75">
      <c r="A1959" s="10">
        <v>1957</v>
      </c>
      <c r="B1959" s="59" t="str">
        <f>HYPERLINK("https://search.naver.com/search.naver?query=씰 팀 시즌2", "씰 팀 시즌2")</f>
        <v>씰 팀 시즌2</v>
      </c>
      <c r="C1959" s="16"/>
      <c r="D1959" s="17" t="s">
        <v>4036</v>
      </c>
      <c r="E1959" s="14" t="s">
        <v>24</v>
      </c>
      <c r="F1959" s="14">
        <v>2018</v>
      </c>
      <c r="G1959" s="14" t="s">
        <v>20</v>
      </c>
      <c r="H1959" s="15" t="s">
        <v>229</v>
      </c>
      <c r="I1959" s="14" t="s">
        <v>569</v>
      </c>
      <c r="J1959" s="132"/>
      <c r="K1959" s="150" t="s">
        <v>4038</v>
      </c>
    </row>
    <row r="1960" spans="1:11" ht="28.9" customHeight="1" thickTop="1" thickBot="1" x14ac:dyDescent="0.75">
      <c r="A1960" s="6">
        <v>1958</v>
      </c>
      <c r="B1960" s="59" t="str">
        <f>HYPERLINK("https://search.naver.com/search.naver?query=씰 팀 시즌4", "씰 팀 시즌4")</f>
        <v>씰 팀 시즌4</v>
      </c>
      <c r="C1960" s="16"/>
      <c r="D1960" s="17" t="s">
        <v>4036</v>
      </c>
      <c r="E1960" s="14" t="s">
        <v>24</v>
      </c>
      <c r="F1960" s="14">
        <v>2020</v>
      </c>
      <c r="G1960" s="14" t="s">
        <v>20</v>
      </c>
      <c r="H1960" s="15" t="s">
        <v>229</v>
      </c>
      <c r="I1960" s="14" t="s">
        <v>825</v>
      </c>
      <c r="J1960" s="132"/>
      <c r="K1960" s="150" t="s">
        <v>2686</v>
      </c>
    </row>
    <row r="1961" spans="1:11" ht="28.9" customHeight="1" thickTop="1" thickBot="1" x14ac:dyDescent="0.75">
      <c r="A1961" s="10">
        <v>1959</v>
      </c>
      <c r="B1961" s="59" t="str">
        <f>HYPERLINK("https://search.naver.com/search.naver?query=씰 팀 시즌5", "씰 팀 시즌5")</f>
        <v>씰 팀 시즌5</v>
      </c>
      <c r="C1961" s="16"/>
      <c r="D1961" s="17" t="s">
        <v>4036</v>
      </c>
      <c r="E1961" s="14" t="s">
        <v>24</v>
      </c>
      <c r="F1961" s="14">
        <v>2021</v>
      </c>
      <c r="G1961" s="14" t="s">
        <v>20</v>
      </c>
      <c r="H1961" s="15" t="s">
        <v>229</v>
      </c>
      <c r="I1961" s="14" t="s">
        <v>231</v>
      </c>
      <c r="J1961" s="132"/>
      <c r="K1961" s="150" t="s">
        <v>4039</v>
      </c>
    </row>
    <row r="1962" spans="1:11" ht="28.9" customHeight="1" thickTop="1" thickBot="1" x14ac:dyDescent="0.75">
      <c r="A1962" s="10">
        <v>1960</v>
      </c>
      <c r="B1962" s="59" t="str">
        <f>HYPERLINK("https://search.naver.com/search.naver?query=씰 팀 시즌6", "씰 팀 시즌6")</f>
        <v>씰 팀 시즌6</v>
      </c>
      <c r="C1962" s="16"/>
      <c r="D1962" s="17" t="s">
        <v>4036</v>
      </c>
      <c r="E1962" s="14" t="s">
        <v>24</v>
      </c>
      <c r="F1962" s="14">
        <v>2022</v>
      </c>
      <c r="G1962" s="14" t="s">
        <v>20</v>
      </c>
      <c r="H1962" s="15" t="s">
        <v>229</v>
      </c>
      <c r="I1962" s="14" t="s">
        <v>64</v>
      </c>
      <c r="J1962" s="132"/>
      <c r="K1962" s="150" t="s">
        <v>4040</v>
      </c>
    </row>
    <row r="1963" spans="1:11" ht="28.9" customHeight="1" thickTop="1" thickBot="1" x14ac:dyDescent="0.75">
      <c r="A1963" s="6">
        <v>1961</v>
      </c>
      <c r="B1963" s="58" t="str">
        <f>HYPERLINK("https://search.naver.com/search.naver?query=아가씨 영화", "아가씨")</f>
        <v>아가씨</v>
      </c>
      <c r="C1963" s="12">
        <v>7.69</v>
      </c>
      <c r="D1963" s="13" t="s">
        <v>4041</v>
      </c>
      <c r="E1963" s="10" t="s">
        <v>13</v>
      </c>
      <c r="F1963" s="10">
        <v>2016</v>
      </c>
      <c r="G1963" s="10" t="s">
        <v>14</v>
      </c>
      <c r="H1963" s="11" t="s">
        <v>20</v>
      </c>
      <c r="I1963" s="10" t="s">
        <v>57</v>
      </c>
      <c r="J1963" s="131"/>
      <c r="K1963" s="149" t="s">
        <v>4042</v>
      </c>
    </row>
    <row r="1964" spans="1:11" ht="28.9" customHeight="1" thickTop="1" thickBot="1" x14ac:dyDescent="0.75">
      <c r="A1964" s="10">
        <v>1962</v>
      </c>
      <c r="B1964" s="59" t="str">
        <f>HYPERLINK("https://search.naver.com/search.naver?query=아나토미 오브 스캔들", "아나토미 오브 스캔들")</f>
        <v>아나토미 오브 스캔들</v>
      </c>
      <c r="C1964" s="16"/>
      <c r="D1964" s="17" t="s">
        <v>4043</v>
      </c>
      <c r="E1964" s="14" t="s">
        <v>29</v>
      </c>
      <c r="F1964" s="14">
        <v>2022</v>
      </c>
      <c r="G1964" s="14" t="s">
        <v>20</v>
      </c>
      <c r="H1964" s="15" t="s">
        <v>20</v>
      </c>
      <c r="I1964" s="14" t="s">
        <v>247</v>
      </c>
      <c r="J1964" s="132"/>
      <c r="K1964" s="150" t="s">
        <v>4044</v>
      </c>
    </row>
    <row r="1965" spans="1:11" ht="28.9" customHeight="1" thickTop="1" thickBot="1" x14ac:dyDescent="0.75">
      <c r="A1965" s="10">
        <v>1963</v>
      </c>
      <c r="B1965" s="58" t="str">
        <f>HYPERLINK("https://search.naver.com/search.naver?query=아내의 애인을 만나다 영화", "아내의 애인을 만나다")</f>
        <v>아내의 애인을 만나다</v>
      </c>
      <c r="C1965" s="12">
        <v>7.67</v>
      </c>
      <c r="D1965" s="13" t="s">
        <v>4045</v>
      </c>
      <c r="E1965" s="10" t="s">
        <v>13</v>
      </c>
      <c r="F1965" s="10">
        <v>2007</v>
      </c>
      <c r="G1965" s="10" t="s">
        <v>14</v>
      </c>
      <c r="H1965" s="11" t="s">
        <v>20</v>
      </c>
      <c r="I1965" s="10" t="s">
        <v>150</v>
      </c>
      <c r="J1965" s="131"/>
      <c r="K1965" s="149" t="s">
        <v>4046</v>
      </c>
    </row>
    <row r="1966" spans="1:11" ht="28.9" customHeight="1" thickTop="1" thickBot="1" x14ac:dyDescent="0.75">
      <c r="A1966" s="6">
        <v>1964</v>
      </c>
      <c r="B1966" s="57" t="str">
        <f>HYPERLINK("https://search.naver.com/search.naver?query=아논 영화", "아논")</f>
        <v>아논</v>
      </c>
      <c r="C1966" s="8">
        <v>6.4</v>
      </c>
      <c r="D1966" s="9" t="s">
        <v>4047</v>
      </c>
      <c r="E1966" s="6" t="s">
        <v>136</v>
      </c>
      <c r="F1966" s="6">
        <v>2018</v>
      </c>
      <c r="G1966" s="6" t="s">
        <v>14</v>
      </c>
      <c r="H1966" s="7" t="s">
        <v>877</v>
      </c>
      <c r="I1966" s="6" t="s">
        <v>179</v>
      </c>
      <c r="J1966" s="130"/>
      <c r="K1966" s="148" t="s">
        <v>4048</v>
      </c>
    </row>
    <row r="1967" spans="1:11" ht="28.9" customHeight="1" thickTop="1" thickBot="1" x14ac:dyDescent="0.75">
      <c r="A1967" s="10">
        <v>1965</v>
      </c>
      <c r="B1967" s="58" t="str">
        <f>HYPERLINK("https://search.naver.com/search.naver?query=아델라인 멈춰진 시간 영화", "아델라인 - 멈춰진 시간")</f>
        <v>아델라인 - 멈춰진 시간</v>
      </c>
      <c r="C1967" s="12">
        <v>7.7</v>
      </c>
      <c r="D1967" s="13" t="s">
        <v>4049</v>
      </c>
      <c r="E1967" s="10" t="s">
        <v>24</v>
      </c>
      <c r="F1967" s="10">
        <v>2015</v>
      </c>
      <c r="G1967" s="10" t="s">
        <v>14</v>
      </c>
      <c r="H1967" s="11" t="s">
        <v>165</v>
      </c>
      <c r="I1967" s="10" t="s">
        <v>429</v>
      </c>
      <c r="J1967" s="131"/>
      <c r="K1967" s="149" t="s">
        <v>4050</v>
      </c>
    </row>
    <row r="1968" spans="1:11" ht="28.9" customHeight="1" thickTop="1" thickBot="1" x14ac:dyDescent="0.75">
      <c r="A1968" s="10">
        <v>1966</v>
      </c>
      <c r="B1968" s="57" t="str">
        <f>HYPERLINK("https://search.naver.com/search.naver?query=아르고 영화", "아르고")</f>
        <v>아르고</v>
      </c>
      <c r="C1968" s="8">
        <v>8.25</v>
      </c>
      <c r="D1968" s="9" t="s">
        <v>4051</v>
      </c>
      <c r="E1968" s="6" t="s">
        <v>24</v>
      </c>
      <c r="F1968" s="6">
        <v>2012</v>
      </c>
      <c r="G1968" s="6" t="s">
        <v>14</v>
      </c>
      <c r="H1968" s="7" t="s">
        <v>20</v>
      </c>
      <c r="I1968" s="6" t="s">
        <v>116</v>
      </c>
      <c r="J1968" s="130"/>
      <c r="K1968" s="148" t="s">
        <v>4052</v>
      </c>
    </row>
    <row r="1969" spans="1:11" ht="28.9" customHeight="1" thickTop="1" thickBot="1" x14ac:dyDescent="0.75">
      <c r="A1969" s="6">
        <v>1967</v>
      </c>
      <c r="B1969" s="58" t="str">
        <f>HYPERLINK("https://search.naver.com/search.naver?query=아르키메데스의 대전 영화", "아르키메데스의 대전")</f>
        <v>아르키메데스의 대전</v>
      </c>
      <c r="C1969" s="12">
        <v>5.94</v>
      </c>
      <c r="D1969" s="13" t="s">
        <v>4053</v>
      </c>
      <c r="E1969" s="10" t="s">
        <v>19</v>
      </c>
      <c r="F1969" s="10">
        <v>2019</v>
      </c>
      <c r="G1969" s="10" t="s">
        <v>14</v>
      </c>
      <c r="H1969" s="11" t="s">
        <v>1247</v>
      </c>
      <c r="I1969" s="10" t="s">
        <v>42</v>
      </c>
      <c r="J1969" s="131"/>
      <c r="K1969" s="149" t="s">
        <v>4054</v>
      </c>
    </row>
    <row r="1970" spans="1:11" ht="28.9" customHeight="1" thickTop="1" thickBot="1" x14ac:dyDescent="0.75">
      <c r="A1970" s="10">
        <v>1968</v>
      </c>
      <c r="B1970" s="57" t="str">
        <f>HYPERLINK("https://search.naver.com/search.naver?query=아름다운 세상을 위하여 영화", "아름다운 세상을 위하여")</f>
        <v>아름다운 세상을 위하여</v>
      </c>
      <c r="C1970" s="8">
        <v>9.14</v>
      </c>
      <c r="D1970" s="9" t="s">
        <v>4055</v>
      </c>
      <c r="E1970" s="6" t="s">
        <v>24</v>
      </c>
      <c r="F1970" s="6">
        <v>2000</v>
      </c>
      <c r="G1970" s="6" t="s">
        <v>14</v>
      </c>
      <c r="H1970" s="7" t="s">
        <v>20</v>
      </c>
      <c r="I1970" s="6" t="s">
        <v>76</v>
      </c>
      <c r="J1970" s="130"/>
      <c r="K1970" s="148" t="s">
        <v>4056</v>
      </c>
    </row>
    <row r="1971" spans="1:11" ht="28.9" customHeight="1" thickTop="1" thickBot="1" x14ac:dyDescent="0.75">
      <c r="A1971" s="10">
        <v>1969</v>
      </c>
      <c r="B1971" s="59" t="str">
        <f>HYPERLINK("https://search.naver.com/search.naver?query=아리스 인 보더랜드 시즌1", "아리스 인 보더랜드 시즌1")</f>
        <v>아리스 인 보더랜드 시즌1</v>
      </c>
      <c r="C1971" s="16"/>
      <c r="D1971" s="17" t="s">
        <v>4057</v>
      </c>
      <c r="E1971" s="14" t="s">
        <v>19</v>
      </c>
      <c r="F1971" s="14">
        <v>2020</v>
      </c>
      <c r="G1971" s="14" t="s">
        <v>20</v>
      </c>
      <c r="H1971" s="15" t="s">
        <v>4058</v>
      </c>
      <c r="I1971" s="14" t="s">
        <v>71</v>
      </c>
      <c r="J1971" s="132"/>
      <c r="K1971" s="150" t="s">
        <v>4059</v>
      </c>
    </row>
    <row r="1972" spans="1:11" ht="28.9" customHeight="1" thickTop="1" thickBot="1" x14ac:dyDescent="0.75">
      <c r="A1972" s="6">
        <v>1970</v>
      </c>
      <c r="B1972" s="59" t="str">
        <f>HYPERLINK("https://search.naver.com/search.naver?query=아리스 인 보더랜드 시즌2", "아리스 인 보더랜드 시즌2")</f>
        <v>아리스 인 보더랜드 시즌2</v>
      </c>
      <c r="C1972" s="16"/>
      <c r="D1972" s="17" t="s">
        <v>4057</v>
      </c>
      <c r="E1972" s="14" t="s">
        <v>19</v>
      </c>
      <c r="F1972" s="14">
        <v>2022</v>
      </c>
      <c r="G1972" s="14" t="s">
        <v>20</v>
      </c>
      <c r="H1972" s="15" t="s">
        <v>4058</v>
      </c>
      <c r="I1972" s="14" t="s">
        <v>71</v>
      </c>
      <c r="J1972" s="132"/>
      <c r="K1972" s="150" t="s">
        <v>4060</v>
      </c>
    </row>
    <row r="1973" spans="1:11" ht="28.9" customHeight="1" thickTop="1" thickBot="1" x14ac:dyDescent="0.75">
      <c r="A1973" s="10">
        <v>1971</v>
      </c>
      <c r="B1973" s="58" t="str">
        <f>HYPERLINK("https://search.naver.com/search.naver?query=아마겟돈 타임 영화", "아마겟돈 타임")</f>
        <v>아마겟돈 타임</v>
      </c>
      <c r="C1973" s="12">
        <v>7.53</v>
      </c>
      <c r="D1973" s="13" t="s">
        <v>4061</v>
      </c>
      <c r="E1973" s="10" t="s">
        <v>24</v>
      </c>
      <c r="F1973" s="10">
        <v>2022</v>
      </c>
      <c r="G1973" s="10" t="s">
        <v>14</v>
      </c>
      <c r="H1973" s="11" t="s">
        <v>20</v>
      </c>
      <c r="I1973" s="10" t="s">
        <v>305</v>
      </c>
      <c r="J1973" s="131"/>
      <c r="K1973" s="149" t="s">
        <v>4062</v>
      </c>
    </row>
    <row r="1974" spans="1:11" ht="28.9" customHeight="1" thickTop="1" thickBot="1" x14ac:dyDescent="0.75">
      <c r="A1974" s="10">
        <v>1972</v>
      </c>
      <c r="B1974" s="57" t="str">
        <f>HYPERLINK("https://search.naver.com/search.naver?query=아말피 여신의 보수 영화", "아말피 여신의 보수")</f>
        <v>아말피 여신의 보수</v>
      </c>
      <c r="C1974" s="8"/>
      <c r="D1974" s="9" t="s">
        <v>4063</v>
      </c>
      <c r="E1974" s="6" t="s">
        <v>19</v>
      </c>
      <c r="F1974" s="6">
        <v>2009</v>
      </c>
      <c r="G1974" s="6" t="s">
        <v>14</v>
      </c>
      <c r="H1974" s="7" t="s">
        <v>194</v>
      </c>
      <c r="I1974" s="6" t="s">
        <v>116</v>
      </c>
      <c r="J1974" s="130"/>
      <c r="K1974" s="148" t="s">
        <v>4064</v>
      </c>
    </row>
    <row r="1975" spans="1:11" ht="28.9" customHeight="1" thickTop="1" thickBot="1" x14ac:dyDescent="0.75">
      <c r="A1975" s="6">
        <v>1973</v>
      </c>
      <c r="B1975" s="58" t="str">
        <f>HYPERLINK("https://search.naver.com/search.naver?query=아메리칸 영화", "아메리칸")</f>
        <v>아메리칸</v>
      </c>
      <c r="C1975" s="12">
        <v>6.53</v>
      </c>
      <c r="D1975" s="13" t="s">
        <v>4065</v>
      </c>
      <c r="E1975" s="10" t="s">
        <v>24</v>
      </c>
      <c r="F1975" s="10">
        <v>2010</v>
      </c>
      <c r="G1975" s="10" t="s">
        <v>14</v>
      </c>
      <c r="H1975" s="11" t="s">
        <v>124</v>
      </c>
      <c r="I1975" s="10" t="s">
        <v>175</v>
      </c>
      <c r="J1975" s="131"/>
      <c r="K1975" s="149" t="s">
        <v>4066</v>
      </c>
    </row>
    <row r="1976" spans="1:11" ht="28.9" customHeight="1" thickTop="1" thickBot="1" x14ac:dyDescent="0.75">
      <c r="A1976" s="10">
        <v>1974</v>
      </c>
      <c r="B1976" s="57" t="str">
        <f>HYPERLINK("https://search.naver.com/search.naver?query=아메리칸 갱스터 영화", "아메리칸 갱스터")</f>
        <v>아메리칸 갱스터</v>
      </c>
      <c r="C1976" s="8">
        <v>8.49</v>
      </c>
      <c r="D1976" s="9" t="s">
        <v>4067</v>
      </c>
      <c r="E1976" s="6" t="s">
        <v>24</v>
      </c>
      <c r="F1976" s="6">
        <v>2007</v>
      </c>
      <c r="G1976" s="6" t="s">
        <v>14</v>
      </c>
      <c r="H1976" s="7" t="s">
        <v>428</v>
      </c>
      <c r="I1976" s="6" t="s">
        <v>3458</v>
      </c>
      <c r="J1976" s="130"/>
      <c r="K1976" s="148" t="s">
        <v>4068</v>
      </c>
    </row>
    <row r="1977" spans="1:11" ht="28.9" customHeight="1" thickTop="1" thickBot="1" x14ac:dyDescent="0.75">
      <c r="A1977" s="10">
        <v>1975</v>
      </c>
      <c r="B1977" s="58" t="str">
        <f>HYPERLINK("https://search.naver.com/search.naver?query=아메리칸 메이드 영화", "아메리칸 메이드")</f>
        <v>아메리칸 메이드</v>
      </c>
      <c r="C1977" s="12">
        <v>7.72</v>
      </c>
      <c r="D1977" s="13" t="s">
        <v>4069</v>
      </c>
      <c r="E1977" s="10" t="s">
        <v>24</v>
      </c>
      <c r="F1977" s="10">
        <v>2017</v>
      </c>
      <c r="G1977" s="10" t="s">
        <v>14</v>
      </c>
      <c r="H1977" s="11" t="s">
        <v>124</v>
      </c>
      <c r="I1977" s="10" t="s">
        <v>60</v>
      </c>
      <c r="J1977" s="131"/>
      <c r="K1977" s="149" t="s">
        <v>4070</v>
      </c>
    </row>
    <row r="1978" spans="1:11" ht="28.9" customHeight="1" thickTop="1" thickBot="1" x14ac:dyDescent="0.75">
      <c r="A1978" s="6">
        <v>1976</v>
      </c>
      <c r="B1978" s="57" t="str">
        <f>HYPERLINK("https://search.naver.com/search.naver?query=아메리칸 뷰티 영화", "아메리칸 뷰티")</f>
        <v>아메리칸 뷰티</v>
      </c>
      <c r="C1978" s="8">
        <v>9.01</v>
      </c>
      <c r="D1978" s="9" t="s">
        <v>4071</v>
      </c>
      <c r="E1978" s="6" t="s">
        <v>24</v>
      </c>
      <c r="F1978" s="6">
        <v>1999</v>
      </c>
      <c r="G1978" s="6" t="s">
        <v>14</v>
      </c>
      <c r="H1978" s="7" t="s">
        <v>20</v>
      </c>
      <c r="I1978" s="6" t="s">
        <v>141</v>
      </c>
      <c r="J1978" s="130"/>
      <c r="K1978" s="148" t="s">
        <v>4072</v>
      </c>
    </row>
    <row r="1979" spans="1:11" ht="28.9" customHeight="1" thickTop="1" thickBot="1" x14ac:dyDescent="0.75">
      <c r="A1979" s="10">
        <v>1977</v>
      </c>
      <c r="B1979" s="58" t="str">
        <f>HYPERLINK("https://search.naver.com/search.naver?query=아메리칸 스나이퍼 영화", "아메리칸 스나이퍼")</f>
        <v>아메리칸 스나이퍼</v>
      </c>
      <c r="C1979" s="12">
        <v>8.7200000000000006</v>
      </c>
      <c r="D1979" s="13" t="s">
        <v>4073</v>
      </c>
      <c r="E1979" s="10" t="s">
        <v>24</v>
      </c>
      <c r="F1979" s="10">
        <v>2014</v>
      </c>
      <c r="G1979" s="10" t="s">
        <v>14</v>
      </c>
      <c r="H1979" s="11" t="s">
        <v>1247</v>
      </c>
      <c r="I1979" s="10" t="s">
        <v>558</v>
      </c>
      <c r="J1979" s="131"/>
      <c r="K1979" s="149" t="s">
        <v>4074</v>
      </c>
    </row>
    <row r="1980" spans="1:11" ht="28.9" customHeight="1" thickTop="1" thickBot="1" x14ac:dyDescent="0.75">
      <c r="A1980" s="10">
        <v>1978</v>
      </c>
      <c r="B1980" s="57" t="str">
        <f>HYPERLINK("https://search.naver.com/search.naver?query=아메리칸 우먼 영화", "아메리칸 우먼")</f>
        <v>아메리칸 우먼</v>
      </c>
      <c r="C1980" s="8">
        <v>6.4</v>
      </c>
      <c r="D1980" s="9" t="s">
        <v>4075</v>
      </c>
      <c r="E1980" s="6" t="s">
        <v>24</v>
      </c>
      <c r="F1980" s="6">
        <v>2018</v>
      </c>
      <c r="G1980" s="6" t="s">
        <v>14</v>
      </c>
      <c r="H1980" s="7" t="s">
        <v>20</v>
      </c>
      <c r="I1980" s="6" t="s">
        <v>137</v>
      </c>
      <c r="J1980" s="130"/>
      <c r="K1980" s="148" t="s">
        <v>4076</v>
      </c>
    </row>
    <row r="1981" spans="1:11" ht="28.9" customHeight="1" thickTop="1" thickBot="1" x14ac:dyDescent="0.75">
      <c r="A1981" s="6">
        <v>1979</v>
      </c>
      <c r="B1981" s="58" t="str">
        <f>HYPERLINK("https://search.naver.com/search.naver?query=아메리칸 크라임 영화", "아메리칸 크라임")</f>
        <v>아메리칸 크라임</v>
      </c>
      <c r="C1981" s="12">
        <v>6.4</v>
      </c>
      <c r="D1981" s="13" t="s">
        <v>4077</v>
      </c>
      <c r="E1981" s="10" t="s">
        <v>24</v>
      </c>
      <c r="F1981" s="10">
        <v>2007</v>
      </c>
      <c r="G1981" s="10" t="s">
        <v>14</v>
      </c>
      <c r="H1981" s="11" t="s">
        <v>428</v>
      </c>
      <c r="I1981" s="10" t="s">
        <v>169</v>
      </c>
      <c r="J1981" s="131"/>
      <c r="K1981" s="149" t="s">
        <v>4078</v>
      </c>
    </row>
    <row r="1982" spans="1:11" ht="28.9" customHeight="1" thickTop="1" thickBot="1" x14ac:dyDescent="0.75">
      <c r="A1982" s="10">
        <v>1980</v>
      </c>
      <c r="B1982" s="57" t="str">
        <f>HYPERLINK("https://search.naver.com/search.naver?query=아메리칸 트레이터 영화", "아메리칸 트레이터")</f>
        <v>아메리칸 트레이터</v>
      </c>
      <c r="C1982" s="8">
        <v>6.4</v>
      </c>
      <c r="D1982" s="9" t="s">
        <v>4079</v>
      </c>
      <c r="E1982" s="6" t="s">
        <v>24</v>
      </c>
      <c r="F1982" s="6">
        <v>2021</v>
      </c>
      <c r="G1982" s="6" t="s">
        <v>14</v>
      </c>
      <c r="H1982" s="7" t="s">
        <v>20</v>
      </c>
      <c r="I1982" s="6" t="s">
        <v>38</v>
      </c>
      <c r="J1982" s="130"/>
      <c r="K1982" s="148" t="s">
        <v>4080</v>
      </c>
    </row>
    <row r="1983" spans="1:11" ht="28.9" customHeight="1" thickTop="1" thickBot="1" x14ac:dyDescent="0.75">
      <c r="A1983" s="10">
        <v>1981</v>
      </c>
      <c r="B1983" s="58" t="str">
        <f>HYPERLINK("https://search.naver.com/search.naver?query=아메리칸 패스토럴 영화", "아메리칸 패스토럴")</f>
        <v>아메리칸 패스토럴</v>
      </c>
      <c r="C1983" s="12">
        <v>7.58</v>
      </c>
      <c r="D1983" s="13" t="s">
        <v>4081</v>
      </c>
      <c r="E1983" s="10" t="s">
        <v>24</v>
      </c>
      <c r="F1983" s="10">
        <v>2016</v>
      </c>
      <c r="G1983" s="10" t="s">
        <v>14</v>
      </c>
      <c r="H1983" s="11" t="s">
        <v>20</v>
      </c>
      <c r="I1983" s="10" t="s">
        <v>38</v>
      </c>
      <c r="J1983" s="131"/>
      <c r="K1983" s="149" t="s">
        <v>4082</v>
      </c>
    </row>
    <row r="1984" spans="1:11" ht="28.9" customHeight="1" thickTop="1" thickBot="1" x14ac:dyDescent="0.75">
      <c r="A1984" s="6">
        <v>1982</v>
      </c>
      <c r="B1984" s="57" t="str">
        <f>HYPERLINK("https://search.naver.com/search.naver?query=아메리칸 허슬 영화", "아메리칸 허슬")</f>
        <v>아메리칸 허슬</v>
      </c>
      <c r="C1984" s="8">
        <v>7.73</v>
      </c>
      <c r="D1984" s="9" t="s">
        <v>4083</v>
      </c>
      <c r="E1984" s="6" t="s">
        <v>24</v>
      </c>
      <c r="F1984" s="6">
        <v>2013</v>
      </c>
      <c r="G1984" s="6" t="s">
        <v>14</v>
      </c>
      <c r="H1984" s="7" t="s">
        <v>428</v>
      </c>
      <c r="I1984" s="6" t="s">
        <v>1058</v>
      </c>
      <c r="J1984" s="130"/>
      <c r="K1984" s="148" t="s">
        <v>4084</v>
      </c>
    </row>
    <row r="1985" spans="1:11" ht="28.9" customHeight="1" thickTop="1" thickBot="1" x14ac:dyDescent="0.75">
      <c r="A1985" s="10">
        <v>1983</v>
      </c>
      <c r="B1985" s="58" t="str">
        <f>HYPERLINK("https://search.naver.com/search.naver?query=아멜리에 하늘을 사랑한 여인 영화", "아멜리에 - 하늘을 사랑한 여인")</f>
        <v>아멜리에 - 하늘을 사랑한 여인</v>
      </c>
      <c r="C1985" s="12">
        <v>6.4</v>
      </c>
      <c r="D1985" s="13" t="s">
        <v>4085</v>
      </c>
      <c r="E1985" s="10" t="s">
        <v>24</v>
      </c>
      <c r="F1985" s="10">
        <v>2009</v>
      </c>
      <c r="G1985" s="10" t="s">
        <v>14</v>
      </c>
      <c r="H1985" s="11" t="s">
        <v>20</v>
      </c>
      <c r="I1985" s="10" t="s">
        <v>137</v>
      </c>
      <c r="J1985" s="131"/>
      <c r="K1985" s="149" t="s">
        <v>4086</v>
      </c>
    </row>
    <row r="1986" spans="1:11" ht="28.9" customHeight="1" thickTop="1" thickBot="1" x14ac:dyDescent="0.75">
      <c r="A1986" s="10">
        <v>1984</v>
      </c>
      <c r="B1986" s="57" t="str">
        <f>HYPERLINK("https://search.naver.com/search.naver?query=아무도 모른다 영화", "아무도 모른다")</f>
        <v>아무도 모른다</v>
      </c>
      <c r="C1986" s="8">
        <v>8.75</v>
      </c>
      <c r="D1986" s="9" t="s">
        <v>4087</v>
      </c>
      <c r="E1986" s="6" t="s">
        <v>19</v>
      </c>
      <c r="F1986" s="6">
        <v>2004</v>
      </c>
      <c r="G1986" s="6" t="s">
        <v>14</v>
      </c>
      <c r="H1986" s="7" t="s">
        <v>20</v>
      </c>
      <c r="I1986" s="6" t="s">
        <v>759</v>
      </c>
      <c r="J1986" s="130"/>
      <c r="K1986" s="148" t="s">
        <v>4088</v>
      </c>
    </row>
    <row r="1987" spans="1:11" ht="28.9" customHeight="1" thickTop="1" thickBot="1" x14ac:dyDescent="0.75">
      <c r="A1987" s="6">
        <v>1985</v>
      </c>
      <c r="B1987" s="58" t="str">
        <f>HYPERLINK("https://search.naver.com/search.naver?query=아무르 영화", "아무르")</f>
        <v>아무르</v>
      </c>
      <c r="C1987" s="12">
        <v>8.9</v>
      </c>
      <c r="D1987" s="13" t="s">
        <v>4089</v>
      </c>
      <c r="E1987" s="10" t="s">
        <v>310</v>
      </c>
      <c r="F1987" s="10">
        <v>2012</v>
      </c>
      <c r="G1987" s="10" t="s">
        <v>14</v>
      </c>
      <c r="H1987" s="11" t="s">
        <v>20</v>
      </c>
      <c r="I1987" s="10" t="s">
        <v>210</v>
      </c>
      <c r="J1987" s="131"/>
      <c r="K1987" s="149" t="s">
        <v>4090</v>
      </c>
    </row>
    <row r="1988" spans="1:11" ht="28.9" customHeight="1" thickTop="1" thickBot="1" x14ac:dyDescent="0.75">
      <c r="A1988" s="10">
        <v>1986</v>
      </c>
      <c r="B1988" s="57" t="str">
        <f>HYPERLINK("https://search.naver.com/search.naver?query=아미스타드 영화", "아미스타드")</f>
        <v>아미스타드</v>
      </c>
      <c r="C1988" s="8">
        <v>8.69</v>
      </c>
      <c r="D1988" s="9" t="s">
        <v>4091</v>
      </c>
      <c r="E1988" s="6" t="s">
        <v>24</v>
      </c>
      <c r="F1988" s="6">
        <v>1997</v>
      </c>
      <c r="G1988" s="6" t="s">
        <v>14</v>
      </c>
      <c r="H1988" s="7" t="s">
        <v>20</v>
      </c>
      <c r="I1988" s="6" t="s">
        <v>262</v>
      </c>
      <c r="J1988" s="130"/>
      <c r="K1988" s="148" t="s">
        <v>4092</v>
      </c>
    </row>
    <row r="1989" spans="1:11" ht="28.9" customHeight="1" thickTop="1" thickBot="1" x14ac:dyDescent="0.75">
      <c r="A1989" s="10">
        <v>1987</v>
      </c>
      <c r="B1989" s="58" t="str">
        <f>HYPERLINK("https://search.naver.com/search.naver?query=아버지와 이토씨 영화", "아버지와 이토씨")</f>
        <v>아버지와 이토씨</v>
      </c>
      <c r="C1989" s="12">
        <v>8.27</v>
      </c>
      <c r="D1989" s="13" t="s">
        <v>4093</v>
      </c>
      <c r="E1989" s="10" t="s">
        <v>19</v>
      </c>
      <c r="F1989" s="10">
        <v>2017</v>
      </c>
      <c r="G1989" s="10" t="s">
        <v>14</v>
      </c>
      <c r="H1989" s="11" t="s">
        <v>20</v>
      </c>
      <c r="I1989" s="10" t="s">
        <v>68</v>
      </c>
      <c r="J1989" s="131"/>
      <c r="K1989" s="149" t="s">
        <v>4094</v>
      </c>
    </row>
    <row r="1990" spans="1:11" ht="28.9" customHeight="1" thickTop="1" thickBot="1" x14ac:dyDescent="0.75">
      <c r="A1990" s="6">
        <v>1988</v>
      </c>
      <c r="B1990" s="57" t="str">
        <f>HYPERLINK("https://search.naver.com/search.naver?query=아버지의 깃발 영화", "아버지의 깃발")</f>
        <v>아버지의 깃발</v>
      </c>
      <c r="C1990" s="8">
        <v>7.47</v>
      </c>
      <c r="D1990" s="9" t="s">
        <v>4095</v>
      </c>
      <c r="E1990" s="6" t="s">
        <v>24</v>
      </c>
      <c r="F1990" s="6">
        <v>2006</v>
      </c>
      <c r="G1990" s="6" t="s">
        <v>14</v>
      </c>
      <c r="H1990" s="7" t="s">
        <v>1247</v>
      </c>
      <c r="I1990" s="6" t="s">
        <v>558</v>
      </c>
      <c r="J1990" s="130"/>
      <c r="K1990" s="148" t="s">
        <v>4096</v>
      </c>
    </row>
    <row r="1991" spans="1:11" ht="28.9" customHeight="1" thickTop="1" thickBot="1" x14ac:dyDescent="0.75">
      <c r="A1991" s="10">
        <v>1989</v>
      </c>
      <c r="B1991" s="58" t="str">
        <f>HYPERLINK("https://search.naver.com/search.naver?query=아비트라지 영화", "아비트라지")</f>
        <v>아비트라지</v>
      </c>
      <c r="C1991" s="12"/>
      <c r="D1991" s="13" t="s">
        <v>4097</v>
      </c>
      <c r="E1991" s="10" t="s">
        <v>24</v>
      </c>
      <c r="F1991" s="10">
        <v>2012</v>
      </c>
      <c r="G1991" s="10" t="s">
        <v>14</v>
      </c>
      <c r="H1991" s="11" t="s">
        <v>20</v>
      </c>
      <c r="I1991" s="10" t="s">
        <v>101</v>
      </c>
      <c r="J1991" s="131"/>
      <c r="K1991" s="149" t="s">
        <v>4098</v>
      </c>
    </row>
    <row r="1992" spans="1:11" ht="28.9" customHeight="1" thickTop="1" thickBot="1" x14ac:dyDescent="0.75">
      <c r="A1992" s="10">
        <v>1990</v>
      </c>
      <c r="B1992" s="57" t="str">
        <f>HYPERLINK("https://search.naver.com/search.naver?query=아빠가 되는 중 영화", "아빠가 되는 중")</f>
        <v>아빠가 되는 중</v>
      </c>
      <c r="C1992" s="8">
        <v>9.1199999999999992</v>
      </c>
      <c r="D1992" s="9" t="s">
        <v>4099</v>
      </c>
      <c r="E1992" s="6" t="s">
        <v>24</v>
      </c>
      <c r="F1992" s="6">
        <v>2021</v>
      </c>
      <c r="G1992" s="6" t="s">
        <v>14</v>
      </c>
      <c r="H1992" s="7" t="s">
        <v>91</v>
      </c>
      <c r="I1992" s="6" t="s">
        <v>187</v>
      </c>
      <c r="J1992" s="130"/>
      <c r="K1992" s="148" t="s">
        <v>4100</v>
      </c>
    </row>
    <row r="1993" spans="1:11" ht="28.9" customHeight="1" thickTop="1" thickBot="1" x14ac:dyDescent="0.75">
      <c r="A1993" s="6">
        <v>1991</v>
      </c>
      <c r="B1993" s="58" t="str">
        <f>HYPERLINK("https://search.naver.com/search.naver?query=아빠는 딸 영화", "아빠는 딸")</f>
        <v>아빠는 딸</v>
      </c>
      <c r="C1993" s="12">
        <v>8.56</v>
      </c>
      <c r="D1993" s="13" t="s">
        <v>4101</v>
      </c>
      <c r="E1993" s="10" t="s">
        <v>13</v>
      </c>
      <c r="F1993" s="10">
        <v>2017</v>
      </c>
      <c r="G1993" s="10" t="s">
        <v>14</v>
      </c>
      <c r="H1993" s="11" t="s">
        <v>91</v>
      </c>
      <c r="I1993" s="10" t="s">
        <v>150</v>
      </c>
      <c r="J1993" s="131"/>
      <c r="K1993" s="149" t="s">
        <v>4102</v>
      </c>
    </row>
    <row r="1994" spans="1:11" ht="28.9" customHeight="1" thickTop="1" thickBot="1" x14ac:dyDescent="0.75">
      <c r="A1994" s="10">
        <v>1992</v>
      </c>
      <c r="B1994" s="57" t="str">
        <f>HYPERLINK("https://search.naver.com/search.naver?query=아빠의 바이올린 영화", "아빠의 바이올린")</f>
        <v>아빠의 바이올린</v>
      </c>
      <c r="C1994" s="8">
        <v>9.5</v>
      </c>
      <c r="D1994" s="9" t="s">
        <v>4103</v>
      </c>
      <c r="E1994" s="6" t="s">
        <v>2542</v>
      </c>
      <c r="F1994" s="6">
        <v>2022</v>
      </c>
      <c r="G1994" s="6" t="s">
        <v>14</v>
      </c>
      <c r="H1994" s="7" t="s">
        <v>20</v>
      </c>
      <c r="I1994" s="6" t="s">
        <v>429</v>
      </c>
      <c r="J1994" s="130"/>
      <c r="K1994" s="148" t="s">
        <v>4104</v>
      </c>
    </row>
    <row r="1995" spans="1:11" ht="28.9" customHeight="1" thickTop="1" thickBot="1" x14ac:dyDescent="0.75">
      <c r="A1995" s="10">
        <v>1993</v>
      </c>
      <c r="B1995" s="58" t="str">
        <f>HYPERLINK("https://search.naver.com/search.naver?query=아사코 영화", "아사코")</f>
        <v>아사코</v>
      </c>
      <c r="C1995" s="12">
        <v>8.36</v>
      </c>
      <c r="D1995" s="13" t="s">
        <v>4105</v>
      </c>
      <c r="E1995" s="10" t="s">
        <v>19</v>
      </c>
      <c r="F1995" s="10">
        <v>2018</v>
      </c>
      <c r="G1995" s="10" t="s">
        <v>14</v>
      </c>
      <c r="H1995" s="11" t="s">
        <v>20</v>
      </c>
      <c r="I1995" s="10" t="s">
        <v>68</v>
      </c>
      <c r="J1995" s="131"/>
      <c r="K1995" s="149" t="s">
        <v>4106</v>
      </c>
    </row>
    <row r="1996" spans="1:11" ht="28.9" customHeight="1" thickTop="1" thickBot="1" x14ac:dyDescent="0.75">
      <c r="A1996" s="6">
        <v>1994</v>
      </c>
      <c r="B1996" s="57" t="str">
        <f>HYPERLINK("https://search.naver.com/search.naver?query=아서 영화", "아서")</f>
        <v>아서</v>
      </c>
      <c r="C1996" s="8">
        <v>8.07</v>
      </c>
      <c r="D1996" s="9" t="s">
        <v>4107</v>
      </c>
      <c r="E1996" s="6" t="s">
        <v>24</v>
      </c>
      <c r="F1996" s="6">
        <v>2024</v>
      </c>
      <c r="G1996" s="6" t="s">
        <v>14</v>
      </c>
      <c r="H1996" s="7" t="s">
        <v>1452</v>
      </c>
      <c r="I1996" s="6" t="s">
        <v>101</v>
      </c>
      <c r="J1996" s="130"/>
      <c r="K1996" s="148" t="s">
        <v>4108</v>
      </c>
    </row>
    <row r="1997" spans="1:11" ht="28.9" customHeight="1" thickTop="1" thickBot="1" x14ac:dyDescent="0.75">
      <c r="A1997" s="10">
        <v>1995</v>
      </c>
      <c r="B1997" s="58" t="str">
        <f>HYPERLINK("https://search.naver.com/search.naver?query=아수라 영화", "아수라")</f>
        <v>아수라</v>
      </c>
      <c r="C1997" s="12">
        <v>6.54</v>
      </c>
      <c r="D1997" s="13" t="s">
        <v>4109</v>
      </c>
      <c r="E1997" s="10" t="s">
        <v>13</v>
      </c>
      <c r="F1997" s="10">
        <v>2016</v>
      </c>
      <c r="G1997" s="10" t="s">
        <v>14</v>
      </c>
      <c r="H1997" s="11" t="s">
        <v>124</v>
      </c>
      <c r="I1997" s="10" t="s">
        <v>558</v>
      </c>
      <c r="J1997" s="131"/>
      <c r="K1997" s="149" t="s">
        <v>4110</v>
      </c>
    </row>
    <row r="1998" spans="1:11" ht="28.9" customHeight="1" thickTop="1" thickBot="1" x14ac:dyDescent="0.75">
      <c r="A1998" s="10">
        <v>1996</v>
      </c>
      <c r="B1998" s="59" t="str">
        <f>HYPERLINK("https://search.naver.com/search.naver?query=아웃랜더 시즌1", "아웃랜더 시즌1")</f>
        <v>아웃랜더 시즌1</v>
      </c>
      <c r="C1998" s="16"/>
      <c r="D1998" s="17" t="s">
        <v>4111</v>
      </c>
      <c r="E1998" s="14" t="s">
        <v>29</v>
      </c>
      <c r="F1998" s="14">
        <v>2014</v>
      </c>
      <c r="G1998" s="14" t="s">
        <v>20</v>
      </c>
      <c r="H1998" s="15" t="s">
        <v>682</v>
      </c>
      <c r="I1998" s="14" t="s">
        <v>825</v>
      </c>
      <c r="J1998" s="132"/>
      <c r="K1998" s="150" t="s">
        <v>4112</v>
      </c>
    </row>
    <row r="1999" spans="1:11" ht="28.9" customHeight="1" thickTop="1" thickBot="1" x14ac:dyDescent="0.75">
      <c r="A1999" s="6">
        <v>1997</v>
      </c>
      <c r="B1999" s="59" t="str">
        <f>HYPERLINK("https://search.naver.com/search.naver?query=아웃랜더 시즌2", "아웃랜더 시즌2")</f>
        <v>아웃랜더 시즌2</v>
      </c>
      <c r="C1999" s="16"/>
      <c r="D1999" s="17" t="s">
        <v>4111</v>
      </c>
      <c r="E1999" s="14" t="s">
        <v>29</v>
      </c>
      <c r="F1999" s="14">
        <v>2016</v>
      </c>
      <c r="G1999" s="14" t="s">
        <v>20</v>
      </c>
      <c r="H1999" s="15" t="s">
        <v>682</v>
      </c>
      <c r="I1999" s="14" t="s">
        <v>1108</v>
      </c>
      <c r="J1999" s="132"/>
      <c r="K1999" s="150" t="s">
        <v>4113</v>
      </c>
    </row>
    <row r="2000" spans="1:11" ht="28.9" customHeight="1" thickTop="1" thickBot="1" x14ac:dyDescent="0.75">
      <c r="A2000" s="10">
        <v>1998</v>
      </c>
      <c r="B2000" s="59" t="str">
        <f>HYPERLINK("https://search.naver.com/search.naver?query=아웃랜더 시즌3", "아웃랜더 시즌3")</f>
        <v>아웃랜더 시즌3</v>
      </c>
      <c r="C2000" s="16"/>
      <c r="D2000" s="17" t="s">
        <v>4111</v>
      </c>
      <c r="E2000" s="14" t="s">
        <v>29</v>
      </c>
      <c r="F2000" s="14">
        <v>2017</v>
      </c>
      <c r="G2000" s="14" t="s">
        <v>20</v>
      </c>
      <c r="H2000" s="15" t="s">
        <v>682</v>
      </c>
      <c r="I2000" s="14" t="s">
        <v>1108</v>
      </c>
      <c r="J2000" s="132"/>
      <c r="K2000" s="150" t="s">
        <v>3058</v>
      </c>
    </row>
    <row r="2001" spans="1:11" ht="28.9" customHeight="1" thickTop="1" thickBot="1" x14ac:dyDescent="0.75">
      <c r="A2001" s="10">
        <v>1999</v>
      </c>
      <c r="B2001" s="59" t="str">
        <f>HYPERLINK("https://search.naver.com/search.naver?query=아웃랜더 시즌4", "아웃랜더 시즌4")</f>
        <v>아웃랜더 시즌4</v>
      </c>
      <c r="C2001" s="16"/>
      <c r="D2001" s="17" t="s">
        <v>4111</v>
      </c>
      <c r="E2001" s="14" t="s">
        <v>29</v>
      </c>
      <c r="F2001" s="14">
        <v>2019</v>
      </c>
      <c r="G2001" s="14" t="s">
        <v>20</v>
      </c>
      <c r="H2001" s="15" t="s">
        <v>682</v>
      </c>
      <c r="I2001" s="14" t="s">
        <v>1108</v>
      </c>
      <c r="J2001" s="132"/>
      <c r="K2001" s="150" t="s">
        <v>4114</v>
      </c>
    </row>
    <row r="2002" spans="1:11" ht="28.9" customHeight="1" thickTop="1" thickBot="1" x14ac:dyDescent="0.75">
      <c r="A2002" s="6">
        <v>2000</v>
      </c>
      <c r="B2002" s="59" t="str">
        <f>HYPERLINK("https://search.naver.com/search.naver?query=아웃랜더 시즌5", "아웃랜더 시즌5")</f>
        <v>아웃랜더 시즌5</v>
      </c>
      <c r="C2002" s="16"/>
      <c r="D2002" s="17" t="s">
        <v>4111</v>
      </c>
      <c r="E2002" s="14" t="s">
        <v>29</v>
      </c>
      <c r="F2002" s="14">
        <v>2020</v>
      </c>
      <c r="G2002" s="14" t="s">
        <v>20</v>
      </c>
      <c r="H2002" s="15" t="s">
        <v>682</v>
      </c>
      <c r="I2002" s="14" t="s">
        <v>1588</v>
      </c>
      <c r="J2002" s="132"/>
      <c r="K2002" s="150" t="s">
        <v>4115</v>
      </c>
    </row>
    <row r="2003" spans="1:11" ht="28.9" customHeight="1" thickTop="1" thickBot="1" x14ac:dyDescent="0.75">
      <c r="A2003" s="10">
        <v>2001</v>
      </c>
      <c r="B2003" s="59" t="str">
        <f>HYPERLINK("https://search.naver.com/search.naver?query=아웃랜더 시즌6", "아웃랜더 시즌6")</f>
        <v>아웃랜더 시즌6</v>
      </c>
      <c r="C2003" s="16"/>
      <c r="D2003" s="17" t="s">
        <v>4111</v>
      </c>
      <c r="E2003" s="14" t="s">
        <v>29</v>
      </c>
      <c r="F2003" s="14">
        <v>2022</v>
      </c>
      <c r="G2003" s="14" t="s">
        <v>20</v>
      </c>
      <c r="H2003" s="15" t="s">
        <v>682</v>
      </c>
      <c r="I2003" s="14" t="s">
        <v>71</v>
      </c>
      <c r="J2003" s="132"/>
      <c r="K2003" s="150" t="s">
        <v>4116</v>
      </c>
    </row>
    <row r="2004" spans="1:11" ht="28.9" customHeight="1" thickTop="1" thickBot="1" x14ac:dyDescent="0.75">
      <c r="A2004" s="10">
        <v>2002</v>
      </c>
      <c r="B2004" s="59" t="str">
        <f>HYPERLINK("https://search.naver.com/search.naver?query=아웃랜더 시즌7", "아웃랜더 시즌7")</f>
        <v>아웃랜더 시즌7</v>
      </c>
      <c r="C2004" s="16"/>
      <c r="D2004" s="17" t="s">
        <v>4111</v>
      </c>
      <c r="E2004" s="14" t="s">
        <v>29</v>
      </c>
      <c r="F2004" s="14">
        <v>2024</v>
      </c>
      <c r="G2004" s="14" t="s">
        <v>20</v>
      </c>
      <c r="H2004" s="15" t="s">
        <v>682</v>
      </c>
      <c r="I2004" s="14" t="s">
        <v>825</v>
      </c>
      <c r="J2004" s="132"/>
      <c r="K2004" s="150" t="s">
        <v>4117</v>
      </c>
    </row>
    <row r="2005" spans="1:11" ht="28.9" customHeight="1" thickTop="1" thickBot="1" x14ac:dyDescent="0.75">
      <c r="A2005" s="6">
        <v>2003</v>
      </c>
      <c r="B2005" s="58" t="str">
        <f>HYPERLINK("https://search.naver.com/search.naver?query=아웃레이지 영화", "아웃레이지")</f>
        <v>아웃레이지</v>
      </c>
      <c r="C2005" s="12">
        <v>7.92</v>
      </c>
      <c r="D2005" s="13" t="s">
        <v>4118</v>
      </c>
      <c r="E2005" s="10" t="s">
        <v>19</v>
      </c>
      <c r="F2005" s="10">
        <v>2010</v>
      </c>
      <c r="G2005" s="10" t="s">
        <v>14</v>
      </c>
      <c r="H2005" s="11" t="s">
        <v>428</v>
      </c>
      <c r="I2005" s="10" t="s">
        <v>187</v>
      </c>
      <c r="J2005" s="131"/>
      <c r="K2005" s="149" t="s">
        <v>4119</v>
      </c>
    </row>
    <row r="2006" spans="1:11" ht="28.9" customHeight="1" thickTop="1" thickBot="1" x14ac:dyDescent="0.75">
      <c r="A2006" s="10">
        <v>2004</v>
      </c>
      <c r="B2006" s="57" t="str">
        <f>HYPERLINK("https://search.naver.com/search.naver?query=아웃레이지 파이널 영화", "아웃레이지 파이널")</f>
        <v>아웃레이지 파이널</v>
      </c>
      <c r="C2006" s="8">
        <v>6.4</v>
      </c>
      <c r="D2006" s="9" t="s">
        <v>4120</v>
      </c>
      <c r="E2006" s="6" t="s">
        <v>19</v>
      </c>
      <c r="F2006" s="6">
        <v>2017</v>
      </c>
      <c r="G2006" s="6" t="s">
        <v>14</v>
      </c>
      <c r="H2006" s="7" t="s">
        <v>428</v>
      </c>
      <c r="I2006" s="6" t="s">
        <v>242</v>
      </c>
      <c r="J2006" s="130"/>
      <c r="K2006" s="148" t="s">
        <v>4121</v>
      </c>
    </row>
    <row r="2007" spans="1:11" ht="28.9" customHeight="1" thickTop="1" thickBot="1" x14ac:dyDescent="0.75">
      <c r="A2007" s="10">
        <v>2005</v>
      </c>
      <c r="B2007" s="58" t="str">
        <f>HYPERLINK("https://search.naver.com/search.naver?query=아웃로 킹 영화", "아웃로 킹")</f>
        <v>아웃로 킹</v>
      </c>
      <c r="C2007" s="12">
        <v>8.4700000000000006</v>
      </c>
      <c r="D2007" s="13" t="s">
        <v>4122</v>
      </c>
      <c r="E2007" s="10" t="s">
        <v>29</v>
      </c>
      <c r="F2007" s="10">
        <v>2018</v>
      </c>
      <c r="G2007" s="10" t="s">
        <v>14</v>
      </c>
      <c r="H2007" s="11" t="s">
        <v>124</v>
      </c>
      <c r="I2007" s="10" t="s">
        <v>269</v>
      </c>
      <c r="J2007" s="131"/>
      <c r="K2007" s="149" t="s">
        <v>4123</v>
      </c>
    </row>
    <row r="2008" spans="1:11" ht="28.9" customHeight="1" thickTop="1" thickBot="1" x14ac:dyDescent="0.75">
      <c r="A2008" s="6">
        <v>2006</v>
      </c>
      <c r="B2008" s="57" t="str">
        <f>HYPERLINK("https://search.naver.com/search.naver?query=아웃브레이크 영화", "아웃브레이크")</f>
        <v>아웃브레이크</v>
      </c>
      <c r="C2008" s="8">
        <v>6.4</v>
      </c>
      <c r="D2008" s="9" t="s">
        <v>4124</v>
      </c>
      <c r="E2008" s="6" t="s">
        <v>24</v>
      </c>
      <c r="F2008" s="6">
        <v>1995</v>
      </c>
      <c r="G2008" s="6" t="s">
        <v>14</v>
      </c>
      <c r="H2008" s="7" t="s">
        <v>124</v>
      </c>
      <c r="I2008" s="6" t="s">
        <v>210</v>
      </c>
      <c r="J2008" s="130"/>
      <c r="K2008" s="148" t="s">
        <v>4125</v>
      </c>
    </row>
    <row r="2009" spans="1:11" ht="28.9" customHeight="1" thickTop="1" thickBot="1" x14ac:dyDescent="0.75">
      <c r="A2009" s="10">
        <v>2007</v>
      </c>
      <c r="B2009" s="58" t="str">
        <f>HYPERLINK("https://search.naver.com/search.naver?query=아웃사이더 영화", "아웃사이더")</f>
        <v>아웃사이더</v>
      </c>
      <c r="C2009" s="12"/>
      <c r="D2009" s="13" t="s">
        <v>4126</v>
      </c>
      <c r="E2009" s="10" t="s">
        <v>24</v>
      </c>
      <c r="F2009" s="10">
        <v>2018</v>
      </c>
      <c r="G2009" s="10" t="s">
        <v>14</v>
      </c>
      <c r="H2009" s="11" t="s">
        <v>428</v>
      </c>
      <c r="I2009" s="10" t="s">
        <v>116</v>
      </c>
      <c r="J2009" s="131"/>
      <c r="K2009" s="149" t="s">
        <v>4127</v>
      </c>
    </row>
    <row r="2010" spans="1:11" ht="28.9" customHeight="1" thickTop="1" thickBot="1" x14ac:dyDescent="0.75">
      <c r="A2010" s="10">
        <v>2008</v>
      </c>
      <c r="B2010" s="57" t="str">
        <f>HYPERLINK("https://search.naver.com/search.naver?query=아웃사이드 더 와이어 영화", "아웃사이드 더 와이어")</f>
        <v>아웃사이드 더 와이어</v>
      </c>
      <c r="C2010" s="8">
        <v>7.07</v>
      </c>
      <c r="D2010" s="9" t="s">
        <v>4128</v>
      </c>
      <c r="E2010" s="6" t="s">
        <v>24</v>
      </c>
      <c r="F2010" s="6">
        <v>2021</v>
      </c>
      <c r="G2010" s="6" t="s">
        <v>14</v>
      </c>
      <c r="H2010" s="7" t="s">
        <v>124</v>
      </c>
      <c r="I2010" s="6" t="s">
        <v>305</v>
      </c>
      <c r="J2010" s="130"/>
      <c r="K2010" s="148" t="s">
        <v>4129</v>
      </c>
    </row>
    <row r="2011" spans="1:11" ht="28.9" customHeight="1" thickTop="1" thickBot="1" x14ac:dyDescent="0.75">
      <c r="A2011" s="6">
        <v>2009</v>
      </c>
      <c r="B2011" s="58" t="str">
        <f>HYPERLINK("https://search.naver.com/search.naver?query=아웃오브타임 영화", "아웃오브타임")</f>
        <v>아웃오브타임</v>
      </c>
      <c r="C2011" s="12">
        <v>8.01</v>
      </c>
      <c r="D2011" s="13" t="s">
        <v>4130</v>
      </c>
      <c r="E2011" s="10" t="s">
        <v>24</v>
      </c>
      <c r="F2011" s="10">
        <v>2003</v>
      </c>
      <c r="G2011" s="10" t="s">
        <v>14</v>
      </c>
      <c r="H2011" s="11" t="s">
        <v>428</v>
      </c>
      <c r="I2011" s="10" t="s">
        <v>175</v>
      </c>
      <c r="J2011" s="131"/>
      <c r="K2011" s="149" t="s">
        <v>4131</v>
      </c>
    </row>
    <row r="2012" spans="1:11" ht="28.9" customHeight="1" thickTop="1" thickBot="1" x14ac:dyDescent="0.75">
      <c r="A2012" s="10">
        <v>2010</v>
      </c>
      <c r="B2012" s="59" t="str">
        <f>HYPERLINK("https://search.naver.com/search.naver?query=아워 걸 시즌2", "아워 걸 시즌2")</f>
        <v>아워 걸 시즌2</v>
      </c>
      <c r="C2012" s="16"/>
      <c r="D2012" s="17" t="s">
        <v>4132</v>
      </c>
      <c r="E2012" s="14" t="s">
        <v>29</v>
      </c>
      <c r="F2012" s="14">
        <v>2016</v>
      </c>
      <c r="G2012" s="14" t="s">
        <v>20</v>
      </c>
      <c r="H2012" s="15" t="s">
        <v>20</v>
      </c>
      <c r="I2012" s="14" t="s">
        <v>1184</v>
      </c>
      <c r="J2012" s="132"/>
      <c r="K2012" s="150" t="s">
        <v>4133</v>
      </c>
    </row>
    <row r="2013" spans="1:11" ht="28.9" customHeight="1" thickTop="1" thickBot="1" x14ac:dyDescent="0.75">
      <c r="A2013" s="10">
        <v>2011</v>
      </c>
      <c r="B2013" s="58" t="str">
        <f>HYPERLINK("https://search.naver.com/search.naver?query=아워 이디엇 브라더 영화", "아워 이디엇 브라더")</f>
        <v>아워 이디엇 브라더</v>
      </c>
      <c r="C2013" s="12">
        <v>8.5299999999999994</v>
      </c>
      <c r="D2013" s="13" t="s">
        <v>4134</v>
      </c>
      <c r="E2013" s="10" t="s">
        <v>24</v>
      </c>
      <c r="F2013" s="10">
        <v>2011</v>
      </c>
      <c r="G2013" s="10" t="s">
        <v>14</v>
      </c>
      <c r="H2013" s="11" t="s">
        <v>91</v>
      </c>
      <c r="I2013" s="10" t="s">
        <v>156</v>
      </c>
      <c r="J2013" s="131"/>
      <c r="K2013" s="149" t="s">
        <v>4135</v>
      </c>
    </row>
    <row r="2014" spans="1:11" ht="28.9" customHeight="1" thickTop="1" thickBot="1" x14ac:dyDescent="0.75">
      <c r="A2014" s="6">
        <v>2012</v>
      </c>
      <c r="B2014" s="57" t="str">
        <f>HYPERLINK("https://search.naver.com/search.naver?query=아워즈 영화", "아워즈")</f>
        <v>아워즈</v>
      </c>
      <c r="C2014" s="8">
        <v>7.41</v>
      </c>
      <c r="D2014" s="9" t="s">
        <v>4136</v>
      </c>
      <c r="E2014" s="6" t="s">
        <v>24</v>
      </c>
      <c r="F2014" s="6">
        <v>2002</v>
      </c>
      <c r="G2014" s="6" t="s">
        <v>14</v>
      </c>
      <c r="H2014" s="7" t="s">
        <v>20</v>
      </c>
      <c r="I2014" s="6" t="s">
        <v>305</v>
      </c>
      <c r="J2014" s="130"/>
      <c r="K2014" s="148" t="s">
        <v>4137</v>
      </c>
    </row>
    <row r="2015" spans="1:11" ht="28.9" customHeight="1" thickTop="1" thickBot="1" x14ac:dyDescent="0.75">
      <c r="A2015" s="10">
        <v>2013</v>
      </c>
      <c r="B2015" s="58" t="str">
        <f>HYPERLINK("https://search.naver.com/search.naver?query=아이2021", "아이")</f>
        <v>아이</v>
      </c>
      <c r="C2015" s="12">
        <v>9.2200000000000006</v>
      </c>
      <c r="D2015" s="13" t="s">
        <v>4138</v>
      </c>
      <c r="E2015" s="10" t="s">
        <v>13</v>
      </c>
      <c r="F2015" s="10">
        <v>2021</v>
      </c>
      <c r="G2015" s="10" t="s">
        <v>14</v>
      </c>
      <c r="H2015" s="11" t="s">
        <v>20</v>
      </c>
      <c r="I2015" s="10" t="s">
        <v>150</v>
      </c>
      <c r="J2015" s="131"/>
      <c r="K2015" s="149" t="s">
        <v>4139</v>
      </c>
    </row>
    <row r="2016" spans="1:11" ht="28.9" customHeight="1" thickTop="1" thickBot="1" x14ac:dyDescent="0.75">
      <c r="A2016" s="10">
        <v>2014</v>
      </c>
      <c r="B2016" s="59" t="str">
        <f>HYPERLINK("https://search.naver.com/search.naver?query=아이 러브 유", "아이 러브 유")</f>
        <v>아이 러브 유</v>
      </c>
      <c r="C2016" s="16"/>
      <c r="D2016" s="17" t="s">
        <v>4140</v>
      </c>
      <c r="E2016" s="14" t="s">
        <v>19</v>
      </c>
      <c r="F2016" s="14">
        <v>2024</v>
      </c>
      <c r="G2016" s="14" t="s">
        <v>20</v>
      </c>
      <c r="H2016" s="15" t="s">
        <v>149</v>
      </c>
      <c r="I2016" s="14" t="s">
        <v>64</v>
      </c>
      <c r="J2016" s="132"/>
      <c r="K2016" s="150" t="s">
        <v>4141</v>
      </c>
    </row>
    <row r="2017" spans="1:11" ht="28.9" customHeight="1" thickTop="1" thickBot="1" x14ac:dyDescent="0.75">
      <c r="A2017" s="6">
        <v>2015</v>
      </c>
      <c r="B2017" s="58" t="str">
        <f>HYPERLINK("https://search.naver.com/search.naver?query=아이 소우 더 라이트 영화", "아이 소우 더 라이트")</f>
        <v>아이 소우 더 라이트</v>
      </c>
      <c r="C2017" s="12">
        <v>6.4</v>
      </c>
      <c r="D2017" s="13" t="s">
        <v>4142</v>
      </c>
      <c r="E2017" s="10" t="s">
        <v>24</v>
      </c>
      <c r="F2017" s="10">
        <v>2016</v>
      </c>
      <c r="G2017" s="10" t="s">
        <v>14</v>
      </c>
      <c r="H2017" s="11" t="s">
        <v>20</v>
      </c>
      <c r="I2017" s="10" t="s">
        <v>76</v>
      </c>
      <c r="J2017" s="131"/>
      <c r="K2017" s="149" t="s">
        <v>4143</v>
      </c>
    </row>
    <row r="2018" spans="1:11" ht="28.9" customHeight="1" thickTop="1" thickBot="1" x14ac:dyDescent="0.75">
      <c r="A2018" s="10">
        <v>2016</v>
      </c>
      <c r="B2018" s="57" t="str">
        <f>HYPERLINK("https://search.naver.com/search.naver?query=아이 씨 유 영화", "아이 씨 유")</f>
        <v>아이 씨 유</v>
      </c>
      <c r="C2018" s="8">
        <v>7.5</v>
      </c>
      <c r="D2018" s="9" t="s">
        <v>4144</v>
      </c>
      <c r="E2018" s="6" t="s">
        <v>24</v>
      </c>
      <c r="F2018" s="6">
        <v>2019</v>
      </c>
      <c r="G2018" s="6" t="s">
        <v>14</v>
      </c>
      <c r="H2018" s="7" t="s">
        <v>54</v>
      </c>
      <c r="I2018" s="6" t="s">
        <v>16</v>
      </c>
      <c r="J2018" s="130"/>
      <c r="K2018" s="148" t="s">
        <v>1492</v>
      </c>
    </row>
    <row r="2019" spans="1:11" ht="28.9" customHeight="1" thickTop="1" thickBot="1" x14ac:dyDescent="0.75">
      <c r="A2019" s="10">
        <v>2017</v>
      </c>
      <c r="B2019" s="58" t="str">
        <f>HYPERLINK("https://search.naver.com/search.naver?query=아이 엠 러브 영화", "아이 엠 러브")</f>
        <v>아이 엠 러브</v>
      </c>
      <c r="C2019" s="12">
        <v>8.01</v>
      </c>
      <c r="D2019" s="13" t="s">
        <v>4145</v>
      </c>
      <c r="E2019" s="10" t="s">
        <v>2001</v>
      </c>
      <c r="F2019" s="10">
        <v>2009</v>
      </c>
      <c r="G2019" s="10" t="s">
        <v>14</v>
      </c>
      <c r="H2019" s="11" t="s">
        <v>20</v>
      </c>
      <c r="I2019" s="10" t="s">
        <v>116</v>
      </c>
      <c r="J2019" s="131"/>
      <c r="K2019" s="149" t="s">
        <v>4146</v>
      </c>
    </row>
    <row r="2020" spans="1:11" ht="28.9" customHeight="1" thickTop="1" thickBot="1" x14ac:dyDescent="0.75">
      <c r="A2020" s="6">
        <v>2018</v>
      </c>
      <c r="B2020" s="57" t="str">
        <f>HYPERLINK("https://search.naver.com/search.naver?query=아이 엠 마더 영화", "아이 엠 마더")</f>
        <v>아이 엠 마더</v>
      </c>
      <c r="C2020" s="8">
        <v>8.6199999999999992</v>
      </c>
      <c r="D2020" s="9" t="s">
        <v>4147</v>
      </c>
      <c r="E2020" s="6" t="s">
        <v>45</v>
      </c>
      <c r="F2020" s="6">
        <v>2019</v>
      </c>
      <c r="G2020" s="6" t="s">
        <v>14</v>
      </c>
      <c r="H2020" s="7" t="s">
        <v>877</v>
      </c>
      <c r="I2020" s="6" t="s">
        <v>98</v>
      </c>
      <c r="J2020" s="130"/>
      <c r="K2020" s="148" t="s">
        <v>4148</v>
      </c>
    </row>
    <row r="2021" spans="1:11" ht="28.9" customHeight="1" thickTop="1" thickBot="1" x14ac:dyDescent="0.75">
      <c r="A2021" s="10">
        <v>2019</v>
      </c>
      <c r="B2021" s="58" t="str">
        <f>HYPERLINK("https://search.naver.com/search.naver?query=아이 오리진스 영화", "아이 오리진스")</f>
        <v>아이 오리진스</v>
      </c>
      <c r="C2021" s="12"/>
      <c r="D2021" s="13" t="s">
        <v>4149</v>
      </c>
      <c r="E2021" s="10" t="s">
        <v>24</v>
      </c>
      <c r="F2021" s="10">
        <v>2014</v>
      </c>
      <c r="G2021" s="10" t="s">
        <v>14</v>
      </c>
      <c r="H2021" s="11" t="s">
        <v>877</v>
      </c>
      <c r="I2021" s="10" t="s">
        <v>443</v>
      </c>
      <c r="J2021" s="131"/>
      <c r="K2021" s="149" t="s">
        <v>4150</v>
      </c>
    </row>
    <row r="2022" spans="1:11" ht="28.9" customHeight="1" thickTop="1" thickBot="1" x14ac:dyDescent="0.75">
      <c r="A2022" s="10">
        <v>2020</v>
      </c>
      <c r="B2022" s="57" t="str">
        <f>HYPERLINK("https://search.naver.com/search.naver?query=아이 인 더 스카이 영화", "아이 인 더 스카이")</f>
        <v>아이 인 더 스카이</v>
      </c>
      <c r="C2022" s="8">
        <v>8.5299999999999994</v>
      </c>
      <c r="D2022" s="9" t="s">
        <v>4151</v>
      </c>
      <c r="E2022" s="6" t="s">
        <v>29</v>
      </c>
      <c r="F2022" s="6">
        <v>2015</v>
      </c>
      <c r="G2022" s="6" t="s">
        <v>14</v>
      </c>
      <c r="H2022" s="7" t="s">
        <v>54</v>
      </c>
      <c r="I2022" s="6" t="s">
        <v>133</v>
      </c>
      <c r="J2022" s="130"/>
      <c r="K2022" s="148" t="s">
        <v>4152</v>
      </c>
    </row>
    <row r="2023" spans="1:11" ht="28.9" customHeight="1" thickTop="1" thickBot="1" x14ac:dyDescent="0.75">
      <c r="A2023" s="6">
        <v>2021</v>
      </c>
      <c r="B2023" s="58" t="str">
        <f>HYPERLINK("https://search.naver.com/search.naver?query=아이 캔 스피크 영화", "아이 캔 스피크")</f>
        <v>아이 캔 스피크</v>
      </c>
      <c r="C2023" s="12">
        <v>9.24</v>
      </c>
      <c r="D2023" s="13" t="s">
        <v>4153</v>
      </c>
      <c r="E2023" s="10" t="s">
        <v>13</v>
      </c>
      <c r="F2023" s="10">
        <v>2017</v>
      </c>
      <c r="G2023" s="10" t="s">
        <v>14</v>
      </c>
      <c r="H2023" s="11" t="s">
        <v>20</v>
      </c>
      <c r="I2023" s="10" t="s">
        <v>68</v>
      </c>
      <c r="J2023" s="131"/>
      <c r="K2023" s="149" t="s">
        <v>4154</v>
      </c>
    </row>
    <row r="2024" spans="1:11" ht="28.9" customHeight="1" thickTop="1" thickBot="1" x14ac:dyDescent="0.75">
      <c r="A2024" s="10">
        <v>2022</v>
      </c>
      <c r="B2024" s="57" t="str">
        <f>HYPERLINK("https://search.naver.com/search.naver?query=아이 캔 온리 이매진 영화", "아이 캔 온리 이매진")</f>
        <v>아이 캔 온리 이매진</v>
      </c>
      <c r="C2024" s="8">
        <v>9.08</v>
      </c>
      <c r="D2024" s="9" t="s">
        <v>4155</v>
      </c>
      <c r="E2024" s="6" t="s">
        <v>24</v>
      </c>
      <c r="F2024" s="6">
        <v>2018</v>
      </c>
      <c r="G2024" s="6" t="s">
        <v>14</v>
      </c>
      <c r="H2024" s="7" t="s">
        <v>20</v>
      </c>
      <c r="I2024" s="6" t="s">
        <v>129</v>
      </c>
      <c r="J2024" s="130"/>
      <c r="K2024" s="148" t="s">
        <v>4156</v>
      </c>
    </row>
    <row r="2025" spans="1:11" ht="28.9" customHeight="1" thickTop="1" thickBot="1" x14ac:dyDescent="0.75">
      <c r="A2025" s="10">
        <v>2023</v>
      </c>
      <c r="B2025" s="58" t="str">
        <f>HYPERLINK("https://search.naver.com/search.naver?query=아이 필 프리티 영화", "아이 필 프리티")</f>
        <v>아이 필 프리티</v>
      </c>
      <c r="C2025" s="12">
        <v>9.0299999999999994</v>
      </c>
      <c r="D2025" s="13" t="s">
        <v>4157</v>
      </c>
      <c r="E2025" s="10" t="s">
        <v>24</v>
      </c>
      <c r="F2025" s="10">
        <v>2018</v>
      </c>
      <c r="G2025" s="10" t="s">
        <v>14</v>
      </c>
      <c r="H2025" s="11" t="s">
        <v>91</v>
      </c>
      <c r="I2025" s="10" t="s">
        <v>129</v>
      </c>
      <c r="J2025" s="131"/>
      <c r="K2025" s="149" t="s">
        <v>4158</v>
      </c>
    </row>
    <row r="2026" spans="1:11" ht="28.9" customHeight="1" thickTop="1" thickBot="1" x14ac:dyDescent="0.75">
      <c r="A2026" s="6">
        <v>2024</v>
      </c>
      <c r="B2026" s="57" t="str">
        <f>HYPERLINK("https://search.naver.com/search.naver?query=아이, 토냐 영화", "아이, 토냐")</f>
        <v>아이, 토냐</v>
      </c>
      <c r="C2026" s="8">
        <v>8.73</v>
      </c>
      <c r="D2026" s="9" t="s">
        <v>4159</v>
      </c>
      <c r="E2026" s="6" t="s">
        <v>24</v>
      </c>
      <c r="F2026" s="6">
        <v>2017</v>
      </c>
      <c r="G2026" s="6" t="s">
        <v>14</v>
      </c>
      <c r="H2026" s="7" t="s">
        <v>20</v>
      </c>
      <c r="I2026" s="6" t="s">
        <v>68</v>
      </c>
      <c r="J2026" s="130"/>
      <c r="K2026" s="148" t="s">
        <v>4160</v>
      </c>
    </row>
    <row r="2027" spans="1:11" ht="28.9" customHeight="1" thickTop="1" thickBot="1" x14ac:dyDescent="0.75">
      <c r="A2027" s="10">
        <v>2025</v>
      </c>
      <c r="B2027" s="58" t="str">
        <f>HYPERLINK("https://search.naver.com/search.naver?query=아이덴티티 영화", "아이덴티티")</f>
        <v>아이덴티티</v>
      </c>
      <c r="C2027" s="12"/>
      <c r="D2027" s="13" t="s">
        <v>4161</v>
      </c>
      <c r="E2027" s="10" t="s">
        <v>24</v>
      </c>
      <c r="F2027" s="10">
        <v>2003</v>
      </c>
      <c r="G2027" s="10" t="s">
        <v>14</v>
      </c>
      <c r="H2027" s="11" t="s">
        <v>194</v>
      </c>
      <c r="I2027" s="10" t="s">
        <v>156</v>
      </c>
      <c r="J2027" s="131"/>
      <c r="K2027" s="149" t="s">
        <v>4162</v>
      </c>
    </row>
    <row r="2028" spans="1:11" ht="28.9" customHeight="1" thickTop="1" thickBot="1" x14ac:dyDescent="0.75">
      <c r="A2028" s="10">
        <v>2026</v>
      </c>
      <c r="B2028" s="57" t="str">
        <f>HYPERLINK("https://search.naver.com/search.naver?query=아이리시맨 영화", "아이리시맨")</f>
        <v>아이리시맨</v>
      </c>
      <c r="C2028" s="8">
        <v>8.83</v>
      </c>
      <c r="D2028" s="9" t="s">
        <v>4163</v>
      </c>
      <c r="E2028" s="6" t="s">
        <v>24</v>
      </c>
      <c r="F2028" s="6">
        <v>2019</v>
      </c>
      <c r="G2028" s="6" t="s">
        <v>14</v>
      </c>
      <c r="H2028" s="7" t="s">
        <v>428</v>
      </c>
      <c r="I2028" s="6" t="s">
        <v>4164</v>
      </c>
      <c r="J2028" s="130"/>
      <c r="K2028" s="148" t="s">
        <v>4165</v>
      </c>
    </row>
    <row r="2029" spans="1:11" ht="28.9" customHeight="1" thickTop="1" thickBot="1" x14ac:dyDescent="0.75">
      <c r="A2029" s="6">
        <v>2027</v>
      </c>
      <c r="B2029" s="58" t="str">
        <f>HYPERLINK("https://search.naver.com/search.naver?query=아이스 로드 영화", "아이스 로드")</f>
        <v>아이스 로드</v>
      </c>
      <c r="C2029" s="12">
        <v>7.91</v>
      </c>
      <c r="D2029" s="13" t="s">
        <v>4166</v>
      </c>
      <c r="E2029" s="10" t="s">
        <v>24</v>
      </c>
      <c r="F2029" s="10">
        <v>2021</v>
      </c>
      <c r="G2029" s="10" t="s">
        <v>14</v>
      </c>
      <c r="H2029" s="11" t="s">
        <v>124</v>
      </c>
      <c r="I2029" s="10" t="s">
        <v>38</v>
      </c>
      <c r="J2029" s="131"/>
      <c r="K2029" s="149" t="s">
        <v>4167</v>
      </c>
    </row>
    <row r="2030" spans="1:11" ht="28.9" customHeight="1" thickTop="1" thickBot="1" x14ac:dyDescent="0.75">
      <c r="A2030" s="10">
        <v>2028</v>
      </c>
      <c r="B2030" s="57" t="str">
        <f>HYPERLINK("https://search.naver.com/search.naver?query=아이스 로드 벤전스 영화", "아이스 로드-벤전스")</f>
        <v>아이스 로드-벤전스</v>
      </c>
      <c r="C2030" s="8">
        <v>6.4</v>
      </c>
      <c r="D2030" s="9" t="s">
        <v>4168</v>
      </c>
      <c r="E2030" s="6" t="s">
        <v>24</v>
      </c>
      <c r="F2030" s="6">
        <v>2025</v>
      </c>
      <c r="G2030" s="6" t="s">
        <v>14</v>
      </c>
      <c r="H2030" s="7" t="s">
        <v>124</v>
      </c>
      <c r="I2030" s="6" t="s">
        <v>179</v>
      </c>
      <c r="J2030" s="130"/>
      <c r="K2030" s="148" t="s">
        <v>4169</v>
      </c>
    </row>
    <row r="2031" spans="1:11" ht="28.9" customHeight="1" thickTop="1" thickBot="1" x14ac:dyDescent="0.75">
      <c r="A2031" s="10">
        <v>2029</v>
      </c>
      <c r="B2031" s="58" t="str">
        <f>HYPERLINK("https://search.naver.com/search.naver?query=아이엠히어 영화", "아이엠히어")</f>
        <v>아이엠히어</v>
      </c>
      <c r="C2031" s="12"/>
      <c r="D2031" s="13" t="s">
        <v>4170</v>
      </c>
      <c r="E2031" s="10" t="s">
        <v>310</v>
      </c>
      <c r="F2031" s="10">
        <v>2020</v>
      </c>
      <c r="G2031" s="10" t="s">
        <v>14</v>
      </c>
      <c r="H2031" s="11" t="s">
        <v>20</v>
      </c>
      <c r="I2031" s="10" t="s">
        <v>150</v>
      </c>
      <c r="J2031" s="131"/>
      <c r="K2031" s="149" t="s">
        <v>4171</v>
      </c>
    </row>
    <row r="2032" spans="1:11" ht="28.9" customHeight="1" thickTop="1" thickBot="1" x14ac:dyDescent="0.75">
      <c r="A2032" s="6">
        <v>2030</v>
      </c>
      <c r="B2032" s="57" t="str">
        <f>HYPERLINK("https://search.naver.com/search.naver?query=아이즈 와이드 셧 영화", "아이즈 와이드 셧")</f>
        <v>아이즈 와이드 셧</v>
      </c>
      <c r="C2032" s="8">
        <v>8.1</v>
      </c>
      <c r="D2032" s="9" t="s">
        <v>4172</v>
      </c>
      <c r="E2032" s="6" t="s">
        <v>24</v>
      </c>
      <c r="F2032" s="6">
        <v>1999</v>
      </c>
      <c r="G2032" s="6" t="s">
        <v>14</v>
      </c>
      <c r="H2032" s="7" t="s">
        <v>20</v>
      </c>
      <c r="I2032" s="6" t="s">
        <v>4173</v>
      </c>
      <c r="J2032" s="130"/>
      <c r="K2032" s="148" t="s">
        <v>4174</v>
      </c>
    </row>
    <row r="2033" spans="1:11" ht="28.9" customHeight="1" thickTop="1" thickBot="1" x14ac:dyDescent="0.75">
      <c r="A2033" s="10">
        <v>2031</v>
      </c>
      <c r="B2033" s="58" t="str">
        <f>HYPERLINK("https://search.naver.com/search.naver?query=아일라 영화", "아일라")</f>
        <v>아일라</v>
      </c>
      <c r="C2033" s="12">
        <v>9.1300000000000008</v>
      </c>
      <c r="D2033" s="13" t="s">
        <v>4175</v>
      </c>
      <c r="E2033" s="10" t="s">
        <v>2542</v>
      </c>
      <c r="F2033" s="10">
        <v>2017</v>
      </c>
      <c r="G2033" s="10" t="s">
        <v>14</v>
      </c>
      <c r="H2033" s="11" t="s">
        <v>20</v>
      </c>
      <c r="I2033" s="10" t="s">
        <v>316</v>
      </c>
      <c r="J2033" s="131"/>
      <c r="K2033" s="149" t="s">
        <v>4176</v>
      </c>
    </row>
    <row r="2034" spans="1:11" ht="28.9" customHeight="1" thickTop="1" thickBot="1" x14ac:dyDescent="0.75">
      <c r="A2034" s="10">
        <v>2032</v>
      </c>
      <c r="B2034" s="57" t="str">
        <f>HYPERLINK("https://search.naver.com/search.naver?query=아임 유어 우먼 영화", "아임 유어 우먼")</f>
        <v>아임 유어 우먼</v>
      </c>
      <c r="C2034" s="8">
        <v>6.4</v>
      </c>
      <c r="D2034" s="9" t="s">
        <v>4177</v>
      </c>
      <c r="E2034" s="6" t="s">
        <v>24</v>
      </c>
      <c r="F2034" s="6">
        <v>2020</v>
      </c>
      <c r="G2034" s="6" t="s">
        <v>14</v>
      </c>
      <c r="H2034" s="7" t="s">
        <v>428</v>
      </c>
      <c r="I2034" s="6" t="s">
        <v>116</v>
      </c>
      <c r="J2034" s="130"/>
      <c r="K2034" s="148" t="s">
        <v>4178</v>
      </c>
    </row>
    <row r="2035" spans="1:11" ht="28.9" customHeight="1" thickTop="1" thickBot="1" x14ac:dyDescent="0.75">
      <c r="A2035" s="6">
        <v>2033</v>
      </c>
      <c r="B2035" s="58" t="str">
        <f>HYPERLINK("https://search.naver.com/search.naver?query=아주 긴 변명 영화", "아주 긴 변명")</f>
        <v>아주 긴 변명</v>
      </c>
      <c r="C2035" s="12">
        <v>8.66</v>
      </c>
      <c r="D2035" s="13" t="s">
        <v>4179</v>
      </c>
      <c r="E2035" s="10" t="s">
        <v>19</v>
      </c>
      <c r="F2035" s="10">
        <v>2016</v>
      </c>
      <c r="G2035" s="10" t="s">
        <v>14</v>
      </c>
      <c r="H2035" s="11" t="s">
        <v>20</v>
      </c>
      <c r="I2035" s="10" t="s">
        <v>183</v>
      </c>
      <c r="J2035" s="131"/>
      <c r="K2035" s="149" t="s">
        <v>4180</v>
      </c>
    </row>
    <row r="2036" spans="1:11" ht="28.9" customHeight="1" thickTop="1" thickBot="1" x14ac:dyDescent="0.75">
      <c r="A2036" s="10">
        <v>2034</v>
      </c>
      <c r="B2036" s="57" t="str">
        <f>HYPERLINK("https://search.naver.com/search.naver?query=아직 끝나지 않았다 영화", "아직 끝나지 않았다")</f>
        <v>아직 끝나지 않았다</v>
      </c>
      <c r="C2036" s="8">
        <v>7.94</v>
      </c>
      <c r="D2036" s="9" t="s">
        <v>4181</v>
      </c>
      <c r="E2036" s="6" t="s">
        <v>310</v>
      </c>
      <c r="F2036" s="6">
        <v>2018</v>
      </c>
      <c r="G2036" s="6" t="s">
        <v>14</v>
      </c>
      <c r="H2036" s="7" t="s">
        <v>20</v>
      </c>
      <c r="I2036" s="6" t="s">
        <v>125</v>
      </c>
      <c r="J2036" s="130"/>
      <c r="K2036" s="148" t="s">
        <v>4182</v>
      </c>
    </row>
    <row r="2037" spans="1:11" ht="28.9" customHeight="1" thickTop="1" thickBot="1" x14ac:dyDescent="0.75">
      <c r="A2037" s="10">
        <v>2035</v>
      </c>
      <c r="B2037" s="58" t="str">
        <f>HYPERLINK("https://search.naver.com/search.naver?query=아쿠아맨 영화", "아쿠아맨")</f>
        <v>아쿠아맨</v>
      </c>
      <c r="C2037" s="12">
        <v>7.45</v>
      </c>
      <c r="D2037" s="13" t="s">
        <v>4183</v>
      </c>
      <c r="E2037" s="10" t="s">
        <v>24</v>
      </c>
      <c r="F2037" s="10">
        <v>2018</v>
      </c>
      <c r="G2037" s="10" t="s">
        <v>14</v>
      </c>
      <c r="H2037" s="11" t="s">
        <v>124</v>
      </c>
      <c r="I2037" s="10" t="s">
        <v>30</v>
      </c>
      <c r="J2037" s="131"/>
      <c r="K2037" s="149" t="s">
        <v>4184</v>
      </c>
    </row>
    <row r="2038" spans="1:11" ht="28.9" customHeight="1" thickTop="1" thickBot="1" x14ac:dyDescent="0.75">
      <c r="A2038" s="6">
        <v>2036</v>
      </c>
      <c r="B2038" s="57" t="str">
        <f>HYPERLINK("https://search.naver.com/search.naver?query=아킬레스와 거북이 영화", "아킬레스와 거북이")</f>
        <v>아킬레스와 거북이</v>
      </c>
      <c r="C2038" s="8">
        <v>6.4</v>
      </c>
      <c r="D2038" s="9" t="s">
        <v>4185</v>
      </c>
      <c r="E2038" s="6" t="s">
        <v>19</v>
      </c>
      <c r="F2038" s="6">
        <v>2008</v>
      </c>
      <c r="G2038" s="6" t="s">
        <v>14</v>
      </c>
      <c r="H2038" s="7" t="s">
        <v>91</v>
      </c>
      <c r="I2038" s="6" t="s">
        <v>68</v>
      </c>
      <c r="J2038" s="130"/>
      <c r="K2038" s="148" t="s">
        <v>4186</v>
      </c>
    </row>
    <row r="2039" spans="1:11" ht="28.9" customHeight="1" thickTop="1" thickBot="1" x14ac:dyDescent="0.75">
      <c r="A2039" s="10">
        <v>2037</v>
      </c>
      <c r="B2039" s="58" t="str">
        <f>HYPERLINK("https://search.naver.com/search.naver?query=아트 오브 레이싱 인 더 레인 영화", "아트 오브 레이싱 인 더 레인")</f>
        <v>아트 오브 레이싱 인 더 레인</v>
      </c>
      <c r="C2039" s="12"/>
      <c r="D2039" s="13" t="s">
        <v>4187</v>
      </c>
      <c r="E2039" s="10" t="s">
        <v>24</v>
      </c>
      <c r="F2039" s="10">
        <v>2019</v>
      </c>
      <c r="G2039" s="10" t="s">
        <v>14</v>
      </c>
      <c r="H2039" s="11" t="s">
        <v>20</v>
      </c>
      <c r="I2039" s="10" t="s">
        <v>187</v>
      </c>
      <c r="J2039" s="131"/>
      <c r="K2039" s="149" t="s">
        <v>4188</v>
      </c>
    </row>
    <row r="2040" spans="1:11" ht="28.9" customHeight="1" thickTop="1" thickBot="1" x14ac:dyDescent="0.75">
      <c r="A2040" s="10">
        <v>2038</v>
      </c>
      <c r="B2040" s="57" t="str">
        <f>HYPERLINK("https://search.naver.com/search.naver?query=아티스트 영화", "아티스트")</f>
        <v>아티스트</v>
      </c>
      <c r="C2040" s="8">
        <v>8.33</v>
      </c>
      <c r="D2040" s="9" t="s">
        <v>4189</v>
      </c>
      <c r="E2040" s="6" t="s">
        <v>310</v>
      </c>
      <c r="F2040" s="6">
        <v>2011</v>
      </c>
      <c r="G2040" s="6" t="s">
        <v>14</v>
      </c>
      <c r="H2040" s="7" t="s">
        <v>91</v>
      </c>
      <c r="I2040" s="6" t="s">
        <v>179</v>
      </c>
      <c r="J2040" s="130"/>
      <c r="K2040" s="148" t="s">
        <v>4190</v>
      </c>
    </row>
    <row r="2041" spans="1:11" ht="28.9" customHeight="1" thickTop="1" thickBot="1" x14ac:dyDescent="0.75">
      <c r="A2041" s="6">
        <v>2039</v>
      </c>
      <c r="B2041" s="58" t="str">
        <f>HYPERLINK("https://search.naver.com/search.naver?query=아틱 영화", "아틱")</f>
        <v>아틱</v>
      </c>
      <c r="C2041" s="12">
        <v>8.91</v>
      </c>
      <c r="D2041" s="13" t="s">
        <v>4191</v>
      </c>
      <c r="E2041" s="10" t="s">
        <v>4192</v>
      </c>
      <c r="F2041" s="10">
        <v>2018</v>
      </c>
      <c r="G2041" s="10" t="s">
        <v>14</v>
      </c>
      <c r="H2041" s="11" t="s">
        <v>20</v>
      </c>
      <c r="I2041" s="10" t="s">
        <v>16</v>
      </c>
      <c r="J2041" s="131"/>
      <c r="K2041" s="149" t="s">
        <v>4193</v>
      </c>
    </row>
    <row r="2042" spans="1:11" ht="28.9" customHeight="1" thickTop="1" thickBot="1" x14ac:dyDescent="0.75">
      <c r="A2042" s="10">
        <v>2040</v>
      </c>
      <c r="B2042" s="57" t="str">
        <f>HYPERLINK("https://search.naver.com/search.naver?query=악녀 영화", "악녀")</f>
        <v>악녀</v>
      </c>
      <c r="C2042" s="8">
        <v>7.82</v>
      </c>
      <c r="D2042" s="9" t="s">
        <v>4194</v>
      </c>
      <c r="E2042" s="6" t="s">
        <v>13</v>
      </c>
      <c r="F2042" s="6">
        <v>2017</v>
      </c>
      <c r="G2042" s="6" t="s">
        <v>14</v>
      </c>
      <c r="H2042" s="7" t="s">
        <v>124</v>
      </c>
      <c r="I2042" s="6" t="s">
        <v>76</v>
      </c>
      <c r="J2042" s="130"/>
      <c r="K2042" s="148" t="s">
        <v>4195</v>
      </c>
    </row>
    <row r="2043" spans="1:11" ht="28.9" customHeight="1" thickTop="1" thickBot="1" x14ac:dyDescent="0.75">
      <c r="A2043" s="10">
        <v>2041</v>
      </c>
      <c r="B2043" s="58" t="str">
        <f>HYPERLINK("https://search.naver.com/search.naver?query=악마가 너의 죽음을 알기 전에 영화", "악마가 너의 죽음을 알기 전에")</f>
        <v>악마가 너의 죽음을 알기 전에</v>
      </c>
      <c r="C2043" s="12">
        <v>8</v>
      </c>
      <c r="D2043" s="13" t="s">
        <v>4196</v>
      </c>
      <c r="E2043" s="10" t="s">
        <v>24</v>
      </c>
      <c r="F2043" s="10">
        <v>2007</v>
      </c>
      <c r="G2043" s="10" t="s">
        <v>14</v>
      </c>
      <c r="H2043" s="11" t="s">
        <v>428</v>
      </c>
      <c r="I2043" s="10" t="s">
        <v>120</v>
      </c>
      <c r="J2043" s="131"/>
      <c r="K2043" s="149" t="s">
        <v>4197</v>
      </c>
    </row>
    <row r="2044" spans="1:11" ht="28.9" customHeight="1" thickTop="1" thickBot="1" x14ac:dyDescent="0.75">
      <c r="A2044" s="6">
        <v>2042</v>
      </c>
      <c r="B2044" s="57" t="str">
        <f>HYPERLINK("https://search.naver.com/search.naver?query=악마는 프라다를 입는다 영화", "악마는 프라다를 입는다")</f>
        <v>악마는 프라다를 입는다</v>
      </c>
      <c r="C2044" s="8">
        <v>4.32</v>
      </c>
      <c r="D2044" s="9" t="s">
        <v>4198</v>
      </c>
      <c r="E2044" s="6" t="s">
        <v>24</v>
      </c>
      <c r="F2044" s="6">
        <v>2006</v>
      </c>
      <c r="G2044" s="6" t="s">
        <v>14</v>
      </c>
      <c r="H2044" s="7" t="s">
        <v>91</v>
      </c>
      <c r="I2044" s="6" t="s">
        <v>187</v>
      </c>
      <c r="J2044" s="130"/>
      <c r="K2044" s="148" t="s">
        <v>4199</v>
      </c>
    </row>
    <row r="2045" spans="1:11" ht="28.9" customHeight="1" thickTop="1" thickBot="1" x14ac:dyDescent="0.75">
      <c r="A2045" s="10">
        <v>2043</v>
      </c>
      <c r="B2045" s="58" t="str">
        <f>HYPERLINK("https://search.naver.com/search.naver?query=악마를 보았다 영화", "악마를 보았다")</f>
        <v>악마를 보았다</v>
      </c>
      <c r="C2045" s="12">
        <v>8.07</v>
      </c>
      <c r="D2045" s="13" t="s">
        <v>4200</v>
      </c>
      <c r="E2045" s="10" t="s">
        <v>13</v>
      </c>
      <c r="F2045" s="10">
        <v>2010</v>
      </c>
      <c r="G2045" s="10" t="s">
        <v>14</v>
      </c>
      <c r="H2045" s="11" t="s">
        <v>54</v>
      </c>
      <c r="I2045" s="10" t="s">
        <v>759</v>
      </c>
      <c r="J2045" s="131"/>
      <c r="K2045" s="149" t="s">
        <v>4201</v>
      </c>
    </row>
    <row r="2046" spans="1:11" ht="28.9" customHeight="1" thickTop="1" thickBot="1" x14ac:dyDescent="0.75">
      <c r="A2046" s="10">
        <v>2044</v>
      </c>
      <c r="B2046" s="57" t="str">
        <f>HYPERLINK("https://search.naver.com/search.naver?query=악은 존재하지 않는다 영화", "악은 존재하지 않는다")</f>
        <v>악은 존재하지 않는다</v>
      </c>
      <c r="C2046" s="8">
        <v>7.94</v>
      </c>
      <c r="D2046" s="9" t="s">
        <v>4202</v>
      </c>
      <c r="E2046" s="6" t="s">
        <v>19</v>
      </c>
      <c r="F2046" s="6">
        <v>2023</v>
      </c>
      <c r="G2046" s="6" t="s">
        <v>14</v>
      </c>
      <c r="H2046" s="7" t="s">
        <v>20</v>
      </c>
      <c r="I2046" s="6" t="s">
        <v>443</v>
      </c>
      <c r="J2046" s="130"/>
      <c r="K2046" s="148" t="s">
        <v>4203</v>
      </c>
    </row>
    <row r="2047" spans="1:11" ht="28.9" customHeight="1" thickTop="1" thickBot="1" x14ac:dyDescent="0.75">
      <c r="A2047" s="6">
        <v>2045</v>
      </c>
      <c r="B2047" s="58" t="str">
        <f>HYPERLINK("https://search.naver.com/search.naver?query=악의 도시 영화", "악의 도시")</f>
        <v>악의 도시</v>
      </c>
      <c r="C2047" s="12">
        <v>6.81</v>
      </c>
      <c r="D2047" s="13" t="s">
        <v>4204</v>
      </c>
      <c r="E2047" s="10" t="s">
        <v>13</v>
      </c>
      <c r="F2047" s="10">
        <v>2015</v>
      </c>
      <c r="G2047" s="10" t="s">
        <v>14</v>
      </c>
      <c r="H2047" s="11" t="s">
        <v>428</v>
      </c>
      <c r="I2047" s="10" t="s">
        <v>150</v>
      </c>
      <c r="J2047" s="131"/>
      <c r="K2047" s="149" t="s">
        <v>4205</v>
      </c>
    </row>
    <row r="2048" spans="1:11" ht="28.9" customHeight="1" thickTop="1" thickBot="1" x14ac:dyDescent="0.75">
      <c r="A2048" s="10">
        <v>2046</v>
      </c>
      <c r="B2048" s="57" t="str">
        <f>HYPERLINK("https://search.naver.com/search.naver?query=악의 연대기 영화", "악의 연대기")</f>
        <v>악의 연대기</v>
      </c>
      <c r="C2048" s="8">
        <v>8.2200000000000006</v>
      </c>
      <c r="D2048" s="9" t="s">
        <v>4206</v>
      </c>
      <c r="E2048" s="6" t="s">
        <v>13</v>
      </c>
      <c r="F2048" s="6">
        <v>2015</v>
      </c>
      <c r="G2048" s="6" t="s">
        <v>14</v>
      </c>
      <c r="H2048" s="7" t="s">
        <v>54</v>
      </c>
      <c r="I2048" s="6" t="s">
        <v>133</v>
      </c>
      <c r="J2048" s="130"/>
      <c r="K2048" s="148" t="s">
        <v>4207</v>
      </c>
    </row>
    <row r="2049" spans="1:11" ht="28.9" customHeight="1" thickTop="1" thickBot="1" x14ac:dyDescent="0.75">
      <c r="A2049" s="10">
        <v>2047</v>
      </c>
      <c r="B2049" s="58" t="str">
        <f>HYPERLINK("https://search.naver.com/search.naver?query=악인 영화", "악인")</f>
        <v>악인</v>
      </c>
      <c r="C2049" s="12">
        <v>7.73</v>
      </c>
      <c r="D2049" s="13" t="s">
        <v>4208</v>
      </c>
      <c r="E2049" s="10" t="s">
        <v>19</v>
      </c>
      <c r="F2049" s="10">
        <v>2011</v>
      </c>
      <c r="G2049" s="10" t="s">
        <v>14</v>
      </c>
      <c r="H2049" s="11" t="s">
        <v>20</v>
      </c>
      <c r="I2049" s="10" t="s">
        <v>476</v>
      </c>
      <c r="J2049" s="131"/>
      <c r="K2049" s="149" t="s">
        <v>4209</v>
      </c>
    </row>
    <row r="2050" spans="1:11" ht="28.9" customHeight="1" thickTop="1" thickBot="1" x14ac:dyDescent="0.75">
      <c r="A2050" s="6">
        <v>2048</v>
      </c>
      <c r="B2050" s="57" t="str">
        <f>HYPERLINK("https://search.naver.com/search.naver?query=악인전 영화", "악인전")</f>
        <v>악인전</v>
      </c>
      <c r="C2050" s="8">
        <v>8.5299999999999994</v>
      </c>
      <c r="D2050" s="9" t="s">
        <v>4210</v>
      </c>
      <c r="E2050" s="6" t="s">
        <v>13</v>
      </c>
      <c r="F2050" s="6">
        <v>2018</v>
      </c>
      <c r="G2050" s="6" t="s">
        <v>14</v>
      </c>
      <c r="H2050" s="7" t="s">
        <v>124</v>
      </c>
      <c r="I2050" s="6" t="s">
        <v>150</v>
      </c>
      <c r="J2050" s="130"/>
      <c r="K2050" s="148" t="s">
        <v>4211</v>
      </c>
    </row>
    <row r="2051" spans="1:11" ht="28.9" customHeight="1" thickTop="1" thickBot="1" x14ac:dyDescent="0.75">
      <c r="A2051" s="10">
        <v>2049</v>
      </c>
      <c r="B2051" s="58" t="str">
        <f>HYPERLINK("https://search.naver.com/search.naver?query=악질경찰", "악질경찰")</f>
        <v>악질경찰</v>
      </c>
      <c r="C2051" s="12">
        <v>7.18</v>
      </c>
      <c r="D2051" s="13" t="s">
        <v>4212</v>
      </c>
      <c r="E2051" s="10" t="s">
        <v>13</v>
      </c>
      <c r="F2051" s="10">
        <v>2019</v>
      </c>
      <c r="G2051" s="10" t="s">
        <v>14</v>
      </c>
      <c r="H2051" s="11" t="s">
        <v>428</v>
      </c>
      <c r="I2051" s="10" t="s">
        <v>150</v>
      </c>
      <c r="J2051" s="131"/>
      <c r="K2051" s="149" t="s">
        <v>4213</v>
      </c>
    </row>
    <row r="2052" spans="1:11" ht="28.9" customHeight="1" thickTop="1" thickBot="1" x14ac:dyDescent="0.75">
      <c r="A2052" s="10">
        <v>2050</v>
      </c>
      <c r="B2052" s="57" t="str">
        <f>HYPERLINK("https://search.naver.com/search.naver?query=안개 속 소녀 영화", "안개 속 소녀")</f>
        <v>안개 속 소녀</v>
      </c>
      <c r="C2052" s="8">
        <v>6.73</v>
      </c>
      <c r="D2052" s="9" t="s">
        <v>4214</v>
      </c>
      <c r="E2052" s="6" t="s">
        <v>2001</v>
      </c>
      <c r="F2052" s="6">
        <v>2017</v>
      </c>
      <c r="G2052" s="6" t="s">
        <v>14</v>
      </c>
      <c r="H2052" s="7" t="s">
        <v>54</v>
      </c>
      <c r="I2052" s="6" t="s">
        <v>210</v>
      </c>
      <c r="J2052" s="130"/>
      <c r="K2052" s="148" t="s">
        <v>4215</v>
      </c>
    </row>
    <row r="2053" spans="1:11" ht="28.9" customHeight="1" thickTop="1" thickBot="1" x14ac:dyDescent="0.75">
      <c r="A2053" s="6">
        <v>2051</v>
      </c>
      <c r="B2053" s="58" t="str">
        <f>HYPERLINK("https://search.naver.com/search.naver?query=안개 속의 풍경 영화", "안개 속의 풍경")</f>
        <v>안개 속의 풍경</v>
      </c>
      <c r="C2053" s="12">
        <v>8.83</v>
      </c>
      <c r="D2053" s="13" t="s">
        <v>4216</v>
      </c>
      <c r="E2053" s="10" t="s">
        <v>849</v>
      </c>
      <c r="F2053" s="10">
        <v>1988</v>
      </c>
      <c r="G2053" s="10" t="s">
        <v>14</v>
      </c>
      <c r="H2053" s="11" t="s">
        <v>20</v>
      </c>
      <c r="I2053" s="10" t="s">
        <v>210</v>
      </c>
      <c r="J2053" s="131"/>
      <c r="K2053" s="149" t="s">
        <v>4217</v>
      </c>
    </row>
    <row r="2054" spans="1:11" ht="28.9" customHeight="1" thickTop="1" thickBot="1" x14ac:dyDescent="0.75">
      <c r="A2054" s="10">
        <v>2052</v>
      </c>
      <c r="B2054" s="57" t="str">
        <f>HYPERLINK("https://search.naver.com/search.naver?query=안나 영화", "안나")</f>
        <v>안나</v>
      </c>
      <c r="C2054" s="8">
        <v>8.2100000000000009</v>
      </c>
      <c r="D2054" s="9" t="s">
        <v>4218</v>
      </c>
      <c r="E2054" s="6" t="s">
        <v>310</v>
      </c>
      <c r="F2054" s="6">
        <v>2019</v>
      </c>
      <c r="G2054" s="6" t="s">
        <v>14</v>
      </c>
      <c r="H2054" s="7" t="s">
        <v>124</v>
      </c>
      <c r="I2054" s="6" t="s">
        <v>68</v>
      </c>
      <c r="J2054" s="130"/>
      <c r="K2054" s="148" t="s">
        <v>4219</v>
      </c>
    </row>
    <row r="2055" spans="1:11" ht="28.9" customHeight="1" thickTop="1" thickBot="1" x14ac:dyDescent="0.75">
      <c r="A2055" s="10">
        <v>2053</v>
      </c>
      <c r="B2055" s="58" t="str">
        <f>HYPERLINK("https://search.naver.com/search.naver?query=안나푸르나 비욘드 써밋 영화", "안나푸르나 비욘드 써밋")</f>
        <v>안나푸르나 비욘드 써밋</v>
      </c>
      <c r="C2055" s="12">
        <v>8.89</v>
      </c>
      <c r="D2055" s="13" t="s">
        <v>4220</v>
      </c>
      <c r="E2055" s="10" t="s">
        <v>24</v>
      </c>
      <c r="F2055" s="10">
        <v>2022</v>
      </c>
      <c r="G2055" s="10" t="s">
        <v>14</v>
      </c>
      <c r="H2055" s="11" t="s">
        <v>226</v>
      </c>
      <c r="I2055" s="10" t="s">
        <v>150</v>
      </c>
      <c r="J2055" s="131"/>
      <c r="K2055" s="149" t="s">
        <v>4221</v>
      </c>
    </row>
    <row r="2056" spans="1:11" ht="28.9" customHeight="1" thickTop="1" thickBot="1" x14ac:dyDescent="0.75">
      <c r="A2056" s="6">
        <v>2054</v>
      </c>
      <c r="B2056" s="59" t="str">
        <f>HYPERLINK("https://search.naver.com/search.naver?query=안녕 마에스트로", "안녕 마에스트로")</f>
        <v>안녕 마에스트로</v>
      </c>
      <c r="C2056" s="16"/>
      <c r="D2056" s="17" t="s">
        <v>4222</v>
      </c>
      <c r="E2056" s="14" t="s">
        <v>19</v>
      </c>
      <c r="F2056" s="14">
        <v>2024</v>
      </c>
      <c r="G2056" s="14" t="s">
        <v>20</v>
      </c>
      <c r="H2056" s="15" t="s">
        <v>20</v>
      </c>
      <c r="I2056" s="14" t="s">
        <v>64</v>
      </c>
      <c r="J2056" s="132"/>
      <c r="K2056" s="150" t="s">
        <v>4223</v>
      </c>
    </row>
    <row r="2057" spans="1:11" ht="28.9" customHeight="1" thickTop="1" thickBot="1" x14ac:dyDescent="0.75">
      <c r="A2057" s="10">
        <v>2055</v>
      </c>
      <c r="B2057" s="58" t="str">
        <f>HYPERLINK("https://search.naver.com/search.naver?query=안녕 베일리 영화", "안녕 베일리")</f>
        <v>안녕 베일리</v>
      </c>
      <c r="C2057" s="12">
        <v>9.1999999999999993</v>
      </c>
      <c r="D2057" s="13" t="s">
        <v>4224</v>
      </c>
      <c r="E2057" s="10" t="s">
        <v>24</v>
      </c>
      <c r="F2057" s="10">
        <v>2019</v>
      </c>
      <c r="G2057" s="10" t="s">
        <v>14</v>
      </c>
      <c r="H2057" s="11" t="s">
        <v>20</v>
      </c>
      <c r="I2057" s="10" t="s">
        <v>38</v>
      </c>
      <c r="J2057" s="131"/>
      <c r="K2057" s="149" t="s">
        <v>4225</v>
      </c>
    </row>
    <row r="2058" spans="1:11" ht="28.9" customHeight="1" thickTop="1" thickBot="1" x14ac:dyDescent="0.75">
      <c r="A2058" s="10">
        <v>2056</v>
      </c>
      <c r="B2058" s="57" t="str">
        <f>HYPERLINK("https://search.naver.com/search.naver?query=안녕, 나의 소울메이트2017", "안녕, 나의 소울메이트")</f>
        <v>안녕, 나의 소울메이트</v>
      </c>
      <c r="C2058" s="8">
        <v>8.81</v>
      </c>
      <c r="D2058" s="9" t="s">
        <v>4226</v>
      </c>
      <c r="E2058" s="6" t="s">
        <v>186</v>
      </c>
      <c r="F2058" s="6">
        <v>2017</v>
      </c>
      <c r="G2058" s="6" t="s">
        <v>14</v>
      </c>
      <c r="H2058" s="7" t="s">
        <v>165</v>
      </c>
      <c r="I2058" s="6" t="s">
        <v>129</v>
      </c>
      <c r="J2058" s="130"/>
      <c r="K2058" s="148" t="s">
        <v>4227</v>
      </c>
    </row>
    <row r="2059" spans="1:11" ht="28.9" customHeight="1" thickTop="1" thickBot="1" x14ac:dyDescent="0.75">
      <c r="A2059" s="6">
        <v>2057</v>
      </c>
      <c r="B2059" s="58" t="str">
        <f>HYPERLINK("https://search.naver.com/search.naver?query=안녕,헤이즐 영화", "안녕,헤이즐")</f>
        <v>안녕,헤이즐</v>
      </c>
      <c r="C2059" s="12">
        <v>8.48</v>
      </c>
      <c r="D2059" s="13" t="s">
        <v>4228</v>
      </c>
      <c r="E2059" s="10" t="s">
        <v>24</v>
      </c>
      <c r="F2059" s="10">
        <v>2014</v>
      </c>
      <c r="G2059" s="10" t="s">
        <v>14</v>
      </c>
      <c r="H2059" s="11" t="s">
        <v>20</v>
      </c>
      <c r="I2059" s="10" t="s">
        <v>105</v>
      </c>
      <c r="J2059" s="131"/>
      <c r="K2059" s="149" t="s">
        <v>1878</v>
      </c>
    </row>
    <row r="2060" spans="1:11" ht="28.9" customHeight="1" thickTop="1" thickBot="1" x14ac:dyDescent="0.75">
      <c r="A2060" s="10">
        <v>2058</v>
      </c>
      <c r="B2060" s="57" t="str">
        <f>HYPERLINK("https://search.naver.com/search.naver?query=안녕까지 30분 영화", "안녕까지 30분")</f>
        <v>안녕까지 30분</v>
      </c>
      <c r="C2060" s="8">
        <v>9.14</v>
      </c>
      <c r="D2060" s="9" t="s">
        <v>4229</v>
      </c>
      <c r="E2060" s="6" t="s">
        <v>19</v>
      </c>
      <c r="F2060" s="6">
        <v>2020</v>
      </c>
      <c r="G2060" s="6" t="s">
        <v>14</v>
      </c>
      <c r="H2060" s="7" t="s">
        <v>1539</v>
      </c>
      <c r="I2060" s="6" t="s">
        <v>305</v>
      </c>
      <c r="J2060" s="130"/>
      <c r="K2060" s="148" t="s">
        <v>4230</v>
      </c>
    </row>
    <row r="2061" spans="1:11" ht="28.9" customHeight="1" thickTop="1" thickBot="1" x14ac:dyDescent="0.75">
      <c r="A2061" s="10">
        <v>2059</v>
      </c>
      <c r="B2061" s="58" t="str">
        <f>HYPERLINK("https://search.naver.com/search.naver?query=안시성 영화", "안시성")</f>
        <v>안시성</v>
      </c>
      <c r="C2061" s="12">
        <v>8.64</v>
      </c>
      <c r="D2061" s="13" t="s">
        <v>4231</v>
      </c>
      <c r="E2061" s="10" t="s">
        <v>13</v>
      </c>
      <c r="F2061" s="10">
        <v>2018</v>
      </c>
      <c r="G2061" s="10" t="s">
        <v>14</v>
      </c>
      <c r="H2061" s="11" t="s">
        <v>1247</v>
      </c>
      <c r="I2061" s="10" t="s">
        <v>51</v>
      </c>
      <c r="J2061" s="131"/>
      <c r="K2061" s="149" t="s">
        <v>4232</v>
      </c>
    </row>
    <row r="2062" spans="1:11" ht="28.9" customHeight="1" thickTop="1" thickBot="1" x14ac:dyDescent="0.75">
      <c r="A2062" s="6">
        <v>2060</v>
      </c>
      <c r="B2062" s="57" t="str">
        <f>HYPERLINK("https://search.naver.com/search.naver?query=안전은 보장할 수 없음 영화", "안전은 보장할 수 없음")</f>
        <v>안전은 보장할 수 없음</v>
      </c>
      <c r="C2062" s="8">
        <v>7.89</v>
      </c>
      <c r="D2062" s="9" t="s">
        <v>4233</v>
      </c>
      <c r="E2062" s="6" t="s">
        <v>24</v>
      </c>
      <c r="F2062" s="6">
        <v>2012</v>
      </c>
      <c r="G2062" s="6" t="s">
        <v>14</v>
      </c>
      <c r="H2062" s="7" t="s">
        <v>91</v>
      </c>
      <c r="I2062" s="6" t="s">
        <v>1136</v>
      </c>
      <c r="J2062" s="130"/>
      <c r="K2062" s="148" t="s">
        <v>4234</v>
      </c>
    </row>
    <row r="2063" spans="1:11" ht="28.9" customHeight="1" thickTop="1" thickBot="1" x14ac:dyDescent="0.75">
      <c r="A2063" s="10">
        <v>2061</v>
      </c>
      <c r="B2063" s="58" t="str">
        <f>HYPERLINK("https://search.naver.com/search.naver?query=안테벨룸 영화", "안테벨룸")</f>
        <v>안테벨룸</v>
      </c>
      <c r="C2063" s="12">
        <v>7.32</v>
      </c>
      <c r="D2063" s="13" t="s">
        <v>4235</v>
      </c>
      <c r="E2063" s="10" t="s">
        <v>24</v>
      </c>
      <c r="F2063" s="10">
        <v>2020</v>
      </c>
      <c r="G2063" s="10" t="s">
        <v>14</v>
      </c>
      <c r="H2063" s="11" t="s">
        <v>382</v>
      </c>
      <c r="I2063" s="10" t="s">
        <v>175</v>
      </c>
      <c r="J2063" s="131"/>
      <c r="K2063" s="149" t="s">
        <v>4236</v>
      </c>
    </row>
    <row r="2064" spans="1:11" ht="28.9" customHeight="1" thickTop="1" thickBot="1" x14ac:dyDescent="0.75">
      <c r="A2064" s="10">
        <v>2062</v>
      </c>
      <c r="B2064" s="59" t="str">
        <f>HYPERLINK("https://search.naver.com/search.naver?query=알렉스 라이더 시즌1", "알렉스 라이더 시즌1")</f>
        <v>알렉스 라이더 시즌1</v>
      </c>
      <c r="C2064" s="16"/>
      <c r="D2064" s="17" t="s">
        <v>4237</v>
      </c>
      <c r="E2064" s="14" t="s">
        <v>29</v>
      </c>
      <c r="F2064" s="14">
        <v>2020</v>
      </c>
      <c r="G2064" s="14" t="s">
        <v>20</v>
      </c>
      <c r="H2064" s="15" t="s">
        <v>229</v>
      </c>
      <c r="I2064" s="14" t="s">
        <v>71</v>
      </c>
      <c r="J2064" s="132"/>
      <c r="K2064" s="150" t="s">
        <v>4238</v>
      </c>
    </row>
    <row r="2065" spans="1:11" ht="28.9" customHeight="1" thickTop="1" thickBot="1" x14ac:dyDescent="0.75">
      <c r="A2065" s="6">
        <v>2063</v>
      </c>
      <c r="B2065" s="58" t="str">
        <f>HYPERLINK("https://search.naver.com/search.naver?query=알투비:리턴투베이스 영화", "알투비-리턴투베이스")</f>
        <v>알투비-리턴투베이스</v>
      </c>
      <c r="C2065" s="12">
        <v>7.43</v>
      </c>
      <c r="D2065" s="13" t="s">
        <v>4239</v>
      </c>
      <c r="E2065" s="10" t="s">
        <v>13</v>
      </c>
      <c r="F2065" s="10">
        <v>2012</v>
      </c>
      <c r="G2065" s="10" t="s">
        <v>14</v>
      </c>
      <c r="H2065" s="11" t="s">
        <v>124</v>
      </c>
      <c r="I2065" s="10" t="s">
        <v>98</v>
      </c>
      <c r="J2065" s="131"/>
      <c r="K2065" s="149" t="s">
        <v>4240</v>
      </c>
    </row>
    <row r="2066" spans="1:11" ht="28.9" customHeight="1" thickTop="1" thickBot="1" x14ac:dyDescent="0.75">
      <c r="A2066" s="10">
        <v>2064</v>
      </c>
      <c r="B2066" s="57" t="str">
        <f>HYPERLINK("https://search.naver.com/search.naver?query=알파 위대한 여정 영화", "알파-위대한 여정")</f>
        <v>알파-위대한 여정</v>
      </c>
      <c r="C2066" s="8"/>
      <c r="D2066" s="9" t="s">
        <v>4241</v>
      </c>
      <c r="E2066" s="6" t="s">
        <v>24</v>
      </c>
      <c r="F2066" s="6">
        <v>2018</v>
      </c>
      <c r="G2066" s="6" t="s">
        <v>14</v>
      </c>
      <c r="H2066" s="7" t="s">
        <v>1452</v>
      </c>
      <c r="I2066" s="6" t="s">
        <v>80</v>
      </c>
      <c r="J2066" s="130"/>
      <c r="K2066" s="148" t="s">
        <v>4242</v>
      </c>
    </row>
    <row r="2067" spans="1:11" ht="28.9" customHeight="1" thickTop="1" thickBot="1" x14ac:dyDescent="0.75">
      <c r="A2067" s="10">
        <v>2065</v>
      </c>
      <c r="B2067" s="58" t="str">
        <f>HYPERLINK("https://search.naver.com/search.naver?query=암살 영화", "암살")</f>
        <v>암살</v>
      </c>
      <c r="C2067" s="12">
        <v>9.1</v>
      </c>
      <c r="D2067" s="13" t="s">
        <v>4243</v>
      </c>
      <c r="E2067" s="10" t="s">
        <v>13</v>
      </c>
      <c r="F2067" s="10">
        <v>2015</v>
      </c>
      <c r="G2067" s="10" t="s">
        <v>14</v>
      </c>
      <c r="H2067" s="11" t="s">
        <v>124</v>
      </c>
      <c r="I2067" s="10" t="s">
        <v>930</v>
      </c>
      <c r="J2067" s="131"/>
      <c r="K2067" s="149" t="s">
        <v>4244</v>
      </c>
    </row>
    <row r="2068" spans="1:11" ht="28.9" customHeight="1" thickTop="1" thickBot="1" x14ac:dyDescent="0.75">
      <c r="A2068" s="6">
        <v>2066</v>
      </c>
      <c r="B2068" s="57" t="str">
        <f>HYPERLINK("https://search.naver.com/search.naver?query=암수살인 영화", "암수살인")</f>
        <v>암수살인</v>
      </c>
      <c r="C2068" s="8">
        <v>8.58</v>
      </c>
      <c r="D2068" s="9" t="s">
        <v>4245</v>
      </c>
      <c r="E2068" s="6" t="s">
        <v>13</v>
      </c>
      <c r="F2068" s="6">
        <v>2018</v>
      </c>
      <c r="G2068" s="6" t="s">
        <v>14</v>
      </c>
      <c r="H2068" s="7" t="s">
        <v>428</v>
      </c>
      <c r="I2068" s="6" t="s">
        <v>129</v>
      </c>
      <c r="J2068" s="130"/>
      <c r="K2068" s="148" t="s">
        <v>4246</v>
      </c>
    </row>
    <row r="2069" spans="1:11" ht="28.9" customHeight="1" thickTop="1" thickBot="1" x14ac:dyDescent="0.75">
      <c r="A2069" s="10">
        <v>2067</v>
      </c>
      <c r="B2069" s="58" t="str">
        <f>HYPERLINK("https://search.naver.com/search.naver?query=앙 단팥 인생 이야기 영화", "앙 - 단팥 인생 이야기")</f>
        <v>앙 - 단팥 인생 이야기</v>
      </c>
      <c r="C2069" s="12">
        <v>8.64</v>
      </c>
      <c r="D2069" s="13" t="s">
        <v>4247</v>
      </c>
      <c r="E2069" s="10" t="s">
        <v>19</v>
      </c>
      <c r="F2069" s="10">
        <v>2015</v>
      </c>
      <c r="G2069" s="10" t="s">
        <v>14</v>
      </c>
      <c r="H2069" s="11" t="s">
        <v>20</v>
      </c>
      <c r="I2069" s="10" t="s">
        <v>98</v>
      </c>
      <c r="J2069" s="131"/>
      <c r="K2069" s="149" t="s">
        <v>4248</v>
      </c>
    </row>
    <row r="2070" spans="1:11" ht="28.9" customHeight="1" thickTop="1" thickBot="1" x14ac:dyDescent="0.75">
      <c r="A2070" s="10">
        <v>2068</v>
      </c>
      <c r="B2070" s="57" t="str">
        <f>HYPERLINK("https://search.naver.com/search.naver?query=앙투라지 영화", "앙투라지")</f>
        <v>앙투라지</v>
      </c>
      <c r="C2070" s="8">
        <v>6.4</v>
      </c>
      <c r="D2070" s="9" t="s">
        <v>4249</v>
      </c>
      <c r="E2070" s="6" t="s">
        <v>24</v>
      </c>
      <c r="F2070" s="6">
        <v>2015</v>
      </c>
      <c r="G2070" s="6" t="s">
        <v>14</v>
      </c>
      <c r="H2070" s="7" t="s">
        <v>91</v>
      </c>
      <c r="I2070" s="6" t="s">
        <v>242</v>
      </c>
      <c r="J2070" s="130"/>
      <c r="K2070" s="148" t="s">
        <v>4250</v>
      </c>
    </row>
    <row r="2071" spans="1:11" ht="28.9" customHeight="1" thickTop="1" thickBot="1" x14ac:dyDescent="0.75">
      <c r="A2071" s="6">
        <v>2069</v>
      </c>
      <c r="B2071" s="58" t="str">
        <f>HYPERLINK("https://search.naver.com/search.naver?query=애나 앤드 킹 영화", "애나 앤드 킹")</f>
        <v>애나 앤드 킹</v>
      </c>
      <c r="C2071" s="12">
        <v>8.3699999999999992</v>
      </c>
      <c r="D2071" s="13" t="s">
        <v>4251</v>
      </c>
      <c r="E2071" s="10" t="s">
        <v>24</v>
      </c>
      <c r="F2071" s="10">
        <v>1999</v>
      </c>
      <c r="G2071" s="10" t="s">
        <v>14</v>
      </c>
      <c r="H2071" s="11" t="s">
        <v>20</v>
      </c>
      <c r="I2071" s="10" t="s">
        <v>34</v>
      </c>
      <c r="J2071" s="131"/>
      <c r="K2071" s="149" t="s">
        <v>4252</v>
      </c>
    </row>
    <row r="2072" spans="1:11" ht="28.9" customHeight="1" thickTop="1" thickBot="1" x14ac:dyDescent="0.75">
      <c r="A2072" s="10">
        <v>2070</v>
      </c>
      <c r="B2072" s="57" t="str">
        <f>HYPERLINK("https://search.naver.com/search.naver?query=애더럴 다이어리 영화", "애더럴 다이어리")</f>
        <v>애더럴 다이어리</v>
      </c>
      <c r="C2072" s="8">
        <v>3.9</v>
      </c>
      <c r="D2072" s="9" t="s">
        <v>4253</v>
      </c>
      <c r="E2072" s="6" t="s">
        <v>24</v>
      </c>
      <c r="F2072" s="6">
        <v>2015</v>
      </c>
      <c r="G2072" s="6" t="s">
        <v>14</v>
      </c>
      <c r="H2072" s="7" t="s">
        <v>20</v>
      </c>
      <c r="I2072" s="6" t="s">
        <v>1069</v>
      </c>
      <c r="J2072" s="130"/>
      <c r="K2072" s="148" t="s">
        <v>4254</v>
      </c>
    </row>
    <row r="2073" spans="1:11" ht="28.9" customHeight="1" thickTop="1" thickBot="1" x14ac:dyDescent="0.75">
      <c r="A2073" s="10">
        <v>2071</v>
      </c>
      <c r="B2073" s="58" t="str">
        <f>HYPERLINK("https://search.naver.com/search.naver?query=애드 아스트라 영화", "애드 아스트라")</f>
        <v>애드 아스트라</v>
      </c>
      <c r="C2073" s="12">
        <v>8.23</v>
      </c>
      <c r="D2073" s="13" t="s">
        <v>4255</v>
      </c>
      <c r="E2073" s="10" t="s">
        <v>24</v>
      </c>
      <c r="F2073" s="10">
        <v>2019</v>
      </c>
      <c r="G2073" s="10" t="s">
        <v>14</v>
      </c>
      <c r="H2073" s="11" t="s">
        <v>877</v>
      </c>
      <c r="I2073" s="10" t="s">
        <v>76</v>
      </c>
      <c r="J2073" s="131"/>
      <c r="K2073" s="149" t="s">
        <v>4256</v>
      </c>
    </row>
    <row r="2074" spans="1:11" ht="28.9" customHeight="1" thickTop="1" thickBot="1" x14ac:dyDescent="0.75">
      <c r="A2074" s="6">
        <v>2072</v>
      </c>
      <c r="B2074" s="57" t="str">
        <f>HYPERLINK("https://search.naver.com/search.naver?query=애쉬 영화", "애쉬")</f>
        <v>애쉬</v>
      </c>
      <c r="C2074" s="8"/>
      <c r="D2074" s="9" t="s">
        <v>4257</v>
      </c>
      <c r="E2074" s="6" t="s">
        <v>24</v>
      </c>
      <c r="F2074" s="6">
        <v>2022</v>
      </c>
      <c r="G2074" s="6" t="s">
        <v>14</v>
      </c>
      <c r="H2074" s="7" t="s">
        <v>877</v>
      </c>
      <c r="I2074" s="6" t="s">
        <v>150</v>
      </c>
      <c r="J2074" s="130"/>
      <c r="K2074" s="148" t="s">
        <v>4258</v>
      </c>
    </row>
    <row r="2075" spans="1:11" ht="28.9" customHeight="1" thickTop="1" thickBot="1" x14ac:dyDescent="0.75">
      <c r="A2075" s="10">
        <v>2073</v>
      </c>
      <c r="B2075" s="58" t="str">
        <f>HYPERLINK("https://search.naver.com/search.naver?query=애스크 미 애니씽 영화", "애스크 미 애니씽")</f>
        <v>애스크 미 애니씽</v>
      </c>
      <c r="C2075" s="12">
        <v>6.4</v>
      </c>
      <c r="D2075" s="13" t="s">
        <v>4259</v>
      </c>
      <c r="E2075" s="10" t="s">
        <v>24</v>
      </c>
      <c r="F2075" s="10">
        <v>2014</v>
      </c>
      <c r="G2075" s="10" t="s">
        <v>14</v>
      </c>
      <c r="H2075" s="11" t="s">
        <v>20</v>
      </c>
      <c r="I2075" s="10" t="s">
        <v>179</v>
      </c>
      <c r="J2075" s="131"/>
      <c r="K2075" s="149" t="s">
        <v>4260</v>
      </c>
    </row>
    <row r="2076" spans="1:11" ht="28.9" customHeight="1" thickTop="1" thickBot="1" x14ac:dyDescent="0.75">
      <c r="A2076" s="10">
        <v>2074</v>
      </c>
      <c r="B2076" s="57" t="str">
        <f>HYPERLINK("https://search.naver.com/search.naver?query=애스트로너트 영화", "애스트로너트")</f>
        <v>애스트로너트</v>
      </c>
      <c r="C2076" s="8"/>
      <c r="D2076" s="9" t="s">
        <v>4261</v>
      </c>
      <c r="E2076" s="6" t="s">
        <v>24</v>
      </c>
      <c r="F2076" s="6">
        <v>2025</v>
      </c>
      <c r="G2076" s="6" t="s">
        <v>14</v>
      </c>
      <c r="H2076" s="7" t="s">
        <v>20</v>
      </c>
      <c r="I2076" s="6" t="s">
        <v>129</v>
      </c>
      <c r="J2076" s="130"/>
      <c r="K2076" s="148" t="s">
        <v>4262</v>
      </c>
    </row>
    <row r="2077" spans="1:11" ht="28.9" customHeight="1" thickTop="1" thickBot="1" x14ac:dyDescent="0.75">
      <c r="A2077" s="6">
        <v>2075</v>
      </c>
      <c r="B2077" s="58" t="str">
        <f>HYPERLINK("https://search.naver.com/search.naver?query=애적면포혼 영화", "애적면포혼")</f>
        <v>애적면포혼</v>
      </c>
      <c r="C2077" s="12"/>
      <c r="D2077" s="13" t="s">
        <v>4263</v>
      </c>
      <c r="E2077" s="10" t="s">
        <v>186</v>
      </c>
      <c r="F2077" s="10">
        <v>2013</v>
      </c>
      <c r="G2077" s="10" t="s">
        <v>14</v>
      </c>
      <c r="H2077" s="11" t="s">
        <v>20</v>
      </c>
      <c r="I2077" s="10" t="s">
        <v>42</v>
      </c>
      <c r="J2077" s="131"/>
      <c r="K2077" s="149" t="s">
        <v>4264</v>
      </c>
    </row>
    <row r="2078" spans="1:11" ht="28.9" customHeight="1" thickTop="1" thickBot="1" x14ac:dyDescent="0.75">
      <c r="A2078" s="10">
        <v>2076</v>
      </c>
      <c r="B2078" s="57" t="str">
        <f>HYPERLINK("https://search.naver.com/search.naver?query=애처가 미야모토 영화", "애처가 미야모토")</f>
        <v>애처가 미야모토</v>
      </c>
      <c r="C2078" s="8"/>
      <c r="D2078" s="9" t="s">
        <v>4265</v>
      </c>
      <c r="E2078" s="6" t="s">
        <v>19</v>
      </c>
      <c r="F2078" s="6">
        <v>2016</v>
      </c>
      <c r="G2078" s="6" t="s">
        <v>14</v>
      </c>
      <c r="H2078" s="7" t="s">
        <v>20</v>
      </c>
      <c r="I2078" s="6" t="s">
        <v>150</v>
      </c>
      <c r="J2078" s="130"/>
      <c r="K2078" s="148" t="s">
        <v>4266</v>
      </c>
    </row>
    <row r="2079" spans="1:11" ht="28.9" customHeight="1" thickTop="1" thickBot="1" x14ac:dyDescent="0.75">
      <c r="A2079" s="10">
        <v>2077</v>
      </c>
      <c r="B2079" s="58" t="str">
        <f>HYPERLINK("https://search.naver.com/search.naver?query=애프터 영화", "애프터")</f>
        <v>애프터</v>
      </c>
      <c r="C2079" s="12">
        <v>5.13</v>
      </c>
      <c r="D2079" s="13" t="s">
        <v>4267</v>
      </c>
      <c r="E2079" s="10" t="s">
        <v>24</v>
      </c>
      <c r="F2079" s="10">
        <v>2019</v>
      </c>
      <c r="G2079" s="10" t="s">
        <v>14</v>
      </c>
      <c r="H2079" s="11" t="s">
        <v>165</v>
      </c>
      <c r="I2079" s="10" t="s">
        <v>175</v>
      </c>
      <c r="J2079" s="131"/>
      <c r="K2079" s="149" t="s">
        <v>4268</v>
      </c>
    </row>
    <row r="2080" spans="1:11" ht="28.9" customHeight="1" thickTop="1" thickBot="1" x14ac:dyDescent="0.75">
      <c r="A2080" s="6">
        <v>2078</v>
      </c>
      <c r="B2080" s="57" t="str">
        <f>HYPERLINK("https://search.naver.com/search.naver?query=애프터 더 헌트 영화", "애프터 더 헌트")</f>
        <v>애프터 더 헌트</v>
      </c>
      <c r="C2080" s="8">
        <v>6.4</v>
      </c>
      <c r="D2080" s="9" t="s">
        <v>4269</v>
      </c>
      <c r="E2080" s="6" t="s">
        <v>24</v>
      </c>
      <c r="F2080" s="6">
        <v>2025</v>
      </c>
      <c r="G2080" s="6" t="s">
        <v>14</v>
      </c>
      <c r="H2080" s="7" t="s">
        <v>20</v>
      </c>
      <c r="I2080" s="6" t="s">
        <v>129</v>
      </c>
      <c r="J2080" s="130"/>
      <c r="K2080" s="148" t="s">
        <v>4270</v>
      </c>
    </row>
    <row r="2081" spans="1:11" ht="28.9" customHeight="1" thickTop="1" thickBot="1" x14ac:dyDescent="0.75">
      <c r="A2081" s="10">
        <v>2079</v>
      </c>
      <c r="B2081" s="58" t="str">
        <f>HYPERLINK("https://search.naver.com/search.naver?query=애프터 라이프 영화", "애프터 라이프")</f>
        <v>애프터 라이프</v>
      </c>
      <c r="C2081" s="12"/>
      <c r="D2081" s="13" t="s">
        <v>4271</v>
      </c>
      <c r="E2081" s="10" t="s">
        <v>24</v>
      </c>
      <c r="F2081" s="10">
        <v>2009</v>
      </c>
      <c r="G2081" s="10" t="s">
        <v>14</v>
      </c>
      <c r="H2081" s="11" t="s">
        <v>20</v>
      </c>
      <c r="I2081" s="10" t="s">
        <v>101</v>
      </c>
      <c r="J2081" s="131"/>
      <c r="K2081" s="149" t="s">
        <v>4272</v>
      </c>
    </row>
    <row r="2082" spans="1:11" ht="28.9" customHeight="1" thickTop="1" thickBot="1" x14ac:dyDescent="0.75">
      <c r="A2082" s="10">
        <v>2080</v>
      </c>
      <c r="B2082" s="57" t="str">
        <f>HYPERLINK("https://search.naver.com/search.naver?query=애프터 그 후 영화", "애프터-그 후")</f>
        <v>애프터-그 후</v>
      </c>
      <c r="C2082" s="8">
        <v>8</v>
      </c>
      <c r="D2082" s="9" t="s">
        <v>4273</v>
      </c>
      <c r="E2082" s="6" t="s">
        <v>24</v>
      </c>
      <c r="F2082" s="6">
        <v>2020</v>
      </c>
      <c r="G2082" s="6" t="s">
        <v>14</v>
      </c>
      <c r="H2082" s="7" t="s">
        <v>165</v>
      </c>
      <c r="I2082" s="6" t="s">
        <v>175</v>
      </c>
      <c r="J2082" s="130"/>
      <c r="K2082" s="148" t="s">
        <v>4274</v>
      </c>
    </row>
    <row r="2083" spans="1:11" ht="28.9" customHeight="1" thickTop="1" thickBot="1" x14ac:dyDescent="0.75">
      <c r="A2083" s="6">
        <v>2081</v>
      </c>
      <c r="B2083" s="58" t="str">
        <f>HYPERLINK("https://search.naver.com/search.naver?query=애프터매스 영화", "애프터매스")</f>
        <v>애프터매스</v>
      </c>
      <c r="C2083" s="12">
        <v>3.83</v>
      </c>
      <c r="D2083" s="13" t="s">
        <v>4275</v>
      </c>
      <c r="E2083" s="10" t="s">
        <v>24</v>
      </c>
      <c r="F2083" s="10">
        <v>2017</v>
      </c>
      <c r="G2083" s="10" t="s">
        <v>14</v>
      </c>
      <c r="H2083" s="11" t="s">
        <v>20</v>
      </c>
      <c r="I2083" s="10" t="s">
        <v>468</v>
      </c>
      <c r="J2083" s="131"/>
      <c r="K2083" s="149" t="s">
        <v>4276</v>
      </c>
    </row>
    <row r="2084" spans="1:11" ht="28.9" customHeight="1" thickTop="1" thickBot="1" x14ac:dyDescent="0.75">
      <c r="A2084" s="10">
        <v>2082</v>
      </c>
      <c r="B2084" s="57" t="str">
        <f>HYPERLINK("https://search.naver.com/search.naver?query=액츠 오브 바이올런스 영화", "액츠 오브 바이올런스")</f>
        <v>액츠 오브 바이올런스</v>
      </c>
      <c r="C2084" s="8">
        <v>6.29</v>
      </c>
      <c r="D2084" s="9" t="s">
        <v>4277</v>
      </c>
      <c r="E2084" s="6" t="s">
        <v>24</v>
      </c>
      <c r="F2084" s="6">
        <v>2018</v>
      </c>
      <c r="G2084" s="6" t="s">
        <v>14</v>
      </c>
      <c r="H2084" s="7" t="s">
        <v>124</v>
      </c>
      <c r="I2084" s="6" t="s">
        <v>1136</v>
      </c>
      <c r="J2084" s="130"/>
      <c r="K2084" s="148" t="s">
        <v>4278</v>
      </c>
    </row>
    <row r="2085" spans="1:11" ht="28.9" customHeight="1" thickTop="1" thickBot="1" x14ac:dyDescent="0.75">
      <c r="A2085" s="10">
        <v>2083</v>
      </c>
      <c r="B2085" s="58" t="str">
        <f>HYPERLINK("https://search.naver.com/search.naver?query=액트 오브 밸러 영화", "액트 오브 밸러")</f>
        <v>액트 오브 밸러</v>
      </c>
      <c r="C2085" s="12"/>
      <c r="D2085" s="13" t="s">
        <v>4279</v>
      </c>
      <c r="E2085" s="10" t="s">
        <v>24</v>
      </c>
      <c r="F2085" s="10">
        <v>2012</v>
      </c>
      <c r="G2085" s="10" t="s">
        <v>14</v>
      </c>
      <c r="H2085" s="11" t="s">
        <v>124</v>
      </c>
      <c r="I2085" s="10" t="s">
        <v>129</v>
      </c>
      <c r="J2085" s="131"/>
      <c r="K2085" s="149" t="s">
        <v>4280</v>
      </c>
    </row>
    <row r="2086" spans="1:11" ht="28.9" customHeight="1" thickTop="1" thickBot="1" x14ac:dyDescent="0.75">
      <c r="A2086" s="6">
        <v>2084</v>
      </c>
      <c r="B2086" s="57" t="str">
        <f>HYPERLINK("https://search.naver.com/search.naver?query=앤드 오브 워 영화", "앤드 오브 워")</f>
        <v>앤드 오브 워</v>
      </c>
      <c r="C2086" s="8">
        <v>7.14</v>
      </c>
      <c r="D2086" s="9" t="s">
        <v>4281</v>
      </c>
      <c r="E2086" s="6" t="s">
        <v>19</v>
      </c>
      <c r="F2086" s="6">
        <v>2009</v>
      </c>
      <c r="G2086" s="6" t="s">
        <v>14</v>
      </c>
      <c r="H2086" s="7" t="s">
        <v>1247</v>
      </c>
      <c r="I2086" s="6" t="s">
        <v>150</v>
      </c>
      <c r="J2086" s="130"/>
      <c r="K2086" s="148" t="s">
        <v>4282</v>
      </c>
    </row>
    <row r="2087" spans="1:11" ht="28.9" customHeight="1" thickTop="1" thickBot="1" x14ac:dyDescent="0.75">
      <c r="A2087" s="10">
        <v>2085</v>
      </c>
      <c r="B2087" s="58" t="str">
        <f>HYPERLINK("https://search.naver.com/search.naver?query=앤트맨 영화", "앤트맨")</f>
        <v>앤트맨</v>
      </c>
      <c r="C2087" s="12">
        <v>6.74</v>
      </c>
      <c r="D2087" s="13" t="s">
        <v>4247</v>
      </c>
      <c r="E2087" s="10" t="s">
        <v>24</v>
      </c>
      <c r="F2087" s="10">
        <v>2015</v>
      </c>
      <c r="G2087" s="10" t="s">
        <v>14</v>
      </c>
      <c r="H2087" s="11" t="s">
        <v>124</v>
      </c>
      <c r="I2087" s="10" t="s">
        <v>120</v>
      </c>
      <c r="J2087" s="131"/>
      <c r="K2087" s="149" t="s">
        <v>4283</v>
      </c>
    </row>
    <row r="2088" spans="1:11" ht="28.9" customHeight="1" thickTop="1" thickBot="1" x14ac:dyDescent="0.75">
      <c r="A2088" s="10">
        <v>2086</v>
      </c>
      <c r="B2088" s="57" t="str">
        <f>HYPERLINK("https://search.naver.com/search.naver?query=앤트맨과 와스프 영화", "앤트맨과 와스프")</f>
        <v>앤트맨과 와스프</v>
      </c>
      <c r="C2088" s="8">
        <v>6.74</v>
      </c>
      <c r="D2088" s="9" t="s">
        <v>4284</v>
      </c>
      <c r="E2088" s="6" t="s">
        <v>24</v>
      </c>
      <c r="F2088" s="6">
        <v>2018</v>
      </c>
      <c r="G2088" s="6" t="s">
        <v>14</v>
      </c>
      <c r="H2088" s="7" t="s">
        <v>124</v>
      </c>
      <c r="I2088" s="6" t="s">
        <v>329</v>
      </c>
      <c r="J2088" s="130"/>
      <c r="K2088" s="148" t="s">
        <v>4285</v>
      </c>
    </row>
    <row r="2089" spans="1:11" ht="28.9" customHeight="1" thickTop="1" thickBot="1" x14ac:dyDescent="0.75">
      <c r="A2089" s="6">
        <v>2087</v>
      </c>
      <c r="B2089" s="58" t="str">
        <f>HYPERLINK("https://search.naver.com/search.naver?query=앤트원 피셔 영화", "앤트원 피셔")</f>
        <v>앤트원 피셔</v>
      </c>
      <c r="C2089" s="12">
        <v>8.81</v>
      </c>
      <c r="D2089" s="13" t="s">
        <v>4286</v>
      </c>
      <c r="E2089" s="10" t="s">
        <v>24</v>
      </c>
      <c r="F2089" s="10">
        <v>2002</v>
      </c>
      <c r="G2089" s="10" t="s">
        <v>14</v>
      </c>
      <c r="H2089" s="11" t="s">
        <v>20</v>
      </c>
      <c r="I2089" s="10" t="s">
        <v>116</v>
      </c>
      <c r="J2089" s="131"/>
      <c r="K2089" s="149" t="s">
        <v>4287</v>
      </c>
    </row>
    <row r="2090" spans="1:11" ht="28.9" customHeight="1" thickTop="1" thickBot="1" x14ac:dyDescent="0.75">
      <c r="A2090" s="10">
        <v>2088</v>
      </c>
      <c r="B2090" s="57" t="str">
        <f>HYPERLINK("https://search.naver.com/search.naver?query=앨버트 놉스 영화", "앨버트 놉스")</f>
        <v>앨버트 놉스</v>
      </c>
      <c r="C2090" s="8">
        <v>6.4</v>
      </c>
      <c r="D2090" s="9" t="s">
        <v>4288</v>
      </c>
      <c r="E2090" s="6" t="s">
        <v>944</v>
      </c>
      <c r="F2090" s="6">
        <v>2011</v>
      </c>
      <c r="G2090" s="6" t="s">
        <v>14</v>
      </c>
      <c r="H2090" s="7" t="s">
        <v>20</v>
      </c>
      <c r="I2090" s="6" t="s">
        <v>98</v>
      </c>
      <c r="J2090" s="130"/>
      <c r="K2090" s="148" t="s">
        <v>4289</v>
      </c>
    </row>
    <row r="2091" spans="1:11" ht="28.9" customHeight="1" thickTop="1" thickBot="1" x14ac:dyDescent="0.75">
      <c r="A2091" s="10">
        <v>2089</v>
      </c>
      <c r="B2091" s="58" t="str">
        <f>HYPERLINK("https://search.naver.com/search.naver?query=앰뷸런스 영화", "앰뷸런스")</f>
        <v>앰뷸런스</v>
      </c>
      <c r="C2091" s="12">
        <v>7.35</v>
      </c>
      <c r="D2091" s="13" t="s">
        <v>4290</v>
      </c>
      <c r="E2091" s="10" t="s">
        <v>161</v>
      </c>
      <c r="F2091" s="10">
        <v>2005</v>
      </c>
      <c r="G2091" s="10" t="s">
        <v>14</v>
      </c>
      <c r="H2091" s="11" t="s">
        <v>124</v>
      </c>
      <c r="I2091" s="10" t="s">
        <v>764</v>
      </c>
      <c r="J2091" s="131"/>
      <c r="K2091" s="149" t="s">
        <v>4291</v>
      </c>
    </row>
    <row r="2092" spans="1:11" ht="28.9" customHeight="1" thickTop="1" thickBot="1" x14ac:dyDescent="0.75">
      <c r="A2092" s="6">
        <v>2090</v>
      </c>
      <c r="B2092" s="57" t="str">
        <f>HYPERLINK("https://search.naver.com/search.naver?query=앰뷸런스 영화", "앰뷸런스")</f>
        <v>앰뷸런스</v>
      </c>
      <c r="C2092" s="8">
        <v>7.35</v>
      </c>
      <c r="D2092" s="9" t="s">
        <v>4292</v>
      </c>
      <c r="E2092" s="6" t="s">
        <v>24</v>
      </c>
      <c r="F2092" s="6">
        <v>2022</v>
      </c>
      <c r="G2092" s="6" t="s">
        <v>14</v>
      </c>
      <c r="H2092" s="7" t="s">
        <v>124</v>
      </c>
      <c r="I2092" s="6" t="s">
        <v>578</v>
      </c>
      <c r="J2092" s="130"/>
      <c r="K2092" s="148" t="s">
        <v>4293</v>
      </c>
    </row>
    <row r="2093" spans="1:11" ht="28.9" customHeight="1" thickTop="1" thickBot="1" x14ac:dyDescent="0.75">
      <c r="A2093" s="10">
        <v>2091</v>
      </c>
      <c r="B2093" s="58" t="str">
        <f>HYPERLINK("https://search.naver.com/search.naver?query=앱솔루션 영화", "앱솔루션")</f>
        <v>앱솔루션</v>
      </c>
      <c r="C2093" s="12"/>
      <c r="D2093" s="13" t="s">
        <v>4294</v>
      </c>
      <c r="E2093" s="10" t="s">
        <v>24</v>
      </c>
      <c r="F2093" s="10">
        <v>2024</v>
      </c>
      <c r="G2093" s="10" t="s">
        <v>14</v>
      </c>
      <c r="H2093" s="11" t="s">
        <v>124</v>
      </c>
      <c r="I2093" s="10" t="s">
        <v>179</v>
      </c>
      <c r="J2093" s="131"/>
      <c r="K2093" s="149" t="s">
        <v>4295</v>
      </c>
    </row>
    <row r="2094" spans="1:11" ht="28.9" customHeight="1" thickTop="1" thickBot="1" x14ac:dyDescent="0.75">
      <c r="A2094" s="10">
        <v>2092</v>
      </c>
      <c r="B2094" s="57" t="str">
        <f>HYPERLINK("https://search.naver.com/search.naver?query=앳 홈 영화", "앳 홈")</f>
        <v>앳 홈</v>
      </c>
      <c r="C2094" s="8"/>
      <c r="D2094" s="9" t="s">
        <v>4296</v>
      </c>
      <c r="E2094" s="6" t="s">
        <v>19</v>
      </c>
      <c r="F2094" s="6">
        <v>2015</v>
      </c>
      <c r="G2094" s="6" t="s">
        <v>14</v>
      </c>
      <c r="H2094" s="7" t="s">
        <v>20</v>
      </c>
      <c r="I2094" s="6" t="s">
        <v>150</v>
      </c>
      <c r="J2094" s="130"/>
      <c r="K2094" s="148" t="s">
        <v>4297</v>
      </c>
    </row>
    <row r="2095" spans="1:11" ht="28.9" customHeight="1" thickTop="1" thickBot="1" x14ac:dyDescent="0.75">
      <c r="A2095" s="6">
        <v>2093</v>
      </c>
      <c r="B2095" s="58" t="str">
        <f>HYPERLINK("https://search.naver.com/search.naver?query=앵그리스트맨 영화", "앵그리스트맨")</f>
        <v>앵그리스트맨</v>
      </c>
      <c r="C2095" s="12">
        <v>8.58</v>
      </c>
      <c r="D2095" s="13" t="s">
        <v>4298</v>
      </c>
      <c r="E2095" s="10" t="s">
        <v>24</v>
      </c>
      <c r="F2095" s="10">
        <v>2014</v>
      </c>
      <c r="G2095" s="10" t="s">
        <v>14</v>
      </c>
      <c r="H2095" s="11" t="s">
        <v>91</v>
      </c>
      <c r="I2095" s="10" t="s">
        <v>2299</v>
      </c>
      <c r="J2095" s="131"/>
      <c r="K2095" s="149" t="s">
        <v>4299</v>
      </c>
    </row>
    <row r="2096" spans="1:11" ht="28.9" customHeight="1" thickTop="1" thickBot="1" x14ac:dyDescent="0.75">
      <c r="A2096" s="10">
        <v>2094</v>
      </c>
      <c r="B2096" s="57" t="str">
        <f>HYPERLINK("https://search.naver.com/search.naver?query=야구소녀 영화", "야구소녀")</f>
        <v>야구소녀</v>
      </c>
      <c r="C2096" s="8">
        <v>9.15</v>
      </c>
      <c r="D2096" s="9" t="s">
        <v>4300</v>
      </c>
      <c r="E2096" s="6" t="s">
        <v>13</v>
      </c>
      <c r="F2096" s="6">
        <v>2019</v>
      </c>
      <c r="G2096" s="6" t="s">
        <v>14</v>
      </c>
      <c r="H2096" s="7" t="s">
        <v>20</v>
      </c>
      <c r="I2096" s="6" t="s">
        <v>468</v>
      </c>
      <c r="J2096" s="130"/>
      <c r="K2096" s="148" t="s">
        <v>4301</v>
      </c>
    </row>
    <row r="2097" spans="1:11" ht="28.9" customHeight="1" thickTop="1" thickBot="1" x14ac:dyDescent="0.75">
      <c r="A2097" s="10">
        <v>2095</v>
      </c>
      <c r="B2097" s="58" t="str">
        <f>HYPERLINK("https://search.naver.com/search.naver?query=야당 영화", "야당")</f>
        <v>야당</v>
      </c>
      <c r="C2097" s="12">
        <v>8.5500000000000007</v>
      </c>
      <c r="D2097" s="13" t="s">
        <v>4302</v>
      </c>
      <c r="E2097" s="10" t="s">
        <v>13</v>
      </c>
      <c r="F2097" s="10">
        <v>2025</v>
      </c>
      <c r="G2097" s="10" t="s">
        <v>14</v>
      </c>
      <c r="H2097" s="11" t="s">
        <v>124</v>
      </c>
      <c r="I2097" s="10" t="s">
        <v>129</v>
      </c>
      <c r="J2097" s="131"/>
      <c r="K2097" s="149" t="s">
        <v>4303</v>
      </c>
    </row>
    <row r="2098" spans="1:11" ht="28.9" customHeight="1" thickTop="1" thickBot="1" x14ac:dyDescent="0.75">
      <c r="A2098" s="6">
        <v>2096</v>
      </c>
      <c r="B2098" s="57" t="str">
        <f>HYPERLINK("https://search.naver.com/search.naver?query=야차 영화", "야차")</f>
        <v>야차</v>
      </c>
      <c r="C2098" s="8">
        <v>5.81</v>
      </c>
      <c r="D2098" s="9" t="s">
        <v>4304</v>
      </c>
      <c r="E2098" s="6" t="s">
        <v>13</v>
      </c>
      <c r="F2098" s="6">
        <v>2022</v>
      </c>
      <c r="G2098" s="6" t="s">
        <v>14</v>
      </c>
      <c r="H2098" s="7" t="s">
        <v>124</v>
      </c>
      <c r="I2098" s="6" t="s">
        <v>316</v>
      </c>
      <c r="J2098" s="130"/>
      <c r="K2098" s="148" t="s">
        <v>4305</v>
      </c>
    </row>
    <row r="2099" spans="1:11" ht="28.9" customHeight="1" thickTop="1" thickBot="1" x14ac:dyDescent="0.75">
      <c r="A2099" s="10">
        <v>2097</v>
      </c>
      <c r="B2099" s="58" t="str">
        <f>HYPERLINK("https://search.naver.com/search.naver?query=야쿠자와 가족 영화", "야쿠자와 가족")</f>
        <v>야쿠자와 가족</v>
      </c>
      <c r="C2099" s="12">
        <v>9.26</v>
      </c>
      <c r="D2099" s="13" t="s">
        <v>4306</v>
      </c>
      <c r="E2099" s="10" t="s">
        <v>19</v>
      </c>
      <c r="F2099" s="10">
        <v>2021</v>
      </c>
      <c r="G2099" s="10" t="s">
        <v>14</v>
      </c>
      <c r="H2099" s="11" t="s">
        <v>428</v>
      </c>
      <c r="I2099" s="10" t="s">
        <v>578</v>
      </c>
      <c r="J2099" s="131"/>
      <c r="K2099" s="149" t="s">
        <v>4307</v>
      </c>
    </row>
    <row r="2100" spans="1:11" ht="28.9" customHeight="1" thickTop="1" thickBot="1" x14ac:dyDescent="0.75">
      <c r="A2100" s="10">
        <v>2098</v>
      </c>
      <c r="B2100" s="57" t="str">
        <f>HYPERLINK("https://search.naver.com/search.naver?query=약속의 땅 영화", "약속의 땅")</f>
        <v>약속의 땅</v>
      </c>
      <c r="C2100" s="8"/>
      <c r="D2100" s="9" t="s">
        <v>4308</v>
      </c>
      <c r="E2100" s="6" t="s">
        <v>161</v>
      </c>
      <c r="F2100" s="6">
        <v>2023</v>
      </c>
      <c r="G2100" s="6" t="s">
        <v>14</v>
      </c>
      <c r="H2100" s="7" t="s">
        <v>20</v>
      </c>
      <c r="I2100" s="6" t="s">
        <v>210</v>
      </c>
      <c r="J2100" s="130"/>
      <c r="K2100" s="148" t="s">
        <v>4309</v>
      </c>
    </row>
    <row r="2101" spans="1:11" ht="28.9" customHeight="1" thickTop="1" thickBot="1" x14ac:dyDescent="0.75">
      <c r="A2101" s="6">
        <v>2099</v>
      </c>
      <c r="B2101" s="58" t="str">
        <f>HYPERLINK("https://search.naver.com/search.naver?query=양귀비 왕조의 여인 영화", "양귀비 - 왕조의 여인")</f>
        <v>양귀비 - 왕조의 여인</v>
      </c>
      <c r="C2101" s="12"/>
      <c r="D2101" s="13"/>
      <c r="E2101" s="10" t="s">
        <v>186</v>
      </c>
      <c r="F2101" s="10">
        <v>2015</v>
      </c>
      <c r="G2101" s="10" t="s">
        <v>14</v>
      </c>
      <c r="H2101" s="11" t="s">
        <v>1548</v>
      </c>
      <c r="I2101" s="10" t="s">
        <v>150</v>
      </c>
      <c r="J2101" s="131"/>
      <c r="K2101" s="149" t="s">
        <v>4310</v>
      </c>
    </row>
    <row r="2102" spans="1:11" ht="28.9" customHeight="1" thickTop="1" thickBot="1" x14ac:dyDescent="0.75">
      <c r="A2102" s="10">
        <v>2100</v>
      </c>
      <c r="B2102" s="57" t="str">
        <f>HYPERLINK("https://search.naver.com/search.naver?query=양들의 침묵 영화", "양들의 침묵")</f>
        <v>양들의 침묵</v>
      </c>
      <c r="C2102" s="8">
        <v>9.2100000000000009</v>
      </c>
      <c r="D2102" s="9" t="s">
        <v>4311</v>
      </c>
      <c r="E2102" s="6" t="s">
        <v>24</v>
      </c>
      <c r="F2102" s="6">
        <v>1991</v>
      </c>
      <c r="G2102" s="6" t="s">
        <v>14</v>
      </c>
      <c r="H2102" s="7" t="s">
        <v>54</v>
      </c>
      <c r="I2102" s="6" t="s">
        <v>329</v>
      </c>
      <c r="J2102" s="130"/>
      <c r="K2102" s="148" t="s">
        <v>4312</v>
      </c>
    </row>
    <row r="2103" spans="1:11" ht="28.9" customHeight="1" thickTop="1" thickBot="1" x14ac:dyDescent="0.75">
      <c r="A2103" s="10">
        <v>2101</v>
      </c>
      <c r="B2103" s="58" t="str">
        <f>HYPERLINK("https://search.naver.com/search.naver?query=양봉꾼 영화", "양봉꾼")</f>
        <v>양봉꾼</v>
      </c>
      <c r="C2103" s="12"/>
      <c r="D2103" s="13" t="s">
        <v>4313</v>
      </c>
      <c r="E2103" s="10" t="s">
        <v>24</v>
      </c>
      <c r="F2103" s="10">
        <v>2024</v>
      </c>
      <c r="G2103" s="10" t="s">
        <v>14</v>
      </c>
      <c r="H2103" s="11" t="s">
        <v>124</v>
      </c>
      <c r="I2103" s="10" t="s">
        <v>175</v>
      </c>
      <c r="J2103" s="131"/>
      <c r="K2103" s="149" t="s">
        <v>4314</v>
      </c>
    </row>
    <row r="2104" spans="1:11" ht="28.9" customHeight="1" thickTop="1" thickBot="1" x14ac:dyDescent="0.75">
      <c r="A2104" s="6">
        <v>2102</v>
      </c>
      <c r="B2104" s="57" t="str">
        <f>HYPERLINK("https://search.naver.com/search.naver?query=양의 나무 영화", "양의 나무")</f>
        <v>양의 나무</v>
      </c>
      <c r="C2104" s="8">
        <v>7.33</v>
      </c>
      <c r="D2104" s="9" t="s">
        <v>4315</v>
      </c>
      <c r="E2104" s="6" t="s">
        <v>19</v>
      </c>
      <c r="F2104" s="6">
        <v>2018</v>
      </c>
      <c r="G2104" s="6" t="s">
        <v>14</v>
      </c>
      <c r="H2104" s="7" t="s">
        <v>54</v>
      </c>
      <c r="I2104" s="6" t="s">
        <v>105</v>
      </c>
      <c r="J2104" s="130"/>
      <c r="K2104" s="148" t="s">
        <v>4316</v>
      </c>
    </row>
    <row r="2105" spans="1:11" ht="28.9" customHeight="1" thickTop="1" thickBot="1" x14ac:dyDescent="0.75">
      <c r="A2105" s="10">
        <v>2103</v>
      </c>
      <c r="B2105" s="58" t="str">
        <f>HYPERLINK("https://search.naver.com/search.naver?query=양지의 그녀 영화", "양지의 그녀")</f>
        <v>양지의 그녀</v>
      </c>
      <c r="C2105" s="12">
        <v>9.07</v>
      </c>
      <c r="D2105" s="13" t="s">
        <v>4317</v>
      </c>
      <c r="E2105" s="10" t="s">
        <v>19</v>
      </c>
      <c r="F2105" s="10">
        <v>2013</v>
      </c>
      <c r="G2105" s="10" t="s">
        <v>14</v>
      </c>
      <c r="H2105" s="11" t="s">
        <v>20</v>
      </c>
      <c r="I2105" s="10" t="s">
        <v>150</v>
      </c>
      <c r="J2105" s="131"/>
      <c r="K2105" s="149" t="s">
        <v>4318</v>
      </c>
    </row>
    <row r="2106" spans="1:11" ht="28.9" customHeight="1" thickTop="1" thickBot="1" x14ac:dyDescent="0.75">
      <c r="A2106" s="10">
        <v>2104</v>
      </c>
      <c r="B2106" s="57" t="str">
        <f>HYPERLINK("https://search.naver.com/search.naver?query=어 독스 웨이 홈 영화", "어 독스 웨이 홈")</f>
        <v>어 독스 웨이 홈</v>
      </c>
      <c r="C2106" s="8"/>
      <c r="D2106" s="9" t="s">
        <v>4319</v>
      </c>
      <c r="E2106" s="6" t="s">
        <v>24</v>
      </c>
      <c r="F2106" s="6">
        <v>2019</v>
      </c>
      <c r="G2106" s="6" t="s">
        <v>14</v>
      </c>
      <c r="H2106" s="7" t="s">
        <v>20</v>
      </c>
      <c r="I2106" s="6" t="s">
        <v>80</v>
      </c>
      <c r="J2106" s="130"/>
      <c r="K2106" s="148" t="s">
        <v>3644</v>
      </c>
    </row>
    <row r="2107" spans="1:11" ht="28.9" customHeight="1" thickTop="1" thickBot="1" x14ac:dyDescent="0.75">
      <c r="A2107" s="6">
        <v>2105</v>
      </c>
      <c r="B2107" s="58" t="str">
        <f>HYPERLINK("https://search.naver.com/search.naver?query=어 리틀 빗 오브 헤븐 영화", "어 리틀 빗 오브 헤븐")</f>
        <v>어 리틀 빗 오브 헤븐</v>
      </c>
      <c r="C2107" s="12"/>
      <c r="D2107" s="13" t="s">
        <v>4320</v>
      </c>
      <c r="E2107" s="10" t="s">
        <v>24</v>
      </c>
      <c r="F2107" s="10">
        <v>2011</v>
      </c>
      <c r="G2107" s="10" t="s">
        <v>14</v>
      </c>
      <c r="H2107" s="11" t="s">
        <v>91</v>
      </c>
      <c r="I2107" s="10" t="s">
        <v>443</v>
      </c>
      <c r="J2107" s="131"/>
      <c r="K2107" s="149" t="s">
        <v>4321</v>
      </c>
    </row>
    <row r="2108" spans="1:11" ht="28.9" customHeight="1" thickTop="1" thickBot="1" x14ac:dyDescent="0.75">
      <c r="A2108" s="10">
        <v>2106</v>
      </c>
      <c r="B2108" s="57" t="str">
        <f>HYPERLINK("https://search.naver.com/search.naver?query=어 뷰티풀 데이 인 더 네이버후드 영화", "어 뷰티풀 데이 인 더 네이버후드")</f>
        <v>어 뷰티풀 데이 인 더 네이버후드</v>
      </c>
      <c r="C2108" s="8">
        <v>9.3800000000000008</v>
      </c>
      <c r="D2108" s="9" t="s">
        <v>4322</v>
      </c>
      <c r="E2108" s="6" t="s">
        <v>24</v>
      </c>
      <c r="F2108" s="6">
        <v>2019</v>
      </c>
      <c r="G2108" s="6" t="s">
        <v>14</v>
      </c>
      <c r="H2108" s="7" t="s">
        <v>20</v>
      </c>
      <c r="I2108" s="6" t="s">
        <v>101</v>
      </c>
      <c r="J2108" s="130"/>
      <c r="K2108" s="148" t="s">
        <v>4323</v>
      </c>
    </row>
    <row r="2109" spans="1:11" ht="28.9" customHeight="1" thickTop="1" thickBot="1" x14ac:dyDescent="0.75">
      <c r="A2109" s="10">
        <v>2107</v>
      </c>
      <c r="B2109" s="58" t="str">
        <f>HYPERLINK("https://search.naver.com/search.naver?query=어 워크 인 더 우즈 영화", "어 워크 인 더 우즈")</f>
        <v>어 워크 인 더 우즈</v>
      </c>
      <c r="C2109" s="12"/>
      <c r="D2109" s="13" t="s">
        <v>4324</v>
      </c>
      <c r="E2109" s="10" t="s">
        <v>24</v>
      </c>
      <c r="F2109" s="10">
        <v>2015</v>
      </c>
      <c r="G2109" s="10" t="s">
        <v>14</v>
      </c>
      <c r="H2109" s="11" t="s">
        <v>1452</v>
      </c>
      <c r="I2109" s="10" t="s">
        <v>242</v>
      </c>
      <c r="J2109" s="131"/>
      <c r="K2109" s="149" t="s">
        <v>4325</v>
      </c>
    </row>
    <row r="2110" spans="1:11" ht="28.9" customHeight="1" thickTop="1" thickBot="1" x14ac:dyDescent="0.75">
      <c r="A2110" s="6">
        <v>2108</v>
      </c>
      <c r="B2110" s="57" t="str">
        <f>HYPERLINK("https://search.naver.com/search.naver?query=어 퍼펙트 데이 영화", "어 퍼펙트 데이")</f>
        <v>어 퍼펙트 데이</v>
      </c>
      <c r="C2110" s="8">
        <v>8.08</v>
      </c>
      <c r="D2110" s="9" t="s">
        <v>4326</v>
      </c>
      <c r="E2110" s="6" t="s">
        <v>37</v>
      </c>
      <c r="F2110" s="6">
        <v>2015</v>
      </c>
      <c r="G2110" s="6" t="s">
        <v>14</v>
      </c>
      <c r="H2110" s="7" t="s">
        <v>91</v>
      </c>
      <c r="I2110" s="6" t="s">
        <v>443</v>
      </c>
      <c r="J2110" s="130"/>
      <c r="K2110" s="148" t="s">
        <v>4327</v>
      </c>
    </row>
    <row r="2111" spans="1:11" ht="28.9" customHeight="1" thickTop="1" thickBot="1" x14ac:dyDescent="0.75">
      <c r="A2111" s="10">
        <v>2109</v>
      </c>
      <c r="B2111" s="58" t="str">
        <f>HYPERLINK("https://search.naver.com/search.naver?query=어 프라이빗 워 영화", "어 프라이빗 워")</f>
        <v>어 프라이빗 워</v>
      </c>
      <c r="C2111" s="12"/>
      <c r="D2111" s="13" t="s">
        <v>4328</v>
      </c>
      <c r="E2111" s="10" t="s">
        <v>29</v>
      </c>
      <c r="F2111" s="10">
        <v>2018</v>
      </c>
      <c r="G2111" s="10" t="s">
        <v>14</v>
      </c>
      <c r="H2111" s="11" t="s">
        <v>20</v>
      </c>
      <c r="I2111" s="10" t="s">
        <v>129</v>
      </c>
      <c r="J2111" s="131"/>
      <c r="K2111" s="149" t="s">
        <v>4329</v>
      </c>
    </row>
    <row r="2112" spans="1:11" ht="28.9" customHeight="1" thickTop="1" thickBot="1" x14ac:dyDescent="0.75">
      <c r="A2112" s="10">
        <v>2110</v>
      </c>
      <c r="B2112" s="57" t="str">
        <f>HYPERLINK("https://search.naver.com/search.naver?query=어거스트 가족의 초상 영화", "어거스트 - 가족의 초상")</f>
        <v>어거스트 - 가족의 초상</v>
      </c>
      <c r="C2112" s="8">
        <v>7.87</v>
      </c>
      <c r="D2112" s="9" t="s">
        <v>4330</v>
      </c>
      <c r="E2112" s="6" t="s">
        <v>24</v>
      </c>
      <c r="F2112" s="6">
        <v>2013</v>
      </c>
      <c r="G2112" s="6" t="s">
        <v>14</v>
      </c>
      <c r="H2112" s="7" t="s">
        <v>20</v>
      </c>
      <c r="I2112" s="6" t="s">
        <v>329</v>
      </c>
      <c r="J2112" s="130"/>
      <c r="K2112" s="148" t="s">
        <v>4331</v>
      </c>
    </row>
    <row r="2113" spans="1:11" ht="28.9" customHeight="1" thickTop="1" thickBot="1" x14ac:dyDescent="0.75">
      <c r="A2113" s="6">
        <v>2111</v>
      </c>
      <c r="B2113" s="58" t="str">
        <f>HYPERLINK("https://search.naver.com/search.naver?query=어거스트 러쉬 영화", "어거스트 러쉬")</f>
        <v>어거스트 러쉬</v>
      </c>
      <c r="C2113" s="12">
        <v>8.51</v>
      </c>
      <c r="D2113" s="13" t="s">
        <v>4332</v>
      </c>
      <c r="E2113" s="10" t="s">
        <v>24</v>
      </c>
      <c r="F2113" s="10">
        <v>2007</v>
      </c>
      <c r="G2113" s="10" t="s">
        <v>14</v>
      </c>
      <c r="H2113" s="11" t="s">
        <v>20</v>
      </c>
      <c r="I2113" s="10" t="s">
        <v>305</v>
      </c>
      <c r="J2113" s="131"/>
      <c r="K2113" s="149" t="s">
        <v>4333</v>
      </c>
    </row>
    <row r="2114" spans="1:11" ht="28.9" customHeight="1" thickTop="1" thickBot="1" x14ac:dyDescent="0.75">
      <c r="A2114" s="10">
        <v>2112</v>
      </c>
      <c r="B2114" s="57" t="str">
        <f>HYPERLINK("https://search.naver.com/search.naver?query=어게인 끝없는 도전 영화", "어게인 - 끝없는 도전")</f>
        <v>어게인 - 끝없는 도전</v>
      </c>
      <c r="C2114" s="8">
        <v>8.35</v>
      </c>
      <c r="D2114" s="9" t="s">
        <v>3152</v>
      </c>
      <c r="E2114" s="6" t="s">
        <v>19</v>
      </c>
      <c r="F2114" s="6">
        <v>2015</v>
      </c>
      <c r="G2114" s="6" t="s">
        <v>14</v>
      </c>
      <c r="H2114" s="7" t="s">
        <v>20</v>
      </c>
      <c r="I2114" s="6" t="s">
        <v>116</v>
      </c>
      <c r="J2114" s="130"/>
      <c r="K2114" s="148" t="s">
        <v>4334</v>
      </c>
    </row>
    <row r="2115" spans="1:11" ht="28.9" customHeight="1" thickTop="1" thickBot="1" x14ac:dyDescent="0.75">
      <c r="A2115" s="10">
        <v>2113</v>
      </c>
      <c r="B2115" s="58" t="str">
        <f>HYPERLINK("https://search.naver.com/search.naver?query=어글리 트루스 영화", "어글리 트루스")</f>
        <v>어글리 트루스</v>
      </c>
      <c r="C2115" s="12">
        <v>8.41</v>
      </c>
      <c r="D2115" s="13" t="s">
        <v>4335</v>
      </c>
      <c r="E2115" s="10" t="s">
        <v>24</v>
      </c>
      <c r="F2115" s="10">
        <v>2009</v>
      </c>
      <c r="G2115" s="10" t="s">
        <v>14</v>
      </c>
      <c r="H2115" s="11" t="s">
        <v>91</v>
      </c>
      <c r="I2115" s="10" t="s">
        <v>80</v>
      </c>
      <c r="J2115" s="131"/>
      <c r="K2115" s="149" t="s">
        <v>4336</v>
      </c>
    </row>
    <row r="2116" spans="1:11" ht="28.9" customHeight="1" thickTop="1" thickBot="1" x14ac:dyDescent="0.75">
      <c r="A2116" s="6">
        <v>2114</v>
      </c>
      <c r="B2116" s="57" t="str">
        <f>HYPERLINK("https://search.naver.com/search.naver?query=어나더 어스 영화", "어나더 어스")</f>
        <v>어나더 어스</v>
      </c>
      <c r="C2116" s="8"/>
      <c r="D2116" s="9" t="s">
        <v>4337</v>
      </c>
      <c r="E2116" s="6" t="s">
        <v>24</v>
      </c>
      <c r="F2116" s="6">
        <v>2011</v>
      </c>
      <c r="G2116" s="6" t="s">
        <v>14</v>
      </c>
      <c r="H2116" s="7" t="s">
        <v>877</v>
      </c>
      <c r="I2116" s="6" t="s">
        <v>205</v>
      </c>
      <c r="J2116" s="130"/>
      <c r="K2116" s="148" t="s">
        <v>4338</v>
      </c>
    </row>
    <row r="2117" spans="1:11" ht="28.9" customHeight="1" thickTop="1" thickBot="1" x14ac:dyDescent="0.75">
      <c r="A2117" s="10">
        <v>2115</v>
      </c>
      <c r="B2117" s="58" t="str">
        <f>HYPERLINK("https://search.naver.com/search.naver?query=어느 가족 영화", "어느 가족")</f>
        <v>어느 가족</v>
      </c>
      <c r="C2117" s="12">
        <v>9.24</v>
      </c>
      <c r="D2117" s="13" t="s">
        <v>4339</v>
      </c>
      <c r="E2117" s="10" t="s">
        <v>19</v>
      </c>
      <c r="F2117" s="10">
        <v>2018</v>
      </c>
      <c r="G2117" s="10" t="s">
        <v>14</v>
      </c>
      <c r="H2117" s="11" t="s">
        <v>20</v>
      </c>
      <c r="I2117" s="10" t="s">
        <v>195</v>
      </c>
      <c r="J2117" s="131"/>
      <c r="K2117" s="149" t="s">
        <v>4340</v>
      </c>
    </row>
    <row r="2118" spans="1:11" ht="28.9" customHeight="1" thickTop="1" thickBot="1" x14ac:dyDescent="0.75">
      <c r="A2118" s="10">
        <v>2116</v>
      </c>
      <c r="B2118" s="59" t="str">
        <f>HYPERLINK("https://search.naver.com/search.naver?query=어느 날", "어느 날")</f>
        <v>어느 날</v>
      </c>
      <c r="C2118" s="16"/>
      <c r="D2118" s="17" t="s">
        <v>4341</v>
      </c>
      <c r="E2118" s="14" t="s">
        <v>13</v>
      </c>
      <c r="F2118" s="14">
        <v>2021</v>
      </c>
      <c r="G2118" s="14" t="s">
        <v>20</v>
      </c>
      <c r="H2118" s="15" t="s">
        <v>20</v>
      </c>
      <c r="I2118" s="14" t="s">
        <v>71</v>
      </c>
      <c r="J2118" s="132"/>
      <c r="K2118" s="150" t="s">
        <v>4342</v>
      </c>
    </row>
    <row r="2119" spans="1:11" ht="28.9" customHeight="1" thickTop="1" thickBot="1" x14ac:dyDescent="0.75">
      <c r="A2119" s="6">
        <v>2117</v>
      </c>
      <c r="B2119" s="58" t="str">
        <f>HYPERLINK("https://search.naver.com/search.naver?query=어느 날 인생이 엉켰다 영화", "어느 날 인생이 엉켰다")</f>
        <v>어느 날 인생이 엉켰다</v>
      </c>
      <c r="C2119" s="12">
        <v>8.6</v>
      </c>
      <c r="D2119" s="13" t="s">
        <v>4343</v>
      </c>
      <c r="E2119" s="10" t="s">
        <v>24</v>
      </c>
      <c r="F2119" s="10">
        <v>2018</v>
      </c>
      <c r="G2119" s="10" t="s">
        <v>14</v>
      </c>
      <c r="H2119" s="11" t="s">
        <v>20</v>
      </c>
      <c r="I2119" s="10" t="s">
        <v>16</v>
      </c>
      <c r="J2119" s="131"/>
      <c r="K2119" s="149" t="s">
        <v>4344</v>
      </c>
    </row>
    <row r="2120" spans="1:11" ht="28.9" customHeight="1" thickTop="1" thickBot="1" x14ac:dyDescent="0.75">
      <c r="A2120" s="10">
        <v>2118</v>
      </c>
      <c r="B2120" s="57" t="str">
        <f>HYPERLINK("https://search.naver.com/search.naver?query=어느 날, 사랑이 걸어왔다 영화", "어느 날, 사랑이 걸어왔다")</f>
        <v>어느 날, 사랑이 걸어왔다</v>
      </c>
      <c r="C2120" s="8">
        <v>8.86</v>
      </c>
      <c r="D2120" s="9" t="s">
        <v>4345</v>
      </c>
      <c r="E2120" s="6" t="s">
        <v>310</v>
      </c>
      <c r="F2120" s="6">
        <v>2012</v>
      </c>
      <c r="G2120" s="6" t="s">
        <v>14</v>
      </c>
      <c r="H2120" s="7" t="s">
        <v>165</v>
      </c>
      <c r="I2120" s="6" t="s">
        <v>133</v>
      </c>
      <c r="J2120" s="130"/>
      <c r="K2120" s="148" t="s">
        <v>4346</v>
      </c>
    </row>
    <row r="2121" spans="1:11" ht="28.9" customHeight="1" thickTop="1" thickBot="1" x14ac:dyDescent="0.75">
      <c r="A2121" s="10">
        <v>2119</v>
      </c>
      <c r="B2121" s="58" t="str">
        <f>HYPERLINK("https://search.naver.com/search.naver?query=어느 멋진 순간 영화", "어느 멋진 순간")</f>
        <v>어느 멋진 순간</v>
      </c>
      <c r="C2121" s="12">
        <v>7.82</v>
      </c>
      <c r="D2121" s="13" t="s">
        <v>4347</v>
      </c>
      <c r="E2121" s="10" t="s">
        <v>24</v>
      </c>
      <c r="F2121" s="10">
        <v>2006</v>
      </c>
      <c r="G2121" s="10" t="s">
        <v>14</v>
      </c>
      <c r="H2121" s="11" t="s">
        <v>165</v>
      </c>
      <c r="I2121" s="10" t="s">
        <v>120</v>
      </c>
      <c r="J2121" s="131"/>
      <c r="K2121" s="149" t="s">
        <v>4348</v>
      </c>
    </row>
    <row r="2122" spans="1:11" ht="28.9" customHeight="1" thickTop="1" thickBot="1" x14ac:dyDescent="0.75">
      <c r="A2122" s="6">
        <v>2120</v>
      </c>
      <c r="B2122" s="57" t="str">
        <f>HYPERLINK("https://search.naver.com/search.naver?query=어느날 영화", "어느날")</f>
        <v>어느날</v>
      </c>
      <c r="C2122" s="8">
        <v>8.3000000000000007</v>
      </c>
      <c r="D2122" s="9" t="s">
        <v>4349</v>
      </c>
      <c r="E2122" s="6" t="s">
        <v>13</v>
      </c>
      <c r="F2122" s="6">
        <v>2016</v>
      </c>
      <c r="G2122" s="6" t="s">
        <v>14</v>
      </c>
      <c r="H2122" s="7" t="s">
        <v>20</v>
      </c>
      <c r="I2122" s="6" t="s">
        <v>150</v>
      </c>
      <c r="J2122" s="130"/>
      <c r="K2122" s="148" t="s">
        <v>4350</v>
      </c>
    </row>
    <row r="2123" spans="1:11" ht="28.9" customHeight="1" thickTop="1" thickBot="1" x14ac:dyDescent="0.75">
      <c r="A2123" s="10">
        <v>2121</v>
      </c>
      <c r="B2123" s="58" t="str">
        <f>HYPERLINK("https://search.naver.com/search.naver?query=어니스트 씨프 영화", "어니스트 씨프")</f>
        <v>어니스트 씨프</v>
      </c>
      <c r="C2123" s="12">
        <v>8.65</v>
      </c>
      <c r="D2123" s="13" t="s">
        <v>4351</v>
      </c>
      <c r="E2123" s="10" t="s">
        <v>24</v>
      </c>
      <c r="F2123" s="10">
        <v>2020</v>
      </c>
      <c r="G2123" s="10" t="s">
        <v>14</v>
      </c>
      <c r="H2123" s="11" t="s">
        <v>124</v>
      </c>
      <c r="I2123" s="10" t="s">
        <v>109</v>
      </c>
      <c r="J2123" s="131"/>
      <c r="K2123" s="149" t="s">
        <v>4352</v>
      </c>
    </row>
    <row r="2124" spans="1:11" ht="28.9" customHeight="1" thickTop="1" thickBot="1" x14ac:dyDescent="0.75">
      <c r="A2124" s="10">
        <v>2122</v>
      </c>
      <c r="B2124" s="57" t="str">
        <f>HYPERLINK("https://search.naver.com/search.naver?query=어답트 어 하이웨이 영화", "어답트 어 하이웨이")</f>
        <v>어답트 어 하이웨이</v>
      </c>
      <c r="C2124" s="8">
        <v>8.65</v>
      </c>
      <c r="D2124" s="9" t="s">
        <v>4353</v>
      </c>
      <c r="E2124" s="6" t="s">
        <v>24</v>
      </c>
      <c r="F2124" s="6">
        <v>2019</v>
      </c>
      <c r="G2124" s="6" t="s">
        <v>14</v>
      </c>
      <c r="H2124" s="7" t="s">
        <v>20</v>
      </c>
      <c r="I2124" s="6" t="s">
        <v>904</v>
      </c>
      <c r="J2124" s="130"/>
      <c r="K2124" s="148" t="s">
        <v>1364</v>
      </c>
    </row>
    <row r="2125" spans="1:11" ht="28.9" customHeight="1" thickTop="1" thickBot="1" x14ac:dyDescent="0.75">
      <c r="A2125" s="6">
        <v>2123</v>
      </c>
      <c r="B2125" s="58" t="str">
        <f>HYPERLINK("https://search.naver.com/search.naver?query=어덜트 월드 영화", "어덜트 월드")</f>
        <v>어덜트 월드</v>
      </c>
      <c r="C2125" s="12">
        <v>7.87</v>
      </c>
      <c r="D2125" s="13" t="s">
        <v>4354</v>
      </c>
      <c r="E2125" s="10" t="s">
        <v>24</v>
      </c>
      <c r="F2125" s="10">
        <v>2013</v>
      </c>
      <c r="G2125" s="10" t="s">
        <v>14</v>
      </c>
      <c r="H2125" s="11" t="s">
        <v>91</v>
      </c>
      <c r="I2125" s="10" t="s">
        <v>169</v>
      </c>
      <c r="J2125" s="131"/>
      <c r="K2125" s="149" t="s">
        <v>4355</v>
      </c>
    </row>
    <row r="2126" spans="1:11" ht="28.9" customHeight="1" thickTop="1" thickBot="1" x14ac:dyDescent="0.75">
      <c r="A2126" s="10">
        <v>2124</v>
      </c>
      <c r="B2126" s="57" t="str">
        <f>HYPERLINK("https://search.naver.com/search.naver?query=어둠 속의 빛 영화", "어둠 속의 빛")</f>
        <v>어둠 속의 빛</v>
      </c>
      <c r="C2126" s="8">
        <v>8.31</v>
      </c>
      <c r="D2126" s="9" t="s">
        <v>4356</v>
      </c>
      <c r="E2126" s="6" t="s">
        <v>136</v>
      </c>
      <c r="F2126" s="6">
        <v>2013</v>
      </c>
      <c r="G2126" s="6" t="s">
        <v>14</v>
      </c>
      <c r="H2126" s="7" t="s">
        <v>20</v>
      </c>
      <c r="I2126" s="6" t="s">
        <v>30</v>
      </c>
      <c r="J2126" s="130"/>
      <c r="K2126" s="148" t="s">
        <v>4357</v>
      </c>
    </row>
    <row r="2127" spans="1:11" ht="28.9" customHeight="1" thickTop="1" thickBot="1" x14ac:dyDescent="0.75">
      <c r="A2127" s="10">
        <v>2125</v>
      </c>
      <c r="B2127" s="58" t="str">
        <f>HYPERLINK("https://search.naver.com/search.naver?query=어둠의 아이들 영화", "어둠의 아이들")</f>
        <v>어둠의 아이들</v>
      </c>
      <c r="C2127" s="12">
        <v>7.08</v>
      </c>
      <c r="D2127" s="13" t="s">
        <v>4358</v>
      </c>
      <c r="E2127" s="10" t="s">
        <v>19</v>
      </c>
      <c r="F2127" s="10">
        <v>2008</v>
      </c>
      <c r="G2127" s="10" t="s">
        <v>14</v>
      </c>
      <c r="H2127" s="11" t="s">
        <v>20</v>
      </c>
      <c r="I2127" s="10" t="s">
        <v>150</v>
      </c>
      <c r="J2127" s="131"/>
      <c r="K2127" s="149" t="s">
        <v>4359</v>
      </c>
    </row>
    <row r="2128" spans="1:11" ht="28.9" customHeight="1" thickTop="1" thickBot="1" x14ac:dyDescent="0.75">
      <c r="A2128" s="6">
        <v>2126</v>
      </c>
      <c r="B2128" s="57" t="str">
        <f>HYPERLINK("https://search.naver.com/search.naver?query=어드리프트 우리가 함께한 바다 영화", "어드리프트-우리가 함께한 바다")</f>
        <v>어드리프트-우리가 함께한 바다</v>
      </c>
      <c r="C2128" s="8">
        <v>8.8000000000000007</v>
      </c>
      <c r="D2128" s="9" t="s">
        <v>4360</v>
      </c>
      <c r="E2128" s="6" t="s">
        <v>24</v>
      </c>
      <c r="F2128" s="6">
        <v>2018</v>
      </c>
      <c r="G2128" s="6" t="s">
        <v>14</v>
      </c>
      <c r="H2128" s="7" t="s">
        <v>20</v>
      </c>
      <c r="I2128" s="6" t="s">
        <v>80</v>
      </c>
      <c r="J2128" s="130"/>
      <c r="K2128" s="148" t="s">
        <v>4361</v>
      </c>
    </row>
    <row r="2129" spans="1:11" ht="28.9" customHeight="1" thickTop="1" thickBot="1" x14ac:dyDescent="0.75">
      <c r="A2129" s="10">
        <v>2127</v>
      </c>
      <c r="B2129" s="58" t="str">
        <f>HYPERLINK("https://search.naver.com/search.naver?query=어떤 만남 영화", "어떤 만남")</f>
        <v>어떤 만남</v>
      </c>
      <c r="C2129" s="12">
        <v>7.97</v>
      </c>
      <c r="D2129" s="13" t="s">
        <v>4362</v>
      </c>
      <c r="E2129" s="10" t="s">
        <v>310</v>
      </c>
      <c r="F2129" s="10">
        <v>2014</v>
      </c>
      <c r="G2129" s="10" t="s">
        <v>14</v>
      </c>
      <c r="H2129" s="11" t="s">
        <v>20</v>
      </c>
      <c r="I2129" s="10" t="s">
        <v>904</v>
      </c>
      <c r="J2129" s="131"/>
      <c r="K2129" s="149" t="s">
        <v>4363</v>
      </c>
    </row>
    <row r="2130" spans="1:11" ht="28.9" customHeight="1" thickTop="1" thickBot="1" x14ac:dyDescent="0.75">
      <c r="A2130" s="10">
        <v>2128</v>
      </c>
      <c r="B2130" s="57" t="str">
        <f>HYPERLINK("https://search.naver.com/search.naver?query=어머니와 살면 영화", "어머니와 살면")</f>
        <v>어머니와 살면</v>
      </c>
      <c r="C2130" s="8"/>
      <c r="D2130" s="9" t="s">
        <v>4364</v>
      </c>
      <c r="E2130" s="6" t="s">
        <v>19</v>
      </c>
      <c r="F2130" s="6">
        <v>2015</v>
      </c>
      <c r="G2130" s="6" t="s">
        <v>14</v>
      </c>
      <c r="H2130" s="7" t="s">
        <v>20</v>
      </c>
      <c r="I2130" s="6" t="s">
        <v>150</v>
      </c>
      <c r="J2130" s="130"/>
      <c r="K2130" s="148" t="s">
        <v>4365</v>
      </c>
    </row>
    <row r="2131" spans="1:11" ht="28.9" customHeight="1" thickTop="1" thickBot="1" x14ac:dyDescent="0.75">
      <c r="A2131" s="6">
        <v>2129</v>
      </c>
      <c r="B2131" s="58" t="str">
        <f>HYPERLINK("https://search.naver.com/search.naver?query=어메이징 스파이더맨 영화", "어메이징 스파이더맨")</f>
        <v>어메이징 스파이더맨</v>
      </c>
      <c r="C2131" s="12">
        <v>8.06</v>
      </c>
      <c r="D2131" s="13" t="s">
        <v>4366</v>
      </c>
      <c r="E2131" s="10" t="s">
        <v>24</v>
      </c>
      <c r="F2131" s="10">
        <v>2012</v>
      </c>
      <c r="G2131" s="10" t="s">
        <v>14</v>
      </c>
      <c r="H2131" s="11" t="s">
        <v>124</v>
      </c>
      <c r="I2131" s="10" t="s">
        <v>578</v>
      </c>
      <c r="J2131" s="131"/>
      <c r="K2131" s="149" t="s">
        <v>4367</v>
      </c>
    </row>
    <row r="2132" spans="1:11" ht="28.9" customHeight="1" thickTop="1" thickBot="1" x14ac:dyDescent="0.75">
      <c r="A2132" s="10">
        <v>2130</v>
      </c>
      <c r="B2132" s="57" t="str">
        <f>HYPERLINK("https://search.naver.com/search.naver?query=어메이징 스파이더맨2 영화", "어메이징 스파이더맨2")</f>
        <v>어메이징 스파이더맨2</v>
      </c>
      <c r="C2132" s="8">
        <v>8.06</v>
      </c>
      <c r="D2132" s="9" t="s">
        <v>4368</v>
      </c>
      <c r="E2132" s="6" t="s">
        <v>24</v>
      </c>
      <c r="F2132" s="6">
        <v>2014</v>
      </c>
      <c r="G2132" s="6" t="s">
        <v>14</v>
      </c>
      <c r="H2132" s="7" t="s">
        <v>124</v>
      </c>
      <c r="I2132" s="6" t="s">
        <v>356</v>
      </c>
      <c r="J2132" s="130"/>
      <c r="K2132" s="148" t="s">
        <v>4369</v>
      </c>
    </row>
    <row r="2133" spans="1:11" ht="28.9" customHeight="1" thickTop="1" thickBot="1" x14ac:dyDescent="0.75">
      <c r="A2133" s="10">
        <v>2131</v>
      </c>
      <c r="B2133" s="58" t="str">
        <f>HYPERLINK("https://search.naver.com/search.naver?query=어바웃 리키 영화", "어바웃 리키")</f>
        <v>어바웃 리키</v>
      </c>
      <c r="C2133" s="12">
        <v>8.08</v>
      </c>
      <c r="D2133" s="13" t="s">
        <v>4370</v>
      </c>
      <c r="E2133" s="10" t="s">
        <v>24</v>
      </c>
      <c r="F2133" s="10">
        <v>2015</v>
      </c>
      <c r="G2133" s="10" t="s">
        <v>14</v>
      </c>
      <c r="H2133" s="11" t="s">
        <v>20</v>
      </c>
      <c r="I2133" s="10" t="s">
        <v>150</v>
      </c>
      <c r="J2133" s="131"/>
      <c r="K2133" s="149" t="s">
        <v>4371</v>
      </c>
    </row>
    <row r="2134" spans="1:11" ht="28.9" customHeight="1" thickTop="1" thickBot="1" x14ac:dyDescent="0.75">
      <c r="A2134" s="6">
        <v>2132</v>
      </c>
      <c r="B2134" s="57" t="str">
        <f>HYPERLINK("https://search.naver.com/search.naver?query=어바웃 타임 영화", "어바웃 타임")</f>
        <v>어바웃 타임</v>
      </c>
      <c r="C2134" s="8">
        <v>9.25</v>
      </c>
      <c r="D2134" s="9" t="s">
        <v>4372</v>
      </c>
      <c r="E2134" s="6" t="s">
        <v>29</v>
      </c>
      <c r="F2134" s="6">
        <v>2013</v>
      </c>
      <c r="G2134" s="6" t="s">
        <v>14</v>
      </c>
      <c r="H2134" s="7" t="s">
        <v>165</v>
      </c>
      <c r="I2134" s="6" t="s">
        <v>76</v>
      </c>
      <c r="J2134" s="130"/>
      <c r="K2134" s="148" t="s">
        <v>4373</v>
      </c>
    </row>
    <row r="2135" spans="1:11" ht="28.9" customHeight="1" thickTop="1" thickBot="1" x14ac:dyDescent="0.75">
      <c r="A2135" s="10">
        <v>2133</v>
      </c>
      <c r="B2135" s="58" t="str">
        <f>HYPERLINK("https://search.naver.com/search.naver?query=어쌔신 더 비기닝 영화", "어쌔신 - 더 비기닝")</f>
        <v>어쌔신 - 더 비기닝</v>
      </c>
      <c r="C2135" s="12">
        <v>8.07</v>
      </c>
      <c r="D2135" s="13" t="s">
        <v>4374</v>
      </c>
      <c r="E2135" s="10" t="s">
        <v>186</v>
      </c>
      <c r="F2135" s="10">
        <v>2017</v>
      </c>
      <c r="G2135" s="10" t="s">
        <v>14</v>
      </c>
      <c r="H2135" s="11" t="s">
        <v>124</v>
      </c>
      <c r="I2135" s="10" t="s">
        <v>150</v>
      </c>
      <c r="J2135" s="131"/>
      <c r="K2135" s="149" t="s">
        <v>4375</v>
      </c>
    </row>
    <row r="2136" spans="1:11" ht="28.9" customHeight="1" thickTop="1" thickBot="1" x14ac:dyDescent="0.75">
      <c r="A2136" s="10">
        <v>2134</v>
      </c>
      <c r="B2136" s="57" t="str">
        <f>HYPERLINK("https://search.naver.com/search.naver?query=어웨이 프롬 허 영화", "어웨이 프롬 허")</f>
        <v>어웨이 프롬 허</v>
      </c>
      <c r="C2136" s="8">
        <v>7.87</v>
      </c>
      <c r="D2136" s="9" t="s">
        <v>4376</v>
      </c>
      <c r="E2136" s="6" t="s">
        <v>275</v>
      </c>
      <c r="F2136" s="6">
        <v>2006</v>
      </c>
      <c r="G2136" s="6" t="s">
        <v>14</v>
      </c>
      <c r="H2136" s="7" t="s">
        <v>20</v>
      </c>
      <c r="I2136" s="6" t="s">
        <v>129</v>
      </c>
      <c r="J2136" s="130"/>
      <c r="K2136" s="148" t="s">
        <v>4377</v>
      </c>
    </row>
    <row r="2137" spans="1:11" ht="28.9" customHeight="1" thickTop="1" thickBot="1" x14ac:dyDescent="0.75">
      <c r="A2137" s="6">
        <v>2135</v>
      </c>
      <c r="B2137" s="58" t="str">
        <f>HYPERLINK("https://search.naver.com/search.naver?query=어쩔수가없다 영화", "어쩔수가없다")</f>
        <v>어쩔수가없다</v>
      </c>
      <c r="C2137" s="12">
        <v>7.34</v>
      </c>
      <c r="D2137" s="13" t="s">
        <v>4378</v>
      </c>
      <c r="E2137" s="10" t="s">
        <v>13</v>
      </c>
      <c r="F2137" s="10">
        <v>2025</v>
      </c>
      <c r="G2137" s="10" t="s">
        <v>14</v>
      </c>
      <c r="H2137" s="11" t="s">
        <v>20</v>
      </c>
      <c r="I2137" s="10" t="s">
        <v>129</v>
      </c>
      <c r="J2137" s="131"/>
      <c r="K2137" s="149" t="s">
        <v>4379</v>
      </c>
    </row>
    <row r="2138" spans="1:11" ht="28.9" customHeight="1" thickTop="1" thickBot="1" x14ac:dyDescent="0.75">
      <c r="A2138" s="10">
        <v>2136</v>
      </c>
      <c r="B2138" s="57" t="str">
        <f>HYPERLINK("https://search.naver.com/search.naver?query=어카운턴트 영화", "어카운턴트")</f>
        <v>어카운턴트</v>
      </c>
      <c r="C2138" s="8">
        <v>8.15</v>
      </c>
      <c r="D2138" s="9" t="s">
        <v>4380</v>
      </c>
      <c r="E2138" s="6" t="s">
        <v>24</v>
      </c>
      <c r="F2138" s="6">
        <v>2016</v>
      </c>
      <c r="G2138" s="6" t="s">
        <v>14</v>
      </c>
      <c r="H2138" s="7" t="s">
        <v>124</v>
      </c>
      <c r="I2138" s="6" t="s">
        <v>146</v>
      </c>
      <c r="J2138" s="130"/>
      <c r="K2138" s="148" t="s">
        <v>4381</v>
      </c>
    </row>
    <row r="2139" spans="1:11" ht="28.9" customHeight="1" thickTop="1" thickBot="1" x14ac:dyDescent="0.75">
      <c r="A2139" s="10">
        <v>2137</v>
      </c>
      <c r="B2139" s="58" t="str">
        <f>HYPERLINK("https://search.naver.com/search.naver?query=어톤먼트 영화", "어톤먼트")</f>
        <v>어톤먼트</v>
      </c>
      <c r="C2139" s="12">
        <v>8.51</v>
      </c>
      <c r="D2139" s="13" t="s">
        <v>4382</v>
      </c>
      <c r="E2139" s="10" t="s">
        <v>29</v>
      </c>
      <c r="F2139" s="10">
        <v>2007</v>
      </c>
      <c r="G2139" s="10" t="s">
        <v>14</v>
      </c>
      <c r="H2139" s="11" t="s">
        <v>20</v>
      </c>
      <c r="I2139" s="10" t="s">
        <v>76</v>
      </c>
      <c r="J2139" s="131"/>
      <c r="K2139" s="149" t="s">
        <v>4383</v>
      </c>
    </row>
    <row r="2140" spans="1:11" ht="28.9" customHeight="1" thickTop="1" thickBot="1" x14ac:dyDescent="0.75">
      <c r="A2140" s="6">
        <v>2138</v>
      </c>
      <c r="B2140" s="57" t="str">
        <f>HYPERLINK("https://search.naver.com/search.naver?query=언노운 우먼 영화", "언노운 우먼")</f>
        <v>언노운 우먼</v>
      </c>
      <c r="C2140" s="8">
        <v>8.7200000000000006</v>
      </c>
      <c r="D2140" s="9" t="s">
        <v>4384</v>
      </c>
      <c r="E2140" s="6" t="s">
        <v>75</v>
      </c>
      <c r="F2140" s="6">
        <v>2006</v>
      </c>
      <c r="G2140" s="6" t="s">
        <v>14</v>
      </c>
      <c r="H2140" s="7" t="s">
        <v>20</v>
      </c>
      <c r="I2140" s="6" t="s">
        <v>150</v>
      </c>
      <c r="J2140" s="130"/>
      <c r="K2140" s="148" t="s">
        <v>4385</v>
      </c>
    </row>
    <row r="2141" spans="1:11" ht="28.9" customHeight="1" thickTop="1" thickBot="1" x14ac:dyDescent="0.75">
      <c r="A2141" s="10">
        <v>2139</v>
      </c>
      <c r="B2141" s="58" t="str">
        <f>HYPERLINK("https://search.naver.com/search.naver?query=언니 영화", "언니")</f>
        <v>언니</v>
      </c>
      <c r="C2141" s="12">
        <v>7.25</v>
      </c>
      <c r="D2141" s="13" t="s">
        <v>4386</v>
      </c>
      <c r="E2141" s="10" t="s">
        <v>13</v>
      </c>
      <c r="F2141" s="10">
        <v>2018</v>
      </c>
      <c r="G2141" s="10" t="s">
        <v>14</v>
      </c>
      <c r="H2141" s="11" t="s">
        <v>124</v>
      </c>
      <c r="I2141" s="10" t="s">
        <v>150</v>
      </c>
      <c r="J2141" s="131"/>
      <c r="K2141" s="149" t="s">
        <v>4387</v>
      </c>
    </row>
    <row r="2142" spans="1:11" ht="28.9" customHeight="1" thickTop="1" thickBot="1" x14ac:dyDescent="0.75">
      <c r="A2142" s="10">
        <v>2140</v>
      </c>
      <c r="B2142" s="57" t="str">
        <f>HYPERLINK("https://search.naver.com/search.naver?query=언더 워터 영화", "언더 워터")</f>
        <v>언더 워터</v>
      </c>
      <c r="C2142" s="8">
        <v>7.57</v>
      </c>
      <c r="D2142" s="9" t="s">
        <v>4388</v>
      </c>
      <c r="E2142" s="6" t="s">
        <v>24</v>
      </c>
      <c r="F2142" s="6">
        <v>2020</v>
      </c>
      <c r="G2142" s="6" t="s">
        <v>14</v>
      </c>
      <c r="H2142" s="7" t="s">
        <v>124</v>
      </c>
      <c r="I2142" s="6" t="s">
        <v>150</v>
      </c>
      <c r="J2142" s="130"/>
      <c r="K2142" s="148" t="s">
        <v>4389</v>
      </c>
    </row>
    <row r="2143" spans="1:11" ht="28.9" customHeight="1" thickTop="1" thickBot="1" x14ac:dyDescent="0.75">
      <c r="A2143" s="6">
        <v>2141</v>
      </c>
      <c r="B2143" s="58" t="str">
        <f>HYPERLINK("https://gamsgopromocode.com/movie/view.php?id=640090&amp;type=movie", "언더 유어 베드")</f>
        <v>언더 유어 베드</v>
      </c>
      <c r="C2143" s="12"/>
      <c r="D2143" s="13" t="s">
        <v>4390</v>
      </c>
      <c r="E2143" s="10" t="s">
        <v>19</v>
      </c>
      <c r="F2143" s="10">
        <v>2019</v>
      </c>
      <c r="G2143" s="10" t="s">
        <v>14</v>
      </c>
      <c r="H2143" s="11" t="s">
        <v>20</v>
      </c>
      <c r="I2143" s="10" t="s">
        <v>109</v>
      </c>
      <c r="J2143" s="131"/>
      <c r="K2143" s="149" t="s">
        <v>4391</v>
      </c>
    </row>
    <row r="2144" spans="1:11" ht="28.9" customHeight="1" thickTop="1" thickBot="1" x14ac:dyDescent="0.75">
      <c r="A2144" s="10">
        <v>2142</v>
      </c>
      <c r="B2144" s="57" t="str">
        <f>HYPERLINK("https://search.naver.com/search.naver?query=언더 파이어 영화", "언더 파이어")</f>
        <v>언더 파이어</v>
      </c>
      <c r="C2144" s="8">
        <v>6.4</v>
      </c>
      <c r="D2144" s="9"/>
      <c r="E2144" s="6" t="s">
        <v>24</v>
      </c>
      <c r="F2144" s="6">
        <v>2017</v>
      </c>
      <c r="G2144" s="6" t="s">
        <v>14</v>
      </c>
      <c r="H2144" s="7" t="s">
        <v>124</v>
      </c>
      <c r="I2144" s="6" t="s">
        <v>150</v>
      </c>
      <c r="J2144" s="130"/>
      <c r="K2144" s="148" t="s">
        <v>4392</v>
      </c>
    </row>
    <row r="2145" spans="1:11" ht="28.9" customHeight="1" thickTop="1" thickBot="1" x14ac:dyDescent="0.75">
      <c r="A2145" s="10">
        <v>2143</v>
      </c>
      <c r="B2145" s="58" t="str">
        <f>HYPERLINK("https://search.naver.com/search.naver?query=언더워터 영화", "언더워터")</f>
        <v>언더워터</v>
      </c>
      <c r="C2145" s="12">
        <v>7.57</v>
      </c>
      <c r="D2145" s="13" t="s">
        <v>4388</v>
      </c>
      <c r="E2145" s="10" t="s">
        <v>24</v>
      </c>
      <c r="F2145" s="10">
        <v>2020</v>
      </c>
      <c r="G2145" s="10" t="s">
        <v>14</v>
      </c>
      <c r="H2145" s="11" t="s">
        <v>124</v>
      </c>
      <c r="I2145" s="10" t="s">
        <v>150</v>
      </c>
      <c r="J2145" s="131"/>
      <c r="K2145" s="149" t="s">
        <v>4393</v>
      </c>
    </row>
    <row r="2146" spans="1:11" ht="28.9" customHeight="1" thickTop="1" thickBot="1" x14ac:dyDescent="0.75">
      <c r="A2146" s="6">
        <v>2144</v>
      </c>
      <c r="B2146" s="57" t="str">
        <f>HYPERLINK("https://search.naver.com/search.naver?query=언덕길의 아폴론 영화", "언덕길의 아폴론")</f>
        <v>언덕길의 아폴론</v>
      </c>
      <c r="C2146" s="8">
        <v>9.2899999999999991</v>
      </c>
      <c r="D2146" s="9" t="s">
        <v>4394</v>
      </c>
      <c r="E2146" s="6" t="s">
        <v>19</v>
      </c>
      <c r="F2146" s="6">
        <v>2018</v>
      </c>
      <c r="G2146" s="6" t="s">
        <v>14</v>
      </c>
      <c r="H2146" s="7" t="s">
        <v>20</v>
      </c>
      <c r="I2146" s="6" t="s">
        <v>116</v>
      </c>
      <c r="J2146" s="130"/>
      <c r="K2146" s="148" t="s">
        <v>4395</v>
      </c>
    </row>
    <row r="2147" spans="1:11" ht="28.9" customHeight="1" thickTop="1" thickBot="1" x14ac:dyDescent="0.75">
      <c r="A2147" s="10">
        <v>2145</v>
      </c>
      <c r="B2147" s="59" t="str">
        <f>HYPERLINK("https://search.naver.com/search.naver?query=언두잉", "언두잉")</f>
        <v>언두잉</v>
      </c>
      <c r="C2147" s="16"/>
      <c r="D2147" s="17" t="s">
        <v>4396</v>
      </c>
      <c r="E2147" s="14" t="s">
        <v>24</v>
      </c>
      <c r="F2147" s="14">
        <v>2021</v>
      </c>
      <c r="G2147" s="14" t="s">
        <v>20</v>
      </c>
      <c r="H2147" s="15" t="s">
        <v>20</v>
      </c>
      <c r="I2147" s="14" t="s">
        <v>247</v>
      </c>
      <c r="J2147" s="132"/>
      <c r="K2147" s="150" t="s">
        <v>4397</v>
      </c>
    </row>
    <row r="2148" spans="1:11" ht="28.9" customHeight="1" thickTop="1" thickBot="1" x14ac:dyDescent="0.75">
      <c r="A2148" s="10">
        <v>2146</v>
      </c>
      <c r="B2148" s="57" t="str">
        <f>HYPERLINK("https://search.naver.com/search.naver?query=언브로큰 영화", "언브로큰")</f>
        <v>언브로큰</v>
      </c>
      <c r="C2148" s="8">
        <v>8.06</v>
      </c>
      <c r="D2148" s="9" t="s">
        <v>4398</v>
      </c>
      <c r="E2148" s="6" t="s">
        <v>24</v>
      </c>
      <c r="F2148" s="6">
        <v>2014</v>
      </c>
      <c r="G2148" s="6" t="s">
        <v>14</v>
      </c>
      <c r="H2148" s="7" t="s">
        <v>20</v>
      </c>
      <c r="I2148" s="6" t="s">
        <v>269</v>
      </c>
      <c r="J2148" s="130"/>
      <c r="K2148" s="148" t="s">
        <v>2768</v>
      </c>
    </row>
    <row r="2149" spans="1:11" ht="28.9" customHeight="1" thickTop="1" thickBot="1" x14ac:dyDescent="0.75">
      <c r="A2149" s="6">
        <v>2147</v>
      </c>
      <c r="B2149" s="58" t="str">
        <f>HYPERLINK("https://search.naver.com/search.naver?query=언세인 영화", "언세인")</f>
        <v>언세인</v>
      </c>
      <c r="C2149" s="12">
        <v>6.4</v>
      </c>
      <c r="D2149" s="13" t="s">
        <v>4399</v>
      </c>
      <c r="E2149" s="10" t="s">
        <v>24</v>
      </c>
      <c r="F2149" s="10">
        <v>2018</v>
      </c>
      <c r="G2149" s="10" t="s">
        <v>14</v>
      </c>
      <c r="H2149" s="11" t="s">
        <v>54</v>
      </c>
      <c r="I2149" s="10" t="s">
        <v>16</v>
      </c>
      <c r="J2149" s="131"/>
      <c r="K2149" s="149" t="s">
        <v>4400</v>
      </c>
    </row>
    <row r="2150" spans="1:11" ht="28.9" customHeight="1" thickTop="1" thickBot="1" x14ac:dyDescent="0.75">
      <c r="A2150" s="10">
        <v>2148</v>
      </c>
      <c r="B2150" s="57" t="str">
        <f>HYPERLINK("https://search.naver.com/search.naver?query=언싱커블 영화", "언싱커블")</f>
        <v>언싱커블</v>
      </c>
      <c r="C2150" s="8">
        <v>8.6</v>
      </c>
      <c r="D2150" s="9" t="s">
        <v>4401</v>
      </c>
      <c r="E2150" s="6" t="s">
        <v>24</v>
      </c>
      <c r="F2150" s="6">
        <v>2010</v>
      </c>
      <c r="G2150" s="6" t="s">
        <v>14</v>
      </c>
      <c r="H2150" s="7" t="s">
        <v>54</v>
      </c>
      <c r="I2150" s="6" t="s">
        <v>169</v>
      </c>
      <c r="J2150" s="130"/>
      <c r="K2150" s="148" t="s">
        <v>4402</v>
      </c>
    </row>
    <row r="2151" spans="1:11" ht="28.9" customHeight="1" thickTop="1" thickBot="1" x14ac:dyDescent="0.75">
      <c r="A2151" s="10">
        <v>2149</v>
      </c>
      <c r="B2151" s="58" t="str">
        <f>HYPERLINK("https://search.naver.com/search.naver?query=언차티드 영화", "언차티드")</f>
        <v>언차티드</v>
      </c>
      <c r="C2151" s="12">
        <v>7.01</v>
      </c>
      <c r="D2151" s="13" t="s">
        <v>4403</v>
      </c>
      <c r="E2151" s="10" t="s">
        <v>24</v>
      </c>
      <c r="F2151" s="10">
        <v>2022</v>
      </c>
      <c r="G2151" s="10" t="s">
        <v>14</v>
      </c>
      <c r="H2151" s="11" t="s">
        <v>124</v>
      </c>
      <c r="I2151" s="10" t="s">
        <v>591</v>
      </c>
      <c r="J2151" s="131"/>
      <c r="K2151" s="149" t="s">
        <v>3087</v>
      </c>
    </row>
    <row r="2152" spans="1:11" ht="28.9" customHeight="1" thickTop="1" thickBot="1" x14ac:dyDescent="0.75">
      <c r="A2152" s="6">
        <v>2150</v>
      </c>
      <c r="B2152" s="57" t="str">
        <f>HYPERLINK("https://search.naver.com/search.naver?query=언컷 젬스 영화", "언컷 젬스")</f>
        <v>언컷 젬스</v>
      </c>
      <c r="C2152" s="8">
        <v>7.65</v>
      </c>
      <c r="D2152" s="9" t="s">
        <v>4404</v>
      </c>
      <c r="E2152" s="6" t="s">
        <v>24</v>
      </c>
      <c r="F2152" s="6">
        <v>2019</v>
      </c>
      <c r="G2152" s="6" t="s">
        <v>14</v>
      </c>
      <c r="H2152" s="7" t="s">
        <v>428</v>
      </c>
      <c r="I2152" s="6" t="s">
        <v>51</v>
      </c>
      <c r="J2152" s="130"/>
      <c r="K2152" s="148" t="s">
        <v>110</v>
      </c>
    </row>
    <row r="2153" spans="1:11" ht="28.9" customHeight="1" thickTop="1" thickBot="1" x14ac:dyDescent="0.75">
      <c r="A2153" s="10">
        <v>2151</v>
      </c>
      <c r="B2153" s="58" t="str">
        <f>HYPERLINK("https://search.naver.com/search.naver?query=언터처블: 1%의 우정 영화", "언터처블: 1%의 우정")</f>
        <v>언터처블: 1%의 우정</v>
      </c>
      <c r="C2153" s="12">
        <v>9.34</v>
      </c>
      <c r="D2153" s="13" t="s">
        <v>4405</v>
      </c>
      <c r="E2153" s="10" t="s">
        <v>310</v>
      </c>
      <c r="F2153" s="10">
        <v>2011</v>
      </c>
      <c r="G2153" s="10" t="s">
        <v>14</v>
      </c>
      <c r="H2153" s="11" t="s">
        <v>91</v>
      </c>
      <c r="I2153" s="10" t="s">
        <v>429</v>
      </c>
      <c r="J2153" s="131"/>
      <c r="K2153" s="149" t="s">
        <v>4406</v>
      </c>
    </row>
    <row r="2154" spans="1:11" ht="28.9" customHeight="1" thickTop="1" thickBot="1" x14ac:dyDescent="0.75">
      <c r="A2154" s="10">
        <v>2152</v>
      </c>
      <c r="B2154" s="57" t="str">
        <f>HYPERLINK("https://search.naver.com/search.naver?query=언페이스풀 영화", "언페이스풀")</f>
        <v>언페이스풀</v>
      </c>
      <c r="C2154" s="8">
        <v>8.58</v>
      </c>
      <c r="D2154" s="9" t="s">
        <v>4407</v>
      </c>
      <c r="E2154" s="6" t="s">
        <v>24</v>
      </c>
      <c r="F2154" s="6">
        <v>2002</v>
      </c>
      <c r="G2154" s="6" t="s">
        <v>14</v>
      </c>
      <c r="H2154" s="7" t="s">
        <v>20</v>
      </c>
      <c r="I2154" s="6" t="s">
        <v>183</v>
      </c>
      <c r="J2154" s="130"/>
      <c r="K2154" s="148" t="s">
        <v>4408</v>
      </c>
    </row>
    <row r="2155" spans="1:11" ht="28.9" customHeight="1" thickTop="1" thickBot="1" x14ac:dyDescent="0.75">
      <c r="A2155" s="6">
        <v>2153</v>
      </c>
      <c r="B2155" s="58" t="str">
        <f>HYPERLINK("https://search.naver.com/search.naver?query=언포기버블 영화", "언포기버블")</f>
        <v>언포기버블</v>
      </c>
      <c r="C2155" s="12">
        <v>7.95</v>
      </c>
      <c r="D2155" s="13" t="s">
        <v>4409</v>
      </c>
      <c r="E2155" s="10" t="s">
        <v>29</v>
      </c>
      <c r="F2155" s="10">
        <v>2021</v>
      </c>
      <c r="G2155" s="10" t="s">
        <v>14</v>
      </c>
      <c r="H2155" s="11" t="s">
        <v>20</v>
      </c>
      <c r="I2155" s="10" t="s">
        <v>429</v>
      </c>
      <c r="J2155" s="131"/>
      <c r="K2155" s="149" t="s">
        <v>4410</v>
      </c>
    </row>
    <row r="2156" spans="1:11" ht="28.9" customHeight="1" thickTop="1" thickBot="1" x14ac:dyDescent="0.75">
      <c r="A2156" s="10">
        <v>2154</v>
      </c>
      <c r="B2156" s="57" t="str">
        <f>HYPERLINK("https://search.naver.com/search.naver?query=언프렌디드 다크 웹 영화", "언프렌디드 다크 웹")</f>
        <v>언프렌디드 다크 웹</v>
      </c>
      <c r="C2156" s="8"/>
      <c r="D2156" s="9" t="s">
        <v>4411</v>
      </c>
      <c r="E2156" s="6" t="s">
        <v>24</v>
      </c>
      <c r="F2156" s="6">
        <v>2018</v>
      </c>
      <c r="G2156" s="6" t="s">
        <v>14</v>
      </c>
      <c r="H2156" s="7" t="s">
        <v>382</v>
      </c>
      <c r="I2156" s="6" t="s">
        <v>205</v>
      </c>
      <c r="J2156" s="130"/>
      <c r="K2156" s="148" t="s">
        <v>4412</v>
      </c>
    </row>
    <row r="2157" spans="1:11" ht="28.9" customHeight="1" thickTop="1" thickBot="1" x14ac:dyDescent="0.75">
      <c r="A2157" s="10">
        <v>2155</v>
      </c>
      <c r="B2157" s="58" t="str">
        <f>HYPERLINK("https://search.naver.com/search.naver?query=언피니쉬드 라이프 영화", "언피니쉬드 라이프")</f>
        <v>언피니쉬드 라이프</v>
      </c>
      <c r="C2157" s="12">
        <v>6.4</v>
      </c>
      <c r="D2157" s="13" t="s">
        <v>4413</v>
      </c>
      <c r="E2157" s="10" t="s">
        <v>24</v>
      </c>
      <c r="F2157" s="10">
        <v>2005</v>
      </c>
      <c r="G2157" s="10" t="s">
        <v>14</v>
      </c>
      <c r="H2157" s="11" t="s">
        <v>20</v>
      </c>
      <c r="I2157" s="10" t="s">
        <v>38</v>
      </c>
      <c r="J2157" s="131"/>
      <c r="K2157" s="149" t="s">
        <v>4414</v>
      </c>
    </row>
    <row r="2158" spans="1:11" ht="28.9" customHeight="1" thickTop="1" thickBot="1" x14ac:dyDescent="0.75">
      <c r="A2158" s="6">
        <v>2156</v>
      </c>
      <c r="B2158" s="57" t="str">
        <f>HYPERLINK("https://search.naver.com/search.naver?query=언힌지드 영화", "언힌지드")</f>
        <v>언힌지드</v>
      </c>
      <c r="C2158" s="8">
        <v>7.76</v>
      </c>
      <c r="D2158" s="9" t="s">
        <v>4415</v>
      </c>
      <c r="E2158" s="6" t="s">
        <v>24</v>
      </c>
      <c r="F2158" s="6">
        <v>2020</v>
      </c>
      <c r="G2158" s="6" t="s">
        <v>14</v>
      </c>
      <c r="H2158" s="7" t="s">
        <v>124</v>
      </c>
      <c r="I2158" s="6" t="s">
        <v>156</v>
      </c>
      <c r="J2158" s="130"/>
      <c r="K2158" s="148" t="s">
        <v>4416</v>
      </c>
    </row>
    <row r="2159" spans="1:11" ht="28.9" customHeight="1" thickTop="1" thickBot="1" x14ac:dyDescent="0.75">
      <c r="A2159" s="10">
        <v>2157</v>
      </c>
      <c r="B2159" s="58" t="str">
        <f>HYPERLINK("https://search.naver.com/search.naver?query=얼굴 도둑 영화", "얼굴 도둑")</f>
        <v>얼굴 도둑</v>
      </c>
      <c r="C2159" s="12">
        <v>7.93</v>
      </c>
      <c r="D2159" s="13" t="s">
        <v>4417</v>
      </c>
      <c r="E2159" s="10" t="s">
        <v>310</v>
      </c>
      <c r="F2159" s="10">
        <v>2016</v>
      </c>
      <c r="G2159" s="10" t="s">
        <v>14</v>
      </c>
      <c r="H2159" s="11" t="s">
        <v>428</v>
      </c>
      <c r="I2159" s="10" t="s">
        <v>120</v>
      </c>
      <c r="J2159" s="131"/>
      <c r="K2159" s="149" t="s">
        <v>4418</v>
      </c>
    </row>
    <row r="2160" spans="1:11" ht="28.9" customHeight="1" thickTop="1" thickBot="1" x14ac:dyDescent="0.75">
      <c r="A2160" s="10">
        <v>2158</v>
      </c>
      <c r="B2160" s="57" t="str">
        <f>HYPERLINK("https://search.naver.com/search.naver?query=얼라이드 영화", "얼라이드")</f>
        <v>얼라이드</v>
      </c>
      <c r="C2160" s="8">
        <v>8.58</v>
      </c>
      <c r="D2160" s="9" t="s">
        <v>4419</v>
      </c>
      <c r="E2160" s="6" t="s">
        <v>24</v>
      </c>
      <c r="F2160" s="6">
        <v>2016</v>
      </c>
      <c r="G2160" s="6" t="s">
        <v>14</v>
      </c>
      <c r="H2160" s="7" t="s">
        <v>124</v>
      </c>
      <c r="I2160" s="6" t="s">
        <v>183</v>
      </c>
      <c r="J2160" s="130"/>
      <c r="K2160" s="148" t="s">
        <v>4420</v>
      </c>
    </row>
    <row r="2161" spans="1:11" ht="28.9" customHeight="1" thickTop="1" thickBot="1" x14ac:dyDescent="0.75">
      <c r="A2161" s="6">
        <v>2159</v>
      </c>
      <c r="B2161" s="58" t="str">
        <f>HYPERLINK("https://search.naver.com/search.naver?query=얼라이브 영화", "얼라이브")</f>
        <v>얼라이브</v>
      </c>
      <c r="C2161" s="12">
        <v>9.07</v>
      </c>
      <c r="D2161" s="13" t="s">
        <v>4421</v>
      </c>
      <c r="E2161" s="10" t="s">
        <v>19</v>
      </c>
      <c r="F2161" s="10">
        <v>2015</v>
      </c>
      <c r="G2161" s="10" t="s">
        <v>14</v>
      </c>
      <c r="H2161" s="11" t="s">
        <v>20</v>
      </c>
      <c r="I2161" s="10" t="s">
        <v>150</v>
      </c>
      <c r="J2161" s="131"/>
      <c r="K2161" s="149" t="s">
        <v>2158</v>
      </c>
    </row>
    <row r="2162" spans="1:11" ht="28.9" customHeight="1" thickTop="1" thickBot="1" x14ac:dyDescent="0.75">
      <c r="A2162" s="10">
        <v>2160</v>
      </c>
      <c r="B2162" s="57" t="str">
        <f>HYPERLINK("https://search.naver.com/search.naver?query=얼어버린 시간 속에서 영화", "얼어버린 시간 속에서")</f>
        <v>얼어버린 시간 속에서</v>
      </c>
      <c r="C2162" s="8">
        <v>8.51</v>
      </c>
      <c r="D2162" s="9" t="s">
        <v>4422</v>
      </c>
      <c r="E2162" s="6" t="s">
        <v>4192</v>
      </c>
      <c r="F2162" s="6">
        <v>2022</v>
      </c>
      <c r="G2162" s="6" t="s">
        <v>14</v>
      </c>
      <c r="H2162" s="7" t="s">
        <v>1452</v>
      </c>
      <c r="I2162" s="6" t="s">
        <v>94</v>
      </c>
      <c r="J2162" s="130"/>
      <c r="K2162" s="148" t="s">
        <v>4423</v>
      </c>
    </row>
    <row r="2163" spans="1:11" ht="28.9" customHeight="1" thickTop="1" thickBot="1" x14ac:dyDescent="0.75">
      <c r="A2163" s="10">
        <v>2161</v>
      </c>
      <c r="B2163" s="58" t="str">
        <f>HYPERLINK("https://search.naver.com/search.naver?query=엄마 시집 보내기 영화", "엄마 시집 보내기")</f>
        <v>엄마 시집 보내기</v>
      </c>
      <c r="C2163" s="12"/>
      <c r="D2163" s="13" t="s">
        <v>4424</v>
      </c>
      <c r="E2163" s="10" t="s">
        <v>19</v>
      </c>
      <c r="F2163" s="10">
        <v>2010</v>
      </c>
      <c r="G2163" s="10" t="s">
        <v>14</v>
      </c>
      <c r="H2163" s="11" t="s">
        <v>20</v>
      </c>
      <c r="I2163" s="10" t="s">
        <v>129</v>
      </c>
      <c r="J2163" s="131"/>
      <c r="K2163" s="149" t="s">
        <v>913</v>
      </c>
    </row>
    <row r="2164" spans="1:11" ht="28.9" customHeight="1" thickTop="1" thickBot="1" x14ac:dyDescent="0.75">
      <c r="A2164" s="6">
        <v>2162</v>
      </c>
      <c r="B2164" s="57" t="str">
        <f>HYPERLINK("https://search.naver.com/search.naver?query=엄마의 레시피 영화", "엄마의 레시피")</f>
        <v>엄마의 레시피</v>
      </c>
      <c r="C2164" s="8">
        <v>6.81</v>
      </c>
      <c r="D2164" s="9" t="s">
        <v>4425</v>
      </c>
      <c r="E2164" s="6" t="s">
        <v>19</v>
      </c>
      <c r="F2164" s="6">
        <v>2018</v>
      </c>
      <c r="G2164" s="6" t="s">
        <v>14</v>
      </c>
      <c r="H2164" s="7" t="s">
        <v>20</v>
      </c>
      <c r="I2164" s="6" t="s">
        <v>120</v>
      </c>
      <c r="J2164" s="130"/>
      <c r="K2164" s="148" t="s">
        <v>4426</v>
      </c>
    </row>
    <row r="2165" spans="1:11" ht="28.9" customHeight="1" thickTop="1" thickBot="1" x14ac:dyDescent="0.75">
      <c r="A2165" s="10">
        <v>2163</v>
      </c>
      <c r="B2165" s="58" t="str">
        <f>HYPERLINK("https://search.naver.com/search.naver?query=엄청나게 시끄럽고 믿을 수 없게 가까운 영화", "엄청나게 시끄럽고 믿을 수 없게 가까운")</f>
        <v>엄청나게 시끄럽고 믿을 수 없게 가까운</v>
      </c>
      <c r="C2165" s="12">
        <v>6.4</v>
      </c>
      <c r="D2165" s="13" t="s">
        <v>4427</v>
      </c>
      <c r="E2165" s="10" t="s">
        <v>24</v>
      </c>
      <c r="F2165" s="10">
        <v>2011</v>
      </c>
      <c r="G2165" s="10" t="s">
        <v>14</v>
      </c>
      <c r="H2165" s="11" t="s">
        <v>20</v>
      </c>
      <c r="I2165" s="10" t="s">
        <v>85</v>
      </c>
      <c r="J2165" s="131"/>
      <c r="K2165" s="149" t="s">
        <v>4428</v>
      </c>
    </row>
    <row r="2166" spans="1:11" ht="28.9" customHeight="1" thickTop="1" thickBot="1" x14ac:dyDescent="0.75">
      <c r="A2166" s="10">
        <v>2164</v>
      </c>
      <c r="B2166" s="57" t="str">
        <f>HYPERLINK("https://search.naver.com/search.naver?query=업 포 러브 영화", "업 포 러브")</f>
        <v>업 포 러브</v>
      </c>
      <c r="C2166" s="8">
        <v>8.7799999999999994</v>
      </c>
      <c r="D2166" s="9" t="s">
        <v>4429</v>
      </c>
      <c r="E2166" s="6" t="s">
        <v>310</v>
      </c>
      <c r="F2166" s="6">
        <v>2016</v>
      </c>
      <c r="G2166" s="6" t="s">
        <v>14</v>
      </c>
      <c r="H2166" s="7" t="s">
        <v>91</v>
      </c>
      <c r="I2166" s="6" t="s">
        <v>16</v>
      </c>
      <c r="J2166" s="130"/>
      <c r="K2166" s="148" t="s">
        <v>4430</v>
      </c>
    </row>
    <row r="2167" spans="1:11" ht="28.9" customHeight="1" thickTop="1" thickBot="1" x14ac:dyDescent="0.75">
      <c r="A2167" s="6">
        <v>2165</v>
      </c>
      <c r="B2167" s="58" t="str">
        <f>HYPERLINK("https://search.naver.com/search.naver?query=업그레이드 영화", "업그레이드")</f>
        <v>업그레이드</v>
      </c>
      <c r="C2167" s="12">
        <v>9.1</v>
      </c>
      <c r="D2167" s="13" t="s">
        <v>4431</v>
      </c>
      <c r="E2167" s="10" t="s">
        <v>24</v>
      </c>
      <c r="F2167" s="10">
        <v>2018</v>
      </c>
      <c r="G2167" s="10" t="s">
        <v>14</v>
      </c>
      <c r="H2167" s="11" t="s">
        <v>124</v>
      </c>
      <c r="I2167" s="10" t="s">
        <v>179</v>
      </c>
      <c r="J2167" s="131"/>
      <c r="K2167" s="149" t="s">
        <v>4432</v>
      </c>
    </row>
    <row r="2168" spans="1:11" ht="28.9" customHeight="1" thickTop="1" thickBot="1" x14ac:dyDescent="0.75">
      <c r="A2168" s="10">
        <v>2166</v>
      </c>
      <c r="B2168" s="57" t="str">
        <f>HYPERLINK("https://search.naver.com/search.naver?query=업사이드 영화", "업사이드")</f>
        <v>업사이드</v>
      </c>
      <c r="C2168" s="8">
        <v>9.68</v>
      </c>
      <c r="D2168" s="9" t="s">
        <v>4433</v>
      </c>
      <c r="E2168" s="6" t="s">
        <v>24</v>
      </c>
      <c r="F2168" s="6">
        <v>2017</v>
      </c>
      <c r="G2168" s="6" t="s">
        <v>14</v>
      </c>
      <c r="H2168" s="7" t="s">
        <v>91</v>
      </c>
      <c r="I2168" s="6" t="s">
        <v>105</v>
      </c>
      <c r="J2168" s="130"/>
      <c r="K2168" s="148" t="s">
        <v>4434</v>
      </c>
    </row>
    <row r="2169" spans="1:11" ht="28.9" customHeight="1" thickTop="1" thickBot="1" x14ac:dyDescent="0.75">
      <c r="A2169" s="10">
        <v>2167</v>
      </c>
      <c r="B2169" s="58" t="str">
        <f>HYPERLINK("https://search.naver.com/search.naver?query=에곤 쉴레 욕망이 그린 그림 영화", "에곤 쉴레-욕망이 그린 그림")</f>
        <v>에곤 쉴레-욕망이 그린 그림</v>
      </c>
      <c r="C2169" s="12">
        <v>8.07</v>
      </c>
      <c r="D2169" s="13" t="s">
        <v>4435</v>
      </c>
      <c r="E2169" s="10" t="s">
        <v>4436</v>
      </c>
      <c r="F2169" s="10">
        <v>2016</v>
      </c>
      <c r="G2169" s="10" t="s">
        <v>14</v>
      </c>
      <c r="H2169" s="11" t="s">
        <v>20</v>
      </c>
      <c r="I2169" s="10" t="s">
        <v>129</v>
      </c>
      <c r="J2169" s="131"/>
      <c r="K2169" s="149" t="s">
        <v>4437</v>
      </c>
    </row>
    <row r="2170" spans="1:11" ht="28.9" customHeight="1" thickTop="1" thickBot="1" x14ac:dyDescent="0.75">
      <c r="A2170" s="6">
        <v>2168</v>
      </c>
      <c r="B2170" s="57" t="str">
        <f>HYPERLINK("https://search.naver.com/search.naver?query=에너미 영화", "에너미")</f>
        <v>에너미</v>
      </c>
      <c r="C2170" s="8">
        <v>7.12</v>
      </c>
      <c r="D2170" s="9" t="s">
        <v>4438</v>
      </c>
      <c r="E2170" s="6" t="s">
        <v>275</v>
      </c>
      <c r="F2170" s="6">
        <v>2013</v>
      </c>
      <c r="G2170" s="6" t="s">
        <v>14</v>
      </c>
      <c r="H2170" s="7" t="s">
        <v>54</v>
      </c>
      <c r="I2170" s="6" t="s">
        <v>361</v>
      </c>
      <c r="J2170" s="130"/>
      <c r="K2170" s="148" t="s">
        <v>4439</v>
      </c>
    </row>
    <row r="2171" spans="1:11" ht="28.9" customHeight="1" thickTop="1" thickBot="1" x14ac:dyDescent="0.75">
      <c r="A2171" s="10">
        <v>2169</v>
      </c>
      <c r="B2171" s="58" t="str">
        <f>HYPERLINK("https://search.naver.com/search.naver?query=에놀라 홈즈 영화", "에놀라 홈즈")</f>
        <v>에놀라 홈즈</v>
      </c>
      <c r="C2171" s="12"/>
      <c r="D2171" s="13" t="s">
        <v>4440</v>
      </c>
      <c r="E2171" s="10" t="s">
        <v>29</v>
      </c>
      <c r="F2171" s="10">
        <v>2020</v>
      </c>
      <c r="G2171" s="10" t="s">
        <v>14</v>
      </c>
      <c r="H2171" s="11" t="s">
        <v>194</v>
      </c>
      <c r="I2171" s="10" t="s">
        <v>76</v>
      </c>
      <c r="J2171" s="131"/>
      <c r="K2171" s="149" t="s">
        <v>4441</v>
      </c>
    </row>
    <row r="2172" spans="1:11" ht="28.9" customHeight="1" thickTop="1" thickBot="1" x14ac:dyDescent="0.75">
      <c r="A2172" s="10">
        <v>2170</v>
      </c>
      <c r="B2172" s="57" t="str">
        <f>HYPERLINK("https://search.naver.com/search.naver?query=에놀라 홈즈 2 영화", "에놀라 홈즈 2")</f>
        <v>에놀라 홈즈 2</v>
      </c>
      <c r="C2172" s="8">
        <v>8.3000000000000007</v>
      </c>
      <c r="D2172" s="9" t="s">
        <v>4442</v>
      </c>
      <c r="E2172" s="6" t="s">
        <v>29</v>
      </c>
      <c r="F2172" s="6">
        <v>2022</v>
      </c>
      <c r="G2172" s="6" t="s">
        <v>14</v>
      </c>
      <c r="H2172" s="7" t="s">
        <v>194</v>
      </c>
      <c r="I2172" s="6" t="s">
        <v>76</v>
      </c>
      <c r="J2172" s="130"/>
      <c r="K2172" s="148" t="s">
        <v>4443</v>
      </c>
    </row>
    <row r="2173" spans="1:11" ht="28.9" customHeight="1" thickTop="1" thickBot="1" x14ac:dyDescent="0.75">
      <c r="A2173" s="6">
        <v>2171</v>
      </c>
      <c r="B2173" s="58" t="str">
        <f>HYPERLINK("https://search.naver.com/search.naver?query=에드워드 영화", "에드워드")</f>
        <v>에드워드</v>
      </c>
      <c r="C2173" s="12">
        <v>8.11</v>
      </c>
      <c r="D2173" s="13" t="s">
        <v>4444</v>
      </c>
      <c r="E2173" s="10" t="s">
        <v>24</v>
      </c>
      <c r="F2173" s="10">
        <v>2015</v>
      </c>
      <c r="G2173" s="10" t="s">
        <v>14</v>
      </c>
      <c r="H2173" s="11" t="s">
        <v>20</v>
      </c>
      <c r="I2173" s="10" t="s">
        <v>150</v>
      </c>
      <c r="J2173" s="131"/>
      <c r="K2173" s="149" t="s">
        <v>3216</v>
      </c>
    </row>
    <row r="2174" spans="1:11" ht="28.9" customHeight="1" thickTop="1" thickBot="1" x14ac:dyDescent="0.75">
      <c r="A2174" s="10">
        <v>2172</v>
      </c>
      <c r="B2174" s="59" t="str">
        <f>HYPERLINK("https://search.naver.com/search.naver?query=에밀리 파리에 가다 시즌1", "에밀리 파리에 가다 시즌1")</f>
        <v>에밀리 파리에 가다 시즌1</v>
      </c>
      <c r="C2174" s="16"/>
      <c r="D2174" s="17" t="s">
        <v>4445</v>
      </c>
      <c r="E2174" s="14" t="s">
        <v>24</v>
      </c>
      <c r="F2174" s="14">
        <v>2020</v>
      </c>
      <c r="G2174" s="14" t="s">
        <v>20</v>
      </c>
      <c r="H2174" s="15" t="s">
        <v>20</v>
      </c>
      <c r="I2174" s="14" t="s">
        <v>64</v>
      </c>
      <c r="J2174" s="132"/>
      <c r="K2174" s="150" t="s">
        <v>4446</v>
      </c>
    </row>
    <row r="2175" spans="1:11" ht="28.9" customHeight="1" thickTop="1" thickBot="1" x14ac:dyDescent="0.75">
      <c r="A2175" s="10">
        <v>2173</v>
      </c>
      <c r="B2175" s="59" t="str">
        <f>HYPERLINK("https://search.naver.com/search.naver?query=에밀리 파리에 가다 시즌2", "에밀리 파리에 가다 시즌2")</f>
        <v>에밀리 파리에 가다 시즌2</v>
      </c>
      <c r="C2175" s="16"/>
      <c r="D2175" s="17" t="s">
        <v>4445</v>
      </c>
      <c r="E2175" s="14" t="s">
        <v>24</v>
      </c>
      <c r="F2175" s="14">
        <v>2021</v>
      </c>
      <c r="G2175" s="14" t="s">
        <v>20</v>
      </c>
      <c r="H2175" s="15" t="s">
        <v>20</v>
      </c>
      <c r="I2175" s="14" t="s">
        <v>64</v>
      </c>
      <c r="J2175" s="132"/>
      <c r="K2175" s="150" t="s">
        <v>1325</v>
      </c>
    </row>
    <row r="2176" spans="1:11" ht="28.9" customHeight="1" thickTop="1" thickBot="1" x14ac:dyDescent="0.75">
      <c r="A2176" s="6">
        <v>2174</v>
      </c>
      <c r="B2176" s="59" t="str">
        <f>HYPERLINK("https://search.naver.com/search.naver?query=에밀리 파리에 가다 시즌3", "에밀리 파리에 가다 시즌3")</f>
        <v>에밀리 파리에 가다 시즌3</v>
      </c>
      <c r="C2176" s="16"/>
      <c r="D2176" s="17" t="s">
        <v>4445</v>
      </c>
      <c r="E2176" s="14" t="s">
        <v>24</v>
      </c>
      <c r="F2176" s="14">
        <v>2022</v>
      </c>
      <c r="G2176" s="14" t="s">
        <v>20</v>
      </c>
      <c r="H2176" s="15" t="s">
        <v>20</v>
      </c>
      <c r="I2176" s="14" t="s">
        <v>64</v>
      </c>
      <c r="J2176" s="132"/>
      <c r="K2176" s="150" t="s">
        <v>3237</v>
      </c>
    </row>
    <row r="2177" spans="1:11" ht="28.9" customHeight="1" thickTop="1" thickBot="1" x14ac:dyDescent="0.75">
      <c r="A2177" s="10">
        <v>2175</v>
      </c>
      <c r="B2177" s="58" t="str">
        <f>HYPERLINK("https://search.naver.com/search.naver?query=에반 올마이티 영화", "에반 올마이티")</f>
        <v>에반 올마이티</v>
      </c>
      <c r="C2177" s="12">
        <v>8</v>
      </c>
      <c r="D2177" s="13" t="s">
        <v>4447</v>
      </c>
      <c r="E2177" s="10" t="s">
        <v>24</v>
      </c>
      <c r="F2177" s="10">
        <v>2007</v>
      </c>
      <c r="G2177" s="10" t="s">
        <v>14</v>
      </c>
      <c r="H2177" s="11" t="s">
        <v>91</v>
      </c>
      <c r="I2177" s="10" t="s">
        <v>80</v>
      </c>
      <c r="J2177" s="131"/>
      <c r="K2177" s="149" t="s">
        <v>4448</v>
      </c>
    </row>
    <row r="2178" spans="1:11" ht="28.9" customHeight="1" thickTop="1" thickBot="1" x14ac:dyDescent="0.75">
      <c r="A2178" s="10">
        <v>2176</v>
      </c>
      <c r="B2178" s="57" t="str">
        <f>HYPERLINK("https://search.naver.com/search.naver?query=에버 애프터 영화", "에버 애프터")</f>
        <v>에버 애프터</v>
      </c>
      <c r="C2178" s="8">
        <v>8.9499999999999993</v>
      </c>
      <c r="D2178" s="9" t="s">
        <v>4449</v>
      </c>
      <c r="E2178" s="6" t="s">
        <v>24</v>
      </c>
      <c r="F2178" s="6">
        <v>1998</v>
      </c>
      <c r="G2178" s="6" t="s">
        <v>14</v>
      </c>
      <c r="H2178" s="7" t="s">
        <v>20</v>
      </c>
      <c r="I2178" s="6" t="s">
        <v>195</v>
      </c>
      <c r="J2178" s="130"/>
      <c r="K2178" s="148" t="s">
        <v>4450</v>
      </c>
    </row>
    <row r="2179" spans="1:11" ht="28.9" customHeight="1" thickTop="1" thickBot="1" x14ac:dyDescent="0.75">
      <c r="A2179" s="6">
        <v>2177</v>
      </c>
      <c r="B2179" s="58" t="str">
        <f>HYPERLINK("https://search.naver.com/search.naver?query=에베레스트 영화", "에베레스트")</f>
        <v>에베레스트</v>
      </c>
      <c r="C2179" s="12">
        <v>7.81</v>
      </c>
      <c r="D2179" s="13" t="s">
        <v>4451</v>
      </c>
      <c r="E2179" s="10" t="s">
        <v>29</v>
      </c>
      <c r="F2179" s="10">
        <v>2015</v>
      </c>
      <c r="G2179" s="10" t="s">
        <v>14</v>
      </c>
      <c r="H2179" s="11" t="s">
        <v>124</v>
      </c>
      <c r="I2179" s="10" t="s">
        <v>195</v>
      </c>
      <c r="J2179" s="131"/>
      <c r="K2179" s="149" t="s">
        <v>4452</v>
      </c>
    </row>
    <row r="2180" spans="1:11" ht="28.9" customHeight="1" thickTop="1" thickBot="1" x14ac:dyDescent="0.75">
      <c r="A2180" s="10">
        <v>2178</v>
      </c>
      <c r="B2180" s="57" t="str">
        <f>HYPERLINK("https://search.naver.com/search.naver?query=에베레스트 신들의 봉우리 영화", "에베레스트 신들의 봉우리")</f>
        <v>에베레스트 신들의 봉우리</v>
      </c>
      <c r="C2180" s="8">
        <v>6.4</v>
      </c>
      <c r="D2180" s="9" t="s">
        <v>4453</v>
      </c>
      <c r="E2180" s="6" t="s">
        <v>19</v>
      </c>
      <c r="F2180" s="6">
        <v>2018</v>
      </c>
      <c r="G2180" s="6" t="s">
        <v>14</v>
      </c>
      <c r="H2180" s="7" t="s">
        <v>1452</v>
      </c>
      <c r="I2180" s="6" t="s">
        <v>150</v>
      </c>
      <c r="J2180" s="130"/>
      <c r="K2180" s="148" t="s">
        <v>4454</v>
      </c>
    </row>
    <row r="2181" spans="1:11" ht="28.9" customHeight="1" thickTop="1" thickBot="1" x14ac:dyDescent="0.75">
      <c r="A2181" s="10">
        <v>2179</v>
      </c>
      <c r="B2181" s="58" t="str">
        <f>HYPERLINK("https://search.naver.com/search.naver?query=에스코바르 영화", "에스코바르")</f>
        <v>에스코바르</v>
      </c>
      <c r="C2181" s="12">
        <v>8.6300000000000008</v>
      </c>
      <c r="D2181" s="13" t="s">
        <v>4455</v>
      </c>
      <c r="E2181" s="10" t="s">
        <v>24</v>
      </c>
      <c r="F2181" s="10">
        <v>2017</v>
      </c>
      <c r="G2181" s="10" t="s">
        <v>14</v>
      </c>
      <c r="H2181" s="11" t="s">
        <v>428</v>
      </c>
      <c r="I2181" s="10" t="s">
        <v>76</v>
      </c>
      <c r="J2181" s="131"/>
      <c r="K2181" s="149" t="s">
        <v>4456</v>
      </c>
    </row>
    <row r="2182" spans="1:11" ht="28.9" customHeight="1" thickTop="1" thickBot="1" x14ac:dyDescent="0.75">
      <c r="A2182" s="6">
        <v>2180</v>
      </c>
      <c r="B2182" s="57" t="str">
        <f>HYPERLINK("https://search.naver.com/search.naver?query=에어 영화", "에어")</f>
        <v>에어</v>
      </c>
      <c r="C2182" s="8">
        <v>8.07</v>
      </c>
      <c r="D2182" s="9" t="s">
        <v>4457</v>
      </c>
      <c r="E2182" s="6" t="s">
        <v>24</v>
      </c>
      <c r="F2182" s="6">
        <v>2023</v>
      </c>
      <c r="G2182" s="6" t="s">
        <v>14</v>
      </c>
      <c r="H2182" s="7" t="s">
        <v>20</v>
      </c>
      <c r="I2182" s="6" t="s">
        <v>429</v>
      </c>
      <c r="J2182" s="130"/>
      <c r="K2182" s="148" t="s">
        <v>4458</v>
      </c>
    </row>
    <row r="2183" spans="1:11" ht="28.9" customHeight="1" thickTop="1" thickBot="1" x14ac:dyDescent="0.75">
      <c r="A2183" s="10">
        <v>2181</v>
      </c>
      <c r="B2183" s="58" t="str">
        <f>HYPERLINK("https://search.naver.com/search.naver?query=에이리언 커버넌트 영화", "에이리언 - 커버넌트")</f>
        <v>에이리언 - 커버넌트</v>
      </c>
      <c r="C2183" s="12">
        <v>8.19</v>
      </c>
      <c r="D2183" s="13" t="s">
        <v>4459</v>
      </c>
      <c r="E2183" s="10" t="s">
        <v>24</v>
      </c>
      <c r="F2183" s="10">
        <v>2017</v>
      </c>
      <c r="G2183" s="10" t="s">
        <v>14</v>
      </c>
      <c r="H2183" s="11" t="s">
        <v>382</v>
      </c>
      <c r="I2183" s="10" t="s">
        <v>141</v>
      </c>
      <c r="J2183" s="131"/>
      <c r="K2183" s="149" t="s">
        <v>4460</v>
      </c>
    </row>
    <row r="2184" spans="1:11" ht="28.9" customHeight="1" thickTop="1" thickBot="1" x14ac:dyDescent="0.75">
      <c r="A2184" s="10">
        <v>2182</v>
      </c>
      <c r="B2184" s="57" t="str">
        <f>HYPERLINK("https://search.naver.com/search.naver?query=에이바 영화", "에이바")</f>
        <v>에이바</v>
      </c>
      <c r="C2184" s="8">
        <v>7.54</v>
      </c>
      <c r="D2184" s="9" t="s">
        <v>4461</v>
      </c>
      <c r="E2184" s="6" t="s">
        <v>24</v>
      </c>
      <c r="F2184" s="6">
        <v>2020</v>
      </c>
      <c r="G2184" s="6" t="s">
        <v>14</v>
      </c>
      <c r="H2184" s="7" t="s">
        <v>124</v>
      </c>
      <c r="I2184" s="6" t="s">
        <v>80</v>
      </c>
      <c r="J2184" s="130"/>
      <c r="K2184" s="148" t="s">
        <v>4389</v>
      </c>
    </row>
    <row r="2185" spans="1:11" ht="28.9" customHeight="1" thickTop="1" thickBot="1" x14ac:dyDescent="0.75">
      <c r="A2185" s="6">
        <v>2183</v>
      </c>
      <c r="B2185" s="58" t="str">
        <f>HYPERLINK("https://search.naver.com/search.naver?query=에코 벨리 영화", "에코 벨리")</f>
        <v>에코 벨리</v>
      </c>
      <c r="C2185" s="12"/>
      <c r="D2185" s="13" t="s">
        <v>4462</v>
      </c>
      <c r="E2185" s="10" t="s">
        <v>24</v>
      </c>
      <c r="F2185" s="10">
        <v>2025</v>
      </c>
      <c r="G2185" s="10" t="s">
        <v>14</v>
      </c>
      <c r="H2185" s="11" t="s">
        <v>54</v>
      </c>
      <c r="I2185" s="10" t="s">
        <v>129</v>
      </c>
      <c r="J2185" s="131"/>
      <c r="K2185" s="149" t="s">
        <v>4463</v>
      </c>
    </row>
    <row r="2186" spans="1:11" ht="28.9" customHeight="1" thickTop="1" thickBot="1" x14ac:dyDescent="0.75">
      <c r="A2186" s="10">
        <v>2184</v>
      </c>
      <c r="B2186" s="59" t="str">
        <f>HYPERLINK("https://search.naver.com/search.naver?query=에코3", "에코3")</f>
        <v>에코3</v>
      </c>
      <c r="C2186" s="16"/>
      <c r="D2186" s="17" t="s">
        <v>4464</v>
      </c>
      <c r="E2186" s="14" t="s">
        <v>24</v>
      </c>
      <c r="F2186" s="14">
        <v>2022</v>
      </c>
      <c r="G2186" s="14" t="s">
        <v>20</v>
      </c>
      <c r="H2186" s="15" t="s">
        <v>229</v>
      </c>
      <c r="I2186" s="14" t="s">
        <v>71</v>
      </c>
      <c r="J2186" s="132"/>
      <c r="K2186" s="150" t="s">
        <v>3237</v>
      </c>
    </row>
    <row r="2187" spans="1:11" ht="28.9" customHeight="1" thickTop="1" thickBot="1" x14ac:dyDescent="0.75">
      <c r="A2187" s="10">
        <v>2185</v>
      </c>
      <c r="B2187" s="58" t="str">
        <f>HYPERLINK("https://search.naver.com/search.naver?query=에펠 영화", "에펠")</f>
        <v>에펠</v>
      </c>
      <c r="C2187" s="12">
        <v>6.24</v>
      </c>
      <c r="D2187" s="13" t="s">
        <v>4465</v>
      </c>
      <c r="E2187" s="10" t="s">
        <v>310</v>
      </c>
      <c r="F2187" s="10">
        <v>2021</v>
      </c>
      <c r="G2187" s="10" t="s">
        <v>14</v>
      </c>
      <c r="H2187" s="11" t="s">
        <v>20</v>
      </c>
      <c r="I2187" s="10" t="s">
        <v>38</v>
      </c>
      <c r="J2187" s="131"/>
      <c r="K2187" s="149" t="s">
        <v>3192</v>
      </c>
    </row>
    <row r="2188" spans="1:11" ht="28.9" customHeight="1" thickTop="1" thickBot="1" x14ac:dyDescent="0.75">
      <c r="A2188" s="6">
        <v>2186</v>
      </c>
      <c r="B2188" s="57" t="str">
        <f>HYPERLINK("https://search.naver.com/search.naver?query=엑스페리먼트 영화", "엑스페리먼트")</f>
        <v>엑스페리먼트</v>
      </c>
      <c r="C2188" s="8">
        <v>6.31</v>
      </c>
      <c r="D2188" s="9" t="s">
        <v>4466</v>
      </c>
      <c r="E2188" s="6" t="s">
        <v>24</v>
      </c>
      <c r="F2188" s="6">
        <v>2010</v>
      </c>
      <c r="G2188" s="6" t="s">
        <v>14</v>
      </c>
      <c r="H2188" s="7" t="s">
        <v>54</v>
      </c>
      <c r="I2188" s="6" t="s">
        <v>80</v>
      </c>
      <c r="J2188" s="130"/>
      <c r="K2188" s="148" t="s">
        <v>4467</v>
      </c>
    </row>
    <row r="2189" spans="1:11" ht="28.9" customHeight="1" thickTop="1" thickBot="1" x14ac:dyDescent="0.75">
      <c r="A2189" s="10">
        <v>2187</v>
      </c>
      <c r="B2189" s="58" t="str">
        <f>HYPERLINK("https://search.naver.com/search.naver?query=엑시트", "엑시트")</f>
        <v>엑시트</v>
      </c>
      <c r="C2189" s="12">
        <v>8.99</v>
      </c>
      <c r="D2189" s="13" t="s">
        <v>4468</v>
      </c>
      <c r="E2189" s="10" t="s">
        <v>13</v>
      </c>
      <c r="F2189" s="10">
        <v>2019</v>
      </c>
      <c r="G2189" s="10" t="s">
        <v>14</v>
      </c>
      <c r="H2189" s="11" t="s">
        <v>124</v>
      </c>
      <c r="I2189" s="10" t="s">
        <v>276</v>
      </c>
      <c r="J2189" s="131"/>
      <c r="K2189" s="149" t="s">
        <v>3955</v>
      </c>
    </row>
    <row r="2190" spans="1:11" ht="28.9" customHeight="1" thickTop="1" thickBot="1" x14ac:dyDescent="0.75">
      <c r="A2190" s="10">
        <v>2188</v>
      </c>
      <c r="B2190" s="57" t="str">
        <f>HYPERLINK("https://search.naver.com/search.naver?query=엔더스 게임 영화", "엔더스 게임")</f>
        <v>엔더스 게임</v>
      </c>
      <c r="C2190" s="8">
        <v>7.19</v>
      </c>
      <c r="D2190" s="9" t="s">
        <v>4469</v>
      </c>
      <c r="E2190" s="6" t="s">
        <v>24</v>
      </c>
      <c r="F2190" s="6">
        <v>2013</v>
      </c>
      <c r="G2190" s="6" t="s">
        <v>14</v>
      </c>
      <c r="H2190" s="7" t="s">
        <v>877</v>
      </c>
      <c r="I2190" s="6" t="s">
        <v>305</v>
      </c>
      <c r="J2190" s="130"/>
      <c r="K2190" s="148" t="s">
        <v>4470</v>
      </c>
    </row>
    <row r="2191" spans="1:11" ht="28.9" customHeight="1" thickTop="1" thickBot="1" x14ac:dyDescent="0.75">
      <c r="A2191" s="6">
        <v>2189</v>
      </c>
      <c r="B2191" s="58" t="str">
        <f>HYPERLINK("https://search.naver.com/search.naver?query=엔드게임 나는 킬러다 영화", "엔드게임 나는 킬러다")</f>
        <v>엔드게임 나는 킬러다</v>
      </c>
      <c r="C2191" s="12">
        <v>8.1</v>
      </c>
      <c r="D2191" s="13" t="s">
        <v>4471</v>
      </c>
      <c r="E2191" s="10" t="s">
        <v>24</v>
      </c>
      <c r="F2191" s="10">
        <v>2022</v>
      </c>
      <c r="G2191" s="10" t="s">
        <v>14</v>
      </c>
      <c r="H2191" s="11" t="s">
        <v>226</v>
      </c>
      <c r="I2191" s="10" t="s">
        <v>150</v>
      </c>
      <c r="J2191" s="131"/>
      <c r="K2191" s="149" t="s">
        <v>4472</v>
      </c>
    </row>
    <row r="2192" spans="1:11" ht="28.9" customHeight="1" thickTop="1" thickBot="1" x14ac:dyDescent="0.75">
      <c r="A2192" s="10">
        <v>2190</v>
      </c>
      <c r="B2192" s="57" t="str">
        <f>HYPERLINK("https://search.naver.com/search.naver?query=엔들리스 러브 영화", "엔들리스 러브")</f>
        <v>엔들리스 러브</v>
      </c>
      <c r="C2192" s="8">
        <v>8.1300000000000008</v>
      </c>
      <c r="D2192" s="9" t="s">
        <v>4473</v>
      </c>
      <c r="E2192" s="6" t="s">
        <v>24</v>
      </c>
      <c r="F2192" s="6">
        <v>2014</v>
      </c>
      <c r="G2192" s="6" t="s">
        <v>14</v>
      </c>
      <c r="H2192" s="7" t="s">
        <v>165</v>
      </c>
      <c r="I2192" s="6" t="s">
        <v>242</v>
      </c>
      <c r="J2192" s="130"/>
      <c r="K2192" s="148" t="s">
        <v>4474</v>
      </c>
    </row>
    <row r="2193" spans="1:11" ht="28.9" customHeight="1" thickTop="1" thickBot="1" x14ac:dyDescent="0.75">
      <c r="A2193" s="10">
        <v>2191</v>
      </c>
      <c r="B2193" s="58" t="str">
        <f>HYPERLINK("https://search.naver.com/search.naver?query=엔젤 오브 마인 영화", "엔젤 오브 마인")</f>
        <v>엔젤 오브 마인</v>
      </c>
      <c r="C2193" s="12">
        <v>8.49</v>
      </c>
      <c r="D2193" s="13" t="s">
        <v>4475</v>
      </c>
      <c r="E2193" s="10" t="s">
        <v>45</v>
      </c>
      <c r="F2193" s="10">
        <v>2019</v>
      </c>
      <c r="G2193" s="10" t="s">
        <v>14</v>
      </c>
      <c r="H2193" s="11" t="s">
        <v>20</v>
      </c>
      <c r="I2193" s="10" t="s">
        <v>16</v>
      </c>
      <c r="J2193" s="131"/>
      <c r="K2193" s="149" t="s">
        <v>4476</v>
      </c>
    </row>
    <row r="2194" spans="1:11" ht="28.9" customHeight="1" thickTop="1" thickBot="1" x14ac:dyDescent="0.75">
      <c r="A2194" s="6">
        <v>2192</v>
      </c>
      <c r="B2194" s="57" t="str">
        <f>HYPERLINK("https://search.naver.com/search.naver?query=엔젤 해즈 폴른 영화", "엔젤 해즈 폴른")</f>
        <v>엔젤 해즈 폴른</v>
      </c>
      <c r="C2194" s="8">
        <v>8.92</v>
      </c>
      <c r="D2194" s="9" t="s">
        <v>4477</v>
      </c>
      <c r="E2194" s="6" t="s">
        <v>24</v>
      </c>
      <c r="F2194" s="6">
        <v>2019</v>
      </c>
      <c r="G2194" s="6" t="s">
        <v>14</v>
      </c>
      <c r="H2194" s="7" t="s">
        <v>124</v>
      </c>
      <c r="I2194" s="6" t="s">
        <v>195</v>
      </c>
      <c r="J2194" s="130"/>
      <c r="K2194" s="148" t="s">
        <v>4478</v>
      </c>
    </row>
    <row r="2195" spans="1:11" ht="28.9" customHeight="1" thickTop="1" thickBot="1" x14ac:dyDescent="0.75">
      <c r="A2195" s="10">
        <v>2193</v>
      </c>
      <c r="B2195" s="58" t="str">
        <f>HYPERLINK("https://search.naver.com/search.naver?query=엔터 노웨어 영화", "엔터 노웨어")</f>
        <v>엔터 노웨어</v>
      </c>
      <c r="C2195" s="12">
        <v>6.4</v>
      </c>
      <c r="D2195" s="13" t="s">
        <v>4479</v>
      </c>
      <c r="E2195" s="10" t="s">
        <v>24</v>
      </c>
      <c r="F2195" s="10">
        <v>2011</v>
      </c>
      <c r="G2195" s="10" t="s">
        <v>14</v>
      </c>
      <c r="H2195" s="11" t="s">
        <v>54</v>
      </c>
      <c r="I2195" s="10" t="s">
        <v>156</v>
      </c>
      <c r="J2195" s="131"/>
      <c r="K2195" s="149" t="s">
        <v>4480</v>
      </c>
    </row>
    <row r="2196" spans="1:11" ht="28.9" customHeight="1" thickTop="1" thickBot="1" x14ac:dyDescent="0.75">
      <c r="A2196" s="10">
        <v>2194</v>
      </c>
      <c r="B2196" s="57" t="str">
        <f>HYPERLINK("https://search.naver.com/search.naver?query=엘 시크레토 비밀의 눈동자 영화", "엘 시크레토 - 비밀의 눈동자")</f>
        <v>엘 시크레토 - 비밀의 눈동자</v>
      </c>
      <c r="C2196" s="8"/>
      <c r="D2196" s="9" t="s">
        <v>4481</v>
      </c>
      <c r="E2196" s="6" t="s">
        <v>4482</v>
      </c>
      <c r="F2196" s="6">
        <v>2009</v>
      </c>
      <c r="G2196" s="6" t="s">
        <v>14</v>
      </c>
      <c r="H2196" s="7" t="s">
        <v>428</v>
      </c>
      <c r="I2196" s="6" t="s">
        <v>85</v>
      </c>
      <c r="J2196" s="130"/>
      <c r="K2196" s="148" t="s">
        <v>4483</v>
      </c>
    </row>
    <row r="2197" spans="1:11" ht="28.9" customHeight="1" thickTop="1" thickBot="1" x14ac:dyDescent="0.75">
      <c r="A2197" s="6">
        <v>2195</v>
      </c>
      <c r="B2197" s="58" t="str">
        <f>HYPERLINK("https://search.naver.com/search.naver?query=엘라의 계곡 영화", "엘라의 계곡")</f>
        <v>엘라의 계곡</v>
      </c>
      <c r="C2197" s="12">
        <v>8.3800000000000008</v>
      </c>
      <c r="D2197" s="13" t="s">
        <v>4484</v>
      </c>
      <c r="E2197" s="10" t="s">
        <v>24</v>
      </c>
      <c r="F2197" s="10">
        <v>2007</v>
      </c>
      <c r="G2197" s="10" t="s">
        <v>14</v>
      </c>
      <c r="H2197" s="11" t="s">
        <v>428</v>
      </c>
      <c r="I2197" s="10" t="s">
        <v>195</v>
      </c>
      <c r="J2197" s="131"/>
      <c r="K2197" s="149" t="s">
        <v>4485</v>
      </c>
    </row>
    <row r="2198" spans="1:11" ht="28.9" customHeight="1" thickTop="1" thickBot="1" x14ac:dyDescent="0.75">
      <c r="A2198" s="10">
        <v>2196</v>
      </c>
      <c r="B2198" s="57" t="str">
        <f>HYPERLINK("https://search.naver.com/search.naver?query=엘레지 영화", "엘레지")</f>
        <v>엘레지</v>
      </c>
      <c r="C2198" s="8">
        <v>7.71</v>
      </c>
      <c r="D2198" s="9" t="s">
        <v>4486</v>
      </c>
      <c r="E2198" s="6" t="s">
        <v>24</v>
      </c>
      <c r="F2198" s="6">
        <v>2008</v>
      </c>
      <c r="G2198" s="6" t="s">
        <v>14</v>
      </c>
      <c r="H2198" s="7" t="s">
        <v>20</v>
      </c>
      <c r="I2198" s="6" t="s">
        <v>429</v>
      </c>
      <c r="J2198" s="130"/>
      <c r="K2198" s="148" t="s">
        <v>4487</v>
      </c>
    </row>
    <row r="2199" spans="1:11" ht="28.9" customHeight="1" thickTop="1" thickBot="1" x14ac:dyDescent="0.75">
      <c r="A2199" s="10">
        <v>2197</v>
      </c>
      <c r="B2199" s="58" t="str">
        <f>HYPERLINK("https://search.naver.com/search.naver?query=엘로이즈 영화", "엘로이즈")</f>
        <v>엘로이즈</v>
      </c>
      <c r="C2199" s="12">
        <v>7</v>
      </c>
      <c r="D2199" s="13" t="s">
        <v>4488</v>
      </c>
      <c r="E2199" s="10" t="s">
        <v>24</v>
      </c>
      <c r="F2199" s="10">
        <v>2017</v>
      </c>
      <c r="G2199" s="10" t="s">
        <v>14</v>
      </c>
      <c r="H2199" s="11" t="s">
        <v>382</v>
      </c>
      <c r="I2199" s="10" t="s">
        <v>205</v>
      </c>
      <c r="J2199" s="131"/>
      <c r="K2199" s="149" t="s">
        <v>4489</v>
      </c>
    </row>
    <row r="2200" spans="1:11" ht="28.9" customHeight="1" thickTop="1" thickBot="1" x14ac:dyDescent="0.75">
      <c r="A2200" s="6">
        <v>2198</v>
      </c>
      <c r="B2200" s="57" t="str">
        <f>HYPERLINK("https://search.naver.com/search.naver?query=엘르 영화", "엘르")</f>
        <v>엘르</v>
      </c>
      <c r="C2200" s="8">
        <v>8.36</v>
      </c>
      <c r="D2200" s="9" t="s">
        <v>4490</v>
      </c>
      <c r="E2200" s="6" t="s">
        <v>310</v>
      </c>
      <c r="F2200" s="6">
        <v>2016</v>
      </c>
      <c r="G2200" s="6" t="s">
        <v>14</v>
      </c>
      <c r="H2200" s="7" t="s">
        <v>20</v>
      </c>
      <c r="I2200" s="6" t="s">
        <v>42</v>
      </c>
      <c r="J2200" s="130"/>
      <c r="K2200" s="148" t="s">
        <v>4491</v>
      </c>
    </row>
    <row r="2201" spans="1:11" ht="28.9" customHeight="1" thickTop="1" thickBot="1" x14ac:dyDescent="0.75">
      <c r="A2201" s="10">
        <v>2199</v>
      </c>
      <c r="B2201" s="58" t="str">
        <f>HYPERLINK("https://search.naver.com/search.naver?query=엘르 영화", "엘르")</f>
        <v>엘르</v>
      </c>
      <c r="C2201" s="12">
        <v>8.36</v>
      </c>
      <c r="D2201" s="13" t="s">
        <v>4490</v>
      </c>
      <c r="E2201" s="10" t="s">
        <v>310</v>
      </c>
      <c r="F2201" s="10">
        <v>2016</v>
      </c>
      <c r="G2201" s="10" t="s">
        <v>14</v>
      </c>
      <c r="H2201" s="11" t="s">
        <v>20</v>
      </c>
      <c r="I2201" s="10" t="s">
        <v>42</v>
      </c>
      <c r="J2201" s="131"/>
      <c r="K2201" s="149" t="s">
        <v>4492</v>
      </c>
    </row>
    <row r="2202" spans="1:11" ht="28.9" customHeight="1" thickTop="1" thickBot="1" x14ac:dyDescent="0.75">
      <c r="A2202" s="10">
        <v>2200</v>
      </c>
      <c r="B2202" s="59" t="str">
        <f>HYPERLINK("https://search.naver.com/search.naver?query=엘리멘트리 시즌1", "엘리멘트리 시즌1")</f>
        <v>엘리멘트리 시즌1</v>
      </c>
      <c r="C2202" s="16"/>
      <c r="D2202" s="17" t="s">
        <v>4493</v>
      </c>
      <c r="E2202" s="14" t="s">
        <v>24</v>
      </c>
      <c r="F2202" s="14">
        <v>2012</v>
      </c>
      <c r="G2202" s="14" t="s">
        <v>20</v>
      </c>
      <c r="H2202" s="15" t="s">
        <v>115</v>
      </c>
      <c r="I2202" s="14" t="s">
        <v>4494</v>
      </c>
      <c r="J2202" s="132"/>
      <c r="K2202" s="150" t="s">
        <v>4495</v>
      </c>
    </row>
    <row r="2203" spans="1:11" ht="28.9" customHeight="1" thickTop="1" thickBot="1" x14ac:dyDescent="0.75">
      <c r="A2203" s="6">
        <v>2201</v>
      </c>
      <c r="B2203" s="59" t="str">
        <f>HYPERLINK("https://search.naver.com/search.naver?query=엘리멘트리 시즌2", "엘리멘트리 시즌2")</f>
        <v>엘리멘트리 시즌2</v>
      </c>
      <c r="C2203" s="16"/>
      <c r="D2203" s="17" t="s">
        <v>4493</v>
      </c>
      <c r="E2203" s="14" t="s">
        <v>24</v>
      </c>
      <c r="F2203" s="14">
        <v>2013</v>
      </c>
      <c r="G2203" s="14" t="s">
        <v>20</v>
      </c>
      <c r="H2203" s="15" t="s">
        <v>115</v>
      </c>
      <c r="I2203" s="14" t="s">
        <v>4494</v>
      </c>
      <c r="J2203" s="132"/>
      <c r="K2203" s="150" t="s">
        <v>572</v>
      </c>
    </row>
    <row r="2204" spans="1:11" ht="28.9" customHeight="1" thickTop="1" thickBot="1" x14ac:dyDescent="0.75">
      <c r="A2204" s="10">
        <v>2202</v>
      </c>
      <c r="B2204" s="59" t="str">
        <f>HYPERLINK("https://search.naver.com/search.naver?query=엘리멘트리 시즌3", "엘리멘트리 시즌3")</f>
        <v>엘리멘트리 시즌3</v>
      </c>
      <c r="C2204" s="16"/>
      <c r="D2204" s="17" t="s">
        <v>4493</v>
      </c>
      <c r="E2204" s="14" t="s">
        <v>24</v>
      </c>
      <c r="F2204" s="14">
        <v>2014</v>
      </c>
      <c r="G2204" s="14" t="s">
        <v>20</v>
      </c>
      <c r="H2204" s="15" t="s">
        <v>115</v>
      </c>
      <c r="I2204" s="14" t="s">
        <v>4494</v>
      </c>
      <c r="J2204" s="132"/>
      <c r="K2204" s="150" t="s">
        <v>4496</v>
      </c>
    </row>
    <row r="2205" spans="1:11" ht="28.9" customHeight="1" thickTop="1" thickBot="1" x14ac:dyDescent="0.75">
      <c r="A2205" s="10">
        <v>2203</v>
      </c>
      <c r="B2205" s="59" t="str">
        <f>HYPERLINK("https://search.naver.com/search.naver?query=엘리멘트리 시즌4", "엘리멘트리 시즌4")</f>
        <v>엘리멘트리 시즌4</v>
      </c>
      <c r="C2205" s="16"/>
      <c r="D2205" s="17" t="s">
        <v>4493</v>
      </c>
      <c r="E2205" s="14" t="s">
        <v>24</v>
      </c>
      <c r="F2205" s="14">
        <v>2015</v>
      </c>
      <c r="G2205" s="14" t="s">
        <v>20</v>
      </c>
      <c r="H2205" s="15" t="s">
        <v>115</v>
      </c>
      <c r="I2205" s="14" t="s">
        <v>4494</v>
      </c>
      <c r="J2205" s="132"/>
      <c r="K2205" s="150" t="s">
        <v>4497</v>
      </c>
    </row>
    <row r="2206" spans="1:11" ht="28.9" customHeight="1" thickTop="1" thickBot="1" x14ac:dyDescent="0.75">
      <c r="A2206" s="6">
        <v>2204</v>
      </c>
      <c r="B2206" s="59" t="str">
        <f>HYPERLINK("https://search.naver.com/search.naver?query=엘리멘트리 시즌5", "엘리멘트리 시즌5")</f>
        <v>엘리멘트리 시즌5</v>
      </c>
      <c r="C2206" s="16"/>
      <c r="D2206" s="17" t="s">
        <v>4493</v>
      </c>
      <c r="E2206" s="14" t="s">
        <v>24</v>
      </c>
      <c r="F2206" s="14">
        <v>2016</v>
      </c>
      <c r="G2206" s="14" t="s">
        <v>20</v>
      </c>
      <c r="H2206" s="15" t="s">
        <v>115</v>
      </c>
      <c r="I2206" s="14" t="s">
        <v>4494</v>
      </c>
      <c r="J2206" s="132"/>
      <c r="K2206" s="150" t="s">
        <v>3043</v>
      </c>
    </row>
    <row r="2207" spans="1:11" ht="28.9" customHeight="1" thickTop="1" thickBot="1" x14ac:dyDescent="0.75">
      <c r="A2207" s="10">
        <v>2205</v>
      </c>
      <c r="B2207" s="59" t="str">
        <f>HYPERLINK("https://search.naver.com/search.naver?query=엘리멘트리 시즌6", "엘리멘트리 시즌6")</f>
        <v>엘리멘트리 시즌6</v>
      </c>
      <c r="C2207" s="16"/>
      <c r="D2207" s="17" t="s">
        <v>4493</v>
      </c>
      <c r="E2207" s="14" t="s">
        <v>24</v>
      </c>
      <c r="F2207" s="14">
        <v>2018</v>
      </c>
      <c r="G2207" s="14" t="s">
        <v>20</v>
      </c>
      <c r="H2207" s="15" t="s">
        <v>115</v>
      </c>
      <c r="I2207" s="14" t="s">
        <v>3045</v>
      </c>
      <c r="J2207" s="132"/>
      <c r="K2207" s="150" t="s">
        <v>4498</v>
      </c>
    </row>
    <row r="2208" spans="1:11" ht="28.9" customHeight="1" thickTop="1" thickBot="1" x14ac:dyDescent="0.75">
      <c r="A2208" s="10">
        <v>2206</v>
      </c>
      <c r="B2208" s="59" t="str">
        <f>HYPERLINK("https://search.naver.com/search.naver?query=엘리멘트리 시즌7", "엘리멘트리 시즌7")</f>
        <v>엘리멘트리 시즌7</v>
      </c>
      <c r="C2208" s="16"/>
      <c r="D2208" s="17" t="s">
        <v>4493</v>
      </c>
      <c r="E2208" s="14" t="s">
        <v>24</v>
      </c>
      <c r="F2208" s="14">
        <v>2019</v>
      </c>
      <c r="G2208" s="14" t="s">
        <v>20</v>
      </c>
      <c r="H2208" s="15" t="s">
        <v>115</v>
      </c>
      <c r="I2208" s="14" t="s">
        <v>1108</v>
      </c>
      <c r="J2208" s="132"/>
      <c r="K2208" s="150" t="s">
        <v>1324</v>
      </c>
    </row>
    <row r="2209" spans="1:11" ht="28.9" customHeight="1" thickTop="1" thickBot="1" x14ac:dyDescent="0.75">
      <c r="A2209" s="6">
        <v>2207</v>
      </c>
      <c r="B2209" s="58" t="str">
        <f>HYPERLINK("https://search.naver.com/search.naver?query=엘리스 영화", "엘리스")</f>
        <v>엘리스</v>
      </c>
      <c r="C2209" s="12"/>
      <c r="D2209" s="13" t="s">
        <v>4499</v>
      </c>
      <c r="E2209" s="10" t="s">
        <v>24</v>
      </c>
      <c r="F2209" s="10">
        <v>2020</v>
      </c>
      <c r="G2209" s="10" t="s">
        <v>14</v>
      </c>
      <c r="H2209" s="11" t="s">
        <v>20</v>
      </c>
      <c r="I2209" s="10" t="s">
        <v>150</v>
      </c>
      <c r="J2209" s="131"/>
      <c r="K2209" s="149" t="s">
        <v>4500</v>
      </c>
    </row>
    <row r="2210" spans="1:11" ht="28.9" customHeight="1" thickTop="1" thickBot="1" x14ac:dyDescent="0.75">
      <c r="A2210" s="10">
        <v>2208</v>
      </c>
      <c r="B2210" s="57" t="str">
        <f>HYPERLINK("https://search.naver.com/search.naver?query=엘리시움 영화", "엘리시움")</f>
        <v>엘리시움</v>
      </c>
      <c r="C2210" s="8">
        <v>7.24</v>
      </c>
      <c r="D2210" s="9" t="s">
        <v>4501</v>
      </c>
      <c r="E2210" s="6" t="s">
        <v>24</v>
      </c>
      <c r="F2210" s="6">
        <v>2013</v>
      </c>
      <c r="G2210" s="6" t="s">
        <v>14</v>
      </c>
      <c r="H2210" s="7" t="s">
        <v>877</v>
      </c>
      <c r="I2210" s="6" t="s">
        <v>187</v>
      </c>
      <c r="J2210" s="130"/>
      <c r="K2210" s="148" t="s">
        <v>4502</v>
      </c>
    </row>
    <row r="2211" spans="1:11" ht="28.9" customHeight="1" thickTop="1" thickBot="1" x14ac:dyDescent="0.75">
      <c r="A2211" s="10">
        <v>2209</v>
      </c>
      <c r="B2211" s="58" t="str">
        <f>HYPERLINK("https://search.naver.com/search.naver?query=엘리자의 내일 영화", "엘리자의 내일")</f>
        <v>엘리자의 내일</v>
      </c>
      <c r="C2211" s="12">
        <v>8.33</v>
      </c>
      <c r="D2211" s="13" t="s">
        <v>4503</v>
      </c>
      <c r="E2211" s="10" t="s">
        <v>4504</v>
      </c>
      <c r="F2211" s="10">
        <v>2017</v>
      </c>
      <c r="G2211" s="10" t="s">
        <v>14</v>
      </c>
      <c r="H2211" s="11" t="s">
        <v>20</v>
      </c>
      <c r="I2211" s="10" t="s">
        <v>210</v>
      </c>
      <c r="J2211" s="131"/>
      <c r="K2211" s="149" t="s">
        <v>4505</v>
      </c>
    </row>
    <row r="2212" spans="1:11" ht="28.9" customHeight="1" thickTop="1" thickBot="1" x14ac:dyDescent="0.75">
      <c r="A2212" s="6">
        <v>2210</v>
      </c>
      <c r="B2212" s="57" t="str">
        <f>HYPERLINK("https://search.naver.com/search.naver?query=엘비스 영화", "엘비스")</f>
        <v>엘비스</v>
      </c>
      <c r="C2212" s="8">
        <v>8.74</v>
      </c>
      <c r="D2212" s="9" t="s">
        <v>4506</v>
      </c>
      <c r="E2212" s="6" t="s">
        <v>24</v>
      </c>
      <c r="F2212" s="6">
        <v>2022</v>
      </c>
      <c r="G2212" s="6" t="s">
        <v>14</v>
      </c>
      <c r="H2212" s="7" t="s">
        <v>20</v>
      </c>
      <c r="I2212" s="6" t="s">
        <v>4173</v>
      </c>
      <c r="J2212" s="130"/>
      <c r="K2212" s="148" t="s">
        <v>4507</v>
      </c>
    </row>
    <row r="2213" spans="1:11" ht="28.9" customHeight="1" thickTop="1" thickBot="1" x14ac:dyDescent="0.75">
      <c r="A2213" s="10">
        <v>2211</v>
      </c>
      <c r="B2213" s="59" t="str">
        <f>HYPERLINK("https://search.naver.com/search.naver?query=엘피스-희망, 혹은 재앙", "엘피스-희망, 혹은 재앙")</f>
        <v>엘피스-희망, 혹은 재앙</v>
      </c>
      <c r="C2213" s="16"/>
      <c r="D2213" s="17" t="s">
        <v>4508</v>
      </c>
      <c r="E2213" s="14" t="s">
        <v>19</v>
      </c>
      <c r="F2213" s="14">
        <v>2022</v>
      </c>
      <c r="G2213" s="14" t="s">
        <v>20</v>
      </c>
      <c r="H2213" s="15" t="s">
        <v>20</v>
      </c>
      <c r="I2213" s="14" t="s">
        <v>64</v>
      </c>
      <c r="J2213" s="132"/>
      <c r="K2213" s="150" t="s">
        <v>4509</v>
      </c>
    </row>
    <row r="2214" spans="1:11" ht="28.9" customHeight="1" thickTop="1" thickBot="1" x14ac:dyDescent="0.75">
      <c r="A2214" s="10">
        <v>2212</v>
      </c>
      <c r="B2214" s="57" t="str">
        <f>HYPERLINK("https://search.naver.com/search.naver?query=엣지 오브 투모로우 영화", "엣지 오브 투모로우")</f>
        <v>엣지 오브 투모로우</v>
      </c>
      <c r="C2214" s="8">
        <v>8.74</v>
      </c>
      <c r="D2214" s="9" t="s">
        <v>4510</v>
      </c>
      <c r="E2214" s="6" t="s">
        <v>24</v>
      </c>
      <c r="F2214" s="6">
        <v>2014</v>
      </c>
      <c r="G2214" s="6" t="s">
        <v>14</v>
      </c>
      <c r="H2214" s="7" t="s">
        <v>877</v>
      </c>
      <c r="I2214" s="6" t="s">
        <v>98</v>
      </c>
      <c r="J2214" s="130"/>
      <c r="K2214" s="148" t="s">
        <v>4511</v>
      </c>
    </row>
    <row r="2215" spans="1:11" ht="28.9" customHeight="1" thickTop="1" thickBot="1" x14ac:dyDescent="0.75">
      <c r="A2215" s="6">
        <v>2213</v>
      </c>
      <c r="B2215" s="58" t="str">
        <f>HYPERLINK("https://chulinbone.tistory.com/5358", "여기에 고요한 노을이")</f>
        <v>여기에 고요한 노을이</v>
      </c>
      <c r="C2215" s="12"/>
      <c r="D2215" s="13" t="s">
        <v>4512</v>
      </c>
      <c r="E2215" s="10" t="s">
        <v>75</v>
      </c>
      <c r="F2215" s="10">
        <v>2015</v>
      </c>
      <c r="G2215" s="10" t="s">
        <v>14</v>
      </c>
      <c r="H2215" s="11" t="s">
        <v>1247</v>
      </c>
      <c r="I2215" s="10" t="s">
        <v>68</v>
      </c>
      <c r="J2215" s="131"/>
      <c r="K2215" s="149" t="s">
        <v>4513</v>
      </c>
    </row>
    <row r="2216" spans="1:11" ht="28.9" customHeight="1" thickTop="1" thickBot="1" x14ac:dyDescent="0.75">
      <c r="A2216" s="10">
        <v>2214</v>
      </c>
      <c r="B2216" s="57" t="str">
        <f>HYPERLINK("https://search.naver.com/search.naver?query=여름의 끝 영화", "여름의 끝")</f>
        <v>여름의 끝</v>
      </c>
      <c r="C2216" s="8"/>
      <c r="D2216" s="9" t="s">
        <v>4514</v>
      </c>
      <c r="E2216" s="6" t="s">
        <v>19</v>
      </c>
      <c r="F2216" s="6">
        <v>2017</v>
      </c>
      <c r="G2216" s="6" t="s">
        <v>14</v>
      </c>
      <c r="H2216" s="7" t="s">
        <v>20</v>
      </c>
      <c r="I2216" s="6" t="s">
        <v>305</v>
      </c>
      <c r="J2216" s="130"/>
      <c r="K2216" s="148" t="s">
        <v>4515</v>
      </c>
    </row>
    <row r="2217" spans="1:11" ht="28.9" customHeight="1" thickTop="1" thickBot="1" x14ac:dyDescent="0.75">
      <c r="A2217" s="10">
        <v>2215</v>
      </c>
      <c r="B2217" s="62" t="str">
        <f>HYPERLINK("https://www.themoviedb.org/movie/1446033?language=ko-KR?query=여름의 모래 위 영화", "여름의 모래 위 (夏の砂の上)")</f>
        <v>여름의 모래 위 (夏の砂の上)</v>
      </c>
      <c r="C2217" s="30"/>
      <c r="D2217" s="9" t="s">
        <v>4516</v>
      </c>
      <c r="E2217" s="6" t="s">
        <v>19</v>
      </c>
      <c r="F2217" s="6">
        <v>2025</v>
      </c>
      <c r="G2217" s="6" t="s">
        <v>14</v>
      </c>
      <c r="H2217" s="7" t="s">
        <v>20</v>
      </c>
      <c r="I2217" s="6" t="s">
        <v>133</v>
      </c>
      <c r="J2217" s="130">
        <v>46099</v>
      </c>
      <c r="K2217" s="148" t="s">
        <v>4517</v>
      </c>
    </row>
    <row r="2218" spans="1:11" ht="28.9" customHeight="1" thickTop="1" thickBot="1" x14ac:dyDescent="0.75">
      <c r="A2218" s="6">
        <v>2216</v>
      </c>
      <c r="B2218" s="58" t="str">
        <f>HYPERLINK("https://search.naver.com/search.naver?query=여름이 끝날 무렵의 라트라비아타 영화", "여름이 끝날 무렵의 라트라비아타")</f>
        <v>여름이 끝날 무렵의 라트라비아타</v>
      </c>
      <c r="C2218" s="12">
        <v>8.17</v>
      </c>
      <c r="D2218" s="13" t="s">
        <v>4518</v>
      </c>
      <c r="E2218" s="10" t="s">
        <v>19</v>
      </c>
      <c r="F2218" s="10">
        <v>2024</v>
      </c>
      <c r="G2218" s="10" t="s">
        <v>14</v>
      </c>
      <c r="H2218" s="11" t="s">
        <v>20</v>
      </c>
      <c r="I2218" s="10" t="s">
        <v>129</v>
      </c>
      <c r="J2218" s="131"/>
      <c r="K2218" s="149" t="s">
        <v>4519</v>
      </c>
    </row>
    <row r="2219" spans="1:11" ht="28.9" customHeight="1" thickTop="1" thickBot="1" x14ac:dyDescent="0.75">
      <c r="A2219" s="10">
        <v>2217</v>
      </c>
      <c r="B2219" s="57" t="str">
        <f>HYPERLINK("https://search.naver.com/search.naver?query=여행자 영화", "여행자")</f>
        <v>여행자</v>
      </c>
      <c r="C2219" s="8">
        <v>8.94</v>
      </c>
      <c r="D2219" s="9" t="s">
        <v>4520</v>
      </c>
      <c r="E2219" s="6" t="s">
        <v>13</v>
      </c>
      <c r="F2219" s="6">
        <v>2009</v>
      </c>
      <c r="G2219" s="6" t="s">
        <v>14</v>
      </c>
      <c r="H2219" s="7" t="s">
        <v>20</v>
      </c>
      <c r="I2219" s="6" t="s">
        <v>150</v>
      </c>
      <c r="J2219" s="130"/>
      <c r="K2219" s="148" t="s">
        <v>4521</v>
      </c>
    </row>
    <row r="2220" spans="1:11" ht="28.9" customHeight="1" thickTop="1" thickBot="1" x14ac:dyDescent="0.75">
      <c r="A2220" s="10">
        <v>2218</v>
      </c>
      <c r="B2220" s="58" t="str">
        <f>HYPERLINK("https://search.naver.com/search.naver?query=역린 영화", "역린")</f>
        <v>역린</v>
      </c>
      <c r="C2220" s="12">
        <v>7.43</v>
      </c>
      <c r="D2220" s="13" t="s">
        <v>4522</v>
      </c>
      <c r="E2220" s="10" t="s">
        <v>13</v>
      </c>
      <c r="F2220" s="10">
        <v>2014</v>
      </c>
      <c r="G2220" s="10" t="s">
        <v>14</v>
      </c>
      <c r="H2220" s="11" t="s">
        <v>1548</v>
      </c>
      <c r="I2220" s="10" t="s">
        <v>51</v>
      </c>
      <c r="J2220" s="131"/>
      <c r="K2220" s="149" t="s">
        <v>4523</v>
      </c>
    </row>
    <row r="2221" spans="1:11" ht="28.9" customHeight="1" thickTop="1" thickBot="1" x14ac:dyDescent="0.75">
      <c r="A2221" s="6">
        <v>2219</v>
      </c>
      <c r="B2221" s="57" t="str">
        <f>HYPERLINK("https://search.naver.com/search.naver?query=역모 반란의 시대 영화", "역모 - 반란의 시대")</f>
        <v>역모 - 반란의 시대</v>
      </c>
      <c r="C2221" s="8">
        <v>6.67</v>
      </c>
      <c r="D2221" s="9" t="s">
        <v>4524</v>
      </c>
      <c r="E2221" s="6" t="s">
        <v>13</v>
      </c>
      <c r="F2221" s="6">
        <v>2016</v>
      </c>
      <c r="G2221" s="6" t="s">
        <v>14</v>
      </c>
      <c r="H2221" s="7" t="s">
        <v>1548</v>
      </c>
      <c r="I2221" s="6" t="s">
        <v>150</v>
      </c>
      <c r="J2221" s="130"/>
      <c r="K2221" s="148" t="s">
        <v>4525</v>
      </c>
    </row>
    <row r="2222" spans="1:11" ht="28.9" customHeight="1" thickTop="1" thickBot="1" x14ac:dyDescent="0.75">
      <c r="A2222" s="10">
        <v>2220</v>
      </c>
      <c r="B2222" s="58" t="str">
        <f>HYPERLINK("https://search.naver.com/search.naver?query=역으로 가는 길을 알려줘 영화", "역으로 가는 길을 알려줘")</f>
        <v>역으로 가는 길을 알려줘</v>
      </c>
      <c r="C2222" s="12">
        <v>7.7</v>
      </c>
      <c r="D2222" s="13" t="s">
        <v>4526</v>
      </c>
      <c r="E2222" s="10" t="s">
        <v>19</v>
      </c>
      <c r="F2222" s="10">
        <v>2019</v>
      </c>
      <c r="G2222" s="10" t="s">
        <v>14</v>
      </c>
      <c r="H2222" s="11" t="s">
        <v>20</v>
      </c>
      <c r="I2222" s="10" t="s">
        <v>150</v>
      </c>
      <c r="J2222" s="131"/>
      <c r="K2222" s="149" t="s">
        <v>4527</v>
      </c>
    </row>
    <row r="2223" spans="1:11" ht="28.9" customHeight="1" thickTop="1" thickBot="1" x14ac:dyDescent="0.75">
      <c r="A2223" s="10">
        <v>2221</v>
      </c>
      <c r="B2223" s="57" t="str">
        <f>HYPERLINK("https://search.naver.com/search.naver?query=연애 빠진 로맨스 영화", "연애 빠진 로맨스")</f>
        <v>연애 빠진 로맨스</v>
      </c>
      <c r="C2223" s="8">
        <v>7.92</v>
      </c>
      <c r="D2223" s="9" t="s">
        <v>4528</v>
      </c>
      <c r="E2223" s="6" t="s">
        <v>13</v>
      </c>
      <c r="F2223" s="6">
        <v>2021</v>
      </c>
      <c r="G2223" s="6" t="s">
        <v>14</v>
      </c>
      <c r="H2223" s="7" t="s">
        <v>165</v>
      </c>
      <c r="I2223" s="6" t="s">
        <v>150</v>
      </c>
      <c r="J2223" s="130"/>
      <c r="K2223" s="148" t="s">
        <v>4529</v>
      </c>
    </row>
    <row r="2224" spans="1:11" ht="28.9" customHeight="1" thickTop="1" thickBot="1" x14ac:dyDescent="0.75">
      <c r="A2224" s="6">
        <v>2222</v>
      </c>
      <c r="B2224" s="58" t="str">
        <f>HYPERLINK("https://search.naver.com/search.naver?query=연애, 그 참을 수 없는 가벼움 영화", "연애, 그 참을 수 없는 가벼움")</f>
        <v>연애, 그 참을 수 없는 가벼움</v>
      </c>
      <c r="C2224" s="12">
        <v>8.26</v>
      </c>
      <c r="D2224" s="13" t="s">
        <v>4530</v>
      </c>
      <c r="E2224" s="10" t="s">
        <v>13</v>
      </c>
      <c r="F2224" s="10">
        <v>2006</v>
      </c>
      <c r="G2224" s="10" t="s">
        <v>14</v>
      </c>
      <c r="H2224" s="11" t="s">
        <v>165</v>
      </c>
      <c r="I2224" s="10" t="s">
        <v>150</v>
      </c>
      <c r="J2224" s="131"/>
      <c r="K2224" s="149" t="s">
        <v>4531</v>
      </c>
    </row>
    <row r="2225" spans="1:11" ht="28.9" customHeight="1" thickTop="1" thickBot="1" x14ac:dyDescent="0.75">
      <c r="A2225" s="10">
        <v>2223</v>
      </c>
      <c r="B2225" s="57" t="str">
        <f>HYPERLINK("https://search.naver.com/search.naver?query=연의 황후 영화", "연의 황후")</f>
        <v>연의 황후</v>
      </c>
      <c r="C2225" s="8">
        <v>6.36</v>
      </c>
      <c r="D2225" s="9" t="s">
        <v>4532</v>
      </c>
      <c r="E2225" s="6" t="s">
        <v>123</v>
      </c>
      <c r="F2225" s="6">
        <v>2008</v>
      </c>
      <c r="G2225" s="6" t="s">
        <v>14</v>
      </c>
      <c r="H2225" s="7" t="s">
        <v>1548</v>
      </c>
      <c r="I2225" s="6" t="s">
        <v>468</v>
      </c>
      <c r="J2225" s="130"/>
      <c r="K2225" s="148" t="s">
        <v>4533</v>
      </c>
    </row>
    <row r="2226" spans="1:11" ht="28.9" customHeight="1" thickTop="1" thickBot="1" x14ac:dyDescent="0.75">
      <c r="A2226" s="10">
        <v>2224</v>
      </c>
      <c r="B2226" s="58" t="str">
        <f>HYPERLINK("https://search.naver.com/search.naver?query=연인들 영화", "연인들")</f>
        <v>연인들</v>
      </c>
      <c r="C2226" s="12">
        <v>6.83</v>
      </c>
      <c r="D2226" s="13" t="s">
        <v>4534</v>
      </c>
      <c r="E2226" s="10" t="s">
        <v>136</v>
      </c>
      <c r="F2226" s="10">
        <v>2014</v>
      </c>
      <c r="G2226" s="10" t="s">
        <v>14</v>
      </c>
      <c r="H2226" s="11" t="s">
        <v>20</v>
      </c>
      <c r="I2226" s="10" t="s">
        <v>476</v>
      </c>
      <c r="J2226" s="131"/>
      <c r="K2226" s="149" t="s">
        <v>4535</v>
      </c>
    </row>
    <row r="2227" spans="1:11" ht="28.9" customHeight="1" thickTop="1" thickBot="1" x14ac:dyDescent="0.75">
      <c r="A2227" s="6">
        <v>2225</v>
      </c>
      <c r="B2227" s="57" t="str">
        <f>HYPERLINK("https://search.naver.com/search.naver?query=연평해전 영화", "연평해전")</f>
        <v>연평해전</v>
      </c>
      <c r="C2227" s="8">
        <v>9.14</v>
      </c>
      <c r="D2227" s="9" t="s">
        <v>4536</v>
      </c>
      <c r="E2227" s="6" t="s">
        <v>13</v>
      </c>
      <c r="F2227" s="6">
        <v>2015</v>
      </c>
      <c r="G2227" s="6" t="s">
        <v>14</v>
      </c>
      <c r="H2227" s="7" t="s">
        <v>1247</v>
      </c>
      <c r="I2227" s="6" t="s">
        <v>42</v>
      </c>
      <c r="J2227" s="130"/>
      <c r="K2227" s="148" t="s">
        <v>4537</v>
      </c>
    </row>
    <row r="2228" spans="1:11" ht="28.9" customHeight="1" thickTop="1" thickBot="1" x14ac:dyDescent="0.75">
      <c r="A2228" s="10">
        <v>2226</v>
      </c>
      <c r="B2228" s="58" t="str">
        <f>HYPERLINK("https://search.naver.com/search.naver?query=열두 달 흙을 먹다 영화", "열두 달 흙을 먹다")</f>
        <v>열두 달 흙을 먹다</v>
      </c>
      <c r="C2228" s="12">
        <v>6.4</v>
      </c>
      <c r="D2228" s="13" t="s">
        <v>4538</v>
      </c>
      <c r="E2228" s="10" t="s">
        <v>19</v>
      </c>
      <c r="F2228" s="10">
        <v>2023</v>
      </c>
      <c r="G2228" s="10" t="s">
        <v>14</v>
      </c>
      <c r="H2228" s="11" t="s">
        <v>20</v>
      </c>
      <c r="I2228" s="10" t="s">
        <v>150</v>
      </c>
      <c r="J2228" s="131"/>
      <c r="K2228" s="149" t="s">
        <v>4539</v>
      </c>
    </row>
    <row r="2229" spans="1:11" ht="28.9" customHeight="1" thickTop="1" thickBot="1" x14ac:dyDescent="0.75">
      <c r="A2229" s="10">
        <v>2227</v>
      </c>
      <c r="B2229" s="57" t="str">
        <f>HYPERLINK("https://search.naver.com/search.naver?query=열쇠 도둑의 방법 영화", "열쇠 도둑의 방법")</f>
        <v>열쇠 도둑의 방법</v>
      </c>
      <c r="C2229" s="8"/>
      <c r="D2229" s="9" t="s">
        <v>4540</v>
      </c>
      <c r="E2229" s="6" t="s">
        <v>19</v>
      </c>
      <c r="F2229" s="6">
        <v>2012</v>
      </c>
      <c r="G2229" s="6" t="s">
        <v>14</v>
      </c>
      <c r="H2229" s="7" t="s">
        <v>91</v>
      </c>
      <c r="I2229" s="6" t="s">
        <v>150</v>
      </c>
      <c r="J2229" s="130"/>
      <c r="K2229" s="148" t="s">
        <v>4541</v>
      </c>
    </row>
    <row r="2230" spans="1:11" ht="28.9" customHeight="1" thickTop="1" thickBot="1" x14ac:dyDescent="0.75">
      <c r="A2230" s="6">
        <v>2228</v>
      </c>
      <c r="B2230" s="58" t="str">
        <f>HYPERLINK("https://search.naver.com/search.naver?query=열여덟번의 선물 영화", "열여덟번의 선물")</f>
        <v>열여덟번의 선물</v>
      </c>
      <c r="C2230" s="12">
        <v>10</v>
      </c>
      <c r="D2230" s="13" t="s">
        <v>4542</v>
      </c>
      <c r="E2230" s="10" t="s">
        <v>2001</v>
      </c>
      <c r="F2230" s="10">
        <v>2020</v>
      </c>
      <c r="G2230" s="10" t="s">
        <v>14</v>
      </c>
      <c r="H2230" s="11" t="s">
        <v>20</v>
      </c>
      <c r="I2230" s="10" t="s">
        <v>305</v>
      </c>
      <c r="J2230" s="131"/>
      <c r="K2230" s="149" t="s">
        <v>4543</v>
      </c>
    </row>
    <row r="2231" spans="1:11" ht="28.9" customHeight="1" thickTop="1" thickBot="1" x14ac:dyDescent="0.75">
      <c r="A2231" s="10">
        <v>2229</v>
      </c>
      <c r="B2231" s="57" t="str">
        <f>HYPERLINK("https://search.naver.com/search.naver?query=열정 같은 소리하고 있네 영화", "열정 같은 소리하고 있네")</f>
        <v>열정 같은 소리하고 있네</v>
      </c>
      <c r="C2231" s="8">
        <v>7.98</v>
      </c>
      <c r="D2231" s="9" t="s">
        <v>4544</v>
      </c>
      <c r="E2231" s="6" t="s">
        <v>13</v>
      </c>
      <c r="F2231" s="6">
        <v>2015</v>
      </c>
      <c r="G2231" s="6" t="s">
        <v>14</v>
      </c>
      <c r="H2231" s="7" t="s">
        <v>20</v>
      </c>
      <c r="I2231" s="6" t="s">
        <v>150</v>
      </c>
      <c r="J2231" s="130"/>
      <c r="K2231" s="148" t="s">
        <v>4545</v>
      </c>
    </row>
    <row r="2232" spans="1:11" ht="28.9" customHeight="1" thickTop="1" thickBot="1" x14ac:dyDescent="0.75">
      <c r="A2232" s="10">
        <v>2230</v>
      </c>
      <c r="B2232" s="58" t="str">
        <f>HYPERLINK("https://search.naver.com/search.naver?query=염력 영화", "염력")</f>
        <v>염력</v>
      </c>
      <c r="C2232" s="12">
        <v>6.16</v>
      </c>
      <c r="D2232" s="13" t="s">
        <v>4546</v>
      </c>
      <c r="E2232" s="10" t="s">
        <v>13</v>
      </c>
      <c r="F2232" s="10">
        <v>2018</v>
      </c>
      <c r="G2232" s="10" t="s">
        <v>14</v>
      </c>
      <c r="H2232" s="11" t="s">
        <v>124</v>
      </c>
      <c r="I2232" s="10" t="s">
        <v>94</v>
      </c>
      <c r="J2232" s="131"/>
      <c r="K2232" s="149" t="s">
        <v>4547</v>
      </c>
    </row>
    <row r="2233" spans="1:11" ht="28.9" customHeight="1" thickTop="1" thickBot="1" x14ac:dyDescent="0.75">
      <c r="A2233" s="6">
        <v>2231</v>
      </c>
      <c r="B2233" s="57" t="str">
        <f>HYPERLINK("https://search.naver.com/search.naver?query=엽문 영화", "엽문")</f>
        <v>엽문</v>
      </c>
      <c r="C2233" s="8">
        <v>7.32</v>
      </c>
      <c r="D2233" s="9" t="s">
        <v>4548</v>
      </c>
      <c r="E2233" s="6" t="s">
        <v>123</v>
      </c>
      <c r="F2233" s="6">
        <v>2008</v>
      </c>
      <c r="G2233" s="6" t="s">
        <v>14</v>
      </c>
      <c r="H2233" s="7" t="s">
        <v>124</v>
      </c>
      <c r="I2233" s="6" t="s">
        <v>443</v>
      </c>
      <c r="J2233" s="130"/>
      <c r="K2233" s="148" t="s">
        <v>4549</v>
      </c>
    </row>
    <row r="2234" spans="1:11" ht="28.9" customHeight="1" thickTop="1" thickBot="1" x14ac:dyDescent="0.75">
      <c r="A2234" s="10">
        <v>2232</v>
      </c>
      <c r="B2234" s="58" t="str">
        <f>HYPERLINK("https://search.naver.com/search.naver?query=엽문 외전 영화", "엽문 외전")</f>
        <v>엽문 외전</v>
      </c>
      <c r="C2234" s="12">
        <v>6.4</v>
      </c>
      <c r="D2234" s="13" t="s">
        <v>4550</v>
      </c>
      <c r="E2234" s="10" t="s">
        <v>123</v>
      </c>
      <c r="F2234" s="10">
        <v>2018</v>
      </c>
      <c r="G2234" s="10" t="s">
        <v>14</v>
      </c>
      <c r="H2234" s="11" t="s">
        <v>124</v>
      </c>
      <c r="I2234" s="10" t="s">
        <v>150</v>
      </c>
      <c r="J2234" s="131"/>
      <c r="K2234" s="149" t="s">
        <v>4551</v>
      </c>
    </row>
    <row r="2235" spans="1:11" ht="28.9" customHeight="1" thickTop="1" thickBot="1" x14ac:dyDescent="0.75">
      <c r="A2235" s="10">
        <v>2233</v>
      </c>
      <c r="B2235" s="57" t="str">
        <f>HYPERLINK("https://search.naver.com/search.naver?query=엽문3 최후의 대결 영화", "엽문3 - 최후의 대결")</f>
        <v>엽문3 - 최후의 대결</v>
      </c>
      <c r="C2235" s="8">
        <v>8.51</v>
      </c>
      <c r="D2235" s="9" t="s">
        <v>4552</v>
      </c>
      <c r="E2235" s="6" t="s">
        <v>123</v>
      </c>
      <c r="F2235" s="6">
        <v>2015</v>
      </c>
      <c r="G2235" s="6" t="s">
        <v>14</v>
      </c>
      <c r="H2235" s="7" t="s">
        <v>124</v>
      </c>
      <c r="I2235" s="6" t="s">
        <v>175</v>
      </c>
      <c r="J2235" s="130"/>
      <c r="K2235" s="148" t="s">
        <v>4553</v>
      </c>
    </row>
    <row r="2236" spans="1:11" ht="28.9" customHeight="1" thickTop="1" thickBot="1" x14ac:dyDescent="0.75">
      <c r="A2236" s="6">
        <v>2234</v>
      </c>
      <c r="B2236" s="58" t="str">
        <f>HYPERLINK("https://search.naver.com/search.naver?query=엽문4 더 파이널 영화", "엽문4-더 파이널")</f>
        <v>엽문4-더 파이널</v>
      </c>
      <c r="C2236" s="12">
        <v>7.32</v>
      </c>
      <c r="D2236" s="13" t="s">
        <v>4554</v>
      </c>
      <c r="E2236" s="10" t="s">
        <v>123</v>
      </c>
      <c r="F2236" s="10">
        <v>2019</v>
      </c>
      <c r="G2236" s="10" t="s">
        <v>14</v>
      </c>
      <c r="H2236" s="11" t="s">
        <v>124</v>
      </c>
      <c r="I2236" s="10" t="s">
        <v>175</v>
      </c>
      <c r="J2236" s="131"/>
      <c r="K2236" s="149" t="s">
        <v>4555</v>
      </c>
    </row>
    <row r="2237" spans="1:11" ht="28.9" customHeight="1" thickTop="1" thickBot="1" x14ac:dyDescent="0.75">
      <c r="A2237" s="10">
        <v>2235</v>
      </c>
      <c r="B2237" s="57" t="str">
        <f>HYPERLINK("https://search.naver.com/search.naver?query=영 어덜트 영화", "영 어덜트")</f>
        <v>영 어덜트</v>
      </c>
      <c r="C2237" s="8"/>
      <c r="D2237" s="9" t="s">
        <v>4556</v>
      </c>
      <c r="E2237" s="6" t="s">
        <v>24</v>
      </c>
      <c r="F2237" s="6">
        <v>2011</v>
      </c>
      <c r="G2237" s="6" t="s">
        <v>14</v>
      </c>
      <c r="H2237" s="7" t="s">
        <v>91</v>
      </c>
      <c r="I2237" s="6" t="s">
        <v>468</v>
      </c>
      <c r="J2237" s="130"/>
      <c r="K2237" s="148" t="s">
        <v>4557</v>
      </c>
    </row>
    <row r="2238" spans="1:11" ht="28.9" customHeight="1" thickTop="1" thickBot="1" x14ac:dyDescent="0.75">
      <c r="A2238" s="10">
        <v>2236</v>
      </c>
      <c r="B2238" s="58" t="str">
        <f>HYPERLINK("https://search.naver.com/search.naver?query=영광의 날들 영화", "영광의 날들")</f>
        <v>영광의 날들</v>
      </c>
      <c r="C2238" s="12">
        <v>8.36</v>
      </c>
      <c r="D2238" s="13" t="s">
        <v>4558</v>
      </c>
      <c r="E2238" s="10" t="s">
        <v>310</v>
      </c>
      <c r="F2238" s="10">
        <v>2006</v>
      </c>
      <c r="G2238" s="10" t="s">
        <v>14</v>
      </c>
      <c r="H2238" s="11" t="s">
        <v>20</v>
      </c>
      <c r="I2238" s="10" t="s">
        <v>146</v>
      </c>
      <c r="J2238" s="131"/>
      <c r="K2238" s="149" t="s">
        <v>4559</v>
      </c>
    </row>
    <row r="2239" spans="1:11" ht="28.9" customHeight="1" thickTop="1" thickBot="1" x14ac:dyDescent="0.75">
      <c r="A2239" s="6">
        <v>2237</v>
      </c>
      <c r="B2239" s="57" t="str">
        <f>HYPERLINK("https://search.naver.com/search.naver?query=영국 남자처럼 사랑하는 법 영화", "영국 남자처럼 사랑하는 법")</f>
        <v>영국 남자처럼 사랑하는 법</v>
      </c>
      <c r="C2239" s="8">
        <v>6.4</v>
      </c>
      <c r="D2239" s="9" t="s">
        <v>4560</v>
      </c>
      <c r="E2239" s="6" t="s">
        <v>24</v>
      </c>
      <c r="F2239" s="6">
        <v>2015</v>
      </c>
      <c r="G2239" s="6" t="s">
        <v>14</v>
      </c>
      <c r="H2239" s="7" t="s">
        <v>165</v>
      </c>
      <c r="I2239" s="6" t="s">
        <v>169</v>
      </c>
      <c r="J2239" s="130"/>
      <c r="K2239" s="148" t="s">
        <v>4561</v>
      </c>
    </row>
    <row r="2240" spans="1:11" ht="28.9" customHeight="1" thickTop="1" thickBot="1" x14ac:dyDescent="0.75">
      <c r="A2240" s="10">
        <v>2238</v>
      </c>
      <c r="B2240" s="58" t="str">
        <f>HYPERLINK("https://search.naver.com/search.naver?query=영웅본색 영화", "영웅본색")</f>
        <v>영웅본색</v>
      </c>
      <c r="C2240" s="12">
        <v>8.7899999999999991</v>
      </c>
      <c r="D2240" s="13" t="s">
        <v>4562</v>
      </c>
      <c r="E2240" s="10" t="s">
        <v>123</v>
      </c>
      <c r="F2240" s="10">
        <v>1986</v>
      </c>
      <c r="G2240" s="10" t="s">
        <v>14</v>
      </c>
      <c r="H2240" s="11" t="s">
        <v>124</v>
      </c>
      <c r="I2240" s="10" t="s">
        <v>150</v>
      </c>
      <c r="J2240" s="131"/>
      <c r="K2240" s="149" t="s">
        <v>4563</v>
      </c>
    </row>
    <row r="2241" spans="1:11" ht="28.9" customHeight="1" thickTop="1" thickBot="1" x14ac:dyDescent="0.75">
      <c r="A2241" s="10">
        <v>2239</v>
      </c>
      <c r="B2241" s="57" t="str">
        <f>HYPERLINK("https://search.naver.com/search.naver?query=영웅본색 2 영화", "영웅본색 2")</f>
        <v>영웅본색 2</v>
      </c>
      <c r="C2241" s="8">
        <v>8.32</v>
      </c>
      <c r="D2241" s="9" t="s">
        <v>4564</v>
      </c>
      <c r="E2241" s="6" t="s">
        <v>123</v>
      </c>
      <c r="F2241" s="6">
        <v>1987</v>
      </c>
      <c r="G2241" s="6" t="s">
        <v>14</v>
      </c>
      <c r="H2241" s="7" t="s">
        <v>124</v>
      </c>
      <c r="I2241" s="6" t="s">
        <v>175</v>
      </c>
      <c r="J2241" s="130"/>
      <c r="K2241" s="148" t="s">
        <v>4565</v>
      </c>
    </row>
    <row r="2242" spans="1:11" ht="28.9" customHeight="1" thickTop="1" thickBot="1" x14ac:dyDescent="0.75">
      <c r="A2242" s="6">
        <v>2240</v>
      </c>
      <c r="B2242" s="58" t="str">
        <f>HYPERLINK("https://search.naver.com/search.naver?query=영웅본색 3 영화", "영웅본색 3")</f>
        <v>영웅본색 3</v>
      </c>
      <c r="C2242" s="12">
        <v>6.04</v>
      </c>
      <c r="D2242" s="13" t="s">
        <v>4566</v>
      </c>
      <c r="E2242" s="10" t="s">
        <v>123</v>
      </c>
      <c r="F2242" s="10">
        <v>1989</v>
      </c>
      <c r="G2242" s="10" t="s">
        <v>14</v>
      </c>
      <c r="H2242" s="11" t="s">
        <v>124</v>
      </c>
      <c r="I2242" s="10" t="s">
        <v>175</v>
      </c>
      <c r="J2242" s="131"/>
      <c r="K2242" s="149" t="s">
        <v>4567</v>
      </c>
    </row>
    <row r="2243" spans="1:11" ht="28.9" customHeight="1" thickTop="1" thickBot="1" x14ac:dyDescent="0.75">
      <c r="A2243" s="10">
        <v>2241</v>
      </c>
      <c r="B2243" s="57" t="str">
        <f>HYPERLINK("https://search.naver.com/search.naver?query=영화는 영화다 영화", "영화는 영화다")</f>
        <v>영화는 영화다</v>
      </c>
      <c r="C2243" s="8">
        <v>8.85</v>
      </c>
      <c r="D2243" s="9" t="s">
        <v>4568</v>
      </c>
      <c r="E2243" s="6" t="s">
        <v>13</v>
      </c>
      <c r="F2243" s="6">
        <v>2008</v>
      </c>
      <c r="G2243" s="6" t="s">
        <v>14</v>
      </c>
      <c r="H2243" s="7" t="s">
        <v>20</v>
      </c>
      <c r="I2243" s="6" t="s">
        <v>429</v>
      </c>
      <c r="J2243" s="130"/>
      <c r="K2243" s="148" t="s">
        <v>4569</v>
      </c>
    </row>
    <row r="2244" spans="1:11" ht="28.9" customHeight="1" thickTop="1" thickBot="1" x14ac:dyDescent="0.75">
      <c r="A2244" s="10">
        <v>2242</v>
      </c>
      <c r="B2244" s="58" t="str">
        <f>HYPERLINK("https://search.naver.com/search.naver?query=예감은 틀리지 않는다 영화", "예감은 틀리지 않는다")</f>
        <v>예감은 틀리지 않는다</v>
      </c>
      <c r="C2244" s="12">
        <v>7.8</v>
      </c>
      <c r="D2244" s="13" t="s">
        <v>4570</v>
      </c>
      <c r="E2244" s="10" t="s">
        <v>29</v>
      </c>
      <c r="F2244" s="10">
        <v>2017</v>
      </c>
      <c r="G2244" s="10" t="s">
        <v>14</v>
      </c>
      <c r="H2244" s="11" t="s">
        <v>20</v>
      </c>
      <c r="I2244" s="10" t="s">
        <v>38</v>
      </c>
      <c r="J2244" s="131"/>
      <c r="K2244" s="149" t="s">
        <v>4571</v>
      </c>
    </row>
    <row r="2245" spans="1:11" ht="28.9" customHeight="1" thickTop="1" thickBot="1" x14ac:dyDescent="0.75">
      <c r="A2245" s="6">
        <v>2243</v>
      </c>
      <c r="B2245" s="57" t="str">
        <f>HYPERLINK("https://search.naver.com/search.naver?query=예고범 영화", "예고범")</f>
        <v>예고범</v>
      </c>
      <c r="C2245" s="8">
        <v>6.4</v>
      </c>
      <c r="D2245" s="9" t="s">
        <v>4572</v>
      </c>
      <c r="E2245" s="6" t="s">
        <v>19</v>
      </c>
      <c r="F2245" s="6">
        <v>2015</v>
      </c>
      <c r="G2245" s="6" t="s">
        <v>14</v>
      </c>
      <c r="H2245" s="7" t="s">
        <v>194</v>
      </c>
      <c r="I2245" s="6" t="s">
        <v>68</v>
      </c>
      <c r="J2245" s="130"/>
      <c r="K2245" s="148" t="s">
        <v>4573</v>
      </c>
    </row>
    <row r="2246" spans="1:11" ht="28.9" customHeight="1" thickTop="1" thickBot="1" x14ac:dyDescent="0.75">
      <c r="A2246" s="10">
        <v>2244</v>
      </c>
      <c r="B2246" s="58" t="str">
        <f>HYPERLINK("https://search.naver.com/search.naver?query=예스터데이 영화", "예스터데이")</f>
        <v>예스터데이</v>
      </c>
      <c r="C2246" s="12">
        <v>7.97</v>
      </c>
      <c r="D2246" s="13" t="s">
        <v>4574</v>
      </c>
      <c r="E2246" s="10" t="s">
        <v>29</v>
      </c>
      <c r="F2246" s="10">
        <v>2019</v>
      </c>
      <c r="G2246" s="10" t="s">
        <v>14</v>
      </c>
      <c r="H2246" s="11" t="s">
        <v>91</v>
      </c>
      <c r="I2246" s="10" t="s">
        <v>591</v>
      </c>
      <c r="J2246" s="131"/>
      <c r="K2246" s="149" t="s">
        <v>4575</v>
      </c>
    </row>
    <row r="2247" spans="1:11" ht="28.9" customHeight="1" thickTop="1" thickBot="1" x14ac:dyDescent="0.75">
      <c r="A2247" s="10">
        <v>2245</v>
      </c>
      <c r="B2247" s="57" t="str">
        <f>HYPERLINK("https://search.naver.com/search.naver?query=예언자 영화", "예언자")</f>
        <v>예언자</v>
      </c>
      <c r="C2247" s="8">
        <v>7.88</v>
      </c>
      <c r="D2247" s="9" t="s">
        <v>4576</v>
      </c>
      <c r="E2247" s="6" t="s">
        <v>310</v>
      </c>
      <c r="F2247" s="6">
        <v>2009</v>
      </c>
      <c r="G2247" s="6" t="s">
        <v>14</v>
      </c>
      <c r="H2247" s="7" t="s">
        <v>428</v>
      </c>
      <c r="I2247" s="6" t="s">
        <v>262</v>
      </c>
      <c r="J2247" s="130"/>
      <c r="K2247" s="148" t="s">
        <v>4577</v>
      </c>
    </row>
    <row r="2248" spans="1:11" ht="28.9" customHeight="1" thickTop="1" thickBot="1" x14ac:dyDescent="0.75">
      <c r="A2248" s="6">
        <v>2246</v>
      </c>
      <c r="B2248" s="59" t="str">
        <f>HYPERLINK("https://search.naver.com/search.naver?query=옐로우스톤 시즌1", "옐로우스톤 시즌1")</f>
        <v>옐로우스톤 시즌1</v>
      </c>
      <c r="C2248" s="16"/>
      <c r="D2248" s="17" t="s">
        <v>4578</v>
      </c>
      <c r="E2248" s="14" t="s">
        <v>24</v>
      </c>
      <c r="F2248" s="14">
        <v>2018</v>
      </c>
      <c r="G2248" s="14" t="s">
        <v>20</v>
      </c>
      <c r="H2248" s="15" t="s">
        <v>20</v>
      </c>
      <c r="I2248" s="14" t="s">
        <v>364</v>
      </c>
      <c r="J2248" s="132"/>
      <c r="K2248" s="150" t="s">
        <v>4498</v>
      </c>
    </row>
    <row r="2249" spans="1:11" ht="28.9" customHeight="1" thickTop="1" thickBot="1" x14ac:dyDescent="0.75">
      <c r="A2249" s="10">
        <v>2247</v>
      </c>
      <c r="B2249" s="59" t="str">
        <f>HYPERLINK("https://search.naver.com/search.naver?query=옐로우스톤 시즌2", "옐로우스톤 시즌2")</f>
        <v>옐로우스톤 시즌2</v>
      </c>
      <c r="C2249" s="16"/>
      <c r="D2249" s="17" t="s">
        <v>4579</v>
      </c>
      <c r="E2249" s="14" t="s">
        <v>24</v>
      </c>
      <c r="F2249" s="14">
        <v>2019</v>
      </c>
      <c r="G2249" s="14" t="s">
        <v>20</v>
      </c>
      <c r="H2249" s="15" t="s">
        <v>20</v>
      </c>
      <c r="I2249" s="14" t="s">
        <v>64</v>
      </c>
      <c r="J2249" s="132"/>
      <c r="K2249" s="150" t="s">
        <v>2191</v>
      </c>
    </row>
    <row r="2250" spans="1:11" ht="28.9" customHeight="1" thickTop="1" thickBot="1" x14ac:dyDescent="0.75">
      <c r="A2250" s="10">
        <v>2248</v>
      </c>
      <c r="B2250" s="59" t="str">
        <f>HYPERLINK("https://search.naver.com/search.naver?query=옐로우스톤 시즌3", "옐로우스톤 시즌3")</f>
        <v>옐로우스톤 시즌3</v>
      </c>
      <c r="C2250" s="16"/>
      <c r="D2250" s="17" t="s">
        <v>4580</v>
      </c>
      <c r="E2250" s="14" t="s">
        <v>24</v>
      </c>
      <c r="F2250" s="14">
        <v>2020</v>
      </c>
      <c r="G2250" s="14" t="s">
        <v>20</v>
      </c>
      <c r="H2250" s="15" t="s">
        <v>20</v>
      </c>
      <c r="I2250" s="14" t="s">
        <v>64</v>
      </c>
      <c r="J2250" s="132"/>
      <c r="K2250" s="150" t="s">
        <v>4581</v>
      </c>
    </row>
    <row r="2251" spans="1:11" ht="28.9" customHeight="1" thickTop="1" thickBot="1" x14ac:dyDescent="0.75">
      <c r="A2251" s="6">
        <v>2249</v>
      </c>
      <c r="B2251" s="59" t="str">
        <f>HYPERLINK("https://search.naver.com/search.naver?query=옐로우스톤 시즌4", "옐로우스톤 시즌4")</f>
        <v>옐로우스톤 시즌4</v>
      </c>
      <c r="C2251" s="16"/>
      <c r="D2251" s="17" t="s">
        <v>4582</v>
      </c>
      <c r="E2251" s="14" t="s">
        <v>24</v>
      </c>
      <c r="F2251" s="14">
        <v>2022</v>
      </c>
      <c r="G2251" s="14" t="s">
        <v>20</v>
      </c>
      <c r="H2251" s="15" t="s">
        <v>20</v>
      </c>
      <c r="I2251" s="14" t="s">
        <v>64</v>
      </c>
      <c r="J2251" s="132"/>
      <c r="K2251" s="150" t="s">
        <v>4583</v>
      </c>
    </row>
    <row r="2252" spans="1:11" ht="28.9" customHeight="1" thickTop="1" thickBot="1" x14ac:dyDescent="0.75">
      <c r="A2252" s="10">
        <v>2250</v>
      </c>
      <c r="B2252" s="59" t="str">
        <f>HYPERLINK("https://search.naver.com/search.naver?query=옐로우스톤 시즌5", "옐로우스톤 시즌5")</f>
        <v>옐로우스톤 시즌5</v>
      </c>
      <c r="C2252" s="16"/>
      <c r="D2252" s="17"/>
      <c r="E2252" s="14" t="s">
        <v>24</v>
      </c>
      <c r="F2252" s="14">
        <v>2024</v>
      </c>
      <c r="G2252" s="14" t="s">
        <v>20</v>
      </c>
      <c r="H2252" s="15" t="s">
        <v>20</v>
      </c>
      <c r="I2252" s="14" t="s">
        <v>231</v>
      </c>
      <c r="J2252" s="132"/>
      <c r="K2252" s="150" t="s">
        <v>678</v>
      </c>
    </row>
    <row r="2253" spans="1:11" ht="28.9" customHeight="1" thickTop="1" thickBot="1" x14ac:dyDescent="0.75">
      <c r="A2253" s="10">
        <v>2251</v>
      </c>
      <c r="B2253" s="57" t="str">
        <f>HYPERLINK("https://search.naver.com/search.naver?query=오 루시 영화", "오 루시")</f>
        <v>오 루시</v>
      </c>
      <c r="C2253" s="8">
        <v>8.06</v>
      </c>
      <c r="D2253" s="9" t="s">
        <v>4584</v>
      </c>
      <c r="E2253" s="6" t="s">
        <v>19</v>
      </c>
      <c r="F2253" s="6">
        <v>2017</v>
      </c>
      <c r="G2253" s="6" t="s">
        <v>14</v>
      </c>
      <c r="H2253" s="7" t="s">
        <v>20</v>
      </c>
      <c r="I2253" s="6" t="s">
        <v>150</v>
      </c>
      <c r="J2253" s="130"/>
      <c r="K2253" s="148" t="s">
        <v>410</v>
      </c>
    </row>
    <row r="2254" spans="1:11" ht="28.9" customHeight="1" thickTop="1" thickBot="1" x14ac:dyDescent="0.75">
      <c r="A2254" s="6">
        <v>2252</v>
      </c>
      <c r="B2254" s="58" t="str">
        <f>HYPERLINK("https://search.naver.com/search.naver?query=오 마이 그랜파 영화", "오 마이 그랜파")</f>
        <v>오 마이 그랜파</v>
      </c>
      <c r="C2254" s="12">
        <v>8.24</v>
      </c>
      <c r="D2254" s="13" t="s">
        <v>4585</v>
      </c>
      <c r="E2254" s="10" t="s">
        <v>24</v>
      </c>
      <c r="F2254" s="10">
        <v>2016</v>
      </c>
      <c r="G2254" s="10" t="s">
        <v>14</v>
      </c>
      <c r="H2254" s="11" t="s">
        <v>91</v>
      </c>
      <c r="I2254" s="10" t="s">
        <v>179</v>
      </c>
      <c r="J2254" s="131"/>
      <c r="K2254" s="149" t="s">
        <v>4586</v>
      </c>
    </row>
    <row r="2255" spans="1:11" ht="28.9" customHeight="1" thickTop="1" thickBot="1" x14ac:dyDescent="0.75">
      <c r="A2255" s="10">
        <v>2253</v>
      </c>
      <c r="B2255" s="57" t="str">
        <f>HYPERLINK("https://search.naver.com/search.naver?query=오 브라더, 오 시스터 영화", "오 브라더, 오 시스터")</f>
        <v>오 브라더, 오 시스터</v>
      </c>
      <c r="C2255" s="8"/>
      <c r="D2255" s="9" t="s">
        <v>4587</v>
      </c>
      <c r="E2255" s="6" t="s">
        <v>19</v>
      </c>
      <c r="F2255" s="6">
        <v>2014</v>
      </c>
      <c r="G2255" s="6" t="s">
        <v>14</v>
      </c>
      <c r="H2255" s="7" t="s">
        <v>20</v>
      </c>
      <c r="I2255" s="6" t="s">
        <v>150</v>
      </c>
      <c r="J2255" s="130"/>
      <c r="K2255" s="148" t="s">
        <v>4588</v>
      </c>
    </row>
    <row r="2256" spans="1:11" ht="28.9" customHeight="1" thickTop="1" thickBot="1" x14ac:dyDescent="0.75">
      <c r="A2256" s="10">
        <v>2254</v>
      </c>
      <c r="B2256" s="58" t="str">
        <f>HYPERLINK("https://search.naver.com/search.naver?query=오! 문희 영화", "오! 문희")</f>
        <v>오! 문희</v>
      </c>
      <c r="C2256" s="12">
        <v>9.15</v>
      </c>
      <c r="D2256" s="13" t="s">
        <v>4589</v>
      </c>
      <c r="E2256" s="10" t="s">
        <v>13</v>
      </c>
      <c r="F2256" s="10">
        <v>2020</v>
      </c>
      <c r="G2256" s="10" t="s">
        <v>14</v>
      </c>
      <c r="H2256" s="11" t="s">
        <v>20</v>
      </c>
      <c r="I2256" s="10" t="s">
        <v>129</v>
      </c>
      <c r="J2256" s="131"/>
      <c r="K2256" s="149" t="s">
        <v>4590</v>
      </c>
    </row>
    <row r="2257" spans="1:11" ht="28.9" customHeight="1" thickTop="1" thickBot="1" x14ac:dyDescent="0.75">
      <c r="A2257" s="6">
        <v>2255</v>
      </c>
      <c r="B2257" s="57" t="str">
        <f>HYPERLINK("https://search.naver.com/search.naver?query=오!파더 영화", "오!파더")</f>
        <v>오!파더</v>
      </c>
      <c r="C2257" s="8">
        <v>6.4</v>
      </c>
      <c r="D2257" s="9" t="s">
        <v>4591</v>
      </c>
      <c r="E2257" s="6" t="s">
        <v>19</v>
      </c>
      <c r="F2257" s="6">
        <v>2014</v>
      </c>
      <c r="G2257" s="6" t="s">
        <v>14</v>
      </c>
      <c r="H2257" s="7" t="s">
        <v>91</v>
      </c>
      <c r="I2257" s="6" t="s">
        <v>150</v>
      </c>
      <c r="J2257" s="130"/>
      <c r="K2257" s="148" t="s">
        <v>4592</v>
      </c>
    </row>
    <row r="2258" spans="1:11" ht="28.9" customHeight="1" thickTop="1" thickBot="1" x14ac:dyDescent="0.75">
      <c r="A2258" s="10">
        <v>2256</v>
      </c>
      <c r="B2258" s="58" t="str">
        <f>HYPERLINK("https://search.naver.com/search.naver?query=오늘2011", "오늘")</f>
        <v>오늘</v>
      </c>
      <c r="C2258" s="12">
        <v>8.0399999999999991</v>
      </c>
      <c r="D2258" s="13" t="s">
        <v>4593</v>
      </c>
      <c r="E2258" s="10" t="s">
        <v>13</v>
      </c>
      <c r="F2258" s="10">
        <v>2011</v>
      </c>
      <c r="G2258" s="10" t="s">
        <v>14</v>
      </c>
      <c r="H2258" s="11" t="s">
        <v>20</v>
      </c>
      <c r="I2258" s="10" t="s">
        <v>150</v>
      </c>
      <c r="J2258" s="131"/>
      <c r="K2258" s="149" t="s">
        <v>463</v>
      </c>
    </row>
    <row r="2259" spans="1:11" ht="28.9" customHeight="1" thickTop="1" thickBot="1" x14ac:dyDescent="0.75">
      <c r="A2259" s="10">
        <v>2257</v>
      </c>
      <c r="B2259" s="57" t="str">
        <f>HYPERLINK("https://search.naver.com/search.naver?query=오렌지 영화", "오렌지")</f>
        <v>오렌지</v>
      </c>
      <c r="C2259" s="8">
        <v>8.59</v>
      </c>
      <c r="D2259" s="9" t="s">
        <v>4594</v>
      </c>
      <c r="E2259" s="6" t="s">
        <v>19</v>
      </c>
      <c r="F2259" s="6">
        <v>2015</v>
      </c>
      <c r="G2259" s="6" t="s">
        <v>14</v>
      </c>
      <c r="H2259" s="7" t="s">
        <v>20</v>
      </c>
      <c r="I2259" s="6" t="s">
        <v>476</v>
      </c>
      <c r="J2259" s="130"/>
      <c r="K2259" s="148" t="s">
        <v>4595</v>
      </c>
    </row>
    <row r="2260" spans="1:11" ht="28.9" customHeight="1" thickTop="1" thickBot="1" x14ac:dyDescent="0.75">
      <c r="A2260" s="6">
        <v>2258</v>
      </c>
      <c r="B2260" s="58" t="str">
        <f>HYPERLINK("https://search.naver.com/search.naver?query=오로라 공주 영화", "오로라 공주")</f>
        <v>오로라 공주</v>
      </c>
      <c r="C2260" s="12">
        <v>8.15</v>
      </c>
      <c r="D2260" s="13" t="s">
        <v>4596</v>
      </c>
      <c r="E2260" s="10" t="s">
        <v>13</v>
      </c>
      <c r="F2260" s="10">
        <v>2005</v>
      </c>
      <c r="G2260" s="10" t="s">
        <v>14</v>
      </c>
      <c r="H2260" s="11" t="s">
        <v>54</v>
      </c>
      <c r="I2260" s="10" t="s">
        <v>443</v>
      </c>
      <c r="J2260" s="131"/>
      <c r="K2260" s="149" t="s">
        <v>4597</v>
      </c>
    </row>
    <row r="2261" spans="1:11" ht="28.9" customHeight="1" thickTop="1" thickBot="1" x14ac:dyDescent="0.75">
      <c r="A2261" s="10">
        <v>2259</v>
      </c>
      <c r="B2261" s="57" t="str">
        <f>HYPERLINK("https://search.naver.com/search.naver?query=오르페브르 36번가 영화", "오르페브르 36번가")</f>
        <v>오르페브르 36번가</v>
      </c>
      <c r="C2261" s="8">
        <v>7.83</v>
      </c>
      <c r="D2261" s="9" t="s">
        <v>4598</v>
      </c>
      <c r="E2261" s="6" t="s">
        <v>310</v>
      </c>
      <c r="F2261" s="6">
        <v>2004</v>
      </c>
      <c r="G2261" s="6" t="s">
        <v>14</v>
      </c>
      <c r="H2261" s="7" t="s">
        <v>428</v>
      </c>
      <c r="I2261" s="6" t="s">
        <v>129</v>
      </c>
      <c r="J2261" s="130"/>
      <c r="K2261" s="148" t="s">
        <v>4599</v>
      </c>
    </row>
    <row r="2262" spans="1:11" ht="28.9" customHeight="1" thickTop="1" thickBot="1" x14ac:dyDescent="0.75">
      <c r="A2262" s="10">
        <v>2260</v>
      </c>
      <c r="B2262" s="58" t="str">
        <f>HYPERLINK("https://search.naver.com/search.naver?query=오리엔트 특급 살인 영화", "오리엔트 특급 살인")</f>
        <v>오리엔트 특급 살인</v>
      </c>
      <c r="C2262" s="12">
        <v>7.11</v>
      </c>
      <c r="D2262" s="13" t="s">
        <v>4600</v>
      </c>
      <c r="E2262" s="10" t="s">
        <v>24</v>
      </c>
      <c r="F2262" s="10">
        <v>2017</v>
      </c>
      <c r="G2262" s="10" t="s">
        <v>14</v>
      </c>
      <c r="H2262" s="11" t="s">
        <v>428</v>
      </c>
      <c r="I2262" s="10" t="s">
        <v>305</v>
      </c>
      <c r="J2262" s="131"/>
      <c r="K2262" s="149" t="s">
        <v>4601</v>
      </c>
    </row>
    <row r="2263" spans="1:11" ht="28.9" customHeight="1" thickTop="1" thickBot="1" x14ac:dyDescent="0.75">
      <c r="A2263" s="6">
        <v>2261</v>
      </c>
      <c r="B2263" s="59" t="str">
        <f>HYPERLINK("https://search.naver.com/search.naver?query=오만과 편견1995 영국드라마", "오만과 편견")</f>
        <v>오만과 편견</v>
      </c>
      <c r="C2263" s="16"/>
      <c r="D2263" s="17" t="s">
        <v>4602</v>
      </c>
      <c r="E2263" s="14" t="s">
        <v>29</v>
      </c>
      <c r="F2263" s="14">
        <v>1995</v>
      </c>
      <c r="G2263" s="14" t="s">
        <v>20</v>
      </c>
      <c r="H2263" s="15" t="s">
        <v>20</v>
      </c>
      <c r="I2263" s="14" t="s">
        <v>247</v>
      </c>
      <c r="J2263" s="132"/>
      <c r="K2263" s="150" t="s">
        <v>4603</v>
      </c>
    </row>
    <row r="2264" spans="1:11" ht="28.9" customHeight="1" thickTop="1" thickBot="1" x14ac:dyDescent="0.75">
      <c r="A2264" s="10">
        <v>2262</v>
      </c>
      <c r="B2264" s="58" t="str">
        <f>HYPERLINK("https://search.naver.com/search.naver?query=오만과 편견 영화", "오만과 편견")</f>
        <v>오만과 편견</v>
      </c>
      <c r="C2264" s="12">
        <v>8.9700000000000006</v>
      </c>
      <c r="D2264" s="13" t="s">
        <v>4604</v>
      </c>
      <c r="E2264" s="10" t="s">
        <v>29</v>
      </c>
      <c r="F2264" s="10">
        <v>2005</v>
      </c>
      <c r="G2264" s="10" t="s">
        <v>14</v>
      </c>
      <c r="H2264" s="11" t="s">
        <v>165</v>
      </c>
      <c r="I2264" s="10" t="s">
        <v>85</v>
      </c>
      <c r="J2264" s="131"/>
      <c r="K2264" s="149" t="s">
        <v>4605</v>
      </c>
    </row>
    <row r="2265" spans="1:11" ht="28.9" customHeight="1" thickTop="1" thickBot="1" x14ac:dyDescent="0.75">
      <c r="A2265" s="10">
        <v>2263</v>
      </c>
      <c r="B2265" s="57" t="str">
        <f>HYPERLINK("https://search.naver.com/search.naver?query=오버로드 영화", "오버로드")</f>
        <v>오버로드</v>
      </c>
      <c r="C2265" s="8"/>
      <c r="D2265" s="9" t="s">
        <v>4606</v>
      </c>
      <c r="E2265" s="6" t="s">
        <v>24</v>
      </c>
      <c r="F2265" s="6">
        <v>2018</v>
      </c>
      <c r="G2265" s="6" t="s">
        <v>14</v>
      </c>
      <c r="H2265" s="7" t="s">
        <v>124</v>
      </c>
      <c r="I2265" s="6" t="s">
        <v>129</v>
      </c>
      <c r="J2265" s="130"/>
      <c r="K2265" s="148" t="s">
        <v>4607</v>
      </c>
    </row>
    <row r="2266" spans="1:11" ht="28.9" customHeight="1" thickTop="1" thickBot="1" x14ac:dyDescent="0.75">
      <c r="A2266" s="6">
        <v>2264</v>
      </c>
      <c r="B2266" s="58" t="str">
        <f>HYPERLINK("https://search.naver.com/search.naver?query=오베라는 남자 영화", "오베라는 남자")</f>
        <v>오베라는 남자</v>
      </c>
      <c r="C2266" s="12">
        <v>9.06</v>
      </c>
      <c r="D2266" s="13" t="s">
        <v>4608</v>
      </c>
      <c r="E2266" s="10" t="s">
        <v>1043</v>
      </c>
      <c r="F2266" s="10">
        <v>2015</v>
      </c>
      <c r="G2266" s="10" t="s">
        <v>14</v>
      </c>
      <c r="H2266" s="11" t="s">
        <v>20</v>
      </c>
      <c r="I2266" s="10" t="s">
        <v>591</v>
      </c>
      <c r="J2266" s="131"/>
      <c r="K2266" s="149" t="s">
        <v>4609</v>
      </c>
    </row>
    <row r="2267" spans="1:11" ht="28.9" customHeight="1" thickTop="1" thickBot="1" x14ac:dyDescent="0.75">
      <c r="A2267" s="10">
        <v>2265</v>
      </c>
      <c r="B2267" s="57" t="str">
        <f>HYPERLINK("https://search.naver.com/search.naver?query=오블리비언 영화", "오블리비언")</f>
        <v>오블리비언</v>
      </c>
      <c r="C2267" s="8">
        <v>8.27</v>
      </c>
      <c r="D2267" s="9" t="s">
        <v>4610</v>
      </c>
      <c r="E2267" s="6" t="s">
        <v>24</v>
      </c>
      <c r="F2267" s="6">
        <v>2013</v>
      </c>
      <c r="G2267" s="6" t="s">
        <v>14</v>
      </c>
      <c r="H2267" s="7" t="s">
        <v>877</v>
      </c>
      <c r="I2267" s="6" t="s">
        <v>183</v>
      </c>
      <c r="J2267" s="130"/>
      <c r="K2267" s="148" t="s">
        <v>4611</v>
      </c>
    </row>
    <row r="2268" spans="1:11" ht="28.9" customHeight="1" thickTop="1" thickBot="1" x14ac:dyDescent="0.75">
      <c r="A2268" s="10">
        <v>2266</v>
      </c>
      <c r="B2268" s="58" t="str">
        <f>HYPERLINK("https://search.naver.com/search.naver?query=오빠생각 영화", "오빠생각")</f>
        <v>오빠생각</v>
      </c>
      <c r="C2268" s="12">
        <v>8.51</v>
      </c>
      <c r="D2268" s="13" t="s">
        <v>4612</v>
      </c>
      <c r="E2268" s="10" t="s">
        <v>13</v>
      </c>
      <c r="F2268" s="10">
        <v>2016</v>
      </c>
      <c r="G2268" s="10" t="s">
        <v>14</v>
      </c>
      <c r="H2268" s="11" t="s">
        <v>20</v>
      </c>
      <c r="I2268" s="10" t="s">
        <v>305</v>
      </c>
      <c r="J2268" s="131"/>
      <c r="K2268" s="149" t="s">
        <v>4613</v>
      </c>
    </row>
    <row r="2269" spans="1:11" ht="28.9" customHeight="1" thickTop="1" thickBot="1" x14ac:dyDescent="0.75">
      <c r="A2269" s="6">
        <v>2267</v>
      </c>
      <c r="B2269" s="57" t="str">
        <f>HYPERLINK("https://search.naver.com/search.naver?query=오살 영화", "오살")</f>
        <v>오살</v>
      </c>
      <c r="C2269" s="8">
        <v>8.44</v>
      </c>
      <c r="D2269" s="9" t="s">
        <v>4614</v>
      </c>
      <c r="E2269" s="6" t="s">
        <v>186</v>
      </c>
      <c r="F2269" s="6">
        <v>2020</v>
      </c>
      <c r="G2269" s="6" t="s">
        <v>14</v>
      </c>
      <c r="H2269" s="7" t="s">
        <v>54</v>
      </c>
      <c r="I2269" s="6" t="s">
        <v>242</v>
      </c>
      <c r="J2269" s="130"/>
      <c r="K2269" s="148" t="s">
        <v>4615</v>
      </c>
    </row>
    <row r="2270" spans="1:11" ht="28.9" customHeight="1" thickTop="1" thickBot="1" x14ac:dyDescent="0.75">
      <c r="A2270" s="10">
        <v>2268</v>
      </c>
      <c r="B2270" s="58" t="str">
        <f>HYPERLINK("https://search.naver.com/search.naver?query=오션스8 영화", "오션스8")</f>
        <v>오션스8</v>
      </c>
      <c r="C2270" s="12">
        <v>8.3699999999999992</v>
      </c>
      <c r="D2270" s="13" t="s">
        <v>4616</v>
      </c>
      <c r="E2270" s="10" t="s">
        <v>24</v>
      </c>
      <c r="F2270" s="10">
        <v>2018</v>
      </c>
      <c r="G2270" s="10" t="s">
        <v>14</v>
      </c>
      <c r="H2270" s="11" t="s">
        <v>428</v>
      </c>
      <c r="I2270" s="10" t="s">
        <v>129</v>
      </c>
      <c r="J2270" s="131"/>
      <c r="K2270" s="149" t="s">
        <v>4617</v>
      </c>
    </row>
    <row r="2271" spans="1:11" ht="28.9" customHeight="1" thickTop="1" thickBot="1" x14ac:dyDescent="0.75">
      <c r="A2271" s="10">
        <v>2269</v>
      </c>
      <c r="B2271" s="57" t="str">
        <f>HYPERLINK("https://search.naver.com/search.naver?query=오스카 그랜트의 어떤 하루 영화", "오스카 그랜트의 어떤 하루")</f>
        <v>오스카 그랜트의 어떤 하루</v>
      </c>
      <c r="C2271" s="8">
        <v>8.5</v>
      </c>
      <c r="D2271" s="9" t="s">
        <v>4618</v>
      </c>
      <c r="E2271" s="6" t="s">
        <v>24</v>
      </c>
      <c r="F2271" s="6">
        <v>2013</v>
      </c>
      <c r="G2271" s="6" t="s">
        <v>14</v>
      </c>
      <c r="H2271" s="7" t="s">
        <v>20</v>
      </c>
      <c r="I2271" s="6" t="s">
        <v>46</v>
      </c>
      <c r="J2271" s="130"/>
      <c r="K2271" s="148" t="s">
        <v>4619</v>
      </c>
    </row>
    <row r="2272" spans="1:11" ht="28.9" customHeight="1" thickTop="1" thickBot="1" x14ac:dyDescent="0.75">
      <c r="A2272" s="6">
        <v>2270</v>
      </c>
      <c r="B2272" s="58" t="str">
        <f>HYPERLINK("https://search.naver.com/search.naver?query=오싱 영화", "오싱")</f>
        <v>오싱</v>
      </c>
      <c r="C2272" s="12">
        <v>7.95</v>
      </c>
      <c r="D2272" s="13" t="s">
        <v>4620</v>
      </c>
      <c r="E2272" s="10" t="s">
        <v>19</v>
      </c>
      <c r="F2272" s="10">
        <v>2013</v>
      </c>
      <c r="G2272" s="10" t="s">
        <v>14</v>
      </c>
      <c r="H2272" s="11" t="s">
        <v>20</v>
      </c>
      <c r="I2272" s="10" t="s">
        <v>129</v>
      </c>
      <c r="J2272" s="131"/>
      <c r="K2272" s="149" t="s">
        <v>767</v>
      </c>
    </row>
    <row r="2273" spans="1:11" ht="28.9" customHeight="1" thickTop="1" thickBot="1" x14ac:dyDescent="0.75">
      <c r="A2273" s="10">
        <v>2271</v>
      </c>
      <c r="B2273" s="57" t="str">
        <f>HYPERLINK("https://search.naver.com/search.naver?query=오이시맨 영화", "오이시맨")</f>
        <v>오이시맨</v>
      </c>
      <c r="C2273" s="8">
        <v>7.21</v>
      </c>
      <c r="D2273" s="9" t="s">
        <v>4621</v>
      </c>
      <c r="E2273" s="6" t="s">
        <v>19</v>
      </c>
      <c r="F2273" s="6">
        <v>2008</v>
      </c>
      <c r="G2273" s="6" t="s">
        <v>14</v>
      </c>
      <c r="H2273" s="7" t="s">
        <v>20</v>
      </c>
      <c r="I2273" s="6" t="s">
        <v>150</v>
      </c>
      <c r="J2273" s="130"/>
      <c r="K2273" s="148" t="s">
        <v>4622</v>
      </c>
    </row>
    <row r="2274" spans="1:11" ht="28.9" customHeight="1" thickTop="1" thickBot="1" x14ac:dyDescent="0.75">
      <c r="A2274" s="10">
        <v>2272</v>
      </c>
      <c r="B2274" s="59" t="str">
        <f>HYPERLINK("https://search.naver.com/search.naver?query=오자크 시즌1", "오자크 시즌1")</f>
        <v>오자크 시즌1</v>
      </c>
      <c r="C2274" s="16"/>
      <c r="D2274" s="17" t="s">
        <v>4623</v>
      </c>
      <c r="E2274" s="14" t="s">
        <v>24</v>
      </c>
      <c r="F2274" s="14">
        <v>2017</v>
      </c>
      <c r="G2274" s="14" t="s">
        <v>20</v>
      </c>
      <c r="H2274" s="15" t="s">
        <v>115</v>
      </c>
      <c r="I2274" s="14" t="s">
        <v>64</v>
      </c>
      <c r="J2274" s="132"/>
      <c r="K2274" s="150" t="s">
        <v>4624</v>
      </c>
    </row>
    <row r="2275" spans="1:11" ht="28.9" customHeight="1" thickTop="1" thickBot="1" x14ac:dyDescent="0.75">
      <c r="A2275" s="6">
        <v>2273</v>
      </c>
      <c r="B2275" s="59" t="str">
        <f>HYPERLINK("https://search.naver.com/search.naver?query=오자크 시즌2", "오자크 시즌2")</f>
        <v>오자크 시즌2</v>
      </c>
      <c r="C2275" s="16"/>
      <c r="D2275" s="17" t="s">
        <v>4623</v>
      </c>
      <c r="E2275" s="14" t="s">
        <v>24</v>
      </c>
      <c r="F2275" s="14">
        <v>2018</v>
      </c>
      <c r="G2275" s="14" t="s">
        <v>20</v>
      </c>
      <c r="H2275" s="15" t="s">
        <v>115</v>
      </c>
      <c r="I2275" s="14" t="s">
        <v>64</v>
      </c>
      <c r="J2275" s="132"/>
      <c r="K2275" s="150" t="s">
        <v>4625</v>
      </c>
    </row>
    <row r="2276" spans="1:11" ht="28.9" customHeight="1" thickTop="1" thickBot="1" x14ac:dyDescent="0.75">
      <c r="A2276" s="10">
        <v>2274</v>
      </c>
      <c r="B2276" s="59" t="str">
        <f>HYPERLINK("https://search.naver.com/search.naver?query=오자크 시즌3", "오자크 시즌3")</f>
        <v>오자크 시즌3</v>
      </c>
      <c r="C2276" s="16"/>
      <c r="D2276" s="17" t="s">
        <v>4623</v>
      </c>
      <c r="E2276" s="14" t="s">
        <v>24</v>
      </c>
      <c r="F2276" s="14">
        <v>2019</v>
      </c>
      <c r="G2276" s="14" t="s">
        <v>20</v>
      </c>
      <c r="H2276" s="15" t="s">
        <v>115</v>
      </c>
      <c r="I2276" s="14" t="s">
        <v>888</v>
      </c>
      <c r="J2276" s="132"/>
      <c r="K2276" s="150" t="s">
        <v>1105</v>
      </c>
    </row>
    <row r="2277" spans="1:11" ht="28.9" customHeight="1" thickTop="1" thickBot="1" x14ac:dyDescent="0.75">
      <c r="A2277" s="10">
        <v>2275</v>
      </c>
      <c r="B2277" s="59" t="str">
        <f>HYPERLINK("https://search.naver.com/search.naver?query=오자크 시즌4", "오자크 시즌4")</f>
        <v>오자크 시즌4</v>
      </c>
      <c r="C2277" s="16"/>
      <c r="D2277" s="17" t="s">
        <v>4623</v>
      </c>
      <c r="E2277" s="14" t="s">
        <v>24</v>
      </c>
      <c r="F2277" s="14">
        <v>2022</v>
      </c>
      <c r="G2277" s="14" t="s">
        <v>20</v>
      </c>
      <c r="H2277" s="15" t="s">
        <v>115</v>
      </c>
      <c r="I2277" s="14" t="s">
        <v>231</v>
      </c>
      <c r="J2277" s="132"/>
      <c r="K2277" s="150" t="s">
        <v>4626</v>
      </c>
    </row>
    <row r="2278" spans="1:11" ht="28.9" customHeight="1" thickTop="1" thickBot="1" x14ac:dyDescent="0.75">
      <c r="A2278" s="6">
        <v>2276</v>
      </c>
      <c r="B2278" s="58" t="str">
        <f>HYPERLINK("https://search.naver.com/search.naver?query=오즈랜드 웃음의 마법을 가르칩니다 영화", "오즈랜드 웃음의 마법을 가르칩니다")</f>
        <v>오즈랜드 웃음의 마법을 가르칩니다</v>
      </c>
      <c r="C2278" s="12"/>
      <c r="D2278" s="13" t="s">
        <v>4627</v>
      </c>
      <c r="E2278" s="10" t="s">
        <v>19</v>
      </c>
      <c r="F2278" s="10">
        <v>2018</v>
      </c>
      <c r="G2278" s="10" t="s">
        <v>14</v>
      </c>
      <c r="H2278" s="11" t="s">
        <v>20</v>
      </c>
      <c r="I2278" s="10" t="s">
        <v>150</v>
      </c>
      <c r="J2278" s="131"/>
      <c r="K2278" s="149" t="s">
        <v>4628</v>
      </c>
    </row>
    <row r="2279" spans="1:11" ht="28.9" customHeight="1" thickTop="1" thickBot="1" x14ac:dyDescent="0.75">
      <c r="A2279" s="10">
        <v>2277</v>
      </c>
      <c r="B2279" s="57" t="str">
        <f>HYPERLINK("https://search.naver.com/search.naver?query=오직 그대만 영화", "오직 그대만")</f>
        <v>오직 그대만</v>
      </c>
      <c r="C2279" s="8">
        <v>9.16</v>
      </c>
      <c r="D2279" s="9" t="s">
        <v>4629</v>
      </c>
      <c r="E2279" s="6" t="s">
        <v>13</v>
      </c>
      <c r="F2279" s="6">
        <v>2011</v>
      </c>
      <c r="G2279" s="6" t="s">
        <v>14</v>
      </c>
      <c r="H2279" s="7" t="s">
        <v>165</v>
      </c>
      <c r="I2279" s="6" t="s">
        <v>175</v>
      </c>
      <c r="J2279" s="130"/>
      <c r="K2279" s="148" t="s">
        <v>4630</v>
      </c>
    </row>
    <row r="2280" spans="1:11" ht="28.9" customHeight="1" thickTop="1" thickBot="1" x14ac:dyDescent="0.75">
      <c r="A2280" s="10">
        <v>2278</v>
      </c>
      <c r="B2280" s="58" t="str">
        <f>HYPERLINK("https://search.naver.com/search.naver?query=오직 사랑뿐 영화", "오직 사랑뿐")</f>
        <v>오직 사랑뿐</v>
      </c>
      <c r="C2280" s="12">
        <v>8.56</v>
      </c>
      <c r="D2280" s="13" t="s">
        <v>4631</v>
      </c>
      <c r="E2280" s="10" t="s">
        <v>29</v>
      </c>
      <c r="F2280" s="10">
        <v>2018</v>
      </c>
      <c r="G2280" s="10" t="s">
        <v>14</v>
      </c>
      <c r="H2280" s="11" t="s">
        <v>20</v>
      </c>
      <c r="I2280" s="10" t="s">
        <v>137</v>
      </c>
      <c r="J2280" s="131"/>
      <c r="K2280" s="149" t="s">
        <v>4632</v>
      </c>
    </row>
    <row r="2281" spans="1:11" ht="28.9" customHeight="1" thickTop="1" thickBot="1" x14ac:dyDescent="0.75">
      <c r="A2281" s="6">
        <v>2279</v>
      </c>
      <c r="B2281" s="59" t="str">
        <f>HYPERLINK("https://search.naver.com/search.naver?query=오징어 게임 시즌1", "오징어 게임 시즌1")</f>
        <v>오징어 게임 시즌1</v>
      </c>
      <c r="C2281" s="16"/>
      <c r="D2281" s="17" t="s">
        <v>4633</v>
      </c>
      <c r="E2281" s="14" t="s">
        <v>13</v>
      </c>
      <c r="F2281" s="14">
        <v>2021</v>
      </c>
      <c r="G2281" s="14" t="s">
        <v>20</v>
      </c>
      <c r="H2281" s="15" t="s">
        <v>15</v>
      </c>
      <c r="I2281" s="14" t="s">
        <v>364</v>
      </c>
      <c r="J2281" s="132"/>
      <c r="K2281" s="150" t="s">
        <v>4634</v>
      </c>
    </row>
    <row r="2282" spans="1:11" ht="28.9" customHeight="1" thickTop="1" thickBot="1" x14ac:dyDescent="0.75">
      <c r="A2282" s="10">
        <v>2280</v>
      </c>
      <c r="B2282" s="59" t="str">
        <f>HYPERLINK("https://search.naver.com/search.naver?query=오징어 게임 시즌2", "오징어 게임 시즌2")</f>
        <v>오징어 게임 시즌2</v>
      </c>
      <c r="C2282" s="16"/>
      <c r="D2282" s="17" t="s">
        <v>4635</v>
      </c>
      <c r="E2282" s="14" t="s">
        <v>13</v>
      </c>
      <c r="F2282" s="14">
        <v>2024</v>
      </c>
      <c r="G2282" s="14" t="s">
        <v>20</v>
      </c>
      <c r="H2282" s="15" t="s">
        <v>15</v>
      </c>
      <c r="I2282" s="14" t="s">
        <v>512</v>
      </c>
      <c r="J2282" s="132"/>
      <c r="K2282" s="150" t="s">
        <v>1637</v>
      </c>
    </row>
    <row r="2283" spans="1:11" ht="28.9" customHeight="1" thickTop="1" thickBot="1" x14ac:dyDescent="0.75">
      <c r="A2283" s="10">
        <v>2281</v>
      </c>
      <c r="B2283" s="59" t="str">
        <f>HYPERLINK("https://search.naver.com/search.naver?query=오징어 게임 시즌3", "오징어 게임 시즌3")</f>
        <v>오징어 게임 시즌3</v>
      </c>
      <c r="C2283" s="16"/>
      <c r="D2283" s="17" t="s">
        <v>4635</v>
      </c>
      <c r="E2283" s="14" t="s">
        <v>13</v>
      </c>
      <c r="F2283" s="14">
        <v>2025</v>
      </c>
      <c r="G2283" s="14" t="s">
        <v>20</v>
      </c>
      <c r="H2283" s="15" t="s">
        <v>15</v>
      </c>
      <c r="I2283" s="14" t="s">
        <v>247</v>
      </c>
      <c r="J2283" s="132"/>
      <c r="K2283" s="150" t="s">
        <v>4636</v>
      </c>
    </row>
    <row r="2284" spans="1:11" ht="28.9" customHeight="1" thickTop="1" thickBot="1" x14ac:dyDescent="0.75">
      <c r="A2284" s="6">
        <v>2282</v>
      </c>
      <c r="B2284" s="58" t="str">
        <f>HYPERLINK("https://search.naver.com/search.naver?query=오케이 마담 영화", "오케이 마담")</f>
        <v>오케이 마담</v>
      </c>
      <c r="C2284" s="12"/>
      <c r="D2284" s="13" t="s">
        <v>4637</v>
      </c>
      <c r="E2284" s="10" t="s">
        <v>13</v>
      </c>
      <c r="F2284" s="10">
        <v>2020</v>
      </c>
      <c r="G2284" s="10" t="s">
        <v>14</v>
      </c>
      <c r="H2284" s="11" t="s">
        <v>91</v>
      </c>
      <c r="I2284" s="10" t="s">
        <v>109</v>
      </c>
      <c r="J2284" s="131"/>
      <c r="K2284" s="149" t="s">
        <v>4638</v>
      </c>
    </row>
    <row r="2285" spans="1:11" ht="28.9" customHeight="1" thickTop="1" thickBot="1" x14ac:dyDescent="0.75">
      <c r="A2285" s="10">
        <v>2283</v>
      </c>
      <c r="B2285" s="57" t="str">
        <f>HYPERLINK("https://search.naver.com/search.naver?query=오토라는 남자 영화", "오토라는 남자")</f>
        <v>오토라는 남자</v>
      </c>
      <c r="C2285" s="8">
        <v>8.2100000000000009</v>
      </c>
      <c r="D2285" s="9" t="s">
        <v>4639</v>
      </c>
      <c r="E2285" s="6" t="s">
        <v>24</v>
      </c>
      <c r="F2285" s="6">
        <v>2022</v>
      </c>
      <c r="G2285" s="6" t="s">
        <v>14</v>
      </c>
      <c r="H2285" s="7" t="s">
        <v>20</v>
      </c>
      <c r="I2285" s="6" t="s">
        <v>105</v>
      </c>
      <c r="J2285" s="130"/>
      <c r="K2285" s="148" t="s">
        <v>4640</v>
      </c>
    </row>
    <row r="2286" spans="1:11" ht="28.9" customHeight="1" thickTop="1" thickBot="1" x14ac:dyDescent="0.75">
      <c r="A2286" s="10">
        <v>2284</v>
      </c>
      <c r="B2286" s="58" t="str">
        <f>HYPERLINK("https://search.naver.com/search.naver?query=오토만 루테넌트 영화", "오토만 루테넌트")</f>
        <v>오토만 루테넌트</v>
      </c>
      <c r="C2286" s="12"/>
      <c r="D2286" s="13" t="s">
        <v>4641</v>
      </c>
      <c r="E2286" s="10" t="s">
        <v>24</v>
      </c>
      <c r="F2286" s="10">
        <v>2017</v>
      </c>
      <c r="G2286" s="10" t="s">
        <v>14</v>
      </c>
      <c r="H2286" s="11" t="s">
        <v>20</v>
      </c>
      <c r="I2286" s="10" t="s">
        <v>443</v>
      </c>
      <c r="J2286" s="131"/>
      <c r="K2286" s="149" t="s">
        <v>2281</v>
      </c>
    </row>
    <row r="2287" spans="1:11" ht="28.9" customHeight="1" thickTop="1" thickBot="1" x14ac:dyDescent="0.75">
      <c r="A2287" s="6">
        <v>2285</v>
      </c>
      <c r="B2287" s="59" t="str">
        <f>HYPERLINK("https://search.naver.com/search.naver?query=오티스의 비밀 상담소 시즌1", "오티스의 비밀 상담소 시즌1")</f>
        <v>오티스의 비밀 상담소 시즌1</v>
      </c>
      <c r="C2287" s="16"/>
      <c r="D2287" s="17" t="s">
        <v>4642</v>
      </c>
      <c r="E2287" s="14" t="s">
        <v>29</v>
      </c>
      <c r="F2287" s="14">
        <v>2019</v>
      </c>
      <c r="G2287" s="14" t="s">
        <v>20</v>
      </c>
      <c r="H2287" s="15" t="s">
        <v>178</v>
      </c>
      <c r="I2287" s="14" t="s">
        <v>71</v>
      </c>
      <c r="J2287" s="132"/>
      <c r="K2287" s="150" t="s">
        <v>4643</v>
      </c>
    </row>
    <row r="2288" spans="1:11" ht="28.9" customHeight="1" thickTop="1" thickBot="1" x14ac:dyDescent="0.75">
      <c r="A2288" s="10">
        <v>2286</v>
      </c>
      <c r="B2288" s="59" t="str">
        <f>HYPERLINK("https://search.naver.com/search.naver?query=오티스의 비밀 상담소 시즌2", "오티스의 비밀 상담소 시즌2")</f>
        <v>오티스의 비밀 상담소 시즌2</v>
      </c>
      <c r="C2288" s="16"/>
      <c r="D2288" s="17" t="s">
        <v>4642</v>
      </c>
      <c r="E2288" s="14" t="s">
        <v>29</v>
      </c>
      <c r="F2288" s="14">
        <v>2020</v>
      </c>
      <c r="G2288" s="14" t="s">
        <v>20</v>
      </c>
      <c r="H2288" s="15" t="s">
        <v>178</v>
      </c>
      <c r="I2288" s="14" t="s">
        <v>71</v>
      </c>
      <c r="J2288" s="132"/>
      <c r="K2288" s="150" t="s">
        <v>4115</v>
      </c>
    </row>
    <row r="2289" spans="1:11" ht="28.9" customHeight="1" thickTop="1" thickBot="1" x14ac:dyDescent="0.75">
      <c r="A2289" s="10">
        <v>2287</v>
      </c>
      <c r="B2289" s="59" t="str">
        <f>HYPERLINK("https://search.naver.com/search.naver?query=오티스의 비밀 상담소 시즌3", "오티스의 비밀 상담소 시즌3")</f>
        <v>오티스의 비밀 상담소 시즌3</v>
      </c>
      <c r="C2289" s="16"/>
      <c r="D2289" s="17" t="s">
        <v>4642</v>
      </c>
      <c r="E2289" s="14" t="s">
        <v>29</v>
      </c>
      <c r="F2289" s="14">
        <v>2021</v>
      </c>
      <c r="G2289" s="14" t="s">
        <v>20</v>
      </c>
      <c r="H2289" s="15" t="s">
        <v>178</v>
      </c>
      <c r="I2289" s="14" t="s">
        <v>71</v>
      </c>
      <c r="J2289" s="132"/>
      <c r="K2289" s="150" t="s">
        <v>4644</v>
      </c>
    </row>
    <row r="2290" spans="1:11" ht="28.9" customHeight="1" thickTop="1" thickBot="1" x14ac:dyDescent="0.75">
      <c r="A2290" s="6">
        <v>2288</v>
      </c>
      <c r="B2290" s="59" t="str">
        <f>HYPERLINK("https://search.naver.com/search.naver?query=오티스의 비밀 상담소 시즌4", "오티스의 비밀 상담소 시즌4")</f>
        <v>오티스의 비밀 상담소 시즌4</v>
      </c>
      <c r="C2290" s="16"/>
      <c r="D2290" s="17" t="s">
        <v>4645</v>
      </c>
      <c r="E2290" s="14" t="s">
        <v>29</v>
      </c>
      <c r="F2290" s="14">
        <v>2023</v>
      </c>
      <c r="G2290" s="14" t="s">
        <v>20</v>
      </c>
      <c r="H2290" s="15" t="s">
        <v>178</v>
      </c>
      <c r="I2290" s="14" t="s">
        <v>71</v>
      </c>
      <c r="J2290" s="132"/>
      <c r="K2290" s="150" t="s">
        <v>4646</v>
      </c>
    </row>
    <row r="2291" spans="1:11" ht="28.9" customHeight="1" thickTop="1" thickBot="1" x14ac:dyDescent="0.75">
      <c r="A2291" s="10">
        <v>2289</v>
      </c>
      <c r="B2291" s="57" t="str">
        <f>HYPERLINK("https://search.naver.com/search.naver?query=오퍼레이션 레드 씨 영화", "오퍼레이션 레드 씨")</f>
        <v>오퍼레이션 레드 씨</v>
      </c>
      <c r="C2291" s="8">
        <v>6.4</v>
      </c>
      <c r="D2291" s="9" t="s">
        <v>4647</v>
      </c>
      <c r="E2291" s="6" t="s">
        <v>186</v>
      </c>
      <c r="F2291" s="6">
        <v>2018</v>
      </c>
      <c r="G2291" s="6" t="s">
        <v>14</v>
      </c>
      <c r="H2291" s="7" t="s">
        <v>124</v>
      </c>
      <c r="I2291" s="6" t="s">
        <v>1058</v>
      </c>
      <c r="J2291" s="130"/>
      <c r="K2291" s="148" t="s">
        <v>4648</v>
      </c>
    </row>
    <row r="2292" spans="1:11" ht="28.9" customHeight="1" thickTop="1" thickBot="1" x14ac:dyDescent="0.75">
      <c r="A2292" s="10">
        <v>2290</v>
      </c>
      <c r="B2292" s="58" t="str">
        <f>HYPERLINK("https://search.naver.com/search.naver?query=오퍼레이션 피날레 영화", "오퍼레이션 피날레")</f>
        <v>오퍼레이션 피날레</v>
      </c>
      <c r="C2292" s="12">
        <v>8.24</v>
      </c>
      <c r="D2292" s="13" t="s">
        <v>4649</v>
      </c>
      <c r="E2292" s="10" t="s">
        <v>24</v>
      </c>
      <c r="F2292" s="10">
        <v>2018</v>
      </c>
      <c r="G2292" s="10" t="s">
        <v>14</v>
      </c>
      <c r="H2292" s="11" t="s">
        <v>20</v>
      </c>
      <c r="I2292" s="10" t="s">
        <v>141</v>
      </c>
      <c r="J2292" s="131"/>
      <c r="K2292" s="149" t="s">
        <v>4650</v>
      </c>
    </row>
    <row r="2293" spans="1:11" ht="28.9" customHeight="1" thickTop="1" thickBot="1" x14ac:dyDescent="0.75">
      <c r="A2293" s="6">
        <v>2291</v>
      </c>
      <c r="B2293" s="57" t="str">
        <f>HYPERLINK("https://search.naver.com/search.naver?query=오펜하이머 영화", "오펜하이머")</f>
        <v>오펜하이머</v>
      </c>
      <c r="C2293" s="8">
        <v>8.51</v>
      </c>
      <c r="D2293" s="9" t="s">
        <v>4651</v>
      </c>
      <c r="E2293" s="6" t="s">
        <v>24</v>
      </c>
      <c r="F2293" s="6">
        <v>2023</v>
      </c>
      <c r="G2293" s="6" t="s">
        <v>14</v>
      </c>
      <c r="H2293" s="7" t="s">
        <v>20</v>
      </c>
      <c r="I2293" s="6" t="s">
        <v>1406</v>
      </c>
      <c r="J2293" s="130"/>
      <c r="K2293" s="148" t="s">
        <v>868</v>
      </c>
    </row>
    <row r="2294" spans="1:11" ht="28.9" customHeight="1" thickTop="1" thickBot="1" x14ac:dyDescent="0.75">
      <c r="A2294" s="10">
        <v>2292</v>
      </c>
      <c r="B2294" s="58" t="str">
        <f>HYPERLINK("https://search.naver.com/search.naver?query=오피셜 시크릿 영화", "오피셜 시크릿")</f>
        <v>오피셜 시크릿</v>
      </c>
      <c r="C2294" s="12">
        <v>9.3800000000000008</v>
      </c>
      <c r="D2294" s="13" t="s">
        <v>4652</v>
      </c>
      <c r="E2294" s="10" t="s">
        <v>29</v>
      </c>
      <c r="F2294" s="10">
        <v>2019</v>
      </c>
      <c r="G2294" s="10" t="s">
        <v>14</v>
      </c>
      <c r="H2294" s="11" t="s">
        <v>20</v>
      </c>
      <c r="I2294" s="10" t="s">
        <v>429</v>
      </c>
      <c r="J2294" s="131"/>
      <c r="K2294" s="149" t="s">
        <v>4653</v>
      </c>
    </row>
    <row r="2295" spans="1:11" ht="28.9" customHeight="1" thickTop="1" thickBot="1" x14ac:dyDescent="0.75">
      <c r="A2295" s="10">
        <v>2293</v>
      </c>
      <c r="B2295" s="57" t="str">
        <f>HYPERLINK("https://search.naver.com/search.naver?query=오필리아 영화", "오필리아")</f>
        <v>오필리아</v>
      </c>
      <c r="C2295" s="8">
        <v>7.49</v>
      </c>
      <c r="D2295" s="9" t="s">
        <v>4654</v>
      </c>
      <c r="E2295" s="6" t="s">
        <v>29</v>
      </c>
      <c r="F2295" s="6">
        <v>2018</v>
      </c>
      <c r="G2295" s="6" t="s">
        <v>14</v>
      </c>
      <c r="H2295" s="7" t="s">
        <v>20</v>
      </c>
      <c r="I2295" s="6" t="s">
        <v>443</v>
      </c>
      <c r="J2295" s="130"/>
      <c r="K2295" s="148" t="s">
        <v>4655</v>
      </c>
    </row>
    <row r="2296" spans="1:11" ht="28.9" customHeight="1" thickTop="1" thickBot="1" x14ac:dyDescent="0.75">
      <c r="A2296" s="6">
        <v>2294</v>
      </c>
      <c r="B2296" s="58" t="str">
        <f>HYPERLINK("https://search.naver.com/search.naver?query=오하이오 삿포로 영화", "오하이오 삿포로")</f>
        <v>오하이오 삿포로</v>
      </c>
      <c r="C2296" s="12">
        <v>8.6</v>
      </c>
      <c r="D2296" s="13" t="s">
        <v>4656</v>
      </c>
      <c r="E2296" s="10" t="s">
        <v>13</v>
      </c>
      <c r="F2296" s="10">
        <v>2011</v>
      </c>
      <c r="G2296" s="10" t="s">
        <v>14</v>
      </c>
      <c r="H2296" s="11" t="s">
        <v>20</v>
      </c>
      <c r="I2296" s="10" t="s">
        <v>150</v>
      </c>
      <c r="J2296" s="131"/>
      <c r="K2296" s="149" t="s">
        <v>4657</v>
      </c>
    </row>
    <row r="2297" spans="1:11" ht="28.9" customHeight="1" thickTop="1" thickBot="1" x14ac:dyDescent="0.75">
      <c r="A2297" s="10">
        <v>2295</v>
      </c>
      <c r="B2297" s="57" t="str">
        <f>HYPERLINK("https://search.naver.com/search.naver?query=옥자 영화", "옥자")</f>
        <v>옥자</v>
      </c>
      <c r="C2297" s="8">
        <v>8.77</v>
      </c>
      <c r="D2297" s="9" t="s">
        <v>4658</v>
      </c>
      <c r="E2297" s="6" t="s">
        <v>13</v>
      </c>
      <c r="F2297" s="6">
        <v>2017</v>
      </c>
      <c r="G2297" s="6" t="s">
        <v>14</v>
      </c>
      <c r="H2297" s="7" t="s">
        <v>1452</v>
      </c>
      <c r="I2297" s="6" t="s">
        <v>116</v>
      </c>
      <c r="J2297" s="130"/>
      <c r="K2297" s="148" t="s">
        <v>4659</v>
      </c>
    </row>
    <row r="2298" spans="1:11" ht="28.9" customHeight="1" thickTop="1" thickBot="1" x14ac:dyDescent="0.75">
      <c r="A2298" s="10">
        <v>2296</v>
      </c>
      <c r="B2298" s="58" t="str">
        <f>HYPERLINK("https://search.naver.com/search.naver?query=옥토버 스카이 영화", "옥토버 스카이")</f>
        <v>옥토버 스카이</v>
      </c>
      <c r="C2298" s="12"/>
      <c r="D2298" s="13" t="s">
        <v>4660</v>
      </c>
      <c r="E2298" s="10" t="s">
        <v>24</v>
      </c>
      <c r="F2298" s="10">
        <v>1999</v>
      </c>
      <c r="G2298" s="10" t="s">
        <v>14</v>
      </c>
      <c r="H2298" s="11" t="s">
        <v>20</v>
      </c>
      <c r="I2298" s="10" t="s">
        <v>38</v>
      </c>
      <c r="J2298" s="131"/>
      <c r="K2298" s="149" t="s">
        <v>4661</v>
      </c>
    </row>
    <row r="2299" spans="1:11" ht="28.9" customHeight="1" thickTop="1" thickBot="1" x14ac:dyDescent="0.75">
      <c r="A2299" s="6">
        <v>2297</v>
      </c>
      <c r="B2299" s="57" t="str">
        <f>HYPERLINK("https://search.naver.com/search.naver?query=온 더 락스 영화", "온 더 락스")</f>
        <v>온 더 락스</v>
      </c>
      <c r="C2299" s="8">
        <v>6.33</v>
      </c>
      <c r="D2299" s="9" t="s">
        <v>4662</v>
      </c>
      <c r="E2299" s="6" t="s">
        <v>24</v>
      </c>
      <c r="F2299" s="6">
        <v>2020</v>
      </c>
      <c r="G2299" s="6" t="s">
        <v>14</v>
      </c>
      <c r="H2299" s="7" t="s">
        <v>91</v>
      </c>
      <c r="I2299" s="6" t="s">
        <v>80</v>
      </c>
      <c r="J2299" s="130"/>
      <c r="K2299" s="148" t="s">
        <v>4663</v>
      </c>
    </row>
    <row r="2300" spans="1:11" ht="28.9" customHeight="1" thickTop="1" thickBot="1" x14ac:dyDescent="0.75">
      <c r="A2300" s="10">
        <v>2298</v>
      </c>
      <c r="B2300" s="58" t="str">
        <f>HYPERLINK("https://search.naver.com/search.naver?query=온리 더 브레이브 영화", "온리 더 브레이브")</f>
        <v>온리 더 브레이브</v>
      </c>
      <c r="C2300" s="12">
        <v>9.2200000000000006</v>
      </c>
      <c r="D2300" s="13" t="s">
        <v>4664</v>
      </c>
      <c r="E2300" s="10" t="s">
        <v>24</v>
      </c>
      <c r="F2300" s="10">
        <v>2017</v>
      </c>
      <c r="G2300" s="10" t="s">
        <v>14</v>
      </c>
      <c r="H2300" s="11" t="s">
        <v>20</v>
      </c>
      <c r="I2300" s="10" t="s">
        <v>112</v>
      </c>
      <c r="J2300" s="131"/>
      <c r="K2300" s="149" t="s">
        <v>214</v>
      </c>
    </row>
    <row r="2301" spans="1:11" ht="28.9" customHeight="1" thickTop="1" thickBot="1" x14ac:dyDescent="0.75">
      <c r="A2301" s="10">
        <v>2299</v>
      </c>
      <c r="B2301" s="57" t="str">
        <f>HYPERLINK("https://search.naver.com/search.naver?query=올 굿 에브리씽 영화", "올 굿 에브리씽")</f>
        <v>올 굿 에브리씽</v>
      </c>
      <c r="C2301" s="8"/>
      <c r="D2301" s="9" t="s">
        <v>4665</v>
      </c>
      <c r="E2301" s="6" t="s">
        <v>24</v>
      </c>
      <c r="F2301" s="6">
        <v>2010</v>
      </c>
      <c r="G2301" s="6" t="s">
        <v>14</v>
      </c>
      <c r="H2301" s="7" t="s">
        <v>20</v>
      </c>
      <c r="I2301" s="6" t="s">
        <v>94</v>
      </c>
      <c r="J2301" s="130"/>
      <c r="K2301" s="148" t="s">
        <v>4666</v>
      </c>
    </row>
    <row r="2302" spans="1:11" ht="28.9" customHeight="1" thickTop="1" thickBot="1" x14ac:dyDescent="0.75">
      <c r="A2302" s="6">
        <v>2300</v>
      </c>
      <c r="B2302" s="58" t="str">
        <f>HYPERLINK("https://search.naver.com/search.naver?query=올 더 머니 영화", "올 더 머니")</f>
        <v>올 더 머니</v>
      </c>
      <c r="C2302" s="12">
        <v>8.52</v>
      </c>
      <c r="D2302" s="13" t="s">
        <v>4667</v>
      </c>
      <c r="E2302" s="10" t="s">
        <v>24</v>
      </c>
      <c r="F2302" s="10">
        <v>2017</v>
      </c>
      <c r="G2302" s="10" t="s">
        <v>14</v>
      </c>
      <c r="H2302" s="11" t="s">
        <v>20</v>
      </c>
      <c r="I2302" s="10" t="s">
        <v>558</v>
      </c>
      <c r="J2302" s="131"/>
      <c r="K2302" s="149" t="s">
        <v>4668</v>
      </c>
    </row>
    <row r="2303" spans="1:11" ht="28.9" customHeight="1" thickTop="1" thickBot="1" x14ac:dyDescent="0.75">
      <c r="A2303" s="10">
        <v>2301</v>
      </c>
      <c r="B2303" s="57" t="str">
        <f>HYPERLINK("https://search.naver.com/search.naver?query=올 디 올드 나이브스 영화", "올 디 올드 나이브스")</f>
        <v>올 디 올드 나이브스</v>
      </c>
      <c r="C2303" s="8">
        <v>6.4</v>
      </c>
      <c r="D2303" s="9" t="s">
        <v>4669</v>
      </c>
      <c r="E2303" s="6" t="s">
        <v>24</v>
      </c>
      <c r="F2303" s="6">
        <v>2022</v>
      </c>
      <c r="G2303" s="6" t="s">
        <v>14</v>
      </c>
      <c r="H2303" s="7" t="s">
        <v>54</v>
      </c>
      <c r="I2303" s="6" t="s">
        <v>94</v>
      </c>
      <c r="J2303" s="130"/>
      <c r="K2303" s="148" t="s">
        <v>4670</v>
      </c>
    </row>
    <row r="2304" spans="1:11" ht="28.9" customHeight="1" thickTop="1" thickBot="1" x14ac:dyDescent="0.75">
      <c r="A2304" s="10">
        <v>2302</v>
      </c>
      <c r="B2304" s="58" t="str">
        <f>HYPERLINK("https://search.naver.com/search.naver?query=올 마이 라이프 영화", "올 마이 라이프")</f>
        <v>올 마이 라이프</v>
      </c>
      <c r="C2304" s="12">
        <v>6.4</v>
      </c>
      <c r="D2304" s="13" t="s">
        <v>4671</v>
      </c>
      <c r="E2304" s="10" t="s">
        <v>24</v>
      </c>
      <c r="F2304" s="10">
        <v>2020</v>
      </c>
      <c r="G2304" s="10" t="s">
        <v>14</v>
      </c>
      <c r="H2304" s="11" t="s">
        <v>20</v>
      </c>
      <c r="I2304" s="10" t="s">
        <v>125</v>
      </c>
      <c r="J2304" s="131"/>
      <c r="K2304" s="149" t="s">
        <v>4672</v>
      </c>
    </row>
    <row r="2305" spans="1:11" ht="28.9" customHeight="1" thickTop="1" thickBot="1" x14ac:dyDescent="0.75">
      <c r="A2305" s="6">
        <v>2303</v>
      </c>
      <c r="B2305" s="59" t="str">
        <f>HYPERLINK("https://search.naver.com/search.naver?query=올 허 폴트 그날의 책임", "올 허 폴트 그날의 책임")</f>
        <v>올 허 폴트 그날의 책임</v>
      </c>
      <c r="C2305" s="16"/>
      <c r="D2305" s="17" t="s">
        <v>4673</v>
      </c>
      <c r="E2305" s="14" t="s">
        <v>24</v>
      </c>
      <c r="F2305" s="14">
        <v>2025</v>
      </c>
      <c r="G2305" s="14" t="s">
        <v>20</v>
      </c>
      <c r="H2305" s="15" t="s">
        <v>20</v>
      </c>
      <c r="I2305" s="14" t="s">
        <v>71</v>
      </c>
      <c r="J2305" s="132"/>
      <c r="K2305" s="150" t="s">
        <v>4674</v>
      </c>
    </row>
    <row r="2306" spans="1:11" ht="28.9" customHeight="1" thickTop="1" thickBot="1" x14ac:dyDescent="0.75">
      <c r="A2306" s="10">
        <v>2304</v>
      </c>
      <c r="B2306" s="58" t="str">
        <f>HYPERLINK("https://search.naver.com/search.naver?query=올드 영화", "올드")</f>
        <v>올드</v>
      </c>
      <c r="C2306" s="12">
        <v>6.9</v>
      </c>
      <c r="D2306" s="13" t="s">
        <v>4675</v>
      </c>
      <c r="E2306" s="10" t="s">
        <v>24</v>
      </c>
      <c r="F2306" s="10">
        <v>2021</v>
      </c>
      <c r="G2306" s="10" t="s">
        <v>14</v>
      </c>
      <c r="H2306" s="11" t="s">
        <v>54</v>
      </c>
      <c r="I2306" s="10" t="s">
        <v>38</v>
      </c>
      <c r="J2306" s="131"/>
      <c r="K2306" s="149" t="s">
        <v>4676</v>
      </c>
    </row>
    <row r="2307" spans="1:11" ht="28.9" customHeight="1" thickTop="1" thickBot="1" x14ac:dyDescent="0.75">
      <c r="A2307" s="10">
        <v>2305</v>
      </c>
      <c r="B2307" s="59" t="str">
        <f>HYPERLINK("https://search.naver.com/search.naver?query=올드 맨 시즌2", "올드 맨 시즌2")</f>
        <v>올드 맨 시즌2</v>
      </c>
      <c r="C2307" s="16"/>
      <c r="D2307" s="17" t="s">
        <v>4677</v>
      </c>
      <c r="E2307" s="14" t="s">
        <v>24</v>
      </c>
      <c r="F2307" s="14">
        <v>2024</v>
      </c>
      <c r="G2307" s="14" t="s">
        <v>20</v>
      </c>
      <c r="H2307" s="15" t="s">
        <v>229</v>
      </c>
      <c r="I2307" s="14" t="s">
        <v>71</v>
      </c>
      <c r="J2307" s="132"/>
      <c r="K2307" s="150" t="s">
        <v>4678</v>
      </c>
    </row>
    <row r="2308" spans="1:11" ht="28.9" customHeight="1" thickTop="1" thickBot="1" x14ac:dyDescent="0.75">
      <c r="A2308" s="6">
        <v>2306</v>
      </c>
      <c r="B2308" s="58" t="str">
        <f>HYPERLINK("https://search.naver.com/search.naver?query=올드가드 영화", "올드가드")</f>
        <v>올드가드</v>
      </c>
      <c r="C2308" s="12">
        <v>2.5499999999999998</v>
      </c>
      <c r="D2308" s="13" t="s">
        <v>4679</v>
      </c>
      <c r="E2308" s="10" t="s">
        <v>24</v>
      </c>
      <c r="F2308" s="10">
        <v>2020</v>
      </c>
      <c r="G2308" s="10" t="s">
        <v>14</v>
      </c>
      <c r="H2308" s="11" t="s">
        <v>124</v>
      </c>
      <c r="I2308" s="10" t="s">
        <v>316</v>
      </c>
      <c r="J2308" s="131"/>
      <c r="K2308" s="149" t="s">
        <v>4680</v>
      </c>
    </row>
    <row r="2309" spans="1:11" ht="28.9" customHeight="1" thickTop="1" thickBot="1" x14ac:dyDescent="0.75">
      <c r="A2309" s="10">
        <v>2307</v>
      </c>
      <c r="B2309" s="59" t="str">
        <f>HYPERLINK("https://search.naver.com/search.naver?query=올드맨", "올드맨")</f>
        <v>올드맨</v>
      </c>
      <c r="C2309" s="16"/>
      <c r="D2309" s="17" t="s">
        <v>4681</v>
      </c>
      <c r="E2309" s="14" t="s">
        <v>24</v>
      </c>
      <c r="F2309" s="14">
        <v>2022</v>
      </c>
      <c r="G2309" s="14" t="s">
        <v>20</v>
      </c>
      <c r="H2309" s="15" t="s">
        <v>229</v>
      </c>
      <c r="I2309" s="14" t="s">
        <v>512</v>
      </c>
      <c r="J2309" s="132"/>
      <c r="K2309" s="150" t="s">
        <v>4040</v>
      </c>
    </row>
    <row r="2310" spans="1:11" ht="28.9" customHeight="1" thickTop="1" thickBot="1" x14ac:dyDescent="0.75">
      <c r="A2310" s="10">
        <v>2308</v>
      </c>
      <c r="B2310" s="58" t="str">
        <f>HYPERLINK("https://search.naver.com/search.naver?query=올레 영화", "올레")</f>
        <v>올레</v>
      </c>
      <c r="C2310" s="12">
        <v>8.3699999999999992</v>
      </c>
      <c r="D2310" s="13" t="s">
        <v>4682</v>
      </c>
      <c r="E2310" s="10" t="s">
        <v>13</v>
      </c>
      <c r="F2310" s="10">
        <v>2016</v>
      </c>
      <c r="G2310" s="10" t="s">
        <v>14</v>
      </c>
      <c r="H2310" s="11" t="s">
        <v>20</v>
      </c>
      <c r="I2310" s="10" t="s">
        <v>150</v>
      </c>
      <c r="J2310" s="131"/>
      <c r="K2310" s="149" t="s">
        <v>4350</v>
      </c>
    </row>
    <row r="2311" spans="1:11" ht="28.9" customHeight="1" thickTop="1" thickBot="1" x14ac:dyDescent="0.75">
      <c r="A2311" s="6">
        <v>2309</v>
      </c>
      <c r="B2311" s="57" t="str">
        <f>HYPERLINK("https://search.naver.com/search.naver?query=올리버 트위스트 영화", "올리버 트위스트")</f>
        <v>올리버 트위스트</v>
      </c>
      <c r="C2311" s="8">
        <v>7.98</v>
      </c>
      <c r="D2311" s="9" t="s">
        <v>4683</v>
      </c>
      <c r="E2311" s="6" t="s">
        <v>29</v>
      </c>
      <c r="F2311" s="6">
        <v>2005</v>
      </c>
      <c r="G2311" s="6" t="s">
        <v>14</v>
      </c>
      <c r="H2311" s="7" t="s">
        <v>20</v>
      </c>
      <c r="I2311" s="6" t="s">
        <v>42</v>
      </c>
      <c r="J2311" s="130"/>
      <c r="K2311" s="148" t="s">
        <v>4684</v>
      </c>
    </row>
    <row r="2312" spans="1:11" ht="28.9" customHeight="1" thickTop="1" thickBot="1" x14ac:dyDescent="0.75">
      <c r="A2312" s="10">
        <v>2310</v>
      </c>
      <c r="B2312" s="58" t="str">
        <f>HYPERLINK("https://search.naver.com/search.naver?query=올빼미 영화", "올빼미")</f>
        <v>올빼미</v>
      </c>
      <c r="C2312" s="12">
        <v>8.6999999999999993</v>
      </c>
      <c r="D2312" s="13" t="s">
        <v>4685</v>
      </c>
      <c r="E2312" s="10" t="s">
        <v>13</v>
      </c>
      <c r="F2312" s="10">
        <v>2022</v>
      </c>
      <c r="G2312" s="10" t="s">
        <v>14</v>
      </c>
      <c r="H2312" s="11" t="s">
        <v>1548</v>
      </c>
      <c r="I2312" s="10" t="s">
        <v>329</v>
      </c>
      <c r="J2312" s="131"/>
      <c r="K2312" s="149" t="s">
        <v>4686</v>
      </c>
    </row>
    <row r="2313" spans="1:11" ht="28.9" customHeight="1" thickTop="1" thickBot="1" x14ac:dyDescent="0.75">
      <c r="A2313" s="10">
        <v>2311</v>
      </c>
      <c r="B2313" s="57" t="str">
        <f>HYPERLINK("https://search.naver.com/search.naver?query=올웨이즈 3번가의 석양 영화", "올웨이즈 - 3번가의 석양")</f>
        <v>올웨이즈 - 3번가의 석양</v>
      </c>
      <c r="C2313" s="8"/>
      <c r="D2313" s="9" t="s">
        <v>4687</v>
      </c>
      <c r="E2313" s="6" t="s">
        <v>19</v>
      </c>
      <c r="F2313" s="6">
        <v>2005</v>
      </c>
      <c r="G2313" s="6" t="s">
        <v>14</v>
      </c>
      <c r="H2313" s="7" t="s">
        <v>20</v>
      </c>
      <c r="I2313" s="6" t="s">
        <v>112</v>
      </c>
      <c r="J2313" s="130"/>
      <c r="K2313" s="148" t="s">
        <v>4688</v>
      </c>
    </row>
    <row r="2314" spans="1:11" ht="28.9" customHeight="1" thickTop="1" thickBot="1" x14ac:dyDescent="0.75">
      <c r="A2314" s="6">
        <v>2312</v>
      </c>
      <c r="B2314" s="59" t="str">
        <f>HYPERLINK("https://search.naver.com/search.naver?query=와이 우먼 킬 시즌1", "와이 우먼 킬 시즌1")</f>
        <v>와이 우먼 킬 시즌1</v>
      </c>
      <c r="C2314" s="16"/>
      <c r="D2314" s="17" t="s">
        <v>4689</v>
      </c>
      <c r="E2314" s="14" t="s">
        <v>24</v>
      </c>
      <c r="F2314" s="14">
        <v>2019</v>
      </c>
      <c r="G2314" s="14" t="s">
        <v>20</v>
      </c>
      <c r="H2314" s="15" t="s">
        <v>20</v>
      </c>
      <c r="I2314" s="14" t="s">
        <v>64</v>
      </c>
      <c r="J2314" s="132"/>
      <c r="K2314" s="150" t="s">
        <v>4690</v>
      </c>
    </row>
    <row r="2315" spans="1:11" ht="28.9" customHeight="1" thickTop="1" thickBot="1" x14ac:dyDescent="0.75">
      <c r="A2315" s="10">
        <v>2313</v>
      </c>
      <c r="B2315" s="59" t="str">
        <f>HYPERLINK("https://search.naver.com/search.naver?query=와이 우먼 킬 시즌2", "와이 우먼 킬 시즌2")</f>
        <v>와이 우먼 킬 시즌2</v>
      </c>
      <c r="C2315" s="16"/>
      <c r="D2315" s="17" t="s">
        <v>4689</v>
      </c>
      <c r="E2315" s="14" t="s">
        <v>24</v>
      </c>
      <c r="F2315" s="14">
        <v>2021</v>
      </c>
      <c r="G2315" s="14" t="s">
        <v>20</v>
      </c>
      <c r="H2315" s="15" t="s">
        <v>20</v>
      </c>
      <c r="I2315" s="14" t="s">
        <v>64</v>
      </c>
      <c r="J2315" s="132"/>
      <c r="K2315" s="150" t="s">
        <v>4691</v>
      </c>
    </row>
    <row r="2316" spans="1:11" ht="28.9" customHeight="1" thickTop="1" thickBot="1" x14ac:dyDescent="0.75">
      <c r="A2316" s="10">
        <v>2314</v>
      </c>
      <c r="B2316" s="58" t="str">
        <f>HYPERLINK("https://search.naver.com/search.naver?query=와인을 향한 열정 영화", "와인을 향한 열정")</f>
        <v>와인을 향한 열정</v>
      </c>
      <c r="C2316" s="12"/>
      <c r="D2316" s="13" t="s">
        <v>4692</v>
      </c>
      <c r="E2316" s="10" t="s">
        <v>19</v>
      </c>
      <c r="F2316" s="10">
        <v>2013</v>
      </c>
      <c r="G2316" s="10" t="s">
        <v>14</v>
      </c>
      <c r="H2316" s="11" t="s">
        <v>20</v>
      </c>
      <c r="I2316" s="10" t="s">
        <v>150</v>
      </c>
      <c r="J2316" s="131"/>
      <c r="K2316" s="149" t="s">
        <v>4693</v>
      </c>
    </row>
    <row r="2317" spans="1:11" ht="28.9" customHeight="1" thickTop="1" thickBot="1" x14ac:dyDescent="0.75">
      <c r="A2317" s="6">
        <v>2315</v>
      </c>
      <c r="B2317" s="57" t="str">
        <f>HYPERLINK("https://search.naver.com/search.naver?query=와일드 영화", "와일드")</f>
        <v>와일드</v>
      </c>
      <c r="C2317" s="8">
        <v>8.66</v>
      </c>
      <c r="D2317" s="9" t="s">
        <v>4694</v>
      </c>
      <c r="E2317" s="6" t="s">
        <v>24</v>
      </c>
      <c r="F2317" s="6">
        <v>2014</v>
      </c>
      <c r="G2317" s="6" t="s">
        <v>14</v>
      </c>
      <c r="H2317" s="7" t="s">
        <v>20</v>
      </c>
      <c r="I2317" s="6" t="s">
        <v>60</v>
      </c>
      <c r="J2317" s="130"/>
      <c r="K2317" s="148" t="s">
        <v>4695</v>
      </c>
    </row>
    <row r="2318" spans="1:11" ht="28.9" customHeight="1" thickTop="1" thickBot="1" x14ac:dyDescent="0.75">
      <c r="A2318" s="10">
        <v>2316</v>
      </c>
      <c r="B2318" s="58" t="str">
        <f>HYPERLINK("https://search.naver.com/search.naver?query=와일드 로즈 영화", "와일드 로즈")</f>
        <v>와일드 로즈</v>
      </c>
      <c r="C2318" s="12">
        <v>8.9</v>
      </c>
      <c r="D2318" s="13" t="s">
        <v>4696</v>
      </c>
      <c r="E2318" s="10" t="s">
        <v>29</v>
      </c>
      <c r="F2318" s="10">
        <v>2018</v>
      </c>
      <c r="G2318" s="10" t="s">
        <v>14</v>
      </c>
      <c r="H2318" s="11" t="s">
        <v>20</v>
      </c>
      <c r="I2318" s="10" t="s">
        <v>94</v>
      </c>
      <c r="J2318" s="131"/>
      <c r="K2318" s="149" t="s">
        <v>4697</v>
      </c>
    </row>
    <row r="2319" spans="1:11" ht="28.9" customHeight="1" thickTop="1" thickBot="1" x14ac:dyDescent="0.75">
      <c r="A2319" s="10">
        <v>2317</v>
      </c>
      <c r="B2319" s="57" t="str">
        <f>HYPERLINK("https://search.naver.com/search.naver?query=와일드 마운틴 타임 영화", "와일드 마운틴 타임")</f>
        <v>와일드 마운틴 타임</v>
      </c>
      <c r="C2319" s="8">
        <v>8.02</v>
      </c>
      <c r="D2319" s="9" t="s">
        <v>4698</v>
      </c>
      <c r="E2319" s="6" t="s">
        <v>29</v>
      </c>
      <c r="F2319" s="6">
        <v>2020</v>
      </c>
      <c r="G2319" s="6" t="s">
        <v>14</v>
      </c>
      <c r="H2319" s="7" t="s">
        <v>165</v>
      </c>
      <c r="I2319" s="6" t="s">
        <v>133</v>
      </c>
      <c r="J2319" s="130"/>
      <c r="K2319" s="148" t="s">
        <v>4699</v>
      </c>
    </row>
    <row r="2320" spans="1:11" ht="28.9" customHeight="1" thickTop="1" thickBot="1" x14ac:dyDescent="0.75">
      <c r="A2320" s="6">
        <v>2318</v>
      </c>
      <c r="B2320" s="58" t="str">
        <f>HYPERLINK("https://search.naver.com/search.naver?query=와일드 카드 영화", "와일드 카드")</f>
        <v>와일드 카드</v>
      </c>
      <c r="C2320" s="12">
        <v>6.49</v>
      </c>
      <c r="D2320" s="13" t="s">
        <v>4700</v>
      </c>
      <c r="E2320" s="10" t="s">
        <v>24</v>
      </c>
      <c r="F2320" s="10">
        <v>2015</v>
      </c>
      <c r="G2320" s="10" t="s">
        <v>14</v>
      </c>
      <c r="H2320" s="11" t="s">
        <v>124</v>
      </c>
      <c r="I2320" s="10" t="s">
        <v>205</v>
      </c>
      <c r="J2320" s="131"/>
      <c r="K2320" s="149" t="s">
        <v>4701</v>
      </c>
    </row>
    <row r="2321" spans="1:11" ht="28.9" customHeight="1" thickTop="1" thickBot="1" x14ac:dyDescent="0.75">
      <c r="A2321" s="10">
        <v>2319</v>
      </c>
      <c r="B2321" s="57" t="str">
        <f>HYPERLINK("https://search.naver.com/search.naver?query=와일드라이프 영화", "와일드라이프")</f>
        <v>와일드라이프</v>
      </c>
      <c r="C2321" s="8">
        <v>6.4</v>
      </c>
      <c r="D2321" s="9" t="s">
        <v>4702</v>
      </c>
      <c r="E2321" s="6" t="s">
        <v>24</v>
      </c>
      <c r="F2321" s="6">
        <v>2018</v>
      </c>
      <c r="G2321" s="6" t="s">
        <v>14</v>
      </c>
      <c r="H2321" s="7" t="s">
        <v>20</v>
      </c>
      <c r="I2321" s="6" t="s">
        <v>175</v>
      </c>
      <c r="J2321" s="130"/>
      <c r="K2321" s="148" t="s">
        <v>4703</v>
      </c>
    </row>
    <row r="2322" spans="1:11" ht="28.9" customHeight="1" thickTop="1" thickBot="1" x14ac:dyDescent="0.75">
      <c r="A2322" s="10">
        <v>2320</v>
      </c>
      <c r="B2322" s="58" t="str">
        <f>HYPERLINK("https://search.naver.com/search.naver?query=완득이 영화", "완득이")</f>
        <v>완득이</v>
      </c>
      <c r="C2322" s="12">
        <v>8.8000000000000007</v>
      </c>
      <c r="D2322" s="13" t="s">
        <v>4704</v>
      </c>
      <c r="E2322" s="10" t="s">
        <v>13</v>
      </c>
      <c r="F2322" s="10">
        <v>2011</v>
      </c>
      <c r="G2322" s="10" t="s">
        <v>14</v>
      </c>
      <c r="H2322" s="11" t="s">
        <v>20</v>
      </c>
      <c r="I2322" s="10" t="s">
        <v>101</v>
      </c>
      <c r="J2322" s="131"/>
      <c r="K2322" s="149" t="s">
        <v>2925</v>
      </c>
    </row>
    <row r="2323" spans="1:11" ht="28.9" customHeight="1" thickTop="1" thickBot="1" x14ac:dyDescent="0.75">
      <c r="A2323" s="6">
        <v>2321</v>
      </c>
      <c r="B2323" s="57" t="str">
        <f>HYPERLINK("https://search.naver.com/search.naver?query=완벽한 가족 영화", "완벽한 가족")</f>
        <v>완벽한 가족</v>
      </c>
      <c r="C2323" s="8">
        <v>7.19</v>
      </c>
      <c r="D2323" s="9" t="s">
        <v>3102</v>
      </c>
      <c r="E2323" s="6" t="s">
        <v>24</v>
      </c>
      <c r="F2323" s="6">
        <v>2019</v>
      </c>
      <c r="G2323" s="6" t="s">
        <v>14</v>
      </c>
      <c r="H2323" s="7" t="s">
        <v>20</v>
      </c>
      <c r="I2323" s="6" t="s">
        <v>16</v>
      </c>
      <c r="J2323" s="130"/>
      <c r="K2323" s="148" t="s">
        <v>4705</v>
      </c>
    </row>
    <row r="2324" spans="1:11" ht="28.9" customHeight="1" thickTop="1" thickBot="1" x14ac:dyDescent="0.75">
      <c r="A2324" s="10">
        <v>2322</v>
      </c>
      <c r="B2324" s="58" t="str">
        <f>HYPERLINK("https://search.naver.com/search.naver?query=완벽한 타인 영화", "완벽한 타인")</f>
        <v>완벽한 타인</v>
      </c>
      <c r="C2324" s="12">
        <v>9.08</v>
      </c>
      <c r="D2324" s="13" t="s">
        <v>4706</v>
      </c>
      <c r="E2324" s="10" t="s">
        <v>13</v>
      </c>
      <c r="F2324" s="10">
        <v>2018</v>
      </c>
      <c r="G2324" s="10" t="s">
        <v>14</v>
      </c>
      <c r="H2324" s="11" t="s">
        <v>91</v>
      </c>
      <c r="I2324" s="10" t="s">
        <v>60</v>
      </c>
      <c r="J2324" s="131"/>
      <c r="K2324" s="149" t="s">
        <v>4707</v>
      </c>
    </row>
    <row r="2325" spans="1:11" ht="28.9" customHeight="1" thickTop="1" thickBot="1" x14ac:dyDescent="0.75">
      <c r="A2325" s="10">
        <v>2323</v>
      </c>
      <c r="B2325" s="57" t="str">
        <f>HYPERLINK("https://search.naver.com/search.naver?query=완벽한 파트너 영화", "완벽한 파트너")</f>
        <v>완벽한 파트너</v>
      </c>
      <c r="C2325" s="8">
        <v>6.89</v>
      </c>
      <c r="D2325" s="9" t="s">
        <v>4708</v>
      </c>
      <c r="E2325" s="6" t="s">
        <v>13</v>
      </c>
      <c r="F2325" s="6">
        <v>2011</v>
      </c>
      <c r="G2325" s="6" t="s">
        <v>14</v>
      </c>
      <c r="H2325" s="7" t="s">
        <v>165</v>
      </c>
      <c r="I2325" s="6" t="s">
        <v>150</v>
      </c>
      <c r="J2325" s="130"/>
      <c r="K2325" s="148" t="s">
        <v>4709</v>
      </c>
    </row>
    <row r="2326" spans="1:11" ht="28.9" customHeight="1" thickTop="1" thickBot="1" x14ac:dyDescent="0.75">
      <c r="A2326" s="6">
        <v>2324</v>
      </c>
      <c r="B2326" s="59" t="str">
        <f>HYPERLINK("https://search.naver.com/search.naver?query=완전무결한 커플", "완전무결한 커플")</f>
        <v>완전무결한 커플</v>
      </c>
      <c r="C2326" s="16"/>
      <c r="D2326" s="17" t="s">
        <v>4710</v>
      </c>
      <c r="E2326" s="14" t="s">
        <v>24</v>
      </c>
      <c r="F2326" s="14">
        <v>2024</v>
      </c>
      <c r="G2326" s="14" t="s">
        <v>20</v>
      </c>
      <c r="H2326" s="15" t="s">
        <v>20</v>
      </c>
      <c r="I2326" s="14" t="s">
        <v>247</v>
      </c>
      <c r="J2326" s="132"/>
      <c r="K2326" s="150" t="s">
        <v>1290</v>
      </c>
    </row>
    <row r="2327" spans="1:11" ht="28.9" customHeight="1" thickTop="1" thickBot="1" x14ac:dyDescent="0.75">
      <c r="A2327" s="10">
        <v>2325</v>
      </c>
      <c r="B2327" s="57" t="str">
        <f>HYPERLINK("https://search.naver.com/search.naver?query=완전범죄 프로젝트 영화", "완전범죄 프로젝트")</f>
        <v>완전범죄 프로젝트</v>
      </c>
      <c r="C2327" s="8">
        <v>7.68</v>
      </c>
      <c r="D2327" s="9" t="s">
        <v>415</v>
      </c>
      <c r="E2327" s="6" t="s">
        <v>24</v>
      </c>
      <c r="F2327" s="6">
        <v>2013</v>
      </c>
      <c r="G2327" s="6" t="s">
        <v>14</v>
      </c>
      <c r="H2327" s="7" t="s">
        <v>124</v>
      </c>
      <c r="I2327" s="6" t="s">
        <v>150</v>
      </c>
      <c r="J2327" s="130"/>
      <c r="K2327" s="148" t="s">
        <v>4711</v>
      </c>
    </row>
    <row r="2328" spans="1:11" ht="28.9" customHeight="1" thickTop="1" thickBot="1" x14ac:dyDescent="0.75">
      <c r="A2328" s="10">
        <v>2326</v>
      </c>
      <c r="B2328" s="58" t="str">
        <f>HYPERLINK("https://search.naver.com/search.naver?query=왓 데이 해드 영화", "왓 데이 해드")</f>
        <v>왓 데이 해드</v>
      </c>
      <c r="C2328" s="12">
        <v>7.43</v>
      </c>
      <c r="D2328" s="13" t="s">
        <v>4712</v>
      </c>
      <c r="E2328" s="10" t="s">
        <v>24</v>
      </c>
      <c r="F2328" s="10">
        <v>2018</v>
      </c>
      <c r="G2328" s="10" t="s">
        <v>14</v>
      </c>
      <c r="H2328" s="11" t="s">
        <v>20</v>
      </c>
      <c r="I2328" s="10" t="s">
        <v>94</v>
      </c>
      <c r="J2328" s="131"/>
      <c r="K2328" s="149" t="s">
        <v>4713</v>
      </c>
    </row>
    <row r="2329" spans="1:11" ht="28.9" customHeight="1" thickTop="1" thickBot="1" x14ac:dyDescent="0.75">
      <c r="A2329" s="6">
        <v>2327</v>
      </c>
      <c r="B2329" s="57" t="str">
        <f>HYPERLINK("https://search.naver.com/search.naver?query=왓치 영화", "왓치")</f>
        <v>왓치</v>
      </c>
      <c r="C2329" s="8"/>
      <c r="D2329" s="9" t="s">
        <v>4714</v>
      </c>
      <c r="E2329" s="6" t="s">
        <v>24</v>
      </c>
      <c r="F2329" s="6">
        <v>2012</v>
      </c>
      <c r="G2329" s="6" t="s">
        <v>14</v>
      </c>
      <c r="H2329" s="7" t="s">
        <v>91</v>
      </c>
      <c r="I2329" s="6" t="s">
        <v>133</v>
      </c>
      <c r="J2329" s="130"/>
      <c r="K2329" s="148" t="s">
        <v>4715</v>
      </c>
    </row>
    <row r="2330" spans="1:11" ht="28.9" customHeight="1" thickTop="1" thickBot="1" x14ac:dyDescent="0.75">
      <c r="A2330" s="10">
        <v>2328</v>
      </c>
      <c r="B2330" s="58" t="str">
        <f>HYPERLINK("https://search.naver.com/search.naver?query=왕을 위한 홀로그램 영화", "왕을 위한 홀로그램")</f>
        <v>왕을 위한 홀로그램</v>
      </c>
      <c r="C2330" s="12">
        <v>6.4</v>
      </c>
      <c r="D2330" s="13" t="s">
        <v>4716</v>
      </c>
      <c r="E2330" s="10" t="s">
        <v>29</v>
      </c>
      <c r="F2330" s="10">
        <v>2016</v>
      </c>
      <c r="G2330" s="10" t="s">
        <v>14</v>
      </c>
      <c r="H2330" s="11" t="s">
        <v>20</v>
      </c>
      <c r="I2330" s="10" t="s">
        <v>16</v>
      </c>
      <c r="J2330" s="131"/>
      <c r="K2330" s="149" t="s">
        <v>4717</v>
      </c>
    </row>
    <row r="2331" spans="1:11" ht="28.9" customHeight="1" thickTop="1" thickBot="1" x14ac:dyDescent="0.75">
      <c r="A2331" s="10">
        <v>2329</v>
      </c>
      <c r="B2331" s="59" t="str">
        <f>HYPERLINK("https://search.naver.com/search.naver?query=왕자의게임 시즌1", "왕자의게임 시즌1")</f>
        <v>왕자의게임 시즌1</v>
      </c>
      <c r="C2331" s="16"/>
      <c r="D2331" s="17" t="s">
        <v>4718</v>
      </c>
      <c r="E2331" s="14" t="s">
        <v>24</v>
      </c>
      <c r="F2331" s="14">
        <v>2011</v>
      </c>
      <c r="G2331" s="14" t="s">
        <v>20</v>
      </c>
      <c r="H2331" s="15" t="s">
        <v>682</v>
      </c>
      <c r="I2331" s="14" t="s">
        <v>64</v>
      </c>
      <c r="J2331" s="132"/>
      <c r="K2331" s="150" t="s">
        <v>4719</v>
      </c>
    </row>
    <row r="2332" spans="1:11" ht="28.9" customHeight="1" thickTop="1" thickBot="1" x14ac:dyDescent="0.75">
      <c r="A2332" s="6">
        <v>2330</v>
      </c>
      <c r="B2332" s="59" t="str">
        <f>HYPERLINK("https://search.naver.com/search.naver?query=왕자의게임 시즌2", "왕자의게임 시즌2")</f>
        <v>왕자의게임 시즌2</v>
      </c>
      <c r="C2332" s="16"/>
      <c r="D2332" s="17" t="s">
        <v>4718</v>
      </c>
      <c r="E2332" s="14" t="s">
        <v>24</v>
      </c>
      <c r="F2332" s="14">
        <v>2012</v>
      </c>
      <c r="G2332" s="14" t="s">
        <v>20</v>
      </c>
      <c r="H2332" s="15" t="s">
        <v>682</v>
      </c>
      <c r="I2332" s="14" t="s">
        <v>64</v>
      </c>
      <c r="J2332" s="132"/>
      <c r="K2332" s="150" t="s">
        <v>4720</v>
      </c>
    </row>
    <row r="2333" spans="1:11" ht="28.9" customHeight="1" thickTop="1" thickBot="1" x14ac:dyDescent="0.75">
      <c r="A2333" s="10">
        <v>2331</v>
      </c>
      <c r="B2333" s="59" t="str">
        <f>HYPERLINK("https://search.naver.com/search.naver?query=왕자의게임 시즌3", "왕자의게임 시즌3")</f>
        <v>왕자의게임 시즌3</v>
      </c>
      <c r="C2333" s="16"/>
      <c r="D2333" s="17" t="s">
        <v>4718</v>
      </c>
      <c r="E2333" s="14" t="s">
        <v>24</v>
      </c>
      <c r="F2333" s="14">
        <v>2013</v>
      </c>
      <c r="G2333" s="14" t="s">
        <v>20</v>
      </c>
      <c r="H2333" s="15" t="s">
        <v>682</v>
      </c>
      <c r="I2333" s="14" t="s">
        <v>64</v>
      </c>
      <c r="J2333" s="132"/>
      <c r="K2333" s="150" t="s">
        <v>4721</v>
      </c>
    </row>
    <row r="2334" spans="1:11" ht="28.9" customHeight="1" thickTop="1" thickBot="1" x14ac:dyDescent="0.75">
      <c r="A2334" s="10">
        <v>2332</v>
      </c>
      <c r="B2334" s="59" t="str">
        <f>HYPERLINK("https://search.naver.com/search.naver?query=왕자의게임 시즌4", "왕자의게임 시즌4")</f>
        <v>왕자의게임 시즌4</v>
      </c>
      <c r="C2334" s="16"/>
      <c r="D2334" s="17" t="s">
        <v>4718</v>
      </c>
      <c r="E2334" s="14" t="s">
        <v>24</v>
      </c>
      <c r="F2334" s="14">
        <v>2014</v>
      </c>
      <c r="G2334" s="14" t="s">
        <v>20</v>
      </c>
      <c r="H2334" s="15" t="s">
        <v>682</v>
      </c>
      <c r="I2334" s="14" t="s">
        <v>64</v>
      </c>
      <c r="J2334" s="132"/>
      <c r="K2334" s="150" t="s">
        <v>4722</v>
      </c>
    </row>
    <row r="2335" spans="1:11" ht="28.9" customHeight="1" thickTop="1" thickBot="1" x14ac:dyDescent="0.75">
      <c r="A2335" s="6">
        <v>2333</v>
      </c>
      <c r="B2335" s="59" t="str">
        <f>HYPERLINK("https://search.naver.com/search.naver?query=왕자의게임 시즌5", "왕자의게임 시즌5")</f>
        <v>왕자의게임 시즌5</v>
      </c>
      <c r="C2335" s="16"/>
      <c r="D2335" s="17" t="s">
        <v>4718</v>
      </c>
      <c r="E2335" s="14" t="s">
        <v>24</v>
      </c>
      <c r="F2335" s="14">
        <v>2015</v>
      </c>
      <c r="G2335" s="14" t="s">
        <v>20</v>
      </c>
      <c r="H2335" s="15" t="s">
        <v>682</v>
      </c>
      <c r="I2335" s="14" t="s">
        <v>64</v>
      </c>
      <c r="J2335" s="132"/>
      <c r="K2335" s="150" t="s">
        <v>4723</v>
      </c>
    </row>
    <row r="2336" spans="1:11" ht="28.9" customHeight="1" thickTop="1" thickBot="1" x14ac:dyDescent="0.75">
      <c r="A2336" s="10">
        <v>2334</v>
      </c>
      <c r="B2336" s="59" t="str">
        <f>HYPERLINK("https://search.naver.com/search.naver?query=왕자의게임 시즌6", "왕자의게임 시즌6")</f>
        <v>왕자의게임 시즌6</v>
      </c>
      <c r="C2336" s="16"/>
      <c r="D2336" s="17" t="s">
        <v>4718</v>
      </c>
      <c r="E2336" s="14" t="s">
        <v>24</v>
      </c>
      <c r="F2336" s="14">
        <v>2016</v>
      </c>
      <c r="G2336" s="14" t="s">
        <v>20</v>
      </c>
      <c r="H2336" s="15" t="s">
        <v>682</v>
      </c>
      <c r="I2336" s="14" t="s">
        <v>64</v>
      </c>
      <c r="J2336" s="132"/>
      <c r="K2336" s="150" t="s">
        <v>1801</v>
      </c>
    </row>
    <row r="2337" spans="1:11" ht="28.9" customHeight="1" thickTop="1" thickBot="1" x14ac:dyDescent="0.75">
      <c r="A2337" s="10">
        <v>2335</v>
      </c>
      <c r="B2337" s="59" t="str">
        <f>HYPERLINK("https://search.naver.com/search.naver?query=왕자의게임 시즌7", "왕자의게임 시즌7")</f>
        <v>왕자의게임 시즌7</v>
      </c>
      <c r="C2337" s="16"/>
      <c r="D2337" s="17" t="s">
        <v>4718</v>
      </c>
      <c r="E2337" s="14" t="s">
        <v>24</v>
      </c>
      <c r="F2337" s="14">
        <v>2017</v>
      </c>
      <c r="G2337" s="14" t="s">
        <v>20</v>
      </c>
      <c r="H2337" s="15" t="s">
        <v>682</v>
      </c>
      <c r="I2337" s="14" t="s">
        <v>512</v>
      </c>
      <c r="J2337" s="132"/>
      <c r="K2337" s="150" t="s">
        <v>4624</v>
      </c>
    </row>
    <row r="2338" spans="1:11" ht="28.9" customHeight="1" thickTop="1" thickBot="1" x14ac:dyDescent="0.75">
      <c r="A2338" s="6">
        <v>2336</v>
      </c>
      <c r="B2338" s="59" t="str">
        <f>HYPERLINK("https://search.naver.com/search.naver?query=왕자의게임 시즌8", "왕자의게임 시즌8")</f>
        <v>왕자의게임 시즌8</v>
      </c>
      <c r="C2338" s="16"/>
      <c r="D2338" s="17" t="s">
        <v>4718</v>
      </c>
      <c r="E2338" s="14" t="s">
        <v>24</v>
      </c>
      <c r="F2338" s="14">
        <v>2019</v>
      </c>
      <c r="G2338" s="14" t="s">
        <v>20</v>
      </c>
      <c r="H2338" s="15" t="s">
        <v>682</v>
      </c>
      <c r="I2338" s="14" t="s">
        <v>247</v>
      </c>
      <c r="J2338" s="132"/>
      <c r="K2338" s="150" t="s">
        <v>4724</v>
      </c>
    </row>
    <row r="2339" spans="1:11" ht="28.9" customHeight="1" thickTop="1" thickBot="1" x14ac:dyDescent="0.75">
      <c r="A2339" s="10">
        <v>2337</v>
      </c>
      <c r="B2339" s="59" t="str">
        <f>HYPERLINK("https://search.naver.com/search.naver?query=외교관 시즌1", "외교관 시즌1")</f>
        <v>외교관 시즌1</v>
      </c>
      <c r="C2339" s="16"/>
      <c r="D2339" s="17" t="s">
        <v>4725</v>
      </c>
      <c r="E2339" s="14" t="s">
        <v>24</v>
      </c>
      <c r="F2339" s="14">
        <v>2023</v>
      </c>
      <c r="G2339" s="14" t="s">
        <v>20</v>
      </c>
      <c r="H2339" s="15" t="s">
        <v>20</v>
      </c>
      <c r="I2339" s="14" t="s">
        <v>71</v>
      </c>
      <c r="J2339" s="132"/>
      <c r="K2339" s="150" t="s">
        <v>4726</v>
      </c>
    </row>
    <row r="2340" spans="1:11" ht="28.9" customHeight="1" thickTop="1" thickBot="1" x14ac:dyDescent="0.75">
      <c r="A2340" s="10">
        <v>2338</v>
      </c>
      <c r="B2340" s="59" t="str">
        <f>HYPERLINK("https://search.naver.com/search.naver?query=외교관 시즌2", "외교관 시즌2")</f>
        <v>외교관 시즌2</v>
      </c>
      <c r="C2340" s="16"/>
      <c r="D2340" s="17" t="s">
        <v>4725</v>
      </c>
      <c r="E2340" s="14" t="s">
        <v>24</v>
      </c>
      <c r="F2340" s="14">
        <v>2024</v>
      </c>
      <c r="G2340" s="14" t="s">
        <v>20</v>
      </c>
      <c r="H2340" s="15" t="s">
        <v>20</v>
      </c>
      <c r="I2340" s="14" t="s">
        <v>247</v>
      </c>
      <c r="J2340" s="132"/>
      <c r="K2340" s="150" t="s">
        <v>4727</v>
      </c>
    </row>
    <row r="2341" spans="1:11" ht="28.9" customHeight="1" thickTop="1" thickBot="1" x14ac:dyDescent="0.75">
      <c r="A2341" s="6">
        <v>2339</v>
      </c>
      <c r="B2341" s="59" t="str">
        <f>HYPERLINK("https://search.naver.com/search.naver?query=외교관 시즌3", "외교관 시즌3")</f>
        <v>외교관 시즌3</v>
      </c>
      <c r="C2341" s="16"/>
      <c r="D2341" s="17" t="s">
        <v>4725</v>
      </c>
      <c r="E2341" s="14" t="s">
        <v>24</v>
      </c>
      <c r="F2341" s="14">
        <v>2025</v>
      </c>
      <c r="G2341" s="14" t="s">
        <v>20</v>
      </c>
      <c r="H2341" s="15" t="s">
        <v>20</v>
      </c>
      <c r="I2341" s="14" t="s">
        <v>71</v>
      </c>
      <c r="J2341" s="132"/>
      <c r="K2341" s="150" t="s">
        <v>4728</v>
      </c>
    </row>
    <row r="2342" spans="1:11" ht="28.9" customHeight="1" thickTop="1" thickBot="1" x14ac:dyDescent="0.75">
      <c r="A2342" s="10">
        <v>2340</v>
      </c>
      <c r="B2342" s="58" t="str">
        <f>HYPERLINK("https://search.naver.com/search.naver?query=욕망의 대지 영화", "욕망의 대지")</f>
        <v>욕망의 대지</v>
      </c>
      <c r="C2342" s="12">
        <v>8.7799999999999994</v>
      </c>
      <c r="D2342" s="13" t="s">
        <v>2763</v>
      </c>
      <c r="E2342" s="10" t="s">
        <v>24</v>
      </c>
      <c r="F2342" s="10">
        <v>2008</v>
      </c>
      <c r="G2342" s="10" t="s">
        <v>14</v>
      </c>
      <c r="H2342" s="11" t="s">
        <v>428</v>
      </c>
      <c r="I2342" s="10" t="s">
        <v>137</v>
      </c>
      <c r="J2342" s="131"/>
      <c r="K2342" s="149" t="s">
        <v>4729</v>
      </c>
    </row>
    <row r="2343" spans="1:11" ht="28.9" customHeight="1" thickTop="1" thickBot="1" x14ac:dyDescent="0.75">
      <c r="A2343" s="10">
        <v>2341</v>
      </c>
      <c r="B2343" s="57" t="str">
        <f>HYPERLINK("https://search.naver.com/search.naver?query=용기와 구원 영화", "용기와 구원")</f>
        <v>용기와 구원</v>
      </c>
      <c r="C2343" s="8">
        <v>10</v>
      </c>
      <c r="D2343" s="9" t="s">
        <v>4730</v>
      </c>
      <c r="E2343" s="6" t="s">
        <v>24</v>
      </c>
      <c r="F2343" s="6">
        <v>2011</v>
      </c>
      <c r="G2343" s="6" t="s">
        <v>14</v>
      </c>
      <c r="H2343" s="7" t="s">
        <v>20</v>
      </c>
      <c r="I2343" s="6" t="s">
        <v>150</v>
      </c>
      <c r="J2343" s="130"/>
      <c r="K2343" s="148" t="s">
        <v>4731</v>
      </c>
    </row>
    <row r="2344" spans="1:11" ht="28.9" customHeight="1" thickTop="1" thickBot="1" x14ac:dyDescent="0.75">
      <c r="A2344" s="6">
        <v>2342</v>
      </c>
      <c r="B2344" s="58" t="str">
        <f>HYPERLINK("https://search.naver.com/search.naver?query=용길이네 곱창집 영화", "용길이네 곱창집")</f>
        <v>용길이네 곱창집</v>
      </c>
      <c r="C2344" s="12">
        <v>7.8</v>
      </c>
      <c r="D2344" s="13" t="s">
        <v>4732</v>
      </c>
      <c r="E2344" s="10" t="s">
        <v>13</v>
      </c>
      <c r="F2344" s="10">
        <v>2020</v>
      </c>
      <c r="G2344" s="10" t="s">
        <v>14</v>
      </c>
      <c r="H2344" s="11" t="s">
        <v>885</v>
      </c>
      <c r="I2344" s="10" t="s">
        <v>210</v>
      </c>
      <c r="J2344" s="131"/>
      <c r="K2344" s="149" t="s">
        <v>4733</v>
      </c>
    </row>
    <row r="2345" spans="1:11" ht="28.9" customHeight="1" thickTop="1" thickBot="1" x14ac:dyDescent="0.75">
      <c r="A2345" s="10">
        <v>2343</v>
      </c>
      <c r="B2345" s="57" t="str">
        <f>HYPERLINK("https://search.naver.com/search.naver?query=클린트이스트우드의 용서받지 못한 자", "용서받지 못한 자")</f>
        <v>용서받지 못한 자</v>
      </c>
      <c r="C2345" s="8">
        <v>9.11</v>
      </c>
      <c r="D2345" s="9" t="s">
        <v>4734</v>
      </c>
      <c r="E2345" s="6" t="s">
        <v>24</v>
      </c>
      <c r="F2345" s="6">
        <v>1993</v>
      </c>
      <c r="G2345" s="6" t="s">
        <v>14</v>
      </c>
      <c r="H2345" s="7" t="s">
        <v>20</v>
      </c>
      <c r="I2345" s="6" t="s">
        <v>432</v>
      </c>
      <c r="J2345" s="130"/>
      <c r="K2345" s="148" t="s">
        <v>4735</v>
      </c>
    </row>
    <row r="2346" spans="1:11" ht="28.9" customHeight="1" thickTop="1" thickBot="1" x14ac:dyDescent="0.75">
      <c r="A2346" s="10">
        <v>2344</v>
      </c>
      <c r="B2346" s="58" t="str">
        <f>HYPERLINK("https://search.naver.com/search.naver?query=용서받지 못한 자 영화", "용서받지 못한 자")</f>
        <v>용서받지 못한 자</v>
      </c>
      <c r="C2346" s="12"/>
      <c r="D2346" s="13" t="s">
        <v>4734</v>
      </c>
      <c r="E2346" s="10" t="s">
        <v>19</v>
      </c>
      <c r="F2346" s="10">
        <v>2013</v>
      </c>
      <c r="G2346" s="10" t="s">
        <v>14</v>
      </c>
      <c r="H2346" s="11" t="s">
        <v>20</v>
      </c>
      <c r="I2346" s="10" t="s">
        <v>68</v>
      </c>
      <c r="J2346" s="131"/>
      <c r="K2346" s="149" t="s">
        <v>4736</v>
      </c>
    </row>
    <row r="2347" spans="1:11" ht="28.9" customHeight="1" thickTop="1" thickBot="1" x14ac:dyDescent="0.75">
      <c r="A2347" s="6">
        <v>2345</v>
      </c>
      <c r="B2347" s="57" t="str">
        <f>HYPERLINK("https://search.naver.com/search.naver?query=용의자 영화", "용의자")</f>
        <v>용의자</v>
      </c>
      <c r="C2347" s="8">
        <v>8.27</v>
      </c>
      <c r="D2347" s="9" t="s">
        <v>4737</v>
      </c>
      <c r="E2347" s="6" t="s">
        <v>13</v>
      </c>
      <c r="F2347" s="6">
        <v>2013</v>
      </c>
      <c r="G2347" s="6" t="s">
        <v>14</v>
      </c>
      <c r="H2347" s="7" t="s">
        <v>124</v>
      </c>
      <c r="I2347" s="6" t="s">
        <v>269</v>
      </c>
      <c r="J2347" s="130"/>
      <c r="K2347" s="148" t="s">
        <v>4738</v>
      </c>
    </row>
    <row r="2348" spans="1:11" ht="28.9" customHeight="1" thickTop="1" thickBot="1" x14ac:dyDescent="0.75">
      <c r="A2348" s="10">
        <v>2346</v>
      </c>
      <c r="B2348" s="58" t="str">
        <f>HYPERLINK("https://search.naver.com/search.naver?query=용의자 X 영화", "용의자 X")</f>
        <v>용의자 X</v>
      </c>
      <c r="C2348" s="12">
        <v>6.4</v>
      </c>
      <c r="D2348" s="13" t="s">
        <v>4739</v>
      </c>
      <c r="E2348" s="10" t="s">
        <v>19</v>
      </c>
      <c r="F2348" s="10">
        <v>2008</v>
      </c>
      <c r="G2348" s="10" t="s">
        <v>14</v>
      </c>
      <c r="H2348" s="11" t="s">
        <v>194</v>
      </c>
      <c r="I2348" s="10" t="s">
        <v>146</v>
      </c>
      <c r="J2348" s="131"/>
      <c r="K2348" s="149" t="s">
        <v>4740</v>
      </c>
    </row>
    <row r="2349" spans="1:11" ht="28.9" customHeight="1" thickTop="1" thickBot="1" x14ac:dyDescent="0.75">
      <c r="A2349" s="10">
        <v>2347</v>
      </c>
      <c r="B2349" s="57" t="str">
        <f>HYPERLINK("https://search.naver.com/search.naver?query=용의자 X의 헌신 영화", "용의자 X의 헌신")</f>
        <v>용의자 X의 헌신</v>
      </c>
      <c r="C2349" s="8">
        <v>8.68</v>
      </c>
      <c r="D2349" s="9" t="s">
        <v>4741</v>
      </c>
      <c r="E2349" s="6" t="s">
        <v>19</v>
      </c>
      <c r="F2349" s="6">
        <v>2009</v>
      </c>
      <c r="G2349" s="6" t="s">
        <v>14</v>
      </c>
      <c r="H2349" s="7" t="s">
        <v>194</v>
      </c>
      <c r="I2349" s="6" t="s">
        <v>146</v>
      </c>
      <c r="J2349" s="130"/>
      <c r="K2349" s="148" t="s">
        <v>4742</v>
      </c>
    </row>
    <row r="2350" spans="1:11" ht="28.9" customHeight="1" thickTop="1" thickBot="1" x14ac:dyDescent="0.75">
      <c r="A2350" s="6">
        <v>2348</v>
      </c>
      <c r="B2350" s="59" t="str">
        <f>HYPERLINK("https://search.naver.com/search.naver?query=용의자들 드라마", "용의자들 시즌1")</f>
        <v>용의자들 시즌1</v>
      </c>
      <c r="C2350" s="16"/>
      <c r="D2350" s="17" t="s">
        <v>4743</v>
      </c>
      <c r="E2350" s="14" t="s">
        <v>29</v>
      </c>
      <c r="F2350" s="14">
        <v>2022</v>
      </c>
      <c r="G2350" s="14" t="s">
        <v>20</v>
      </c>
      <c r="H2350" s="15" t="s">
        <v>20</v>
      </c>
      <c r="I2350" s="14" t="s">
        <v>71</v>
      </c>
      <c r="J2350" s="132"/>
      <c r="K2350" s="150" t="s">
        <v>4744</v>
      </c>
    </row>
    <row r="2351" spans="1:11" ht="28.9" customHeight="1" thickTop="1" thickBot="1" x14ac:dyDescent="0.75">
      <c r="A2351" s="10">
        <v>2349</v>
      </c>
      <c r="B2351" s="57" t="str">
        <f>HYPERLINK("https://search.naver.com/search.naver?query=우나기 영화", "우나기")</f>
        <v>우나기</v>
      </c>
      <c r="C2351" s="8">
        <v>7.95</v>
      </c>
      <c r="D2351" s="9" t="s">
        <v>4745</v>
      </c>
      <c r="E2351" s="6" t="s">
        <v>19</v>
      </c>
      <c r="F2351" s="6">
        <v>1997</v>
      </c>
      <c r="G2351" s="6" t="s">
        <v>14</v>
      </c>
      <c r="H2351" s="7" t="s">
        <v>20</v>
      </c>
      <c r="I2351" s="6" t="s">
        <v>120</v>
      </c>
      <c r="J2351" s="130"/>
      <c r="K2351" s="148" t="s">
        <v>4746</v>
      </c>
    </row>
    <row r="2352" spans="1:11" ht="28.9" customHeight="1" thickTop="1" thickBot="1" x14ac:dyDescent="0.75">
      <c r="A2352" s="10">
        <v>2350</v>
      </c>
      <c r="B2352" s="58" t="str">
        <f>HYPERLINK("https://search.naver.com/search.naver?query=우동 영화", "우동")</f>
        <v>우동</v>
      </c>
      <c r="C2352" s="12">
        <v>6.4</v>
      </c>
      <c r="D2352" s="13" t="s">
        <v>4747</v>
      </c>
      <c r="E2352" s="10" t="s">
        <v>19</v>
      </c>
      <c r="F2352" s="10">
        <v>2006</v>
      </c>
      <c r="G2352" s="10" t="s">
        <v>14</v>
      </c>
      <c r="H2352" s="11" t="s">
        <v>91</v>
      </c>
      <c r="I2352" s="10" t="s">
        <v>917</v>
      </c>
      <c r="J2352" s="131"/>
      <c r="K2352" s="149" t="s">
        <v>4748</v>
      </c>
    </row>
    <row r="2353" spans="1:11" ht="28.9" customHeight="1" thickTop="1" thickBot="1" x14ac:dyDescent="0.75">
      <c r="A2353" s="6">
        <v>2351</v>
      </c>
      <c r="B2353" s="57" t="str">
        <f>HYPERLINK("https://search.naver.com/search.naver?query=우드잡 영화", "우드잡")</f>
        <v>우드잡</v>
      </c>
      <c r="C2353" s="8">
        <v>8.43</v>
      </c>
      <c r="D2353" s="9" t="s">
        <v>4749</v>
      </c>
      <c r="E2353" s="6" t="s">
        <v>19</v>
      </c>
      <c r="F2353" s="6">
        <v>2014</v>
      </c>
      <c r="G2353" s="6" t="s">
        <v>14</v>
      </c>
      <c r="H2353" s="7" t="s">
        <v>91</v>
      </c>
      <c r="I2353" s="6" t="s">
        <v>68</v>
      </c>
      <c r="J2353" s="130"/>
      <c r="K2353" s="148" t="s">
        <v>4750</v>
      </c>
    </row>
    <row r="2354" spans="1:11" ht="28.9" customHeight="1" thickTop="1" thickBot="1" x14ac:dyDescent="0.75">
      <c r="A2354" s="10">
        <v>2352</v>
      </c>
      <c r="B2354" s="58" t="str">
        <f>HYPERLINK("https://search.naver.com/search.naver?query=우리 사이 어쩌면 영화", "우리 사이 어쩌면")</f>
        <v>우리 사이 어쩌면</v>
      </c>
      <c r="C2354" s="12">
        <v>7.97</v>
      </c>
      <c r="D2354" s="13" t="s">
        <v>4751</v>
      </c>
      <c r="E2354" s="10" t="s">
        <v>24</v>
      </c>
      <c r="F2354" s="10">
        <v>2019</v>
      </c>
      <c r="G2354" s="10" t="s">
        <v>14</v>
      </c>
      <c r="H2354" s="11" t="s">
        <v>91</v>
      </c>
      <c r="I2354" s="10" t="s">
        <v>94</v>
      </c>
      <c r="J2354" s="131"/>
      <c r="K2354" s="149" t="s">
        <v>4752</v>
      </c>
    </row>
    <row r="2355" spans="1:11" ht="28.9" customHeight="1" thickTop="1" thickBot="1" x14ac:dyDescent="0.75">
      <c r="A2355" s="10">
        <v>2353</v>
      </c>
      <c r="B2355" s="57" t="str">
        <f>HYPERLINK("https://search.naver.com/search.naver?query=우리 사이의 거대한 산 영화", "우리 사이의 거대한 산")</f>
        <v>우리 사이의 거대한 산</v>
      </c>
      <c r="C2355" s="8"/>
      <c r="D2355" s="9" t="s">
        <v>4753</v>
      </c>
      <c r="E2355" s="6" t="s">
        <v>24</v>
      </c>
      <c r="F2355" s="6">
        <v>2017</v>
      </c>
      <c r="G2355" s="6" t="s">
        <v>14</v>
      </c>
      <c r="H2355" s="7" t="s">
        <v>20</v>
      </c>
      <c r="I2355" s="6" t="s">
        <v>429</v>
      </c>
      <c r="J2355" s="130"/>
      <c r="K2355" s="148" t="s">
        <v>4754</v>
      </c>
    </row>
    <row r="2356" spans="1:11" ht="28.9" customHeight="1" thickTop="1" thickBot="1" x14ac:dyDescent="0.75">
      <c r="A2356" s="6">
        <v>2354</v>
      </c>
      <c r="B2356" s="58" t="str">
        <f>HYPERLINK("https://search.naver.com/search.naver?query=우리 의사 선생님 영화", "우리 의사 선생님")</f>
        <v>우리 의사 선생님</v>
      </c>
      <c r="C2356" s="12">
        <v>7.97</v>
      </c>
      <c r="D2356" s="13" t="s">
        <v>4755</v>
      </c>
      <c r="E2356" s="10" t="s">
        <v>19</v>
      </c>
      <c r="F2356" s="10">
        <v>2009</v>
      </c>
      <c r="G2356" s="10" t="s">
        <v>14</v>
      </c>
      <c r="H2356" s="11" t="s">
        <v>20</v>
      </c>
      <c r="I2356" s="10" t="s">
        <v>210</v>
      </c>
      <c r="J2356" s="131"/>
      <c r="K2356" s="149" t="s">
        <v>4756</v>
      </c>
    </row>
    <row r="2357" spans="1:11" ht="28.9" customHeight="1" thickTop="1" thickBot="1" x14ac:dyDescent="0.75">
      <c r="A2357" s="10">
        <v>2355</v>
      </c>
      <c r="B2357" s="57" t="str">
        <f>HYPERLINK("https://search.naver.com/search.naver?query=우리 집에 왜 왔니 영화", "우리 집에 왜 왔니")</f>
        <v>우리 집에 왜 왔니</v>
      </c>
      <c r="C2357" s="8">
        <v>8.33</v>
      </c>
      <c r="D2357" s="9" t="s">
        <v>4757</v>
      </c>
      <c r="E2357" s="6" t="s">
        <v>13</v>
      </c>
      <c r="F2357" s="6">
        <v>2009</v>
      </c>
      <c r="G2357" s="6" t="s">
        <v>14</v>
      </c>
      <c r="H2357" s="7" t="s">
        <v>91</v>
      </c>
      <c r="I2357" s="6" t="s">
        <v>150</v>
      </c>
      <c r="J2357" s="130"/>
      <c r="K2357" s="148" t="s">
        <v>4758</v>
      </c>
    </row>
    <row r="2358" spans="1:11" ht="28.9" customHeight="1" thickTop="1" thickBot="1" x14ac:dyDescent="0.75">
      <c r="A2358" s="10">
        <v>2356</v>
      </c>
      <c r="B2358" s="58" t="str">
        <f>HYPERLINK("https://search.naver.com/search.naver?query=우리, 둘 영화", "우리, 둘")</f>
        <v>우리, 둘</v>
      </c>
      <c r="C2358" s="12">
        <v>8.0500000000000007</v>
      </c>
      <c r="D2358" s="13" t="s">
        <v>4759</v>
      </c>
      <c r="E2358" s="10" t="s">
        <v>310</v>
      </c>
      <c r="F2358" s="10">
        <v>2019</v>
      </c>
      <c r="G2358" s="10" t="s">
        <v>14</v>
      </c>
      <c r="H2358" s="11" t="s">
        <v>20</v>
      </c>
      <c r="I2358" s="10" t="s">
        <v>150</v>
      </c>
      <c r="J2358" s="131"/>
      <c r="K2358" s="149" t="s">
        <v>4760</v>
      </c>
    </row>
    <row r="2359" spans="1:11" ht="28.9" customHeight="1" thickTop="1" thickBot="1" x14ac:dyDescent="0.75">
      <c r="A2359" s="6">
        <v>2357</v>
      </c>
      <c r="B2359" s="57" t="str">
        <f>HYPERLINK("https://search.naver.com/search.naver?query=우리, 사랑일까요 영화", "우리, 사랑일까요")</f>
        <v>우리, 사랑일까요</v>
      </c>
      <c r="C2359" s="8"/>
      <c r="D2359" s="9" t="s">
        <v>4761</v>
      </c>
      <c r="E2359" s="6" t="s">
        <v>24</v>
      </c>
      <c r="F2359" s="6">
        <v>2005</v>
      </c>
      <c r="G2359" s="6" t="s">
        <v>14</v>
      </c>
      <c r="H2359" s="7" t="s">
        <v>91</v>
      </c>
      <c r="I2359" s="6" t="s">
        <v>443</v>
      </c>
      <c r="J2359" s="130"/>
      <c r="K2359" s="148" t="s">
        <v>4762</v>
      </c>
    </row>
    <row r="2360" spans="1:11" ht="28.9" customHeight="1" thickTop="1" thickBot="1" x14ac:dyDescent="0.75">
      <c r="A2360" s="10">
        <v>2358</v>
      </c>
      <c r="B2360" s="58" t="str">
        <f>HYPERLINK("https://search.naver.com/search.naver?query=우리가 끝이야 영화", "우리가 끝이야")</f>
        <v>우리가 끝이야</v>
      </c>
      <c r="C2360" s="12">
        <v>7.48</v>
      </c>
      <c r="D2360" s="13" t="s">
        <v>4763</v>
      </c>
      <c r="E2360" s="10" t="s">
        <v>24</v>
      </c>
      <c r="F2360" s="10">
        <v>2024</v>
      </c>
      <c r="G2360" s="10" t="s">
        <v>14</v>
      </c>
      <c r="H2360" s="11" t="s">
        <v>20</v>
      </c>
      <c r="I2360" s="10" t="s">
        <v>38</v>
      </c>
      <c r="J2360" s="131"/>
      <c r="K2360" s="149" t="s">
        <v>4764</v>
      </c>
    </row>
    <row r="2361" spans="1:11" ht="28.9" customHeight="1" thickTop="1" thickBot="1" x14ac:dyDescent="0.75">
      <c r="A2361" s="10">
        <v>2359</v>
      </c>
      <c r="B2361" s="57" t="str">
        <f>HYPERLINK("https://search.naver.com/search.naver?query=우리가 사랑한 시간 영화", "우리가 사랑한 시간")</f>
        <v>우리가 사랑한 시간</v>
      </c>
      <c r="C2361" s="8">
        <v>7.08</v>
      </c>
      <c r="D2361" s="9" t="s">
        <v>4765</v>
      </c>
      <c r="E2361" s="6" t="s">
        <v>186</v>
      </c>
      <c r="F2361" s="6">
        <v>2023</v>
      </c>
      <c r="G2361" s="6" t="s">
        <v>14</v>
      </c>
      <c r="H2361" s="7" t="s">
        <v>20</v>
      </c>
      <c r="I2361" s="6" t="s">
        <v>80</v>
      </c>
      <c r="J2361" s="130"/>
      <c r="K2361" s="148" t="s">
        <v>4766</v>
      </c>
    </row>
    <row r="2362" spans="1:11" ht="28.9" customHeight="1" thickTop="1" thickBot="1" x14ac:dyDescent="0.75">
      <c r="A2362" s="6">
        <v>2360</v>
      </c>
      <c r="B2362" s="58" t="str">
        <f>HYPERLINK("https://search.naver.com/search.naver?query=우리는 동물원을 샀다 영화", "우리는 동물원을 샀다")</f>
        <v>우리는 동물원을 샀다</v>
      </c>
      <c r="C2362" s="12"/>
      <c r="D2362" s="13" t="s">
        <v>4767</v>
      </c>
      <c r="E2362" s="10" t="s">
        <v>24</v>
      </c>
      <c r="F2362" s="10">
        <v>2011</v>
      </c>
      <c r="G2362" s="10" t="s">
        <v>14</v>
      </c>
      <c r="H2362" s="11" t="s">
        <v>20</v>
      </c>
      <c r="I2362" s="10" t="s">
        <v>183</v>
      </c>
      <c r="J2362" s="131"/>
      <c r="K2362" s="149" t="s">
        <v>4768</v>
      </c>
    </row>
    <row r="2363" spans="1:11" ht="28.9" customHeight="1" thickTop="1" thickBot="1" x14ac:dyDescent="0.75">
      <c r="A2363" s="10">
        <v>2361</v>
      </c>
      <c r="B2363" s="57" t="str">
        <f>HYPERLINK("https://search.naver.com/search.naver?query=우리는 형제입니다 영화", "우리는 형제입니다")</f>
        <v>우리는 형제입니다</v>
      </c>
      <c r="C2363" s="8">
        <v>7.66</v>
      </c>
      <c r="D2363" s="9" t="s">
        <v>4769</v>
      </c>
      <c r="E2363" s="6" t="s">
        <v>13</v>
      </c>
      <c r="F2363" s="6">
        <v>2014</v>
      </c>
      <c r="G2363" s="6" t="s">
        <v>14</v>
      </c>
      <c r="H2363" s="7" t="s">
        <v>91</v>
      </c>
      <c r="I2363" s="6" t="s">
        <v>133</v>
      </c>
      <c r="J2363" s="130"/>
      <c r="K2363" s="148" t="s">
        <v>4770</v>
      </c>
    </row>
    <row r="2364" spans="1:11" ht="28.9" customHeight="1" thickTop="1" thickBot="1" x14ac:dyDescent="0.75">
      <c r="A2364" s="10">
        <v>2362</v>
      </c>
      <c r="B2364" s="58" t="str">
        <f>HYPERLINK("https://search.naver.com/search.naver?query=우리도 사랑일까 영화", "우리도 사랑일까")</f>
        <v>우리도 사랑일까</v>
      </c>
      <c r="C2364" s="12">
        <v>8.6199999999999992</v>
      </c>
      <c r="D2364" s="13" t="s">
        <v>4771</v>
      </c>
      <c r="E2364" s="10" t="s">
        <v>275</v>
      </c>
      <c r="F2364" s="10">
        <v>2012</v>
      </c>
      <c r="G2364" s="10" t="s">
        <v>14</v>
      </c>
      <c r="H2364" s="11" t="s">
        <v>20</v>
      </c>
      <c r="I2364" s="10" t="s">
        <v>591</v>
      </c>
      <c r="J2364" s="131"/>
      <c r="K2364" s="149" t="s">
        <v>4772</v>
      </c>
    </row>
    <row r="2365" spans="1:11" ht="28.9" customHeight="1" thickTop="1" thickBot="1" x14ac:dyDescent="0.75">
      <c r="A2365" s="6">
        <v>2363</v>
      </c>
      <c r="B2365" s="57" t="str">
        <f>HYPERLINK("https://search.naver.com/search.naver?query=우리들의 행복한 시간 영화", "우리들의 행복한 시간")</f>
        <v>우리들의 행복한 시간</v>
      </c>
      <c r="C2365" s="8">
        <v>8.6999999999999993</v>
      </c>
      <c r="D2365" s="9" t="s">
        <v>4773</v>
      </c>
      <c r="E2365" s="6" t="s">
        <v>13</v>
      </c>
      <c r="F2365" s="6">
        <v>2006</v>
      </c>
      <c r="G2365" s="6" t="s">
        <v>14</v>
      </c>
      <c r="H2365" s="7" t="s">
        <v>20</v>
      </c>
      <c r="I2365" s="6" t="s">
        <v>116</v>
      </c>
      <c r="J2365" s="130"/>
      <c r="K2365" s="148" t="s">
        <v>4774</v>
      </c>
    </row>
    <row r="2366" spans="1:11" ht="28.9" customHeight="1" thickTop="1" thickBot="1" x14ac:dyDescent="0.75">
      <c r="A2366" s="10">
        <v>2364</v>
      </c>
      <c r="B2366" s="58" t="str">
        <f>HYPERLINK("https://search.naver.com/search.naver?query=우리들이 있었다 전편 영화", "우리들이 있었다 전편")</f>
        <v>우리들이 있었다 전편</v>
      </c>
      <c r="C2366" s="12"/>
      <c r="D2366" s="13" t="s">
        <v>4775</v>
      </c>
      <c r="E2366" s="10" t="s">
        <v>19</v>
      </c>
      <c r="F2366" s="10">
        <v>2011</v>
      </c>
      <c r="G2366" s="10" t="s">
        <v>14</v>
      </c>
      <c r="H2366" s="11" t="s">
        <v>165</v>
      </c>
      <c r="I2366" s="10" t="s">
        <v>76</v>
      </c>
      <c r="J2366" s="131"/>
      <c r="K2366" s="149" t="s">
        <v>4776</v>
      </c>
    </row>
    <row r="2367" spans="1:11" ht="28.9" customHeight="1" thickTop="1" thickBot="1" x14ac:dyDescent="0.75">
      <c r="A2367" s="10">
        <v>2365</v>
      </c>
      <c r="B2367" s="57" t="str">
        <f>HYPERLINK("https://search.naver.com/search.naver?query=우리의 20세기 영화", "우리의 20세기")</f>
        <v>우리의 20세기</v>
      </c>
      <c r="C2367" s="8">
        <v>8.44</v>
      </c>
      <c r="D2367" s="9" t="s">
        <v>4777</v>
      </c>
      <c r="E2367" s="6" t="s">
        <v>24</v>
      </c>
      <c r="F2367" s="6">
        <v>2017</v>
      </c>
      <c r="G2367" s="6" t="s">
        <v>14</v>
      </c>
      <c r="H2367" s="7" t="s">
        <v>20</v>
      </c>
      <c r="I2367" s="6" t="s">
        <v>68</v>
      </c>
      <c r="J2367" s="130"/>
      <c r="K2367" s="148" t="s">
        <v>4778</v>
      </c>
    </row>
    <row r="2368" spans="1:11" ht="28.9" customHeight="1" thickTop="1" thickBot="1" x14ac:dyDescent="0.75">
      <c r="A2368" s="6">
        <v>2366</v>
      </c>
      <c r="B2368" s="58" t="str">
        <f>HYPERLINK("https://search.naver.com/search.naver?query=우리집 개를 찾습니다 영화", "우리집 개를 찾습니다")</f>
        <v>우리집 개를 찾습니다</v>
      </c>
      <c r="C2368" s="12">
        <v>9.1199999999999992</v>
      </c>
      <c r="D2368" s="13" t="s">
        <v>4779</v>
      </c>
      <c r="E2368" s="10" t="s">
        <v>24</v>
      </c>
      <c r="F2368" s="10">
        <v>2023</v>
      </c>
      <c r="G2368" s="10" t="s">
        <v>14</v>
      </c>
      <c r="H2368" s="11" t="s">
        <v>20</v>
      </c>
      <c r="I2368" s="10" t="s">
        <v>150</v>
      </c>
      <c r="J2368" s="131"/>
      <c r="K2368" s="149" t="s">
        <v>4780</v>
      </c>
    </row>
    <row r="2369" spans="1:11" ht="28.9" customHeight="1" thickTop="1" thickBot="1" x14ac:dyDescent="0.75">
      <c r="A2369" s="10">
        <v>2367</v>
      </c>
      <c r="B2369" s="57" t="str">
        <f>HYPERLINK("https://search.naver.com/search.naver?query=우리집 똥멍청이 영화", "우리집 똥멍청이")</f>
        <v>우리집 똥멍청이</v>
      </c>
      <c r="C2369" s="8">
        <v>7.88</v>
      </c>
      <c r="D2369" s="9" t="s">
        <v>4781</v>
      </c>
      <c r="E2369" s="6" t="s">
        <v>310</v>
      </c>
      <c r="F2369" s="6">
        <v>2020</v>
      </c>
      <c r="G2369" s="6" t="s">
        <v>14</v>
      </c>
      <c r="H2369" s="7" t="s">
        <v>91</v>
      </c>
      <c r="I2369" s="6" t="s">
        <v>443</v>
      </c>
      <c r="J2369" s="130"/>
      <c r="K2369" s="148" t="s">
        <v>4782</v>
      </c>
    </row>
    <row r="2370" spans="1:11" ht="28.9" customHeight="1" thickTop="1" thickBot="1" x14ac:dyDescent="0.75">
      <c r="A2370" s="10">
        <v>2368</v>
      </c>
      <c r="B2370" s="58" t="str">
        <f>HYPERLINK("https://search.naver.com/search.naver?query=우먼 인 골드 영화", "우먼 인 골드")</f>
        <v>우먼 인 골드</v>
      </c>
      <c r="C2370" s="12">
        <v>8.9</v>
      </c>
      <c r="D2370" s="13" t="s">
        <v>4783</v>
      </c>
      <c r="E2370" s="10" t="s">
        <v>29</v>
      </c>
      <c r="F2370" s="10">
        <v>2015</v>
      </c>
      <c r="G2370" s="10" t="s">
        <v>14</v>
      </c>
      <c r="H2370" s="11" t="s">
        <v>20</v>
      </c>
      <c r="I2370" s="10" t="s">
        <v>187</v>
      </c>
      <c r="J2370" s="131"/>
      <c r="K2370" s="149" t="s">
        <v>2578</v>
      </c>
    </row>
    <row r="2371" spans="1:11" ht="28.9" customHeight="1" thickTop="1" thickBot="1" x14ac:dyDescent="0.75">
      <c r="A2371" s="6">
        <v>2369</v>
      </c>
      <c r="B2371" s="57" t="str">
        <f>HYPERLINK("https://search.naver.com/search.naver?query=우먼 인 블랙 영화", "우먼 인 블랙")</f>
        <v>우먼 인 블랙</v>
      </c>
      <c r="C2371" s="8">
        <v>6.71</v>
      </c>
      <c r="D2371" s="9" t="s">
        <v>4784</v>
      </c>
      <c r="E2371" s="6" t="s">
        <v>29</v>
      </c>
      <c r="F2371" s="6">
        <v>2012</v>
      </c>
      <c r="G2371" s="6" t="s">
        <v>14</v>
      </c>
      <c r="H2371" s="7" t="s">
        <v>382</v>
      </c>
      <c r="I2371" s="6" t="s">
        <v>150</v>
      </c>
      <c r="J2371" s="130"/>
      <c r="K2371" s="148" t="s">
        <v>4785</v>
      </c>
    </row>
    <row r="2372" spans="1:11" ht="28.9" customHeight="1" thickTop="1" thickBot="1" x14ac:dyDescent="0.75">
      <c r="A2372" s="10">
        <v>2370</v>
      </c>
      <c r="B2372" s="58" t="str">
        <f>HYPERLINK("https://search.naver.com/search.naver?query=우먼 인 윈도 영화", "우먼 인 윈도")</f>
        <v>우먼 인 윈도</v>
      </c>
      <c r="C2372" s="12">
        <v>6.73</v>
      </c>
      <c r="D2372" s="13" t="s">
        <v>4786</v>
      </c>
      <c r="E2372" s="10" t="s">
        <v>24</v>
      </c>
      <c r="F2372" s="10">
        <v>2021</v>
      </c>
      <c r="G2372" s="10" t="s">
        <v>14</v>
      </c>
      <c r="H2372" s="11" t="s">
        <v>54</v>
      </c>
      <c r="I2372" s="10" t="s">
        <v>179</v>
      </c>
      <c r="J2372" s="131"/>
      <c r="K2372" s="149" t="s">
        <v>4787</v>
      </c>
    </row>
    <row r="2373" spans="1:11" ht="28.9" customHeight="1" thickTop="1" thickBot="1" x14ac:dyDescent="0.75">
      <c r="A2373" s="10">
        <v>2371</v>
      </c>
      <c r="B2373" s="57" t="str">
        <f>HYPERLINK("https://search.naver.com/search.naver?query=우먼 인 캐빈10 영화", "우먼 인 캐빈10")</f>
        <v>우먼 인 캐빈10</v>
      </c>
      <c r="C2373" s="8">
        <v>6.74</v>
      </c>
      <c r="D2373" s="9" t="s">
        <v>4788</v>
      </c>
      <c r="E2373" s="6" t="s">
        <v>29</v>
      </c>
      <c r="F2373" s="6">
        <v>2025</v>
      </c>
      <c r="G2373" s="6" t="s">
        <v>14</v>
      </c>
      <c r="H2373" s="7" t="s">
        <v>54</v>
      </c>
      <c r="I2373" s="6" t="s">
        <v>179</v>
      </c>
      <c r="J2373" s="130"/>
      <c r="K2373" s="148" t="s">
        <v>4789</v>
      </c>
    </row>
    <row r="2374" spans="1:11" ht="28.9" customHeight="1" thickTop="1" thickBot="1" x14ac:dyDescent="0.75">
      <c r="A2374" s="6">
        <v>2372</v>
      </c>
      <c r="B2374" s="58" t="str">
        <f>HYPERLINK("https://search.naver.com/search.naver?query=우미자루 4 브레이브 하츠 영화", "우미자루 4 브레이브 하츠")</f>
        <v>우미자루 4 브레이브 하츠</v>
      </c>
      <c r="C2374" s="12">
        <v>6.4</v>
      </c>
      <c r="D2374" s="13" t="s">
        <v>4790</v>
      </c>
      <c r="E2374" s="10" t="s">
        <v>19</v>
      </c>
      <c r="F2374" s="10">
        <v>2012</v>
      </c>
      <c r="G2374" s="10" t="s">
        <v>14</v>
      </c>
      <c r="H2374" s="11" t="s">
        <v>124</v>
      </c>
      <c r="I2374" s="10" t="s">
        <v>429</v>
      </c>
      <c r="J2374" s="131"/>
      <c r="K2374" s="149" t="s">
        <v>4791</v>
      </c>
    </row>
    <row r="2375" spans="1:11" ht="28.9" customHeight="1" thickTop="1" thickBot="1" x14ac:dyDescent="0.75">
      <c r="A2375" s="10">
        <v>2373</v>
      </c>
      <c r="B2375" s="57" t="str">
        <f>HYPERLINK("https://search.naver.com/search.naver?query=우상 영화", "우상")</f>
        <v>우상</v>
      </c>
      <c r="C2375" s="8">
        <v>6.6</v>
      </c>
      <c r="D2375" s="9" t="s">
        <v>4792</v>
      </c>
      <c r="E2375" s="6" t="s">
        <v>13</v>
      </c>
      <c r="F2375" s="6">
        <v>2019</v>
      </c>
      <c r="G2375" s="6" t="s">
        <v>14</v>
      </c>
      <c r="H2375" s="7" t="s">
        <v>20</v>
      </c>
      <c r="I2375" s="6" t="s">
        <v>150</v>
      </c>
      <c r="J2375" s="130"/>
      <c r="K2375" s="148" t="s">
        <v>4793</v>
      </c>
    </row>
    <row r="2376" spans="1:11" ht="28.9" customHeight="1" thickTop="1" thickBot="1" x14ac:dyDescent="0.75">
      <c r="A2376" s="10">
        <v>2374</v>
      </c>
      <c r="B2376" s="58" t="str">
        <f>HYPERLINK("https://search.naver.com/search.naver?query=우아한 거짓말 영화", "우아한 거짓말")</f>
        <v>우아한 거짓말</v>
      </c>
      <c r="C2376" s="12">
        <v>8.24</v>
      </c>
      <c r="D2376" s="13" t="s">
        <v>4794</v>
      </c>
      <c r="E2376" s="10" t="s">
        <v>13</v>
      </c>
      <c r="F2376" s="10">
        <v>2014</v>
      </c>
      <c r="G2376" s="10" t="s">
        <v>14</v>
      </c>
      <c r="H2376" s="11" t="s">
        <v>20</v>
      </c>
      <c r="I2376" s="10" t="s">
        <v>101</v>
      </c>
      <c r="J2376" s="131"/>
      <c r="K2376" s="149" t="s">
        <v>4795</v>
      </c>
    </row>
    <row r="2377" spans="1:11" ht="28.9" customHeight="1" thickTop="1" thickBot="1" x14ac:dyDescent="0.75">
      <c r="A2377" s="6">
        <v>2375</v>
      </c>
      <c r="B2377" s="57" t="str">
        <f>HYPERLINK("https://search.naver.com/search.naver?query=우연한 납치범 영화", "우연한 납치범")</f>
        <v>우연한 납치범</v>
      </c>
      <c r="C2377" s="8"/>
      <c r="D2377" s="9" t="s">
        <v>4796</v>
      </c>
      <c r="E2377" s="6" t="s">
        <v>19</v>
      </c>
      <c r="F2377" s="6">
        <v>2010</v>
      </c>
      <c r="G2377" s="6" t="s">
        <v>14</v>
      </c>
      <c r="H2377" s="7" t="s">
        <v>20</v>
      </c>
      <c r="I2377" s="6" t="s">
        <v>137</v>
      </c>
      <c r="J2377" s="130"/>
      <c r="K2377" s="148" t="s">
        <v>4797</v>
      </c>
    </row>
    <row r="2378" spans="1:11" ht="28.9" customHeight="1" thickTop="1" thickBot="1" x14ac:dyDescent="0.75">
      <c r="A2378" s="10">
        <v>2376</v>
      </c>
      <c r="B2378" s="58" t="str">
        <f>HYPERLINK("https://search.naver.com/search.naver?query=우행록 영화", "우행록")</f>
        <v>우행록</v>
      </c>
      <c r="C2378" s="12">
        <v>7.92</v>
      </c>
      <c r="D2378" s="13" t="s">
        <v>4798</v>
      </c>
      <c r="E2378" s="10" t="s">
        <v>19</v>
      </c>
      <c r="F2378" s="10">
        <v>2019</v>
      </c>
      <c r="G2378" s="10" t="s">
        <v>14</v>
      </c>
      <c r="H2378" s="11" t="s">
        <v>20</v>
      </c>
      <c r="I2378" s="10" t="s">
        <v>116</v>
      </c>
      <c r="J2378" s="131"/>
      <c r="K2378" s="149" t="s">
        <v>4799</v>
      </c>
    </row>
    <row r="2379" spans="1:11" ht="28.9" customHeight="1" thickTop="1" thickBot="1" x14ac:dyDescent="0.75">
      <c r="A2379" s="10">
        <v>2377</v>
      </c>
      <c r="B2379" s="57" t="str">
        <f>HYPERLINK("https://search.naver.com/search.naver?query=운디네 영화", "운디네")</f>
        <v>운디네</v>
      </c>
      <c r="C2379" s="8">
        <v>8.25</v>
      </c>
      <c r="D2379" s="9" t="s">
        <v>4800</v>
      </c>
      <c r="E2379" s="6" t="s">
        <v>136</v>
      </c>
      <c r="F2379" s="6">
        <v>2020</v>
      </c>
      <c r="G2379" s="6" t="s">
        <v>14</v>
      </c>
      <c r="H2379" s="7" t="s">
        <v>20</v>
      </c>
      <c r="I2379" s="6" t="s">
        <v>156</v>
      </c>
      <c r="J2379" s="130"/>
      <c r="K2379" s="148" t="s">
        <v>4801</v>
      </c>
    </row>
    <row r="2380" spans="1:11" ht="28.9" customHeight="1" thickTop="1" thickBot="1" x14ac:dyDescent="0.75">
      <c r="A2380" s="6">
        <v>2378</v>
      </c>
      <c r="B2380" s="59" t="str">
        <f>HYPERLINK("https://search.naver.com/search.naver?query=운명을 닮은 사랑", "운명을 닮은 사랑")</f>
        <v>운명을 닮은 사랑</v>
      </c>
      <c r="C2380" s="16"/>
      <c r="D2380" s="17" t="s">
        <v>4802</v>
      </c>
      <c r="E2380" s="14" t="s">
        <v>19</v>
      </c>
      <c r="F2380" s="14">
        <v>2016</v>
      </c>
      <c r="G2380" s="14" t="s">
        <v>20</v>
      </c>
      <c r="H2380" s="15" t="s">
        <v>149</v>
      </c>
      <c r="I2380" s="14" t="s">
        <v>71</v>
      </c>
      <c r="J2380" s="132"/>
      <c r="K2380" s="150" t="s">
        <v>4803</v>
      </c>
    </row>
    <row r="2381" spans="1:11" ht="28.9" customHeight="1" thickTop="1" thickBot="1" x14ac:dyDescent="0.75">
      <c r="A2381" s="10">
        <v>2379</v>
      </c>
      <c r="B2381" s="57" t="str">
        <f>HYPERLINK("https://search.naver.com/search.naver?query=운명의 하루 영화", "운명의 하루")</f>
        <v>운명의 하루</v>
      </c>
      <c r="C2381" s="8">
        <v>6.4</v>
      </c>
      <c r="D2381" s="9" t="s">
        <v>4804</v>
      </c>
      <c r="E2381" s="6" t="s">
        <v>24</v>
      </c>
      <c r="F2381" s="6">
        <v>2019</v>
      </c>
      <c r="G2381" s="6" t="s">
        <v>14</v>
      </c>
      <c r="H2381" s="7" t="s">
        <v>20</v>
      </c>
      <c r="I2381" s="6" t="s">
        <v>133</v>
      </c>
      <c r="J2381" s="130"/>
      <c r="K2381" s="148" t="s">
        <v>2712</v>
      </c>
    </row>
    <row r="2382" spans="1:11" ht="28.9" customHeight="1" thickTop="1" thickBot="1" x14ac:dyDescent="0.75">
      <c r="A2382" s="10">
        <v>2380</v>
      </c>
      <c r="B2382" s="58" t="str">
        <f>HYPERLINK("https://search.naver.com/search.naver?query=울프 콜 영화", "울프 콜")</f>
        <v>울프 콜</v>
      </c>
      <c r="C2382" s="12">
        <v>8.6300000000000008</v>
      </c>
      <c r="D2382" s="13" t="s">
        <v>4805</v>
      </c>
      <c r="E2382" s="10" t="s">
        <v>310</v>
      </c>
      <c r="F2382" s="10">
        <v>2019</v>
      </c>
      <c r="G2382" s="10" t="s">
        <v>14</v>
      </c>
      <c r="H2382" s="11" t="s">
        <v>124</v>
      </c>
      <c r="I2382" s="10" t="s">
        <v>60</v>
      </c>
      <c r="J2382" s="131"/>
      <c r="K2382" s="149" t="s">
        <v>4806</v>
      </c>
    </row>
    <row r="2383" spans="1:11" ht="28.9" customHeight="1" thickTop="1" thickBot="1" x14ac:dyDescent="0.75">
      <c r="A2383" s="6">
        <v>2381</v>
      </c>
      <c r="B2383" s="57" t="str">
        <f>HYPERLINK("https://search.naver.com/search.naver?query=울프 토템 영화", "울프 토템")</f>
        <v>울프 토템</v>
      </c>
      <c r="C2383" s="8"/>
      <c r="D2383" s="9" t="s">
        <v>4807</v>
      </c>
      <c r="E2383" s="6" t="s">
        <v>186</v>
      </c>
      <c r="F2383" s="6">
        <v>2015</v>
      </c>
      <c r="G2383" s="6" t="s">
        <v>14</v>
      </c>
      <c r="H2383" s="7" t="s">
        <v>1452</v>
      </c>
      <c r="I2383" s="6" t="s">
        <v>195</v>
      </c>
      <c r="J2383" s="130"/>
      <c r="K2383" s="148" t="s">
        <v>4808</v>
      </c>
    </row>
    <row r="2384" spans="1:11" ht="28.9" customHeight="1" thickTop="1" thickBot="1" x14ac:dyDescent="0.75">
      <c r="A2384" s="10">
        <v>2382</v>
      </c>
      <c r="B2384" s="58" t="str">
        <f>HYPERLINK("https://search.naver.com/search.naver?query=울프스 영화", "울프스")</f>
        <v>울프스</v>
      </c>
      <c r="C2384" s="12">
        <v>6.91</v>
      </c>
      <c r="D2384" s="13" t="s">
        <v>4809</v>
      </c>
      <c r="E2384" s="10" t="s">
        <v>24</v>
      </c>
      <c r="F2384" s="10">
        <v>2024</v>
      </c>
      <c r="G2384" s="10" t="s">
        <v>14</v>
      </c>
      <c r="H2384" s="11" t="s">
        <v>124</v>
      </c>
      <c r="I2384" s="10" t="s">
        <v>38</v>
      </c>
      <c r="J2384" s="131"/>
      <c r="K2384" s="149" t="s">
        <v>4810</v>
      </c>
    </row>
    <row r="2385" spans="1:11" ht="28.9" customHeight="1" thickTop="1" thickBot="1" x14ac:dyDescent="0.75">
      <c r="A2385" s="10">
        <v>2383</v>
      </c>
      <c r="B2385" s="57" t="str">
        <f>HYPERLINK("https://search.naver.com/search.naver?query=워 룸 영화", "워 룸")</f>
        <v>워 룸</v>
      </c>
      <c r="C2385" s="8"/>
      <c r="D2385" s="9" t="s">
        <v>4811</v>
      </c>
      <c r="E2385" s="6" t="s">
        <v>24</v>
      </c>
      <c r="F2385" s="6">
        <v>2015</v>
      </c>
      <c r="G2385" s="6" t="s">
        <v>14</v>
      </c>
      <c r="H2385" s="7" t="s">
        <v>20</v>
      </c>
      <c r="I2385" s="6" t="s">
        <v>116</v>
      </c>
      <c r="J2385" s="130"/>
      <c r="K2385" s="148" t="s">
        <v>4812</v>
      </c>
    </row>
    <row r="2386" spans="1:11" ht="28.9" customHeight="1" thickTop="1" thickBot="1" x14ac:dyDescent="0.75">
      <c r="A2386" s="6">
        <v>2384</v>
      </c>
      <c r="B2386" s="58" t="str">
        <f>HYPERLINK("https://search.naver.com/search.naver?query=워 머신 영화", "워 머신")</f>
        <v>워 머신</v>
      </c>
      <c r="C2386" s="12">
        <v>8.6999999999999993</v>
      </c>
      <c r="D2386" s="13" t="s">
        <v>4813</v>
      </c>
      <c r="E2386" s="10" t="s">
        <v>24</v>
      </c>
      <c r="F2386" s="10">
        <v>2017</v>
      </c>
      <c r="G2386" s="10" t="s">
        <v>14</v>
      </c>
      <c r="H2386" s="11" t="s">
        <v>91</v>
      </c>
      <c r="I2386" s="10" t="s">
        <v>141</v>
      </c>
      <c r="J2386" s="131"/>
      <c r="K2386" s="149" t="s">
        <v>4814</v>
      </c>
    </row>
    <row r="2387" spans="1:11" ht="28.9" customHeight="1" thickTop="1" thickBot="1" x14ac:dyDescent="0.75">
      <c r="A2387" s="10">
        <v>2385</v>
      </c>
      <c r="B2387" s="57" t="str">
        <f>HYPERLINK("https://search.naver.com/search.naver?query=워 위드 그랜파 영화", "워 위드 그랜파")</f>
        <v>워 위드 그랜파</v>
      </c>
      <c r="C2387" s="8">
        <v>7.88</v>
      </c>
      <c r="D2387" s="9" t="s">
        <v>4815</v>
      </c>
      <c r="E2387" s="6" t="s">
        <v>24</v>
      </c>
      <c r="F2387" s="6">
        <v>2020</v>
      </c>
      <c r="G2387" s="6" t="s">
        <v>14</v>
      </c>
      <c r="H2387" s="7" t="s">
        <v>91</v>
      </c>
      <c r="I2387" s="6" t="s">
        <v>468</v>
      </c>
      <c r="J2387" s="130"/>
      <c r="K2387" s="148" t="s">
        <v>4816</v>
      </c>
    </row>
    <row r="2388" spans="1:11" ht="28.9" customHeight="1" thickTop="1" thickBot="1" x14ac:dyDescent="0.75">
      <c r="A2388" s="10">
        <v>2386</v>
      </c>
      <c r="B2388" s="58" t="str">
        <f>HYPERLINK("https://search.naver.com/search.naver?query=워리어 영화", "워리어")</f>
        <v>워리어</v>
      </c>
      <c r="C2388" s="12">
        <v>8.7100000000000009</v>
      </c>
      <c r="D2388" s="13" t="s">
        <v>4817</v>
      </c>
      <c r="E2388" s="10" t="s">
        <v>24</v>
      </c>
      <c r="F2388" s="10">
        <v>2011</v>
      </c>
      <c r="G2388" s="10" t="s">
        <v>14</v>
      </c>
      <c r="H2388" s="11" t="s">
        <v>124</v>
      </c>
      <c r="I2388" s="10" t="s">
        <v>930</v>
      </c>
      <c r="J2388" s="131"/>
      <c r="K2388" s="149" t="s">
        <v>4818</v>
      </c>
    </row>
    <row r="2389" spans="1:11" ht="28.9" customHeight="1" thickTop="1" thickBot="1" x14ac:dyDescent="0.75">
      <c r="A2389" s="6">
        <v>2387</v>
      </c>
      <c r="B2389" s="57" t="str">
        <f>HYPERLINK("https://search.naver.com/search.naver?query=워스 영화", "워스")</f>
        <v>워스</v>
      </c>
      <c r="C2389" s="8">
        <v>8.2200000000000006</v>
      </c>
      <c r="D2389" s="9" t="s">
        <v>4819</v>
      </c>
      <c r="E2389" s="6" t="s">
        <v>24</v>
      </c>
      <c r="F2389" s="6">
        <v>2020</v>
      </c>
      <c r="G2389" s="6" t="s">
        <v>14</v>
      </c>
      <c r="H2389" s="7" t="s">
        <v>20</v>
      </c>
      <c r="I2389" s="6" t="s">
        <v>329</v>
      </c>
      <c r="J2389" s="130"/>
      <c r="K2389" s="148" t="s">
        <v>4820</v>
      </c>
    </row>
    <row r="2390" spans="1:11" ht="28.9" customHeight="1" thickTop="1" thickBot="1" x14ac:dyDescent="0.75">
      <c r="A2390" s="10">
        <v>2388</v>
      </c>
      <c r="B2390" s="58" t="str">
        <f>HYPERLINK("https://search.naver.com/search.naver?query=워크 오브 셰임 영화", "워크 오브 셰임")</f>
        <v>워크 오브 셰임</v>
      </c>
      <c r="C2390" s="12">
        <v>7.03</v>
      </c>
      <c r="D2390" s="13" t="s">
        <v>4821</v>
      </c>
      <c r="E2390" s="10" t="s">
        <v>24</v>
      </c>
      <c r="F2390" s="10">
        <v>2014</v>
      </c>
      <c r="G2390" s="10" t="s">
        <v>14</v>
      </c>
      <c r="H2390" s="11" t="s">
        <v>91</v>
      </c>
      <c r="I2390" s="10" t="s">
        <v>150</v>
      </c>
      <c r="J2390" s="131"/>
      <c r="K2390" s="149" t="s">
        <v>4822</v>
      </c>
    </row>
    <row r="2391" spans="1:11" ht="28.9" customHeight="1" thickTop="1" thickBot="1" x14ac:dyDescent="0.75">
      <c r="A2391" s="10">
        <v>2389</v>
      </c>
      <c r="B2391" s="57" t="str">
        <f>HYPERLINK("https://search.naver.com/search.naver?query=워크 투 리멤버 영화", "워크 투 리멤버")</f>
        <v>워크 투 리멤버</v>
      </c>
      <c r="C2391" s="8">
        <v>8.7899999999999991</v>
      </c>
      <c r="D2391" s="9" t="s">
        <v>4823</v>
      </c>
      <c r="E2391" s="6" t="s">
        <v>24</v>
      </c>
      <c r="F2391" s="6">
        <v>2002</v>
      </c>
      <c r="G2391" s="6" t="s">
        <v>14</v>
      </c>
      <c r="H2391" s="7" t="s">
        <v>20</v>
      </c>
      <c r="I2391" s="6" t="s">
        <v>94</v>
      </c>
      <c r="J2391" s="130"/>
      <c r="K2391" s="148" t="s">
        <v>4824</v>
      </c>
    </row>
    <row r="2392" spans="1:11" ht="28.9" customHeight="1" thickTop="1" thickBot="1" x14ac:dyDescent="0.75">
      <c r="A2392" s="6">
        <v>2390</v>
      </c>
      <c r="B2392" s="58" t="str">
        <f>HYPERLINK("https://search.naver.com/search.naver?query=워킹 맨 영화", "워킹 맨")</f>
        <v>워킹 맨</v>
      </c>
      <c r="C2392" s="12">
        <v>6.49</v>
      </c>
      <c r="D2392" s="13" t="s">
        <v>4825</v>
      </c>
      <c r="E2392" s="10" t="s">
        <v>24</v>
      </c>
      <c r="F2392" s="10">
        <v>2025</v>
      </c>
      <c r="G2392" s="10" t="s">
        <v>14</v>
      </c>
      <c r="H2392" s="11" t="s">
        <v>124</v>
      </c>
      <c r="I2392" s="10" t="s">
        <v>129</v>
      </c>
      <c r="J2392" s="131"/>
      <c r="K2392" s="149" t="s">
        <v>4826</v>
      </c>
    </row>
    <row r="2393" spans="1:11" ht="28.9" customHeight="1" thickTop="1" thickBot="1" x14ac:dyDescent="0.75">
      <c r="A2393" s="10">
        <v>2391</v>
      </c>
      <c r="B2393" s="57" t="str">
        <f>HYPERLINK("https://search.naver.com/search.naver?query=워터 디바이너 영화", "워터 디바이너")</f>
        <v>워터 디바이너</v>
      </c>
      <c r="C2393" s="8">
        <v>7.97</v>
      </c>
      <c r="D2393" s="9" t="s">
        <v>4827</v>
      </c>
      <c r="E2393" s="6" t="s">
        <v>45</v>
      </c>
      <c r="F2393" s="6">
        <v>2014</v>
      </c>
      <c r="G2393" s="6" t="s">
        <v>14</v>
      </c>
      <c r="H2393" s="7" t="s">
        <v>20</v>
      </c>
      <c r="I2393" s="6" t="s">
        <v>137</v>
      </c>
      <c r="J2393" s="130"/>
      <c r="K2393" s="148" t="s">
        <v>4828</v>
      </c>
    </row>
    <row r="2394" spans="1:11" ht="28.9" customHeight="1" thickTop="1" thickBot="1" x14ac:dyDescent="0.75">
      <c r="A2394" s="10">
        <v>2392</v>
      </c>
      <c r="B2394" s="58" t="str">
        <f>HYPERLINK("https://search.naver.com/search.naver?query=워터보이즈 영화", "워터보이즈")</f>
        <v>워터보이즈</v>
      </c>
      <c r="C2394" s="12">
        <v>8.67</v>
      </c>
      <c r="D2394" s="13" t="s">
        <v>4829</v>
      </c>
      <c r="E2394" s="10" t="s">
        <v>19</v>
      </c>
      <c r="F2394" s="10">
        <v>2001</v>
      </c>
      <c r="G2394" s="10" t="s">
        <v>14</v>
      </c>
      <c r="H2394" s="11" t="s">
        <v>91</v>
      </c>
      <c r="I2394" s="10" t="s">
        <v>361</v>
      </c>
      <c r="J2394" s="131"/>
      <c r="K2394" s="149" t="s">
        <v>4830</v>
      </c>
    </row>
    <row r="2395" spans="1:11" ht="28.9" customHeight="1" thickTop="1" thickBot="1" x14ac:dyDescent="0.75">
      <c r="A2395" s="6">
        <v>2393</v>
      </c>
      <c r="B2395" s="57" t="str">
        <f>HYPERLINK("https://search.naver.com/search.naver?query=워호스 영화", "워호스")</f>
        <v>워호스</v>
      </c>
      <c r="C2395" s="8">
        <v>9.1999999999999993</v>
      </c>
      <c r="D2395" s="9" t="s">
        <v>4831</v>
      </c>
      <c r="E2395" s="6" t="s">
        <v>24</v>
      </c>
      <c r="F2395" s="6">
        <v>2011</v>
      </c>
      <c r="G2395" s="6" t="s">
        <v>14</v>
      </c>
      <c r="H2395" s="7" t="s">
        <v>1247</v>
      </c>
      <c r="I2395" s="6" t="s">
        <v>1648</v>
      </c>
      <c r="J2395" s="130"/>
      <c r="K2395" s="148" t="s">
        <v>4832</v>
      </c>
    </row>
    <row r="2396" spans="1:11" ht="28.9" customHeight="1" thickTop="1" thickBot="1" x14ac:dyDescent="0.75">
      <c r="A2396" s="10">
        <v>2394</v>
      </c>
      <c r="B2396" s="58" t="str">
        <f>HYPERLINK("https://search.naver.com/search.naver?query=원 배틀 애프터 어나더 영화", "원 배틀 애프터 어나더")</f>
        <v>원 배틀 애프터 어나더</v>
      </c>
      <c r="C2396" s="12">
        <v>8.5</v>
      </c>
      <c r="D2396" s="13" t="s">
        <v>4833</v>
      </c>
      <c r="E2396" s="10" t="s">
        <v>24</v>
      </c>
      <c r="F2396" s="10">
        <v>2025</v>
      </c>
      <c r="G2396" s="10" t="s">
        <v>14</v>
      </c>
      <c r="H2396" s="11" t="s">
        <v>124</v>
      </c>
      <c r="I2396" s="10" t="s">
        <v>116</v>
      </c>
      <c r="J2396" s="131"/>
      <c r="K2396" s="149" t="s">
        <v>4834</v>
      </c>
    </row>
    <row r="2397" spans="1:11" ht="28.9" customHeight="1" thickTop="1" thickBot="1" x14ac:dyDescent="0.75">
      <c r="A2397" s="10">
        <v>2395</v>
      </c>
      <c r="B2397" s="57" t="str">
        <f>HYPERLINK("https://search.naver.com/search.naver?query=원 와일드 모먼트 영화", "원 와일드 모먼트")</f>
        <v>원 와일드 모먼트</v>
      </c>
      <c r="C2397" s="8">
        <v>8.75</v>
      </c>
      <c r="D2397" s="9" t="s">
        <v>4835</v>
      </c>
      <c r="E2397" s="6" t="s">
        <v>310</v>
      </c>
      <c r="F2397" s="6">
        <v>2015</v>
      </c>
      <c r="G2397" s="6" t="s">
        <v>14</v>
      </c>
      <c r="H2397" s="7" t="s">
        <v>91</v>
      </c>
      <c r="I2397" s="6" t="s">
        <v>175</v>
      </c>
      <c r="J2397" s="130"/>
      <c r="K2397" s="148" t="s">
        <v>4836</v>
      </c>
    </row>
    <row r="2398" spans="1:11" ht="28.9" customHeight="1" thickTop="1" thickBot="1" x14ac:dyDescent="0.75">
      <c r="A2398" s="6">
        <v>2396</v>
      </c>
      <c r="B2398" s="58" t="str">
        <f>HYPERLINK("https://search.naver.com/search.naver?query=원더 영화", "원더")</f>
        <v>원더</v>
      </c>
      <c r="C2398" s="12">
        <v>9.1999999999999993</v>
      </c>
      <c r="D2398" s="13" t="s">
        <v>4837</v>
      </c>
      <c r="E2398" s="10" t="s">
        <v>24</v>
      </c>
      <c r="F2398" s="10">
        <v>2017</v>
      </c>
      <c r="G2398" s="10" t="s">
        <v>14</v>
      </c>
      <c r="H2398" s="11" t="s">
        <v>20</v>
      </c>
      <c r="I2398" s="10" t="s">
        <v>98</v>
      </c>
      <c r="J2398" s="131"/>
      <c r="K2398" s="149" t="s">
        <v>4838</v>
      </c>
    </row>
    <row r="2399" spans="1:11" ht="28.9" customHeight="1" thickTop="1" thickBot="1" x14ac:dyDescent="0.75">
      <c r="A2399" s="10">
        <v>2397</v>
      </c>
      <c r="B2399" s="57" t="str">
        <f>HYPERLINK("https://search.naver.com/search.naver?query=원더 우먼 영화", "원더 우먼")</f>
        <v>원더 우먼</v>
      </c>
      <c r="C2399" s="8">
        <v>8.24</v>
      </c>
      <c r="D2399" s="9" t="s">
        <v>4839</v>
      </c>
      <c r="E2399" s="6" t="s">
        <v>24</v>
      </c>
      <c r="F2399" s="6">
        <v>2017</v>
      </c>
      <c r="G2399" s="6" t="s">
        <v>14</v>
      </c>
      <c r="H2399" s="7" t="s">
        <v>124</v>
      </c>
      <c r="I2399" s="6" t="s">
        <v>759</v>
      </c>
      <c r="J2399" s="130"/>
      <c r="K2399" s="148" t="s">
        <v>4840</v>
      </c>
    </row>
    <row r="2400" spans="1:11" ht="28.9" customHeight="1" thickTop="1" thickBot="1" x14ac:dyDescent="0.75">
      <c r="A2400" s="10">
        <v>2398</v>
      </c>
      <c r="B2400" s="58" t="str">
        <f>HYPERLINK("https://search.naver.com/search.naver?query=원더 힐 영화", "원더 힐")</f>
        <v>원더 힐</v>
      </c>
      <c r="C2400" s="12"/>
      <c r="D2400" s="13" t="s">
        <v>4841</v>
      </c>
      <c r="E2400" s="10" t="s">
        <v>24</v>
      </c>
      <c r="F2400" s="10">
        <v>2017</v>
      </c>
      <c r="G2400" s="10" t="s">
        <v>14</v>
      </c>
      <c r="H2400" s="11" t="s">
        <v>20</v>
      </c>
      <c r="I2400" s="10" t="s">
        <v>150</v>
      </c>
      <c r="J2400" s="131"/>
      <c r="K2400" s="149" t="s">
        <v>4842</v>
      </c>
    </row>
    <row r="2401" spans="1:11" ht="28.9" customHeight="1" thickTop="1" thickBot="1" x14ac:dyDescent="0.75">
      <c r="A2401" s="6">
        <v>2399</v>
      </c>
      <c r="B2401" s="57" t="str">
        <f>HYPERLINK("https://search.naver.com/search.naver?query=원더우먼 스토리 영화", "원더우먼 스토리")</f>
        <v>원더우먼 스토리</v>
      </c>
      <c r="C2401" s="8">
        <v>6.4</v>
      </c>
      <c r="D2401" s="9" t="s">
        <v>4843</v>
      </c>
      <c r="E2401" s="6" t="s">
        <v>24</v>
      </c>
      <c r="F2401" s="6">
        <v>2017</v>
      </c>
      <c r="G2401" s="6" t="s">
        <v>14</v>
      </c>
      <c r="H2401" s="7" t="s">
        <v>124</v>
      </c>
      <c r="I2401" s="6" t="s">
        <v>150</v>
      </c>
      <c r="J2401" s="130"/>
      <c r="K2401" s="148" t="s">
        <v>4844</v>
      </c>
    </row>
    <row r="2402" spans="1:11" ht="28.9" customHeight="1" thickTop="1" thickBot="1" x14ac:dyDescent="0.75">
      <c r="A2402" s="10">
        <v>2400</v>
      </c>
      <c r="B2402" s="58" t="str">
        <f>HYPERLINK("https://search.naver.com/search.naver?query=원더풀 고스트 영화", "원더풀 고스트")</f>
        <v>원더풀 고스트</v>
      </c>
      <c r="C2402" s="12">
        <v>7.98</v>
      </c>
      <c r="D2402" s="13" t="s">
        <v>4845</v>
      </c>
      <c r="E2402" s="10" t="s">
        <v>13</v>
      </c>
      <c r="F2402" s="10">
        <v>2018</v>
      </c>
      <c r="G2402" s="10" t="s">
        <v>14</v>
      </c>
      <c r="H2402" s="11" t="s">
        <v>91</v>
      </c>
      <c r="I2402" s="10" t="s">
        <v>16</v>
      </c>
      <c r="J2402" s="131"/>
      <c r="K2402" s="149" t="s">
        <v>4846</v>
      </c>
    </row>
    <row r="2403" spans="1:11" ht="28.9" customHeight="1" thickTop="1" thickBot="1" x14ac:dyDescent="0.75">
      <c r="A2403" s="10">
        <v>2401</v>
      </c>
      <c r="B2403" s="57" t="str">
        <f>HYPERLINK("https://search.naver.com/search.naver?query=원더풀 라디오 영화", "원더풀 라디오")</f>
        <v>원더풀 라디오</v>
      </c>
      <c r="C2403" s="8">
        <v>7.58</v>
      </c>
      <c r="D2403" s="9" t="s">
        <v>4847</v>
      </c>
      <c r="E2403" s="6" t="s">
        <v>13</v>
      </c>
      <c r="F2403" s="6">
        <v>2011</v>
      </c>
      <c r="G2403" s="6" t="s">
        <v>14</v>
      </c>
      <c r="H2403" s="7" t="s">
        <v>20</v>
      </c>
      <c r="I2403" s="6" t="s">
        <v>150</v>
      </c>
      <c r="J2403" s="130"/>
      <c r="K2403" s="148" t="s">
        <v>4848</v>
      </c>
    </row>
    <row r="2404" spans="1:11" ht="28.9" customHeight="1" thickTop="1" thickBot="1" x14ac:dyDescent="0.75">
      <c r="A2404" s="6">
        <v>2402</v>
      </c>
      <c r="B2404" s="58" t="str">
        <f>HYPERLINK("https://search.naver.com/search.naver?query=원데이 영화", "원데이")</f>
        <v>원데이</v>
      </c>
      <c r="C2404" s="12">
        <v>8.35</v>
      </c>
      <c r="D2404" s="13" t="s">
        <v>4849</v>
      </c>
      <c r="E2404" s="10" t="s">
        <v>29</v>
      </c>
      <c r="F2404" s="10">
        <v>2011</v>
      </c>
      <c r="G2404" s="10" t="s">
        <v>14</v>
      </c>
      <c r="H2404" s="11" t="s">
        <v>165</v>
      </c>
      <c r="I2404" s="10" t="s">
        <v>101</v>
      </c>
      <c r="J2404" s="131"/>
      <c r="K2404" s="149" t="s">
        <v>4850</v>
      </c>
    </row>
    <row r="2405" spans="1:11" ht="28.9" customHeight="1" thickTop="1" thickBot="1" x14ac:dyDescent="0.75">
      <c r="A2405" s="10">
        <v>2403</v>
      </c>
      <c r="B2405" s="57" t="str">
        <f>HYPERLINK("https://search.naver.com/search.naver?query=원라인 영화", "원라인")</f>
        <v>원라인</v>
      </c>
      <c r="C2405" s="8">
        <v>8.67</v>
      </c>
      <c r="D2405" s="9" t="s">
        <v>4851</v>
      </c>
      <c r="E2405" s="6" t="s">
        <v>13</v>
      </c>
      <c r="F2405" s="6">
        <v>2016</v>
      </c>
      <c r="G2405" s="6" t="s">
        <v>14</v>
      </c>
      <c r="H2405" s="7" t="s">
        <v>428</v>
      </c>
      <c r="I2405" s="6" t="s">
        <v>133</v>
      </c>
      <c r="J2405" s="130"/>
      <c r="K2405" s="148" t="s">
        <v>4852</v>
      </c>
    </row>
    <row r="2406" spans="1:11" ht="28.9" customHeight="1" thickTop="1" thickBot="1" x14ac:dyDescent="0.75">
      <c r="A2406" s="10">
        <v>2404</v>
      </c>
      <c r="B2406" s="58" t="str">
        <f>HYPERLINK("https://search.naver.com/search.naver?query=원샷 영화", "원샷")</f>
        <v>원샷</v>
      </c>
      <c r="C2406" s="12"/>
      <c r="D2406" s="13" t="s">
        <v>4853</v>
      </c>
      <c r="E2406" s="10" t="s">
        <v>24</v>
      </c>
      <c r="F2406" s="10">
        <v>2021</v>
      </c>
      <c r="G2406" s="10" t="s">
        <v>14</v>
      </c>
      <c r="H2406" s="11" t="s">
        <v>124</v>
      </c>
      <c r="I2406" s="10" t="s">
        <v>80</v>
      </c>
      <c r="J2406" s="131"/>
      <c r="K2406" s="149" t="s">
        <v>4854</v>
      </c>
    </row>
    <row r="2407" spans="1:11" ht="28.9" customHeight="1" thickTop="1" thickBot="1" x14ac:dyDescent="0.75">
      <c r="A2407" s="6">
        <v>2405</v>
      </c>
      <c r="B2407" s="57" t="str">
        <f>HYPERLINK("https://search.naver.com/search.naver?query=원스 영화", "원스")</f>
        <v>원스</v>
      </c>
      <c r="C2407" s="8">
        <v>8.75</v>
      </c>
      <c r="D2407" s="9" t="s">
        <v>4855</v>
      </c>
      <c r="E2407" s="6" t="s">
        <v>944</v>
      </c>
      <c r="F2407" s="6">
        <v>2007</v>
      </c>
      <c r="G2407" s="6" t="s">
        <v>14</v>
      </c>
      <c r="H2407" s="7" t="s">
        <v>20</v>
      </c>
      <c r="I2407" s="6" t="s">
        <v>46</v>
      </c>
      <c r="J2407" s="130"/>
      <c r="K2407" s="148" t="s">
        <v>4856</v>
      </c>
    </row>
    <row r="2408" spans="1:11" ht="28.9" customHeight="1" thickTop="1" thickBot="1" x14ac:dyDescent="0.75">
      <c r="A2408" s="10">
        <v>2406</v>
      </c>
      <c r="B2408" s="58" t="str">
        <f>HYPERLINK("https://search.naver.com/search.naver?query=원스 어폰 어 타임 인 아메리카 영화", "원스 어폰 어 타임 인 아메리카")</f>
        <v>원스 어폰 어 타임 인 아메리카</v>
      </c>
      <c r="C2408" s="12">
        <v>9.36</v>
      </c>
      <c r="D2408" s="13" t="s">
        <v>4857</v>
      </c>
      <c r="E2408" s="10" t="s">
        <v>24</v>
      </c>
      <c r="F2408" s="10">
        <v>1984</v>
      </c>
      <c r="G2408" s="10" t="s">
        <v>14</v>
      </c>
      <c r="H2408" s="11" t="s">
        <v>428</v>
      </c>
      <c r="I2408" s="10" t="s">
        <v>4858</v>
      </c>
      <c r="J2408" s="131"/>
      <c r="K2408" s="149" t="s">
        <v>4859</v>
      </c>
    </row>
    <row r="2409" spans="1:11" ht="28.9" customHeight="1" thickTop="1" thickBot="1" x14ac:dyDescent="0.75">
      <c r="A2409" s="10">
        <v>2407</v>
      </c>
      <c r="B2409" s="57" t="str">
        <f>HYPERLINK("https://search.naver.com/search.naver?query=원위크 영화", "원위크")</f>
        <v>원위크</v>
      </c>
      <c r="C2409" s="8">
        <v>8.0299999999999994</v>
      </c>
      <c r="D2409" s="9" t="s">
        <v>4860</v>
      </c>
      <c r="E2409" s="6" t="s">
        <v>275</v>
      </c>
      <c r="F2409" s="6">
        <v>2008</v>
      </c>
      <c r="G2409" s="6" t="s">
        <v>14</v>
      </c>
      <c r="H2409" s="7" t="s">
        <v>20</v>
      </c>
      <c r="I2409" s="6" t="s">
        <v>468</v>
      </c>
      <c r="J2409" s="130"/>
      <c r="K2409" s="148" t="s">
        <v>4861</v>
      </c>
    </row>
    <row r="2410" spans="1:11" ht="28.9" customHeight="1" thickTop="1" thickBot="1" x14ac:dyDescent="0.75">
      <c r="A2410" s="6">
        <v>2408</v>
      </c>
      <c r="B2410" s="58" t="str">
        <f>HYPERLINK("https://search.naver.com/search.naver?query=원첸스 영화", "원첸스")</f>
        <v>원첸스</v>
      </c>
      <c r="C2410" s="12">
        <v>8.7100000000000009</v>
      </c>
      <c r="D2410" s="13" t="s">
        <v>4862</v>
      </c>
      <c r="E2410" s="10" t="s">
        <v>29</v>
      </c>
      <c r="F2410" s="10">
        <v>2013</v>
      </c>
      <c r="G2410" s="10" t="s">
        <v>14</v>
      </c>
      <c r="H2410" s="11" t="s">
        <v>20</v>
      </c>
      <c r="I2410" s="10" t="s">
        <v>276</v>
      </c>
      <c r="J2410" s="131"/>
      <c r="K2410" s="149" t="s">
        <v>4863</v>
      </c>
    </row>
    <row r="2411" spans="1:11" ht="28.9" customHeight="1" thickTop="1" thickBot="1" x14ac:dyDescent="0.75">
      <c r="A2411" s="10">
        <v>2409</v>
      </c>
      <c r="B2411" s="57" t="str">
        <f>HYPERLINK("https://search.naver.com/search.naver?query=원트 백 다운 영화", "원트 백 다운")</f>
        <v>원트 백 다운</v>
      </c>
      <c r="C2411" s="8"/>
      <c r="D2411" s="9" t="s">
        <v>4864</v>
      </c>
      <c r="E2411" s="6" t="s">
        <v>24</v>
      </c>
      <c r="F2411" s="6">
        <v>2012</v>
      </c>
      <c r="G2411" s="6" t="s">
        <v>14</v>
      </c>
      <c r="H2411" s="7" t="s">
        <v>20</v>
      </c>
      <c r="I2411" s="6" t="s">
        <v>195</v>
      </c>
      <c r="J2411" s="130"/>
      <c r="K2411" s="148" t="s">
        <v>4865</v>
      </c>
    </row>
    <row r="2412" spans="1:11" ht="28.9" customHeight="1" thickTop="1" thickBot="1" x14ac:dyDescent="0.75">
      <c r="A2412" s="10">
        <v>2410</v>
      </c>
      <c r="B2412" s="58" t="str">
        <f>HYPERLINK("https://search.naver.com/search.naver?query=월드 인베이젼 영화", "월드 인베이젼")</f>
        <v>월드 인베이젼</v>
      </c>
      <c r="C2412" s="12">
        <v>7.56</v>
      </c>
      <c r="D2412" s="13" t="s">
        <v>4866</v>
      </c>
      <c r="E2412" s="10" t="s">
        <v>24</v>
      </c>
      <c r="F2412" s="10">
        <v>2011</v>
      </c>
      <c r="G2412" s="10" t="s">
        <v>14</v>
      </c>
      <c r="H2412" s="11" t="s">
        <v>124</v>
      </c>
      <c r="I2412" s="10" t="s">
        <v>175</v>
      </c>
      <c r="J2412" s="131"/>
      <c r="K2412" s="149" t="s">
        <v>4867</v>
      </c>
    </row>
    <row r="2413" spans="1:11" ht="28.9" customHeight="1" thickTop="1" thickBot="1" x14ac:dyDescent="0.75">
      <c r="A2413" s="6">
        <v>2411</v>
      </c>
      <c r="B2413" s="57" t="str">
        <f>HYPERLINK("https://search.naver.com/search.naver?query=월드워 Z 영화", "월드워 Z")</f>
        <v>월드워 Z</v>
      </c>
      <c r="C2413" s="8">
        <v>9</v>
      </c>
      <c r="D2413" s="9" t="s">
        <v>4868</v>
      </c>
      <c r="E2413" s="6" t="s">
        <v>24</v>
      </c>
      <c r="F2413" s="6">
        <v>2013</v>
      </c>
      <c r="G2413" s="6" t="s">
        <v>14</v>
      </c>
      <c r="H2413" s="7" t="s">
        <v>124</v>
      </c>
      <c r="I2413" s="6" t="s">
        <v>591</v>
      </c>
      <c r="J2413" s="130"/>
      <c r="K2413" s="148" t="s">
        <v>4869</v>
      </c>
    </row>
    <row r="2414" spans="1:11" ht="28.9" customHeight="1" thickTop="1" thickBot="1" x14ac:dyDescent="0.75">
      <c r="A2414" s="10">
        <v>2412</v>
      </c>
      <c r="B2414" s="58" t="str">
        <f>HYPERLINK("https://search.naver.com/search.naver?query=월스트리트 분노의 복수 영화", "월스트리트-분노의 복수")</f>
        <v>월스트리트-분노의 복수</v>
      </c>
      <c r="C2414" s="12">
        <v>8.23</v>
      </c>
      <c r="D2414" s="13" t="s">
        <v>4870</v>
      </c>
      <c r="E2414" s="10" t="s">
        <v>24</v>
      </c>
      <c r="F2414" s="10">
        <v>2010</v>
      </c>
      <c r="G2414" s="10" t="s">
        <v>14</v>
      </c>
      <c r="H2414" s="11" t="s">
        <v>20</v>
      </c>
      <c r="I2414" s="10" t="s">
        <v>112</v>
      </c>
      <c r="J2414" s="131"/>
      <c r="K2414" s="149" t="s">
        <v>4871</v>
      </c>
    </row>
    <row r="2415" spans="1:11" ht="28.9" customHeight="1" thickTop="1" thickBot="1" x14ac:dyDescent="0.75">
      <c r="A2415" s="10">
        <v>2413</v>
      </c>
      <c r="B2415" s="57" t="str">
        <f>HYPERLINK("https://search.naver.com/search.naver?query=월요일이 사라졌다 영화", "월요일이 사라졌다")</f>
        <v>월요일이 사라졌다</v>
      </c>
      <c r="C2415" s="8">
        <v>8.4600000000000009</v>
      </c>
      <c r="D2415" s="9" t="s">
        <v>4872</v>
      </c>
      <c r="E2415" s="6" t="s">
        <v>29</v>
      </c>
      <c r="F2415" s="6">
        <v>2017</v>
      </c>
      <c r="G2415" s="6" t="s">
        <v>14</v>
      </c>
      <c r="H2415" s="7" t="s">
        <v>124</v>
      </c>
      <c r="I2415" s="6" t="s">
        <v>76</v>
      </c>
      <c r="J2415" s="130"/>
      <c r="K2415" s="148" t="s">
        <v>4873</v>
      </c>
    </row>
    <row r="2416" spans="1:11" ht="28.9" customHeight="1" thickTop="1" thickBot="1" x14ac:dyDescent="0.75">
      <c r="A2416" s="6">
        <v>2414</v>
      </c>
      <c r="B2416" s="58" t="str">
        <f>HYPERLINK("https://search.naver.com/search.naver?query=월터 교수의 마지막 강의 영화", "월터 교수의 마지막 강의")</f>
        <v>월터 교수의 마지막 강의</v>
      </c>
      <c r="C2416" s="12">
        <v>9.25</v>
      </c>
      <c r="D2416" s="13" t="s">
        <v>4874</v>
      </c>
      <c r="E2416" s="10" t="s">
        <v>24</v>
      </c>
      <c r="F2416" s="10">
        <v>2016</v>
      </c>
      <c r="G2416" s="10" t="s">
        <v>14</v>
      </c>
      <c r="H2416" s="11" t="s">
        <v>20</v>
      </c>
      <c r="I2416" s="10" t="s">
        <v>150</v>
      </c>
      <c r="J2416" s="131"/>
      <c r="K2416" s="149" t="s">
        <v>3140</v>
      </c>
    </row>
    <row r="2417" spans="1:11" ht="28.9" customHeight="1" thickTop="1" thickBot="1" x14ac:dyDescent="0.75">
      <c r="A2417" s="10">
        <v>2415</v>
      </c>
      <c r="B2417" s="57" t="str">
        <f>HYPERLINK("https://search.naver.com/search.naver?query=월플라워 영화", "월플라워")</f>
        <v>월플라워</v>
      </c>
      <c r="C2417" s="8">
        <v>9.1</v>
      </c>
      <c r="D2417" s="9" t="s">
        <v>4875</v>
      </c>
      <c r="E2417" s="6" t="s">
        <v>24</v>
      </c>
      <c r="F2417" s="6">
        <v>2012</v>
      </c>
      <c r="G2417" s="6" t="s">
        <v>14</v>
      </c>
      <c r="H2417" s="7" t="s">
        <v>20</v>
      </c>
      <c r="I2417" s="6" t="s">
        <v>133</v>
      </c>
      <c r="J2417" s="130"/>
      <c r="K2417" s="148" t="s">
        <v>4876</v>
      </c>
    </row>
    <row r="2418" spans="1:11" ht="28.9" customHeight="1" thickTop="1" thickBot="1" x14ac:dyDescent="0.75">
      <c r="A2418" s="10">
        <v>2416</v>
      </c>
      <c r="B2418" s="58" t="str">
        <f>HYPERLINK("https://search.naver.com/search.naver?query=웨더 맨 영화", "웨더 맨")</f>
        <v>웨더 맨</v>
      </c>
      <c r="C2418" s="12">
        <v>8</v>
      </c>
      <c r="D2418" s="13" t="s">
        <v>4877</v>
      </c>
      <c r="E2418" s="10" t="s">
        <v>24</v>
      </c>
      <c r="F2418" s="10">
        <v>2005</v>
      </c>
      <c r="G2418" s="10" t="s">
        <v>14</v>
      </c>
      <c r="H2418" s="11" t="s">
        <v>91</v>
      </c>
      <c r="I2418" s="10" t="s">
        <v>133</v>
      </c>
      <c r="J2418" s="131"/>
      <c r="K2418" s="149" t="s">
        <v>4878</v>
      </c>
    </row>
    <row r="2419" spans="1:11" ht="28.9" customHeight="1" thickTop="1" thickBot="1" x14ac:dyDescent="0.75">
      <c r="A2419" s="6">
        <v>2417</v>
      </c>
      <c r="B2419" s="57" t="str">
        <f>HYPERLINK("https://search.naver.com/search.naver?query=웨딩 드레스 영화", "웨딩 드레스")</f>
        <v>웨딩 드레스</v>
      </c>
      <c r="C2419" s="8">
        <v>9.09</v>
      </c>
      <c r="D2419" s="9" t="s">
        <v>4879</v>
      </c>
      <c r="E2419" s="6" t="s">
        <v>13</v>
      </c>
      <c r="F2419" s="6">
        <v>2009</v>
      </c>
      <c r="G2419" s="6" t="s">
        <v>14</v>
      </c>
      <c r="H2419" s="7" t="s">
        <v>20</v>
      </c>
      <c r="I2419" s="6" t="s">
        <v>187</v>
      </c>
      <c r="J2419" s="130"/>
      <c r="K2419" s="148" t="s">
        <v>4880</v>
      </c>
    </row>
    <row r="2420" spans="1:11" ht="28.9" customHeight="1" thickTop="1" thickBot="1" x14ac:dyDescent="0.75">
      <c r="A2420" s="10">
        <v>2418</v>
      </c>
      <c r="B2420" s="58" t="str">
        <f>HYPERLINK("https://search.naver.com/search.naver?query=웨스턴 리벤지 영화", "웨스턴 리벤지")</f>
        <v>웨스턴 리벤지</v>
      </c>
      <c r="C2420" s="12">
        <v>7.31</v>
      </c>
      <c r="D2420" s="13" t="s">
        <v>4881</v>
      </c>
      <c r="E2420" s="10" t="s">
        <v>24</v>
      </c>
      <c r="F2420" s="10">
        <v>2014</v>
      </c>
      <c r="G2420" s="10" t="s">
        <v>14</v>
      </c>
      <c r="H2420" s="11" t="s">
        <v>1532</v>
      </c>
      <c r="I2420" s="10" t="s">
        <v>150</v>
      </c>
      <c r="J2420" s="131"/>
      <c r="K2420" s="149" t="s">
        <v>4882</v>
      </c>
    </row>
    <row r="2421" spans="1:11" ht="28.9" customHeight="1" thickTop="1" thickBot="1" x14ac:dyDescent="0.75">
      <c r="A2421" s="10">
        <v>2419</v>
      </c>
      <c r="B2421" s="59" t="str">
        <f>HYPERLINK("https://search.naver.com/search.naver?query=웨스트월드 시즌1", "웨스트월드 시즌1")</f>
        <v>웨스트월드 시즌1</v>
      </c>
      <c r="C2421" s="16"/>
      <c r="D2421" s="17" t="s">
        <v>4883</v>
      </c>
      <c r="E2421" s="14" t="s">
        <v>24</v>
      </c>
      <c r="F2421" s="14">
        <v>2016</v>
      </c>
      <c r="G2421" s="14" t="s">
        <v>20</v>
      </c>
      <c r="H2421" s="15" t="s">
        <v>519</v>
      </c>
      <c r="I2421" s="14" t="s">
        <v>64</v>
      </c>
      <c r="J2421" s="132"/>
      <c r="K2421" s="150" t="s">
        <v>4884</v>
      </c>
    </row>
    <row r="2422" spans="1:11" ht="28.9" customHeight="1" thickTop="1" thickBot="1" x14ac:dyDescent="0.75">
      <c r="A2422" s="6">
        <v>2420</v>
      </c>
      <c r="B2422" s="59" t="str">
        <f>HYPERLINK("https://search.naver.com/search.naver?query=웨스트월드 시즌2", "웨스트월드 시즌2")</f>
        <v>웨스트월드 시즌2</v>
      </c>
      <c r="C2422" s="16"/>
      <c r="D2422" s="17" t="s">
        <v>4883</v>
      </c>
      <c r="E2422" s="14" t="s">
        <v>24</v>
      </c>
      <c r="F2422" s="14">
        <v>2018</v>
      </c>
      <c r="G2422" s="14" t="s">
        <v>20</v>
      </c>
      <c r="H2422" s="15" t="s">
        <v>519</v>
      </c>
      <c r="I2422" s="14" t="s">
        <v>64</v>
      </c>
      <c r="J2422" s="132"/>
      <c r="K2422" s="150" t="s">
        <v>4885</v>
      </c>
    </row>
    <row r="2423" spans="1:11" ht="28.9" customHeight="1" thickTop="1" thickBot="1" x14ac:dyDescent="0.75">
      <c r="A2423" s="10">
        <v>2421</v>
      </c>
      <c r="B2423" s="59" t="str">
        <f>HYPERLINK("https://search.naver.com/search.naver?query=웨스트월드 시즌3", "웨스트월드 시즌3")</f>
        <v>웨스트월드 시즌3</v>
      </c>
      <c r="C2423" s="16"/>
      <c r="D2423" s="17" t="s">
        <v>4883</v>
      </c>
      <c r="E2423" s="14" t="s">
        <v>24</v>
      </c>
      <c r="F2423" s="14">
        <v>2020</v>
      </c>
      <c r="G2423" s="14" t="s">
        <v>20</v>
      </c>
      <c r="H2423" s="15" t="s">
        <v>519</v>
      </c>
      <c r="I2423" s="14" t="s">
        <v>71</v>
      </c>
      <c r="J2423" s="132"/>
      <c r="K2423" s="150" t="s">
        <v>2064</v>
      </c>
    </row>
    <row r="2424" spans="1:11" ht="28.9" customHeight="1" thickTop="1" thickBot="1" x14ac:dyDescent="0.75">
      <c r="A2424" s="10">
        <v>2422</v>
      </c>
      <c r="B2424" s="59" t="str">
        <f>HYPERLINK("https://search.naver.com/search.naver?query=웨스트월드 시즌4", "웨스트월드 시즌4")</f>
        <v>웨스트월드 시즌4</v>
      </c>
      <c r="C2424" s="16"/>
      <c r="D2424" s="17" t="s">
        <v>4883</v>
      </c>
      <c r="E2424" s="14" t="s">
        <v>24</v>
      </c>
      <c r="F2424" s="14">
        <v>2022</v>
      </c>
      <c r="G2424" s="14" t="s">
        <v>20</v>
      </c>
      <c r="H2424" s="15" t="s">
        <v>519</v>
      </c>
      <c r="I2424" s="14" t="s">
        <v>71</v>
      </c>
      <c r="J2424" s="132"/>
      <c r="K2424" s="150" t="s">
        <v>234</v>
      </c>
    </row>
    <row r="2425" spans="1:11" ht="28.9" customHeight="1" thickTop="1" thickBot="1" x14ac:dyDescent="0.75">
      <c r="A2425" s="6">
        <v>2423</v>
      </c>
      <c r="B2425" s="57" t="str">
        <f>HYPERLINK("https://search.naver.com/search.naver?query=웨어 핸즈 터치 영화", "웨어 핸즈 터치")</f>
        <v>웨어 핸즈 터치</v>
      </c>
      <c r="C2425" s="8">
        <v>6.4</v>
      </c>
      <c r="D2425" s="9" t="s">
        <v>4886</v>
      </c>
      <c r="E2425" s="6" t="s">
        <v>29</v>
      </c>
      <c r="F2425" s="6">
        <v>2018</v>
      </c>
      <c r="G2425" s="6" t="s">
        <v>14</v>
      </c>
      <c r="H2425" s="7" t="s">
        <v>20</v>
      </c>
      <c r="I2425" s="6" t="s">
        <v>141</v>
      </c>
      <c r="J2425" s="130"/>
      <c r="K2425" s="148" t="s">
        <v>4887</v>
      </c>
    </row>
    <row r="2426" spans="1:11" ht="28.9" customHeight="1" thickTop="1" thickBot="1" x14ac:dyDescent="0.75">
      <c r="A2426" s="10">
        <v>2424</v>
      </c>
      <c r="B2426" s="58" t="str">
        <f>HYPERLINK("https://search.naver.com/search.naver?query=웨이다운 영화", "웨이다운")</f>
        <v>웨이다운</v>
      </c>
      <c r="C2426" s="12">
        <v>9</v>
      </c>
      <c r="D2426" s="13" t="s">
        <v>4888</v>
      </c>
      <c r="E2426" s="10" t="s">
        <v>37</v>
      </c>
      <c r="F2426" s="10">
        <v>2021</v>
      </c>
      <c r="G2426" s="10" t="s">
        <v>14</v>
      </c>
      <c r="H2426" s="11" t="s">
        <v>124</v>
      </c>
      <c r="I2426" s="10" t="s">
        <v>329</v>
      </c>
      <c r="J2426" s="131"/>
      <c r="K2426" s="149" t="s">
        <v>4889</v>
      </c>
    </row>
    <row r="2427" spans="1:11" ht="28.9" customHeight="1" thickTop="1" thickBot="1" x14ac:dyDescent="0.75">
      <c r="A2427" s="10">
        <v>2425</v>
      </c>
      <c r="B2427" s="57" t="str">
        <f>HYPERLINK("https://search.naver.com/search.naver?query=웰컴 미스터 맥도날드 영화", "웰컴 미스터 맥도날드")</f>
        <v>웰컴 미스터 맥도날드</v>
      </c>
      <c r="C2427" s="8">
        <v>8.3800000000000008</v>
      </c>
      <c r="D2427" s="9" t="s">
        <v>4890</v>
      </c>
      <c r="E2427" s="6" t="s">
        <v>19</v>
      </c>
      <c r="F2427" s="6">
        <v>1997</v>
      </c>
      <c r="G2427" s="6" t="s">
        <v>14</v>
      </c>
      <c r="H2427" s="7" t="s">
        <v>91</v>
      </c>
      <c r="I2427" s="6" t="s">
        <v>150</v>
      </c>
      <c r="J2427" s="130"/>
      <c r="K2427" s="148" t="s">
        <v>4891</v>
      </c>
    </row>
    <row r="2428" spans="1:11" ht="28.9" customHeight="1" thickTop="1" thickBot="1" x14ac:dyDescent="0.75">
      <c r="A2428" s="6">
        <v>2426</v>
      </c>
      <c r="B2428" s="58" t="str">
        <f>HYPERLINK("https://search.naver.com/search.naver?query=웰컴 투 마이 하트 영화", "웰컴 투 마이 하트")</f>
        <v>웰컴 투 마이 하트</v>
      </c>
      <c r="C2428" s="12">
        <v>8.31</v>
      </c>
      <c r="D2428" s="13" t="s">
        <v>4892</v>
      </c>
      <c r="E2428" s="10" t="s">
        <v>29</v>
      </c>
      <c r="F2428" s="10">
        <v>2012</v>
      </c>
      <c r="G2428" s="10" t="s">
        <v>14</v>
      </c>
      <c r="H2428" s="11" t="s">
        <v>165</v>
      </c>
      <c r="I2428" s="10" t="s">
        <v>129</v>
      </c>
      <c r="J2428" s="131"/>
      <c r="K2428" s="149" t="s">
        <v>4893</v>
      </c>
    </row>
    <row r="2429" spans="1:11" ht="28.9" customHeight="1" thickTop="1" thickBot="1" x14ac:dyDescent="0.75">
      <c r="A2429" s="10">
        <v>2427</v>
      </c>
      <c r="B2429" s="57" t="str">
        <f>HYPERLINK("https://search.naver.com/search.naver?query=위 아 더 밀러스 영화", "위 아 더 밀러스")</f>
        <v>위 아 더 밀러스</v>
      </c>
      <c r="C2429" s="8">
        <v>8.5</v>
      </c>
      <c r="D2429" s="9" t="s">
        <v>4894</v>
      </c>
      <c r="E2429" s="6" t="s">
        <v>24</v>
      </c>
      <c r="F2429" s="6">
        <v>2013</v>
      </c>
      <c r="G2429" s="6" t="s">
        <v>14</v>
      </c>
      <c r="H2429" s="7" t="s">
        <v>91</v>
      </c>
      <c r="I2429" s="6" t="s">
        <v>129</v>
      </c>
      <c r="J2429" s="130"/>
      <c r="K2429" s="148" t="s">
        <v>1739</v>
      </c>
    </row>
    <row r="2430" spans="1:11" ht="28.9" customHeight="1" thickTop="1" thickBot="1" x14ac:dyDescent="0.75">
      <c r="A2430" s="10">
        <v>2428</v>
      </c>
      <c r="B2430" s="58" t="str">
        <f>HYPERLINK("https://search.naver.com/search.naver?query=위국 일기 영화", "위국 일기")</f>
        <v>위국 일기</v>
      </c>
      <c r="C2430" s="12">
        <v>7.25</v>
      </c>
      <c r="D2430" s="13" t="s">
        <v>4895</v>
      </c>
      <c r="E2430" s="10" t="s">
        <v>161</v>
      </c>
      <c r="F2430" s="10">
        <v>2024</v>
      </c>
      <c r="G2430" s="10" t="s">
        <v>14</v>
      </c>
      <c r="H2430" s="11" t="s">
        <v>20</v>
      </c>
      <c r="I2430" s="10" t="s">
        <v>179</v>
      </c>
      <c r="J2430" s="131"/>
      <c r="K2430" s="149" t="s">
        <v>4896</v>
      </c>
    </row>
    <row r="2431" spans="1:11" ht="28.9" customHeight="1" thickTop="1" thickBot="1" x14ac:dyDescent="0.75">
      <c r="A2431" s="6">
        <v>2429</v>
      </c>
      <c r="B2431" s="57" t="str">
        <f>HYPERLINK("https://search.naver.com/search.naver?query=위대한 개츠비 영화", "위대한 개츠비")</f>
        <v>위대한 개츠비</v>
      </c>
      <c r="C2431" s="8">
        <v>7.64</v>
      </c>
      <c r="D2431" s="9" t="s">
        <v>4897</v>
      </c>
      <c r="E2431" s="6" t="s">
        <v>24</v>
      </c>
      <c r="F2431" s="6">
        <v>2013</v>
      </c>
      <c r="G2431" s="6" t="s">
        <v>14</v>
      </c>
      <c r="H2431" s="7" t="s">
        <v>20</v>
      </c>
      <c r="I2431" s="6" t="s">
        <v>30</v>
      </c>
      <c r="J2431" s="130"/>
      <c r="K2431" s="148" t="s">
        <v>4008</v>
      </c>
    </row>
    <row r="2432" spans="1:11" ht="28.9" customHeight="1" thickTop="1" thickBot="1" x14ac:dyDescent="0.75">
      <c r="A2432" s="10">
        <v>2430</v>
      </c>
      <c r="B2432" s="58" t="str">
        <f>HYPERLINK("https://search.naver.com/search.naver?query=위대한 비밀 영화", "위대한 비밀")</f>
        <v>위대한 비밀</v>
      </c>
      <c r="C2432" s="12">
        <v>3.32</v>
      </c>
      <c r="D2432" s="13" t="s">
        <v>4898</v>
      </c>
      <c r="E2432" s="10" t="s">
        <v>29</v>
      </c>
      <c r="F2432" s="10">
        <v>2011</v>
      </c>
      <c r="G2432" s="10" t="s">
        <v>14</v>
      </c>
      <c r="H2432" s="11" t="s">
        <v>20</v>
      </c>
      <c r="I2432" s="10" t="s">
        <v>42</v>
      </c>
      <c r="J2432" s="131"/>
      <c r="K2432" s="149" t="s">
        <v>4899</v>
      </c>
    </row>
    <row r="2433" spans="1:11" ht="28.9" customHeight="1" thickTop="1" thickBot="1" x14ac:dyDescent="0.75">
      <c r="A2433" s="10">
        <v>2431</v>
      </c>
      <c r="B2433" s="57" t="str">
        <f>HYPERLINK("https://search.naver.com/search.naver?query=위대한 쇼맨 영화", "위대한 쇼맨")</f>
        <v>위대한 쇼맨</v>
      </c>
      <c r="C2433" s="8">
        <v>9.2799999999999994</v>
      </c>
      <c r="D2433" s="9" t="s">
        <v>4900</v>
      </c>
      <c r="E2433" s="6" t="s">
        <v>24</v>
      </c>
      <c r="F2433" s="6">
        <v>2017</v>
      </c>
      <c r="G2433" s="6" t="s">
        <v>14</v>
      </c>
      <c r="H2433" s="7" t="s">
        <v>20</v>
      </c>
      <c r="I2433" s="6" t="s">
        <v>175</v>
      </c>
      <c r="J2433" s="130"/>
      <c r="K2433" s="148" t="s">
        <v>4668</v>
      </c>
    </row>
    <row r="2434" spans="1:11" ht="28.9" customHeight="1" thickTop="1" thickBot="1" x14ac:dyDescent="0.75">
      <c r="A2434" s="6">
        <v>2432</v>
      </c>
      <c r="B2434" s="58" t="str">
        <f>HYPERLINK("https://search.naver.com/search.naver?query=위대한 유산 더 베리얼 영화", "위대한 유산 더 베리얼")</f>
        <v>위대한 유산 더 베리얼</v>
      </c>
      <c r="C2434" s="12">
        <v>6.4</v>
      </c>
      <c r="D2434" s="13" t="s">
        <v>4901</v>
      </c>
      <c r="E2434" s="10" t="s">
        <v>24</v>
      </c>
      <c r="F2434" s="10">
        <v>2023</v>
      </c>
      <c r="G2434" s="10" t="s">
        <v>14</v>
      </c>
      <c r="H2434" s="11" t="s">
        <v>20</v>
      </c>
      <c r="I2434" s="10" t="s">
        <v>329</v>
      </c>
      <c r="J2434" s="131"/>
      <c r="K2434" s="149" t="s">
        <v>4902</v>
      </c>
    </row>
    <row r="2435" spans="1:11" ht="28.9" customHeight="1" thickTop="1" thickBot="1" x14ac:dyDescent="0.75">
      <c r="A2435" s="10">
        <v>2433</v>
      </c>
      <c r="B2435" s="57" t="str">
        <f>HYPERLINK("https://search.naver.com/search.naver?query=위도우즈 영화", "위도우즈")</f>
        <v>위도우즈</v>
      </c>
      <c r="C2435" s="8">
        <v>3.32</v>
      </c>
      <c r="D2435" s="9" t="s">
        <v>4903</v>
      </c>
      <c r="E2435" s="6" t="s">
        <v>29</v>
      </c>
      <c r="F2435" s="6">
        <v>2018</v>
      </c>
      <c r="G2435" s="6" t="s">
        <v>14</v>
      </c>
      <c r="H2435" s="7" t="s">
        <v>428</v>
      </c>
      <c r="I2435" s="6" t="s">
        <v>85</v>
      </c>
      <c r="J2435" s="130"/>
      <c r="K2435" s="148" t="s">
        <v>4904</v>
      </c>
    </row>
    <row r="2436" spans="1:11" ht="28.9" customHeight="1" thickTop="1" thickBot="1" x14ac:dyDescent="0.75">
      <c r="A2436" s="10">
        <v>2434</v>
      </c>
      <c r="B2436" s="58" t="str">
        <f>HYPERLINK("https://search.naver.com/search.naver?query=위스키 탱고 폭스트롯 영화", "위스키 탱고 폭스트롯")</f>
        <v>위스키 탱고 폭스트롯</v>
      </c>
      <c r="C2436" s="12">
        <v>8</v>
      </c>
      <c r="D2436" s="13" t="s">
        <v>4905</v>
      </c>
      <c r="E2436" s="10" t="s">
        <v>24</v>
      </c>
      <c r="F2436" s="10">
        <v>2016</v>
      </c>
      <c r="G2436" s="10" t="s">
        <v>14</v>
      </c>
      <c r="H2436" s="11" t="s">
        <v>91</v>
      </c>
      <c r="I2436" s="10" t="s">
        <v>429</v>
      </c>
      <c r="J2436" s="131"/>
      <c r="K2436" s="149" t="s">
        <v>4906</v>
      </c>
    </row>
    <row r="2437" spans="1:11" ht="28.9" customHeight="1" thickTop="1" thickBot="1" x14ac:dyDescent="0.75">
      <c r="A2437" s="6">
        <v>2435</v>
      </c>
      <c r="B2437" s="57" t="str">
        <f>HYPERLINK("https://search.naver.com/search.naver?query=위시 아이 워즈 히어 영화", "위시 아이 워즈 히어")</f>
        <v>위시 아이 워즈 히어</v>
      </c>
      <c r="C2437" s="8">
        <v>8.3000000000000007</v>
      </c>
      <c r="D2437" s="9" t="s">
        <v>4907</v>
      </c>
      <c r="E2437" s="6" t="s">
        <v>24</v>
      </c>
      <c r="F2437" s="6">
        <v>2014</v>
      </c>
      <c r="G2437" s="6" t="s">
        <v>14</v>
      </c>
      <c r="H2437" s="7" t="s">
        <v>91</v>
      </c>
      <c r="I2437" s="6" t="s">
        <v>443</v>
      </c>
      <c r="J2437" s="130"/>
      <c r="K2437" s="148" t="s">
        <v>4908</v>
      </c>
    </row>
    <row r="2438" spans="1:11" ht="28.9" customHeight="1" thickTop="1" thickBot="1" x14ac:dyDescent="0.75">
      <c r="A2438" s="10">
        <v>2436</v>
      </c>
      <c r="B2438" s="58" t="str">
        <f>HYPERLINK("https://search.naver.com/search.naver?query=위아 유어 프렌즈 영화", "위아 유어 프렌즈")</f>
        <v>위아 유어 프렌즈</v>
      </c>
      <c r="C2438" s="12">
        <v>8.93</v>
      </c>
      <c r="D2438" s="13" t="s">
        <v>4909</v>
      </c>
      <c r="E2438" s="10" t="s">
        <v>24</v>
      </c>
      <c r="F2438" s="10">
        <v>2015</v>
      </c>
      <c r="G2438" s="10" t="s">
        <v>14</v>
      </c>
      <c r="H2438" s="11" t="s">
        <v>20</v>
      </c>
      <c r="I2438" s="10" t="s">
        <v>80</v>
      </c>
      <c r="J2438" s="131"/>
      <c r="K2438" s="149" t="s">
        <v>4910</v>
      </c>
    </row>
    <row r="2439" spans="1:11" ht="28.9" customHeight="1" thickTop="1" thickBot="1" x14ac:dyDescent="0.75">
      <c r="A2439" s="10">
        <v>2437</v>
      </c>
      <c r="B2439" s="57" t="str">
        <f>HYPERLINK("https://search.naver.com/search.naver?query=위아영 영화", "위아영")</f>
        <v>위아영</v>
      </c>
      <c r="C2439" s="8">
        <v>7.65</v>
      </c>
      <c r="D2439" s="9" t="s">
        <v>4911</v>
      </c>
      <c r="E2439" s="6" t="s">
        <v>24</v>
      </c>
      <c r="F2439" s="6">
        <v>2015</v>
      </c>
      <c r="G2439" s="6" t="s">
        <v>14</v>
      </c>
      <c r="H2439" s="7" t="s">
        <v>91</v>
      </c>
      <c r="I2439" s="6" t="s">
        <v>169</v>
      </c>
      <c r="J2439" s="130"/>
      <c r="K2439" s="148" t="s">
        <v>4912</v>
      </c>
    </row>
    <row r="2440" spans="1:11" ht="28.9" customHeight="1" thickTop="1" thickBot="1" x14ac:dyDescent="0.75">
      <c r="A2440" s="6">
        <v>2438</v>
      </c>
      <c r="B2440" s="58" t="str">
        <f>HYPERLINK("https://search.naver.com/search.naver?query=위크엔드 어웨이 영화", "위크엔드 어웨이")</f>
        <v>위크엔드 어웨이</v>
      </c>
      <c r="C2440" s="12">
        <v>6.69</v>
      </c>
      <c r="D2440" s="13" t="s">
        <v>4913</v>
      </c>
      <c r="E2440" s="10" t="s">
        <v>29</v>
      </c>
      <c r="F2440" s="10">
        <v>2022</v>
      </c>
      <c r="G2440" s="10" t="s">
        <v>14</v>
      </c>
      <c r="H2440" s="11" t="s">
        <v>54</v>
      </c>
      <c r="I2440" s="10" t="s">
        <v>162</v>
      </c>
      <c r="J2440" s="131"/>
      <c r="K2440" s="149" t="s">
        <v>4914</v>
      </c>
    </row>
    <row r="2441" spans="1:11" ht="28.9" customHeight="1" thickTop="1" thickBot="1" x14ac:dyDescent="0.75">
      <c r="A2441" s="10">
        <v>2439</v>
      </c>
      <c r="B2441" s="57" t="str">
        <f>HYPERLINK("https://search.naver.com/search.naver?query=위크엔드 인 파리 영화", "위크엔드 인 파리")</f>
        <v>위크엔드 인 파리</v>
      </c>
      <c r="C2441" s="8">
        <v>8.27</v>
      </c>
      <c r="D2441" s="9" t="s">
        <v>4915</v>
      </c>
      <c r="E2441" s="6" t="s">
        <v>24</v>
      </c>
      <c r="F2441" s="6">
        <v>2013</v>
      </c>
      <c r="G2441" s="6" t="s">
        <v>14</v>
      </c>
      <c r="H2441" s="7" t="s">
        <v>165</v>
      </c>
      <c r="I2441" s="6" t="s">
        <v>150</v>
      </c>
      <c r="J2441" s="130"/>
      <c r="K2441" s="148" t="s">
        <v>4916</v>
      </c>
    </row>
    <row r="2442" spans="1:11" ht="28.9" customHeight="1" thickTop="1" thickBot="1" x14ac:dyDescent="0.75">
      <c r="A2442" s="10">
        <v>2440</v>
      </c>
      <c r="B2442" s="58" t="str">
        <f>HYPERLINK("https://search.naver.com/search.naver?query=위플래쉬 영화", "위플래쉬")</f>
        <v>위플래쉬</v>
      </c>
      <c r="C2442" s="12">
        <v>8.94</v>
      </c>
      <c r="D2442" s="13" t="s">
        <v>4917</v>
      </c>
      <c r="E2442" s="10" t="s">
        <v>24</v>
      </c>
      <c r="F2442" s="10">
        <v>2014</v>
      </c>
      <c r="G2442" s="10" t="s">
        <v>14</v>
      </c>
      <c r="H2442" s="11" t="s">
        <v>20</v>
      </c>
      <c r="I2442" s="10" t="s">
        <v>443</v>
      </c>
      <c r="J2442" s="131"/>
      <c r="K2442" s="149" t="s">
        <v>4918</v>
      </c>
    </row>
    <row r="2443" spans="1:11" ht="28.9" customHeight="1" thickTop="1" thickBot="1" x14ac:dyDescent="0.75">
      <c r="A2443" s="6">
        <v>2441</v>
      </c>
      <c r="B2443" s="57" t="str">
        <f>HYPERLINK("https://search.naver.com/search.naver?query=위험한 관계 영화", "위험한 관계")</f>
        <v>위험한 관계</v>
      </c>
      <c r="C2443" s="8">
        <v>8.01</v>
      </c>
      <c r="D2443" s="9" t="s">
        <v>4919</v>
      </c>
      <c r="E2443" s="6" t="s">
        <v>186</v>
      </c>
      <c r="F2443" s="6">
        <v>2012</v>
      </c>
      <c r="G2443" s="6" t="s">
        <v>14</v>
      </c>
      <c r="H2443" s="7" t="s">
        <v>20</v>
      </c>
      <c r="I2443" s="6" t="s">
        <v>101</v>
      </c>
      <c r="J2443" s="130"/>
      <c r="K2443" s="148" t="s">
        <v>4920</v>
      </c>
    </row>
    <row r="2444" spans="1:11" ht="28.9" customHeight="1" thickTop="1" thickBot="1" x14ac:dyDescent="0.75">
      <c r="A2444" s="10">
        <v>2442</v>
      </c>
      <c r="B2444" s="58" t="str">
        <f>HYPERLINK("https://search.naver.com/search.naver?query=위험한 동거 영화", "위험한 동거")</f>
        <v>위험한 동거</v>
      </c>
      <c r="C2444" s="12">
        <v>3.32</v>
      </c>
      <c r="D2444" s="13" t="s">
        <v>4921</v>
      </c>
      <c r="E2444" s="10" t="s">
        <v>29</v>
      </c>
      <c r="F2444" s="10">
        <v>2020</v>
      </c>
      <c r="G2444" s="10" t="s">
        <v>14</v>
      </c>
      <c r="H2444" s="11" t="s">
        <v>20</v>
      </c>
      <c r="I2444" s="10" t="s">
        <v>101</v>
      </c>
      <c r="J2444" s="131"/>
      <c r="K2444" s="149" t="s">
        <v>4922</v>
      </c>
    </row>
    <row r="2445" spans="1:11" ht="28.9" customHeight="1" thickTop="1" thickBot="1" x14ac:dyDescent="0.75">
      <c r="A2445" s="10">
        <v>2443</v>
      </c>
      <c r="B2445" s="57" t="str">
        <f>HYPERLINK("https://search.naver.com/search.naver?query=위험한 패밀리 영화", "위험한 패밀리")</f>
        <v>위험한 패밀리</v>
      </c>
      <c r="C2445" s="8">
        <v>7.43</v>
      </c>
      <c r="D2445" s="9" t="s">
        <v>4923</v>
      </c>
      <c r="E2445" s="6" t="s">
        <v>24</v>
      </c>
      <c r="F2445" s="6">
        <v>2014</v>
      </c>
      <c r="G2445" s="6" t="s">
        <v>14</v>
      </c>
      <c r="H2445" s="7" t="s">
        <v>91</v>
      </c>
      <c r="I2445" s="6" t="s">
        <v>137</v>
      </c>
      <c r="J2445" s="130"/>
      <c r="K2445" s="148" t="s">
        <v>905</v>
      </c>
    </row>
    <row r="2446" spans="1:11" ht="28.9" customHeight="1" thickTop="1" thickBot="1" x14ac:dyDescent="0.75">
      <c r="A2446" s="6">
        <v>2444</v>
      </c>
      <c r="B2446" s="58" t="str">
        <f>HYPERLINK("https://search.naver.com/search.naver?query=윈드리버 영화", "윈드리버")</f>
        <v>윈드리버</v>
      </c>
      <c r="C2446" s="12">
        <v>8.51</v>
      </c>
      <c r="D2446" s="13" t="s">
        <v>4924</v>
      </c>
      <c r="E2446" s="10" t="s">
        <v>24</v>
      </c>
      <c r="F2446" s="10">
        <v>2017</v>
      </c>
      <c r="G2446" s="10" t="s">
        <v>14</v>
      </c>
      <c r="H2446" s="11" t="s">
        <v>428</v>
      </c>
      <c r="I2446" s="10" t="s">
        <v>101</v>
      </c>
      <c r="J2446" s="131"/>
      <c r="K2446" s="149" t="s">
        <v>4925</v>
      </c>
    </row>
    <row r="2447" spans="1:11" ht="28.9" customHeight="1" thickTop="1" thickBot="1" x14ac:dyDescent="0.75">
      <c r="A2447" s="10">
        <v>2445</v>
      </c>
      <c r="B2447" s="57" t="str">
        <f>HYPERLINK("https://search.naver.com/search.naver?query=윈터스 테일 영화", "윈터스 테일")</f>
        <v>윈터스 테일</v>
      </c>
      <c r="C2447" s="8">
        <v>6.4</v>
      </c>
      <c r="D2447" s="9" t="s">
        <v>4926</v>
      </c>
      <c r="E2447" s="6" t="s">
        <v>24</v>
      </c>
      <c r="F2447" s="6">
        <v>2014</v>
      </c>
      <c r="G2447" s="6" t="s">
        <v>14</v>
      </c>
      <c r="H2447" s="7" t="s">
        <v>20</v>
      </c>
      <c r="I2447" s="6" t="s">
        <v>329</v>
      </c>
      <c r="J2447" s="130"/>
      <c r="K2447" s="148" t="s">
        <v>4927</v>
      </c>
    </row>
    <row r="2448" spans="1:11" ht="28.9" customHeight="1" thickTop="1" thickBot="1" x14ac:dyDescent="0.75">
      <c r="A2448" s="10">
        <v>2446</v>
      </c>
      <c r="B2448" s="58" t="str">
        <f>HYPERLINK("https://search.naver.com/search.naver?query=유레루 영화", "유레루")</f>
        <v>유레루</v>
      </c>
      <c r="C2448" s="12">
        <v>8.2899999999999991</v>
      </c>
      <c r="D2448" s="13" t="s">
        <v>4928</v>
      </c>
      <c r="E2448" s="10" t="s">
        <v>19</v>
      </c>
      <c r="F2448" s="10">
        <v>2006</v>
      </c>
      <c r="G2448" s="10" t="s">
        <v>14</v>
      </c>
      <c r="H2448" s="11" t="s">
        <v>20</v>
      </c>
      <c r="I2448" s="10" t="s">
        <v>68</v>
      </c>
      <c r="J2448" s="131"/>
      <c r="K2448" s="149" t="s">
        <v>4929</v>
      </c>
    </row>
    <row r="2449" spans="1:11" ht="28.9" customHeight="1" thickTop="1" thickBot="1" x14ac:dyDescent="0.75">
      <c r="A2449" s="6">
        <v>2447</v>
      </c>
      <c r="B2449" s="57" t="str">
        <f>HYPERLINK("https://search.naver.com/search.naver?query=유령 작가 영화", "유령 작가")</f>
        <v>유령 작가</v>
      </c>
      <c r="C2449" s="8">
        <v>7.13</v>
      </c>
      <c r="D2449" s="9" t="s">
        <v>4930</v>
      </c>
      <c r="E2449" s="6" t="s">
        <v>310</v>
      </c>
      <c r="F2449" s="6">
        <v>2010</v>
      </c>
      <c r="G2449" s="6" t="s">
        <v>14</v>
      </c>
      <c r="H2449" s="7" t="s">
        <v>54</v>
      </c>
      <c r="I2449" s="6" t="s">
        <v>146</v>
      </c>
      <c r="J2449" s="130"/>
      <c r="K2449" s="148" t="s">
        <v>4931</v>
      </c>
    </row>
    <row r="2450" spans="1:11" ht="28.9" customHeight="1" thickTop="1" thickBot="1" x14ac:dyDescent="0.75">
      <c r="A2450" s="10">
        <v>2448</v>
      </c>
      <c r="B2450" s="58" t="str">
        <f>HYPERLINK("https://search.naver.com/search.naver?query=유리고코로 영화", "유리고코로")</f>
        <v>유리고코로</v>
      </c>
      <c r="C2450" s="12">
        <v>7.45</v>
      </c>
      <c r="D2450" s="13" t="s">
        <v>4932</v>
      </c>
      <c r="E2450" s="10" t="s">
        <v>19</v>
      </c>
      <c r="F2450" s="10">
        <v>2017</v>
      </c>
      <c r="G2450" s="10" t="s">
        <v>14</v>
      </c>
      <c r="H2450" s="11" t="s">
        <v>20</v>
      </c>
      <c r="I2450" s="10" t="s">
        <v>146</v>
      </c>
      <c r="J2450" s="131"/>
      <c r="K2450" s="149" t="s">
        <v>4933</v>
      </c>
    </row>
    <row r="2451" spans="1:11" ht="28.9" customHeight="1" thickTop="1" thickBot="1" x14ac:dyDescent="0.75">
      <c r="A2451" s="10">
        <v>2449</v>
      </c>
      <c r="B2451" s="57" t="str">
        <f>HYPERLINK("https://search.naver.com/search.naver?query=유리정원 영화", "유리정원")</f>
        <v>유리정원</v>
      </c>
      <c r="C2451" s="8">
        <v>8.2200000000000006</v>
      </c>
      <c r="D2451" s="9" t="s">
        <v>4934</v>
      </c>
      <c r="E2451" s="6" t="s">
        <v>13</v>
      </c>
      <c r="F2451" s="6">
        <v>2017</v>
      </c>
      <c r="G2451" s="6" t="s">
        <v>14</v>
      </c>
      <c r="H2451" s="7" t="s">
        <v>20</v>
      </c>
      <c r="I2451" s="6" t="s">
        <v>305</v>
      </c>
      <c r="J2451" s="130"/>
      <c r="K2451" s="148" t="s">
        <v>4935</v>
      </c>
    </row>
    <row r="2452" spans="1:11" ht="28.9" customHeight="1" thickTop="1" thickBot="1" x14ac:dyDescent="0.75">
      <c r="A2452" s="6">
        <v>2450</v>
      </c>
      <c r="B2452" s="58" t="str">
        <f>HYPERLINK("https://search.naver.com/search.naver?query=유스 영화", "유스")</f>
        <v>유스</v>
      </c>
      <c r="C2452" s="12">
        <v>8.4700000000000006</v>
      </c>
      <c r="D2452" s="13" t="s">
        <v>4936</v>
      </c>
      <c r="E2452" s="10" t="s">
        <v>2001</v>
      </c>
      <c r="F2452" s="10">
        <v>2015</v>
      </c>
      <c r="G2452" s="10" t="s">
        <v>14</v>
      </c>
      <c r="H2452" s="11" t="s">
        <v>20</v>
      </c>
      <c r="I2452" s="10" t="s">
        <v>183</v>
      </c>
      <c r="J2452" s="131"/>
      <c r="K2452" s="149" t="s">
        <v>4937</v>
      </c>
    </row>
    <row r="2453" spans="1:11" ht="28.9" customHeight="1" thickTop="1" thickBot="1" x14ac:dyDescent="0.75">
      <c r="A2453" s="10">
        <v>2451</v>
      </c>
      <c r="B2453" s="57" t="str">
        <f>HYPERLINK("https://search.naver.com/search.naver?query=유아 낫 유 영화", "유아 낫 유")</f>
        <v>유아 낫 유</v>
      </c>
      <c r="C2453" s="8">
        <v>8.86</v>
      </c>
      <c r="D2453" s="9" t="s">
        <v>4938</v>
      </c>
      <c r="E2453" s="6" t="s">
        <v>24</v>
      </c>
      <c r="F2453" s="6">
        <v>2014</v>
      </c>
      <c r="G2453" s="6" t="s">
        <v>14</v>
      </c>
      <c r="H2453" s="7" t="s">
        <v>20</v>
      </c>
      <c r="I2453" s="6" t="s">
        <v>133</v>
      </c>
      <c r="J2453" s="130"/>
      <c r="K2453" s="148" t="s">
        <v>4939</v>
      </c>
    </row>
    <row r="2454" spans="1:11" ht="28.9" customHeight="1" thickTop="1" thickBot="1" x14ac:dyDescent="0.75">
      <c r="A2454" s="102">
        <v>2452</v>
      </c>
      <c r="B2454" s="122" t="str">
        <f>HYPERLINK("https://search.naver.com/search.naver?query=포 올 맨카인드 시즌1", "포 올 맨카인드 시즌1")</f>
        <v>포 올 맨카인드 시즌1</v>
      </c>
      <c r="C2454" s="103"/>
      <c r="D2454" s="104" t="s">
        <v>4940</v>
      </c>
      <c r="E2454" s="102" t="s">
        <v>24</v>
      </c>
      <c r="F2454" s="102">
        <v>2019</v>
      </c>
      <c r="G2454" s="102" t="s">
        <v>20</v>
      </c>
      <c r="H2454" s="105" t="s">
        <v>877</v>
      </c>
      <c r="I2454" s="102" t="s">
        <v>4941</v>
      </c>
      <c r="J2454" s="135"/>
      <c r="K2454" s="155" t="s">
        <v>4942</v>
      </c>
    </row>
    <row r="2455" spans="1:11" ht="28.9" customHeight="1" thickTop="1" thickBot="1" x14ac:dyDescent="0.75">
      <c r="A2455" s="6">
        <v>2453</v>
      </c>
      <c r="B2455" s="59" t="str">
        <f>HYPERLINK("https://search.naver.com/search.naver?query=유어 아너", "유어 아너")</f>
        <v>유어 아너</v>
      </c>
      <c r="C2455" s="16"/>
      <c r="D2455" s="17" t="s">
        <v>4943</v>
      </c>
      <c r="E2455" s="14" t="s">
        <v>13</v>
      </c>
      <c r="F2455" s="14">
        <v>2024</v>
      </c>
      <c r="G2455" s="14" t="s">
        <v>20</v>
      </c>
      <c r="H2455" s="15" t="s">
        <v>20</v>
      </c>
      <c r="I2455" s="14" t="s">
        <v>64</v>
      </c>
      <c r="J2455" s="132"/>
      <c r="K2455" s="150" t="s">
        <v>4944</v>
      </c>
    </row>
    <row r="2456" spans="1:11" ht="28.9" customHeight="1" thickTop="1" thickBot="1" x14ac:dyDescent="0.75">
      <c r="A2456" s="10">
        <v>2454</v>
      </c>
      <c r="B2456" s="58" t="str">
        <f>HYPERLINK("https://search.naver.com/search.naver?query=유주얼 서스펙트 영화", "유주얼 서스펙트")</f>
        <v>유주얼 서스펙트</v>
      </c>
      <c r="C2456" s="12">
        <v>8.66</v>
      </c>
      <c r="D2456" s="13" t="s">
        <v>4945</v>
      </c>
      <c r="E2456" s="10" t="s">
        <v>24</v>
      </c>
      <c r="F2456" s="10">
        <v>1995</v>
      </c>
      <c r="G2456" s="10" t="s">
        <v>14</v>
      </c>
      <c r="H2456" s="11" t="s">
        <v>428</v>
      </c>
      <c r="I2456" s="10" t="s">
        <v>443</v>
      </c>
      <c r="J2456" s="131"/>
      <c r="K2456" s="149" t="s">
        <v>4946</v>
      </c>
    </row>
    <row r="2457" spans="1:11" ht="28.9" customHeight="1" thickTop="1" thickBot="1" x14ac:dyDescent="0.75">
      <c r="A2457" s="10">
        <v>2455</v>
      </c>
      <c r="B2457" s="57" t="str">
        <f>HYPERLINK("https://search.naver.com/search.naver?query=유체이탈자 영화", "유체이탈자")</f>
        <v>유체이탈자</v>
      </c>
      <c r="C2457" s="8">
        <v>7.46</v>
      </c>
      <c r="D2457" s="9" t="s">
        <v>4947</v>
      </c>
      <c r="E2457" s="6" t="s">
        <v>13</v>
      </c>
      <c r="F2457" s="6">
        <v>2021</v>
      </c>
      <c r="G2457" s="6" t="s">
        <v>14</v>
      </c>
      <c r="H2457" s="7" t="s">
        <v>54</v>
      </c>
      <c r="I2457" s="6" t="s">
        <v>38</v>
      </c>
      <c r="J2457" s="130"/>
      <c r="K2457" s="148" t="s">
        <v>4948</v>
      </c>
    </row>
    <row r="2458" spans="1:11" ht="28.9" customHeight="1" thickTop="1" thickBot="1" x14ac:dyDescent="0.75">
      <c r="A2458" s="6">
        <v>2456</v>
      </c>
      <c r="B2458" s="58" t="str">
        <f>HYPERLINK("https://search.naver.com/search.naver?query=유혹의 계절 영화", "유혹의 계절")</f>
        <v>유혹의 계절</v>
      </c>
      <c r="C2458" s="12">
        <v>7.67</v>
      </c>
      <c r="D2458" s="13" t="s">
        <v>4949</v>
      </c>
      <c r="E2458" s="10" t="s">
        <v>944</v>
      </c>
      <c r="F2458" s="10">
        <v>2018</v>
      </c>
      <c r="G2458" s="10" t="s">
        <v>14</v>
      </c>
      <c r="H2458" s="11" t="s">
        <v>165</v>
      </c>
      <c r="I2458" s="10" t="s">
        <v>276</v>
      </c>
      <c r="J2458" s="131"/>
      <c r="K2458" s="149" t="s">
        <v>4950</v>
      </c>
    </row>
    <row r="2459" spans="1:11" ht="28.9" customHeight="1" thickTop="1" thickBot="1" x14ac:dyDescent="0.75">
      <c r="A2459" s="10">
        <v>2457</v>
      </c>
      <c r="B2459" s="57" t="str">
        <f>HYPERLINK("https://search.naver.com/search.naver?query=육사오 645 영화", "육사오 645")</f>
        <v>육사오 645</v>
      </c>
      <c r="C2459" s="8">
        <v>8.0399999999999991</v>
      </c>
      <c r="D2459" s="9" t="s">
        <v>4951</v>
      </c>
      <c r="E2459" s="6" t="s">
        <v>13</v>
      </c>
      <c r="F2459" s="6">
        <v>2022</v>
      </c>
      <c r="G2459" s="6" t="s">
        <v>14</v>
      </c>
      <c r="H2459" s="7" t="s">
        <v>91</v>
      </c>
      <c r="I2459" s="6" t="s">
        <v>150</v>
      </c>
      <c r="J2459" s="130"/>
      <c r="K2459" s="148" t="s">
        <v>4952</v>
      </c>
    </row>
    <row r="2460" spans="1:11" ht="28.9" customHeight="1" thickTop="1" thickBot="1" x14ac:dyDescent="0.75">
      <c r="A2460" s="10">
        <v>2458</v>
      </c>
      <c r="B2460" s="58" t="str">
        <f>HYPERLINK("https://search.naver.com/search.naver?query=윤희에게 영화", "윤희에게")</f>
        <v>윤희에게</v>
      </c>
      <c r="C2460" s="12">
        <v>9.2200000000000006</v>
      </c>
      <c r="D2460" s="13" t="s">
        <v>4953</v>
      </c>
      <c r="E2460" s="10" t="s">
        <v>13</v>
      </c>
      <c r="F2460" s="10">
        <v>2019</v>
      </c>
      <c r="G2460" s="10" t="s">
        <v>14</v>
      </c>
      <c r="H2460" s="11" t="s">
        <v>20</v>
      </c>
      <c r="I2460" s="10" t="s">
        <v>175</v>
      </c>
      <c r="J2460" s="131"/>
      <c r="K2460" s="149" t="s">
        <v>4954</v>
      </c>
    </row>
    <row r="2461" spans="1:11" ht="28.9" customHeight="1" thickTop="1" thickBot="1" x14ac:dyDescent="0.75">
      <c r="A2461" s="6">
        <v>2459</v>
      </c>
      <c r="B2461" s="57" t="str">
        <f>HYPERLINK("https://search.naver.com/search.naver?query=은교 영화", "은교")</f>
        <v>은교</v>
      </c>
      <c r="C2461" s="8">
        <v>7.04</v>
      </c>
      <c r="D2461" s="9" t="s">
        <v>4955</v>
      </c>
      <c r="E2461" s="6" t="s">
        <v>13</v>
      </c>
      <c r="F2461" s="6">
        <v>2012</v>
      </c>
      <c r="G2461" s="6" t="s">
        <v>14</v>
      </c>
      <c r="H2461" s="7" t="s">
        <v>20</v>
      </c>
      <c r="I2461" s="6" t="s">
        <v>85</v>
      </c>
      <c r="J2461" s="130"/>
      <c r="K2461" s="148" t="s">
        <v>4956</v>
      </c>
    </row>
    <row r="2462" spans="1:11" ht="28.9" customHeight="1" thickTop="1" thickBot="1" x14ac:dyDescent="0.75">
      <c r="A2462" s="10">
        <v>2460</v>
      </c>
      <c r="B2462" s="58" t="str">
        <f>HYPERLINK("https://search.naver.com/search.naver?query=은밀하게 위대하게 영화", "은밀하게 위대하게")</f>
        <v>은밀하게 위대하게</v>
      </c>
      <c r="C2462" s="12">
        <v>7.13</v>
      </c>
      <c r="D2462" s="13" t="s">
        <v>4957</v>
      </c>
      <c r="E2462" s="10" t="s">
        <v>13</v>
      </c>
      <c r="F2462" s="10">
        <v>2013</v>
      </c>
      <c r="G2462" s="10" t="s">
        <v>14</v>
      </c>
      <c r="H2462" s="11" t="s">
        <v>124</v>
      </c>
      <c r="I2462" s="10" t="s">
        <v>76</v>
      </c>
      <c r="J2462" s="131"/>
      <c r="K2462" s="149" t="s">
        <v>4958</v>
      </c>
    </row>
    <row r="2463" spans="1:11" ht="28.9" customHeight="1" thickTop="1" thickBot="1" x14ac:dyDescent="0.75">
      <c r="A2463" s="10">
        <v>2461</v>
      </c>
      <c r="B2463" s="57" t="str">
        <f>HYPERLINK("https://search.naver.com/search.naver?query=은밀한 유혹 영화", "은밀한 유혹")</f>
        <v>은밀한 유혹</v>
      </c>
      <c r="C2463" s="8">
        <v>6.87</v>
      </c>
      <c r="D2463" s="9" t="s">
        <v>4959</v>
      </c>
      <c r="E2463" s="6" t="s">
        <v>13</v>
      </c>
      <c r="F2463" s="6">
        <v>2015</v>
      </c>
      <c r="G2463" s="6" t="s">
        <v>14</v>
      </c>
      <c r="H2463" s="7" t="s">
        <v>54</v>
      </c>
      <c r="I2463" s="6" t="s">
        <v>150</v>
      </c>
      <c r="J2463" s="130"/>
      <c r="K2463" s="148" t="s">
        <v>4960</v>
      </c>
    </row>
    <row r="2464" spans="1:11" ht="28.9" customHeight="1" thickTop="1" thickBot="1" x14ac:dyDescent="0.75">
      <c r="A2464" s="6">
        <v>2462</v>
      </c>
      <c r="B2464" s="58" t="str">
        <f>HYPERLINK("https://search.naver.com/search.naver?query=음란서생 영화", "음란서생")</f>
        <v>음란서생</v>
      </c>
      <c r="C2464" s="12">
        <v>7.02</v>
      </c>
      <c r="D2464" s="13" t="s">
        <v>4961</v>
      </c>
      <c r="E2464" s="10" t="s">
        <v>13</v>
      </c>
      <c r="F2464" s="10">
        <v>2006</v>
      </c>
      <c r="G2464" s="10" t="s">
        <v>14</v>
      </c>
      <c r="H2464" s="11" t="s">
        <v>20</v>
      </c>
      <c r="I2464" s="10" t="s">
        <v>175</v>
      </c>
      <c r="J2464" s="131"/>
      <c r="K2464" s="149" t="s">
        <v>4962</v>
      </c>
    </row>
    <row r="2465" spans="1:11" ht="28.9" customHeight="1" thickTop="1" thickBot="1" x14ac:dyDescent="0.75">
      <c r="A2465" s="10">
        <v>2463</v>
      </c>
      <c r="B2465" s="57" t="str">
        <f>HYPERLINK("https://search.naver.com/search.naver?query=음모자 영화", "음모자")</f>
        <v>음모자</v>
      </c>
      <c r="C2465" s="8">
        <v>8.1300000000000008</v>
      </c>
      <c r="D2465" s="9" t="s">
        <v>4963</v>
      </c>
      <c r="E2465" s="6" t="s">
        <v>24</v>
      </c>
      <c r="F2465" s="6">
        <v>2010</v>
      </c>
      <c r="G2465" s="6" t="s">
        <v>14</v>
      </c>
      <c r="H2465" s="7" t="s">
        <v>20</v>
      </c>
      <c r="I2465" s="6" t="s">
        <v>141</v>
      </c>
      <c r="J2465" s="130"/>
      <c r="K2465" s="148" t="s">
        <v>1860</v>
      </c>
    </row>
    <row r="2466" spans="1:11" ht="28.9" customHeight="1" thickTop="1" thickBot="1" x14ac:dyDescent="0.75">
      <c r="A2466" s="10">
        <v>2464</v>
      </c>
      <c r="B2466" s="58" t="str">
        <f>HYPERLINK("https://search.naver.com/search.naver?query=음치클리닉 영화", "음치클리닉")</f>
        <v>음치클리닉</v>
      </c>
      <c r="C2466" s="12">
        <v>6.92</v>
      </c>
      <c r="D2466" s="13" t="s">
        <v>4964</v>
      </c>
      <c r="E2466" s="10" t="s">
        <v>13</v>
      </c>
      <c r="F2466" s="10">
        <v>2012</v>
      </c>
      <c r="G2466" s="10" t="s">
        <v>14</v>
      </c>
      <c r="H2466" s="11" t="s">
        <v>91</v>
      </c>
      <c r="I2466" s="10" t="s">
        <v>150</v>
      </c>
      <c r="J2466" s="131"/>
      <c r="K2466" s="149" t="s">
        <v>4965</v>
      </c>
    </row>
    <row r="2467" spans="1:11" ht="28.9" customHeight="1" thickTop="1" thickBot="1" x14ac:dyDescent="0.75">
      <c r="A2467" s="6">
        <v>2465</v>
      </c>
      <c r="B2467" s="57" t="str">
        <f>HYPERLINK("https://search.naver.com/search.naver?query=응징자 영화", "응징자")</f>
        <v>응징자</v>
      </c>
      <c r="C2467" s="8">
        <v>6.1</v>
      </c>
      <c r="D2467" s="9" t="s">
        <v>4966</v>
      </c>
      <c r="E2467" s="6" t="s">
        <v>24</v>
      </c>
      <c r="F2467" s="6">
        <v>2004</v>
      </c>
      <c r="G2467" s="6" t="s">
        <v>14</v>
      </c>
      <c r="H2467" s="7" t="s">
        <v>124</v>
      </c>
      <c r="I2467" s="6" t="s">
        <v>183</v>
      </c>
      <c r="J2467" s="130"/>
      <c r="K2467" s="148" t="s">
        <v>4967</v>
      </c>
    </row>
    <row r="2468" spans="1:11" ht="28.9" customHeight="1" thickTop="1" thickBot="1" x14ac:dyDescent="0.75">
      <c r="A2468" s="10">
        <v>2466</v>
      </c>
      <c r="B2468" s="58" t="str">
        <f>HYPERLINK("https://search.naver.com/search.naver?query=의뢰인 영화", "의뢰인")</f>
        <v>의뢰인</v>
      </c>
      <c r="C2468" s="12">
        <v>8.07</v>
      </c>
      <c r="D2468" s="13" t="s">
        <v>4968</v>
      </c>
      <c r="E2468" s="10" t="s">
        <v>13</v>
      </c>
      <c r="F2468" s="10">
        <v>2011</v>
      </c>
      <c r="G2468" s="10" t="s">
        <v>14</v>
      </c>
      <c r="H2468" s="11" t="s">
        <v>54</v>
      </c>
      <c r="I2468" s="10" t="s">
        <v>76</v>
      </c>
      <c r="J2468" s="131"/>
      <c r="K2468" s="149" t="s">
        <v>4969</v>
      </c>
    </row>
    <row r="2469" spans="1:11" ht="28.9" customHeight="1" thickTop="1" thickBot="1" x14ac:dyDescent="0.75">
      <c r="A2469" s="10">
        <v>2467</v>
      </c>
      <c r="B2469" s="57" t="str">
        <f>HYPERLINK("https://search.naver.com/search.naver?query=이글아이 영화", "이글아이")</f>
        <v>이글아이</v>
      </c>
      <c r="C2469" s="8">
        <v>7.98</v>
      </c>
      <c r="D2469" s="9" t="s">
        <v>4970</v>
      </c>
      <c r="E2469" s="6" t="s">
        <v>24</v>
      </c>
      <c r="F2469" s="6">
        <v>2008</v>
      </c>
      <c r="G2469" s="6" t="s">
        <v>14</v>
      </c>
      <c r="H2469" s="7" t="s">
        <v>124</v>
      </c>
      <c r="I2469" s="6" t="s">
        <v>329</v>
      </c>
      <c r="J2469" s="130"/>
      <c r="K2469" s="148" t="s">
        <v>4971</v>
      </c>
    </row>
    <row r="2470" spans="1:11" ht="28.9" customHeight="1" thickTop="1" thickBot="1" x14ac:dyDescent="0.75">
      <c r="A2470" s="6">
        <v>2468</v>
      </c>
      <c r="B2470" s="58" t="str">
        <f>HYPERLINK("https://search.naver.com/search.naver?query=이너 시티 영화", "이너 시티")</f>
        <v>이너 시티</v>
      </c>
      <c r="C2470" s="12">
        <v>6.4</v>
      </c>
      <c r="D2470" s="13" t="s">
        <v>4972</v>
      </c>
      <c r="E2470" s="10" t="s">
        <v>24</v>
      </c>
      <c r="F2470" s="10">
        <v>2017</v>
      </c>
      <c r="G2470" s="10" t="s">
        <v>14</v>
      </c>
      <c r="H2470" s="11" t="s">
        <v>20</v>
      </c>
      <c r="I2470" s="10" t="s">
        <v>150</v>
      </c>
      <c r="J2470" s="131"/>
      <c r="K2470" s="149" t="s">
        <v>4973</v>
      </c>
    </row>
    <row r="2471" spans="1:11" ht="28.9" customHeight="1" thickTop="1" thickBot="1" x14ac:dyDescent="0.75">
      <c r="A2471" s="10">
        <v>2469</v>
      </c>
      <c r="B2471" s="57" t="str">
        <f>HYPERLINK("https://search.naver.com/search.naver?query=이너프 세드 영화", "이너프 세드")</f>
        <v>이너프 세드</v>
      </c>
      <c r="C2471" s="8">
        <v>6.4</v>
      </c>
      <c r="D2471" s="9" t="s">
        <v>4974</v>
      </c>
      <c r="E2471" s="6" t="s">
        <v>24</v>
      </c>
      <c r="F2471" s="6">
        <v>2013</v>
      </c>
      <c r="G2471" s="6" t="s">
        <v>14</v>
      </c>
      <c r="H2471" s="7" t="s">
        <v>91</v>
      </c>
      <c r="I2471" s="6" t="s">
        <v>125</v>
      </c>
      <c r="J2471" s="130"/>
      <c r="K2471" s="148" t="s">
        <v>4975</v>
      </c>
    </row>
    <row r="2472" spans="1:11" ht="28.9" customHeight="1" thickTop="1" thickBot="1" x14ac:dyDescent="0.75">
      <c r="A2472" s="10">
        <v>2470</v>
      </c>
      <c r="B2472" s="58" t="str">
        <f>HYPERLINK("https://search.naver.com/search.naver?query=이레셔널 맨 영화", "이레셔널 맨")</f>
        <v>이레셔널 맨</v>
      </c>
      <c r="C2472" s="12">
        <v>8.0500000000000007</v>
      </c>
      <c r="D2472" s="13" t="s">
        <v>4976</v>
      </c>
      <c r="E2472" s="10" t="s">
        <v>24</v>
      </c>
      <c r="F2472" s="10">
        <v>2015</v>
      </c>
      <c r="G2472" s="10" t="s">
        <v>14</v>
      </c>
      <c r="H2472" s="11" t="s">
        <v>20</v>
      </c>
      <c r="I2472" s="10" t="s">
        <v>150</v>
      </c>
      <c r="J2472" s="131"/>
      <c r="K2472" s="149" t="s">
        <v>4977</v>
      </c>
    </row>
    <row r="2473" spans="1:11" ht="28.9" customHeight="1" thickTop="1" thickBot="1" x14ac:dyDescent="0.75">
      <c r="A2473" s="6">
        <v>2471</v>
      </c>
      <c r="B2473" s="57" t="str">
        <f>HYPERLINK("https://search.naver.com/search.naver?query=이름없는 새 영화", "이름없는 새")</f>
        <v>이름없는 새</v>
      </c>
      <c r="C2473" s="8">
        <v>6.43</v>
      </c>
      <c r="D2473" s="9" t="s">
        <v>4978</v>
      </c>
      <c r="E2473" s="6" t="s">
        <v>19</v>
      </c>
      <c r="F2473" s="6">
        <v>2018</v>
      </c>
      <c r="G2473" s="6" t="s">
        <v>14</v>
      </c>
      <c r="H2473" s="7" t="s">
        <v>165</v>
      </c>
      <c r="I2473" s="6" t="s">
        <v>76</v>
      </c>
      <c r="J2473" s="130"/>
      <c r="K2473" s="148" t="s">
        <v>4979</v>
      </c>
    </row>
    <row r="2474" spans="1:11" ht="28.9" customHeight="1" thickTop="1" thickBot="1" x14ac:dyDescent="0.75">
      <c r="A2474" s="10">
        <v>2472</v>
      </c>
      <c r="B2474" s="58" t="str">
        <f>HYPERLINK("https://search.naver.com/search.naver?query=이미테이션 게임 영화", "이미테이션 게임")</f>
        <v>이미테이션 게임</v>
      </c>
      <c r="C2474" s="12">
        <v>8.7100000000000009</v>
      </c>
      <c r="D2474" s="13" t="s">
        <v>4980</v>
      </c>
      <c r="E2474" s="10" t="s">
        <v>29</v>
      </c>
      <c r="F2474" s="10">
        <v>2014</v>
      </c>
      <c r="G2474" s="10" t="s">
        <v>14</v>
      </c>
      <c r="H2474" s="11" t="s">
        <v>20</v>
      </c>
      <c r="I2474" s="10" t="s">
        <v>305</v>
      </c>
      <c r="J2474" s="131"/>
      <c r="K2474" s="149" t="s">
        <v>4981</v>
      </c>
    </row>
    <row r="2475" spans="1:11" ht="28.9" customHeight="1" thickTop="1" thickBot="1" x14ac:dyDescent="0.75">
      <c r="A2475" s="10">
        <v>2473</v>
      </c>
      <c r="B2475" s="57" t="str">
        <f>HYPERLINK("https://search.naver.com/search.naver?query=이민자 영화", "이민자")</f>
        <v>이민자</v>
      </c>
      <c r="C2475" s="8">
        <v>8.23</v>
      </c>
      <c r="D2475" s="9" t="s">
        <v>884</v>
      </c>
      <c r="E2475" s="6" t="s">
        <v>24</v>
      </c>
      <c r="F2475" s="6">
        <v>2013</v>
      </c>
      <c r="G2475" s="6" t="s">
        <v>14</v>
      </c>
      <c r="H2475" s="7" t="s">
        <v>20</v>
      </c>
      <c r="I2475" s="6" t="s">
        <v>120</v>
      </c>
      <c r="J2475" s="130"/>
      <c r="K2475" s="148" t="s">
        <v>4982</v>
      </c>
    </row>
    <row r="2476" spans="1:11" ht="28.9" customHeight="1" thickTop="1" thickBot="1" x14ac:dyDescent="0.75">
      <c r="A2476" s="6">
        <v>2474</v>
      </c>
      <c r="B2476" s="58" t="str">
        <f>HYPERLINK("https://search.naver.com/search.naver?query=이번 일요일에 영화", "이번 일요일에")</f>
        <v>이번 일요일에</v>
      </c>
      <c r="C2476" s="12">
        <v>8.7899999999999991</v>
      </c>
      <c r="D2476" s="13" t="s">
        <v>4983</v>
      </c>
      <c r="E2476" s="10" t="s">
        <v>19</v>
      </c>
      <c r="F2476" s="10">
        <v>2010</v>
      </c>
      <c r="G2476" s="10" t="s">
        <v>14</v>
      </c>
      <c r="H2476" s="11" t="s">
        <v>20</v>
      </c>
      <c r="I2476" s="10" t="s">
        <v>175</v>
      </c>
      <c r="J2476" s="131"/>
      <c r="K2476" s="149" t="s">
        <v>4984</v>
      </c>
    </row>
    <row r="2477" spans="1:11" ht="28.9" customHeight="1" thickTop="1" thickBot="1" x14ac:dyDescent="0.75">
      <c r="A2477" s="10">
        <v>2475</v>
      </c>
      <c r="B2477" s="57" t="str">
        <f>HYPERLINK("https://search.naver.com/search.naver?query=이별까지 7일 영화", "이별까지 7일")</f>
        <v>이별까지 7일</v>
      </c>
      <c r="C2477" s="8">
        <v>8.18</v>
      </c>
      <c r="D2477" s="9" t="s">
        <v>4985</v>
      </c>
      <c r="E2477" s="6" t="s">
        <v>19</v>
      </c>
      <c r="F2477" s="6">
        <v>2015</v>
      </c>
      <c r="G2477" s="6" t="s">
        <v>14</v>
      </c>
      <c r="H2477" s="7" t="s">
        <v>165</v>
      </c>
      <c r="I2477" s="6" t="s">
        <v>120</v>
      </c>
      <c r="J2477" s="130"/>
      <c r="K2477" s="148" t="s">
        <v>4986</v>
      </c>
    </row>
    <row r="2478" spans="1:11" ht="28.9" customHeight="1" thickTop="1" thickBot="1" x14ac:dyDescent="0.75">
      <c r="A2478" s="10">
        <v>2476</v>
      </c>
      <c r="B2478" s="58" t="str">
        <f>HYPERLINK("https://search.naver.com/search.naver?query=이브 생 로랑 영화", "이브 생 로랑")</f>
        <v>이브 생 로랑</v>
      </c>
      <c r="C2478" s="12">
        <v>7.98</v>
      </c>
      <c r="D2478" s="13" t="s">
        <v>4987</v>
      </c>
      <c r="E2478" s="10" t="s">
        <v>310</v>
      </c>
      <c r="F2478" s="10">
        <v>2014</v>
      </c>
      <c r="G2478" s="10" t="s">
        <v>14</v>
      </c>
      <c r="H2478" s="11" t="s">
        <v>20</v>
      </c>
      <c r="I2478" s="10" t="s">
        <v>443</v>
      </c>
      <c r="J2478" s="131"/>
      <c r="K2478" s="149" t="s">
        <v>4988</v>
      </c>
    </row>
    <row r="2479" spans="1:11" ht="28.9" customHeight="1" thickTop="1" thickBot="1" x14ac:dyDescent="0.75">
      <c r="A2479" s="6">
        <v>2477</v>
      </c>
      <c r="B2479" s="57" t="str">
        <f>HYPERLINK("https://search.naver.com/search.naver?query=이상한 곶 이야기 영화", "이상한 곶 이야기")</f>
        <v>이상한 곶 이야기</v>
      </c>
      <c r="C2479" s="8">
        <v>6.4</v>
      </c>
      <c r="D2479" s="9"/>
      <c r="E2479" s="6" t="s">
        <v>19</v>
      </c>
      <c r="F2479" s="6">
        <v>2014</v>
      </c>
      <c r="G2479" s="6" t="s">
        <v>14</v>
      </c>
      <c r="H2479" s="7" t="s">
        <v>20</v>
      </c>
      <c r="I2479" s="6" t="s">
        <v>150</v>
      </c>
      <c r="J2479" s="130"/>
      <c r="K2479" s="148" t="s">
        <v>4989</v>
      </c>
    </row>
    <row r="2480" spans="1:11" ht="28.9" customHeight="1" thickTop="1" thickBot="1" x14ac:dyDescent="0.75">
      <c r="A2480" s="10">
        <v>2478</v>
      </c>
      <c r="B2480" s="58" t="str">
        <f>HYPERLINK("https://search.naver.com/search.naver?query=이상한 나라의 수학자 영화", "이상한 나라의 수학자")</f>
        <v>이상한 나라의 수학자</v>
      </c>
      <c r="C2480" s="12">
        <v>7.84</v>
      </c>
      <c r="D2480" s="13" t="s">
        <v>4990</v>
      </c>
      <c r="E2480" s="10" t="s">
        <v>13</v>
      </c>
      <c r="F2480" s="10">
        <v>2022</v>
      </c>
      <c r="G2480" s="10" t="s">
        <v>14</v>
      </c>
      <c r="H2480" s="11" t="s">
        <v>20</v>
      </c>
      <c r="I2480" s="10" t="s">
        <v>120</v>
      </c>
      <c r="J2480" s="131"/>
      <c r="K2480" s="149" t="s">
        <v>4991</v>
      </c>
    </row>
    <row r="2481" spans="1:11" ht="28.9" customHeight="1" thickTop="1" thickBot="1" x14ac:dyDescent="0.75">
      <c r="A2481" s="10">
        <v>2479</v>
      </c>
      <c r="B2481" s="57" t="str">
        <f>HYPERLINK("https://search.naver.com/search.naver?query=이스케이프 영화", "이스케이프")</f>
        <v>이스케이프</v>
      </c>
      <c r="C2481" s="8">
        <v>8.24</v>
      </c>
      <c r="D2481" s="9" t="s">
        <v>4992</v>
      </c>
      <c r="E2481" s="6" t="s">
        <v>24</v>
      </c>
      <c r="F2481" s="6">
        <v>2015</v>
      </c>
      <c r="G2481" s="6" t="s">
        <v>14</v>
      </c>
      <c r="H2481" s="7" t="s">
        <v>124</v>
      </c>
      <c r="I2481" s="6" t="s">
        <v>150</v>
      </c>
      <c r="J2481" s="130"/>
      <c r="K2481" s="148" t="s">
        <v>4993</v>
      </c>
    </row>
    <row r="2482" spans="1:11" ht="28.9" customHeight="1" thickTop="1" thickBot="1" x14ac:dyDescent="0.75">
      <c r="A2482" s="6">
        <v>2480</v>
      </c>
      <c r="B2482" s="58" t="str">
        <f>HYPERLINK("https://search.naver.com/search.naver?query=이스케이프 룸 영화", "이스케이프 룸")</f>
        <v>이스케이프 룸</v>
      </c>
      <c r="C2482" s="12">
        <v>8.06</v>
      </c>
      <c r="D2482" s="13" t="s">
        <v>4994</v>
      </c>
      <c r="E2482" s="10" t="s">
        <v>24</v>
      </c>
      <c r="F2482" s="10">
        <v>2019</v>
      </c>
      <c r="G2482" s="10" t="s">
        <v>14</v>
      </c>
      <c r="H2482" s="11" t="s">
        <v>382</v>
      </c>
      <c r="I2482" s="10" t="s">
        <v>109</v>
      </c>
      <c r="J2482" s="131"/>
      <c r="K2482" s="149" t="s">
        <v>4995</v>
      </c>
    </row>
    <row r="2483" spans="1:11" ht="28.9" customHeight="1" thickTop="1" thickBot="1" x14ac:dyDescent="0.75">
      <c r="A2483" s="10">
        <v>2481</v>
      </c>
      <c r="B2483" s="57" t="str">
        <f>HYPERLINK("https://search.naver.com/search.naver?query=이스케이프 룸 2 노웨이 아웃 영화", "이스케이프 룸 2 노웨이 아웃")</f>
        <v>이스케이프 룸 2 노웨이 아웃</v>
      </c>
      <c r="C2483" s="8">
        <v>8.06</v>
      </c>
      <c r="D2483" s="9" t="s">
        <v>4996</v>
      </c>
      <c r="E2483" s="6" t="s">
        <v>24</v>
      </c>
      <c r="F2483" s="6">
        <v>2021</v>
      </c>
      <c r="G2483" s="6" t="s">
        <v>14</v>
      </c>
      <c r="H2483" s="7" t="s">
        <v>382</v>
      </c>
      <c r="I2483" s="6" t="s">
        <v>345</v>
      </c>
      <c r="J2483" s="130"/>
      <c r="K2483" s="148" t="s">
        <v>4997</v>
      </c>
    </row>
    <row r="2484" spans="1:11" ht="28.9" customHeight="1" thickTop="1" thickBot="1" x14ac:dyDescent="0.75">
      <c r="A2484" s="10">
        <v>2482</v>
      </c>
      <c r="B2484" s="58" t="str">
        <f>HYPERLINK("https://search.naver.com/search.naver?query=이스케이프 프롬 프리토리아 영화", "이스케이프 프롬 프리토리아")</f>
        <v>이스케이프 프롬 프리토리아</v>
      </c>
      <c r="C2484" s="12">
        <v>6.4</v>
      </c>
      <c r="D2484" s="13" t="s">
        <v>4998</v>
      </c>
      <c r="E2484" s="10" t="s">
        <v>29</v>
      </c>
      <c r="F2484" s="10">
        <v>2020</v>
      </c>
      <c r="G2484" s="10" t="s">
        <v>14</v>
      </c>
      <c r="H2484" s="11" t="s">
        <v>54</v>
      </c>
      <c r="I2484" s="10" t="s">
        <v>443</v>
      </c>
      <c r="J2484" s="131"/>
      <c r="K2484" s="149" t="s">
        <v>4999</v>
      </c>
    </row>
    <row r="2485" spans="1:11" ht="28.9" customHeight="1" thickTop="1" thickBot="1" x14ac:dyDescent="0.75">
      <c r="A2485" s="6">
        <v>2483</v>
      </c>
      <c r="B2485" s="57" t="str">
        <f>HYPERLINK("https://search.naver.com/search.naver?query=이스케이프 플랜 영화", "이스케이프 플랜")</f>
        <v>이스케이프 플랜</v>
      </c>
      <c r="C2485" s="8">
        <v>2.4500000000000002</v>
      </c>
      <c r="D2485" s="9" t="s">
        <v>5000</v>
      </c>
      <c r="E2485" s="6" t="s">
        <v>24</v>
      </c>
      <c r="F2485" s="6">
        <v>2013</v>
      </c>
      <c r="G2485" s="6" t="s">
        <v>14</v>
      </c>
      <c r="H2485" s="7" t="s">
        <v>124</v>
      </c>
      <c r="I2485" s="6" t="s">
        <v>60</v>
      </c>
      <c r="J2485" s="130"/>
      <c r="K2485" s="148" t="s">
        <v>5001</v>
      </c>
    </row>
    <row r="2486" spans="1:11" ht="28.9" customHeight="1" thickTop="1" thickBot="1" x14ac:dyDescent="0.75">
      <c r="A2486" s="10">
        <v>2484</v>
      </c>
      <c r="B2486" s="58" t="str">
        <f>HYPERLINK("https://search.naver.com/search.naver?query=이스케이프파이터 영화", "이스케이프파이터")</f>
        <v>이스케이프파이터</v>
      </c>
      <c r="C2486" s="12">
        <v>6.4</v>
      </c>
      <c r="D2486" s="13" t="s">
        <v>5002</v>
      </c>
      <c r="E2486" s="10" t="s">
        <v>24</v>
      </c>
      <c r="F2486" s="10">
        <v>2017</v>
      </c>
      <c r="G2486" s="10" t="s">
        <v>14</v>
      </c>
      <c r="H2486" s="11" t="s">
        <v>124</v>
      </c>
      <c r="I2486" s="10" t="s">
        <v>150</v>
      </c>
      <c r="J2486" s="131"/>
      <c r="K2486" s="149" t="s">
        <v>5003</v>
      </c>
    </row>
    <row r="2487" spans="1:11" ht="28.9" customHeight="1" thickTop="1" thickBot="1" x14ac:dyDescent="0.75">
      <c r="A2487" s="10">
        <v>2485</v>
      </c>
      <c r="B2487" s="57" t="str">
        <f>HYPERLINK("https://search.naver.com/search.naver?query=이스턴 프라미스 영화", "이스턴 프라미스")</f>
        <v>이스턴 프라미스</v>
      </c>
      <c r="C2487" s="8">
        <v>8.2100000000000009</v>
      </c>
      <c r="D2487" s="9" t="s">
        <v>5004</v>
      </c>
      <c r="E2487" s="6" t="s">
        <v>29</v>
      </c>
      <c r="F2487" s="6">
        <v>2007</v>
      </c>
      <c r="G2487" s="6" t="s">
        <v>14</v>
      </c>
      <c r="H2487" s="7" t="s">
        <v>428</v>
      </c>
      <c r="I2487" s="6" t="s">
        <v>179</v>
      </c>
      <c r="J2487" s="130"/>
      <c r="K2487" s="148" t="s">
        <v>5005</v>
      </c>
    </row>
    <row r="2488" spans="1:11" ht="28.9" customHeight="1" thickTop="1" thickBot="1" x14ac:dyDescent="0.75">
      <c r="A2488" s="6">
        <v>2486</v>
      </c>
      <c r="B2488" s="58" t="str">
        <f>HYPERLINK("https://search.naver.com/search.naver?query=이스트 영화", "이스트")</f>
        <v>이스트</v>
      </c>
      <c r="C2488" s="12">
        <v>7.33</v>
      </c>
      <c r="D2488" s="13" t="s">
        <v>5006</v>
      </c>
      <c r="E2488" s="10" t="s">
        <v>24</v>
      </c>
      <c r="F2488" s="10">
        <v>2013</v>
      </c>
      <c r="G2488" s="10" t="s">
        <v>14</v>
      </c>
      <c r="H2488" s="11" t="s">
        <v>20</v>
      </c>
      <c r="I2488" s="10" t="s">
        <v>591</v>
      </c>
      <c r="J2488" s="131"/>
      <c r="K2488" s="149" t="s">
        <v>5007</v>
      </c>
    </row>
    <row r="2489" spans="1:11" ht="28.9" customHeight="1" thickTop="1" thickBot="1" x14ac:dyDescent="0.75">
      <c r="A2489" s="10">
        <v>2487</v>
      </c>
      <c r="B2489" s="57" t="str">
        <f>HYPERLINK("https://search.naver.com/search.naver?query=이스트 오브 더 마운틴스 영화", "이스트 오브 더 마운틴스")</f>
        <v>이스트 오브 더 마운틴스</v>
      </c>
      <c r="C2489" s="8">
        <v>6.4</v>
      </c>
      <c r="D2489" s="9" t="s">
        <v>5008</v>
      </c>
      <c r="E2489" s="6" t="s">
        <v>24</v>
      </c>
      <c r="F2489" s="6">
        <v>2021</v>
      </c>
      <c r="G2489" s="6" t="s">
        <v>14</v>
      </c>
      <c r="H2489" s="7" t="s">
        <v>20</v>
      </c>
      <c r="I2489" s="6" t="s">
        <v>150</v>
      </c>
      <c r="J2489" s="130"/>
      <c r="K2489" s="148" t="s">
        <v>5009</v>
      </c>
    </row>
    <row r="2490" spans="1:11" ht="28.9" customHeight="1" thickTop="1" thickBot="1" x14ac:dyDescent="0.75">
      <c r="A2490" s="10">
        <v>2488</v>
      </c>
      <c r="B2490" s="58" t="str">
        <f>HYPERLINK("https://search.naver.com/search.naver?query=이스트 워 영화", "이스트 워")</f>
        <v>이스트 워</v>
      </c>
      <c r="C2490" s="12">
        <v>6.4</v>
      </c>
      <c r="D2490" s="13" t="s">
        <v>5010</v>
      </c>
      <c r="E2490" s="10" t="s">
        <v>24</v>
      </c>
      <c r="F2490" s="10">
        <v>2020</v>
      </c>
      <c r="G2490" s="10" t="s">
        <v>14</v>
      </c>
      <c r="H2490" s="11" t="s">
        <v>124</v>
      </c>
      <c r="I2490" s="10" t="s">
        <v>150</v>
      </c>
      <c r="J2490" s="131"/>
      <c r="K2490" s="149" t="s">
        <v>5011</v>
      </c>
    </row>
    <row r="2491" spans="1:11" ht="28.9" customHeight="1" thickTop="1" thickBot="1" x14ac:dyDescent="0.75">
      <c r="A2491" s="6">
        <v>2489</v>
      </c>
      <c r="B2491" s="57" t="str">
        <f>HYPERLINK("https://search.naver.com/search.naver?query=이야기 영화", "이야기")</f>
        <v>이야기</v>
      </c>
      <c r="C2491" s="8">
        <v>6.4</v>
      </c>
      <c r="D2491" s="9" t="s">
        <v>5012</v>
      </c>
      <c r="E2491" s="6" t="s">
        <v>24</v>
      </c>
      <c r="F2491" s="6">
        <v>2018</v>
      </c>
      <c r="G2491" s="6" t="s">
        <v>14</v>
      </c>
      <c r="H2491" s="7" t="s">
        <v>20</v>
      </c>
      <c r="I2491" s="6" t="s">
        <v>305</v>
      </c>
      <c r="J2491" s="130"/>
      <c r="K2491" s="148" t="s">
        <v>5013</v>
      </c>
    </row>
    <row r="2492" spans="1:11" ht="28.9" customHeight="1" thickTop="1" thickBot="1" x14ac:dyDescent="0.75">
      <c r="A2492" s="10">
        <v>2490</v>
      </c>
      <c r="B2492" s="59" t="str">
        <f>HYPERLINK("https://search.naver.com/search.naver?query=이어즈 &amp; 이어즈", "이어즈 &amp; 이어즈")</f>
        <v>이어즈 &amp; 이어즈</v>
      </c>
      <c r="C2492" s="16"/>
      <c r="D2492" s="17" t="s">
        <v>5014</v>
      </c>
      <c r="E2492" s="14" t="s">
        <v>29</v>
      </c>
      <c r="F2492" s="14">
        <v>2019</v>
      </c>
      <c r="G2492" s="14" t="s">
        <v>20</v>
      </c>
      <c r="H2492" s="15" t="s">
        <v>519</v>
      </c>
      <c r="I2492" s="14" t="s">
        <v>247</v>
      </c>
      <c r="J2492" s="132"/>
      <c r="K2492" s="150" t="s">
        <v>5015</v>
      </c>
    </row>
    <row r="2493" spans="1:11" ht="28.9" customHeight="1" thickTop="1" thickBot="1" x14ac:dyDescent="0.75">
      <c r="A2493" s="10">
        <v>2491</v>
      </c>
      <c r="B2493" s="57" t="str">
        <f>HYPERLINK("https://search.naver.com/search.naver?query=이오지마에서 온 편지 영화", "이오지마에서 온 편지")</f>
        <v>이오지마에서 온 편지</v>
      </c>
      <c r="C2493" s="8">
        <v>6.89</v>
      </c>
      <c r="D2493" s="9" t="s">
        <v>5016</v>
      </c>
      <c r="E2493" s="6" t="s">
        <v>24</v>
      </c>
      <c r="F2493" s="6">
        <v>2006</v>
      </c>
      <c r="G2493" s="6" t="s">
        <v>14</v>
      </c>
      <c r="H2493" s="7" t="s">
        <v>1247</v>
      </c>
      <c r="I2493" s="6" t="s">
        <v>759</v>
      </c>
      <c r="J2493" s="130"/>
      <c r="K2493" s="148" t="s">
        <v>5017</v>
      </c>
    </row>
    <row r="2494" spans="1:11" ht="28.9" customHeight="1" thickTop="1" thickBot="1" x14ac:dyDescent="0.75">
      <c r="A2494" s="6">
        <v>2492</v>
      </c>
      <c r="B2494" s="58" t="str">
        <f>HYPERLINK("https://search.naver.com/search.naver?query=이웃사람 영화", "이웃사람")</f>
        <v>이웃사람</v>
      </c>
      <c r="C2494" s="12">
        <v>7.53</v>
      </c>
      <c r="D2494" s="13" t="s">
        <v>5018</v>
      </c>
      <c r="E2494" s="10" t="s">
        <v>13</v>
      </c>
      <c r="F2494" s="10">
        <v>2012</v>
      </c>
      <c r="G2494" s="10" t="s">
        <v>14</v>
      </c>
      <c r="H2494" s="11" t="s">
        <v>54</v>
      </c>
      <c r="I2494" s="10" t="s">
        <v>129</v>
      </c>
      <c r="J2494" s="131"/>
      <c r="K2494" s="149" t="s">
        <v>5019</v>
      </c>
    </row>
    <row r="2495" spans="1:11" ht="28.9" customHeight="1" thickTop="1" thickBot="1" x14ac:dyDescent="0.75">
      <c r="A2495" s="10">
        <v>2493</v>
      </c>
      <c r="B2495" s="57" t="str">
        <f>HYPERLINK("https://search.naver.com/search.naver?query=이웃사촌 영화", "이웃사촌")</f>
        <v>이웃사촌</v>
      </c>
      <c r="C2495" s="8">
        <v>8.3000000000000007</v>
      </c>
      <c r="D2495" s="9" t="s">
        <v>5020</v>
      </c>
      <c r="E2495" s="6" t="s">
        <v>13</v>
      </c>
      <c r="F2495" s="6">
        <v>2020</v>
      </c>
      <c r="G2495" s="6" t="s">
        <v>14</v>
      </c>
      <c r="H2495" s="7" t="s">
        <v>91</v>
      </c>
      <c r="I2495" s="6" t="s">
        <v>150</v>
      </c>
      <c r="J2495" s="130"/>
      <c r="K2495" s="148" t="s">
        <v>5021</v>
      </c>
    </row>
    <row r="2496" spans="1:11" ht="28.9" customHeight="1" thickTop="1" thickBot="1" x14ac:dyDescent="0.75">
      <c r="A2496" s="10">
        <v>2494</v>
      </c>
      <c r="B2496" s="58" t="str">
        <f>HYPERLINK("https://search.naver.com/search.naver?query=이중생활 2016", "이중생활")</f>
        <v>이중생활</v>
      </c>
      <c r="C2496" s="12"/>
      <c r="D2496" s="13" t="s">
        <v>5022</v>
      </c>
      <c r="E2496" s="10" t="s">
        <v>19</v>
      </c>
      <c r="F2496" s="10">
        <v>2016</v>
      </c>
      <c r="G2496" s="10" t="s">
        <v>14</v>
      </c>
      <c r="H2496" s="11" t="s">
        <v>20</v>
      </c>
      <c r="I2496" s="10" t="s">
        <v>105</v>
      </c>
      <c r="J2496" s="131"/>
      <c r="K2496" s="149" t="s">
        <v>5023</v>
      </c>
    </row>
    <row r="2497" spans="1:11" ht="28.9" customHeight="1" thickTop="1" thickBot="1" x14ac:dyDescent="0.75">
      <c r="A2497" s="6">
        <v>2495</v>
      </c>
      <c r="B2497" s="57" t="str">
        <f>HYPERLINK("https://search.naver.com/search.naver?query=이치 영화", "이치")</f>
        <v>이치</v>
      </c>
      <c r="C2497" s="8"/>
      <c r="D2497" s="9" t="s">
        <v>5024</v>
      </c>
      <c r="E2497" s="6" t="s">
        <v>19</v>
      </c>
      <c r="F2497" s="6">
        <v>2008</v>
      </c>
      <c r="G2497" s="6" t="s">
        <v>14</v>
      </c>
      <c r="H2497" s="7" t="s">
        <v>124</v>
      </c>
      <c r="I2497" s="6" t="s">
        <v>116</v>
      </c>
      <c r="J2497" s="130"/>
      <c r="K2497" s="148" t="s">
        <v>5025</v>
      </c>
    </row>
    <row r="2498" spans="1:11" ht="28.9" customHeight="1" thickTop="1" thickBot="1" x14ac:dyDescent="0.75">
      <c r="A2498" s="10">
        <v>2496</v>
      </c>
      <c r="B2498" s="58" t="str">
        <f>HYPERLINK("https://search.naver.com/search.naver?query=이터널 윈터 여자 포로수용소 영화", "이터널 윈터 여자 포로수용소")</f>
        <v>이터널 윈터 여자 포로수용소</v>
      </c>
      <c r="C2498" s="12">
        <v>8</v>
      </c>
      <c r="D2498" s="13" t="s">
        <v>5026</v>
      </c>
      <c r="E2498" s="10" t="s">
        <v>49</v>
      </c>
      <c r="F2498" s="10">
        <v>2019</v>
      </c>
      <c r="G2498" s="10" t="s">
        <v>14</v>
      </c>
      <c r="H2498" s="11" t="s">
        <v>20</v>
      </c>
      <c r="I2498" s="10" t="s">
        <v>150</v>
      </c>
      <c r="J2498" s="131"/>
      <c r="K2498" s="149" t="s">
        <v>5027</v>
      </c>
    </row>
    <row r="2499" spans="1:11" ht="28.9" customHeight="1" thickTop="1" thickBot="1" x14ac:dyDescent="0.75">
      <c r="A2499" s="10">
        <v>2497</v>
      </c>
      <c r="B2499" s="57" t="str">
        <f>HYPERLINK("https://search.naver.com/search.naver?query=이터널스 영화", "이터널스")</f>
        <v>이터널스</v>
      </c>
      <c r="C2499" s="8">
        <v>6.35</v>
      </c>
      <c r="D2499" s="9" t="s">
        <v>5028</v>
      </c>
      <c r="E2499" s="6" t="s">
        <v>24</v>
      </c>
      <c r="F2499" s="6">
        <v>2021</v>
      </c>
      <c r="G2499" s="6" t="s">
        <v>14</v>
      </c>
      <c r="H2499" s="7" t="s">
        <v>124</v>
      </c>
      <c r="I2499" s="6" t="s">
        <v>465</v>
      </c>
      <c r="J2499" s="130"/>
      <c r="K2499" s="148" t="s">
        <v>5029</v>
      </c>
    </row>
    <row r="2500" spans="1:11" ht="28.9" customHeight="1" thickTop="1" thickBot="1" x14ac:dyDescent="0.75">
      <c r="A2500" s="6">
        <v>2498</v>
      </c>
      <c r="B2500" s="59" t="str">
        <f>HYPERLINK("https://search.naver.com/search.naver?query=이토록 친밀한 배신자", "이토록 친밀한 배신자")</f>
        <v>이토록 친밀한 배신자</v>
      </c>
      <c r="C2500" s="16"/>
      <c r="D2500" s="17" t="s">
        <v>5030</v>
      </c>
      <c r="E2500" s="14" t="s">
        <v>13</v>
      </c>
      <c r="F2500" s="14">
        <v>2024</v>
      </c>
      <c r="G2500" s="14" t="s">
        <v>20</v>
      </c>
      <c r="H2500" s="15" t="s">
        <v>20</v>
      </c>
      <c r="I2500" s="14" t="s">
        <v>64</v>
      </c>
      <c r="J2500" s="132"/>
      <c r="K2500" s="150" t="s">
        <v>5031</v>
      </c>
    </row>
    <row r="2501" spans="1:11" ht="28.9" customHeight="1" thickTop="1" thickBot="1" x14ac:dyDescent="0.75">
      <c r="A2501" s="10">
        <v>2499</v>
      </c>
      <c r="B2501" s="57" t="str">
        <f>HYPERLINK("https://search.naver.com/search.naver?query=이프 아이 스테이 영화", "이프 아이 스테이")</f>
        <v>이프 아이 스테이</v>
      </c>
      <c r="C2501" s="8">
        <v>6.4</v>
      </c>
      <c r="D2501" s="9" t="s">
        <v>5032</v>
      </c>
      <c r="E2501" s="6" t="s">
        <v>24</v>
      </c>
      <c r="F2501" s="6">
        <v>2014</v>
      </c>
      <c r="G2501" s="6" t="s">
        <v>14</v>
      </c>
      <c r="H2501" s="7" t="s">
        <v>20</v>
      </c>
      <c r="I2501" s="6" t="s">
        <v>443</v>
      </c>
      <c r="J2501" s="130"/>
      <c r="K2501" s="148" t="s">
        <v>5033</v>
      </c>
    </row>
    <row r="2502" spans="1:11" ht="28.9" customHeight="1" thickTop="1" thickBot="1" x14ac:dyDescent="0.75">
      <c r="A2502" s="10">
        <v>2500</v>
      </c>
      <c r="B2502" s="58" t="str">
        <f>HYPERLINK("https://search.naver.com/search.naver?query=이프 온리 영화", "이프 온리")</f>
        <v>이프 온리</v>
      </c>
      <c r="C2502" s="12">
        <v>8.99</v>
      </c>
      <c r="D2502" s="13" t="s">
        <v>5034</v>
      </c>
      <c r="E2502" s="10" t="s">
        <v>24</v>
      </c>
      <c r="F2502" s="10">
        <v>2004</v>
      </c>
      <c r="G2502" s="10" t="s">
        <v>14</v>
      </c>
      <c r="H2502" s="11" t="s">
        <v>20</v>
      </c>
      <c r="I2502" s="10" t="s">
        <v>205</v>
      </c>
      <c r="J2502" s="131"/>
      <c r="K2502" s="149" t="s">
        <v>5035</v>
      </c>
    </row>
    <row r="2503" spans="1:11" ht="28.9" customHeight="1" thickTop="1" thickBot="1" x14ac:dyDescent="0.75">
      <c r="A2503" s="6">
        <v>2501</v>
      </c>
      <c r="B2503" s="57" t="str">
        <f>HYPERLINK("https://search.naver.com/search.naver?query=익스토션 영화", "익스토션")</f>
        <v>익스토션</v>
      </c>
      <c r="C2503" s="8">
        <v>9.2100000000000009</v>
      </c>
      <c r="D2503" s="9" t="s">
        <v>5036</v>
      </c>
      <c r="E2503" s="6" t="s">
        <v>24</v>
      </c>
      <c r="F2503" s="6">
        <v>2017</v>
      </c>
      <c r="G2503" s="6" t="s">
        <v>14</v>
      </c>
      <c r="H2503" s="7" t="s">
        <v>54</v>
      </c>
      <c r="I2503" s="6" t="s">
        <v>129</v>
      </c>
      <c r="J2503" s="130"/>
      <c r="K2503" s="148" t="s">
        <v>5037</v>
      </c>
    </row>
    <row r="2504" spans="1:11" ht="28.9" customHeight="1" thickTop="1" thickBot="1" x14ac:dyDescent="0.75">
      <c r="A2504" s="10">
        <v>2502</v>
      </c>
      <c r="B2504" s="58" t="str">
        <f>HYPERLINK("https://search.naver.com/search.naver?query=익스트랙티드 영화", "익스트랙티드")</f>
        <v>익스트랙티드</v>
      </c>
      <c r="C2504" s="12">
        <v>8.0500000000000007</v>
      </c>
      <c r="D2504" s="13" t="s">
        <v>5038</v>
      </c>
      <c r="E2504" s="10" t="s">
        <v>24</v>
      </c>
      <c r="F2504" s="10">
        <v>2012</v>
      </c>
      <c r="G2504" s="10" t="s">
        <v>14</v>
      </c>
      <c r="H2504" s="11" t="s">
        <v>877</v>
      </c>
      <c r="I2504" s="10" t="s">
        <v>46</v>
      </c>
      <c r="J2504" s="131"/>
      <c r="K2504" s="149" t="s">
        <v>5039</v>
      </c>
    </row>
    <row r="2505" spans="1:11" ht="28.9" customHeight="1" thickTop="1" thickBot="1" x14ac:dyDescent="0.75">
      <c r="A2505" s="10">
        <v>2503</v>
      </c>
      <c r="B2505" s="57" t="str">
        <f>HYPERLINK("https://search.naver.com/search.naver?query=익스트렉션 영화", "익스트렉션")</f>
        <v>익스트렉션</v>
      </c>
      <c r="C2505" s="8">
        <v>8.49</v>
      </c>
      <c r="D2505" s="9" t="s">
        <v>5040</v>
      </c>
      <c r="E2505" s="6" t="s">
        <v>24</v>
      </c>
      <c r="F2505" s="6">
        <v>2015</v>
      </c>
      <c r="G2505" s="6" t="s">
        <v>14</v>
      </c>
      <c r="H2505" s="7" t="s">
        <v>124</v>
      </c>
      <c r="I2505" s="6" t="s">
        <v>2299</v>
      </c>
      <c r="J2505" s="130"/>
      <c r="K2505" s="148" t="s">
        <v>5041</v>
      </c>
    </row>
    <row r="2506" spans="1:11" ht="28.9" customHeight="1" thickTop="1" thickBot="1" x14ac:dyDescent="0.75">
      <c r="A2506" s="6">
        <v>2504</v>
      </c>
      <c r="B2506" s="58" t="str">
        <f>HYPERLINK("https://search.naver.com/search.naver?query=익스펜더블 2 영화", "익스펜더블 2")</f>
        <v>익스펜더블 2</v>
      </c>
      <c r="C2506" s="12">
        <v>7.69</v>
      </c>
      <c r="D2506" s="13" t="s">
        <v>5042</v>
      </c>
      <c r="E2506" s="10" t="s">
        <v>24</v>
      </c>
      <c r="F2506" s="10">
        <v>2012</v>
      </c>
      <c r="G2506" s="10" t="s">
        <v>14</v>
      </c>
      <c r="H2506" s="11" t="s">
        <v>124</v>
      </c>
      <c r="I2506" s="10" t="s">
        <v>276</v>
      </c>
      <c r="J2506" s="131"/>
      <c r="K2506" s="149" t="s">
        <v>5043</v>
      </c>
    </row>
    <row r="2507" spans="1:11" ht="28.9" customHeight="1" thickTop="1" thickBot="1" x14ac:dyDescent="0.75">
      <c r="A2507" s="10">
        <v>2505</v>
      </c>
      <c r="B2507" s="57" t="str">
        <f>HYPERLINK("https://search.naver.com/search.naver?query=인 굿 컴퍼니 영화", "인 굿 컴퍼니")</f>
        <v>인 굿 컴퍼니</v>
      </c>
      <c r="C2507" s="8">
        <v>7.82</v>
      </c>
      <c r="D2507" s="9" t="s">
        <v>5044</v>
      </c>
      <c r="E2507" s="6" t="s">
        <v>24</v>
      </c>
      <c r="F2507" s="6">
        <v>2004</v>
      </c>
      <c r="G2507" s="6" t="s">
        <v>14</v>
      </c>
      <c r="H2507" s="7" t="s">
        <v>91</v>
      </c>
      <c r="I2507" s="6" t="s">
        <v>187</v>
      </c>
      <c r="J2507" s="130"/>
      <c r="K2507" s="148" t="s">
        <v>5045</v>
      </c>
    </row>
    <row r="2508" spans="1:11" ht="28.9" customHeight="1" thickTop="1" thickBot="1" x14ac:dyDescent="0.75">
      <c r="A2508" s="10">
        <v>2506</v>
      </c>
      <c r="B2508" s="58" t="str">
        <f>HYPERLINK("https://search.naver.com/search.naver?query=인 더 더스트 영화", "인 더 더스트")</f>
        <v>인 더 더스트</v>
      </c>
      <c r="C2508" s="12">
        <v>5.58</v>
      </c>
      <c r="D2508" s="13" t="s">
        <v>5046</v>
      </c>
      <c r="E2508" s="10" t="s">
        <v>310</v>
      </c>
      <c r="F2508" s="10">
        <v>2018</v>
      </c>
      <c r="G2508" s="10" t="s">
        <v>14</v>
      </c>
      <c r="H2508" s="11" t="s">
        <v>20</v>
      </c>
      <c r="I2508" s="10" t="s">
        <v>150</v>
      </c>
      <c r="J2508" s="131"/>
      <c r="K2508" s="149" t="s">
        <v>5047</v>
      </c>
    </row>
    <row r="2509" spans="1:11" ht="28.9" customHeight="1" thickTop="1" thickBot="1" x14ac:dyDescent="0.75">
      <c r="A2509" s="6">
        <v>2507</v>
      </c>
      <c r="B2509" s="57" t="str">
        <f>HYPERLINK("https://search.naver.com/search.naver?query=인 더 랜드 오브 세인츠 앤드 시너스 영화", "인 더 랜드 오브 세인츠 앤드 시너스")</f>
        <v>인 더 랜드 오브 세인츠 앤드 시너스</v>
      </c>
      <c r="C2509" s="8"/>
      <c r="D2509" s="9" t="s">
        <v>5048</v>
      </c>
      <c r="E2509" s="6" t="s">
        <v>944</v>
      </c>
      <c r="F2509" s="6">
        <v>2023</v>
      </c>
      <c r="G2509" s="6" t="s">
        <v>14</v>
      </c>
      <c r="H2509" s="7" t="s">
        <v>124</v>
      </c>
      <c r="I2509" s="6" t="s">
        <v>443</v>
      </c>
      <c r="J2509" s="130"/>
      <c r="K2509" s="148" t="s">
        <v>5049</v>
      </c>
    </row>
    <row r="2510" spans="1:11" ht="28.9" customHeight="1" thickTop="1" thickBot="1" x14ac:dyDescent="0.75">
      <c r="A2510" s="10">
        <v>2508</v>
      </c>
      <c r="B2510" s="58" t="str">
        <f>HYPERLINK("https://search.naver.com/search.naver?query=인 더 하우스 영화", "인 더 하우스")</f>
        <v>인 더 하우스</v>
      </c>
      <c r="C2510" s="12">
        <v>8.3800000000000008</v>
      </c>
      <c r="D2510" s="13" t="s">
        <v>5050</v>
      </c>
      <c r="E2510" s="10" t="s">
        <v>310</v>
      </c>
      <c r="F2510" s="10">
        <v>2012</v>
      </c>
      <c r="G2510" s="10" t="s">
        <v>14</v>
      </c>
      <c r="H2510" s="11" t="s">
        <v>20</v>
      </c>
      <c r="I2510" s="10" t="s">
        <v>175</v>
      </c>
      <c r="J2510" s="131"/>
      <c r="K2510" s="149" t="s">
        <v>5051</v>
      </c>
    </row>
    <row r="2511" spans="1:11" ht="28.9" customHeight="1" thickTop="1" thickBot="1" x14ac:dyDescent="0.75">
      <c r="A2511" s="10">
        <v>2509</v>
      </c>
      <c r="B2511" s="57" t="str">
        <f>HYPERLINK("https://search.naver.com/search.naver?query=인 디 아일 영화", "인 디 아일")</f>
        <v>인 디 아일</v>
      </c>
      <c r="C2511" s="8">
        <v>8.65</v>
      </c>
      <c r="D2511" s="9" t="s">
        <v>5052</v>
      </c>
      <c r="E2511" s="6" t="s">
        <v>136</v>
      </c>
      <c r="F2511" s="6">
        <v>2018</v>
      </c>
      <c r="G2511" s="6" t="s">
        <v>14</v>
      </c>
      <c r="H2511" s="7" t="s">
        <v>20</v>
      </c>
      <c r="I2511" s="6" t="s">
        <v>316</v>
      </c>
      <c r="J2511" s="130"/>
      <c r="K2511" s="148" t="s">
        <v>5053</v>
      </c>
    </row>
    <row r="2512" spans="1:11" ht="28.9" customHeight="1" thickTop="1" thickBot="1" x14ac:dyDescent="0.75">
      <c r="A2512" s="6">
        <v>2510</v>
      </c>
      <c r="B2512" s="58" t="str">
        <f>HYPERLINK("https://search.naver.com/search.naver?query=인 어 베러 월드 영화", "인 어 베러 월드")</f>
        <v>인 어 베러 월드</v>
      </c>
      <c r="C2512" s="12">
        <v>8.81</v>
      </c>
      <c r="D2512" s="13" t="s">
        <v>5054</v>
      </c>
      <c r="E2512" s="10" t="s">
        <v>161</v>
      </c>
      <c r="F2512" s="10">
        <v>2010</v>
      </c>
      <c r="G2512" s="10" t="s">
        <v>14</v>
      </c>
      <c r="H2512" s="11" t="s">
        <v>20</v>
      </c>
      <c r="I2512" s="10" t="s">
        <v>329</v>
      </c>
      <c r="J2512" s="131"/>
      <c r="K2512" s="149" t="s">
        <v>5055</v>
      </c>
    </row>
    <row r="2513" spans="1:11" ht="28.9" customHeight="1" thickTop="1" thickBot="1" x14ac:dyDescent="0.75">
      <c r="A2513" s="10">
        <v>2511</v>
      </c>
      <c r="B2513" s="57" t="str">
        <f>HYPERLINK("https://search.naver.com/search.naver?query=인 유어 아이즈 영화", "인 유어 아이즈")</f>
        <v>인 유어 아이즈</v>
      </c>
      <c r="C2513" s="8"/>
      <c r="D2513" s="9" t="s">
        <v>5056</v>
      </c>
      <c r="E2513" s="6" t="s">
        <v>24</v>
      </c>
      <c r="F2513" s="6">
        <v>2014</v>
      </c>
      <c r="G2513" s="6" t="s">
        <v>14</v>
      </c>
      <c r="H2513" s="7" t="s">
        <v>165</v>
      </c>
      <c r="I2513" s="6" t="s">
        <v>443</v>
      </c>
      <c r="J2513" s="130"/>
      <c r="K2513" s="148" t="s">
        <v>5057</v>
      </c>
    </row>
    <row r="2514" spans="1:11" ht="28.9" customHeight="1" thickTop="1" thickBot="1" x14ac:dyDescent="0.75">
      <c r="A2514" s="10">
        <v>2512</v>
      </c>
      <c r="B2514" s="59" t="str">
        <f>HYPERLINK("https://search.naver.com/search.naver?query=인간실격", "인간실격")</f>
        <v>인간실격</v>
      </c>
      <c r="C2514" s="16"/>
      <c r="D2514" s="17" t="s">
        <v>5058</v>
      </c>
      <c r="E2514" s="14" t="s">
        <v>13</v>
      </c>
      <c r="F2514" s="14">
        <v>2021</v>
      </c>
      <c r="G2514" s="14" t="s">
        <v>20</v>
      </c>
      <c r="H2514" s="15" t="s">
        <v>20</v>
      </c>
      <c r="I2514" s="14" t="s">
        <v>825</v>
      </c>
      <c r="J2514" s="132"/>
      <c r="K2514" s="150" t="s">
        <v>2250</v>
      </c>
    </row>
    <row r="2515" spans="1:11" ht="28.9" customHeight="1" thickTop="1" thickBot="1" x14ac:dyDescent="0.75">
      <c r="A2515" s="6">
        <v>2513</v>
      </c>
      <c r="B2515" s="57" t="str">
        <f>HYPERLINK("https://search.naver.com/search.naver?query=인간중독 영화", "인간중독")</f>
        <v>인간중독</v>
      </c>
      <c r="C2515" s="8">
        <v>6.65</v>
      </c>
      <c r="D2515" s="9" t="s">
        <v>5059</v>
      </c>
      <c r="E2515" s="6" t="s">
        <v>13</v>
      </c>
      <c r="F2515" s="6">
        <v>2014</v>
      </c>
      <c r="G2515" s="6" t="s">
        <v>14</v>
      </c>
      <c r="H2515" s="7" t="s">
        <v>20</v>
      </c>
      <c r="I2515" s="6" t="s">
        <v>150</v>
      </c>
      <c r="J2515" s="130"/>
      <c r="K2515" s="148" t="s">
        <v>5060</v>
      </c>
    </row>
    <row r="2516" spans="1:11" s="87" customFormat="1" ht="28.9" customHeight="1" thickTop="1" thickBot="1" x14ac:dyDescent="0.75">
      <c r="A2516" s="96">
        <v>2514</v>
      </c>
      <c r="B2516" s="97" t="str">
        <f>HYPERLINK("https://search.naver.com/search.naver?query=일곱 개의 대륙, 하나의 지구 다큐", "일곱 개의 대륙, 하나의 지구")</f>
        <v>일곱 개의 대륙, 하나의 지구</v>
      </c>
      <c r="C2516" s="98"/>
      <c r="D2516" s="99" t="s">
        <v>5061</v>
      </c>
      <c r="E2516" s="96" t="s">
        <v>29</v>
      </c>
      <c r="F2516" s="96">
        <v>2019</v>
      </c>
      <c r="G2516" s="96" t="s">
        <v>5062</v>
      </c>
      <c r="H2516" s="100" t="s">
        <v>5062</v>
      </c>
      <c r="I2516" s="96" t="s">
        <v>5063</v>
      </c>
      <c r="J2516" s="136"/>
      <c r="K2516" s="156" t="s">
        <v>5064</v>
      </c>
    </row>
    <row r="2517" spans="1:11" ht="28.9" customHeight="1" thickTop="1" thickBot="1" x14ac:dyDescent="0.75">
      <c r="A2517" s="10">
        <v>2515</v>
      </c>
      <c r="B2517" s="57" t="str">
        <f>HYPERLINK("https://search.naver.com/search.naver?query=인디아나 존스 운명의 다이얼 영화", "인디아나 존스-운명의 다이얼")</f>
        <v>인디아나 존스-운명의 다이얼</v>
      </c>
      <c r="C2517" s="8">
        <v>7.28</v>
      </c>
      <c r="D2517" s="9" t="s">
        <v>5065</v>
      </c>
      <c r="E2517" s="6" t="s">
        <v>24</v>
      </c>
      <c r="F2517" s="6">
        <v>2023</v>
      </c>
      <c r="G2517" s="6" t="s">
        <v>14</v>
      </c>
      <c r="H2517" s="7" t="s">
        <v>124</v>
      </c>
      <c r="I2517" s="6" t="s">
        <v>707</v>
      </c>
      <c r="J2517" s="130"/>
      <c r="K2517" s="148" t="s">
        <v>5066</v>
      </c>
    </row>
    <row r="2518" spans="1:11" ht="28.9" customHeight="1" thickTop="1" thickBot="1" x14ac:dyDescent="0.75">
      <c r="A2518" s="6">
        <v>2516</v>
      </c>
      <c r="B2518" s="58" t="str">
        <f>HYPERLINK("https://search.naver.com/search.naver?query=인디펜던스 데이 리써전스 영화", "인디펜던스 데이 - 리써전스")</f>
        <v>인디펜던스 데이 - 리써전스</v>
      </c>
      <c r="C2518" s="12">
        <v>7.35</v>
      </c>
      <c r="D2518" s="13" t="s">
        <v>5067</v>
      </c>
      <c r="E2518" s="10" t="s">
        <v>24</v>
      </c>
      <c r="F2518" s="10">
        <v>2016</v>
      </c>
      <c r="G2518" s="10" t="s">
        <v>14</v>
      </c>
      <c r="H2518" s="11" t="s">
        <v>877</v>
      </c>
      <c r="I2518" s="10" t="s">
        <v>116</v>
      </c>
      <c r="J2518" s="131"/>
      <c r="K2518" s="149" t="s">
        <v>5068</v>
      </c>
    </row>
    <row r="2519" spans="1:11" ht="28.9" customHeight="1" thickTop="1" thickBot="1" x14ac:dyDescent="0.75">
      <c r="A2519" s="10">
        <v>2517</v>
      </c>
      <c r="B2519" s="57" t="str">
        <f>HYPERLINK("https://search.naver.com/search.naver?query=인베이젼 영화", "인베이젼")</f>
        <v>인베이젼</v>
      </c>
      <c r="C2519" s="8">
        <v>7.4</v>
      </c>
      <c r="D2519" s="9" t="s">
        <v>5069</v>
      </c>
      <c r="E2519" s="6" t="s">
        <v>24</v>
      </c>
      <c r="F2519" s="6">
        <v>2007</v>
      </c>
      <c r="G2519" s="6" t="s">
        <v>14</v>
      </c>
      <c r="H2519" s="7" t="s">
        <v>877</v>
      </c>
      <c r="I2519" s="6" t="s">
        <v>109</v>
      </c>
      <c r="J2519" s="130"/>
      <c r="K2519" s="148" t="s">
        <v>5070</v>
      </c>
    </row>
    <row r="2520" spans="1:11" ht="28.9" customHeight="1" thickTop="1" thickBot="1" x14ac:dyDescent="0.75">
      <c r="A2520" s="10">
        <v>2518</v>
      </c>
      <c r="B2520" s="58" t="str">
        <f>HYPERLINK("https://search.naver.com/search.naver?query=인비저블 게스트 영화", "인비저블 게스트")</f>
        <v>인비저블 게스트</v>
      </c>
      <c r="C2520" s="12">
        <v>8.81</v>
      </c>
      <c r="D2520" s="13" t="s">
        <v>5071</v>
      </c>
      <c r="E2520" s="10" t="s">
        <v>37</v>
      </c>
      <c r="F2520" s="10">
        <v>2016</v>
      </c>
      <c r="G2520" s="10" t="s">
        <v>14</v>
      </c>
      <c r="H2520" s="11" t="s">
        <v>54</v>
      </c>
      <c r="I2520" s="10" t="s">
        <v>443</v>
      </c>
      <c r="J2520" s="131"/>
      <c r="K2520" s="149" t="s">
        <v>5072</v>
      </c>
    </row>
    <row r="2521" spans="1:11" ht="28.9" customHeight="1" thickTop="1" thickBot="1" x14ac:dyDescent="0.75">
      <c r="A2521" s="6">
        <v>2519</v>
      </c>
      <c r="B2521" s="57" t="str">
        <f>HYPERLINK("https://search.naver.com/search.naver?query=인비저블맨 영화", "인비저블맨")</f>
        <v>인비저블맨</v>
      </c>
      <c r="C2521" s="8">
        <v>6.4</v>
      </c>
      <c r="D2521" s="9" t="s">
        <v>5073</v>
      </c>
      <c r="E2521" s="6" t="s">
        <v>24</v>
      </c>
      <c r="F2521" s="6">
        <v>2020</v>
      </c>
      <c r="G2521" s="6" t="s">
        <v>14</v>
      </c>
      <c r="H2521" s="7" t="s">
        <v>382</v>
      </c>
      <c r="I2521" s="6" t="s">
        <v>183</v>
      </c>
      <c r="J2521" s="130"/>
      <c r="K2521" s="148" t="s">
        <v>5074</v>
      </c>
    </row>
    <row r="2522" spans="1:11" ht="28.9" customHeight="1" thickTop="1" thickBot="1" x14ac:dyDescent="0.75">
      <c r="A2522" s="10">
        <v>2520</v>
      </c>
      <c r="B2522" s="58" t="str">
        <f>HYPERLINK("https://search.naver.com/search.naver?query=인빈서블 2006", "인빈서블")</f>
        <v>인빈서블</v>
      </c>
      <c r="C2522" s="12">
        <v>8.67</v>
      </c>
      <c r="D2522" s="13" t="s">
        <v>5075</v>
      </c>
      <c r="E2522" s="10" t="s">
        <v>24</v>
      </c>
      <c r="F2522" s="10">
        <v>2006</v>
      </c>
      <c r="G2522" s="10" t="s">
        <v>14</v>
      </c>
      <c r="H2522" s="11" t="s">
        <v>20</v>
      </c>
      <c r="I2522" s="10" t="s">
        <v>242</v>
      </c>
      <c r="J2522" s="131"/>
      <c r="K2522" s="149" t="s">
        <v>5076</v>
      </c>
    </row>
    <row r="2523" spans="1:11" ht="28.9" customHeight="1" thickTop="1" thickBot="1" x14ac:dyDescent="0.75">
      <c r="A2523" s="10">
        <v>2521</v>
      </c>
      <c r="B2523" s="57" t="str">
        <f>HYPERLINK("https://search.naver.com/search.naver?query=인사이드 링 항공기를 훔쳐라 영화", "인사이드 링 - 항공기를 훔쳐라")</f>
        <v>인사이드 링 - 항공기를 훔쳐라</v>
      </c>
      <c r="C2523" s="8">
        <v>5.17</v>
      </c>
      <c r="D2523" s="9" t="s">
        <v>5077</v>
      </c>
      <c r="E2523" s="6" t="s">
        <v>24</v>
      </c>
      <c r="F2523" s="6">
        <v>2009</v>
      </c>
      <c r="G2523" s="6" t="s">
        <v>14</v>
      </c>
      <c r="H2523" s="7" t="s">
        <v>124</v>
      </c>
      <c r="I2523" s="6" t="s">
        <v>150</v>
      </c>
      <c r="J2523" s="130"/>
      <c r="K2523" s="148" t="s">
        <v>5078</v>
      </c>
    </row>
    <row r="2524" spans="1:11" ht="28.9" customHeight="1" thickTop="1" thickBot="1" x14ac:dyDescent="0.75">
      <c r="A2524" s="6">
        <v>2522</v>
      </c>
      <c r="B2524" s="58" t="str">
        <f>HYPERLINK("https://search.naver.com/search.naver?query=인사이드 맨", "인사이드 맨")</f>
        <v>인사이드 맨</v>
      </c>
      <c r="C2524" s="12">
        <v>7.65</v>
      </c>
      <c r="D2524" s="13" t="s">
        <v>5079</v>
      </c>
      <c r="E2524" s="10" t="s">
        <v>24</v>
      </c>
      <c r="F2524" s="10">
        <v>2006</v>
      </c>
      <c r="G2524" s="10" t="s">
        <v>14</v>
      </c>
      <c r="H2524" s="11" t="s">
        <v>428</v>
      </c>
      <c r="I2524" s="10" t="s">
        <v>85</v>
      </c>
      <c r="J2524" s="131"/>
      <c r="K2524" s="149" t="s">
        <v>5080</v>
      </c>
    </row>
    <row r="2525" spans="1:11" ht="28.9" customHeight="1" thickTop="1" thickBot="1" x14ac:dyDescent="0.75">
      <c r="A2525" s="10">
        <v>2523</v>
      </c>
      <c r="B2525" s="59" t="str">
        <f>HYPERLINK("https://search.naver.com/search.naver?query=인사이드 맨 영화", "인사이드 맨")</f>
        <v>인사이드 맨</v>
      </c>
      <c r="C2525" s="16"/>
      <c r="D2525" s="17" t="s">
        <v>5081</v>
      </c>
      <c r="E2525" s="14" t="s">
        <v>29</v>
      </c>
      <c r="F2525" s="14">
        <v>2022</v>
      </c>
      <c r="G2525" s="14" t="s">
        <v>20</v>
      </c>
      <c r="H2525" s="15" t="s">
        <v>20</v>
      </c>
      <c r="I2525" s="14" t="s">
        <v>1467</v>
      </c>
      <c r="J2525" s="132"/>
      <c r="K2525" s="150" t="s">
        <v>5082</v>
      </c>
    </row>
    <row r="2526" spans="1:11" ht="28.9" customHeight="1" thickTop="1" thickBot="1" x14ac:dyDescent="0.75">
      <c r="A2526" s="10">
        <v>2524</v>
      </c>
      <c r="B2526" s="58" t="str">
        <f>HYPERLINK("https://search.naver.com/search.naver?query=인생1994", "인생")</f>
        <v>인생</v>
      </c>
      <c r="C2526" s="12">
        <v>9.43</v>
      </c>
      <c r="D2526" s="13" t="s">
        <v>5083</v>
      </c>
      <c r="E2526" s="10" t="s">
        <v>186</v>
      </c>
      <c r="F2526" s="10">
        <v>1995</v>
      </c>
      <c r="G2526" s="10" t="s">
        <v>14</v>
      </c>
      <c r="H2526" s="11" t="s">
        <v>20</v>
      </c>
      <c r="I2526" s="10" t="s">
        <v>558</v>
      </c>
      <c r="J2526" s="131"/>
      <c r="K2526" s="149" t="s">
        <v>5084</v>
      </c>
    </row>
    <row r="2527" spans="1:11" ht="28.9" customHeight="1" thickTop="1" thickBot="1" x14ac:dyDescent="0.75">
      <c r="A2527" s="6">
        <v>2525</v>
      </c>
      <c r="B2527" s="57" t="str">
        <f>HYPERLINK("https://search.naver.com/search.naver?query=인생대사 영화", "인생대사")</f>
        <v>인생대사</v>
      </c>
      <c r="C2527" s="8">
        <v>9.58</v>
      </c>
      <c r="D2527" s="9" t="s">
        <v>5085</v>
      </c>
      <c r="E2527" s="6" t="s">
        <v>186</v>
      </c>
      <c r="F2527" s="6">
        <v>2022</v>
      </c>
      <c r="G2527" s="6" t="s">
        <v>14</v>
      </c>
      <c r="H2527" s="7" t="s">
        <v>20</v>
      </c>
      <c r="I2527" s="6" t="s">
        <v>429</v>
      </c>
      <c r="J2527" s="130"/>
      <c r="K2527" s="148" t="s">
        <v>5086</v>
      </c>
    </row>
    <row r="2528" spans="1:11" ht="28.9" customHeight="1" thickTop="1" thickBot="1" x14ac:dyDescent="0.75">
      <c r="A2528" s="10">
        <v>2526</v>
      </c>
      <c r="B2528" s="58" t="str">
        <f>HYPERLINK("https://search.naver.com/search.naver?query=인생은 아름다워 영화", "인생은 아름다워")</f>
        <v>인생은 아름다워</v>
      </c>
      <c r="C2528" s="12">
        <v>9.1999999999999993</v>
      </c>
      <c r="D2528" s="13" t="s">
        <v>5087</v>
      </c>
      <c r="E2528" s="10" t="s">
        <v>2001</v>
      </c>
      <c r="F2528" s="10">
        <v>1997</v>
      </c>
      <c r="G2528" s="10" t="s">
        <v>14</v>
      </c>
      <c r="H2528" s="11" t="s">
        <v>20</v>
      </c>
      <c r="I2528" s="10" t="s">
        <v>591</v>
      </c>
      <c r="J2528" s="131"/>
      <c r="K2528" s="149" t="s">
        <v>5088</v>
      </c>
    </row>
    <row r="2529" spans="1:11" ht="28.9" customHeight="1" thickTop="1" thickBot="1" x14ac:dyDescent="0.75">
      <c r="A2529" s="10">
        <v>2527</v>
      </c>
      <c r="B2529" s="57" t="str">
        <f>HYPERLINK("https://search.naver.com/search.naver?query=인센디어리 영화", "인센디어리")</f>
        <v>인센디어리</v>
      </c>
      <c r="C2529" s="8"/>
      <c r="D2529" s="9" t="s">
        <v>5089</v>
      </c>
      <c r="E2529" s="6" t="s">
        <v>29</v>
      </c>
      <c r="F2529" s="6">
        <v>2008</v>
      </c>
      <c r="G2529" s="6" t="s">
        <v>14</v>
      </c>
      <c r="H2529" s="7" t="s">
        <v>20</v>
      </c>
      <c r="I2529" s="6" t="s">
        <v>80</v>
      </c>
      <c r="J2529" s="130"/>
      <c r="K2529" s="148" t="s">
        <v>5090</v>
      </c>
    </row>
    <row r="2530" spans="1:11" ht="28.9" customHeight="1" thickTop="1" thickBot="1" x14ac:dyDescent="0.75">
      <c r="A2530" s="6">
        <v>2528</v>
      </c>
      <c r="B2530" s="58" t="str">
        <f>HYPERLINK("https://search.naver.com/search.naver?query=인셉션 영화", "인셉션")</f>
        <v>인셉션</v>
      </c>
      <c r="C2530" s="12">
        <v>9.4600000000000009</v>
      </c>
      <c r="D2530" s="13" t="s">
        <v>5091</v>
      </c>
      <c r="E2530" s="10" t="s">
        <v>24</v>
      </c>
      <c r="F2530" s="10">
        <v>2010</v>
      </c>
      <c r="G2530" s="10" t="s">
        <v>14</v>
      </c>
      <c r="H2530" s="11" t="s">
        <v>124</v>
      </c>
      <c r="I2530" s="10" t="s">
        <v>34</v>
      </c>
      <c r="J2530" s="131"/>
      <c r="K2530" s="149" t="s">
        <v>5092</v>
      </c>
    </row>
    <row r="2531" spans="1:11" ht="28.9" customHeight="1" thickTop="1" thickBot="1" x14ac:dyDescent="0.75">
      <c r="A2531" s="10">
        <v>2529</v>
      </c>
      <c r="B2531" s="57" t="str">
        <f>HYPERLINK("https://search.naver.com/search.naver?query=인스턴트 패밀리 영화", "인스턴트 패밀리")</f>
        <v>인스턴트 패밀리</v>
      </c>
      <c r="C2531" s="8">
        <v>9.58</v>
      </c>
      <c r="D2531" s="9" t="s">
        <v>5093</v>
      </c>
      <c r="E2531" s="6" t="s">
        <v>24</v>
      </c>
      <c r="F2531" s="6">
        <v>2018</v>
      </c>
      <c r="G2531" s="6" t="s">
        <v>14</v>
      </c>
      <c r="H2531" s="7" t="s">
        <v>91</v>
      </c>
      <c r="I2531" s="6" t="s">
        <v>329</v>
      </c>
      <c r="J2531" s="130"/>
      <c r="K2531" s="148" t="s">
        <v>5094</v>
      </c>
    </row>
    <row r="2532" spans="1:11" ht="28.9" customHeight="1" thickTop="1" thickBot="1" x14ac:dyDescent="0.75">
      <c r="A2532" s="10">
        <v>2530</v>
      </c>
      <c r="B2532" s="58" t="str">
        <f>HYPERLINK("https://search.naver.com/search.naver?query=인썸니아 영화", "인썸니아")</f>
        <v>인썸니아</v>
      </c>
      <c r="C2532" s="12">
        <v>8.09</v>
      </c>
      <c r="D2532" s="13" t="s">
        <v>5095</v>
      </c>
      <c r="E2532" s="10" t="s">
        <v>24</v>
      </c>
      <c r="F2532" s="10">
        <v>2002</v>
      </c>
      <c r="G2532" s="10" t="s">
        <v>14</v>
      </c>
      <c r="H2532" s="11" t="s">
        <v>54</v>
      </c>
      <c r="I2532" s="10" t="s">
        <v>329</v>
      </c>
      <c r="J2532" s="131"/>
      <c r="K2532" s="149" t="s">
        <v>5096</v>
      </c>
    </row>
    <row r="2533" spans="1:11" ht="28.9" customHeight="1" thickTop="1" thickBot="1" x14ac:dyDescent="0.75">
      <c r="A2533" s="6">
        <v>2531</v>
      </c>
      <c r="B2533" s="57" t="str">
        <f>HYPERLINK("https://search.naver.com/search.naver?query=인어가 잠든 집 영화", "인어가 잠든 집")</f>
        <v>인어가 잠든 집</v>
      </c>
      <c r="C2533" s="8">
        <v>7.08</v>
      </c>
      <c r="D2533" s="9" t="s">
        <v>5097</v>
      </c>
      <c r="E2533" s="6" t="s">
        <v>19</v>
      </c>
      <c r="F2533" s="6">
        <v>2022</v>
      </c>
      <c r="G2533" s="6" t="s">
        <v>14</v>
      </c>
      <c r="H2533" s="7" t="s">
        <v>20</v>
      </c>
      <c r="I2533" s="6" t="s">
        <v>150</v>
      </c>
      <c r="J2533" s="130"/>
      <c r="K2533" s="148" t="s">
        <v>5098</v>
      </c>
    </row>
    <row r="2534" spans="1:11" ht="28.9" customHeight="1" thickTop="1" thickBot="1" x14ac:dyDescent="0.75">
      <c r="A2534" s="10">
        <v>2532</v>
      </c>
      <c r="B2534" s="58" t="str">
        <f>HYPERLINK("https://search.naver.com/search.naver?query=인질 영화", "인질")</f>
        <v>인질</v>
      </c>
      <c r="C2534" s="12">
        <v>7.01</v>
      </c>
      <c r="D2534" s="13" t="s">
        <v>5099</v>
      </c>
      <c r="E2534" s="10" t="s">
        <v>13</v>
      </c>
      <c r="F2534" s="10">
        <v>2021</v>
      </c>
      <c r="G2534" s="10" t="s">
        <v>14</v>
      </c>
      <c r="H2534" s="11" t="s">
        <v>124</v>
      </c>
      <c r="I2534" s="10" t="s">
        <v>468</v>
      </c>
      <c r="J2534" s="131"/>
      <c r="K2534" s="149" t="s">
        <v>5100</v>
      </c>
    </row>
    <row r="2535" spans="1:11" ht="28.9" customHeight="1" thickTop="1" thickBot="1" x14ac:dyDescent="0.75">
      <c r="A2535" s="10">
        <v>2533</v>
      </c>
      <c r="B2535" s="57" t="str">
        <f>HYPERLINK("https://search.naver.com/search.naver?query=인타임 영화", "인타임")</f>
        <v>인타임</v>
      </c>
      <c r="C2535" s="8">
        <v>7.42</v>
      </c>
      <c r="D2535" s="9" t="s">
        <v>5101</v>
      </c>
      <c r="E2535" s="6" t="s">
        <v>24</v>
      </c>
      <c r="F2535" s="6">
        <v>2011</v>
      </c>
      <c r="G2535" s="6" t="s">
        <v>14</v>
      </c>
      <c r="H2535" s="7" t="s">
        <v>877</v>
      </c>
      <c r="I2535" s="6" t="s">
        <v>187</v>
      </c>
      <c r="J2535" s="130"/>
      <c r="K2535" s="148" t="s">
        <v>5102</v>
      </c>
    </row>
    <row r="2536" spans="1:11" ht="28.9" customHeight="1" thickTop="1" thickBot="1" x14ac:dyDescent="0.75">
      <c r="A2536" s="6">
        <v>2534</v>
      </c>
      <c r="B2536" s="58" t="str">
        <f>HYPERLINK("https://search.naver.com/search.naver?query=인터섹션 영화", "인터섹션")</f>
        <v>인터섹션</v>
      </c>
      <c r="C2536" s="12">
        <v>7.7</v>
      </c>
      <c r="D2536" s="13" t="s">
        <v>5103</v>
      </c>
      <c r="E2536" s="10" t="s">
        <v>24</v>
      </c>
      <c r="F2536" s="10">
        <v>2013</v>
      </c>
      <c r="G2536" s="10" t="s">
        <v>14</v>
      </c>
      <c r="H2536" s="11" t="s">
        <v>20</v>
      </c>
      <c r="I2536" s="10" t="s">
        <v>150</v>
      </c>
      <c r="J2536" s="131"/>
      <c r="K2536" s="149" t="s">
        <v>5104</v>
      </c>
    </row>
    <row r="2537" spans="1:11" ht="28.9" customHeight="1" thickTop="1" thickBot="1" x14ac:dyDescent="0.75">
      <c r="A2537" s="10">
        <v>2535</v>
      </c>
      <c r="B2537" s="57" t="str">
        <f>HYPERLINK("https://search.naver.com/search.naver?query=인터셉터 영화", "인터셉터")</f>
        <v>인터셉터</v>
      </c>
      <c r="C2537" s="8">
        <v>4.0199999999999996</v>
      </c>
      <c r="D2537" s="9" t="s">
        <v>5105</v>
      </c>
      <c r="E2537" s="6" t="s">
        <v>24</v>
      </c>
      <c r="F2537" s="6">
        <v>2022</v>
      </c>
      <c r="G2537" s="6" t="s">
        <v>14</v>
      </c>
      <c r="H2537" s="7" t="s">
        <v>124</v>
      </c>
      <c r="I2537" s="6" t="s">
        <v>16</v>
      </c>
      <c r="J2537" s="130"/>
      <c r="K2537" s="148" t="s">
        <v>5106</v>
      </c>
    </row>
    <row r="2538" spans="1:11" ht="28.9" customHeight="1" thickTop="1" thickBot="1" x14ac:dyDescent="0.75">
      <c r="A2538" s="10">
        <v>2536</v>
      </c>
      <c r="B2538" s="58" t="str">
        <f>HYPERLINK("https://search.naver.com/search.naver?query=인터스텔라 영화", "인터스텔라")</f>
        <v>인터스텔라</v>
      </c>
      <c r="C2538" s="12">
        <v>9</v>
      </c>
      <c r="D2538" s="13" t="s">
        <v>5107</v>
      </c>
      <c r="E2538" s="10" t="s">
        <v>24</v>
      </c>
      <c r="F2538" s="10">
        <v>2014</v>
      </c>
      <c r="G2538" s="10" t="s">
        <v>14</v>
      </c>
      <c r="H2538" s="11" t="s">
        <v>877</v>
      </c>
      <c r="I2538" s="10" t="s">
        <v>1835</v>
      </c>
      <c r="J2538" s="131"/>
      <c r="K2538" s="149" t="s">
        <v>5108</v>
      </c>
    </row>
    <row r="2539" spans="1:11" ht="28.9" customHeight="1" thickTop="1" thickBot="1" x14ac:dyDescent="0.75">
      <c r="A2539" s="6">
        <v>2537</v>
      </c>
      <c r="B2539" s="57" t="str">
        <f>HYPERLINK("https://search.naver.com/search.naver?query=인터프리터 영화", "인터프리터")</f>
        <v>인터프리터</v>
      </c>
      <c r="C2539" s="8">
        <v>7</v>
      </c>
      <c r="D2539" s="9" t="s">
        <v>5109</v>
      </c>
      <c r="E2539" s="6" t="s">
        <v>24</v>
      </c>
      <c r="F2539" s="6">
        <v>2005</v>
      </c>
      <c r="G2539" s="6" t="s">
        <v>14</v>
      </c>
      <c r="H2539" s="7" t="s">
        <v>54</v>
      </c>
      <c r="I2539" s="6" t="s">
        <v>146</v>
      </c>
      <c r="J2539" s="130"/>
      <c r="K2539" s="148" t="s">
        <v>5110</v>
      </c>
    </row>
    <row r="2540" spans="1:11" ht="28.9" customHeight="1" thickTop="1" thickBot="1" x14ac:dyDescent="0.75">
      <c r="A2540" s="10">
        <v>2538</v>
      </c>
      <c r="B2540" s="58" t="str">
        <f>HYPERLINK("https://search.naver.com/search.naver?query=인턴 영화", "인턴")</f>
        <v>인턴</v>
      </c>
      <c r="C2540" s="12">
        <v>9.0399999999999991</v>
      </c>
      <c r="D2540" s="13" t="s">
        <v>5111</v>
      </c>
      <c r="E2540" s="10" t="s">
        <v>24</v>
      </c>
      <c r="F2540" s="10">
        <v>2015</v>
      </c>
      <c r="G2540" s="10" t="s">
        <v>14</v>
      </c>
      <c r="H2540" s="11" t="s">
        <v>91</v>
      </c>
      <c r="I2540" s="10" t="s">
        <v>195</v>
      </c>
      <c r="J2540" s="131"/>
      <c r="K2540" s="149" t="s">
        <v>5112</v>
      </c>
    </row>
    <row r="2541" spans="1:11" ht="28.9" customHeight="1" thickTop="1" thickBot="1" x14ac:dyDescent="0.75">
      <c r="A2541" s="10">
        <v>2539</v>
      </c>
      <c r="B2541" s="57" t="str">
        <f>HYPERLINK("https://search.naver.com/search.naver?query=인턴십 영화", "인턴십")</f>
        <v>인턴십</v>
      </c>
      <c r="C2541" s="8">
        <v>7.81</v>
      </c>
      <c r="D2541" s="9" t="s">
        <v>5113</v>
      </c>
      <c r="E2541" s="6" t="s">
        <v>24</v>
      </c>
      <c r="F2541" s="6">
        <v>2013</v>
      </c>
      <c r="G2541" s="6" t="s">
        <v>14</v>
      </c>
      <c r="H2541" s="7" t="s">
        <v>91</v>
      </c>
      <c r="I2541" s="6" t="s">
        <v>68</v>
      </c>
      <c r="J2541" s="130"/>
      <c r="K2541" s="148" t="s">
        <v>5114</v>
      </c>
    </row>
    <row r="2542" spans="1:11" ht="28.9" customHeight="1" thickTop="1" thickBot="1" x14ac:dyDescent="0.75">
      <c r="A2542" s="6">
        <v>2540</v>
      </c>
      <c r="B2542" s="58" t="str">
        <f>HYPERLINK("https://search.naver.com/search.naver?query=인투 더 스톰 영화", "인투 더 스톰")</f>
        <v>인투 더 스톰</v>
      </c>
      <c r="C2542" s="12">
        <v>8.27</v>
      </c>
      <c r="D2542" s="13" t="s">
        <v>5115</v>
      </c>
      <c r="E2542" s="10" t="s">
        <v>24</v>
      </c>
      <c r="F2542" s="10">
        <v>2014</v>
      </c>
      <c r="G2542" s="10" t="s">
        <v>14</v>
      </c>
      <c r="H2542" s="11" t="s">
        <v>124</v>
      </c>
      <c r="I2542" s="10" t="s">
        <v>162</v>
      </c>
      <c r="J2542" s="131"/>
      <c r="K2542" s="149" t="s">
        <v>5116</v>
      </c>
    </row>
    <row r="2543" spans="1:11" ht="28.9" customHeight="1" thickTop="1" thickBot="1" x14ac:dyDescent="0.75">
      <c r="A2543" s="10">
        <v>2541</v>
      </c>
      <c r="B2543" s="57" t="str">
        <f>HYPERLINK("https://search.naver.com/search.naver?query=인투 더 화이트", "인투 더 화이트")</f>
        <v>인투 더 화이트</v>
      </c>
      <c r="C2543" s="8">
        <v>8.36</v>
      </c>
      <c r="D2543" s="9" t="s">
        <v>5117</v>
      </c>
      <c r="E2543" s="6" t="s">
        <v>49</v>
      </c>
      <c r="F2543" s="6">
        <v>2012</v>
      </c>
      <c r="G2543" s="6" t="s">
        <v>14</v>
      </c>
      <c r="H2543" s="7" t="s">
        <v>20</v>
      </c>
      <c r="I2543" s="6" t="s">
        <v>242</v>
      </c>
      <c r="J2543" s="130"/>
      <c r="K2543" s="148" t="s">
        <v>5118</v>
      </c>
    </row>
    <row r="2544" spans="1:11" ht="28.9" customHeight="1" thickTop="1" thickBot="1" x14ac:dyDescent="0.75">
      <c r="A2544" s="10">
        <v>2542</v>
      </c>
      <c r="B2544" s="58" t="str">
        <f>HYPERLINK("https://search.naver.com/search.naver?query=인페르노 영화", "인페르노")</f>
        <v>인페르노</v>
      </c>
      <c r="C2544" s="12">
        <v>8.11</v>
      </c>
      <c r="D2544" s="13" t="s">
        <v>5119</v>
      </c>
      <c r="E2544" s="10" t="s">
        <v>24</v>
      </c>
      <c r="F2544" s="10">
        <v>2016</v>
      </c>
      <c r="G2544" s="10" t="s">
        <v>14</v>
      </c>
      <c r="H2544" s="11" t="s">
        <v>54</v>
      </c>
      <c r="I2544" s="10" t="s">
        <v>195</v>
      </c>
      <c r="J2544" s="131"/>
      <c r="K2544" s="149" t="s">
        <v>5120</v>
      </c>
    </row>
    <row r="2545" spans="1:11" ht="28.9" customHeight="1" thickTop="1" thickBot="1" x14ac:dyDescent="0.75">
      <c r="A2545" s="6">
        <v>2543</v>
      </c>
      <c r="B2545" s="57" t="str">
        <f>HYPERLINK("https://search.naver.com/search.naver?query=인피니트 영화", "인피니트")</f>
        <v>인피니트</v>
      </c>
      <c r="C2545" s="8">
        <v>6.94</v>
      </c>
      <c r="D2545" s="9" t="s">
        <v>5121</v>
      </c>
      <c r="E2545" s="6" t="s">
        <v>24</v>
      </c>
      <c r="F2545" s="6">
        <v>2021</v>
      </c>
      <c r="G2545" s="6" t="s">
        <v>14</v>
      </c>
      <c r="H2545" s="7" t="s">
        <v>124</v>
      </c>
      <c r="I2545" s="6" t="s">
        <v>443</v>
      </c>
      <c r="J2545" s="130"/>
      <c r="K2545" s="148" t="s">
        <v>5122</v>
      </c>
    </row>
    <row r="2546" spans="1:11" ht="28.9" customHeight="1" thickTop="1" thickBot="1" x14ac:dyDescent="0.75">
      <c r="A2546" s="10">
        <v>2544</v>
      </c>
      <c r="B2546" s="58" t="str">
        <f>HYPERLINK("https://search.naver.com/search.naver?query=인피니트 스톰 영화", "인피니트 스톰")</f>
        <v>인피니트 스톰</v>
      </c>
      <c r="C2546" s="12">
        <v>6.54</v>
      </c>
      <c r="D2546" s="13" t="s">
        <v>5123</v>
      </c>
      <c r="E2546" s="10" t="s">
        <v>24</v>
      </c>
      <c r="F2546" s="10">
        <v>2022</v>
      </c>
      <c r="G2546" s="10" t="s">
        <v>14</v>
      </c>
      <c r="H2546" s="11" t="s">
        <v>20</v>
      </c>
      <c r="I2546" s="10" t="s">
        <v>169</v>
      </c>
      <c r="J2546" s="131"/>
      <c r="K2546" s="149" t="s">
        <v>5124</v>
      </c>
    </row>
    <row r="2547" spans="1:11" ht="28.9" customHeight="1" thickTop="1" thickBot="1" x14ac:dyDescent="0.75">
      <c r="A2547" s="10">
        <v>2545</v>
      </c>
      <c r="B2547" s="57" t="str">
        <f>HYPERLINK("https://search.naver.com/search.naver?query=인헤리턴스 영화", "인헤리턴스")</f>
        <v>인헤리턴스</v>
      </c>
      <c r="C2547" s="8">
        <v>7.4</v>
      </c>
      <c r="D2547" s="9" t="s">
        <v>5125</v>
      </c>
      <c r="E2547" s="6" t="s">
        <v>24</v>
      </c>
      <c r="F2547" s="6">
        <v>2020</v>
      </c>
      <c r="G2547" s="6" t="s">
        <v>14</v>
      </c>
      <c r="H2547" s="7" t="s">
        <v>54</v>
      </c>
      <c r="I2547" s="6" t="s">
        <v>137</v>
      </c>
      <c r="J2547" s="130"/>
      <c r="K2547" s="148" t="s">
        <v>5126</v>
      </c>
    </row>
    <row r="2548" spans="1:11" ht="28.9" customHeight="1" thickTop="1" thickBot="1" x14ac:dyDescent="0.75">
      <c r="A2548" s="6">
        <v>2546</v>
      </c>
      <c r="B2548" s="58" t="str">
        <f>HYPERLINK("https://search.naver.com/search.naver?query=일개인적무림 영화", "일개인적무림")</f>
        <v>일개인적무림</v>
      </c>
      <c r="C2548" s="12">
        <v>6.4</v>
      </c>
      <c r="D2548" s="13" t="s">
        <v>5127</v>
      </c>
      <c r="E2548" s="10" t="s">
        <v>186</v>
      </c>
      <c r="F2548" s="10">
        <v>2014</v>
      </c>
      <c r="G2548" s="10" t="s">
        <v>14</v>
      </c>
      <c r="H2548" s="11" t="s">
        <v>124</v>
      </c>
      <c r="I2548" s="10" t="s">
        <v>150</v>
      </c>
      <c r="J2548" s="131"/>
      <c r="K2548" s="149" t="s">
        <v>5128</v>
      </c>
    </row>
    <row r="2549" spans="1:11" ht="28.9" customHeight="1" thickTop="1" thickBot="1" x14ac:dyDescent="0.75">
      <c r="A2549" s="10">
        <v>2547</v>
      </c>
      <c r="B2549" s="57" t="str">
        <f>HYPERLINK("https://search.naver.com/search.naver?query=일급 살인 영화", "일급 살인")</f>
        <v>일급 살인</v>
      </c>
      <c r="C2549" s="8">
        <v>9.3000000000000007</v>
      </c>
      <c r="D2549" s="9" t="s">
        <v>5129</v>
      </c>
      <c r="E2549" s="6" t="s">
        <v>24</v>
      </c>
      <c r="F2549" s="6">
        <v>1995</v>
      </c>
      <c r="G2549" s="6" t="s">
        <v>14</v>
      </c>
      <c r="H2549" s="7" t="s">
        <v>20</v>
      </c>
      <c r="I2549" s="6" t="s">
        <v>141</v>
      </c>
      <c r="J2549" s="130"/>
      <c r="K2549" s="148" t="s">
        <v>5130</v>
      </c>
    </row>
    <row r="2550" spans="1:11" ht="28.9" customHeight="1" thickTop="1" thickBot="1" x14ac:dyDescent="0.75">
      <c r="A2550" s="10">
        <v>2548</v>
      </c>
      <c r="B2550" s="58" t="str">
        <f>HYPERLINK("https://search.naver.com/search.naver?query=일대일 영화", "일대일")</f>
        <v>일대일</v>
      </c>
      <c r="C2550" s="12">
        <v>6.76</v>
      </c>
      <c r="D2550" s="13" t="s">
        <v>5131</v>
      </c>
      <c r="E2550" s="10" t="s">
        <v>13</v>
      </c>
      <c r="F2550" s="10">
        <v>2014</v>
      </c>
      <c r="G2550" s="10" t="s">
        <v>14</v>
      </c>
      <c r="H2550" s="11" t="s">
        <v>20</v>
      </c>
      <c r="I2550" s="10" t="s">
        <v>141</v>
      </c>
      <c r="J2550" s="131"/>
      <c r="K2550" s="149" t="s">
        <v>5060</v>
      </c>
    </row>
    <row r="2551" spans="1:11" ht="28.9" customHeight="1" thickTop="1" thickBot="1" x14ac:dyDescent="0.75">
      <c r="A2551" s="6">
        <v>2549</v>
      </c>
      <c r="B2551" s="57" t="str">
        <f>HYPERLINK("https://search.naver.com/search.naver?query=일라이저 그레이브스 영화", "일라이저 그레이브스")</f>
        <v>일라이저 그레이브스</v>
      </c>
      <c r="C2551" s="8">
        <v>7.7</v>
      </c>
      <c r="D2551" s="9"/>
      <c r="E2551" s="6" t="s">
        <v>24</v>
      </c>
      <c r="F2551" s="6">
        <v>2014</v>
      </c>
      <c r="G2551" s="6" t="s">
        <v>14</v>
      </c>
      <c r="H2551" s="7" t="s">
        <v>54</v>
      </c>
      <c r="I2551" s="6" t="s">
        <v>150</v>
      </c>
      <c r="J2551" s="130"/>
      <c r="K2551" s="148" t="s">
        <v>5132</v>
      </c>
    </row>
    <row r="2552" spans="1:11" ht="28.9" customHeight="1" thickTop="1" thickBot="1" x14ac:dyDescent="0.75">
      <c r="A2552" s="10">
        <v>2550</v>
      </c>
      <c r="B2552" s="58" t="str">
        <f>HYPERLINK("https://search.naver.com/search.naver?query=일만명의 성자들 영화", "일만명의 성자들")</f>
        <v>일만명의 성자들</v>
      </c>
      <c r="C2552" s="12">
        <v>7.48</v>
      </c>
      <c r="D2552" s="13" t="s">
        <v>5133</v>
      </c>
      <c r="E2552" s="10" t="s">
        <v>24</v>
      </c>
      <c r="F2552" s="10">
        <v>2015</v>
      </c>
      <c r="G2552" s="10" t="s">
        <v>14</v>
      </c>
      <c r="H2552" s="11" t="s">
        <v>20</v>
      </c>
      <c r="I2552" s="10" t="s">
        <v>98</v>
      </c>
      <c r="J2552" s="131"/>
      <c r="K2552" s="149" t="s">
        <v>5134</v>
      </c>
    </row>
    <row r="2553" spans="1:11" ht="28.9" customHeight="1" thickTop="1" thickBot="1" x14ac:dyDescent="0.75">
      <c r="A2553" s="10">
        <v>2551</v>
      </c>
      <c r="B2553" s="57" t="str">
        <f>HYPERLINK("https://search.naver.com/search.naver?query=일분만 더 영화", "일분만 더")</f>
        <v>일분만 더</v>
      </c>
      <c r="C2553" s="8">
        <v>8.48</v>
      </c>
      <c r="D2553" s="9" t="s">
        <v>5135</v>
      </c>
      <c r="E2553" s="6" t="s">
        <v>608</v>
      </c>
      <c r="F2553" s="6">
        <v>2015</v>
      </c>
      <c r="G2553" s="6" t="s">
        <v>14</v>
      </c>
      <c r="H2553" s="7" t="s">
        <v>20</v>
      </c>
      <c r="I2553" s="6" t="s">
        <v>129</v>
      </c>
      <c r="J2553" s="130"/>
      <c r="K2553" s="148" t="s">
        <v>5136</v>
      </c>
    </row>
    <row r="2554" spans="1:11" ht="28.9" customHeight="1" thickTop="1" thickBot="1" x14ac:dyDescent="0.75">
      <c r="A2554" s="6">
        <v>2552</v>
      </c>
      <c r="B2554" s="58" t="str">
        <f>HYPERLINK("https://search.naver.com/search.naver?query=일일시호일 영화", "일일시호일")</f>
        <v>일일시호일</v>
      </c>
      <c r="C2554" s="12">
        <v>8.92</v>
      </c>
      <c r="D2554" s="13" t="s">
        <v>5137</v>
      </c>
      <c r="E2554" s="10" t="s">
        <v>19</v>
      </c>
      <c r="F2554" s="10">
        <v>2018</v>
      </c>
      <c r="G2554" s="10" t="s">
        <v>14</v>
      </c>
      <c r="H2554" s="11" t="s">
        <v>20</v>
      </c>
      <c r="I2554" s="10" t="s">
        <v>150</v>
      </c>
      <c r="J2554" s="131"/>
      <c r="K2554" s="149" t="s">
        <v>5138</v>
      </c>
    </row>
    <row r="2555" spans="1:11" ht="28.9" customHeight="1" thickTop="1" thickBot="1" x14ac:dyDescent="0.75">
      <c r="A2555" s="10">
        <v>2553</v>
      </c>
      <c r="B2555" s="57" t="str">
        <f>HYPERLINK("https://search.naver.com/search.naver?query=일장춘몽 영화", "일장춘몽")</f>
        <v>일장춘몽</v>
      </c>
      <c r="C2555" s="8"/>
      <c r="D2555" s="9" t="s">
        <v>5139</v>
      </c>
      <c r="E2555" s="6" t="s">
        <v>13</v>
      </c>
      <c r="F2555" s="6">
        <v>2022</v>
      </c>
      <c r="G2555" s="6" t="s">
        <v>14</v>
      </c>
      <c r="H2555" s="7" t="s">
        <v>20</v>
      </c>
      <c r="I2555" s="6" t="s">
        <v>150</v>
      </c>
      <c r="J2555" s="130"/>
      <c r="K2555" s="148" t="s">
        <v>5140</v>
      </c>
    </row>
    <row r="2556" spans="1:11" ht="28.9" customHeight="1" thickTop="1" thickBot="1" x14ac:dyDescent="0.75">
      <c r="A2556" s="10">
        <v>2554</v>
      </c>
      <c r="B2556" s="58" t="str">
        <f>HYPERLINK("https://search.naver.com/search.naver?query=일주일간 친구 영화", "일주일간 친구")</f>
        <v>일주일간 친구</v>
      </c>
      <c r="C2556" s="12">
        <v>6.83</v>
      </c>
      <c r="D2556" s="13" t="s">
        <v>5141</v>
      </c>
      <c r="E2556" s="10" t="s">
        <v>19</v>
      </c>
      <c r="F2556" s="10">
        <v>2017</v>
      </c>
      <c r="G2556" s="10" t="s">
        <v>14</v>
      </c>
      <c r="H2556" s="11" t="s">
        <v>20</v>
      </c>
      <c r="I2556" s="10" t="s">
        <v>116</v>
      </c>
      <c r="J2556" s="131"/>
      <c r="K2556" s="149" t="s">
        <v>5142</v>
      </c>
    </row>
    <row r="2557" spans="1:11" ht="28.9" customHeight="1" thickTop="1" thickBot="1" x14ac:dyDescent="0.75">
      <c r="A2557" s="6">
        <v>2555</v>
      </c>
      <c r="B2557" s="57" t="str">
        <f>HYPERLINK("https://search.naver.com/search.naver?query=임금님의 사건수첩 영화", "임금님의 사건수첩")</f>
        <v>임금님의 사건수첩</v>
      </c>
      <c r="C2557" s="8">
        <v>8.0500000000000007</v>
      </c>
      <c r="D2557" s="9" t="s">
        <v>5143</v>
      </c>
      <c r="E2557" s="6" t="s">
        <v>13</v>
      </c>
      <c r="F2557" s="6">
        <v>2016</v>
      </c>
      <c r="G2557" s="6" t="s">
        <v>14</v>
      </c>
      <c r="H2557" s="7" t="s">
        <v>91</v>
      </c>
      <c r="I2557" s="6" t="s">
        <v>305</v>
      </c>
      <c r="J2557" s="130"/>
      <c r="K2557" s="148" t="s">
        <v>5144</v>
      </c>
    </row>
    <row r="2558" spans="1:11" ht="28.9" customHeight="1" thickTop="1" thickBot="1" x14ac:dyDescent="0.75">
      <c r="A2558" s="10">
        <v>2556</v>
      </c>
      <c r="B2558" s="58" t="str">
        <f>HYPERLINK("https://search.naver.com/search.naver?query=입술에 노래를 영화", "입술에 노래를")</f>
        <v>입술에 노래를</v>
      </c>
      <c r="C2558" s="12"/>
      <c r="D2558" s="13" t="s">
        <v>5145</v>
      </c>
      <c r="E2558" s="10" t="s">
        <v>19</v>
      </c>
      <c r="F2558" s="10">
        <v>2015</v>
      </c>
      <c r="G2558" s="10" t="s">
        <v>14</v>
      </c>
      <c r="H2558" s="11" t="s">
        <v>20</v>
      </c>
      <c r="I2558" s="10" t="s">
        <v>558</v>
      </c>
      <c r="J2558" s="131"/>
      <c r="K2558" s="149" t="s">
        <v>5146</v>
      </c>
    </row>
    <row r="2559" spans="1:11" ht="28.9" customHeight="1" thickTop="1" thickBot="1" x14ac:dyDescent="0.75">
      <c r="A2559" s="10">
        <v>2557</v>
      </c>
      <c r="B2559" s="57" t="str">
        <f>HYPERLINK("https://search.naver.com/search.naver?query=잉글리쉬 티처 영화", "잉글리쉬 티처")</f>
        <v>잉글리쉬 티처</v>
      </c>
      <c r="C2559" s="8">
        <v>3.32</v>
      </c>
      <c r="D2559" s="9" t="s">
        <v>5147</v>
      </c>
      <c r="E2559" s="6" t="s">
        <v>24</v>
      </c>
      <c r="F2559" s="6">
        <v>2012</v>
      </c>
      <c r="G2559" s="6" t="s">
        <v>14</v>
      </c>
      <c r="H2559" s="7" t="s">
        <v>91</v>
      </c>
      <c r="I2559" s="6" t="s">
        <v>125</v>
      </c>
      <c r="J2559" s="130"/>
      <c r="K2559" s="148" t="s">
        <v>5148</v>
      </c>
    </row>
    <row r="2560" spans="1:11" ht="28.9" customHeight="1" thickTop="1" thickBot="1" x14ac:dyDescent="0.75">
      <c r="A2560" s="6">
        <v>2558</v>
      </c>
      <c r="B2560" s="58" t="str">
        <f>HYPERLINK("https://search.naver.com/search.naver?query=자백 영화", "자백")</f>
        <v>자백</v>
      </c>
      <c r="C2560" s="12">
        <v>8.07</v>
      </c>
      <c r="D2560" s="13" t="s">
        <v>5149</v>
      </c>
      <c r="E2560" s="10" t="s">
        <v>13</v>
      </c>
      <c r="F2560" s="10">
        <v>2022</v>
      </c>
      <c r="G2560" s="10" t="s">
        <v>14</v>
      </c>
      <c r="H2560" s="11" t="s">
        <v>54</v>
      </c>
      <c r="I2560" s="10" t="s">
        <v>175</v>
      </c>
      <c r="J2560" s="131"/>
      <c r="K2560" s="149" t="s">
        <v>5150</v>
      </c>
    </row>
    <row r="2561" spans="1:11" ht="28.9" customHeight="1" thickTop="1" thickBot="1" x14ac:dyDescent="0.75">
      <c r="A2561" s="10">
        <v>2559</v>
      </c>
      <c r="B2561" s="59" t="str">
        <f>HYPERLINK("https://search.naver.com/search.naver?query=자백의 대가", "자백의 대가")</f>
        <v>자백의 대가</v>
      </c>
      <c r="C2561" s="16"/>
      <c r="D2561" s="17" t="s">
        <v>5151</v>
      </c>
      <c r="E2561" s="14" t="s">
        <v>13</v>
      </c>
      <c r="F2561" s="14">
        <v>2025</v>
      </c>
      <c r="G2561" s="14" t="s">
        <v>20</v>
      </c>
      <c r="H2561" s="15" t="s">
        <v>20</v>
      </c>
      <c r="I2561" s="14" t="s">
        <v>1588</v>
      </c>
      <c r="J2561" s="132"/>
      <c r="K2561" s="150" t="s">
        <v>5152</v>
      </c>
    </row>
    <row r="2562" spans="1:11" ht="28.9" customHeight="1" thickTop="1" thickBot="1" x14ac:dyDescent="0.75">
      <c r="A2562" s="10">
        <v>2560</v>
      </c>
      <c r="B2562" s="58" t="str">
        <f>HYPERLINK("https://search.naver.com/search.naver?query=자산어보 영화", "자산어보")</f>
        <v>자산어보</v>
      </c>
      <c r="C2562" s="12">
        <v>8.9700000000000006</v>
      </c>
      <c r="D2562" s="13" t="s">
        <v>5153</v>
      </c>
      <c r="E2562" s="10" t="s">
        <v>13</v>
      </c>
      <c r="F2562" s="10">
        <v>2021</v>
      </c>
      <c r="G2562" s="10" t="s">
        <v>14</v>
      </c>
      <c r="H2562" s="11" t="s">
        <v>1548</v>
      </c>
      <c r="I2562" s="10" t="s">
        <v>105</v>
      </c>
      <c r="J2562" s="131"/>
      <c r="K2562" s="149" t="s">
        <v>5154</v>
      </c>
    </row>
    <row r="2563" spans="1:11" ht="28.9" customHeight="1" thickTop="1" thickBot="1" x14ac:dyDescent="0.75">
      <c r="A2563" s="6">
        <v>2561</v>
      </c>
      <c r="B2563" s="57" t="str">
        <f>HYPERLINK("https://search.naver.com/search.naver?query=자전차왕 엄복동 영화", "자전차왕 엄복동")</f>
        <v>자전차왕 엄복동</v>
      </c>
      <c r="C2563" s="8">
        <v>7.4</v>
      </c>
      <c r="D2563" s="9" t="s">
        <v>5155</v>
      </c>
      <c r="E2563" s="6" t="s">
        <v>13</v>
      </c>
      <c r="F2563" s="6">
        <v>2018</v>
      </c>
      <c r="G2563" s="6" t="s">
        <v>14</v>
      </c>
      <c r="H2563" s="7" t="s">
        <v>20</v>
      </c>
      <c r="I2563" s="6" t="s">
        <v>175</v>
      </c>
      <c r="J2563" s="130"/>
      <c r="K2563" s="148" t="s">
        <v>5156</v>
      </c>
    </row>
    <row r="2564" spans="1:11" ht="28.9" customHeight="1" thickTop="1" thickBot="1" x14ac:dyDescent="0.75">
      <c r="A2564" s="10">
        <v>2562</v>
      </c>
      <c r="B2564" s="59" t="str">
        <f>HYPERLINK("https://search.naver.com/search.naver?query=자칼의 날 시즌1", "자칼의 날 시즌1")</f>
        <v>자칼의 날 시즌1</v>
      </c>
      <c r="C2564" s="16"/>
      <c r="D2564" s="17" t="s">
        <v>5157</v>
      </c>
      <c r="E2564" s="14" t="s">
        <v>29</v>
      </c>
      <c r="F2564" s="14">
        <v>2024</v>
      </c>
      <c r="G2564" s="14" t="s">
        <v>20</v>
      </c>
      <c r="H2564" s="15" t="s">
        <v>15</v>
      </c>
      <c r="I2564" s="14" t="s">
        <v>64</v>
      </c>
      <c r="J2564" s="132"/>
      <c r="K2564" s="150" t="s">
        <v>3850</v>
      </c>
    </row>
    <row r="2565" spans="1:11" ht="28.9" customHeight="1" thickTop="1" thickBot="1" x14ac:dyDescent="0.75">
      <c r="A2565" s="10">
        <v>2563</v>
      </c>
      <c r="B2565" s="57" t="str">
        <f>HYPERLINK("https://search.naver.com/search.naver?query=작가 미상 영화", "작가 미상")</f>
        <v>작가 미상</v>
      </c>
      <c r="C2565" s="8">
        <v>8.6199999999999992</v>
      </c>
      <c r="D2565" s="9" t="s">
        <v>5158</v>
      </c>
      <c r="E2565" s="6" t="s">
        <v>136</v>
      </c>
      <c r="F2565" s="6">
        <v>2020</v>
      </c>
      <c r="G2565" s="6" t="s">
        <v>14</v>
      </c>
      <c r="H2565" s="7" t="s">
        <v>20</v>
      </c>
      <c r="I2565" s="6" t="s">
        <v>5159</v>
      </c>
      <c r="J2565" s="130"/>
      <c r="K2565" s="148" t="s">
        <v>5160</v>
      </c>
    </row>
    <row r="2566" spans="1:11" ht="28.9" customHeight="1" thickTop="1" thickBot="1" x14ac:dyDescent="0.75">
      <c r="A2566" s="6">
        <v>2564</v>
      </c>
      <c r="B2566" s="58" t="str">
        <f>HYPERLINK("https://search.naver.com/search.naver?query=작년 겨울, 너와 이별 영화", "작년 겨울, 너와 이별")</f>
        <v>작년 겨울, 너와 이별</v>
      </c>
      <c r="C2566" s="12">
        <v>8.52</v>
      </c>
      <c r="D2566" s="13" t="s">
        <v>5161</v>
      </c>
      <c r="E2566" s="10" t="s">
        <v>19</v>
      </c>
      <c r="F2566" s="10">
        <v>2018</v>
      </c>
      <c r="G2566" s="10" t="s">
        <v>14</v>
      </c>
      <c r="H2566" s="11" t="s">
        <v>165</v>
      </c>
      <c r="I2566" s="10" t="s">
        <v>329</v>
      </c>
      <c r="J2566" s="131"/>
      <c r="K2566" s="149" t="s">
        <v>5162</v>
      </c>
    </row>
    <row r="2567" spans="1:11" ht="28.9" customHeight="1" thickTop="1" thickBot="1" x14ac:dyDescent="0.75">
      <c r="A2567" s="10">
        <v>2565</v>
      </c>
      <c r="B2567" s="57" t="str">
        <f>HYPERLINK("https://search.naver.com/search.naver?query=작은 아씨들 영화", "작은 아씨들")</f>
        <v>작은 아씨들</v>
      </c>
      <c r="C2567" s="8">
        <v>9.02</v>
      </c>
      <c r="D2567" s="9" t="s">
        <v>5163</v>
      </c>
      <c r="E2567" s="6" t="s">
        <v>24</v>
      </c>
      <c r="F2567" s="6">
        <v>2019</v>
      </c>
      <c r="G2567" s="6" t="s">
        <v>14</v>
      </c>
      <c r="H2567" s="7" t="s">
        <v>20</v>
      </c>
      <c r="I2567" s="6" t="s">
        <v>51</v>
      </c>
      <c r="J2567" s="130"/>
      <c r="K2567" s="148" t="s">
        <v>5164</v>
      </c>
    </row>
    <row r="2568" spans="1:11" ht="28.9" customHeight="1" thickTop="1" thickBot="1" x14ac:dyDescent="0.75">
      <c r="A2568" s="10">
        <v>2566</v>
      </c>
      <c r="B2568" s="58" t="str">
        <f>HYPERLINK("https://search.naver.com/search.naver?query=작은 집 영화", "작은 집")</f>
        <v>작은 집</v>
      </c>
      <c r="C2568" s="12">
        <v>6.4</v>
      </c>
      <c r="D2568" s="13" t="s">
        <v>5165</v>
      </c>
      <c r="E2568" s="10" t="s">
        <v>19</v>
      </c>
      <c r="F2568" s="10">
        <v>2014</v>
      </c>
      <c r="G2568" s="10" t="s">
        <v>14</v>
      </c>
      <c r="H2568" s="11" t="s">
        <v>20</v>
      </c>
      <c r="I2568" s="10" t="s">
        <v>269</v>
      </c>
      <c r="J2568" s="131"/>
      <c r="K2568" s="149" t="s">
        <v>5166</v>
      </c>
    </row>
    <row r="2569" spans="1:11" ht="28.9" customHeight="1" thickTop="1" thickBot="1" x14ac:dyDescent="0.75">
      <c r="A2569" s="6">
        <v>2567</v>
      </c>
      <c r="B2569" s="57" t="str">
        <f>HYPERLINK("https://search.naver.com/search.naver?query=작전 영화", "작전")</f>
        <v>작전</v>
      </c>
      <c r="C2569" s="8">
        <v>8.64</v>
      </c>
      <c r="D2569" s="9" t="s">
        <v>5167</v>
      </c>
      <c r="E2569" s="6" t="s">
        <v>13</v>
      </c>
      <c r="F2569" s="6">
        <v>2009</v>
      </c>
      <c r="G2569" s="6" t="s">
        <v>14</v>
      </c>
      <c r="H2569" s="7" t="s">
        <v>428</v>
      </c>
      <c r="I2569" s="6" t="s">
        <v>150</v>
      </c>
      <c r="J2569" s="130"/>
      <c r="K2569" s="148" t="s">
        <v>5168</v>
      </c>
    </row>
    <row r="2570" spans="1:11" ht="28.9" customHeight="1" thickTop="1" thickBot="1" x14ac:dyDescent="0.75">
      <c r="A2570" s="10">
        <v>2568</v>
      </c>
      <c r="B2570" s="58" t="str">
        <f>HYPERLINK("https://search.naver.com/search.naver?query=작전명 발키리 영화", "작전명 발키리")</f>
        <v>작전명 발키리</v>
      </c>
      <c r="C2570" s="12">
        <v>8.19</v>
      </c>
      <c r="D2570" s="13" t="s">
        <v>5169</v>
      </c>
      <c r="E2570" s="10" t="s">
        <v>24</v>
      </c>
      <c r="F2570" s="10">
        <v>2008</v>
      </c>
      <c r="G2570" s="10" t="s">
        <v>14</v>
      </c>
      <c r="H2570" s="11" t="s">
        <v>20</v>
      </c>
      <c r="I2570" s="10" t="s">
        <v>195</v>
      </c>
      <c r="J2570" s="131"/>
      <c r="K2570" s="149" t="s">
        <v>5170</v>
      </c>
    </row>
    <row r="2571" spans="1:11" ht="28.9" customHeight="1" thickTop="1" thickBot="1" x14ac:dyDescent="0.75">
      <c r="A2571" s="10">
        <v>2569</v>
      </c>
      <c r="B2571" s="57" t="str">
        <f>HYPERLINK("https://search.naver.com/search.naver?query=잠 영화", "잠")</f>
        <v>잠</v>
      </c>
      <c r="C2571" s="8">
        <v>7.79</v>
      </c>
      <c r="D2571" s="9" t="s">
        <v>5171</v>
      </c>
      <c r="E2571" s="6" t="s">
        <v>13</v>
      </c>
      <c r="F2571" s="6">
        <v>2023</v>
      </c>
      <c r="G2571" s="6" t="s">
        <v>14</v>
      </c>
      <c r="H2571" s="7" t="s">
        <v>54</v>
      </c>
      <c r="I2571" s="6" t="s">
        <v>468</v>
      </c>
      <c r="J2571" s="130"/>
      <c r="K2571" s="148" t="s">
        <v>5172</v>
      </c>
    </row>
    <row r="2572" spans="1:11" ht="28.9" customHeight="1" thickTop="1" thickBot="1" x14ac:dyDescent="0.75">
      <c r="A2572" s="6">
        <v>2570</v>
      </c>
      <c r="B2572" s="58" t="str">
        <f>HYPERLINK("https://search.naver.com/search.naver?query=잠깐만 회사 좀 관두고 올게 영화", "잠깐만 회사 좀 관두고 올게")</f>
        <v>잠깐만 회사 좀 관두고 올게</v>
      </c>
      <c r="C2572" s="12">
        <v>8.2200000000000006</v>
      </c>
      <c r="D2572" s="13" t="s">
        <v>5173</v>
      </c>
      <c r="E2572" s="10" t="s">
        <v>19</v>
      </c>
      <c r="F2572" s="10">
        <v>2017</v>
      </c>
      <c r="G2572" s="10" t="s">
        <v>14</v>
      </c>
      <c r="H2572" s="11" t="s">
        <v>20</v>
      </c>
      <c r="I2572" s="10" t="s">
        <v>305</v>
      </c>
      <c r="J2572" s="131"/>
      <c r="K2572" s="149" t="s">
        <v>3241</v>
      </c>
    </row>
    <row r="2573" spans="1:11" ht="28.9" customHeight="1" thickTop="1" thickBot="1" x14ac:dyDescent="0.75">
      <c r="A2573" s="10">
        <v>2571</v>
      </c>
      <c r="B2573" s="57" t="str">
        <f>HYPERLINK("https://search.naver.com/search.naver?query=잠든 여인 영화", "잠든 여인")</f>
        <v>잠든 여인</v>
      </c>
      <c r="C2573" s="8">
        <v>5.88</v>
      </c>
      <c r="D2573" s="9" t="s">
        <v>5174</v>
      </c>
      <c r="E2573" s="6" t="s">
        <v>24</v>
      </c>
      <c r="F2573" s="6">
        <v>2021</v>
      </c>
      <c r="G2573" s="6" t="s">
        <v>14</v>
      </c>
      <c r="H2573" s="7" t="s">
        <v>124</v>
      </c>
      <c r="I2573" s="6" t="s">
        <v>345</v>
      </c>
      <c r="J2573" s="130"/>
      <c r="K2573" s="148" t="s">
        <v>5175</v>
      </c>
    </row>
    <row r="2574" spans="1:11" ht="28.9" customHeight="1" thickTop="1" thickBot="1" x14ac:dyDescent="0.75">
      <c r="A2574" s="10">
        <v>2572</v>
      </c>
      <c r="B2574" s="58" t="str">
        <f>HYPERLINK("https://search.naver.com/search.naver?query=잠수종과 나비 영화", "잠수종과 나비")</f>
        <v>잠수종과 나비</v>
      </c>
      <c r="C2574" s="12">
        <v>8.65</v>
      </c>
      <c r="D2574" s="13" t="s">
        <v>5176</v>
      </c>
      <c r="E2574" s="10" t="s">
        <v>310</v>
      </c>
      <c r="F2574" s="10">
        <v>2007</v>
      </c>
      <c r="G2574" s="10" t="s">
        <v>14</v>
      </c>
      <c r="H2574" s="11" t="s">
        <v>20</v>
      </c>
      <c r="I2574" s="10" t="s">
        <v>429</v>
      </c>
      <c r="J2574" s="131"/>
      <c r="K2574" s="149" t="s">
        <v>5177</v>
      </c>
    </row>
    <row r="2575" spans="1:11" ht="28.9" customHeight="1" thickTop="1" thickBot="1" x14ac:dyDescent="0.75">
      <c r="A2575" s="6">
        <v>2573</v>
      </c>
      <c r="B2575" s="57" t="str">
        <f>HYPERLINK("https://search.naver.com/search.naver?query=장르만 로맨스 영화", "장르만 로맨스")</f>
        <v>장르만 로맨스</v>
      </c>
      <c r="C2575" s="8">
        <v>7.04</v>
      </c>
      <c r="D2575" s="9" t="s">
        <v>5178</v>
      </c>
      <c r="E2575" s="6" t="s">
        <v>13</v>
      </c>
      <c r="F2575" s="6">
        <v>2021</v>
      </c>
      <c r="G2575" s="6" t="s">
        <v>14</v>
      </c>
      <c r="H2575" s="7" t="s">
        <v>91</v>
      </c>
      <c r="I2575" s="6" t="s">
        <v>129</v>
      </c>
      <c r="J2575" s="130"/>
      <c r="K2575" s="148" t="s">
        <v>5179</v>
      </c>
    </row>
    <row r="2576" spans="1:11" ht="28.9" customHeight="1" thickTop="1" thickBot="1" x14ac:dyDescent="0.75">
      <c r="A2576" s="10">
        <v>2574</v>
      </c>
      <c r="B2576" s="58" t="str">
        <f>HYPERLINK("https://search.naver.com/search.naver?query=장사리 잊혀진 영웅들 영화", "장사리-잊혀진 영웅들")</f>
        <v>장사리-잊혀진 영웅들</v>
      </c>
      <c r="C2576" s="12">
        <v>8.4</v>
      </c>
      <c r="D2576" s="13" t="s">
        <v>1510</v>
      </c>
      <c r="E2576" s="10" t="s">
        <v>13</v>
      </c>
      <c r="F2576" s="10">
        <v>2019</v>
      </c>
      <c r="G2576" s="10" t="s">
        <v>14</v>
      </c>
      <c r="H2576" s="11" t="s">
        <v>1247</v>
      </c>
      <c r="I2576" s="10" t="s">
        <v>242</v>
      </c>
      <c r="J2576" s="131"/>
      <c r="K2576" s="149" t="s">
        <v>2919</v>
      </c>
    </row>
    <row r="2577" spans="1:11" ht="28.9" customHeight="1" thickTop="1" thickBot="1" x14ac:dyDescent="0.75">
      <c r="A2577" s="10">
        <v>2575</v>
      </c>
      <c r="B2577" s="57" t="str">
        <f>HYPERLINK("https://search.naver.com/search.naver?query=장산범 영화", "장산범")</f>
        <v>장산범</v>
      </c>
      <c r="C2577" s="8">
        <v>7.42</v>
      </c>
      <c r="D2577" s="9" t="s">
        <v>5180</v>
      </c>
      <c r="E2577" s="6" t="s">
        <v>13</v>
      </c>
      <c r="F2577" s="6">
        <v>2017</v>
      </c>
      <c r="G2577" s="6" t="s">
        <v>14</v>
      </c>
      <c r="H2577" s="7" t="s">
        <v>382</v>
      </c>
      <c r="I2577" s="6" t="s">
        <v>150</v>
      </c>
      <c r="J2577" s="130"/>
      <c r="K2577" s="148" t="s">
        <v>5181</v>
      </c>
    </row>
    <row r="2578" spans="1:11" ht="28.9" customHeight="1" thickTop="1" thickBot="1" x14ac:dyDescent="0.75">
      <c r="A2578" s="6">
        <v>2576</v>
      </c>
      <c r="B2578" s="58" t="str">
        <f>HYPERLINK("https://search.naver.com/search.naver?query=장수상회 영화", "장수상회")</f>
        <v>장수상회</v>
      </c>
      <c r="C2578" s="12">
        <v>8.6999999999999993</v>
      </c>
      <c r="D2578" s="13" t="s">
        <v>5182</v>
      </c>
      <c r="E2578" s="10" t="s">
        <v>13</v>
      </c>
      <c r="F2578" s="10">
        <v>2014</v>
      </c>
      <c r="G2578" s="10" t="s">
        <v>14</v>
      </c>
      <c r="H2578" s="11" t="s">
        <v>20</v>
      </c>
      <c r="I2578" s="10" t="s">
        <v>175</v>
      </c>
      <c r="J2578" s="131"/>
      <c r="K2578" s="149" t="s">
        <v>5183</v>
      </c>
    </row>
    <row r="2579" spans="1:11" ht="28.9" customHeight="1" thickTop="1" thickBot="1" x14ac:dyDescent="0.75">
      <c r="A2579" s="10">
        <v>2577</v>
      </c>
      <c r="B2579" s="59" t="str">
        <f>HYPERLINK("https://search.naver.com/search.naver?query=재난 그 이후 완결", "재난 그 이후 완결")</f>
        <v>재난 그 이후 완결</v>
      </c>
      <c r="C2579" s="16"/>
      <c r="D2579" s="17" t="s">
        <v>5184</v>
      </c>
      <c r="E2579" s="14" t="s">
        <v>24</v>
      </c>
      <c r="F2579" s="14">
        <v>2022</v>
      </c>
      <c r="G2579" s="14" t="s">
        <v>20</v>
      </c>
      <c r="H2579" s="15" t="s">
        <v>20</v>
      </c>
      <c r="I2579" s="14" t="s">
        <v>71</v>
      </c>
      <c r="J2579" s="132"/>
      <c r="K2579" s="150" t="s">
        <v>2845</v>
      </c>
    </row>
    <row r="2580" spans="1:11" ht="28.9" customHeight="1" thickTop="1" thickBot="1" x14ac:dyDescent="0.75">
      <c r="A2580" s="10">
        <v>2578</v>
      </c>
      <c r="B2580" s="58" t="str">
        <f>HYPERLINK("https://search.naver.com/search.naver?query=재심 영화", "재심")</f>
        <v>재심</v>
      </c>
      <c r="C2580" s="12">
        <v>8.7100000000000009</v>
      </c>
      <c r="D2580" s="13" t="s">
        <v>5185</v>
      </c>
      <c r="E2580" s="10" t="s">
        <v>13</v>
      </c>
      <c r="F2580" s="10">
        <v>2016</v>
      </c>
      <c r="G2580" s="10" t="s">
        <v>14</v>
      </c>
      <c r="H2580" s="11" t="s">
        <v>20</v>
      </c>
      <c r="I2580" s="10" t="s">
        <v>68</v>
      </c>
      <c r="J2580" s="131"/>
      <c r="K2580" s="149" t="s">
        <v>5186</v>
      </c>
    </row>
    <row r="2581" spans="1:11" ht="28.9" customHeight="1" thickTop="1" thickBot="1" x14ac:dyDescent="0.75">
      <c r="A2581" s="6">
        <v>2579</v>
      </c>
      <c r="B2581" s="57" t="str">
        <f>HYPERLINK("https://search.naver.com/search.naver?query=재키의 링 영화", "재키의 링")</f>
        <v>재키의 링</v>
      </c>
      <c r="C2581" s="8">
        <v>8.5500000000000007</v>
      </c>
      <c r="D2581" s="9" t="s">
        <v>5187</v>
      </c>
      <c r="E2581" s="6" t="s">
        <v>24</v>
      </c>
      <c r="F2581" s="6">
        <v>2020</v>
      </c>
      <c r="G2581" s="6" t="s">
        <v>14</v>
      </c>
      <c r="H2581" s="7" t="s">
        <v>20</v>
      </c>
      <c r="I2581" s="6" t="s">
        <v>85</v>
      </c>
      <c r="J2581" s="130"/>
      <c r="K2581" s="148" t="s">
        <v>5188</v>
      </c>
    </row>
    <row r="2582" spans="1:11" ht="28.9" customHeight="1" thickTop="1" thickBot="1" x14ac:dyDescent="0.75">
      <c r="A2582" s="10">
        <v>2580</v>
      </c>
      <c r="B2582" s="58" t="str">
        <f>HYPERLINK("https://search.naver.com/search.naver?query=잭 라이언 코드네임 쉐도우 영화", "잭 라이언 - 코드네임 쉐도우")</f>
        <v>잭 라이언 - 코드네임 쉐도우</v>
      </c>
      <c r="C2582" s="12">
        <v>6.65</v>
      </c>
      <c r="D2582" s="13" t="s">
        <v>5189</v>
      </c>
      <c r="E2582" s="10" t="s">
        <v>24</v>
      </c>
      <c r="F2582" s="10">
        <v>2014</v>
      </c>
      <c r="G2582" s="10" t="s">
        <v>14</v>
      </c>
      <c r="H2582" s="11" t="s">
        <v>124</v>
      </c>
      <c r="I2582" s="10" t="s">
        <v>175</v>
      </c>
      <c r="J2582" s="131"/>
      <c r="K2582" s="149" t="s">
        <v>5190</v>
      </c>
    </row>
    <row r="2583" spans="1:11" ht="28.9" customHeight="1" thickTop="1" thickBot="1" x14ac:dyDescent="0.75">
      <c r="A2583" s="10">
        <v>2581</v>
      </c>
      <c r="B2583" s="57" t="str">
        <f>HYPERLINK("https://search.naver.com/search.naver?query=잭 리처 영화", "잭 리처")</f>
        <v>잭 리처</v>
      </c>
      <c r="C2583" s="8">
        <v>8.14</v>
      </c>
      <c r="D2583" s="9" t="s">
        <v>5191</v>
      </c>
      <c r="E2583" s="6" t="s">
        <v>24</v>
      </c>
      <c r="F2583" s="6">
        <v>2012</v>
      </c>
      <c r="G2583" s="6" t="s">
        <v>14</v>
      </c>
      <c r="H2583" s="7" t="s">
        <v>124</v>
      </c>
      <c r="I2583" s="6" t="s">
        <v>42</v>
      </c>
      <c r="J2583" s="130"/>
      <c r="K2583" s="148" t="s">
        <v>5192</v>
      </c>
    </row>
    <row r="2584" spans="1:11" ht="28.9" customHeight="1" thickTop="1" thickBot="1" x14ac:dyDescent="0.75">
      <c r="A2584" s="6">
        <v>2582</v>
      </c>
      <c r="B2584" s="58" t="str">
        <f>HYPERLINK("https://search.naver.com/search.naver?query=잭 리처 네버 고 백 영화", "잭 리처 - 네버 고 백")</f>
        <v>잭 리처 - 네버 고 백</v>
      </c>
      <c r="C2584" s="12">
        <v>8.14</v>
      </c>
      <c r="D2584" s="13" t="s">
        <v>5193</v>
      </c>
      <c r="E2584" s="10" t="s">
        <v>24</v>
      </c>
      <c r="F2584" s="10">
        <v>2016</v>
      </c>
      <c r="G2584" s="10" t="s">
        <v>14</v>
      </c>
      <c r="H2584" s="11" t="s">
        <v>124</v>
      </c>
      <c r="I2584" s="10" t="s">
        <v>329</v>
      </c>
      <c r="J2584" s="131"/>
      <c r="K2584" s="149" t="s">
        <v>5194</v>
      </c>
    </row>
    <row r="2585" spans="1:11" ht="28.9" customHeight="1" thickTop="1" thickBot="1" x14ac:dyDescent="0.75">
      <c r="A2585" s="10">
        <v>2583</v>
      </c>
      <c r="B2585" s="57" t="str">
        <f>HYPERLINK("https://search.naver.com/search.naver?query=쟈니 잉글리쉬 스트라이크 어게인 영화", "쟈니 잉글리쉬 스트라이크 어게인")</f>
        <v>쟈니 잉글리쉬 스트라이크 어게인</v>
      </c>
      <c r="C2585" s="8">
        <v>6.4</v>
      </c>
      <c r="D2585" s="9" t="s">
        <v>5195</v>
      </c>
      <c r="E2585" s="6" t="s">
        <v>29</v>
      </c>
      <c r="F2585" s="6">
        <v>2018</v>
      </c>
      <c r="G2585" s="6" t="s">
        <v>14</v>
      </c>
      <c r="H2585" s="7" t="s">
        <v>91</v>
      </c>
      <c r="I2585" s="6" t="s">
        <v>162</v>
      </c>
      <c r="J2585" s="130"/>
      <c r="K2585" s="148" t="s">
        <v>5196</v>
      </c>
    </row>
    <row r="2586" spans="1:11" ht="28.9" customHeight="1" thickTop="1" thickBot="1" x14ac:dyDescent="0.75">
      <c r="A2586" s="10">
        <v>2584</v>
      </c>
      <c r="B2586" s="58" t="str">
        <f>HYPERLINK("https://search.naver.com/search.naver?query=저널 포 조던 영화", "저널 포 조던")</f>
        <v>저널 포 조던</v>
      </c>
      <c r="C2586" s="12">
        <v>8.83</v>
      </c>
      <c r="D2586" s="13" t="s">
        <v>5197</v>
      </c>
      <c r="E2586" s="10" t="s">
        <v>24</v>
      </c>
      <c r="F2586" s="10">
        <v>2021</v>
      </c>
      <c r="G2586" s="10" t="s">
        <v>14</v>
      </c>
      <c r="H2586" s="11" t="s">
        <v>20</v>
      </c>
      <c r="I2586" s="10" t="s">
        <v>432</v>
      </c>
      <c r="J2586" s="131"/>
      <c r="K2586" s="149" t="s">
        <v>5198</v>
      </c>
    </row>
    <row r="2587" spans="1:11" ht="28.9" customHeight="1" thickTop="1" thickBot="1" x14ac:dyDescent="0.75">
      <c r="A2587" s="6">
        <v>2585</v>
      </c>
      <c r="B2587" s="57" t="str">
        <f>HYPERLINK("https://search.naver.com/search.naver?query=저니스 엔드 영화", "저니스 엔드")</f>
        <v>저니스 엔드</v>
      </c>
      <c r="C2587" s="8">
        <v>9.5</v>
      </c>
      <c r="D2587" s="9" t="s">
        <v>5199</v>
      </c>
      <c r="E2587" s="6" t="s">
        <v>29</v>
      </c>
      <c r="F2587" s="6">
        <v>2017</v>
      </c>
      <c r="G2587" s="6" t="s">
        <v>14</v>
      </c>
      <c r="H2587" s="7" t="s">
        <v>20</v>
      </c>
      <c r="I2587" s="6" t="s">
        <v>101</v>
      </c>
      <c r="J2587" s="130"/>
      <c r="K2587" s="148" t="s">
        <v>2168</v>
      </c>
    </row>
    <row r="2588" spans="1:11" ht="28.9" customHeight="1" thickTop="1" thickBot="1" x14ac:dyDescent="0.75">
      <c r="A2588" s="10">
        <v>2586</v>
      </c>
      <c r="B2588" s="58" t="str">
        <f>HYPERLINK("https://search.naver.com/search.naver?query=저스트 라이크 헤븐 영화", "저스트 라이크 헤븐")</f>
        <v>저스트 라이크 헤븐</v>
      </c>
      <c r="C2588" s="12">
        <v>8.17</v>
      </c>
      <c r="D2588" s="13" t="s">
        <v>5200</v>
      </c>
      <c r="E2588" s="10" t="s">
        <v>24</v>
      </c>
      <c r="F2588" s="10">
        <v>2005</v>
      </c>
      <c r="G2588" s="10" t="s">
        <v>14</v>
      </c>
      <c r="H2588" s="11" t="s">
        <v>91</v>
      </c>
      <c r="I2588" s="10" t="s">
        <v>150</v>
      </c>
      <c r="J2588" s="131"/>
      <c r="K2588" s="149" t="s">
        <v>4878</v>
      </c>
    </row>
    <row r="2589" spans="1:11" ht="28.9" customHeight="1" thickTop="1" thickBot="1" x14ac:dyDescent="0.75">
      <c r="A2589" s="10">
        <v>2587</v>
      </c>
      <c r="B2589" s="57" t="str">
        <f>HYPERLINK("https://search.naver.com/search.naver?query=저스트 렛 고 영화", "저스트 렛 고")</f>
        <v>저스트 렛 고</v>
      </c>
      <c r="C2589" s="8">
        <v>6.4</v>
      </c>
      <c r="D2589" s="9" t="s">
        <v>5201</v>
      </c>
      <c r="E2589" s="6" t="s">
        <v>24</v>
      </c>
      <c r="F2589" s="6">
        <v>2016</v>
      </c>
      <c r="G2589" s="6" t="s">
        <v>14</v>
      </c>
      <c r="H2589" s="7" t="s">
        <v>20</v>
      </c>
      <c r="I2589" s="6" t="s">
        <v>175</v>
      </c>
      <c r="J2589" s="130"/>
      <c r="K2589" s="148" t="s">
        <v>5202</v>
      </c>
    </row>
    <row r="2590" spans="1:11" ht="28.9" customHeight="1" thickTop="1" thickBot="1" x14ac:dyDescent="0.75">
      <c r="A2590" s="6">
        <v>2588</v>
      </c>
      <c r="B2590" s="58" t="str">
        <f>HYPERLINK("https://search.naver.com/search.naver?query=저스트 머시 영화", "저스트 머시")</f>
        <v>저스트 머시</v>
      </c>
      <c r="C2590" s="12">
        <v>9.4</v>
      </c>
      <c r="D2590" s="13" t="s">
        <v>5203</v>
      </c>
      <c r="E2590" s="10" t="s">
        <v>24</v>
      </c>
      <c r="F2590" s="10">
        <v>2019</v>
      </c>
      <c r="G2590" s="10" t="s">
        <v>14</v>
      </c>
      <c r="H2590" s="11" t="s">
        <v>20</v>
      </c>
      <c r="I2590" s="10" t="s">
        <v>578</v>
      </c>
      <c r="J2590" s="131"/>
      <c r="K2590" s="149" t="s">
        <v>1171</v>
      </c>
    </row>
    <row r="2591" spans="1:11" ht="28.9" customHeight="1" thickTop="1" thickBot="1" x14ac:dyDescent="0.75">
      <c r="A2591" s="10">
        <v>2589</v>
      </c>
      <c r="B2591" s="57" t="str">
        <f>HYPERLINK("https://search.naver.com/search.naver?query=저스티스 영화", "저스티스")</f>
        <v>저스티스</v>
      </c>
      <c r="C2591" s="8">
        <v>7.1</v>
      </c>
      <c r="D2591" s="9" t="s">
        <v>5204</v>
      </c>
      <c r="E2591" s="6" t="s">
        <v>24</v>
      </c>
      <c r="F2591" s="6">
        <v>2012</v>
      </c>
      <c r="G2591" s="6" t="s">
        <v>14</v>
      </c>
      <c r="H2591" s="7" t="s">
        <v>20</v>
      </c>
      <c r="I2591" s="6" t="s">
        <v>150</v>
      </c>
      <c r="J2591" s="130"/>
      <c r="K2591" s="148" t="s">
        <v>5205</v>
      </c>
    </row>
    <row r="2592" spans="1:11" ht="28.9" customHeight="1" thickTop="1" thickBot="1" x14ac:dyDescent="0.75">
      <c r="A2592" s="10">
        <v>2590</v>
      </c>
      <c r="B2592" s="58" t="str">
        <f>HYPERLINK("https://search.naver.com/search.naver?query=적과의 동침1991", "적과의 동침")</f>
        <v>적과의 동침</v>
      </c>
      <c r="C2592" s="12">
        <v>8.09</v>
      </c>
      <c r="D2592" s="13" t="s">
        <v>5206</v>
      </c>
      <c r="E2592" s="10" t="s">
        <v>24</v>
      </c>
      <c r="F2592" s="10">
        <v>1991</v>
      </c>
      <c r="G2592" s="10" t="s">
        <v>14</v>
      </c>
      <c r="H2592" s="11" t="s">
        <v>54</v>
      </c>
      <c r="I2592" s="10" t="s">
        <v>109</v>
      </c>
      <c r="J2592" s="131"/>
      <c r="K2592" s="149" t="s">
        <v>5207</v>
      </c>
    </row>
    <row r="2593" spans="1:11" ht="28.9" customHeight="1" thickTop="1" thickBot="1" x14ac:dyDescent="0.75">
      <c r="A2593" s="6">
        <v>2591</v>
      </c>
      <c r="B2593" s="57" t="str">
        <f>HYPERLINK("https://search.naver.com/search.naver?query=전,란 영화", "전,란")</f>
        <v>전,란</v>
      </c>
      <c r="C2593" s="8">
        <v>8.35</v>
      </c>
      <c r="D2593" s="9" t="s">
        <v>5208</v>
      </c>
      <c r="E2593" s="6" t="s">
        <v>13</v>
      </c>
      <c r="F2593" s="6">
        <v>2024</v>
      </c>
      <c r="G2593" s="6" t="s">
        <v>14</v>
      </c>
      <c r="H2593" s="7" t="s">
        <v>1548</v>
      </c>
      <c r="I2593" s="6" t="s">
        <v>129</v>
      </c>
      <c r="J2593" s="130"/>
      <c r="K2593" s="148" t="s">
        <v>5209</v>
      </c>
    </row>
    <row r="2594" spans="1:11" ht="28.9" customHeight="1" thickTop="1" thickBot="1" x14ac:dyDescent="0.75">
      <c r="A2594" s="10">
        <v>2592</v>
      </c>
      <c r="B2594" s="59" t="str">
        <f>HYPERLINK("https://search.naver.com/search.naver?query=전과자 시즌1", "전과자 시즌1")</f>
        <v>전과자 시즌1</v>
      </c>
      <c r="C2594" s="16"/>
      <c r="D2594" s="17" t="s">
        <v>5210</v>
      </c>
      <c r="E2594" s="14" t="s">
        <v>19</v>
      </c>
      <c r="F2594" s="14">
        <v>2021</v>
      </c>
      <c r="G2594" s="14" t="s">
        <v>20</v>
      </c>
      <c r="H2594" s="15" t="s">
        <v>20</v>
      </c>
      <c r="I2594" s="14" t="s">
        <v>71</v>
      </c>
      <c r="J2594" s="132"/>
      <c r="K2594" s="150" t="s">
        <v>5211</v>
      </c>
    </row>
    <row r="2595" spans="1:11" ht="28.9" customHeight="1" thickTop="1" thickBot="1" x14ac:dyDescent="0.75">
      <c r="A2595" s="10">
        <v>2593</v>
      </c>
      <c r="B2595" s="57" t="str">
        <f>HYPERLINK("https://search.naver.com/search.naver?query=전국노래자랑 영화", "전국노래자랑")</f>
        <v>전국노래자랑</v>
      </c>
      <c r="C2595" s="8">
        <v>8.01</v>
      </c>
      <c r="D2595" s="9" t="s">
        <v>5212</v>
      </c>
      <c r="E2595" s="6" t="s">
        <v>13</v>
      </c>
      <c r="F2595" s="6">
        <v>2013</v>
      </c>
      <c r="G2595" s="6" t="s">
        <v>14</v>
      </c>
      <c r="H2595" s="7" t="s">
        <v>91</v>
      </c>
      <c r="I2595" s="6" t="s">
        <v>150</v>
      </c>
      <c r="J2595" s="130"/>
      <c r="K2595" s="148" t="s">
        <v>5213</v>
      </c>
    </row>
    <row r="2596" spans="1:11" ht="28.9" customHeight="1" thickTop="1" thickBot="1" x14ac:dyDescent="0.75">
      <c r="A2596" s="6">
        <v>2594</v>
      </c>
      <c r="B2596" s="58" t="str">
        <f>HYPERLINK("https://search.naver.com/search.naver?query=전망 좋은 집 영화", "전망 좋은 집")</f>
        <v>전망 좋은 집</v>
      </c>
      <c r="C2596" s="12">
        <v>5.96</v>
      </c>
      <c r="D2596" s="13" t="s">
        <v>5214</v>
      </c>
      <c r="E2596" s="10" t="s">
        <v>13</v>
      </c>
      <c r="F2596" s="10">
        <v>2012</v>
      </c>
      <c r="G2596" s="10" t="s">
        <v>14</v>
      </c>
      <c r="H2596" s="11" t="s">
        <v>20</v>
      </c>
      <c r="I2596" s="10" t="s">
        <v>150</v>
      </c>
      <c r="J2596" s="131"/>
      <c r="K2596" s="149" t="s">
        <v>5215</v>
      </c>
    </row>
    <row r="2597" spans="1:11" ht="28.9" customHeight="1" thickTop="1" thickBot="1" x14ac:dyDescent="0.75">
      <c r="A2597" s="10">
        <v>2595</v>
      </c>
      <c r="B2597" s="57" t="str">
        <f>HYPERLINK("https://search.naver.com/search.naver?query=전설의 주먹 영화", "전설의 주먹")</f>
        <v>전설의 주먹</v>
      </c>
      <c r="C2597" s="8">
        <v>7.55</v>
      </c>
      <c r="D2597" s="9" t="s">
        <v>5216</v>
      </c>
      <c r="E2597" s="6" t="s">
        <v>13</v>
      </c>
      <c r="F2597" s="6">
        <v>2012</v>
      </c>
      <c r="G2597" s="6" t="s">
        <v>14</v>
      </c>
      <c r="H2597" s="7" t="s">
        <v>20</v>
      </c>
      <c r="I2597" s="6" t="s">
        <v>305</v>
      </c>
      <c r="J2597" s="130"/>
      <c r="K2597" s="148" t="s">
        <v>5217</v>
      </c>
    </row>
    <row r="2598" spans="1:11" ht="28.9" customHeight="1" thickTop="1" thickBot="1" x14ac:dyDescent="0.75">
      <c r="A2598" s="10">
        <v>2596</v>
      </c>
      <c r="B2598" s="58" t="str">
        <f>HYPERLINK("https://search.naver.com/search.naver?query=전장의 피아니스트 영화", "전장의 피아니스트")</f>
        <v>전장의 피아니스트</v>
      </c>
      <c r="C2598" s="12">
        <v>7.33</v>
      </c>
      <c r="D2598" s="13" t="s">
        <v>5218</v>
      </c>
      <c r="E2598" s="10" t="s">
        <v>300</v>
      </c>
      <c r="F2598" s="10">
        <v>2022</v>
      </c>
      <c r="G2598" s="10" t="s">
        <v>14</v>
      </c>
      <c r="H2598" s="11" t="s">
        <v>20</v>
      </c>
      <c r="I2598" s="10" t="s">
        <v>150</v>
      </c>
      <c r="J2598" s="131"/>
      <c r="K2598" s="149" t="s">
        <v>5219</v>
      </c>
    </row>
    <row r="2599" spans="1:11" ht="28.9" customHeight="1" thickTop="1" thickBot="1" x14ac:dyDescent="0.75">
      <c r="A2599" s="6">
        <v>2597</v>
      </c>
      <c r="B2599" s="59" t="str">
        <f>HYPERLINK("https://search.naver.com/search.naver?query=전쟁과 평화 6부작", "전쟁과 평화 6부작")</f>
        <v>전쟁과 평화 6부작</v>
      </c>
      <c r="C2599" s="16"/>
      <c r="D2599" s="17" t="s">
        <v>5220</v>
      </c>
      <c r="E2599" s="14" t="s">
        <v>29</v>
      </c>
      <c r="F2599" s="14">
        <v>2016</v>
      </c>
      <c r="G2599" s="14" t="s">
        <v>20</v>
      </c>
      <c r="H2599" s="15" t="s">
        <v>20</v>
      </c>
      <c r="I2599" s="14" t="s">
        <v>247</v>
      </c>
      <c r="J2599" s="132"/>
      <c r="K2599" s="150" t="s">
        <v>5221</v>
      </c>
    </row>
    <row r="2600" spans="1:11" ht="28.9" customHeight="1" thickTop="1" thickBot="1" x14ac:dyDescent="0.75">
      <c r="A2600" s="10">
        <v>2598</v>
      </c>
      <c r="B2600" s="58" t="str">
        <f>HYPERLINK("https://search.naver.com/search.naver?query=전쟁의 사상자들 영화", "전쟁의 사상자들")</f>
        <v>전쟁의 사상자들</v>
      </c>
      <c r="C2600" s="12">
        <v>6.4</v>
      </c>
      <c r="D2600" s="13" t="s">
        <v>5222</v>
      </c>
      <c r="E2600" s="10" t="s">
        <v>24</v>
      </c>
      <c r="F2600" s="10">
        <v>1989</v>
      </c>
      <c r="G2600" s="10" t="s">
        <v>14</v>
      </c>
      <c r="H2600" s="11" t="s">
        <v>1247</v>
      </c>
      <c r="I2600" s="10" t="s">
        <v>98</v>
      </c>
      <c r="J2600" s="131"/>
      <c r="K2600" s="149" t="s">
        <v>5223</v>
      </c>
    </row>
    <row r="2601" spans="1:11" ht="28.9" customHeight="1" thickTop="1" thickBot="1" x14ac:dyDescent="0.75">
      <c r="A2601" s="10">
        <v>2599</v>
      </c>
      <c r="B2601" s="57" t="str">
        <f>HYPERLINK("https://search.naver.com/search.naver?query=전차남 영화", "전차남")</f>
        <v>전차남</v>
      </c>
      <c r="C2601" s="8">
        <v>7.82</v>
      </c>
      <c r="D2601" s="9" t="s">
        <v>5224</v>
      </c>
      <c r="E2601" s="6" t="s">
        <v>19</v>
      </c>
      <c r="F2601" s="6">
        <v>2005</v>
      </c>
      <c r="G2601" s="6" t="s">
        <v>14</v>
      </c>
      <c r="H2601" s="7" t="s">
        <v>165</v>
      </c>
      <c r="I2601" s="6" t="s">
        <v>175</v>
      </c>
      <c r="J2601" s="130"/>
      <c r="K2601" s="148" t="s">
        <v>5225</v>
      </c>
    </row>
    <row r="2602" spans="1:11" ht="28.9" customHeight="1" thickTop="1" thickBot="1" x14ac:dyDescent="0.75">
      <c r="A2602" s="6">
        <v>2600</v>
      </c>
      <c r="B2602" s="58" t="str">
        <f>HYPERLINK("https://search.naver.com/search.naver?query=점쟁이들 영화", "점쟁이들")</f>
        <v>점쟁이들</v>
      </c>
      <c r="C2602" s="12">
        <v>5.85</v>
      </c>
      <c r="D2602" s="13" t="s">
        <v>5226</v>
      </c>
      <c r="E2602" s="10" t="s">
        <v>13</v>
      </c>
      <c r="F2602" s="10">
        <v>2012</v>
      </c>
      <c r="G2602" s="10" t="s">
        <v>14</v>
      </c>
      <c r="H2602" s="11" t="s">
        <v>91</v>
      </c>
      <c r="I2602" s="10" t="s">
        <v>150</v>
      </c>
      <c r="J2602" s="131"/>
      <c r="K2602" s="149" t="s">
        <v>5227</v>
      </c>
    </row>
    <row r="2603" spans="1:11" ht="28.9" customHeight="1" thickTop="1" thickBot="1" x14ac:dyDescent="0.75">
      <c r="A2603" s="10">
        <v>2601</v>
      </c>
      <c r="B2603" s="57" t="str">
        <f>HYPERLINK("https://search.naver.com/search.naver?query=정글 영화", "정글")</f>
        <v>정글</v>
      </c>
      <c r="C2603" s="8">
        <v>8.51</v>
      </c>
      <c r="D2603" s="9" t="s">
        <v>5228</v>
      </c>
      <c r="E2603" s="6" t="s">
        <v>45</v>
      </c>
      <c r="F2603" s="6">
        <v>2017</v>
      </c>
      <c r="G2603" s="6" t="s">
        <v>14</v>
      </c>
      <c r="H2603" s="7" t="s">
        <v>1452</v>
      </c>
      <c r="I2603" s="6" t="s">
        <v>60</v>
      </c>
      <c r="J2603" s="130"/>
      <c r="K2603" s="148" t="s">
        <v>5229</v>
      </c>
    </row>
    <row r="2604" spans="1:11" ht="28.9" customHeight="1" thickTop="1" thickBot="1" x14ac:dyDescent="0.75">
      <c r="A2604" s="10">
        <v>2602</v>
      </c>
      <c r="B2604" s="58" t="str">
        <f>HYPERLINK("https://search.naver.com/search.naver?query=정글 크루즈 영화", "정글 크루즈")</f>
        <v>정글 크루즈</v>
      </c>
      <c r="C2604" s="12">
        <v>7.49</v>
      </c>
      <c r="D2604" s="13" t="s">
        <v>5230</v>
      </c>
      <c r="E2604" s="10" t="s">
        <v>24</v>
      </c>
      <c r="F2604" s="10">
        <v>2021</v>
      </c>
      <c r="G2604" s="10" t="s">
        <v>14</v>
      </c>
      <c r="H2604" s="11" t="s">
        <v>1452</v>
      </c>
      <c r="I2604" s="10" t="s">
        <v>210</v>
      </c>
      <c r="J2604" s="131"/>
      <c r="K2604" s="149" t="s">
        <v>5231</v>
      </c>
    </row>
    <row r="2605" spans="1:11" ht="28.9" customHeight="1" thickTop="1" thickBot="1" x14ac:dyDescent="0.75">
      <c r="A2605" s="6">
        <v>2603</v>
      </c>
      <c r="B2605" s="57" t="str">
        <f>HYPERLINK("https://search.naver.com/search.naver?query=정글북 영화", "정글북")</f>
        <v>정글북</v>
      </c>
      <c r="C2605" s="8">
        <v>5.14</v>
      </c>
      <c r="D2605" s="9" t="s">
        <v>5232</v>
      </c>
      <c r="E2605" s="6" t="s">
        <v>24</v>
      </c>
      <c r="F2605" s="6">
        <v>2016</v>
      </c>
      <c r="G2605" s="6" t="s">
        <v>14</v>
      </c>
      <c r="H2605" s="7" t="s">
        <v>1452</v>
      </c>
      <c r="I2605" s="6" t="s">
        <v>443</v>
      </c>
      <c r="J2605" s="130"/>
      <c r="K2605" s="148" t="s">
        <v>5233</v>
      </c>
    </row>
    <row r="2606" spans="1:11" ht="28.9" customHeight="1" thickTop="1" thickBot="1" x14ac:dyDescent="0.75">
      <c r="A2606" s="10">
        <v>2604</v>
      </c>
      <c r="B2606" s="58" t="str">
        <f>HYPERLINK("https://search.naver.com/search.naver?query=정직한 후보 영화", "정직한 후보")</f>
        <v>정직한 후보</v>
      </c>
      <c r="C2606" s="12">
        <v>6.87</v>
      </c>
      <c r="D2606" s="13" t="s">
        <v>5234</v>
      </c>
      <c r="E2606" s="10" t="s">
        <v>13</v>
      </c>
      <c r="F2606" s="10">
        <v>2020</v>
      </c>
      <c r="G2606" s="10" t="s">
        <v>14</v>
      </c>
      <c r="H2606" s="11" t="s">
        <v>91</v>
      </c>
      <c r="I2606" s="10" t="s">
        <v>242</v>
      </c>
      <c r="J2606" s="131"/>
      <c r="K2606" s="149" t="s">
        <v>5235</v>
      </c>
    </row>
    <row r="2607" spans="1:11" ht="28.9" customHeight="1" thickTop="1" thickBot="1" x14ac:dyDescent="0.75">
      <c r="A2607" s="10">
        <v>2605</v>
      </c>
      <c r="B2607" s="57" t="str">
        <f>HYPERLINK("https://search.naver.com/search.naver?query=제3의 사랑 영화", "제3의 사랑")</f>
        <v>제3의 사랑</v>
      </c>
      <c r="C2607" s="8">
        <v>8.3800000000000008</v>
      </c>
      <c r="D2607" s="9" t="s">
        <v>5236</v>
      </c>
      <c r="E2607" s="6" t="s">
        <v>186</v>
      </c>
      <c r="F2607" s="6">
        <v>2014</v>
      </c>
      <c r="G2607" s="6" t="s">
        <v>14</v>
      </c>
      <c r="H2607" s="7" t="s">
        <v>165</v>
      </c>
      <c r="I2607" s="6" t="s">
        <v>150</v>
      </c>
      <c r="J2607" s="130"/>
      <c r="K2607" s="148" t="s">
        <v>5237</v>
      </c>
    </row>
    <row r="2608" spans="1:11" ht="28.9" customHeight="1" thickTop="1" thickBot="1" x14ac:dyDescent="0.75">
      <c r="A2608" s="6">
        <v>2606</v>
      </c>
      <c r="B2608" s="58" t="str">
        <f>HYPERLINK("https://search.naver.com/search.naver?query=제5계급 영화", "제5계급")</f>
        <v>제5계급</v>
      </c>
      <c r="C2608" s="12">
        <v>6.4</v>
      </c>
      <c r="D2608" s="13" t="s">
        <v>5238</v>
      </c>
      <c r="E2608" s="10" t="s">
        <v>24</v>
      </c>
      <c r="F2608" s="10">
        <v>2013</v>
      </c>
      <c r="G2608" s="10" t="s">
        <v>14</v>
      </c>
      <c r="H2608" s="11" t="s">
        <v>20</v>
      </c>
      <c r="I2608" s="10" t="s">
        <v>146</v>
      </c>
      <c r="J2608" s="131"/>
      <c r="K2608" s="149" t="s">
        <v>5239</v>
      </c>
    </row>
    <row r="2609" spans="1:11" ht="28.9" customHeight="1" thickTop="1" thickBot="1" x14ac:dyDescent="0.75">
      <c r="A2609" s="10">
        <v>2607</v>
      </c>
      <c r="B2609" s="57" t="str">
        <f>HYPERLINK("https://search.naver.com/search.naver?query=제8요일 영화", "제8요일")</f>
        <v>제8요일</v>
      </c>
      <c r="C2609" s="8">
        <v>8.94</v>
      </c>
      <c r="D2609" s="9" t="s">
        <v>5240</v>
      </c>
      <c r="E2609" s="6" t="s">
        <v>858</v>
      </c>
      <c r="F2609" s="6">
        <v>1996</v>
      </c>
      <c r="G2609" s="6" t="s">
        <v>14</v>
      </c>
      <c r="H2609" s="7" t="s">
        <v>20</v>
      </c>
      <c r="I2609" s="6" t="s">
        <v>329</v>
      </c>
      <c r="J2609" s="130"/>
      <c r="K2609" s="148" t="s">
        <v>5241</v>
      </c>
    </row>
    <row r="2610" spans="1:11" ht="28.9" customHeight="1" thickTop="1" thickBot="1" x14ac:dyDescent="0.75">
      <c r="A2610" s="10">
        <v>2608</v>
      </c>
      <c r="B2610" s="58" t="str">
        <f>HYPERLINK("https://search.naver.com/search.naver?query=제8일의 밤 영화", "제8일의 밤")</f>
        <v>제8일의 밤</v>
      </c>
      <c r="C2610" s="12">
        <v>4.49</v>
      </c>
      <c r="D2610" s="13" t="s">
        <v>5242</v>
      </c>
      <c r="E2610" s="10" t="s">
        <v>13</v>
      </c>
      <c r="F2610" s="10">
        <v>2021</v>
      </c>
      <c r="G2610" s="10" t="s">
        <v>14</v>
      </c>
      <c r="H2610" s="11" t="s">
        <v>382</v>
      </c>
      <c r="I2610" s="10" t="s">
        <v>60</v>
      </c>
      <c r="J2610" s="131"/>
      <c r="K2610" s="149" t="s">
        <v>5243</v>
      </c>
    </row>
    <row r="2611" spans="1:11" ht="28.9" customHeight="1" thickTop="1" thickBot="1" x14ac:dyDescent="0.75">
      <c r="A2611" s="6">
        <v>2609</v>
      </c>
      <c r="B2611" s="57" t="str">
        <f>HYPERLINK("https://search.naver.com/search.naver?query=제너럴 루주의 개선 영화", "제너럴 루주의 개선")</f>
        <v>제너럴 루주의 개선</v>
      </c>
      <c r="C2611" s="8"/>
      <c r="D2611" s="9" t="s">
        <v>5244</v>
      </c>
      <c r="E2611" s="6" t="s">
        <v>19</v>
      </c>
      <c r="F2611" s="6">
        <v>2009</v>
      </c>
      <c r="G2611" s="6" t="s">
        <v>14</v>
      </c>
      <c r="H2611" s="7" t="s">
        <v>20</v>
      </c>
      <c r="I2611" s="6" t="s">
        <v>195</v>
      </c>
      <c r="J2611" s="130"/>
      <c r="K2611" s="148" t="s">
        <v>5245</v>
      </c>
    </row>
    <row r="2612" spans="1:11" ht="28.9" customHeight="1" thickTop="1" thickBot="1" x14ac:dyDescent="0.75">
      <c r="A2612" s="10">
        <v>2610</v>
      </c>
      <c r="B2612" s="59" t="str">
        <f>HYPERLINK("https://search.naver.com/search.naver?query=제너레이션 워", "제너레이션 워")</f>
        <v>제너레이션 워</v>
      </c>
      <c r="C2612" s="16"/>
      <c r="D2612" s="17" t="s">
        <v>5246</v>
      </c>
      <c r="E2612" s="14" t="s">
        <v>136</v>
      </c>
      <c r="F2612" s="14">
        <v>2013</v>
      </c>
      <c r="G2612" s="14" t="s">
        <v>20</v>
      </c>
      <c r="H2612" s="15" t="s">
        <v>20</v>
      </c>
      <c r="I2612" s="14" t="s">
        <v>3055</v>
      </c>
      <c r="J2612" s="132"/>
      <c r="K2612" s="150" t="s">
        <v>5247</v>
      </c>
    </row>
    <row r="2613" spans="1:11" ht="28.9" customHeight="1" thickTop="1" thickBot="1" x14ac:dyDescent="0.75">
      <c r="A2613" s="10">
        <v>2611</v>
      </c>
      <c r="B2613" s="57" t="str">
        <f>HYPERLINK("https://search.naver.com/search.naver?query=제노바 영화", "제노바")</f>
        <v>제노바</v>
      </c>
      <c r="C2613" s="8">
        <v>6.68</v>
      </c>
      <c r="D2613" s="9" t="s">
        <v>5248</v>
      </c>
      <c r="E2613" s="6" t="s">
        <v>29</v>
      </c>
      <c r="F2613" s="6">
        <v>2008</v>
      </c>
      <c r="G2613" s="6" t="s">
        <v>14</v>
      </c>
      <c r="H2613" s="7" t="s">
        <v>20</v>
      </c>
      <c r="I2613" s="6" t="s">
        <v>125</v>
      </c>
      <c r="J2613" s="130"/>
      <c r="K2613" s="148" t="s">
        <v>5249</v>
      </c>
    </row>
    <row r="2614" spans="1:11" ht="28.9" customHeight="1" thickTop="1" thickBot="1" x14ac:dyDescent="0.75">
      <c r="A2614" s="6">
        <v>2612</v>
      </c>
      <c r="B2614" s="58" t="str">
        <f>HYPERLINK("https://search.naver.com/search.naver?query=제로 다크 서티 영화", "제로 다크 서티")</f>
        <v>제로 다크 서티</v>
      </c>
      <c r="C2614" s="12">
        <v>8.2799999999999994</v>
      </c>
      <c r="D2614" s="13" t="s">
        <v>5250</v>
      </c>
      <c r="E2614" s="10" t="s">
        <v>24</v>
      </c>
      <c r="F2614" s="10">
        <v>2012</v>
      </c>
      <c r="G2614" s="10" t="s">
        <v>14</v>
      </c>
      <c r="H2614" s="11" t="s">
        <v>20</v>
      </c>
      <c r="I2614" s="10" t="s">
        <v>3458</v>
      </c>
      <c r="J2614" s="131"/>
      <c r="K2614" s="149" t="s">
        <v>5251</v>
      </c>
    </row>
    <row r="2615" spans="1:11" ht="28.9" customHeight="1" thickTop="1" thickBot="1" x14ac:dyDescent="0.75">
      <c r="A2615" s="10">
        <v>2613</v>
      </c>
      <c r="B2615" s="59" t="str">
        <f>HYPERLINK("https://search.naver.com/search.naver?query=제로데이", "제로데이")</f>
        <v>제로데이</v>
      </c>
      <c r="C2615" s="16"/>
      <c r="D2615" s="17" t="s">
        <v>5252</v>
      </c>
      <c r="E2615" s="14" t="s">
        <v>24</v>
      </c>
      <c r="F2615" s="14">
        <v>2025</v>
      </c>
      <c r="G2615" s="14" t="s">
        <v>20</v>
      </c>
      <c r="H2615" s="15" t="s">
        <v>20</v>
      </c>
      <c r="I2615" s="14" t="s">
        <v>247</v>
      </c>
      <c r="J2615" s="132"/>
      <c r="K2615" s="150" t="s">
        <v>5253</v>
      </c>
    </row>
    <row r="2616" spans="1:11" ht="28.9" customHeight="1" thickTop="1" thickBot="1" x14ac:dyDescent="0.75">
      <c r="A2616" s="10">
        <v>2614</v>
      </c>
      <c r="B2616" s="58" t="str">
        <f>HYPERLINK("https://search.naver.com/search.naver?query=제로포커스 영화", "제로포커스")</f>
        <v>제로포커스</v>
      </c>
      <c r="C2616" s="12">
        <v>6.91</v>
      </c>
      <c r="D2616" s="13" t="s">
        <v>5254</v>
      </c>
      <c r="E2616" s="10" t="s">
        <v>19</v>
      </c>
      <c r="F2616" s="10">
        <v>2009</v>
      </c>
      <c r="G2616" s="10" t="s">
        <v>14</v>
      </c>
      <c r="H2616" s="11" t="s">
        <v>194</v>
      </c>
      <c r="I2616" s="10" t="s">
        <v>150</v>
      </c>
      <c r="J2616" s="131"/>
      <c r="K2616" s="149" t="s">
        <v>5255</v>
      </c>
    </row>
    <row r="2617" spans="1:11" ht="28.9" customHeight="1" thickTop="1" thickBot="1" x14ac:dyDescent="0.75">
      <c r="A2617" s="6">
        <v>2615</v>
      </c>
      <c r="B2617" s="57" t="str">
        <f>HYPERLINK("https://search.naver.com/search.naver?query=제리 &amp; 마지 고 라지 영화", "제리 &amp; 마지 고 라지")</f>
        <v>제리 &amp; 마지 고 라지</v>
      </c>
      <c r="C2617" s="8">
        <v>4.8099999999999996</v>
      </c>
      <c r="D2617" s="9" t="s">
        <v>5256</v>
      </c>
      <c r="E2617" s="6" t="s">
        <v>24</v>
      </c>
      <c r="F2617" s="6">
        <v>2022</v>
      </c>
      <c r="G2617" s="6" t="s">
        <v>14</v>
      </c>
      <c r="H2617" s="7" t="s">
        <v>20</v>
      </c>
      <c r="I2617" s="6" t="s">
        <v>80</v>
      </c>
      <c r="J2617" s="130"/>
      <c r="K2617" s="148" t="s">
        <v>5257</v>
      </c>
    </row>
    <row r="2618" spans="1:11" ht="28.9" customHeight="1" thickTop="1" thickBot="1" x14ac:dyDescent="0.75">
      <c r="A2618" s="10">
        <v>2616</v>
      </c>
      <c r="B2618" s="58" t="str">
        <f>HYPERLINK("https://search.naver.com/search.naver?query=제멋대로 떨고 있어 영화", "제멋대로 떨고 있어")</f>
        <v>제멋대로 떨고 있어</v>
      </c>
      <c r="C2618" s="12">
        <v>6.4</v>
      </c>
      <c r="D2618" s="13" t="s">
        <v>5258</v>
      </c>
      <c r="E2618" s="10" t="s">
        <v>19</v>
      </c>
      <c r="F2618" s="10">
        <v>2017</v>
      </c>
      <c r="G2618" s="10" t="s">
        <v>14</v>
      </c>
      <c r="H2618" s="11" t="s">
        <v>91</v>
      </c>
      <c r="I2618" s="10" t="s">
        <v>120</v>
      </c>
      <c r="J2618" s="131"/>
      <c r="K2618" s="149" t="s">
        <v>5259</v>
      </c>
    </row>
    <row r="2619" spans="1:11" ht="28.9" customHeight="1" thickTop="1" thickBot="1" x14ac:dyDescent="0.75">
      <c r="A2619" s="10">
        <v>2617</v>
      </c>
      <c r="B2619" s="57" t="str">
        <f>HYPERLINK("https://search.naver.com/search.naver?query=제미니 맨 영화", "제미니 맨")</f>
        <v>제미니 맨</v>
      </c>
      <c r="C2619" s="8">
        <v>8.5500000000000007</v>
      </c>
      <c r="D2619" s="9" t="s">
        <v>5260</v>
      </c>
      <c r="E2619" s="6" t="s">
        <v>24</v>
      </c>
      <c r="F2619" s="6">
        <v>2019</v>
      </c>
      <c r="G2619" s="6" t="s">
        <v>14</v>
      </c>
      <c r="H2619" s="7" t="s">
        <v>124</v>
      </c>
      <c r="I2619" s="6" t="s">
        <v>120</v>
      </c>
      <c r="J2619" s="130"/>
      <c r="K2619" s="148" t="s">
        <v>5261</v>
      </c>
    </row>
    <row r="2620" spans="1:11" ht="28.9" customHeight="1" thickTop="1" thickBot="1" x14ac:dyDescent="0.75">
      <c r="A2620" s="6">
        <v>2618</v>
      </c>
      <c r="B2620" s="58" t="str">
        <f>HYPERLINK("https://search.naver.com/search.naver?query=제이 켈리 영화", "제이 켈리")</f>
        <v>제이 켈리</v>
      </c>
      <c r="C2620" s="12">
        <v>8.1199999999999992</v>
      </c>
      <c r="D2620" s="13" t="s">
        <v>5262</v>
      </c>
      <c r="E2620" s="10" t="s">
        <v>24</v>
      </c>
      <c r="F2620" s="10">
        <v>2025</v>
      </c>
      <c r="G2620" s="10" t="s">
        <v>14</v>
      </c>
      <c r="H2620" s="11" t="s">
        <v>20</v>
      </c>
      <c r="I2620" s="10" t="s">
        <v>129</v>
      </c>
      <c r="J2620" s="131"/>
      <c r="K2620" s="149" t="s">
        <v>5263</v>
      </c>
    </row>
    <row r="2621" spans="1:11" ht="28.9" customHeight="1" thickTop="1" thickBot="1" x14ac:dyDescent="0.75">
      <c r="A2621" s="10">
        <v>2619</v>
      </c>
      <c r="B2621" s="57" t="str">
        <f>HYPERLINK("https://search.naver.com/search.naver?query=제이니 존스 영화", "제이니 존스")</f>
        <v>제이니 존스</v>
      </c>
      <c r="C2621" s="8">
        <v>8.52</v>
      </c>
      <c r="D2621" s="9" t="s">
        <v>5264</v>
      </c>
      <c r="E2621" s="6" t="s">
        <v>24</v>
      </c>
      <c r="F2621" s="6">
        <v>2010</v>
      </c>
      <c r="G2621" s="6" t="s">
        <v>14</v>
      </c>
      <c r="H2621" s="7" t="s">
        <v>20</v>
      </c>
      <c r="I2621" s="6" t="s">
        <v>101</v>
      </c>
      <c r="J2621" s="130"/>
      <c r="K2621" s="148" t="s">
        <v>5265</v>
      </c>
    </row>
    <row r="2622" spans="1:11" ht="28.9" customHeight="1" thickTop="1" thickBot="1" x14ac:dyDescent="0.75">
      <c r="A2622" s="10">
        <v>2620</v>
      </c>
      <c r="B2622" s="58" t="str">
        <f>HYPERLINK("https://search.naver.com/search.naver?query=제이슨 본 영화", "제이슨 본")</f>
        <v>제이슨 본</v>
      </c>
      <c r="C2622" s="12">
        <v>8.31</v>
      </c>
      <c r="D2622" s="13" t="s">
        <v>5266</v>
      </c>
      <c r="E2622" s="10" t="s">
        <v>24</v>
      </c>
      <c r="F2622" s="10">
        <v>2016</v>
      </c>
      <c r="G2622" s="10" t="s">
        <v>14</v>
      </c>
      <c r="H2622" s="11" t="s">
        <v>124</v>
      </c>
      <c r="I2622" s="10" t="s">
        <v>76</v>
      </c>
      <c r="J2622" s="131"/>
      <c r="K2622" s="149" t="s">
        <v>5267</v>
      </c>
    </row>
    <row r="2623" spans="1:11" ht="28.9" customHeight="1" thickTop="1" thickBot="1" x14ac:dyDescent="0.75">
      <c r="A2623" s="6">
        <v>2621</v>
      </c>
      <c r="B2623" s="57" t="str">
        <f>HYPERLINK("https://search.naver.com/search.naver?query=제이콥의 거짓말 영화", "제이콥의 거짓말")</f>
        <v>제이콥의 거짓말</v>
      </c>
      <c r="C2623" s="8">
        <v>8.43</v>
      </c>
      <c r="D2623" s="9" t="s">
        <v>5268</v>
      </c>
      <c r="E2623" s="6" t="s">
        <v>24</v>
      </c>
      <c r="F2623" s="6">
        <v>1999</v>
      </c>
      <c r="G2623" s="6" t="s">
        <v>14</v>
      </c>
      <c r="H2623" s="7" t="s">
        <v>20</v>
      </c>
      <c r="I2623" s="6" t="s">
        <v>116</v>
      </c>
      <c r="J2623" s="130"/>
      <c r="K2623" s="148" t="s">
        <v>5269</v>
      </c>
    </row>
    <row r="2624" spans="1:11" ht="28.9" customHeight="1" thickTop="1" thickBot="1" x14ac:dyDescent="0.75">
      <c r="A2624" s="10">
        <v>2622</v>
      </c>
      <c r="B2624" s="58" t="str">
        <f>HYPERLINK("https://search.naver.com/search.naver?query=제인 에어 영화", "제인 에어")</f>
        <v>제인 에어</v>
      </c>
      <c r="C2624" s="12">
        <v>3.83</v>
      </c>
      <c r="D2624" s="13" t="s">
        <v>5270</v>
      </c>
      <c r="E2624" s="10" t="s">
        <v>29</v>
      </c>
      <c r="F2624" s="10">
        <v>2011</v>
      </c>
      <c r="G2624" s="10" t="s">
        <v>14</v>
      </c>
      <c r="H2624" s="11" t="s">
        <v>20</v>
      </c>
      <c r="I2624" s="10" t="s">
        <v>116</v>
      </c>
      <c r="J2624" s="131"/>
      <c r="K2624" s="149" t="s">
        <v>5271</v>
      </c>
    </row>
    <row r="2625" spans="1:11" ht="28.9" customHeight="1" thickTop="1" thickBot="1" x14ac:dyDescent="0.75">
      <c r="A2625" s="10">
        <v>2623</v>
      </c>
      <c r="B2625" s="57" t="str">
        <f>HYPERLINK("https://search.naver.com/search.naver?query=젠틀맨 영화", "젠틀맨")</f>
        <v>젠틀맨</v>
      </c>
      <c r="C2625" s="8">
        <v>6.56</v>
      </c>
      <c r="D2625" s="9" t="s">
        <v>5272</v>
      </c>
      <c r="E2625" s="6" t="s">
        <v>29</v>
      </c>
      <c r="F2625" s="6">
        <v>2019</v>
      </c>
      <c r="G2625" s="6" t="s">
        <v>14</v>
      </c>
      <c r="H2625" s="7" t="s">
        <v>124</v>
      </c>
      <c r="I2625" s="6" t="s">
        <v>98</v>
      </c>
      <c r="J2625" s="130"/>
      <c r="K2625" s="148" t="s">
        <v>5273</v>
      </c>
    </row>
    <row r="2626" spans="1:11" ht="28.9" customHeight="1" thickTop="1" thickBot="1" x14ac:dyDescent="0.75">
      <c r="A2626" s="6">
        <v>2624</v>
      </c>
      <c r="B2626" s="59" t="str">
        <f>HYPERLINK("https://search.naver.com/search.naver?query=젠틀맨 더 시리즈", "젠틀맨 더 시리즈")</f>
        <v>젠틀맨 더 시리즈</v>
      </c>
      <c r="C2626" s="16"/>
      <c r="D2626" s="17" t="s">
        <v>5274</v>
      </c>
      <c r="E2626" s="14" t="s">
        <v>29</v>
      </c>
      <c r="F2626" s="14">
        <v>2024</v>
      </c>
      <c r="G2626" s="14" t="s">
        <v>20</v>
      </c>
      <c r="H2626" s="15" t="s">
        <v>229</v>
      </c>
      <c r="I2626" s="14" t="s">
        <v>71</v>
      </c>
      <c r="J2626" s="132"/>
      <c r="K2626" s="150" t="s">
        <v>5275</v>
      </c>
    </row>
    <row r="2627" spans="1:11" ht="28.9" customHeight="1" thickTop="1" thickBot="1" x14ac:dyDescent="0.75">
      <c r="A2627" s="10">
        <v>2625</v>
      </c>
      <c r="B2627" s="57" t="str">
        <f>HYPERLINK("https://cine21.com/movie/info/?movie_id=41821", "조")</f>
        <v>조</v>
      </c>
      <c r="C2627" s="8">
        <v>7.67</v>
      </c>
      <c r="D2627" s="9" t="s">
        <v>5276</v>
      </c>
      <c r="E2627" s="6" t="s">
        <v>24</v>
      </c>
      <c r="F2627" s="6">
        <v>2013</v>
      </c>
      <c r="G2627" s="6" t="s">
        <v>14</v>
      </c>
      <c r="H2627" s="7" t="s">
        <v>20</v>
      </c>
      <c r="I2627" s="6" t="s">
        <v>120</v>
      </c>
      <c r="J2627" s="130"/>
      <c r="K2627" s="148" t="s">
        <v>5277</v>
      </c>
    </row>
    <row r="2628" spans="1:11" ht="28.9" customHeight="1" thickTop="1" thickBot="1" x14ac:dyDescent="0.75">
      <c r="A2628" s="10">
        <v>2626</v>
      </c>
      <c r="B2628" s="58" t="str">
        <f>HYPERLINK("https://search.naver.com/search.naver?query=조금씩, 천천히 안녕 영화", "조금씩, 천천히 안녕")</f>
        <v>조금씩, 천천히 안녕</v>
      </c>
      <c r="C2628" s="12">
        <v>8</v>
      </c>
      <c r="D2628" s="13" t="s">
        <v>5278</v>
      </c>
      <c r="E2628" s="10" t="s">
        <v>19</v>
      </c>
      <c r="F2628" s="10">
        <v>2019</v>
      </c>
      <c r="G2628" s="10" t="s">
        <v>14</v>
      </c>
      <c r="H2628" s="11" t="s">
        <v>20</v>
      </c>
      <c r="I2628" s="10" t="s">
        <v>150</v>
      </c>
      <c r="J2628" s="131"/>
      <c r="K2628" s="149" t="s">
        <v>5279</v>
      </c>
    </row>
    <row r="2629" spans="1:11" ht="28.9" customHeight="1" thickTop="1" thickBot="1" x14ac:dyDescent="0.75">
      <c r="A2629" s="6">
        <v>2627</v>
      </c>
      <c r="B2629" s="57" t="str">
        <f>HYPERLINK("https://search.naver.com/search.naver?query=조난자들 영화", "조난자들")</f>
        <v>조난자들</v>
      </c>
      <c r="C2629" s="8">
        <v>8.44</v>
      </c>
      <c r="D2629" s="9" t="s">
        <v>5280</v>
      </c>
      <c r="E2629" s="6" t="s">
        <v>13</v>
      </c>
      <c r="F2629" s="6">
        <v>2013</v>
      </c>
      <c r="G2629" s="6" t="s">
        <v>14</v>
      </c>
      <c r="H2629" s="7" t="s">
        <v>20</v>
      </c>
      <c r="I2629" s="6" t="s">
        <v>150</v>
      </c>
      <c r="J2629" s="130"/>
      <c r="K2629" s="148" t="s">
        <v>5281</v>
      </c>
    </row>
    <row r="2630" spans="1:11" ht="28.9" customHeight="1" thickTop="1" thickBot="1" x14ac:dyDescent="0.75">
      <c r="A2630" s="10">
        <v>2628</v>
      </c>
      <c r="B2630" s="57" t="str">
        <f>HYPERLINK("https://search.naver.com/search.naver?query=조선명탐정 사라진 놉의 딸 영화", "조선명탐정 - 사라진 놉의 딸")</f>
        <v>조선명탐정 - 사라진 놉의 딸</v>
      </c>
      <c r="C2630" s="8">
        <v>8.07</v>
      </c>
      <c r="D2630" s="9" t="s">
        <v>5282</v>
      </c>
      <c r="E2630" s="6" t="s">
        <v>13</v>
      </c>
      <c r="F2630" s="6">
        <v>2014</v>
      </c>
      <c r="G2630" s="6" t="s">
        <v>14</v>
      </c>
      <c r="H2630" s="7" t="s">
        <v>91</v>
      </c>
      <c r="I2630" s="6" t="s">
        <v>316</v>
      </c>
      <c r="J2630" s="130"/>
      <c r="K2630" s="148" t="s">
        <v>5283</v>
      </c>
    </row>
    <row r="2631" spans="1:11" ht="28.9" customHeight="1" thickTop="1" thickBot="1" x14ac:dyDescent="0.75">
      <c r="A2631" s="10">
        <v>2629</v>
      </c>
      <c r="B2631" s="58" t="str">
        <f>HYPERLINK("https://search.naver.com/search.naver?query=조선명탐정:각시투구꽃의 비밀 영화", "조선명탐정 각시투구꽃의 비밀")</f>
        <v>조선명탐정 각시투구꽃의 비밀</v>
      </c>
      <c r="C2631" s="12">
        <v>8.1300000000000008</v>
      </c>
      <c r="D2631" s="13" t="s">
        <v>5284</v>
      </c>
      <c r="E2631" s="10" t="s">
        <v>13</v>
      </c>
      <c r="F2631" s="10">
        <v>2011</v>
      </c>
      <c r="G2631" s="10" t="s">
        <v>14</v>
      </c>
      <c r="H2631" s="11" t="s">
        <v>91</v>
      </c>
      <c r="I2631" s="10" t="s">
        <v>60</v>
      </c>
      <c r="J2631" s="131"/>
      <c r="K2631" s="149" t="s">
        <v>5285</v>
      </c>
    </row>
    <row r="2632" spans="1:11" ht="28.9" customHeight="1" thickTop="1" thickBot="1" x14ac:dyDescent="0.75">
      <c r="A2632" s="6">
        <v>2630</v>
      </c>
      <c r="B2632" s="58" t="str">
        <f>HYPERLINK("https://search.naver.com/search.naver?query=조선명탐정 흡혈 괴마의 비밀 영화", "조선명탐정-흡혈 괴마의 비밀")</f>
        <v>조선명탐정-흡혈 괴마의 비밀</v>
      </c>
      <c r="C2632" s="12">
        <v>7.51</v>
      </c>
      <c r="D2632" s="13" t="s">
        <v>5286</v>
      </c>
      <c r="E2632" s="10" t="s">
        <v>13</v>
      </c>
      <c r="F2632" s="10">
        <v>2017</v>
      </c>
      <c r="G2632" s="10" t="s">
        <v>14</v>
      </c>
      <c r="H2632" s="11" t="s">
        <v>91</v>
      </c>
      <c r="I2632" s="10" t="s">
        <v>116</v>
      </c>
      <c r="J2632" s="131"/>
      <c r="K2632" s="149" t="s">
        <v>5287</v>
      </c>
    </row>
    <row r="2633" spans="1:11" ht="28.9" customHeight="1" thickTop="1" thickBot="1" x14ac:dyDescent="0.75">
      <c r="A2633" s="10">
        <v>2631</v>
      </c>
      <c r="B2633" s="57" t="str">
        <f>HYPERLINK("https://search.naver.com/search.naver?query=조이 영화", "조이")</f>
        <v>조이</v>
      </c>
      <c r="C2633" s="8">
        <v>7.94</v>
      </c>
      <c r="D2633" s="9" t="s">
        <v>5288</v>
      </c>
      <c r="E2633" s="6" t="s">
        <v>24</v>
      </c>
      <c r="F2633" s="6">
        <v>2015</v>
      </c>
      <c r="G2633" s="6" t="s">
        <v>14</v>
      </c>
      <c r="H2633" s="7" t="s">
        <v>20</v>
      </c>
      <c r="I2633" s="6" t="s">
        <v>183</v>
      </c>
      <c r="J2633" s="130"/>
      <c r="K2633" s="148" t="s">
        <v>5289</v>
      </c>
    </row>
    <row r="2634" spans="1:11" ht="28.9" customHeight="1" thickTop="1" thickBot="1" x14ac:dyDescent="0.75">
      <c r="A2634" s="10">
        <v>2632</v>
      </c>
      <c r="B2634" s="58" t="str">
        <f>HYPERLINK("https://search.naver.com/search.naver?query=조제, 호랑이 그리고 물고기들 영화", "조제, 호랑이 그리고 물고기들")</f>
        <v>조제, 호랑이 그리고 물고기들</v>
      </c>
      <c r="C2634" s="12">
        <v>9.1300000000000008</v>
      </c>
      <c r="D2634" s="13" t="s">
        <v>5290</v>
      </c>
      <c r="E2634" s="10" t="s">
        <v>19</v>
      </c>
      <c r="F2634" s="10">
        <v>2020</v>
      </c>
      <c r="G2634" s="10" t="s">
        <v>14</v>
      </c>
      <c r="H2634" s="11" t="s">
        <v>165</v>
      </c>
      <c r="I2634" s="10" t="s">
        <v>16</v>
      </c>
      <c r="J2634" s="131"/>
      <c r="K2634" s="149" t="s">
        <v>5291</v>
      </c>
    </row>
    <row r="2635" spans="1:11" ht="28.9" customHeight="1" thickTop="1" thickBot="1" x14ac:dyDescent="0.75">
      <c r="A2635" s="6">
        <v>2633</v>
      </c>
      <c r="B2635" s="57" t="str">
        <f>HYPERLINK("https://search.naver.com/search.naver?query=조조 래빗 영화", "조조 래빗")</f>
        <v>조조 래빗</v>
      </c>
      <c r="C2635" s="8">
        <v>9.0399999999999991</v>
      </c>
      <c r="D2635" s="9" t="s">
        <v>5292</v>
      </c>
      <c r="E2635" s="6" t="s">
        <v>24</v>
      </c>
      <c r="F2635" s="6">
        <v>2019</v>
      </c>
      <c r="G2635" s="6" t="s">
        <v>14</v>
      </c>
      <c r="H2635" s="7" t="s">
        <v>91</v>
      </c>
      <c r="I2635" s="6" t="s">
        <v>38</v>
      </c>
      <c r="J2635" s="130"/>
      <c r="K2635" s="148" t="s">
        <v>5293</v>
      </c>
    </row>
    <row r="2636" spans="1:11" ht="28.9" customHeight="1" thickTop="1" thickBot="1" x14ac:dyDescent="0.75">
      <c r="A2636" s="10">
        <v>2634</v>
      </c>
      <c r="B2636" s="58" t="str">
        <f>HYPERLINK("https://search.naver.com/search.naver?query=조지타운 영화", "조지타운")</f>
        <v>조지타운</v>
      </c>
      <c r="C2636" s="12">
        <v>6.4</v>
      </c>
      <c r="D2636" s="13" t="s">
        <v>5294</v>
      </c>
      <c r="E2636" s="10" t="s">
        <v>24</v>
      </c>
      <c r="F2636" s="10">
        <v>2019</v>
      </c>
      <c r="G2636" s="10" t="s">
        <v>14</v>
      </c>
      <c r="H2636" s="11" t="s">
        <v>20</v>
      </c>
      <c r="I2636" s="10" t="s">
        <v>109</v>
      </c>
      <c r="J2636" s="131"/>
      <c r="K2636" s="149" t="s">
        <v>5295</v>
      </c>
    </row>
    <row r="2637" spans="1:11" ht="28.9" customHeight="1" thickTop="1" thickBot="1" x14ac:dyDescent="0.75">
      <c r="A2637" s="10">
        <v>2635</v>
      </c>
      <c r="B2637" s="57" t="str">
        <f>HYPERLINK("https://search.naver.com/search.naver?query=조커 영화", "조커")</f>
        <v>조커</v>
      </c>
      <c r="C2637" s="8">
        <v>6.54</v>
      </c>
      <c r="D2637" s="9" t="s">
        <v>5296</v>
      </c>
      <c r="E2637" s="6" t="s">
        <v>24</v>
      </c>
      <c r="F2637" s="6">
        <v>2019</v>
      </c>
      <c r="G2637" s="6" t="s">
        <v>14</v>
      </c>
      <c r="H2637" s="7" t="s">
        <v>20</v>
      </c>
      <c r="I2637" s="6" t="s">
        <v>141</v>
      </c>
      <c r="J2637" s="130"/>
      <c r="K2637" s="148" t="s">
        <v>1500</v>
      </c>
    </row>
    <row r="2638" spans="1:11" ht="28.9" customHeight="1" thickTop="1" thickBot="1" x14ac:dyDescent="0.75">
      <c r="A2638" s="6">
        <v>2636</v>
      </c>
      <c r="B2638" s="58" t="str">
        <f>HYPERLINK("https://search.naver.com/search.naver?query=존 라베 난징 대학살 영화", "존 라베 - 난징 대학살")</f>
        <v>존 라베 - 난징 대학살</v>
      </c>
      <c r="C2638" s="12">
        <v>8.43</v>
      </c>
      <c r="D2638" s="13" t="s">
        <v>5297</v>
      </c>
      <c r="E2638" s="10" t="s">
        <v>186</v>
      </c>
      <c r="F2638" s="10">
        <v>2009</v>
      </c>
      <c r="G2638" s="10" t="s">
        <v>14</v>
      </c>
      <c r="H2638" s="11" t="s">
        <v>20</v>
      </c>
      <c r="I2638" s="10" t="s">
        <v>917</v>
      </c>
      <c r="J2638" s="131"/>
      <c r="K2638" s="149" t="s">
        <v>5298</v>
      </c>
    </row>
    <row r="2639" spans="1:11" ht="28.9" customHeight="1" thickTop="1" thickBot="1" x14ac:dyDescent="0.75">
      <c r="A2639" s="10">
        <v>2637</v>
      </c>
      <c r="B2639" s="57" t="str">
        <f>HYPERLINK("https://search.naver.com/search.naver?query=존 오브 인터레스트 영화", "존 오브 인터레스트")</f>
        <v>존 오브 인터레스트</v>
      </c>
      <c r="C2639" s="8">
        <v>8.83</v>
      </c>
      <c r="D2639" s="9" t="s">
        <v>5299</v>
      </c>
      <c r="E2639" s="6" t="s">
        <v>29</v>
      </c>
      <c r="F2639" s="6">
        <v>2023</v>
      </c>
      <c r="G2639" s="6" t="s">
        <v>14</v>
      </c>
      <c r="H2639" s="7" t="s">
        <v>20</v>
      </c>
      <c r="I2639" s="6" t="s">
        <v>175</v>
      </c>
      <c r="J2639" s="130"/>
      <c r="K2639" s="148" t="s">
        <v>5300</v>
      </c>
    </row>
    <row r="2640" spans="1:11" ht="28.9" customHeight="1" thickTop="1" thickBot="1" x14ac:dyDescent="0.75">
      <c r="A2640" s="10">
        <v>2638</v>
      </c>
      <c r="B2640" s="58" t="str">
        <f>HYPERLINK("https://search.naver.com/search.naver?query=존 윅 영화", "존 윅")</f>
        <v>존 윅</v>
      </c>
      <c r="C2640" s="12">
        <v>8.26</v>
      </c>
      <c r="D2640" s="13" t="s">
        <v>5301</v>
      </c>
      <c r="E2640" s="10" t="s">
        <v>24</v>
      </c>
      <c r="F2640" s="10">
        <v>2014</v>
      </c>
      <c r="G2640" s="10" t="s">
        <v>14</v>
      </c>
      <c r="H2640" s="11" t="s">
        <v>124</v>
      </c>
      <c r="I2640" s="10" t="s">
        <v>94</v>
      </c>
      <c r="J2640" s="131"/>
      <c r="K2640" s="149" t="s">
        <v>5302</v>
      </c>
    </row>
    <row r="2641" spans="1:11" ht="28.9" customHeight="1" thickTop="1" thickBot="1" x14ac:dyDescent="0.75">
      <c r="A2641" s="6">
        <v>2639</v>
      </c>
      <c r="B2641" s="57" t="str">
        <f>HYPERLINK("https://search.naver.com/search.naver?query=존시스 영화", "존시스")</f>
        <v>존시스</v>
      </c>
      <c r="C2641" s="8">
        <v>6.4</v>
      </c>
      <c r="D2641" s="9"/>
      <c r="E2641" s="6" t="s">
        <v>24</v>
      </c>
      <c r="F2641" s="6">
        <v>2009</v>
      </c>
      <c r="G2641" s="6" t="s">
        <v>14</v>
      </c>
      <c r="H2641" s="7" t="s">
        <v>20</v>
      </c>
      <c r="I2641" s="6" t="s">
        <v>150</v>
      </c>
      <c r="J2641" s="130"/>
      <c r="K2641" s="148" t="s">
        <v>3651</v>
      </c>
    </row>
    <row r="2642" spans="1:11" ht="28.9" customHeight="1" thickTop="1" thickBot="1" x14ac:dyDescent="0.75">
      <c r="A2642" s="10">
        <v>2640</v>
      </c>
      <c r="B2642" s="58" t="str">
        <f>HYPERLINK("https://search.naver.com/search.naver?query=종의 신탁 영화", "종의 신탁")</f>
        <v>종의 신탁</v>
      </c>
      <c r="C2642" s="12">
        <v>6.4</v>
      </c>
      <c r="D2642" s="13" t="s">
        <v>5303</v>
      </c>
      <c r="E2642" s="10" t="s">
        <v>19</v>
      </c>
      <c r="F2642" s="10">
        <v>2012</v>
      </c>
      <c r="G2642" s="10" t="s">
        <v>14</v>
      </c>
      <c r="H2642" s="11" t="s">
        <v>20</v>
      </c>
      <c r="I2642" s="10" t="s">
        <v>1705</v>
      </c>
      <c r="J2642" s="131"/>
      <c r="K2642" s="149" t="s">
        <v>5304</v>
      </c>
    </row>
    <row r="2643" spans="1:11" ht="28.9" customHeight="1" thickTop="1" thickBot="1" x14ac:dyDescent="0.75">
      <c r="A2643" s="10">
        <v>2641</v>
      </c>
      <c r="B2643" s="57" t="str">
        <f>HYPERLINK("https://search.naver.com/search.naver?query=종이 달 영화", "종이 달")</f>
        <v>종이 달</v>
      </c>
      <c r="C2643" s="8">
        <v>8.1999999999999993</v>
      </c>
      <c r="D2643" s="9" t="s">
        <v>5305</v>
      </c>
      <c r="E2643" s="6" t="s">
        <v>19</v>
      </c>
      <c r="F2643" s="6">
        <v>2014</v>
      </c>
      <c r="G2643" s="6" t="s">
        <v>14</v>
      </c>
      <c r="H2643" s="7" t="s">
        <v>20</v>
      </c>
      <c r="I2643" s="6" t="s">
        <v>105</v>
      </c>
      <c r="J2643" s="130"/>
      <c r="K2643" s="148" t="s">
        <v>5306</v>
      </c>
    </row>
    <row r="2644" spans="1:11" ht="28.9" customHeight="1" thickTop="1" thickBot="1" x14ac:dyDescent="0.75">
      <c r="A2644" s="6">
        <v>2642</v>
      </c>
      <c r="B2644" s="58" t="str">
        <f>HYPERLINK("https://search.naver.com/search.naver?query=종이꽃 영화", "종이꽃")</f>
        <v>종이꽃</v>
      </c>
      <c r="C2644" s="12">
        <v>9.6</v>
      </c>
      <c r="D2644" s="13" t="s">
        <v>5307</v>
      </c>
      <c r="E2644" s="10" t="s">
        <v>13</v>
      </c>
      <c r="F2644" s="10">
        <v>2019</v>
      </c>
      <c r="G2644" s="10" t="s">
        <v>14</v>
      </c>
      <c r="H2644" s="11" t="s">
        <v>20</v>
      </c>
      <c r="I2644" s="10" t="s">
        <v>150</v>
      </c>
      <c r="J2644" s="131"/>
      <c r="K2644" s="149" t="s">
        <v>5308</v>
      </c>
    </row>
    <row r="2645" spans="1:11" ht="28.9" customHeight="1" thickTop="1" thickBot="1" x14ac:dyDescent="0.75">
      <c r="A2645" s="10">
        <v>2643</v>
      </c>
      <c r="B2645" s="59" t="str">
        <f>HYPERLINK("https://search.naver.com/search.naver?query=종이의 집 시즌1", "종이의 집 시즌1")</f>
        <v>종이의 집 시즌1</v>
      </c>
      <c r="C2645" s="16"/>
      <c r="D2645" s="17" t="s">
        <v>5309</v>
      </c>
      <c r="E2645" s="14" t="s">
        <v>37</v>
      </c>
      <c r="F2645" s="14">
        <v>2017</v>
      </c>
      <c r="G2645" s="14" t="s">
        <v>20</v>
      </c>
      <c r="H2645" s="15" t="s">
        <v>229</v>
      </c>
      <c r="I2645" s="14" t="s">
        <v>364</v>
      </c>
      <c r="J2645" s="132"/>
      <c r="K2645" s="150" t="s">
        <v>5310</v>
      </c>
    </row>
    <row r="2646" spans="1:11" ht="28.9" customHeight="1" thickTop="1" thickBot="1" x14ac:dyDescent="0.75">
      <c r="A2646" s="10">
        <v>2644</v>
      </c>
      <c r="B2646" s="59" t="str">
        <f>HYPERLINK("https://search.naver.com/search.naver?query=종이의 집 시즌2", "종이의 집 시즌2")</f>
        <v>종이의 집 시즌2</v>
      </c>
      <c r="C2646" s="16"/>
      <c r="D2646" s="17" t="s">
        <v>5309</v>
      </c>
      <c r="E2646" s="14" t="s">
        <v>37</v>
      </c>
      <c r="F2646" s="14">
        <v>2017</v>
      </c>
      <c r="G2646" s="14" t="s">
        <v>20</v>
      </c>
      <c r="H2646" s="15" t="s">
        <v>229</v>
      </c>
      <c r="I2646" s="14" t="s">
        <v>247</v>
      </c>
      <c r="J2646" s="132"/>
      <c r="K2646" s="150" t="s">
        <v>5311</v>
      </c>
    </row>
    <row r="2647" spans="1:11" ht="28.9" customHeight="1" thickTop="1" thickBot="1" x14ac:dyDescent="0.75">
      <c r="A2647" s="6">
        <v>2645</v>
      </c>
      <c r="B2647" s="59" t="str">
        <f>HYPERLINK("https://search.naver.com/search.naver?query=종이의 집 시즌3", "종이의 집 시즌3")</f>
        <v>종이의 집 시즌3</v>
      </c>
      <c r="C2647" s="16"/>
      <c r="D2647" s="17" t="s">
        <v>5309</v>
      </c>
      <c r="E2647" s="14" t="s">
        <v>37</v>
      </c>
      <c r="F2647" s="14">
        <v>2019</v>
      </c>
      <c r="G2647" s="14" t="s">
        <v>20</v>
      </c>
      <c r="H2647" s="15" t="s">
        <v>229</v>
      </c>
      <c r="I2647" s="14" t="s">
        <v>71</v>
      </c>
      <c r="J2647" s="132"/>
      <c r="K2647" s="150" t="s">
        <v>5312</v>
      </c>
    </row>
    <row r="2648" spans="1:11" ht="28.9" customHeight="1" thickTop="1" thickBot="1" x14ac:dyDescent="0.75">
      <c r="A2648" s="10">
        <v>2646</v>
      </c>
      <c r="B2648" s="59" t="str">
        <f>HYPERLINK("https://search.naver.com/search.naver?query=종이의 집 시즌4", "종이의 집 시즌4")</f>
        <v>종이의 집 시즌4</v>
      </c>
      <c r="C2648" s="16"/>
      <c r="D2648" s="17" t="s">
        <v>5309</v>
      </c>
      <c r="E2648" s="14" t="s">
        <v>37</v>
      </c>
      <c r="F2648" s="14">
        <v>2020</v>
      </c>
      <c r="G2648" s="14" t="s">
        <v>20</v>
      </c>
      <c r="H2648" s="15" t="s">
        <v>229</v>
      </c>
      <c r="I2648" s="14" t="s">
        <v>71</v>
      </c>
      <c r="J2648" s="132"/>
      <c r="K2648" s="150" t="s">
        <v>5313</v>
      </c>
    </row>
    <row r="2649" spans="1:11" ht="28.9" customHeight="1" thickTop="1" thickBot="1" x14ac:dyDescent="0.75">
      <c r="A2649" s="10">
        <v>2647</v>
      </c>
      <c r="B2649" s="59" t="str">
        <f>HYPERLINK("https://search.naver.com/search.naver?query=종이의 집 시즌5", "종이의 집 시즌5")</f>
        <v>종이의 집 시즌5</v>
      </c>
      <c r="C2649" s="16"/>
      <c r="D2649" s="17" t="s">
        <v>5314</v>
      </c>
      <c r="E2649" s="14" t="s">
        <v>37</v>
      </c>
      <c r="F2649" s="14">
        <v>2021</v>
      </c>
      <c r="G2649" s="14" t="s">
        <v>20</v>
      </c>
      <c r="H2649" s="15" t="s">
        <v>229</v>
      </c>
      <c r="I2649" s="14" t="s">
        <v>64</v>
      </c>
      <c r="J2649" s="132"/>
      <c r="K2649" s="150" t="s">
        <v>5315</v>
      </c>
    </row>
    <row r="2650" spans="1:11" ht="28.9" customHeight="1" thickTop="1" thickBot="1" x14ac:dyDescent="0.75">
      <c r="A2650" s="6">
        <v>2648</v>
      </c>
      <c r="B2650" s="58" t="str">
        <f>HYPERLINK("https://search.naver.com/search.naver?query=좋은 날 영화", "좋은 날")</f>
        <v>좋은 날</v>
      </c>
      <c r="C2650" s="12">
        <v>6.5</v>
      </c>
      <c r="D2650" s="13" t="s">
        <v>5316</v>
      </c>
      <c r="E2650" s="10" t="s">
        <v>13</v>
      </c>
      <c r="F2650" s="10">
        <v>2014</v>
      </c>
      <c r="G2650" s="10" t="s">
        <v>14</v>
      </c>
      <c r="H2650" s="11" t="s">
        <v>20</v>
      </c>
      <c r="I2650" s="10" t="s">
        <v>150</v>
      </c>
      <c r="J2650" s="131"/>
      <c r="K2650" s="149" t="s">
        <v>5317</v>
      </c>
    </row>
    <row r="2651" spans="1:11" ht="28.9" customHeight="1" thickTop="1" thickBot="1" x14ac:dyDescent="0.75">
      <c r="A2651" s="10">
        <v>2649</v>
      </c>
      <c r="B2651" s="57" t="str">
        <f>HYPERLINK("https://search.naver.com/search.naver?query=좋은 놈, 나쁜 놈, 이상한 놈 영화", "좋은 놈, 나쁜 놈, 이상한 놈")</f>
        <v>좋은 놈, 나쁜 놈, 이상한 놈</v>
      </c>
      <c r="C2651" s="8">
        <v>7.75</v>
      </c>
      <c r="D2651" s="9" t="s">
        <v>5318</v>
      </c>
      <c r="E2651" s="6" t="s">
        <v>13</v>
      </c>
      <c r="F2651" s="6">
        <v>2008</v>
      </c>
      <c r="G2651" s="6" t="s">
        <v>14</v>
      </c>
      <c r="H2651" s="7" t="s">
        <v>124</v>
      </c>
      <c r="I2651" s="6" t="s">
        <v>476</v>
      </c>
      <c r="J2651" s="130"/>
      <c r="K2651" s="148" t="s">
        <v>5319</v>
      </c>
    </row>
    <row r="2652" spans="1:11" ht="28.9" customHeight="1" thickTop="1" thickBot="1" x14ac:dyDescent="0.75">
      <c r="A2652" s="10">
        <v>2650</v>
      </c>
      <c r="B2652" s="58" t="str">
        <f>HYPERLINK("https://search.naver.com/search.naver?query=주디 영화", "주디")</f>
        <v>주디</v>
      </c>
      <c r="C2652" s="12">
        <v>9.2200000000000006</v>
      </c>
      <c r="D2652" s="13" t="s">
        <v>5320</v>
      </c>
      <c r="E2652" s="10" t="s">
        <v>29</v>
      </c>
      <c r="F2652" s="10">
        <v>2019</v>
      </c>
      <c r="G2652" s="10" t="s">
        <v>14</v>
      </c>
      <c r="H2652" s="11" t="s">
        <v>20</v>
      </c>
      <c r="I2652" s="10" t="s">
        <v>329</v>
      </c>
      <c r="J2652" s="131"/>
      <c r="K2652" s="149" t="s">
        <v>5321</v>
      </c>
    </row>
    <row r="2653" spans="1:11" ht="28.9" customHeight="1" thickTop="1" thickBot="1" x14ac:dyDescent="0.75">
      <c r="A2653" s="6">
        <v>2651</v>
      </c>
      <c r="B2653" s="59" t="str">
        <f>HYPERLINK("https://search.naver.com/search.naver?query=주재원", "주재원")</f>
        <v>주재원</v>
      </c>
      <c r="C2653" s="16"/>
      <c r="D2653" s="17" t="s">
        <v>5322</v>
      </c>
      <c r="E2653" s="14" t="s">
        <v>24</v>
      </c>
      <c r="F2653" s="14">
        <v>2024</v>
      </c>
      <c r="G2653" s="14" t="s">
        <v>20</v>
      </c>
      <c r="H2653" s="15" t="s">
        <v>20</v>
      </c>
      <c r="I2653" s="14" t="s">
        <v>247</v>
      </c>
      <c r="J2653" s="132"/>
      <c r="K2653" s="150" t="s">
        <v>938</v>
      </c>
    </row>
    <row r="2654" spans="1:11" ht="28.9" customHeight="1" thickTop="1" thickBot="1" x14ac:dyDescent="0.75">
      <c r="A2654" s="10">
        <v>2652</v>
      </c>
      <c r="B2654" s="58" t="str">
        <f>HYPERLINK("https://search.naver.com/search.naver?query=주키퍼스 와이프 영화", "주키퍼스 와이프")</f>
        <v>주키퍼스 와이프</v>
      </c>
      <c r="C2654" s="12">
        <v>8.58</v>
      </c>
      <c r="D2654" s="13" t="s">
        <v>5323</v>
      </c>
      <c r="E2654" s="10" t="s">
        <v>24</v>
      </c>
      <c r="F2654" s="10">
        <v>2017</v>
      </c>
      <c r="G2654" s="10" t="s">
        <v>14</v>
      </c>
      <c r="H2654" s="11" t="s">
        <v>20</v>
      </c>
      <c r="I2654" s="10" t="s">
        <v>105</v>
      </c>
      <c r="J2654" s="131"/>
      <c r="K2654" s="149" t="s">
        <v>5324</v>
      </c>
    </row>
    <row r="2655" spans="1:11" ht="28.9" customHeight="1" thickTop="1" thickBot="1" x14ac:dyDescent="0.75">
      <c r="A2655" s="10">
        <v>2653</v>
      </c>
      <c r="B2655" s="57" t="str">
        <f>HYPERLINK("https://search.naver.com/search.naver?query=죽은 시인의 사회 영화", "죽은 시인의 사회")</f>
        <v>죽은 시인의 사회</v>
      </c>
      <c r="C2655" s="8">
        <v>9.19</v>
      </c>
      <c r="D2655" s="9" t="s">
        <v>5325</v>
      </c>
      <c r="E2655" s="6" t="s">
        <v>24</v>
      </c>
      <c r="F2655" s="6">
        <v>1989</v>
      </c>
      <c r="G2655" s="6" t="s">
        <v>14</v>
      </c>
      <c r="H2655" s="7" t="s">
        <v>20</v>
      </c>
      <c r="I2655" s="6" t="s">
        <v>146</v>
      </c>
      <c r="J2655" s="130"/>
      <c r="K2655" s="148" t="s">
        <v>5326</v>
      </c>
    </row>
    <row r="2656" spans="1:11" ht="28.9" customHeight="1" thickTop="1" thickBot="1" x14ac:dyDescent="0.75">
      <c r="A2656" s="6">
        <v>2654</v>
      </c>
      <c r="B2656" s="58" t="str">
        <f>HYPERLINK("https://search.naver.com/search.naver?query=죽을 때까지 영화", "죽을 때까지")</f>
        <v>죽을 때까지</v>
      </c>
      <c r="C2656" s="12">
        <v>6.45</v>
      </c>
      <c r="D2656" s="13" t="s">
        <v>5327</v>
      </c>
      <c r="E2656" s="10" t="s">
        <v>24</v>
      </c>
      <c r="F2656" s="10">
        <v>2021</v>
      </c>
      <c r="G2656" s="10" t="s">
        <v>14</v>
      </c>
      <c r="H2656" s="11" t="s">
        <v>54</v>
      </c>
      <c r="I2656" s="10" t="s">
        <v>345</v>
      </c>
      <c r="J2656" s="131"/>
      <c r="K2656" s="149" t="s">
        <v>4787</v>
      </c>
    </row>
    <row r="2657" spans="1:11" ht="28.9" customHeight="1" thickTop="1" thickBot="1" x14ac:dyDescent="0.75">
      <c r="A2657" s="10">
        <v>2655</v>
      </c>
      <c r="B2657" s="57" t="str">
        <f>HYPERLINK("https://search.naver.com/search.naver?query=줄다리기2012 일본영화", "줄다리기")</f>
        <v>줄다리기</v>
      </c>
      <c r="C2657" s="8"/>
      <c r="D2657" s="9" t="s">
        <v>5328</v>
      </c>
      <c r="E2657" s="6" t="s">
        <v>19</v>
      </c>
      <c r="F2657" s="6">
        <v>2012</v>
      </c>
      <c r="G2657" s="6" t="s">
        <v>14</v>
      </c>
      <c r="H2657" s="7" t="s">
        <v>20</v>
      </c>
      <c r="I2657" s="6" t="s">
        <v>150</v>
      </c>
      <c r="J2657" s="130"/>
      <c r="K2657" s="148" t="s">
        <v>5329</v>
      </c>
    </row>
    <row r="2658" spans="1:11" ht="28.9" customHeight="1" thickTop="1" thickBot="1" x14ac:dyDescent="0.75">
      <c r="A2658" s="10">
        <v>2656</v>
      </c>
      <c r="B2658" s="58" t="str">
        <f>HYPERLINK("https://search.naver.com/search.naver?query=줄리&amp; 줄리아 영화", "줄리 &amp; 줄리아")</f>
        <v>줄리 &amp; 줄리아</v>
      </c>
      <c r="C2658" s="12">
        <v>8.69</v>
      </c>
      <c r="D2658" s="13" t="s">
        <v>5330</v>
      </c>
      <c r="E2658" s="10" t="s">
        <v>24</v>
      </c>
      <c r="F2658" s="10">
        <v>2009</v>
      </c>
      <c r="G2658" s="10" t="s">
        <v>14</v>
      </c>
      <c r="H2658" s="11" t="s">
        <v>20</v>
      </c>
      <c r="I2658" s="10" t="s">
        <v>76</v>
      </c>
      <c r="J2658" s="131"/>
      <c r="K2658" s="149" t="s">
        <v>5331</v>
      </c>
    </row>
    <row r="2659" spans="1:11" ht="28.9" customHeight="1" thickTop="1" thickBot="1" x14ac:dyDescent="0.75">
      <c r="A2659" s="6">
        <v>2657</v>
      </c>
      <c r="B2659" s="57" t="str">
        <f>HYPERLINK("https://search.naver.com/search.naver?query=줄리아의 눈 영화", "줄리아의 눈")</f>
        <v>줄리아의 눈</v>
      </c>
      <c r="C2659" s="8">
        <v>7.9</v>
      </c>
      <c r="D2659" s="9" t="s">
        <v>5332</v>
      </c>
      <c r="E2659" s="6" t="s">
        <v>37</v>
      </c>
      <c r="F2659" s="6">
        <v>2010</v>
      </c>
      <c r="G2659" s="6" t="s">
        <v>14</v>
      </c>
      <c r="H2659" s="7" t="s">
        <v>54</v>
      </c>
      <c r="I2659" s="6" t="s">
        <v>429</v>
      </c>
      <c r="J2659" s="130"/>
      <c r="K2659" s="148" t="s">
        <v>5333</v>
      </c>
    </row>
    <row r="2660" spans="1:11" ht="28.9" customHeight="1" thickTop="1" thickBot="1" x14ac:dyDescent="0.75">
      <c r="A2660" s="10">
        <v>2658</v>
      </c>
      <c r="B2660" s="58" t="str">
        <f>HYPERLINK("https://search.naver.com/search.naver?query=줄무늬 파자마를 입은 소년 영화", "줄무늬 파자마를 입은 소년")</f>
        <v>줄무늬 파자마를 입은 소년</v>
      </c>
      <c r="C2660" s="12">
        <v>3</v>
      </c>
      <c r="D2660" s="13" t="s">
        <v>5334</v>
      </c>
      <c r="E2660" s="10" t="s">
        <v>29</v>
      </c>
      <c r="F2660" s="10">
        <v>2008</v>
      </c>
      <c r="G2660" s="10" t="s">
        <v>14</v>
      </c>
      <c r="H2660" s="11" t="s">
        <v>20</v>
      </c>
      <c r="I2660" s="10" t="s">
        <v>468</v>
      </c>
      <c r="J2660" s="131"/>
      <c r="K2660" s="149" t="s">
        <v>5335</v>
      </c>
    </row>
    <row r="2661" spans="1:11" ht="28.9" customHeight="1" thickTop="1" thickBot="1" x14ac:dyDescent="0.75">
      <c r="A2661" s="10">
        <v>2659</v>
      </c>
      <c r="B2661" s="59" t="str">
        <f>HYPERLINK("https://search.naver.com/search.naver?query=중증외상센터", "중증외상센터")</f>
        <v>중증외상센터</v>
      </c>
      <c r="C2661" s="16"/>
      <c r="D2661" s="17" t="s">
        <v>5336</v>
      </c>
      <c r="E2661" s="14" t="s">
        <v>13</v>
      </c>
      <c r="F2661" s="14">
        <v>2025</v>
      </c>
      <c r="G2661" s="14" t="s">
        <v>20</v>
      </c>
      <c r="H2661" s="15" t="s">
        <v>20</v>
      </c>
      <c r="I2661" s="14" t="s">
        <v>71</v>
      </c>
      <c r="J2661" s="132"/>
      <c r="K2661" s="150" t="s">
        <v>5337</v>
      </c>
    </row>
    <row r="2662" spans="1:11" ht="28.9" customHeight="1" thickTop="1" thickBot="1" x14ac:dyDescent="0.75">
      <c r="A2662" s="6">
        <v>2660</v>
      </c>
      <c r="B2662" s="58" t="str">
        <f>HYPERLINK("https://search.naver.com/search.naver?query=쥬라기 월드 영화", "쥬라기 월드")</f>
        <v>쥬라기 월드</v>
      </c>
      <c r="C2662" s="12">
        <v>6.66</v>
      </c>
      <c r="D2662" s="13" t="s">
        <v>5338</v>
      </c>
      <c r="E2662" s="10" t="s">
        <v>24</v>
      </c>
      <c r="F2662" s="10">
        <v>2015</v>
      </c>
      <c r="G2662" s="10" t="s">
        <v>14</v>
      </c>
      <c r="H2662" s="11" t="s">
        <v>124</v>
      </c>
      <c r="I2662" s="10" t="s">
        <v>183</v>
      </c>
      <c r="J2662" s="131"/>
      <c r="K2662" s="149" t="s">
        <v>5339</v>
      </c>
    </row>
    <row r="2663" spans="1:11" ht="28.9" customHeight="1" thickTop="1" thickBot="1" x14ac:dyDescent="0.75">
      <c r="A2663" s="10">
        <v>2661</v>
      </c>
      <c r="B2663" s="57" t="str">
        <f>HYPERLINK("https://search.naver.com/search.naver?query=쥬라기 월드 도미니언 영화", "쥬라기 월드-도미니언")</f>
        <v>쥬라기 월드-도미니언</v>
      </c>
      <c r="C2663" s="8">
        <v>6.76</v>
      </c>
      <c r="D2663" s="9" t="s">
        <v>5340</v>
      </c>
      <c r="E2663" s="6" t="s">
        <v>24</v>
      </c>
      <c r="F2663" s="6">
        <v>2022</v>
      </c>
      <c r="G2663" s="6" t="s">
        <v>14</v>
      </c>
      <c r="H2663" s="7" t="s">
        <v>124</v>
      </c>
      <c r="I2663" s="6" t="s">
        <v>221</v>
      </c>
      <c r="J2663" s="130"/>
      <c r="K2663" s="148" t="s">
        <v>5341</v>
      </c>
    </row>
    <row r="2664" spans="1:11" ht="28.9" customHeight="1" thickTop="1" thickBot="1" x14ac:dyDescent="0.75">
      <c r="A2664" s="10">
        <v>2662</v>
      </c>
      <c r="B2664" s="58" t="str">
        <f>HYPERLINK("https://search.naver.com/search.naver?query=쥬라기 월드 새로운 시작 영화", "쥬라기 월드-새로운 시작")</f>
        <v>쥬라기 월드-새로운 시작</v>
      </c>
      <c r="C2664" s="12">
        <v>6.66</v>
      </c>
      <c r="D2664" s="13" t="s">
        <v>5342</v>
      </c>
      <c r="E2664" s="10" t="s">
        <v>24</v>
      </c>
      <c r="F2664" s="10">
        <v>2025</v>
      </c>
      <c r="G2664" s="10" t="s">
        <v>14</v>
      </c>
      <c r="H2664" s="11" t="s">
        <v>124</v>
      </c>
      <c r="I2664" s="10" t="s">
        <v>116</v>
      </c>
      <c r="J2664" s="131"/>
      <c r="K2664" s="149" t="s">
        <v>5343</v>
      </c>
    </row>
    <row r="2665" spans="1:11" ht="28.9" customHeight="1" thickTop="1" thickBot="1" x14ac:dyDescent="0.75">
      <c r="A2665" s="6">
        <v>2663</v>
      </c>
      <c r="B2665" s="57" t="str">
        <f>HYPERLINK("https://search.naver.com/search.naver?query=쥬라기 월드 폴른 킹덤 영화", "쥬라기 월드-폴른 킹덤")</f>
        <v>쥬라기 월드-폴른 킹덤</v>
      </c>
      <c r="C2665" s="8">
        <v>8.5500000000000007</v>
      </c>
      <c r="D2665" s="9" t="s">
        <v>5344</v>
      </c>
      <c r="E2665" s="6" t="s">
        <v>24</v>
      </c>
      <c r="F2665" s="6">
        <v>2018</v>
      </c>
      <c r="G2665" s="6" t="s">
        <v>14</v>
      </c>
      <c r="H2665" s="7" t="s">
        <v>124</v>
      </c>
      <c r="I2665" s="6" t="s">
        <v>146</v>
      </c>
      <c r="J2665" s="130"/>
      <c r="K2665" s="148" t="s">
        <v>5345</v>
      </c>
    </row>
    <row r="2666" spans="1:11" ht="28.9" customHeight="1" thickTop="1" thickBot="1" x14ac:dyDescent="0.75">
      <c r="A2666" s="10">
        <v>2664</v>
      </c>
      <c r="B2666" s="58" t="str">
        <f>HYPERLINK("https://search.naver.com/search.naver?query=쥬만지 넥스트 레벨 영화", "쥬만지-넥스트 레벨")</f>
        <v>쥬만지-넥스트 레벨</v>
      </c>
      <c r="C2666" s="12">
        <v>7.81</v>
      </c>
      <c r="D2666" s="13" t="s">
        <v>5346</v>
      </c>
      <c r="E2666" s="10" t="s">
        <v>24</v>
      </c>
      <c r="F2666" s="10">
        <v>2019</v>
      </c>
      <c r="G2666" s="10" t="s">
        <v>14</v>
      </c>
      <c r="H2666" s="11" t="s">
        <v>1452</v>
      </c>
      <c r="I2666" s="10" t="s">
        <v>76</v>
      </c>
      <c r="J2666" s="131"/>
      <c r="K2666" s="149" t="s">
        <v>5347</v>
      </c>
    </row>
    <row r="2667" spans="1:11" ht="28.9" customHeight="1" thickTop="1" thickBot="1" x14ac:dyDescent="0.75">
      <c r="A2667" s="10">
        <v>2665</v>
      </c>
      <c r="B2667" s="57" t="str">
        <f>HYPERLINK("https://search.naver.com/search.naver?query=쥬만지 새로운 세계 영화", "쥬만지-새로운 세계")</f>
        <v>쥬만지-새로운 세계</v>
      </c>
      <c r="C2667" s="8">
        <v>8.4499999999999993</v>
      </c>
      <c r="D2667" s="9" t="s">
        <v>5346</v>
      </c>
      <c r="E2667" s="6" t="s">
        <v>24</v>
      </c>
      <c r="F2667" s="6">
        <v>2017</v>
      </c>
      <c r="G2667" s="6" t="s">
        <v>14</v>
      </c>
      <c r="H2667" s="7" t="s">
        <v>1452</v>
      </c>
      <c r="I2667" s="6" t="s">
        <v>68</v>
      </c>
      <c r="J2667" s="130"/>
      <c r="K2667" s="148" t="s">
        <v>5348</v>
      </c>
    </row>
    <row r="2668" spans="1:11" ht="28.9" customHeight="1" thickTop="1" thickBot="1" x14ac:dyDescent="0.75">
      <c r="A2668" s="6">
        <v>2666</v>
      </c>
      <c r="B2668" s="58" t="str">
        <f>HYPERLINK("https://search.naver.com/search.naver?query=증인 영화", "증인")</f>
        <v>증인</v>
      </c>
      <c r="C2668" s="12">
        <v>9.16</v>
      </c>
      <c r="D2668" s="13" t="s">
        <v>5349</v>
      </c>
      <c r="E2668" s="10" t="s">
        <v>13</v>
      </c>
      <c r="F2668" s="10">
        <v>2018</v>
      </c>
      <c r="G2668" s="10" t="s">
        <v>14</v>
      </c>
      <c r="H2668" s="11" t="s">
        <v>20</v>
      </c>
      <c r="I2668" s="10" t="s">
        <v>85</v>
      </c>
      <c r="J2668" s="131"/>
      <c r="K2668" s="149" t="s">
        <v>5350</v>
      </c>
    </row>
    <row r="2669" spans="1:11" ht="28.9" customHeight="1" thickTop="1" thickBot="1" x14ac:dyDescent="0.75">
      <c r="A2669" s="10">
        <v>2667</v>
      </c>
      <c r="B2669" s="57" t="str">
        <f>HYPERLINK("https://search.naver.com/search.naver?query=지골로 인 뉴욕 영화", "지골로 인 뉴욕")</f>
        <v>지골로 인 뉴욕</v>
      </c>
      <c r="C2669" s="8">
        <v>7.92</v>
      </c>
      <c r="D2669" s="9" t="s">
        <v>5351</v>
      </c>
      <c r="E2669" s="6" t="s">
        <v>24</v>
      </c>
      <c r="F2669" s="6">
        <v>2013</v>
      </c>
      <c r="G2669" s="6" t="s">
        <v>14</v>
      </c>
      <c r="H2669" s="7" t="s">
        <v>91</v>
      </c>
      <c r="I2669" s="6" t="s">
        <v>156</v>
      </c>
      <c r="J2669" s="130"/>
      <c r="K2669" s="148" t="s">
        <v>5352</v>
      </c>
    </row>
    <row r="2670" spans="1:11" ht="28.9" customHeight="1" thickTop="1" thickBot="1" x14ac:dyDescent="0.75">
      <c r="A2670" s="10">
        <v>2668</v>
      </c>
      <c r="B2670" s="58" t="str">
        <f>HYPERLINK("https://search.naver.com/search.naver?query=지구 최후의 밤 영화", "지구 최후의 밤")</f>
        <v>지구 최후의 밤</v>
      </c>
      <c r="C2670" s="12">
        <v>7.87</v>
      </c>
      <c r="D2670" s="13" t="s">
        <v>5353</v>
      </c>
      <c r="E2670" s="10" t="s">
        <v>24</v>
      </c>
      <c r="F2670" s="10">
        <v>2018</v>
      </c>
      <c r="G2670" s="10" t="s">
        <v>14</v>
      </c>
      <c r="H2670" s="11" t="s">
        <v>877</v>
      </c>
      <c r="I2670" s="10" t="s">
        <v>150</v>
      </c>
      <c r="J2670" s="131"/>
      <c r="K2670" s="149" t="s">
        <v>5354</v>
      </c>
    </row>
    <row r="2671" spans="1:11" ht="28.9" customHeight="1" thickTop="1" thickBot="1" x14ac:dyDescent="0.75">
      <c r="A2671" s="6">
        <v>2669</v>
      </c>
      <c r="B2671" s="57" t="str">
        <f>HYPERLINK("https://search.naver.com/search.naver?query=영화 지금 만나러 갑니다2018", "지금 만나러 갑니다")</f>
        <v>지금 만나러 갑니다</v>
      </c>
      <c r="C2671" s="8">
        <v>6.4</v>
      </c>
      <c r="D2671" s="9" t="s">
        <v>5355</v>
      </c>
      <c r="E2671" s="6" t="s">
        <v>13</v>
      </c>
      <c r="F2671" s="6">
        <v>2018</v>
      </c>
      <c r="G2671" s="6" t="s">
        <v>14</v>
      </c>
      <c r="H2671" s="7" t="s">
        <v>165</v>
      </c>
      <c r="I2671" s="6" t="s">
        <v>558</v>
      </c>
      <c r="J2671" s="130"/>
      <c r="K2671" s="148" t="s">
        <v>5356</v>
      </c>
    </row>
    <row r="2672" spans="1:11" ht="28.9" customHeight="1" thickTop="1" thickBot="1" x14ac:dyDescent="0.75">
      <c r="A2672" s="10">
        <v>2670</v>
      </c>
      <c r="B2672" s="58" t="str">
        <f>HYPERLINK("https://search.naver.com/search.naver?query=지금, 만나러 갑니다 영화", "지금, 만나러 갑니다")</f>
        <v>지금, 만나러 갑니다</v>
      </c>
      <c r="C2672" s="12">
        <v>9</v>
      </c>
      <c r="D2672" s="13" t="s">
        <v>5357</v>
      </c>
      <c r="E2672" s="10" t="s">
        <v>19</v>
      </c>
      <c r="F2672" s="10">
        <v>2004</v>
      </c>
      <c r="G2672" s="10" t="s">
        <v>14</v>
      </c>
      <c r="H2672" s="11" t="s">
        <v>165</v>
      </c>
      <c r="I2672" s="10" t="s">
        <v>68</v>
      </c>
      <c r="J2672" s="131"/>
      <c r="K2672" s="149" t="s">
        <v>5358</v>
      </c>
    </row>
    <row r="2673" spans="1:11" ht="28.9" customHeight="1" thickTop="1" thickBot="1" x14ac:dyDescent="0.75">
      <c r="A2673" s="10">
        <v>2671</v>
      </c>
      <c r="B2673" s="57" t="str">
        <f>HYPERLINK("https://search.naver.com/search.naver?query=지금, 이대로가 좋아요", "지금, 이대로가 좋아요")</f>
        <v>지금, 이대로가 좋아요</v>
      </c>
      <c r="C2673" s="8">
        <v>7.86</v>
      </c>
      <c r="D2673" s="9" t="s">
        <v>5359</v>
      </c>
      <c r="E2673" s="6" t="s">
        <v>13</v>
      </c>
      <c r="F2673" s="6">
        <v>2008</v>
      </c>
      <c r="G2673" s="6" t="s">
        <v>14</v>
      </c>
      <c r="H2673" s="7" t="s">
        <v>165</v>
      </c>
      <c r="I2673" s="6" t="s">
        <v>150</v>
      </c>
      <c r="J2673" s="130"/>
      <c r="K2673" s="148" t="s">
        <v>5360</v>
      </c>
    </row>
    <row r="2674" spans="1:11" ht="28.9" customHeight="1" thickTop="1" thickBot="1" x14ac:dyDescent="0.75">
      <c r="A2674" s="6">
        <v>2672</v>
      </c>
      <c r="B2674" s="58" t="str">
        <f>HYPERLINK("https://search.naver.com/search.naver?query=지니어스 영화", "지니어스")</f>
        <v>지니어스</v>
      </c>
      <c r="C2674" s="12">
        <v>8.11</v>
      </c>
      <c r="D2674" s="13" t="s">
        <v>5361</v>
      </c>
      <c r="E2674" s="10" t="s">
        <v>24</v>
      </c>
      <c r="F2674" s="10">
        <v>2016</v>
      </c>
      <c r="G2674" s="10" t="s">
        <v>14</v>
      </c>
      <c r="H2674" s="11" t="s">
        <v>20</v>
      </c>
      <c r="I2674" s="10" t="s">
        <v>242</v>
      </c>
      <c r="J2674" s="131"/>
      <c r="K2674" s="149" t="s">
        <v>3537</v>
      </c>
    </row>
    <row r="2675" spans="1:11" ht="28.9" customHeight="1" thickTop="1" thickBot="1" x14ac:dyDescent="0.75">
      <c r="A2675" s="10">
        <v>2673</v>
      </c>
      <c r="B2675" s="57" t="str">
        <f>HYPERLINK("https://search.naver.com/search.naver?query=지미스 홀 영화", "지미스 홀")</f>
        <v>지미스 홀</v>
      </c>
      <c r="C2675" s="8">
        <v>8.4499999999999993</v>
      </c>
      <c r="D2675" s="9" t="s">
        <v>5362</v>
      </c>
      <c r="E2675" s="6" t="s">
        <v>944</v>
      </c>
      <c r="F2675" s="6">
        <v>2014</v>
      </c>
      <c r="G2675" s="6" t="s">
        <v>14</v>
      </c>
      <c r="H2675" s="7" t="s">
        <v>20</v>
      </c>
      <c r="I2675" s="6" t="s">
        <v>187</v>
      </c>
      <c r="J2675" s="130"/>
      <c r="K2675" s="148" t="s">
        <v>5363</v>
      </c>
    </row>
    <row r="2676" spans="1:11" ht="28.9" customHeight="1" thickTop="1" thickBot="1" x14ac:dyDescent="0.75">
      <c r="A2676" s="10">
        <v>2674</v>
      </c>
      <c r="B2676" s="59" t="str">
        <f>HYPERLINK("https://search.naver.com/search.naver?query=지배종", "지배종")</f>
        <v>지배종</v>
      </c>
      <c r="C2676" s="16"/>
      <c r="D2676" s="17" t="s">
        <v>5364</v>
      </c>
      <c r="E2676" s="14" t="s">
        <v>13</v>
      </c>
      <c r="F2676" s="14">
        <v>2024</v>
      </c>
      <c r="G2676" s="14" t="s">
        <v>20</v>
      </c>
      <c r="H2676" s="15" t="s">
        <v>258</v>
      </c>
      <c r="I2676" s="14" t="s">
        <v>64</v>
      </c>
      <c r="J2676" s="132"/>
      <c r="K2676" s="150" t="s">
        <v>5365</v>
      </c>
    </row>
    <row r="2677" spans="1:11" ht="28.9" customHeight="1" thickTop="1" thickBot="1" x14ac:dyDescent="0.75">
      <c r="A2677" s="6">
        <v>2675</v>
      </c>
      <c r="B2677" s="57" t="str">
        <f>HYPERLINK("https://search.naver.com/search.naver?query=지상 최대 맥주배달 작전 영화", "지상 최대 맥주배달 작전")</f>
        <v>지상 최대 맥주배달 작전</v>
      </c>
      <c r="C2677" s="8">
        <v>8.31</v>
      </c>
      <c r="D2677" s="9" t="s">
        <v>5366</v>
      </c>
      <c r="E2677" s="6" t="s">
        <v>24</v>
      </c>
      <c r="F2677" s="6">
        <v>2022</v>
      </c>
      <c r="G2677" s="6" t="s">
        <v>14</v>
      </c>
      <c r="H2677" s="7" t="s">
        <v>1247</v>
      </c>
      <c r="I2677" s="6" t="s">
        <v>105</v>
      </c>
      <c r="J2677" s="130"/>
      <c r="K2677" s="148" t="s">
        <v>5367</v>
      </c>
    </row>
    <row r="2678" spans="1:11" ht="28.9" customHeight="1" thickTop="1" thickBot="1" x14ac:dyDescent="0.75">
      <c r="A2678" s="10">
        <v>2676</v>
      </c>
      <c r="B2678" s="58" t="str">
        <f>HYPERLINK("https://search.naver.com/search.naver?query=지상의 별처럼 영화", "지상의 별처럼")</f>
        <v>지상의 별처럼</v>
      </c>
      <c r="C2678" s="12">
        <v>9.3699999999999992</v>
      </c>
      <c r="D2678" s="13" t="s">
        <v>5368</v>
      </c>
      <c r="E2678" s="10" t="s">
        <v>581</v>
      </c>
      <c r="F2678" s="10">
        <v>2007</v>
      </c>
      <c r="G2678" s="10" t="s">
        <v>14</v>
      </c>
      <c r="H2678" s="11" t="s">
        <v>20</v>
      </c>
      <c r="I2678" s="10" t="s">
        <v>961</v>
      </c>
      <c r="J2678" s="131"/>
      <c r="K2678" s="149" t="s">
        <v>5369</v>
      </c>
    </row>
    <row r="2679" spans="1:11" ht="28.9" customHeight="1" thickTop="1" thickBot="1" x14ac:dyDescent="0.75">
      <c r="A2679" s="10">
        <v>2677</v>
      </c>
      <c r="B2679" s="57" t="str">
        <f>HYPERLINK("https://search.naver.com/search.naver?query=지오스톰 영화", "지오스톰")</f>
        <v>지오스톰</v>
      </c>
      <c r="C2679" s="8">
        <v>8.11</v>
      </c>
      <c r="D2679" s="9" t="s">
        <v>5370</v>
      </c>
      <c r="E2679" s="6" t="s">
        <v>24</v>
      </c>
      <c r="F2679" s="6">
        <v>2017</v>
      </c>
      <c r="G2679" s="6" t="s">
        <v>14</v>
      </c>
      <c r="H2679" s="7" t="s">
        <v>124</v>
      </c>
      <c r="I2679" s="6" t="s">
        <v>187</v>
      </c>
      <c r="J2679" s="130"/>
      <c r="K2679" s="148" t="s">
        <v>5371</v>
      </c>
    </row>
    <row r="2680" spans="1:11" ht="28.9" customHeight="1" thickTop="1" thickBot="1" x14ac:dyDescent="0.75">
      <c r="A2680" s="6">
        <v>2678</v>
      </c>
      <c r="B2680" s="59" t="str">
        <f>HYPERLINK("https://search.naver.com/search.naver?query=지옥 시즌1", "지옥 시즌1")</f>
        <v>지옥 시즌1</v>
      </c>
      <c r="C2680" s="16"/>
      <c r="D2680" s="17" t="s">
        <v>5372</v>
      </c>
      <c r="E2680" s="14" t="s">
        <v>13</v>
      </c>
      <c r="F2680" s="14">
        <v>2021</v>
      </c>
      <c r="G2680" s="14" t="s">
        <v>20</v>
      </c>
      <c r="H2680" s="15" t="s">
        <v>5373</v>
      </c>
      <c r="I2680" s="14" t="s">
        <v>247</v>
      </c>
      <c r="J2680" s="132"/>
      <c r="K2680" s="150" t="s">
        <v>459</v>
      </c>
    </row>
    <row r="2681" spans="1:11" ht="28.9" customHeight="1" thickTop="1" thickBot="1" x14ac:dyDescent="0.75">
      <c r="A2681" s="10">
        <v>2679</v>
      </c>
      <c r="B2681" s="124" t="str">
        <f>HYPERLINK("https://search.naver.com/search.naver?query=지옥 시즌2", "지옥 시즌2")</f>
        <v>지옥 시즌2</v>
      </c>
      <c r="C2681" s="16"/>
      <c r="D2681" s="17" t="s">
        <v>5372</v>
      </c>
      <c r="E2681" s="14" t="s">
        <v>13</v>
      </c>
      <c r="F2681" s="14">
        <v>2024</v>
      </c>
      <c r="G2681" s="14" t="s">
        <v>20</v>
      </c>
      <c r="H2681" s="15" t="s">
        <v>5373</v>
      </c>
      <c r="I2681" s="14" t="s">
        <v>247</v>
      </c>
      <c r="J2681" s="132"/>
      <c r="K2681" s="150" t="s">
        <v>5374</v>
      </c>
    </row>
    <row r="2682" spans="1:11" ht="28.9" customHeight="1" thickTop="1" thickBot="1" x14ac:dyDescent="0.75">
      <c r="A2682" s="10">
        <v>2680</v>
      </c>
      <c r="B2682" s="58" t="str">
        <f>HYPERLINK("https://search.naver.com/search.naver?query=지옥의 묵시록 영화", "지옥의 묵시록")</f>
        <v>지옥의 묵시록</v>
      </c>
      <c r="C2682" s="12">
        <v>9.06</v>
      </c>
      <c r="D2682" s="13" t="s">
        <v>5375</v>
      </c>
      <c r="E2682" s="10" t="s">
        <v>24</v>
      </c>
      <c r="F2682" s="10">
        <v>1979</v>
      </c>
      <c r="G2682" s="10" t="s">
        <v>14</v>
      </c>
      <c r="H2682" s="11" t="s">
        <v>1247</v>
      </c>
      <c r="I2682" s="10" t="s">
        <v>1034</v>
      </c>
      <c r="J2682" s="131"/>
      <c r="K2682" s="149" t="s">
        <v>5376</v>
      </c>
    </row>
    <row r="2683" spans="1:11" ht="28.9" customHeight="1" thickTop="1" thickBot="1" x14ac:dyDescent="0.75">
      <c r="A2683" s="6">
        <v>2681</v>
      </c>
      <c r="B2683" s="59" t="str">
        <f>HYPERLINK("https://search.naver.com/search.naver?query=지정생존자 시즌1", "지정생존자 시즌1")</f>
        <v>지정생존자 시즌1</v>
      </c>
      <c r="C2683" s="16"/>
      <c r="D2683" s="17" t="s">
        <v>5377</v>
      </c>
      <c r="E2683" s="14" t="s">
        <v>24</v>
      </c>
      <c r="F2683" s="14">
        <v>2016</v>
      </c>
      <c r="G2683" s="14" t="s">
        <v>20</v>
      </c>
      <c r="H2683" s="15" t="s">
        <v>20</v>
      </c>
      <c r="I2683" s="14" t="s">
        <v>3045</v>
      </c>
      <c r="J2683" s="132"/>
      <c r="K2683" s="150" t="s">
        <v>3043</v>
      </c>
    </row>
    <row r="2684" spans="1:11" ht="28.9" customHeight="1" thickTop="1" thickBot="1" x14ac:dyDescent="0.75">
      <c r="A2684" s="10">
        <v>2682</v>
      </c>
      <c r="B2684" s="59" t="str">
        <f>HYPERLINK("https://search.naver.com/search.naver?query=지정생존자 시즌2", "지정생존자 시즌2")</f>
        <v>지정생존자 시즌2</v>
      </c>
      <c r="C2684" s="16"/>
      <c r="D2684" s="17" t="s">
        <v>5377</v>
      </c>
      <c r="E2684" s="14" t="s">
        <v>24</v>
      </c>
      <c r="F2684" s="14">
        <v>2017</v>
      </c>
      <c r="G2684" s="14" t="s">
        <v>20</v>
      </c>
      <c r="H2684" s="15" t="s">
        <v>20</v>
      </c>
      <c r="I2684" s="14" t="s">
        <v>569</v>
      </c>
      <c r="J2684" s="132"/>
      <c r="K2684" s="150" t="s">
        <v>2841</v>
      </c>
    </row>
    <row r="2685" spans="1:11" ht="28.9" customHeight="1" thickTop="1" thickBot="1" x14ac:dyDescent="0.75">
      <c r="A2685" s="10">
        <v>2683</v>
      </c>
      <c r="B2685" s="59" t="str">
        <f>HYPERLINK("https://search.naver.com/search.naver?query=지정생존자 시즌3", "지정생존자 시즌3")</f>
        <v>지정생존자 시즌3</v>
      </c>
      <c r="C2685" s="16"/>
      <c r="D2685" s="17" t="s">
        <v>5378</v>
      </c>
      <c r="E2685" s="14" t="s">
        <v>24</v>
      </c>
      <c r="F2685" s="14">
        <v>2019</v>
      </c>
      <c r="G2685" s="14" t="s">
        <v>20</v>
      </c>
      <c r="H2685" s="15" t="s">
        <v>20</v>
      </c>
      <c r="I2685" s="14" t="s">
        <v>64</v>
      </c>
      <c r="J2685" s="132"/>
      <c r="K2685" s="150" t="s">
        <v>5379</v>
      </c>
    </row>
    <row r="2686" spans="1:11" ht="28.9" customHeight="1" thickTop="1" thickBot="1" x14ac:dyDescent="0.75">
      <c r="A2686" s="6">
        <v>2684</v>
      </c>
      <c r="B2686" s="58" t="str">
        <f>HYPERLINK("https://search.naver.com/search.naver?query=지지않는 태양 영화", "지지않는 태양")</f>
        <v>지지않는 태양</v>
      </c>
      <c r="C2686" s="12">
        <v>6.4</v>
      </c>
      <c r="D2686" s="13" t="s">
        <v>5380</v>
      </c>
      <c r="E2686" s="10" t="s">
        <v>19</v>
      </c>
      <c r="F2686" s="10">
        <v>2009</v>
      </c>
      <c r="G2686" s="10" t="s">
        <v>14</v>
      </c>
      <c r="H2686" s="11" t="s">
        <v>20</v>
      </c>
      <c r="I2686" s="10" t="s">
        <v>5381</v>
      </c>
      <c r="J2686" s="131"/>
      <c r="K2686" s="149" t="s">
        <v>3184</v>
      </c>
    </row>
    <row r="2687" spans="1:11" ht="28.9" customHeight="1" thickTop="1" thickBot="1" x14ac:dyDescent="0.75">
      <c r="A2687" s="10">
        <v>2685</v>
      </c>
      <c r="B2687" s="57" t="str">
        <f>HYPERLINK("https://search.naver.com/search.naver?query=지푸라기라도 잡고 싶은 짐승들 영화", "지푸라기라도 잡고 싶은 짐승들")</f>
        <v>지푸라기라도 잡고 싶은 짐승들</v>
      </c>
      <c r="C2687" s="8">
        <v>8</v>
      </c>
      <c r="D2687" s="9" t="s">
        <v>5382</v>
      </c>
      <c r="E2687" s="6" t="s">
        <v>13</v>
      </c>
      <c r="F2687" s="6">
        <v>2020</v>
      </c>
      <c r="G2687" s="6" t="s">
        <v>14</v>
      </c>
      <c r="H2687" s="7" t="s">
        <v>428</v>
      </c>
      <c r="I2687" s="6" t="s">
        <v>38</v>
      </c>
      <c r="J2687" s="130"/>
      <c r="K2687" s="148" t="s">
        <v>5383</v>
      </c>
    </row>
    <row r="2688" spans="1:11" ht="28.9" customHeight="1" thickTop="1" thickBot="1" x14ac:dyDescent="0.75">
      <c r="A2688" s="10">
        <v>2686</v>
      </c>
      <c r="B2688" s="58" t="str">
        <f>HYPERLINK("https://search.naver.com/search.naver?query=지하철을 타고 영화", "지하철을 타고")</f>
        <v>지하철을 타고</v>
      </c>
      <c r="C2688" s="12"/>
      <c r="D2688" s="13" t="s">
        <v>5384</v>
      </c>
      <c r="E2688" s="10" t="s">
        <v>19</v>
      </c>
      <c r="F2688" s="10">
        <v>2006</v>
      </c>
      <c r="G2688" s="10" t="s">
        <v>14</v>
      </c>
      <c r="H2688" s="11" t="s">
        <v>20</v>
      </c>
      <c r="I2688" s="10" t="s">
        <v>195</v>
      </c>
      <c r="J2688" s="131"/>
      <c r="K2688" s="149" t="s">
        <v>5385</v>
      </c>
    </row>
    <row r="2689" spans="1:11" ht="28.9" customHeight="1" thickTop="1" thickBot="1" x14ac:dyDescent="0.75">
      <c r="A2689" s="6">
        <v>2687</v>
      </c>
      <c r="B2689" s="57" t="str">
        <f>HYPERLINK("https://search.naver.com/search.naver?query=진링의 13소녀 영화", "진링의 13소녀")</f>
        <v>진링의 13소녀</v>
      </c>
      <c r="C2689" s="8">
        <v>9.02</v>
      </c>
      <c r="D2689" s="9" t="s">
        <v>5386</v>
      </c>
      <c r="E2689" s="6" t="s">
        <v>186</v>
      </c>
      <c r="F2689" s="6">
        <v>2011</v>
      </c>
      <c r="G2689" s="6" t="s">
        <v>14</v>
      </c>
      <c r="H2689" s="7" t="s">
        <v>20</v>
      </c>
      <c r="I2689" s="6" t="s">
        <v>1648</v>
      </c>
      <c r="J2689" s="130"/>
      <c r="K2689" s="148" t="s">
        <v>5387</v>
      </c>
    </row>
    <row r="2690" spans="1:11" ht="28.9" customHeight="1" thickTop="1" thickBot="1" x14ac:dyDescent="0.75">
      <c r="A2690" s="10">
        <v>2688</v>
      </c>
      <c r="B2690" s="58" t="str">
        <f>HYPERLINK("https://search.naver.com/search.naver?query=진저 앤 로사 영화", "진저 앤 로사")</f>
        <v>진저 앤 로사</v>
      </c>
      <c r="C2690" s="12">
        <v>7.95</v>
      </c>
      <c r="D2690" s="13" t="s">
        <v>5388</v>
      </c>
      <c r="E2690" s="10" t="s">
        <v>29</v>
      </c>
      <c r="F2690" s="10">
        <v>2012</v>
      </c>
      <c r="G2690" s="10" t="s">
        <v>14</v>
      </c>
      <c r="H2690" s="11" t="s">
        <v>20</v>
      </c>
      <c r="I2690" s="10" t="s">
        <v>156</v>
      </c>
      <c r="J2690" s="131"/>
      <c r="K2690" s="149" t="s">
        <v>5389</v>
      </c>
    </row>
    <row r="2691" spans="1:11" ht="28.9" customHeight="1" thickTop="1" thickBot="1" x14ac:dyDescent="0.75">
      <c r="A2691" s="10">
        <v>2689</v>
      </c>
      <c r="B2691" s="57" t="str">
        <f>HYPERLINK("https://search.naver.com/search.naver?query=진주만 영화", "진주만")</f>
        <v>진주만</v>
      </c>
      <c r="C2691" s="8">
        <v>8.6</v>
      </c>
      <c r="D2691" s="9" t="s">
        <v>5390</v>
      </c>
      <c r="E2691" s="6" t="s">
        <v>24</v>
      </c>
      <c r="F2691" s="6">
        <v>2001</v>
      </c>
      <c r="G2691" s="6" t="s">
        <v>14</v>
      </c>
      <c r="H2691" s="7" t="s">
        <v>1247</v>
      </c>
      <c r="I2691" s="6" t="s">
        <v>5391</v>
      </c>
      <c r="J2691" s="130"/>
      <c r="K2691" s="148" t="s">
        <v>5392</v>
      </c>
    </row>
    <row r="2692" spans="1:11" ht="28.9" customHeight="1" thickTop="1" thickBot="1" x14ac:dyDescent="0.75">
      <c r="A2692" s="6">
        <v>2690</v>
      </c>
      <c r="B2692" s="58" t="str">
        <f>HYPERLINK("https://search.naver.com/search.naver?query=진짜로 일어날지도 몰라 기적 영화", "진짜로 일어날지도 몰라 기적")</f>
        <v>진짜로 일어날지도 몰라 기적</v>
      </c>
      <c r="C2692" s="12">
        <v>9.07</v>
      </c>
      <c r="D2692" s="13" t="s">
        <v>5393</v>
      </c>
      <c r="E2692" s="10" t="s">
        <v>19</v>
      </c>
      <c r="F2692" s="10">
        <v>2011</v>
      </c>
      <c r="G2692" s="10" t="s">
        <v>14</v>
      </c>
      <c r="H2692" s="11" t="s">
        <v>20</v>
      </c>
      <c r="I2692" s="10" t="s">
        <v>150</v>
      </c>
      <c r="J2692" s="131"/>
      <c r="K2692" s="149" t="s">
        <v>5394</v>
      </c>
    </row>
    <row r="2693" spans="1:11" ht="28.9" customHeight="1" thickTop="1" thickBot="1" x14ac:dyDescent="0.75">
      <c r="A2693" s="10">
        <v>2691</v>
      </c>
      <c r="B2693" s="57" t="str">
        <f>HYPERLINK("https://search.naver.com/search.naver?query=짐작보다 따뜻하게 영화", "짐작보다 따뜻하게")</f>
        <v>짐작보다 따뜻하게</v>
      </c>
      <c r="C2693" s="8">
        <v>9.77</v>
      </c>
      <c r="D2693" s="9" t="s">
        <v>5395</v>
      </c>
      <c r="E2693" s="6" t="s">
        <v>13</v>
      </c>
      <c r="F2693" s="6">
        <v>2016</v>
      </c>
      <c r="G2693" s="6" t="s">
        <v>14</v>
      </c>
      <c r="H2693" s="7" t="s">
        <v>20</v>
      </c>
      <c r="I2693" s="6" t="s">
        <v>150</v>
      </c>
      <c r="J2693" s="130"/>
      <c r="K2693" s="148" t="s">
        <v>5396</v>
      </c>
    </row>
    <row r="2694" spans="1:11" ht="28.9" customHeight="1" thickTop="1" thickBot="1" x14ac:dyDescent="0.75">
      <c r="A2694" s="10">
        <v>2692</v>
      </c>
      <c r="B2694" s="58" t="str">
        <f>HYPERLINK("https://search.naver.com/search.naver?query=집 이야기 영화", "집 이야기")</f>
        <v>집 이야기</v>
      </c>
      <c r="C2694" s="12">
        <v>9.3800000000000008</v>
      </c>
      <c r="D2694" s="13" t="s">
        <v>5397</v>
      </c>
      <c r="E2694" s="10" t="s">
        <v>13</v>
      </c>
      <c r="F2694" s="10">
        <v>2019</v>
      </c>
      <c r="G2694" s="10" t="s">
        <v>14</v>
      </c>
      <c r="H2694" s="11" t="s">
        <v>20</v>
      </c>
      <c r="I2694" s="10" t="s">
        <v>150</v>
      </c>
      <c r="J2694" s="131"/>
      <c r="K2694" s="149" t="s">
        <v>5398</v>
      </c>
    </row>
    <row r="2695" spans="1:11" ht="28.9" customHeight="1" thickTop="1" thickBot="1" x14ac:dyDescent="0.75">
      <c r="A2695" s="6">
        <v>2693</v>
      </c>
      <c r="B2695" s="57" t="str">
        <f>HYPERLINK("https://search.naver.com/search.naver?query=집에 돌아오면, 언제나 아내가 죽은 척을 하고 있다 영화", "집에 돌아오면, 언제나 아내가 죽은 척을 하고 있다")</f>
        <v>집에 돌아오면, 언제나 아내가 죽은 척을 하고 있다</v>
      </c>
      <c r="C2695" s="8">
        <v>7.57</v>
      </c>
      <c r="D2695" s="9" t="s">
        <v>5399</v>
      </c>
      <c r="E2695" s="6" t="s">
        <v>19</v>
      </c>
      <c r="F2695" s="6">
        <v>2018</v>
      </c>
      <c r="G2695" s="6" t="s">
        <v>14</v>
      </c>
      <c r="H2695" s="7" t="s">
        <v>91</v>
      </c>
      <c r="I2695" s="6" t="s">
        <v>150</v>
      </c>
      <c r="J2695" s="130"/>
      <c r="K2695" s="148" t="s">
        <v>5400</v>
      </c>
    </row>
    <row r="2696" spans="1:11" ht="28.9" customHeight="1" thickTop="1" thickBot="1" x14ac:dyDescent="0.75">
      <c r="A2696" s="10">
        <v>2694</v>
      </c>
      <c r="B2696" s="58" t="str">
        <f>HYPERLINK("https://search.naver.com/search.naver?query=집으로 가는 길 영화", "집으로 가는 길")</f>
        <v>집으로 가는 길</v>
      </c>
      <c r="C2696" s="12">
        <v>8.82</v>
      </c>
      <c r="D2696" s="13" t="s">
        <v>5401</v>
      </c>
      <c r="E2696" s="10" t="s">
        <v>13</v>
      </c>
      <c r="F2696" s="10">
        <v>2013</v>
      </c>
      <c r="G2696" s="10" t="s">
        <v>14</v>
      </c>
      <c r="H2696" s="11" t="s">
        <v>20</v>
      </c>
      <c r="I2696" s="10" t="s">
        <v>432</v>
      </c>
      <c r="J2696" s="131"/>
      <c r="K2696" s="149" t="s">
        <v>5402</v>
      </c>
    </row>
    <row r="2697" spans="1:11" ht="28.9" customHeight="1" thickTop="1" thickBot="1" x14ac:dyDescent="0.75">
      <c r="A2697" s="10">
        <v>2695</v>
      </c>
      <c r="B2697" s="57" t="str">
        <f>HYPERLINK("https://namu.wiki/w/%EC%A7%91%EC%9C%BC%EB%A1%9C%20%EA%B0%80%EB%8A%94%20%EA%B8%B8(%EC%A4%91%EA%B5%AD%20%EC%98%81%ED%99%94)", "집으로 가는 길")</f>
        <v>집으로 가는 길</v>
      </c>
      <c r="C2697" s="8">
        <v>9.26</v>
      </c>
      <c r="D2697" s="9" t="s">
        <v>5403</v>
      </c>
      <c r="E2697" s="6" t="s">
        <v>186</v>
      </c>
      <c r="F2697" s="6">
        <v>2000</v>
      </c>
      <c r="G2697" s="6" t="s">
        <v>14</v>
      </c>
      <c r="H2697" s="7" t="s">
        <v>20</v>
      </c>
      <c r="I2697" s="6" t="s">
        <v>162</v>
      </c>
      <c r="J2697" s="130"/>
      <c r="K2697" s="148" t="s">
        <v>5404</v>
      </c>
    </row>
    <row r="2698" spans="1:11" ht="28.9" customHeight="1" thickTop="1" thickBot="1" x14ac:dyDescent="0.75">
      <c r="A2698" s="6">
        <v>2696</v>
      </c>
      <c r="B2698" s="58" t="str">
        <f>HYPERLINK("https://search.naver.com/search.naver?query=집행자 영화", "집행자")</f>
        <v>집행자</v>
      </c>
      <c r="C2698" s="12">
        <v>7.49</v>
      </c>
      <c r="D2698" s="13" t="s">
        <v>5405</v>
      </c>
      <c r="E2698" s="10" t="s">
        <v>13</v>
      </c>
      <c r="F2698" s="10">
        <v>2009</v>
      </c>
      <c r="G2698" s="10" t="s">
        <v>14</v>
      </c>
      <c r="H2698" s="11" t="s">
        <v>20</v>
      </c>
      <c r="I2698" s="10" t="s">
        <v>150</v>
      </c>
      <c r="J2698" s="131"/>
      <c r="K2698" s="149" t="s">
        <v>5406</v>
      </c>
    </row>
    <row r="2699" spans="1:11" ht="28.9" customHeight="1" thickTop="1" thickBot="1" x14ac:dyDescent="0.75">
      <c r="A2699" s="10">
        <v>2697</v>
      </c>
      <c r="B2699" s="57" t="str">
        <f>HYPERLINK("https://search.naver.com/search.naver?query=짓 영화", "짓")</f>
        <v>짓</v>
      </c>
      <c r="C2699" s="8">
        <v>5.24</v>
      </c>
      <c r="D2699" s="9" t="s">
        <v>5407</v>
      </c>
      <c r="E2699" s="6" t="s">
        <v>13</v>
      </c>
      <c r="F2699" s="6">
        <v>2013</v>
      </c>
      <c r="G2699" s="6" t="s">
        <v>14</v>
      </c>
      <c r="H2699" s="7" t="s">
        <v>20</v>
      </c>
      <c r="I2699" s="6" t="s">
        <v>150</v>
      </c>
      <c r="J2699" s="130"/>
      <c r="K2699" s="148" t="s">
        <v>5408</v>
      </c>
    </row>
    <row r="2700" spans="1:11" ht="28.9" customHeight="1" thickTop="1" thickBot="1" x14ac:dyDescent="0.75">
      <c r="A2700" s="10">
        <v>2698</v>
      </c>
      <c r="B2700" s="58" t="str">
        <f>HYPERLINK("https://search.naver.com/search.naver?query=짚의 방패 영화", "짚의 방패")</f>
        <v>짚의 방패</v>
      </c>
      <c r="C2700" s="12">
        <v>5.92</v>
      </c>
      <c r="D2700" s="13" t="s">
        <v>5409</v>
      </c>
      <c r="E2700" s="10" t="s">
        <v>19</v>
      </c>
      <c r="F2700" s="10">
        <v>2013</v>
      </c>
      <c r="G2700" s="10" t="s">
        <v>14</v>
      </c>
      <c r="H2700" s="11" t="s">
        <v>124</v>
      </c>
      <c r="I2700" s="10" t="s">
        <v>129</v>
      </c>
      <c r="J2700" s="131"/>
      <c r="K2700" s="149" t="s">
        <v>5410</v>
      </c>
    </row>
    <row r="2701" spans="1:11" ht="28.9" customHeight="1" thickTop="1" thickBot="1" x14ac:dyDescent="0.75">
      <c r="A2701" s="6">
        <v>2699</v>
      </c>
      <c r="B2701" s="57" t="str">
        <f>HYPERLINK("https://search.naver.com/search.naver?query=쩨쩨한 로맨스 영화", "쩨쩨한 로맨스")</f>
        <v>쩨쩨한 로맨스</v>
      </c>
      <c r="C2701" s="8">
        <v>8.52</v>
      </c>
      <c r="D2701" s="9" t="s">
        <v>5411</v>
      </c>
      <c r="E2701" s="6" t="s">
        <v>13</v>
      </c>
      <c r="F2701" s="6">
        <v>2010</v>
      </c>
      <c r="G2701" s="6" t="s">
        <v>14</v>
      </c>
      <c r="H2701" s="7" t="s">
        <v>91</v>
      </c>
      <c r="I2701" s="6" t="s">
        <v>38</v>
      </c>
      <c r="J2701" s="130"/>
      <c r="K2701" s="148" t="s">
        <v>5412</v>
      </c>
    </row>
    <row r="2702" spans="1:11" ht="28.9" customHeight="1" thickTop="1" thickBot="1" x14ac:dyDescent="0.75">
      <c r="A2702" s="10">
        <v>2700</v>
      </c>
      <c r="B2702" s="58" t="str">
        <f>HYPERLINK("https://search.naver.com/search.naver?query=찌라시 위험한 소문 영화", "찌라시-위험한 소문")</f>
        <v>찌라시-위험한 소문</v>
      </c>
      <c r="C2702" s="12">
        <v>7.56</v>
      </c>
      <c r="D2702" s="13" t="s">
        <v>5413</v>
      </c>
      <c r="E2702" s="10" t="s">
        <v>13</v>
      </c>
      <c r="F2702" s="10">
        <v>2013</v>
      </c>
      <c r="G2702" s="10" t="s">
        <v>14</v>
      </c>
      <c r="H2702" s="11" t="s">
        <v>54</v>
      </c>
      <c r="I2702" s="10" t="s">
        <v>179</v>
      </c>
      <c r="J2702" s="131"/>
      <c r="K2702" s="149" t="s">
        <v>5414</v>
      </c>
    </row>
    <row r="2703" spans="1:11" ht="28.9" customHeight="1" thickTop="1" thickBot="1" x14ac:dyDescent="0.75">
      <c r="A2703" s="10">
        <v>2701</v>
      </c>
      <c r="B2703" s="57" t="str">
        <f>HYPERLINK("https://search.naver.com/search.naver?query=차이나타운 영화", "차이나타운")</f>
        <v>차이나타운</v>
      </c>
      <c r="C2703" s="8">
        <v>7.57</v>
      </c>
      <c r="D2703" s="9" t="s">
        <v>5415</v>
      </c>
      <c r="E2703" s="6" t="s">
        <v>13</v>
      </c>
      <c r="F2703" s="6">
        <v>2014</v>
      </c>
      <c r="G2703" s="6" t="s">
        <v>14</v>
      </c>
      <c r="H2703" s="7" t="s">
        <v>428</v>
      </c>
      <c r="I2703" s="6" t="s">
        <v>129</v>
      </c>
      <c r="J2703" s="130"/>
      <c r="K2703" s="148" t="s">
        <v>5416</v>
      </c>
    </row>
    <row r="2704" spans="1:11" ht="28.9" customHeight="1" thickTop="1" thickBot="1" x14ac:dyDescent="0.75">
      <c r="A2704" s="6">
        <v>2702</v>
      </c>
      <c r="B2704" s="58" t="str">
        <f>HYPERLINK("https://search.naver.com/search.naver?query=차이니즈 조디악 영화", "차이니즈 조디악")</f>
        <v>차이니즈 조디악</v>
      </c>
      <c r="C2704" s="12">
        <v>7.81</v>
      </c>
      <c r="D2704" s="13" t="s">
        <v>5417</v>
      </c>
      <c r="E2704" s="10" t="s">
        <v>186</v>
      </c>
      <c r="F2704" s="10">
        <v>2012</v>
      </c>
      <c r="G2704" s="10" t="s">
        <v>14</v>
      </c>
      <c r="H2704" s="11" t="s">
        <v>124</v>
      </c>
      <c r="I2704" s="10" t="s">
        <v>76</v>
      </c>
      <c r="J2704" s="131"/>
      <c r="K2704" s="149" t="s">
        <v>5418</v>
      </c>
    </row>
    <row r="2705" spans="1:11" ht="28.9" customHeight="1" thickTop="1" thickBot="1" x14ac:dyDescent="0.75">
      <c r="A2705" s="10">
        <v>2703</v>
      </c>
      <c r="B2705" s="57" t="str">
        <f>HYPERLINK("https://search.naver.com/search.naver?query=차일드 인 타임 영화", "차일드 인 타임")</f>
        <v>차일드 인 타임</v>
      </c>
      <c r="C2705" s="8">
        <v>8.11</v>
      </c>
      <c r="D2705" s="9" t="s">
        <v>5419</v>
      </c>
      <c r="E2705" s="6" t="s">
        <v>29</v>
      </c>
      <c r="F2705" s="6">
        <v>2017</v>
      </c>
      <c r="G2705" s="6" t="s">
        <v>14</v>
      </c>
      <c r="H2705" s="7" t="s">
        <v>20</v>
      </c>
      <c r="I2705" s="6" t="s">
        <v>156</v>
      </c>
      <c r="J2705" s="130"/>
      <c r="K2705" s="148" t="s">
        <v>5420</v>
      </c>
    </row>
    <row r="2706" spans="1:11" ht="28.9" customHeight="1" thickTop="1" thickBot="1" x14ac:dyDescent="0.75">
      <c r="A2706" s="10">
        <v>2704</v>
      </c>
      <c r="B2706" s="58" t="str">
        <f>HYPERLINK("https://search.naver.com/search.naver?query=차일드44 영화", "차일드44")</f>
        <v>차일드44</v>
      </c>
      <c r="C2706" s="12">
        <v>8</v>
      </c>
      <c r="D2706" s="13" t="s">
        <v>5421</v>
      </c>
      <c r="E2706" s="10" t="s">
        <v>24</v>
      </c>
      <c r="F2706" s="10">
        <v>2015</v>
      </c>
      <c r="G2706" s="10" t="s">
        <v>14</v>
      </c>
      <c r="H2706" s="11" t="s">
        <v>428</v>
      </c>
      <c r="I2706" s="10" t="s">
        <v>269</v>
      </c>
      <c r="J2706" s="131"/>
      <c r="K2706" s="149" t="s">
        <v>5422</v>
      </c>
    </row>
    <row r="2707" spans="1:11" ht="28.9" customHeight="1" thickTop="1" thickBot="1" x14ac:dyDescent="0.75">
      <c r="A2707" s="6">
        <v>2705</v>
      </c>
      <c r="B2707" s="57" t="str">
        <f>HYPERLINK("https://search.naver.com/search.naver?query=찬실이는 복도 많지 영화", "찬실이는 복도 많지")</f>
        <v>찬실이는 복도 많지</v>
      </c>
      <c r="C2707" s="8">
        <v>9.11</v>
      </c>
      <c r="D2707" s="9" t="s">
        <v>5423</v>
      </c>
      <c r="E2707" s="6" t="s">
        <v>13</v>
      </c>
      <c r="F2707" s="6">
        <v>2019</v>
      </c>
      <c r="G2707" s="6" t="s">
        <v>14</v>
      </c>
      <c r="H2707" s="7" t="s">
        <v>20</v>
      </c>
      <c r="I2707" s="6" t="s">
        <v>175</v>
      </c>
      <c r="J2707" s="130"/>
      <c r="K2707" s="148" t="s">
        <v>5424</v>
      </c>
    </row>
    <row r="2708" spans="1:11" ht="28.9" customHeight="1" thickTop="1" thickBot="1" x14ac:dyDescent="0.75">
      <c r="A2708" s="10">
        <v>2706</v>
      </c>
      <c r="B2708" s="58" t="str">
        <f>HYPERLINK("https://search.naver.com/search.naver?query=찰리 윌슨의 전쟁 영화", "찰리 윌슨의 전쟁")</f>
        <v>찰리 윌슨의 전쟁</v>
      </c>
      <c r="C2708" s="12">
        <v>5.75</v>
      </c>
      <c r="D2708" s="13" t="s">
        <v>5425</v>
      </c>
      <c r="E2708" s="10" t="s">
        <v>24</v>
      </c>
      <c r="F2708" s="10">
        <v>2007</v>
      </c>
      <c r="G2708" s="10" t="s">
        <v>14</v>
      </c>
      <c r="H2708" s="11" t="s">
        <v>20</v>
      </c>
      <c r="I2708" s="10" t="s">
        <v>133</v>
      </c>
      <c r="J2708" s="131"/>
      <c r="K2708" s="149" t="s">
        <v>5426</v>
      </c>
    </row>
    <row r="2709" spans="1:11" ht="28.9" customHeight="1" thickTop="1" thickBot="1" x14ac:dyDescent="0.75">
      <c r="A2709" s="10">
        <v>2707</v>
      </c>
      <c r="B2709" s="57" t="str">
        <f>HYPERLINK("https://search.naver.com/search.naver?query=찰리 컨트리맨 영화", "찰리 컨트리맨")</f>
        <v>찰리 컨트리맨</v>
      </c>
      <c r="C2709" s="8">
        <v>6.86</v>
      </c>
      <c r="D2709" s="9" t="s">
        <v>5427</v>
      </c>
      <c r="E2709" s="6" t="s">
        <v>24</v>
      </c>
      <c r="F2709" s="6">
        <v>2013</v>
      </c>
      <c r="G2709" s="6" t="s">
        <v>14</v>
      </c>
      <c r="H2709" s="7" t="s">
        <v>124</v>
      </c>
      <c r="I2709" s="6" t="s">
        <v>38</v>
      </c>
      <c r="J2709" s="130"/>
      <c r="K2709" s="148" t="s">
        <v>5428</v>
      </c>
    </row>
    <row r="2710" spans="1:11" ht="28.9" customHeight="1" thickTop="1" thickBot="1" x14ac:dyDescent="0.75">
      <c r="A2710" s="6">
        <v>2708</v>
      </c>
      <c r="B2710" s="58" t="str">
        <f>HYPERLINK("https://search.naver.com/search.naver?query=창궐 영화", "창궐")</f>
        <v>창궐</v>
      </c>
      <c r="C2710" s="12">
        <v>6.46</v>
      </c>
      <c r="D2710" s="13" t="s">
        <v>5429</v>
      </c>
      <c r="E2710" s="10" t="s">
        <v>13</v>
      </c>
      <c r="F2710" s="10">
        <v>2018</v>
      </c>
      <c r="G2710" s="10" t="s">
        <v>14</v>
      </c>
      <c r="H2710" s="11" t="s">
        <v>124</v>
      </c>
      <c r="I2710" s="10" t="s">
        <v>195</v>
      </c>
      <c r="J2710" s="131"/>
      <c r="K2710" s="149" t="s">
        <v>5430</v>
      </c>
    </row>
    <row r="2711" spans="1:11" ht="28.9" customHeight="1" thickTop="1" thickBot="1" x14ac:dyDescent="0.75">
      <c r="A2711" s="10">
        <v>2709</v>
      </c>
      <c r="B2711" s="57" t="str">
        <f>HYPERLINK("https://search.naver.com/search.naver?query=창문넘어 도망친 100세 노인 영화", "창문넘어 도망친 100세 노인")</f>
        <v>창문넘어 도망친 100세 노인</v>
      </c>
      <c r="C2711" s="8">
        <v>8.16</v>
      </c>
      <c r="D2711" s="9" t="s">
        <v>5431</v>
      </c>
      <c r="E2711" s="6" t="s">
        <v>1043</v>
      </c>
      <c r="F2711" s="6">
        <v>2013</v>
      </c>
      <c r="G2711" s="6" t="s">
        <v>14</v>
      </c>
      <c r="H2711" s="7" t="s">
        <v>91</v>
      </c>
      <c r="I2711" s="6" t="s">
        <v>305</v>
      </c>
      <c r="J2711" s="130"/>
      <c r="K2711" s="148" t="s">
        <v>5432</v>
      </c>
    </row>
    <row r="2712" spans="1:11" ht="28.9" customHeight="1" thickTop="1" thickBot="1" x14ac:dyDescent="0.75">
      <c r="A2712" s="10">
        <v>2710</v>
      </c>
      <c r="B2712" s="58" t="str">
        <f>HYPERLINK("https://search.naver.com/search.naver?query=창수 영화", "창수")</f>
        <v>창수</v>
      </c>
      <c r="C2712" s="12">
        <v>7.13</v>
      </c>
      <c r="D2712" s="13" t="s">
        <v>5433</v>
      </c>
      <c r="E2712" s="10" t="s">
        <v>13</v>
      </c>
      <c r="F2712" s="10">
        <v>2013</v>
      </c>
      <c r="G2712" s="10" t="s">
        <v>14</v>
      </c>
      <c r="H2712" s="11" t="s">
        <v>20</v>
      </c>
      <c r="I2712" s="10" t="s">
        <v>150</v>
      </c>
      <c r="J2712" s="131"/>
      <c r="K2712" s="149" t="s">
        <v>5434</v>
      </c>
    </row>
    <row r="2713" spans="1:11" ht="28.9" customHeight="1" thickTop="1" thickBot="1" x14ac:dyDescent="0.75">
      <c r="A2713" s="6">
        <v>2711</v>
      </c>
      <c r="B2713" s="57" t="str">
        <f>HYPERLINK("https://search.naver.com/search.naver?query=채비 영화", "채비")</f>
        <v>채비</v>
      </c>
      <c r="C2713" s="8">
        <v>8.81</v>
      </c>
      <c r="D2713" s="9" t="s">
        <v>5435</v>
      </c>
      <c r="E2713" s="6" t="s">
        <v>13</v>
      </c>
      <c r="F2713" s="6">
        <v>2017</v>
      </c>
      <c r="G2713" s="6" t="s">
        <v>14</v>
      </c>
      <c r="H2713" s="7" t="s">
        <v>20</v>
      </c>
      <c r="I2713" s="6" t="s">
        <v>179</v>
      </c>
      <c r="J2713" s="130"/>
      <c r="K2713" s="148" t="s">
        <v>5436</v>
      </c>
    </row>
    <row r="2714" spans="1:11" ht="28.9" customHeight="1" thickTop="1" thickBot="1" x14ac:dyDescent="0.75">
      <c r="A2714" s="10">
        <v>2712</v>
      </c>
      <c r="B2714" s="58" t="str">
        <f>HYPERLINK("https://search.naver.com/search.naver?query=책도둑 영화", "책도둑")</f>
        <v>책도둑</v>
      </c>
      <c r="C2714" s="12">
        <v>6.4</v>
      </c>
      <c r="D2714" s="13" t="s">
        <v>5437</v>
      </c>
      <c r="E2714" s="10" t="s">
        <v>24</v>
      </c>
      <c r="F2714" s="10">
        <v>2013</v>
      </c>
      <c r="G2714" s="10" t="s">
        <v>14</v>
      </c>
      <c r="H2714" s="11" t="s">
        <v>20</v>
      </c>
      <c r="I2714" s="10" t="s">
        <v>432</v>
      </c>
      <c r="J2714" s="131"/>
      <c r="K2714" s="149" t="s">
        <v>5438</v>
      </c>
    </row>
    <row r="2715" spans="1:11" ht="28.9" customHeight="1" thickTop="1" thickBot="1" x14ac:dyDescent="0.75">
      <c r="A2715" s="10">
        <v>2713</v>
      </c>
      <c r="B2715" s="57" t="str">
        <f>HYPERLINK("https://search.naver.com/search.naver?query=챌린저스 영화", "챌린저스")</f>
        <v>챌린저스</v>
      </c>
      <c r="C2715" s="8">
        <v>8.5</v>
      </c>
      <c r="D2715" s="9" t="s">
        <v>5439</v>
      </c>
      <c r="E2715" s="6" t="s">
        <v>24</v>
      </c>
      <c r="F2715" s="6">
        <v>2024</v>
      </c>
      <c r="G2715" s="6" t="s">
        <v>14</v>
      </c>
      <c r="H2715" s="7" t="s">
        <v>20</v>
      </c>
      <c r="I2715" s="6" t="s">
        <v>432</v>
      </c>
      <c r="J2715" s="130"/>
      <c r="K2715" s="148" t="s">
        <v>5440</v>
      </c>
    </row>
    <row r="2716" spans="1:11" ht="28.9" customHeight="1" thickTop="1" thickBot="1" x14ac:dyDescent="0.75">
      <c r="A2716" s="6">
        <v>2714</v>
      </c>
      <c r="B2716" s="58" t="str">
        <f>HYPERLINK("https://search.naver.com/search.naver?query=챔피언2018", "챔피언")</f>
        <v>챔피언</v>
      </c>
      <c r="C2716" s="12">
        <v>7.47</v>
      </c>
      <c r="D2716" s="13" t="s">
        <v>5441</v>
      </c>
      <c r="E2716" s="10" t="s">
        <v>13</v>
      </c>
      <c r="F2716" s="10">
        <v>2018</v>
      </c>
      <c r="G2716" s="10" t="s">
        <v>14</v>
      </c>
      <c r="H2716" s="11" t="s">
        <v>20</v>
      </c>
      <c r="I2716" s="10" t="s">
        <v>38</v>
      </c>
      <c r="J2716" s="131"/>
      <c r="K2716" s="149" t="s">
        <v>5442</v>
      </c>
    </row>
    <row r="2717" spans="1:11" ht="28.9" customHeight="1" thickTop="1" thickBot="1" x14ac:dyDescent="0.75">
      <c r="A2717" s="10">
        <v>2715</v>
      </c>
      <c r="B2717" s="57" t="str">
        <f>HYPERLINK("https://search.naver.com/search.naver?query=천국에 다녀온 소년 영화", "천국에 다녀온 소년")</f>
        <v>천국에 다녀온 소년</v>
      </c>
      <c r="C2717" s="8">
        <v>8.25</v>
      </c>
      <c r="D2717" s="9" t="s">
        <v>5443</v>
      </c>
      <c r="E2717" s="6" t="s">
        <v>24</v>
      </c>
      <c r="F2717" s="6">
        <v>2014</v>
      </c>
      <c r="G2717" s="6" t="s">
        <v>14</v>
      </c>
      <c r="H2717" s="7" t="s">
        <v>20</v>
      </c>
      <c r="I2717" s="6" t="s">
        <v>109</v>
      </c>
      <c r="J2717" s="130"/>
      <c r="K2717" s="148" t="s">
        <v>5444</v>
      </c>
    </row>
    <row r="2718" spans="1:11" ht="28.9" customHeight="1" thickTop="1" thickBot="1" x14ac:dyDescent="0.75">
      <c r="A2718" s="10">
        <v>2716</v>
      </c>
      <c r="B2718" s="58" t="str">
        <f>HYPERLINK("https://search.naver.com/search.naver?query=천국에서 너를 만나면 영화", "천국에서 너를 만나면")</f>
        <v>천국에서 너를 만나면</v>
      </c>
      <c r="C2718" s="12">
        <v>6.4</v>
      </c>
      <c r="D2718" s="13" t="s">
        <v>5445</v>
      </c>
      <c r="E2718" s="10" t="s">
        <v>19</v>
      </c>
      <c r="F2718" s="10">
        <v>2007</v>
      </c>
      <c r="G2718" s="10" t="s">
        <v>14</v>
      </c>
      <c r="H2718" s="11" t="s">
        <v>20</v>
      </c>
      <c r="I2718" s="10" t="s">
        <v>329</v>
      </c>
      <c r="J2718" s="131"/>
      <c r="K2718" s="149" t="s">
        <v>5446</v>
      </c>
    </row>
    <row r="2719" spans="1:11" ht="28.9" customHeight="1" thickTop="1" thickBot="1" x14ac:dyDescent="0.75">
      <c r="A2719" s="6">
        <v>2717</v>
      </c>
      <c r="B2719" s="57" t="str">
        <f>HYPERLINK("https://search.naver.com/search.naver?query=천국에서의 응원 영화", "천국에서의 응원")</f>
        <v>천국에서의 응원</v>
      </c>
      <c r="C2719" s="8"/>
      <c r="D2719" s="9" t="s">
        <v>5447</v>
      </c>
      <c r="E2719" s="6" t="s">
        <v>19</v>
      </c>
      <c r="F2719" s="6">
        <v>2011</v>
      </c>
      <c r="G2719" s="6" t="s">
        <v>14</v>
      </c>
      <c r="H2719" s="7" t="s">
        <v>20</v>
      </c>
      <c r="I2719" s="6" t="s">
        <v>150</v>
      </c>
      <c r="J2719" s="130"/>
      <c r="K2719" s="148" t="s">
        <v>5448</v>
      </c>
    </row>
    <row r="2720" spans="1:11" ht="28.9" customHeight="1" thickTop="1" thickBot="1" x14ac:dyDescent="0.75">
      <c r="A2720" s="10">
        <v>2718</v>
      </c>
      <c r="B2720" s="58" t="str">
        <f>HYPERLINK("https://search.naver.com/search.naver?query=천국은 아직 먼 곳에 영화", "천국은 아직 먼 곳에")</f>
        <v>천국은 아직 먼 곳에</v>
      </c>
      <c r="C2720" s="12">
        <v>6.4</v>
      </c>
      <c r="D2720" s="13" t="s">
        <v>5449</v>
      </c>
      <c r="E2720" s="10" t="s">
        <v>19</v>
      </c>
      <c r="F2720" s="10">
        <v>2008</v>
      </c>
      <c r="G2720" s="10" t="s">
        <v>14</v>
      </c>
      <c r="H2720" s="11" t="s">
        <v>20</v>
      </c>
      <c r="I2720" s="10" t="s">
        <v>120</v>
      </c>
      <c r="J2720" s="131"/>
      <c r="K2720" s="149" t="s">
        <v>5450</v>
      </c>
    </row>
    <row r="2721" spans="1:11" ht="28.9" customHeight="1" thickTop="1" thickBot="1" x14ac:dyDescent="0.75">
      <c r="A2721" s="10">
        <v>2719</v>
      </c>
      <c r="B2721" s="57" t="str">
        <f>HYPERLINK("https://search.naver.com/search.naver?query=천국의 책방-연화", "천국의 책방 - 연화")</f>
        <v>천국의 책방 - 연화</v>
      </c>
      <c r="C2721" s="8">
        <v>8.06</v>
      </c>
      <c r="D2721" s="9" t="s">
        <v>5451</v>
      </c>
      <c r="E2721" s="6" t="s">
        <v>19</v>
      </c>
      <c r="F2721" s="6">
        <v>2004</v>
      </c>
      <c r="G2721" s="6" t="s">
        <v>14</v>
      </c>
      <c r="H2721" s="7" t="s">
        <v>20</v>
      </c>
      <c r="I2721" s="6" t="s">
        <v>179</v>
      </c>
      <c r="J2721" s="130"/>
      <c r="K2721" s="148" t="s">
        <v>5452</v>
      </c>
    </row>
    <row r="2722" spans="1:11" ht="28.9" customHeight="1" thickTop="1" thickBot="1" x14ac:dyDescent="0.75">
      <c r="A2722" s="6">
        <v>2720</v>
      </c>
      <c r="B2722" s="58" t="str">
        <f>HYPERLINK("https://search.naver.com/search.naver?query=천군 영화", "천군")</f>
        <v>천군</v>
      </c>
      <c r="C2722" s="12">
        <v>7.13</v>
      </c>
      <c r="D2722" s="13" t="s">
        <v>5453</v>
      </c>
      <c r="E2722" s="10" t="s">
        <v>13</v>
      </c>
      <c r="F2722" s="10">
        <v>2005</v>
      </c>
      <c r="G2722" s="10" t="s">
        <v>14</v>
      </c>
      <c r="H2722" s="11" t="s">
        <v>124</v>
      </c>
      <c r="I2722" s="10" t="s">
        <v>150</v>
      </c>
      <c r="J2722" s="131"/>
      <c r="K2722" s="149" t="s">
        <v>5454</v>
      </c>
    </row>
    <row r="2723" spans="1:11" ht="28.9" customHeight="1" thickTop="1" thickBot="1" x14ac:dyDescent="0.75">
      <c r="A2723" s="10">
        <v>2721</v>
      </c>
      <c r="B2723" s="57" t="str">
        <f>HYPERLINK("https://search.naver.com/search.naver?query=천년을 흐르는 사랑 영화", "천년을 흐르는 사랑")</f>
        <v>천년을 흐르는 사랑</v>
      </c>
      <c r="C2723" s="8">
        <v>6.97</v>
      </c>
      <c r="D2723" s="9" t="s">
        <v>5455</v>
      </c>
      <c r="E2723" s="6" t="s">
        <v>24</v>
      </c>
      <c r="F2723" s="6">
        <v>2007</v>
      </c>
      <c r="G2723" s="6" t="s">
        <v>14</v>
      </c>
      <c r="H2723" s="7" t="s">
        <v>165</v>
      </c>
      <c r="I2723" s="6" t="s">
        <v>80</v>
      </c>
      <c r="J2723" s="130"/>
      <c r="K2723" s="148" t="s">
        <v>5456</v>
      </c>
    </row>
    <row r="2724" spans="1:11" ht="28.9" customHeight="1" thickTop="1" thickBot="1" x14ac:dyDescent="0.75">
      <c r="A2724" s="10">
        <v>2722</v>
      </c>
      <c r="B2724" s="58" t="str">
        <f>HYPERLINK("https://search.naver.com/search.naver?query=천문 하늘에 묻는다 영화", "천문-하늘에 묻는다")</f>
        <v>천문-하늘에 묻는다</v>
      </c>
      <c r="C2724" s="12">
        <v>8.7899999999999991</v>
      </c>
      <c r="D2724" s="13" t="s">
        <v>5457</v>
      </c>
      <c r="E2724" s="10" t="s">
        <v>13</v>
      </c>
      <c r="F2724" s="10">
        <v>2018</v>
      </c>
      <c r="G2724" s="10" t="s">
        <v>14</v>
      </c>
      <c r="H2724" s="11" t="s">
        <v>1548</v>
      </c>
      <c r="I2724" s="10" t="s">
        <v>558</v>
      </c>
      <c r="J2724" s="131"/>
      <c r="K2724" s="149" t="s">
        <v>5458</v>
      </c>
    </row>
    <row r="2725" spans="1:11" ht="28.9" customHeight="1" thickTop="1" thickBot="1" x14ac:dyDescent="0.75">
      <c r="A2725" s="6">
        <v>2723</v>
      </c>
      <c r="B2725" s="57" t="str">
        <f>HYPERLINK("https://search.naver.com/search.naver?query=천번의 굿나잇 영화", "천번의 굿나잇")</f>
        <v>천번의 굿나잇</v>
      </c>
      <c r="C2725" s="8">
        <v>8.85</v>
      </c>
      <c r="D2725" s="9" t="s">
        <v>5459</v>
      </c>
      <c r="E2725" s="6" t="s">
        <v>49</v>
      </c>
      <c r="F2725" s="6">
        <v>2013</v>
      </c>
      <c r="G2725" s="6" t="s">
        <v>14</v>
      </c>
      <c r="H2725" s="7" t="s">
        <v>20</v>
      </c>
      <c r="I2725" s="6" t="s">
        <v>120</v>
      </c>
      <c r="J2725" s="130"/>
      <c r="K2725" s="148" t="s">
        <v>5460</v>
      </c>
    </row>
    <row r="2726" spans="1:11" ht="28.9" customHeight="1" thickTop="1" thickBot="1" x14ac:dyDescent="0.75">
      <c r="A2726" s="10">
        <v>2724</v>
      </c>
      <c r="B2726" s="58" t="str">
        <f>HYPERLINK("https://search.naver.com/search.naver?query=천사의 사랑 영화", "천사의 사랑")</f>
        <v>천사의 사랑</v>
      </c>
      <c r="C2726" s="12">
        <v>8.83</v>
      </c>
      <c r="D2726" s="13" t="s">
        <v>5461</v>
      </c>
      <c r="E2726" s="10" t="s">
        <v>19</v>
      </c>
      <c r="F2726" s="10">
        <v>2009</v>
      </c>
      <c r="G2726" s="10" t="s">
        <v>14</v>
      </c>
      <c r="H2726" s="11" t="s">
        <v>20</v>
      </c>
      <c r="I2726" s="10" t="s">
        <v>68</v>
      </c>
      <c r="J2726" s="131"/>
      <c r="K2726" s="149" t="s">
        <v>5462</v>
      </c>
    </row>
    <row r="2727" spans="1:11" ht="28.9" customHeight="1" thickTop="1" thickBot="1" x14ac:dyDescent="0.75">
      <c r="A2727" s="10">
        <v>2725</v>
      </c>
      <c r="B2727" s="57" t="str">
        <f>HYPERLINK("https://search.naver.com/search.naver?query=천일의 스캔들 영화", "천일의 스캔들")</f>
        <v>천일의 스캔들</v>
      </c>
      <c r="C2727" s="8">
        <v>8.2100000000000009</v>
      </c>
      <c r="D2727" s="9" t="s">
        <v>5463</v>
      </c>
      <c r="E2727" s="6" t="s">
        <v>29</v>
      </c>
      <c r="F2727" s="6">
        <v>2008</v>
      </c>
      <c r="G2727" s="6" t="s">
        <v>14</v>
      </c>
      <c r="H2727" s="7" t="s">
        <v>20</v>
      </c>
      <c r="I2727" s="6" t="s">
        <v>60</v>
      </c>
      <c r="J2727" s="130"/>
      <c r="K2727" s="148" t="s">
        <v>5464</v>
      </c>
    </row>
    <row r="2728" spans="1:11" ht="28.9" customHeight="1" thickTop="1" thickBot="1" x14ac:dyDescent="0.75">
      <c r="A2728" s="6">
        <v>2726</v>
      </c>
      <c r="B2728" s="58" t="str">
        <f>HYPERLINK("https://search.naver.com/search.naver?query=Don 2", "천재 사기꾼 돈-세상을 속여라")</f>
        <v>천재 사기꾼 돈-세상을 속여라</v>
      </c>
      <c r="C2728" s="12">
        <v>6.4</v>
      </c>
      <c r="D2728" s="13" t="s">
        <v>5465</v>
      </c>
      <c r="E2728" s="10" t="s">
        <v>581</v>
      </c>
      <c r="F2728" s="10">
        <v>2011</v>
      </c>
      <c r="G2728" s="10" t="s">
        <v>14</v>
      </c>
      <c r="H2728" s="11" t="s">
        <v>91</v>
      </c>
      <c r="I2728" s="10" t="s">
        <v>34</v>
      </c>
      <c r="J2728" s="131"/>
      <c r="K2728" s="149" t="s">
        <v>5466</v>
      </c>
    </row>
    <row r="2729" spans="1:11" ht="28.9" customHeight="1" thickTop="1" thickBot="1" x14ac:dyDescent="0.75">
      <c r="A2729" s="10">
        <v>2727</v>
      </c>
      <c r="B2729" s="57" t="str">
        <f>HYPERLINK("https://search.naver.com/search.naver?query=천재탐정 미타라이 살인사건의 진실 영화", "천재탐정 미타라이-살인사건의 진실")</f>
        <v>천재탐정 미타라이-살인사건의 진실</v>
      </c>
      <c r="C2729" s="8">
        <v>6.5</v>
      </c>
      <c r="D2729" s="9" t="s">
        <v>5467</v>
      </c>
      <c r="E2729" s="6" t="s">
        <v>19</v>
      </c>
      <c r="F2729" s="6">
        <v>2016</v>
      </c>
      <c r="G2729" s="6" t="s">
        <v>14</v>
      </c>
      <c r="H2729" s="7" t="s">
        <v>194</v>
      </c>
      <c r="I2729" s="6" t="s">
        <v>129</v>
      </c>
      <c r="J2729" s="130"/>
      <c r="K2729" s="148" t="s">
        <v>5468</v>
      </c>
    </row>
    <row r="2730" spans="1:11" ht="28.9" customHeight="1" thickTop="1" thickBot="1" x14ac:dyDescent="0.75">
      <c r="A2730" s="10">
        <v>2728</v>
      </c>
      <c r="B2730" s="58" t="str">
        <f>HYPERLINK("https://search.naver.com/search.naver?query=천주정 영화", "천주정")</f>
        <v>천주정</v>
      </c>
      <c r="C2730" s="12">
        <v>8.06</v>
      </c>
      <c r="D2730" s="13" t="s">
        <v>4263</v>
      </c>
      <c r="E2730" s="10" t="s">
        <v>186</v>
      </c>
      <c r="F2730" s="10">
        <v>2014</v>
      </c>
      <c r="G2730" s="10" t="s">
        <v>14</v>
      </c>
      <c r="H2730" s="11" t="s">
        <v>20</v>
      </c>
      <c r="I2730" s="10" t="s">
        <v>42</v>
      </c>
      <c r="J2730" s="131"/>
      <c r="K2730" s="149" t="s">
        <v>5469</v>
      </c>
    </row>
    <row r="2731" spans="1:11" ht="28.9" customHeight="1" thickTop="1" thickBot="1" x14ac:dyDescent="0.75">
      <c r="A2731" s="6">
        <v>2729</v>
      </c>
      <c r="B2731" s="57" t="str">
        <f>HYPERLINK("https://search.naver.com/search.naver?query=천하장사 마돈나 영화", "천하장사 마돈나")</f>
        <v>천하장사 마돈나</v>
      </c>
      <c r="C2731" s="8">
        <v>8.16</v>
      </c>
      <c r="D2731" s="9" t="s">
        <v>5470</v>
      </c>
      <c r="E2731" s="6" t="s">
        <v>13</v>
      </c>
      <c r="F2731" s="6">
        <v>2006</v>
      </c>
      <c r="G2731" s="6" t="s">
        <v>14</v>
      </c>
      <c r="H2731" s="7" t="s">
        <v>20</v>
      </c>
      <c r="I2731" s="6" t="s">
        <v>305</v>
      </c>
      <c r="J2731" s="130"/>
      <c r="K2731" s="148" t="s">
        <v>5471</v>
      </c>
    </row>
    <row r="2732" spans="1:11" ht="28.9" customHeight="1" thickTop="1" thickBot="1" x14ac:dyDescent="0.75">
      <c r="A2732" s="10">
        <v>2730</v>
      </c>
      <c r="B2732" s="58" t="str">
        <f>HYPERLINK("https://search.naver.com/search.naver?query=철도원 영화", "철도원")</f>
        <v>철도원</v>
      </c>
      <c r="C2732" s="12">
        <v>8.34</v>
      </c>
      <c r="D2732" s="13" t="s">
        <v>5472</v>
      </c>
      <c r="E2732" s="10" t="s">
        <v>19</v>
      </c>
      <c r="F2732" s="10">
        <v>1999</v>
      </c>
      <c r="G2732" s="10" t="s">
        <v>14</v>
      </c>
      <c r="H2732" s="11" t="s">
        <v>20</v>
      </c>
      <c r="I2732" s="10" t="s">
        <v>187</v>
      </c>
      <c r="J2732" s="131"/>
      <c r="K2732" s="149" t="s">
        <v>5473</v>
      </c>
    </row>
    <row r="2733" spans="1:11" ht="28.9" customHeight="1" thickTop="1" thickBot="1" x14ac:dyDescent="0.75">
      <c r="A2733" s="10">
        <v>2731</v>
      </c>
      <c r="B2733" s="57" t="str">
        <f>HYPERLINK("https://search.naver.com/search.naver?query=영화철로", "철로")</f>
        <v>철로</v>
      </c>
      <c r="C2733" s="8"/>
      <c r="D2733" s="9" t="s">
        <v>5474</v>
      </c>
      <c r="E2733" s="6" t="s">
        <v>19</v>
      </c>
      <c r="F2733" s="6">
        <v>2010</v>
      </c>
      <c r="G2733" s="6" t="s">
        <v>14</v>
      </c>
      <c r="H2733" s="7" t="s">
        <v>20</v>
      </c>
      <c r="I2733" s="6" t="s">
        <v>42</v>
      </c>
      <c r="J2733" s="130"/>
      <c r="K2733" s="148" t="s">
        <v>913</v>
      </c>
    </row>
    <row r="2734" spans="1:11" ht="28.9" customHeight="1" thickTop="1" thickBot="1" x14ac:dyDescent="0.75">
      <c r="A2734" s="6">
        <v>2732</v>
      </c>
      <c r="B2734" s="58" t="str">
        <f>HYPERLINK("https://search.naver.com/search.naver?query=첫 번째 키스 1 영화", "첫 번째 키스 1")</f>
        <v>첫 번째 키스 1</v>
      </c>
      <c r="C2734" s="12">
        <v>3.32</v>
      </c>
      <c r="D2734" s="13" t="s">
        <v>5475</v>
      </c>
      <c r="E2734" s="10" t="s">
        <v>19</v>
      </c>
      <c r="F2734" s="10">
        <v>2025</v>
      </c>
      <c r="G2734" s="10" t="s">
        <v>14</v>
      </c>
      <c r="H2734" s="11" t="s">
        <v>165</v>
      </c>
      <c r="I2734" s="10" t="s">
        <v>179</v>
      </c>
      <c r="J2734" s="131"/>
      <c r="K2734" s="149" t="s">
        <v>5476</v>
      </c>
    </row>
    <row r="2735" spans="1:11" ht="28.9" customHeight="1" thickTop="1" thickBot="1" x14ac:dyDescent="0.75">
      <c r="A2735" s="10">
        <v>2733</v>
      </c>
      <c r="B2735" s="57" t="str">
        <f>HYPERLINK("https://search.naver.com/search.naver?query=청견하우적성음", "청견하우적성음")</f>
        <v>청견하우적성음</v>
      </c>
      <c r="C2735" s="8"/>
      <c r="D2735" s="9" t="s">
        <v>5477</v>
      </c>
      <c r="E2735" s="6" t="s">
        <v>608</v>
      </c>
      <c r="F2735" s="6">
        <v>2014</v>
      </c>
      <c r="G2735" s="6" t="s">
        <v>14</v>
      </c>
      <c r="H2735" s="7" t="s">
        <v>20</v>
      </c>
      <c r="I2735" s="6" t="s">
        <v>329</v>
      </c>
      <c r="J2735" s="130"/>
      <c r="K2735" s="148" t="s">
        <v>5478</v>
      </c>
    </row>
    <row r="2736" spans="1:11" ht="28.9" customHeight="1" thickTop="1" thickBot="1" x14ac:dyDescent="0.75">
      <c r="A2736" s="10">
        <v>2734</v>
      </c>
      <c r="B2736" s="58" t="str">
        <f>HYPERLINK("https://search.naver.com/search.naver?query=청년경찰 영화", "청년경찰")</f>
        <v>청년경찰</v>
      </c>
      <c r="C2736" s="12">
        <v>9.0299999999999994</v>
      </c>
      <c r="D2736" s="13" t="s">
        <v>5479</v>
      </c>
      <c r="E2736" s="10" t="s">
        <v>13</v>
      </c>
      <c r="F2736" s="10">
        <v>2017</v>
      </c>
      <c r="G2736" s="10" t="s">
        <v>14</v>
      </c>
      <c r="H2736" s="11" t="s">
        <v>124</v>
      </c>
      <c r="I2736" s="10" t="s">
        <v>187</v>
      </c>
      <c r="J2736" s="131"/>
      <c r="K2736" s="149" t="s">
        <v>5480</v>
      </c>
    </row>
    <row r="2737" spans="1:11" ht="28.9" customHeight="1" thickTop="1" thickBot="1" x14ac:dyDescent="0.75">
      <c r="A2737" s="6">
        <v>2735</v>
      </c>
      <c r="B2737" s="57" t="str">
        <f>HYPERLINK("https://search.naver.com/search.naver?query=청바지 돌려입기 영화", "청바지 돌려입기")</f>
        <v>청바지 돌려입기</v>
      </c>
      <c r="C2737" s="8">
        <v>6.4</v>
      </c>
      <c r="D2737" s="9" t="s">
        <v>5481</v>
      </c>
      <c r="E2737" s="6" t="s">
        <v>24</v>
      </c>
      <c r="F2737" s="6">
        <v>2005</v>
      </c>
      <c r="G2737" s="6" t="s">
        <v>14</v>
      </c>
      <c r="H2737" s="7" t="s">
        <v>20</v>
      </c>
      <c r="I2737" s="6" t="s">
        <v>68</v>
      </c>
      <c r="J2737" s="130"/>
      <c r="K2737" s="148" t="s">
        <v>5482</v>
      </c>
    </row>
    <row r="2738" spans="1:11" ht="28.9" customHeight="1" thickTop="1" thickBot="1" x14ac:dyDescent="0.75">
      <c r="A2738" s="10">
        <v>2736</v>
      </c>
      <c r="B2738" s="58" t="str">
        <f>HYPERLINK("https://search.naver.com/search.naver?query=청설 영화", "청설")</f>
        <v>청설</v>
      </c>
      <c r="C2738" s="12">
        <v>8.02</v>
      </c>
      <c r="D2738" s="13" t="s">
        <v>5483</v>
      </c>
      <c r="E2738" s="10" t="s">
        <v>13</v>
      </c>
      <c r="F2738" s="10">
        <v>2009</v>
      </c>
      <c r="G2738" s="10" t="s">
        <v>14</v>
      </c>
      <c r="H2738" s="11" t="s">
        <v>20</v>
      </c>
      <c r="I2738" s="10" t="s">
        <v>38</v>
      </c>
      <c r="J2738" s="131"/>
      <c r="K2738" s="149" t="s">
        <v>5484</v>
      </c>
    </row>
    <row r="2739" spans="1:11" ht="28.9" customHeight="1" thickTop="1" thickBot="1" x14ac:dyDescent="0.75">
      <c r="A2739" s="10">
        <v>2737</v>
      </c>
      <c r="B2739" s="57" t="str">
        <f>HYPERLINK("https://search.naver.com/search.naver?query=청원 영화", "청원")</f>
        <v>청원</v>
      </c>
      <c r="C2739" s="8">
        <v>8.8699999999999992</v>
      </c>
      <c r="D2739" s="9" t="s">
        <v>5485</v>
      </c>
      <c r="E2739" s="6" t="s">
        <v>581</v>
      </c>
      <c r="F2739" s="6">
        <v>2011</v>
      </c>
      <c r="G2739" s="6" t="s">
        <v>14</v>
      </c>
      <c r="H2739" s="7" t="s">
        <v>20</v>
      </c>
      <c r="I2739" s="6" t="s">
        <v>105</v>
      </c>
      <c r="J2739" s="130"/>
      <c r="K2739" s="148" t="s">
        <v>5486</v>
      </c>
    </row>
    <row r="2740" spans="1:11" ht="28.9" customHeight="1" thickTop="1" thickBot="1" x14ac:dyDescent="0.75">
      <c r="A2740" s="6">
        <v>2738</v>
      </c>
      <c r="B2740" s="58" t="str">
        <f>HYPERLINK("https://search.naver.com/search.naver?query=청춘의 증언 영화", "청춘의 증언")</f>
        <v>청춘의 증언</v>
      </c>
      <c r="C2740" s="12">
        <v>9.24</v>
      </c>
      <c r="D2740" s="13" t="s">
        <v>5487</v>
      </c>
      <c r="E2740" s="10" t="s">
        <v>29</v>
      </c>
      <c r="F2740" s="10">
        <v>2015</v>
      </c>
      <c r="G2740" s="10" t="s">
        <v>14</v>
      </c>
      <c r="H2740" s="11" t="s">
        <v>20</v>
      </c>
      <c r="I2740" s="10" t="s">
        <v>85</v>
      </c>
      <c r="J2740" s="131"/>
      <c r="K2740" s="149" t="s">
        <v>5488</v>
      </c>
    </row>
    <row r="2741" spans="1:11" ht="28.9" customHeight="1" thickTop="1" thickBot="1" x14ac:dyDescent="0.75">
      <c r="A2741" s="10">
        <v>2739</v>
      </c>
      <c r="B2741" s="57" t="str">
        <f>HYPERLINK("https://search.naver.com/search.naver?query=청포도 사탕 17년 전의 약속 영화", "청포도 사탕-17년 전의 약속")</f>
        <v>청포도 사탕-17년 전의 약속</v>
      </c>
      <c r="C2741" s="8">
        <v>6.4</v>
      </c>
      <c r="D2741" s="9" t="s">
        <v>5489</v>
      </c>
      <c r="E2741" s="6" t="s">
        <v>13</v>
      </c>
      <c r="F2741" s="6">
        <v>2011</v>
      </c>
      <c r="G2741" s="6" t="s">
        <v>14</v>
      </c>
      <c r="H2741" s="7" t="s">
        <v>165</v>
      </c>
      <c r="I2741" s="6" t="s">
        <v>150</v>
      </c>
      <c r="J2741" s="130"/>
      <c r="K2741" s="148" t="s">
        <v>5490</v>
      </c>
    </row>
    <row r="2742" spans="1:11" ht="28.9" customHeight="1" thickTop="1" thickBot="1" x14ac:dyDescent="0.75">
      <c r="A2742" s="10">
        <v>2740</v>
      </c>
      <c r="B2742" s="59" t="str">
        <f>HYPERLINK("https://search.naver.com/search.naver?query=체르노빌 드라마", "체르노빌")</f>
        <v>체르노빌</v>
      </c>
      <c r="C2742" s="16"/>
      <c r="D2742" s="17" t="s">
        <v>5491</v>
      </c>
      <c r="E2742" s="14" t="s">
        <v>24</v>
      </c>
      <c r="F2742" s="14">
        <v>2019</v>
      </c>
      <c r="G2742" s="14" t="s">
        <v>20</v>
      </c>
      <c r="H2742" s="15" t="s">
        <v>20</v>
      </c>
      <c r="I2742" s="14" t="s">
        <v>1184</v>
      </c>
      <c r="J2742" s="132"/>
      <c r="K2742" s="150" t="s">
        <v>4690</v>
      </c>
    </row>
    <row r="2743" spans="1:11" ht="28.9" customHeight="1" thickTop="1" thickBot="1" x14ac:dyDescent="0.75">
      <c r="A2743" s="6">
        <v>2741</v>
      </c>
      <c r="B2743" s="57" t="str">
        <f>HYPERLINK("https://search.naver.com/search.naver?query=체인지 업 영화", "체인지 업")</f>
        <v>체인지 업</v>
      </c>
      <c r="C2743" s="8">
        <v>7.79</v>
      </c>
      <c r="D2743" s="9" t="s">
        <v>5492</v>
      </c>
      <c r="E2743" s="6" t="s">
        <v>24</v>
      </c>
      <c r="F2743" s="6">
        <v>2011</v>
      </c>
      <c r="G2743" s="6" t="s">
        <v>14</v>
      </c>
      <c r="H2743" s="7" t="s">
        <v>91</v>
      </c>
      <c r="I2743" s="6" t="s">
        <v>429</v>
      </c>
      <c r="J2743" s="130"/>
      <c r="K2743" s="148" t="s">
        <v>5493</v>
      </c>
    </row>
    <row r="2744" spans="1:11" ht="28.9" customHeight="1" thickTop="1" thickBot="1" x14ac:dyDescent="0.75">
      <c r="A2744" s="10">
        <v>2742</v>
      </c>
      <c r="B2744" s="58" t="str">
        <f>HYPERLINK("https://search.naver.com/search.naver?query=초이스 영화", "초이스")</f>
        <v>초이스</v>
      </c>
      <c r="C2744" s="12">
        <v>8.42</v>
      </c>
      <c r="D2744" s="13" t="s">
        <v>5494</v>
      </c>
      <c r="E2744" s="10" t="s">
        <v>24</v>
      </c>
      <c r="F2744" s="10">
        <v>2016</v>
      </c>
      <c r="G2744" s="10" t="s">
        <v>14</v>
      </c>
      <c r="H2744" s="11" t="s">
        <v>165</v>
      </c>
      <c r="I2744" s="10" t="s">
        <v>137</v>
      </c>
      <c r="J2744" s="131"/>
      <c r="K2744" s="149" t="s">
        <v>5495</v>
      </c>
    </row>
    <row r="2745" spans="1:11" ht="28.9" customHeight="1" thickTop="1" thickBot="1" x14ac:dyDescent="0.75">
      <c r="A2745" s="10">
        <v>2743</v>
      </c>
      <c r="B2745" s="57" t="str">
        <f>HYPERLINK("https://search.naver.com/search.naver?query=초콜릿 영화", "초콜릿")</f>
        <v>초콜릿</v>
      </c>
      <c r="C2745" s="8">
        <v>7.05</v>
      </c>
      <c r="D2745" s="9" t="s">
        <v>5496</v>
      </c>
      <c r="E2745" s="6" t="s">
        <v>29</v>
      </c>
      <c r="F2745" s="6">
        <v>2000</v>
      </c>
      <c r="G2745" s="6" t="s">
        <v>14</v>
      </c>
      <c r="H2745" s="7" t="s">
        <v>20</v>
      </c>
      <c r="I2745" s="6" t="s">
        <v>195</v>
      </c>
      <c r="J2745" s="130"/>
      <c r="K2745" s="148" t="s">
        <v>5497</v>
      </c>
    </row>
    <row r="2746" spans="1:11" ht="28.9" customHeight="1" thickTop="1" thickBot="1" x14ac:dyDescent="0.75">
      <c r="A2746" s="6">
        <v>2744</v>
      </c>
      <c r="B2746" s="58" t="str">
        <f>HYPERLINK("https://search.naver.com/search.naver?query=촌마게푸딩 영화", "촌마게푸딩")</f>
        <v>촌마게푸딩</v>
      </c>
      <c r="C2746" s="12">
        <v>6.4</v>
      </c>
      <c r="D2746" s="13" t="s">
        <v>5498</v>
      </c>
      <c r="E2746" s="10" t="s">
        <v>19</v>
      </c>
      <c r="F2746" s="10">
        <v>2010</v>
      </c>
      <c r="G2746" s="10" t="s">
        <v>14</v>
      </c>
      <c r="H2746" s="11" t="s">
        <v>91</v>
      </c>
      <c r="I2746" s="10" t="s">
        <v>150</v>
      </c>
      <c r="J2746" s="131"/>
      <c r="K2746" s="149" t="s">
        <v>5499</v>
      </c>
    </row>
    <row r="2747" spans="1:11" ht="28.9" customHeight="1" thickTop="1" thickBot="1" x14ac:dyDescent="0.75">
      <c r="A2747" s="10">
        <v>2745</v>
      </c>
      <c r="B2747" s="57" t="str">
        <f>HYPERLINK("https://search.naver.com/search.naver?query=총을 든 스님 영화", "총을 든 스님")</f>
        <v>총을 든 스님</v>
      </c>
      <c r="C2747" s="8">
        <v>8.2899999999999991</v>
      </c>
      <c r="D2747" s="9" t="s">
        <v>5500</v>
      </c>
      <c r="E2747" s="6" t="s">
        <v>5501</v>
      </c>
      <c r="F2747" s="6">
        <v>2023</v>
      </c>
      <c r="G2747" s="6" t="s">
        <v>14</v>
      </c>
      <c r="H2747" s="7" t="s">
        <v>91</v>
      </c>
      <c r="I2747" s="6" t="s">
        <v>101</v>
      </c>
      <c r="J2747" s="130"/>
      <c r="K2747" s="148" t="s">
        <v>5502</v>
      </c>
    </row>
    <row r="2748" spans="1:11" ht="28.9" customHeight="1" thickTop="1" thickBot="1" x14ac:dyDescent="0.75">
      <c r="A2748" s="10">
        <v>2746</v>
      </c>
      <c r="B2748" s="58" t="str">
        <f>HYPERLINK("https://search.naver.com/search.naver?query=최악의 이웃과 사랑에 빠지는 방법 영화", "최악의 이웃과 사랑에 빠지는 방법")</f>
        <v>최악의 이웃과 사랑에 빠지는 방법</v>
      </c>
      <c r="C2748" s="12">
        <v>8.06</v>
      </c>
      <c r="D2748" s="13" t="s">
        <v>5503</v>
      </c>
      <c r="E2748" s="10" t="s">
        <v>310</v>
      </c>
      <c r="F2748" s="10">
        <v>2016</v>
      </c>
      <c r="G2748" s="10" t="s">
        <v>14</v>
      </c>
      <c r="H2748" s="11" t="s">
        <v>165</v>
      </c>
      <c r="I2748" s="10" t="s">
        <v>361</v>
      </c>
      <c r="J2748" s="131"/>
      <c r="K2748" s="149" t="s">
        <v>5504</v>
      </c>
    </row>
    <row r="2749" spans="1:11" ht="28.9" customHeight="1" thickTop="1" thickBot="1" x14ac:dyDescent="0.75">
      <c r="A2749" s="6">
        <v>2747</v>
      </c>
      <c r="B2749" s="57" t="str">
        <f>HYPERLINK("https://search.naver.com/search.naver?query=최종 분석 영화", "최종 분석")</f>
        <v>최종 분석</v>
      </c>
      <c r="C2749" s="8">
        <v>7.54</v>
      </c>
      <c r="D2749" s="9" t="s">
        <v>5505</v>
      </c>
      <c r="E2749" s="6" t="s">
        <v>24</v>
      </c>
      <c r="F2749" s="6">
        <v>1992</v>
      </c>
      <c r="G2749" s="6" t="s">
        <v>14</v>
      </c>
      <c r="H2749" s="7" t="s">
        <v>54</v>
      </c>
      <c r="I2749" s="6" t="s">
        <v>183</v>
      </c>
      <c r="J2749" s="130"/>
      <c r="K2749" s="148" t="s">
        <v>5506</v>
      </c>
    </row>
    <row r="2750" spans="1:11" ht="28.9" customHeight="1" thickTop="1" thickBot="1" x14ac:dyDescent="0.75">
      <c r="A2750" s="10">
        <v>2748</v>
      </c>
      <c r="B2750" s="58" t="str">
        <f>HYPERLINK("https://search.naver.com/search.naver?query=최종병기 활 영화", "최종병기 활")</f>
        <v>최종병기 활</v>
      </c>
      <c r="C2750" s="12">
        <v>7.86</v>
      </c>
      <c r="D2750" s="13" t="s">
        <v>5507</v>
      </c>
      <c r="E2750" s="10" t="s">
        <v>13</v>
      </c>
      <c r="F2750" s="10">
        <v>2011</v>
      </c>
      <c r="G2750" s="10" t="s">
        <v>14</v>
      </c>
      <c r="H2750" s="11" t="s">
        <v>124</v>
      </c>
      <c r="I2750" s="10" t="s">
        <v>141</v>
      </c>
      <c r="J2750" s="131"/>
      <c r="K2750" s="149" t="s">
        <v>5508</v>
      </c>
    </row>
    <row r="2751" spans="1:11" ht="28.9" customHeight="1" thickTop="1" thickBot="1" x14ac:dyDescent="0.75">
      <c r="A2751" s="10">
        <v>2749</v>
      </c>
      <c r="B2751" s="57" t="str">
        <f>HYPERLINK("https://search.naver.com/search.naver?query=최후의 추신구라 영화", "최후의 추신구라")</f>
        <v>최후의 추신구라</v>
      </c>
      <c r="C2751" s="8"/>
      <c r="D2751" s="9" t="s">
        <v>5509</v>
      </c>
      <c r="E2751" s="6" t="s">
        <v>19</v>
      </c>
      <c r="F2751" s="6">
        <v>2010</v>
      </c>
      <c r="G2751" s="6" t="s">
        <v>14</v>
      </c>
      <c r="H2751" s="7" t="s">
        <v>1548</v>
      </c>
      <c r="I2751" s="6" t="s">
        <v>105</v>
      </c>
      <c r="J2751" s="130"/>
      <c r="K2751" s="148" t="s">
        <v>5510</v>
      </c>
    </row>
    <row r="2752" spans="1:11" ht="28.9" customHeight="1" thickTop="1" thickBot="1" x14ac:dyDescent="0.75">
      <c r="A2752" s="6">
        <v>2750</v>
      </c>
      <c r="B2752" s="58" t="str">
        <f>HYPERLINK("https://search.naver.com/search.naver?query=추락의 해부 영화", "추락의 해부")</f>
        <v>추락의 해부</v>
      </c>
      <c r="C2752" s="12">
        <v>8.4600000000000009</v>
      </c>
      <c r="D2752" s="13" t="s">
        <v>5511</v>
      </c>
      <c r="E2752" s="10" t="s">
        <v>310</v>
      </c>
      <c r="F2752" s="10">
        <v>2023</v>
      </c>
      <c r="G2752" s="10" t="s">
        <v>14</v>
      </c>
      <c r="H2752" s="11" t="s">
        <v>20</v>
      </c>
      <c r="I2752" s="10" t="s">
        <v>1734</v>
      </c>
      <c r="J2752" s="131"/>
      <c r="K2752" s="149" t="s">
        <v>5512</v>
      </c>
    </row>
    <row r="2753" spans="1:11" ht="28.9" customHeight="1" thickTop="1" thickBot="1" x14ac:dyDescent="0.75">
      <c r="A2753" s="10">
        <v>2751</v>
      </c>
      <c r="B2753" s="57" t="str">
        <f>HYPERLINK("https://search.naver.com/search.naver?query=추리닝의 두사람 영화", "추리닝의 두사람")</f>
        <v>추리닝의 두사람</v>
      </c>
      <c r="C2753" s="8">
        <v>6.4</v>
      </c>
      <c r="D2753" s="9" t="s">
        <v>5513</v>
      </c>
      <c r="E2753" s="6" t="s">
        <v>19</v>
      </c>
      <c r="F2753" s="6">
        <v>2008</v>
      </c>
      <c r="G2753" s="6" t="s">
        <v>14</v>
      </c>
      <c r="H2753" s="7" t="s">
        <v>91</v>
      </c>
      <c r="I2753" s="6" t="s">
        <v>125</v>
      </c>
      <c r="J2753" s="130"/>
      <c r="K2753" s="148" t="s">
        <v>5514</v>
      </c>
    </row>
    <row r="2754" spans="1:11" ht="28.9" customHeight="1" thickTop="1" thickBot="1" x14ac:dyDescent="0.75">
      <c r="A2754" s="10">
        <v>2752</v>
      </c>
      <c r="B2754" s="58" t="str">
        <f>HYPERLINK("https://search.naver.com/search.naver?query=추억1973", "추억")</f>
        <v>추억</v>
      </c>
      <c r="C2754" s="12">
        <v>10</v>
      </c>
      <c r="D2754" s="13" t="s">
        <v>5515</v>
      </c>
      <c r="E2754" s="10" t="s">
        <v>24</v>
      </c>
      <c r="F2754" s="10">
        <v>1973</v>
      </c>
      <c r="G2754" s="10" t="s">
        <v>14</v>
      </c>
      <c r="H2754" s="11" t="s">
        <v>20</v>
      </c>
      <c r="I2754" s="10" t="s">
        <v>329</v>
      </c>
      <c r="J2754" s="131"/>
      <c r="K2754" s="149" t="s">
        <v>5516</v>
      </c>
    </row>
    <row r="2755" spans="1:11" ht="28.9" customHeight="1" thickTop="1" thickBot="1" x14ac:dyDescent="0.75">
      <c r="A2755" s="6">
        <v>2753</v>
      </c>
      <c r="B2755" s="57" t="str">
        <f>HYPERLINK("https://search.naver.com/search.naver?query=추적2007", "추적")</f>
        <v>추적</v>
      </c>
      <c r="C2755" s="8">
        <v>7.21</v>
      </c>
      <c r="D2755" s="9" t="s">
        <v>5517</v>
      </c>
      <c r="E2755" s="6" t="s">
        <v>24</v>
      </c>
      <c r="F2755" s="6">
        <v>2008</v>
      </c>
      <c r="G2755" s="6" t="s">
        <v>14</v>
      </c>
      <c r="H2755" s="7" t="s">
        <v>54</v>
      </c>
      <c r="I2755" s="6" t="s">
        <v>345</v>
      </c>
      <c r="J2755" s="130"/>
      <c r="K2755" s="148" t="s">
        <v>5518</v>
      </c>
    </row>
    <row r="2756" spans="1:11" ht="28.9" customHeight="1" thickTop="1" thickBot="1" x14ac:dyDescent="0.75">
      <c r="A2756" s="10">
        <v>2754</v>
      </c>
      <c r="B2756" s="58" t="str">
        <f>HYPERLINK("https://search.naver.com/search.naver?query=출국 영화", "출국")</f>
        <v>출국</v>
      </c>
      <c r="C2756" s="12">
        <v>9.31</v>
      </c>
      <c r="D2756" s="13" t="s">
        <v>5519</v>
      </c>
      <c r="E2756" s="10" t="s">
        <v>13</v>
      </c>
      <c r="F2756" s="10">
        <v>2018</v>
      </c>
      <c r="G2756" s="10" t="s">
        <v>14</v>
      </c>
      <c r="H2756" s="11" t="s">
        <v>20</v>
      </c>
      <c r="I2756" s="10" t="s">
        <v>150</v>
      </c>
      <c r="J2756" s="131"/>
      <c r="K2756" s="149" t="s">
        <v>5350</v>
      </c>
    </row>
    <row r="2757" spans="1:11" ht="28.9" customHeight="1" thickTop="1" thickBot="1" x14ac:dyDescent="0.75">
      <c r="A2757" s="10">
        <v>2755</v>
      </c>
      <c r="B2757" s="57" t="str">
        <f>HYPERLINK("https://search.naver.com/search.naver?query=충격과 공포 영화", "충격과 공포")</f>
        <v>충격과 공포</v>
      </c>
      <c r="C2757" s="8">
        <v>6.74</v>
      </c>
      <c r="D2757" s="9" t="s">
        <v>5520</v>
      </c>
      <c r="E2757" s="6" t="s">
        <v>24</v>
      </c>
      <c r="F2757" s="6">
        <v>2017</v>
      </c>
      <c r="G2757" s="6" t="s">
        <v>14</v>
      </c>
      <c r="H2757" s="7" t="s">
        <v>20</v>
      </c>
      <c r="I2757" s="6" t="s">
        <v>156</v>
      </c>
      <c r="J2757" s="130"/>
      <c r="K2757" s="148" t="s">
        <v>5521</v>
      </c>
    </row>
    <row r="2758" spans="1:11" ht="28.9" customHeight="1" thickTop="1" thickBot="1" x14ac:dyDescent="0.75">
      <c r="A2758" s="6">
        <v>2756</v>
      </c>
      <c r="B2758" s="58" t="str">
        <f>HYPERLINK("https://search.naver.com/search.naver?query=취화선 영화", "취화선")</f>
        <v>취화선</v>
      </c>
      <c r="C2758" s="12">
        <v>8.7100000000000009</v>
      </c>
      <c r="D2758" s="13" t="s">
        <v>5522</v>
      </c>
      <c r="E2758" s="10" t="s">
        <v>13</v>
      </c>
      <c r="F2758" s="10">
        <v>2002</v>
      </c>
      <c r="G2758" s="10" t="s">
        <v>14</v>
      </c>
      <c r="H2758" s="11" t="s">
        <v>20</v>
      </c>
      <c r="I2758" s="10" t="s">
        <v>120</v>
      </c>
      <c r="J2758" s="131"/>
      <c r="K2758" s="149" t="s">
        <v>5523</v>
      </c>
    </row>
    <row r="2759" spans="1:11" ht="28.9" customHeight="1" thickTop="1" thickBot="1" x14ac:dyDescent="0.75">
      <c r="A2759" s="10">
        <v>2757</v>
      </c>
      <c r="B2759" s="57" t="str">
        <f>HYPERLINK("https://search.naver.com/search.naver?query=츠나구 영화", "츠나구")</f>
        <v>츠나구</v>
      </c>
      <c r="C2759" s="8"/>
      <c r="D2759" s="9" t="s">
        <v>5524</v>
      </c>
      <c r="E2759" s="6" t="s">
        <v>19</v>
      </c>
      <c r="F2759" s="6">
        <v>2012</v>
      </c>
      <c r="G2759" s="6" t="s">
        <v>14</v>
      </c>
      <c r="H2759" s="7" t="s">
        <v>20</v>
      </c>
      <c r="I2759" s="6" t="s">
        <v>116</v>
      </c>
      <c r="J2759" s="130"/>
      <c r="K2759" s="148" t="s">
        <v>5525</v>
      </c>
    </row>
    <row r="2760" spans="1:11" ht="28.9" customHeight="1" thickTop="1" thickBot="1" x14ac:dyDescent="0.75">
      <c r="A2760" s="10">
        <v>2758</v>
      </c>
      <c r="B2760" s="58" t="str">
        <f>HYPERLINK("https://search.naver.com/search.naver?query=츠레가 우울증에 걸려서 영화", "츠레가 우울증에 걸려서")</f>
        <v>츠레가 우울증에 걸려서</v>
      </c>
      <c r="C2760" s="12">
        <v>6.4</v>
      </c>
      <c r="D2760" s="13" t="s">
        <v>5526</v>
      </c>
      <c r="E2760" s="10" t="s">
        <v>19</v>
      </c>
      <c r="F2760" s="10">
        <v>2011</v>
      </c>
      <c r="G2760" s="10" t="s">
        <v>14</v>
      </c>
      <c r="H2760" s="11" t="s">
        <v>20</v>
      </c>
      <c r="I2760" s="10" t="s">
        <v>195</v>
      </c>
      <c r="J2760" s="131"/>
      <c r="K2760" s="149" t="s">
        <v>5527</v>
      </c>
    </row>
    <row r="2761" spans="1:11" ht="28.9" customHeight="1" thickTop="1" thickBot="1" x14ac:dyDescent="0.75">
      <c r="A2761" s="6">
        <v>2759</v>
      </c>
      <c r="B2761" s="57" t="str">
        <f>HYPERLINK("https://search.naver.com/search.naver?query=치어 댄스 영화", "치어 댄스")</f>
        <v>치어 댄스</v>
      </c>
      <c r="C2761" s="8">
        <v>8.19</v>
      </c>
      <c r="D2761" s="9" t="s">
        <v>5528</v>
      </c>
      <c r="E2761" s="6" t="s">
        <v>19</v>
      </c>
      <c r="F2761" s="6">
        <v>2017</v>
      </c>
      <c r="G2761" s="6" t="s">
        <v>14</v>
      </c>
      <c r="H2761" s="7" t="s">
        <v>20</v>
      </c>
      <c r="I2761" s="6" t="s">
        <v>195</v>
      </c>
      <c r="J2761" s="130"/>
      <c r="K2761" s="148" t="s">
        <v>5529</v>
      </c>
    </row>
    <row r="2762" spans="1:11" ht="28.9" customHeight="1" thickTop="1" thickBot="1" x14ac:dyDescent="0.75">
      <c r="A2762" s="10">
        <v>2760</v>
      </c>
      <c r="B2762" s="58" t="str">
        <f>HYPERLINK("https://search.naver.com/search.naver?query=치어리딩 클럽 영화", "치어리딩 클럽")</f>
        <v>치어리딩 클럽</v>
      </c>
      <c r="C2762" s="12">
        <v>8</v>
      </c>
      <c r="D2762" s="13" t="s">
        <v>5530</v>
      </c>
      <c r="E2762" s="10" t="s">
        <v>19</v>
      </c>
      <c r="F2762" s="10">
        <v>2019</v>
      </c>
      <c r="G2762" s="10" t="s">
        <v>14</v>
      </c>
      <c r="H2762" s="11" t="s">
        <v>20</v>
      </c>
      <c r="I2762" s="10" t="s">
        <v>150</v>
      </c>
      <c r="J2762" s="131"/>
      <c r="K2762" s="149" t="s">
        <v>1785</v>
      </c>
    </row>
    <row r="2763" spans="1:11" ht="28.9" customHeight="1" thickTop="1" thickBot="1" x14ac:dyDescent="0.75">
      <c r="A2763" s="10">
        <v>2761</v>
      </c>
      <c r="B2763" s="57" t="str">
        <f>HYPERLINK("https://search.naver.com/search.naver?query=치와법권 영화", "치와법권")</f>
        <v>치와법권</v>
      </c>
      <c r="C2763" s="8">
        <v>7.22</v>
      </c>
      <c r="D2763" s="9" t="s">
        <v>5531</v>
      </c>
      <c r="E2763" s="6" t="s">
        <v>13</v>
      </c>
      <c r="F2763" s="6">
        <v>2015</v>
      </c>
      <c r="G2763" s="6" t="s">
        <v>14</v>
      </c>
      <c r="H2763" s="7" t="s">
        <v>20</v>
      </c>
      <c r="I2763" s="6" t="s">
        <v>150</v>
      </c>
      <c r="J2763" s="130"/>
      <c r="K2763" s="148" t="s">
        <v>5532</v>
      </c>
    </row>
    <row r="2764" spans="1:11" ht="28.9" customHeight="1" thickTop="1" thickBot="1" x14ac:dyDescent="0.75">
      <c r="A2764" s="6">
        <v>2762</v>
      </c>
      <c r="B2764" s="58" t="str">
        <f>HYPERLINK("https://search.naver.com/search.naver?query=치프 플라이트 영화", "치프 플라이트")</f>
        <v>치프 플라이트</v>
      </c>
      <c r="C2764" s="12"/>
      <c r="D2764" s="13" t="s">
        <v>5533</v>
      </c>
      <c r="E2764" s="10" t="s">
        <v>19</v>
      </c>
      <c r="F2764" s="10">
        <v>2013</v>
      </c>
      <c r="G2764" s="10" t="s">
        <v>14</v>
      </c>
      <c r="H2764" s="11" t="s">
        <v>20</v>
      </c>
      <c r="I2764" s="10" t="s">
        <v>150</v>
      </c>
      <c r="J2764" s="131"/>
      <c r="K2764" s="149" t="s">
        <v>5534</v>
      </c>
    </row>
    <row r="2765" spans="1:11" ht="28.9" customHeight="1" thickTop="1" thickBot="1" x14ac:dyDescent="0.75">
      <c r="A2765" s="10">
        <v>2763</v>
      </c>
      <c r="B2765" s="57" t="str">
        <f>HYPERLINK("https://search.naver.com/search.naver?query=친구1 영화", "친구1")</f>
        <v>친구1</v>
      </c>
      <c r="C2765" s="8">
        <v>8.7100000000000009</v>
      </c>
      <c r="D2765" s="9" t="s">
        <v>5535</v>
      </c>
      <c r="E2765" s="6" t="s">
        <v>13</v>
      </c>
      <c r="F2765" s="6">
        <v>2001</v>
      </c>
      <c r="G2765" s="6" t="s">
        <v>14</v>
      </c>
      <c r="H2765" s="7" t="s">
        <v>428</v>
      </c>
      <c r="I2765" s="6" t="s">
        <v>60</v>
      </c>
      <c r="J2765" s="130"/>
      <c r="K2765" s="148" t="s">
        <v>5536</v>
      </c>
    </row>
    <row r="2766" spans="1:11" ht="28.9" customHeight="1" thickTop="1" thickBot="1" x14ac:dyDescent="0.75">
      <c r="A2766" s="10">
        <v>2764</v>
      </c>
      <c r="B2766" s="58" t="str">
        <f>HYPERLINK("https://search.naver.com/search.naver?query=친구2 영화", "친구2")</f>
        <v>친구2</v>
      </c>
      <c r="C2766" s="12">
        <v>6.2</v>
      </c>
      <c r="D2766" s="13" t="s">
        <v>5537</v>
      </c>
      <c r="E2766" s="10" t="s">
        <v>13</v>
      </c>
      <c r="F2766" s="10">
        <v>2013</v>
      </c>
      <c r="G2766" s="10" t="s">
        <v>14</v>
      </c>
      <c r="H2766" s="11" t="s">
        <v>428</v>
      </c>
      <c r="I2766" s="10" t="s">
        <v>183</v>
      </c>
      <c r="J2766" s="131"/>
      <c r="K2766" s="149" t="s">
        <v>5538</v>
      </c>
    </row>
    <row r="2767" spans="1:11" ht="28.9" customHeight="1" thickTop="1" thickBot="1" x14ac:dyDescent="0.75">
      <c r="A2767" s="6">
        <v>2765</v>
      </c>
      <c r="B2767" s="57" t="str">
        <f>HYPERLINK("https://search.naver.com/search.naver?query=친애하는 우리아이 영화", "친애하는 우리아이")</f>
        <v>친애하는 우리아이</v>
      </c>
      <c r="C2767" s="8">
        <v>7.92</v>
      </c>
      <c r="D2767" s="9" t="s">
        <v>5539</v>
      </c>
      <c r="E2767" s="6" t="s">
        <v>19</v>
      </c>
      <c r="F2767" s="6">
        <v>2018</v>
      </c>
      <c r="G2767" s="6" t="s">
        <v>14</v>
      </c>
      <c r="H2767" s="7" t="s">
        <v>20</v>
      </c>
      <c r="I2767" s="6" t="s">
        <v>210</v>
      </c>
      <c r="J2767" s="130"/>
      <c r="K2767" s="148" t="s">
        <v>5540</v>
      </c>
    </row>
    <row r="2768" spans="1:11" ht="28.9" customHeight="1" thickTop="1" thickBot="1" x14ac:dyDescent="0.75">
      <c r="A2768" s="10">
        <v>2766</v>
      </c>
      <c r="B2768" s="58" t="str">
        <f>HYPERLINK("https://search.naver.com/search.naver?query=친정엄마 영화", "친정엄마")</f>
        <v>친정엄마</v>
      </c>
      <c r="C2768" s="12">
        <v>9.26</v>
      </c>
      <c r="D2768" s="13" t="s">
        <v>5541</v>
      </c>
      <c r="E2768" s="10" t="s">
        <v>13</v>
      </c>
      <c r="F2768" s="10">
        <v>2012</v>
      </c>
      <c r="G2768" s="10" t="s">
        <v>14</v>
      </c>
      <c r="H2768" s="11" t="s">
        <v>20</v>
      </c>
      <c r="I2768" s="10" t="s">
        <v>150</v>
      </c>
      <c r="J2768" s="131"/>
      <c r="K2768" s="149" t="s">
        <v>5542</v>
      </c>
    </row>
    <row r="2769" spans="1:11" ht="28.9" customHeight="1" thickTop="1" thickBot="1" x14ac:dyDescent="0.75">
      <c r="A2769" s="10">
        <v>2767</v>
      </c>
      <c r="B2769" s="57" t="str">
        <f>HYPERLINK("https://search.naver.com/search.naver?query=칠드런 액트 영화", "칠드런 액트")</f>
        <v>칠드런 액트</v>
      </c>
      <c r="C2769" s="8">
        <v>9.0500000000000007</v>
      </c>
      <c r="D2769" s="9" t="s">
        <v>5543</v>
      </c>
      <c r="E2769" s="6" t="s">
        <v>29</v>
      </c>
      <c r="F2769" s="6">
        <v>2017</v>
      </c>
      <c r="G2769" s="6" t="s">
        <v>14</v>
      </c>
      <c r="H2769" s="7" t="s">
        <v>20</v>
      </c>
      <c r="I2769" s="6" t="s">
        <v>175</v>
      </c>
      <c r="J2769" s="130"/>
      <c r="K2769" s="148" t="s">
        <v>1179</v>
      </c>
    </row>
    <row r="2770" spans="1:11" ht="28.9" customHeight="1" thickTop="1" thickBot="1" x14ac:dyDescent="0.75">
      <c r="A2770" s="6">
        <v>2768</v>
      </c>
      <c r="B2770" s="58" t="str">
        <f>HYPERLINK("https://search.naver.com/search.naver?query=침묵 영화", "침묵")</f>
        <v>침묵</v>
      </c>
      <c r="C2770" s="12">
        <v>8.24</v>
      </c>
      <c r="D2770" s="13" t="s">
        <v>5544</v>
      </c>
      <c r="E2770" s="10" t="s">
        <v>24</v>
      </c>
      <c r="F2770" s="10">
        <v>2016</v>
      </c>
      <c r="G2770" s="10" t="s">
        <v>14</v>
      </c>
      <c r="H2770" s="11" t="s">
        <v>20</v>
      </c>
      <c r="I2770" s="10" t="s">
        <v>1202</v>
      </c>
      <c r="J2770" s="131"/>
      <c r="K2770" s="149" t="s">
        <v>5545</v>
      </c>
    </row>
    <row r="2771" spans="1:11" ht="28.9" customHeight="1" thickTop="1" thickBot="1" x14ac:dyDescent="0.75">
      <c r="A2771" s="10">
        <v>2769</v>
      </c>
      <c r="B2771" s="57" t="str">
        <f>HYPERLINK("https://search.naver.com/search.naver?query=침묵의 목격자 영화", "침묵의 목격자")</f>
        <v>침묵의 목격자</v>
      </c>
      <c r="C2771" s="8">
        <v>8.51</v>
      </c>
      <c r="D2771" s="9" t="s">
        <v>5546</v>
      </c>
      <c r="E2771" s="6" t="s">
        <v>186</v>
      </c>
      <c r="F2771" s="6">
        <v>2014</v>
      </c>
      <c r="G2771" s="6" t="s">
        <v>14</v>
      </c>
      <c r="H2771" s="7" t="s">
        <v>428</v>
      </c>
      <c r="I2771" s="6" t="s">
        <v>116</v>
      </c>
      <c r="J2771" s="130"/>
      <c r="K2771" s="148" t="s">
        <v>5547</v>
      </c>
    </row>
    <row r="2772" spans="1:11" ht="28.9" customHeight="1" thickTop="1" thickBot="1" x14ac:dyDescent="0.75">
      <c r="A2772" s="10">
        <v>2770</v>
      </c>
      <c r="B2772" s="58" t="str">
        <f>HYPERLINK("https://search.naver.com/search.naver?query=침묵의 퍼레이드 영화", "침묵의 퍼레이드")</f>
        <v>침묵의 퍼레이드</v>
      </c>
      <c r="C2772" s="12">
        <v>6.4</v>
      </c>
      <c r="D2772" s="13" t="s">
        <v>4739</v>
      </c>
      <c r="E2772" s="10" t="s">
        <v>19</v>
      </c>
      <c r="F2772" s="10">
        <v>2022</v>
      </c>
      <c r="G2772" s="10" t="s">
        <v>14</v>
      </c>
      <c r="H2772" s="11" t="s">
        <v>194</v>
      </c>
      <c r="I2772" s="10" t="s">
        <v>42</v>
      </c>
      <c r="J2772" s="131"/>
      <c r="K2772" s="149" t="s">
        <v>5548</v>
      </c>
    </row>
    <row r="2773" spans="1:11" ht="28.9" customHeight="1" thickTop="1" thickBot="1" x14ac:dyDescent="0.75">
      <c r="A2773" s="6">
        <v>2771</v>
      </c>
      <c r="B2773" s="57" t="str">
        <f>HYPERLINK("https://search.naver.com/search.naver?query=침입자 영화", "침입자")</f>
        <v>침입자</v>
      </c>
      <c r="C2773" s="8">
        <v>5.3</v>
      </c>
      <c r="D2773" s="9" t="s">
        <v>5549</v>
      </c>
      <c r="E2773" s="6" t="s">
        <v>13</v>
      </c>
      <c r="F2773" s="6">
        <v>2020</v>
      </c>
      <c r="G2773" s="6" t="s">
        <v>14</v>
      </c>
      <c r="H2773" s="7" t="s">
        <v>54</v>
      </c>
      <c r="I2773" s="6" t="s">
        <v>133</v>
      </c>
      <c r="J2773" s="130"/>
      <c r="K2773" s="148" t="s">
        <v>5550</v>
      </c>
    </row>
    <row r="2774" spans="1:11" ht="28.9" customHeight="1" thickTop="1" thickBot="1" x14ac:dyDescent="0.75">
      <c r="A2774" s="10">
        <v>2772</v>
      </c>
      <c r="B2774" s="58" t="str">
        <f>HYPERLINK("https://search.naver.com/search.naver?query=카나리 블랙 영화", "카나리 블랙")</f>
        <v>카나리 블랙</v>
      </c>
      <c r="C2774" s="12">
        <v>6.4</v>
      </c>
      <c r="D2774" s="13" t="s">
        <v>5551</v>
      </c>
      <c r="E2774" s="10" t="s">
        <v>29</v>
      </c>
      <c r="F2774" s="10">
        <v>2024</v>
      </c>
      <c r="G2774" s="10" t="s">
        <v>14</v>
      </c>
      <c r="H2774" s="11" t="s">
        <v>124</v>
      </c>
      <c r="I2774" s="10" t="s">
        <v>179</v>
      </c>
      <c r="J2774" s="131"/>
      <c r="K2774" s="149" t="s">
        <v>5552</v>
      </c>
    </row>
    <row r="2775" spans="1:11" ht="28.9" customHeight="1" thickTop="1" thickBot="1" x14ac:dyDescent="0.75">
      <c r="A2775" s="10">
        <v>2773</v>
      </c>
      <c r="B2775" s="57" t="str">
        <f>HYPERLINK("https://search.naver.com/search.naver?query=카니발 영화", "카니발")</f>
        <v>카니발</v>
      </c>
      <c r="C2775" s="8">
        <v>6.9</v>
      </c>
      <c r="D2775" s="9" t="s">
        <v>5553</v>
      </c>
      <c r="E2775" s="6" t="s">
        <v>24</v>
      </c>
      <c r="F2775" s="6">
        <v>2013</v>
      </c>
      <c r="G2775" s="6" t="s">
        <v>14</v>
      </c>
      <c r="H2775" s="7" t="s">
        <v>382</v>
      </c>
      <c r="I2775" s="6" t="s">
        <v>150</v>
      </c>
      <c r="J2775" s="130"/>
      <c r="K2775" s="148" t="s">
        <v>5554</v>
      </c>
    </row>
    <row r="2776" spans="1:11" ht="28.9" customHeight="1" thickTop="1" thickBot="1" x14ac:dyDescent="0.75">
      <c r="A2776" s="6">
        <v>2774</v>
      </c>
      <c r="B2776" s="58" t="str">
        <f>HYPERLINK("https://search.naver.com/search.naver?query=카모메 식당 영화", "카모메 식당")</f>
        <v>카모메 식당</v>
      </c>
      <c r="C2776" s="12">
        <v>8.06</v>
      </c>
      <c r="D2776" s="13" t="s">
        <v>5555</v>
      </c>
      <c r="E2776" s="10" t="s">
        <v>19</v>
      </c>
      <c r="F2776" s="10">
        <v>2006</v>
      </c>
      <c r="G2776" s="10" t="s">
        <v>14</v>
      </c>
      <c r="H2776" s="11" t="s">
        <v>20</v>
      </c>
      <c r="I2776" s="10" t="s">
        <v>133</v>
      </c>
      <c r="J2776" s="131"/>
      <c r="K2776" s="149" t="s">
        <v>5556</v>
      </c>
    </row>
    <row r="2777" spans="1:11" ht="28.9" customHeight="1" thickTop="1" thickBot="1" x14ac:dyDescent="0.75">
      <c r="A2777" s="10">
        <v>2775</v>
      </c>
      <c r="B2777" s="57" t="str">
        <f>HYPERLINK("https://search.naver.com/search.naver?query=카센타 영화", "카센타")</f>
        <v>카센타</v>
      </c>
      <c r="C2777" s="8">
        <v>7.2</v>
      </c>
      <c r="D2777" s="9" t="s">
        <v>5557</v>
      </c>
      <c r="E2777" s="6" t="s">
        <v>13</v>
      </c>
      <c r="F2777" s="6">
        <v>2019</v>
      </c>
      <c r="G2777" s="6" t="s">
        <v>14</v>
      </c>
      <c r="H2777" s="7" t="s">
        <v>428</v>
      </c>
      <c r="I2777" s="6" t="s">
        <v>169</v>
      </c>
      <c r="J2777" s="130"/>
      <c r="K2777" s="148" t="s">
        <v>5558</v>
      </c>
    </row>
    <row r="2778" spans="1:11" ht="28.9" customHeight="1" thickTop="1" thickBot="1" x14ac:dyDescent="0.75">
      <c r="A2778" s="10">
        <v>2776</v>
      </c>
      <c r="B2778" s="58" t="str">
        <f>HYPERLINK("https://search.naver.com/search.naver?query=카오스 이론 영화", "카오스 이론")</f>
        <v>카오스 이론</v>
      </c>
      <c r="C2778" s="12"/>
      <c r="D2778" s="13" t="s">
        <v>5559</v>
      </c>
      <c r="E2778" s="10" t="s">
        <v>24</v>
      </c>
      <c r="F2778" s="10">
        <v>2008</v>
      </c>
      <c r="G2778" s="10" t="s">
        <v>14</v>
      </c>
      <c r="H2778" s="11" t="s">
        <v>91</v>
      </c>
      <c r="I2778" s="10" t="s">
        <v>1069</v>
      </c>
      <c r="J2778" s="131"/>
      <c r="K2778" s="149" t="s">
        <v>5560</v>
      </c>
    </row>
    <row r="2779" spans="1:11" ht="28.9" customHeight="1" thickTop="1" thickBot="1" x14ac:dyDescent="0.75">
      <c r="A2779" s="6">
        <v>2777</v>
      </c>
      <c r="B2779" s="57" t="str">
        <f>HYPERLINK("https://search.naver.com/search.naver?query=카운슬러 영화", "카운슬러")</f>
        <v>카운슬러</v>
      </c>
      <c r="C2779" s="8">
        <v>7.18</v>
      </c>
      <c r="D2779" s="9" t="s">
        <v>5561</v>
      </c>
      <c r="E2779" s="6" t="s">
        <v>24</v>
      </c>
      <c r="F2779" s="6">
        <v>2013</v>
      </c>
      <c r="G2779" s="6" t="s">
        <v>14</v>
      </c>
      <c r="H2779" s="7" t="s">
        <v>428</v>
      </c>
      <c r="I2779" s="6" t="s">
        <v>120</v>
      </c>
      <c r="J2779" s="130"/>
      <c r="K2779" s="148" t="s">
        <v>5562</v>
      </c>
    </row>
    <row r="2780" spans="1:11" ht="28.9" customHeight="1" thickTop="1" thickBot="1" x14ac:dyDescent="0.75">
      <c r="A2780" s="10">
        <v>2778</v>
      </c>
      <c r="B2780" s="58" t="str">
        <f>HYPERLINK("https://search.naver.com/search.naver?query=카운터페이터 영화", "카운터페이터")</f>
        <v>카운터페이터</v>
      </c>
      <c r="C2780" s="12">
        <v>8.17</v>
      </c>
      <c r="D2780" s="13" t="s">
        <v>5563</v>
      </c>
      <c r="E2780" s="10" t="s">
        <v>136</v>
      </c>
      <c r="F2780" s="10">
        <v>2007</v>
      </c>
      <c r="G2780" s="10" t="s">
        <v>14</v>
      </c>
      <c r="H2780" s="11" t="s">
        <v>428</v>
      </c>
      <c r="I2780" s="10" t="s">
        <v>16</v>
      </c>
      <c r="J2780" s="131"/>
      <c r="K2780" s="149" t="s">
        <v>5564</v>
      </c>
    </row>
    <row r="2781" spans="1:11" ht="28.9" customHeight="1" thickTop="1" thickBot="1" x14ac:dyDescent="0.75">
      <c r="A2781" s="10">
        <v>2779</v>
      </c>
      <c r="B2781" s="57" t="str">
        <f>HYPERLINK("https://search.naver.com/search.naver?query=카운트다운 영화", "카운트다운")</f>
        <v>카운트다운</v>
      </c>
      <c r="C2781" s="8">
        <v>5.4</v>
      </c>
      <c r="D2781" s="9" t="s">
        <v>5565</v>
      </c>
      <c r="E2781" s="6" t="s">
        <v>24</v>
      </c>
      <c r="F2781" s="6">
        <v>2019</v>
      </c>
      <c r="G2781" s="6" t="s">
        <v>14</v>
      </c>
      <c r="H2781" s="7" t="s">
        <v>382</v>
      </c>
      <c r="I2781" s="6" t="s">
        <v>156</v>
      </c>
      <c r="J2781" s="130"/>
      <c r="K2781" s="148" t="s">
        <v>5566</v>
      </c>
    </row>
    <row r="2782" spans="1:11" ht="28.9" customHeight="1" thickTop="1" thickBot="1" x14ac:dyDescent="0.75">
      <c r="A2782" s="6">
        <v>2780</v>
      </c>
      <c r="B2782" s="58" t="str">
        <f>HYPERLINK("https://search.naver.com/search.naver?query=카인드 오브 머더 영화", "카인드 오브 머더")</f>
        <v>카인드 오브 머더</v>
      </c>
      <c r="C2782" s="12">
        <v>5.63</v>
      </c>
      <c r="D2782" s="13" t="s">
        <v>5567</v>
      </c>
      <c r="E2782" s="10" t="s">
        <v>24</v>
      </c>
      <c r="F2782" s="10">
        <v>2016</v>
      </c>
      <c r="G2782" s="10" t="s">
        <v>14</v>
      </c>
      <c r="H2782" s="11" t="s">
        <v>54</v>
      </c>
      <c r="I2782" s="10" t="s">
        <v>150</v>
      </c>
      <c r="J2782" s="131"/>
      <c r="K2782" s="149" t="s">
        <v>5568</v>
      </c>
    </row>
    <row r="2783" spans="1:11" ht="28.9" customHeight="1" thickTop="1" thickBot="1" x14ac:dyDescent="0.75">
      <c r="A2783" s="10">
        <v>2781</v>
      </c>
      <c r="B2783" s="59" t="str">
        <f>HYPERLINK("https://search.naver.com/search.naver?query=카지노 시즌1", "카지노 시즌1")</f>
        <v>카지노 시즌1</v>
      </c>
      <c r="C2783" s="16"/>
      <c r="D2783" s="17" t="s">
        <v>5569</v>
      </c>
      <c r="E2783" s="14" t="s">
        <v>13</v>
      </c>
      <c r="F2783" s="14">
        <v>2022</v>
      </c>
      <c r="G2783" s="14" t="s">
        <v>20</v>
      </c>
      <c r="H2783" s="15" t="s">
        <v>115</v>
      </c>
      <c r="I2783" s="14" t="s">
        <v>71</v>
      </c>
      <c r="J2783" s="132"/>
      <c r="K2783" s="150" t="s">
        <v>5570</v>
      </c>
    </row>
    <row r="2784" spans="1:11" ht="28.9" customHeight="1" thickTop="1" thickBot="1" x14ac:dyDescent="0.75">
      <c r="A2784" s="10">
        <v>2782</v>
      </c>
      <c r="B2784" s="59" t="str">
        <f>HYPERLINK("https://search.naver.com/search.naver?query=카지노 시즌2", "카지노 시즌2")</f>
        <v>카지노 시즌2</v>
      </c>
      <c r="C2784" s="16"/>
      <c r="D2784" s="17" t="s">
        <v>5569</v>
      </c>
      <c r="E2784" s="14" t="s">
        <v>13</v>
      </c>
      <c r="F2784" s="14">
        <v>2023</v>
      </c>
      <c r="G2784" s="14" t="s">
        <v>20</v>
      </c>
      <c r="H2784" s="15" t="s">
        <v>115</v>
      </c>
      <c r="I2784" s="14" t="s">
        <v>71</v>
      </c>
      <c r="J2784" s="132"/>
      <c r="K2784" s="150" t="s">
        <v>5571</v>
      </c>
    </row>
    <row r="2785" spans="1:11" ht="28.9" customHeight="1" thickTop="1" thickBot="1" x14ac:dyDescent="0.75">
      <c r="A2785" s="6">
        <v>2783</v>
      </c>
      <c r="B2785" s="57" t="str">
        <f>HYPERLINK("https://search.naver.com/search.naver?query=카터 영화", "카터")</f>
        <v>카터</v>
      </c>
      <c r="C2785" s="8">
        <v>4.2300000000000004</v>
      </c>
      <c r="D2785" s="9" t="s">
        <v>5572</v>
      </c>
      <c r="E2785" s="6" t="s">
        <v>13</v>
      </c>
      <c r="F2785" s="6">
        <v>2022</v>
      </c>
      <c r="G2785" s="6" t="s">
        <v>14</v>
      </c>
      <c r="H2785" s="7" t="s">
        <v>124</v>
      </c>
      <c r="I2785" s="6" t="s">
        <v>558</v>
      </c>
      <c r="J2785" s="130"/>
      <c r="K2785" s="148" t="s">
        <v>5573</v>
      </c>
    </row>
    <row r="2786" spans="1:11" ht="28.9" customHeight="1" thickTop="1" thickBot="1" x14ac:dyDescent="0.75">
      <c r="A2786" s="10">
        <v>2784</v>
      </c>
      <c r="B2786" s="58" t="str">
        <f>HYPERLINK("https://search.naver.com/search.naver?query=카트 영화", "카트")</f>
        <v>카트</v>
      </c>
      <c r="C2786" s="12">
        <v>8.61</v>
      </c>
      <c r="D2786" s="13" t="s">
        <v>5574</v>
      </c>
      <c r="E2786" s="10" t="s">
        <v>13</v>
      </c>
      <c r="F2786" s="10">
        <v>2014</v>
      </c>
      <c r="G2786" s="10" t="s">
        <v>14</v>
      </c>
      <c r="H2786" s="11" t="s">
        <v>20</v>
      </c>
      <c r="I2786" s="10" t="s">
        <v>129</v>
      </c>
      <c r="J2786" s="131"/>
      <c r="K2786" s="149" t="s">
        <v>3957</v>
      </c>
    </row>
    <row r="2787" spans="1:11" ht="28.9" customHeight="1" thickTop="1" thickBot="1" x14ac:dyDescent="0.75">
      <c r="A2787" s="10">
        <v>2785</v>
      </c>
      <c r="B2787" s="57" t="str">
        <f>HYPERLINK("https://search.naver.com/search.naver?query=칵테일 영화", "칵테일")</f>
        <v>칵테일</v>
      </c>
      <c r="C2787" s="8">
        <v>6.4</v>
      </c>
      <c r="D2787" s="9" t="s">
        <v>5575</v>
      </c>
      <c r="E2787" s="6" t="s">
        <v>24</v>
      </c>
      <c r="F2787" s="6">
        <v>1988</v>
      </c>
      <c r="G2787" s="6" t="s">
        <v>14</v>
      </c>
      <c r="H2787" s="7" t="s">
        <v>20</v>
      </c>
      <c r="I2787" s="6" t="s">
        <v>276</v>
      </c>
      <c r="J2787" s="130"/>
      <c r="K2787" s="148" t="s">
        <v>5576</v>
      </c>
    </row>
    <row r="2788" spans="1:11" ht="28.9" customHeight="1" thickTop="1" thickBot="1" x14ac:dyDescent="0.75">
      <c r="A2788" s="6">
        <v>2786</v>
      </c>
      <c r="B2788" s="58" t="str">
        <f>HYPERLINK("https://search.naver.com/search.naver?query=칸다하 영화", "칸다하")</f>
        <v>칸다하</v>
      </c>
      <c r="C2788" s="12">
        <v>7</v>
      </c>
      <c r="D2788" s="13" t="s">
        <v>5577</v>
      </c>
      <c r="E2788" s="10" t="s">
        <v>24</v>
      </c>
      <c r="F2788" s="10">
        <v>2023</v>
      </c>
      <c r="G2788" s="10" t="s">
        <v>14</v>
      </c>
      <c r="H2788" s="11" t="s">
        <v>124</v>
      </c>
      <c r="I2788" s="10" t="s">
        <v>68</v>
      </c>
      <c r="J2788" s="131"/>
      <c r="K2788" s="149" t="s">
        <v>5578</v>
      </c>
    </row>
    <row r="2789" spans="1:11" ht="28.9" customHeight="1" thickTop="1" thickBot="1" x14ac:dyDescent="0.75">
      <c r="A2789" s="10">
        <v>2787</v>
      </c>
      <c r="B2789" s="57" t="str">
        <f>HYPERLINK("https://search.naver.com/search.naver?query=캐롤 영화", "캐롤")</f>
        <v>캐롤</v>
      </c>
      <c r="C2789" s="8">
        <v>8.74</v>
      </c>
      <c r="D2789" s="9" t="s">
        <v>5579</v>
      </c>
      <c r="E2789" s="6" t="s">
        <v>29</v>
      </c>
      <c r="F2789" s="6">
        <v>2015</v>
      </c>
      <c r="G2789" s="6" t="s">
        <v>14</v>
      </c>
      <c r="H2789" s="7" t="s">
        <v>20</v>
      </c>
      <c r="I2789" s="6" t="s">
        <v>329</v>
      </c>
      <c r="J2789" s="130"/>
      <c r="K2789" s="148" t="s">
        <v>5580</v>
      </c>
    </row>
    <row r="2790" spans="1:11" ht="28.9" customHeight="1" thickTop="1" thickBot="1" x14ac:dyDescent="0.75">
      <c r="A2790" s="10">
        <v>2788</v>
      </c>
      <c r="B2790" s="58" t="str">
        <f>HYPERLINK("https://search.naver.com/search.naver?query=캐리온 영화", "캐리온")</f>
        <v>캐리온</v>
      </c>
      <c r="C2790" s="12">
        <v>7.28</v>
      </c>
      <c r="D2790" s="13" t="s">
        <v>5581</v>
      </c>
      <c r="E2790" s="10" t="s">
        <v>24</v>
      </c>
      <c r="F2790" s="10">
        <v>2024</v>
      </c>
      <c r="G2790" s="10" t="s">
        <v>14</v>
      </c>
      <c r="H2790" s="11" t="s">
        <v>124</v>
      </c>
      <c r="I2790" s="10" t="s">
        <v>68</v>
      </c>
      <c r="J2790" s="131"/>
      <c r="K2790" s="149" t="s">
        <v>5582</v>
      </c>
    </row>
    <row r="2791" spans="1:11" ht="28.9" customHeight="1" thickTop="1" thickBot="1" x14ac:dyDescent="0.75">
      <c r="A2791" s="6">
        <v>2789</v>
      </c>
      <c r="B2791" s="57" t="str">
        <f>HYPERLINK("https://search.naver.com/search.naver?query=캐쉬백 영화", "캐쉬백")</f>
        <v>캐쉬백</v>
      </c>
      <c r="C2791" s="8">
        <v>8.61</v>
      </c>
      <c r="D2791" s="9" t="s">
        <v>5583</v>
      </c>
      <c r="E2791" s="6" t="s">
        <v>29</v>
      </c>
      <c r="F2791" s="6">
        <v>2006</v>
      </c>
      <c r="G2791" s="6" t="s">
        <v>14</v>
      </c>
      <c r="H2791" s="7" t="s">
        <v>91</v>
      </c>
      <c r="I2791" s="6" t="s">
        <v>133</v>
      </c>
      <c r="J2791" s="130"/>
      <c r="K2791" s="148" t="s">
        <v>5584</v>
      </c>
    </row>
    <row r="2792" spans="1:11" ht="28.9" customHeight="1" thickTop="1" thickBot="1" x14ac:dyDescent="0.75">
      <c r="A2792" s="10">
        <v>2790</v>
      </c>
      <c r="B2792" s="58" t="str">
        <f>HYPERLINK("https://search.naver.com/search.naver?query=캐스트 어웨이 영화", "캐스트 어웨이")</f>
        <v>캐스트 어웨이</v>
      </c>
      <c r="C2792" s="12">
        <v>9.41</v>
      </c>
      <c r="D2792" s="13" t="s">
        <v>5585</v>
      </c>
      <c r="E2792" s="10" t="s">
        <v>29</v>
      </c>
      <c r="F2792" s="10">
        <v>1986</v>
      </c>
      <c r="G2792" s="10" t="s">
        <v>14</v>
      </c>
      <c r="H2792" s="11" t="s">
        <v>1452</v>
      </c>
      <c r="I2792" s="10" t="s">
        <v>329</v>
      </c>
      <c r="J2792" s="131"/>
      <c r="K2792" s="149" t="s">
        <v>5586</v>
      </c>
    </row>
    <row r="2793" spans="1:11" ht="28.9" customHeight="1" thickTop="1" thickBot="1" x14ac:dyDescent="0.75">
      <c r="A2793" s="10">
        <v>2791</v>
      </c>
      <c r="B2793" s="57" t="str">
        <f>HYPERLINK("https://search.naver.com/search.naver?query=캐시트럭 영화", "캐시트럭")</f>
        <v>캐시트럭</v>
      </c>
      <c r="C2793" s="8">
        <v>7.87</v>
      </c>
      <c r="D2793" s="9" t="s">
        <v>5587</v>
      </c>
      <c r="E2793" s="6" t="s">
        <v>24</v>
      </c>
      <c r="F2793" s="6">
        <v>2021</v>
      </c>
      <c r="G2793" s="6" t="s">
        <v>14</v>
      </c>
      <c r="H2793" s="7" t="s">
        <v>124</v>
      </c>
      <c r="I2793" s="6" t="s">
        <v>68</v>
      </c>
      <c r="J2793" s="130"/>
      <c r="K2793" s="148" t="s">
        <v>254</v>
      </c>
    </row>
    <row r="2794" spans="1:11" ht="28.9" customHeight="1" thickTop="1" thickBot="1" x14ac:dyDescent="0.75">
      <c r="A2794" s="6">
        <v>2792</v>
      </c>
      <c r="B2794" s="58" t="str">
        <f>HYPERLINK("https://search.naver.com/search.naver?query=캐치미 영화", "캐치미")</f>
        <v>캐치미</v>
      </c>
      <c r="C2794" s="12">
        <v>6.67</v>
      </c>
      <c r="D2794" s="13" t="s">
        <v>5588</v>
      </c>
      <c r="E2794" s="10" t="s">
        <v>13</v>
      </c>
      <c r="F2794" s="10">
        <v>2013</v>
      </c>
      <c r="G2794" s="10" t="s">
        <v>14</v>
      </c>
      <c r="H2794" s="11" t="s">
        <v>91</v>
      </c>
      <c r="I2794" s="10" t="s">
        <v>60</v>
      </c>
      <c r="J2794" s="131"/>
      <c r="K2794" s="149" t="s">
        <v>5589</v>
      </c>
    </row>
    <row r="2795" spans="1:11" ht="28.9" customHeight="1" thickTop="1" thickBot="1" x14ac:dyDescent="0.75">
      <c r="A2795" s="10">
        <v>2793</v>
      </c>
      <c r="B2795" s="57" t="str">
        <f>HYPERLINK("https://search.naver.com/search.naver?query=캔디 영화", "캔디")</f>
        <v>캔디</v>
      </c>
      <c r="C2795" s="8">
        <v>8.5399999999999991</v>
      </c>
      <c r="D2795" s="9" t="s">
        <v>5590</v>
      </c>
      <c r="E2795" s="6" t="s">
        <v>45</v>
      </c>
      <c r="F2795" s="6">
        <v>2006</v>
      </c>
      <c r="G2795" s="6" t="s">
        <v>14</v>
      </c>
      <c r="H2795" s="7" t="s">
        <v>20</v>
      </c>
      <c r="I2795" s="6" t="s">
        <v>38</v>
      </c>
      <c r="J2795" s="130"/>
      <c r="K2795" s="148" t="s">
        <v>5591</v>
      </c>
    </row>
    <row r="2796" spans="1:11" ht="28.9" customHeight="1" thickTop="1" thickBot="1" x14ac:dyDescent="0.75">
      <c r="A2796" s="10">
        <v>2794</v>
      </c>
      <c r="B2796" s="59" t="str">
        <f>HYPERLINK("https://search.naver.com/search.naver?query=캘리포니케이션 시즌1", "캘리포니케이션 시즌1")</f>
        <v>캘리포니케이션 시즌1</v>
      </c>
      <c r="C2796" s="16"/>
      <c r="D2796" s="17" t="s">
        <v>5592</v>
      </c>
      <c r="E2796" s="14" t="s">
        <v>24</v>
      </c>
      <c r="F2796" s="14">
        <v>2007</v>
      </c>
      <c r="G2796" s="14" t="s">
        <v>20</v>
      </c>
      <c r="H2796" s="15" t="s">
        <v>20</v>
      </c>
      <c r="I2796" s="14" t="s">
        <v>1588</v>
      </c>
      <c r="J2796" s="132"/>
      <c r="K2796" s="150" t="s">
        <v>5593</v>
      </c>
    </row>
    <row r="2797" spans="1:11" ht="28.9" customHeight="1" thickTop="1" thickBot="1" x14ac:dyDescent="0.75">
      <c r="A2797" s="6">
        <v>2795</v>
      </c>
      <c r="B2797" s="59" t="str">
        <f>HYPERLINK("https://search.naver.com/search.naver?query=캘리포니케이션 시즌2", "캘리포니케이션 시즌2")</f>
        <v>캘리포니케이션 시즌2</v>
      </c>
      <c r="C2797" s="16"/>
      <c r="D2797" s="17" t="s">
        <v>5592</v>
      </c>
      <c r="E2797" s="14" t="s">
        <v>24</v>
      </c>
      <c r="F2797" s="14">
        <v>2008</v>
      </c>
      <c r="G2797" s="14" t="s">
        <v>20</v>
      </c>
      <c r="H2797" s="15" t="s">
        <v>20</v>
      </c>
      <c r="I2797" s="14" t="s">
        <v>1588</v>
      </c>
      <c r="J2797" s="132"/>
      <c r="K2797" s="150" t="s">
        <v>5594</v>
      </c>
    </row>
    <row r="2798" spans="1:11" ht="28.9" customHeight="1" thickTop="1" thickBot="1" x14ac:dyDescent="0.75">
      <c r="A2798" s="10">
        <v>2796</v>
      </c>
      <c r="B2798" s="59" t="str">
        <f>HYPERLINK("https://search.naver.com/search.naver?query=캘리포니케이션 시즌3", "캘리포니케이션 시즌3")</f>
        <v>캘리포니케이션 시즌3</v>
      </c>
      <c r="C2798" s="16"/>
      <c r="D2798" s="17" t="s">
        <v>5592</v>
      </c>
      <c r="E2798" s="14" t="s">
        <v>24</v>
      </c>
      <c r="F2798" s="14">
        <v>2009</v>
      </c>
      <c r="G2798" s="14" t="s">
        <v>20</v>
      </c>
      <c r="H2798" s="15" t="s">
        <v>20</v>
      </c>
      <c r="I2798" s="14" t="s">
        <v>1588</v>
      </c>
      <c r="J2798" s="132"/>
      <c r="K2798" s="150" t="s">
        <v>5595</v>
      </c>
    </row>
    <row r="2799" spans="1:11" ht="28.9" customHeight="1" thickTop="1" thickBot="1" x14ac:dyDescent="0.75">
      <c r="A2799" s="10">
        <v>2797</v>
      </c>
      <c r="B2799" s="59" t="str">
        <f>HYPERLINK("https://search.naver.com/search.naver?query=캘리포니케이션 시즌4", "캘리포니케이션 시즌4")</f>
        <v>캘리포니케이션 시즌4</v>
      </c>
      <c r="C2799" s="16"/>
      <c r="D2799" s="17" t="s">
        <v>5592</v>
      </c>
      <c r="E2799" s="14" t="s">
        <v>24</v>
      </c>
      <c r="F2799" s="14">
        <v>2011</v>
      </c>
      <c r="G2799" s="14" t="s">
        <v>20</v>
      </c>
      <c r="H2799" s="15" t="s">
        <v>20</v>
      </c>
      <c r="I2799" s="14" t="s">
        <v>1588</v>
      </c>
      <c r="J2799" s="132"/>
      <c r="K2799" s="150" t="s">
        <v>5596</v>
      </c>
    </row>
    <row r="2800" spans="1:11" ht="28.9" customHeight="1" thickTop="1" thickBot="1" x14ac:dyDescent="0.75">
      <c r="A2800" s="6">
        <v>2798</v>
      </c>
      <c r="B2800" s="59" t="str">
        <f>HYPERLINK("https://search.naver.com/search.naver?query=캘리포니케이션 시즌5", "캘리포니케이션 시즌5")</f>
        <v>캘리포니케이션 시즌5</v>
      </c>
      <c r="C2800" s="16"/>
      <c r="D2800" s="17" t="s">
        <v>5592</v>
      </c>
      <c r="E2800" s="14" t="s">
        <v>24</v>
      </c>
      <c r="F2800" s="14">
        <v>2012</v>
      </c>
      <c r="G2800" s="14" t="s">
        <v>20</v>
      </c>
      <c r="H2800" s="15" t="s">
        <v>20</v>
      </c>
      <c r="I2800" s="14" t="s">
        <v>1588</v>
      </c>
      <c r="J2800" s="132"/>
      <c r="K2800" s="150" t="s">
        <v>5597</v>
      </c>
    </row>
    <row r="2801" spans="1:11" ht="28.9" customHeight="1" thickTop="1" thickBot="1" x14ac:dyDescent="0.75">
      <c r="A2801" s="10">
        <v>2799</v>
      </c>
      <c r="B2801" s="59" t="str">
        <f>HYPERLINK("https://search.naver.com/search.naver?query=캘리포니케이션 시즌6", "캘리포니케이션 시즌6")</f>
        <v>캘리포니케이션 시즌6</v>
      </c>
      <c r="C2801" s="16"/>
      <c r="D2801" s="17" t="s">
        <v>5592</v>
      </c>
      <c r="E2801" s="14" t="s">
        <v>24</v>
      </c>
      <c r="F2801" s="14">
        <v>2013</v>
      </c>
      <c r="G2801" s="14" t="s">
        <v>20</v>
      </c>
      <c r="H2801" s="15" t="s">
        <v>20</v>
      </c>
      <c r="I2801" s="14" t="s">
        <v>1588</v>
      </c>
      <c r="J2801" s="132"/>
      <c r="K2801" s="150" t="s">
        <v>2678</v>
      </c>
    </row>
    <row r="2802" spans="1:11" ht="28.9" customHeight="1" thickTop="1" thickBot="1" x14ac:dyDescent="0.75">
      <c r="A2802" s="10">
        <v>2800</v>
      </c>
      <c r="B2802" s="59" t="str">
        <f>HYPERLINK("https://search.naver.com/search.naver?query=캘리포니케이션 시즌7", "캘리포니케이션 시즌7")</f>
        <v>캘리포니케이션 시즌7</v>
      </c>
      <c r="C2802" s="16"/>
      <c r="D2802" s="17" t="s">
        <v>5592</v>
      </c>
      <c r="E2802" s="14" t="s">
        <v>24</v>
      </c>
      <c r="F2802" s="14">
        <v>2014</v>
      </c>
      <c r="G2802" s="14" t="s">
        <v>20</v>
      </c>
      <c r="H2802" s="15" t="s">
        <v>20</v>
      </c>
      <c r="I2802" s="14" t="s">
        <v>1588</v>
      </c>
      <c r="J2802" s="132"/>
      <c r="K2802" s="150" t="s">
        <v>573</v>
      </c>
    </row>
    <row r="2803" spans="1:11" ht="28.9" customHeight="1" thickTop="1" thickBot="1" x14ac:dyDescent="0.75">
      <c r="A2803" s="6">
        <v>2801</v>
      </c>
      <c r="B2803" s="57" t="s">
        <v>5598</v>
      </c>
      <c r="C2803" s="8"/>
      <c r="D2803" s="9" t="s">
        <v>5599</v>
      </c>
      <c r="E2803" s="6" t="s">
        <v>944</v>
      </c>
      <c r="F2803" s="6">
        <v>2014</v>
      </c>
      <c r="G2803" s="6" t="s">
        <v>14</v>
      </c>
      <c r="H2803" s="7" t="s">
        <v>20</v>
      </c>
      <c r="I2803" s="6" t="s">
        <v>133</v>
      </c>
      <c r="J2803" s="130"/>
      <c r="K2803" s="148" t="s">
        <v>5600</v>
      </c>
    </row>
    <row r="2804" spans="1:11" ht="28.9" customHeight="1" thickTop="1" thickBot="1" x14ac:dyDescent="0.75">
      <c r="A2804" s="10">
        <v>2802</v>
      </c>
      <c r="B2804" s="58" t="str">
        <f>HYPERLINK("https://search.naver.com/search.naver?query=캠걸스 영화", "캠걸스")</f>
        <v>캠걸스</v>
      </c>
      <c r="C2804" s="12">
        <v>4.53</v>
      </c>
      <c r="D2804" s="13" t="s">
        <v>5601</v>
      </c>
      <c r="E2804" s="10" t="s">
        <v>24</v>
      </c>
      <c r="F2804" s="10">
        <v>2018</v>
      </c>
      <c r="G2804" s="10" t="s">
        <v>14</v>
      </c>
      <c r="H2804" s="11" t="s">
        <v>382</v>
      </c>
      <c r="I2804" s="10" t="s">
        <v>468</v>
      </c>
      <c r="J2804" s="131"/>
      <c r="K2804" s="149" t="s">
        <v>5602</v>
      </c>
    </row>
    <row r="2805" spans="1:11" ht="28.9" customHeight="1" thickTop="1" thickBot="1" x14ac:dyDescent="0.75">
      <c r="A2805" s="10">
        <v>2803</v>
      </c>
      <c r="B2805" s="57" t="str">
        <f>HYPERLINK("https://search.naver.com/search.naver?query=캠프 엑스레이 영화", "캠프 엑스레이")</f>
        <v>캠프 엑스레이</v>
      </c>
      <c r="C2805" s="8">
        <v>6.4</v>
      </c>
      <c r="D2805" s="9" t="s">
        <v>5603</v>
      </c>
      <c r="E2805" s="6" t="s">
        <v>24</v>
      </c>
      <c r="F2805" s="6">
        <v>2014</v>
      </c>
      <c r="G2805" s="6" t="s">
        <v>14</v>
      </c>
      <c r="H2805" s="7" t="s">
        <v>20</v>
      </c>
      <c r="I2805" s="6" t="s">
        <v>120</v>
      </c>
      <c r="J2805" s="130"/>
      <c r="K2805" s="148" t="s">
        <v>5604</v>
      </c>
    </row>
    <row r="2806" spans="1:11" ht="28.9" customHeight="1" thickTop="1" thickBot="1" x14ac:dyDescent="0.75">
      <c r="A2806" s="6">
        <v>2804</v>
      </c>
      <c r="B2806" s="58" t="str">
        <f>HYPERLINK("https://search.naver.com/search.naver?query=캡처링 대디 영화", "캡처링 대디")</f>
        <v>캡처링 대디</v>
      </c>
      <c r="C2806" s="12">
        <v>6.89</v>
      </c>
      <c r="D2806" s="13" t="s">
        <v>5605</v>
      </c>
      <c r="E2806" s="10" t="s">
        <v>19</v>
      </c>
      <c r="F2806" s="10">
        <v>2012</v>
      </c>
      <c r="G2806" s="10" t="s">
        <v>14</v>
      </c>
      <c r="H2806" s="11" t="s">
        <v>20</v>
      </c>
      <c r="I2806" s="10" t="s">
        <v>150</v>
      </c>
      <c r="J2806" s="131"/>
      <c r="K2806" s="149" t="s">
        <v>5606</v>
      </c>
    </row>
    <row r="2807" spans="1:11" ht="28.9" customHeight="1" thickTop="1" thickBot="1" x14ac:dyDescent="0.75">
      <c r="A2807" s="10">
        <v>2805</v>
      </c>
      <c r="B2807" s="57" t="str">
        <f>HYPERLINK("https://search.naver.com/search.naver?query=캡틴 아메리카 윈터 솔져 영화", "캡틴 아메리카 - 윈터 솔져")</f>
        <v>캡틴 아메리카 - 윈터 솔져</v>
      </c>
      <c r="C2807" s="8">
        <v>8.84</v>
      </c>
      <c r="D2807" s="9" t="s">
        <v>5607</v>
      </c>
      <c r="E2807" s="6" t="s">
        <v>24</v>
      </c>
      <c r="F2807" s="6">
        <v>2014</v>
      </c>
      <c r="G2807" s="6" t="s">
        <v>14</v>
      </c>
      <c r="H2807" s="7" t="s">
        <v>124</v>
      </c>
      <c r="I2807" s="6" t="s">
        <v>578</v>
      </c>
      <c r="J2807" s="130"/>
      <c r="K2807" s="148" t="s">
        <v>5608</v>
      </c>
    </row>
    <row r="2808" spans="1:11" ht="28.9" customHeight="1" thickTop="1" thickBot="1" x14ac:dyDescent="0.75">
      <c r="A2808" s="10">
        <v>2806</v>
      </c>
      <c r="B2808" s="58" t="str">
        <f>HYPERLINK("https://search.naver.com/search.naver?query=캡틴 파일럿 영화", "캡틴 파일럿")</f>
        <v>캡틴 파일럿</v>
      </c>
      <c r="C2808" s="12">
        <v>7.5</v>
      </c>
      <c r="D2808" s="13" t="s">
        <v>1437</v>
      </c>
      <c r="E2808" s="10" t="s">
        <v>186</v>
      </c>
      <c r="F2808" s="10">
        <v>2019</v>
      </c>
      <c r="G2808" s="10" t="s">
        <v>14</v>
      </c>
      <c r="H2808" s="11" t="s">
        <v>20</v>
      </c>
      <c r="I2808" s="10" t="s">
        <v>129</v>
      </c>
      <c r="J2808" s="131"/>
      <c r="K2808" s="149" t="s">
        <v>5609</v>
      </c>
    </row>
    <row r="2809" spans="1:11" ht="28.9" customHeight="1" thickTop="1" thickBot="1" x14ac:dyDescent="0.75">
      <c r="A2809" s="6">
        <v>2807</v>
      </c>
      <c r="B2809" s="57" t="str">
        <f>HYPERLINK("https://search.naver.com/search.naver?query=캡틴 필립스 영화", "캡틴 필립스")</f>
        <v>캡틴 필립스</v>
      </c>
      <c r="C2809" s="8">
        <v>9.07</v>
      </c>
      <c r="D2809" s="9" t="s">
        <v>5610</v>
      </c>
      <c r="E2809" s="6" t="s">
        <v>24</v>
      </c>
      <c r="F2809" s="6">
        <v>2013</v>
      </c>
      <c r="G2809" s="6" t="s">
        <v>14</v>
      </c>
      <c r="H2809" s="7" t="s">
        <v>124</v>
      </c>
      <c r="I2809" s="6" t="s">
        <v>917</v>
      </c>
      <c r="J2809" s="130"/>
      <c r="K2809" s="148" t="s">
        <v>5611</v>
      </c>
    </row>
    <row r="2810" spans="1:11" ht="28.9" customHeight="1" thickTop="1" thickBot="1" x14ac:dyDescent="0.75">
      <c r="A2810" s="10">
        <v>2808</v>
      </c>
      <c r="B2810" s="58" t="str">
        <f>HYPERLINK("https://search.naver.com/search.naver?query=커런트 워 영화", "커런트 워")</f>
        <v>커런트 워</v>
      </c>
      <c r="C2810" s="12">
        <v>7.47</v>
      </c>
      <c r="D2810" s="13" t="s">
        <v>5612</v>
      </c>
      <c r="E2810" s="10" t="s">
        <v>24</v>
      </c>
      <c r="F2810" s="10">
        <v>2017</v>
      </c>
      <c r="G2810" s="10" t="s">
        <v>14</v>
      </c>
      <c r="H2810" s="11" t="s">
        <v>20</v>
      </c>
      <c r="I2810" s="10" t="s">
        <v>101</v>
      </c>
      <c r="J2810" s="131"/>
      <c r="K2810" s="149" t="s">
        <v>5613</v>
      </c>
    </row>
    <row r="2811" spans="1:11" ht="28.9" customHeight="1" thickTop="1" thickBot="1" x14ac:dyDescent="0.75">
      <c r="A2811" s="10">
        <v>2809</v>
      </c>
      <c r="B2811" s="57" t="str">
        <f>HYPERLINK("https://search.naver.com/search.naver?query=커뮤터 영화", "커뮤터")</f>
        <v>커뮤터</v>
      </c>
      <c r="C2811" s="8">
        <v>8.7899999999999991</v>
      </c>
      <c r="D2811" s="9" t="s">
        <v>5614</v>
      </c>
      <c r="E2811" s="6" t="s">
        <v>24</v>
      </c>
      <c r="F2811" s="6">
        <v>2018</v>
      </c>
      <c r="G2811" s="6" t="s">
        <v>14</v>
      </c>
      <c r="H2811" s="7" t="s">
        <v>124</v>
      </c>
      <c r="I2811" s="6" t="s">
        <v>242</v>
      </c>
      <c r="J2811" s="130"/>
      <c r="K2811" s="148" t="s">
        <v>5615</v>
      </c>
    </row>
    <row r="2812" spans="1:11" ht="28.9" customHeight="1" thickTop="1" thickBot="1" x14ac:dyDescent="0.75">
      <c r="A2812" s="6">
        <v>2810</v>
      </c>
      <c r="B2812" s="58" t="str">
        <f>HYPERLINK("https://search.naver.com/search.naver?query=커터헤드 영화", "커터헤드")</f>
        <v>커터헤드</v>
      </c>
      <c r="C2812" s="12">
        <v>6.4</v>
      </c>
      <c r="D2812" s="13" t="s">
        <v>5616</v>
      </c>
      <c r="E2812" s="10" t="s">
        <v>161</v>
      </c>
      <c r="F2812" s="10">
        <v>2018</v>
      </c>
      <c r="G2812" s="10" t="s">
        <v>14</v>
      </c>
      <c r="H2812" s="11" t="s">
        <v>54</v>
      </c>
      <c r="I2812" s="10" t="s">
        <v>46</v>
      </c>
      <c r="J2812" s="131"/>
      <c r="K2812" s="149" t="s">
        <v>5617</v>
      </c>
    </row>
    <row r="2813" spans="1:11" ht="28.9" customHeight="1" thickTop="1" thickBot="1" x14ac:dyDescent="0.75">
      <c r="A2813" s="10">
        <v>2811</v>
      </c>
      <c r="B2813" s="57" t="str">
        <f>HYPERLINK("https://search.naver.com/search.naver?query=커플즈 영화", "커플즈")</f>
        <v>커플즈</v>
      </c>
      <c r="C2813" s="8">
        <v>7.96</v>
      </c>
      <c r="D2813" s="9" t="s">
        <v>5618</v>
      </c>
      <c r="E2813" s="6" t="s">
        <v>19</v>
      </c>
      <c r="F2813" s="6">
        <v>2011</v>
      </c>
      <c r="G2813" s="6" t="s">
        <v>14</v>
      </c>
      <c r="H2813" s="7" t="s">
        <v>20</v>
      </c>
      <c r="I2813" s="6" t="s">
        <v>150</v>
      </c>
      <c r="J2813" s="130"/>
      <c r="K2813" s="148" t="s">
        <v>5619</v>
      </c>
    </row>
    <row r="2814" spans="1:11" ht="28.9" customHeight="1" thickTop="1" thickBot="1" x14ac:dyDescent="0.75">
      <c r="A2814" s="10">
        <v>2812</v>
      </c>
      <c r="B2814" s="58" t="str">
        <f>HYPERLINK("https://search.naver.com/search.naver?query=커피 한잔이 섹스에 미치는 영향 영화", "커피 한잔이 섹스에 미치는 영향")</f>
        <v>커피 한잔이 섹스에 미치는 영향</v>
      </c>
      <c r="C2814" s="12">
        <v>7.82</v>
      </c>
      <c r="D2814" s="13" t="s">
        <v>5620</v>
      </c>
      <c r="E2814" s="10" t="s">
        <v>24</v>
      </c>
      <c r="F2814" s="10">
        <v>2014</v>
      </c>
      <c r="G2814" s="10" t="s">
        <v>14</v>
      </c>
      <c r="H2814" s="11" t="s">
        <v>91</v>
      </c>
      <c r="I2814" s="10" t="s">
        <v>150</v>
      </c>
      <c r="J2814" s="131"/>
      <c r="K2814" s="149" t="s">
        <v>5621</v>
      </c>
    </row>
    <row r="2815" spans="1:11" ht="28.9" customHeight="1" thickTop="1" thickBot="1" x14ac:dyDescent="0.75">
      <c r="A2815" s="6">
        <v>2813</v>
      </c>
      <c r="B2815" s="57" t="str">
        <f>HYPERLINK("https://search.naver.com/search.naver?query=커피가 식기 전에 영화", "커피가 식기 전에")</f>
        <v>커피가 식기 전에</v>
      </c>
      <c r="C2815" s="8">
        <v>8.2899999999999991</v>
      </c>
      <c r="D2815" s="9" t="s">
        <v>5622</v>
      </c>
      <c r="E2815" s="6" t="s">
        <v>19</v>
      </c>
      <c r="F2815" s="6">
        <v>2018</v>
      </c>
      <c r="G2815" s="6" t="s">
        <v>14</v>
      </c>
      <c r="H2815" s="7" t="s">
        <v>20</v>
      </c>
      <c r="I2815" s="6" t="s">
        <v>120</v>
      </c>
      <c r="J2815" s="130"/>
      <c r="K2815" s="148" t="s">
        <v>5623</v>
      </c>
    </row>
    <row r="2816" spans="1:11" ht="28.9" customHeight="1" thickTop="1" thickBot="1" x14ac:dyDescent="0.75">
      <c r="A2816" s="10">
        <v>2814</v>
      </c>
      <c r="B2816" s="58" t="str">
        <f>HYPERLINK("https://search.naver.com/search.naver?query=컨빅션 영화", "컨빅션")</f>
        <v>컨빅션</v>
      </c>
      <c r="C2816" s="12">
        <v>8.4700000000000006</v>
      </c>
      <c r="D2816" s="13" t="s">
        <v>5624</v>
      </c>
      <c r="E2816" s="10" t="s">
        <v>24</v>
      </c>
      <c r="F2816" s="10">
        <v>2010</v>
      </c>
      <c r="G2816" s="10" t="s">
        <v>14</v>
      </c>
      <c r="H2816" s="11" t="s">
        <v>20</v>
      </c>
      <c r="I2816" s="10" t="s">
        <v>101</v>
      </c>
      <c r="J2816" s="131"/>
      <c r="K2816" s="149" t="s">
        <v>5625</v>
      </c>
    </row>
    <row r="2817" spans="1:11" ht="28.9" customHeight="1" thickTop="1" thickBot="1" x14ac:dyDescent="0.75">
      <c r="A2817" s="10">
        <v>2815</v>
      </c>
      <c r="B2817" s="57" t="str">
        <f>HYPERLINK("https://search.naver.com/search.naver?query=컨스피러시 영화", "컨스피러시")</f>
        <v>컨스피러시</v>
      </c>
      <c r="C2817" s="8">
        <v>8.57</v>
      </c>
      <c r="D2817" s="9" t="s">
        <v>5626</v>
      </c>
      <c r="E2817" s="6" t="s">
        <v>24</v>
      </c>
      <c r="F2817" s="6">
        <v>1997</v>
      </c>
      <c r="G2817" s="6" t="s">
        <v>14</v>
      </c>
      <c r="H2817" s="7" t="s">
        <v>124</v>
      </c>
      <c r="I2817" s="6" t="s">
        <v>51</v>
      </c>
      <c r="J2817" s="130"/>
      <c r="K2817" s="148" t="s">
        <v>5627</v>
      </c>
    </row>
    <row r="2818" spans="1:11" ht="28.9" customHeight="1" thickTop="1" thickBot="1" x14ac:dyDescent="0.75">
      <c r="A2818" s="6">
        <v>2816</v>
      </c>
      <c r="B2818" s="58" t="str">
        <f>HYPERLINK("https://search.naver.com/search.naver?query=컨저링 영화", "컨저링")</f>
        <v>컨저링</v>
      </c>
      <c r="C2818" s="12">
        <v>7.5</v>
      </c>
      <c r="D2818" s="13" t="s">
        <v>5628</v>
      </c>
      <c r="E2818" s="10" t="s">
        <v>24</v>
      </c>
      <c r="F2818" s="10">
        <v>2013</v>
      </c>
      <c r="G2818" s="10" t="s">
        <v>14</v>
      </c>
      <c r="H2818" s="11" t="s">
        <v>382</v>
      </c>
      <c r="I2818" s="10" t="s">
        <v>429</v>
      </c>
      <c r="J2818" s="131"/>
      <c r="K2818" s="149" t="s">
        <v>5629</v>
      </c>
    </row>
    <row r="2819" spans="1:11" ht="28.9" customHeight="1" thickTop="1" thickBot="1" x14ac:dyDescent="0.75">
      <c r="A2819" s="10">
        <v>2817</v>
      </c>
      <c r="B2819" s="57" t="str">
        <f>HYPERLINK("https://search.naver.com/search.naver?query=컨저링2 영화", "컨저링2")</f>
        <v>컨저링2</v>
      </c>
      <c r="C2819" s="8">
        <v>8.34</v>
      </c>
      <c r="D2819" s="9" t="s">
        <v>5630</v>
      </c>
      <c r="E2819" s="6" t="s">
        <v>24</v>
      </c>
      <c r="F2819" s="6">
        <v>2016</v>
      </c>
      <c r="G2819" s="6" t="s">
        <v>14</v>
      </c>
      <c r="H2819" s="7" t="s">
        <v>382</v>
      </c>
      <c r="I2819" s="6" t="s">
        <v>917</v>
      </c>
      <c r="J2819" s="130"/>
      <c r="K2819" s="148" t="s">
        <v>5631</v>
      </c>
    </row>
    <row r="2820" spans="1:11" ht="28.9" customHeight="1" thickTop="1" thickBot="1" x14ac:dyDescent="0.75">
      <c r="A2820" s="10">
        <v>2818</v>
      </c>
      <c r="B2820" s="58" t="str">
        <f>HYPERLINK("https://search.naver.com/search.naver?query=컨저링3 악마가 시켰다 영화", "컨저링3-악마가 시켰다")</f>
        <v>컨저링3-악마가 시켰다</v>
      </c>
      <c r="C2820" s="12">
        <v>8.09</v>
      </c>
      <c r="D2820" s="13" t="s">
        <v>5632</v>
      </c>
      <c r="E2820" s="10" t="s">
        <v>24</v>
      </c>
      <c r="F2820" s="10">
        <v>2021</v>
      </c>
      <c r="G2820" s="10" t="s">
        <v>14</v>
      </c>
      <c r="H2820" s="11" t="s">
        <v>382</v>
      </c>
      <c r="I2820" s="10" t="s">
        <v>429</v>
      </c>
      <c r="J2820" s="131"/>
      <c r="K2820" s="149" t="s">
        <v>5633</v>
      </c>
    </row>
    <row r="2821" spans="1:11" ht="28.9" customHeight="1" thickTop="1" thickBot="1" x14ac:dyDescent="0.75">
      <c r="A2821" s="6">
        <v>2819</v>
      </c>
      <c r="B2821" s="57" t="str">
        <f>HYPERLINK("https://search.naver.com/search.naver?query=컨커션 영화", "컨커션")</f>
        <v>컨커션</v>
      </c>
      <c r="C2821" s="8">
        <v>7.82</v>
      </c>
      <c r="D2821" s="9" t="s">
        <v>5634</v>
      </c>
      <c r="E2821" s="6" t="s">
        <v>24</v>
      </c>
      <c r="F2821" s="6">
        <v>2015</v>
      </c>
      <c r="G2821" s="6" t="s">
        <v>14</v>
      </c>
      <c r="H2821" s="7" t="s">
        <v>20</v>
      </c>
      <c r="I2821" s="6" t="s">
        <v>76</v>
      </c>
      <c r="J2821" s="130"/>
      <c r="K2821" s="148" t="s">
        <v>4026</v>
      </c>
    </row>
    <row r="2822" spans="1:11" ht="28.9" customHeight="1" thickTop="1" thickBot="1" x14ac:dyDescent="0.75">
      <c r="A2822" s="10">
        <v>2820</v>
      </c>
      <c r="B2822" s="57" t="str">
        <f>HYPERLINK("https://search.naver.com/search.naver?query=컨택트 영화", "컨택트")</f>
        <v>컨택트</v>
      </c>
      <c r="C2822" s="8">
        <v>8.57</v>
      </c>
      <c r="D2822" s="9" t="s">
        <v>5635</v>
      </c>
      <c r="E2822" s="6" t="s">
        <v>24</v>
      </c>
      <c r="F2822" s="6">
        <v>2016</v>
      </c>
      <c r="G2822" s="6" t="s">
        <v>14</v>
      </c>
      <c r="H2822" s="7" t="s">
        <v>877</v>
      </c>
      <c r="I2822" s="6" t="s">
        <v>591</v>
      </c>
      <c r="J2822" s="130"/>
      <c r="K2822" s="148" t="s">
        <v>5636</v>
      </c>
    </row>
    <row r="2823" spans="1:11" ht="28.9" customHeight="1" thickTop="1" thickBot="1" x14ac:dyDescent="0.75">
      <c r="A2823" s="10">
        <v>2821</v>
      </c>
      <c r="B2823" s="58" t="str">
        <f>HYPERLINK("https://search.naver.com/search.naver?query=컨테이젼 영화", "컨테이젼")</f>
        <v>컨테이젼</v>
      </c>
      <c r="C2823" s="12">
        <v>2.8</v>
      </c>
      <c r="D2823" s="13" t="s">
        <v>5637</v>
      </c>
      <c r="E2823" s="10" t="s">
        <v>24</v>
      </c>
      <c r="F2823" s="10">
        <v>2011</v>
      </c>
      <c r="G2823" s="10" t="s">
        <v>14</v>
      </c>
      <c r="H2823" s="11" t="s">
        <v>54</v>
      </c>
      <c r="I2823" s="10" t="s">
        <v>443</v>
      </c>
      <c r="J2823" s="131"/>
      <c r="K2823" s="149" t="s">
        <v>5638</v>
      </c>
    </row>
    <row r="2824" spans="1:11" ht="28.9" customHeight="1" thickTop="1" thickBot="1" x14ac:dyDescent="0.75">
      <c r="A2824" s="6">
        <v>2822</v>
      </c>
      <c r="B2824" s="57" t="str">
        <f>HYPERLINK("https://search.naver.com/search.naver?query=컨텐더 영화", "컨텐더")</f>
        <v>컨텐더</v>
      </c>
      <c r="C2824" s="8">
        <v>7.48</v>
      </c>
      <c r="D2824" s="9" t="s">
        <v>5639</v>
      </c>
      <c r="E2824" s="6" t="s">
        <v>24</v>
      </c>
      <c r="F2824" s="6">
        <v>2000</v>
      </c>
      <c r="G2824" s="6" t="s">
        <v>14</v>
      </c>
      <c r="H2824" s="7" t="s">
        <v>20</v>
      </c>
      <c r="I2824" s="6" t="s">
        <v>105</v>
      </c>
      <c r="J2824" s="130"/>
      <c r="K2824" s="148" t="s">
        <v>5640</v>
      </c>
    </row>
    <row r="2825" spans="1:11" ht="28.9" customHeight="1" thickTop="1" thickBot="1" x14ac:dyDescent="0.75">
      <c r="A2825" s="10">
        <v>2823</v>
      </c>
      <c r="B2825" s="58" t="str">
        <f>HYPERLINK("https://search.naver.com/search.naver?query=컨피던스 맨 JP 영화", "컨피던스 맨 JP")</f>
        <v>컨피던스 맨 JP</v>
      </c>
      <c r="C2825" s="12">
        <v>6.4</v>
      </c>
      <c r="D2825" s="13" t="s">
        <v>5641</v>
      </c>
      <c r="E2825" s="10" t="s">
        <v>19</v>
      </c>
      <c r="F2825" s="10">
        <v>2019</v>
      </c>
      <c r="G2825" s="10" t="s">
        <v>14</v>
      </c>
      <c r="H2825" s="11" t="s">
        <v>91</v>
      </c>
      <c r="I2825" s="10" t="s">
        <v>591</v>
      </c>
      <c r="J2825" s="131"/>
      <c r="K2825" s="149" t="s">
        <v>5642</v>
      </c>
    </row>
    <row r="2826" spans="1:11" ht="28.9" customHeight="1" thickTop="1" thickBot="1" x14ac:dyDescent="0.75">
      <c r="A2826" s="10">
        <v>2824</v>
      </c>
      <c r="B2826" s="57" t="str">
        <f>HYPERLINK("https://search.naver.com/search.naver?query=컬러 아웃 오브 스페이스 영화", "컬러 아웃 오브 스페이스")</f>
        <v>컬러 아웃 오브 스페이스</v>
      </c>
      <c r="C2826" s="8">
        <v>5.75</v>
      </c>
      <c r="D2826" s="9" t="s">
        <v>5643</v>
      </c>
      <c r="E2826" s="6" t="s">
        <v>24</v>
      </c>
      <c r="F2826" s="6">
        <v>2019</v>
      </c>
      <c r="G2826" s="6" t="s">
        <v>14</v>
      </c>
      <c r="H2826" s="7" t="s">
        <v>382</v>
      </c>
      <c r="I2826" s="6" t="s">
        <v>137</v>
      </c>
      <c r="J2826" s="130"/>
      <c r="K2826" s="148" t="s">
        <v>5644</v>
      </c>
    </row>
    <row r="2827" spans="1:11" ht="28.9" customHeight="1" thickTop="1" thickBot="1" x14ac:dyDescent="0.75">
      <c r="A2827" s="6">
        <v>2825</v>
      </c>
      <c r="B2827" s="58" t="str">
        <f>HYPERLINK("https://search.naver.com/search.naver?query=컬러 오브 나이트 영화", "컬러 오브 나이트")</f>
        <v>컬러 오브 나이트</v>
      </c>
      <c r="C2827" s="12">
        <v>7.82</v>
      </c>
      <c r="D2827" s="13" t="s">
        <v>5645</v>
      </c>
      <c r="E2827" s="10" t="s">
        <v>24</v>
      </c>
      <c r="F2827" s="10">
        <v>1994</v>
      </c>
      <c r="G2827" s="10" t="s">
        <v>14</v>
      </c>
      <c r="H2827" s="11" t="s">
        <v>54</v>
      </c>
      <c r="I2827" s="10" t="s">
        <v>195</v>
      </c>
      <c r="J2827" s="131"/>
      <c r="K2827" s="149" t="s">
        <v>5646</v>
      </c>
    </row>
    <row r="2828" spans="1:11" ht="28.9" customHeight="1" thickTop="1" thickBot="1" x14ac:dyDescent="0.75">
      <c r="A2828" s="10">
        <v>2826</v>
      </c>
      <c r="B2828" s="57" t="str">
        <f>HYPERLINK("https://search.naver.com/search.naver?query=컴퍼니 유 킵 영화", "컴퍼니 유 킵")</f>
        <v>컴퍼니 유 킵</v>
      </c>
      <c r="C2828" s="8">
        <v>6.95</v>
      </c>
      <c r="D2828" s="9" t="s">
        <v>5647</v>
      </c>
      <c r="E2828" s="6" t="s">
        <v>24</v>
      </c>
      <c r="F2828" s="6">
        <v>2012</v>
      </c>
      <c r="G2828" s="6" t="s">
        <v>14</v>
      </c>
      <c r="H2828" s="7" t="s">
        <v>54</v>
      </c>
      <c r="I2828" s="6" t="s">
        <v>195</v>
      </c>
      <c r="J2828" s="130"/>
      <c r="K2828" s="148" t="s">
        <v>5648</v>
      </c>
    </row>
    <row r="2829" spans="1:11" ht="28.9" customHeight="1" thickTop="1" thickBot="1" x14ac:dyDescent="0.75">
      <c r="A2829" s="10">
        <v>2827</v>
      </c>
      <c r="B2829" s="58" t="str">
        <f>HYPERLINK("https://search.naver.com/search.naver?query=컴플라이언스 영화", "컴플라이언스")</f>
        <v>컴플라이언스</v>
      </c>
      <c r="C2829" s="12">
        <v>6.78</v>
      </c>
      <c r="D2829" s="13" t="s">
        <v>5649</v>
      </c>
      <c r="E2829" s="10" t="s">
        <v>24</v>
      </c>
      <c r="F2829" s="10">
        <v>2012</v>
      </c>
      <c r="G2829" s="10" t="s">
        <v>14</v>
      </c>
      <c r="H2829" s="11" t="s">
        <v>20</v>
      </c>
      <c r="I2829" s="10" t="s">
        <v>156</v>
      </c>
      <c r="J2829" s="131"/>
      <c r="K2829" s="149" t="s">
        <v>5650</v>
      </c>
    </row>
    <row r="2830" spans="1:11" ht="28.9" customHeight="1" thickTop="1" thickBot="1" x14ac:dyDescent="0.75">
      <c r="A2830" s="6">
        <v>2828</v>
      </c>
      <c r="B2830" s="57" t="str">
        <f>HYPERLINK("https://search.naver.com/search.naver?query=케이 팩스 영화", "케이 팩스")</f>
        <v>케이 팩스</v>
      </c>
      <c r="C2830" s="8">
        <v>9.0399999999999991</v>
      </c>
      <c r="D2830" s="9" t="s">
        <v>5651</v>
      </c>
      <c r="E2830" s="6" t="s">
        <v>24</v>
      </c>
      <c r="F2830" s="6">
        <v>2001</v>
      </c>
      <c r="G2830" s="6" t="s">
        <v>14</v>
      </c>
      <c r="H2830" s="7" t="s">
        <v>877</v>
      </c>
      <c r="I2830" s="6" t="s">
        <v>116</v>
      </c>
      <c r="J2830" s="130"/>
      <c r="K2830" s="148" t="s">
        <v>5652</v>
      </c>
    </row>
    <row r="2831" spans="1:11" ht="28.9" customHeight="1" thickTop="1" thickBot="1" x14ac:dyDescent="0.75">
      <c r="A2831" s="10">
        <v>2829</v>
      </c>
      <c r="B2831" s="58" t="str">
        <f>HYPERLINK("https://search.naver.com/search.naver?query=케이트 맥콜 영화", "케이트 맥콜")</f>
        <v>케이트 맥콜</v>
      </c>
      <c r="C2831" s="12">
        <v>6.83</v>
      </c>
      <c r="D2831" s="13" t="s">
        <v>5653</v>
      </c>
      <c r="E2831" s="10" t="s">
        <v>24</v>
      </c>
      <c r="F2831" s="10">
        <v>2013</v>
      </c>
      <c r="G2831" s="10" t="s">
        <v>14</v>
      </c>
      <c r="H2831" s="11" t="s">
        <v>20</v>
      </c>
      <c r="I2831" s="10" t="s">
        <v>150</v>
      </c>
      <c r="J2831" s="131"/>
      <c r="K2831" s="149" t="s">
        <v>5654</v>
      </c>
    </row>
    <row r="2832" spans="1:11" ht="28.9" customHeight="1" thickTop="1" thickBot="1" x14ac:dyDescent="0.75">
      <c r="A2832" s="10">
        <v>2830</v>
      </c>
      <c r="B2832" s="57" t="str">
        <f>HYPERLINK("https://search.naver.com/search.naver?query=코끼리의 등 영화", "코끼리의 등")</f>
        <v>코끼리의 등</v>
      </c>
      <c r="C2832" s="8">
        <v>6.4</v>
      </c>
      <c r="D2832" s="9" t="s">
        <v>5655</v>
      </c>
      <c r="E2832" s="6" t="s">
        <v>19</v>
      </c>
      <c r="F2832" s="6">
        <v>2007</v>
      </c>
      <c r="G2832" s="6" t="s">
        <v>14</v>
      </c>
      <c r="H2832" s="7" t="s">
        <v>20</v>
      </c>
      <c r="I2832" s="6" t="s">
        <v>150</v>
      </c>
      <c r="J2832" s="130"/>
      <c r="K2832" s="148" t="s">
        <v>5656</v>
      </c>
    </row>
    <row r="2833" spans="1:11" ht="28.9" customHeight="1" thickTop="1" thickBot="1" x14ac:dyDescent="0.75">
      <c r="A2833" s="6">
        <v>2831</v>
      </c>
      <c r="B2833" s="58" t="str">
        <f>HYPERLINK("https://search.naver.com/search.naver?query=코다 영화", "코다")</f>
        <v>코다</v>
      </c>
      <c r="C2833" s="12">
        <v>8.77</v>
      </c>
      <c r="D2833" s="13" t="s">
        <v>5657</v>
      </c>
      <c r="E2833" s="10" t="s">
        <v>24</v>
      </c>
      <c r="F2833" s="10">
        <v>2021</v>
      </c>
      <c r="G2833" s="10" t="s">
        <v>14</v>
      </c>
      <c r="H2833" s="11" t="s">
        <v>20</v>
      </c>
      <c r="I2833" s="10" t="s">
        <v>137</v>
      </c>
      <c r="J2833" s="131"/>
      <c r="K2833" s="149" t="s">
        <v>5658</v>
      </c>
    </row>
    <row r="2834" spans="1:11" ht="28.9" customHeight="1" thickTop="1" thickBot="1" x14ac:dyDescent="0.75">
      <c r="A2834" s="10">
        <v>2832</v>
      </c>
      <c r="B2834" s="57" t="str">
        <f>HYPERLINK("https://search.naver.com/search.naver?query=코드 영화", "코드")</f>
        <v>코드</v>
      </c>
      <c r="C2834" s="8">
        <v>3.6</v>
      </c>
      <c r="D2834" s="9" t="s">
        <v>5659</v>
      </c>
      <c r="E2834" s="6" t="s">
        <v>24</v>
      </c>
      <c r="F2834" s="6">
        <v>2009</v>
      </c>
      <c r="G2834" s="6" t="s">
        <v>14</v>
      </c>
      <c r="H2834" s="7" t="s">
        <v>124</v>
      </c>
      <c r="I2834" s="6" t="s">
        <v>150</v>
      </c>
      <c r="J2834" s="130"/>
      <c r="K2834" s="148" t="s">
        <v>5660</v>
      </c>
    </row>
    <row r="2835" spans="1:11" ht="28.9" customHeight="1" thickTop="1" thickBot="1" x14ac:dyDescent="0.75">
      <c r="A2835" s="10">
        <v>2833</v>
      </c>
      <c r="B2835" s="58" t="str">
        <f>HYPERLINK("https://search.naver.com/search.naver?query=코드네임 제로니모 영화", "코드네임 제로니모")</f>
        <v>코드네임 제로니모</v>
      </c>
      <c r="C2835" s="12">
        <v>6.26</v>
      </c>
      <c r="D2835" s="13" t="s">
        <v>5661</v>
      </c>
      <c r="E2835" s="10" t="s">
        <v>24</v>
      </c>
      <c r="F2835" s="10">
        <v>2012</v>
      </c>
      <c r="G2835" s="10" t="s">
        <v>14</v>
      </c>
      <c r="H2835" s="11" t="s">
        <v>124</v>
      </c>
      <c r="I2835" s="10" t="s">
        <v>133</v>
      </c>
      <c r="J2835" s="131"/>
      <c r="K2835" s="149" t="s">
        <v>5662</v>
      </c>
    </row>
    <row r="2836" spans="1:11" ht="28.9" customHeight="1" thickTop="1" thickBot="1" x14ac:dyDescent="0.75">
      <c r="A2836" s="6">
        <v>2834</v>
      </c>
      <c r="B2836" s="57" t="str">
        <f>HYPERLINK("https://search.naver.com/search.naver?query=코드명 엔젤 영화", "코드명 엔젤")</f>
        <v>코드명 엔젤</v>
      </c>
      <c r="C2836" s="8"/>
      <c r="D2836" s="9" t="s">
        <v>5663</v>
      </c>
      <c r="E2836" s="6" t="s">
        <v>24</v>
      </c>
      <c r="F2836" s="6">
        <v>2018</v>
      </c>
      <c r="G2836" s="6" t="s">
        <v>14</v>
      </c>
      <c r="H2836" s="7" t="s">
        <v>124</v>
      </c>
      <c r="I2836" s="6" t="s">
        <v>150</v>
      </c>
      <c r="J2836" s="130"/>
      <c r="K2836" s="148" t="s">
        <v>5664</v>
      </c>
    </row>
    <row r="2837" spans="1:11" ht="28.9" customHeight="1" thickTop="1" thickBot="1" x14ac:dyDescent="0.75">
      <c r="A2837" s="10">
        <v>2835</v>
      </c>
      <c r="B2837" s="58" t="str">
        <f>HYPERLINK("https://search.naver.com/search.naver?query=코러스 영화", "코러스")</f>
        <v>코러스</v>
      </c>
      <c r="C2837" s="12">
        <v>9.31</v>
      </c>
      <c r="D2837" s="13" t="s">
        <v>5665</v>
      </c>
      <c r="E2837" s="10" t="s">
        <v>310</v>
      </c>
      <c r="F2837" s="10">
        <v>2004</v>
      </c>
      <c r="G2837" s="10" t="s">
        <v>14</v>
      </c>
      <c r="H2837" s="11" t="s">
        <v>20</v>
      </c>
      <c r="I2837" s="10" t="s">
        <v>80</v>
      </c>
      <c r="J2837" s="131"/>
      <c r="K2837" s="149" t="s">
        <v>5666</v>
      </c>
    </row>
    <row r="2838" spans="1:11" ht="28.9" customHeight="1" thickTop="1" thickBot="1" x14ac:dyDescent="0.75">
      <c r="A2838" s="10">
        <v>2836</v>
      </c>
      <c r="B2838" s="57" t="str">
        <f>HYPERLINK("https://search.naver.com/search.naver?query=코렐리의 만돌린 영화", "코렐리의 만돌린")</f>
        <v>코렐리의 만돌린</v>
      </c>
      <c r="C2838" s="8">
        <v>7.2</v>
      </c>
      <c r="D2838" s="9" t="s">
        <v>5667</v>
      </c>
      <c r="E2838" s="6" t="s">
        <v>29</v>
      </c>
      <c r="F2838" s="6">
        <v>2001</v>
      </c>
      <c r="G2838" s="6" t="s">
        <v>14</v>
      </c>
      <c r="H2838" s="7" t="s">
        <v>20</v>
      </c>
      <c r="I2838" s="6" t="s">
        <v>432</v>
      </c>
      <c r="J2838" s="130"/>
      <c r="K2838" s="148" t="s">
        <v>5668</v>
      </c>
    </row>
    <row r="2839" spans="1:11" ht="28.9" customHeight="1" thickTop="1" thickBot="1" x14ac:dyDescent="0.75">
      <c r="A2839" s="6">
        <v>2837</v>
      </c>
      <c r="B2839" s="58" t="str">
        <f>HYPERLINK("https://search.naver.com/search.naver?query=코리아 영화", "코리아")</f>
        <v>코리아</v>
      </c>
      <c r="C2839" s="12">
        <v>8.56</v>
      </c>
      <c r="D2839" s="13" t="s">
        <v>5669</v>
      </c>
      <c r="E2839" s="10" t="s">
        <v>13</v>
      </c>
      <c r="F2839" s="10">
        <v>2012</v>
      </c>
      <c r="G2839" s="10" t="s">
        <v>14</v>
      </c>
      <c r="H2839" s="11" t="s">
        <v>20</v>
      </c>
      <c r="I2839" s="10" t="s">
        <v>116</v>
      </c>
      <c r="J2839" s="131"/>
      <c r="K2839" s="149" t="s">
        <v>5670</v>
      </c>
    </row>
    <row r="2840" spans="1:11" ht="28.9" customHeight="1" thickTop="1" thickBot="1" x14ac:dyDescent="0.75">
      <c r="A2840" s="10">
        <v>2838</v>
      </c>
      <c r="B2840" s="57" t="str">
        <f>HYPERLINK("https://search.naver.com/search.naver?query=코블러 영화", "코블러")</f>
        <v>코블러</v>
      </c>
      <c r="C2840" s="8">
        <v>7.84</v>
      </c>
      <c r="D2840" s="9" t="s">
        <v>5671</v>
      </c>
      <c r="E2840" s="6" t="s">
        <v>24</v>
      </c>
      <c r="F2840" s="6">
        <v>2014</v>
      </c>
      <c r="G2840" s="6" t="s">
        <v>14</v>
      </c>
      <c r="H2840" s="7" t="s">
        <v>91</v>
      </c>
      <c r="I2840" s="6" t="s">
        <v>109</v>
      </c>
      <c r="J2840" s="130"/>
      <c r="K2840" s="148" t="s">
        <v>905</v>
      </c>
    </row>
    <row r="2841" spans="1:11" ht="28.9" customHeight="1" thickTop="1" thickBot="1" x14ac:dyDescent="0.75">
      <c r="A2841" s="10">
        <v>2839</v>
      </c>
      <c r="B2841" s="58" t="str">
        <f>HYPERLINK("https://search.naver.com/search.naver?query=코뿔소의 계절 영화", "코뿔소의 계절")</f>
        <v>코뿔소의 계절</v>
      </c>
      <c r="C2841" s="12">
        <v>7.56</v>
      </c>
      <c r="D2841" s="13" t="s">
        <v>5672</v>
      </c>
      <c r="E2841" s="10" t="s">
        <v>2542</v>
      </c>
      <c r="F2841" s="10">
        <v>2012</v>
      </c>
      <c r="G2841" s="10" t="s">
        <v>14</v>
      </c>
      <c r="H2841" s="11" t="s">
        <v>20</v>
      </c>
      <c r="I2841" s="10" t="s">
        <v>16</v>
      </c>
      <c r="J2841" s="131"/>
      <c r="K2841" s="149" t="s">
        <v>5673</v>
      </c>
    </row>
    <row r="2842" spans="1:11" ht="28.9" customHeight="1" thickTop="1" thickBot="1" x14ac:dyDescent="0.75">
      <c r="A2842" s="6">
        <v>2840</v>
      </c>
      <c r="B2842" s="57" t="str">
        <f>HYPERLINK("https://search.naver.com/search.naver?query=코어 영화", "코어")</f>
        <v>코어</v>
      </c>
      <c r="C2842" s="8">
        <v>8.15</v>
      </c>
      <c r="D2842" s="9" t="s">
        <v>5674</v>
      </c>
      <c r="E2842" s="6" t="s">
        <v>24</v>
      </c>
      <c r="F2842" s="6">
        <v>2003</v>
      </c>
      <c r="G2842" s="6" t="s">
        <v>14</v>
      </c>
      <c r="H2842" s="7" t="s">
        <v>124</v>
      </c>
      <c r="I2842" s="6" t="s">
        <v>51</v>
      </c>
      <c r="J2842" s="130"/>
      <c r="K2842" s="148" t="s">
        <v>5675</v>
      </c>
    </row>
    <row r="2843" spans="1:11" ht="28.9" customHeight="1" thickTop="1" thickBot="1" x14ac:dyDescent="0.75">
      <c r="A2843" s="10">
        <v>2841</v>
      </c>
      <c r="B2843" s="58" t="str">
        <f>HYPERLINK("https://search.naver.com/search.naver?query=코치 카터 영화", "코치 카터")</f>
        <v>코치 카터</v>
      </c>
      <c r="C2843" s="12">
        <v>9.18</v>
      </c>
      <c r="D2843" s="13" t="s">
        <v>5676</v>
      </c>
      <c r="E2843" s="10" t="s">
        <v>24</v>
      </c>
      <c r="F2843" s="10">
        <v>2005</v>
      </c>
      <c r="G2843" s="10" t="s">
        <v>14</v>
      </c>
      <c r="H2843" s="11" t="s">
        <v>20</v>
      </c>
      <c r="I2843" s="10" t="s">
        <v>578</v>
      </c>
      <c r="J2843" s="131"/>
      <c r="K2843" s="149" t="s">
        <v>5677</v>
      </c>
    </row>
    <row r="2844" spans="1:11" ht="28.9" customHeight="1" thickTop="1" thickBot="1" x14ac:dyDescent="0.75">
      <c r="A2844" s="10">
        <v>2842</v>
      </c>
      <c r="B2844" s="57" t="str">
        <f>HYPERLINK("https://search.naver.com/search.naver?query=코카인 베어 영화", "코카인 베어")</f>
        <v>코카인 베어</v>
      </c>
      <c r="C2844" s="8">
        <v>6.17</v>
      </c>
      <c r="D2844" s="9" t="s">
        <v>5678</v>
      </c>
      <c r="E2844" s="6" t="s">
        <v>24</v>
      </c>
      <c r="F2844" s="6">
        <v>2023</v>
      </c>
      <c r="G2844" s="6" t="s">
        <v>14</v>
      </c>
      <c r="H2844" s="7" t="s">
        <v>91</v>
      </c>
      <c r="I2844" s="6" t="s">
        <v>150</v>
      </c>
      <c r="J2844" s="130"/>
      <c r="K2844" s="148" t="s">
        <v>5679</v>
      </c>
    </row>
    <row r="2845" spans="1:11" ht="28.9" customHeight="1" thickTop="1" thickBot="1" x14ac:dyDescent="0.75">
      <c r="A2845" s="6">
        <v>2843</v>
      </c>
      <c r="B2845" s="58" t="str">
        <f>HYPERLINK("https://search.naver.com/search.naver?query=콘스탄트 가드너 영화", "콘스탄트 가드너")</f>
        <v>콘스탄트 가드너</v>
      </c>
      <c r="C2845" s="12">
        <v>8.59</v>
      </c>
      <c r="D2845" s="13" t="s">
        <v>5680</v>
      </c>
      <c r="E2845" s="10" t="s">
        <v>29</v>
      </c>
      <c r="F2845" s="10">
        <v>2005</v>
      </c>
      <c r="G2845" s="10" t="s">
        <v>14</v>
      </c>
      <c r="H2845" s="11" t="s">
        <v>20</v>
      </c>
      <c r="I2845" s="10" t="s">
        <v>85</v>
      </c>
      <c r="J2845" s="131"/>
      <c r="K2845" s="149" t="s">
        <v>5681</v>
      </c>
    </row>
    <row r="2846" spans="1:11" ht="28.9" customHeight="1" thickTop="1" thickBot="1" x14ac:dyDescent="0.75">
      <c r="A2846" s="10">
        <v>2844</v>
      </c>
      <c r="B2846" s="57" t="str">
        <f>HYPERLINK("https://search.naver.com/search.naver?query=콘크리트 유토피아 영화", "콘크리트 유토피아")</f>
        <v>콘크리트 유토피아</v>
      </c>
      <c r="C2846" s="8">
        <v>8.16</v>
      </c>
      <c r="D2846" s="9" t="s">
        <v>5682</v>
      </c>
      <c r="E2846" s="6" t="s">
        <v>13</v>
      </c>
      <c r="F2846" s="6">
        <v>2023</v>
      </c>
      <c r="G2846" s="6" t="s">
        <v>14</v>
      </c>
      <c r="H2846" s="7" t="s">
        <v>20</v>
      </c>
      <c r="I2846" s="6" t="s">
        <v>42</v>
      </c>
      <c r="J2846" s="130"/>
      <c r="K2846" s="148" t="s">
        <v>5683</v>
      </c>
    </row>
    <row r="2847" spans="1:11" ht="28.9" customHeight="1" thickTop="1" thickBot="1" x14ac:dyDescent="0.75">
      <c r="A2847" s="10">
        <v>2845</v>
      </c>
      <c r="B2847" s="58" t="str">
        <f>HYPERLINK("https://search.naver.com/search.naver?query=콘택트1997", "콘택트")</f>
        <v>콘택트</v>
      </c>
      <c r="C2847" s="12">
        <v>9.23</v>
      </c>
      <c r="D2847" s="13" t="s">
        <v>5684</v>
      </c>
      <c r="E2847" s="10" t="s">
        <v>24</v>
      </c>
      <c r="F2847" s="10">
        <v>1997</v>
      </c>
      <c r="G2847" s="10" t="s">
        <v>14</v>
      </c>
      <c r="H2847" s="11" t="s">
        <v>877</v>
      </c>
      <c r="I2847" s="10" t="s">
        <v>882</v>
      </c>
      <c r="J2847" s="131"/>
      <c r="K2847" s="149" t="s">
        <v>5685</v>
      </c>
    </row>
    <row r="2848" spans="1:11" ht="28.9" customHeight="1" thickTop="1" thickBot="1" x14ac:dyDescent="0.75">
      <c r="A2848" s="6">
        <v>2846</v>
      </c>
      <c r="B2848" s="58" t="str">
        <f>HYPERLINK("https://search.naver.com/search.naver?query=콘트라밴드 영화", "콘트라밴드")</f>
        <v>콘트라밴드</v>
      </c>
      <c r="C2848" s="12">
        <v>7.3</v>
      </c>
      <c r="D2848" s="13" t="s">
        <v>5686</v>
      </c>
      <c r="E2848" s="10" t="s">
        <v>24</v>
      </c>
      <c r="F2848" s="10">
        <v>2012</v>
      </c>
      <c r="G2848" s="10" t="s">
        <v>14</v>
      </c>
      <c r="H2848" s="11" t="s">
        <v>124</v>
      </c>
      <c r="I2848" s="10" t="s">
        <v>187</v>
      </c>
      <c r="J2848" s="131"/>
      <c r="K2848" s="149" t="s">
        <v>1563</v>
      </c>
    </row>
    <row r="2849" spans="1:11" ht="27.6" customHeight="1" thickTop="1" thickBot="1" x14ac:dyDescent="0.75">
      <c r="A2849" s="96">
        <v>2847</v>
      </c>
      <c r="B2849" s="97" t="str">
        <f>HYPERLINK("https://search.naver.com/search.naver?query=아마존의 눈물 다큐", "아마존의 눈물")</f>
        <v>아마존의 눈물</v>
      </c>
      <c r="C2849" s="98">
        <v>8.48</v>
      </c>
      <c r="D2849" s="99" t="s">
        <v>5687</v>
      </c>
      <c r="E2849" s="96" t="s">
        <v>5688</v>
      </c>
      <c r="F2849" s="96">
        <v>2010</v>
      </c>
      <c r="G2849" s="96" t="s">
        <v>5062</v>
      </c>
      <c r="H2849" s="100" t="s">
        <v>5062</v>
      </c>
      <c r="I2849" s="96" t="s">
        <v>345</v>
      </c>
      <c r="J2849" s="136"/>
      <c r="K2849" s="156" t="s">
        <v>5689</v>
      </c>
    </row>
    <row r="2850" spans="1:11" ht="28.9" customHeight="1" thickTop="1" thickBot="1" x14ac:dyDescent="0.75">
      <c r="A2850" s="10">
        <v>2848</v>
      </c>
      <c r="B2850" s="58" t="str">
        <f>HYPERLINK("https://search.naver.com/search.naver?query=콘티키 위대한 항해 영화", "콘티키-위대한 항해")</f>
        <v>콘티키-위대한 항해</v>
      </c>
      <c r="C2850" s="12">
        <v>7.8</v>
      </c>
      <c r="D2850" s="13" t="s">
        <v>5690</v>
      </c>
      <c r="E2850" s="10" t="s">
        <v>49</v>
      </c>
      <c r="F2850" s="10">
        <v>2012</v>
      </c>
      <c r="G2850" s="10" t="s">
        <v>14</v>
      </c>
      <c r="H2850" s="11" t="s">
        <v>1452</v>
      </c>
      <c r="I2850" s="10" t="s">
        <v>329</v>
      </c>
      <c r="J2850" s="131"/>
      <c r="K2850" s="149" t="s">
        <v>5691</v>
      </c>
    </row>
    <row r="2851" spans="1:11" ht="28.9" customHeight="1" thickTop="1" thickBot="1" x14ac:dyDescent="0.75">
      <c r="A2851" s="6">
        <v>2849</v>
      </c>
      <c r="B2851" s="57" t="str">
        <f>HYPERLINK("https://search.naver.com/search.naver?query=콜 영화", "콜")</f>
        <v>콜</v>
      </c>
      <c r="C2851" s="8">
        <v>7.5</v>
      </c>
      <c r="D2851" s="9" t="s">
        <v>5692</v>
      </c>
      <c r="E2851" s="6" t="s">
        <v>24</v>
      </c>
      <c r="F2851" s="6">
        <v>2020</v>
      </c>
      <c r="G2851" s="6" t="s">
        <v>14</v>
      </c>
      <c r="H2851" s="7" t="s">
        <v>54</v>
      </c>
      <c r="I2851" s="6" t="s">
        <v>468</v>
      </c>
      <c r="J2851" s="130"/>
      <c r="K2851" s="148" t="s">
        <v>5693</v>
      </c>
    </row>
    <row r="2852" spans="1:11" ht="28.9" customHeight="1" thickTop="1" thickBot="1" x14ac:dyDescent="0.75">
      <c r="A2852" s="10">
        <v>2850</v>
      </c>
      <c r="B2852" s="58" t="str">
        <f>HYPERLINK("https://search.naver.com/search.naver?query=콜드 마운틴 영화", "콜드 마운틴")</f>
        <v>콜드 마운틴</v>
      </c>
      <c r="C2852" s="12">
        <v>9.0399999999999991</v>
      </c>
      <c r="D2852" s="13" t="s">
        <v>5694</v>
      </c>
      <c r="E2852" s="10" t="s">
        <v>24</v>
      </c>
      <c r="F2852" s="10">
        <v>2003</v>
      </c>
      <c r="G2852" s="10" t="s">
        <v>14</v>
      </c>
      <c r="H2852" s="11" t="s">
        <v>20</v>
      </c>
      <c r="I2852" s="10" t="s">
        <v>707</v>
      </c>
      <c r="J2852" s="131"/>
      <c r="K2852" s="149" t="s">
        <v>5695</v>
      </c>
    </row>
    <row r="2853" spans="1:11" ht="28.9" customHeight="1" thickTop="1" thickBot="1" x14ac:dyDescent="0.75">
      <c r="A2853" s="10">
        <v>2851</v>
      </c>
      <c r="B2853" s="57" t="str">
        <f>HYPERLINK("https://search.naver.com/search.naver?query=콜드 블러드 레거시 영화", "콜드 블러드 레거시")</f>
        <v>콜드 블러드 레거시</v>
      </c>
      <c r="C2853" s="8">
        <v>6.4</v>
      </c>
      <c r="D2853" s="9" t="s">
        <v>5696</v>
      </c>
      <c r="E2853" s="6" t="s">
        <v>310</v>
      </c>
      <c r="F2853" s="6">
        <v>2019</v>
      </c>
      <c r="G2853" s="6" t="s">
        <v>14</v>
      </c>
      <c r="H2853" s="7" t="s">
        <v>124</v>
      </c>
      <c r="I2853" s="6" t="s">
        <v>361</v>
      </c>
      <c r="J2853" s="130"/>
      <c r="K2853" s="148" t="s">
        <v>5697</v>
      </c>
    </row>
    <row r="2854" spans="1:11" ht="28.9" customHeight="1" thickTop="1" thickBot="1" x14ac:dyDescent="0.75">
      <c r="A2854" s="6">
        <v>2852</v>
      </c>
      <c r="B2854" s="58" t="str">
        <f>HYPERLINK("https://search.naver.com/search.naver?query=콜드체이싱 영화", "콜드체이싱")</f>
        <v>콜드체이싱</v>
      </c>
      <c r="C2854" s="12">
        <v>7.32</v>
      </c>
      <c r="D2854" s="13" t="s">
        <v>5698</v>
      </c>
      <c r="E2854" s="10" t="s">
        <v>49</v>
      </c>
      <c r="F2854" s="10">
        <v>2019</v>
      </c>
      <c r="G2854" s="10" t="s">
        <v>14</v>
      </c>
      <c r="H2854" s="11" t="s">
        <v>124</v>
      </c>
      <c r="I2854" s="10" t="s">
        <v>68</v>
      </c>
      <c r="J2854" s="131"/>
      <c r="K2854" s="149" t="s">
        <v>5699</v>
      </c>
    </row>
    <row r="2855" spans="1:11" ht="28.9" customHeight="1" thickTop="1" thickBot="1" x14ac:dyDescent="0.75">
      <c r="A2855" s="10">
        <v>2853</v>
      </c>
      <c r="B2855" s="57" t="str">
        <f>HYPERLINK("https://search.naver.com/search.naver?query=콜디스트 게임 영화", "콜디스트 게임")</f>
        <v>콜디스트 게임</v>
      </c>
      <c r="C2855" s="8">
        <v>7.6</v>
      </c>
      <c r="D2855" s="9" t="s">
        <v>5700</v>
      </c>
      <c r="E2855" s="6" t="s">
        <v>2207</v>
      </c>
      <c r="F2855" s="6">
        <v>2019</v>
      </c>
      <c r="G2855" s="6" t="s">
        <v>14</v>
      </c>
      <c r="H2855" s="7" t="s">
        <v>54</v>
      </c>
      <c r="I2855" s="6" t="s">
        <v>133</v>
      </c>
      <c r="J2855" s="130"/>
      <c r="K2855" s="148" t="s">
        <v>5701</v>
      </c>
    </row>
    <row r="2856" spans="1:11" ht="28.9" customHeight="1" thickTop="1" thickBot="1" x14ac:dyDescent="0.75">
      <c r="A2856" s="10">
        <v>2854</v>
      </c>
      <c r="B2856" s="58" t="str">
        <f>HYPERLINK("https://search.naver.com/search.naver?query=콜로니아 영화", "콜로니아")</f>
        <v>콜로니아</v>
      </c>
      <c r="C2856" s="12">
        <v>9.11</v>
      </c>
      <c r="D2856" s="13" t="s">
        <v>5702</v>
      </c>
      <c r="E2856" s="10" t="s">
        <v>136</v>
      </c>
      <c r="F2856" s="10">
        <v>2015</v>
      </c>
      <c r="G2856" s="10" t="s">
        <v>14</v>
      </c>
      <c r="H2856" s="11" t="s">
        <v>20</v>
      </c>
      <c r="I2856" s="10" t="s">
        <v>129</v>
      </c>
      <c r="J2856" s="131"/>
      <c r="K2856" s="149" t="s">
        <v>5703</v>
      </c>
    </row>
    <row r="2857" spans="1:11" ht="28.9" customHeight="1" thickTop="1" thickBot="1" x14ac:dyDescent="0.75">
      <c r="A2857" s="6">
        <v>2855</v>
      </c>
      <c r="B2857" s="57" t="str">
        <f>HYPERLINK("https://search.naver.com/search.naver?query=콜롬비아나 영화", "콜롬비아나")</f>
        <v>콜롬비아나</v>
      </c>
      <c r="C2857" s="8">
        <v>7.54</v>
      </c>
      <c r="D2857" s="9" t="s">
        <v>5704</v>
      </c>
      <c r="E2857" s="6" t="s">
        <v>310</v>
      </c>
      <c r="F2857" s="6">
        <v>2011</v>
      </c>
      <c r="G2857" s="6" t="s">
        <v>14</v>
      </c>
      <c r="H2857" s="7" t="s">
        <v>124</v>
      </c>
      <c r="I2857" s="6" t="s">
        <v>38</v>
      </c>
      <c r="J2857" s="130"/>
      <c r="K2857" s="148" t="s">
        <v>5705</v>
      </c>
    </row>
    <row r="2858" spans="1:11" ht="28.9" customHeight="1" thickTop="1" thickBot="1" x14ac:dyDescent="0.75">
      <c r="A2858" s="10">
        <v>2856</v>
      </c>
      <c r="B2858" s="58" t="str">
        <f>HYPERLINK("https://search.naver.com/search.naver?query=콜리니 케이스 영화", "콜리니 케이스")</f>
        <v>콜리니 케이스</v>
      </c>
      <c r="C2858" s="12">
        <v>9.26</v>
      </c>
      <c r="D2858" s="13" t="s">
        <v>5706</v>
      </c>
      <c r="E2858" s="10" t="s">
        <v>136</v>
      </c>
      <c r="F2858" s="10">
        <v>2019</v>
      </c>
      <c r="G2858" s="10" t="s">
        <v>14</v>
      </c>
      <c r="H2858" s="11" t="s">
        <v>20</v>
      </c>
      <c r="I2858" s="10" t="s">
        <v>76</v>
      </c>
      <c r="J2858" s="131"/>
      <c r="K2858" s="149" t="s">
        <v>5707</v>
      </c>
    </row>
    <row r="2859" spans="1:11" ht="28.9" customHeight="1" thickTop="1" thickBot="1" x14ac:dyDescent="0.75">
      <c r="A2859" s="10">
        <v>2857</v>
      </c>
      <c r="B2859" s="57" t="str">
        <f>HYPERLINK("https://search.naver.com/search.naver?query=콜보이 영화", "콜보이")</f>
        <v>콜보이</v>
      </c>
      <c r="C2859" s="8">
        <v>6.88</v>
      </c>
      <c r="D2859" s="9" t="s">
        <v>5708</v>
      </c>
      <c r="E2859" s="6" t="s">
        <v>19</v>
      </c>
      <c r="F2859" s="6">
        <v>2018</v>
      </c>
      <c r="G2859" s="6" t="s">
        <v>14</v>
      </c>
      <c r="H2859" s="7" t="s">
        <v>20</v>
      </c>
      <c r="I2859" s="6" t="s">
        <v>68</v>
      </c>
      <c r="J2859" s="130"/>
      <c r="K2859" s="148" t="s">
        <v>5709</v>
      </c>
    </row>
    <row r="2860" spans="1:11" ht="28.9" customHeight="1" thickTop="1" thickBot="1" x14ac:dyDescent="0.75">
      <c r="A2860" s="6">
        <v>2858</v>
      </c>
      <c r="B2860" s="58" t="str">
        <f>HYPERLINK("https://search.naver.com/search.naver?query=콜 사라진 여자들 영화", "콜-사라진 여자들")</f>
        <v>콜-사라진 여자들</v>
      </c>
      <c r="C2860" s="12">
        <v>3.32</v>
      </c>
      <c r="D2860" s="13" t="s">
        <v>5710</v>
      </c>
      <c r="E2860" s="10" t="s">
        <v>24</v>
      </c>
      <c r="F2860" s="10">
        <v>2020</v>
      </c>
      <c r="G2860" s="10" t="s">
        <v>14</v>
      </c>
      <c r="H2860" s="11" t="s">
        <v>54</v>
      </c>
      <c r="I2860" s="10" t="s">
        <v>1705</v>
      </c>
      <c r="J2860" s="131"/>
      <c r="K2860" s="149" t="s">
        <v>5711</v>
      </c>
    </row>
    <row r="2861" spans="1:11" ht="28.9" customHeight="1" thickTop="1" thickBot="1" x14ac:dyDescent="0.75">
      <c r="A2861" s="10">
        <v>2859</v>
      </c>
      <c r="B2861" s="57" t="str">
        <f>HYPERLINK("https://search.naver.com/search.naver?query=콩 스컬 아일랜드 영화", "콩 - 스컬 아일랜드")</f>
        <v>콩 - 스컬 아일랜드</v>
      </c>
      <c r="C2861" s="8">
        <v>8.1300000000000008</v>
      </c>
      <c r="D2861" s="9" t="s">
        <v>5712</v>
      </c>
      <c r="E2861" s="6" t="s">
        <v>24</v>
      </c>
      <c r="F2861" s="6">
        <v>2017</v>
      </c>
      <c r="G2861" s="6" t="s">
        <v>14</v>
      </c>
      <c r="H2861" s="7" t="s">
        <v>124</v>
      </c>
      <c r="I2861" s="6" t="s">
        <v>329</v>
      </c>
      <c r="J2861" s="130"/>
      <c r="K2861" s="148" t="s">
        <v>5713</v>
      </c>
    </row>
    <row r="2862" spans="1:11" ht="28.9" customHeight="1" thickTop="1" thickBot="1" x14ac:dyDescent="0.75">
      <c r="A2862" s="10">
        <v>2860</v>
      </c>
      <c r="B2862" s="58" t="str">
        <f>HYPERLINK("https://search.naver.com/search.naver?query=콰이어트 플레이스 영화", "콰이어트 플레이스")</f>
        <v>콰이어트 플레이스</v>
      </c>
      <c r="C2862" s="12">
        <v>6.55</v>
      </c>
      <c r="D2862" s="13" t="s">
        <v>5714</v>
      </c>
      <c r="E2862" s="10" t="s">
        <v>24</v>
      </c>
      <c r="F2862" s="10">
        <v>2018</v>
      </c>
      <c r="G2862" s="10" t="s">
        <v>14</v>
      </c>
      <c r="H2862" s="11" t="s">
        <v>382</v>
      </c>
      <c r="I2862" s="10" t="s">
        <v>156</v>
      </c>
      <c r="J2862" s="131"/>
      <c r="K2862" s="149" t="s">
        <v>5715</v>
      </c>
    </row>
    <row r="2863" spans="1:11" ht="28.9" customHeight="1" thickTop="1" thickBot="1" x14ac:dyDescent="0.75">
      <c r="A2863" s="6">
        <v>2861</v>
      </c>
      <c r="B2863" s="57" t="str">
        <f>HYPERLINK("https://search.naver.com/search.naver?query=콰이어트 플레이스 2 영화", "콰이어트 플레이스 2")</f>
        <v>콰이어트 플레이스 2</v>
      </c>
      <c r="C2863" s="8">
        <v>8.6300000000000008</v>
      </c>
      <c r="D2863" s="9" t="s">
        <v>5714</v>
      </c>
      <c r="E2863" s="6" t="s">
        <v>24</v>
      </c>
      <c r="F2863" s="6">
        <v>2020</v>
      </c>
      <c r="G2863" s="6" t="s">
        <v>14</v>
      </c>
      <c r="H2863" s="7" t="s">
        <v>382</v>
      </c>
      <c r="I2863" s="6" t="s">
        <v>169</v>
      </c>
      <c r="J2863" s="130"/>
      <c r="K2863" s="148" t="s">
        <v>5716</v>
      </c>
    </row>
    <row r="2864" spans="1:11" ht="28.9" customHeight="1" thickTop="1" thickBot="1" x14ac:dyDescent="0.75">
      <c r="A2864" s="10">
        <v>2862</v>
      </c>
      <c r="B2864" s="58" t="str">
        <f>HYPERLINK("https://search.naver.com/search.naver?query=콰이어트맨 영화", "콰이어트맨")</f>
        <v>콰이어트맨</v>
      </c>
      <c r="C2864" s="12">
        <v>8.2200000000000006</v>
      </c>
      <c r="D2864" s="13" t="s">
        <v>5717</v>
      </c>
      <c r="E2864" s="10" t="s">
        <v>944</v>
      </c>
      <c r="F2864" s="10">
        <v>1952</v>
      </c>
      <c r="G2864" s="10" t="s">
        <v>14</v>
      </c>
      <c r="H2864" s="11" t="s">
        <v>91</v>
      </c>
      <c r="I2864" s="10" t="s">
        <v>85</v>
      </c>
      <c r="J2864" s="131"/>
      <c r="K2864" s="149" t="s">
        <v>5718</v>
      </c>
    </row>
    <row r="2865" spans="1:11" ht="28.9" customHeight="1" thickTop="1" thickBot="1" x14ac:dyDescent="0.75">
      <c r="A2865" s="10">
        <v>2863</v>
      </c>
      <c r="B2865" s="57" t="str">
        <f>HYPERLINK("https://search.naver.com/search.naver?query=쿠르스크 영화", "쿠르스크")</f>
        <v>쿠르스크</v>
      </c>
      <c r="C2865" s="8">
        <v>9.06</v>
      </c>
      <c r="D2865" s="9" t="s">
        <v>1790</v>
      </c>
      <c r="E2865" s="6" t="s">
        <v>858</v>
      </c>
      <c r="F2865" s="6">
        <v>2018</v>
      </c>
      <c r="G2865" s="6" t="s">
        <v>14</v>
      </c>
      <c r="H2865" s="7" t="s">
        <v>20</v>
      </c>
      <c r="I2865" s="6" t="s">
        <v>120</v>
      </c>
      <c r="J2865" s="130"/>
      <c r="K2865" s="148" t="s">
        <v>5719</v>
      </c>
    </row>
    <row r="2866" spans="1:11" ht="28.9" customHeight="1" thickTop="1" thickBot="1" x14ac:dyDescent="0.75">
      <c r="A2866" s="6">
        <v>2864</v>
      </c>
      <c r="B2866" s="58" t="str">
        <f>HYPERLINK("https://search.naver.com/search.naver?query=쿠폰의 여왕 영화", "쿠폰의 여왕")</f>
        <v>쿠폰의 여왕</v>
      </c>
      <c r="C2866" s="12">
        <v>7.03</v>
      </c>
      <c r="D2866" s="13" t="s">
        <v>5720</v>
      </c>
      <c r="E2866" s="10" t="s">
        <v>24</v>
      </c>
      <c r="F2866" s="10">
        <v>2021</v>
      </c>
      <c r="G2866" s="10" t="s">
        <v>14</v>
      </c>
      <c r="H2866" s="11" t="s">
        <v>91</v>
      </c>
      <c r="I2866" s="10" t="s">
        <v>129</v>
      </c>
      <c r="J2866" s="131"/>
      <c r="K2866" s="149" t="s">
        <v>5721</v>
      </c>
    </row>
    <row r="2867" spans="1:11" ht="28.9" customHeight="1" thickTop="1" thickBot="1" x14ac:dyDescent="0.75">
      <c r="A2867" s="10">
        <v>2865</v>
      </c>
      <c r="B2867" s="57" t="str">
        <f>HYPERLINK("https://search.naver.com/search.naver?query=퀵 영화", "퀵")</f>
        <v>퀵</v>
      </c>
      <c r="C2867" s="8">
        <v>7.85</v>
      </c>
      <c r="D2867" s="9" t="s">
        <v>5722</v>
      </c>
      <c r="E2867" s="6" t="s">
        <v>13</v>
      </c>
      <c r="F2867" s="6">
        <v>2011</v>
      </c>
      <c r="G2867" s="6" t="s">
        <v>14</v>
      </c>
      <c r="H2867" s="7" t="s">
        <v>124</v>
      </c>
      <c r="I2867" s="6" t="s">
        <v>60</v>
      </c>
      <c r="J2867" s="130"/>
      <c r="K2867" s="148" t="s">
        <v>5723</v>
      </c>
    </row>
    <row r="2868" spans="1:11" ht="28.9" customHeight="1" thickTop="1" thickBot="1" x14ac:dyDescent="0.75">
      <c r="A2868" s="10">
        <v>2866</v>
      </c>
      <c r="B2868" s="58" t="str">
        <f>HYPERLINK("https://search.naver.com/search.naver?query=퀸 오브 데저트 영화", "퀸 오브 데저트")</f>
        <v>퀸 오브 데저트</v>
      </c>
      <c r="C2868" s="12">
        <v>7.9</v>
      </c>
      <c r="D2868" s="13" t="s">
        <v>5724</v>
      </c>
      <c r="E2868" s="10" t="s">
        <v>24</v>
      </c>
      <c r="F2868" s="10">
        <v>2015</v>
      </c>
      <c r="G2868" s="10" t="s">
        <v>14</v>
      </c>
      <c r="H2868" s="11" t="s">
        <v>20</v>
      </c>
      <c r="I2868" s="10" t="s">
        <v>146</v>
      </c>
      <c r="J2868" s="131"/>
      <c r="K2868" s="149" t="s">
        <v>5725</v>
      </c>
    </row>
    <row r="2869" spans="1:11" ht="28.9" customHeight="1" thickTop="1" thickBot="1" x14ac:dyDescent="0.75">
      <c r="A2869" s="6">
        <v>2867</v>
      </c>
      <c r="B2869" s="59" t="str">
        <f>HYPERLINK("https://search.naver.com/search.naver?query=퀸스 겜빗", "퀸스 겜빗")</f>
        <v>퀸스 겜빗</v>
      </c>
      <c r="C2869" s="16"/>
      <c r="D2869" s="17" t="s">
        <v>5726</v>
      </c>
      <c r="E2869" s="14" t="s">
        <v>24</v>
      </c>
      <c r="F2869" s="14">
        <v>2020</v>
      </c>
      <c r="G2869" s="14" t="s">
        <v>20</v>
      </c>
      <c r="H2869" s="15" t="s">
        <v>20</v>
      </c>
      <c r="I2869" s="14" t="s">
        <v>512</v>
      </c>
      <c r="J2869" s="132"/>
      <c r="K2869" s="150" t="s">
        <v>5727</v>
      </c>
    </row>
    <row r="2870" spans="1:11" ht="28.9" customHeight="1" thickTop="1" thickBot="1" x14ac:dyDescent="0.75">
      <c r="A2870" s="10">
        <v>2868</v>
      </c>
      <c r="B2870" s="58" t="str">
        <f>HYPERLINK("https://search.naver.com/search.naver?query=크게 될 놈 영화", "크게 될 놈")</f>
        <v>크게 될 놈</v>
      </c>
      <c r="C2870" s="12">
        <v>9.11</v>
      </c>
      <c r="D2870" s="13" t="s">
        <v>5728</v>
      </c>
      <c r="E2870" s="10" t="s">
        <v>13</v>
      </c>
      <c r="F2870" s="10">
        <v>2019</v>
      </c>
      <c r="G2870" s="10" t="s">
        <v>14</v>
      </c>
      <c r="H2870" s="11" t="s">
        <v>91</v>
      </c>
      <c r="I2870" s="10" t="s">
        <v>150</v>
      </c>
      <c r="J2870" s="131"/>
      <c r="K2870" s="149" t="s">
        <v>5729</v>
      </c>
    </row>
    <row r="2871" spans="1:11" ht="28.9" customHeight="1" thickTop="1" thickBot="1" x14ac:dyDescent="0.75">
      <c r="A2871" s="10">
        <v>2869</v>
      </c>
      <c r="B2871" s="57" t="str">
        <f>HYPERLINK("https://search.naver.com/search.naver?query=크라이 마초 영화", "크라이 마초")</f>
        <v>크라이 마초</v>
      </c>
      <c r="C2871" s="8">
        <v>7.86</v>
      </c>
      <c r="D2871" s="9" t="s">
        <v>5730</v>
      </c>
      <c r="E2871" s="6" t="s">
        <v>24</v>
      </c>
      <c r="F2871" s="6">
        <v>2021</v>
      </c>
      <c r="G2871" s="6" t="s">
        <v>14</v>
      </c>
      <c r="H2871" s="7" t="s">
        <v>20</v>
      </c>
      <c r="I2871" s="6" t="s">
        <v>242</v>
      </c>
      <c r="J2871" s="130"/>
      <c r="K2871" s="148" t="s">
        <v>5731</v>
      </c>
    </row>
    <row r="2872" spans="1:11" ht="28.9" customHeight="1" thickTop="1" thickBot="1" x14ac:dyDescent="0.75">
      <c r="A2872" s="6">
        <v>2870</v>
      </c>
      <c r="B2872" s="58" t="str">
        <f>HYPERLINK("https://search.naver.com/search.naver?query=크라이시스 영화", "크라이시스")</f>
        <v>크라이시스</v>
      </c>
      <c r="C2872" s="12">
        <v>7.62</v>
      </c>
      <c r="D2872" s="13" t="s">
        <v>5732</v>
      </c>
      <c r="E2872" s="10" t="s">
        <v>24</v>
      </c>
      <c r="F2872" s="10">
        <v>2021</v>
      </c>
      <c r="G2872" s="10" t="s">
        <v>14</v>
      </c>
      <c r="H2872" s="11" t="s">
        <v>124</v>
      </c>
      <c r="I2872" s="10" t="s">
        <v>329</v>
      </c>
      <c r="J2872" s="131"/>
      <c r="K2872" s="149" t="s">
        <v>5733</v>
      </c>
    </row>
    <row r="2873" spans="1:11" ht="28.9" customHeight="1" thickTop="1" thickBot="1" x14ac:dyDescent="0.75">
      <c r="A2873" s="10">
        <v>2871</v>
      </c>
      <c r="B2873" s="58" t="str">
        <f>HYPERLINK("https://search.naver.com/search.naver?query=크라임 101 영화", "크라임 101 (Crime 101)")</f>
        <v>크라임 101 (Crime 101)</v>
      </c>
      <c r="C2873" s="12">
        <v>7.46</v>
      </c>
      <c r="D2873" s="13" t="s">
        <v>5734</v>
      </c>
      <c r="E2873" s="10" t="s">
        <v>24</v>
      </c>
      <c r="F2873" s="10">
        <v>2026</v>
      </c>
      <c r="G2873" s="10" t="s">
        <v>14</v>
      </c>
      <c r="H2873" s="11" t="s">
        <v>428</v>
      </c>
      <c r="I2873" s="10" t="s">
        <v>930</v>
      </c>
      <c r="J2873" s="131" t="s">
        <v>5735</v>
      </c>
      <c r="K2873" s="149" t="s">
        <v>5736</v>
      </c>
    </row>
    <row r="2874" spans="1:11" ht="28.9" customHeight="1" thickTop="1" thickBot="1" x14ac:dyDescent="0.75">
      <c r="A2874" s="10">
        <v>2872</v>
      </c>
      <c r="B2874" s="59" t="str">
        <f>HYPERLINK("https://search.naver.com/search.naver?query=크라임 퍼즐", "크라임 퍼즐")</f>
        <v>크라임 퍼즐</v>
      </c>
      <c r="C2874" s="16"/>
      <c r="D2874" s="17" t="s">
        <v>5737</v>
      </c>
      <c r="E2874" s="14" t="s">
        <v>13</v>
      </c>
      <c r="F2874" s="14">
        <v>2021</v>
      </c>
      <c r="G2874" s="14" t="s">
        <v>20</v>
      </c>
      <c r="H2874" s="15" t="s">
        <v>115</v>
      </c>
      <c r="I2874" s="14" t="s">
        <v>64</v>
      </c>
      <c r="J2874" s="132"/>
      <c r="K2874" s="150" t="s">
        <v>459</v>
      </c>
    </row>
    <row r="2875" spans="1:11" ht="28.9" customHeight="1" thickTop="1" thickBot="1" x14ac:dyDescent="0.75">
      <c r="A2875" s="6">
        <v>2873</v>
      </c>
      <c r="B2875" s="58" t="str">
        <f>HYPERLINK("https://search.naver.com/search.naver?query=크래쉬 영화", "크래쉬")</f>
        <v>크래쉬</v>
      </c>
      <c r="C2875" s="12">
        <v>6.75</v>
      </c>
      <c r="D2875" s="13" t="s">
        <v>5738</v>
      </c>
      <c r="E2875" s="10" t="s">
        <v>24</v>
      </c>
      <c r="F2875" s="10">
        <v>2004</v>
      </c>
      <c r="G2875" s="10" t="s">
        <v>14</v>
      </c>
      <c r="H2875" s="11" t="s">
        <v>20</v>
      </c>
      <c r="I2875" s="10" t="s">
        <v>429</v>
      </c>
      <c r="J2875" s="131"/>
      <c r="K2875" s="149" t="s">
        <v>5739</v>
      </c>
    </row>
    <row r="2876" spans="1:11" ht="28.9" customHeight="1" thickTop="1" thickBot="1" x14ac:dyDescent="0.75">
      <c r="A2876" s="10">
        <v>2874</v>
      </c>
      <c r="B2876" s="57" t="str">
        <f>HYPERLINK("https://search.naver.com/search.naver?query=크래쉬 포인트 영화", "크래쉬 포인트")</f>
        <v>크래쉬 포인트</v>
      </c>
      <c r="C2876" s="8"/>
      <c r="D2876" s="9" t="s">
        <v>5740</v>
      </c>
      <c r="E2876" s="6" t="s">
        <v>24</v>
      </c>
      <c r="F2876" s="6">
        <v>2016</v>
      </c>
      <c r="G2876" s="6" t="s">
        <v>14</v>
      </c>
      <c r="H2876" s="7" t="s">
        <v>124</v>
      </c>
      <c r="I2876" s="6" t="s">
        <v>150</v>
      </c>
      <c r="J2876" s="130"/>
      <c r="K2876" s="148" t="s">
        <v>5741</v>
      </c>
    </row>
    <row r="2877" spans="1:11" ht="28.9" customHeight="1" thickTop="1" thickBot="1" x14ac:dyDescent="0.75">
      <c r="A2877" s="10">
        <v>2875</v>
      </c>
      <c r="B2877" s="58" t="str">
        <f>HYPERLINK("https://search.naver.com/search.naver?query=크레이지 리치 아시안 영화", "크레이지 리치 아시안")</f>
        <v>크레이지 리치 아시안</v>
      </c>
      <c r="C2877" s="12">
        <v>7.97</v>
      </c>
      <c r="D2877" s="13" t="s">
        <v>5742</v>
      </c>
      <c r="E2877" s="10" t="s">
        <v>24</v>
      </c>
      <c r="F2877" s="10">
        <v>2018</v>
      </c>
      <c r="G2877" s="10" t="s">
        <v>14</v>
      </c>
      <c r="H2877" s="11" t="s">
        <v>91</v>
      </c>
      <c r="I2877" s="10" t="s">
        <v>116</v>
      </c>
      <c r="J2877" s="131"/>
      <c r="K2877" s="149" t="s">
        <v>5743</v>
      </c>
    </row>
    <row r="2878" spans="1:11" ht="28.9" customHeight="1" thickTop="1" thickBot="1" x14ac:dyDescent="0.75">
      <c r="A2878" s="6">
        <v>2876</v>
      </c>
      <c r="B2878" s="57" t="str">
        <f>HYPERLINK("https://search.naver.com/search.naver?query=크로니클 영화", "크로니클")</f>
        <v>크로니클</v>
      </c>
      <c r="C2878" s="8">
        <v>7.62</v>
      </c>
      <c r="D2878" s="9" t="s">
        <v>5744</v>
      </c>
      <c r="E2878" s="6" t="s">
        <v>24</v>
      </c>
      <c r="F2878" s="6">
        <v>2012</v>
      </c>
      <c r="G2878" s="6" t="s">
        <v>14</v>
      </c>
      <c r="H2878" s="7" t="s">
        <v>877</v>
      </c>
      <c r="I2878" s="6" t="s">
        <v>1705</v>
      </c>
      <c r="J2878" s="130"/>
      <c r="K2878" s="148" t="s">
        <v>5745</v>
      </c>
    </row>
    <row r="2879" spans="1:11" ht="28.9" customHeight="1" thickTop="1" thickBot="1" x14ac:dyDescent="0.75">
      <c r="A2879" s="10">
        <v>2877</v>
      </c>
      <c r="B2879" s="58" t="str">
        <f>HYPERLINK("https://search.naver.com/search.naver?query=크로스 영화", "크로스")</f>
        <v>크로스</v>
      </c>
      <c r="C2879" s="12">
        <v>6.33</v>
      </c>
      <c r="D2879" s="13" t="s">
        <v>5746</v>
      </c>
      <c r="E2879" s="10" t="s">
        <v>13</v>
      </c>
      <c r="F2879" s="10">
        <v>2024</v>
      </c>
      <c r="G2879" s="10" t="s">
        <v>14</v>
      </c>
      <c r="H2879" s="11" t="s">
        <v>124</v>
      </c>
      <c r="I2879" s="10" t="s">
        <v>175</v>
      </c>
      <c r="J2879" s="131"/>
      <c r="K2879" s="149" t="s">
        <v>5747</v>
      </c>
    </row>
    <row r="2880" spans="1:11" ht="28.9" customHeight="1" thickTop="1" thickBot="1" x14ac:dyDescent="0.75">
      <c r="A2880" s="10">
        <v>2878</v>
      </c>
      <c r="B2880" s="57" t="str">
        <f>HYPERLINK("https://search.naver.com/search.naver?query=크로싱 오버 영화", "크로싱 오버")</f>
        <v>크로싱 오버</v>
      </c>
      <c r="C2880" s="8">
        <v>7.54</v>
      </c>
      <c r="D2880" s="9" t="s">
        <v>5748</v>
      </c>
      <c r="E2880" s="6" t="s">
        <v>24</v>
      </c>
      <c r="F2880" s="6">
        <v>2009</v>
      </c>
      <c r="G2880" s="6" t="s">
        <v>14</v>
      </c>
      <c r="H2880" s="7" t="s">
        <v>20</v>
      </c>
      <c r="I2880" s="6" t="s">
        <v>98</v>
      </c>
      <c r="J2880" s="130"/>
      <c r="K2880" s="148" t="s">
        <v>5749</v>
      </c>
    </row>
    <row r="2881" spans="1:11" ht="28.9" customHeight="1" thickTop="1" thickBot="1" x14ac:dyDescent="0.75">
      <c r="A2881" s="6">
        <v>2879</v>
      </c>
      <c r="B2881" s="58" t="str">
        <f>HYPERLINK("https://search.naver.com/search.naver?query=크로즈 썸 영화", "크로즈 썸")</f>
        <v>크로즈 썸</v>
      </c>
      <c r="C2881" s="12">
        <v>6.4</v>
      </c>
      <c r="D2881" s="13" t="s">
        <v>5750</v>
      </c>
      <c r="E2881" s="10" t="s">
        <v>24</v>
      </c>
      <c r="F2881" s="10">
        <v>2012</v>
      </c>
      <c r="G2881" s="10" t="s">
        <v>14</v>
      </c>
      <c r="H2881" s="11" t="s">
        <v>20</v>
      </c>
      <c r="I2881" s="10" t="s">
        <v>150</v>
      </c>
      <c r="J2881" s="131"/>
      <c r="K2881" s="149" t="s">
        <v>5751</v>
      </c>
    </row>
    <row r="2882" spans="1:11" ht="28.9" customHeight="1" thickTop="1" thickBot="1" x14ac:dyDescent="0.75">
      <c r="A2882" s="10">
        <v>2880</v>
      </c>
      <c r="B2882" s="57" t="str">
        <f>HYPERLINK("https://search.naver.com/search.naver?query=크롤 영화", "크롤")</f>
        <v>크롤</v>
      </c>
      <c r="C2882" s="8">
        <v>6.4</v>
      </c>
      <c r="D2882" s="9" t="s">
        <v>5752</v>
      </c>
      <c r="E2882" s="6" t="s">
        <v>24</v>
      </c>
      <c r="F2882" s="6">
        <v>2019</v>
      </c>
      <c r="G2882" s="6" t="s">
        <v>14</v>
      </c>
      <c r="H2882" s="7" t="s">
        <v>382</v>
      </c>
      <c r="I2882" s="6" t="s">
        <v>1069</v>
      </c>
      <c r="J2882" s="130"/>
      <c r="K2882" s="148" t="s">
        <v>5753</v>
      </c>
    </row>
    <row r="2883" spans="1:11" ht="28.9" customHeight="1" thickTop="1" thickBot="1" x14ac:dyDescent="0.75">
      <c r="A2883" s="10">
        <v>2881</v>
      </c>
      <c r="B2883" s="58" t="str">
        <f>HYPERLINK("https://search.naver.com/search.naver?query=크루엘라 영화", "크루엘라")</f>
        <v>크루엘라</v>
      </c>
      <c r="C2883" s="12">
        <v>9.19</v>
      </c>
      <c r="D2883" s="13" t="s">
        <v>5754</v>
      </c>
      <c r="E2883" s="10" t="s">
        <v>24</v>
      </c>
      <c r="F2883" s="10">
        <v>2021</v>
      </c>
      <c r="G2883" s="10" t="s">
        <v>14</v>
      </c>
      <c r="H2883" s="11" t="s">
        <v>91</v>
      </c>
      <c r="I2883" s="10" t="s">
        <v>917</v>
      </c>
      <c r="J2883" s="131"/>
      <c r="K2883" s="149" t="s">
        <v>5755</v>
      </c>
    </row>
    <row r="2884" spans="1:11" ht="28.9" customHeight="1" thickTop="1" thickBot="1" x14ac:dyDescent="0.75">
      <c r="A2884" s="6">
        <v>2882</v>
      </c>
      <c r="B2884" s="57" t="str">
        <f>HYPERLINK("https://search.naver.com/search.naver?query=크리드 영화", "크리드")</f>
        <v>크리드</v>
      </c>
      <c r="C2884" s="8">
        <v>7.61</v>
      </c>
      <c r="D2884" s="9" t="s">
        <v>5756</v>
      </c>
      <c r="E2884" s="6" t="s">
        <v>24</v>
      </c>
      <c r="F2884" s="6">
        <v>2015</v>
      </c>
      <c r="G2884" s="6" t="s">
        <v>14</v>
      </c>
      <c r="H2884" s="7" t="s">
        <v>20</v>
      </c>
      <c r="I2884" s="6" t="s">
        <v>112</v>
      </c>
      <c r="J2884" s="130"/>
      <c r="K2884" s="148" t="s">
        <v>5757</v>
      </c>
    </row>
    <row r="2885" spans="1:11" ht="28.9" customHeight="1" thickTop="1" thickBot="1" x14ac:dyDescent="0.75">
      <c r="A2885" s="10">
        <v>2883</v>
      </c>
      <c r="B2885" s="58" t="str">
        <f>HYPERLINK("https://search.naver.com/search.naver?query=크리드2 영화", "크리드2")</f>
        <v>크리드2</v>
      </c>
      <c r="C2885" s="12">
        <v>9.3000000000000007</v>
      </c>
      <c r="D2885" s="13" t="s">
        <v>5758</v>
      </c>
      <c r="E2885" s="10" t="s">
        <v>24</v>
      </c>
      <c r="F2885" s="10">
        <v>2018</v>
      </c>
      <c r="G2885" s="10" t="s">
        <v>14</v>
      </c>
      <c r="H2885" s="11" t="s">
        <v>20</v>
      </c>
      <c r="I2885" s="10" t="s">
        <v>42</v>
      </c>
      <c r="J2885" s="131"/>
      <c r="K2885" s="149" t="s">
        <v>4361</v>
      </c>
    </row>
    <row r="2886" spans="1:11" ht="28.9" customHeight="1" thickTop="1" thickBot="1" x14ac:dyDescent="0.75">
      <c r="A2886" s="10">
        <v>2884</v>
      </c>
      <c r="B2886" s="57" t="str">
        <f>HYPERLINK("https://search.naver.com/search.naver?query=크리마스에 날아갑니다", "크리마스에 날아갑니다")</f>
        <v>크리마스에 날아갑니다</v>
      </c>
      <c r="C2886" s="8">
        <v>7</v>
      </c>
      <c r="D2886" s="9" t="s">
        <v>5759</v>
      </c>
      <c r="E2886" s="6" t="s">
        <v>24</v>
      </c>
      <c r="F2886" s="6">
        <v>2020</v>
      </c>
      <c r="G2886" s="6" t="s">
        <v>14</v>
      </c>
      <c r="H2886" s="7" t="s">
        <v>20</v>
      </c>
      <c r="I2886" s="6" t="s">
        <v>150</v>
      </c>
      <c r="J2886" s="130"/>
      <c r="K2886" s="148" t="s">
        <v>5760</v>
      </c>
    </row>
    <row r="2887" spans="1:11" ht="28.9" customHeight="1" thickTop="1" thickBot="1" x14ac:dyDescent="0.75">
      <c r="A2887" s="6">
        <v>2885</v>
      </c>
      <c r="B2887" s="58" t="str">
        <f>HYPERLINK("https://search.naver.com/search.naver?query=크리미널 영화", "크리미널")</f>
        <v>크리미널</v>
      </c>
      <c r="C2887" s="12">
        <v>8.14</v>
      </c>
      <c r="D2887" s="13" t="s">
        <v>5761</v>
      </c>
      <c r="E2887" s="10" t="s">
        <v>24</v>
      </c>
      <c r="F2887" s="10">
        <v>2016</v>
      </c>
      <c r="G2887" s="10" t="s">
        <v>14</v>
      </c>
      <c r="H2887" s="11" t="s">
        <v>124</v>
      </c>
      <c r="I2887" s="10" t="s">
        <v>98</v>
      </c>
      <c r="J2887" s="131"/>
      <c r="K2887" s="149" t="s">
        <v>5762</v>
      </c>
    </row>
    <row r="2888" spans="1:11" ht="28.9" customHeight="1" thickTop="1" thickBot="1" x14ac:dyDescent="0.75">
      <c r="A2888" s="10">
        <v>2886</v>
      </c>
      <c r="B2888" s="57" t="str">
        <f>HYPERLINK("https://search.naver.com/search.naver?query=크리미널 스쿼드 영화", "크리미널 스쿼드")</f>
        <v>크리미널 스쿼드</v>
      </c>
      <c r="C2888" s="8">
        <v>5.92</v>
      </c>
      <c r="D2888" s="9" t="s">
        <v>5763</v>
      </c>
      <c r="E2888" s="6" t="s">
        <v>24</v>
      </c>
      <c r="F2888" s="6">
        <v>2018</v>
      </c>
      <c r="G2888" s="6" t="s">
        <v>14</v>
      </c>
      <c r="H2888" s="7" t="s">
        <v>124</v>
      </c>
      <c r="I2888" s="6" t="s">
        <v>150</v>
      </c>
      <c r="J2888" s="130"/>
      <c r="K2888" s="148" t="s">
        <v>5764</v>
      </c>
    </row>
    <row r="2889" spans="1:11" ht="28.9" customHeight="1" thickTop="1" thickBot="1" x14ac:dyDescent="0.75">
      <c r="A2889" s="10">
        <v>2887</v>
      </c>
      <c r="B2889" s="58" t="str">
        <f>HYPERLINK("https://search.naver.com/search.naver?query=크리미널 액티비티즈 영화", "크리미널 액티비티즈")</f>
        <v>크리미널 액티비티즈</v>
      </c>
      <c r="C2889" s="12">
        <v>6.4</v>
      </c>
      <c r="D2889" s="13" t="s">
        <v>5765</v>
      </c>
      <c r="E2889" s="10" t="s">
        <v>24</v>
      </c>
      <c r="F2889" s="10">
        <v>2015</v>
      </c>
      <c r="G2889" s="10" t="s">
        <v>14</v>
      </c>
      <c r="H2889" s="11" t="s">
        <v>428</v>
      </c>
      <c r="I2889" s="10" t="s">
        <v>468</v>
      </c>
      <c r="J2889" s="131"/>
      <c r="K2889" s="149" t="s">
        <v>5766</v>
      </c>
    </row>
    <row r="2890" spans="1:11" ht="28.9" customHeight="1" thickTop="1" thickBot="1" x14ac:dyDescent="0.75">
      <c r="A2890" s="6">
        <v>2888</v>
      </c>
      <c r="B2890" s="57" t="str">
        <f>HYPERLINK("https://search.naver.com/search.naver?query=크리스마스 스위치 한 번 더 바꿔 영화", "크리스마스 스위치-한 번 더 바꿔")</f>
        <v>크리스마스 스위치-한 번 더 바꿔</v>
      </c>
      <c r="C2890" s="8">
        <v>5.67</v>
      </c>
      <c r="D2890" s="9" t="s">
        <v>5767</v>
      </c>
      <c r="E2890" s="6" t="s">
        <v>24</v>
      </c>
      <c r="F2890" s="6">
        <v>2020</v>
      </c>
      <c r="G2890" s="6" t="s">
        <v>14</v>
      </c>
      <c r="H2890" s="7" t="s">
        <v>91</v>
      </c>
      <c r="I2890" s="6" t="s">
        <v>150</v>
      </c>
      <c r="J2890" s="130"/>
      <c r="K2890" s="148" t="s">
        <v>5768</v>
      </c>
    </row>
    <row r="2891" spans="1:11" ht="28.9" customHeight="1" thickTop="1" thickBot="1" x14ac:dyDescent="0.75">
      <c r="A2891" s="10">
        <v>2889</v>
      </c>
      <c r="B2891" s="58" t="str">
        <f>HYPERLINK("https://search.naver.com/search.naver?query=크리스마스 인 아프리카 영화", "크리스마스 인 아프리카")</f>
        <v>크리스마스 인 아프리카</v>
      </c>
      <c r="C2891" s="12">
        <v>8</v>
      </c>
      <c r="D2891" s="13" t="s">
        <v>5769</v>
      </c>
      <c r="E2891" s="10" t="s">
        <v>2437</v>
      </c>
      <c r="F2891" s="10">
        <v>2019</v>
      </c>
      <c r="G2891" s="10" t="s">
        <v>14</v>
      </c>
      <c r="H2891" s="11" t="s">
        <v>91</v>
      </c>
      <c r="I2891" s="10" t="s">
        <v>150</v>
      </c>
      <c r="J2891" s="131"/>
      <c r="K2891" s="149" t="s">
        <v>5770</v>
      </c>
    </row>
    <row r="2892" spans="1:11" ht="28.9" customHeight="1" thickTop="1" thickBot="1" x14ac:dyDescent="0.75">
      <c r="A2892" s="10">
        <v>2890</v>
      </c>
      <c r="B2892" s="57" t="str">
        <f>HYPERLINK("https://search.naver.com/search.naver?query=크리스마스에 기사가 올까요 영화", "크리스마스에 기사가 올까요")</f>
        <v>크리스마스에 기사가 올까요</v>
      </c>
      <c r="C2892" s="8">
        <v>6.4</v>
      </c>
      <c r="D2892" s="9" t="s">
        <v>5771</v>
      </c>
      <c r="E2892" s="6" t="s">
        <v>275</v>
      </c>
      <c r="F2892" s="6">
        <v>2019</v>
      </c>
      <c r="G2892" s="6" t="s">
        <v>14</v>
      </c>
      <c r="H2892" s="7" t="s">
        <v>91</v>
      </c>
      <c r="I2892" s="6" t="s">
        <v>156</v>
      </c>
      <c r="J2892" s="130"/>
      <c r="K2892" s="148" t="s">
        <v>5772</v>
      </c>
    </row>
    <row r="2893" spans="1:11" ht="28.9" customHeight="1" thickTop="1" thickBot="1" x14ac:dyDescent="0.75">
      <c r="A2893" s="6">
        <v>2891</v>
      </c>
      <c r="B2893" s="58" t="str">
        <f>HYPERLINK("https://search.naver.com/search.naver?query=크리피 일가족 연쇄 실종 사건 영화", "크리피 - 일가족 연쇄 실종 사건")</f>
        <v>크리피 - 일가족 연쇄 실종 사건</v>
      </c>
      <c r="C2893" s="12">
        <v>6.48</v>
      </c>
      <c r="D2893" s="13" t="s">
        <v>5773</v>
      </c>
      <c r="E2893" s="10" t="s">
        <v>19</v>
      </c>
      <c r="F2893" s="10">
        <v>2016</v>
      </c>
      <c r="G2893" s="10" t="s">
        <v>14</v>
      </c>
      <c r="H2893" s="11" t="s">
        <v>382</v>
      </c>
      <c r="I2893" s="10" t="s">
        <v>42</v>
      </c>
      <c r="J2893" s="131"/>
      <c r="K2893" s="149" t="s">
        <v>5774</v>
      </c>
    </row>
    <row r="2894" spans="1:11" ht="28.9" customHeight="1" thickTop="1" thickBot="1" x14ac:dyDescent="0.75">
      <c r="A2894" s="10">
        <v>2892</v>
      </c>
      <c r="B2894" s="57" t="str">
        <f>HYPERLINK("https://search.naver.com/search.naver?query=클라우드 아틀라스 영화", "클라우드 아틀라스")</f>
        <v>클라우드 아틀라스</v>
      </c>
      <c r="C2894" s="8">
        <v>8.25</v>
      </c>
      <c r="D2894" s="9" t="s">
        <v>5775</v>
      </c>
      <c r="E2894" s="6" t="s">
        <v>136</v>
      </c>
      <c r="F2894" s="6">
        <v>2012</v>
      </c>
      <c r="G2894" s="6" t="s">
        <v>14</v>
      </c>
      <c r="H2894" s="7" t="s">
        <v>877</v>
      </c>
      <c r="I2894" s="6" t="s">
        <v>5776</v>
      </c>
      <c r="J2894" s="130"/>
      <c r="K2894" s="148" t="s">
        <v>5777</v>
      </c>
    </row>
    <row r="2895" spans="1:11" ht="28.9" customHeight="1" thickTop="1" thickBot="1" x14ac:dyDescent="0.75">
      <c r="A2895" s="10">
        <v>2893</v>
      </c>
      <c r="B2895" s="58" t="str">
        <f>HYPERLINK("https://search.naver.com/search.naver?query=클라우즈 오브 실스마리아 영화", "클라우즈 오브 실스마리아")</f>
        <v>클라우즈 오브 실스마리아</v>
      </c>
      <c r="C2895" s="12">
        <v>8.32</v>
      </c>
      <c r="D2895" s="13" t="s">
        <v>5778</v>
      </c>
      <c r="E2895" s="10" t="s">
        <v>310</v>
      </c>
      <c r="F2895" s="10">
        <v>2014</v>
      </c>
      <c r="G2895" s="10" t="s">
        <v>14</v>
      </c>
      <c r="H2895" s="11" t="s">
        <v>20</v>
      </c>
      <c r="I2895" s="10" t="s">
        <v>183</v>
      </c>
      <c r="J2895" s="131"/>
      <c r="K2895" s="149" t="s">
        <v>5779</v>
      </c>
    </row>
    <row r="2896" spans="1:11" ht="28.9" customHeight="1" thickTop="1" thickBot="1" x14ac:dyDescent="0.75">
      <c r="A2896" s="6">
        <v>2894</v>
      </c>
      <c r="B2896" s="57" t="str">
        <f>HYPERLINK("https://search.naver.com/search.naver?query=클라이머즈 하이 영화", "클라이머즈 하이")</f>
        <v>클라이머즈 하이</v>
      </c>
      <c r="C2896" s="8">
        <v>6.4</v>
      </c>
      <c r="D2896" s="9" t="s">
        <v>5780</v>
      </c>
      <c r="E2896" s="6" t="s">
        <v>19</v>
      </c>
      <c r="F2896" s="6">
        <v>2008</v>
      </c>
      <c r="G2896" s="6" t="s">
        <v>14</v>
      </c>
      <c r="H2896" s="7" t="s">
        <v>20</v>
      </c>
      <c r="I2896" s="6" t="s">
        <v>150</v>
      </c>
      <c r="J2896" s="130"/>
      <c r="K2896" s="148" t="s">
        <v>5781</v>
      </c>
    </row>
    <row r="2897" spans="1:11" ht="28.9" customHeight="1" thickTop="1" thickBot="1" x14ac:dyDescent="0.75">
      <c r="A2897" s="10">
        <v>2895</v>
      </c>
      <c r="B2897" s="58" t="str">
        <f>HYPERLINK("https://search.naver.com/search.naver?query=클래식 영화", "클래식")</f>
        <v>클래식</v>
      </c>
      <c r="C2897" s="12">
        <v>4.95</v>
      </c>
      <c r="D2897" s="13" t="s">
        <v>5782</v>
      </c>
      <c r="E2897" s="10" t="s">
        <v>13</v>
      </c>
      <c r="F2897" s="10">
        <v>2003</v>
      </c>
      <c r="G2897" s="10" t="s">
        <v>14</v>
      </c>
      <c r="H2897" s="11" t="s">
        <v>165</v>
      </c>
      <c r="I2897" s="10" t="s">
        <v>210</v>
      </c>
      <c r="J2897" s="131"/>
      <c r="K2897" s="149" t="s">
        <v>5783</v>
      </c>
    </row>
    <row r="2898" spans="1:11" ht="28.9" customHeight="1" thickTop="1" thickBot="1" x14ac:dyDescent="0.75">
      <c r="A2898" s="10">
        <v>2896</v>
      </c>
      <c r="B2898" s="57" t="str">
        <f>HYPERLINK("https://search.naver.com/search.naver?query=클랜 영화", "클랜")</f>
        <v>클랜</v>
      </c>
      <c r="C2898" s="8">
        <v>8.3699999999999992</v>
      </c>
      <c r="D2898" s="9" t="s">
        <v>5784</v>
      </c>
      <c r="E2898" s="6" t="s">
        <v>4482</v>
      </c>
      <c r="F2898" s="6">
        <v>2015</v>
      </c>
      <c r="G2898" s="6" t="s">
        <v>14</v>
      </c>
      <c r="H2898" s="7" t="s">
        <v>428</v>
      </c>
      <c r="I2898" s="6" t="s">
        <v>129</v>
      </c>
      <c r="J2898" s="130"/>
      <c r="K2898" s="148" t="s">
        <v>5785</v>
      </c>
    </row>
    <row r="2899" spans="1:11" ht="28.9" customHeight="1" thickTop="1" thickBot="1" x14ac:dyDescent="0.75">
      <c r="A2899" s="6">
        <v>2897</v>
      </c>
      <c r="B2899" s="58" t="str">
        <f>HYPERLINK("https://search.naver.com/search.naver?query=클레멘시 영화", "클레멘시")</f>
        <v>클레멘시</v>
      </c>
      <c r="C2899" s="12"/>
      <c r="D2899" s="13" t="s">
        <v>5786</v>
      </c>
      <c r="E2899" s="10" t="s">
        <v>24</v>
      </c>
      <c r="F2899" s="10">
        <v>2019</v>
      </c>
      <c r="G2899" s="10" t="s">
        <v>14</v>
      </c>
      <c r="H2899" s="11" t="s">
        <v>20</v>
      </c>
      <c r="I2899" s="10" t="s">
        <v>98</v>
      </c>
      <c r="J2899" s="131"/>
      <c r="K2899" s="149" t="s">
        <v>1331</v>
      </c>
    </row>
    <row r="2900" spans="1:11" ht="28.9" customHeight="1" thickTop="1" thickBot="1" x14ac:dyDescent="0.75">
      <c r="A2900" s="10">
        <v>2898</v>
      </c>
      <c r="B2900" s="57" t="str">
        <f>HYPERLINK("https://search.naver.com/search.naver?query=클로버필드 패러독스", "클로버필드 패러독스")</f>
        <v>클로버필드 패러독스</v>
      </c>
      <c r="C2900" s="8">
        <v>4.01</v>
      </c>
      <c r="D2900" s="9" t="s">
        <v>5787</v>
      </c>
      <c r="E2900" s="6" t="s">
        <v>24</v>
      </c>
      <c r="F2900" s="6">
        <v>2018</v>
      </c>
      <c r="G2900" s="6" t="s">
        <v>14</v>
      </c>
      <c r="H2900" s="7" t="s">
        <v>382</v>
      </c>
      <c r="I2900" s="6" t="s">
        <v>133</v>
      </c>
      <c r="J2900" s="130"/>
      <c r="K2900" s="148" t="s">
        <v>5788</v>
      </c>
    </row>
    <row r="2901" spans="1:11" ht="28.9" customHeight="1" thickTop="1" thickBot="1" x14ac:dyDescent="0.75">
      <c r="A2901" s="10">
        <v>2899</v>
      </c>
      <c r="B2901" s="58" t="str">
        <f>HYPERLINK("https://search.naver.com/search.naver?query=클로이 영화", "클로이")</f>
        <v>클로이</v>
      </c>
      <c r="C2901" s="12">
        <v>7.85</v>
      </c>
      <c r="D2901" s="13" t="s">
        <v>5789</v>
      </c>
      <c r="E2901" s="10" t="s">
        <v>275</v>
      </c>
      <c r="F2901" s="10">
        <v>2009</v>
      </c>
      <c r="G2901" s="10" t="s">
        <v>14</v>
      </c>
      <c r="H2901" s="11" t="s">
        <v>20</v>
      </c>
      <c r="I2901" s="10" t="s">
        <v>80</v>
      </c>
      <c r="J2901" s="131"/>
      <c r="K2901" s="149" t="s">
        <v>5790</v>
      </c>
    </row>
    <row r="2902" spans="1:11" ht="28.9" customHeight="1" thickTop="1" thickBot="1" x14ac:dyDescent="0.75">
      <c r="A2902" s="6">
        <v>2900</v>
      </c>
      <c r="B2902" s="57" t="str">
        <f>HYPERLINK("https://search.naver.com/search.naver?query=클로저 영화", "클로저")</f>
        <v>클로저</v>
      </c>
      <c r="C2902" s="8">
        <v>8.18</v>
      </c>
      <c r="D2902" s="9" t="s">
        <v>5791</v>
      </c>
      <c r="E2902" s="6" t="s">
        <v>24</v>
      </c>
      <c r="F2902" s="6">
        <v>2004</v>
      </c>
      <c r="G2902" s="6" t="s">
        <v>14</v>
      </c>
      <c r="H2902" s="7" t="s">
        <v>20</v>
      </c>
      <c r="I2902" s="6" t="s">
        <v>242</v>
      </c>
      <c r="J2902" s="130"/>
      <c r="K2902" s="148" t="s">
        <v>5792</v>
      </c>
    </row>
    <row r="2903" spans="1:11" ht="28.9" customHeight="1" thickTop="1" thickBot="1" x14ac:dyDescent="0.75">
      <c r="A2903" s="10">
        <v>2901</v>
      </c>
      <c r="B2903" s="58" t="str">
        <f>HYPERLINK("https://search.naver.com/search.naver?query=클로젯 영화", "클로젯")</f>
        <v>클로젯</v>
      </c>
      <c r="C2903" s="12">
        <v>8.14</v>
      </c>
      <c r="D2903" s="13" t="s">
        <v>5793</v>
      </c>
      <c r="E2903" s="10" t="s">
        <v>13</v>
      </c>
      <c r="F2903" s="10">
        <v>2020</v>
      </c>
      <c r="G2903" s="10" t="s">
        <v>14</v>
      </c>
      <c r="H2903" s="11" t="s">
        <v>382</v>
      </c>
      <c r="I2903" s="10" t="s">
        <v>169</v>
      </c>
      <c r="J2903" s="131"/>
      <c r="K2903" s="149" t="s">
        <v>5794</v>
      </c>
    </row>
    <row r="2904" spans="1:11" ht="28.9" customHeight="1" thickTop="1" thickBot="1" x14ac:dyDescent="0.75">
      <c r="A2904" s="10">
        <v>2902</v>
      </c>
      <c r="B2904" s="57" t="str">
        <f>HYPERLINK("https://search.naver.com/search.naver?query=클로즈 영화", "클로즈")</f>
        <v>클로즈</v>
      </c>
      <c r="C2904" s="8">
        <v>7.88</v>
      </c>
      <c r="D2904" s="9" t="s">
        <v>5795</v>
      </c>
      <c r="E2904" s="6" t="s">
        <v>1511</v>
      </c>
      <c r="F2904" s="6">
        <v>2019</v>
      </c>
      <c r="G2904" s="6" t="s">
        <v>14</v>
      </c>
      <c r="H2904" s="7" t="s">
        <v>124</v>
      </c>
      <c r="I2904" s="6" t="s">
        <v>150</v>
      </c>
      <c r="J2904" s="130"/>
      <c r="K2904" s="148" t="s">
        <v>5796</v>
      </c>
    </row>
    <row r="2905" spans="1:11" ht="28.9" customHeight="1" thickTop="1" thickBot="1" x14ac:dyDescent="0.75">
      <c r="A2905" s="6">
        <v>2903</v>
      </c>
      <c r="B2905" s="58" t="str">
        <f>HYPERLINK("https://search.naver.com/search.naver?query=클로즈드 노트 영화", "클로즈드 노트")</f>
        <v>클로즈드 노트</v>
      </c>
      <c r="C2905" s="12">
        <v>7.8</v>
      </c>
      <c r="D2905" s="13" t="s">
        <v>5797</v>
      </c>
      <c r="E2905" s="10" t="s">
        <v>19</v>
      </c>
      <c r="F2905" s="10">
        <v>2007</v>
      </c>
      <c r="G2905" s="10" t="s">
        <v>14</v>
      </c>
      <c r="H2905" s="11" t="s">
        <v>20</v>
      </c>
      <c r="I2905" s="10" t="s">
        <v>476</v>
      </c>
      <c r="J2905" s="131"/>
      <c r="K2905" s="149" t="s">
        <v>5798</v>
      </c>
    </row>
    <row r="2906" spans="1:11" ht="28.9" customHeight="1" thickTop="1" thickBot="1" x14ac:dyDescent="0.75">
      <c r="A2906" s="10">
        <v>2904</v>
      </c>
      <c r="B2906" s="57" t="str">
        <f>HYPERLINK("https://search.naver.com/search.naver?query=클리너 영화", "클리너")</f>
        <v>클리너</v>
      </c>
      <c r="C2906" s="8">
        <v>4.17</v>
      </c>
      <c r="D2906" s="9" t="s">
        <v>5799</v>
      </c>
      <c r="E2906" s="6" t="s">
        <v>24</v>
      </c>
      <c r="F2906" s="6">
        <v>2007</v>
      </c>
      <c r="G2906" s="6" t="s">
        <v>14</v>
      </c>
      <c r="H2906" s="7" t="s">
        <v>124</v>
      </c>
      <c r="I2906" s="6" t="s">
        <v>345</v>
      </c>
      <c r="J2906" s="130"/>
      <c r="K2906" s="148" t="s">
        <v>5800</v>
      </c>
    </row>
    <row r="2907" spans="1:11" ht="28.9" customHeight="1" thickTop="1" thickBot="1" x14ac:dyDescent="0.75">
      <c r="A2907" s="10">
        <v>2905</v>
      </c>
      <c r="B2907" s="58" t="str">
        <f>HYPERLINK("https://search.naver.com/search.naver?query=클릭 영화", "클릭")</f>
        <v>클릭</v>
      </c>
      <c r="C2907" s="12">
        <v>9.14</v>
      </c>
      <c r="D2907" s="13" t="s">
        <v>5801</v>
      </c>
      <c r="E2907" s="10" t="s">
        <v>24</v>
      </c>
      <c r="F2907" s="10">
        <v>2006</v>
      </c>
      <c r="G2907" s="10" t="s">
        <v>14</v>
      </c>
      <c r="H2907" s="11" t="s">
        <v>91</v>
      </c>
      <c r="I2907" s="10" t="s">
        <v>101</v>
      </c>
      <c r="J2907" s="131"/>
      <c r="K2907" s="149" t="s">
        <v>5802</v>
      </c>
    </row>
    <row r="2908" spans="1:11" ht="28.9" customHeight="1" thickTop="1" thickBot="1" x14ac:dyDescent="0.75">
      <c r="A2908" s="6">
        <v>2906</v>
      </c>
      <c r="B2908" s="57" t="str">
        <f>HYPERLINK("https://search.naver.com/search.naver?query=키드내핑 프레디 하이네켄", "키드내핑 프레디 하이네켄")</f>
        <v>키드내핑 프레디 하이네켄</v>
      </c>
      <c r="C2908" s="8">
        <v>6.47</v>
      </c>
      <c r="D2908" s="9" t="s">
        <v>5803</v>
      </c>
      <c r="E2908" s="6" t="s">
        <v>1511</v>
      </c>
      <c r="F2908" s="6">
        <v>2015</v>
      </c>
      <c r="G2908" s="6" t="s">
        <v>14</v>
      </c>
      <c r="H2908" s="7" t="s">
        <v>428</v>
      </c>
      <c r="I2908" s="6" t="s">
        <v>150</v>
      </c>
      <c r="J2908" s="130"/>
      <c r="K2908" s="148" t="s">
        <v>5804</v>
      </c>
    </row>
    <row r="2909" spans="1:11" ht="28.9" customHeight="1" thickTop="1" thickBot="1" x14ac:dyDescent="0.75">
      <c r="A2909" s="10">
        <v>2907</v>
      </c>
      <c r="B2909" s="58" t="str">
        <f>HYPERLINK("https://search.naver.com/search.naver?query=키드냅 영화", "키드냅")</f>
        <v>키드냅</v>
      </c>
      <c r="C2909" s="12">
        <v>6.51</v>
      </c>
      <c r="D2909" s="13" t="s">
        <v>5805</v>
      </c>
      <c r="E2909" s="10" t="s">
        <v>24</v>
      </c>
      <c r="F2909" s="10">
        <v>2017</v>
      </c>
      <c r="G2909" s="10" t="s">
        <v>14</v>
      </c>
      <c r="H2909" s="11" t="s">
        <v>124</v>
      </c>
      <c r="I2909" s="10" t="s">
        <v>468</v>
      </c>
      <c r="J2909" s="131"/>
      <c r="K2909" s="149" t="s">
        <v>5806</v>
      </c>
    </row>
    <row r="2910" spans="1:11" ht="28.9" customHeight="1" thickTop="1" thickBot="1" x14ac:dyDescent="0.75">
      <c r="A2910" s="10">
        <v>2908</v>
      </c>
      <c r="B2910" s="57" t="str">
        <f>HYPERLINK("https://search.naver.com/search.naver?query=키사라기 미키짱 영화", "키사라기 미키짱")</f>
        <v>키사라기 미키짱</v>
      </c>
      <c r="C2910" s="8">
        <v>8.57</v>
      </c>
      <c r="D2910" s="9" t="s">
        <v>5807</v>
      </c>
      <c r="E2910" s="6" t="s">
        <v>19</v>
      </c>
      <c r="F2910" s="6">
        <v>2007</v>
      </c>
      <c r="G2910" s="6" t="s">
        <v>14</v>
      </c>
      <c r="H2910" s="7" t="s">
        <v>91</v>
      </c>
      <c r="I2910" s="6" t="s">
        <v>38</v>
      </c>
      <c r="J2910" s="130"/>
      <c r="K2910" s="148" t="s">
        <v>5808</v>
      </c>
    </row>
    <row r="2911" spans="1:11" ht="28.9" customHeight="1" thickTop="1" thickBot="1" x14ac:dyDescent="0.75">
      <c r="A2911" s="6">
        <v>2909</v>
      </c>
      <c r="B2911" s="58" t="str">
        <f>HYPERLINK("https://search.naver.com/search.naver?query=키퍼스 영화", "키퍼스")</f>
        <v>키퍼스</v>
      </c>
      <c r="C2911" s="12">
        <v>6.55</v>
      </c>
      <c r="D2911" s="13" t="s">
        <v>5809</v>
      </c>
      <c r="E2911" s="10" t="s">
        <v>24</v>
      </c>
      <c r="F2911" s="10">
        <v>2018</v>
      </c>
      <c r="G2911" s="10" t="s">
        <v>14</v>
      </c>
      <c r="H2911" s="11" t="s">
        <v>20</v>
      </c>
      <c r="I2911" s="10" t="s">
        <v>150</v>
      </c>
      <c r="J2911" s="131"/>
      <c r="K2911" s="149" t="s">
        <v>5810</v>
      </c>
    </row>
    <row r="2912" spans="1:11" ht="28.9" customHeight="1" thickTop="1" thickBot="1" x14ac:dyDescent="0.75">
      <c r="A2912" s="10">
        <v>2910</v>
      </c>
      <c r="B2912" s="57" t="str">
        <f>HYPERLINK("https://search.naver.com/search.naver?query=킬 유어 달링스 영화", "킬 유어 달링스")</f>
        <v>킬 유어 달링스</v>
      </c>
      <c r="C2912" s="8">
        <v>6.4</v>
      </c>
      <c r="D2912" s="9" t="s">
        <v>5811</v>
      </c>
      <c r="E2912" s="6" t="s">
        <v>24</v>
      </c>
      <c r="F2912" s="6">
        <v>2013</v>
      </c>
      <c r="G2912" s="6" t="s">
        <v>14</v>
      </c>
      <c r="H2912" s="7" t="s">
        <v>20</v>
      </c>
      <c r="I2912" s="6" t="s">
        <v>242</v>
      </c>
      <c r="J2912" s="130"/>
      <c r="K2912" s="148" t="s">
        <v>5812</v>
      </c>
    </row>
    <row r="2913" spans="1:11" ht="28.9" customHeight="1" thickTop="1" thickBot="1" x14ac:dyDescent="0.75">
      <c r="A2913" s="10">
        <v>2911</v>
      </c>
      <c r="B2913" s="58" t="str">
        <f>HYPERLINK("https://search.naver.com/search.naver?query=킬러의 보디가드 영화", "킬러의 보디가드")</f>
        <v>킬러의 보디가드</v>
      </c>
      <c r="C2913" s="12">
        <v>7.43</v>
      </c>
      <c r="D2913" s="13" t="s">
        <v>5813</v>
      </c>
      <c r="E2913" s="10" t="s">
        <v>24</v>
      </c>
      <c r="F2913" s="10">
        <v>2017</v>
      </c>
      <c r="G2913" s="10" t="s">
        <v>14</v>
      </c>
      <c r="H2913" s="11" t="s">
        <v>124</v>
      </c>
      <c r="I2913" s="10" t="s">
        <v>329</v>
      </c>
      <c r="J2913" s="131"/>
      <c r="K2913" s="149" t="s">
        <v>5814</v>
      </c>
    </row>
    <row r="2914" spans="1:11" ht="28.9" customHeight="1" thickTop="1" thickBot="1" x14ac:dyDescent="0.75">
      <c r="A2914" s="6">
        <v>2912</v>
      </c>
      <c r="B2914" s="57" t="str">
        <f>HYPERLINK("https://search.naver.com/search.naver?query=킬러의 보디가드 2 영화", "킬러의 보디가드 2")</f>
        <v>킬러의 보디가드 2</v>
      </c>
      <c r="C2914" s="8">
        <v>7.28</v>
      </c>
      <c r="D2914" s="9" t="s">
        <v>5815</v>
      </c>
      <c r="E2914" s="6" t="s">
        <v>24</v>
      </c>
      <c r="F2914" s="6">
        <v>2021</v>
      </c>
      <c r="G2914" s="6" t="s">
        <v>14</v>
      </c>
      <c r="H2914" s="7" t="s">
        <v>124</v>
      </c>
      <c r="I2914" s="6" t="s">
        <v>179</v>
      </c>
      <c r="J2914" s="130"/>
      <c r="K2914" s="148" t="s">
        <v>5816</v>
      </c>
    </row>
    <row r="2915" spans="1:11" ht="28.9" customHeight="1" thickTop="1" thickBot="1" x14ac:dyDescent="0.75">
      <c r="A2915" s="10">
        <v>2913</v>
      </c>
      <c r="B2915" s="58" t="str">
        <f>HYPERLINK("https://search.naver.com/search.naver?query=킬로 투 브라보 영화", "킬로 투 브라보")</f>
        <v>킬로 투 브라보</v>
      </c>
      <c r="C2915" s="12">
        <v>6.4</v>
      </c>
      <c r="D2915" s="13" t="s">
        <v>5817</v>
      </c>
      <c r="E2915" s="10" t="s">
        <v>29</v>
      </c>
      <c r="F2915" s="10">
        <v>2014</v>
      </c>
      <c r="G2915" s="10" t="s">
        <v>14</v>
      </c>
      <c r="H2915" s="11" t="s">
        <v>1247</v>
      </c>
      <c r="I2915" s="10" t="s">
        <v>38</v>
      </c>
      <c r="J2915" s="131"/>
      <c r="K2915" s="149" t="s">
        <v>5818</v>
      </c>
    </row>
    <row r="2916" spans="1:11" ht="28.9" customHeight="1" thickTop="1" thickBot="1" x14ac:dyDescent="0.75">
      <c r="A2916" s="10">
        <v>2914</v>
      </c>
      <c r="B2916" s="59" t="str">
        <f>HYPERLINK("https://search.naver.com/search.naver?query=킬링 이브 시즌1", "킬링 이브 시즌1")</f>
        <v>킬링 이브 시즌1</v>
      </c>
      <c r="C2916" s="16"/>
      <c r="D2916" s="17" t="s">
        <v>5819</v>
      </c>
      <c r="E2916" s="14" t="s">
        <v>29</v>
      </c>
      <c r="F2916" s="14">
        <v>2018</v>
      </c>
      <c r="G2916" s="14" t="s">
        <v>20</v>
      </c>
      <c r="H2916" s="15" t="s">
        <v>15</v>
      </c>
      <c r="I2916" s="14" t="s">
        <v>71</v>
      </c>
      <c r="J2916" s="132"/>
      <c r="K2916" s="150" t="s">
        <v>5820</v>
      </c>
    </row>
    <row r="2917" spans="1:11" ht="28.9" customHeight="1" thickTop="1" thickBot="1" x14ac:dyDescent="0.75">
      <c r="A2917" s="6">
        <v>2915</v>
      </c>
      <c r="B2917" s="59" t="str">
        <f>HYPERLINK("https://search.naver.com/search.naver?query=킬링 이브 시즌2", "킬링 이브 시즌2")</f>
        <v>킬링 이브 시즌2</v>
      </c>
      <c r="C2917" s="16"/>
      <c r="D2917" s="17" t="s">
        <v>5819</v>
      </c>
      <c r="E2917" s="14" t="s">
        <v>29</v>
      </c>
      <c r="F2917" s="14">
        <v>2019</v>
      </c>
      <c r="G2917" s="14" t="s">
        <v>20</v>
      </c>
      <c r="H2917" s="15" t="s">
        <v>15</v>
      </c>
      <c r="I2917" s="14" t="s">
        <v>71</v>
      </c>
      <c r="J2917" s="132"/>
      <c r="K2917" s="150" t="s">
        <v>5821</v>
      </c>
    </row>
    <row r="2918" spans="1:11" ht="28.9" customHeight="1" thickTop="1" thickBot="1" x14ac:dyDescent="0.75">
      <c r="A2918" s="10">
        <v>2916</v>
      </c>
      <c r="B2918" s="59" t="str">
        <f>HYPERLINK("https://search.naver.com/search.naver?query=킬링 이브 시즌3", "킬링 이브 시즌3")</f>
        <v>킬링 이브 시즌3</v>
      </c>
      <c r="C2918" s="16"/>
      <c r="D2918" s="17" t="s">
        <v>5819</v>
      </c>
      <c r="E2918" s="14" t="s">
        <v>29</v>
      </c>
      <c r="F2918" s="14">
        <v>2020</v>
      </c>
      <c r="G2918" s="14" t="s">
        <v>20</v>
      </c>
      <c r="H2918" s="15" t="s">
        <v>15</v>
      </c>
      <c r="I2918" s="14" t="s">
        <v>71</v>
      </c>
      <c r="J2918" s="132"/>
      <c r="K2918" s="150" t="s">
        <v>5822</v>
      </c>
    </row>
    <row r="2919" spans="1:11" ht="28.9" customHeight="1" thickTop="1" thickBot="1" x14ac:dyDescent="0.75">
      <c r="A2919" s="10">
        <v>2917</v>
      </c>
      <c r="B2919" s="59" t="str">
        <f>HYPERLINK("https://search.naver.com/search.naver?query=킬링 이브 시즌4", "킬링 이브 시즌4")</f>
        <v>킬링 이브 시즌4</v>
      </c>
      <c r="C2919" s="16"/>
      <c r="D2919" s="17" t="s">
        <v>5819</v>
      </c>
      <c r="E2919" s="14" t="s">
        <v>29</v>
      </c>
      <c r="F2919" s="14">
        <v>2022</v>
      </c>
      <c r="G2919" s="14" t="s">
        <v>20</v>
      </c>
      <c r="H2919" s="15" t="s">
        <v>15</v>
      </c>
      <c r="I2919" s="14" t="s">
        <v>71</v>
      </c>
      <c r="J2919" s="132"/>
      <c r="K2919" s="150" t="s">
        <v>4116</v>
      </c>
    </row>
    <row r="2920" spans="1:11" ht="28.9" customHeight="1" thickTop="1" thickBot="1" x14ac:dyDescent="0.75">
      <c r="A2920" s="6">
        <v>2918</v>
      </c>
      <c r="B2920" s="57" t="str">
        <f>HYPERLINK("https://search.naver.com/search.naver?query=킬링시즌 영화", "킬링시즌")</f>
        <v>킬링시즌</v>
      </c>
      <c r="C2920" s="8">
        <v>6.86</v>
      </c>
      <c r="D2920" s="9" t="s">
        <v>5823</v>
      </c>
      <c r="E2920" s="6" t="s">
        <v>24</v>
      </c>
      <c r="F2920" s="6">
        <v>2013</v>
      </c>
      <c r="G2920" s="6" t="s">
        <v>14</v>
      </c>
      <c r="H2920" s="7" t="s">
        <v>124</v>
      </c>
      <c r="I2920" s="6" t="s">
        <v>361</v>
      </c>
      <c r="J2920" s="130"/>
      <c r="K2920" s="148" t="s">
        <v>5824</v>
      </c>
    </row>
    <row r="2921" spans="1:11" ht="28.9" customHeight="1" thickTop="1" thickBot="1" x14ac:dyDescent="0.75">
      <c r="A2921" s="10">
        <v>2919</v>
      </c>
      <c r="B2921" s="58" t="str">
        <f>HYPERLINK("https://search.naver.com/search.naver?query=킹 리차드 영화", "킹 리차드")</f>
        <v>킹 리차드</v>
      </c>
      <c r="C2921" s="12">
        <v>7.7</v>
      </c>
      <c r="D2921" s="13" t="s">
        <v>5825</v>
      </c>
      <c r="E2921" s="10" t="s">
        <v>24</v>
      </c>
      <c r="F2921" s="10">
        <v>2021</v>
      </c>
      <c r="G2921" s="10" t="s">
        <v>14</v>
      </c>
      <c r="H2921" s="11" t="s">
        <v>20</v>
      </c>
      <c r="I2921" s="10" t="s">
        <v>57</v>
      </c>
      <c r="J2921" s="131"/>
      <c r="K2921" s="149" t="s">
        <v>5826</v>
      </c>
    </row>
    <row r="2922" spans="1:11" ht="28.9" customHeight="1" thickTop="1" thickBot="1" x14ac:dyDescent="0.75">
      <c r="A2922" s="10">
        <v>2920</v>
      </c>
      <c r="B2922" s="59" t="str">
        <f>HYPERLINK("https://search.naver.com/search.naver?query=킹덤 시즌1", "킹덤 시즌1")</f>
        <v>킹덤 시즌1</v>
      </c>
      <c r="C2922" s="16"/>
      <c r="D2922" s="17" t="s">
        <v>5827</v>
      </c>
      <c r="E2922" s="14" t="s">
        <v>13</v>
      </c>
      <c r="F2922" s="14">
        <v>2019</v>
      </c>
      <c r="G2922" s="14" t="s">
        <v>20</v>
      </c>
      <c r="H2922" s="15" t="s">
        <v>20</v>
      </c>
      <c r="I2922" s="14" t="s">
        <v>247</v>
      </c>
      <c r="J2922" s="132"/>
      <c r="K2922" s="150" t="s">
        <v>5828</v>
      </c>
    </row>
    <row r="2923" spans="1:11" ht="28.9" customHeight="1" thickTop="1" thickBot="1" x14ac:dyDescent="0.75">
      <c r="A2923" s="6">
        <v>2921</v>
      </c>
      <c r="B2923" s="59" t="str">
        <f>HYPERLINK("https://search.naver.com/search.naver?query=킹덤 시즌2", "킹덤 시즌2")</f>
        <v>킹덤 시즌2</v>
      </c>
      <c r="C2923" s="16"/>
      <c r="D2923" s="17" t="s">
        <v>5829</v>
      </c>
      <c r="E2923" s="14" t="s">
        <v>13</v>
      </c>
      <c r="F2923" s="14">
        <v>2020</v>
      </c>
      <c r="G2923" s="14" t="s">
        <v>20</v>
      </c>
      <c r="H2923" s="15" t="s">
        <v>20</v>
      </c>
      <c r="I2923" s="14" t="s">
        <v>247</v>
      </c>
      <c r="J2923" s="132"/>
      <c r="K2923" s="150" t="s">
        <v>5830</v>
      </c>
    </row>
    <row r="2924" spans="1:11" ht="28.9" customHeight="1" thickTop="1" thickBot="1" x14ac:dyDescent="0.75">
      <c r="A2924" s="10">
        <v>2922</v>
      </c>
      <c r="B2924" s="57" t="str">
        <f>HYPERLINK("https://search.naver.com/search.naver?query=킹메이커2011", "킹메이커")</f>
        <v>킹메이커</v>
      </c>
      <c r="C2924" s="8">
        <v>8.1</v>
      </c>
      <c r="D2924" s="9" t="s">
        <v>5831</v>
      </c>
      <c r="E2924" s="6" t="s">
        <v>13</v>
      </c>
      <c r="F2924" s="6">
        <v>2022</v>
      </c>
      <c r="G2924" s="6" t="s">
        <v>14</v>
      </c>
      <c r="H2924" s="7" t="s">
        <v>20</v>
      </c>
      <c r="I2924" s="6" t="s">
        <v>76</v>
      </c>
      <c r="J2924" s="130"/>
      <c r="K2924" s="148" t="s">
        <v>5832</v>
      </c>
    </row>
    <row r="2925" spans="1:11" ht="28.9" customHeight="1" thickTop="1" thickBot="1" x14ac:dyDescent="0.75">
      <c r="A2925" s="10">
        <v>2923</v>
      </c>
      <c r="B2925" s="58" t="str">
        <f>HYPERLINK("https://search.naver.com/search.naver?query=킹메이커 영화", "킹메이커")</f>
        <v>킹메이커</v>
      </c>
      <c r="C2925" s="12">
        <v>8.06</v>
      </c>
      <c r="D2925" s="13" t="s">
        <v>5833</v>
      </c>
      <c r="E2925" s="10" t="s">
        <v>24</v>
      </c>
      <c r="F2925" s="10">
        <v>2012</v>
      </c>
      <c r="G2925" s="10" t="s">
        <v>14</v>
      </c>
      <c r="H2925" s="11" t="s">
        <v>20</v>
      </c>
      <c r="I2925" s="10" t="s">
        <v>94</v>
      </c>
      <c r="J2925" s="131"/>
      <c r="K2925" s="149" t="s">
        <v>966</v>
      </c>
    </row>
    <row r="2926" spans="1:11" ht="28.9" customHeight="1" thickTop="1" thickBot="1" x14ac:dyDescent="0.75">
      <c r="A2926" s="6">
        <v>2924</v>
      </c>
      <c r="B2926" s="57" t="str">
        <f>HYPERLINK("https://search.naver.com/search.naver?query=킹스 스피치 영화", "킹스 스피치")</f>
        <v>킹스 스피치</v>
      </c>
      <c r="C2926" s="8">
        <v>8.33</v>
      </c>
      <c r="D2926" s="9" t="s">
        <v>5834</v>
      </c>
      <c r="E2926" s="6" t="s">
        <v>29</v>
      </c>
      <c r="F2926" s="6">
        <v>2010</v>
      </c>
      <c r="G2926" s="6" t="s">
        <v>14</v>
      </c>
      <c r="H2926" s="7" t="s">
        <v>20</v>
      </c>
      <c r="I2926" s="6" t="s">
        <v>329</v>
      </c>
      <c r="J2926" s="130"/>
      <c r="K2926" s="148" t="s">
        <v>5835</v>
      </c>
    </row>
    <row r="2927" spans="1:11" ht="28.9" customHeight="1" thickTop="1" thickBot="1" x14ac:dyDescent="0.75">
      <c r="A2927" s="10">
        <v>2925</v>
      </c>
      <c r="B2927" s="58" t="str">
        <f>HYPERLINK("https://search.naver.com/search.naver?query=킹스맨 골든 서클 영화", "킹스맨 - 골든 서클")</f>
        <v>킹스맨 - 골든 서클</v>
      </c>
      <c r="C2927" s="12">
        <v>8.61</v>
      </c>
      <c r="D2927" s="13" t="s">
        <v>5836</v>
      </c>
      <c r="E2927" s="10" t="s">
        <v>29</v>
      </c>
      <c r="F2927" s="10">
        <v>2017</v>
      </c>
      <c r="G2927" s="10" t="s">
        <v>14</v>
      </c>
      <c r="H2927" s="11" t="s">
        <v>124</v>
      </c>
      <c r="I2927" s="10" t="s">
        <v>759</v>
      </c>
      <c r="J2927" s="131"/>
      <c r="K2927" s="149" t="s">
        <v>5837</v>
      </c>
    </row>
    <row r="2928" spans="1:11" ht="28.9" customHeight="1" thickTop="1" thickBot="1" x14ac:dyDescent="0.75">
      <c r="A2928" s="10">
        <v>2926</v>
      </c>
      <c r="B2928" s="57" t="str">
        <f>HYPERLINK("https://search.naver.com/search.naver?query=킹스맨 퍼스트 에이전트 영화", "킹스맨-퍼스트 에이전트")</f>
        <v>킹스맨-퍼스트 에이전트</v>
      </c>
      <c r="C2928" s="8">
        <v>7.46</v>
      </c>
      <c r="D2928" s="9" t="s">
        <v>5838</v>
      </c>
      <c r="E2928" s="6" t="s">
        <v>29</v>
      </c>
      <c r="F2928" s="6">
        <v>2021</v>
      </c>
      <c r="G2928" s="6" t="s">
        <v>14</v>
      </c>
      <c r="H2928" s="7" t="s">
        <v>124</v>
      </c>
      <c r="I2928" s="6" t="s">
        <v>432</v>
      </c>
      <c r="J2928" s="130"/>
      <c r="K2928" s="148" t="s">
        <v>5839</v>
      </c>
    </row>
    <row r="2929" spans="1:11" ht="28.9" customHeight="1" thickTop="1" thickBot="1" x14ac:dyDescent="0.75">
      <c r="A2929" s="6">
        <v>2927</v>
      </c>
      <c r="B2929" s="58" t="str">
        <f>HYPERLINK("https://search.naver.com/search.naver?query=킹콩을 들다 영화", "킹콩을 들다")</f>
        <v>킹콩을 들다</v>
      </c>
      <c r="C2929" s="12">
        <v>9.23</v>
      </c>
      <c r="D2929" s="13" t="s">
        <v>5840</v>
      </c>
      <c r="E2929" s="10" t="s">
        <v>13</v>
      </c>
      <c r="F2929" s="10">
        <v>2009</v>
      </c>
      <c r="G2929" s="10" t="s">
        <v>14</v>
      </c>
      <c r="H2929" s="11" t="s">
        <v>20</v>
      </c>
      <c r="I2929" s="10" t="s">
        <v>68</v>
      </c>
      <c r="J2929" s="131"/>
      <c r="K2929" s="149" t="s">
        <v>5841</v>
      </c>
    </row>
    <row r="2930" spans="1:11" ht="28.9" customHeight="1" thickTop="1" thickBot="1" x14ac:dyDescent="0.75">
      <c r="A2930" s="10">
        <v>2928</v>
      </c>
      <c r="B2930" s="57" t="str">
        <f>HYPERLINK("https://search.naver.com/search.naver?query=타겟 넘버 원 영화", "타겟 넘버 원")</f>
        <v>타겟 넘버 원</v>
      </c>
      <c r="C2930" s="8">
        <v>6.4</v>
      </c>
      <c r="D2930" s="9" t="s">
        <v>5842</v>
      </c>
      <c r="E2930" s="6" t="s">
        <v>275</v>
      </c>
      <c r="F2930" s="6">
        <v>2020</v>
      </c>
      <c r="G2930" s="6" t="s">
        <v>14</v>
      </c>
      <c r="H2930" s="7" t="s">
        <v>428</v>
      </c>
      <c r="I2930" s="6" t="s">
        <v>316</v>
      </c>
      <c r="J2930" s="130"/>
      <c r="K2930" s="148" t="s">
        <v>5843</v>
      </c>
    </row>
    <row r="2931" spans="1:11" ht="28.9" customHeight="1" thickTop="1" thickBot="1" x14ac:dyDescent="0.75">
      <c r="A2931" s="10">
        <v>2929</v>
      </c>
      <c r="B2931" s="58" t="str">
        <f>HYPERLINK("https://search.naver.com/search.naver?query=타르 영화", "타르")</f>
        <v>타르</v>
      </c>
      <c r="C2931" s="12">
        <v>7.8</v>
      </c>
      <c r="D2931" s="13" t="s">
        <v>5844</v>
      </c>
      <c r="E2931" s="10" t="s">
        <v>24</v>
      </c>
      <c r="F2931" s="10">
        <v>2022</v>
      </c>
      <c r="G2931" s="10" t="s">
        <v>14</v>
      </c>
      <c r="H2931" s="11" t="s">
        <v>20</v>
      </c>
      <c r="I2931" s="10" t="s">
        <v>899</v>
      </c>
      <c r="J2931" s="131"/>
      <c r="K2931" s="149" t="s">
        <v>5845</v>
      </c>
    </row>
    <row r="2932" spans="1:11" ht="28.9" customHeight="1" thickTop="1" thickBot="1" x14ac:dyDescent="0.75">
      <c r="A2932" s="6">
        <v>2930</v>
      </c>
      <c r="B2932" s="57" t="str">
        <f>HYPERLINK("https://search.naver.com/search.naver?query=타오르는 여인의 초상 영화", "타오르는 여인의 초상")</f>
        <v>타오르는 여인의 초상</v>
      </c>
      <c r="C2932" s="8">
        <v>9.1</v>
      </c>
      <c r="D2932" s="9" t="s">
        <v>5846</v>
      </c>
      <c r="E2932" s="6" t="s">
        <v>310</v>
      </c>
      <c r="F2932" s="6">
        <v>2019</v>
      </c>
      <c r="G2932" s="6" t="s">
        <v>14</v>
      </c>
      <c r="H2932" s="7" t="s">
        <v>20</v>
      </c>
      <c r="I2932" s="6" t="s">
        <v>116</v>
      </c>
      <c r="J2932" s="130"/>
      <c r="K2932" s="148" t="s">
        <v>5847</v>
      </c>
    </row>
    <row r="2933" spans="1:11" ht="28.9" customHeight="1" thickTop="1" thickBot="1" x14ac:dyDescent="0.75">
      <c r="A2933" s="10">
        <v>2931</v>
      </c>
      <c r="B2933" s="58" t="str">
        <f>HYPERLINK("https://search.naver.com/search.naver?query=타워 영화", "타워")</f>
        <v>타워</v>
      </c>
      <c r="C2933" s="12">
        <v>8.02</v>
      </c>
      <c r="D2933" s="13" t="s">
        <v>5848</v>
      </c>
      <c r="E2933" s="10" t="s">
        <v>13</v>
      </c>
      <c r="F2933" s="10">
        <v>2012</v>
      </c>
      <c r="G2933" s="10" t="s">
        <v>14</v>
      </c>
      <c r="H2933" s="11" t="s">
        <v>124</v>
      </c>
      <c r="I2933" s="10" t="s">
        <v>195</v>
      </c>
      <c r="J2933" s="131"/>
      <c r="K2933" s="149" t="s">
        <v>5849</v>
      </c>
    </row>
    <row r="2934" spans="1:11" ht="28.9" customHeight="1" thickTop="1" thickBot="1" x14ac:dyDescent="0.75">
      <c r="A2934" s="10">
        <v>2932</v>
      </c>
      <c r="B2934" s="57" t="str">
        <f>HYPERLINK("https://search.naver.com/search.naver?query=타워 하이스트 영화", "타워 하이스트")</f>
        <v>타워 하이스트</v>
      </c>
      <c r="C2934" s="8">
        <v>7.54</v>
      </c>
      <c r="D2934" s="9" t="s">
        <v>5850</v>
      </c>
      <c r="E2934" s="6" t="s">
        <v>24</v>
      </c>
      <c r="F2934" s="6">
        <v>2011</v>
      </c>
      <c r="G2934" s="6" t="s">
        <v>14</v>
      </c>
      <c r="H2934" s="7" t="s">
        <v>91</v>
      </c>
      <c r="I2934" s="6" t="s">
        <v>242</v>
      </c>
      <c r="J2934" s="130"/>
      <c r="K2934" s="148" t="s">
        <v>5851</v>
      </c>
    </row>
    <row r="2935" spans="1:11" ht="28.9" customHeight="1" thickTop="1" thickBot="1" x14ac:dyDescent="0.75">
      <c r="A2935" s="6">
        <v>2933</v>
      </c>
      <c r="B2935" s="58" t="str">
        <f>HYPERLINK("https://search.naver.com/search.naver?query=타이타닉 영화", "타이타닉")</f>
        <v>타이타닉</v>
      </c>
      <c r="C2935" s="12">
        <v>9.68</v>
      </c>
      <c r="D2935" s="13" t="s">
        <v>5852</v>
      </c>
      <c r="E2935" s="10" t="s">
        <v>24</v>
      </c>
      <c r="F2935" s="10">
        <v>1997</v>
      </c>
      <c r="G2935" s="10" t="s">
        <v>14</v>
      </c>
      <c r="H2935" s="11" t="s">
        <v>20</v>
      </c>
      <c r="I2935" s="10" t="s">
        <v>5853</v>
      </c>
      <c r="J2935" s="131"/>
      <c r="K2935" s="149" t="s">
        <v>5854</v>
      </c>
    </row>
    <row r="2936" spans="1:11" ht="28.9" customHeight="1" thickTop="1" thickBot="1" x14ac:dyDescent="0.75">
      <c r="A2936" s="10">
        <v>2934</v>
      </c>
      <c r="B2936" s="57" t="str">
        <f>HYPERLINK("https://search.naver.com/search.naver?query=타이페이 카페 스토리 영화", "타이페이 카페 스토리")</f>
        <v>타이페이 카페 스토리</v>
      </c>
      <c r="C2936" s="8">
        <v>8.0399999999999991</v>
      </c>
      <c r="D2936" s="9" t="s">
        <v>5855</v>
      </c>
      <c r="E2936" s="6" t="s">
        <v>608</v>
      </c>
      <c r="F2936" s="6">
        <v>2010</v>
      </c>
      <c r="G2936" s="6" t="s">
        <v>14</v>
      </c>
      <c r="H2936" s="7" t="s">
        <v>20</v>
      </c>
      <c r="I2936" s="6" t="s">
        <v>150</v>
      </c>
      <c r="J2936" s="130"/>
      <c r="K2936" s="148" t="s">
        <v>5856</v>
      </c>
    </row>
    <row r="2937" spans="1:11" ht="28.9" customHeight="1" thickTop="1" thickBot="1" x14ac:dyDescent="0.75">
      <c r="A2937" s="10">
        <v>2935</v>
      </c>
      <c r="B2937" s="58" t="str">
        <f>HYPERLINK("https://search.naver.com/search.naver?query=타인의 삶 영화", "타인의 삶")</f>
        <v>타인의 삶</v>
      </c>
      <c r="C2937" s="12">
        <v>8.69</v>
      </c>
      <c r="D2937" s="13" t="s">
        <v>5857</v>
      </c>
      <c r="E2937" s="10" t="s">
        <v>136</v>
      </c>
      <c r="F2937" s="10">
        <v>2006</v>
      </c>
      <c r="G2937" s="10" t="s">
        <v>14</v>
      </c>
      <c r="H2937" s="11" t="s">
        <v>20</v>
      </c>
      <c r="I2937" s="10" t="s">
        <v>269</v>
      </c>
      <c r="J2937" s="131"/>
      <c r="K2937" s="149" t="s">
        <v>5858</v>
      </c>
    </row>
    <row r="2938" spans="1:11" ht="28.9" customHeight="1" thickTop="1" thickBot="1" x14ac:dyDescent="0.75">
      <c r="A2938" s="6">
        <v>2936</v>
      </c>
      <c r="B2938" s="57" t="str">
        <f>HYPERLINK("https://search.naver.com/search.naver?query=타인의 친절 영화", "타인의 친절")</f>
        <v>타인의 친절</v>
      </c>
      <c r="C2938" s="8">
        <v>7.3</v>
      </c>
      <c r="D2938" s="9" t="s">
        <v>5859</v>
      </c>
      <c r="E2938" s="6" t="s">
        <v>161</v>
      </c>
      <c r="F2938" s="6">
        <v>2019</v>
      </c>
      <c r="G2938" s="6" t="s">
        <v>14</v>
      </c>
      <c r="H2938" s="7" t="s">
        <v>20</v>
      </c>
      <c r="I2938" s="6" t="s">
        <v>429</v>
      </c>
      <c r="J2938" s="130"/>
      <c r="K2938" s="148" t="s">
        <v>5860</v>
      </c>
    </row>
    <row r="2939" spans="1:11" ht="28.9" customHeight="1" thickTop="1" thickBot="1" x14ac:dyDescent="0.75">
      <c r="A2939" s="10">
        <v>2937</v>
      </c>
      <c r="B2939" s="59" t="str">
        <f>HYPERLINK("https://search.naver.com/search.naver?query=타임", "타임")</f>
        <v>타임</v>
      </c>
      <c r="C2939" s="16"/>
      <c r="D2939" s="17" t="s">
        <v>5861</v>
      </c>
      <c r="E2939" s="14" t="s">
        <v>29</v>
      </c>
      <c r="F2939" s="14">
        <v>2021</v>
      </c>
      <c r="G2939" s="14" t="s">
        <v>20</v>
      </c>
      <c r="H2939" s="15" t="s">
        <v>20</v>
      </c>
      <c r="I2939" s="14" t="s">
        <v>3055</v>
      </c>
      <c r="J2939" s="132"/>
      <c r="K2939" s="150" t="s">
        <v>5862</v>
      </c>
    </row>
    <row r="2940" spans="1:11" ht="28.9" customHeight="1" thickTop="1" thickBot="1" x14ac:dyDescent="0.75">
      <c r="A2940" s="10">
        <v>2938</v>
      </c>
      <c r="B2940" s="57" t="str">
        <f>HYPERLINK("https://search.naver.com/search.naver?query=타임 투 러브 영화", "타임 투 러브")</f>
        <v>타임 투 러브</v>
      </c>
      <c r="C2940" s="8">
        <v>7.39</v>
      </c>
      <c r="D2940" s="9" t="s">
        <v>5863</v>
      </c>
      <c r="E2940" s="6" t="s">
        <v>19</v>
      </c>
      <c r="F2940" s="6">
        <v>2014</v>
      </c>
      <c r="G2940" s="6" t="s">
        <v>14</v>
      </c>
      <c r="H2940" s="7" t="s">
        <v>165</v>
      </c>
      <c r="I2940" s="6" t="s">
        <v>150</v>
      </c>
      <c r="J2940" s="130"/>
      <c r="K2940" s="148" t="s">
        <v>5864</v>
      </c>
    </row>
    <row r="2941" spans="1:11" ht="28.9" customHeight="1" thickTop="1" thickBot="1" x14ac:dyDescent="0.75">
      <c r="A2941" s="6">
        <v>2939</v>
      </c>
      <c r="B2941" s="58" t="str">
        <f>HYPERLINK("https://search.naver.com/search.naver?query=타임 투게더 영화", "타임 투게더")</f>
        <v>타임 투게더</v>
      </c>
      <c r="C2941" s="12">
        <v>9</v>
      </c>
      <c r="D2941" s="13" t="s">
        <v>5865</v>
      </c>
      <c r="E2941" s="10" t="s">
        <v>275</v>
      </c>
      <c r="F2941" s="10">
        <v>2017</v>
      </c>
      <c r="G2941" s="10" t="s">
        <v>14</v>
      </c>
      <c r="H2941" s="11" t="s">
        <v>165</v>
      </c>
      <c r="I2941" s="10" t="s">
        <v>137</v>
      </c>
      <c r="J2941" s="131"/>
      <c r="K2941" s="149" t="s">
        <v>5866</v>
      </c>
    </row>
    <row r="2942" spans="1:11" ht="28.9" customHeight="1" thickTop="1" thickBot="1" x14ac:dyDescent="0.75">
      <c r="A2942" s="10">
        <v>2940</v>
      </c>
      <c r="B2942" s="57" t="str">
        <f>HYPERLINK("https://search.naver.com/search.naver?query=타임 패러독스 영화", "타임 패러독스")</f>
        <v>타임 패러독스</v>
      </c>
      <c r="C2942" s="8">
        <v>7.94</v>
      </c>
      <c r="D2942" s="9" t="s">
        <v>5867</v>
      </c>
      <c r="E2942" s="6" t="s">
        <v>19</v>
      </c>
      <c r="F2942" s="6">
        <v>2014</v>
      </c>
      <c r="G2942" s="6" t="s">
        <v>14</v>
      </c>
      <c r="H2942" s="7" t="s">
        <v>877</v>
      </c>
      <c r="I2942" s="6" t="s">
        <v>150</v>
      </c>
      <c r="J2942" s="130"/>
      <c r="K2942" s="148" t="s">
        <v>5868</v>
      </c>
    </row>
    <row r="2943" spans="1:11" ht="28.9" customHeight="1" thickTop="1" thickBot="1" x14ac:dyDescent="0.75">
      <c r="A2943" s="10">
        <v>2941</v>
      </c>
      <c r="B2943" s="58" t="str">
        <f>HYPERLINK("https://search.naver.com/search.naver?query=타짜 신의 손 영화", "타짜-신의 손")</f>
        <v>타짜-신의 손</v>
      </c>
      <c r="C2943" s="12">
        <v>7.77</v>
      </c>
      <c r="D2943" s="13" t="s">
        <v>5869</v>
      </c>
      <c r="E2943" s="10" t="s">
        <v>13</v>
      </c>
      <c r="F2943" s="10">
        <v>2014</v>
      </c>
      <c r="G2943" s="10" t="s">
        <v>14</v>
      </c>
      <c r="H2943" s="11" t="s">
        <v>428</v>
      </c>
      <c r="I2943" s="10" t="s">
        <v>221</v>
      </c>
      <c r="J2943" s="131"/>
      <c r="K2943" s="149" t="s">
        <v>5870</v>
      </c>
    </row>
    <row r="2944" spans="1:11" ht="28.9" customHeight="1" thickTop="1" thickBot="1" x14ac:dyDescent="0.75">
      <c r="A2944" s="6">
        <v>2942</v>
      </c>
      <c r="B2944" s="57" t="str">
        <f>HYPERLINK("https://search.naver.com/search.naver?query=탄생 영화", "탄생")</f>
        <v>탄생</v>
      </c>
      <c r="C2944" s="8">
        <v>8.1300000000000008</v>
      </c>
      <c r="D2944" s="9" t="s">
        <v>5871</v>
      </c>
      <c r="E2944" s="6" t="s">
        <v>13</v>
      </c>
      <c r="F2944" s="6">
        <v>2004</v>
      </c>
      <c r="G2944" s="6" t="s">
        <v>14</v>
      </c>
      <c r="H2944" s="7" t="s">
        <v>20</v>
      </c>
      <c r="I2944" s="6" t="s">
        <v>150</v>
      </c>
      <c r="J2944" s="130"/>
      <c r="K2944" s="148" t="s">
        <v>5872</v>
      </c>
    </row>
    <row r="2945" spans="1:11" ht="28.9" customHeight="1" thickTop="1" thickBot="1" x14ac:dyDescent="0.75">
      <c r="A2945" s="10">
        <v>2943</v>
      </c>
      <c r="B2945" s="58" t="str">
        <f>HYPERLINK("https://search.naver.com/search.naver?query=탈주 영화", "탈주")</f>
        <v>탈주</v>
      </c>
      <c r="C2945" s="12">
        <v>7.83</v>
      </c>
      <c r="D2945" s="13" t="s">
        <v>5873</v>
      </c>
      <c r="E2945" s="10" t="s">
        <v>13</v>
      </c>
      <c r="F2945" s="10">
        <v>2024</v>
      </c>
      <c r="G2945" s="10" t="s">
        <v>14</v>
      </c>
      <c r="H2945" s="11" t="s">
        <v>124</v>
      </c>
      <c r="I2945" s="10" t="s">
        <v>175</v>
      </c>
      <c r="J2945" s="131"/>
      <c r="K2945" s="149" t="s">
        <v>5874</v>
      </c>
    </row>
    <row r="2946" spans="1:11" s="24" customFormat="1" ht="28.9" customHeight="1" thickTop="1" thickBot="1" x14ac:dyDescent="0.75">
      <c r="A2946" s="10">
        <v>2944</v>
      </c>
      <c r="B2946" s="63" t="str">
        <f>HYPERLINK("https://search.naver.com/search.naver?query=탐엣더팜 영화", "탐엣더팜")</f>
        <v>탐엣더팜</v>
      </c>
      <c r="C2946" s="33">
        <v>8.06</v>
      </c>
      <c r="D2946" s="23" t="s">
        <v>5875</v>
      </c>
      <c r="E2946" s="42" t="s">
        <v>275</v>
      </c>
      <c r="F2946" s="45">
        <v>2013</v>
      </c>
      <c r="G2946" s="45" t="s">
        <v>14</v>
      </c>
      <c r="H2946" s="50" t="s">
        <v>54</v>
      </c>
      <c r="I2946" s="53" t="s">
        <v>133</v>
      </c>
      <c r="J2946" s="137"/>
      <c r="K2946" s="157" t="s">
        <v>5876</v>
      </c>
    </row>
    <row r="2947" spans="1:11" ht="28.9" customHeight="1" thickTop="1" thickBot="1" x14ac:dyDescent="0.75">
      <c r="A2947" s="6">
        <v>2945</v>
      </c>
      <c r="B2947" s="58" t="str">
        <f>HYPERLINK("https://search.naver.com/search.naver?query=탐욕의 제국 영화", "탐욕의 제국")</f>
        <v>탐욕의 제국</v>
      </c>
      <c r="C2947" s="12">
        <v>9.4499999999999993</v>
      </c>
      <c r="D2947" s="13" t="s">
        <v>5877</v>
      </c>
      <c r="E2947" s="10" t="s">
        <v>13</v>
      </c>
      <c r="F2947" s="10">
        <v>2012</v>
      </c>
      <c r="G2947" s="10" t="s">
        <v>14</v>
      </c>
      <c r="H2947" s="11" t="s">
        <v>20</v>
      </c>
      <c r="I2947" s="10" t="s">
        <v>150</v>
      </c>
      <c r="J2947" s="131"/>
      <c r="K2947" s="149" t="s">
        <v>5878</v>
      </c>
    </row>
    <row r="2948" spans="1:11" ht="28.9" customHeight="1" thickTop="1" thickBot="1" x14ac:dyDescent="0.75">
      <c r="A2948" s="10">
        <v>2946</v>
      </c>
      <c r="B2948" s="57" t="str">
        <f>HYPERLINK("https://search.naver.com/search.naver?query=탐정 더 비기닝 영화", "탐정 - 더 비기닝")</f>
        <v>탐정 - 더 비기닝</v>
      </c>
      <c r="C2948" s="8">
        <v>8.6199999999999992</v>
      </c>
      <c r="D2948" s="9" t="s">
        <v>5879</v>
      </c>
      <c r="E2948" s="6" t="s">
        <v>13</v>
      </c>
      <c r="F2948" s="6">
        <v>2015</v>
      </c>
      <c r="G2948" s="6" t="s">
        <v>14</v>
      </c>
      <c r="H2948" s="7" t="s">
        <v>428</v>
      </c>
      <c r="I2948" s="6" t="s">
        <v>116</v>
      </c>
      <c r="J2948" s="130"/>
      <c r="K2948" s="148" t="s">
        <v>5880</v>
      </c>
    </row>
    <row r="2949" spans="1:11" ht="28.9" customHeight="1" thickTop="1" thickBot="1" x14ac:dyDescent="0.75">
      <c r="A2949" s="10">
        <v>2947</v>
      </c>
      <c r="B2949" s="58" t="str">
        <f>HYPERLINK("https://search.naver.com/search.naver?query=탐정 리턴즈 영화", "탐정-리턴즈")</f>
        <v>탐정-리턴즈</v>
      </c>
      <c r="C2949" s="12">
        <v>8.99</v>
      </c>
      <c r="D2949" s="13" t="s">
        <v>5881</v>
      </c>
      <c r="E2949" s="10" t="s">
        <v>13</v>
      </c>
      <c r="F2949" s="10">
        <v>2018</v>
      </c>
      <c r="G2949" s="10" t="s">
        <v>14</v>
      </c>
      <c r="H2949" s="11" t="s">
        <v>428</v>
      </c>
      <c r="I2949" s="10" t="s">
        <v>591</v>
      </c>
      <c r="J2949" s="131"/>
      <c r="K2949" s="149" t="s">
        <v>5882</v>
      </c>
    </row>
    <row r="2950" spans="1:11" ht="28.9" customHeight="1" thickTop="1" thickBot="1" x14ac:dyDescent="0.75">
      <c r="A2950" s="6">
        <v>2948</v>
      </c>
      <c r="B2950" s="64" t="str">
        <f>HYPERLINK("https://search.naver.com/search.naver?query=탑건 매버릭 영화", "탑건")</f>
        <v>탑건</v>
      </c>
      <c r="C2950" s="32"/>
      <c r="D2950" s="37"/>
      <c r="E2950" s="41"/>
      <c r="F2950" s="41"/>
      <c r="G2950" s="41"/>
      <c r="H2950" s="49"/>
      <c r="I2950" s="41"/>
      <c r="J2950" s="138"/>
      <c r="K2950" s="158" t="s">
        <v>5883</v>
      </c>
    </row>
    <row r="2951" spans="1:11" ht="28.9" customHeight="1" thickTop="1" thickBot="1" x14ac:dyDescent="0.75">
      <c r="A2951" s="10">
        <v>2949</v>
      </c>
      <c r="B2951" s="57" t="str">
        <f>HYPERLINK("https://search.naver.com/search.naver?query=탑건 매버릭 영화", "탑건-매버릭")</f>
        <v>탑건-매버릭</v>
      </c>
      <c r="C2951" s="8">
        <v>9.57</v>
      </c>
      <c r="D2951" s="9" t="s">
        <v>5884</v>
      </c>
      <c r="E2951" s="6" t="s">
        <v>24</v>
      </c>
      <c r="F2951" s="6">
        <v>2022</v>
      </c>
      <c r="G2951" s="6" t="s">
        <v>14</v>
      </c>
      <c r="H2951" s="7" t="s">
        <v>124</v>
      </c>
      <c r="I2951" s="6" t="s">
        <v>42</v>
      </c>
      <c r="J2951" s="130"/>
      <c r="K2951" s="148" t="s">
        <v>5885</v>
      </c>
    </row>
    <row r="2952" spans="1:11" ht="28.9" customHeight="1" thickTop="1" thickBot="1" x14ac:dyDescent="0.75">
      <c r="A2952" s="10">
        <v>2950</v>
      </c>
      <c r="B2952" s="58" t="str">
        <f>HYPERLINK("https://search.naver.com/search.naver?query=태극기 휘날리며 영화", "태극기 휘날리며")</f>
        <v>태극기 휘날리며</v>
      </c>
      <c r="C2952" s="12">
        <v>8.76</v>
      </c>
      <c r="D2952" s="13" t="s">
        <v>5886</v>
      </c>
      <c r="E2952" s="10" t="s">
        <v>13</v>
      </c>
      <c r="F2952" s="10">
        <v>2004</v>
      </c>
      <c r="G2952" s="10" t="s">
        <v>14</v>
      </c>
      <c r="H2952" s="11" t="s">
        <v>1247</v>
      </c>
      <c r="I2952" s="10" t="s">
        <v>34</v>
      </c>
      <c r="J2952" s="131"/>
      <c r="K2952" s="149" t="s">
        <v>5887</v>
      </c>
    </row>
    <row r="2953" spans="1:11" ht="28.9" customHeight="1" thickTop="1" thickBot="1" x14ac:dyDescent="0.75">
      <c r="A2953" s="6">
        <v>2951</v>
      </c>
      <c r="B2953" s="57" t="str">
        <f>HYPERLINK("https://search.naver.com/search.naver?query=태양은 움직이지 않는다 영화", "태양은 움직이지 않는다")</f>
        <v>태양은 움직이지 않는다</v>
      </c>
      <c r="C2953" s="8">
        <v>4</v>
      </c>
      <c r="D2953" s="9" t="s">
        <v>5888</v>
      </c>
      <c r="E2953" s="6" t="s">
        <v>19</v>
      </c>
      <c r="F2953" s="6">
        <v>2020</v>
      </c>
      <c r="G2953" s="6" t="s">
        <v>14</v>
      </c>
      <c r="H2953" s="7" t="s">
        <v>54</v>
      </c>
      <c r="I2953" s="6" t="s">
        <v>150</v>
      </c>
      <c r="J2953" s="130"/>
      <c r="K2953" s="148" t="s">
        <v>5889</v>
      </c>
    </row>
    <row r="2954" spans="1:11" ht="28.9" customHeight="1" thickTop="1" thickBot="1" x14ac:dyDescent="0.75">
      <c r="A2954" s="10">
        <v>2952</v>
      </c>
      <c r="B2954" s="58" t="str">
        <f>HYPERLINK("https://search.naver.com/search.naver?query=태양의 노래 영화", "태양의 노래")</f>
        <v>태양의 노래</v>
      </c>
      <c r="C2954" s="12">
        <v>6.57</v>
      </c>
      <c r="D2954" s="13" t="s">
        <v>5890</v>
      </c>
      <c r="E2954" s="10" t="s">
        <v>19</v>
      </c>
      <c r="F2954" s="10">
        <v>2006</v>
      </c>
      <c r="G2954" s="10" t="s">
        <v>14</v>
      </c>
      <c r="H2954" s="11" t="s">
        <v>165</v>
      </c>
      <c r="I2954" s="10" t="s">
        <v>68</v>
      </c>
      <c r="J2954" s="131"/>
      <c r="K2954" s="149" t="s">
        <v>5891</v>
      </c>
    </row>
    <row r="2955" spans="1:11" ht="28.9" customHeight="1" thickTop="1" thickBot="1" x14ac:dyDescent="0.75">
      <c r="A2955" s="10">
        <v>2953</v>
      </c>
      <c r="B2955" s="57" t="str">
        <f>HYPERLINK("https://search.naver.com/search.naver?query=태양의 제국 영화", "태양의 제국")</f>
        <v>태양의 제국</v>
      </c>
      <c r="C2955" s="8">
        <v>8.41</v>
      </c>
      <c r="D2955" s="9" t="s">
        <v>5892</v>
      </c>
      <c r="E2955" s="6" t="s">
        <v>24</v>
      </c>
      <c r="F2955" s="6">
        <v>1987</v>
      </c>
      <c r="G2955" s="6" t="s">
        <v>14</v>
      </c>
      <c r="H2955" s="7" t="s">
        <v>20</v>
      </c>
      <c r="I2955" s="6" t="s">
        <v>1181</v>
      </c>
      <c r="J2955" s="130"/>
      <c r="K2955" s="148" t="s">
        <v>5893</v>
      </c>
    </row>
    <row r="2956" spans="1:11" ht="28.9" customHeight="1" thickTop="1" thickBot="1" x14ac:dyDescent="0.75">
      <c r="A2956" s="6">
        <v>2954</v>
      </c>
      <c r="B2956" s="58" t="str">
        <f>HYPERLINK("https://search.naver.com/search.naver?query=태평륜 피안 영화", "태평륜 피안")</f>
        <v>태평륜 피안</v>
      </c>
      <c r="C2956" s="12">
        <v>7.21</v>
      </c>
      <c r="D2956" s="13" t="s">
        <v>5894</v>
      </c>
      <c r="E2956" s="10" t="s">
        <v>186</v>
      </c>
      <c r="F2956" s="10">
        <v>2015</v>
      </c>
      <c r="G2956" s="10" t="s">
        <v>14</v>
      </c>
      <c r="H2956" s="11" t="s">
        <v>20</v>
      </c>
      <c r="I2956" s="10" t="s">
        <v>432</v>
      </c>
      <c r="J2956" s="131"/>
      <c r="K2956" s="149" t="s">
        <v>5895</v>
      </c>
    </row>
    <row r="2957" spans="1:11" ht="28.9" customHeight="1" thickTop="1" thickBot="1" x14ac:dyDescent="0.75">
      <c r="A2957" s="10">
        <v>2955</v>
      </c>
      <c r="B2957" s="57" t="str">
        <f>HYPERLINK("https://search.naver.com/search.naver?query=태풍이 지나가고 영화", "태풍이 지나가고")</f>
        <v>태풍이 지나가고</v>
      </c>
      <c r="C2957" s="8">
        <v>8.65</v>
      </c>
      <c r="D2957" s="9" t="s">
        <v>5896</v>
      </c>
      <c r="E2957" s="6" t="s">
        <v>19</v>
      </c>
      <c r="F2957" s="6">
        <v>2016</v>
      </c>
      <c r="G2957" s="6" t="s">
        <v>14</v>
      </c>
      <c r="H2957" s="7" t="s">
        <v>20</v>
      </c>
      <c r="I2957" s="6" t="s">
        <v>120</v>
      </c>
      <c r="J2957" s="130"/>
      <c r="K2957" s="148" t="s">
        <v>5897</v>
      </c>
    </row>
    <row r="2958" spans="1:11" ht="28.9" customHeight="1" thickTop="1" thickBot="1" x14ac:dyDescent="0.75">
      <c r="A2958" s="10">
        <v>2956</v>
      </c>
      <c r="B2958" s="58" t="str">
        <f>HYPERLINK("https://search.naver.com/search.naver?query=택시운전사 영화", "택시운전사")</f>
        <v>택시운전사</v>
      </c>
      <c r="C2958" s="12">
        <v>9.2799999999999994</v>
      </c>
      <c r="D2958" s="13" t="s">
        <v>5898</v>
      </c>
      <c r="E2958" s="10" t="s">
        <v>13</v>
      </c>
      <c r="F2958" s="10">
        <v>2017</v>
      </c>
      <c r="G2958" s="10" t="s">
        <v>14</v>
      </c>
      <c r="H2958" s="11" t="s">
        <v>20</v>
      </c>
      <c r="I2958" s="10" t="s">
        <v>269</v>
      </c>
      <c r="J2958" s="131"/>
      <c r="K2958" s="149" t="s">
        <v>5899</v>
      </c>
    </row>
    <row r="2959" spans="1:11" ht="28.9" customHeight="1" thickTop="1" thickBot="1" x14ac:dyDescent="0.75">
      <c r="A2959" s="6">
        <v>2957</v>
      </c>
      <c r="B2959" s="57" t="str">
        <f>HYPERLINK("https://search.naver.com/search.naver?query=터널 영화", "터널")</f>
        <v>터널</v>
      </c>
      <c r="C2959" s="8"/>
      <c r="D2959" s="9" t="s">
        <v>5900</v>
      </c>
      <c r="E2959" s="6" t="s">
        <v>13</v>
      </c>
      <c r="F2959" s="6">
        <v>2016</v>
      </c>
      <c r="G2959" s="6" t="s">
        <v>14</v>
      </c>
      <c r="H2959" s="7" t="s">
        <v>1255</v>
      </c>
      <c r="I2959" s="6" t="s">
        <v>105</v>
      </c>
      <c r="J2959" s="130"/>
      <c r="K2959" s="148" t="s">
        <v>5901</v>
      </c>
    </row>
    <row r="2960" spans="1:11" ht="28.9" customHeight="1" thickTop="1" thickBot="1" x14ac:dyDescent="0.75">
      <c r="A2960" s="10">
        <v>2958</v>
      </c>
      <c r="B2960" s="58" t="str">
        <f>HYPERLINK("https://search.naver.com/search.naver?query=터미널 영화", "터미널")</f>
        <v>터미널</v>
      </c>
      <c r="C2960" s="12">
        <v>9</v>
      </c>
      <c r="D2960" s="13" t="s">
        <v>5902</v>
      </c>
      <c r="E2960" s="10" t="s">
        <v>24</v>
      </c>
      <c r="F2960" s="10">
        <v>2004</v>
      </c>
      <c r="G2960" s="10" t="s">
        <v>14</v>
      </c>
      <c r="H2960" s="11" t="s">
        <v>20</v>
      </c>
      <c r="I2960" s="10" t="s">
        <v>146</v>
      </c>
      <c r="J2960" s="131"/>
      <c r="K2960" s="149" t="s">
        <v>5903</v>
      </c>
    </row>
    <row r="2961" spans="1:11" ht="28.9" customHeight="1" thickTop="1" thickBot="1" x14ac:dyDescent="0.75">
      <c r="A2961" s="10">
        <v>2959</v>
      </c>
      <c r="B2961" s="59" t="str">
        <f>HYPERLINK("https://search.naver.com/search.naver?query=터미널 리스트 다크 울프 시즌1", "터미널 리스트 다크 울프 시즌1")</f>
        <v>터미널 리스트 다크 울프 시즌1</v>
      </c>
      <c r="C2961" s="16"/>
      <c r="D2961" s="17" t="s">
        <v>5904</v>
      </c>
      <c r="E2961" s="14" t="s">
        <v>24</v>
      </c>
      <c r="F2961" s="14">
        <v>2025</v>
      </c>
      <c r="G2961" s="14" t="s">
        <v>20</v>
      </c>
      <c r="H2961" s="15" t="s">
        <v>229</v>
      </c>
      <c r="I2961" s="14" t="s">
        <v>512</v>
      </c>
      <c r="J2961" s="132"/>
      <c r="K2961" s="150" t="s">
        <v>5905</v>
      </c>
    </row>
    <row r="2962" spans="1:11" ht="28.9" customHeight="1" thickTop="1" thickBot="1" x14ac:dyDescent="0.75">
      <c r="A2962" s="6">
        <v>2960</v>
      </c>
      <c r="B2962" s="58" t="str">
        <f>HYPERLINK("https://search.naver.com/search.naver?query=터미네이터 제니시스 영화", "터미네이터 - 제니시스")</f>
        <v>터미네이터 - 제니시스</v>
      </c>
      <c r="C2962" s="12">
        <v>8.1300000000000008</v>
      </c>
      <c r="D2962" s="13" t="s">
        <v>5906</v>
      </c>
      <c r="E2962" s="10" t="s">
        <v>24</v>
      </c>
      <c r="F2962" s="10">
        <v>2015</v>
      </c>
      <c r="G2962" s="10" t="s">
        <v>14</v>
      </c>
      <c r="H2962" s="11" t="s">
        <v>124</v>
      </c>
      <c r="I2962" s="10" t="s">
        <v>105</v>
      </c>
      <c r="J2962" s="131"/>
      <c r="K2962" s="149" t="s">
        <v>5907</v>
      </c>
    </row>
    <row r="2963" spans="1:11" ht="28.9" customHeight="1" thickTop="1" thickBot="1" x14ac:dyDescent="0.75">
      <c r="A2963" s="10">
        <v>2961</v>
      </c>
      <c r="B2963" s="57" t="str">
        <f>HYPERLINK("https://search.naver.com/search.naver?query=터미네이터 다크 페이트 영화", "터미네이터-다크 페이트")</f>
        <v>터미네이터-다크 페이트</v>
      </c>
      <c r="C2963" s="8">
        <v>8.56</v>
      </c>
      <c r="D2963" s="9" t="s">
        <v>5908</v>
      </c>
      <c r="E2963" s="6" t="s">
        <v>24</v>
      </c>
      <c r="F2963" s="6">
        <v>2019</v>
      </c>
      <c r="G2963" s="6" t="s">
        <v>14</v>
      </c>
      <c r="H2963" s="7" t="s">
        <v>124</v>
      </c>
      <c r="I2963" s="6" t="s">
        <v>146</v>
      </c>
      <c r="J2963" s="130"/>
      <c r="K2963" s="148" t="s">
        <v>5909</v>
      </c>
    </row>
    <row r="2964" spans="1:11" ht="28.9" customHeight="1" thickTop="1" thickBot="1" x14ac:dyDescent="0.75">
      <c r="A2964" s="10">
        <v>2962</v>
      </c>
      <c r="B2964" s="58" t="str">
        <f>HYPERLINK("https://search.naver.com/search.naver?query=터치 영화", "터치")</f>
        <v>터치</v>
      </c>
      <c r="C2964" s="12">
        <v>6.83</v>
      </c>
      <c r="D2964" s="13" t="s">
        <v>5910</v>
      </c>
      <c r="E2964" s="10" t="s">
        <v>19</v>
      </c>
      <c r="F2964" s="10">
        <v>2005</v>
      </c>
      <c r="G2964" s="10" t="s">
        <v>14</v>
      </c>
      <c r="H2964" s="11" t="s">
        <v>20</v>
      </c>
      <c r="I2964" s="10" t="s">
        <v>591</v>
      </c>
      <c r="J2964" s="131"/>
      <c r="K2964" s="149" t="s">
        <v>5911</v>
      </c>
    </row>
    <row r="2965" spans="1:11" ht="28.9" customHeight="1" thickTop="1" thickBot="1" x14ac:dyDescent="0.75">
      <c r="A2965" s="6">
        <v>2963</v>
      </c>
      <c r="B2965" s="57" t="str">
        <f>HYPERLINK("https://search.naver.com/search.naver?query=테넷 영화", "테넷")</f>
        <v>테넷</v>
      </c>
      <c r="C2965" s="8">
        <v>8.73</v>
      </c>
      <c r="D2965" s="9" t="s">
        <v>5912</v>
      </c>
      <c r="E2965" s="6" t="s">
        <v>29</v>
      </c>
      <c r="F2965" s="6">
        <v>2020</v>
      </c>
      <c r="G2965" s="6" t="s">
        <v>14</v>
      </c>
      <c r="H2965" s="7" t="s">
        <v>124</v>
      </c>
      <c r="I2965" s="6" t="s">
        <v>882</v>
      </c>
      <c r="J2965" s="130"/>
      <c r="K2965" s="148" t="s">
        <v>5913</v>
      </c>
    </row>
    <row r="2966" spans="1:11" ht="28.9" customHeight="1" thickTop="1" thickBot="1" x14ac:dyDescent="0.75">
      <c r="A2966" s="10">
        <v>2964</v>
      </c>
      <c r="B2966" s="59" t="str">
        <f>HYPERLINK("https://search.naver.com/search.naver?query=테드 래소 시즌1", "테드 래소 시즌1")</f>
        <v>테드 래소 시즌1</v>
      </c>
      <c r="C2966" s="16"/>
      <c r="D2966" s="17" t="s">
        <v>5914</v>
      </c>
      <c r="E2966" s="14" t="s">
        <v>24</v>
      </c>
      <c r="F2966" s="14">
        <v>2020</v>
      </c>
      <c r="G2966" s="14" t="s">
        <v>20</v>
      </c>
      <c r="H2966" s="15" t="s">
        <v>20</v>
      </c>
      <c r="I2966" s="14" t="s">
        <v>64</v>
      </c>
      <c r="J2966" s="132"/>
      <c r="K2966" s="150" t="s">
        <v>2064</v>
      </c>
    </row>
    <row r="2967" spans="1:11" ht="28.9" customHeight="1" thickTop="1" thickBot="1" x14ac:dyDescent="0.75">
      <c r="A2967" s="10">
        <v>2965</v>
      </c>
      <c r="B2967" s="59" t="str">
        <f>HYPERLINK("https://search.naver.com/search.naver?query=테드 래소 시즌2", "테드 래소 시즌2")</f>
        <v>테드 래소 시즌2</v>
      </c>
      <c r="C2967" s="16"/>
      <c r="D2967" s="17" t="s">
        <v>5914</v>
      </c>
      <c r="E2967" s="14" t="s">
        <v>24</v>
      </c>
      <c r="F2967" s="14">
        <v>2021</v>
      </c>
      <c r="G2967" s="14" t="s">
        <v>20</v>
      </c>
      <c r="H2967" s="15" t="s">
        <v>20</v>
      </c>
      <c r="I2967" s="14" t="s">
        <v>1588</v>
      </c>
      <c r="J2967" s="132"/>
      <c r="K2967" s="150" t="s">
        <v>3602</v>
      </c>
    </row>
    <row r="2968" spans="1:11" ht="28.9" customHeight="1" thickTop="1" thickBot="1" x14ac:dyDescent="0.75">
      <c r="A2968" s="6">
        <v>2966</v>
      </c>
      <c r="B2968" s="58" t="str">
        <f>HYPERLINK("https://search.naver.com/search.naver?query=테레즈 라캥 영화", "테레즈 라캥")</f>
        <v>테레즈 라캥</v>
      </c>
      <c r="C2968" s="12">
        <v>7.69</v>
      </c>
      <c r="D2968" s="13" t="s">
        <v>5915</v>
      </c>
      <c r="E2968" s="10" t="s">
        <v>310</v>
      </c>
      <c r="F2968" s="10">
        <v>2013</v>
      </c>
      <c r="G2968" s="10" t="s">
        <v>14</v>
      </c>
      <c r="H2968" s="11" t="s">
        <v>20</v>
      </c>
      <c r="I2968" s="10" t="s">
        <v>443</v>
      </c>
      <c r="J2968" s="131"/>
      <c r="K2968" s="149" t="s">
        <v>5916</v>
      </c>
    </row>
    <row r="2969" spans="1:11" ht="28.9" customHeight="1" thickTop="1" thickBot="1" x14ac:dyDescent="0.75">
      <c r="A2969" s="10">
        <v>2967</v>
      </c>
      <c r="B2969" s="57" t="str">
        <f>HYPERLINK("https://search.naver.com/search.naver?query=테이크 쉘터 영화", "테이크 쉘터")</f>
        <v>테이크 쉘터</v>
      </c>
      <c r="C2969" s="8">
        <v>7.51</v>
      </c>
      <c r="D2969" s="9" t="s">
        <v>5917</v>
      </c>
      <c r="E2969" s="6" t="s">
        <v>24</v>
      </c>
      <c r="F2969" s="6">
        <v>2011</v>
      </c>
      <c r="G2969" s="6" t="s">
        <v>14</v>
      </c>
      <c r="H2969" s="7" t="s">
        <v>20</v>
      </c>
      <c r="I2969" s="6" t="s">
        <v>116</v>
      </c>
      <c r="J2969" s="130"/>
      <c r="K2969" s="148" t="s">
        <v>5918</v>
      </c>
    </row>
    <row r="2970" spans="1:11" ht="28.9" customHeight="1" thickTop="1" thickBot="1" x14ac:dyDescent="0.75">
      <c r="A2970" s="10">
        <v>2968</v>
      </c>
      <c r="B2970" s="58" t="str">
        <f>HYPERLINK("https://search.naver.com/search.naver?query=테이큰 2 영화", "테이큰 2")</f>
        <v>테이큰 2</v>
      </c>
      <c r="C2970" s="12">
        <v>7</v>
      </c>
      <c r="D2970" s="13" t="s">
        <v>5919</v>
      </c>
      <c r="E2970" s="10" t="s">
        <v>310</v>
      </c>
      <c r="F2970" s="10">
        <v>2012</v>
      </c>
      <c r="G2970" s="10" t="s">
        <v>14</v>
      </c>
      <c r="H2970" s="11" t="s">
        <v>124</v>
      </c>
      <c r="I2970" s="10" t="s">
        <v>205</v>
      </c>
      <c r="J2970" s="131"/>
      <c r="K2970" s="149" t="s">
        <v>5920</v>
      </c>
    </row>
    <row r="2971" spans="1:11" ht="28.9" customHeight="1" thickTop="1" thickBot="1" x14ac:dyDescent="0.75">
      <c r="A2971" s="6">
        <v>2969</v>
      </c>
      <c r="B2971" s="57" t="str">
        <f>HYPERLINK("https://search.naver.com/search.naver?query=테이큰 3 영화", "테이큰 3")</f>
        <v>테이큰 3</v>
      </c>
      <c r="C2971" s="8">
        <v>8.06</v>
      </c>
      <c r="D2971" s="9" t="s">
        <v>5921</v>
      </c>
      <c r="E2971" s="6" t="s">
        <v>310</v>
      </c>
      <c r="F2971" s="6">
        <v>2014</v>
      </c>
      <c r="G2971" s="6" t="s">
        <v>14</v>
      </c>
      <c r="H2971" s="7" t="s">
        <v>124</v>
      </c>
      <c r="I2971" s="6" t="s">
        <v>187</v>
      </c>
      <c r="J2971" s="130"/>
      <c r="K2971" s="148" t="s">
        <v>5922</v>
      </c>
    </row>
    <row r="2972" spans="1:11" ht="28.9" customHeight="1" thickTop="1" thickBot="1" x14ac:dyDescent="0.75">
      <c r="A2972" s="10">
        <v>2970</v>
      </c>
      <c r="B2972" s="58" t="str">
        <f>HYPERLINK("https://search.naver.com/search.naver?query=테일러 오브 파나마 영화", "테일러 오브 파나마")</f>
        <v>테일러 오브 파나마</v>
      </c>
      <c r="C2972" s="12">
        <v>6.04</v>
      </c>
      <c r="D2972" s="13" t="s">
        <v>5923</v>
      </c>
      <c r="E2972" s="10" t="s">
        <v>944</v>
      </c>
      <c r="F2972" s="10">
        <v>2001</v>
      </c>
      <c r="G2972" s="10" t="s">
        <v>14</v>
      </c>
      <c r="H2972" s="11" t="s">
        <v>54</v>
      </c>
      <c r="I2972" s="10" t="s">
        <v>187</v>
      </c>
      <c r="J2972" s="131"/>
      <c r="K2972" s="149" t="s">
        <v>5924</v>
      </c>
    </row>
    <row r="2973" spans="1:11" ht="28.9" customHeight="1" thickTop="1" thickBot="1" x14ac:dyDescent="0.75">
      <c r="A2973" s="10">
        <v>2971</v>
      </c>
      <c r="B2973" s="59" t="str">
        <f>HYPERLINK("https://search.naver.com/search.naver?query=테헤란 시즌1", "테헤란 시즌1")</f>
        <v>테헤란 시즌1</v>
      </c>
      <c r="C2973" s="16"/>
      <c r="D2973" s="17" t="s">
        <v>5925</v>
      </c>
      <c r="E2973" s="14" t="s">
        <v>1091</v>
      </c>
      <c r="F2973" s="14">
        <v>2020</v>
      </c>
      <c r="G2973" s="14" t="s">
        <v>20</v>
      </c>
      <c r="H2973" s="15" t="s">
        <v>15</v>
      </c>
      <c r="I2973" s="14" t="s">
        <v>71</v>
      </c>
      <c r="J2973" s="132"/>
      <c r="K2973" s="150" t="s">
        <v>5926</v>
      </c>
    </row>
    <row r="2974" spans="1:11" ht="28.9" customHeight="1" thickTop="1" thickBot="1" x14ac:dyDescent="0.75">
      <c r="A2974" s="6">
        <v>2972</v>
      </c>
      <c r="B2974" s="59" t="str">
        <f>HYPERLINK("https://search.naver.com/search.naver?query=테헤란 시즌2", "테헤란 시즌2")</f>
        <v>테헤란 시즌2</v>
      </c>
      <c r="C2974" s="16"/>
      <c r="D2974" s="17" t="s">
        <v>5925</v>
      </c>
      <c r="E2974" s="14" t="s">
        <v>1091</v>
      </c>
      <c r="F2974" s="14">
        <v>2022</v>
      </c>
      <c r="G2974" s="14" t="s">
        <v>20</v>
      </c>
      <c r="H2974" s="15" t="s">
        <v>15</v>
      </c>
      <c r="I2974" s="14" t="s">
        <v>71</v>
      </c>
      <c r="J2974" s="132"/>
      <c r="K2974" s="150" t="s">
        <v>5927</v>
      </c>
    </row>
    <row r="2975" spans="1:11" ht="28.9" customHeight="1" thickTop="1" thickBot="1" x14ac:dyDescent="0.75">
      <c r="A2975" s="10">
        <v>2973</v>
      </c>
      <c r="B2975" s="59" t="str">
        <f>HYPERLINK("https://search.naver.com/search.naver?query=테헤란 시즌3", "테헤란 시즌3")</f>
        <v>테헤란 시즌3</v>
      </c>
      <c r="C2975" s="16"/>
      <c r="D2975" s="17" t="s">
        <v>5925</v>
      </c>
      <c r="E2975" s="14" t="s">
        <v>1091</v>
      </c>
      <c r="F2975" s="14">
        <v>2026</v>
      </c>
      <c r="G2975" s="14" t="s">
        <v>20</v>
      </c>
      <c r="H2975" s="15" t="s">
        <v>15</v>
      </c>
      <c r="I2975" s="14" t="s">
        <v>71</v>
      </c>
      <c r="J2975" s="132"/>
      <c r="K2975" s="150" t="s">
        <v>5928</v>
      </c>
    </row>
    <row r="2976" spans="1:11" ht="28.9" customHeight="1" thickTop="1" thickBot="1" x14ac:dyDescent="0.75">
      <c r="A2976" s="10">
        <v>2974</v>
      </c>
      <c r="B2976" s="58" t="str">
        <f>HYPERLINK("https://search.naver.com/search.naver?query=텔 잇 투 더 비즈 영화", "텔 잇 투 더 비즈")</f>
        <v>텔 잇 투 더 비즈</v>
      </c>
      <c r="C2976" s="12">
        <v>8.15</v>
      </c>
      <c r="D2976" s="13" t="s">
        <v>5929</v>
      </c>
      <c r="E2976" s="10" t="s">
        <v>29</v>
      </c>
      <c r="F2976" s="10">
        <v>2018</v>
      </c>
      <c r="G2976" s="10" t="s">
        <v>14</v>
      </c>
      <c r="H2976" s="11" t="s">
        <v>20</v>
      </c>
      <c r="I2976" s="10" t="s">
        <v>443</v>
      </c>
      <c r="J2976" s="131"/>
      <c r="K2976" s="149" t="s">
        <v>5930</v>
      </c>
    </row>
    <row r="2977" spans="1:11" ht="28.9" customHeight="1" thickTop="1" thickBot="1" x14ac:dyDescent="0.75">
      <c r="A2977" s="6">
        <v>2975</v>
      </c>
      <c r="B2977" s="57" t="str">
        <f>HYPERLINK("https://search.naver.com/search.naver?query=토고 영화", "토고")</f>
        <v>토고</v>
      </c>
      <c r="C2977" s="8">
        <v>6.4</v>
      </c>
      <c r="D2977" s="9" t="s">
        <v>5931</v>
      </c>
      <c r="E2977" s="6" t="s">
        <v>24</v>
      </c>
      <c r="F2977" s="6">
        <v>2019</v>
      </c>
      <c r="G2977" s="6" t="s">
        <v>14</v>
      </c>
      <c r="H2977" s="7" t="s">
        <v>1452</v>
      </c>
      <c r="I2977" s="6" t="s">
        <v>98</v>
      </c>
      <c r="J2977" s="130"/>
      <c r="K2977" s="148" t="s">
        <v>5932</v>
      </c>
    </row>
    <row r="2978" spans="1:11" ht="28.9" customHeight="1" thickTop="1" thickBot="1" x14ac:dyDescent="0.75">
      <c r="A2978" s="10">
        <v>2976</v>
      </c>
      <c r="B2978" s="58" t="str">
        <f>HYPERLINK("https://search.naver.com/search.naver?query=토끼 드롭 영화", "토끼 드롭")</f>
        <v>토끼 드롭</v>
      </c>
      <c r="C2978" s="12">
        <v>3.83</v>
      </c>
      <c r="D2978" s="13" t="s">
        <v>5933</v>
      </c>
      <c r="E2978" s="10" t="s">
        <v>19</v>
      </c>
      <c r="F2978" s="10">
        <v>2011</v>
      </c>
      <c r="G2978" s="10" t="s">
        <v>14</v>
      </c>
      <c r="H2978" s="11" t="s">
        <v>20</v>
      </c>
      <c r="I2978" s="10" t="s">
        <v>98</v>
      </c>
      <c r="J2978" s="131"/>
      <c r="K2978" s="149" t="s">
        <v>5934</v>
      </c>
    </row>
    <row r="2979" spans="1:11" ht="28.9" customHeight="1" thickTop="1" thickBot="1" x14ac:dyDescent="0.75">
      <c r="A2979" s="10">
        <v>2977</v>
      </c>
      <c r="B2979" s="57" t="str">
        <f>HYPERLINK("https://search.naver.com/search.naver?query=토니 에드만 영화", "토니 에드만")</f>
        <v>토니 에드만</v>
      </c>
      <c r="C2979" s="8">
        <v>8.35</v>
      </c>
      <c r="D2979" s="9" t="s">
        <v>5935</v>
      </c>
      <c r="E2979" s="6" t="s">
        <v>136</v>
      </c>
      <c r="F2979" s="6">
        <v>2016</v>
      </c>
      <c r="G2979" s="6" t="s">
        <v>14</v>
      </c>
      <c r="H2979" s="7" t="s">
        <v>91</v>
      </c>
      <c r="I2979" s="6" t="s">
        <v>1234</v>
      </c>
      <c r="J2979" s="130"/>
      <c r="K2979" s="148" t="s">
        <v>5936</v>
      </c>
    </row>
    <row r="2980" spans="1:11" ht="28.9" customHeight="1" thickTop="1" thickBot="1" x14ac:dyDescent="0.75">
      <c r="A2980" s="6">
        <v>2978</v>
      </c>
      <c r="B2980" s="58" t="str">
        <f>HYPERLINK("https://search.naver.com/search.naver?query=토카레브 영화", "토카레브")</f>
        <v>토카레브</v>
      </c>
      <c r="C2980" s="12">
        <v>4.7</v>
      </c>
      <c r="D2980" s="13" t="s">
        <v>5937</v>
      </c>
      <c r="E2980" s="10" t="s">
        <v>310</v>
      </c>
      <c r="F2980" s="10">
        <v>2014</v>
      </c>
      <c r="G2980" s="10" t="s">
        <v>14</v>
      </c>
      <c r="H2980" s="11" t="s">
        <v>124</v>
      </c>
      <c r="I2980" s="10" t="s">
        <v>16</v>
      </c>
      <c r="J2980" s="131"/>
      <c r="K2980" s="149" t="s">
        <v>5938</v>
      </c>
    </row>
    <row r="2981" spans="1:11" ht="28.9" customHeight="1" thickTop="1" thickBot="1" x14ac:dyDescent="0.75">
      <c r="A2981" s="10">
        <v>2979</v>
      </c>
      <c r="B2981" s="57" t="str">
        <f>HYPERLINK("https://search.naver.com/search.naver?query=톰 클랜시의 복수 영화", "톰 클랜시의 복수")</f>
        <v>톰 클랜시의 복수</v>
      </c>
      <c r="C2981" s="8">
        <v>6.4</v>
      </c>
      <c r="D2981" s="9" t="s">
        <v>5939</v>
      </c>
      <c r="E2981" s="6" t="s">
        <v>24</v>
      </c>
      <c r="F2981" s="6">
        <v>2021</v>
      </c>
      <c r="G2981" s="6" t="s">
        <v>14</v>
      </c>
      <c r="H2981" s="7" t="s">
        <v>124</v>
      </c>
      <c r="I2981" s="6" t="s">
        <v>187</v>
      </c>
      <c r="J2981" s="130"/>
      <c r="K2981" s="148" t="s">
        <v>4129</v>
      </c>
    </row>
    <row r="2982" spans="1:11" ht="28.9" customHeight="1" thickTop="1" thickBot="1" x14ac:dyDescent="0.75">
      <c r="A2982" s="10">
        <v>2980</v>
      </c>
      <c r="B2982" s="59" t="str">
        <f>HYPERLINK("https://search.naver.com/search.naver?query=톰 클랜시의 잭 라이언 시즌1", "톰 클랜시의 잭 라이언 시즌1")</f>
        <v>톰 클랜시의 잭 라이언 시즌1</v>
      </c>
      <c r="C2982" s="16"/>
      <c r="D2982" s="17" t="s">
        <v>5940</v>
      </c>
      <c r="E2982" s="14" t="s">
        <v>24</v>
      </c>
      <c r="F2982" s="14">
        <v>2018</v>
      </c>
      <c r="G2982" s="14" t="s">
        <v>20</v>
      </c>
      <c r="H2982" s="15" t="s">
        <v>870</v>
      </c>
      <c r="I2982" s="14" t="s">
        <v>71</v>
      </c>
      <c r="J2982" s="132"/>
      <c r="K2982" s="150" t="s">
        <v>5941</v>
      </c>
    </row>
    <row r="2983" spans="1:11" ht="28.9" customHeight="1" thickTop="1" thickBot="1" x14ac:dyDescent="0.75">
      <c r="A2983" s="6">
        <v>2981</v>
      </c>
      <c r="B2983" s="59" t="str">
        <f>HYPERLINK("https://search.naver.com/search.naver?query=톰 클랜시의 잭 라이언 시즌2", "톰 클랜시의 잭 라이언 시즌2")</f>
        <v>톰 클랜시의 잭 라이언 시즌2</v>
      </c>
      <c r="C2983" s="16"/>
      <c r="D2983" s="17" t="s">
        <v>5940</v>
      </c>
      <c r="E2983" s="14" t="s">
        <v>24</v>
      </c>
      <c r="F2983" s="14">
        <v>2019</v>
      </c>
      <c r="G2983" s="14" t="s">
        <v>20</v>
      </c>
      <c r="H2983" s="15" t="s">
        <v>870</v>
      </c>
      <c r="I2983" s="14" t="s">
        <v>71</v>
      </c>
      <c r="J2983" s="132"/>
      <c r="K2983" s="150" t="s">
        <v>5942</v>
      </c>
    </row>
    <row r="2984" spans="1:11" ht="28.9" customHeight="1" thickTop="1" thickBot="1" x14ac:dyDescent="0.75">
      <c r="A2984" s="10">
        <v>2982</v>
      </c>
      <c r="B2984" s="59" t="str">
        <f>HYPERLINK("https://search.naver.com/search.naver?query=톰 클랜시의 잭 라이언 시즌3", "톰 클랜시의 잭 라이언 시즌3")</f>
        <v>톰 클랜시의 잭 라이언 시즌3</v>
      </c>
      <c r="C2984" s="16"/>
      <c r="D2984" s="17" t="s">
        <v>5940</v>
      </c>
      <c r="E2984" s="14" t="s">
        <v>24</v>
      </c>
      <c r="F2984" s="14">
        <v>2022</v>
      </c>
      <c r="G2984" s="14" t="s">
        <v>20</v>
      </c>
      <c r="H2984" s="15" t="s">
        <v>870</v>
      </c>
      <c r="I2984" s="14" t="s">
        <v>71</v>
      </c>
      <c r="J2984" s="132"/>
      <c r="K2984" s="150" t="s">
        <v>5943</v>
      </c>
    </row>
    <row r="2985" spans="1:11" ht="28.9" customHeight="1" thickTop="1" thickBot="1" x14ac:dyDescent="0.75">
      <c r="A2985" s="10">
        <v>2983</v>
      </c>
      <c r="B2985" s="59" t="str">
        <f>HYPERLINK("https://search.naver.com/search.naver?query=톰 클랜시의 잭 라이언 시즌4", "톰 클랜시의 잭 라이언 시즌4")</f>
        <v>톰 클랜시의 잭 라이언 시즌4</v>
      </c>
      <c r="C2985" s="16"/>
      <c r="D2985" s="17" t="s">
        <v>5940</v>
      </c>
      <c r="E2985" s="14" t="s">
        <v>24</v>
      </c>
      <c r="F2985" s="14">
        <v>2023</v>
      </c>
      <c r="G2985" s="14" t="s">
        <v>20</v>
      </c>
      <c r="H2985" s="15" t="s">
        <v>870</v>
      </c>
      <c r="I2985" s="14" t="s">
        <v>247</v>
      </c>
      <c r="J2985" s="132"/>
      <c r="K2985" s="150" t="s">
        <v>4726</v>
      </c>
    </row>
    <row r="2986" spans="1:11" ht="28.9" customHeight="1" thickTop="1" thickBot="1" x14ac:dyDescent="0.75">
      <c r="A2986" s="6">
        <v>2984</v>
      </c>
      <c r="B2986" s="58" t="str">
        <f>HYPERLINK("https://search.naver.com/search.naver?query=톱스타 영화", "톱스타")</f>
        <v>톱스타</v>
      </c>
      <c r="C2986" s="12">
        <v>7.38</v>
      </c>
      <c r="D2986" s="13" t="s">
        <v>5944</v>
      </c>
      <c r="E2986" s="10" t="s">
        <v>13</v>
      </c>
      <c r="F2986" s="10">
        <v>2013</v>
      </c>
      <c r="G2986" s="10" t="s">
        <v>14</v>
      </c>
      <c r="H2986" s="11" t="s">
        <v>20</v>
      </c>
      <c r="I2986" s="10" t="s">
        <v>175</v>
      </c>
      <c r="J2986" s="131"/>
      <c r="K2986" s="149" t="s">
        <v>5945</v>
      </c>
    </row>
    <row r="2987" spans="1:11" ht="28.9" customHeight="1" thickTop="1" thickBot="1" x14ac:dyDescent="0.75">
      <c r="A2987" s="10">
        <v>2985</v>
      </c>
      <c r="B2987" s="57" t="str">
        <f>HYPERLINK("https://search.naver.com/search.naver?query=투 더 원더 영화", "투 더 원더")</f>
        <v>투 더 원더</v>
      </c>
      <c r="C2987" s="8">
        <v>7.64</v>
      </c>
      <c r="D2987" s="9" t="s">
        <v>5946</v>
      </c>
      <c r="E2987" s="6" t="s">
        <v>24</v>
      </c>
      <c r="F2987" s="6">
        <v>2012</v>
      </c>
      <c r="G2987" s="6" t="s">
        <v>14</v>
      </c>
      <c r="H2987" s="7" t="s">
        <v>20</v>
      </c>
      <c r="I2987" s="6" t="s">
        <v>429</v>
      </c>
      <c r="J2987" s="130"/>
      <c r="K2987" s="148" t="s">
        <v>5947</v>
      </c>
    </row>
    <row r="2988" spans="1:11" ht="28.9" customHeight="1" thickTop="1" thickBot="1" x14ac:dyDescent="0.75">
      <c r="A2988" s="10">
        <v>2986</v>
      </c>
      <c r="B2988" s="58" t="str">
        <f>HYPERLINK("https://search.naver.com/search.naver?query=투 러버스 영화", "투 러버스")</f>
        <v>투 러버스</v>
      </c>
      <c r="C2988" s="12">
        <v>7.88</v>
      </c>
      <c r="D2988" s="13" t="s">
        <v>5948</v>
      </c>
      <c r="E2988" s="10" t="s">
        <v>24</v>
      </c>
      <c r="F2988" s="10">
        <v>2008</v>
      </c>
      <c r="G2988" s="10" t="s">
        <v>14</v>
      </c>
      <c r="H2988" s="11" t="s">
        <v>20</v>
      </c>
      <c r="I2988" s="10" t="s">
        <v>129</v>
      </c>
      <c r="J2988" s="131"/>
      <c r="K2988" s="149" t="s">
        <v>5949</v>
      </c>
    </row>
    <row r="2989" spans="1:11" ht="28.9" customHeight="1" thickTop="1" thickBot="1" x14ac:dyDescent="0.75">
      <c r="A2989" s="6">
        <v>2987</v>
      </c>
      <c r="B2989" s="57" t="str">
        <f>HYPERLINK("https://search.naver.com/search.naver?query=투 로마 위드 러브 영화", "투 로마 위드 러브")</f>
        <v>투 로마 위드 러브</v>
      </c>
      <c r="C2989" s="8">
        <v>6.4</v>
      </c>
      <c r="D2989" s="9" t="s">
        <v>5950</v>
      </c>
      <c r="E2989" s="6" t="s">
        <v>24</v>
      </c>
      <c r="F2989" s="6">
        <v>2012</v>
      </c>
      <c r="G2989" s="6" t="s">
        <v>14</v>
      </c>
      <c r="H2989" s="7" t="s">
        <v>91</v>
      </c>
      <c r="I2989" s="6" t="s">
        <v>429</v>
      </c>
      <c r="J2989" s="130"/>
      <c r="K2989" s="148" t="s">
        <v>1753</v>
      </c>
    </row>
    <row r="2990" spans="1:11" ht="28.9" customHeight="1" thickTop="1" thickBot="1" x14ac:dyDescent="0.75">
      <c r="A2990" s="10">
        <v>2988</v>
      </c>
      <c r="B2990" s="58" t="str">
        <f>HYPERLINK("https://search.naver.com/search.naver?query=투 마더스 영화", "투 마더스")</f>
        <v>투 마더스</v>
      </c>
      <c r="C2990" s="12">
        <v>7.09</v>
      </c>
      <c r="D2990" s="13" t="s">
        <v>5951</v>
      </c>
      <c r="E2990" s="10" t="s">
        <v>310</v>
      </c>
      <c r="F2990" s="10">
        <v>2013</v>
      </c>
      <c r="G2990" s="10" t="s">
        <v>14</v>
      </c>
      <c r="H2990" s="11" t="s">
        <v>20</v>
      </c>
      <c r="I2990" s="10" t="s">
        <v>129</v>
      </c>
      <c r="J2990" s="131"/>
      <c r="K2990" s="149" t="s">
        <v>5952</v>
      </c>
    </row>
    <row r="2991" spans="1:11" ht="28.9" customHeight="1" thickTop="1" thickBot="1" x14ac:dyDescent="0.75">
      <c r="A2991" s="10">
        <v>2989</v>
      </c>
      <c r="B2991" s="57" t="str">
        <f>HYPERLINK("https://search.naver.com/search.naver?query=투 빅 투 페일 영화", "투 빅 투 페일")</f>
        <v>투 빅 투 페일</v>
      </c>
      <c r="C2991" s="8">
        <v>6.4</v>
      </c>
      <c r="D2991" s="9" t="s">
        <v>5953</v>
      </c>
      <c r="E2991" s="6" t="s">
        <v>24</v>
      </c>
      <c r="F2991" s="6">
        <v>2011</v>
      </c>
      <c r="G2991" s="6" t="s">
        <v>14</v>
      </c>
      <c r="H2991" s="7" t="s">
        <v>20</v>
      </c>
      <c r="I2991" s="6" t="s">
        <v>109</v>
      </c>
      <c r="J2991" s="130"/>
      <c r="K2991" s="148" t="s">
        <v>5954</v>
      </c>
    </row>
    <row r="2992" spans="1:11" ht="28.9" customHeight="1" thickTop="1" thickBot="1" x14ac:dyDescent="0.75">
      <c r="A2992" s="6">
        <v>2990</v>
      </c>
      <c r="B2992" s="58" t="str">
        <f>HYPERLINK("https://search.naver.com/search.naver?query=투 이즈 어 패밀리 영화", "투 이즈 어 패밀리")</f>
        <v>투 이즈 어 패밀리</v>
      </c>
      <c r="C2992" s="12">
        <v>8</v>
      </c>
      <c r="D2992" s="13" t="s">
        <v>5955</v>
      </c>
      <c r="E2992" s="10" t="s">
        <v>310</v>
      </c>
      <c r="F2992" s="10">
        <v>2016</v>
      </c>
      <c r="G2992" s="10" t="s">
        <v>14</v>
      </c>
      <c r="H2992" s="11" t="s">
        <v>91</v>
      </c>
      <c r="I2992" s="10" t="s">
        <v>329</v>
      </c>
      <c r="J2992" s="131"/>
      <c r="K2992" s="149" t="s">
        <v>5956</v>
      </c>
    </row>
    <row r="2993" spans="1:11" ht="28.9" customHeight="1" thickTop="1" thickBot="1" x14ac:dyDescent="0.75">
      <c r="A2993" s="10">
        <v>2991</v>
      </c>
      <c r="B2993" s="57" t="str">
        <f>HYPERLINK("https://search.naver.com/search.naver?query=투가이즈 영화", "투가이즈")</f>
        <v>투가이즈</v>
      </c>
      <c r="C2993" s="8">
        <v>7.82</v>
      </c>
      <c r="D2993" s="9" t="s">
        <v>5957</v>
      </c>
      <c r="E2993" s="6" t="s">
        <v>13</v>
      </c>
      <c r="F2993" s="6">
        <v>2004</v>
      </c>
      <c r="G2993" s="6" t="s">
        <v>14</v>
      </c>
      <c r="H2993" s="7" t="s">
        <v>91</v>
      </c>
      <c r="I2993" s="6" t="s">
        <v>150</v>
      </c>
      <c r="J2993" s="130"/>
      <c r="K2993" s="148" t="s">
        <v>5958</v>
      </c>
    </row>
    <row r="2994" spans="1:11" ht="28.9" customHeight="1" thickTop="1" thickBot="1" x14ac:dyDescent="0.75">
      <c r="A2994" s="10">
        <v>2992</v>
      </c>
      <c r="B2994" s="58" t="str">
        <f>HYPERLINK("https://search.naver.com/search.naver?query=투건스 영화", "투건스")</f>
        <v>투건스</v>
      </c>
      <c r="C2994" s="12">
        <v>7.2</v>
      </c>
      <c r="D2994" s="13" t="s">
        <v>5959</v>
      </c>
      <c r="E2994" s="10" t="s">
        <v>24</v>
      </c>
      <c r="F2994" s="10">
        <v>2013</v>
      </c>
      <c r="G2994" s="10" t="s">
        <v>14</v>
      </c>
      <c r="H2994" s="11" t="s">
        <v>124</v>
      </c>
      <c r="I2994" s="10" t="s">
        <v>187</v>
      </c>
      <c r="J2994" s="131"/>
      <c r="K2994" s="149" t="s">
        <v>5960</v>
      </c>
    </row>
    <row r="2995" spans="1:11" ht="28.9" customHeight="1" thickTop="1" thickBot="1" x14ac:dyDescent="0.75">
      <c r="A2995" s="6">
        <v>2993</v>
      </c>
      <c r="B2995" s="57" t="str">
        <f>HYPERLINK("https://search.naver.com/search.naver?query=투모로우 워 영화", "투모로우 워")</f>
        <v>투모로우 워</v>
      </c>
      <c r="C2995" s="8">
        <v>7.79</v>
      </c>
      <c r="D2995" s="9" t="s">
        <v>5961</v>
      </c>
      <c r="E2995" s="6" t="s">
        <v>24</v>
      </c>
      <c r="F2995" s="6">
        <v>2021</v>
      </c>
      <c r="G2995" s="6" t="s">
        <v>14</v>
      </c>
      <c r="H2995" s="7" t="s">
        <v>124</v>
      </c>
      <c r="I2995" s="6" t="s">
        <v>1058</v>
      </c>
      <c r="J2995" s="130"/>
      <c r="K2995" s="148" t="s">
        <v>5962</v>
      </c>
    </row>
    <row r="2996" spans="1:11" ht="28.9" customHeight="1" thickTop="1" thickBot="1" x14ac:dyDescent="0.75">
      <c r="A2996" s="10">
        <v>2994</v>
      </c>
      <c r="B2996" s="58" t="str">
        <f>HYPERLINK("https://search.naver.com/search.naver?query=투스카니의 태양 영화", "투스카니의 태양")</f>
        <v>투스카니의 태양</v>
      </c>
      <c r="C2996" s="12">
        <v>8.6300000000000008</v>
      </c>
      <c r="D2996" s="13" t="s">
        <v>5963</v>
      </c>
      <c r="E2996" s="10" t="s">
        <v>24</v>
      </c>
      <c r="F2996" s="10">
        <v>2003</v>
      </c>
      <c r="G2996" s="10" t="s">
        <v>14</v>
      </c>
      <c r="H2996" s="11" t="s">
        <v>20</v>
      </c>
      <c r="I2996" s="10" t="s">
        <v>98</v>
      </c>
      <c r="J2996" s="131"/>
      <c r="K2996" s="149" t="s">
        <v>4033</v>
      </c>
    </row>
    <row r="2997" spans="1:11" ht="28.9" customHeight="1" thickTop="1" thickBot="1" x14ac:dyDescent="0.75">
      <c r="A2997" s="10">
        <v>2995</v>
      </c>
      <c r="B2997" s="57" t="str">
        <f>HYPERLINK("https://search.naver.com/search.naver?query=투어드포스 기적의여정 영화", "투어드포스-기적의여정")</f>
        <v>투어드포스-기적의여정</v>
      </c>
      <c r="C2997" s="8">
        <v>6.4</v>
      </c>
      <c r="D2997" s="9" t="s">
        <v>5964</v>
      </c>
      <c r="E2997" s="6" t="s">
        <v>136</v>
      </c>
      <c r="F2997" s="6">
        <v>2014</v>
      </c>
      <c r="G2997" s="6" t="s">
        <v>14</v>
      </c>
      <c r="H2997" s="7" t="s">
        <v>20</v>
      </c>
      <c r="I2997" s="6" t="s">
        <v>150</v>
      </c>
      <c r="J2997" s="130"/>
      <c r="K2997" s="148" t="s">
        <v>5965</v>
      </c>
    </row>
    <row r="2998" spans="1:11" ht="28.9" customHeight="1" thickTop="1" thickBot="1" x14ac:dyDescent="0.75">
      <c r="A2998" s="6">
        <v>2996</v>
      </c>
      <c r="B2998" s="58" t="str">
        <f>HYPERLINK("https://search.naver.com/search.naver?query=툴리 영화", "툴리")</f>
        <v>툴리</v>
      </c>
      <c r="C2998" s="12">
        <v>8.91</v>
      </c>
      <c r="D2998" s="13" t="s">
        <v>5966</v>
      </c>
      <c r="E2998" s="10" t="s">
        <v>24</v>
      </c>
      <c r="F2998" s="10">
        <v>2018</v>
      </c>
      <c r="G2998" s="10" t="s">
        <v>14</v>
      </c>
      <c r="H2998" s="11" t="s">
        <v>20</v>
      </c>
      <c r="I2998" s="10" t="s">
        <v>80</v>
      </c>
      <c r="J2998" s="131"/>
      <c r="K2998" s="149" t="s">
        <v>4361</v>
      </c>
    </row>
    <row r="2999" spans="1:11" ht="28.9" customHeight="1" thickTop="1" thickBot="1" x14ac:dyDescent="0.75">
      <c r="A2999" s="10">
        <v>2997</v>
      </c>
      <c r="B2999" s="57" t="str">
        <f>HYPERLINK("https://search.naver.com/search.naver?query=툼레이더 영화", "툼레이더")</f>
        <v>툼레이더</v>
      </c>
      <c r="C2999" s="8">
        <v>7.58</v>
      </c>
      <c r="D2999" s="9" t="s">
        <v>5967</v>
      </c>
      <c r="E2999" s="6" t="s">
        <v>24</v>
      </c>
      <c r="F2999" s="6">
        <v>2018</v>
      </c>
      <c r="G2999" s="6" t="s">
        <v>14</v>
      </c>
      <c r="H2999" s="7" t="s">
        <v>124</v>
      </c>
      <c r="I2999" s="6" t="s">
        <v>329</v>
      </c>
      <c r="J2999" s="130"/>
      <c r="K2999" s="148" t="s">
        <v>5968</v>
      </c>
    </row>
    <row r="3000" spans="1:11" ht="28.9" customHeight="1" thickTop="1" thickBot="1" x14ac:dyDescent="0.75">
      <c r="A3000" s="10">
        <v>2998</v>
      </c>
      <c r="B3000" s="58" t="str">
        <f>HYPERLINK("https://search.naver.com/search.naver?query=툼스톤 영화", "툼스톤")</f>
        <v>툼스톤</v>
      </c>
      <c r="C3000" s="12">
        <v>7.1</v>
      </c>
      <c r="D3000" s="13" t="s">
        <v>5969</v>
      </c>
      <c r="E3000" s="10" t="s">
        <v>24</v>
      </c>
      <c r="F3000" s="10">
        <v>1993</v>
      </c>
      <c r="G3000" s="10" t="s">
        <v>14</v>
      </c>
      <c r="H3000" s="11" t="s">
        <v>1532</v>
      </c>
      <c r="I3000" s="10" t="s">
        <v>42</v>
      </c>
      <c r="J3000" s="131"/>
      <c r="K3000" s="149" t="s">
        <v>5970</v>
      </c>
    </row>
    <row r="3001" spans="1:11" ht="28.9" customHeight="1" thickTop="1" thickBot="1" x14ac:dyDescent="0.75">
      <c r="A3001" s="6">
        <v>2999</v>
      </c>
      <c r="B3001" s="57" t="str">
        <f>HYPERLINK("https://search.naver.com/search.naver?query=튤립 피버 영화", "튤립 피버")</f>
        <v>튤립 피버</v>
      </c>
      <c r="C3001" s="8">
        <v>7.72</v>
      </c>
      <c r="D3001" s="9" t="s">
        <v>5971</v>
      </c>
      <c r="E3001" s="6" t="s">
        <v>29</v>
      </c>
      <c r="F3001" s="6">
        <v>2017</v>
      </c>
      <c r="G3001" s="6" t="s">
        <v>14</v>
      </c>
      <c r="H3001" s="7" t="s">
        <v>20</v>
      </c>
      <c r="I3001" s="6" t="s">
        <v>175</v>
      </c>
      <c r="J3001" s="130"/>
      <c r="K3001" s="148" t="s">
        <v>5972</v>
      </c>
    </row>
    <row r="3002" spans="1:11" ht="28.9" customHeight="1" thickTop="1" thickBot="1" x14ac:dyDescent="0.75">
      <c r="A3002" s="10">
        <v>3000</v>
      </c>
      <c r="B3002" s="58" t="str">
        <f>HYPERLINK("https://search.naver.com/search.naver?query=트라우마 센터 영화", "트라우마 센터")</f>
        <v>트라우마 센터</v>
      </c>
      <c r="C3002" s="12">
        <v>2.8</v>
      </c>
      <c r="D3002" s="13" t="s">
        <v>5973</v>
      </c>
      <c r="E3002" s="10" t="s">
        <v>24</v>
      </c>
      <c r="F3002" s="10">
        <v>2019</v>
      </c>
      <c r="G3002" s="10" t="s">
        <v>14</v>
      </c>
      <c r="H3002" s="11" t="s">
        <v>124</v>
      </c>
      <c r="I3002" s="10" t="s">
        <v>1069</v>
      </c>
      <c r="J3002" s="131"/>
      <c r="K3002" s="149" t="s">
        <v>5974</v>
      </c>
    </row>
    <row r="3003" spans="1:11" ht="28.9" customHeight="1" thickTop="1" thickBot="1" x14ac:dyDescent="0.75">
      <c r="A3003" s="10">
        <v>3001</v>
      </c>
      <c r="B3003" s="57" t="str">
        <f>HYPERLINK("https://search.naver.com/search.naver?query=트라이앵글 영화", "트라이앵글")</f>
        <v>트라이앵글</v>
      </c>
      <c r="C3003" s="8">
        <v>6.4</v>
      </c>
      <c r="D3003" s="9" t="s">
        <v>5975</v>
      </c>
      <c r="E3003" s="6" t="s">
        <v>29</v>
      </c>
      <c r="F3003" s="6">
        <v>2009</v>
      </c>
      <c r="G3003" s="6" t="s">
        <v>14</v>
      </c>
      <c r="H3003" s="7" t="s">
        <v>54</v>
      </c>
      <c r="I3003" s="6" t="s">
        <v>109</v>
      </c>
      <c r="J3003" s="130"/>
      <c r="K3003" s="148" t="s">
        <v>5976</v>
      </c>
    </row>
    <row r="3004" spans="1:11" ht="28.9" customHeight="1" thickTop="1" thickBot="1" x14ac:dyDescent="0.75">
      <c r="A3004" s="6">
        <v>3002</v>
      </c>
      <c r="B3004" s="58" t="str">
        <f>HYPERLINK("https://search.naver.com/search.naver?query=트라이얼 오브 더 시카고 7 영화", "트라이얼 오브 더 시카고 7")</f>
        <v>트라이얼 오브 더 시카고 7</v>
      </c>
      <c r="C3004" s="12">
        <v>8.25</v>
      </c>
      <c r="D3004" s="13" t="s">
        <v>5977</v>
      </c>
      <c r="E3004" s="10" t="s">
        <v>24</v>
      </c>
      <c r="F3004" s="10">
        <v>2020</v>
      </c>
      <c r="G3004" s="10" t="s">
        <v>14</v>
      </c>
      <c r="H3004" s="11" t="s">
        <v>20</v>
      </c>
      <c r="I3004" s="10" t="s">
        <v>85</v>
      </c>
      <c r="J3004" s="131"/>
      <c r="K3004" s="149" t="s">
        <v>1397</v>
      </c>
    </row>
    <row r="3005" spans="1:11" ht="28.9" customHeight="1" thickTop="1" thickBot="1" x14ac:dyDescent="0.75">
      <c r="A3005" s="10">
        <v>3003</v>
      </c>
      <c r="B3005" s="57" t="str">
        <f>HYPERLINK("https://search.naver.com/search.naver?query=트래쉬 영화", "트래쉬")</f>
        <v>트래쉬</v>
      </c>
      <c r="C3005" s="8">
        <v>8.8800000000000008</v>
      </c>
      <c r="D3005" s="9" t="s">
        <v>5978</v>
      </c>
      <c r="E3005" s="6" t="s">
        <v>846</v>
      </c>
      <c r="F3005" s="6">
        <v>2014</v>
      </c>
      <c r="G3005" s="6" t="s">
        <v>14</v>
      </c>
      <c r="H3005" s="7" t="s">
        <v>428</v>
      </c>
      <c r="I3005" s="6" t="s">
        <v>305</v>
      </c>
      <c r="J3005" s="130"/>
      <c r="K3005" s="148" t="s">
        <v>5979</v>
      </c>
    </row>
    <row r="3006" spans="1:11" ht="28.9" customHeight="1" thickTop="1" thickBot="1" x14ac:dyDescent="0.75">
      <c r="A3006" s="10">
        <v>3004</v>
      </c>
      <c r="B3006" s="58" t="str">
        <f>HYPERLINK("https://search.naver.com/search.naver?query=트래픽 영화", "트래픽")</f>
        <v>트래픽</v>
      </c>
      <c r="C3006" s="12">
        <v>8.17</v>
      </c>
      <c r="D3006" s="13" t="s">
        <v>5980</v>
      </c>
      <c r="E3006" s="10" t="s">
        <v>24</v>
      </c>
      <c r="F3006" s="10">
        <v>2000</v>
      </c>
      <c r="G3006" s="10" t="s">
        <v>14</v>
      </c>
      <c r="H3006" s="11" t="s">
        <v>428</v>
      </c>
      <c r="I3006" s="10" t="s">
        <v>221</v>
      </c>
      <c r="J3006" s="131"/>
      <c r="K3006" s="149" t="s">
        <v>5981</v>
      </c>
    </row>
    <row r="3007" spans="1:11" ht="28.9" customHeight="1" thickTop="1" thickBot="1" x14ac:dyDescent="0.75">
      <c r="A3007" s="6">
        <v>3005</v>
      </c>
      <c r="B3007" s="57" t="str">
        <f>HYPERLINK("https://search.naver.com/search.naver?query=트래픽 영화", "트래픽")</f>
        <v>트래픽</v>
      </c>
      <c r="C3007" s="8">
        <v>8.17</v>
      </c>
      <c r="D3007" s="9" t="s">
        <v>5982</v>
      </c>
      <c r="E3007" s="6" t="s">
        <v>24</v>
      </c>
      <c r="F3007" s="6">
        <v>2018</v>
      </c>
      <c r="G3007" s="6" t="s">
        <v>14</v>
      </c>
      <c r="H3007" s="7" t="s">
        <v>20</v>
      </c>
      <c r="I3007" s="6" t="s">
        <v>150</v>
      </c>
      <c r="J3007" s="130"/>
      <c r="K3007" s="148" t="s">
        <v>5983</v>
      </c>
    </row>
    <row r="3008" spans="1:11" ht="28.9" customHeight="1" thickTop="1" thickBot="1" x14ac:dyDescent="0.75">
      <c r="A3008" s="10">
        <v>3006</v>
      </c>
      <c r="B3008" s="58" t="str">
        <f>HYPERLINK("https://search.naver.com/search.naver?query=트랜센던스 영화", "트랜센던스")</f>
        <v>트랜센던스</v>
      </c>
      <c r="C3008" s="12">
        <v>7.61</v>
      </c>
      <c r="D3008" s="13" t="s">
        <v>5984</v>
      </c>
      <c r="E3008" s="10" t="s">
        <v>24</v>
      </c>
      <c r="F3008" s="10">
        <v>2014</v>
      </c>
      <c r="G3008" s="10" t="s">
        <v>14</v>
      </c>
      <c r="H3008" s="11" t="s">
        <v>877</v>
      </c>
      <c r="I3008" s="10" t="s">
        <v>68</v>
      </c>
      <c r="J3008" s="131"/>
      <c r="K3008" s="149" t="s">
        <v>5985</v>
      </c>
    </row>
    <row r="3009" spans="1:11" ht="28.9" customHeight="1" thickTop="1" thickBot="1" x14ac:dyDescent="0.75">
      <c r="A3009" s="10">
        <v>3007</v>
      </c>
      <c r="B3009" s="57" t="str">
        <f>HYPERLINK("https://search.naver.com/search.naver?query=트랜스 시베리아 영화", "트랜스 시베리아")</f>
        <v>트랜스 시베리아</v>
      </c>
      <c r="C3009" s="8">
        <v>6.48</v>
      </c>
      <c r="D3009" s="9" t="s">
        <v>5986</v>
      </c>
      <c r="E3009" s="6" t="s">
        <v>37</v>
      </c>
      <c r="F3009" s="6">
        <v>2008</v>
      </c>
      <c r="G3009" s="6" t="s">
        <v>14</v>
      </c>
      <c r="H3009" s="7" t="s">
        <v>54</v>
      </c>
      <c r="I3009" s="6" t="s">
        <v>137</v>
      </c>
      <c r="J3009" s="130"/>
      <c r="K3009" s="148" t="s">
        <v>5987</v>
      </c>
    </row>
    <row r="3010" spans="1:11" ht="28.9" customHeight="1" thickTop="1" thickBot="1" x14ac:dyDescent="0.75">
      <c r="A3010" s="6">
        <v>3008</v>
      </c>
      <c r="B3010" s="59" t="str">
        <f>HYPERLINK("https://search.naver.com/search.naver?query=트랜스플랜트 시즌1", "트랜스플랜트 시즌1")</f>
        <v>트랜스플랜트 시즌1</v>
      </c>
      <c r="C3010" s="16"/>
      <c r="D3010" s="17" t="s">
        <v>5988</v>
      </c>
      <c r="E3010" s="14" t="s">
        <v>275</v>
      </c>
      <c r="F3010" s="14">
        <v>2020</v>
      </c>
      <c r="G3010" s="14" t="s">
        <v>20</v>
      </c>
      <c r="H3010" s="15" t="s">
        <v>20</v>
      </c>
      <c r="I3010" s="14" t="s">
        <v>1108</v>
      </c>
      <c r="J3010" s="132"/>
      <c r="K3010" s="150" t="s">
        <v>5989</v>
      </c>
    </row>
    <row r="3011" spans="1:11" ht="28.9" customHeight="1" thickTop="1" thickBot="1" x14ac:dyDescent="0.75">
      <c r="A3011" s="10">
        <v>3009</v>
      </c>
      <c r="B3011" s="57" t="str">
        <f>HYPERLINK("https://search.naver.com/search.naver?query=트랜짓 영화", "트랜짓")</f>
        <v>트랜짓</v>
      </c>
      <c r="C3011" s="8">
        <v>3.32</v>
      </c>
      <c r="D3011" s="9" t="s">
        <v>5990</v>
      </c>
      <c r="E3011" s="6" t="s">
        <v>136</v>
      </c>
      <c r="F3011" s="6">
        <v>2018</v>
      </c>
      <c r="G3011" s="6" t="s">
        <v>14</v>
      </c>
      <c r="H3011" s="7" t="s">
        <v>20</v>
      </c>
      <c r="I3011" s="6" t="s">
        <v>94</v>
      </c>
      <c r="J3011" s="130"/>
      <c r="K3011" s="148" t="s">
        <v>5991</v>
      </c>
    </row>
    <row r="3012" spans="1:11" ht="28.9" customHeight="1" thickTop="1" thickBot="1" x14ac:dyDescent="0.75">
      <c r="A3012" s="10">
        <v>3010</v>
      </c>
      <c r="B3012" s="58" t="str">
        <f>HYPERLINK("https://search.naver.com/search.naver?query=트랩 영화", "트랩")</f>
        <v>트랩</v>
      </c>
      <c r="C3012" s="12">
        <v>6.23</v>
      </c>
      <c r="D3012" s="13" t="s">
        <v>5992</v>
      </c>
      <c r="E3012" s="10" t="s">
        <v>24</v>
      </c>
      <c r="F3012" s="10">
        <v>2024</v>
      </c>
      <c r="G3012" s="10" t="s">
        <v>14</v>
      </c>
      <c r="H3012" s="11" t="s">
        <v>54</v>
      </c>
      <c r="I3012" s="10" t="s">
        <v>175</v>
      </c>
      <c r="J3012" s="131"/>
      <c r="K3012" s="149" t="s">
        <v>5993</v>
      </c>
    </row>
    <row r="3013" spans="1:11" ht="28.9" customHeight="1" thickTop="1" thickBot="1" x14ac:dyDescent="0.75">
      <c r="A3013" s="6">
        <v>3011</v>
      </c>
      <c r="B3013" s="57" t="str">
        <f>HYPERLINK("https://search.naver.com/search.naver?query=트럼보 영화", "트럼보")</f>
        <v>트럼보</v>
      </c>
      <c r="C3013" s="8">
        <v>8.76</v>
      </c>
      <c r="D3013" s="9" t="s">
        <v>5994</v>
      </c>
      <c r="E3013" s="6" t="s">
        <v>24</v>
      </c>
      <c r="F3013" s="6">
        <v>2015</v>
      </c>
      <c r="G3013" s="6" t="s">
        <v>14</v>
      </c>
      <c r="H3013" s="7" t="s">
        <v>20</v>
      </c>
      <c r="I3013" s="6" t="s">
        <v>183</v>
      </c>
      <c r="J3013" s="130"/>
      <c r="K3013" s="148" t="s">
        <v>5995</v>
      </c>
    </row>
    <row r="3014" spans="1:11" ht="28.9" customHeight="1" thickTop="1" thickBot="1" x14ac:dyDescent="0.75">
      <c r="A3014" s="10">
        <v>3012</v>
      </c>
      <c r="B3014" s="59" t="str">
        <f>HYPERLINK("https://search.naver.com/search.naver?query=트레드스톤", "트레드스톤")</f>
        <v>트레드스톤</v>
      </c>
      <c r="C3014" s="16"/>
      <c r="D3014" s="17" t="s">
        <v>5996</v>
      </c>
      <c r="E3014" s="14" t="s">
        <v>24</v>
      </c>
      <c r="F3014" s="14">
        <v>2019</v>
      </c>
      <c r="G3014" s="14" t="s">
        <v>20</v>
      </c>
      <c r="H3014" s="15" t="s">
        <v>229</v>
      </c>
      <c r="I3014" s="14" t="s">
        <v>64</v>
      </c>
      <c r="J3014" s="132"/>
      <c r="K3014" s="150" t="s">
        <v>5997</v>
      </c>
    </row>
    <row r="3015" spans="1:11" ht="28.9" customHeight="1" thickTop="1" thickBot="1" x14ac:dyDescent="0.75">
      <c r="A3015" s="10">
        <v>3013</v>
      </c>
      <c r="B3015" s="57" t="str">
        <f>HYPERLINK("https://search.naver.com/search.naver?query=트레이닝 데이 영화", "트레이닝 데이")</f>
        <v>트레이닝 데이</v>
      </c>
      <c r="C3015" s="8">
        <v>8.58</v>
      </c>
      <c r="D3015" s="9" t="s">
        <v>5998</v>
      </c>
      <c r="E3015" s="6" t="s">
        <v>24</v>
      </c>
      <c r="F3015" s="6">
        <v>2001</v>
      </c>
      <c r="G3015" s="6" t="s">
        <v>14</v>
      </c>
      <c r="H3015" s="7" t="s">
        <v>428</v>
      </c>
      <c r="I3015" s="6" t="s">
        <v>141</v>
      </c>
      <c r="J3015" s="130"/>
      <c r="K3015" s="148" t="s">
        <v>5999</v>
      </c>
    </row>
    <row r="3016" spans="1:11" ht="28.9" customHeight="1" thickTop="1" thickBot="1" x14ac:dyDescent="0.75">
      <c r="A3016" s="6">
        <v>3014</v>
      </c>
      <c r="B3016" s="58" t="str">
        <f>HYPERLINK("https://search.naver.com/search.naver?query=트레이터 영화", "트레이터")</f>
        <v>트레이터</v>
      </c>
      <c r="C3016" s="12">
        <v>7.12</v>
      </c>
      <c r="D3016" s="13" t="s">
        <v>6000</v>
      </c>
      <c r="E3016" s="10" t="s">
        <v>24</v>
      </c>
      <c r="F3016" s="10">
        <v>2008</v>
      </c>
      <c r="G3016" s="10" t="s">
        <v>14</v>
      </c>
      <c r="H3016" s="11" t="s">
        <v>124</v>
      </c>
      <c r="I3016" s="10" t="s">
        <v>305</v>
      </c>
      <c r="J3016" s="131"/>
      <c r="K3016" s="149" t="s">
        <v>6001</v>
      </c>
    </row>
    <row r="3017" spans="1:11" ht="28.9" customHeight="1" thickTop="1" thickBot="1" x14ac:dyDescent="0.75">
      <c r="A3017" s="10">
        <v>3015</v>
      </c>
      <c r="B3017" s="57" t="str">
        <f>HYPERLINK("https://search.naver.com/search.naver?query=트레이터 영화", "트레이터")</f>
        <v>트레이터</v>
      </c>
      <c r="C3017" s="8">
        <v>7.12</v>
      </c>
      <c r="D3017" s="9" t="s">
        <v>6002</v>
      </c>
      <c r="E3017" s="6" t="s">
        <v>24</v>
      </c>
      <c r="F3017" s="6">
        <v>2016</v>
      </c>
      <c r="G3017" s="6" t="s">
        <v>14</v>
      </c>
      <c r="H3017" s="7" t="s">
        <v>124</v>
      </c>
      <c r="I3017" s="6" t="s">
        <v>150</v>
      </c>
      <c r="J3017" s="130"/>
      <c r="K3017" s="148" t="s">
        <v>6003</v>
      </c>
    </row>
    <row r="3018" spans="1:11" ht="28.9" customHeight="1" thickTop="1" thickBot="1" x14ac:dyDescent="0.75">
      <c r="A3018" s="10">
        <v>3016</v>
      </c>
      <c r="B3018" s="58" t="str">
        <f>HYPERLINK("https://search.naver.com/search.naver?query=트로이 영화", "트로이")</f>
        <v>트로이</v>
      </c>
      <c r="C3018" s="12">
        <v>9.33</v>
      </c>
      <c r="D3018" s="13" t="s">
        <v>6004</v>
      </c>
      <c r="E3018" s="10" t="s">
        <v>24</v>
      </c>
      <c r="F3018" s="10">
        <v>2004</v>
      </c>
      <c r="G3018" s="10" t="s">
        <v>14</v>
      </c>
      <c r="H3018" s="11" t="s">
        <v>124</v>
      </c>
      <c r="I3018" s="10" t="s">
        <v>26</v>
      </c>
      <c r="J3018" s="131"/>
      <c r="K3018" s="149" t="s">
        <v>2907</v>
      </c>
    </row>
    <row r="3019" spans="1:11" ht="28.9" customHeight="1" thickTop="1" thickBot="1" x14ac:dyDescent="0.75">
      <c r="A3019" s="6">
        <v>3017</v>
      </c>
      <c r="B3019" s="57" t="str">
        <f>HYPERLINK("https://search.naver.com/search.naver?query=트루 스토리 영화", "트루 스토리")</f>
        <v>트루 스토리</v>
      </c>
      <c r="C3019" s="8">
        <v>8</v>
      </c>
      <c r="D3019" s="9" t="s">
        <v>6005</v>
      </c>
      <c r="E3019" s="6" t="s">
        <v>24</v>
      </c>
      <c r="F3019" s="6">
        <v>2015</v>
      </c>
      <c r="G3019" s="6" t="s">
        <v>14</v>
      </c>
      <c r="H3019" s="7" t="s">
        <v>20</v>
      </c>
      <c r="I3019" s="6" t="s">
        <v>109</v>
      </c>
      <c r="J3019" s="130"/>
      <c r="K3019" s="148" t="s">
        <v>3836</v>
      </c>
    </row>
    <row r="3020" spans="1:11" ht="28.9" customHeight="1" thickTop="1" thickBot="1" x14ac:dyDescent="0.75">
      <c r="A3020" s="10">
        <v>3018</v>
      </c>
      <c r="B3020" s="58" t="str">
        <f>HYPERLINK("https://search.naver.com/search.naver?query=트루스 영화", "트루스")</f>
        <v>트루스</v>
      </c>
      <c r="C3020" s="12">
        <v>8.5399999999999991</v>
      </c>
      <c r="D3020" s="13" t="s">
        <v>6006</v>
      </c>
      <c r="E3020" s="10" t="s">
        <v>24</v>
      </c>
      <c r="F3020" s="10">
        <v>2015</v>
      </c>
      <c r="G3020" s="10" t="s">
        <v>14</v>
      </c>
      <c r="H3020" s="11" t="s">
        <v>20</v>
      </c>
      <c r="I3020" s="10" t="s">
        <v>195</v>
      </c>
      <c r="J3020" s="131"/>
      <c r="K3020" s="149" t="s">
        <v>285</v>
      </c>
    </row>
    <row r="3021" spans="1:11" ht="28.9" customHeight="1" thickTop="1" thickBot="1" x14ac:dyDescent="0.75">
      <c r="A3021" s="10">
        <v>3019</v>
      </c>
      <c r="B3021" s="57" t="str">
        <f>HYPERLINK("https://search.naver.com/search.naver?query=트루스 어바웃 엠마누엘 영화", "트루스 어바웃 엠마누엘")</f>
        <v>트루스 어바웃 엠마누엘</v>
      </c>
      <c r="C3021" s="8">
        <v>7.24</v>
      </c>
      <c r="D3021" s="9" t="s">
        <v>6007</v>
      </c>
      <c r="E3021" s="6" t="s">
        <v>24</v>
      </c>
      <c r="F3021" s="6">
        <v>2013</v>
      </c>
      <c r="G3021" s="6" t="s">
        <v>14</v>
      </c>
      <c r="H3021" s="7" t="s">
        <v>20</v>
      </c>
      <c r="I3021" s="6" t="s">
        <v>150</v>
      </c>
      <c r="J3021" s="130"/>
      <c r="K3021" s="148" t="s">
        <v>5104</v>
      </c>
    </row>
    <row r="3022" spans="1:11" ht="28.9" customHeight="1" thickTop="1" thickBot="1" x14ac:dyDescent="0.75">
      <c r="A3022" s="6">
        <v>3020</v>
      </c>
      <c r="B3022" s="58" t="str">
        <f>HYPERLINK("https://search.naver.com/search.naver?query=트리 오브 라이프 영화", "트리 오브 라이프")</f>
        <v>트리 오브 라이프</v>
      </c>
      <c r="C3022" s="12">
        <v>7.03</v>
      </c>
      <c r="D3022" s="13" t="s">
        <v>6008</v>
      </c>
      <c r="E3022" s="10" t="s">
        <v>24</v>
      </c>
      <c r="F3022" s="10">
        <v>2011</v>
      </c>
      <c r="G3022" s="10" t="s">
        <v>14</v>
      </c>
      <c r="H3022" s="11" t="s">
        <v>20</v>
      </c>
      <c r="I3022" s="10" t="s">
        <v>476</v>
      </c>
      <c r="J3022" s="131"/>
      <c r="K3022" s="149" t="s">
        <v>3049</v>
      </c>
    </row>
    <row r="3023" spans="1:11" ht="28.9" customHeight="1" thickTop="1" thickBot="1" x14ac:dyDescent="0.75">
      <c r="A3023" s="10">
        <v>3021</v>
      </c>
      <c r="B3023" s="59" t="str">
        <f>HYPERLINK("https://search.naver.com/search.naver?query=트리거", "트리거")</f>
        <v>트리거</v>
      </c>
      <c r="C3023" s="16"/>
      <c r="D3023" s="17" t="s">
        <v>6009</v>
      </c>
      <c r="E3023" s="14" t="s">
        <v>13</v>
      </c>
      <c r="F3023" s="14">
        <v>2025</v>
      </c>
      <c r="G3023" s="14" t="s">
        <v>20</v>
      </c>
      <c r="H3023" s="15" t="s">
        <v>20</v>
      </c>
      <c r="I3023" s="14" t="s">
        <v>1588</v>
      </c>
      <c r="J3023" s="132"/>
      <c r="K3023" s="150" t="s">
        <v>5337</v>
      </c>
    </row>
    <row r="3024" spans="1:11" ht="28.9" customHeight="1" thickTop="1" thickBot="1" x14ac:dyDescent="0.75">
      <c r="A3024" s="10">
        <v>3022</v>
      </c>
      <c r="B3024" s="58" t="str">
        <f>HYPERLINK("https://search.naver.com/search.naver?query=트리거 워닝 영화", "트리거 워닝")</f>
        <v>트리거 워닝</v>
      </c>
      <c r="C3024" s="12">
        <v>2.93</v>
      </c>
      <c r="D3024" s="13" t="s">
        <v>6010</v>
      </c>
      <c r="E3024" s="10" t="s">
        <v>24</v>
      </c>
      <c r="F3024" s="10">
        <v>2024</v>
      </c>
      <c r="G3024" s="10" t="s">
        <v>14</v>
      </c>
      <c r="H3024" s="11" t="s">
        <v>124</v>
      </c>
      <c r="I3024" s="10" t="s">
        <v>443</v>
      </c>
      <c r="J3024" s="131"/>
      <c r="K3024" s="149" t="s">
        <v>6011</v>
      </c>
    </row>
    <row r="3025" spans="1:11" ht="28.9" customHeight="1" thickTop="1" thickBot="1" x14ac:dyDescent="0.75">
      <c r="A3025" s="6">
        <v>3023</v>
      </c>
      <c r="B3025" s="57" t="str">
        <f>HYPERLINK("https://search.naver.com/search.naver?query=트리거 포인트 영화", "트리거 포인트")</f>
        <v>트리거 포인트</v>
      </c>
      <c r="C3025" s="8">
        <v>6.23</v>
      </c>
      <c r="D3025" s="9" t="s">
        <v>6012</v>
      </c>
      <c r="E3025" s="6" t="s">
        <v>275</v>
      </c>
      <c r="F3025" s="6">
        <v>2021</v>
      </c>
      <c r="G3025" s="6" t="s">
        <v>14</v>
      </c>
      <c r="H3025" s="7" t="s">
        <v>124</v>
      </c>
      <c r="I3025" s="6" t="s">
        <v>46</v>
      </c>
      <c r="J3025" s="130"/>
      <c r="K3025" s="148" t="s">
        <v>6013</v>
      </c>
    </row>
    <row r="3026" spans="1:11" ht="28.9" customHeight="1" thickTop="1" thickBot="1" x14ac:dyDescent="0.75">
      <c r="A3026" s="10">
        <v>3024</v>
      </c>
      <c r="B3026" s="59" t="str">
        <f>HYPERLINK("https://search.naver.com/search.naver?query=트리즌 시즌1", "트리즌 시즌1")</f>
        <v>트리즌 시즌1</v>
      </c>
      <c r="C3026" s="16"/>
      <c r="D3026" s="17" t="s">
        <v>6014</v>
      </c>
      <c r="E3026" s="14" t="s">
        <v>29</v>
      </c>
      <c r="F3026" s="14">
        <v>2022</v>
      </c>
      <c r="G3026" s="14" t="s">
        <v>20</v>
      </c>
      <c r="H3026" s="15" t="s">
        <v>15</v>
      </c>
      <c r="I3026" s="14" t="s">
        <v>1184</v>
      </c>
      <c r="J3026" s="132"/>
      <c r="K3026" s="150" t="s">
        <v>4744</v>
      </c>
    </row>
    <row r="3027" spans="1:11" ht="28.9" customHeight="1" thickTop="1" thickBot="1" x14ac:dyDescent="0.75">
      <c r="A3027" s="10">
        <v>3025</v>
      </c>
      <c r="B3027" s="57" t="str">
        <f>HYPERLINK("https://search.naver.com/search.naver?query=트리플 9 영화", "트리플 9")</f>
        <v>트리플 9</v>
      </c>
      <c r="C3027" s="8">
        <v>6.21</v>
      </c>
      <c r="D3027" s="9" t="s">
        <v>6015</v>
      </c>
      <c r="E3027" s="6" t="s">
        <v>24</v>
      </c>
      <c r="F3027" s="6">
        <v>2016</v>
      </c>
      <c r="G3027" s="6" t="s">
        <v>14</v>
      </c>
      <c r="H3027" s="7" t="s">
        <v>428</v>
      </c>
      <c r="I3027" s="6" t="s">
        <v>60</v>
      </c>
      <c r="J3027" s="130"/>
      <c r="K3027" s="148" t="s">
        <v>6016</v>
      </c>
    </row>
    <row r="3028" spans="1:11" ht="28.9" customHeight="1" thickTop="1" thickBot="1" x14ac:dyDescent="0.75">
      <c r="A3028" s="6">
        <v>3026</v>
      </c>
      <c r="B3028" s="58" t="str">
        <f>HYPERLINK("https://search.naver.com/search.naver?query=트리플 프론티어 영화", "트리플 프론티어")</f>
        <v>트리플 프론티어</v>
      </c>
      <c r="C3028" s="12">
        <v>8.08</v>
      </c>
      <c r="D3028" s="13" t="s">
        <v>6017</v>
      </c>
      <c r="E3028" s="10" t="s">
        <v>24</v>
      </c>
      <c r="F3028" s="10">
        <v>2019</v>
      </c>
      <c r="G3028" s="10" t="s">
        <v>14</v>
      </c>
      <c r="H3028" s="11" t="s">
        <v>124</v>
      </c>
      <c r="I3028" s="10" t="s">
        <v>316</v>
      </c>
      <c r="J3028" s="131"/>
      <c r="K3028" s="149" t="s">
        <v>6018</v>
      </c>
    </row>
    <row r="3029" spans="1:11" ht="28.9" customHeight="1" thickTop="1" thickBot="1" x14ac:dyDescent="0.75">
      <c r="A3029" s="10">
        <v>3027</v>
      </c>
      <c r="B3029" s="57" t="str">
        <f>HYPERLINK("https://search.naver.com/search.naver?query=트립 투 이탈리아 영화", "트립 투 이탈리아")</f>
        <v>트립 투 이탈리아</v>
      </c>
      <c r="C3029" s="8">
        <v>6.63</v>
      </c>
      <c r="D3029" s="9" t="s">
        <v>6019</v>
      </c>
      <c r="E3029" s="6" t="s">
        <v>29</v>
      </c>
      <c r="F3029" s="6">
        <v>2014</v>
      </c>
      <c r="G3029" s="6" t="s">
        <v>14</v>
      </c>
      <c r="H3029" s="7" t="s">
        <v>91</v>
      </c>
      <c r="I3029" s="6" t="s">
        <v>38</v>
      </c>
      <c r="J3029" s="130"/>
      <c r="K3029" s="148" t="s">
        <v>6020</v>
      </c>
    </row>
    <row r="3030" spans="1:11" ht="28.9" customHeight="1" thickTop="1" thickBot="1" x14ac:dyDescent="0.75">
      <c r="A3030" s="10">
        <v>3028</v>
      </c>
      <c r="B3030" s="58" t="str">
        <f>HYPERLINK("https://search.naver.com/search.naver?query=트위스터스 영화", "트위스터스")</f>
        <v>트위스터스</v>
      </c>
      <c r="C3030" s="12">
        <v>8.1199999999999992</v>
      </c>
      <c r="D3030" s="13" t="s">
        <v>6021</v>
      </c>
      <c r="E3030" s="10" t="s">
        <v>24</v>
      </c>
      <c r="F3030" s="10">
        <v>2024</v>
      </c>
      <c r="G3030" s="10" t="s">
        <v>14</v>
      </c>
      <c r="H3030" s="11" t="s">
        <v>124</v>
      </c>
      <c r="I3030" s="10" t="s">
        <v>141</v>
      </c>
      <c r="J3030" s="131"/>
      <c r="K3030" s="149" t="s">
        <v>6022</v>
      </c>
    </row>
    <row r="3031" spans="1:11" ht="28.9" customHeight="1" thickTop="1" thickBot="1" x14ac:dyDescent="0.75">
      <c r="A3031" s="6">
        <v>3029</v>
      </c>
      <c r="B3031" s="57" t="str">
        <f>HYPERLINK("https://search.naver.com/search.naver?query=특별수사 사형수의 편지 영화", "특별수사 - 사형수의 편지")</f>
        <v>특별수사 - 사형수의 편지</v>
      </c>
      <c r="C3031" s="8">
        <v>8.5500000000000007</v>
      </c>
      <c r="D3031" s="9" t="s">
        <v>6023</v>
      </c>
      <c r="E3031" s="6" t="s">
        <v>13</v>
      </c>
      <c r="F3031" s="6">
        <v>2015</v>
      </c>
      <c r="G3031" s="6" t="s">
        <v>14</v>
      </c>
      <c r="H3031" s="7" t="s">
        <v>428</v>
      </c>
      <c r="I3031" s="6" t="s">
        <v>38</v>
      </c>
      <c r="J3031" s="130"/>
      <c r="K3031" s="148" t="s">
        <v>6024</v>
      </c>
    </row>
    <row r="3032" spans="1:11" ht="28.9" customHeight="1" thickTop="1" thickBot="1" x14ac:dyDescent="0.75">
      <c r="A3032" s="10">
        <v>3030</v>
      </c>
      <c r="B3032" s="58" t="str">
        <f>HYPERLINK("https://search.naver.com/search.naver?query=특별시민 영화", "특별시민")</f>
        <v>특별시민</v>
      </c>
      <c r="C3032" s="12">
        <v>7.75</v>
      </c>
      <c r="D3032" s="13" t="s">
        <v>6025</v>
      </c>
      <c r="E3032" s="10" t="s">
        <v>13</v>
      </c>
      <c r="F3032" s="10">
        <v>2017</v>
      </c>
      <c r="G3032" s="10" t="s">
        <v>14</v>
      </c>
      <c r="H3032" s="11" t="s">
        <v>20</v>
      </c>
      <c r="I3032" s="10" t="s">
        <v>60</v>
      </c>
      <c r="J3032" s="131"/>
      <c r="K3032" s="149" t="s">
        <v>6026</v>
      </c>
    </row>
    <row r="3033" spans="1:11" ht="28.9" customHeight="1" thickTop="1" thickBot="1" x14ac:dyDescent="0.75">
      <c r="A3033" s="10">
        <v>3031</v>
      </c>
      <c r="B3033" s="57" t="str">
        <f>HYPERLINK("https://search.naver.com/search.naver?query=특별조치 영화", "특별조치")</f>
        <v>특별조치</v>
      </c>
      <c r="C3033" s="8">
        <v>8.67</v>
      </c>
      <c r="D3033" s="9" t="s">
        <v>6027</v>
      </c>
      <c r="E3033" s="6" t="s">
        <v>24</v>
      </c>
      <c r="F3033" s="6">
        <v>2010</v>
      </c>
      <c r="G3033" s="6" t="s">
        <v>14</v>
      </c>
      <c r="H3033" s="7" t="s">
        <v>20</v>
      </c>
      <c r="I3033" s="6" t="s">
        <v>175</v>
      </c>
      <c r="J3033" s="130"/>
      <c r="K3033" s="148" t="s">
        <v>3578</v>
      </c>
    </row>
    <row r="3034" spans="1:11" ht="28.9" customHeight="1" thickTop="1" thickBot="1" x14ac:dyDescent="0.75">
      <c r="A3034" s="6">
        <v>3032</v>
      </c>
      <c r="B3034" s="58" t="str">
        <f>HYPERLINK("https://search.naver.com/search.naver?query=특송 영화", "특송")</f>
        <v>특송</v>
      </c>
      <c r="C3034" s="12">
        <v>7.42</v>
      </c>
      <c r="D3034" s="13" t="s">
        <v>6028</v>
      </c>
      <c r="E3034" s="10" t="s">
        <v>13</v>
      </c>
      <c r="F3034" s="10">
        <v>2022</v>
      </c>
      <c r="G3034" s="10" t="s">
        <v>14</v>
      </c>
      <c r="H3034" s="11" t="s">
        <v>124</v>
      </c>
      <c r="I3034" s="10" t="s">
        <v>38</v>
      </c>
      <c r="J3034" s="131"/>
      <c r="K3034" s="149" t="s">
        <v>6029</v>
      </c>
    </row>
    <row r="3035" spans="1:11" ht="28.9" customHeight="1" thickTop="1" thickBot="1" x14ac:dyDescent="0.75">
      <c r="A3035" s="10">
        <v>3033</v>
      </c>
      <c r="B3035" s="57" t="str">
        <f>HYPERLINK("https://search.naver.com/search.naver?query=한국영화특수요원", "특수요원")</f>
        <v>특수요원</v>
      </c>
      <c r="C3035" s="8">
        <v>6.4</v>
      </c>
      <c r="D3035" s="9" t="s">
        <v>6030</v>
      </c>
      <c r="E3035" s="6" t="s">
        <v>13</v>
      </c>
      <c r="F3035" s="6">
        <v>2020</v>
      </c>
      <c r="G3035" s="6" t="s">
        <v>14</v>
      </c>
      <c r="H3035" s="7" t="s">
        <v>124</v>
      </c>
      <c r="I3035" s="6" t="s">
        <v>150</v>
      </c>
      <c r="J3035" s="130"/>
      <c r="K3035" s="148" t="s">
        <v>6031</v>
      </c>
    </row>
    <row r="3036" spans="1:11" ht="28.9" customHeight="1" thickTop="1" thickBot="1" x14ac:dyDescent="0.75">
      <c r="A3036" s="10">
        <v>3034</v>
      </c>
      <c r="B3036" s="58" t="str">
        <f>HYPERLINK("https://search.naver.com/search.naver?query=특종 량첸살인기 영화", "특종 - 량첸살인기")</f>
        <v>특종 - 량첸살인기</v>
      </c>
      <c r="C3036" s="12">
        <v>7.97</v>
      </c>
      <c r="D3036" s="13" t="s">
        <v>6032</v>
      </c>
      <c r="E3036" s="10" t="s">
        <v>13</v>
      </c>
      <c r="F3036" s="10">
        <v>2015</v>
      </c>
      <c r="G3036" s="10" t="s">
        <v>14</v>
      </c>
      <c r="H3036" s="11" t="s">
        <v>20</v>
      </c>
      <c r="I3036" s="10" t="s">
        <v>129</v>
      </c>
      <c r="J3036" s="131"/>
      <c r="K3036" s="149" t="s">
        <v>6033</v>
      </c>
    </row>
    <row r="3037" spans="1:11" ht="28.9" customHeight="1" thickTop="1" thickBot="1" x14ac:dyDescent="0.75">
      <c r="A3037" s="6">
        <v>3035</v>
      </c>
      <c r="B3037" s="57" t="str">
        <f>HYPERLINK("https://search.naver.com/search.naver?query=특종의 탄생 영화", "특종의 탄생")</f>
        <v>특종의 탄생</v>
      </c>
      <c r="C3037" s="8">
        <v>7.5</v>
      </c>
      <c r="D3037" s="9" t="s">
        <v>6034</v>
      </c>
      <c r="E3037" s="6" t="s">
        <v>29</v>
      </c>
      <c r="F3037" s="6">
        <v>2024</v>
      </c>
      <c r="G3037" s="6" t="s">
        <v>14</v>
      </c>
      <c r="H3037" s="7" t="s">
        <v>20</v>
      </c>
      <c r="I3037" s="6" t="s">
        <v>179</v>
      </c>
      <c r="J3037" s="130"/>
      <c r="K3037" s="148" t="s">
        <v>6035</v>
      </c>
    </row>
    <row r="3038" spans="1:11" ht="28.9" customHeight="1" thickTop="1" thickBot="1" x14ac:dyDescent="0.75">
      <c r="A3038" s="10">
        <v>3036</v>
      </c>
      <c r="B3038" s="58" t="str">
        <f>HYPERLINK("https://search.naver.com/search.naver?query=티모시 그린의 이상한 삶 영화", "티모시 그린의 이상한 삶")</f>
        <v>티모시 그린의 이상한 삶</v>
      </c>
      <c r="C3038" s="12">
        <v>6.4</v>
      </c>
      <c r="D3038" s="13" t="s">
        <v>6036</v>
      </c>
      <c r="E3038" s="10" t="s">
        <v>24</v>
      </c>
      <c r="F3038" s="10">
        <v>2012</v>
      </c>
      <c r="G3038" s="10" t="s">
        <v>14</v>
      </c>
      <c r="H3038" s="11" t="s">
        <v>20</v>
      </c>
      <c r="I3038" s="10" t="s">
        <v>242</v>
      </c>
      <c r="J3038" s="131"/>
      <c r="K3038" s="149" t="s">
        <v>6037</v>
      </c>
    </row>
    <row r="3039" spans="1:11" ht="28.9" customHeight="1" thickTop="1" thickBot="1" x14ac:dyDescent="0.75">
      <c r="A3039" s="10">
        <v>3037</v>
      </c>
      <c r="B3039" s="57" t="str">
        <f>HYPERLINK("https://search.naver.com/search.naver?query=티켓 투 파라다이스 영화", "티켓 투 파라다이스")</f>
        <v>티켓 투 파라다이스</v>
      </c>
      <c r="C3039" s="8">
        <v>7.76</v>
      </c>
      <c r="D3039" s="9" t="s">
        <v>6038</v>
      </c>
      <c r="E3039" s="6" t="s">
        <v>24</v>
      </c>
      <c r="F3039" s="6">
        <v>2022</v>
      </c>
      <c r="G3039" s="6" t="s">
        <v>14</v>
      </c>
      <c r="H3039" s="7" t="s">
        <v>91</v>
      </c>
      <c r="I3039" s="6" t="s">
        <v>242</v>
      </c>
      <c r="J3039" s="130"/>
      <c r="K3039" s="148" t="s">
        <v>6039</v>
      </c>
    </row>
    <row r="3040" spans="1:11" ht="28.9" customHeight="1" thickTop="1" thickBot="1" x14ac:dyDescent="0.75">
      <c r="A3040" s="6">
        <v>3038</v>
      </c>
      <c r="B3040" s="58" t="str">
        <f>HYPERLINK("https://search.naver.com/search.naver?query=티파니에서 아침을 영화", "티파니에서 아침을")</f>
        <v>티파니에서 아침을</v>
      </c>
      <c r="C3040" s="12">
        <v>9.4</v>
      </c>
      <c r="D3040" s="13" t="s">
        <v>6040</v>
      </c>
      <c r="E3040" s="10" t="s">
        <v>24</v>
      </c>
      <c r="F3040" s="10">
        <v>1961</v>
      </c>
      <c r="G3040" s="10" t="s">
        <v>14</v>
      </c>
      <c r="H3040" s="11" t="s">
        <v>20</v>
      </c>
      <c r="I3040" s="10" t="s">
        <v>60</v>
      </c>
      <c r="J3040" s="131"/>
      <c r="K3040" s="149" t="s">
        <v>6041</v>
      </c>
    </row>
    <row r="3041" spans="1:11" ht="28.9" customHeight="1" thickTop="1" thickBot="1" x14ac:dyDescent="0.75">
      <c r="A3041" s="10">
        <v>3039</v>
      </c>
      <c r="B3041" s="57" t="str">
        <f>HYPERLINK("https://search.naver.com/search.naver?query=팅커 테일러 솔저 스파이 영화", "팅커 테일러 솔저 스파이")</f>
        <v>팅커 테일러 솔저 스파이</v>
      </c>
      <c r="C3041" s="8">
        <v>8.17</v>
      </c>
      <c r="D3041" s="9" t="s">
        <v>6042</v>
      </c>
      <c r="E3041" s="6" t="s">
        <v>29</v>
      </c>
      <c r="F3041" s="6">
        <v>2011</v>
      </c>
      <c r="G3041" s="6" t="s">
        <v>14</v>
      </c>
      <c r="H3041" s="7" t="s">
        <v>54</v>
      </c>
      <c r="I3041" s="6" t="s">
        <v>210</v>
      </c>
      <c r="J3041" s="130"/>
      <c r="K3041" s="148" t="s">
        <v>6043</v>
      </c>
    </row>
    <row r="3042" spans="1:11" ht="28.9" customHeight="1" thickTop="1" thickBot="1" x14ac:dyDescent="0.75">
      <c r="A3042" s="10">
        <v>3040</v>
      </c>
      <c r="B3042" s="58" t="str">
        <f>HYPERLINK("https://search.naver.com/search.naver?query=파 앤드 어웨이 영화", "파 앤드 어웨이")</f>
        <v>파 앤드 어웨이</v>
      </c>
      <c r="C3042" s="12">
        <v>9.2200000000000006</v>
      </c>
      <c r="D3042" s="13" t="s">
        <v>6044</v>
      </c>
      <c r="E3042" s="10" t="s">
        <v>24</v>
      </c>
      <c r="F3042" s="10">
        <v>1992</v>
      </c>
      <c r="G3042" s="10" t="s">
        <v>14</v>
      </c>
      <c r="H3042" s="11" t="s">
        <v>20</v>
      </c>
      <c r="I3042" s="10" t="s">
        <v>930</v>
      </c>
      <c r="J3042" s="131"/>
      <c r="K3042" s="149" t="s">
        <v>6045</v>
      </c>
    </row>
    <row r="3043" spans="1:11" ht="28.9" customHeight="1" thickTop="1" thickBot="1" x14ac:dyDescent="0.75">
      <c r="A3043" s="6">
        <v>3041</v>
      </c>
      <c r="B3043" s="57" t="str">
        <f>HYPERLINK("https://search.naver.com/search.naver?query=파가니니 악마의 바이올리니스트 영화", "파가니니 - 악마의 바이올리니스트")</f>
        <v>파가니니 - 악마의 바이올리니스트</v>
      </c>
      <c r="C3043" s="8">
        <v>8.3000000000000007</v>
      </c>
      <c r="D3043" s="9" t="s">
        <v>6046</v>
      </c>
      <c r="E3043" s="6" t="s">
        <v>136</v>
      </c>
      <c r="F3043" s="6">
        <v>2013</v>
      </c>
      <c r="G3043" s="6" t="s">
        <v>14</v>
      </c>
      <c r="H3043" s="7" t="s">
        <v>20</v>
      </c>
      <c r="I3043" s="6" t="s">
        <v>141</v>
      </c>
      <c r="J3043" s="130"/>
      <c r="K3043" s="148" t="s">
        <v>6047</v>
      </c>
    </row>
    <row r="3044" spans="1:11" ht="28.9" customHeight="1" thickTop="1" thickBot="1" x14ac:dyDescent="0.75">
      <c r="A3044" s="10">
        <v>3042</v>
      </c>
      <c r="B3044" s="58" t="str">
        <f>HYPERLINK("https://search.naver.com/search.naver?query=파고 영화", "파고")</f>
        <v>파고</v>
      </c>
      <c r="C3044" s="12">
        <v>8.17</v>
      </c>
      <c r="D3044" s="13" t="s">
        <v>6048</v>
      </c>
      <c r="E3044" s="10" t="s">
        <v>24</v>
      </c>
      <c r="F3044" s="10">
        <v>1996</v>
      </c>
      <c r="G3044" s="10" t="s">
        <v>14</v>
      </c>
      <c r="H3044" s="11" t="s">
        <v>428</v>
      </c>
      <c r="I3044" s="10" t="s">
        <v>16</v>
      </c>
      <c r="J3044" s="131"/>
      <c r="K3044" s="149" t="s">
        <v>6049</v>
      </c>
    </row>
    <row r="3045" spans="1:11" ht="28.9" customHeight="1" thickTop="1" thickBot="1" x14ac:dyDescent="0.75">
      <c r="A3045" s="10">
        <v>3043</v>
      </c>
      <c r="B3045" s="59" t="str">
        <f>HYPERLINK("https://search.naver.com/search.naver?query=파고 시즌1", "파고 시즌1")</f>
        <v>파고 시즌1</v>
      </c>
      <c r="C3045" s="16"/>
      <c r="D3045" s="17" t="s">
        <v>6050</v>
      </c>
      <c r="E3045" s="14" t="s">
        <v>24</v>
      </c>
      <c r="F3045" s="14">
        <v>2014</v>
      </c>
      <c r="G3045" s="14" t="s">
        <v>20</v>
      </c>
      <c r="H3045" s="15" t="s">
        <v>115</v>
      </c>
      <c r="I3045" s="14" t="s">
        <v>64</v>
      </c>
      <c r="J3045" s="132"/>
      <c r="K3045" s="150" t="s">
        <v>6051</v>
      </c>
    </row>
    <row r="3046" spans="1:11" ht="28.9" customHeight="1" thickTop="1" thickBot="1" x14ac:dyDescent="0.75">
      <c r="A3046" s="6">
        <v>3044</v>
      </c>
      <c r="B3046" s="59" t="str">
        <f>HYPERLINK("https://search.naver.com/search.naver?query=파고 시즌2", "파고 시즌2")</f>
        <v>파고 시즌2</v>
      </c>
      <c r="C3046" s="16"/>
      <c r="D3046" s="17" t="s">
        <v>6050</v>
      </c>
      <c r="E3046" s="14" t="s">
        <v>24</v>
      </c>
      <c r="F3046" s="14">
        <v>2015</v>
      </c>
      <c r="G3046" s="14" t="s">
        <v>20</v>
      </c>
      <c r="H3046" s="15" t="s">
        <v>115</v>
      </c>
      <c r="I3046" s="14" t="s">
        <v>64</v>
      </c>
      <c r="J3046" s="132"/>
      <c r="K3046" s="150" t="s">
        <v>2839</v>
      </c>
    </row>
    <row r="3047" spans="1:11" ht="28.9" customHeight="1" thickTop="1" thickBot="1" x14ac:dyDescent="0.75">
      <c r="A3047" s="10">
        <v>3045</v>
      </c>
      <c r="B3047" s="59" t="str">
        <f>HYPERLINK("https://search.naver.com/search.naver?query=파고 시즌3", "파고 시즌3")</f>
        <v>파고 시즌3</v>
      </c>
      <c r="C3047" s="16"/>
      <c r="D3047" s="17" t="s">
        <v>6050</v>
      </c>
      <c r="E3047" s="14" t="s">
        <v>24</v>
      </c>
      <c r="F3047" s="14">
        <v>2017</v>
      </c>
      <c r="G3047" s="14" t="s">
        <v>20</v>
      </c>
      <c r="H3047" s="15" t="s">
        <v>115</v>
      </c>
      <c r="I3047" s="14" t="s">
        <v>64</v>
      </c>
      <c r="J3047" s="132"/>
      <c r="K3047" s="150" t="s">
        <v>4037</v>
      </c>
    </row>
    <row r="3048" spans="1:11" ht="28.9" customHeight="1" thickTop="1" thickBot="1" x14ac:dyDescent="0.75">
      <c r="A3048" s="10">
        <v>3046</v>
      </c>
      <c r="B3048" s="59" t="str">
        <f>HYPERLINK("https://search.naver.com/search.naver?query=파고 시즌4", "파고 시즌4")</f>
        <v>파고 시즌4</v>
      </c>
      <c r="C3048" s="16"/>
      <c r="D3048" s="17" t="s">
        <v>6050</v>
      </c>
      <c r="E3048" s="14" t="s">
        <v>24</v>
      </c>
      <c r="F3048" s="14">
        <v>2020</v>
      </c>
      <c r="G3048" s="14" t="s">
        <v>20</v>
      </c>
      <c r="H3048" s="15" t="s">
        <v>115</v>
      </c>
      <c r="I3048" s="14" t="s">
        <v>888</v>
      </c>
      <c r="J3048" s="132"/>
      <c r="K3048" s="150" t="s">
        <v>6052</v>
      </c>
    </row>
    <row r="3049" spans="1:11" ht="28.9" customHeight="1" thickTop="1" thickBot="1" x14ac:dyDescent="0.75">
      <c r="A3049" s="6">
        <v>3047</v>
      </c>
      <c r="B3049" s="57" t="str">
        <f>HYPERLINK("https://search.naver.com/search.naver?query=파과 영화", "파과")</f>
        <v>파과</v>
      </c>
      <c r="C3049" s="8">
        <v>8.93</v>
      </c>
      <c r="D3049" s="9" t="s">
        <v>6053</v>
      </c>
      <c r="E3049" s="6" t="s">
        <v>13</v>
      </c>
      <c r="F3049" s="6">
        <v>2025</v>
      </c>
      <c r="G3049" s="6" t="s">
        <v>14</v>
      </c>
      <c r="H3049" s="7" t="s">
        <v>20</v>
      </c>
      <c r="I3049" s="6" t="s">
        <v>129</v>
      </c>
      <c r="J3049" s="130"/>
      <c r="K3049" s="148" t="s">
        <v>6054</v>
      </c>
    </row>
    <row r="3050" spans="1:11" ht="28.9" customHeight="1" thickTop="1" thickBot="1" x14ac:dyDescent="0.75">
      <c r="A3050" s="10">
        <v>3048</v>
      </c>
      <c r="B3050" s="58" t="str">
        <f>HYPERLINK("https://search.naver.com/search.naver?query=파괴된사나이 영화", "파괴된사나이")</f>
        <v>파괴된사나이</v>
      </c>
      <c r="C3050" s="12">
        <v>7.71</v>
      </c>
      <c r="D3050" s="13"/>
      <c r="E3050" s="10" t="s">
        <v>13</v>
      </c>
      <c r="F3050" s="10">
        <v>2010</v>
      </c>
      <c r="G3050" s="10" t="s">
        <v>14</v>
      </c>
      <c r="H3050" s="11" t="s">
        <v>20</v>
      </c>
      <c r="I3050" s="10" t="s">
        <v>150</v>
      </c>
      <c r="J3050" s="131"/>
      <c r="K3050" s="149" t="s">
        <v>6055</v>
      </c>
    </row>
    <row r="3051" spans="1:11" ht="28.9" customHeight="1" thickTop="1" thickBot="1" x14ac:dyDescent="0.75">
      <c r="A3051" s="10">
        <v>3049</v>
      </c>
      <c r="B3051" s="57" t="str">
        <f>HYPERLINK("https://search.naver.com/search.naver?query=파괴자들 영화", "파괴자들")</f>
        <v>파괴자들</v>
      </c>
      <c r="C3051" s="8">
        <v>3.94</v>
      </c>
      <c r="D3051" s="9" t="s">
        <v>6056</v>
      </c>
      <c r="E3051" s="6" t="s">
        <v>24</v>
      </c>
      <c r="F3051" s="6">
        <v>2012</v>
      </c>
      <c r="G3051" s="6" t="s">
        <v>14</v>
      </c>
      <c r="H3051" s="7" t="s">
        <v>124</v>
      </c>
      <c r="I3051" s="6" t="s">
        <v>150</v>
      </c>
      <c r="J3051" s="130"/>
      <c r="K3051" s="148" t="s">
        <v>6057</v>
      </c>
    </row>
    <row r="3052" spans="1:11" ht="28.9" customHeight="1" thickTop="1" thickBot="1" x14ac:dyDescent="0.75">
      <c r="A3052" s="6">
        <v>3050</v>
      </c>
      <c r="B3052" s="58" t="str">
        <f>HYPERLINK("https://search.naver.com/search.naver?query=파더 앤 도터 영화", "파더 앤 도터")</f>
        <v>파더 앤 도터</v>
      </c>
      <c r="C3052" s="12">
        <v>8.52</v>
      </c>
      <c r="D3052" s="13" t="s">
        <v>6058</v>
      </c>
      <c r="E3052" s="10" t="s">
        <v>24</v>
      </c>
      <c r="F3052" s="10">
        <v>2015</v>
      </c>
      <c r="G3052" s="10" t="s">
        <v>14</v>
      </c>
      <c r="H3052" s="11" t="s">
        <v>20</v>
      </c>
      <c r="I3052" s="10" t="s">
        <v>361</v>
      </c>
      <c r="J3052" s="131"/>
      <c r="K3052" s="149" t="s">
        <v>6059</v>
      </c>
    </row>
    <row r="3053" spans="1:11" ht="28.9" customHeight="1" thickTop="1" thickBot="1" x14ac:dyDescent="0.75">
      <c r="A3053" s="10">
        <v>3051</v>
      </c>
      <c r="B3053" s="57" t="str">
        <f>HYPERLINK("https://search.naver.com/search.naver?query=파도가 지나간 자리 영화", "파도가 지나간 자리")</f>
        <v>파도가 지나간 자리</v>
      </c>
      <c r="C3053" s="8">
        <v>8.94</v>
      </c>
      <c r="D3053" s="9" t="s">
        <v>6060</v>
      </c>
      <c r="E3053" s="6" t="s">
        <v>24</v>
      </c>
      <c r="F3053" s="6">
        <v>2017</v>
      </c>
      <c r="G3053" s="6" t="s">
        <v>14</v>
      </c>
      <c r="H3053" s="7" t="s">
        <v>20</v>
      </c>
      <c r="I3053" s="6" t="s">
        <v>558</v>
      </c>
      <c r="J3053" s="130"/>
      <c r="K3053" s="148" t="s">
        <v>6061</v>
      </c>
    </row>
    <row r="3054" spans="1:11" ht="28.9" customHeight="1" thickTop="1" thickBot="1" x14ac:dyDescent="0.75">
      <c r="A3054" s="10">
        <v>3052</v>
      </c>
      <c r="B3054" s="58" t="str">
        <f>HYPERLINK("https://search.naver.com/search.naver?query=파라노이아 영화", "파라노이아")</f>
        <v>파라노이아</v>
      </c>
      <c r="C3054" s="12">
        <v>5.88</v>
      </c>
      <c r="D3054" s="13" t="s">
        <v>6062</v>
      </c>
      <c r="E3054" s="10" t="s">
        <v>24</v>
      </c>
      <c r="F3054" s="10">
        <v>2013</v>
      </c>
      <c r="G3054" s="10" t="s">
        <v>14</v>
      </c>
      <c r="H3054" s="11" t="s">
        <v>54</v>
      </c>
      <c r="I3054" s="10" t="s">
        <v>443</v>
      </c>
      <c r="J3054" s="131"/>
      <c r="K3054" s="149" t="s">
        <v>6063</v>
      </c>
    </row>
    <row r="3055" spans="1:11" ht="28.9" customHeight="1" thickTop="1" thickBot="1" x14ac:dyDescent="0.75">
      <c r="A3055" s="6">
        <v>3053</v>
      </c>
      <c r="B3055" s="57" t="str">
        <f>HYPERLINK("https://search.naver.com/search.naver?query=파라다이스 로스트 마약 카르텔의 왕 영화", "파라다이스 로스트-마약 카르텔의 왕")</f>
        <v>파라다이스 로스트-마약 카르텔의 왕</v>
      </c>
      <c r="C3055" s="8"/>
      <c r="D3055" s="9" t="s">
        <v>6064</v>
      </c>
      <c r="E3055" s="6" t="s">
        <v>6065</v>
      </c>
      <c r="F3055" s="6">
        <v>2014</v>
      </c>
      <c r="G3055" s="6" t="s">
        <v>14</v>
      </c>
      <c r="H3055" s="7" t="s">
        <v>428</v>
      </c>
      <c r="I3055" s="6" t="s">
        <v>150</v>
      </c>
      <c r="J3055" s="130"/>
      <c r="K3055" s="148" t="s">
        <v>6066</v>
      </c>
    </row>
    <row r="3056" spans="1:11" ht="28.9" customHeight="1" thickTop="1" thickBot="1" x14ac:dyDescent="0.75">
      <c r="A3056" s="10">
        <v>3054</v>
      </c>
      <c r="B3056" s="58" t="str">
        <f>HYPERLINK("https://search.naver.com/search.naver?query=파라다이스 하이웨이 영화", "파라다이스 하이웨이")</f>
        <v>파라다이스 하이웨이</v>
      </c>
      <c r="C3056" s="12">
        <v>7.78</v>
      </c>
      <c r="D3056" s="13" t="s">
        <v>6067</v>
      </c>
      <c r="E3056" s="10" t="s">
        <v>24</v>
      </c>
      <c r="F3056" s="10">
        <v>2022</v>
      </c>
      <c r="G3056" s="10" t="s">
        <v>14</v>
      </c>
      <c r="H3056" s="11" t="s">
        <v>124</v>
      </c>
      <c r="I3056" s="10" t="s">
        <v>60</v>
      </c>
      <c r="J3056" s="131"/>
      <c r="K3056" s="149" t="s">
        <v>6068</v>
      </c>
    </row>
    <row r="3057" spans="1:11" ht="28.9" customHeight="1" thickTop="1" thickBot="1" x14ac:dyDescent="0.75">
      <c r="A3057" s="10">
        <v>3055</v>
      </c>
      <c r="B3057" s="57" t="str">
        <f>HYPERLINK("https://search.naver.com/search.naver?query=파리 폴리 영화", "파리 폴리")</f>
        <v>파리 폴리</v>
      </c>
      <c r="C3057" s="8">
        <v>8.52</v>
      </c>
      <c r="D3057" s="9" t="s">
        <v>6069</v>
      </c>
      <c r="E3057" s="6" t="s">
        <v>310</v>
      </c>
      <c r="F3057" s="6">
        <v>2014</v>
      </c>
      <c r="G3057" s="6" t="s">
        <v>14</v>
      </c>
      <c r="H3057" s="7" t="s">
        <v>91</v>
      </c>
      <c r="I3057" s="6" t="s">
        <v>150</v>
      </c>
      <c r="J3057" s="130"/>
      <c r="K3057" s="148" t="s">
        <v>6070</v>
      </c>
    </row>
    <row r="3058" spans="1:11" ht="28.9" customHeight="1" thickTop="1" thickBot="1" x14ac:dyDescent="0.75">
      <c r="A3058" s="6">
        <v>3056</v>
      </c>
      <c r="B3058" s="58" t="str">
        <f>HYPERLINK("https://search.naver.com/search.naver?query=파리로 가는 길 영화", "파리로 가는 길")</f>
        <v>파리로 가는 길</v>
      </c>
      <c r="C3058" s="12">
        <v>8.1300000000000008</v>
      </c>
      <c r="D3058" s="13" t="s">
        <v>6071</v>
      </c>
      <c r="E3058" s="10" t="s">
        <v>24</v>
      </c>
      <c r="F3058" s="10">
        <v>2016</v>
      </c>
      <c r="G3058" s="10" t="s">
        <v>14</v>
      </c>
      <c r="H3058" s="11" t="s">
        <v>20</v>
      </c>
      <c r="I3058" s="10" t="s">
        <v>150</v>
      </c>
      <c r="J3058" s="131"/>
      <c r="K3058" s="149" t="s">
        <v>2484</v>
      </c>
    </row>
    <row r="3059" spans="1:11" ht="28.9" customHeight="1" thickTop="1" thickBot="1" x14ac:dyDescent="0.75">
      <c r="A3059" s="10">
        <v>3057</v>
      </c>
      <c r="B3059" s="57" t="str">
        <f>HYPERLINK("https://search.naver.com/search.naver?query=파묘 영화", "파묘")</f>
        <v>파묘</v>
      </c>
      <c r="C3059" s="8">
        <v>8.23</v>
      </c>
      <c r="D3059" s="9" t="s">
        <v>6072</v>
      </c>
      <c r="E3059" s="6" t="s">
        <v>13</v>
      </c>
      <c r="F3059" s="6">
        <v>2024</v>
      </c>
      <c r="G3059" s="6" t="s">
        <v>14</v>
      </c>
      <c r="H3059" s="7" t="s">
        <v>194</v>
      </c>
      <c r="I3059" s="6" t="s">
        <v>917</v>
      </c>
      <c r="J3059" s="130"/>
      <c r="K3059" s="148" t="s">
        <v>6073</v>
      </c>
    </row>
    <row r="3060" spans="1:11" ht="28.9" customHeight="1" thickTop="1" thickBot="1" x14ac:dyDescent="0.75">
      <c r="A3060" s="10">
        <v>3058</v>
      </c>
      <c r="B3060" s="58" t="str">
        <f>HYPERLINK("https://search.naver.com/search.naver?query=파벨만스 영화", "파벨만스")</f>
        <v>파벨만스</v>
      </c>
      <c r="C3060" s="12">
        <v>8.76</v>
      </c>
      <c r="D3060" s="13" t="s">
        <v>6074</v>
      </c>
      <c r="E3060" s="10" t="s">
        <v>24</v>
      </c>
      <c r="F3060" s="10">
        <v>2022</v>
      </c>
      <c r="G3060" s="10" t="s">
        <v>14</v>
      </c>
      <c r="H3060" s="11" t="s">
        <v>20</v>
      </c>
      <c r="I3060" s="10" t="s">
        <v>1734</v>
      </c>
      <c r="J3060" s="131"/>
      <c r="K3060" s="149" t="s">
        <v>6075</v>
      </c>
    </row>
    <row r="3061" spans="1:11" ht="28.9" customHeight="1" thickTop="1" thickBot="1" x14ac:dyDescent="0.75">
      <c r="A3061" s="6">
        <v>3059</v>
      </c>
      <c r="B3061" s="57" t="str">
        <f>HYPERLINK("https://search.naver.com/search.naver?query=파수꾼 영화", "파수꾼")</f>
        <v>파수꾼</v>
      </c>
      <c r="C3061" s="8">
        <v>8.8699999999999992</v>
      </c>
      <c r="D3061" s="9" t="s">
        <v>6076</v>
      </c>
      <c r="E3061" s="6" t="s">
        <v>13</v>
      </c>
      <c r="F3061" s="6">
        <v>2011</v>
      </c>
      <c r="G3061" s="6" t="s">
        <v>14</v>
      </c>
      <c r="H3061" s="7" t="s">
        <v>20</v>
      </c>
      <c r="I3061" s="6" t="s">
        <v>150</v>
      </c>
      <c r="J3061" s="130"/>
      <c r="K3061" s="148" t="s">
        <v>463</v>
      </c>
    </row>
    <row r="3062" spans="1:11" ht="28.9" customHeight="1" thickTop="1" thickBot="1" x14ac:dyDescent="0.75">
      <c r="A3062" s="10">
        <v>3060</v>
      </c>
      <c r="B3062" s="58" t="str">
        <f>HYPERLINK("https://search.naver.com/search.naver?query=파우더(1995)", "파우더")</f>
        <v>파우더</v>
      </c>
      <c r="C3062" s="12"/>
      <c r="D3062" s="13" t="s">
        <v>6077</v>
      </c>
      <c r="E3062" s="10" t="s">
        <v>24</v>
      </c>
      <c r="F3062" s="10">
        <v>1995</v>
      </c>
      <c r="G3062" s="10" t="s">
        <v>14</v>
      </c>
      <c r="H3062" s="11" t="s">
        <v>20</v>
      </c>
      <c r="I3062" s="10" t="s">
        <v>137</v>
      </c>
      <c r="J3062" s="131"/>
      <c r="K3062" s="149" t="s">
        <v>6078</v>
      </c>
    </row>
    <row r="3063" spans="1:11" ht="28.9" customHeight="1" thickTop="1" thickBot="1" x14ac:dyDescent="0.75">
      <c r="A3063" s="10">
        <v>3061</v>
      </c>
      <c r="B3063" s="57" t="str">
        <f>HYPERLINK("https://search.naver.com/search.naver?query=파운더 영화", "파운더")</f>
        <v>파운더</v>
      </c>
      <c r="C3063" s="8">
        <v>8.23</v>
      </c>
      <c r="D3063" s="9" t="s">
        <v>6079</v>
      </c>
      <c r="E3063" s="6" t="s">
        <v>24</v>
      </c>
      <c r="F3063" s="6">
        <v>2016</v>
      </c>
      <c r="G3063" s="6" t="s">
        <v>14</v>
      </c>
      <c r="H3063" s="7" t="s">
        <v>20</v>
      </c>
      <c r="I3063" s="6" t="s">
        <v>60</v>
      </c>
      <c r="J3063" s="130"/>
      <c r="K3063" s="148" t="s">
        <v>6080</v>
      </c>
    </row>
    <row r="3064" spans="1:11" ht="28.9" customHeight="1" thickTop="1" thickBot="1" x14ac:dyDescent="0.75">
      <c r="A3064" s="6">
        <v>3062</v>
      </c>
      <c r="B3064" s="58" t="str">
        <f>HYPERLINK("https://search.naver.com/search.naver?query=파이널 스코어 영화", "파이널 스코어")</f>
        <v>파이널 스코어</v>
      </c>
      <c r="C3064" s="12">
        <v>5.5</v>
      </c>
      <c r="D3064" s="13" t="s">
        <v>6081</v>
      </c>
      <c r="E3064" s="10" t="s">
        <v>29</v>
      </c>
      <c r="F3064" s="10">
        <v>2018</v>
      </c>
      <c r="G3064" s="10" t="s">
        <v>14</v>
      </c>
      <c r="H3064" s="11" t="s">
        <v>124</v>
      </c>
      <c r="I3064" s="10" t="s">
        <v>242</v>
      </c>
      <c r="J3064" s="131"/>
      <c r="K3064" s="149" t="s">
        <v>6082</v>
      </c>
    </row>
    <row r="3065" spans="1:11" ht="28.9" customHeight="1" thickTop="1" thickBot="1" x14ac:dyDescent="0.75">
      <c r="A3065" s="10">
        <v>3063</v>
      </c>
      <c r="B3065" s="57" t="str">
        <f>HYPERLINK("https://search.naver.com/search.naver?query=파이널 크루 칸우 탈출작전 영화", "파이널 크루 - 칸우 탈출작전")</f>
        <v>파이널 크루 - 칸우 탈출작전</v>
      </c>
      <c r="C3065" s="8">
        <v>8.7899999999999991</v>
      </c>
      <c r="D3065" s="9" t="s">
        <v>6083</v>
      </c>
      <c r="E3065" s="6" t="s">
        <v>19</v>
      </c>
      <c r="F3065" s="6">
        <v>2016</v>
      </c>
      <c r="G3065" s="6" t="s">
        <v>14</v>
      </c>
      <c r="H3065" s="7" t="s">
        <v>124</v>
      </c>
      <c r="I3065" s="6" t="s">
        <v>150</v>
      </c>
      <c r="J3065" s="130"/>
      <c r="K3065" s="148" t="s">
        <v>6084</v>
      </c>
    </row>
    <row r="3066" spans="1:11" ht="28.9" customHeight="1" thickTop="1" thickBot="1" x14ac:dyDescent="0.75">
      <c r="A3066" s="10">
        <v>3064</v>
      </c>
      <c r="B3066" s="58" t="str">
        <f>HYPERLINK("https://search.naver.com/search.naver?query=파이란 영화", "파이란")</f>
        <v>파이란</v>
      </c>
      <c r="C3066" s="12">
        <v>8.25</v>
      </c>
      <c r="D3066" s="13" t="s">
        <v>6085</v>
      </c>
      <c r="E3066" s="10" t="s">
        <v>13</v>
      </c>
      <c r="F3066" s="10">
        <v>2001</v>
      </c>
      <c r="G3066" s="10" t="s">
        <v>14</v>
      </c>
      <c r="H3066" s="11" t="s">
        <v>820</v>
      </c>
      <c r="I3066" s="10" t="s">
        <v>591</v>
      </c>
      <c r="J3066" s="131"/>
      <c r="K3066" s="149" t="s">
        <v>6086</v>
      </c>
    </row>
    <row r="3067" spans="1:11" ht="28.9" customHeight="1" thickTop="1" thickBot="1" x14ac:dyDescent="0.75">
      <c r="A3067" s="6">
        <v>3065</v>
      </c>
      <c r="B3067" s="57" t="str">
        <f>HYPERLINK("https://search.naver.com/search.naver?query=파이로매니악 연쇄 방화사건 영화", "파이로매니악-연쇄 방화사건")</f>
        <v>파이로매니악-연쇄 방화사건</v>
      </c>
      <c r="C3067" s="8"/>
      <c r="D3067" s="9" t="s">
        <v>6087</v>
      </c>
      <c r="E3067" s="6" t="s">
        <v>49</v>
      </c>
      <c r="F3067" s="6">
        <v>2016</v>
      </c>
      <c r="G3067" s="6" t="s">
        <v>14</v>
      </c>
      <c r="H3067" s="7" t="s">
        <v>20</v>
      </c>
      <c r="I3067" s="6" t="s">
        <v>16</v>
      </c>
      <c r="J3067" s="130"/>
      <c r="K3067" s="148" t="s">
        <v>6088</v>
      </c>
    </row>
    <row r="3068" spans="1:11" ht="28.9" customHeight="1" thickTop="1" thickBot="1" x14ac:dyDescent="0.75">
      <c r="A3068" s="10">
        <v>3066</v>
      </c>
      <c r="B3068" s="58" t="str">
        <f>HYPERLINK("https://search.naver.com/search.naver?query=파이브 피트 영화", "파이브 피트")</f>
        <v>파이브 피트</v>
      </c>
      <c r="C3068" s="12">
        <v>9.02</v>
      </c>
      <c r="D3068" s="13" t="s">
        <v>6089</v>
      </c>
      <c r="E3068" s="10" t="s">
        <v>24</v>
      </c>
      <c r="F3068" s="10">
        <v>2019</v>
      </c>
      <c r="G3068" s="10" t="s">
        <v>14</v>
      </c>
      <c r="H3068" s="11" t="s">
        <v>20</v>
      </c>
      <c r="I3068" s="10" t="s">
        <v>591</v>
      </c>
      <c r="J3068" s="131"/>
      <c r="K3068" s="149" t="s">
        <v>6090</v>
      </c>
    </row>
    <row r="3069" spans="1:11" ht="28.9" customHeight="1" thickTop="1" thickBot="1" x14ac:dyDescent="0.75">
      <c r="A3069" s="10">
        <v>3067</v>
      </c>
      <c r="B3069" s="57" t="str">
        <f>HYPERLINK("https://search.naver.com/search.naver?query=파이어 위드 파이어 영화", "파이어 위드 파이어")</f>
        <v>파이어 위드 파이어</v>
      </c>
      <c r="C3069" s="8">
        <v>4.7300000000000004</v>
      </c>
      <c r="D3069" s="9" t="s">
        <v>6091</v>
      </c>
      <c r="E3069" s="6" t="s">
        <v>24</v>
      </c>
      <c r="F3069" s="6">
        <v>2012</v>
      </c>
      <c r="G3069" s="6" t="s">
        <v>14</v>
      </c>
      <c r="H3069" s="7" t="s">
        <v>124</v>
      </c>
      <c r="I3069" s="6" t="s">
        <v>169</v>
      </c>
      <c r="J3069" s="130"/>
      <c r="K3069" s="148" t="s">
        <v>6092</v>
      </c>
    </row>
    <row r="3070" spans="1:11" ht="28.9" customHeight="1" thickTop="1" thickBot="1" x14ac:dyDescent="0.75">
      <c r="A3070" s="6">
        <v>3068</v>
      </c>
      <c r="B3070" s="58" t="str">
        <f>HYPERLINK("https://search.naver.com/search.naver?query=파이어프루프-사랑의 도전 영화", "파이어프루프-사랑의 도전")</f>
        <v>파이어프루프-사랑의 도전</v>
      </c>
      <c r="C3070" s="12">
        <v>8.59</v>
      </c>
      <c r="D3070" s="13" t="s">
        <v>6093</v>
      </c>
      <c r="E3070" s="10" t="s">
        <v>24</v>
      </c>
      <c r="F3070" s="10">
        <v>2008</v>
      </c>
      <c r="G3070" s="10" t="s">
        <v>14</v>
      </c>
      <c r="H3070" s="11" t="s">
        <v>20</v>
      </c>
      <c r="I3070" s="10" t="s">
        <v>329</v>
      </c>
      <c r="J3070" s="131"/>
      <c r="K3070" s="149" t="s">
        <v>1147</v>
      </c>
    </row>
    <row r="3071" spans="1:11" ht="28.9" customHeight="1" thickTop="1" thickBot="1" x14ac:dyDescent="0.75">
      <c r="A3071" s="10">
        <v>3069</v>
      </c>
      <c r="B3071" s="57" t="str">
        <f>HYPERLINK("https://search.naver.com/search.naver?query=파이트 오어 플라이트 영화", "파이트 오어 플라이트")</f>
        <v>파이트 오어 플라이트</v>
      </c>
      <c r="C3071" s="8">
        <v>6.4</v>
      </c>
      <c r="D3071" s="9" t="s">
        <v>6094</v>
      </c>
      <c r="E3071" s="6" t="s">
        <v>24</v>
      </c>
      <c r="F3071" s="6">
        <v>2025</v>
      </c>
      <c r="G3071" s="6" t="s">
        <v>14</v>
      </c>
      <c r="H3071" s="7" t="s">
        <v>124</v>
      </c>
      <c r="I3071" s="6" t="s">
        <v>179</v>
      </c>
      <c r="J3071" s="130"/>
      <c r="K3071" s="148" t="s">
        <v>6095</v>
      </c>
    </row>
    <row r="3072" spans="1:11" ht="28.9" customHeight="1" thickTop="1" thickBot="1" x14ac:dyDescent="0.75">
      <c r="A3072" s="10">
        <v>3070</v>
      </c>
      <c r="B3072" s="58" t="str">
        <f>HYPERLINK("https://search.naver.com/search.naver?query=파이프라인 영화", "파이프라인")</f>
        <v>파이프라인</v>
      </c>
      <c r="C3072" s="12">
        <v>7.52</v>
      </c>
      <c r="D3072" s="13" t="s">
        <v>6096</v>
      </c>
      <c r="E3072" s="10" t="s">
        <v>13</v>
      </c>
      <c r="F3072" s="10">
        <v>2021</v>
      </c>
      <c r="G3072" s="10" t="s">
        <v>14</v>
      </c>
      <c r="H3072" s="11" t="s">
        <v>428</v>
      </c>
      <c r="I3072" s="10" t="s">
        <v>80</v>
      </c>
      <c r="J3072" s="131"/>
      <c r="K3072" s="149" t="s">
        <v>6097</v>
      </c>
    </row>
    <row r="3073" spans="1:11" ht="28.9" customHeight="1" thickTop="1" thickBot="1" x14ac:dyDescent="0.75">
      <c r="A3073" s="6">
        <v>3071</v>
      </c>
      <c r="B3073" s="59" t="str">
        <f>HYPERLINK("https://search.naver.com/search.naver?query=파인 촌뜨기들", "파인 촌뜨기들")</f>
        <v>파인 촌뜨기들</v>
      </c>
      <c r="C3073" s="16"/>
      <c r="D3073" s="17" t="s">
        <v>6098</v>
      </c>
      <c r="E3073" s="14" t="s">
        <v>13</v>
      </c>
      <c r="F3073" s="14">
        <v>2025</v>
      </c>
      <c r="G3073" s="14" t="s">
        <v>20</v>
      </c>
      <c r="H3073" s="15" t="s">
        <v>20</v>
      </c>
      <c r="I3073" s="14" t="s">
        <v>888</v>
      </c>
      <c r="J3073" s="132"/>
      <c r="K3073" s="150" t="s">
        <v>6099</v>
      </c>
    </row>
    <row r="3074" spans="1:11" ht="28.9" customHeight="1" thickTop="1" thickBot="1" x14ac:dyDescent="0.75">
      <c r="A3074" s="10">
        <v>3072</v>
      </c>
      <c r="B3074" s="58" t="str">
        <f>HYPERLINK("https://search.naver.com/search.naver?query=파인딩 스티브 맥퀸 영화", "파인딩 스티브 맥퀸")</f>
        <v>파인딩 스티브 맥퀸</v>
      </c>
      <c r="C3074" s="12">
        <v>6</v>
      </c>
      <c r="D3074" s="13" t="s">
        <v>6100</v>
      </c>
      <c r="E3074" s="10" t="s">
        <v>24</v>
      </c>
      <c r="F3074" s="10">
        <v>2019</v>
      </c>
      <c r="G3074" s="10" t="s">
        <v>14</v>
      </c>
      <c r="H3074" s="11" t="s">
        <v>428</v>
      </c>
      <c r="I3074" s="10" t="s">
        <v>361</v>
      </c>
      <c r="J3074" s="131"/>
      <c r="K3074" s="149" t="s">
        <v>6101</v>
      </c>
    </row>
    <row r="3075" spans="1:11" ht="28.9" customHeight="1" thickTop="1" thickBot="1" x14ac:dyDescent="0.75">
      <c r="A3075" s="10">
        <v>3073</v>
      </c>
      <c r="B3075" s="57" t="str">
        <f>HYPERLINK("https://search.naver.com/search.naver?query=파일럿 영화", "파일럿")</f>
        <v>파일럿</v>
      </c>
      <c r="C3075" s="8">
        <v>7.42</v>
      </c>
      <c r="D3075" s="9" t="s">
        <v>6102</v>
      </c>
      <c r="E3075" s="6" t="s">
        <v>13</v>
      </c>
      <c r="F3075" s="6">
        <v>2024</v>
      </c>
      <c r="G3075" s="6" t="s">
        <v>14</v>
      </c>
      <c r="H3075" s="7" t="s">
        <v>91</v>
      </c>
      <c r="I3075" s="6" t="s">
        <v>129</v>
      </c>
      <c r="J3075" s="130"/>
      <c r="K3075" s="148" t="s">
        <v>6103</v>
      </c>
    </row>
    <row r="3076" spans="1:11" ht="28.9" customHeight="1" thickTop="1" thickBot="1" x14ac:dyDescent="0.75">
      <c r="A3076" s="6">
        <v>3074</v>
      </c>
      <c r="B3076" s="59" t="str">
        <f>HYPERLINK("https://search.naver.com/search.naver?query=파친코 시즌1", "파친코 시즌1")</f>
        <v>파친코 시즌1</v>
      </c>
      <c r="C3076" s="16"/>
      <c r="D3076" s="17" t="s">
        <v>6104</v>
      </c>
      <c r="E3076" s="14" t="s">
        <v>13</v>
      </c>
      <c r="F3076" s="14">
        <v>2023</v>
      </c>
      <c r="G3076" s="14" t="s">
        <v>20</v>
      </c>
      <c r="H3076" s="15" t="s">
        <v>20</v>
      </c>
      <c r="I3076" s="14" t="s">
        <v>512</v>
      </c>
      <c r="J3076" s="132"/>
      <c r="K3076" s="150" t="s">
        <v>6105</v>
      </c>
    </row>
    <row r="3077" spans="1:11" ht="28.9" customHeight="1" thickTop="1" thickBot="1" x14ac:dyDescent="0.75">
      <c r="A3077" s="10">
        <v>3075</v>
      </c>
      <c r="B3077" s="59" t="str">
        <f>HYPERLINK("https://search.naver.com/search.naver?query=파친코 시즌2", "파친코 시즌2")</f>
        <v>파친코 시즌2</v>
      </c>
      <c r="C3077" s="16"/>
      <c r="D3077" s="17" t="s">
        <v>6104</v>
      </c>
      <c r="E3077" s="14" t="s">
        <v>13</v>
      </c>
      <c r="F3077" s="14">
        <v>2024</v>
      </c>
      <c r="G3077" s="14" t="s">
        <v>20</v>
      </c>
      <c r="H3077" s="15" t="s">
        <v>20</v>
      </c>
      <c r="I3077" s="14" t="s">
        <v>71</v>
      </c>
      <c r="J3077" s="132"/>
      <c r="K3077" s="150" t="s">
        <v>3529</v>
      </c>
    </row>
    <row r="3078" spans="1:11" ht="28.9" customHeight="1" thickTop="1" thickBot="1" x14ac:dyDescent="0.75">
      <c r="A3078" s="10">
        <v>3076</v>
      </c>
      <c r="B3078" s="58" t="str">
        <f>HYPERLINK("https://search.naver.com/search.naver?query=파커 영화", "파커")</f>
        <v>파커</v>
      </c>
      <c r="C3078" s="12">
        <v>7.83</v>
      </c>
      <c r="D3078" s="13" t="s">
        <v>6106</v>
      </c>
      <c r="E3078" s="10" t="s">
        <v>24</v>
      </c>
      <c r="F3078" s="10">
        <v>2013</v>
      </c>
      <c r="G3078" s="10" t="s">
        <v>14</v>
      </c>
      <c r="H3078" s="11" t="s">
        <v>124</v>
      </c>
      <c r="I3078" s="10" t="s">
        <v>329</v>
      </c>
      <c r="J3078" s="131"/>
      <c r="K3078" s="149" t="s">
        <v>5428</v>
      </c>
    </row>
    <row r="3079" spans="1:11" ht="28.9" customHeight="1" thickTop="1" thickBot="1" x14ac:dyDescent="0.75">
      <c r="A3079" s="6">
        <v>3077</v>
      </c>
      <c r="B3079" s="57" t="str">
        <f>HYPERLINK("https://search.naver.com/search.naver?query=파탈 영화", "파탈")</f>
        <v>파탈</v>
      </c>
      <c r="C3079" s="8">
        <v>6.4</v>
      </c>
      <c r="D3079" s="9" t="s">
        <v>6107</v>
      </c>
      <c r="E3079" s="6" t="s">
        <v>24</v>
      </c>
      <c r="F3079" s="6">
        <v>2020</v>
      </c>
      <c r="G3079" s="6" t="s">
        <v>14</v>
      </c>
      <c r="H3079" s="7" t="s">
        <v>54</v>
      </c>
      <c r="I3079" s="6" t="s">
        <v>133</v>
      </c>
      <c r="J3079" s="130"/>
      <c r="K3079" s="148" t="s">
        <v>6108</v>
      </c>
    </row>
    <row r="3080" spans="1:11" ht="28.9" customHeight="1" thickTop="1" thickBot="1" x14ac:dyDescent="0.75">
      <c r="A3080" s="10">
        <v>3078</v>
      </c>
      <c r="B3080" s="58" t="str">
        <f>HYPERLINK("https://search.naver.com/search.naver?query=파티마의 기적 영화", "파티마의 기적")</f>
        <v>파티마의 기적</v>
      </c>
      <c r="C3080" s="12">
        <v>9.19</v>
      </c>
      <c r="D3080" s="13" t="s">
        <v>6109</v>
      </c>
      <c r="E3080" s="10" t="s">
        <v>6110</v>
      </c>
      <c r="F3080" s="10">
        <v>2020</v>
      </c>
      <c r="G3080" s="10" t="s">
        <v>14</v>
      </c>
      <c r="H3080" s="11" t="s">
        <v>20</v>
      </c>
      <c r="I3080" s="10" t="s">
        <v>98</v>
      </c>
      <c r="J3080" s="131"/>
      <c r="K3080" s="149" t="s">
        <v>6111</v>
      </c>
    </row>
    <row r="3081" spans="1:11" ht="28.9" customHeight="1" thickTop="1" thickBot="1" x14ac:dyDescent="0.75">
      <c r="A3081" s="10">
        <v>3079</v>
      </c>
      <c r="B3081" s="57" t="str">
        <f>HYPERLINK("https://search.naver.com/search.naver?query=파파로티 영화", "파파로티")</f>
        <v>파파로티</v>
      </c>
      <c r="C3081" s="8">
        <v>8.27</v>
      </c>
      <c r="D3081" s="9" t="s">
        <v>6112</v>
      </c>
      <c r="E3081" s="6" t="s">
        <v>13</v>
      </c>
      <c r="F3081" s="6">
        <v>2012</v>
      </c>
      <c r="G3081" s="6" t="s">
        <v>14</v>
      </c>
      <c r="H3081" s="7" t="s">
        <v>20</v>
      </c>
      <c r="I3081" s="6" t="s">
        <v>305</v>
      </c>
      <c r="J3081" s="130"/>
      <c r="K3081" s="148" t="s">
        <v>6113</v>
      </c>
    </row>
    <row r="3082" spans="1:11" ht="28.9" customHeight="1" thickTop="1" thickBot="1" x14ac:dyDescent="0.75">
      <c r="A3082" s="6">
        <v>3080</v>
      </c>
      <c r="B3082" s="58" t="str">
        <f>HYPERLINK("https://search.naver.com/search.naver?query=파편 (2009) 일본영화", "파편")</f>
        <v>파편</v>
      </c>
      <c r="C3082" s="12"/>
      <c r="D3082" s="13" t="s">
        <v>6114</v>
      </c>
      <c r="E3082" s="10" t="s">
        <v>19</v>
      </c>
      <c r="F3082" s="10">
        <v>2010</v>
      </c>
      <c r="G3082" s="10" t="s">
        <v>14</v>
      </c>
      <c r="H3082" s="11" t="s">
        <v>20</v>
      </c>
      <c r="I3082" s="10" t="s">
        <v>101</v>
      </c>
      <c r="J3082" s="131"/>
      <c r="K3082" s="149" t="s">
        <v>6115</v>
      </c>
    </row>
    <row r="3083" spans="1:11" ht="28.9" customHeight="1" thickTop="1" thickBot="1" x14ac:dyDescent="0.75">
      <c r="A3083" s="10">
        <v>3081</v>
      </c>
      <c r="B3083" s="57" t="str">
        <f>HYPERLINK("https://search.naver.com/search.naver?query=판도라 영화", "판도라")</f>
        <v>판도라</v>
      </c>
      <c r="C3083" s="8">
        <v>8.7799999999999994</v>
      </c>
      <c r="D3083" s="9" t="s">
        <v>6116</v>
      </c>
      <c r="E3083" s="6" t="s">
        <v>13</v>
      </c>
      <c r="F3083" s="6">
        <v>2016</v>
      </c>
      <c r="G3083" s="6" t="s">
        <v>14</v>
      </c>
      <c r="H3083" s="7" t="s">
        <v>1255</v>
      </c>
      <c r="I3083" s="6" t="s">
        <v>578</v>
      </c>
      <c r="J3083" s="130"/>
      <c r="K3083" s="148" t="s">
        <v>6117</v>
      </c>
    </row>
    <row r="3084" spans="1:11" ht="28.9" customHeight="1" thickTop="1" thickBot="1" x14ac:dyDescent="0.75">
      <c r="A3084" s="10">
        <v>3082</v>
      </c>
      <c r="B3084" s="58" t="str">
        <f>HYPERLINK("https://search.daum.net/search?nil_suggest=btn&amp;w=tot&amp;DA=SBC&amp;q=%ED%8C%94%EB%A1%9C%EC%9A%B0+%EB%AF%B8+%EC%98%81%ED%99%94=팔로우 미 영화", "팔로우 미")</f>
        <v>팔로우 미</v>
      </c>
      <c r="C3084" s="12">
        <v>5</v>
      </c>
      <c r="D3084" s="13" t="s">
        <v>6118</v>
      </c>
      <c r="E3084" s="10" t="s">
        <v>24</v>
      </c>
      <c r="F3084" s="10">
        <v>2020</v>
      </c>
      <c r="G3084" s="10" t="s">
        <v>14</v>
      </c>
      <c r="H3084" s="11" t="s">
        <v>382</v>
      </c>
      <c r="I3084" s="10" t="s">
        <v>345</v>
      </c>
      <c r="J3084" s="131"/>
      <c r="K3084" s="149" t="s">
        <v>6119</v>
      </c>
    </row>
    <row r="3085" spans="1:11" ht="28.9" customHeight="1" thickTop="1" thickBot="1" x14ac:dyDescent="0.75">
      <c r="A3085" s="6">
        <v>3083</v>
      </c>
      <c r="B3085" s="57" t="str">
        <f>HYPERLINK("https://search.naver.com/search.naver?query=팟 제너레이션 영화", "팟 제너레이션")</f>
        <v>팟 제너레이션</v>
      </c>
      <c r="C3085" s="8">
        <v>6.23</v>
      </c>
      <c r="D3085" s="9" t="s">
        <v>6120</v>
      </c>
      <c r="E3085" s="6" t="s">
        <v>858</v>
      </c>
      <c r="F3085" s="6">
        <v>2023</v>
      </c>
      <c r="G3085" s="6" t="s">
        <v>14</v>
      </c>
      <c r="H3085" s="7" t="s">
        <v>877</v>
      </c>
      <c r="I3085" s="6" t="s">
        <v>129</v>
      </c>
      <c r="J3085" s="130"/>
      <c r="K3085" s="148" t="s">
        <v>6121</v>
      </c>
    </row>
    <row r="3086" spans="1:11" ht="28.9" customHeight="1" thickTop="1" thickBot="1" x14ac:dyDescent="0.75">
      <c r="A3086" s="10">
        <v>3084</v>
      </c>
      <c r="B3086" s="58" t="str">
        <f>HYPERLINK("https://search.naver.com/search.naver?query=패닉 런 영화", "패닉 런")</f>
        <v>패닉 런</v>
      </c>
      <c r="C3086" s="12">
        <v>6.6</v>
      </c>
      <c r="D3086" s="13" t="s">
        <v>6122</v>
      </c>
      <c r="E3086" s="10" t="s">
        <v>275</v>
      </c>
      <c r="F3086" s="10">
        <v>2021</v>
      </c>
      <c r="G3086" s="10" t="s">
        <v>14</v>
      </c>
      <c r="H3086" s="11" t="s">
        <v>54</v>
      </c>
      <c r="I3086" s="10" t="s">
        <v>1705</v>
      </c>
      <c r="J3086" s="131"/>
      <c r="K3086" s="149" t="s">
        <v>6123</v>
      </c>
    </row>
    <row r="3087" spans="1:11" ht="28.9" customHeight="1" thickTop="1" thickBot="1" x14ac:dyDescent="0.75">
      <c r="A3087" s="10">
        <v>3085</v>
      </c>
      <c r="B3087" s="57" t="str">
        <f>HYPERLINK("https://search.naver.com/search.naver?query=패럴렐 월드 러브 스토리 영화", "패럴렐 월드 러브 스토리")</f>
        <v>패럴렐 월드 러브 스토리</v>
      </c>
      <c r="C3087" s="8">
        <v>6.4</v>
      </c>
      <c r="D3087" s="9" t="s">
        <v>6124</v>
      </c>
      <c r="E3087" s="6" t="s">
        <v>19</v>
      </c>
      <c r="F3087" s="6">
        <v>2019</v>
      </c>
      <c r="G3087" s="6" t="s">
        <v>14</v>
      </c>
      <c r="H3087" s="7" t="s">
        <v>877</v>
      </c>
      <c r="I3087" s="6" t="s">
        <v>150</v>
      </c>
      <c r="J3087" s="130"/>
      <c r="K3087" s="148" t="s">
        <v>6125</v>
      </c>
    </row>
    <row r="3088" spans="1:11" ht="28.9" customHeight="1" thickTop="1" thickBot="1" x14ac:dyDescent="0.75">
      <c r="A3088" s="6">
        <v>3086</v>
      </c>
      <c r="B3088" s="58" t="str">
        <f>HYPERLINK("https://search.naver.com/search.naver?query=패밀리 플랜 영화", "패밀리 플랜")</f>
        <v>패밀리 플랜</v>
      </c>
      <c r="C3088" s="12">
        <v>5</v>
      </c>
      <c r="D3088" s="13" t="s">
        <v>6126</v>
      </c>
      <c r="E3088" s="10" t="s">
        <v>24</v>
      </c>
      <c r="F3088" s="10">
        <v>2023</v>
      </c>
      <c r="G3088" s="10" t="s">
        <v>14</v>
      </c>
      <c r="H3088" s="11" t="s">
        <v>124</v>
      </c>
      <c r="I3088" s="10" t="s">
        <v>329</v>
      </c>
      <c r="J3088" s="131"/>
      <c r="K3088" s="149" t="s">
        <v>6127</v>
      </c>
    </row>
    <row r="3089" spans="1:11" ht="28.9" customHeight="1" thickTop="1" thickBot="1" x14ac:dyDescent="0.75">
      <c r="A3089" s="10">
        <v>3087</v>
      </c>
      <c r="B3089" s="57" t="str">
        <f>HYPERLINK("https://search.naver.com/search.naver?query=패션, 위험한 열정 영화", "패션, 위험한 열정")</f>
        <v>패션, 위험한 열정</v>
      </c>
      <c r="C3089" s="8">
        <v>7.04</v>
      </c>
      <c r="D3089" s="9" t="s">
        <v>6128</v>
      </c>
      <c r="E3089" s="6" t="s">
        <v>581</v>
      </c>
      <c r="F3089" s="6">
        <v>2008</v>
      </c>
      <c r="G3089" s="6" t="s">
        <v>14</v>
      </c>
      <c r="H3089" s="7" t="s">
        <v>20</v>
      </c>
      <c r="I3089" s="6" t="s">
        <v>2556</v>
      </c>
      <c r="J3089" s="130"/>
      <c r="K3089" s="148" t="s">
        <v>6129</v>
      </c>
    </row>
    <row r="3090" spans="1:11" ht="28.9" customHeight="1" thickTop="1" thickBot="1" x14ac:dyDescent="0.75">
      <c r="A3090" s="10">
        <v>3088</v>
      </c>
      <c r="B3090" s="58" t="str">
        <f>HYPERLINK("https://search.naver.com/search.naver?query=패신저스 영화", "패신저스")</f>
        <v>패신저스</v>
      </c>
      <c r="C3090" s="12">
        <v>8.0299999999999994</v>
      </c>
      <c r="D3090" s="13" t="s">
        <v>6130</v>
      </c>
      <c r="E3090" s="10" t="s">
        <v>24</v>
      </c>
      <c r="F3090" s="10">
        <v>2016</v>
      </c>
      <c r="G3090" s="10" t="s">
        <v>14</v>
      </c>
      <c r="H3090" s="11" t="s">
        <v>877</v>
      </c>
      <c r="I3090" s="10" t="s">
        <v>591</v>
      </c>
      <c r="J3090" s="131"/>
      <c r="K3090" s="149" t="s">
        <v>6131</v>
      </c>
    </row>
    <row r="3091" spans="1:11" ht="28.9" customHeight="1" thickTop="1" thickBot="1" x14ac:dyDescent="0.75">
      <c r="A3091" s="6">
        <v>3089</v>
      </c>
      <c r="B3091" s="57" t="str">
        <f>HYPERLINK("https://search.naver.com/search.naver?query=패트리어트 데이 영화", "패트리어트 데이")</f>
        <v>패트리어트 데이</v>
      </c>
      <c r="C3091" s="8">
        <v>8.8800000000000008</v>
      </c>
      <c r="D3091" s="9" t="s">
        <v>6132</v>
      </c>
      <c r="E3091" s="6" t="s">
        <v>24</v>
      </c>
      <c r="F3091" s="6">
        <v>2016</v>
      </c>
      <c r="G3091" s="6" t="s">
        <v>14</v>
      </c>
      <c r="H3091" s="7" t="s">
        <v>20</v>
      </c>
      <c r="I3091" s="6" t="s">
        <v>112</v>
      </c>
      <c r="J3091" s="130"/>
      <c r="K3091" s="148" t="s">
        <v>3938</v>
      </c>
    </row>
    <row r="3092" spans="1:11" ht="28.9" customHeight="1" thickTop="1" thickBot="1" x14ac:dyDescent="0.75">
      <c r="A3092" s="10">
        <v>3090</v>
      </c>
      <c r="B3092" s="58" t="str">
        <f>HYPERLINK("https://search.naver.com/search.naver?query=팬텀 라스트 커맨더 영화", "팬텀 - 라스트 커맨더")</f>
        <v>팬텀 - 라스트 커맨더</v>
      </c>
      <c r="C3092" s="12">
        <v>7.04</v>
      </c>
      <c r="D3092" s="13" t="s">
        <v>6133</v>
      </c>
      <c r="E3092" s="10" t="s">
        <v>75</v>
      </c>
      <c r="F3092" s="10">
        <v>2013</v>
      </c>
      <c r="G3092" s="10" t="s">
        <v>14</v>
      </c>
      <c r="H3092" s="11" t="s">
        <v>124</v>
      </c>
      <c r="I3092" s="10" t="s">
        <v>150</v>
      </c>
      <c r="J3092" s="131"/>
      <c r="K3092" s="149" t="s">
        <v>6134</v>
      </c>
    </row>
    <row r="3093" spans="1:11" ht="28.9" customHeight="1" thickTop="1" thickBot="1" x14ac:dyDescent="0.75">
      <c r="A3093" s="10">
        <v>3091</v>
      </c>
      <c r="B3093" s="57" t="str">
        <f>HYPERLINK("https://search.naver.com/search.naver?query=팬텀 스레드 영화", "팬텀 스레드")</f>
        <v>팬텀 스레드</v>
      </c>
      <c r="C3093" s="8">
        <v>8.65</v>
      </c>
      <c r="D3093" s="9" t="s">
        <v>6135</v>
      </c>
      <c r="E3093" s="6" t="s">
        <v>24</v>
      </c>
      <c r="F3093" s="6">
        <v>2017</v>
      </c>
      <c r="G3093" s="6" t="s">
        <v>14</v>
      </c>
      <c r="H3093" s="7" t="s">
        <v>20</v>
      </c>
      <c r="I3093" s="6" t="s">
        <v>42</v>
      </c>
      <c r="J3093" s="130"/>
      <c r="K3093" s="148" t="s">
        <v>6136</v>
      </c>
    </row>
    <row r="3094" spans="1:11" ht="28.9" customHeight="1" thickTop="1" thickBot="1" x14ac:dyDescent="0.75">
      <c r="A3094" s="6">
        <v>3092</v>
      </c>
      <c r="B3094" s="58" t="str">
        <f>HYPERLINK("https://search.naver.com/search.naver?query=퍼스널 쇼퍼 영화", "퍼스널 쇼퍼")</f>
        <v>퍼스널 쇼퍼</v>
      </c>
      <c r="C3094" s="12">
        <v>7.49</v>
      </c>
      <c r="D3094" s="13" t="s">
        <v>6137</v>
      </c>
      <c r="E3094" s="10" t="s">
        <v>310</v>
      </c>
      <c r="F3094" s="10">
        <v>2016</v>
      </c>
      <c r="G3094" s="10" t="s">
        <v>14</v>
      </c>
      <c r="H3094" s="11" t="s">
        <v>20</v>
      </c>
      <c r="I3094" s="10" t="s">
        <v>175</v>
      </c>
      <c r="J3094" s="131"/>
      <c r="K3094" s="149" t="s">
        <v>6138</v>
      </c>
    </row>
    <row r="3095" spans="1:11" ht="28.9" customHeight="1" thickTop="1" thickBot="1" x14ac:dyDescent="0.75">
      <c r="A3095" s="10">
        <v>3093</v>
      </c>
      <c r="B3095" s="57" t="str">
        <f>HYPERLINK("https://www.kmdb.or.kr/db/kor/detail/movie/F/51526", "퍼스트 러브")</f>
        <v>퍼스트 러브</v>
      </c>
      <c r="C3095" s="8"/>
      <c r="D3095" s="9" t="s">
        <v>6139</v>
      </c>
      <c r="E3095" s="6" t="s">
        <v>19</v>
      </c>
      <c r="F3095" s="6">
        <v>2020</v>
      </c>
      <c r="G3095" s="6" t="s">
        <v>14</v>
      </c>
      <c r="H3095" s="7" t="s">
        <v>20</v>
      </c>
      <c r="I3095" s="6" t="s">
        <v>150</v>
      </c>
      <c r="J3095" s="130"/>
      <c r="K3095" s="148" t="s">
        <v>6140</v>
      </c>
    </row>
    <row r="3096" spans="1:11" ht="28.9" customHeight="1" thickTop="1" thickBot="1" x14ac:dyDescent="0.75">
      <c r="A3096" s="10">
        <v>3094</v>
      </c>
      <c r="B3096" s="59" t="str">
        <f>HYPERLINK("https://search.naver.com/search.naver?query=퍼스트 러브 하츠코이", "퍼스트 러브 하츠코이")</f>
        <v>퍼스트 러브 하츠코이</v>
      </c>
      <c r="C3096" s="16"/>
      <c r="D3096" s="17" t="s">
        <v>6141</v>
      </c>
      <c r="E3096" s="14" t="s">
        <v>19</v>
      </c>
      <c r="F3096" s="14">
        <v>2022</v>
      </c>
      <c r="G3096" s="14" t="s">
        <v>20</v>
      </c>
      <c r="H3096" s="15" t="s">
        <v>149</v>
      </c>
      <c r="I3096" s="14" t="s">
        <v>364</v>
      </c>
      <c r="J3096" s="132"/>
      <c r="K3096" s="150" t="s">
        <v>6142</v>
      </c>
    </row>
    <row r="3097" spans="1:11" ht="28.9" customHeight="1" thickTop="1" thickBot="1" x14ac:dyDescent="0.75">
      <c r="A3097" s="6">
        <v>3095</v>
      </c>
      <c r="B3097" s="57" t="str">
        <f>HYPERLINK("https://search.naver.com/search.naver?query=퍼스트 리폼드 영화", "퍼스트 리폼드")</f>
        <v>퍼스트 리폼드</v>
      </c>
      <c r="C3097" s="8">
        <v>8.1300000000000008</v>
      </c>
      <c r="D3097" s="9" t="s">
        <v>6143</v>
      </c>
      <c r="E3097" s="6" t="s">
        <v>24</v>
      </c>
      <c r="F3097" s="6">
        <v>2017</v>
      </c>
      <c r="G3097" s="6" t="s">
        <v>14</v>
      </c>
      <c r="H3097" s="7" t="s">
        <v>20</v>
      </c>
      <c r="I3097" s="6" t="s">
        <v>38</v>
      </c>
      <c r="J3097" s="130"/>
      <c r="K3097" s="148" t="s">
        <v>6144</v>
      </c>
    </row>
    <row r="3098" spans="1:11" ht="28.9" customHeight="1" thickTop="1" thickBot="1" x14ac:dyDescent="0.75">
      <c r="A3098" s="10">
        <v>3096</v>
      </c>
      <c r="B3098" s="58" t="str">
        <f>HYPERLINK("https://search.naver.com/search.naver?query=퍼스트 킬 영화", "퍼스트 킬")</f>
        <v>퍼스트 킬</v>
      </c>
      <c r="C3098" s="12"/>
      <c r="D3098" s="13" t="s">
        <v>6145</v>
      </c>
      <c r="E3098" s="10" t="s">
        <v>24</v>
      </c>
      <c r="F3098" s="10">
        <v>2017</v>
      </c>
      <c r="G3098" s="10" t="s">
        <v>14</v>
      </c>
      <c r="H3098" s="11" t="s">
        <v>124</v>
      </c>
      <c r="I3098" s="10" t="s">
        <v>94</v>
      </c>
      <c r="J3098" s="131"/>
      <c r="K3098" s="149" t="s">
        <v>6146</v>
      </c>
    </row>
    <row r="3099" spans="1:11" ht="28.9" customHeight="1" thickTop="1" thickBot="1" x14ac:dyDescent="0.75">
      <c r="A3099" s="10">
        <v>3097</v>
      </c>
      <c r="B3099" s="57" t="str">
        <f>HYPERLINK("https://search.naver.com/search.naver?query=퍼스트맨 (2018)", "퍼스트맨")</f>
        <v>퍼스트맨</v>
      </c>
      <c r="C3099" s="8">
        <v>7.85</v>
      </c>
      <c r="D3099" s="9" t="s">
        <v>6147</v>
      </c>
      <c r="E3099" s="6" t="s">
        <v>24</v>
      </c>
      <c r="F3099" s="6">
        <v>2018</v>
      </c>
      <c r="G3099" s="6" t="s">
        <v>14</v>
      </c>
      <c r="H3099" s="7" t="s">
        <v>877</v>
      </c>
      <c r="I3099" s="6" t="s">
        <v>759</v>
      </c>
      <c r="J3099" s="130"/>
      <c r="K3099" s="148" t="s">
        <v>6148</v>
      </c>
    </row>
    <row r="3100" spans="1:11" ht="28.9" customHeight="1" thickTop="1" thickBot="1" x14ac:dyDescent="0.75">
      <c r="A3100" s="6">
        <v>3098</v>
      </c>
      <c r="B3100" s="59" t="str">
        <f>HYPERLINK("https://search.naver.com/search.naver?query=퍼슨 오브 인터레스트 시즌1", "퍼슨 오브 인터레스트 시즌1")</f>
        <v>퍼슨 오브 인터레스트 시즌1</v>
      </c>
      <c r="C3100" s="16"/>
      <c r="D3100" s="17" t="s">
        <v>6149</v>
      </c>
      <c r="E3100" s="14" t="s">
        <v>24</v>
      </c>
      <c r="F3100" s="14">
        <v>2011</v>
      </c>
      <c r="G3100" s="14" t="s">
        <v>20</v>
      </c>
      <c r="H3100" s="15" t="s">
        <v>229</v>
      </c>
      <c r="I3100" s="14" t="s">
        <v>566</v>
      </c>
      <c r="J3100" s="132"/>
      <c r="K3100" s="150" t="s">
        <v>2633</v>
      </c>
    </row>
    <row r="3101" spans="1:11" ht="28.9" customHeight="1" thickTop="1" thickBot="1" x14ac:dyDescent="0.75">
      <c r="A3101" s="10">
        <v>3099</v>
      </c>
      <c r="B3101" s="59" t="str">
        <f>HYPERLINK("https://search.naver.com/search.naver?query=퍼슨 오브 인터레스트 시즌2", "퍼슨 오브 인터레스트 시즌2")</f>
        <v>퍼슨 오브 인터레스트 시즌2</v>
      </c>
      <c r="C3101" s="16"/>
      <c r="D3101" s="17" t="s">
        <v>6149</v>
      </c>
      <c r="E3101" s="14" t="s">
        <v>24</v>
      </c>
      <c r="F3101" s="14">
        <v>2012</v>
      </c>
      <c r="G3101" s="14" t="s">
        <v>20</v>
      </c>
      <c r="H3101" s="15" t="s">
        <v>229</v>
      </c>
      <c r="I3101" s="14" t="s">
        <v>569</v>
      </c>
      <c r="J3101" s="132"/>
      <c r="K3101" s="150" t="s">
        <v>6150</v>
      </c>
    </row>
    <row r="3102" spans="1:11" ht="28.9" customHeight="1" thickTop="1" thickBot="1" x14ac:dyDescent="0.75">
      <c r="A3102" s="10">
        <v>3100</v>
      </c>
      <c r="B3102" s="59" t="str">
        <f>HYPERLINK("https://search.naver.com/search.naver?query=퍼슨 오브 인터레스트 시즌3", "퍼슨 오브 인터레스트 시즌3")</f>
        <v>퍼슨 오브 인터레스트 시즌3</v>
      </c>
      <c r="C3102" s="16"/>
      <c r="D3102" s="17" t="s">
        <v>6149</v>
      </c>
      <c r="E3102" s="14" t="s">
        <v>24</v>
      </c>
      <c r="F3102" s="14">
        <v>2013</v>
      </c>
      <c r="G3102" s="14" t="s">
        <v>20</v>
      </c>
      <c r="H3102" s="15" t="s">
        <v>229</v>
      </c>
      <c r="I3102" s="14" t="s">
        <v>566</v>
      </c>
      <c r="J3102" s="132"/>
      <c r="K3102" s="150" t="s">
        <v>6151</v>
      </c>
    </row>
    <row r="3103" spans="1:11" ht="28.9" customHeight="1" thickTop="1" thickBot="1" x14ac:dyDescent="0.75">
      <c r="A3103" s="6">
        <v>3101</v>
      </c>
      <c r="B3103" s="59" t="str">
        <f>HYPERLINK("https://search.naver.com/search.naver?query=퍼슨 오브 인터레스트 시즌4", "퍼슨 오브 인터레스트 시즌4")</f>
        <v>퍼슨 오브 인터레스트 시즌4</v>
      </c>
      <c r="C3103" s="16"/>
      <c r="D3103" s="17" t="s">
        <v>6149</v>
      </c>
      <c r="E3103" s="14" t="s">
        <v>24</v>
      </c>
      <c r="F3103" s="14">
        <v>2014</v>
      </c>
      <c r="G3103" s="14" t="s">
        <v>20</v>
      </c>
      <c r="H3103" s="15" t="s">
        <v>229</v>
      </c>
      <c r="I3103" s="14" t="s">
        <v>569</v>
      </c>
      <c r="J3103" s="132"/>
      <c r="K3103" s="150" t="s">
        <v>1799</v>
      </c>
    </row>
    <row r="3104" spans="1:11" ht="28.9" customHeight="1" thickTop="1" thickBot="1" x14ac:dyDescent="0.75">
      <c r="A3104" s="10">
        <v>3102</v>
      </c>
      <c r="B3104" s="59" t="str">
        <f>HYPERLINK("https://search.naver.com/search.naver?query=퍼슨 오브 인터레스트 시즌5", "퍼슨 오브 인터레스트 시즌5")</f>
        <v>퍼슨 오브 인터레스트 시즌5</v>
      </c>
      <c r="C3104" s="16"/>
      <c r="D3104" s="17" t="s">
        <v>6149</v>
      </c>
      <c r="E3104" s="14" t="s">
        <v>24</v>
      </c>
      <c r="F3104" s="14">
        <v>2016</v>
      </c>
      <c r="G3104" s="14" t="s">
        <v>20</v>
      </c>
      <c r="H3104" s="15" t="s">
        <v>229</v>
      </c>
      <c r="I3104" s="14" t="s">
        <v>1108</v>
      </c>
      <c r="J3104" s="132"/>
      <c r="K3104" s="150" t="s">
        <v>3688</v>
      </c>
    </row>
    <row r="3105" spans="1:11" ht="28.9" customHeight="1" thickTop="1" thickBot="1" x14ac:dyDescent="0.75">
      <c r="A3105" s="10">
        <v>3103</v>
      </c>
      <c r="B3105" s="57" t="str">
        <f>HYPERLINK("https://search.naver.com/search.naver?query=퍼즐 (2018) 미국 영화", "퍼즐")</f>
        <v>퍼즐</v>
      </c>
      <c r="C3105" s="8"/>
      <c r="D3105" s="9" t="s">
        <v>6152</v>
      </c>
      <c r="E3105" s="6" t="s">
        <v>24</v>
      </c>
      <c r="F3105" s="6">
        <v>2018</v>
      </c>
      <c r="G3105" s="6" t="s">
        <v>14</v>
      </c>
      <c r="H3105" s="7" t="s">
        <v>20</v>
      </c>
      <c r="I3105" s="6" t="s">
        <v>276</v>
      </c>
      <c r="J3105" s="130"/>
      <c r="K3105" s="148" t="s">
        <v>6153</v>
      </c>
    </row>
    <row r="3106" spans="1:11" ht="28.9" customHeight="1" thickTop="1" thickBot="1" x14ac:dyDescent="0.75">
      <c r="A3106" s="6">
        <v>3104</v>
      </c>
      <c r="B3106" s="58" t="str">
        <f>HYPERLINK("https://search.naver.com/search.naver?query=퍼펙트 영화", "퍼펙트")</f>
        <v>퍼펙트</v>
      </c>
      <c r="C3106" s="12">
        <v>7</v>
      </c>
      <c r="D3106" s="13" t="s">
        <v>6154</v>
      </c>
      <c r="E3106" s="10" t="s">
        <v>24</v>
      </c>
      <c r="F3106" s="10">
        <v>2013</v>
      </c>
      <c r="G3106" s="10" t="s">
        <v>14</v>
      </c>
      <c r="H3106" s="11" t="s">
        <v>20</v>
      </c>
      <c r="I3106" s="10" t="s">
        <v>150</v>
      </c>
      <c r="J3106" s="131"/>
      <c r="K3106" s="149" t="s">
        <v>6155</v>
      </c>
    </row>
    <row r="3107" spans="1:11" ht="28.9" customHeight="1" thickTop="1" thickBot="1" x14ac:dyDescent="0.75">
      <c r="A3107" s="10">
        <v>3105</v>
      </c>
      <c r="B3107" s="57" t="str">
        <f>HYPERLINK("https://search.naver.com/search.naver?query=퍼펙트 게임 영화", "퍼펙트 게임")</f>
        <v>퍼펙트 게임</v>
      </c>
      <c r="C3107" s="8">
        <v>8.9499999999999993</v>
      </c>
      <c r="D3107" s="9" t="s">
        <v>6156</v>
      </c>
      <c r="E3107" s="6" t="s">
        <v>13</v>
      </c>
      <c r="F3107" s="6">
        <v>2011</v>
      </c>
      <c r="G3107" s="6" t="s">
        <v>14</v>
      </c>
      <c r="H3107" s="7" t="s">
        <v>20</v>
      </c>
      <c r="I3107" s="6" t="s">
        <v>329</v>
      </c>
      <c r="J3107" s="130"/>
      <c r="K3107" s="148" t="s">
        <v>6157</v>
      </c>
    </row>
    <row r="3108" spans="1:11" ht="28.9" customHeight="1" thickTop="1" thickBot="1" x14ac:dyDescent="0.75">
      <c r="A3108" s="10">
        <v>3106</v>
      </c>
      <c r="B3108" s="58" t="str">
        <f>HYPERLINK("https://search.naver.com/search.naver?query=퍼펙트 겟어웨이 영화", "퍼펙트 겟어웨이")</f>
        <v>퍼펙트 겟어웨이</v>
      </c>
      <c r="C3108" s="12">
        <v>7.27</v>
      </c>
      <c r="D3108" s="13" t="s">
        <v>6158</v>
      </c>
      <c r="E3108" s="10" t="s">
        <v>24</v>
      </c>
      <c r="F3108" s="10">
        <v>2009</v>
      </c>
      <c r="G3108" s="10" t="s">
        <v>14</v>
      </c>
      <c r="H3108" s="11" t="s">
        <v>54</v>
      </c>
      <c r="I3108" s="10" t="s">
        <v>16</v>
      </c>
      <c r="J3108" s="131"/>
      <c r="K3108" s="149" t="s">
        <v>6159</v>
      </c>
    </row>
    <row r="3109" spans="1:11" ht="28.9" customHeight="1" thickTop="1" thickBot="1" x14ac:dyDescent="0.75">
      <c r="A3109" s="6">
        <v>3107</v>
      </c>
      <c r="B3109" s="57" t="str">
        <f>HYPERLINK("https://search.naver.com/search.naver?query=퍼펙트 데이즈 영화", "퍼펙트 데이즈")</f>
        <v>퍼펙트 데이즈</v>
      </c>
      <c r="C3109" s="8">
        <v>8.5399999999999991</v>
      </c>
      <c r="D3109" s="9" t="s">
        <v>6160</v>
      </c>
      <c r="E3109" s="6" t="s">
        <v>19</v>
      </c>
      <c r="F3109" s="6">
        <v>2023</v>
      </c>
      <c r="G3109" s="6" t="s">
        <v>14</v>
      </c>
      <c r="H3109" s="7" t="s">
        <v>20</v>
      </c>
      <c r="I3109" s="6" t="s">
        <v>76</v>
      </c>
      <c r="J3109" s="130"/>
      <c r="K3109" s="148" t="s">
        <v>6161</v>
      </c>
    </row>
    <row r="3110" spans="1:11" ht="28.9" customHeight="1" thickTop="1" thickBot="1" x14ac:dyDescent="0.75">
      <c r="A3110" s="10">
        <v>3108</v>
      </c>
      <c r="B3110" s="58" t="str">
        <f>HYPERLINK("https://search.naver.com/search.naver?query=퍼펙트 센스 영화", "퍼펙트 센스")</f>
        <v>퍼펙트 센스</v>
      </c>
      <c r="C3110" s="12">
        <v>7.93</v>
      </c>
      <c r="D3110" s="13" t="s">
        <v>6162</v>
      </c>
      <c r="E3110" s="10" t="s">
        <v>29</v>
      </c>
      <c r="F3110" s="10">
        <v>2011</v>
      </c>
      <c r="G3110" s="10" t="s">
        <v>14</v>
      </c>
      <c r="H3110" s="11" t="s">
        <v>20</v>
      </c>
      <c r="I3110" s="10" t="s">
        <v>205</v>
      </c>
      <c r="J3110" s="131"/>
      <c r="K3110" s="149" t="s">
        <v>6163</v>
      </c>
    </row>
    <row r="3111" spans="1:11" ht="28.9" customHeight="1" thickTop="1" thickBot="1" x14ac:dyDescent="0.75">
      <c r="A3111" s="10">
        <v>3109</v>
      </c>
      <c r="B3111" s="57" t="str">
        <f>HYPERLINK("https://search.naver.com/search.naver?query=퍼펙트 스틸 영화", "퍼펙트 스틸")</f>
        <v>퍼펙트 스틸</v>
      </c>
      <c r="C3111" s="8">
        <v>6.14</v>
      </c>
      <c r="D3111" s="9" t="s">
        <v>6164</v>
      </c>
      <c r="E3111" s="6" t="s">
        <v>24</v>
      </c>
      <c r="F3111" s="6">
        <v>2021</v>
      </c>
      <c r="G3111" s="6" t="s">
        <v>14</v>
      </c>
      <c r="H3111" s="7" t="s">
        <v>428</v>
      </c>
      <c r="I3111" s="6" t="s">
        <v>125</v>
      </c>
      <c r="J3111" s="130"/>
      <c r="K3111" s="148" t="s">
        <v>6165</v>
      </c>
    </row>
    <row r="3112" spans="1:11" ht="28.9" customHeight="1" thickTop="1" thickBot="1" x14ac:dyDescent="0.75">
      <c r="A3112" s="6">
        <v>3110</v>
      </c>
      <c r="B3112" s="58" t="str">
        <f>HYPERLINK("https://search.naver.com/search.naver?query=퍼펙트 케어 영화", "퍼펙트 케어")</f>
        <v>퍼펙트 케어</v>
      </c>
      <c r="C3112" s="12">
        <v>9.06</v>
      </c>
      <c r="D3112" s="13" t="s">
        <v>6166</v>
      </c>
      <c r="E3112" s="10" t="s">
        <v>24</v>
      </c>
      <c r="F3112" s="10">
        <v>2020</v>
      </c>
      <c r="G3112" s="10" t="s">
        <v>14</v>
      </c>
      <c r="H3112" s="11" t="s">
        <v>91</v>
      </c>
      <c r="I3112" s="10" t="s">
        <v>329</v>
      </c>
      <c r="J3112" s="131"/>
      <c r="K3112" s="149" t="s">
        <v>6167</v>
      </c>
    </row>
    <row r="3113" spans="1:11" ht="28.9" customHeight="1" thickTop="1" thickBot="1" x14ac:dyDescent="0.75">
      <c r="A3113" s="10">
        <v>3111</v>
      </c>
      <c r="B3113" s="57" t="str">
        <f>HYPERLINK("https://search.naver.com/search.naver?query=퍼펙트 타겟 영화", "퍼펙트 타겟")</f>
        <v>퍼펙트 타겟</v>
      </c>
      <c r="C3113" s="8">
        <v>7.16</v>
      </c>
      <c r="D3113" s="9" t="s">
        <v>6168</v>
      </c>
      <c r="E3113" s="6" t="s">
        <v>24</v>
      </c>
      <c r="F3113" s="6">
        <v>2019</v>
      </c>
      <c r="G3113" s="6" t="s">
        <v>14</v>
      </c>
      <c r="H3113" s="7" t="s">
        <v>124</v>
      </c>
      <c r="I3113" s="6" t="s">
        <v>150</v>
      </c>
      <c r="J3113" s="130"/>
      <c r="K3113" s="148" t="s">
        <v>2514</v>
      </c>
    </row>
    <row r="3114" spans="1:11" ht="28.9" customHeight="1" thickTop="1" thickBot="1" x14ac:dyDescent="0.75">
      <c r="A3114" s="10">
        <v>3112</v>
      </c>
      <c r="B3114" s="58" t="str">
        <f>HYPERLINK("https://search.naver.com/search.naver?query=퍼펙트맨 영화", "퍼펙트맨")</f>
        <v>퍼펙트맨</v>
      </c>
      <c r="C3114" s="12">
        <v>8.5</v>
      </c>
      <c r="D3114" s="13" t="s">
        <v>6169</v>
      </c>
      <c r="E3114" s="10" t="s">
        <v>13</v>
      </c>
      <c r="F3114" s="10">
        <v>2019</v>
      </c>
      <c r="G3114" s="10" t="s">
        <v>14</v>
      </c>
      <c r="H3114" s="11" t="s">
        <v>91</v>
      </c>
      <c r="I3114" s="10" t="s">
        <v>175</v>
      </c>
      <c r="J3114" s="131"/>
      <c r="K3114" s="149" t="s">
        <v>6170</v>
      </c>
    </row>
    <row r="3115" spans="1:11" ht="28.9" customHeight="1" thickTop="1" thickBot="1" x14ac:dyDescent="0.75">
      <c r="A3115" s="6">
        <v>3113</v>
      </c>
      <c r="B3115" s="57" t="str">
        <f>HYPERLINK("https://search.naver.com/search.naver?query=페어 게임 영화", "페어 게임")</f>
        <v>페어 게임</v>
      </c>
      <c r="C3115" s="8">
        <v>6.34</v>
      </c>
      <c r="D3115" s="9" t="s">
        <v>6171</v>
      </c>
      <c r="E3115" s="6" t="s">
        <v>24</v>
      </c>
      <c r="F3115" s="6">
        <v>2010</v>
      </c>
      <c r="G3115" s="6" t="s">
        <v>14</v>
      </c>
      <c r="H3115" s="7" t="s">
        <v>20</v>
      </c>
      <c r="I3115" s="6" t="s">
        <v>38</v>
      </c>
      <c r="J3115" s="130"/>
      <c r="K3115" s="148" t="s">
        <v>6172</v>
      </c>
    </row>
    <row r="3116" spans="1:11" ht="28.9" customHeight="1" thickTop="1" thickBot="1" x14ac:dyDescent="0.75">
      <c r="A3116" s="10">
        <v>3114</v>
      </c>
      <c r="B3116" s="58" t="str">
        <f>HYPERLINK("https://search.naver.com/search.naver?query=페어러브 영화", "페어러브")</f>
        <v>페어러브</v>
      </c>
      <c r="C3116" s="12">
        <v>8.35</v>
      </c>
      <c r="D3116" s="13" t="s">
        <v>6173</v>
      </c>
      <c r="E3116" s="10" t="s">
        <v>13</v>
      </c>
      <c r="F3116" s="10">
        <v>2009</v>
      </c>
      <c r="G3116" s="10" t="s">
        <v>14</v>
      </c>
      <c r="H3116" s="11" t="s">
        <v>165</v>
      </c>
      <c r="I3116" s="10" t="s">
        <v>150</v>
      </c>
      <c r="J3116" s="131"/>
      <c r="K3116" s="149" t="s">
        <v>6174</v>
      </c>
    </row>
    <row r="3117" spans="1:11" ht="28.9" customHeight="1" thickTop="1" thickBot="1" x14ac:dyDescent="0.75">
      <c r="A3117" s="10">
        <v>3115</v>
      </c>
      <c r="B3117" s="57" t="str">
        <f>HYPERLINK("https://search.naver.com/search.naver?query=페어런트 트랩 영화", "페어런트 트랩")</f>
        <v>페어런트 트랩</v>
      </c>
      <c r="C3117" s="8">
        <v>9.85</v>
      </c>
      <c r="D3117" s="9" t="s">
        <v>6175</v>
      </c>
      <c r="E3117" s="6" t="s">
        <v>24</v>
      </c>
      <c r="F3117" s="6">
        <v>1998</v>
      </c>
      <c r="G3117" s="6" t="s">
        <v>14</v>
      </c>
      <c r="H3117" s="7" t="s">
        <v>885</v>
      </c>
      <c r="I3117" s="6" t="s">
        <v>146</v>
      </c>
      <c r="J3117" s="130"/>
      <c r="K3117" s="148" t="s">
        <v>6176</v>
      </c>
    </row>
    <row r="3118" spans="1:11" ht="28.9" customHeight="1" thickTop="1" thickBot="1" x14ac:dyDescent="0.75">
      <c r="A3118" s="6">
        <v>3116</v>
      </c>
      <c r="B3118" s="58" t="str">
        <f>HYPERLINK("https://search.naver.com/search.naver?query=페이블 영화", "페이블")</f>
        <v>페이블</v>
      </c>
      <c r="C3118" s="12">
        <v>6.73</v>
      </c>
      <c r="D3118" s="13" t="s">
        <v>6177</v>
      </c>
      <c r="E3118" s="10" t="s">
        <v>19</v>
      </c>
      <c r="F3118" s="10">
        <v>2019</v>
      </c>
      <c r="G3118" s="10" t="s">
        <v>14</v>
      </c>
      <c r="H3118" s="11" t="s">
        <v>124</v>
      </c>
      <c r="I3118" s="10" t="s">
        <v>183</v>
      </c>
      <c r="J3118" s="131"/>
      <c r="K3118" s="149" t="s">
        <v>6178</v>
      </c>
    </row>
    <row r="3119" spans="1:11" ht="28.9" customHeight="1" thickTop="1" thickBot="1" x14ac:dyDescent="0.75">
      <c r="A3119" s="10">
        <v>3117</v>
      </c>
      <c r="B3119" s="57" t="str">
        <f>HYPERLINK("https://search.naver.com/search.naver?query=페이스 메이커 영화", "페이스 메이커")</f>
        <v>페이스 메이커</v>
      </c>
      <c r="C3119" s="8">
        <v>8.85</v>
      </c>
      <c r="D3119" s="9" t="s">
        <v>6179</v>
      </c>
      <c r="E3119" s="6" t="s">
        <v>13</v>
      </c>
      <c r="F3119" s="6">
        <v>2012</v>
      </c>
      <c r="G3119" s="6" t="s">
        <v>14</v>
      </c>
      <c r="H3119" s="7" t="s">
        <v>20</v>
      </c>
      <c r="I3119" s="6" t="s">
        <v>150</v>
      </c>
      <c r="J3119" s="130"/>
      <c r="K3119" s="148" t="s">
        <v>6180</v>
      </c>
    </row>
    <row r="3120" spans="1:11" ht="28.9" customHeight="1" thickTop="1" thickBot="1" x14ac:dyDescent="0.75">
      <c r="A3120" s="10">
        <v>3118</v>
      </c>
      <c r="B3120" s="58" t="str">
        <f>HYPERLINK("https://search.naver.com/search.naver?query=페이스 블라인드 영화", "페이스 블라인드")</f>
        <v>페이스 블라인드</v>
      </c>
      <c r="C3120" s="12">
        <v>7.33</v>
      </c>
      <c r="D3120" s="13" t="s">
        <v>6181</v>
      </c>
      <c r="E3120" s="10" t="s">
        <v>24</v>
      </c>
      <c r="F3120" s="10">
        <v>2011</v>
      </c>
      <c r="G3120" s="10" t="s">
        <v>14</v>
      </c>
      <c r="H3120" s="11" t="s">
        <v>20</v>
      </c>
      <c r="I3120" s="10" t="s">
        <v>150</v>
      </c>
      <c r="J3120" s="131"/>
      <c r="K3120" s="149" t="s">
        <v>6182</v>
      </c>
    </row>
    <row r="3121" spans="1:11" ht="28.9" customHeight="1" thickTop="1" thickBot="1" x14ac:dyDescent="0.75">
      <c r="A3121" s="6">
        <v>3119</v>
      </c>
      <c r="B3121" s="57" t="str">
        <f>HYPERLINK("https://search.naver.com/search.naver?query=페이스 오브 러브 영화", "페이스 오브 러브")</f>
        <v>페이스 오브 러브</v>
      </c>
      <c r="C3121" s="8">
        <v>7.97</v>
      </c>
      <c r="D3121" s="9" t="s">
        <v>6183</v>
      </c>
      <c r="E3121" s="6" t="s">
        <v>24</v>
      </c>
      <c r="F3121" s="6">
        <v>2013</v>
      </c>
      <c r="G3121" s="6" t="s">
        <v>14</v>
      </c>
      <c r="H3121" s="7" t="s">
        <v>20</v>
      </c>
      <c r="I3121" s="6" t="s">
        <v>205</v>
      </c>
      <c r="J3121" s="130"/>
      <c r="K3121" s="148" t="s">
        <v>6184</v>
      </c>
    </row>
    <row r="3122" spans="1:11" ht="28.9" customHeight="1" thickTop="1" thickBot="1" x14ac:dyDescent="0.75">
      <c r="A3122" s="10">
        <v>3120</v>
      </c>
      <c r="B3122" s="58" t="str">
        <f>HYPERLINK("https://search.naver.com/search.naver?query=페인 앤 글로리 영화", "페인 앤 글로리")</f>
        <v>페인 앤 글로리</v>
      </c>
      <c r="C3122" s="12">
        <v>8.64</v>
      </c>
      <c r="D3122" s="13" t="s">
        <v>6185</v>
      </c>
      <c r="E3122" s="10" t="s">
        <v>37</v>
      </c>
      <c r="F3122" s="10">
        <v>2019</v>
      </c>
      <c r="G3122" s="10" t="s">
        <v>14</v>
      </c>
      <c r="H3122" s="11" t="s">
        <v>20</v>
      </c>
      <c r="I3122" s="10" t="s">
        <v>98</v>
      </c>
      <c r="J3122" s="131"/>
      <c r="K3122" s="149" t="s">
        <v>6186</v>
      </c>
    </row>
    <row r="3123" spans="1:11" ht="28.9" customHeight="1" thickTop="1" thickBot="1" x14ac:dyDescent="0.75">
      <c r="A3123" s="10">
        <v>3121</v>
      </c>
      <c r="B3123" s="57" t="str">
        <f>HYPERLINK("https://search.naver.com/search.naver?query=페인티드 베일 영화", "페인티드 베일")</f>
        <v>페인티드 베일</v>
      </c>
      <c r="C3123" s="8">
        <v>8.6999999999999993</v>
      </c>
      <c r="D3123" s="9" t="s">
        <v>6187</v>
      </c>
      <c r="E3123" s="6" t="s">
        <v>24</v>
      </c>
      <c r="F3123" s="6">
        <v>2006</v>
      </c>
      <c r="G3123" s="6" t="s">
        <v>14</v>
      </c>
      <c r="H3123" s="7" t="s">
        <v>20</v>
      </c>
      <c r="I3123" s="6" t="s">
        <v>316</v>
      </c>
      <c r="J3123" s="130"/>
      <c r="K3123" s="148" t="s">
        <v>6188</v>
      </c>
    </row>
    <row r="3124" spans="1:11" ht="28.9" customHeight="1" thickTop="1" thickBot="1" x14ac:dyDescent="0.75">
      <c r="A3124" s="6">
        <v>3122</v>
      </c>
      <c r="B3124" s="58" t="str">
        <f>HYPERLINK("https://search.naver.com/search.naver?query=펠로니 영화", "펠로니")</f>
        <v>펠로니</v>
      </c>
      <c r="C3124" s="12">
        <v>6.69</v>
      </c>
      <c r="D3124" s="13" t="s">
        <v>6189</v>
      </c>
      <c r="E3124" s="10" t="s">
        <v>45</v>
      </c>
      <c r="F3124" s="10">
        <v>2013</v>
      </c>
      <c r="G3124" s="10" t="s">
        <v>14</v>
      </c>
      <c r="H3124" s="11" t="s">
        <v>428</v>
      </c>
      <c r="I3124" s="10" t="s">
        <v>175</v>
      </c>
      <c r="J3124" s="131"/>
      <c r="K3124" s="149" t="s">
        <v>6190</v>
      </c>
    </row>
    <row r="3125" spans="1:11" ht="28.9" customHeight="1" thickTop="1" thickBot="1" x14ac:dyDescent="0.75">
      <c r="A3125" s="10">
        <v>3123</v>
      </c>
      <c r="B3125" s="57" t="str">
        <f>HYPERLINK("https://search.naver.com/search.naver?query=펠론 영화", "펠론")</f>
        <v>펠론</v>
      </c>
      <c r="C3125" s="8">
        <v>8.5399999999999991</v>
      </c>
      <c r="D3125" s="9" t="s">
        <v>6191</v>
      </c>
      <c r="E3125" s="6" t="s">
        <v>24</v>
      </c>
      <c r="F3125" s="6">
        <v>2008</v>
      </c>
      <c r="G3125" s="6" t="s">
        <v>14</v>
      </c>
      <c r="H3125" s="7" t="s">
        <v>428</v>
      </c>
      <c r="I3125" s="6" t="s">
        <v>242</v>
      </c>
      <c r="J3125" s="130"/>
      <c r="K3125" s="148" t="s">
        <v>6192</v>
      </c>
    </row>
    <row r="3126" spans="1:11" ht="28.9" customHeight="1" thickTop="1" thickBot="1" x14ac:dyDescent="0.75">
      <c r="A3126" s="10">
        <v>3124</v>
      </c>
      <c r="B3126" s="58" t="str">
        <f>HYPERLINK("https://search.naver.com/search.naver?query=펠리니를 찾아서 영화", "펠리니를 찾아서")</f>
        <v>펠리니를 찾아서</v>
      </c>
      <c r="C3126" s="12">
        <v>7.07</v>
      </c>
      <c r="D3126" s="13" t="s">
        <v>6193</v>
      </c>
      <c r="E3126" s="10" t="s">
        <v>24</v>
      </c>
      <c r="F3126" s="10">
        <v>2017</v>
      </c>
      <c r="G3126" s="10" t="s">
        <v>14</v>
      </c>
      <c r="H3126" s="11" t="s">
        <v>20</v>
      </c>
      <c r="I3126" s="10" t="s">
        <v>361</v>
      </c>
      <c r="J3126" s="131"/>
      <c r="K3126" s="149" t="s">
        <v>6194</v>
      </c>
    </row>
    <row r="3127" spans="1:11" ht="28.9" customHeight="1" thickTop="1" thickBot="1" x14ac:dyDescent="0.75">
      <c r="A3127" s="6">
        <v>3125</v>
      </c>
      <c r="B3127" s="57" t="str">
        <f>HYPERLINK("https://search.naver.com/search.naver?query=펭귄 블룸 영화", "펭귄 블룸")</f>
        <v>펭귄 블룸</v>
      </c>
      <c r="C3127" s="8">
        <v>9.17</v>
      </c>
      <c r="D3127" s="9" t="s">
        <v>6195</v>
      </c>
      <c r="E3127" s="6" t="s">
        <v>45</v>
      </c>
      <c r="F3127" s="6">
        <v>2020</v>
      </c>
      <c r="G3127" s="6" t="s">
        <v>14</v>
      </c>
      <c r="H3127" s="7" t="s">
        <v>20</v>
      </c>
      <c r="I3127" s="6" t="s">
        <v>150</v>
      </c>
      <c r="J3127" s="130"/>
      <c r="K3127" s="148" t="s">
        <v>6111</v>
      </c>
    </row>
    <row r="3128" spans="1:11" ht="28.9" customHeight="1" thickTop="1" thickBot="1" x14ac:dyDescent="0.75">
      <c r="A3128" s="10">
        <v>3126</v>
      </c>
      <c r="B3128" s="58" t="str">
        <f>HYPERLINK("https://search.naver.com/search.naver?query=편지 영화", "편지")</f>
        <v>편지</v>
      </c>
      <c r="C3128" s="12">
        <v>8.5299999999999994</v>
      </c>
      <c r="D3128" s="13" t="s">
        <v>6196</v>
      </c>
      <c r="E3128" s="10" t="s">
        <v>13</v>
      </c>
      <c r="F3128" s="10">
        <v>1997</v>
      </c>
      <c r="G3128" s="10" t="s">
        <v>14</v>
      </c>
      <c r="H3128" s="11" t="s">
        <v>20</v>
      </c>
      <c r="I3128" s="10" t="s">
        <v>133</v>
      </c>
      <c r="J3128" s="131"/>
      <c r="K3128" s="149" t="s">
        <v>6197</v>
      </c>
    </row>
    <row r="3129" spans="1:11" ht="28.9" customHeight="1" thickTop="1" thickBot="1" x14ac:dyDescent="0.75">
      <c r="A3129" s="10">
        <v>3127</v>
      </c>
      <c r="B3129" s="57" t="str">
        <f>HYPERLINK("https://search.naver.com/search.naver?query=평범한 천사들 영화", "평범한 천사들")</f>
        <v>평범한 천사들</v>
      </c>
      <c r="C3129" s="8">
        <v>8.1999999999999993</v>
      </c>
      <c r="D3129" s="9" t="s">
        <v>6198</v>
      </c>
      <c r="E3129" s="6" t="s">
        <v>24</v>
      </c>
      <c r="F3129" s="6">
        <v>2024</v>
      </c>
      <c r="G3129" s="6" t="s">
        <v>14</v>
      </c>
      <c r="H3129" s="7" t="s">
        <v>20</v>
      </c>
      <c r="I3129" s="6" t="s">
        <v>591</v>
      </c>
      <c r="J3129" s="130"/>
      <c r="K3129" s="148" t="s">
        <v>6199</v>
      </c>
    </row>
    <row r="3130" spans="1:11" ht="28.9" customHeight="1" thickTop="1" thickBot="1" x14ac:dyDescent="0.75">
      <c r="A3130" s="6">
        <v>3128</v>
      </c>
      <c r="B3130" s="58" t="str">
        <f>HYPERLINK("https://search.naver.com/search.naver?query=평양성 영화", "평양성")</f>
        <v>평양성</v>
      </c>
      <c r="C3130" s="12">
        <v>7.78</v>
      </c>
      <c r="D3130" s="13" t="s">
        <v>6200</v>
      </c>
      <c r="E3130" s="10" t="s">
        <v>13</v>
      </c>
      <c r="F3130" s="10">
        <v>2010</v>
      </c>
      <c r="G3130" s="10" t="s">
        <v>14</v>
      </c>
      <c r="H3130" s="11" t="s">
        <v>91</v>
      </c>
      <c r="I3130" s="10" t="s">
        <v>150</v>
      </c>
      <c r="J3130" s="131"/>
      <c r="K3130" s="149" t="s">
        <v>6201</v>
      </c>
    </row>
    <row r="3131" spans="1:11" ht="28.9" customHeight="1" thickTop="1" thickBot="1" x14ac:dyDescent="0.75">
      <c r="A3131" s="10">
        <v>3129</v>
      </c>
      <c r="B3131" s="57" t="str">
        <f>HYPERLINK("https://search.naver.com/search.naver?query=평일 오후 3시의 연인 영화", "평일 오후 3시의 연인")</f>
        <v>평일 오후 3시의 연인</v>
      </c>
      <c r="C3131" s="8">
        <v>8.09</v>
      </c>
      <c r="D3131" s="9" t="s">
        <v>6202</v>
      </c>
      <c r="E3131" s="6" t="s">
        <v>19</v>
      </c>
      <c r="F3131" s="6">
        <v>2019</v>
      </c>
      <c r="G3131" s="6" t="s">
        <v>14</v>
      </c>
      <c r="H3131" s="7" t="s">
        <v>165</v>
      </c>
      <c r="I3131" s="6" t="s">
        <v>316</v>
      </c>
      <c r="J3131" s="130"/>
      <c r="K3131" s="148" t="s">
        <v>6203</v>
      </c>
    </row>
    <row r="3132" spans="1:11" ht="28.9" customHeight="1" thickTop="1" thickBot="1" x14ac:dyDescent="0.75">
      <c r="A3132" s="10">
        <v>3130</v>
      </c>
      <c r="B3132" s="58" t="str">
        <f>HYPERLINK("https://search.naver.com/search.naver?query=평화로운 전사 영화", "평화로운 전사")</f>
        <v>평화로운 전사</v>
      </c>
      <c r="C3132" s="12">
        <v>6.4</v>
      </c>
      <c r="D3132" s="13" t="s">
        <v>6204</v>
      </c>
      <c r="E3132" s="10" t="s">
        <v>136</v>
      </c>
      <c r="F3132" s="10">
        <v>2006</v>
      </c>
      <c r="G3132" s="10" t="s">
        <v>14</v>
      </c>
      <c r="H3132" s="11" t="s">
        <v>20</v>
      </c>
      <c r="I3132" s="10" t="s">
        <v>116</v>
      </c>
      <c r="J3132" s="131"/>
      <c r="K3132" s="149" t="s">
        <v>6205</v>
      </c>
    </row>
    <row r="3133" spans="1:11" ht="28.9" customHeight="1" thickTop="1" thickBot="1" x14ac:dyDescent="0.75">
      <c r="A3133" s="6">
        <v>3131</v>
      </c>
      <c r="B3133" s="59" t="str">
        <f>HYPERLINK("https://search.naver.com/search.naver?query=포 라이프 시즌1", "포 라이프 시즌1")</f>
        <v>포 라이프 시즌1</v>
      </c>
      <c r="C3133" s="16"/>
      <c r="D3133" s="17" t="s">
        <v>6206</v>
      </c>
      <c r="E3133" s="14" t="s">
        <v>24</v>
      </c>
      <c r="F3133" s="14">
        <v>2020</v>
      </c>
      <c r="G3133" s="14" t="s">
        <v>20</v>
      </c>
      <c r="H3133" s="15" t="s">
        <v>20</v>
      </c>
      <c r="I3133" s="14" t="s">
        <v>1108</v>
      </c>
      <c r="J3133" s="132"/>
      <c r="K3133" s="150" t="s">
        <v>3723</v>
      </c>
    </row>
    <row r="3134" spans="1:11" ht="28.9" customHeight="1" thickTop="1" thickBot="1" x14ac:dyDescent="0.75">
      <c r="A3134" s="10">
        <v>3132</v>
      </c>
      <c r="B3134" s="59" t="str">
        <f>HYPERLINK("https://search.naver.com/search.naver?query=포 라이프 시즌2", "포 라이프 시즌2")</f>
        <v>포 라이프 시즌2</v>
      </c>
      <c r="C3134" s="16"/>
      <c r="D3134" s="17" t="s">
        <v>6207</v>
      </c>
      <c r="E3134" s="14" t="s">
        <v>24</v>
      </c>
      <c r="F3134" s="14">
        <v>2021</v>
      </c>
      <c r="G3134" s="14" t="s">
        <v>20</v>
      </c>
      <c r="H3134" s="15" t="s">
        <v>20</v>
      </c>
      <c r="I3134" s="14" t="s">
        <v>64</v>
      </c>
      <c r="J3134" s="132"/>
      <c r="K3134" s="150" t="s">
        <v>6208</v>
      </c>
    </row>
    <row r="3135" spans="1:11" ht="28.9" customHeight="1" thickTop="1" thickBot="1" x14ac:dyDescent="0.75">
      <c r="A3135" s="10">
        <v>3133</v>
      </c>
      <c r="B3135" s="57" t="str">
        <f>HYPERLINK("https://search.naver.com/search.naver?query=포 러버즈 영화", "포 러버즈")</f>
        <v>포 러버즈</v>
      </c>
      <c r="C3135" s="8">
        <v>6.09</v>
      </c>
      <c r="D3135" s="9" t="s">
        <v>6209</v>
      </c>
      <c r="E3135" s="6" t="s">
        <v>19</v>
      </c>
      <c r="F3135" s="6">
        <v>2010</v>
      </c>
      <c r="G3135" s="6" t="s">
        <v>14</v>
      </c>
      <c r="H3135" s="7" t="s">
        <v>165</v>
      </c>
      <c r="I3135" s="6" t="s">
        <v>150</v>
      </c>
      <c r="J3135" s="130"/>
      <c r="K3135" s="148" t="s">
        <v>6210</v>
      </c>
    </row>
    <row r="3136" spans="1:11" ht="28.9" customHeight="1" thickTop="1" thickBot="1" x14ac:dyDescent="0.75">
      <c r="A3136" s="6">
        <v>3134</v>
      </c>
      <c r="B3136" s="59" t="str">
        <f>HYPERLINK("https://search.naver.com/search.naver?query=포 올 맨카인드 시즌1", "포 올 맨카인드 시즌1")</f>
        <v>포 올 맨카인드 시즌1</v>
      </c>
      <c r="C3136" s="16"/>
      <c r="D3136" s="17" t="s">
        <v>6211</v>
      </c>
      <c r="E3136" s="14" t="s">
        <v>24</v>
      </c>
      <c r="F3136" s="14">
        <v>2019</v>
      </c>
      <c r="G3136" s="14" t="s">
        <v>20</v>
      </c>
      <c r="H3136" s="15" t="s">
        <v>519</v>
      </c>
      <c r="I3136" s="14" t="s">
        <v>64</v>
      </c>
      <c r="J3136" s="132"/>
      <c r="K3136" s="150" t="s">
        <v>6212</v>
      </c>
    </row>
    <row r="3137" spans="1:11" ht="28.9" customHeight="1" thickTop="1" thickBot="1" x14ac:dyDescent="0.75">
      <c r="A3137" s="10">
        <v>3135</v>
      </c>
      <c r="B3137" s="57" t="str">
        <f>HYPERLINK("https://search.naver.com/search.naver?query=포가튼 러브 영화", "포가튼 러브")</f>
        <v>포가튼 러브</v>
      </c>
      <c r="C3137" s="8">
        <v>9.4</v>
      </c>
      <c r="D3137" s="9" t="s">
        <v>6213</v>
      </c>
      <c r="E3137" s="6" t="s">
        <v>2207</v>
      </c>
      <c r="F3137" s="6">
        <v>2023</v>
      </c>
      <c r="G3137" s="6" t="s">
        <v>14</v>
      </c>
      <c r="H3137" s="7" t="s">
        <v>20</v>
      </c>
      <c r="I3137" s="6" t="s">
        <v>930</v>
      </c>
      <c r="J3137" s="130"/>
      <c r="K3137" s="148" t="s">
        <v>6214</v>
      </c>
    </row>
    <row r="3138" spans="1:11" ht="28.9" customHeight="1" thickTop="1" thickBot="1" x14ac:dyDescent="0.75">
      <c r="A3138" s="10">
        <v>3136</v>
      </c>
      <c r="B3138" s="58" t="str">
        <f>HYPERLINK("https://search.naver.com/search.naver?query=포드 V 페라리 영화", "포드 V 페라리")</f>
        <v>포드 V 페라리</v>
      </c>
      <c r="C3138" s="12">
        <v>9.31</v>
      </c>
      <c r="D3138" s="13" t="s">
        <v>6215</v>
      </c>
      <c r="E3138" s="10" t="s">
        <v>24</v>
      </c>
      <c r="F3138" s="10">
        <v>2019</v>
      </c>
      <c r="G3138" s="10" t="s">
        <v>14</v>
      </c>
      <c r="H3138" s="11" t="s">
        <v>124</v>
      </c>
      <c r="I3138" s="10" t="s">
        <v>1181</v>
      </c>
      <c r="J3138" s="131"/>
      <c r="K3138" s="149" t="s">
        <v>6216</v>
      </c>
    </row>
    <row r="3139" spans="1:11" ht="28.9" customHeight="1" thickTop="1" thickBot="1" x14ac:dyDescent="0.75">
      <c r="A3139" s="6">
        <v>3137</v>
      </c>
      <c r="B3139" s="57" t="str">
        <f>HYPERLINK("https://search.naver.com/search.naver?query=포레스트 죽음의 숲 영화", "포레스트 - 죽음의 숲")</f>
        <v>포레스트 - 죽음의 숲</v>
      </c>
      <c r="C3139" s="8">
        <v>7.61</v>
      </c>
      <c r="D3139" s="9" t="s">
        <v>6217</v>
      </c>
      <c r="E3139" s="6" t="s">
        <v>24</v>
      </c>
      <c r="F3139" s="6">
        <v>2016</v>
      </c>
      <c r="G3139" s="6" t="s">
        <v>14</v>
      </c>
      <c r="H3139" s="7" t="s">
        <v>382</v>
      </c>
      <c r="I3139" s="6" t="s">
        <v>125</v>
      </c>
      <c r="J3139" s="130"/>
      <c r="K3139" s="148" t="s">
        <v>6218</v>
      </c>
    </row>
    <row r="3140" spans="1:11" ht="28.9" customHeight="1" thickTop="1" thickBot="1" x14ac:dyDescent="0.75">
      <c r="A3140" s="10">
        <v>3138</v>
      </c>
      <c r="B3140" s="58" t="str">
        <f>HYPERLINK("https://search.naver.com/search.naver?query=포레스트 검프 영화", "포레스트 검프")</f>
        <v>포레스트 검프</v>
      </c>
      <c r="C3140" s="12">
        <v>9.16</v>
      </c>
      <c r="D3140" s="13" t="s">
        <v>6219</v>
      </c>
      <c r="E3140" s="10" t="s">
        <v>24</v>
      </c>
      <c r="F3140" s="10">
        <v>1994</v>
      </c>
      <c r="G3140" s="10" t="s">
        <v>14</v>
      </c>
      <c r="H3140" s="11" t="s">
        <v>20</v>
      </c>
      <c r="I3140" s="10" t="s">
        <v>356</v>
      </c>
      <c r="J3140" s="131"/>
      <c r="K3140" s="149" t="s">
        <v>6220</v>
      </c>
    </row>
    <row r="3141" spans="1:11" ht="28.9" customHeight="1" thickTop="1" thickBot="1" x14ac:dyDescent="0.75">
      <c r="A3141" s="10">
        <v>3139</v>
      </c>
      <c r="B3141" s="57" t="str">
        <f>HYPERLINK("https://search.naver.com/search.naver?query=포세이돈 영화", "포세이돈")</f>
        <v>포세이돈</v>
      </c>
      <c r="C3141" s="8">
        <v>7.29</v>
      </c>
      <c r="D3141" s="9" t="s">
        <v>6221</v>
      </c>
      <c r="E3141" s="6" t="s">
        <v>24</v>
      </c>
      <c r="F3141" s="6">
        <v>2006</v>
      </c>
      <c r="G3141" s="6" t="s">
        <v>14</v>
      </c>
      <c r="H3141" s="7" t="s">
        <v>124</v>
      </c>
      <c r="I3141" s="6" t="s">
        <v>16</v>
      </c>
      <c r="J3141" s="130"/>
      <c r="K3141" s="148" t="s">
        <v>6222</v>
      </c>
    </row>
    <row r="3142" spans="1:11" ht="28.9" customHeight="1" thickTop="1" thickBot="1" x14ac:dyDescent="0.75">
      <c r="A3142" s="6">
        <v>3140</v>
      </c>
      <c r="B3142" s="58" t="str">
        <f>HYPERLINK("https://search.naver.com/search.naver?query=포세이큰 영화", "포세이큰")</f>
        <v>포세이큰</v>
      </c>
      <c r="C3142" s="12"/>
      <c r="D3142" s="13" t="s">
        <v>6223</v>
      </c>
      <c r="E3142" s="10" t="s">
        <v>275</v>
      </c>
      <c r="F3142" s="10">
        <v>2015</v>
      </c>
      <c r="G3142" s="10" t="s">
        <v>14</v>
      </c>
      <c r="H3142" s="11" t="s">
        <v>1532</v>
      </c>
      <c r="I3142" s="10" t="s">
        <v>156</v>
      </c>
      <c r="J3142" s="131"/>
      <c r="K3142" s="149" t="s">
        <v>6224</v>
      </c>
    </row>
    <row r="3143" spans="1:11" ht="28.9" customHeight="1" thickTop="1" thickBot="1" x14ac:dyDescent="0.75">
      <c r="A3143" s="10">
        <v>3141</v>
      </c>
      <c r="B3143" s="57" t="str">
        <f>HYPERLINK("https://search.naver.com/search.naver?query=포스 마쥬어 화이트 베케이션 영화", "포스 마쥬어 - 화이트 베케이션")</f>
        <v>포스 마쥬어 - 화이트 베케이션</v>
      </c>
      <c r="C3143" s="8">
        <v>8.18</v>
      </c>
      <c r="D3143" s="9" t="s">
        <v>6225</v>
      </c>
      <c r="E3143" s="6" t="s">
        <v>1043</v>
      </c>
      <c r="F3143" s="6">
        <v>2014</v>
      </c>
      <c r="G3143" s="6" t="s">
        <v>14</v>
      </c>
      <c r="H3143" s="7" t="s">
        <v>20</v>
      </c>
      <c r="I3143" s="6" t="s">
        <v>116</v>
      </c>
      <c r="J3143" s="130"/>
      <c r="K3143" s="148" t="s">
        <v>6226</v>
      </c>
    </row>
    <row r="3144" spans="1:11" ht="28.9" customHeight="1" thickTop="1" thickBot="1" x14ac:dyDescent="0.75">
      <c r="A3144" s="10">
        <v>3142</v>
      </c>
      <c r="B3144" s="58" t="str">
        <f>HYPERLINK("https://search.naver.com/search.naver?query=포스 오브 네이쳐 영화", "포스 오브 네이쳐")</f>
        <v>포스 오브 네이쳐</v>
      </c>
      <c r="C3144" s="12">
        <v>5.09</v>
      </c>
      <c r="D3144" s="13" t="s">
        <v>6227</v>
      </c>
      <c r="E3144" s="10" t="s">
        <v>24</v>
      </c>
      <c r="F3144" s="10">
        <v>2020</v>
      </c>
      <c r="G3144" s="10" t="s">
        <v>14</v>
      </c>
      <c r="H3144" s="11" t="s">
        <v>124</v>
      </c>
      <c r="I3144" s="10" t="s">
        <v>361</v>
      </c>
      <c r="J3144" s="131"/>
      <c r="K3144" s="149" t="s">
        <v>6228</v>
      </c>
    </row>
    <row r="3145" spans="1:11" ht="28.9" customHeight="1" thickTop="1" thickBot="1" x14ac:dyDescent="0.75">
      <c r="A3145" s="6">
        <v>3143</v>
      </c>
      <c r="B3145" s="57" t="str">
        <f>HYPERLINK("https://search.naver.com/search.naver?query=포이즌 로즈 영화", "포이즌 로즈")</f>
        <v>포이즌 로즈</v>
      </c>
      <c r="C3145" s="8">
        <v>5</v>
      </c>
      <c r="D3145" s="9" t="s">
        <v>6229</v>
      </c>
      <c r="E3145" s="6" t="s">
        <v>24</v>
      </c>
      <c r="F3145" s="6">
        <v>2019</v>
      </c>
      <c r="G3145" s="6" t="s">
        <v>14</v>
      </c>
      <c r="H3145" s="7" t="s">
        <v>428</v>
      </c>
      <c r="I3145" s="6" t="s">
        <v>16</v>
      </c>
      <c r="J3145" s="130"/>
      <c r="K3145" s="148" t="s">
        <v>6230</v>
      </c>
    </row>
    <row r="3146" spans="1:11" ht="28.9" customHeight="1" thickTop="1" thickBot="1" x14ac:dyDescent="0.75">
      <c r="A3146" s="10">
        <v>3144</v>
      </c>
      <c r="B3146" s="58" t="str">
        <f>HYPERLINK("https://search.naver.com/search.naver?query=포인트 브레이크 영화", "포인트 브레이크")</f>
        <v>포인트 브레이크</v>
      </c>
      <c r="C3146" s="12">
        <v>7.97</v>
      </c>
      <c r="D3146" s="13" t="s">
        <v>6231</v>
      </c>
      <c r="E3146" s="10" t="s">
        <v>24</v>
      </c>
      <c r="F3146" s="10">
        <v>2015</v>
      </c>
      <c r="G3146" s="10" t="s">
        <v>14</v>
      </c>
      <c r="H3146" s="11" t="s">
        <v>124</v>
      </c>
      <c r="I3146" s="10" t="s">
        <v>305</v>
      </c>
      <c r="J3146" s="131"/>
      <c r="K3146" s="149" t="s">
        <v>6232</v>
      </c>
    </row>
    <row r="3147" spans="1:11" ht="28.9" customHeight="1" thickTop="1" thickBot="1" x14ac:dyDescent="0.75">
      <c r="A3147" s="10">
        <v>3145</v>
      </c>
      <c r="B3147" s="57" t="str">
        <f>HYPERLINK("https://search.naver.com/search.naver?query=포인트 블랭크 영화", "포인트 블랭크")</f>
        <v>포인트 블랭크</v>
      </c>
      <c r="C3147" s="8">
        <v>1</v>
      </c>
      <c r="D3147" s="9" t="s">
        <v>6233</v>
      </c>
      <c r="E3147" s="6" t="s">
        <v>24</v>
      </c>
      <c r="F3147" s="6">
        <v>2019</v>
      </c>
      <c r="G3147" s="6" t="s">
        <v>14</v>
      </c>
      <c r="H3147" s="7" t="s">
        <v>124</v>
      </c>
      <c r="I3147" s="6" t="s">
        <v>1136</v>
      </c>
      <c r="J3147" s="130"/>
      <c r="K3147" s="148" t="s">
        <v>6234</v>
      </c>
    </row>
    <row r="3148" spans="1:11" ht="28.9" customHeight="1" thickTop="1" thickBot="1" x14ac:dyDescent="0.75">
      <c r="A3148" s="6">
        <v>3146</v>
      </c>
      <c r="B3148" s="58" t="str">
        <f>HYPERLINK("https://search.naver.com/search.naver?query=포제서 영화", "포제서")</f>
        <v>포제서</v>
      </c>
      <c r="C3148" s="12">
        <v>7.4</v>
      </c>
      <c r="D3148" s="13" t="s">
        <v>6235</v>
      </c>
      <c r="E3148" s="10" t="s">
        <v>24</v>
      </c>
      <c r="F3148" s="10">
        <v>2020</v>
      </c>
      <c r="G3148" s="10" t="s">
        <v>14</v>
      </c>
      <c r="H3148" s="11" t="s">
        <v>124</v>
      </c>
      <c r="I3148" s="10" t="s">
        <v>150</v>
      </c>
      <c r="J3148" s="131"/>
      <c r="K3148" s="149" t="s">
        <v>6236</v>
      </c>
    </row>
    <row r="3149" spans="1:11" ht="28.9" customHeight="1" thickTop="1" thickBot="1" x14ac:dyDescent="0.75">
      <c r="A3149" s="10">
        <v>3147</v>
      </c>
      <c r="B3149" s="57" t="str">
        <f>HYPERLINK("https://search.naver.com/search.naver?query=포커 나이트 영화", "포커 나이트")</f>
        <v>포커 나이트</v>
      </c>
      <c r="C3149" s="8">
        <v>6.95</v>
      </c>
      <c r="D3149" s="9" t="s">
        <v>6237</v>
      </c>
      <c r="E3149" s="6" t="s">
        <v>24</v>
      </c>
      <c r="F3149" s="6">
        <v>2014</v>
      </c>
      <c r="G3149" s="6" t="s">
        <v>14</v>
      </c>
      <c r="H3149" s="7" t="s">
        <v>124</v>
      </c>
      <c r="I3149" s="6" t="s">
        <v>242</v>
      </c>
      <c r="J3149" s="130"/>
      <c r="K3149" s="148" t="s">
        <v>4024</v>
      </c>
    </row>
    <row r="3150" spans="1:11" ht="28.9" customHeight="1" thickTop="1" thickBot="1" x14ac:dyDescent="0.75">
      <c r="A3150" s="10">
        <v>3148</v>
      </c>
      <c r="B3150" s="58" t="str">
        <f>HYPERLINK("https://search.naver.com/search.naver?query=포커스 영화", "포커스")</f>
        <v>포커스</v>
      </c>
      <c r="C3150" s="12">
        <v>7.94</v>
      </c>
      <c r="D3150" s="13" t="s">
        <v>6238</v>
      </c>
      <c r="E3150" s="10" t="s">
        <v>24</v>
      </c>
      <c r="F3150" s="10">
        <v>2015</v>
      </c>
      <c r="G3150" s="10" t="s">
        <v>14</v>
      </c>
      <c r="H3150" s="11" t="s">
        <v>91</v>
      </c>
      <c r="I3150" s="10" t="s">
        <v>242</v>
      </c>
      <c r="J3150" s="131"/>
      <c r="K3150" s="149" t="s">
        <v>6239</v>
      </c>
    </row>
    <row r="3151" spans="1:11" ht="28.9" customHeight="1" thickTop="1" thickBot="1" x14ac:dyDescent="0.75">
      <c r="A3151" s="6">
        <v>3149</v>
      </c>
      <c r="B3151" s="57" t="str">
        <f>HYPERLINK("https://search.naver.com/search.naver?query=포트 블리스 영화", "포트 블리스")</f>
        <v>포트 블리스</v>
      </c>
      <c r="C3151" s="8">
        <v>6.4</v>
      </c>
      <c r="D3151" s="9" t="s">
        <v>6240</v>
      </c>
      <c r="E3151" s="6" t="s">
        <v>24</v>
      </c>
      <c r="F3151" s="6">
        <v>2014</v>
      </c>
      <c r="G3151" s="6" t="s">
        <v>14</v>
      </c>
      <c r="H3151" s="7" t="s">
        <v>20</v>
      </c>
      <c r="I3151" s="6" t="s">
        <v>591</v>
      </c>
      <c r="J3151" s="130"/>
      <c r="K3151" s="148" t="s">
        <v>1858</v>
      </c>
    </row>
    <row r="3152" spans="1:11" ht="28.9" customHeight="1" thickTop="1" thickBot="1" x14ac:dyDescent="0.75">
      <c r="A3152" s="10">
        <v>3150</v>
      </c>
      <c r="B3152" s="58" t="str">
        <f>HYPERLINK("https://search.naver.com/search.naver?query=포화속의 우정 영화", "포화속의 우정")</f>
        <v>포화속의 우정</v>
      </c>
      <c r="C3152" s="12">
        <v>9.26</v>
      </c>
      <c r="D3152" s="13" t="s">
        <v>6241</v>
      </c>
      <c r="E3152" s="10" t="s">
        <v>136</v>
      </c>
      <c r="F3152" s="10">
        <v>2014</v>
      </c>
      <c r="G3152" s="10" t="s">
        <v>14</v>
      </c>
      <c r="H3152" s="11" t="s">
        <v>1247</v>
      </c>
      <c r="I3152" s="10" t="s">
        <v>76</v>
      </c>
      <c r="J3152" s="131"/>
      <c r="K3152" s="149" t="s">
        <v>6242</v>
      </c>
    </row>
    <row r="3153" spans="1:11" ht="28.9" customHeight="1" thickTop="1" thickBot="1" x14ac:dyDescent="0.75">
      <c r="A3153" s="10">
        <v>3151</v>
      </c>
      <c r="B3153" s="57" t="str">
        <f>HYPERLINK("https://search.naver.com/search.naver?query=폭격 영화", "폭격")</f>
        <v>폭격</v>
      </c>
      <c r="C3153" s="8">
        <v>9.31</v>
      </c>
      <c r="D3153" s="9" t="s">
        <v>6243</v>
      </c>
      <c r="E3153" s="6" t="s">
        <v>161</v>
      </c>
      <c r="F3153" s="6">
        <v>2021</v>
      </c>
      <c r="G3153" s="6" t="s">
        <v>14</v>
      </c>
      <c r="H3153" s="7" t="s">
        <v>20</v>
      </c>
      <c r="I3153" s="6" t="s">
        <v>1069</v>
      </c>
      <c r="J3153" s="130"/>
      <c r="K3153" s="148" t="s">
        <v>6244</v>
      </c>
    </row>
    <row r="3154" spans="1:11" ht="28.9" customHeight="1" thickTop="1" thickBot="1" x14ac:dyDescent="0.75">
      <c r="A3154" s="6">
        <v>3152</v>
      </c>
      <c r="B3154" s="58" t="str">
        <f>HYPERLINK("https://search.naver.com/search.naver?query=폭스캐처 영화", "폭스캐처")</f>
        <v>폭스캐처</v>
      </c>
      <c r="C3154" s="12">
        <v>8.41</v>
      </c>
      <c r="D3154" s="13" t="s">
        <v>6245</v>
      </c>
      <c r="E3154" s="10" t="s">
        <v>24</v>
      </c>
      <c r="F3154" s="10">
        <v>2014</v>
      </c>
      <c r="G3154" s="10" t="s">
        <v>14</v>
      </c>
      <c r="H3154" s="11" t="s">
        <v>20</v>
      </c>
      <c r="I3154" s="10" t="s">
        <v>917</v>
      </c>
      <c r="J3154" s="131"/>
      <c r="K3154" s="149" t="s">
        <v>1679</v>
      </c>
    </row>
    <row r="3155" spans="1:11" ht="28.9" customHeight="1" thickTop="1" thickBot="1" x14ac:dyDescent="0.75">
      <c r="A3155" s="10">
        <v>3153</v>
      </c>
      <c r="B3155" s="59" t="str">
        <f>HYPERLINK("https://search.naver.com/search.naver?query=폭싹 속았수다", "폭싹 속았수다")</f>
        <v>폭싹 속았수다</v>
      </c>
      <c r="C3155" s="16"/>
      <c r="D3155" s="17" t="s">
        <v>6246</v>
      </c>
      <c r="E3155" s="14" t="s">
        <v>13</v>
      </c>
      <c r="F3155" s="14">
        <v>2025</v>
      </c>
      <c r="G3155" s="14" t="s">
        <v>20</v>
      </c>
      <c r="H3155" s="15" t="s">
        <v>20</v>
      </c>
      <c r="I3155" s="14" t="s">
        <v>825</v>
      </c>
      <c r="J3155" s="132"/>
      <c r="K3155" s="150" t="s">
        <v>6247</v>
      </c>
    </row>
    <row r="3156" spans="1:11" ht="28.9" customHeight="1" thickTop="1" thickBot="1" x14ac:dyDescent="0.75">
      <c r="A3156" s="10">
        <v>3154</v>
      </c>
      <c r="B3156" s="58" t="str">
        <f>HYPERLINK("https://search.naver.com/search.naver?query=폭풍의 시간 영화", "폭풍의 시간")</f>
        <v>폭풍의 시간</v>
      </c>
      <c r="C3156" s="12">
        <v>8.65</v>
      </c>
      <c r="D3156" s="13" t="s">
        <v>6248</v>
      </c>
      <c r="E3156" s="10" t="s">
        <v>37</v>
      </c>
      <c r="F3156" s="10">
        <v>2018</v>
      </c>
      <c r="G3156" s="10" t="s">
        <v>14</v>
      </c>
      <c r="H3156" s="11" t="s">
        <v>20</v>
      </c>
      <c r="I3156" s="10" t="s">
        <v>146</v>
      </c>
      <c r="J3156" s="131"/>
      <c r="K3156" s="149" t="s">
        <v>6249</v>
      </c>
    </row>
    <row r="3157" spans="1:11" ht="28.9" customHeight="1" thickTop="1" thickBot="1" x14ac:dyDescent="0.75">
      <c r="A3157" s="6">
        <v>3155</v>
      </c>
      <c r="B3157" s="57" t="str">
        <f>HYPERLINK("https://search.naver.com/search.naver?query=폭풍의 질주 영화", "폭풍의 질주")</f>
        <v>폭풍의 질주</v>
      </c>
      <c r="C3157" s="8">
        <v>8.25</v>
      </c>
      <c r="D3157" s="9" t="s">
        <v>6250</v>
      </c>
      <c r="E3157" s="6" t="s">
        <v>24</v>
      </c>
      <c r="F3157" s="6">
        <v>1990</v>
      </c>
      <c r="G3157" s="6" t="s">
        <v>14</v>
      </c>
      <c r="H3157" s="7" t="s">
        <v>124</v>
      </c>
      <c r="I3157" s="6" t="s">
        <v>101</v>
      </c>
      <c r="J3157" s="130"/>
      <c r="K3157" s="148" t="s">
        <v>6251</v>
      </c>
    </row>
    <row r="3158" spans="1:11" ht="28.9" customHeight="1" thickTop="1" thickBot="1" x14ac:dyDescent="0.75">
      <c r="A3158" s="10">
        <v>3156</v>
      </c>
      <c r="B3158" s="58" t="str">
        <f>HYPERLINK("https://search.naver.com/search.naver?query=폰조 영화", "폰조")</f>
        <v>폰조</v>
      </c>
      <c r="C3158" s="12">
        <v>7.71</v>
      </c>
      <c r="D3158" s="13" t="s">
        <v>6252</v>
      </c>
      <c r="E3158" s="10" t="s">
        <v>24</v>
      </c>
      <c r="F3158" s="10">
        <v>2020</v>
      </c>
      <c r="G3158" s="10" t="s">
        <v>14</v>
      </c>
      <c r="H3158" s="11" t="s">
        <v>20</v>
      </c>
      <c r="I3158" s="10" t="s">
        <v>150</v>
      </c>
      <c r="J3158" s="131"/>
      <c r="K3158" s="149" t="s">
        <v>6253</v>
      </c>
    </row>
    <row r="3159" spans="1:11" ht="28.9" customHeight="1" thickTop="1" thickBot="1" x14ac:dyDescent="0.75">
      <c r="A3159" s="10">
        <v>3157</v>
      </c>
      <c r="B3159" s="57" t="str">
        <f>HYPERLINK("https://search.naver.com/search.naver?query=폴 600미터 영화", "폴-600미터")</f>
        <v>폴-600미터</v>
      </c>
      <c r="C3159" s="8">
        <v>7.94</v>
      </c>
      <c r="D3159" s="9" t="s">
        <v>6254</v>
      </c>
      <c r="E3159" s="6" t="s">
        <v>29</v>
      </c>
      <c r="F3159" s="6">
        <v>2022</v>
      </c>
      <c r="G3159" s="6" t="s">
        <v>14</v>
      </c>
      <c r="H3159" s="7" t="s">
        <v>54</v>
      </c>
      <c r="I3159" s="6" t="s">
        <v>101</v>
      </c>
      <c r="J3159" s="130"/>
      <c r="K3159" s="148" t="s">
        <v>6255</v>
      </c>
    </row>
    <row r="3160" spans="1:11" ht="28.9" customHeight="1" thickTop="1" thickBot="1" x14ac:dyDescent="0.75">
      <c r="A3160" s="6">
        <v>3158</v>
      </c>
      <c r="B3160" s="58" t="str">
        <f>HYPERLINK("https://search.naver.com/search.naver?query=폴리스 영화", "폴리스")</f>
        <v>폴리스</v>
      </c>
      <c r="C3160" s="12">
        <v>3.75</v>
      </c>
      <c r="D3160" s="13" t="s">
        <v>6256</v>
      </c>
      <c r="E3160" s="10" t="s">
        <v>310</v>
      </c>
      <c r="F3160" s="10">
        <v>2021</v>
      </c>
      <c r="G3160" s="10" t="s">
        <v>14</v>
      </c>
      <c r="H3160" s="11" t="s">
        <v>428</v>
      </c>
      <c r="I3160" s="10" t="s">
        <v>150</v>
      </c>
      <c r="J3160" s="131"/>
      <c r="K3160" s="149" t="s">
        <v>6257</v>
      </c>
    </row>
    <row r="3161" spans="1:11" ht="28.9" customHeight="1" thickTop="1" thickBot="1" x14ac:dyDescent="0.75">
      <c r="A3161" s="10">
        <v>3159</v>
      </c>
      <c r="B3161" s="57" t="str">
        <f>HYPERLINK("https://search.naver.com/search.naver?query=폴리스 스토리 영화", "폴리스 스토리")</f>
        <v>폴리스 스토리</v>
      </c>
      <c r="C3161" s="8">
        <v>7.51</v>
      </c>
      <c r="D3161" s="9" t="s">
        <v>6258</v>
      </c>
      <c r="E3161" s="6" t="s">
        <v>123</v>
      </c>
      <c r="F3161" s="6">
        <v>1985</v>
      </c>
      <c r="G3161" s="6" t="s">
        <v>14</v>
      </c>
      <c r="H3161" s="7" t="s">
        <v>124</v>
      </c>
      <c r="I3161" s="6" t="s">
        <v>179</v>
      </c>
      <c r="J3161" s="130"/>
      <c r="K3161" s="148" t="s">
        <v>6259</v>
      </c>
    </row>
    <row r="3162" spans="1:11" ht="28.9" customHeight="1" thickTop="1" thickBot="1" x14ac:dyDescent="0.75">
      <c r="A3162" s="10">
        <v>3160</v>
      </c>
      <c r="B3162" s="58" t="str">
        <f>HYPERLINK("https://search.naver.com/search.naver?query=폴링 스노우 영화", "폴링 스노우")</f>
        <v>폴링 스노우</v>
      </c>
      <c r="C3162" s="12">
        <v>8</v>
      </c>
      <c r="D3162" s="13" t="s">
        <v>6260</v>
      </c>
      <c r="E3162" s="10" t="s">
        <v>275</v>
      </c>
      <c r="F3162" s="10">
        <v>2016</v>
      </c>
      <c r="G3162" s="10" t="s">
        <v>14</v>
      </c>
      <c r="H3162" s="11" t="s">
        <v>20</v>
      </c>
      <c r="I3162" s="10" t="s">
        <v>150</v>
      </c>
      <c r="J3162" s="131"/>
      <c r="K3162" s="149" t="s">
        <v>6261</v>
      </c>
    </row>
    <row r="3163" spans="1:11" ht="28.9" customHeight="1" thickTop="1" thickBot="1" x14ac:dyDescent="0.75">
      <c r="A3163" s="6">
        <v>3161</v>
      </c>
      <c r="B3163" s="57" t="str">
        <f>HYPERLINK("https://search.naver.com/search.naver?query=폴링 인 러브 영화", "폴링 인 러브")</f>
        <v>폴링 인 러브</v>
      </c>
      <c r="C3163" s="8">
        <v>8.16</v>
      </c>
      <c r="D3163" s="9" t="s">
        <v>6262</v>
      </c>
      <c r="E3163" s="6" t="s">
        <v>24</v>
      </c>
      <c r="F3163" s="6">
        <v>1984</v>
      </c>
      <c r="G3163" s="6" t="s">
        <v>14</v>
      </c>
      <c r="H3163" s="7" t="s">
        <v>20</v>
      </c>
      <c r="I3163" s="6" t="s">
        <v>443</v>
      </c>
      <c r="J3163" s="130"/>
      <c r="K3163" s="148" t="s">
        <v>6263</v>
      </c>
    </row>
    <row r="3164" spans="1:11" ht="28.9" customHeight="1" thickTop="1" thickBot="1" x14ac:dyDescent="0.75">
      <c r="A3164" s="10">
        <v>3162</v>
      </c>
      <c r="B3164" s="58" t="str">
        <f>HYPERLINK("https://search.naver.com/search.naver?query=표적 영화", "표적")</f>
        <v>표적</v>
      </c>
      <c r="C3164" s="12">
        <v>8.06</v>
      </c>
      <c r="D3164" s="13" t="s">
        <v>6264</v>
      </c>
      <c r="E3164" s="10" t="s">
        <v>13</v>
      </c>
      <c r="F3164" s="10">
        <v>2014</v>
      </c>
      <c r="G3164" s="10" t="s">
        <v>14</v>
      </c>
      <c r="H3164" s="11" t="s">
        <v>124</v>
      </c>
      <c r="I3164" s="10" t="s">
        <v>16</v>
      </c>
      <c r="J3164" s="131"/>
      <c r="K3164" s="149" t="s">
        <v>6265</v>
      </c>
    </row>
    <row r="3165" spans="1:11" ht="28.9" customHeight="1" thickTop="1" thickBot="1" x14ac:dyDescent="0.75">
      <c r="A3165" s="10">
        <v>3163</v>
      </c>
      <c r="B3165" s="57" t="str">
        <f>HYPERLINK("https://search.naver.com/search.naver?query=푸른 호수 영화", "푸른 호수")</f>
        <v>푸른 호수</v>
      </c>
      <c r="C3165" s="8">
        <v>7.56</v>
      </c>
      <c r="D3165" s="9" t="s">
        <v>6266</v>
      </c>
      <c r="E3165" s="6" t="s">
        <v>24</v>
      </c>
      <c r="F3165" s="6">
        <v>2021</v>
      </c>
      <c r="G3165" s="6" t="s">
        <v>14</v>
      </c>
      <c r="H3165" s="7" t="s">
        <v>20</v>
      </c>
      <c r="I3165" s="6" t="s">
        <v>120</v>
      </c>
      <c r="J3165" s="130"/>
      <c r="K3165" s="148" t="s">
        <v>5009</v>
      </c>
    </row>
    <row r="3166" spans="1:11" ht="28.9" customHeight="1" thickTop="1" thickBot="1" x14ac:dyDescent="0.75">
      <c r="A3166" s="6">
        <v>3164</v>
      </c>
      <c r="B3166" s="58" t="str">
        <f>HYPERLINK("https://search.naver.com/search.naver?query=푸른소금 영화", "푸른소금")</f>
        <v>푸른소금</v>
      </c>
      <c r="C3166" s="12">
        <v>7.06</v>
      </c>
      <c r="D3166" s="13" t="s">
        <v>6267</v>
      </c>
      <c r="E3166" s="10" t="s">
        <v>13</v>
      </c>
      <c r="F3166" s="10">
        <v>2011</v>
      </c>
      <c r="G3166" s="10" t="s">
        <v>14</v>
      </c>
      <c r="H3166" s="11" t="s">
        <v>124</v>
      </c>
      <c r="I3166" s="10" t="s">
        <v>150</v>
      </c>
      <c r="J3166" s="131"/>
      <c r="K3166" s="149" t="s">
        <v>6268</v>
      </c>
    </row>
    <row r="3167" spans="1:11" ht="28.9" customHeight="1" thickTop="1" thickBot="1" x14ac:dyDescent="0.75">
      <c r="A3167" s="10">
        <v>3165</v>
      </c>
      <c r="B3167" s="57" t="str">
        <f>HYPERLINK("https://search.naver.com/search.naver?query=퓨리 영화", "퓨리")</f>
        <v>퓨리</v>
      </c>
      <c r="C3167" s="8">
        <v>8.5500000000000007</v>
      </c>
      <c r="D3167" s="9" t="s">
        <v>6269</v>
      </c>
      <c r="E3167" s="6" t="s">
        <v>24</v>
      </c>
      <c r="F3167" s="6">
        <v>2014</v>
      </c>
      <c r="G3167" s="6" t="s">
        <v>14</v>
      </c>
      <c r="H3167" s="7" t="s">
        <v>1247</v>
      </c>
      <c r="I3167" s="6" t="s">
        <v>917</v>
      </c>
      <c r="J3167" s="130"/>
      <c r="K3167" s="148" t="s">
        <v>6270</v>
      </c>
    </row>
    <row r="3168" spans="1:11" ht="28.9" customHeight="1" thickTop="1" thickBot="1" x14ac:dyDescent="0.75">
      <c r="A3168" s="10">
        <v>3166</v>
      </c>
      <c r="B3168" s="58" t="str">
        <f>HYPERLINK("https://search.naver.com/search.naver?query=프라미스드 랜드 영화", "프라미스드 랜드")</f>
        <v>프라미스드 랜드</v>
      </c>
      <c r="C3168" s="12">
        <v>7.84</v>
      </c>
      <c r="D3168" s="13" t="s">
        <v>6271</v>
      </c>
      <c r="E3168" s="10" t="s">
        <v>24</v>
      </c>
      <c r="F3168" s="10">
        <v>2012</v>
      </c>
      <c r="G3168" s="10" t="s">
        <v>14</v>
      </c>
      <c r="H3168" s="11" t="s">
        <v>20</v>
      </c>
      <c r="I3168" s="10" t="s">
        <v>443</v>
      </c>
      <c r="J3168" s="131"/>
      <c r="K3168" s="149" t="s">
        <v>6272</v>
      </c>
    </row>
    <row r="3169" spans="1:11" ht="28.9" customHeight="1" thickTop="1" thickBot="1" x14ac:dyDescent="0.75">
      <c r="A3169" s="6">
        <v>3167</v>
      </c>
      <c r="B3169" s="57" t="str">
        <f>HYPERLINK("https://search.naver.com/search.naver?query=프라미싱 영 우먼 영화", "프라미싱 영 우먼")</f>
        <v>프라미싱 영 우먼</v>
      </c>
      <c r="C3169" s="8">
        <v>7.83</v>
      </c>
      <c r="D3169" s="9" t="s">
        <v>6273</v>
      </c>
      <c r="E3169" s="6" t="s">
        <v>29</v>
      </c>
      <c r="F3169" s="6">
        <v>2020</v>
      </c>
      <c r="G3169" s="6" t="s">
        <v>14</v>
      </c>
      <c r="H3169" s="7" t="s">
        <v>54</v>
      </c>
      <c r="I3169" s="6" t="s">
        <v>98</v>
      </c>
      <c r="J3169" s="130"/>
      <c r="K3169" s="148" t="s">
        <v>6274</v>
      </c>
    </row>
    <row r="3170" spans="1:11" ht="28.9" customHeight="1" thickTop="1" thickBot="1" x14ac:dyDescent="0.75">
      <c r="A3170" s="10">
        <v>3168</v>
      </c>
      <c r="B3170" s="58" t="str">
        <f>HYPERLINK("https://search.naver.com/search.naver?query=프라이멀 영화", "프라이멀")</f>
        <v>프라이멀</v>
      </c>
      <c r="C3170" s="12">
        <v>6</v>
      </c>
      <c r="D3170" s="13" t="s">
        <v>6275</v>
      </c>
      <c r="E3170" s="10" t="s">
        <v>24</v>
      </c>
      <c r="F3170" s="10">
        <v>2019</v>
      </c>
      <c r="G3170" s="10" t="s">
        <v>14</v>
      </c>
      <c r="H3170" s="11" t="s">
        <v>124</v>
      </c>
      <c r="I3170" s="10" t="s">
        <v>169</v>
      </c>
      <c r="J3170" s="131"/>
      <c r="K3170" s="149" t="s">
        <v>6276</v>
      </c>
    </row>
    <row r="3171" spans="1:11" ht="28.9" customHeight="1" thickTop="1" thickBot="1" x14ac:dyDescent="0.75">
      <c r="A3171" s="10">
        <v>3169</v>
      </c>
      <c r="B3171" s="57" t="str">
        <f>HYPERLINK("https://search.naver.com/search.naver?query=프라이멀 피어 영화", "프라이멀 피어")</f>
        <v>프라이멀 피어</v>
      </c>
      <c r="C3171" s="8">
        <v>8.8699999999999992</v>
      </c>
      <c r="D3171" s="9" t="s">
        <v>6277</v>
      </c>
      <c r="E3171" s="6" t="s">
        <v>24</v>
      </c>
      <c r="F3171" s="6">
        <v>1996</v>
      </c>
      <c r="G3171" s="6" t="s">
        <v>14</v>
      </c>
      <c r="H3171" s="7" t="s">
        <v>428</v>
      </c>
      <c r="I3171" s="6" t="s">
        <v>85</v>
      </c>
      <c r="J3171" s="130"/>
      <c r="K3171" s="148" t="s">
        <v>6278</v>
      </c>
    </row>
    <row r="3172" spans="1:11" ht="28.9" customHeight="1" thickTop="1" thickBot="1" x14ac:dyDescent="0.75">
      <c r="A3172" s="6">
        <v>3170</v>
      </c>
      <c r="B3172" s="59" t="str">
        <f>HYPERLINK("https://search.naver.com/search.naver?query=프라임 타겟", "프라임 타겟")</f>
        <v>프라임 타겟</v>
      </c>
      <c r="C3172" s="16"/>
      <c r="D3172" s="17" t="s">
        <v>6279</v>
      </c>
      <c r="E3172" s="14" t="s">
        <v>24</v>
      </c>
      <c r="F3172" s="14">
        <v>2024</v>
      </c>
      <c r="G3172" s="14" t="s">
        <v>20</v>
      </c>
      <c r="H3172" s="15" t="s">
        <v>15</v>
      </c>
      <c r="I3172" s="14" t="s">
        <v>71</v>
      </c>
      <c r="J3172" s="132"/>
      <c r="K3172" s="150" t="s">
        <v>678</v>
      </c>
    </row>
    <row r="3173" spans="1:11" ht="28.9" customHeight="1" thickTop="1" thickBot="1" x14ac:dyDescent="0.75">
      <c r="A3173" s="10">
        <v>3171</v>
      </c>
      <c r="B3173" s="57" t="str">
        <f>HYPERLINK("https://search.naver.com/search.naver?query=프라하의 봄 영화", "프라하의 봄")</f>
        <v>프라하의 봄</v>
      </c>
      <c r="C3173" s="8">
        <v>8.27</v>
      </c>
      <c r="D3173" s="9" t="s">
        <v>6280</v>
      </c>
      <c r="E3173" s="6" t="s">
        <v>6281</v>
      </c>
      <c r="F3173" s="6">
        <v>1988</v>
      </c>
      <c r="G3173" s="6" t="s">
        <v>14</v>
      </c>
      <c r="H3173" s="7" t="s">
        <v>20</v>
      </c>
      <c r="I3173" s="6" t="s">
        <v>150</v>
      </c>
      <c r="J3173" s="130"/>
      <c r="K3173" s="148" t="s">
        <v>6282</v>
      </c>
    </row>
    <row r="3174" spans="1:11" ht="28.9" customHeight="1" thickTop="1" thickBot="1" x14ac:dyDescent="0.75">
      <c r="A3174" s="10">
        <v>3172</v>
      </c>
      <c r="B3174" s="58" t="str">
        <f>HYPERLINK("https://search.naver.com/search.naver?query=프란치스코 영화", "프란치스코")</f>
        <v>프란치스코</v>
      </c>
      <c r="C3174" s="12">
        <v>8.6999999999999993</v>
      </c>
      <c r="D3174" s="13" t="s">
        <v>6283</v>
      </c>
      <c r="E3174" s="10" t="s">
        <v>1471</v>
      </c>
      <c r="F3174" s="10">
        <v>2016</v>
      </c>
      <c r="G3174" s="10" t="s">
        <v>14</v>
      </c>
      <c r="H3174" s="11" t="s">
        <v>20</v>
      </c>
      <c r="I3174" s="10" t="s">
        <v>150</v>
      </c>
      <c r="J3174" s="131"/>
      <c r="K3174" s="149" t="s">
        <v>6284</v>
      </c>
    </row>
    <row r="3175" spans="1:11" ht="28.9" customHeight="1" thickTop="1" thickBot="1" x14ac:dyDescent="0.75">
      <c r="A3175" s="6">
        <v>3173</v>
      </c>
      <c r="B3175" s="57" t="str">
        <f>HYPERLINK("https://search.naver.com/search.naver?query=프랙처 영화", "프랙처")</f>
        <v>프랙처</v>
      </c>
      <c r="C3175" s="8">
        <v>6.4</v>
      </c>
      <c r="D3175" s="9" t="s">
        <v>6285</v>
      </c>
      <c r="E3175" s="6" t="s">
        <v>24</v>
      </c>
      <c r="F3175" s="6">
        <v>2007</v>
      </c>
      <c r="G3175" s="6" t="s">
        <v>14</v>
      </c>
      <c r="H3175" s="7" t="s">
        <v>54</v>
      </c>
      <c r="I3175" s="6" t="s">
        <v>98</v>
      </c>
      <c r="J3175" s="130"/>
      <c r="K3175" s="148" t="s">
        <v>6286</v>
      </c>
    </row>
    <row r="3176" spans="1:11" ht="28.9" customHeight="1" thickTop="1" thickBot="1" x14ac:dyDescent="0.75">
      <c r="A3176" s="10">
        <v>3174</v>
      </c>
      <c r="B3176" s="58" t="str">
        <f>HYPERLINK("https://search.naver.com/search.naver?query=프랙처드 영화", "프랙처드")</f>
        <v>프랙처드</v>
      </c>
      <c r="C3176" s="12">
        <v>7.62</v>
      </c>
      <c r="D3176" s="13" t="s">
        <v>6287</v>
      </c>
      <c r="E3176" s="10" t="s">
        <v>24</v>
      </c>
      <c r="F3176" s="10">
        <v>2019</v>
      </c>
      <c r="G3176" s="10" t="s">
        <v>14</v>
      </c>
      <c r="H3176" s="11" t="s">
        <v>54</v>
      </c>
      <c r="I3176" s="10" t="s">
        <v>179</v>
      </c>
      <c r="J3176" s="131"/>
      <c r="K3176" s="149" t="s">
        <v>6288</v>
      </c>
    </row>
    <row r="3177" spans="1:11" ht="28.9" customHeight="1" thickTop="1" thickBot="1" x14ac:dyDescent="0.75">
      <c r="A3177" s="10">
        <v>3175</v>
      </c>
      <c r="B3177" s="57" t="str">
        <f>HYPERLINK("https://search.naver.com/search.naver?query=프레스티지 영화", "프레스티지")</f>
        <v>프레스티지</v>
      </c>
      <c r="C3177" s="8">
        <v>8.58</v>
      </c>
      <c r="D3177" s="9" t="s">
        <v>6289</v>
      </c>
      <c r="E3177" s="6" t="s">
        <v>24</v>
      </c>
      <c r="F3177" s="6">
        <v>2006</v>
      </c>
      <c r="G3177" s="6" t="s">
        <v>14</v>
      </c>
      <c r="H3177" s="7" t="s">
        <v>20</v>
      </c>
      <c r="I3177" s="6" t="s">
        <v>42</v>
      </c>
      <c r="J3177" s="130"/>
      <c r="K3177" s="148" t="s">
        <v>6290</v>
      </c>
    </row>
    <row r="3178" spans="1:11" ht="28.9" customHeight="1" thickTop="1" thickBot="1" x14ac:dyDescent="0.75">
      <c r="A3178" s="6">
        <v>3176</v>
      </c>
      <c r="B3178" s="58" t="str">
        <f>HYPERLINK("https://search.naver.com/search.naver?query=프레지던트 메이커 영화", "프레지던트 메이커")</f>
        <v>프레지던트 메이커</v>
      </c>
      <c r="C3178" s="12">
        <v>9</v>
      </c>
      <c r="D3178" s="13" t="s">
        <v>6291</v>
      </c>
      <c r="E3178" s="10" t="s">
        <v>24</v>
      </c>
      <c r="F3178" s="10">
        <v>2015</v>
      </c>
      <c r="G3178" s="10" t="s">
        <v>14</v>
      </c>
      <c r="H3178" s="11" t="s">
        <v>91</v>
      </c>
      <c r="I3178" s="10" t="s">
        <v>105</v>
      </c>
      <c r="J3178" s="131"/>
      <c r="K3178" s="149" t="s">
        <v>6292</v>
      </c>
    </row>
    <row r="3179" spans="1:11" ht="28.9" customHeight="1" thickTop="1" thickBot="1" x14ac:dyDescent="0.75">
      <c r="A3179" s="10">
        <v>3177</v>
      </c>
      <c r="B3179" s="57" t="str">
        <f>HYPERLINK("https://search.naver.com/search.naver?query=프렌즈 하얀 거짓말 영화", "프렌즈-하얀 거짓말")</f>
        <v>프렌즈-하얀 거짓말</v>
      </c>
      <c r="C3179" s="8">
        <v>8.7100000000000009</v>
      </c>
      <c r="D3179" s="9" t="s">
        <v>6293</v>
      </c>
      <c r="E3179" s="6" t="s">
        <v>310</v>
      </c>
      <c r="F3179" s="6">
        <v>2014</v>
      </c>
      <c r="G3179" s="6" t="s">
        <v>14</v>
      </c>
      <c r="H3179" s="7" t="s">
        <v>20</v>
      </c>
      <c r="I3179" s="6" t="s">
        <v>917</v>
      </c>
      <c r="J3179" s="130"/>
      <c r="K3179" s="148" t="s">
        <v>6294</v>
      </c>
    </row>
    <row r="3180" spans="1:11" ht="28.9" customHeight="1" thickTop="1" thickBot="1" x14ac:dyDescent="0.75">
      <c r="A3180" s="10">
        <v>3178</v>
      </c>
      <c r="B3180" s="58" t="str">
        <f>HYPERLINK("https://search.naver.com/search.naver?query=프렌치 수프 영화", "프렌치 수프")</f>
        <v>프렌치 수프</v>
      </c>
      <c r="C3180" s="12">
        <v>7.88</v>
      </c>
      <c r="D3180" s="13" t="s">
        <v>6295</v>
      </c>
      <c r="E3180" s="10" t="s">
        <v>310</v>
      </c>
      <c r="F3180" s="10">
        <v>2023</v>
      </c>
      <c r="G3180" s="10" t="s">
        <v>14</v>
      </c>
      <c r="H3180" s="11" t="s">
        <v>20</v>
      </c>
      <c r="I3180" s="10" t="s">
        <v>51</v>
      </c>
      <c r="J3180" s="131"/>
      <c r="K3180" s="149" t="s">
        <v>6296</v>
      </c>
    </row>
    <row r="3181" spans="1:11" ht="28.9" customHeight="1" thickTop="1" thickBot="1" x14ac:dyDescent="0.75">
      <c r="A3181" s="6">
        <v>3179</v>
      </c>
      <c r="B3181" s="57" t="str">
        <f>HYPERLINK("https://search.naver.com/search.naver?query=프로디지 영화", "프로디지")</f>
        <v>프로디지</v>
      </c>
      <c r="C3181" s="8">
        <v>7.21</v>
      </c>
      <c r="D3181" s="9" t="s">
        <v>6297</v>
      </c>
      <c r="E3181" s="6" t="s">
        <v>24</v>
      </c>
      <c r="F3181" s="6">
        <v>2019</v>
      </c>
      <c r="G3181" s="6" t="s">
        <v>14</v>
      </c>
      <c r="H3181" s="7" t="s">
        <v>382</v>
      </c>
      <c r="I3181" s="6" t="s">
        <v>205</v>
      </c>
      <c r="J3181" s="130"/>
      <c r="K3181" s="148" t="s">
        <v>6298</v>
      </c>
    </row>
    <row r="3182" spans="1:11" ht="28.9" customHeight="1" thickTop="1" thickBot="1" x14ac:dyDescent="0.75">
      <c r="A3182" s="10">
        <v>3180</v>
      </c>
      <c r="B3182" s="58" t="str">
        <f>HYPERLINK("https://search.naver.com/search.naver?query=프로스트 VS 닉슨 영화", "프로스트 VS 닉슨")</f>
        <v>프로스트 VS 닉슨</v>
      </c>
      <c r="C3182" s="12">
        <v>8.31</v>
      </c>
      <c r="D3182" s="13" t="s">
        <v>6299</v>
      </c>
      <c r="E3182" s="10" t="s">
        <v>24</v>
      </c>
      <c r="F3182" s="10">
        <v>2008</v>
      </c>
      <c r="G3182" s="10" t="s">
        <v>14</v>
      </c>
      <c r="H3182" s="11" t="s">
        <v>20</v>
      </c>
      <c r="I3182" s="10" t="s">
        <v>116</v>
      </c>
      <c r="J3182" s="131"/>
      <c r="K3182" s="149" t="s">
        <v>6300</v>
      </c>
    </row>
    <row r="3183" spans="1:11" ht="28.9" customHeight="1" thickTop="1" thickBot="1" x14ac:dyDescent="0.75">
      <c r="A3183" s="10">
        <v>3181</v>
      </c>
      <c r="B3183" s="57" t="str">
        <f>HYPERLINK("https://search.naver.com/search.naver?query=프로포즈 데이 영화", "프로포즈 데이")</f>
        <v>프로포즈 데이</v>
      </c>
      <c r="C3183" s="8">
        <v>8.3800000000000008</v>
      </c>
      <c r="D3183" s="9" t="s">
        <v>6301</v>
      </c>
      <c r="E3183" s="6" t="s">
        <v>19</v>
      </c>
      <c r="F3183" s="6">
        <v>2010</v>
      </c>
      <c r="G3183" s="6" t="s">
        <v>14</v>
      </c>
      <c r="H3183" s="7" t="s">
        <v>165</v>
      </c>
      <c r="I3183" s="6" t="s">
        <v>150</v>
      </c>
      <c r="J3183" s="130"/>
      <c r="K3183" s="148" t="s">
        <v>6302</v>
      </c>
    </row>
    <row r="3184" spans="1:11" ht="28.9" customHeight="1" thickTop="1" thickBot="1" x14ac:dyDescent="0.75">
      <c r="A3184" s="6">
        <v>3182</v>
      </c>
      <c r="B3184" s="58" t="str">
        <f>HYPERLINK("https://search.naver.com/search.naver?query=프록시마 프로젝트 영화", "프록시마 프로젝트")</f>
        <v>프록시마 프로젝트</v>
      </c>
      <c r="C3184" s="12">
        <v>9</v>
      </c>
      <c r="D3184" s="13" t="s">
        <v>6303</v>
      </c>
      <c r="E3184" s="10" t="s">
        <v>310</v>
      </c>
      <c r="F3184" s="10">
        <v>2019</v>
      </c>
      <c r="G3184" s="10" t="s">
        <v>14</v>
      </c>
      <c r="H3184" s="11" t="s">
        <v>20</v>
      </c>
      <c r="I3184" s="10" t="s">
        <v>101</v>
      </c>
      <c r="J3184" s="131"/>
      <c r="K3184" s="149" t="s">
        <v>6304</v>
      </c>
    </row>
    <row r="3185" spans="1:11" ht="28.9" customHeight="1" thickTop="1" thickBot="1" x14ac:dyDescent="0.75">
      <c r="A3185" s="10">
        <v>3183</v>
      </c>
      <c r="B3185" s="57" t="str">
        <f>HYPERLINK("https://search.naver.com/search.naver?query=프루프 영화", "프루프")</f>
        <v>프루프</v>
      </c>
      <c r="C3185" s="8">
        <v>8.75</v>
      </c>
      <c r="D3185" s="9" t="s">
        <v>6305</v>
      </c>
      <c r="E3185" s="6" t="s">
        <v>24</v>
      </c>
      <c r="F3185" s="6">
        <v>2005</v>
      </c>
      <c r="G3185" s="6" t="s">
        <v>14</v>
      </c>
      <c r="H3185" s="7" t="s">
        <v>20</v>
      </c>
      <c r="I3185" s="6" t="s">
        <v>179</v>
      </c>
      <c r="J3185" s="130"/>
      <c r="K3185" s="148" t="s">
        <v>6306</v>
      </c>
    </row>
    <row r="3186" spans="1:11" ht="28.9" customHeight="1" thickTop="1" thickBot="1" x14ac:dyDescent="0.75">
      <c r="A3186" s="10">
        <v>3184</v>
      </c>
      <c r="B3186" s="58" t="str">
        <f>HYPERLINK("https://search.naver.com/search.naver?query=프리 가이 영화", "프리 가이")</f>
        <v>프리 가이</v>
      </c>
      <c r="C3186" s="12">
        <v>8.42</v>
      </c>
      <c r="D3186" s="13" t="s">
        <v>6307</v>
      </c>
      <c r="E3186" s="10" t="s">
        <v>24</v>
      </c>
      <c r="F3186" s="10">
        <v>2021</v>
      </c>
      <c r="G3186" s="10" t="s">
        <v>14</v>
      </c>
      <c r="H3186" s="11" t="s">
        <v>124</v>
      </c>
      <c r="I3186" s="10" t="s">
        <v>60</v>
      </c>
      <c r="J3186" s="131"/>
      <c r="K3186" s="149" t="s">
        <v>6308</v>
      </c>
    </row>
    <row r="3187" spans="1:11" ht="28.9" customHeight="1" thickTop="1" thickBot="1" x14ac:dyDescent="0.75">
      <c r="A3187" s="6">
        <v>3185</v>
      </c>
      <c r="B3187" s="57" t="str">
        <f>HYPERLINK("https://search.naver.com/search.naver?query=프리 스테이트 오브 존스", "프리 스테이트 오브 존스")</f>
        <v>프리 스테이트 오브 존스</v>
      </c>
      <c r="C3187" s="8">
        <v>8.48</v>
      </c>
      <c r="D3187" s="9" t="s">
        <v>6309</v>
      </c>
      <c r="E3187" s="6" t="s">
        <v>24</v>
      </c>
      <c r="F3187" s="6">
        <v>2016</v>
      </c>
      <c r="G3187" s="6" t="s">
        <v>14</v>
      </c>
      <c r="H3187" s="7" t="s">
        <v>124</v>
      </c>
      <c r="I3187" s="6" t="s">
        <v>98</v>
      </c>
      <c r="J3187" s="130"/>
      <c r="K3187" s="148" t="s">
        <v>6310</v>
      </c>
    </row>
    <row r="3188" spans="1:11" ht="28.9" customHeight="1" thickTop="1" thickBot="1" x14ac:dyDescent="0.75">
      <c r="A3188" s="10">
        <v>3186</v>
      </c>
      <c r="B3188" s="58" t="str">
        <f>HYPERLINK("https://search.naver.com/search.naver?query=프리다의 그해 여름 영화", "프리다의 그해 여름")</f>
        <v>프리다의 그해 여름</v>
      </c>
      <c r="C3188" s="12">
        <v>6.4</v>
      </c>
      <c r="D3188" s="13" t="s">
        <v>6311</v>
      </c>
      <c r="E3188" s="10" t="s">
        <v>37</v>
      </c>
      <c r="F3188" s="10">
        <v>2017</v>
      </c>
      <c r="G3188" s="10" t="s">
        <v>14</v>
      </c>
      <c r="H3188" s="11" t="s">
        <v>20</v>
      </c>
      <c r="I3188" s="10" t="s">
        <v>150</v>
      </c>
      <c r="J3188" s="131"/>
      <c r="K3188" s="149" t="s">
        <v>6312</v>
      </c>
    </row>
    <row r="3189" spans="1:11" ht="28.9" customHeight="1" thickTop="1" thickBot="1" x14ac:dyDescent="0.75">
      <c r="A3189" s="10">
        <v>3187</v>
      </c>
      <c r="B3189" s="57" t="str">
        <f>HYPERLINK("https://search.naver.com/search.naver?query=프리덤 라이터스", "프리덤 라이터스")</f>
        <v>프리덤 라이터스</v>
      </c>
      <c r="C3189" s="8">
        <v>9</v>
      </c>
      <c r="D3189" s="9" t="s">
        <v>6313</v>
      </c>
      <c r="E3189" s="6" t="s">
        <v>24</v>
      </c>
      <c r="F3189" s="6">
        <v>2007</v>
      </c>
      <c r="G3189" s="6" t="s">
        <v>14</v>
      </c>
      <c r="H3189" s="7" t="s">
        <v>20</v>
      </c>
      <c r="I3189" s="6" t="s">
        <v>76</v>
      </c>
      <c r="J3189" s="130"/>
      <c r="K3189" s="148" t="s">
        <v>6314</v>
      </c>
    </row>
    <row r="3190" spans="1:11" ht="28.9" customHeight="1" thickTop="1" thickBot="1" x14ac:dyDescent="0.75">
      <c r="A3190" s="6">
        <v>3188</v>
      </c>
      <c r="B3190" s="58" t="str">
        <f>HYPERLINK("https://search.naver.com/search.naver?query=프리미엄 러쉬 영화", "프리미엄 러쉬")</f>
        <v>프리미엄 러쉬</v>
      </c>
      <c r="C3190" s="12">
        <v>7.32</v>
      </c>
      <c r="D3190" s="13" t="s">
        <v>6315</v>
      </c>
      <c r="E3190" s="10" t="s">
        <v>24</v>
      </c>
      <c r="F3190" s="10">
        <v>2012</v>
      </c>
      <c r="G3190" s="10" t="s">
        <v>14</v>
      </c>
      <c r="H3190" s="11" t="s">
        <v>124</v>
      </c>
      <c r="I3190" s="10" t="s">
        <v>361</v>
      </c>
      <c r="J3190" s="131"/>
      <c r="K3190" s="149" t="s">
        <v>6316</v>
      </c>
    </row>
    <row r="3191" spans="1:11" ht="28.9" customHeight="1" thickTop="1" thickBot="1" x14ac:dyDescent="0.75">
      <c r="A3191" s="10">
        <v>3189</v>
      </c>
      <c r="B3191" s="57" t="str">
        <f>HYPERLINK("https://search.naver.com/search.naver?query=프리즈너스 영화", "프리즈너스")</f>
        <v>프리즈너스</v>
      </c>
      <c r="C3191" s="8">
        <v>8.14</v>
      </c>
      <c r="D3191" s="9" t="s">
        <v>6317</v>
      </c>
      <c r="E3191" s="6" t="s">
        <v>24</v>
      </c>
      <c r="F3191" s="6">
        <v>2013</v>
      </c>
      <c r="G3191" s="6" t="s">
        <v>14</v>
      </c>
      <c r="H3191" s="7" t="s">
        <v>428</v>
      </c>
      <c r="I3191" s="6" t="s">
        <v>1034</v>
      </c>
      <c r="J3191" s="130"/>
      <c r="K3191" s="148" t="s">
        <v>6318</v>
      </c>
    </row>
    <row r="3192" spans="1:11" ht="28.9" customHeight="1" thickTop="1" thickBot="1" x14ac:dyDescent="0.75">
      <c r="A3192" s="10">
        <v>3190</v>
      </c>
      <c r="B3192" s="58" t="str">
        <f>HYPERLINK("https://search.naver.com/search.naver?query=프리즌 영화", "프리즌")</f>
        <v>프리즌</v>
      </c>
      <c r="C3192" s="12">
        <v>8.25</v>
      </c>
      <c r="D3192" s="13" t="s">
        <v>6319</v>
      </c>
      <c r="E3192" s="10" t="s">
        <v>13</v>
      </c>
      <c r="F3192" s="10">
        <v>2016</v>
      </c>
      <c r="G3192" s="10" t="s">
        <v>14</v>
      </c>
      <c r="H3192" s="11" t="s">
        <v>428</v>
      </c>
      <c r="I3192" s="10" t="s">
        <v>316</v>
      </c>
      <c r="J3192" s="131"/>
      <c r="K3192" s="149" t="s">
        <v>6320</v>
      </c>
    </row>
    <row r="3193" spans="1:11" ht="28.9" customHeight="1" thickTop="1" thickBot="1" x14ac:dyDescent="0.75">
      <c r="A3193" s="6">
        <v>3191</v>
      </c>
      <c r="B3193" s="57" t="str">
        <f>HYPERLINK("https://search.naver.com/search.naver?query=프리퀀시 영화", "프리퀀시")</f>
        <v>프리퀀시</v>
      </c>
      <c r="C3193" s="8">
        <v>9.33</v>
      </c>
      <c r="D3193" s="9" t="s">
        <v>6321</v>
      </c>
      <c r="E3193" s="6" t="s">
        <v>24</v>
      </c>
      <c r="F3193" s="6">
        <v>2000</v>
      </c>
      <c r="G3193" s="6" t="s">
        <v>14</v>
      </c>
      <c r="H3193" s="7" t="s">
        <v>877</v>
      </c>
      <c r="I3193" s="6" t="s">
        <v>329</v>
      </c>
      <c r="J3193" s="130"/>
      <c r="K3193" s="148" t="s">
        <v>6322</v>
      </c>
    </row>
    <row r="3194" spans="1:11" ht="28.9" customHeight="1" thickTop="1" thickBot="1" x14ac:dyDescent="0.75">
      <c r="A3194" s="10">
        <v>3192</v>
      </c>
      <c r="B3194" s="59" t="str">
        <f>HYPERLINK("https://search.naver.com/search.naver?query=프린지 시즌1", "프린지 시즌1")</f>
        <v>프린지 시즌1</v>
      </c>
      <c r="C3194" s="16"/>
      <c r="D3194" s="17" t="s">
        <v>6323</v>
      </c>
      <c r="E3194" s="14" t="s">
        <v>24</v>
      </c>
      <c r="F3194" s="14">
        <v>2008</v>
      </c>
      <c r="G3194" s="14" t="s">
        <v>20</v>
      </c>
      <c r="H3194" s="15" t="s">
        <v>519</v>
      </c>
      <c r="I3194" s="14" t="s">
        <v>3045</v>
      </c>
      <c r="J3194" s="132"/>
      <c r="K3194" s="150" t="s">
        <v>6324</v>
      </c>
    </row>
    <row r="3195" spans="1:11" ht="28.9" customHeight="1" thickTop="1" thickBot="1" x14ac:dyDescent="0.75">
      <c r="A3195" s="10">
        <v>3193</v>
      </c>
      <c r="B3195" s="59" t="str">
        <f>HYPERLINK("https://search.naver.com/search.naver?query=프린지 시즌2", "프린지 시즌2")</f>
        <v>프린지 시즌2</v>
      </c>
      <c r="C3195" s="16"/>
      <c r="D3195" s="17" t="s">
        <v>6323</v>
      </c>
      <c r="E3195" s="14" t="s">
        <v>24</v>
      </c>
      <c r="F3195" s="14">
        <v>2010</v>
      </c>
      <c r="G3195" s="14" t="s">
        <v>20</v>
      </c>
      <c r="H3195" s="15" t="s">
        <v>519</v>
      </c>
      <c r="I3195" s="14" t="s">
        <v>569</v>
      </c>
      <c r="J3195" s="132"/>
      <c r="K3195" s="150" t="s">
        <v>6325</v>
      </c>
    </row>
    <row r="3196" spans="1:11" ht="28.9" customHeight="1" thickTop="1" thickBot="1" x14ac:dyDescent="0.75">
      <c r="A3196" s="6">
        <v>3194</v>
      </c>
      <c r="B3196" s="59" t="str">
        <f>HYPERLINK("https://search.naver.com/search.naver?query=프린지 시즌3", "프린지 시즌3")</f>
        <v>프린지 시즌3</v>
      </c>
      <c r="C3196" s="16"/>
      <c r="D3196" s="17" t="s">
        <v>6323</v>
      </c>
      <c r="E3196" s="14" t="s">
        <v>24</v>
      </c>
      <c r="F3196" s="14">
        <v>2011</v>
      </c>
      <c r="G3196" s="14" t="s">
        <v>20</v>
      </c>
      <c r="H3196" s="15" t="s">
        <v>519</v>
      </c>
      <c r="I3196" s="14" t="s">
        <v>569</v>
      </c>
      <c r="J3196" s="132"/>
      <c r="K3196" s="150" t="s">
        <v>6326</v>
      </c>
    </row>
    <row r="3197" spans="1:11" ht="28.9" customHeight="1" thickTop="1" thickBot="1" x14ac:dyDescent="0.75">
      <c r="A3197" s="10">
        <v>3195</v>
      </c>
      <c r="B3197" s="59" t="str">
        <f>HYPERLINK("https://search.naver.com/search.naver?query=프린지 시즌4", "프린지 시즌4")</f>
        <v>프린지 시즌4</v>
      </c>
      <c r="C3197" s="16"/>
      <c r="D3197" s="17"/>
      <c r="E3197" s="14" t="s">
        <v>24</v>
      </c>
      <c r="F3197" s="14">
        <v>2012</v>
      </c>
      <c r="G3197" s="14" t="s">
        <v>20</v>
      </c>
      <c r="H3197" s="15" t="s">
        <v>519</v>
      </c>
      <c r="I3197" s="14" t="s">
        <v>569</v>
      </c>
      <c r="J3197" s="132"/>
      <c r="K3197" s="150" t="s">
        <v>6327</v>
      </c>
    </row>
    <row r="3198" spans="1:11" ht="28.9" customHeight="1" thickTop="1" thickBot="1" x14ac:dyDescent="0.75">
      <c r="A3198" s="10">
        <v>3196</v>
      </c>
      <c r="B3198" s="59" t="str">
        <f>HYPERLINK("https://search.naver.com/search.naver?query=프린지 시즌5", "프린지 시즌5")</f>
        <v>프린지 시즌5</v>
      </c>
      <c r="C3198" s="16"/>
      <c r="D3198" s="17" t="s">
        <v>6323</v>
      </c>
      <c r="E3198" s="14" t="s">
        <v>24</v>
      </c>
      <c r="F3198" s="14">
        <v>2013</v>
      </c>
      <c r="G3198" s="14" t="s">
        <v>20</v>
      </c>
      <c r="H3198" s="15" t="s">
        <v>519</v>
      </c>
      <c r="I3198" s="14" t="s">
        <v>1108</v>
      </c>
      <c r="J3198" s="132"/>
      <c r="K3198" s="150" t="s">
        <v>2678</v>
      </c>
    </row>
    <row r="3199" spans="1:11" ht="28.9" customHeight="1" thickTop="1" thickBot="1" x14ac:dyDescent="0.75">
      <c r="A3199" s="6">
        <v>3197</v>
      </c>
      <c r="B3199" s="57" t="str">
        <f>HYPERLINK("https://search.naver.com/search.naver?query=플라워 킬링 문 영화", "플라워 킬링 문")</f>
        <v>플라워 킬링 문</v>
      </c>
      <c r="C3199" s="8">
        <v>8.33</v>
      </c>
      <c r="D3199" s="9" t="s">
        <v>6328</v>
      </c>
      <c r="E3199" s="6" t="s">
        <v>24</v>
      </c>
      <c r="F3199" s="6">
        <v>2023</v>
      </c>
      <c r="G3199" s="6" t="s">
        <v>14</v>
      </c>
      <c r="H3199" s="7" t="s">
        <v>428</v>
      </c>
      <c r="I3199" s="6" t="s">
        <v>6329</v>
      </c>
      <c r="J3199" s="130"/>
      <c r="K3199" s="148" t="s">
        <v>6330</v>
      </c>
    </row>
    <row r="3200" spans="1:11" ht="28.9" customHeight="1" thickTop="1" thickBot="1" x14ac:dyDescent="0.75">
      <c r="A3200" s="10">
        <v>3198</v>
      </c>
      <c r="B3200" s="58" t="str">
        <f>HYPERLINK("https://search.naver.com/search.naver?query=플라이 미 투 더 문 영화", "플라이 미 투 더 문")</f>
        <v>플라이 미 투 더 문</v>
      </c>
      <c r="C3200" s="12">
        <v>7.83</v>
      </c>
      <c r="D3200" s="13" t="s">
        <v>6331</v>
      </c>
      <c r="E3200" s="10" t="s">
        <v>24</v>
      </c>
      <c r="F3200" s="10">
        <v>2024</v>
      </c>
      <c r="G3200" s="10" t="s">
        <v>14</v>
      </c>
      <c r="H3200" s="11" t="s">
        <v>91</v>
      </c>
      <c r="I3200" s="10" t="s">
        <v>558</v>
      </c>
      <c r="J3200" s="131"/>
      <c r="K3200" s="149" t="s">
        <v>6332</v>
      </c>
    </row>
    <row r="3201" spans="1:11" ht="28.9" customHeight="1" thickTop="1" thickBot="1" x14ac:dyDescent="0.75">
      <c r="A3201" s="10">
        <v>3199</v>
      </c>
      <c r="B3201" s="57" t="str">
        <f>HYPERLINK("https://search.naver.com/search.naver?query=플라이트 영화", "플라이트")</f>
        <v>플라이트</v>
      </c>
      <c r="C3201" s="8">
        <v>8.16</v>
      </c>
      <c r="D3201" s="9" t="s">
        <v>6333</v>
      </c>
      <c r="E3201" s="6" t="s">
        <v>24</v>
      </c>
      <c r="F3201" s="6">
        <v>2012</v>
      </c>
      <c r="G3201" s="6" t="s">
        <v>14</v>
      </c>
      <c r="H3201" s="7" t="s">
        <v>20</v>
      </c>
      <c r="I3201" s="6" t="s">
        <v>1058</v>
      </c>
      <c r="J3201" s="130"/>
      <c r="K3201" s="148" t="s">
        <v>5251</v>
      </c>
    </row>
    <row r="3202" spans="1:11" ht="28.9" customHeight="1" thickTop="1" thickBot="1" x14ac:dyDescent="0.75">
      <c r="A3202" s="6">
        <v>3200</v>
      </c>
      <c r="B3202" s="58" t="str">
        <f>HYPERLINK("https://search.naver.com/search.naver?query=플라이트 리스크 영화", "플라이트 리스크")</f>
        <v>플라이트 리스크</v>
      </c>
      <c r="C3202" s="12">
        <v>6.4</v>
      </c>
      <c r="D3202" s="13" t="s">
        <v>6334</v>
      </c>
      <c r="E3202" s="10" t="s">
        <v>24</v>
      </c>
      <c r="F3202" s="10">
        <v>2025</v>
      </c>
      <c r="G3202" s="10" t="s">
        <v>14</v>
      </c>
      <c r="H3202" s="11" t="s">
        <v>124</v>
      </c>
      <c r="I3202" s="10" t="s">
        <v>361</v>
      </c>
      <c r="J3202" s="131"/>
      <c r="K3202" s="149" t="s">
        <v>6335</v>
      </c>
    </row>
    <row r="3203" spans="1:11" ht="28.9" customHeight="1" thickTop="1" thickBot="1" x14ac:dyDescent="0.75">
      <c r="A3203" s="10">
        <v>3201</v>
      </c>
      <c r="B3203" s="57" t="str">
        <f>HYPERLINK("https://search.naver.com/search.naver?query=플래닛 바이러스 영화", "플래닛 바이러스")</f>
        <v>플래닛 바이러스</v>
      </c>
      <c r="C3203" s="8">
        <v>6.61</v>
      </c>
      <c r="D3203" s="9" t="s">
        <v>6336</v>
      </c>
      <c r="E3203" s="6" t="s">
        <v>24</v>
      </c>
      <c r="F3203" s="6">
        <v>2013</v>
      </c>
      <c r="G3203" s="6" t="s">
        <v>14</v>
      </c>
      <c r="H3203" s="7" t="s">
        <v>877</v>
      </c>
      <c r="I3203" s="6" t="s">
        <v>150</v>
      </c>
      <c r="J3203" s="130"/>
      <c r="K3203" s="148" t="s">
        <v>6337</v>
      </c>
    </row>
    <row r="3204" spans="1:11" ht="28.9" customHeight="1" thickTop="1" thickBot="1" x14ac:dyDescent="0.75">
      <c r="A3204" s="10">
        <v>3202</v>
      </c>
      <c r="B3204" s="58" t="str">
        <f>HYPERLINK("https://search.naver.com/search.naver?query=플래툰 영화", "플래툰")</f>
        <v>플래툰</v>
      </c>
      <c r="C3204" s="12">
        <v>9.33</v>
      </c>
      <c r="D3204" s="13" t="s">
        <v>6338</v>
      </c>
      <c r="E3204" s="10" t="s">
        <v>24</v>
      </c>
      <c r="F3204" s="10">
        <v>1987</v>
      </c>
      <c r="G3204" s="10" t="s">
        <v>14</v>
      </c>
      <c r="H3204" s="11" t="s">
        <v>1247</v>
      </c>
      <c r="I3204" s="10" t="s">
        <v>116</v>
      </c>
      <c r="J3204" s="131"/>
      <c r="K3204" s="149" t="s">
        <v>6339</v>
      </c>
    </row>
    <row r="3205" spans="1:11" ht="28.9" customHeight="1" thickTop="1" thickBot="1" x14ac:dyDescent="0.75">
      <c r="A3205" s="6">
        <v>3203</v>
      </c>
      <c r="B3205" s="57" t="str">
        <f>HYPERLINK("https://search.naver.com/search.naver?query=플래티나 데이터 영화", "플래티나 데이터")</f>
        <v>플래티나 데이터</v>
      </c>
      <c r="C3205" s="8">
        <v>7.26</v>
      </c>
      <c r="D3205" s="9" t="s">
        <v>6340</v>
      </c>
      <c r="E3205" s="6" t="s">
        <v>19</v>
      </c>
      <c r="F3205" s="6">
        <v>2013</v>
      </c>
      <c r="G3205" s="6" t="s">
        <v>14</v>
      </c>
      <c r="H3205" s="7" t="s">
        <v>877</v>
      </c>
      <c r="I3205" s="6" t="s">
        <v>150</v>
      </c>
      <c r="J3205" s="130"/>
      <c r="K3205" s="148" t="s">
        <v>6341</v>
      </c>
    </row>
    <row r="3206" spans="1:11" ht="28.9" customHeight="1" thickTop="1" thickBot="1" x14ac:dyDescent="0.75">
      <c r="A3206" s="10">
        <v>3204</v>
      </c>
      <c r="B3206" s="58" t="str">
        <f>HYPERLINK("https://search.naver.com/search.naver?query=플랜75 영화", "플랜75")</f>
        <v>플랜75</v>
      </c>
      <c r="C3206" s="12">
        <v>7.49</v>
      </c>
      <c r="D3206" s="13" t="s">
        <v>6342</v>
      </c>
      <c r="E3206" s="10" t="s">
        <v>19</v>
      </c>
      <c r="F3206" s="10">
        <v>2022</v>
      </c>
      <c r="G3206" s="10" t="s">
        <v>14</v>
      </c>
      <c r="H3206" s="11" t="s">
        <v>20</v>
      </c>
      <c r="I3206" s="10" t="s">
        <v>429</v>
      </c>
      <c r="J3206" s="131"/>
      <c r="K3206" s="149" t="s">
        <v>6343</v>
      </c>
    </row>
    <row r="3207" spans="1:11" ht="28.9" customHeight="1" thickTop="1" thickBot="1" x14ac:dyDescent="0.75">
      <c r="A3207" s="10">
        <v>3205</v>
      </c>
      <c r="B3207" s="57" t="str">
        <f>HYPERLINK("https://search.naver.com/search.naver?query=플랜맨 영화", "플랜맨")</f>
        <v>플랜맨</v>
      </c>
      <c r="C3207" s="8">
        <v>8.67</v>
      </c>
      <c r="D3207" s="9" t="s">
        <v>6344</v>
      </c>
      <c r="E3207" s="6" t="s">
        <v>13</v>
      </c>
      <c r="F3207" s="6">
        <v>2013</v>
      </c>
      <c r="G3207" s="6" t="s">
        <v>14</v>
      </c>
      <c r="H3207" s="7" t="s">
        <v>91</v>
      </c>
      <c r="I3207" s="6" t="s">
        <v>150</v>
      </c>
      <c r="J3207" s="130"/>
      <c r="K3207" s="148" t="s">
        <v>6345</v>
      </c>
    </row>
    <row r="3208" spans="1:11" ht="28.9" customHeight="1" thickTop="1" thickBot="1" x14ac:dyDescent="0.75">
      <c r="A3208" s="6">
        <v>3206</v>
      </c>
      <c r="B3208" s="58" t="str">
        <f>HYPERLINK("https://search.naver.com/search.naver?query=플랫라이너 영화", "플랫라이너")</f>
        <v>플랫라이너</v>
      </c>
      <c r="C3208" s="12">
        <v>6.5</v>
      </c>
      <c r="D3208" s="13" t="s">
        <v>6346</v>
      </c>
      <c r="E3208" s="10" t="s">
        <v>24</v>
      </c>
      <c r="F3208" s="10">
        <v>2017</v>
      </c>
      <c r="G3208" s="10" t="s">
        <v>14</v>
      </c>
      <c r="H3208" s="11" t="s">
        <v>382</v>
      </c>
      <c r="I3208" s="10" t="s">
        <v>129</v>
      </c>
      <c r="J3208" s="131"/>
      <c r="K3208" s="149" t="s">
        <v>6347</v>
      </c>
    </row>
    <row r="3209" spans="1:11" ht="28.9" customHeight="1" thickTop="1" thickBot="1" x14ac:dyDescent="0.75">
      <c r="A3209" s="10">
        <v>3207</v>
      </c>
      <c r="B3209" s="57" t="str">
        <f>HYPERLINK("https://search.naver.com/search.naver?query=플레이스 비욘드 더 파인즈 영화", "플레이스 비욘드 더 파인즈")</f>
        <v>플레이스 비욘드 더 파인즈</v>
      </c>
      <c r="C3209" s="8">
        <v>8.49</v>
      </c>
      <c r="D3209" s="9" t="s">
        <v>6348</v>
      </c>
      <c r="E3209" s="6" t="s">
        <v>24</v>
      </c>
      <c r="F3209" s="6">
        <v>2012</v>
      </c>
      <c r="G3209" s="6" t="s">
        <v>14</v>
      </c>
      <c r="H3209" s="7" t="s">
        <v>428</v>
      </c>
      <c r="I3209" s="6" t="s">
        <v>930</v>
      </c>
      <c r="J3209" s="130"/>
      <c r="K3209" s="148" t="s">
        <v>6349</v>
      </c>
    </row>
    <row r="3210" spans="1:11" ht="28.9" customHeight="1" thickTop="1" thickBot="1" x14ac:dyDescent="0.75">
      <c r="A3210" s="10">
        <v>3208</v>
      </c>
      <c r="B3210" s="58" t="str">
        <f>HYPERLINK("https://search.naver.com/search.naver?query=플레인 영화", "플레인")</f>
        <v>플레인</v>
      </c>
      <c r="C3210" s="12">
        <v>7.65</v>
      </c>
      <c r="D3210" s="13" t="s">
        <v>6350</v>
      </c>
      <c r="E3210" s="10" t="s">
        <v>24</v>
      </c>
      <c r="F3210" s="10">
        <v>2023</v>
      </c>
      <c r="G3210" s="10" t="s">
        <v>14</v>
      </c>
      <c r="H3210" s="11" t="s">
        <v>124</v>
      </c>
      <c r="I3210" s="10" t="s">
        <v>101</v>
      </c>
      <c r="J3210" s="131"/>
      <c r="K3210" s="149" t="s">
        <v>6351</v>
      </c>
    </row>
    <row r="3211" spans="1:11" ht="28.9" customHeight="1" thickTop="1" thickBot="1" x14ac:dyDescent="0.75">
      <c r="A3211" s="6">
        <v>3209</v>
      </c>
      <c r="B3211" s="57" t="str">
        <f>HYPERLINK("https://search.naver.com/search.naver?query=플로라 앤 썬 영화", "플로라 앤 썬")</f>
        <v>플로라 앤 썬</v>
      </c>
      <c r="C3211" s="8">
        <v>7.73</v>
      </c>
      <c r="D3211" s="9" t="s">
        <v>6352</v>
      </c>
      <c r="E3211" s="6" t="s">
        <v>944</v>
      </c>
      <c r="F3211" s="6">
        <v>2023</v>
      </c>
      <c r="G3211" s="6" t="s">
        <v>14</v>
      </c>
      <c r="H3211" s="7" t="s">
        <v>91</v>
      </c>
      <c r="I3211" s="6" t="s">
        <v>169</v>
      </c>
      <c r="J3211" s="130"/>
      <c r="K3211" s="148" t="s">
        <v>6353</v>
      </c>
    </row>
    <row r="3212" spans="1:11" ht="28.9" customHeight="1" thickTop="1" thickBot="1" x14ac:dyDescent="0.75">
      <c r="A3212" s="10">
        <v>3210</v>
      </c>
      <c r="B3212" s="58" t="str">
        <f>HYPERLINK("https://search.naver.com/search.naver?query=플로렌스 영화", "플로렌스")</f>
        <v>플로렌스</v>
      </c>
      <c r="C3212" s="12">
        <v>8.59</v>
      </c>
      <c r="D3212" s="13" t="s">
        <v>6354</v>
      </c>
      <c r="E3212" s="10" t="s">
        <v>29</v>
      </c>
      <c r="F3212" s="10">
        <v>2016</v>
      </c>
      <c r="G3212" s="10" t="s">
        <v>14</v>
      </c>
      <c r="H3212" s="11" t="s">
        <v>20</v>
      </c>
      <c r="I3212" s="10" t="s">
        <v>129</v>
      </c>
      <c r="J3212" s="131"/>
      <c r="K3212" s="149" t="s">
        <v>6355</v>
      </c>
    </row>
    <row r="3213" spans="1:11" ht="28.9" customHeight="1" thickTop="1" thickBot="1" x14ac:dyDescent="0.75">
      <c r="A3213" s="10">
        <v>3211</v>
      </c>
      <c r="B3213" s="57" t="str">
        <f>HYPERLINK("https://search.naver.com/search.naver?query=플로리스 영화", "플로리스")</f>
        <v>플로리스</v>
      </c>
      <c r="C3213" s="8">
        <v>7.41</v>
      </c>
      <c r="D3213" s="9" t="s">
        <v>6356</v>
      </c>
      <c r="E3213" s="6" t="s">
        <v>29</v>
      </c>
      <c r="F3213" s="6">
        <v>2007</v>
      </c>
      <c r="G3213" s="6" t="s">
        <v>14</v>
      </c>
      <c r="H3213" s="7" t="s">
        <v>428</v>
      </c>
      <c r="I3213" s="6" t="s">
        <v>38</v>
      </c>
      <c r="J3213" s="130"/>
      <c r="K3213" s="148" t="s">
        <v>6357</v>
      </c>
    </row>
    <row r="3214" spans="1:11" ht="28.9" customHeight="1" thickTop="1" thickBot="1" x14ac:dyDescent="0.75">
      <c r="A3214" s="6">
        <v>3212</v>
      </c>
      <c r="B3214" s="58" t="str">
        <f>HYPERLINK("https://search.naver.com/search.naver?query=플립 영화", "플립")</f>
        <v>플립</v>
      </c>
      <c r="C3214" s="12">
        <v>9.07</v>
      </c>
      <c r="D3214" s="13" t="s">
        <v>6358</v>
      </c>
      <c r="E3214" s="10" t="s">
        <v>24</v>
      </c>
      <c r="F3214" s="10">
        <v>2010</v>
      </c>
      <c r="G3214" s="10" t="s">
        <v>14</v>
      </c>
      <c r="H3214" s="11" t="s">
        <v>91</v>
      </c>
      <c r="I3214" s="10" t="s">
        <v>156</v>
      </c>
      <c r="J3214" s="131"/>
      <c r="K3214" s="149" t="s">
        <v>6359</v>
      </c>
    </row>
    <row r="3215" spans="1:11" ht="28.9" customHeight="1" thickTop="1" thickBot="1" x14ac:dyDescent="0.75">
      <c r="A3215" s="10">
        <v>3213</v>
      </c>
      <c r="B3215" s="57" t="str">
        <f>HYPERLINK("https://search.naver.com/search.naver?query=피그 영화", "피그")</f>
        <v>피그</v>
      </c>
      <c r="C3215" s="8">
        <v>7.89</v>
      </c>
      <c r="D3215" s="9" t="s">
        <v>6360</v>
      </c>
      <c r="E3215" s="6" t="s">
        <v>24</v>
      </c>
      <c r="F3215" s="6">
        <v>2021</v>
      </c>
      <c r="G3215" s="6" t="s">
        <v>14</v>
      </c>
      <c r="H3215" s="7" t="s">
        <v>20</v>
      </c>
      <c r="I3215" s="6" t="s">
        <v>205</v>
      </c>
      <c r="J3215" s="130"/>
      <c r="K3215" s="148" t="s">
        <v>6361</v>
      </c>
    </row>
    <row r="3216" spans="1:11" ht="28.9" customHeight="1" thickTop="1" thickBot="1" x14ac:dyDescent="0.75">
      <c r="A3216" s="10">
        <v>3214</v>
      </c>
      <c r="B3216" s="58" t="str">
        <f>HYPERLINK("https://search.naver.com/search.naver?query=피끓는 청춘 영화", "피끓는 청춘")</f>
        <v>피끓는 청춘</v>
      </c>
      <c r="C3216" s="12">
        <v>7.54</v>
      </c>
      <c r="D3216" s="13" t="s">
        <v>6362</v>
      </c>
      <c r="E3216" s="10" t="s">
        <v>13</v>
      </c>
      <c r="F3216" s="10">
        <v>2014</v>
      </c>
      <c r="G3216" s="10" t="s">
        <v>14</v>
      </c>
      <c r="H3216" s="11" t="s">
        <v>91</v>
      </c>
      <c r="I3216" s="10" t="s">
        <v>195</v>
      </c>
      <c r="J3216" s="131"/>
      <c r="K3216" s="149" t="s">
        <v>6363</v>
      </c>
    </row>
    <row r="3217" spans="1:11" ht="28.9" customHeight="1" thickTop="1" thickBot="1" x14ac:dyDescent="0.75">
      <c r="A3217" s="6">
        <v>3215</v>
      </c>
      <c r="B3217" s="57" t="str">
        <f>HYPERLINK("https://search.naver.com/search.naver?query=피넛 버터 팔콘 영화", "피넛 버터 팔콘")</f>
        <v>피넛 버터 팔콘</v>
      </c>
      <c r="C3217" s="8">
        <v>7.2</v>
      </c>
      <c r="D3217" s="9" t="s">
        <v>6364</v>
      </c>
      <c r="E3217" s="6" t="s">
        <v>24</v>
      </c>
      <c r="F3217" s="6">
        <v>2019</v>
      </c>
      <c r="G3217" s="6" t="s">
        <v>14</v>
      </c>
      <c r="H3217" s="7" t="s">
        <v>20</v>
      </c>
      <c r="I3217" s="6" t="s">
        <v>169</v>
      </c>
      <c r="J3217" s="130"/>
      <c r="K3217" s="148" t="s">
        <v>6365</v>
      </c>
    </row>
    <row r="3218" spans="1:11" ht="28.9" customHeight="1" thickTop="1" thickBot="1" x14ac:dyDescent="0.75">
      <c r="A3218" s="10">
        <v>3216</v>
      </c>
      <c r="B3218" s="58" t="str">
        <f>HYPERLINK("https://search.naver.com/search.naver?query=피메일 에이전트 영화", "피메일 에이전트")</f>
        <v>피메일 에이전트</v>
      </c>
      <c r="C3218" s="12">
        <v>8.16</v>
      </c>
      <c r="D3218" s="13" t="s">
        <v>6366</v>
      </c>
      <c r="E3218" s="10" t="s">
        <v>310</v>
      </c>
      <c r="F3218" s="10">
        <v>2008</v>
      </c>
      <c r="G3218" s="10" t="s">
        <v>14</v>
      </c>
      <c r="H3218" s="11" t="s">
        <v>124</v>
      </c>
      <c r="I3218" s="10" t="s">
        <v>150</v>
      </c>
      <c r="J3218" s="131"/>
      <c r="K3218" s="149" t="s">
        <v>6367</v>
      </c>
    </row>
    <row r="3219" spans="1:11" ht="28.9" customHeight="1" thickTop="1" thickBot="1" x14ac:dyDescent="0.75">
      <c r="A3219" s="10">
        <v>3217</v>
      </c>
      <c r="B3219" s="57" t="str">
        <f>HYPERLINK("https://search.naver.com/search.naver?query=피스트 오브 러브 영화", "피스트 오브 러브")</f>
        <v>피스트 오브 러브</v>
      </c>
      <c r="C3219" s="8">
        <v>7.69</v>
      </c>
      <c r="D3219" s="9" t="s">
        <v>6368</v>
      </c>
      <c r="E3219" s="6" t="s">
        <v>24</v>
      </c>
      <c r="F3219" s="6">
        <v>2007</v>
      </c>
      <c r="G3219" s="6" t="s">
        <v>14</v>
      </c>
      <c r="H3219" s="7" t="s">
        <v>20</v>
      </c>
      <c r="I3219" s="6" t="s">
        <v>169</v>
      </c>
      <c r="J3219" s="130"/>
      <c r="K3219" s="148" t="s">
        <v>6369</v>
      </c>
    </row>
    <row r="3220" spans="1:11" ht="28.9" customHeight="1" thickTop="1" thickBot="1" x14ac:dyDescent="0.75">
      <c r="A3220" s="6">
        <v>3218</v>
      </c>
      <c r="B3220" s="58" t="str">
        <f>HYPERLINK("https://search.naver.com/search.naver?query=피아니스트의 전설 영화", "피아니스트의 전설")</f>
        <v>피아니스트의 전설</v>
      </c>
      <c r="C3220" s="12">
        <v>8.8800000000000008</v>
      </c>
      <c r="D3220" s="13" t="s">
        <v>6370</v>
      </c>
      <c r="E3220" s="10" t="s">
        <v>2001</v>
      </c>
      <c r="F3220" s="10">
        <v>1998</v>
      </c>
      <c r="G3220" s="10" t="s">
        <v>14</v>
      </c>
      <c r="H3220" s="11" t="s">
        <v>20</v>
      </c>
      <c r="I3220" s="10" t="s">
        <v>2556</v>
      </c>
      <c r="J3220" s="131"/>
      <c r="K3220" s="149" t="s">
        <v>6371</v>
      </c>
    </row>
    <row r="3221" spans="1:11" ht="28.9" customHeight="1" thickTop="1" thickBot="1" x14ac:dyDescent="0.75">
      <c r="A3221" s="10">
        <v>3219</v>
      </c>
      <c r="B3221" s="57" t="str">
        <f>HYPERLINK("https://search.naver.com/search.naver?query=피어 오브 레인 영화", "피어 오브 레인")</f>
        <v>피어 오브 레인</v>
      </c>
      <c r="C3221" s="8">
        <v>6.31</v>
      </c>
      <c r="D3221" s="9" t="s">
        <v>6372</v>
      </c>
      <c r="E3221" s="6" t="s">
        <v>24</v>
      </c>
      <c r="F3221" s="6">
        <v>2021</v>
      </c>
      <c r="G3221" s="6" t="s">
        <v>14</v>
      </c>
      <c r="H3221" s="7" t="s">
        <v>54</v>
      </c>
      <c r="I3221" s="6" t="s">
        <v>187</v>
      </c>
      <c r="J3221" s="130"/>
      <c r="K3221" s="148" t="s">
        <v>6373</v>
      </c>
    </row>
    <row r="3222" spans="1:11" ht="28.9" customHeight="1" thickTop="1" thickBot="1" x14ac:dyDescent="0.75">
      <c r="A3222" s="10">
        <v>3220</v>
      </c>
      <c r="B3222" s="58" t="str">
        <f>HYPERLINK("https://search.naver.com/search.naver?query=피에타 영화", "피에타")</f>
        <v>피에타</v>
      </c>
      <c r="C3222" s="12">
        <v>7.79</v>
      </c>
      <c r="D3222" s="13" t="s">
        <v>6374</v>
      </c>
      <c r="E3222" s="10" t="s">
        <v>13</v>
      </c>
      <c r="F3222" s="10">
        <v>2012</v>
      </c>
      <c r="G3222" s="10" t="s">
        <v>14</v>
      </c>
      <c r="H3222" s="11" t="s">
        <v>20</v>
      </c>
      <c r="I3222" s="10" t="s">
        <v>242</v>
      </c>
      <c r="J3222" s="131"/>
      <c r="K3222" s="149" t="s">
        <v>6375</v>
      </c>
    </row>
    <row r="3223" spans="1:11" ht="28.9" customHeight="1" thickTop="1" thickBot="1" x14ac:dyDescent="0.75">
      <c r="A3223" s="6">
        <v>3221</v>
      </c>
      <c r="B3223" s="57" t="str">
        <f>HYPERLINK("https://search.naver.com/search.naver?query=피의자 사라진 증거 영화", "피의자 - 사라진 증거")</f>
        <v>피의자 - 사라진 증거</v>
      </c>
      <c r="C3223" s="8"/>
      <c r="D3223" s="9" t="s">
        <v>6376</v>
      </c>
      <c r="E3223" s="6" t="s">
        <v>1511</v>
      </c>
      <c r="F3223" s="6">
        <v>2014</v>
      </c>
      <c r="G3223" s="6" t="s">
        <v>14</v>
      </c>
      <c r="H3223" s="7" t="s">
        <v>428</v>
      </c>
      <c r="I3223" s="6" t="s">
        <v>150</v>
      </c>
      <c r="J3223" s="130"/>
      <c r="K3223" s="148" t="s">
        <v>6377</v>
      </c>
    </row>
    <row r="3224" spans="1:11" ht="28.9" customHeight="1" thickTop="1" thickBot="1" x14ac:dyDescent="0.75">
      <c r="A3224" s="10">
        <v>3222</v>
      </c>
      <c r="B3224" s="58" t="str">
        <f>HYPERLINK("https://search.naver.com/search.naver?query=피치 퍼팩트 영화", "피치 퍼팩트")</f>
        <v>피치 퍼팩트</v>
      </c>
      <c r="C3224" s="12">
        <v>8.58</v>
      </c>
      <c r="D3224" s="13" t="s">
        <v>6378</v>
      </c>
      <c r="E3224" s="10" t="s">
        <v>24</v>
      </c>
      <c r="F3224" s="10">
        <v>2012</v>
      </c>
      <c r="G3224" s="10" t="s">
        <v>14</v>
      </c>
      <c r="H3224" s="11" t="s">
        <v>91</v>
      </c>
      <c r="I3224" s="10" t="s">
        <v>429</v>
      </c>
      <c r="J3224" s="131"/>
      <c r="K3224" s="149" t="s">
        <v>3965</v>
      </c>
    </row>
    <row r="3225" spans="1:11" ht="28.9" customHeight="1" thickTop="1" thickBot="1" x14ac:dyDescent="0.75">
      <c r="A3225" s="10">
        <v>3223</v>
      </c>
      <c r="B3225" s="59" t="str">
        <f>HYPERLINK("https://search.naver.com/search.naver?query=피키 블라인더스 시즌1", "피키 블라인더스 시즌1")</f>
        <v>피키 블라인더스 시즌1</v>
      </c>
      <c r="C3225" s="16"/>
      <c r="D3225" s="17" t="s">
        <v>6379</v>
      </c>
      <c r="E3225" s="14" t="s">
        <v>29</v>
      </c>
      <c r="F3225" s="14">
        <v>2013</v>
      </c>
      <c r="G3225" s="14" t="s">
        <v>20</v>
      </c>
      <c r="H3225" s="15" t="s">
        <v>115</v>
      </c>
      <c r="I3225" s="14" t="s">
        <v>247</v>
      </c>
      <c r="J3225" s="132"/>
      <c r="K3225" s="150" t="s">
        <v>6380</v>
      </c>
    </row>
    <row r="3226" spans="1:11" ht="28.9" customHeight="1" thickTop="1" thickBot="1" x14ac:dyDescent="0.75">
      <c r="A3226" s="6">
        <v>3224</v>
      </c>
      <c r="B3226" s="59" t="str">
        <f>HYPERLINK("https://search.naver.com/search.naver?query=피키 블라인더스 시즌2", "피키 블라인더스 시즌2")</f>
        <v>피키 블라인더스 시즌2</v>
      </c>
      <c r="C3226" s="16"/>
      <c r="D3226" s="17" t="s">
        <v>6379</v>
      </c>
      <c r="E3226" s="14" t="s">
        <v>29</v>
      </c>
      <c r="F3226" s="14">
        <v>2014</v>
      </c>
      <c r="G3226" s="14" t="s">
        <v>20</v>
      </c>
      <c r="H3226" s="15" t="s">
        <v>115</v>
      </c>
      <c r="I3226" s="14" t="s">
        <v>247</v>
      </c>
      <c r="J3226" s="132"/>
      <c r="K3226" s="150" t="s">
        <v>6381</v>
      </c>
    </row>
    <row r="3227" spans="1:11" ht="28.9" customHeight="1" thickTop="1" thickBot="1" x14ac:dyDescent="0.75">
      <c r="A3227" s="10">
        <v>3225</v>
      </c>
      <c r="B3227" s="59" t="str">
        <f>HYPERLINK("https://search.naver.com/search.naver?query=피키 블라인더스 시즌3", "피키 블라인더스 시즌3")</f>
        <v>피키 블라인더스 시즌3</v>
      </c>
      <c r="C3227" s="16"/>
      <c r="D3227" s="17" t="s">
        <v>6379</v>
      </c>
      <c r="E3227" s="14" t="s">
        <v>29</v>
      </c>
      <c r="F3227" s="14">
        <v>2016</v>
      </c>
      <c r="G3227" s="14" t="s">
        <v>20</v>
      </c>
      <c r="H3227" s="15" t="s">
        <v>115</v>
      </c>
      <c r="I3227" s="14" t="s">
        <v>247</v>
      </c>
      <c r="J3227" s="132"/>
      <c r="K3227" s="150" t="s">
        <v>6382</v>
      </c>
    </row>
    <row r="3228" spans="1:11" ht="28.9" customHeight="1" thickTop="1" thickBot="1" x14ac:dyDescent="0.75">
      <c r="A3228" s="10">
        <v>3226</v>
      </c>
      <c r="B3228" s="59" t="str">
        <f>HYPERLINK("https://search.naver.com/search.naver?query=피키 블라인더스 시즌4", "피키 블라인더스 시즌4")</f>
        <v>피키 블라인더스 시즌4</v>
      </c>
      <c r="C3228" s="16"/>
      <c r="D3228" s="17" t="s">
        <v>6379</v>
      </c>
      <c r="E3228" s="14" t="s">
        <v>29</v>
      </c>
      <c r="F3228" s="14">
        <v>2017</v>
      </c>
      <c r="G3228" s="14" t="s">
        <v>20</v>
      </c>
      <c r="H3228" s="15" t="s">
        <v>115</v>
      </c>
      <c r="I3228" s="14" t="s">
        <v>247</v>
      </c>
      <c r="J3228" s="132"/>
      <c r="K3228" s="150" t="s">
        <v>6383</v>
      </c>
    </row>
    <row r="3229" spans="1:11" ht="28.9" customHeight="1" thickTop="1" thickBot="1" x14ac:dyDescent="0.75">
      <c r="A3229" s="6">
        <v>3227</v>
      </c>
      <c r="B3229" s="59" t="str">
        <f>HYPERLINK("https://search.naver.com/search.naver?query=피키 블라인더스 시즌5", "피키 블라인더스 시즌5")</f>
        <v>피키 블라인더스 시즌5</v>
      </c>
      <c r="C3229" s="16"/>
      <c r="D3229" s="17" t="s">
        <v>6379</v>
      </c>
      <c r="E3229" s="14" t="s">
        <v>29</v>
      </c>
      <c r="F3229" s="14">
        <v>2019</v>
      </c>
      <c r="G3229" s="14" t="s">
        <v>20</v>
      </c>
      <c r="H3229" s="15" t="s">
        <v>115</v>
      </c>
      <c r="I3229" s="14" t="s">
        <v>247</v>
      </c>
      <c r="J3229" s="132"/>
      <c r="K3229" s="150" t="s">
        <v>3059</v>
      </c>
    </row>
    <row r="3230" spans="1:11" ht="28.9" customHeight="1" thickTop="1" thickBot="1" x14ac:dyDescent="0.75">
      <c r="A3230" s="10">
        <v>3228</v>
      </c>
      <c r="B3230" s="59" t="str">
        <f>HYPERLINK("https://search.naver.com/search.naver?query=피키 블라인더스 시즌6", "피키 블라인더스 시즌6")</f>
        <v>피키 블라인더스 시즌6</v>
      </c>
      <c r="C3230" s="16"/>
      <c r="D3230" s="17" t="s">
        <v>6384</v>
      </c>
      <c r="E3230" s="14" t="s">
        <v>29</v>
      </c>
      <c r="F3230" s="14">
        <v>2022</v>
      </c>
      <c r="G3230" s="14" t="s">
        <v>20</v>
      </c>
      <c r="H3230" s="15" t="s">
        <v>115</v>
      </c>
      <c r="I3230" s="14" t="s">
        <v>247</v>
      </c>
      <c r="J3230" s="132"/>
      <c r="K3230" s="150" t="s">
        <v>4044</v>
      </c>
    </row>
    <row r="3231" spans="1:11" ht="28.9" customHeight="1" thickTop="1" thickBot="1" x14ac:dyDescent="0.75">
      <c r="A3231" s="10">
        <v>3229</v>
      </c>
      <c r="B3231" s="57" t="str">
        <f>HYPERLINK("https://search.naver.com/search.naver?query=피플 라이크 어스 영화", "피플 라이크 어스")</f>
        <v>피플 라이크 어스</v>
      </c>
      <c r="C3231" s="8">
        <v>6.4</v>
      </c>
      <c r="D3231" s="9" t="s">
        <v>6385</v>
      </c>
      <c r="E3231" s="6" t="s">
        <v>24</v>
      </c>
      <c r="F3231" s="6">
        <v>2012</v>
      </c>
      <c r="G3231" s="6" t="s">
        <v>14</v>
      </c>
      <c r="H3231" s="7" t="s">
        <v>20</v>
      </c>
      <c r="I3231" s="6" t="s">
        <v>305</v>
      </c>
      <c r="J3231" s="130"/>
      <c r="K3231" s="148" t="s">
        <v>1306</v>
      </c>
    </row>
    <row r="3232" spans="1:11" ht="28.9" customHeight="1" thickTop="1" thickBot="1" x14ac:dyDescent="0.75">
      <c r="A3232" s="6">
        <v>3230</v>
      </c>
      <c r="B3232" s="58" t="str">
        <f>HYPERLINK("https://search.naver.com/search.naver?query=픽포켓 영화", "픽포켓")</f>
        <v>픽포켓</v>
      </c>
      <c r="C3232" s="12">
        <v>7.94</v>
      </c>
      <c r="D3232" s="13" t="s">
        <v>6386</v>
      </c>
      <c r="E3232" s="10" t="s">
        <v>310</v>
      </c>
      <c r="F3232" s="10">
        <v>1959</v>
      </c>
      <c r="G3232" s="10" t="s">
        <v>14</v>
      </c>
      <c r="H3232" s="11" t="s">
        <v>428</v>
      </c>
      <c r="I3232" s="10" t="s">
        <v>6387</v>
      </c>
      <c r="J3232" s="131"/>
      <c r="K3232" s="149" t="s">
        <v>6388</v>
      </c>
    </row>
    <row r="3233" spans="1:11" ht="28.9" customHeight="1" thickTop="1" thickBot="1" x14ac:dyDescent="0.75">
      <c r="A3233" s="10">
        <v>3231</v>
      </c>
      <c r="B3233" s="57" t="str">
        <f>HYPERLINK("https://search.naver.com/search.naver?query=핀치 영화", "핀치")</f>
        <v>핀치</v>
      </c>
      <c r="C3233" s="8">
        <v>9.01</v>
      </c>
      <c r="D3233" s="9" t="s">
        <v>6389</v>
      </c>
      <c r="E3233" s="6" t="s">
        <v>24</v>
      </c>
      <c r="F3233" s="6">
        <v>2021</v>
      </c>
      <c r="G3233" s="6" t="s">
        <v>14</v>
      </c>
      <c r="H3233" s="7" t="s">
        <v>877</v>
      </c>
      <c r="I3233" s="6" t="s">
        <v>60</v>
      </c>
      <c r="J3233" s="130"/>
      <c r="K3233" s="148" t="s">
        <v>6390</v>
      </c>
    </row>
    <row r="3234" spans="1:11" ht="28.9" customHeight="1" thickTop="1" thickBot="1" x14ac:dyDescent="0.75">
      <c r="A3234" s="10">
        <v>3232</v>
      </c>
      <c r="B3234" s="58" t="str">
        <f>HYPERLINK("https://search.naver.com/search.naver?query=필라델피아 영화", "필라델피아")</f>
        <v>필라델피아</v>
      </c>
      <c r="C3234" s="12">
        <v>8.43</v>
      </c>
      <c r="D3234" s="13" t="s">
        <v>6391</v>
      </c>
      <c r="E3234" s="10" t="s">
        <v>24</v>
      </c>
      <c r="F3234" s="10">
        <v>1993</v>
      </c>
      <c r="G3234" s="10" t="s">
        <v>14</v>
      </c>
      <c r="H3234" s="11" t="s">
        <v>20</v>
      </c>
      <c r="I3234" s="10" t="s">
        <v>316</v>
      </c>
      <c r="J3234" s="131"/>
      <c r="K3234" s="149" t="s">
        <v>6392</v>
      </c>
    </row>
    <row r="3235" spans="1:11" ht="28.9" customHeight="1" thickTop="1" thickBot="1" x14ac:dyDescent="0.75">
      <c r="A3235" s="6">
        <v>3233</v>
      </c>
      <c r="B3235" s="57" t="str">
        <f>HYPERLINK("https://search.naver.com/search.naver?query=필로미나의 기적 영화", "필로미나의 기적")</f>
        <v>필로미나의 기적</v>
      </c>
      <c r="C3235" s="8">
        <v>8.6300000000000008</v>
      </c>
      <c r="D3235" s="9" t="s">
        <v>6393</v>
      </c>
      <c r="E3235" s="6" t="s">
        <v>29</v>
      </c>
      <c r="F3235" s="6">
        <v>2013</v>
      </c>
      <c r="G3235" s="6" t="s">
        <v>14</v>
      </c>
      <c r="H3235" s="7" t="s">
        <v>20</v>
      </c>
      <c r="I3235" s="6" t="s">
        <v>16</v>
      </c>
      <c r="J3235" s="130"/>
      <c r="K3235" s="148" t="s">
        <v>6394</v>
      </c>
    </row>
    <row r="3236" spans="1:11" ht="28.9" customHeight="1" thickTop="1" thickBot="1" x14ac:dyDescent="0.75">
      <c r="A3236" s="10">
        <v>3234</v>
      </c>
      <c r="B3236" s="58" t="str">
        <f>HYPERLINK("https://search.naver.com/search.naver?query=필름스타 인 리버풀 영화", "필름스타 인 리버풀")</f>
        <v>필름스타 인 리버풀</v>
      </c>
      <c r="C3236" s="12">
        <v>8.09</v>
      </c>
      <c r="D3236" s="13" t="s">
        <v>6395</v>
      </c>
      <c r="E3236" s="10" t="s">
        <v>29</v>
      </c>
      <c r="F3236" s="10">
        <v>2017</v>
      </c>
      <c r="G3236" s="10" t="s">
        <v>14</v>
      </c>
      <c r="H3236" s="11" t="s">
        <v>20</v>
      </c>
      <c r="I3236" s="10" t="s">
        <v>175</v>
      </c>
      <c r="J3236" s="131"/>
      <c r="K3236" s="149" t="s">
        <v>1194</v>
      </c>
    </row>
    <row r="3237" spans="1:11" ht="28.9" customHeight="1" thickTop="1" thickBot="1" x14ac:dyDescent="0.75">
      <c r="A3237" s="10">
        <v>3235</v>
      </c>
      <c r="B3237" s="57" t="str">
        <f>HYPERLINK("https://search.naver.com/search.naver?query=핑크와 그레이 영화", "핑크와 그레이")</f>
        <v>핑크와 그레이</v>
      </c>
      <c r="C3237" s="8"/>
      <c r="D3237" s="9" t="s">
        <v>6396</v>
      </c>
      <c r="E3237" s="6" t="s">
        <v>19</v>
      </c>
      <c r="F3237" s="6">
        <v>2015</v>
      </c>
      <c r="G3237" s="6" t="s">
        <v>14</v>
      </c>
      <c r="H3237" s="7" t="s">
        <v>20</v>
      </c>
      <c r="I3237" s="6" t="s">
        <v>150</v>
      </c>
      <c r="J3237" s="130"/>
      <c r="K3237" s="148" t="s">
        <v>6397</v>
      </c>
    </row>
    <row r="3238" spans="1:11" ht="28.9" customHeight="1" thickTop="1" thickBot="1" x14ac:dyDescent="0.75">
      <c r="A3238" s="6">
        <v>3236</v>
      </c>
      <c r="B3238" s="58" t="str">
        <f>HYPERLINK("https://search.naver.com/search.naver?query=하나레이 베이 영화", "하나레이 베이")</f>
        <v>하나레이 베이</v>
      </c>
      <c r="C3238" s="12">
        <v>7.89</v>
      </c>
      <c r="D3238" s="13" t="s">
        <v>6398</v>
      </c>
      <c r="E3238" s="10" t="s">
        <v>19</v>
      </c>
      <c r="F3238" s="10">
        <v>2018</v>
      </c>
      <c r="G3238" s="10" t="s">
        <v>14</v>
      </c>
      <c r="H3238" s="11" t="s">
        <v>20</v>
      </c>
      <c r="I3238" s="10" t="s">
        <v>150</v>
      </c>
      <c r="J3238" s="131"/>
      <c r="K3238" s="149" t="s">
        <v>6399</v>
      </c>
    </row>
    <row r="3239" spans="1:11" ht="28.9" customHeight="1" thickTop="1" thickBot="1" x14ac:dyDescent="0.75">
      <c r="A3239" s="10">
        <v>3237</v>
      </c>
      <c r="B3239" s="57" t="str">
        <f>HYPERLINK("https://search.naver.com/search.naver?query=하나와 미소시루 영화", "하나와 미소시루")</f>
        <v>하나와 미소시루</v>
      </c>
      <c r="C3239" s="8">
        <v>8.8000000000000007</v>
      </c>
      <c r="D3239" s="9" t="s">
        <v>6400</v>
      </c>
      <c r="E3239" s="6" t="s">
        <v>19</v>
      </c>
      <c r="F3239" s="6">
        <v>2015</v>
      </c>
      <c r="G3239" s="6" t="s">
        <v>14</v>
      </c>
      <c r="H3239" s="7" t="s">
        <v>20</v>
      </c>
      <c r="I3239" s="6" t="s">
        <v>150</v>
      </c>
      <c r="J3239" s="130"/>
      <c r="K3239" s="148" t="s">
        <v>6401</v>
      </c>
    </row>
    <row r="3240" spans="1:11" ht="28.9" customHeight="1" thickTop="1" thickBot="1" x14ac:dyDescent="0.75">
      <c r="A3240" s="10">
        <v>3238</v>
      </c>
      <c r="B3240" s="58" t="str">
        <f>HYPERLINK("https://search.naver.com/search.naver?query=하나와 앨리스 영화", "하나와 앨리스")</f>
        <v>하나와 앨리스</v>
      </c>
      <c r="C3240" s="12">
        <v>9.17</v>
      </c>
      <c r="D3240" s="13" t="s">
        <v>6402</v>
      </c>
      <c r="E3240" s="10" t="s">
        <v>19</v>
      </c>
      <c r="F3240" s="10">
        <v>2004</v>
      </c>
      <c r="G3240" s="10" t="s">
        <v>14</v>
      </c>
      <c r="H3240" s="11" t="s">
        <v>20</v>
      </c>
      <c r="I3240" s="10" t="s">
        <v>51</v>
      </c>
      <c r="J3240" s="131"/>
      <c r="K3240" s="149" t="s">
        <v>6403</v>
      </c>
    </row>
    <row r="3241" spans="1:11" ht="28.9" customHeight="1" thickTop="1" thickBot="1" x14ac:dyDescent="0.75">
      <c r="A3241" s="6">
        <v>3239</v>
      </c>
      <c r="B3241" s="57" t="str">
        <f>HYPERLINK("https://search.naver.com/search.naver?query=하늘 높이 영화", "하늘 높이")</f>
        <v>하늘 높이</v>
      </c>
      <c r="C3241" s="8">
        <v>6.4</v>
      </c>
      <c r="D3241" s="9" t="s">
        <v>6404</v>
      </c>
      <c r="E3241" s="6" t="s">
        <v>37</v>
      </c>
      <c r="F3241" s="6">
        <v>2014</v>
      </c>
      <c r="G3241" s="6" t="s">
        <v>14</v>
      </c>
      <c r="H3241" s="7" t="s">
        <v>20</v>
      </c>
      <c r="I3241" s="6" t="s">
        <v>169</v>
      </c>
      <c r="J3241" s="130"/>
      <c r="K3241" s="148" t="s">
        <v>6405</v>
      </c>
    </row>
    <row r="3242" spans="1:11" ht="28.9" customHeight="1" thickTop="1" thickBot="1" x14ac:dyDescent="0.75">
      <c r="A3242" s="10">
        <v>3240</v>
      </c>
      <c r="B3242" s="58" t="str">
        <f>HYPERLINK("https://search.naver.com/search.naver?query=하늘과 땅 영화", "하늘과 땅")</f>
        <v>하늘과 땅</v>
      </c>
      <c r="C3242" s="12">
        <v>8.9</v>
      </c>
      <c r="D3242" s="13" t="s">
        <v>6406</v>
      </c>
      <c r="E3242" s="10" t="s">
        <v>310</v>
      </c>
      <c r="F3242" s="10">
        <v>1993</v>
      </c>
      <c r="G3242" s="10" t="s">
        <v>14</v>
      </c>
      <c r="H3242" s="11" t="s">
        <v>20</v>
      </c>
      <c r="I3242" s="10" t="s">
        <v>930</v>
      </c>
      <c r="J3242" s="131"/>
      <c r="K3242" s="149" t="s">
        <v>6407</v>
      </c>
    </row>
    <row r="3243" spans="1:11" ht="28.9" customHeight="1" thickTop="1" thickBot="1" x14ac:dyDescent="0.75">
      <c r="A3243" s="10">
        <v>3241</v>
      </c>
      <c r="B3243" s="57" t="str">
        <f>HYPERLINK("https://search.naver.com/search.naver?query=하늘에서 온 엽서 영화", "하늘에서 온 엽서")</f>
        <v>하늘에서 온 엽서</v>
      </c>
      <c r="C3243" s="8">
        <v>6.4</v>
      </c>
      <c r="D3243" s="9" t="s">
        <v>6408</v>
      </c>
      <c r="E3243" s="6" t="s">
        <v>24</v>
      </c>
      <c r="F3243" s="6">
        <v>1992</v>
      </c>
      <c r="G3243" s="6" t="s">
        <v>14</v>
      </c>
      <c r="H3243" s="7" t="s">
        <v>20</v>
      </c>
      <c r="I3243" s="6" t="s">
        <v>305</v>
      </c>
      <c r="J3243" s="130"/>
      <c r="K3243" s="148" t="s">
        <v>6409</v>
      </c>
    </row>
    <row r="3244" spans="1:11" ht="28.9" customHeight="1" thickTop="1" thickBot="1" x14ac:dyDescent="0.75">
      <c r="A3244" s="6">
        <v>3242</v>
      </c>
      <c r="B3244" s="58" t="str">
        <f>HYPERLINK("https://search.naver.com/search.naver?query=하늘을 걷는 남자 영화", "하늘을 걷는 남자")</f>
        <v>하늘을 걷는 남자</v>
      </c>
      <c r="C3244" s="12">
        <v>8.5</v>
      </c>
      <c r="D3244" s="13" t="s">
        <v>6410</v>
      </c>
      <c r="E3244" s="10" t="s">
        <v>19</v>
      </c>
      <c r="F3244" s="10">
        <v>2015</v>
      </c>
      <c r="G3244" s="10" t="s">
        <v>14</v>
      </c>
      <c r="H3244" s="11" t="s">
        <v>20</v>
      </c>
      <c r="I3244" s="10" t="s">
        <v>150</v>
      </c>
      <c r="J3244" s="131"/>
      <c r="K3244" s="149" t="s">
        <v>6411</v>
      </c>
    </row>
    <row r="3245" spans="1:11" ht="28.9" customHeight="1" thickTop="1" thickBot="1" x14ac:dyDescent="0.75">
      <c r="A3245" s="10">
        <v>3243</v>
      </c>
      <c r="B3245" s="57" t="str">
        <f>HYPERLINK("https://search.naver.com/search.naver?query=하늘이 보내준 딸 영화", "하늘이 보내준 딸")</f>
        <v>하늘이 보내준 딸</v>
      </c>
      <c r="C3245" s="8">
        <v>8.65</v>
      </c>
      <c r="D3245" s="9" t="s">
        <v>6412</v>
      </c>
      <c r="E3245" s="6" t="s">
        <v>581</v>
      </c>
      <c r="F3245" s="6">
        <v>2012</v>
      </c>
      <c r="G3245" s="6" t="s">
        <v>14</v>
      </c>
      <c r="H3245" s="7" t="s">
        <v>885</v>
      </c>
      <c r="I3245" s="6" t="s">
        <v>60</v>
      </c>
      <c r="J3245" s="130"/>
      <c r="K3245" s="148" t="s">
        <v>6413</v>
      </c>
    </row>
    <row r="3246" spans="1:11" ht="28.9" customHeight="1" thickTop="1" thickBot="1" x14ac:dyDescent="0.75">
      <c r="A3246" s="10">
        <v>3244</v>
      </c>
      <c r="B3246" s="58" t="str">
        <f>HYPERLINK("https://search.naver.com/search.naver?query=하드 레인 영화", "하드 레인")</f>
        <v>하드 레인</v>
      </c>
      <c r="C3246" s="12">
        <v>7.95</v>
      </c>
      <c r="D3246" s="13" t="s">
        <v>6414</v>
      </c>
      <c r="E3246" s="10" t="s">
        <v>24</v>
      </c>
      <c r="F3246" s="10">
        <v>1998</v>
      </c>
      <c r="G3246" s="10" t="s">
        <v>14</v>
      </c>
      <c r="H3246" s="11" t="s">
        <v>124</v>
      </c>
      <c r="I3246" s="10" t="s">
        <v>169</v>
      </c>
      <c r="J3246" s="131"/>
      <c r="K3246" s="149" t="s">
        <v>6415</v>
      </c>
    </row>
    <row r="3247" spans="1:11" ht="28.9" customHeight="1" thickTop="1" thickBot="1" x14ac:dyDescent="0.75">
      <c r="A3247" s="6">
        <v>3245</v>
      </c>
      <c r="B3247" s="57" t="str">
        <f>HYPERLINK("https://search.naver.com/search.naver?query=하드데이 영화", "하드데이")</f>
        <v>하드데이</v>
      </c>
      <c r="C3247" s="8">
        <v>6.3</v>
      </c>
      <c r="D3247" s="9" t="s">
        <v>6416</v>
      </c>
      <c r="E3247" s="6" t="s">
        <v>24</v>
      </c>
      <c r="F3247" s="6">
        <v>2014</v>
      </c>
      <c r="G3247" s="6" t="s">
        <v>14</v>
      </c>
      <c r="H3247" s="7" t="s">
        <v>124</v>
      </c>
      <c r="I3247" s="6" t="s">
        <v>179</v>
      </c>
      <c r="J3247" s="130"/>
      <c r="K3247" s="148" t="s">
        <v>6417</v>
      </c>
    </row>
    <row r="3248" spans="1:11" ht="28.9" customHeight="1" thickTop="1" thickBot="1" x14ac:dyDescent="0.75">
      <c r="A3248" s="10">
        <v>3246</v>
      </c>
      <c r="B3248" s="58" t="str">
        <f>HYPERLINK("https://search.naver.com/search.naver?query=하모니움 영화", "하모니움")</f>
        <v>하모니움</v>
      </c>
      <c r="C3248" s="12">
        <v>6.4</v>
      </c>
      <c r="D3248" s="13" t="s">
        <v>6418</v>
      </c>
      <c r="E3248" s="10" t="s">
        <v>19</v>
      </c>
      <c r="F3248" s="10">
        <v>2016</v>
      </c>
      <c r="G3248" s="10" t="s">
        <v>14</v>
      </c>
      <c r="H3248" s="11" t="s">
        <v>20</v>
      </c>
      <c r="I3248" s="10" t="s">
        <v>68</v>
      </c>
      <c r="J3248" s="131"/>
      <c r="K3248" s="149" t="s">
        <v>6419</v>
      </c>
    </row>
    <row r="3249" spans="1:11" ht="28.9" customHeight="1" thickTop="1" thickBot="1" x14ac:dyDescent="0.75">
      <c r="A3249" s="10">
        <v>3247</v>
      </c>
      <c r="B3249" s="57" t="str">
        <f>HYPERLINK("https://search.naver.com/search.naver?query=하비의 마지막 로맨스 영화", "하비의 마지막 로맨스")</f>
        <v>하비의 마지막 로맨스</v>
      </c>
      <c r="C3249" s="8">
        <v>8.7899999999999991</v>
      </c>
      <c r="D3249" s="9" t="s">
        <v>6420</v>
      </c>
      <c r="E3249" s="6" t="s">
        <v>24</v>
      </c>
      <c r="F3249" s="6">
        <v>2008</v>
      </c>
      <c r="G3249" s="6" t="s">
        <v>14</v>
      </c>
      <c r="H3249" s="7" t="s">
        <v>91</v>
      </c>
      <c r="I3249" s="6" t="s">
        <v>150</v>
      </c>
      <c r="J3249" s="130"/>
      <c r="K3249" s="148" t="s">
        <v>6421</v>
      </c>
    </row>
    <row r="3250" spans="1:11" ht="28.9" customHeight="1" thickTop="1" thickBot="1" x14ac:dyDescent="0.75">
      <c r="A3250" s="6">
        <v>3248</v>
      </c>
      <c r="B3250" s="58" t="str">
        <f>HYPERLINK("https://search.naver.com/search.naver?query=하와이언 레시피 영화", "하와이언 레시피")</f>
        <v>하와이언 레시피</v>
      </c>
      <c r="C3250" s="12">
        <v>8.1</v>
      </c>
      <c r="D3250" s="13" t="s">
        <v>6422</v>
      </c>
      <c r="E3250" s="10" t="s">
        <v>19</v>
      </c>
      <c r="F3250" s="10">
        <v>2009</v>
      </c>
      <c r="G3250" s="10" t="s">
        <v>14</v>
      </c>
      <c r="H3250" s="11" t="s">
        <v>20</v>
      </c>
      <c r="I3250" s="10" t="s">
        <v>150</v>
      </c>
      <c r="J3250" s="131"/>
      <c r="K3250" s="149" t="s">
        <v>6423</v>
      </c>
    </row>
    <row r="3251" spans="1:11" ht="28.9" customHeight="1" thickTop="1" thickBot="1" x14ac:dyDescent="0.75">
      <c r="A3251" s="10">
        <v>3249</v>
      </c>
      <c r="B3251" s="57" t="str">
        <f>HYPERLINK("https://search.naver.com/search.naver?query=하우 투 비 싱글 영화", "하우 투 비 싱글")</f>
        <v>하우 투 비 싱글</v>
      </c>
      <c r="C3251" s="8">
        <v>9.1999999999999993</v>
      </c>
      <c r="D3251" s="9" t="s">
        <v>6424</v>
      </c>
      <c r="E3251" s="6" t="s">
        <v>24</v>
      </c>
      <c r="F3251" s="6">
        <v>2016</v>
      </c>
      <c r="G3251" s="6" t="s">
        <v>14</v>
      </c>
      <c r="H3251" s="7" t="s">
        <v>91</v>
      </c>
      <c r="I3251" s="6" t="s">
        <v>129</v>
      </c>
      <c r="J3251" s="130"/>
      <c r="K3251" s="148" t="s">
        <v>6425</v>
      </c>
    </row>
    <row r="3252" spans="1:11" ht="28.9" customHeight="1" thickTop="1" thickBot="1" x14ac:dyDescent="0.75">
      <c r="A3252" s="10">
        <v>3250</v>
      </c>
      <c r="B3252" s="58" t="str">
        <f>HYPERLINK("https://search.naver.com/search.naver?query=하우스 오브 구찌 영화", "하우스 오브 구찌")</f>
        <v>하우스 오브 구찌</v>
      </c>
      <c r="C3252" s="12">
        <v>7.7</v>
      </c>
      <c r="D3252" s="13" t="s">
        <v>6426</v>
      </c>
      <c r="E3252" s="10" t="s">
        <v>24</v>
      </c>
      <c r="F3252" s="10">
        <v>2021</v>
      </c>
      <c r="G3252" s="10" t="s">
        <v>14</v>
      </c>
      <c r="H3252" s="11" t="s">
        <v>20</v>
      </c>
      <c r="I3252" s="10" t="s">
        <v>899</v>
      </c>
      <c r="J3252" s="131"/>
      <c r="K3252" s="149" t="s">
        <v>6427</v>
      </c>
    </row>
    <row r="3253" spans="1:11" ht="28.9" customHeight="1" thickTop="1" thickBot="1" x14ac:dyDescent="0.75">
      <c r="A3253" s="6">
        <v>3251</v>
      </c>
      <c r="B3253" s="57" t="str">
        <f>HYPERLINK("https://search.naver.com/search.naver?query=하우스 오브 다이너마이트 영화", "하우스 오브 다이너마이트")</f>
        <v>하우스 오브 다이너마이트</v>
      </c>
      <c r="C3253" s="8">
        <v>7.36</v>
      </c>
      <c r="D3253" s="9" t="s">
        <v>6428</v>
      </c>
      <c r="E3253" s="6" t="s">
        <v>24</v>
      </c>
      <c r="F3253" s="6">
        <v>2025</v>
      </c>
      <c r="G3253" s="6" t="s">
        <v>14</v>
      </c>
      <c r="H3253" s="7" t="s">
        <v>124</v>
      </c>
      <c r="I3253" s="6" t="s">
        <v>179</v>
      </c>
      <c r="J3253" s="130"/>
      <c r="K3253" s="148" t="s">
        <v>6429</v>
      </c>
    </row>
    <row r="3254" spans="1:11" ht="28.9" customHeight="1" thickTop="1" thickBot="1" x14ac:dyDescent="0.75">
      <c r="A3254" s="10">
        <v>3252</v>
      </c>
      <c r="B3254" s="59" t="str">
        <f>HYPERLINK("https://search.naver.com/search.naver?query=하우스 오브 드래곤 시즌1", "하우스 오브 드래곤 시즌1")</f>
        <v>하우스 오브 드래곤 시즌1</v>
      </c>
      <c r="C3254" s="16"/>
      <c r="D3254" s="17" t="s">
        <v>6430</v>
      </c>
      <c r="E3254" s="14" t="s">
        <v>24</v>
      </c>
      <c r="F3254" s="14">
        <v>2022</v>
      </c>
      <c r="G3254" s="14" t="s">
        <v>20</v>
      </c>
      <c r="H3254" s="15" t="s">
        <v>682</v>
      </c>
      <c r="I3254" s="14" t="s">
        <v>64</v>
      </c>
      <c r="J3254" s="132"/>
      <c r="K3254" s="150" t="s">
        <v>6431</v>
      </c>
    </row>
    <row r="3255" spans="1:11" ht="28.9" customHeight="1" thickTop="1" thickBot="1" x14ac:dyDescent="0.75">
      <c r="A3255" s="10">
        <v>3253</v>
      </c>
      <c r="B3255" s="59" t="str">
        <f>HYPERLINK("https://search.naver.com/search.naver?query=하우스 오브 아울", "하우스 오브 아울")</f>
        <v>하우스 오브 아울</v>
      </c>
      <c r="C3255" s="16"/>
      <c r="D3255" s="17" t="s">
        <v>6432</v>
      </c>
      <c r="E3255" s="14" t="s">
        <v>19</v>
      </c>
      <c r="F3255" s="14">
        <v>2024</v>
      </c>
      <c r="G3255" s="14" t="s">
        <v>20</v>
      </c>
      <c r="H3255" s="15" t="s">
        <v>20</v>
      </c>
      <c r="I3255" s="14" t="s">
        <v>64</v>
      </c>
      <c r="J3255" s="132"/>
      <c r="K3255" s="150" t="s">
        <v>6433</v>
      </c>
    </row>
    <row r="3256" spans="1:11" ht="28.9" customHeight="1" thickTop="1" thickBot="1" x14ac:dyDescent="0.75">
      <c r="A3256" s="6">
        <v>3254</v>
      </c>
      <c r="B3256" s="59" t="str">
        <f>HYPERLINK("https://search.naver.com/search.naver?query=하우스 오브 카드 시즌1", "하우스 오브 카드 시즌1")</f>
        <v>하우스 오브 카드 시즌1</v>
      </c>
      <c r="C3256" s="16"/>
      <c r="D3256" s="17" t="s">
        <v>6434</v>
      </c>
      <c r="E3256" s="14" t="s">
        <v>24</v>
      </c>
      <c r="F3256" s="14">
        <v>2013</v>
      </c>
      <c r="G3256" s="14" t="s">
        <v>20</v>
      </c>
      <c r="H3256" s="15" t="s">
        <v>20</v>
      </c>
      <c r="I3256" s="14" t="s">
        <v>1108</v>
      </c>
      <c r="J3256" s="132"/>
      <c r="K3256" s="150" t="s">
        <v>6435</v>
      </c>
    </row>
    <row r="3257" spans="1:11" ht="28.9" customHeight="1" thickTop="1" thickBot="1" x14ac:dyDescent="0.75">
      <c r="A3257" s="10">
        <v>3255</v>
      </c>
      <c r="B3257" s="59" t="str">
        <f>HYPERLINK("https://search.naver.com/search.naver?query=하우스 오브 카드 시즌2", "하우스 오브 카드 시즌2")</f>
        <v>하우스 오브 카드 시즌2</v>
      </c>
      <c r="C3257" s="16"/>
      <c r="D3257" s="17" t="s">
        <v>6434</v>
      </c>
      <c r="E3257" s="14" t="s">
        <v>24</v>
      </c>
      <c r="F3257" s="14">
        <v>2014</v>
      </c>
      <c r="G3257" s="14" t="s">
        <v>20</v>
      </c>
      <c r="H3257" s="15" t="s">
        <v>20</v>
      </c>
      <c r="I3257" s="14" t="s">
        <v>1108</v>
      </c>
      <c r="J3257" s="132"/>
      <c r="K3257" s="150" t="s">
        <v>6436</v>
      </c>
    </row>
    <row r="3258" spans="1:11" ht="28.9" customHeight="1" thickTop="1" thickBot="1" x14ac:dyDescent="0.75">
      <c r="A3258" s="10">
        <v>3256</v>
      </c>
      <c r="B3258" s="59" t="str">
        <f>HYPERLINK("https://search.naver.com/search.naver?query=하우스 오브 카드 시즌3", "하우스 오브 카드 시즌3")</f>
        <v>하우스 오브 카드 시즌3</v>
      </c>
      <c r="C3258" s="16"/>
      <c r="D3258" s="17" t="s">
        <v>6434</v>
      </c>
      <c r="E3258" s="14" t="s">
        <v>24</v>
      </c>
      <c r="F3258" s="14">
        <v>2015</v>
      </c>
      <c r="G3258" s="14" t="s">
        <v>20</v>
      </c>
      <c r="H3258" s="15" t="s">
        <v>20</v>
      </c>
      <c r="I3258" s="14" t="s">
        <v>1108</v>
      </c>
      <c r="J3258" s="132"/>
      <c r="K3258" s="150" t="s">
        <v>2839</v>
      </c>
    </row>
    <row r="3259" spans="1:11" ht="28.9" customHeight="1" thickTop="1" thickBot="1" x14ac:dyDescent="0.75">
      <c r="A3259" s="6">
        <v>3257</v>
      </c>
      <c r="B3259" s="59" t="str">
        <f>HYPERLINK("https://search.naver.com/search.naver?query=하우스 오브 카드 시즌4", "하우스 오브 카드 시즌4")</f>
        <v>하우스 오브 카드 시즌4</v>
      </c>
      <c r="C3259" s="16"/>
      <c r="D3259" s="17" t="s">
        <v>6434</v>
      </c>
      <c r="E3259" s="14" t="s">
        <v>24</v>
      </c>
      <c r="F3259" s="14">
        <v>2016</v>
      </c>
      <c r="G3259" s="14" t="s">
        <v>20</v>
      </c>
      <c r="H3259" s="15" t="s">
        <v>20</v>
      </c>
      <c r="I3259" s="14" t="s">
        <v>1108</v>
      </c>
      <c r="J3259" s="132"/>
      <c r="K3259" s="150" t="s">
        <v>6437</v>
      </c>
    </row>
    <row r="3260" spans="1:11" ht="28.9" customHeight="1" thickTop="1" thickBot="1" x14ac:dyDescent="0.75">
      <c r="A3260" s="10">
        <v>3258</v>
      </c>
      <c r="B3260" s="59" t="str">
        <f>HYPERLINK("https://search.naver.com/search.naver?query=하우스 오브 카드 시즌5", "하우스 오브 카드 시즌5")</f>
        <v>하우스 오브 카드 시즌5</v>
      </c>
      <c r="C3260" s="16"/>
      <c r="D3260" s="17" t="s">
        <v>6434</v>
      </c>
      <c r="E3260" s="14" t="s">
        <v>24</v>
      </c>
      <c r="F3260" s="14">
        <v>2017</v>
      </c>
      <c r="G3260" s="14" t="s">
        <v>20</v>
      </c>
      <c r="H3260" s="15" t="s">
        <v>20</v>
      </c>
      <c r="I3260" s="14" t="s">
        <v>1108</v>
      </c>
      <c r="J3260" s="132"/>
      <c r="K3260" s="150" t="s">
        <v>6438</v>
      </c>
    </row>
    <row r="3261" spans="1:11" ht="28.9" customHeight="1" thickTop="1" thickBot="1" x14ac:dyDescent="0.75">
      <c r="A3261" s="10">
        <v>3259</v>
      </c>
      <c r="B3261" s="59" t="str">
        <f>HYPERLINK("https://search.naver.com/search.naver?query=하우스 오브 카드 시즌6", "하우스 오브 카드 시즌6")</f>
        <v>하우스 오브 카드 시즌6</v>
      </c>
      <c r="C3261" s="16"/>
      <c r="D3261" s="17" t="s">
        <v>6434</v>
      </c>
      <c r="E3261" s="14" t="s">
        <v>24</v>
      </c>
      <c r="F3261" s="14">
        <v>2018</v>
      </c>
      <c r="G3261" s="14" t="s">
        <v>20</v>
      </c>
      <c r="H3261" s="15" t="s">
        <v>20</v>
      </c>
      <c r="I3261" s="14" t="s">
        <v>71</v>
      </c>
      <c r="J3261" s="132"/>
      <c r="K3261" s="150" t="s">
        <v>4038</v>
      </c>
    </row>
    <row r="3262" spans="1:11" ht="28.9" customHeight="1" thickTop="1" thickBot="1" x14ac:dyDescent="0.75">
      <c r="A3262" s="6">
        <v>3260</v>
      </c>
      <c r="B3262" s="58" t="str">
        <f>HYPERLINK("https://search.naver.com/search.naver?query=하우스 오브 투모로우 영화", "하우스 오브 투모로우")</f>
        <v>하우스 오브 투모로우</v>
      </c>
      <c r="C3262" s="12">
        <v>7.5</v>
      </c>
      <c r="D3262" s="13" t="s">
        <v>6439</v>
      </c>
      <c r="E3262" s="10" t="s">
        <v>24</v>
      </c>
      <c r="F3262" s="10">
        <v>2017</v>
      </c>
      <c r="G3262" s="10" t="s">
        <v>14</v>
      </c>
      <c r="H3262" s="11" t="s">
        <v>20</v>
      </c>
      <c r="I3262" s="10" t="s">
        <v>46</v>
      </c>
      <c r="J3262" s="131"/>
      <c r="K3262" s="149" t="s">
        <v>6440</v>
      </c>
    </row>
    <row r="3263" spans="1:11" ht="28.9" customHeight="1" thickTop="1" thickBot="1" x14ac:dyDescent="0.75">
      <c r="A3263" s="10">
        <v>3261</v>
      </c>
      <c r="B3263" s="58" t="str">
        <f>HYPERLINK("https://search.naver.com/search.naver?query=하우스메이드 영화", "하우스메이드 (
The Housemaid)")</f>
        <v>하우스메이드 (
The Housemaid)</v>
      </c>
      <c r="C3263" s="12">
        <v>7.94</v>
      </c>
      <c r="D3263" s="13" t="s">
        <v>6441</v>
      </c>
      <c r="E3263" s="10" t="s">
        <v>24</v>
      </c>
      <c r="F3263" s="10">
        <v>2026</v>
      </c>
      <c r="G3263" s="10" t="s">
        <v>14</v>
      </c>
      <c r="H3263" s="11" t="s">
        <v>54</v>
      </c>
      <c r="I3263" s="10" t="s">
        <v>432</v>
      </c>
      <c r="J3263" s="131">
        <v>46096</v>
      </c>
      <c r="K3263" s="149" t="s">
        <v>6442</v>
      </c>
    </row>
    <row r="3264" spans="1:11" ht="28.9" customHeight="1" thickTop="1" thickBot="1" x14ac:dyDescent="0.75">
      <c r="A3264" s="10">
        <v>3262</v>
      </c>
      <c r="B3264" s="57" t="str">
        <f>HYPERLINK("https://search.naver.com/search.naver?query=하울링 영화", "하울링")</f>
        <v>하울링</v>
      </c>
      <c r="C3264" s="8">
        <v>6.75</v>
      </c>
      <c r="D3264" s="9" t="s">
        <v>6443</v>
      </c>
      <c r="E3264" s="6" t="s">
        <v>13</v>
      </c>
      <c r="F3264" s="6">
        <v>2012</v>
      </c>
      <c r="G3264" s="6" t="s">
        <v>14</v>
      </c>
      <c r="H3264" s="7" t="s">
        <v>54</v>
      </c>
      <c r="I3264" s="6" t="s">
        <v>175</v>
      </c>
      <c r="J3264" s="130"/>
      <c r="K3264" s="148" t="s">
        <v>6444</v>
      </c>
    </row>
    <row r="3265" spans="1:11" ht="28.9" customHeight="1" thickTop="1" thickBot="1" x14ac:dyDescent="0.75">
      <c r="A3265" s="6">
        <v>3263</v>
      </c>
      <c r="B3265" s="58" t="str">
        <f>HYPERLINK("https://search.naver.com/search.naver?query=하이 스트렁 영화", "하이 스트렁")</f>
        <v>하이 스트렁</v>
      </c>
      <c r="C3265" s="12">
        <v>7.17</v>
      </c>
      <c r="D3265" s="13" t="s">
        <v>6445</v>
      </c>
      <c r="E3265" s="10" t="s">
        <v>24</v>
      </c>
      <c r="F3265" s="10">
        <v>2016</v>
      </c>
      <c r="G3265" s="10" t="s">
        <v>14</v>
      </c>
      <c r="H3265" s="11" t="s">
        <v>20</v>
      </c>
      <c r="I3265" s="10" t="s">
        <v>80</v>
      </c>
      <c r="J3265" s="131"/>
      <c r="K3265" s="149" t="s">
        <v>5202</v>
      </c>
    </row>
    <row r="3266" spans="1:11" ht="28.9" customHeight="1" thickTop="1" thickBot="1" x14ac:dyDescent="0.75">
      <c r="A3266" s="10">
        <v>3264</v>
      </c>
      <c r="B3266" s="57" t="str">
        <f>HYPERLINK("https://search.naver.com/search.naver?query=하이 크라임 영화", "하이 크라임")</f>
        <v>하이 크라임</v>
      </c>
      <c r="C3266" s="8">
        <v>7.17</v>
      </c>
      <c r="D3266" s="9" t="s">
        <v>6446</v>
      </c>
      <c r="E3266" s="6" t="s">
        <v>24</v>
      </c>
      <c r="F3266" s="6">
        <v>2002</v>
      </c>
      <c r="G3266" s="6" t="s">
        <v>14</v>
      </c>
      <c r="H3266" s="7" t="s">
        <v>54</v>
      </c>
      <c r="I3266" s="6" t="s">
        <v>60</v>
      </c>
      <c r="J3266" s="130"/>
      <c r="K3266" s="148" t="s">
        <v>6447</v>
      </c>
    </row>
    <row r="3267" spans="1:11" ht="28.9" customHeight="1" thickTop="1" thickBot="1" x14ac:dyDescent="0.75">
      <c r="A3267" s="10">
        <v>3265</v>
      </c>
      <c r="B3267" s="58" t="str">
        <f>HYPERLINK("https://search.naver.com/search.naver?query=하이, 젝시 영화", "하이, 젝시")</f>
        <v>하이, 젝시</v>
      </c>
      <c r="C3267" s="12">
        <v>6.7</v>
      </c>
      <c r="D3267" s="13" t="s">
        <v>6448</v>
      </c>
      <c r="E3267" s="10" t="s">
        <v>24</v>
      </c>
      <c r="F3267" s="10">
        <v>2020</v>
      </c>
      <c r="G3267" s="10" t="s">
        <v>14</v>
      </c>
      <c r="H3267" s="11" t="s">
        <v>91</v>
      </c>
      <c r="I3267" s="10" t="s">
        <v>1705</v>
      </c>
      <c r="J3267" s="131"/>
      <c r="K3267" s="149" t="s">
        <v>6449</v>
      </c>
    </row>
    <row r="3268" spans="1:11" ht="28.9" customHeight="1" thickTop="1" thickBot="1" x14ac:dyDescent="0.75">
      <c r="A3268" s="6">
        <v>3266</v>
      </c>
      <c r="B3268" s="57" t="str">
        <f>HYPERLINK("https://search.naver.com/search.naver?query=하이웨이맨 영화", "하이웨이맨")</f>
        <v>하이웨이맨</v>
      </c>
      <c r="C3268" s="8"/>
      <c r="D3268" s="9" t="s">
        <v>6450</v>
      </c>
      <c r="E3268" s="6" t="s">
        <v>24</v>
      </c>
      <c r="F3268" s="6">
        <v>2019</v>
      </c>
      <c r="G3268" s="6" t="s">
        <v>14</v>
      </c>
      <c r="H3268" s="7" t="s">
        <v>428</v>
      </c>
      <c r="I3268" s="6" t="s">
        <v>432</v>
      </c>
      <c r="J3268" s="130"/>
      <c r="K3268" s="148" t="s">
        <v>6451</v>
      </c>
    </row>
    <row r="3269" spans="1:11" ht="28.9" customHeight="1" thickTop="1" thickBot="1" x14ac:dyDescent="0.75">
      <c r="A3269" s="10">
        <v>3267</v>
      </c>
      <c r="B3269" s="58" t="str">
        <f>HYPERLINK("https://search.naver.com/search.naver?query=하이재킹", "하이재킹")</f>
        <v>하이재킹</v>
      </c>
      <c r="C3269" s="12">
        <v>7.82</v>
      </c>
      <c r="D3269" s="13" t="s">
        <v>6452</v>
      </c>
      <c r="E3269" s="10" t="s">
        <v>24</v>
      </c>
      <c r="F3269" s="10">
        <v>1971</v>
      </c>
      <c r="G3269" s="10" t="s">
        <v>14</v>
      </c>
      <c r="H3269" s="11" t="s">
        <v>124</v>
      </c>
      <c r="I3269" s="10" t="s">
        <v>150</v>
      </c>
      <c r="J3269" s="131"/>
      <c r="K3269" s="149" t="s">
        <v>6453</v>
      </c>
    </row>
    <row r="3270" spans="1:11" ht="28.9" customHeight="1" thickTop="1" thickBot="1" x14ac:dyDescent="0.75">
      <c r="A3270" s="10">
        <v>3268</v>
      </c>
      <c r="B3270" s="59" t="str">
        <f>HYPERLINK("https://search.naver.com/search.naver?query=하이재킹 영화", "하이재킹")</f>
        <v>하이재킹</v>
      </c>
      <c r="C3270" s="16"/>
      <c r="D3270" s="17" t="s">
        <v>6454</v>
      </c>
      <c r="E3270" s="14" t="s">
        <v>29</v>
      </c>
      <c r="F3270" s="14">
        <v>2023</v>
      </c>
      <c r="G3270" s="14" t="s">
        <v>20</v>
      </c>
      <c r="H3270" s="15" t="s">
        <v>15</v>
      </c>
      <c r="I3270" s="14" t="s">
        <v>512</v>
      </c>
      <c r="J3270" s="132"/>
      <c r="K3270" s="150" t="s">
        <v>6455</v>
      </c>
    </row>
    <row r="3271" spans="1:11" ht="28.9" customHeight="1" thickTop="1" thickBot="1" x14ac:dyDescent="0.75">
      <c r="A3271" s="6">
        <v>3269</v>
      </c>
      <c r="B3271" s="58" t="str">
        <f>HYPERLINK("https://search.naver.com/search.naver?query=하이힐 영화", "하이힐")</f>
        <v>하이힐</v>
      </c>
      <c r="C3271" s="12">
        <v>7.77</v>
      </c>
      <c r="D3271" s="13" t="s">
        <v>6456</v>
      </c>
      <c r="E3271" s="10" t="s">
        <v>13</v>
      </c>
      <c r="F3271" s="10">
        <v>2013</v>
      </c>
      <c r="G3271" s="10" t="s">
        <v>14</v>
      </c>
      <c r="H3271" s="11" t="s">
        <v>20</v>
      </c>
      <c r="I3271" s="10" t="s">
        <v>150</v>
      </c>
      <c r="J3271" s="131"/>
      <c r="K3271" s="149" t="s">
        <v>6457</v>
      </c>
    </row>
    <row r="3272" spans="1:11" ht="28.9" customHeight="1" thickTop="1" thickBot="1" x14ac:dyDescent="0.75">
      <c r="A3272" s="10">
        <v>3270</v>
      </c>
      <c r="B3272" s="57" t="str">
        <f>HYPERLINK("https://search.naver.com/search.naver?query=하이힐을 신고 달리는 여자 영화", "하이힐을 신고 달리는 여자")</f>
        <v>하이힐을 신고 달리는 여자</v>
      </c>
      <c r="C3272" s="8">
        <v>7.75</v>
      </c>
      <c r="D3272" s="9" t="s">
        <v>6458</v>
      </c>
      <c r="E3272" s="6" t="s">
        <v>24</v>
      </c>
      <c r="F3272" s="6">
        <v>2012</v>
      </c>
      <c r="G3272" s="6" t="s">
        <v>14</v>
      </c>
      <c r="H3272" s="7" t="s">
        <v>91</v>
      </c>
      <c r="I3272" s="6" t="s">
        <v>156</v>
      </c>
      <c r="J3272" s="130"/>
      <c r="K3272" s="148" t="s">
        <v>6459</v>
      </c>
    </row>
    <row r="3273" spans="1:11" ht="28.9" customHeight="1" thickTop="1" thickBot="1" x14ac:dyDescent="0.75">
      <c r="A3273" s="10">
        <v>3271</v>
      </c>
      <c r="B3273" s="58" t="str">
        <f>HYPERLINK("https://search.naver.com/search.naver?query=하치 이야기 영화", "하치 이야기")</f>
        <v>하치 이야기</v>
      </c>
      <c r="C3273" s="12">
        <v>9.07</v>
      </c>
      <c r="D3273" s="13" t="s">
        <v>6460</v>
      </c>
      <c r="E3273" s="10" t="s">
        <v>29</v>
      </c>
      <c r="F3273" s="10">
        <v>2009</v>
      </c>
      <c r="G3273" s="10" t="s">
        <v>14</v>
      </c>
      <c r="H3273" s="11" t="s">
        <v>20</v>
      </c>
      <c r="I3273" s="10" t="s">
        <v>125</v>
      </c>
      <c r="J3273" s="131"/>
      <c r="K3273" s="149" t="s">
        <v>6461</v>
      </c>
    </row>
    <row r="3274" spans="1:11" ht="28.9" customHeight="1" thickTop="1" thickBot="1" x14ac:dyDescent="0.75">
      <c r="A3274" s="6">
        <v>3272</v>
      </c>
      <c r="B3274" s="57" t="str">
        <f>HYPERLINK("https://search.naver.com/search.naver?query=하코다테 커피 영화", "하코다테 커피")</f>
        <v>하코다테 커피</v>
      </c>
      <c r="C3274" s="8">
        <v>6.4</v>
      </c>
      <c r="D3274" s="9" t="s">
        <v>6462</v>
      </c>
      <c r="E3274" s="6" t="s">
        <v>19</v>
      </c>
      <c r="F3274" s="6">
        <v>2016</v>
      </c>
      <c r="G3274" s="6" t="s">
        <v>14</v>
      </c>
      <c r="H3274" s="7" t="s">
        <v>20</v>
      </c>
      <c r="I3274" s="6" t="s">
        <v>150</v>
      </c>
      <c r="J3274" s="130"/>
      <c r="K3274" s="148" t="s">
        <v>6463</v>
      </c>
    </row>
    <row r="3275" spans="1:11" ht="28.9" customHeight="1" thickTop="1" thickBot="1" x14ac:dyDescent="0.75">
      <c r="A3275" s="10">
        <v>3273</v>
      </c>
      <c r="B3275" s="58" t="str">
        <f>HYPERLINK("https://search.naver.com/search.naver?query=하트 브레이커 영화", "하트 브레이커")</f>
        <v>하트 브레이커</v>
      </c>
      <c r="C3275" s="12">
        <v>7.57</v>
      </c>
      <c r="D3275" s="13" t="s">
        <v>6464</v>
      </c>
      <c r="E3275" s="10" t="s">
        <v>310</v>
      </c>
      <c r="F3275" s="10">
        <v>2010</v>
      </c>
      <c r="G3275" s="10" t="s">
        <v>14</v>
      </c>
      <c r="H3275" s="11" t="s">
        <v>91</v>
      </c>
      <c r="I3275" s="10" t="s">
        <v>175</v>
      </c>
      <c r="J3275" s="131"/>
      <c r="K3275" s="149" t="s">
        <v>6465</v>
      </c>
    </row>
    <row r="3276" spans="1:11" ht="28.9" customHeight="1" thickTop="1" thickBot="1" x14ac:dyDescent="0.75">
      <c r="A3276" s="10">
        <v>3274</v>
      </c>
      <c r="B3276" s="57" t="str">
        <f>HYPERLINK("https://search.naver.com/search.naver?query=하트 오브 더 씨 영화", "하트 오브 더 씨")</f>
        <v>하트 오브 더 씨</v>
      </c>
      <c r="C3276" s="8">
        <v>8.16</v>
      </c>
      <c r="D3276" s="9" t="s">
        <v>6466</v>
      </c>
      <c r="E3276" s="6" t="s">
        <v>24</v>
      </c>
      <c r="F3276" s="6">
        <v>2015</v>
      </c>
      <c r="G3276" s="6" t="s">
        <v>14</v>
      </c>
      <c r="H3276" s="7" t="s">
        <v>124</v>
      </c>
      <c r="I3276" s="6" t="s">
        <v>141</v>
      </c>
      <c r="J3276" s="130"/>
      <c r="K3276" s="148" t="s">
        <v>6467</v>
      </c>
    </row>
    <row r="3277" spans="1:11" ht="28.9" customHeight="1" thickTop="1" thickBot="1" x14ac:dyDescent="0.75">
      <c r="A3277" s="6">
        <v>3275</v>
      </c>
      <c r="B3277" s="58" t="str">
        <f>HYPERLINK("https://search.naver.com/search.naver?query=하트 오브 스톤 영화", "하트 오브 스톤")</f>
        <v>하트 오브 스톤</v>
      </c>
      <c r="C3277" s="12">
        <v>7.25</v>
      </c>
      <c r="D3277" s="13" t="s">
        <v>6468</v>
      </c>
      <c r="E3277" s="10" t="s">
        <v>24</v>
      </c>
      <c r="F3277" s="10">
        <v>2023</v>
      </c>
      <c r="G3277" s="10" t="s">
        <v>14</v>
      </c>
      <c r="H3277" s="11" t="s">
        <v>124</v>
      </c>
      <c r="I3277" s="10" t="s">
        <v>141</v>
      </c>
      <c r="J3277" s="131"/>
      <c r="K3277" s="149" t="s">
        <v>6469</v>
      </c>
    </row>
    <row r="3278" spans="1:11" ht="28.9" customHeight="1" thickTop="1" thickBot="1" x14ac:dyDescent="0.75">
      <c r="A3278" s="10">
        <v>3276</v>
      </c>
      <c r="B3278" s="57" t="str">
        <f>HYPERLINK("https://search.naver.com/search.naver?query=하트 인 아틀란티스 영화", "하트 인 아틀란티스")</f>
        <v>하트 인 아틀란티스</v>
      </c>
      <c r="C3278" s="8">
        <v>8.52</v>
      </c>
      <c r="D3278" s="9" t="s">
        <v>6470</v>
      </c>
      <c r="E3278" s="6" t="s">
        <v>24</v>
      </c>
      <c r="F3278" s="6">
        <v>2001</v>
      </c>
      <c r="G3278" s="6" t="s">
        <v>14</v>
      </c>
      <c r="H3278" s="7" t="s">
        <v>20</v>
      </c>
      <c r="I3278" s="6" t="s">
        <v>94</v>
      </c>
      <c r="J3278" s="130"/>
      <c r="K3278" s="148" t="s">
        <v>6471</v>
      </c>
    </row>
    <row r="3279" spans="1:11" ht="28.9" customHeight="1" thickTop="1" thickBot="1" x14ac:dyDescent="0.75">
      <c r="A3279" s="10">
        <v>3277</v>
      </c>
      <c r="B3279" s="58" t="str">
        <f>HYPERLINK("https://search.naver.com/search.naver?query=한 남자 영화", "한 남자")</f>
        <v>한 남자</v>
      </c>
      <c r="C3279" s="12">
        <v>8.18</v>
      </c>
      <c r="D3279" s="13" t="s">
        <v>4639</v>
      </c>
      <c r="E3279" s="10" t="s">
        <v>19</v>
      </c>
      <c r="F3279" s="10">
        <v>2022</v>
      </c>
      <c r="G3279" s="10" t="s">
        <v>14</v>
      </c>
      <c r="H3279" s="11" t="s">
        <v>20</v>
      </c>
      <c r="I3279" s="10" t="s">
        <v>195</v>
      </c>
      <c r="J3279" s="131"/>
      <c r="K3279" s="149" t="s">
        <v>6472</v>
      </c>
    </row>
    <row r="3280" spans="1:11" ht="28.9" customHeight="1" thickTop="1" thickBot="1" x14ac:dyDescent="0.75">
      <c r="A3280" s="6">
        <v>3278</v>
      </c>
      <c r="B3280" s="57" t="str">
        <f>HYPERLINK("https://search.naver.com/search.naver?query=한 번 더 해피엔딩 영화", "한 번 더 해피엔딩")</f>
        <v>한 번 더 해피엔딩</v>
      </c>
      <c r="C3280" s="8">
        <v>7.81</v>
      </c>
      <c r="D3280" s="9" t="s">
        <v>6473</v>
      </c>
      <c r="E3280" s="6" t="s">
        <v>13</v>
      </c>
      <c r="F3280" s="6">
        <v>2014</v>
      </c>
      <c r="G3280" s="6" t="s">
        <v>14</v>
      </c>
      <c r="H3280" s="7" t="s">
        <v>165</v>
      </c>
      <c r="I3280" s="6" t="s">
        <v>150</v>
      </c>
      <c r="J3280" s="130"/>
      <c r="K3280" s="148" t="s">
        <v>6474</v>
      </c>
    </row>
    <row r="3281" spans="1:11" ht="28.9" customHeight="1" thickTop="1" thickBot="1" x14ac:dyDescent="0.75">
      <c r="A3281" s="10">
        <v>3279</v>
      </c>
      <c r="B3281" s="58" t="str">
        <f>HYPERLINK("https://search.naver.com/search.naver?query=한 여름의 방정식 영화", "한 여름의 방정식")</f>
        <v>한 여름의 방정식</v>
      </c>
      <c r="C3281" s="12">
        <v>6.4</v>
      </c>
      <c r="D3281" s="13" t="s">
        <v>6475</v>
      </c>
      <c r="E3281" s="10" t="s">
        <v>19</v>
      </c>
      <c r="F3281" s="10">
        <v>2013</v>
      </c>
      <c r="G3281" s="10" t="s">
        <v>14</v>
      </c>
      <c r="H3281" s="11" t="s">
        <v>194</v>
      </c>
      <c r="I3281" s="10" t="s">
        <v>85</v>
      </c>
      <c r="J3281" s="131"/>
      <c r="K3281" s="149" t="s">
        <v>6476</v>
      </c>
    </row>
    <row r="3282" spans="1:11" ht="28.9" customHeight="1" thickTop="1" thickBot="1" x14ac:dyDescent="0.75">
      <c r="A3282" s="10">
        <v>3280</v>
      </c>
      <c r="B3282" s="57" t="str">
        <f>HYPERLINK("https://search.naver.com/search.naver?query=한공주 영화", "한공주")</f>
        <v>한공주</v>
      </c>
      <c r="C3282" s="8">
        <v>8.56</v>
      </c>
      <c r="D3282" s="9" t="s">
        <v>6477</v>
      </c>
      <c r="E3282" s="6" t="s">
        <v>13</v>
      </c>
      <c r="F3282" s="6">
        <v>2013</v>
      </c>
      <c r="G3282" s="6" t="s">
        <v>14</v>
      </c>
      <c r="H3282" s="7" t="s">
        <v>20</v>
      </c>
      <c r="I3282" s="6" t="s">
        <v>429</v>
      </c>
      <c r="J3282" s="130"/>
      <c r="K3282" s="148" t="s">
        <v>6478</v>
      </c>
    </row>
    <row r="3283" spans="1:11" ht="28.9" customHeight="1" thickTop="1" thickBot="1" x14ac:dyDescent="0.75">
      <c r="A3283" s="6">
        <v>3281</v>
      </c>
      <c r="B3283" s="58" t="str">
        <f>HYPERLINK("https://search.naver.com/search.naver?query=한나 아렌트 영화", "한나 아렌트")</f>
        <v>한나 아렌트</v>
      </c>
      <c r="C3283" s="12">
        <v>8.23</v>
      </c>
      <c r="D3283" s="13" t="s">
        <v>6479</v>
      </c>
      <c r="E3283" s="10" t="s">
        <v>136</v>
      </c>
      <c r="F3283" s="10">
        <v>2012</v>
      </c>
      <c r="G3283" s="10" t="s">
        <v>14</v>
      </c>
      <c r="H3283" s="11" t="s">
        <v>20</v>
      </c>
      <c r="I3283" s="10" t="s">
        <v>98</v>
      </c>
      <c r="J3283" s="131"/>
      <c r="K3283" s="149" t="s">
        <v>6480</v>
      </c>
    </row>
    <row r="3284" spans="1:11" ht="28.9" customHeight="1" thickTop="1" thickBot="1" x14ac:dyDescent="0.75">
      <c r="A3284" s="10">
        <v>3282</v>
      </c>
      <c r="B3284" s="57" t="str">
        <f>HYPERLINK("https://search.naver.com/search.naver?query=한산 용의 출현 영화", "한산-용의 출현")</f>
        <v>한산-용의 출현</v>
      </c>
      <c r="C3284" s="8">
        <v>8.51</v>
      </c>
      <c r="D3284" s="9" t="s">
        <v>6481</v>
      </c>
      <c r="E3284" s="6" t="s">
        <v>13</v>
      </c>
      <c r="F3284" s="6">
        <v>2022</v>
      </c>
      <c r="G3284" s="6" t="s">
        <v>14</v>
      </c>
      <c r="H3284" s="7" t="s">
        <v>1247</v>
      </c>
      <c r="I3284" s="6" t="s">
        <v>105</v>
      </c>
      <c r="J3284" s="130"/>
      <c r="K3284" s="148" t="s">
        <v>6482</v>
      </c>
    </row>
    <row r="3285" spans="1:11" ht="28.9" customHeight="1" thickTop="1" thickBot="1" x14ac:dyDescent="0.75">
      <c r="A3285" s="10">
        <v>3283</v>
      </c>
      <c r="B3285" s="59" t="str">
        <f>HYPERLINK("https://search.naver.com/search.naver?query=한자와 나오키 시즌1", "한자와 나오키 시즌1")</f>
        <v>한자와 나오키 시즌1</v>
      </c>
      <c r="C3285" s="16"/>
      <c r="D3285" s="17" t="s">
        <v>6483</v>
      </c>
      <c r="E3285" s="14" t="s">
        <v>19</v>
      </c>
      <c r="F3285" s="14">
        <v>2013</v>
      </c>
      <c r="G3285" s="14" t="s">
        <v>20</v>
      </c>
      <c r="H3285" s="15" t="s">
        <v>20</v>
      </c>
      <c r="I3285" s="14" t="s">
        <v>64</v>
      </c>
      <c r="J3285" s="132"/>
      <c r="K3285" s="150" t="s">
        <v>6484</v>
      </c>
    </row>
    <row r="3286" spans="1:11" ht="28.9" customHeight="1" thickTop="1" thickBot="1" x14ac:dyDescent="0.75">
      <c r="A3286" s="6">
        <v>3284</v>
      </c>
      <c r="B3286" s="59" t="str">
        <f>HYPERLINK("https://search.naver.com/search.naver?query=한자와 나오키 시즌2", "한자와 나오키 시즌2")</f>
        <v>한자와 나오키 시즌2</v>
      </c>
      <c r="C3286" s="16"/>
      <c r="D3286" s="17" t="s">
        <v>6483</v>
      </c>
      <c r="E3286" s="14" t="s">
        <v>19</v>
      </c>
      <c r="F3286" s="14">
        <v>2020</v>
      </c>
      <c r="G3286" s="14" t="s">
        <v>20</v>
      </c>
      <c r="H3286" s="15" t="s">
        <v>20</v>
      </c>
      <c r="I3286" s="14" t="s">
        <v>64</v>
      </c>
      <c r="J3286" s="132"/>
      <c r="K3286" s="150" t="s">
        <v>6485</v>
      </c>
    </row>
    <row r="3287" spans="1:11" ht="28.9" customHeight="1" thickTop="1" thickBot="1" x14ac:dyDescent="0.75">
      <c r="A3287" s="10">
        <v>3285</v>
      </c>
      <c r="B3287" s="58" t="str">
        <f>HYPERLINK("https://search.naver.com/search.naver?query=한장의 엽서 영화", "한장의 엽서")</f>
        <v>한장의 엽서</v>
      </c>
      <c r="C3287" s="12">
        <v>6.4</v>
      </c>
      <c r="D3287" s="13" t="s">
        <v>6486</v>
      </c>
      <c r="E3287" s="10" t="s">
        <v>19</v>
      </c>
      <c r="F3287" s="10">
        <v>2010</v>
      </c>
      <c r="G3287" s="10" t="s">
        <v>14</v>
      </c>
      <c r="H3287" s="11" t="s">
        <v>20</v>
      </c>
      <c r="I3287" s="10" t="s">
        <v>150</v>
      </c>
      <c r="J3287" s="131"/>
      <c r="K3287" s="149" t="s">
        <v>6487</v>
      </c>
    </row>
    <row r="3288" spans="1:11" ht="28.9" customHeight="1" thickTop="1" thickBot="1" x14ac:dyDescent="0.75">
      <c r="A3288" s="10">
        <v>3286</v>
      </c>
      <c r="B3288" s="57" t="str">
        <f>HYPERLINK("https://search.naver.com/search.naver?query=한큐전차 편도 15분의 기적 영화", "한큐전차 편도 15분의 기적")</f>
        <v>한큐전차 편도 15분의 기적</v>
      </c>
      <c r="C3288" s="8"/>
      <c r="D3288" s="9" t="s">
        <v>6488</v>
      </c>
      <c r="E3288" s="6" t="s">
        <v>19</v>
      </c>
      <c r="F3288" s="6">
        <v>2011</v>
      </c>
      <c r="G3288" s="6" t="s">
        <v>14</v>
      </c>
      <c r="H3288" s="7" t="s">
        <v>20</v>
      </c>
      <c r="I3288" s="6" t="s">
        <v>195</v>
      </c>
      <c r="J3288" s="130"/>
      <c r="K3288" s="148" t="s">
        <v>6489</v>
      </c>
    </row>
    <row r="3289" spans="1:11" ht="28.9" customHeight="1" thickTop="1" thickBot="1" x14ac:dyDescent="0.75">
      <c r="A3289" s="6">
        <v>3287</v>
      </c>
      <c r="B3289" s="58" t="str">
        <f>HYPERLINK("https://search.naver.com/search.naver?query=할로우 맨 영화", "할로우 맨")</f>
        <v>할로우 맨</v>
      </c>
      <c r="C3289" s="12">
        <v>4.3600000000000003</v>
      </c>
      <c r="D3289" s="13" t="s">
        <v>6490</v>
      </c>
      <c r="E3289" s="10" t="s">
        <v>24</v>
      </c>
      <c r="F3289" s="10">
        <v>2000</v>
      </c>
      <c r="G3289" s="10" t="s">
        <v>14</v>
      </c>
      <c r="H3289" s="11" t="s">
        <v>877</v>
      </c>
      <c r="I3289" s="10" t="s">
        <v>429</v>
      </c>
      <c r="J3289" s="131"/>
      <c r="K3289" s="149" t="s">
        <v>6491</v>
      </c>
    </row>
    <row r="3290" spans="1:11" ht="28.9" customHeight="1" thickTop="1" thickBot="1" x14ac:dyDescent="0.75">
      <c r="A3290" s="10">
        <v>3288</v>
      </c>
      <c r="B3290" s="57" t="str">
        <f>HYPERLINK("https://search.naver.com/search.naver?query=할머니는 일학년 영화", "할머니는 일학년")</f>
        <v>할머니는 일학년</v>
      </c>
      <c r="C3290" s="8">
        <v>9.1300000000000008</v>
      </c>
      <c r="D3290" s="9" t="s">
        <v>6492</v>
      </c>
      <c r="E3290" s="6" t="s">
        <v>13</v>
      </c>
      <c r="F3290" s="6">
        <v>2012</v>
      </c>
      <c r="G3290" s="6" t="s">
        <v>14</v>
      </c>
      <c r="H3290" s="7" t="s">
        <v>20</v>
      </c>
      <c r="I3290" s="6" t="s">
        <v>150</v>
      </c>
      <c r="J3290" s="130"/>
      <c r="K3290" s="148" t="s">
        <v>6493</v>
      </c>
    </row>
    <row r="3291" spans="1:11" ht="28.9" customHeight="1" thickTop="1" thickBot="1" x14ac:dyDescent="0.75">
      <c r="A3291" s="10">
        <v>3289</v>
      </c>
      <c r="B3291" s="58" t="str">
        <f>HYPERLINK("https://search.naver.com/search.naver?query=함정 영화", "함정")</f>
        <v>함정</v>
      </c>
      <c r="C3291" s="12">
        <v>6.61</v>
      </c>
      <c r="D3291" s="13" t="s">
        <v>6494</v>
      </c>
      <c r="E3291" s="10" t="s">
        <v>13</v>
      </c>
      <c r="F3291" s="10">
        <v>2015</v>
      </c>
      <c r="G3291" s="10" t="s">
        <v>14</v>
      </c>
      <c r="H3291" s="11" t="s">
        <v>54</v>
      </c>
      <c r="I3291" s="10" t="s">
        <v>150</v>
      </c>
      <c r="J3291" s="131"/>
      <c r="K3291" s="149" t="s">
        <v>6495</v>
      </c>
    </row>
    <row r="3292" spans="1:11" ht="28.9" customHeight="1" thickTop="1" thickBot="1" x14ac:dyDescent="0.75">
      <c r="A3292" s="6">
        <v>3290</v>
      </c>
      <c r="B3292" s="57" t="str">
        <f>HYPERLINK("https://search.naver.com/search.naver?query=해결사 영화", "해결사")</f>
        <v>해결사</v>
      </c>
      <c r="C3292" s="8">
        <v>6.57</v>
      </c>
      <c r="D3292" s="9" t="s">
        <v>6496</v>
      </c>
      <c r="E3292" s="6" t="s">
        <v>13</v>
      </c>
      <c r="F3292" s="6">
        <v>2010</v>
      </c>
      <c r="G3292" s="6" t="s">
        <v>14</v>
      </c>
      <c r="H3292" s="7" t="s">
        <v>124</v>
      </c>
      <c r="I3292" s="6" t="s">
        <v>150</v>
      </c>
      <c r="J3292" s="130"/>
      <c r="K3292" s="148" t="s">
        <v>6497</v>
      </c>
    </row>
    <row r="3293" spans="1:11" ht="28.9" customHeight="1" thickTop="1" thickBot="1" x14ac:dyDescent="0.75">
      <c r="A3293" s="10">
        <v>3291</v>
      </c>
      <c r="B3293" s="58" t="str">
        <f>HYPERLINK("https://search.daum.net/search?nil_suggest=btn&amp;w=tot&amp;DA=SBC&amp;q=%ED%95%B4%EB%A6%AC+%EB%B8%8C%EB%9D%BC%EC%9A%B4+%EC%98%81%ED%99%94", "해리 브라운")</f>
        <v>해리 브라운</v>
      </c>
      <c r="C3293" s="12">
        <v>6.8</v>
      </c>
      <c r="D3293" s="13" t="s">
        <v>6498</v>
      </c>
      <c r="E3293" s="10" t="s">
        <v>29</v>
      </c>
      <c r="F3293" s="10">
        <v>2009</v>
      </c>
      <c r="G3293" s="10" t="s">
        <v>14</v>
      </c>
      <c r="H3293" s="11" t="s">
        <v>428</v>
      </c>
      <c r="I3293" s="10" t="s">
        <v>276</v>
      </c>
      <c r="J3293" s="131"/>
      <c r="K3293" s="149" t="s">
        <v>6499</v>
      </c>
    </row>
    <row r="3294" spans="1:11" ht="28.9" customHeight="1" thickTop="1" thickBot="1" x14ac:dyDescent="0.75">
      <c r="A3294" s="10">
        <v>3292</v>
      </c>
      <c r="B3294" s="57" t="str">
        <f>HYPERLINK("https://search.naver.com/search.naver?query=해무 영화", "해무")</f>
        <v>해무</v>
      </c>
      <c r="C3294" s="8">
        <v>7.25</v>
      </c>
      <c r="D3294" s="9" t="s">
        <v>6500</v>
      </c>
      <c r="E3294" s="6" t="s">
        <v>13</v>
      </c>
      <c r="F3294" s="6">
        <v>2014</v>
      </c>
      <c r="G3294" s="6" t="s">
        <v>14</v>
      </c>
      <c r="H3294" s="7" t="s">
        <v>20</v>
      </c>
      <c r="I3294" s="6" t="s">
        <v>137</v>
      </c>
      <c r="J3294" s="130"/>
      <c r="K3294" s="148" t="s">
        <v>6501</v>
      </c>
    </row>
    <row r="3295" spans="1:11" ht="28.9" customHeight="1" thickTop="1" thickBot="1" x14ac:dyDescent="0.75">
      <c r="A3295" s="6">
        <v>3293</v>
      </c>
      <c r="B3295" s="58" t="str">
        <f>HYPERLINK("https://search.naver.com/search.naver?query=해바라기 영화", "해바라기")</f>
        <v>해바라기</v>
      </c>
      <c r="C3295" s="12">
        <v>9.6</v>
      </c>
      <c r="D3295" s="13" t="s">
        <v>6502</v>
      </c>
      <c r="E3295" s="10" t="s">
        <v>13</v>
      </c>
      <c r="F3295" s="10">
        <v>2006</v>
      </c>
      <c r="G3295" s="10" t="s">
        <v>14</v>
      </c>
      <c r="H3295" s="11" t="s">
        <v>20</v>
      </c>
      <c r="I3295" s="10" t="s">
        <v>591</v>
      </c>
      <c r="J3295" s="131"/>
      <c r="K3295" s="149" t="s">
        <v>6503</v>
      </c>
    </row>
    <row r="3296" spans="1:11" ht="28.9" customHeight="1" thickTop="1" thickBot="1" x14ac:dyDescent="0.75">
      <c r="A3296" s="10">
        <v>3294</v>
      </c>
      <c r="B3296" s="57" t="str">
        <f>HYPERLINK("https://search.naver.com/search.naver?query=해방 영화", "해방")</f>
        <v>해방</v>
      </c>
      <c r="C3296" s="8">
        <v>8.4600000000000009</v>
      </c>
      <c r="D3296" s="9" t="s">
        <v>6504</v>
      </c>
      <c r="E3296" s="6" t="s">
        <v>24</v>
      </c>
      <c r="F3296" s="6">
        <v>2022</v>
      </c>
      <c r="G3296" s="6" t="s">
        <v>14</v>
      </c>
      <c r="H3296" s="7" t="s">
        <v>124</v>
      </c>
      <c r="I3296" s="6" t="s">
        <v>558</v>
      </c>
      <c r="J3296" s="130"/>
      <c r="K3296" s="148" t="s">
        <v>6505</v>
      </c>
    </row>
    <row r="3297" spans="1:11" ht="28.9" customHeight="1" thickTop="1" thickBot="1" x14ac:dyDescent="0.75">
      <c r="A3297" s="10">
        <v>3295</v>
      </c>
      <c r="B3297" s="58" t="str">
        <f>HYPERLINK("https://search.naver.com/search.naver?query=해빙 영화", "해빙")</f>
        <v>해빙</v>
      </c>
      <c r="C3297" s="12">
        <v>6.63</v>
      </c>
      <c r="D3297" s="13" t="s">
        <v>6506</v>
      </c>
      <c r="E3297" s="10" t="s">
        <v>13</v>
      </c>
      <c r="F3297" s="10">
        <v>2017</v>
      </c>
      <c r="G3297" s="10" t="s">
        <v>14</v>
      </c>
      <c r="H3297" s="11" t="s">
        <v>54</v>
      </c>
      <c r="I3297" s="10" t="s">
        <v>150</v>
      </c>
      <c r="J3297" s="131"/>
      <c r="K3297" s="149" t="s">
        <v>6507</v>
      </c>
    </row>
    <row r="3298" spans="1:11" ht="28.9" customHeight="1" thickTop="1" thickBot="1" x14ac:dyDescent="0.75">
      <c r="A3298" s="6">
        <v>3296</v>
      </c>
      <c r="B3298" s="57" t="str">
        <f>HYPERLINK("https://search.naver.com/search.naver?query=해어화 영화", "해어화")</f>
        <v>해어화</v>
      </c>
      <c r="C3298" s="8">
        <v>8.23</v>
      </c>
      <c r="D3298" s="9" t="s">
        <v>6508</v>
      </c>
      <c r="E3298" s="6" t="s">
        <v>13</v>
      </c>
      <c r="F3298" s="6">
        <v>2015</v>
      </c>
      <c r="G3298" s="6" t="s">
        <v>14</v>
      </c>
      <c r="H3298" s="7" t="s">
        <v>20</v>
      </c>
      <c r="I3298" s="6" t="s">
        <v>116</v>
      </c>
      <c r="J3298" s="130"/>
      <c r="K3298" s="148" t="s">
        <v>6509</v>
      </c>
    </row>
    <row r="3299" spans="1:11" ht="28.9" customHeight="1" thickTop="1" thickBot="1" x14ac:dyDescent="0.75">
      <c r="A3299" s="10">
        <v>3297</v>
      </c>
      <c r="B3299" s="58" t="str">
        <f>HYPERLINK("https://search.naver.com/search.naver?query=해적 바다로 간 산적 영화", "해적 - 바다로 간 산적")</f>
        <v>해적 - 바다로 간 산적</v>
      </c>
      <c r="C3299" s="12">
        <v>8.51</v>
      </c>
      <c r="D3299" s="13" t="s">
        <v>6510</v>
      </c>
      <c r="E3299" s="10" t="s">
        <v>13</v>
      </c>
      <c r="F3299" s="10">
        <v>2014</v>
      </c>
      <c r="G3299" s="10" t="s">
        <v>14</v>
      </c>
      <c r="H3299" s="11" t="s">
        <v>124</v>
      </c>
      <c r="I3299" s="10" t="s">
        <v>42</v>
      </c>
      <c r="J3299" s="131"/>
      <c r="K3299" s="149" t="s">
        <v>6511</v>
      </c>
    </row>
    <row r="3300" spans="1:11" ht="28.9" customHeight="1" thickTop="1" thickBot="1" x14ac:dyDescent="0.75">
      <c r="A3300" s="10">
        <v>3298</v>
      </c>
      <c r="B3300" s="57" t="str">
        <f>HYPERLINK("https://search.naver.com/search.naver?query=해적 도깨비 깃발 영화", "해적 도깨비 깃발")</f>
        <v>해적 도깨비 깃발</v>
      </c>
      <c r="C3300" s="8">
        <v>6.09</v>
      </c>
      <c r="D3300" s="9" t="s">
        <v>6512</v>
      </c>
      <c r="E3300" s="6" t="s">
        <v>13</v>
      </c>
      <c r="F3300" s="6">
        <v>2022</v>
      </c>
      <c r="G3300" s="6" t="s">
        <v>14</v>
      </c>
      <c r="H3300" s="7" t="s">
        <v>124</v>
      </c>
      <c r="I3300" s="6" t="s">
        <v>105</v>
      </c>
      <c r="J3300" s="130"/>
      <c r="K3300" s="148" t="s">
        <v>6513</v>
      </c>
    </row>
    <row r="3301" spans="1:11" ht="28.9" customHeight="1" thickTop="1" thickBot="1" x14ac:dyDescent="0.75">
      <c r="A3301" s="6">
        <v>3299</v>
      </c>
      <c r="B3301" s="58" t="str">
        <f>HYPERLINK("https://search.naver.com/search.naver?query=해치지않아 영화", "해치지않아")</f>
        <v>해치지않아</v>
      </c>
      <c r="C3301" s="12">
        <v>7.29</v>
      </c>
      <c r="D3301" s="13" t="s">
        <v>6514</v>
      </c>
      <c r="E3301" s="10" t="s">
        <v>13</v>
      </c>
      <c r="F3301" s="10">
        <v>2019</v>
      </c>
      <c r="G3301" s="10" t="s">
        <v>14</v>
      </c>
      <c r="H3301" s="11" t="s">
        <v>91</v>
      </c>
      <c r="I3301" s="10" t="s">
        <v>16</v>
      </c>
      <c r="J3301" s="131"/>
      <c r="K3301" s="149" t="s">
        <v>6515</v>
      </c>
    </row>
    <row r="3302" spans="1:11" ht="28.9" customHeight="1" thickTop="1" thickBot="1" x14ac:dyDescent="0.75">
      <c r="A3302" s="10">
        <v>3300</v>
      </c>
      <c r="B3302" s="57" t="str">
        <f>HYPERLINK("https://search.naver.com/search.naver?query=해피 뉴 이어 영화", "해피 뉴 이어")</f>
        <v>해피 뉴 이어</v>
      </c>
      <c r="C3302" s="8">
        <v>6.51</v>
      </c>
      <c r="D3302" s="9" t="s">
        <v>6516</v>
      </c>
      <c r="E3302" s="6" t="s">
        <v>13</v>
      </c>
      <c r="F3302" s="6">
        <v>2021</v>
      </c>
      <c r="G3302" s="6" t="s">
        <v>14</v>
      </c>
      <c r="H3302" s="7" t="s">
        <v>165</v>
      </c>
      <c r="I3302" s="6" t="s">
        <v>1058</v>
      </c>
      <c r="J3302" s="130"/>
      <c r="K3302" s="148" t="s">
        <v>6517</v>
      </c>
    </row>
    <row r="3303" spans="1:11" ht="28.9" customHeight="1" thickTop="1" thickBot="1" x14ac:dyDescent="0.75">
      <c r="A3303" s="10">
        <v>3301</v>
      </c>
      <c r="B3303" s="58" t="str">
        <f>HYPERLINK("https://search.naver.com/search.naver?query=해피 데스데이1", "해피 데스데이")</f>
        <v>해피 데스데이</v>
      </c>
      <c r="C3303" s="12">
        <v>8.32</v>
      </c>
      <c r="D3303" s="13" t="s">
        <v>6518</v>
      </c>
      <c r="E3303" s="10" t="s">
        <v>24</v>
      </c>
      <c r="F3303" s="10">
        <v>2017</v>
      </c>
      <c r="G3303" s="10" t="s">
        <v>14</v>
      </c>
      <c r="H3303" s="11" t="s">
        <v>382</v>
      </c>
      <c r="I3303" s="10" t="s">
        <v>80</v>
      </c>
      <c r="J3303" s="131"/>
      <c r="K3303" s="149" t="s">
        <v>6519</v>
      </c>
    </row>
    <row r="3304" spans="1:11" ht="28.9" customHeight="1" thickTop="1" thickBot="1" x14ac:dyDescent="0.75">
      <c r="A3304" s="6">
        <v>3302</v>
      </c>
      <c r="B3304" s="57" t="str">
        <f>HYPERLINK("https://search.naver.com/search.naver?query=해피 디 데이 영화", "해피 디 데이")</f>
        <v>해피 디 데이</v>
      </c>
      <c r="C3304" s="8">
        <v>8.86</v>
      </c>
      <c r="D3304" s="9" t="s">
        <v>6520</v>
      </c>
      <c r="E3304" s="6" t="s">
        <v>24</v>
      </c>
      <c r="F3304" s="6">
        <v>2020</v>
      </c>
      <c r="G3304" s="6" t="s">
        <v>14</v>
      </c>
      <c r="H3304" s="7" t="s">
        <v>20</v>
      </c>
      <c r="I3304" s="6" t="s">
        <v>98</v>
      </c>
      <c r="J3304" s="130"/>
      <c r="K3304" s="148" t="s">
        <v>6521</v>
      </c>
    </row>
    <row r="3305" spans="1:11" ht="28.9" customHeight="1" thickTop="1" thickBot="1" x14ac:dyDescent="0.75">
      <c r="A3305" s="10">
        <v>3303</v>
      </c>
      <c r="B3305" s="58" t="str">
        <f>HYPERLINK("https://search.naver.com/search.naver?query=해피 아워 영화", "해피 아워")</f>
        <v>해피 아워</v>
      </c>
      <c r="C3305" s="12">
        <v>8.8000000000000007</v>
      </c>
      <c r="D3305" s="13" t="s">
        <v>6522</v>
      </c>
      <c r="E3305" s="10" t="s">
        <v>19</v>
      </c>
      <c r="F3305" s="10">
        <v>2015</v>
      </c>
      <c r="G3305" s="10" t="s">
        <v>14</v>
      </c>
      <c r="H3305" s="11" t="s">
        <v>20</v>
      </c>
      <c r="I3305" s="10" t="s">
        <v>6523</v>
      </c>
      <c r="J3305" s="131"/>
      <c r="K3305" s="149" t="s">
        <v>6401</v>
      </c>
    </row>
    <row r="3306" spans="1:11" ht="28.9" customHeight="1" thickTop="1" thickBot="1" x14ac:dyDescent="0.75">
      <c r="A3306" s="10">
        <v>3304</v>
      </c>
      <c r="B3306" s="57" t="str">
        <f>HYPERLINK("https://search.naver.com/search.naver?query=해피 어게인 영화", "해피 어게인")</f>
        <v>해피 어게인</v>
      </c>
      <c r="C3306" s="8">
        <v>8.83</v>
      </c>
      <c r="D3306" s="9" t="s">
        <v>6524</v>
      </c>
      <c r="E3306" s="6" t="s">
        <v>24</v>
      </c>
      <c r="F3306" s="6">
        <v>2018</v>
      </c>
      <c r="G3306" s="6" t="s">
        <v>14</v>
      </c>
      <c r="H3306" s="7" t="s">
        <v>20</v>
      </c>
      <c r="I3306" s="6" t="s">
        <v>109</v>
      </c>
      <c r="J3306" s="130"/>
      <c r="K3306" s="148" t="s">
        <v>6525</v>
      </c>
    </row>
    <row r="3307" spans="1:11" ht="28.9" customHeight="1" thickTop="1" thickBot="1" x14ac:dyDescent="0.75">
      <c r="A3307" s="6">
        <v>3305</v>
      </c>
      <c r="B3307" s="58" t="str">
        <f>HYPERLINK("https://search.naver.com/search.naver?query=해피 엔드 영화", "해피 엔드")</f>
        <v>해피 엔드</v>
      </c>
      <c r="C3307" s="12">
        <v>8.07</v>
      </c>
      <c r="D3307" s="13" t="s">
        <v>6526</v>
      </c>
      <c r="E3307" s="10" t="s">
        <v>13</v>
      </c>
      <c r="F3307" s="10">
        <v>1999</v>
      </c>
      <c r="G3307" s="10" t="s">
        <v>14</v>
      </c>
      <c r="H3307" s="11" t="s">
        <v>20</v>
      </c>
      <c r="I3307" s="10" t="s">
        <v>109</v>
      </c>
      <c r="J3307" s="131"/>
      <c r="K3307" s="149" t="s">
        <v>3160</v>
      </c>
    </row>
    <row r="3308" spans="1:11" ht="28.9" customHeight="1" thickTop="1" thickBot="1" x14ac:dyDescent="0.75">
      <c r="A3308" s="10">
        <v>3306</v>
      </c>
      <c r="B3308" s="57" t="str">
        <f>HYPERLINK("https://search.naver.com/search.naver?query=해피 플라이트 영화", "해피 플라이트")</f>
        <v>해피 플라이트</v>
      </c>
      <c r="C3308" s="8">
        <v>8.15</v>
      </c>
      <c r="D3308" s="9" t="s">
        <v>6527</v>
      </c>
      <c r="E3308" s="6" t="s">
        <v>19</v>
      </c>
      <c r="F3308" s="6">
        <v>2008</v>
      </c>
      <c r="G3308" s="6" t="s">
        <v>14</v>
      </c>
      <c r="H3308" s="7" t="s">
        <v>91</v>
      </c>
      <c r="I3308" s="6" t="s">
        <v>276</v>
      </c>
      <c r="J3308" s="130"/>
      <c r="K3308" s="148" t="s">
        <v>6528</v>
      </c>
    </row>
    <row r="3309" spans="1:11" ht="28.9" customHeight="1" thickTop="1" thickBot="1" x14ac:dyDescent="0.75">
      <c r="A3309" s="10">
        <v>3307</v>
      </c>
      <c r="B3309" s="58" t="str">
        <f>HYPERLINK("https://search.naver.com/search.naver?query=해피 해피 브레드 영화", "해피 해피 브레드")</f>
        <v>해피 해피 브레드</v>
      </c>
      <c r="C3309" s="12">
        <v>7.71</v>
      </c>
      <c r="D3309" s="13" t="s">
        <v>6529</v>
      </c>
      <c r="E3309" s="10" t="s">
        <v>19</v>
      </c>
      <c r="F3309" s="10">
        <v>2012</v>
      </c>
      <c r="G3309" s="10" t="s">
        <v>14</v>
      </c>
      <c r="H3309" s="11" t="s">
        <v>20</v>
      </c>
      <c r="I3309" s="10" t="s">
        <v>150</v>
      </c>
      <c r="J3309" s="131"/>
      <c r="K3309" s="149" t="s">
        <v>6530</v>
      </c>
    </row>
    <row r="3310" spans="1:11" ht="28.9" customHeight="1" thickTop="1" thickBot="1" x14ac:dyDescent="0.75">
      <c r="A3310" s="6">
        <v>3308</v>
      </c>
      <c r="B3310" s="57" t="str">
        <f>HYPERLINK("https://search.naver.com/search.naver?query=해피엔딩 프로젝트 영화", "해피엔딩 프로젝트")</f>
        <v>해피엔딩 프로젝트</v>
      </c>
      <c r="C3310" s="8">
        <v>8.1300000000000008</v>
      </c>
      <c r="D3310" s="9" t="s">
        <v>6531</v>
      </c>
      <c r="E3310" s="6" t="s">
        <v>19</v>
      </c>
      <c r="F3310" s="6">
        <v>2012</v>
      </c>
      <c r="G3310" s="6" t="s">
        <v>14</v>
      </c>
      <c r="H3310" s="7" t="s">
        <v>20</v>
      </c>
      <c r="I3310" s="6" t="s">
        <v>150</v>
      </c>
      <c r="J3310" s="130"/>
      <c r="K3310" s="148" t="s">
        <v>6532</v>
      </c>
    </row>
    <row r="3311" spans="1:11" ht="28.9" customHeight="1" thickTop="1" thickBot="1" x14ac:dyDescent="0.75">
      <c r="A3311" s="10">
        <v>3309</v>
      </c>
      <c r="B3311" s="58" t="str">
        <f>HYPERLINK("https://search.naver.com/search.naver?query=핵소 고지 영화", "핵소 고지")</f>
        <v>핵소 고지</v>
      </c>
      <c r="C3311" s="12">
        <v>9.1999999999999993</v>
      </c>
      <c r="D3311" s="13" t="s">
        <v>6533</v>
      </c>
      <c r="E3311" s="10" t="s">
        <v>24</v>
      </c>
      <c r="F3311" s="10">
        <v>2016</v>
      </c>
      <c r="G3311" s="10" t="s">
        <v>14</v>
      </c>
      <c r="H3311" s="11" t="s">
        <v>1247</v>
      </c>
      <c r="I3311" s="10" t="s">
        <v>476</v>
      </c>
      <c r="J3311" s="131"/>
      <c r="K3311" s="149" t="s">
        <v>6534</v>
      </c>
    </row>
    <row r="3312" spans="1:11" ht="28.9" customHeight="1" thickTop="1" thickBot="1" x14ac:dyDescent="0.75">
      <c r="A3312" s="10">
        <v>3310</v>
      </c>
      <c r="B3312" s="57" t="str">
        <f>HYPERLINK("https://search.naver.com/search.naver?query=핸즈 오브 스톤 영화", "핸즈 오브 스톤")</f>
        <v>핸즈 오브 스톤</v>
      </c>
      <c r="C3312" s="8">
        <v>8.43</v>
      </c>
      <c r="D3312" s="9" t="s">
        <v>6535</v>
      </c>
      <c r="E3312" s="6" t="s">
        <v>24</v>
      </c>
      <c r="F3312" s="6">
        <v>2016</v>
      </c>
      <c r="G3312" s="6" t="s">
        <v>14</v>
      </c>
      <c r="H3312" s="7" t="s">
        <v>20</v>
      </c>
      <c r="I3312" s="6" t="s">
        <v>137</v>
      </c>
      <c r="J3312" s="130"/>
      <c r="K3312" s="148" t="s">
        <v>3708</v>
      </c>
    </row>
    <row r="3313" spans="1:11" ht="28.9" customHeight="1" thickTop="1" thickBot="1" x14ac:dyDescent="0.75">
      <c r="A3313" s="6">
        <v>3311</v>
      </c>
      <c r="B3313" s="58" t="str">
        <f>HYPERLINK("https://search.naver.com/search.naver?query=행복 영화", "행복")</f>
        <v>행복</v>
      </c>
      <c r="C3313" s="12">
        <v>7.95</v>
      </c>
      <c r="D3313" s="13" t="s">
        <v>6536</v>
      </c>
      <c r="E3313" s="10" t="s">
        <v>13</v>
      </c>
      <c r="F3313" s="10">
        <v>2007</v>
      </c>
      <c r="G3313" s="10" t="s">
        <v>14</v>
      </c>
      <c r="H3313" s="11" t="s">
        <v>20</v>
      </c>
      <c r="I3313" s="10" t="s">
        <v>183</v>
      </c>
      <c r="J3313" s="131"/>
      <c r="K3313" s="149" t="s">
        <v>6537</v>
      </c>
    </row>
    <row r="3314" spans="1:11" ht="28.9" customHeight="1" thickTop="1" thickBot="1" x14ac:dyDescent="0.75">
      <c r="A3314" s="10">
        <v>3312</v>
      </c>
      <c r="B3314" s="57" t="str">
        <f>HYPERLINK("https://search.naver.com/search.naver?query=행복 목욕탕 영화", "행복 목욕탕")</f>
        <v>행복 목욕탕</v>
      </c>
      <c r="C3314" s="8">
        <v>8.94</v>
      </c>
      <c r="D3314" s="9" t="s">
        <v>6538</v>
      </c>
      <c r="E3314" s="6" t="s">
        <v>19</v>
      </c>
      <c r="F3314" s="6">
        <v>2017</v>
      </c>
      <c r="G3314" s="6" t="s">
        <v>14</v>
      </c>
      <c r="H3314" s="7" t="s">
        <v>20</v>
      </c>
      <c r="I3314" s="6" t="s">
        <v>316</v>
      </c>
      <c r="J3314" s="130"/>
      <c r="K3314" s="148" t="s">
        <v>6539</v>
      </c>
    </row>
    <row r="3315" spans="1:11" ht="28.9" customHeight="1" thickTop="1" thickBot="1" x14ac:dyDescent="0.75">
      <c r="A3315" s="10">
        <v>3313</v>
      </c>
      <c r="B3315" s="58" t="str">
        <f>HYPERLINK("https://search.naver.com/search.naver?query=행복까지 30일 영화", "행복까지 30일")</f>
        <v>행복까지 30일</v>
      </c>
      <c r="C3315" s="12">
        <v>9.57</v>
      </c>
      <c r="D3315" s="13" t="s">
        <v>6540</v>
      </c>
      <c r="E3315" s="10" t="s">
        <v>136</v>
      </c>
      <c r="F3315" s="10">
        <v>2015</v>
      </c>
      <c r="G3315" s="10" t="s">
        <v>14</v>
      </c>
      <c r="H3315" s="11" t="s">
        <v>20</v>
      </c>
      <c r="I3315" s="10" t="s">
        <v>150</v>
      </c>
      <c r="J3315" s="131"/>
      <c r="K3315" s="149" t="s">
        <v>6541</v>
      </c>
    </row>
    <row r="3316" spans="1:11" ht="28.9" customHeight="1" thickTop="1" thickBot="1" x14ac:dyDescent="0.75">
      <c r="A3316" s="6">
        <v>3314</v>
      </c>
      <c r="B3316" s="57" t="str">
        <f>HYPERLINK("https://search.naver.com/search.naver?query=행복의 나라 영화", "행복의 나라")</f>
        <v>행복의 나라</v>
      </c>
      <c r="C3316" s="8">
        <v>7.37</v>
      </c>
      <c r="D3316" s="9" t="s">
        <v>6542</v>
      </c>
      <c r="E3316" s="6" t="s">
        <v>13</v>
      </c>
      <c r="F3316" s="6">
        <v>2024</v>
      </c>
      <c r="G3316" s="6" t="s">
        <v>14</v>
      </c>
      <c r="H3316" s="7" t="s">
        <v>20</v>
      </c>
      <c r="I3316" s="6" t="s">
        <v>129</v>
      </c>
      <c r="J3316" s="130"/>
      <c r="K3316" s="148" t="s">
        <v>3631</v>
      </c>
    </row>
    <row r="3317" spans="1:11" ht="28.9" customHeight="1" thickTop="1" thickBot="1" x14ac:dyDescent="0.75">
      <c r="A3317" s="10">
        <v>3315</v>
      </c>
      <c r="B3317" s="58" t="str">
        <f>HYPERLINK("https://search.daum.net/search?nil_suggest=btn&amp;w=tot&amp;DA=SBC&amp;q=%ED%96%89%EB%B3%B5%EC%9D%98+%ED%96%A5%EA%B8%B0+%EC%98%81%ED%99%94", "행복의 향기")</f>
        <v>행복의 향기</v>
      </c>
      <c r="C3317" s="12">
        <v>7</v>
      </c>
      <c r="D3317" s="13" t="s">
        <v>6543</v>
      </c>
      <c r="E3317" s="10" t="s">
        <v>19</v>
      </c>
      <c r="F3317" s="10">
        <v>2008</v>
      </c>
      <c r="G3317" s="10" t="s">
        <v>14</v>
      </c>
      <c r="H3317" s="11" t="s">
        <v>20</v>
      </c>
      <c r="I3317" s="10" t="s">
        <v>175</v>
      </c>
      <c r="J3317" s="131"/>
      <c r="K3317" s="149" t="s">
        <v>6544</v>
      </c>
    </row>
    <row r="3318" spans="1:11" ht="28.9" customHeight="1" thickTop="1" thickBot="1" x14ac:dyDescent="0.75">
      <c r="A3318" s="10">
        <v>3316</v>
      </c>
      <c r="B3318" s="57" t="str">
        <f>HYPERLINK("https://search.naver.com/search.naver?query=행복한 사전 영화", "행복한 사전")</f>
        <v>행복한 사전</v>
      </c>
      <c r="C3318" s="8">
        <v>8.67</v>
      </c>
      <c r="D3318" s="9" t="s">
        <v>6545</v>
      </c>
      <c r="E3318" s="6" t="s">
        <v>19</v>
      </c>
      <c r="F3318" s="6">
        <v>2014</v>
      </c>
      <c r="G3318" s="6" t="s">
        <v>14</v>
      </c>
      <c r="H3318" s="7" t="s">
        <v>20</v>
      </c>
      <c r="I3318" s="6" t="s">
        <v>112</v>
      </c>
      <c r="J3318" s="130"/>
      <c r="K3318" s="148" t="s">
        <v>6546</v>
      </c>
    </row>
    <row r="3319" spans="1:11" ht="28.9" customHeight="1" thickTop="1" thickBot="1" x14ac:dyDescent="0.75">
      <c r="A3319" s="6">
        <v>3317</v>
      </c>
      <c r="B3319" s="58" t="str">
        <f>HYPERLINK("https://search.naver.com/search.naver?query=행복한 장의사 영화", "행복한 장의사")</f>
        <v>행복한 장의사</v>
      </c>
      <c r="C3319" s="12">
        <v>8.8000000000000007</v>
      </c>
      <c r="D3319" s="13" t="s">
        <v>6547</v>
      </c>
      <c r="E3319" s="10" t="s">
        <v>13</v>
      </c>
      <c r="F3319" s="10">
        <v>1999</v>
      </c>
      <c r="G3319" s="10" t="s">
        <v>14</v>
      </c>
      <c r="H3319" s="11" t="s">
        <v>20</v>
      </c>
      <c r="I3319" s="10" t="s">
        <v>150</v>
      </c>
      <c r="J3319" s="131"/>
      <c r="K3319" s="149" t="s">
        <v>6548</v>
      </c>
    </row>
    <row r="3320" spans="1:11" ht="28.9" customHeight="1" thickTop="1" thickBot="1" x14ac:dyDescent="0.75">
      <c r="A3320" s="10">
        <v>3318</v>
      </c>
      <c r="B3320" s="57" t="str">
        <f>HYPERLINK("https://search.naver.com/search.naver?query=허리케인 하이스트 영화", "허리케인 하이스트")</f>
        <v>허리케인 하이스트</v>
      </c>
      <c r="C3320" s="8">
        <v>8.48</v>
      </c>
      <c r="D3320" s="9" t="s">
        <v>6549</v>
      </c>
      <c r="E3320" s="6" t="s">
        <v>24</v>
      </c>
      <c r="F3320" s="6">
        <v>2018</v>
      </c>
      <c r="G3320" s="6" t="s">
        <v>14</v>
      </c>
      <c r="H3320" s="7" t="s">
        <v>124</v>
      </c>
      <c r="I3320" s="6" t="s">
        <v>276</v>
      </c>
      <c r="J3320" s="130"/>
      <c r="K3320" s="148" t="s">
        <v>6550</v>
      </c>
    </row>
    <row r="3321" spans="1:11" ht="28.9" customHeight="1" thickTop="1" thickBot="1" x14ac:dyDescent="0.75">
      <c r="A3321" s="10">
        <v>3319</v>
      </c>
      <c r="B3321" s="58" t="str">
        <f>HYPERLINK("https://search.naver.com/search.naver?query=허삼관 영화", "허삼관")</f>
        <v>허삼관</v>
      </c>
      <c r="C3321" s="12">
        <v>7.61</v>
      </c>
      <c r="D3321" s="13" t="s">
        <v>6551</v>
      </c>
      <c r="E3321" s="10" t="s">
        <v>13</v>
      </c>
      <c r="F3321" s="10">
        <v>2014</v>
      </c>
      <c r="G3321" s="10" t="s">
        <v>14</v>
      </c>
      <c r="H3321" s="11" t="s">
        <v>20</v>
      </c>
      <c r="I3321" s="10" t="s">
        <v>105</v>
      </c>
      <c r="J3321" s="131"/>
      <c r="K3321" s="149" t="s">
        <v>2466</v>
      </c>
    </row>
    <row r="3322" spans="1:11" ht="28.9" customHeight="1" thickTop="1" thickBot="1" x14ac:dyDescent="0.75">
      <c r="A3322" s="6">
        <v>3320</v>
      </c>
      <c r="B3322" s="57" t="str">
        <f>HYPERLINK("https://search.naver.com/search.naver?query=허슬러 영화", "허슬러")</f>
        <v>허슬러</v>
      </c>
      <c r="C3322" s="8">
        <v>7.41</v>
      </c>
      <c r="D3322" s="9" t="s">
        <v>1529</v>
      </c>
      <c r="E3322" s="6" t="s">
        <v>24</v>
      </c>
      <c r="F3322" s="6">
        <v>2019</v>
      </c>
      <c r="G3322" s="6" t="s">
        <v>14</v>
      </c>
      <c r="H3322" s="7" t="s">
        <v>91</v>
      </c>
      <c r="I3322" s="6" t="s">
        <v>125</v>
      </c>
      <c r="J3322" s="130"/>
      <c r="K3322" s="148" t="s">
        <v>6552</v>
      </c>
    </row>
    <row r="3323" spans="1:11" ht="28.9" customHeight="1" thickTop="1" thickBot="1" x14ac:dyDescent="0.75">
      <c r="A3323" s="10">
        <v>3321</v>
      </c>
      <c r="B3323" s="58" t="str">
        <f>HYPERLINK("https://search.naver.com/search.naver?query=허큘리스 영화", "허큘리스")</f>
        <v>허큘리스</v>
      </c>
      <c r="C3323" s="12">
        <v>7.2</v>
      </c>
      <c r="D3323" s="13" t="s">
        <v>6553</v>
      </c>
      <c r="E3323" s="10" t="s">
        <v>24</v>
      </c>
      <c r="F3323" s="10">
        <v>2014</v>
      </c>
      <c r="G3323" s="10" t="s">
        <v>14</v>
      </c>
      <c r="H3323" s="11" t="s">
        <v>124</v>
      </c>
      <c r="I3323" s="10" t="s">
        <v>16</v>
      </c>
      <c r="J3323" s="131"/>
      <c r="K3323" s="149" t="s">
        <v>6554</v>
      </c>
    </row>
    <row r="3324" spans="1:11" ht="28.9" customHeight="1" thickTop="1" thickBot="1" x14ac:dyDescent="0.75">
      <c r="A3324" s="10">
        <v>3322</v>
      </c>
      <c r="B3324" s="57" t="str">
        <f>HYPERLINK("https://search.naver.com/search.naver?query=헌터 영화", "헌터")</f>
        <v>헌터</v>
      </c>
      <c r="C3324" s="8"/>
      <c r="D3324" s="9" t="s">
        <v>6555</v>
      </c>
      <c r="E3324" s="6" t="s">
        <v>45</v>
      </c>
      <c r="F3324" s="6">
        <v>2011</v>
      </c>
      <c r="G3324" s="6" t="s">
        <v>14</v>
      </c>
      <c r="H3324" s="7" t="s">
        <v>54</v>
      </c>
      <c r="I3324" s="6" t="s">
        <v>133</v>
      </c>
      <c r="J3324" s="130"/>
      <c r="K3324" s="148" t="s">
        <v>6556</v>
      </c>
    </row>
    <row r="3325" spans="1:11" ht="28.9" customHeight="1" thickTop="1" thickBot="1" x14ac:dyDescent="0.75">
      <c r="A3325" s="6">
        <v>3323</v>
      </c>
      <c r="B3325" s="58" t="str">
        <f>HYPERLINK("https://search.naver.com/search.naver?query=헌터 킬러 영화", "헌터 킬러")</f>
        <v>헌터 킬러</v>
      </c>
      <c r="C3325" s="12">
        <v>9</v>
      </c>
      <c r="D3325" s="13" t="s">
        <v>6557</v>
      </c>
      <c r="E3325" s="10" t="s">
        <v>24</v>
      </c>
      <c r="F3325" s="10">
        <v>2018</v>
      </c>
      <c r="G3325" s="10" t="s">
        <v>14</v>
      </c>
      <c r="H3325" s="11" t="s">
        <v>124</v>
      </c>
      <c r="I3325" s="10" t="s">
        <v>195</v>
      </c>
      <c r="J3325" s="131"/>
      <c r="K3325" s="149" t="s">
        <v>6558</v>
      </c>
    </row>
    <row r="3326" spans="1:11" ht="28.9" customHeight="1" thickTop="1" thickBot="1" x14ac:dyDescent="0.75">
      <c r="A3326" s="10">
        <v>3324</v>
      </c>
      <c r="B3326" s="57" t="str">
        <f>HYPERLINK("https://search.naver.com/search.naver?query=헌터 헌터 영화", "헌터 헌터")</f>
        <v>헌터 헌터</v>
      </c>
      <c r="C3326" s="8">
        <v>3.32</v>
      </c>
      <c r="D3326" s="9" t="s">
        <v>6559</v>
      </c>
      <c r="E3326" s="6" t="s">
        <v>24</v>
      </c>
      <c r="F3326" s="6">
        <v>2020</v>
      </c>
      <c r="G3326" s="6" t="s">
        <v>14</v>
      </c>
      <c r="H3326" s="7" t="s">
        <v>54</v>
      </c>
      <c r="I3326" s="6" t="s">
        <v>125</v>
      </c>
      <c r="J3326" s="130"/>
      <c r="K3326" s="148" t="s">
        <v>6560</v>
      </c>
    </row>
    <row r="3327" spans="1:11" ht="28.9" customHeight="1" thickTop="1" thickBot="1" x14ac:dyDescent="0.75">
      <c r="A3327" s="10">
        <v>3325</v>
      </c>
      <c r="B3327" s="58" t="str">
        <f>HYPERLINK("https://search.naver.com/search.naver?query=헌트 영화", "헌트")</f>
        <v>헌트</v>
      </c>
      <c r="C3327" s="12">
        <v>8.39</v>
      </c>
      <c r="D3327" s="13" t="s">
        <v>6561</v>
      </c>
      <c r="E3327" s="10" t="s">
        <v>13</v>
      </c>
      <c r="F3327" s="10">
        <v>2022</v>
      </c>
      <c r="G3327" s="10" t="s">
        <v>14</v>
      </c>
      <c r="H3327" s="11" t="s">
        <v>124</v>
      </c>
      <c r="I3327" s="10" t="s">
        <v>316</v>
      </c>
      <c r="J3327" s="131"/>
      <c r="K3327" s="149" t="s">
        <v>6562</v>
      </c>
    </row>
    <row r="3328" spans="1:11" ht="28.9" customHeight="1" thickTop="1" thickBot="1" x14ac:dyDescent="0.75">
      <c r="A3328" s="6">
        <v>3326</v>
      </c>
      <c r="B3328" s="57" t="str">
        <f>HYPERLINK("https://search.naver.com/search.naver?query=헤드헌터 영화", "헤드헌터")</f>
        <v>헤드헌터</v>
      </c>
      <c r="C3328" s="8">
        <v>9</v>
      </c>
      <c r="D3328" s="9" t="s">
        <v>6563</v>
      </c>
      <c r="E3328" s="6" t="s">
        <v>49</v>
      </c>
      <c r="F3328" s="6">
        <v>2011</v>
      </c>
      <c r="G3328" s="6" t="s">
        <v>14</v>
      </c>
      <c r="H3328" s="7" t="s">
        <v>428</v>
      </c>
      <c r="I3328" s="6" t="s">
        <v>179</v>
      </c>
      <c r="J3328" s="130"/>
      <c r="K3328" s="148" t="s">
        <v>6564</v>
      </c>
    </row>
    <row r="3329" spans="1:11" ht="28.9" customHeight="1" thickTop="1" thickBot="1" x14ac:dyDescent="0.75">
      <c r="A3329" s="10">
        <v>3327</v>
      </c>
      <c r="B3329" s="58" t="str">
        <f>HYPERLINK("https://search.naver.com/search.naver?query=헤라클레스 레전드 비긴즈 영화", "헤라클레스-레전드 비긴즈")</f>
        <v>헤라클레스-레전드 비긴즈</v>
      </c>
      <c r="C3329" s="12">
        <v>6.11</v>
      </c>
      <c r="D3329" s="13" t="s">
        <v>6565</v>
      </c>
      <c r="E3329" s="10" t="s">
        <v>24</v>
      </c>
      <c r="F3329" s="10">
        <v>2014</v>
      </c>
      <c r="G3329" s="10" t="s">
        <v>14</v>
      </c>
      <c r="H3329" s="11" t="s">
        <v>124</v>
      </c>
      <c r="I3329" s="10" t="s">
        <v>109</v>
      </c>
      <c r="J3329" s="131"/>
      <c r="K3329" s="149" t="s">
        <v>6566</v>
      </c>
    </row>
    <row r="3330" spans="1:11" ht="28.9" customHeight="1" thickTop="1" thickBot="1" x14ac:dyDescent="0.75">
      <c r="A3330" s="10">
        <v>3328</v>
      </c>
      <c r="B3330" s="57" t="str">
        <f>HYPERLINK("https://search.naver.com/search.naver?query=헤밍웨이 &amp; 겔혼 영화", "헤밍웨이 &amp; 겔혼")</f>
        <v>헤밍웨이 &amp; 겔혼</v>
      </c>
      <c r="C3330" s="8">
        <v>6.94</v>
      </c>
      <c r="D3330" s="9" t="s">
        <v>6567</v>
      </c>
      <c r="E3330" s="6" t="s">
        <v>24</v>
      </c>
      <c r="F3330" s="6">
        <v>2012</v>
      </c>
      <c r="G3330" s="6" t="s">
        <v>14</v>
      </c>
      <c r="H3330" s="7" t="s">
        <v>20</v>
      </c>
      <c r="I3330" s="6" t="s">
        <v>316</v>
      </c>
      <c r="J3330" s="130"/>
      <c r="K3330" s="148" t="s">
        <v>6568</v>
      </c>
    </row>
    <row r="3331" spans="1:11" ht="28.9" customHeight="1" thickTop="1" thickBot="1" x14ac:dyDescent="0.75">
      <c r="A3331" s="6">
        <v>3329</v>
      </c>
      <c r="B3331" s="58" t="str">
        <f>HYPERLINK("https://search.naver.com/search.naver?query=헤밍웨이 인 하바나 영화", "헤밍웨이 인 하바나")</f>
        <v>헤밍웨이 인 하바나</v>
      </c>
      <c r="C3331" s="12">
        <v>8.73</v>
      </c>
      <c r="D3331" s="13" t="s">
        <v>6569</v>
      </c>
      <c r="E3331" s="10" t="s">
        <v>24</v>
      </c>
      <c r="F3331" s="10">
        <v>2015</v>
      </c>
      <c r="G3331" s="10" t="s">
        <v>14</v>
      </c>
      <c r="H3331" s="11" t="s">
        <v>20</v>
      </c>
      <c r="I3331" s="10" t="s">
        <v>150</v>
      </c>
      <c r="J3331" s="131"/>
      <c r="K3331" s="149" t="s">
        <v>6570</v>
      </c>
    </row>
    <row r="3332" spans="1:11" ht="28.9" customHeight="1" thickTop="1" thickBot="1" x14ac:dyDescent="0.75">
      <c r="A3332" s="10">
        <v>3330</v>
      </c>
      <c r="B3332" s="57" t="str">
        <f>HYPERLINK("https://search.naver.com/search.naver?query=헤어질 결심 영화", "헤어질 결심")</f>
        <v>헤어질 결심</v>
      </c>
      <c r="C3332" s="8">
        <v>8.9700000000000006</v>
      </c>
      <c r="D3332" s="9" t="s">
        <v>6571</v>
      </c>
      <c r="E3332" s="6" t="s">
        <v>13</v>
      </c>
      <c r="F3332" s="6">
        <v>2022</v>
      </c>
      <c r="G3332" s="6" t="s">
        <v>14</v>
      </c>
      <c r="H3332" s="7" t="s">
        <v>54</v>
      </c>
      <c r="I3332" s="6" t="s">
        <v>1058</v>
      </c>
      <c r="J3332" s="130"/>
      <c r="K3332" s="148" t="s">
        <v>6572</v>
      </c>
    </row>
    <row r="3333" spans="1:11" ht="28.9" customHeight="1" thickTop="1" thickBot="1" x14ac:dyDescent="0.75">
      <c r="A3333" s="10">
        <v>3331</v>
      </c>
      <c r="B3333" s="58" t="str">
        <f>HYPERLINK("https://search.naver.com/search.naver?query=헤이와이어 영화", "헤이와이어")</f>
        <v>헤이와이어</v>
      </c>
      <c r="C3333" s="12">
        <v>6.74</v>
      </c>
      <c r="D3333" s="13" t="s">
        <v>6573</v>
      </c>
      <c r="E3333" s="10" t="s">
        <v>24</v>
      </c>
      <c r="F3333" s="10">
        <v>2011</v>
      </c>
      <c r="G3333" s="10" t="s">
        <v>14</v>
      </c>
      <c r="H3333" s="11" t="s">
        <v>124</v>
      </c>
      <c r="I3333" s="10" t="s">
        <v>125</v>
      </c>
      <c r="J3333" s="131"/>
      <c r="K3333" s="149" t="s">
        <v>6574</v>
      </c>
    </row>
    <row r="3334" spans="1:11" ht="28.9" customHeight="1" thickTop="1" thickBot="1" x14ac:dyDescent="0.75">
      <c r="A3334" s="6">
        <v>3332</v>
      </c>
      <c r="B3334" s="57" t="str">
        <f>HYPERLINK("https://search.naver.com/search.naver?query=헨리스 크라임 영화", "헨리스 크라임")</f>
        <v>헨리스 크라임</v>
      </c>
      <c r="C3334" s="8">
        <v>6.9</v>
      </c>
      <c r="D3334" s="9" t="s">
        <v>6575</v>
      </c>
      <c r="E3334" s="6" t="s">
        <v>24</v>
      </c>
      <c r="F3334" s="6">
        <v>2010</v>
      </c>
      <c r="G3334" s="6" t="s">
        <v>14</v>
      </c>
      <c r="H3334" s="7" t="s">
        <v>91</v>
      </c>
      <c r="I3334" s="6" t="s">
        <v>38</v>
      </c>
      <c r="J3334" s="130"/>
      <c r="K3334" s="148" t="s">
        <v>6576</v>
      </c>
    </row>
    <row r="3335" spans="1:11" ht="28.9" customHeight="1" thickTop="1" thickBot="1" x14ac:dyDescent="0.75">
      <c r="A3335" s="10">
        <v>3333</v>
      </c>
      <c r="B3335" s="58" t="str">
        <f>HYPERLINK("https://search.naver.com/search.naver?query=헬머니 영화", "헬머니")</f>
        <v>헬머니</v>
      </c>
      <c r="C3335" s="12">
        <v>7.51</v>
      </c>
      <c r="D3335" s="13" t="s">
        <v>6577</v>
      </c>
      <c r="E3335" s="10" t="s">
        <v>13</v>
      </c>
      <c r="F3335" s="10">
        <v>2014</v>
      </c>
      <c r="G3335" s="10" t="s">
        <v>14</v>
      </c>
      <c r="H3335" s="11" t="s">
        <v>91</v>
      </c>
      <c r="I3335" s="10" t="s">
        <v>150</v>
      </c>
      <c r="J3335" s="131"/>
      <c r="K3335" s="149" t="s">
        <v>6578</v>
      </c>
    </row>
    <row r="3336" spans="1:11" ht="28.9" customHeight="1" thickTop="1" thickBot="1" x14ac:dyDescent="0.75">
      <c r="A3336" s="10">
        <v>3334</v>
      </c>
      <c r="B3336" s="57" t="str">
        <f>HYPERLINK("https://search.naver.com/search.naver?query=헬프 영화", "헬프")</f>
        <v>헬프</v>
      </c>
      <c r="C3336" s="8">
        <v>9.43</v>
      </c>
      <c r="D3336" s="9" t="s">
        <v>6579</v>
      </c>
      <c r="E3336" s="6" t="s">
        <v>24</v>
      </c>
      <c r="F3336" s="6">
        <v>2011</v>
      </c>
      <c r="G3336" s="6" t="s">
        <v>14</v>
      </c>
      <c r="H3336" s="7" t="s">
        <v>20</v>
      </c>
      <c r="I3336" s="6" t="s">
        <v>1648</v>
      </c>
      <c r="J3336" s="130"/>
      <c r="K3336" s="148" t="s">
        <v>6580</v>
      </c>
    </row>
    <row r="3337" spans="1:11" ht="28.9" customHeight="1" thickTop="1" thickBot="1" x14ac:dyDescent="0.75">
      <c r="A3337" s="6">
        <v>3335</v>
      </c>
      <c r="B3337" s="58" t="str">
        <f>HYPERLINK("https://search.naver.com/search.naver?query=협상 영화", "협상")</f>
        <v>협상</v>
      </c>
      <c r="C3337" s="12">
        <v>8.16</v>
      </c>
      <c r="D3337" s="13" t="s">
        <v>6581</v>
      </c>
      <c r="E3337" s="10" t="s">
        <v>13</v>
      </c>
      <c r="F3337" s="10">
        <v>2018</v>
      </c>
      <c r="G3337" s="10" t="s">
        <v>14</v>
      </c>
      <c r="H3337" s="11" t="s">
        <v>124</v>
      </c>
      <c r="I3337" s="10" t="s">
        <v>305</v>
      </c>
      <c r="J3337" s="131"/>
      <c r="K3337" s="149" t="s">
        <v>6582</v>
      </c>
    </row>
    <row r="3338" spans="1:11" ht="28.9" customHeight="1" thickTop="1" thickBot="1" x14ac:dyDescent="0.75">
      <c r="A3338" s="10">
        <v>3336</v>
      </c>
      <c r="B3338" s="57" t="str">
        <f>HYPERLINK("https://search.naver.com/search.naver?query=형 영화", "형")</f>
        <v>형</v>
      </c>
      <c r="C3338" s="8">
        <v>8.92</v>
      </c>
      <c r="D3338" s="9" t="s">
        <v>6583</v>
      </c>
      <c r="E3338" s="6" t="s">
        <v>13</v>
      </c>
      <c r="F3338" s="6">
        <v>2016</v>
      </c>
      <c r="G3338" s="6" t="s">
        <v>14</v>
      </c>
      <c r="H3338" s="7" t="s">
        <v>20</v>
      </c>
      <c r="I3338" s="6" t="s">
        <v>129</v>
      </c>
      <c r="J3338" s="130"/>
      <c r="K3338" s="148" t="s">
        <v>6584</v>
      </c>
    </row>
    <row r="3339" spans="1:11" ht="28.9" customHeight="1" thickTop="1" thickBot="1" x14ac:dyDescent="0.75">
      <c r="A3339" s="10">
        <v>3337</v>
      </c>
      <c r="B3339" s="59" t="str">
        <f>HYPERLINK("https://search.naver.com/search.naver?query=형사록 시즌1", "형사록 시즌1")</f>
        <v>형사록 시즌1</v>
      </c>
      <c r="C3339" s="16"/>
      <c r="D3339" s="17" t="s">
        <v>6585</v>
      </c>
      <c r="E3339" s="14" t="s">
        <v>13</v>
      </c>
      <c r="F3339" s="14">
        <v>2022</v>
      </c>
      <c r="G3339" s="14" t="s">
        <v>20</v>
      </c>
      <c r="H3339" s="15" t="s">
        <v>20</v>
      </c>
      <c r="I3339" s="14" t="s">
        <v>71</v>
      </c>
      <c r="J3339" s="132"/>
      <c r="K3339" s="150" t="s">
        <v>1280</v>
      </c>
    </row>
    <row r="3340" spans="1:11" ht="28.9" customHeight="1" thickTop="1" thickBot="1" x14ac:dyDescent="0.75">
      <c r="A3340" s="6">
        <v>3338</v>
      </c>
      <c r="B3340" s="59" t="str">
        <f>HYPERLINK("https://search.naver.com/search.naver?query=형사록 시즌2", "형사록 시즌2")</f>
        <v>형사록 시즌2</v>
      </c>
      <c r="C3340" s="16"/>
      <c r="D3340" s="17" t="s">
        <v>6585</v>
      </c>
      <c r="E3340" s="14" t="s">
        <v>13</v>
      </c>
      <c r="F3340" s="14">
        <v>2023</v>
      </c>
      <c r="G3340" s="14" t="s">
        <v>20</v>
      </c>
      <c r="H3340" s="15" t="s">
        <v>20</v>
      </c>
      <c r="I3340" s="14" t="s">
        <v>71</v>
      </c>
      <c r="J3340" s="132"/>
      <c r="K3340" s="150" t="s">
        <v>6586</v>
      </c>
    </row>
    <row r="3341" spans="1:11" ht="28.9" customHeight="1" thickTop="1" thickBot="1" x14ac:dyDescent="0.75">
      <c r="A3341" s="10">
        <v>3339</v>
      </c>
      <c r="B3341" s="58" t="str">
        <f>HYPERLINK("https://search.naver.com/search.naver?query=호라이즌 라인 영화", "호라이즌 라인")</f>
        <v>호라이즌 라인</v>
      </c>
      <c r="C3341" s="12">
        <v>5.35</v>
      </c>
      <c r="D3341" s="13" t="s">
        <v>6587</v>
      </c>
      <c r="E3341" s="10" t="s">
        <v>1043</v>
      </c>
      <c r="F3341" s="10">
        <v>2020</v>
      </c>
      <c r="G3341" s="10" t="s">
        <v>14</v>
      </c>
      <c r="H3341" s="11" t="s">
        <v>54</v>
      </c>
      <c r="I3341" s="10" t="s">
        <v>205</v>
      </c>
      <c r="J3341" s="131"/>
      <c r="K3341" s="149" t="s">
        <v>6588</v>
      </c>
    </row>
    <row r="3342" spans="1:11" ht="28.9" customHeight="1" thickTop="1" thickBot="1" x14ac:dyDescent="0.75">
      <c r="A3342" s="10">
        <v>3340</v>
      </c>
      <c r="B3342" s="57" t="str">
        <f>HYPERLINK("https://search.naver.com/search.naver?query=호로비츠를 위하여 영화", "호로비츠를 위하여")</f>
        <v>호로비츠를 위하여</v>
      </c>
      <c r="C3342" s="8">
        <v>9.1199999999999992</v>
      </c>
      <c r="D3342" s="9" t="s">
        <v>6589</v>
      </c>
      <c r="E3342" s="6" t="s">
        <v>13</v>
      </c>
      <c r="F3342" s="6">
        <v>2006</v>
      </c>
      <c r="G3342" s="6" t="s">
        <v>14</v>
      </c>
      <c r="H3342" s="7" t="s">
        <v>20</v>
      </c>
      <c r="I3342" s="6" t="s">
        <v>175</v>
      </c>
      <c r="J3342" s="130"/>
      <c r="K3342" s="148" t="s">
        <v>6590</v>
      </c>
    </row>
    <row r="3343" spans="1:11" ht="28.9" customHeight="1" thickTop="1" thickBot="1" x14ac:dyDescent="0.75">
      <c r="A3343" s="6">
        <v>3341</v>
      </c>
      <c r="B3343" s="58" t="str">
        <f>HYPERLINK("https://search.naver.com/search.naver?query=호미사이드 영화", "호미사이드")</f>
        <v>호미사이드</v>
      </c>
      <c r="C3343" s="12">
        <v>6.52</v>
      </c>
      <c r="D3343" s="13" t="s">
        <v>6591</v>
      </c>
      <c r="E3343" s="10" t="s">
        <v>24</v>
      </c>
      <c r="F3343" s="10">
        <v>1991</v>
      </c>
      <c r="G3343" s="10" t="s">
        <v>14</v>
      </c>
      <c r="H3343" s="11" t="s">
        <v>428</v>
      </c>
      <c r="I3343" s="10" t="s">
        <v>133</v>
      </c>
      <c r="J3343" s="131"/>
      <c r="K3343" s="149" t="s">
        <v>6592</v>
      </c>
    </row>
    <row r="3344" spans="1:11" ht="28.9" customHeight="1" thickTop="1" thickBot="1" x14ac:dyDescent="0.75">
      <c r="A3344" s="10">
        <v>3342</v>
      </c>
      <c r="B3344" s="57" t="str">
        <f>HYPERLINK("https://search.naver.com/search.naver?query=호박과 마요네즈 영화", "호박과 마요네즈")</f>
        <v>호박과 마요네즈</v>
      </c>
      <c r="C3344" s="8">
        <v>7.33</v>
      </c>
      <c r="D3344" s="9" t="s">
        <v>6593</v>
      </c>
      <c r="E3344" s="6" t="s">
        <v>19</v>
      </c>
      <c r="F3344" s="6">
        <v>2017</v>
      </c>
      <c r="G3344" s="6" t="s">
        <v>14</v>
      </c>
      <c r="H3344" s="7" t="s">
        <v>20</v>
      </c>
      <c r="I3344" s="6" t="s">
        <v>150</v>
      </c>
      <c r="J3344" s="130"/>
      <c r="K3344" s="148" t="s">
        <v>117</v>
      </c>
    </row>
    <row r="3345" spans="1:11" ht="28.9" customHeight="1" thickTop="1" thickBot="1" x14ac:dyDescent="0.75">
      <c r="A3345" s="10">
        <v>3343</v>
      </c>
      <c r="B3345" s="58" t="str">
        <f>HYPERLINK("https://search.naver.com/search.naver?query=호스걸 영화", "호스걸")</f>
        <v>호스걸</v>
      </c>
      <c r="C3345" s="12">
        <v>6.4</v>
      </c>
      <c r="D3345" s="13" t="s">
        <v>6594</v>
      </c>
      <c r="E3345" s="10" t="s">
        <v>24</v>
      </c>
      <c r="F3345" s="10">
        <v>2020</v>
      </c>
      <c r="G3345" s="10" t="s">
        <v>14</v>
      </c>
      <c r="H3345" s="11" t="s">
        <v>20</v>
      </c>
      <c r="I3345" s="10" t="s">
        <v>276</v>
      </c>
      <c r="J3345" s="131"/>
      <c r="K3345" s="149" t="s">
        <v>6595</v>
      </c>
    </row>
    <row r="3346" spans="1:11" ht="28.9" customHeight="1" thickTop="1" thickBot="1" x14ac:dyDescent="0.75">
      <c r="A3346" s="6">
        <v>3344</v>
      </c>
      <c r="B3346" s="59" t="str">
        <f>HYPERLINK("https://search.naver.com/search.naver?query=호스티지 시즌1", "호스티지 시즌1")</f>
        <v>호스티지 시즌1</v>
      </c>
      <c r="C3346" s="16"/>
      <c r="D3346" s="17" t="s">
        <v>6596</v>
      </c>
      <c r="E3346" s="14" t="s">
        <v>310</v>
      </c>
      <c r="F3346" s="14">
        <v>2025</v>
      </c>
      <c r="G3346" s="14" t="s">
        <v>20</v>
      </c>
      <c r="H3346" s="15" t="s">
        <v>15</v>
      </c>
      <c r="I3346" s="14" t="s">
        <v>1184</v>
      </c>
      <c r="J3346" s="132"/>
      <c r="K3346" s="150" t="s">
        <v>6597</v>
      </c>
    </row>
    <row r="3347" spans="1:11" ht="28.9" customHeight="1" thickTop="1" thickBot="1" x14ac:dyDescent="0.75">
      <c r="A3347" s="10">
        <v>3345</v>
      </c>
      <c r="B3347" s="58" t="str">
        <f>HYPERLINK("https://search.naver.com/search.naver?query=호우시절 영화", "호우시절")</f>
        <v>호우시절</v>
      </c>
      <c r="C3347" s="12">
        <v>7.48</v>
      </c>
      <c r="D3347" s="13" t="s">
        <v>2624</v>
      </c>
      <c r="E3347" s="10" t="s">
        <v>186</v>
      </c>
      <c r="F3347" s="10">
        <v>2009</v>
      </c>
      <c r="G3347" s="10" t="s">
        <v>14</v>
      </c>
      <c r="H3347" s="11" t="s">
        <v>20</v>
      </c>
      <c r="I3347" s="10" t="s">
        <v>150</v>
      </c>
      <c r="J3347" s="131"/>
      <c r="K3347" s="149" t="s">
        <v>6598</v>
      </c>
    </row>
    <row r="3348" spans="1:11" ht="28.9" customHeight="1" thickTop="1" thickBot="1" x14ac:dyDescent="0.75">
      <c r="A3348" s="10">
        <v>3346</v>
      </c>
      <c r="B3348" s="57" t="str">
        <f>HYPERLINK("https://search.naver.com/search.naver?query=호텔 르완다 영화", "호텔 르완다")</f>
        <v>호텔 르완다</v>
      </c>
      <c r="C3348" s="8">
        <v>9.09</v>
      </c>
      <c r="D3348" s="9" t="s">
        <v>6599</v>
      </c>
      <c r="E3348" s="6" t="s">
        <v>29</v>
      </c>
      <c r="F3348" s="6">
        <v>2004</v>
      </c>
      <c r="G3348" s="6" t="s">
        <v>14</v>
      </c>
      <c r="H3348" s="7" t="s">
        <v>20</v>
      </c>
      <c r="I3348" s="6" t="s">
        <v>195</v>
      </c>
      <c r="J3348" s="130"/>
      <c r="K3348" s="148" t="s">
        <v>6600</v>
      </c>
    </row>
    <row r="3349" spans="1:11" ht="28.9" customHeight="1" thickTop="1" thickBot="1" x14ac:dyDescent="0.75">
      <c r="A3349" s="6">
        <v>3347</v>
      </c>
      <c r="B3349" s="58" t="str">
        <f>HYPERLINK("https://search.naver.com/search.naver?query=호텔 뭄바이 영화", "호텔 뭄바이")</f>
        <v>호텔 뭄바이</v>
      </c>
      <c r="C3349" s="12">
        <v>9.11</v>
      </c>
      <c r="D3349" s="13" t="s">
        <v>6601</v>
      </c>
      <c r="E3349" s="10" t="s">
        <v>45</v>
      </c>
      <c r="F3349" s="10">
        <v>2018</v>
      </c>
      <c r="G3349" s="10" t="s">
        <v>14</v>
      </c>
      <c r="H3349" s="11" t="s">
        <v>20</v>
      </c>
      <c r="I3349" s="10" t="s">
        <v>316</v>
      </c>
      <c r="J3349" s="131"/>
      <c r="K3349" s="149" t="s">
        <v>6602</v>
      </c>
    </row>
    <row r="3350" spans="1:11" ht="28.9" customHeight="1" thickTop="1" thickBot="1" x14ac:dyDescent="0.75">
      <c r="A3350" s="10">
        <v>3348</v>
      </c>
      <c r="B3350" s="57" t="str">
        <f>HYPERLINK("https://search.naver.com/search.naver?query=호프 스프링즈 영화", "호프 스프링즈")</f>
        <v>호프 스프링즈</v>
      </c>
      <c r="C3350" s="8">
        <v>8.57</v>
      </c>
      <c r="D3350" s="9" t="s">
        <v>6603</v>
      </c>
      <c r="E3350" s="6" t="s">
        <v>24</v>
      </c>
      <c r="F3350" s="6">
        <v>2012</v>
      </c>
      <c r="G3350" s="6" t="s">
        <v>14</v>
      </c>
      <c r="H3350" s="7" t="s">
        <v>91</v>
      </c>
      <c r="I3350" s="6" t="s">
        <v>179</v>
      </c>
      <c r="J3350" s="130"/>
      <c r="K3350" s="148" t="s">
        <v>6604</v>
      </c>
    </row>
    <row r="3351" spans="1:11" ht="28.9" customHeight="1" thickTop="1" thickBot="1" x14ac:dyDescent="0.75">
      <c r="A3351" s="10">
        <v>3349</v>
      </c>
      <c r="B3351" s="58" t="str">
        <f>HYPERLINK("https://search.naver.com/search.naver?query=혹성탈출 반격의 서막 영화", "혹성탈출 - 반격의 서막")</f>
        <v>혹성탈출 - 반격의 서막</v>
      </c>
      <c r="C3351" s="12">
        <v>8.43</v>
      </c>
      <c r="D3351" s="13" t="s">
        <v>6605</v>
      </c>
      <c r="E3351" s="10" t="s">
        <v>24</v>
      </c>
      <c r="F3351" s="10">
        <v>2014</v>
      </c>
      <c r="G3351" s="10" t="s">
        <v>14</v>
      </c>
      <c r="H3351" s="11" t="s">
        <v>877</v>
      </c>
      <c r="I3351" s="10" t="s">
        <v>42</v>
      </c>
      <c r="J3351" s="131"/>
      <c r="K3351" s="149" t="s">
        <v>6606</v>
      </c>
    </row>
    <row r="3352" spans="1:11" ht="28.9" customHeight="1" thickTop="1" thickBot="1" x14ac:dyDescent="0.75">
      <c r="A3352" s="6">
        <v>3350</v>
      </c>
      <c r="B3352" s="57" t="str">
        <f>HYPERLINK("https://search.naver.com/search.naver?query=혹성탈출 종의 전쟁 영화", "혹성탈출 - 종의 전쟁")</f>
        <v>혹성탈출 - 종의 전쟁</v>
      </c>
      <c r="C3352" s="8">
        <v>8.15</v>
      </c>
      <c r="D3352" s="9" t="s">
        <v>6607</v>
      </c>
      <c r="E3352" s="6" t="s">
        <v>24</v>
      </c>
      <c r="F3352" s="6">
        <v>2017</v>
      </c>
      <c r="G3352" s="6" t="s">
        <v>14</v>
      </c>
      <c r="H3352" s="7" t="s">
        <v>877</v>
      </c>
      <c r="I3352" s="6" t="s">
        <v>930</v>
      </c>
      <c r="J3352" s="130"/>
      <c r="K3352" s="148" t="s">
        <v>6608</v>
      </c>
    </row>
    <row r="3353" spans="1:11" ht="28.9" customHeight="1" thickTop="1" thickBot="1" x14ac:dyDescent="0.75">
      <c r="A3353" s="10">
        <v>3351</v>
      </c>
      <c r="B3353" s="58" t="str">
        <f>HYPERLINK("https://search.naver.com/search.naver?query=혹성탈출 진화의 시작 영화", "혹성탈출 진화의 시작")</f>
        <v>혹성탈출 진화의 시작</v>
      </c>
      <c r="C3353" s="12">
        <v>8.77</v>
      </c>
      <c r="D3353" s="13" t="s">
        <v>6609</v>
      </c>
      <c r="E3353" s="10" t="s">
        <v>24</v>
      </c>
      <c r="F3353" s="10">
        <v>2011</v>
      </c>
      <c r="G3353" s="10" t="s">
        <v>14</v>
      </c>
      <c r="H3353" s="11" t="s">
        <v>877</v>
      </c>
      <c r="I3353" s="10" t="s">
        <v>175</v>
      </c>
      <c r="J3353" s="131"/>
      <c r="K3353" s="149" t="s">
        <v>6610</v>
      </c>
    </row>
    <row r="3354" spans="1:11" ht="28.9" customHeight="1" thickTop="1" thickBot="1" x14ac:dyDescent="0.75">
      <c r="A3354" s="10">
        <v>3352</v>
      </c>
      <c r="B3354" s="59" t="str">
        <f>HYPERLINK("https://search.naver.com/search.naver?query=혼돈의 세상에서", "혼돈의 세상에서")</f>
        <v>혼돈의 세상에서</v>
      </c>
      <c r="C3354" s="16"/>
      <c r="D3354" s="17" t="s">
        <v>6611</v>
      </c>
      <c r="E3354" s="14" t="s">
        <v>24</v>
      </c>
      <c r="F3354" s="14">
        <v>2024</v>
      </c>
      <c r="G3354" s="14" t="s">
        <v>20</v>
      </c>
      <c r="H3354" s="15" t="s">
        <v>20</v>
      </c>
      <c r="I3354" s="14" t="s">
        <v>71</v>
      </c>
      <c r="J3354" s="132"/>
      <c r="K3354" s="150" t="s">
        <v>6612</v>
      </c>
    </row>
    <row r="3355" spans="1:11" ht="28.9" customHeight="1" thickTop="1" thickBot="1" x14ac:dyDescent="0.75">
      <c r="A3355" s="6">
        <v>3353</v>
      </c>
      <c r="B3355" s="58" t="str">
        <f>HYPERLINK("https://search.naver.com/search.naver?query=홀랜드 오퍼스 영화", "홀랜드 오퍼스")</f>
        <v>홀랜드 오퍼스</v>
      </c>
      <c r="C3355" s="12">
        <v>9.11</v>
      </c>
      <c r="D3355" s="13" t="s">
        <v>6613</v>
      </c>
      <c r="E3355" s="10" t="s">
        <v>24</v>
      </c>
      <c r="F3355" s="10">
        <v>1995</v>
      </c>
      <c r="G3355" s="10" t="s">
        <v>14</v>
      </c>
      <c r="H3355" s="11" t="s">
        <v>20</v>
      </c>
      <c r="I3355" s="10" t="s">
        <v>30</v>
      </c>
      <c r="J3355" s="131"/>
      <c r="K3355" s="149" t="s">
        <v>6614</v>
      </c>
    </row>
    <row r="3356" spans="1:11" ht="28.9" customHeight="1" thickTop="1" thickBot="1" x14ac:dyDescent="0.75">
      <c r="A3356" s="10">
        <v>3354</v>
      </c>
      <c r="B3356" s="57" t="str">
        <f>HYPERLINK("https://search.naver.com/search.naver?query=홀리데이2018", "홀리데이")</f>
        <v>홀리데이</v>
      </c>
      <c r="C3356" s="8">
        <v>8.66</v>
      </c>
      <c r="D3356" s="9" t="s">
        <v>2037</v>
      </c>
      <c r="E3356" s="6" t="s">
        <v>13</v>
      </c>
      <c r="F3356" s="6">
        <v>2006</v>
      </c>
      <c r="G3356" s="6" t="s">
        <v>14</v>
      </c>
      <c r="H3356" s="7" t="s">
        <v>428</v>
      </c>
      <c r="I3356" s="6" t="s">
        <v>116</v>
      </c>
      <c r="J3356" s="130"/>
      <c r="K3356" s="148" t="s">
        <v>6615</v>
      </c>
    </row>
    <row r="3357" spans="1:11" ht="28.9" customHeight="1" thickTop="1" thickBot="1" x14ac:dyDescent="0.75">
      <c r="A3357" s="10">
        <v>3355</v>
      </c>
      <c r="B3357" s="58" t="str">
        <f>HYPERLINK("https://search.naver.com/search.naver?query=홈 팀 영화", "홈 팀")</f>
        <v>홈 팀</v>
      </c>
      <c r="C3357" s="12">
        <v>6.4</v>
      </c>
      <c r="D3357" s="13" t="s">
        <v>6616</v>
      </c>
      <c r="E3357" s="10" t="s">
        <v>24</v>
      </c>
      <c r="F3357" s="10">
        <v>2022</v>
      </c>
      <c r="G3357" s="10" t="s">
        <v>14</v>
      </c>
      <c r="H3357" s="11" t="s">
        <v>91</v>
      </c>
      <c r="I3357" s="10" t="s">
        <v>109</v>
      </c>
      <c r="J3357" s="131"/>
      <c r="K3357" s="149" t="s">
        <v>6617</v>
      </c>
    </row>
    <row r="3358" spans="1:11" ht="28.9" customHeight="1" thickTop="1" thickBot="1" x14ac:dyDescent="0.75">
      <c r="A3358" s="6">
        <v>3356</v>
      </c>
      <c r="B3358" s="59" t="str">
        <f>HYPERLINK("https://search.naver.com/search.naver?query=홈랜드 시즌1", "홈랜드 시즌1")</f>
        <v>홈랜드 시즌1</v>
      </c>
      <c r="C3358" s="16"/>
      <c r="D3358" s="17" t="s">
        <v>6618</v>
      </c>
      <c r="E3358" s="14" t="s">
        <v>24</v>
      </c>
      <c r="F3358" s="14">
        <v>2011</v>
      </c>
      <c r="G3358" s="14" t="s">
        <v>20</v>
      </c>
      <c r="H3358" s="15" t="s">
        <v>15</v>
      </c>
      <c r="I3358" s="14" t="s">
        <v>1588</v>
      </c>
      <c r="J3358" s="132"/>
      <c r="K3358" s="150" t="s">
        <v>6619</v>
      </c>
    </row>
    <row r="3359" spans="1:11" ht="28.9" customHeight="1" thickTop="1" thickBot="1" x14ac:dyDescent="0.75">
      <c r="A3359" s="10">
        <v>3357</v>
      </c>
      <c r="B3359" s="59" t="str">
        <f>HYPERLINK("https://search.naver.com/search.naver?query=홈랜드 시즌2", "홈랜드 시즌2")</f>
        <v>홈랜드 시즌2</v>
      </c>
      <c r="C3359" s="16"/>
      <c r="D3359" s="17" t="s">
        <v>6618</v>
      </c>
      <c r="E3359" s="14" t="s">
        <v>24</v>
      </c>
      <c r="F3359" s="14">
        <v>2012</v>
      </c>
      <c r="G3359" s="14" t="s">
        <v>20</v>
      </c>
      <c r="H3359" s="15" t="s">
        <v>15</v>
      </c>
      <c r="I3359" s="14" t="s">
        <v>1588</v>
      </c>
      <c r="J3359" s="132"/>
      <c r="K3359" s="150" t="s">
        <v>6327</v>
      </c>
    </row>
    <row r="3360" spans="1:11" ht="28.9" customHeight="1" thickTop="1" thickBot="1" x14ac:dyDescent="0.75">
      <c r="A3360" s="10">
        <v>3358</v>
      </c>
      <c r="B3360" s="59" t="str">
        <f>HYPERLINK("https://search.naver.com/search.naver?query=홈랜드 시즌3", "홈랜드 시즌3")</f>
        <v>홈랜드 시즌3</v>
      </c>
      <c r="C3360" s="16"/>
      <c r="D3360" s="17" t="s">
        <v>6620</v>
      </c>
      <c r="E3360" s="14" t="s">
        <v>24</v>
      </c>
      <c r="F3360" s="14">
        <v>2013</v>
      </c>
      <c r="G3360" s="14" t="s">
        <v>20</v>
      </c>
      <c r="H3360" s="15" t="s">
        <v>15</v>
      </c>
      <c r="I3360" s="14" t="s">
        <v>1588</v>
      </c>
      <c r="J3360" s="132"/>
      <c r="K3360" s="150" t="s">
        <v>6435</v>
      </c>
    </row>
    <row r="3361" spans="1:11" ht="28.9" customHeight="1" thickTop="1" thickBot="1" x14ac:dyDescent="0.75">
      <c r="A3361" s="6">
        <v>3359</v>
      </c>
      <c r="B3361" s="59" t="str">
        <f>HYPERLINK("https://search.naver.com/search.naver?query=홈랜드 시즌4", "홈랜드 시즌4")</f>
        <v>홈랜드 시즌4</v>
      </c>
      <c r="C3361" s="16"/>
      <c r="D3361" s="17" t="s">
        <v>6621</v>
      </c>
      <c r="E3361" s="14" t="s">
        <v>24</v>
      </c>
      <c r="F3361" s="14">
        <v>2014</v>
      </c>
      <c r="G3361" s="14" t="s">
        <v>20</v>
      </c>
      <c r="H3361" s="15" t="s">
        <v>15</v>
      </c>
      <c r="I3361" s="14" t="s">
        <v>1588</v>
      </c>
      <c r="J3361" s="132"/>
      <c r="K3361" s="150" t="s">
        <v>6622</v>
      </c>
    </row>
    <row r="3362" spans="1:11" ht="28.9" customHeight="1" thickTop="1" thickBot="1" x14ac:dyDescent="0.75">
      <c r="A3362" s="10">
        <v>3360</v>
      </c>
      <c r="B3362" s="59" t="str">
        <f>HYPERLINK("https://search.naver.com/search.naver?query=홈랜드 시즌5", "홈랜드 시즌5")</f>
        <v>홈랜드 시즌5</v>
      </c>
      <c r="C3362" s="16"/>
      <c r="D3362" s="17" t="s">
        <v>6623</v>
      </c>
      <c r="E3362" s="14" t="s">
        <v>24</v>
      </c>
      <c r="F3362" s="14">
        <v>2015</v>
      </c>
      <c r="G3362" s="14" t="s">
        <v>20</v>
      </c>
      <c r="H3362" s="15" t="s">
        <v>15</v>
      </c>
      <c r="I3362" s="14" t="s">
        <v>1588</v>
      </c>
      <c r="J3362" s="132"/>
      <c r="K3362" s="150" t="s">
        <v>6624</v>
      </c>
    </row>
    <row r="3363" spans="1:11" ht="28.9" customHeight="1" thickTop="1" thickBot="1" x14ac:dyDescent="0.75">
      <c r="A3363" s="10">
        <v>3361</v>
      </c>
      <c r="B3363" s="59" t="str">
        <f>HYPERLINK("https://search.naver.com/search.naver?query=홈랜드 시즌6", "홈랜드 시즌6")</f>
        <v>홈랜드 시즌6</v>
      </c>
      <c r="C3363" s="16"/>
      <c r="D3363" s="17" t="s">
        <v>6618</v>
      </c>
      <c r="E3363" s="14" t="s">
        <v>24</v>
      </c>
      <c r="F3363" s="14">
        <v>2017</v>
      </c>
      <c r="G3363" s="14" t="s">
        <v>20</v>
      </c>
      <c r="H3363" s="15" t="s">
        <v>15</v>
      </c>
      <c r="I3363" s="14" t="s">
        <v>1588</v>
      </c>
      <c r="J3363" s="132"/>
      <c r="K3363" s="150" t="s">
        <v>733</v>
      </c>
    </row>
    <row r="3364" spans="1:11" ht="28.9" customHeight="1" thickTop="1" thickBot="1" x14ac:dyDescent="0.75">
      <c r="A3364" s="6">
        <v>3362</v>
      </c>
      <c r="B3364" s="59" t="str">
        <f>HYPERLINK("https://search.naver.com/search.naver?query=홈랜드 시즌7", "홈랜드 시즌7")</f>
        <v>홈랜드 시즌7</v>
      </c>
      <c r="C3364" s="16"/>
      <c r="D3364" s="17" t="s">
        <v>6618</v>
      </c>
      <c r="E3364" s="14" t="s">
        <v>24</v>
      </c>
      <c r="F3364" s="14">
        <v>2018</v>
      </c>
      <c r="G3364" s="14" t="s">
        <v>20</v>
      </c>
      <c r="H3364" s="15" t="s">
        <v>15</v>
      </c>
      <c r="I3364" s="14" t="s">
        <v>1588</v>
      </c>
      <c r="J3364" s="132"/>
      <c r="K3364" s="150" t="s">
        <v>6625</v>
      </c>
    </row>
    <row r="3365" spans="1:11" ht="28.9" customHeight="1" thickTop="1" thickBot="1" x14ac:dyDescent="0.75">
      <c r="A3365" s="10">
        <v>3363</v>
      </c>
      <c r="B3365" s="59" t="str">
        <f>HYPERLINK("https://search.naver.com/search.naver?query=홈랜드 시즌8", "홈랜드 시즌8")</f>
        <v>홈랜드 시즌8</v>
      </c>
      <c r="C3365" s="16"/>
      <c r="D3365" s="17" t="s">
        <v>6626</v>
      </c>
      <c r="E3365" s="14" t="s">
        <v>24</v>
      </c>
      <c r="F3365" s="14">
        <v>2020</v>
      </c>
      <c r="G3365" s="14" t="s">
        <v>20</v>
      </c>
      <c r="H3365" s="15" t="s">
        <v>15</v>
      </c>
      <c r="I3365" s="14" t="s">
        <v>1588</v>
      </c>
      <c r="J3365" s="132"/>
      <c r="K3365" s="150" t="s">
        <v>2064</v>
      </c>
    </row>
    <row r="3366" spans="1:11" ht="28.9" customHeight="1" thickTop="1" thickBot="1" x14ac:dyDescent="0.75">
      <c r="A3366" s="10">
        <v>3364</v>
      </c>
      <c r="B3366" s="57" t="str">
        <f>HYPERLINK("https://search.naver.com/search.naver?query=홈프론트 영화", "홈프론트")</f>
        <v>홈프론트</v>
      </c>
      <c r="C3366" s="8">
        <v>7.15</v>
      </c>
      <c r="D3366" s="9" t="s">
        <v>6627</v>
      </c>
      <c r="E3366" s="6" t="s">
        <v>24</v>
      </c>
      <c r="F3366" s="6">
        <v>2013</v>
      </c>
      <c r="G3366" s="6" t="s">
        <v>14</v>
      </c>
      <c r="H3366" s="7" t="s">
        <v>124</v>
      </c>
      <c r="I3366" s="6" t="s">
        <v>179</v>
      </c>
      <c r="J3366" s="130"/>
      <c r="K3366" s="148" t="s">
        <v>6628</v>
      </c>
    </row>
    <row r="3367" spans="1:11" ht="28.9" customHeight="1" thickTop="1" thickBot="1" x14ac:dyDescent="0.75">
      <c r="A3367" s="6">
        <v>3365</v>
      </c>
      <c r="B3367" s="58" t="str">
        <f>HYPERLINK("https://search.daum.net/search?nil_suggest=btn&amp;w=tot&amp;DA=SBC&amp;q=%ED%99%94%EC%94%A8+11%2F9+%ED%8A%B8%EB%9F%BC%ED%94%84%EC%9D%98+%EC%8B%9C%EB%8C%80", "화씨 11.9-트럼프의 시대")</f>
        <v>화씨 11.9-트럼프의 시대</v>
      </c>
      <c r="C3367" s="12">
        <v>7</v>
      </c>
      <c r="D3367" s="13" t="s">
        <v>225</v>
      </c>
      <c r="E3367" s="10" t="s">
        <v>24</v>
      </c>
      <c r="F3367" s="10">
        <v>2018</v>
      </c>
      <c r="G3367" s="10" t="s">
        <v>14</v>
      </c>
      <c r="H3367" s="11" t="s">
        <v>226</v>
      </c>
      <c r="I3367" s="10" t="s">
        <v>146</v>
      </c>
      <c r="J3367" s="131"/>
      <c r="K3367" s="149" t="s">
        <v>6629</v>
      </c>
    </row>
    <row r="3368" spans="1:11" ht="28.9" customHeight="1" thickTop="1" thickBot="1" x14ac:dyDescent="0.75">
      <c r="A3368" s="10">
        <v>3366</v>
      </c>
      <c r="B3368" s="57" t="str">
        <f>HYPERLINK("https://search.naver.com/search.naver?query=화양연화 영화", "화양연화")</f>
        <v>화양연화</v>
      </c>
      <c r="C3368" s="8">
        <v>8.9700000000000006</v>
      </c>
      <c r="D3368" s="9" t="s">
        <v>6630</v>
      </c>
      <c r="E3368" s="6" t="s">
        <v>123</v>
      </c>
      <c r="F3368" s="6">
        <v>2000</v>
      </c>
      <c r="G3368" s="6" t="s">
        <v>14</v>
      </c>
      <c r="H3368" s="7" t="s">
        <v>20</v>
      </c>
      <c r="I3368" s="6" t="s">
        <v>16</v>
      </c>
      <c r="J3368" s="130"/>
      <c r="K3368" s="148" t="s">
        <v>6631</v>
      </c>
    </row>
    <row r="3369" spans="1:11" ht="28.9" customHeight="1" thickTop="1" thickBot="1" x14ac:dyDescent="0.75">
      <c r="A3369" s="10">
        <v>3367</v>
      </c>
      <c r="B3369" s="58" t="str">
        <f>HYPERLINK("https://search.naver.com/search.naver?query=화이:괴물을 삼킨 아이 영화", "화이 - 괴물을 삼킨 아이")</f>
        <v>화이 - 괴물을 삼킨 아이</v>
      </c>
      <c r="C3369" s="12">
        <v>7.85</v>
      </c>
      <c r="D3369" s="13" t="s">
        <v>6632</v>
      </c>
      <c r="E3369" s="10" t="s">
        <v>13</v>
      </c>
      <c r="F3369" s="10">
        <v>2013</v>
      </c>
      <c r="G3369" s="10" t="s">
        <v>14</v>
      </c>
      <c r="H3369" s="11" t="s">
        <v>124</v>
      </c>
      <c r="I3369" s="10" t="s">
        <v>105</v>
      </c>
      <c r="J3369" s="131"/>
      <c r="K3369" s="149" t="s">
        <v>6633</v>
      </c>
    </row>
    <row r="3370" spans="1:11" ht="28.9" customHeight="1" thickTop="1" thickBot="1" x14ac:dyDescent="0.75">
      <c r="A3370" s="6">
        <v>3368</v>
      </c>
      <c r="B3370" s="57" t="str">
        <f>HYPERLINK("https://search.naver.com/search.naver?query=화이트 갓 영화", "화이트 갓")</f>
        <v>화이트 갓</v>
      </c>
      <c r="C3370" s="8">
        <v>8.91</v>
      </c>
      <c r="D3370" s="9" t="s">
        <v>6634</v>
      </c>
      <c r="E3370" s="6" t="s">
        <v>1094</v>
      </c>
      <c r="F3370" s="6">
        <v>2014</v>
      </c>
      <c r="G3370" s="6" t="s">
        <v>14</v>
      </c>
      <c r="H3370" s="7" t="s">
        <v>20</v>
      </c>
      <c r="I3370" s="6" t="s">
        <v>195</v>
      </c>
      <c r="J3370" s="130"/>
      <c r="K3370" s="148" t="s">
        <v>6635</v>
      </c>
    </row>
    <row r="3371" spans="1:11" ht="28.9" customHeight="1" thickTop="1" thickBot="1" x14ac:dyDescent="0.75">
      <c r="A3371" s="10">
        <v>3369</v>
      </c>
      <c r="B3371" s="58" t="str">
        <f>HYPERLINK("https://search.naver.com/search.naver?query=화이트 라이언 찰리 영화", "화이트 라이언 찰리")</f>
        <v>화이트 라이언 찰리</v>
      </c>
      <c r="C3371" s="12">
        <v>8.2200000000000006</v>
      </c>
      <c r="D3371" s="13" t="s">
        <v>6636</v>
      </c>
      <c r="E3371" s="10" t="s">
        <v>310</v>
      </c>
      <c r="F3371" s="10">
        <v>2018</v>
      </c>
      <c r="G3371" s="10" t="s">
        <v>14</v>
      </c>
      <c r="H3371" s="11" t="s">
        <v>20</v>
      </c>
      <c r="I3371" s="10" t="s">
        <v>16</v>
      </c>
      <c r="J3371" s="131"/>
      <c r="K3371" s="149" t="s">
        <v>6637</v>
      </c>
    </row>
    <row r="3372" spans="1:11" ht="28.9" customHeight="1" thickTop="1" thickBot="1" x14ac:dyDescent="0.75">
      <c r="A3372" s="10">
        <v>3370</v>
      </c>
      <c r="B3372" s="57" t="str">
        <f>HYPERLINK("https://search.naver.com/search.naver?query=화이트 릴리 영화", "화이트 릴리")</f>
        <v>화이트 릴리</v>
      </c>
      <c r="C3372" s="8">
        <v>6.17</v>
      </c>
      <c r="D3372" s="9" t="s">
        <v>6638</v>
      </c>
      <c r="E3372" s="6" t="s">
        <v>19</v>
      </c>
      <c r="F3372" s="6">
        <v>2016</v>
      </c>
      <c r="G3372" s="6" t="s">
        <v>14</v>
      </c>
      <c r="H3372" s="7" t="s">
        <v>20</v>
      </c>
      <c r="I3372" s="6" t="s">
        <v>150</v>
      </c>
      <c r="J3372" s="130"/>
      <c r="K3372" s="148" t="s">
        <v>6639</v>
      </c>
    </row>
    <row r="3373" spans="1:11" ht="28.9" customHeight="1" thickTop="1" thickBot="1" x14ac:dyDescent="0.75">
      <c r="A3373" s="6">
        <v>3371</v>
      </c>
      <c r="B3373" s="58" t="str">
        <f>HYPERLINK("https://search.naver.com/search.naver?query=화이트 스완 영화", "화이트 스완")</f>
        <v>화이트 스완</v>
      </c>
      <c r="C3373" s="12">
        <v>7.02</v>
      </c>
      <c r="D3373" s="13" t="s">
        <v>6640</v>
      </c>
      <c r="E3373" s="10" t="s">
        <v>19</v>
      </c>
      <c r="F3373" s="10">
        <v>2013</v>
      </c>
      <c r="G3373" s="10" t="s">
        <v>14</v>
      </c>
      <c r="H3373" s="11" t="s">
        <v>20</v>
      </c>
      <c r="I3373" s="10" t="s">
        <v>150</v>
      </c>
      <c r="J3373" s="131"/>
      <c r="K3373" s="149" t="s">
        <v>6641</v>
      </c>
    </row>
    <row r="3374" spans="1:11" ht="28.9" customHeight="1" thickTop="1" thickBot="1" x14ac:dyDescent="0.75">
      <c r="A3374" s="10">
        <v>3372</v>
      </c>
      <c r="B3374" s="57" t="str">
        <f>HYPERLINK("https://search.naver.com/search.naver?query=화이트 스콜 영화", "화이트 스콜")</f>
        <v>화이트 스콜</v>
      </c>
      <c r="C3374" s="8">
        <v>8.8000000000000007</v>
      </c>
      <c r="D3374" s="9" t="s">
        <v>6642</v>
      </c>
      <c r="E3374" s="6" t="s">
        <v>24</v>
      </c>
      <c r="F3374" s="6">
        <v>1996</v>
      </c>
      <c r="G3374" s="6" t="s">
        <v>14</v>
      </c>
      <c r="H3374" s="7" t="s">
        <v>1452</v>
      </c>
      <c r="I3374" s="6" t="s">
        <v>85</v>
      </c>
      <c r="J3374" s="130"/>
      <c r="K3374" s="148" t="s">
        <v>6643</v>
      </c>
    </row>
    <row r="3375" spans="1:11" ht="28.9" customHeight="1" thickTop="1" thickBot="1" x14ac:dyDescent="0.75">
      <c r="A3375" s="10">
        <v>3373</v>
      </c>
      <c r="B3375" s="58" t="str">
        <f>HYPERLINK("https://search.naver.com/search.naver?query=화이트 크로우 영화", "화이트 크로우")</f>
        <v>화이트 크로우</v>
      </c>
      <c r="C3375" s="12">
        <v>6.4</v>
      </c>
      <c r="D3375" s="13" t="s">
        <v>6644</v>
      </c>
      <c r="E3375" s="10" t="s">
        <v>29</v>
      </c>
      <c r="F3375" s="10">
        <v>2018</v>
      </c>
      <c r="G3375" s="10" t="s">
        <v>14</v>
      </c>
      <c r="H3375" s="11" t="s">
        <v>20</v>
      </c>
      <c r="I3375" s="10" t="s">
        <v>210</v>
      </c>
      <c r="J3375" s="131"/>
      <c r="K3375" s="149" t="s">
        <v>6645</v>
      </c>
    </row>
    <row r="3376" spans="1:11" ht="28.9" customHeight="1" thickTop="1" thickBot="1" x14ac:dyDescent="0.75">
      <c r="A3376" s="6">
        <v>3374</v>
      </c>
      <c r="B3376" s="57" t="str">
        <f>HYPERLINK("https://search.naver.com/search.naver?query=화이트 하우스 다운 영화", "화이트 하우스 다운")</f>
        <v>화이트 하우스 다운</v>
      </c>
      <c r="C3376" s="8">
        <v>7.41</v>
      </c>
      <c r="D3376" s="9" t="s">
        <v>2745</v>
      </c>
      <c r="E3376" s="6" t="s">
        <v>24</v>
      </c>
      <c r="F3376" s="6">
        <v>2013</v>
      </c>
      <c r="G3376" s="6" t="s">
        <v>14</v>
      </c>
      <c r="H3376" s="7" t="s">
        <v>124</v>
      </c>
      <c r="I3376" s="6" t="s">
        <v>432</v>
      </c>
      <c r="J3376" s="130"/>
      <c r="K3376" s="148" t="s">
        <v>1579</v>
      </c>
    </row>
    <row r="3377" spans="1:11" ht="28.9" customHeight="1" thickTop="1" thickBot="1" x14ac:dyDescent="0.75">
      <c r="A3377" s="10">
        <v>3375</v>
      </c>
      <c r="B3377" s="58" t="str">
        <f>HYPERLINK("https://search.naver.com/search.naver?query=화장 영화", "화장")</f>
        <v>화장</v>
      </c>
      <c r="C3377" s="12">
        <v>7.35</v>
      </c>
      <c r="D3377" s="13" t="s">
        <v>6646</v>
      </c>
      <c r="E3377" s="10" t="s">
        <v>13</v>
      </c>
      <c r="F3377" s="10">
        <v>2014</v>
      </c>
      <c r="G3377" s="10" t="s">
        <v>14</v>
      </c>
      <c r="H3377" s="11" t="s">
        <v>20</v>
      </c>
      <c r="I3377" s="10" t="s">
        <v>150</v>
      </c>
      <c r="J3377" s="131"/>
      <c r="K3377" s="149" t="s">
        <v>6647</v>
      </c>
    </row>
    <row r="3378" spans="1:11" ht="28.9" customHeight="1" thickTop="1" thickBot="1" x14ac:dyDescent="0.75">
      <c r="A3378" s="10">
        <v>3376</v>
      </c>
      <c r="B3378" s="57" t="str">
        <f>HYPERLINK("https://search.naver.com/search.naver?query=화장실의 피에타 영화", "화장실의 피에타")</f>
        <v>화장실의 피에타</v>
      </c>
      <c r="C3378" s="8">
        <v>9</v>
      </c>
      <c r="D3378" s="9" t="s">
        <v>6648</v>
      </c>
      <c r="E3378" s="6" t="s">
        <v>19</v>
      </c>
      <c r="F3378" s="6">
        <v>2015</v>
      </c>
      <c r="G3378" s="6" t="s">
        <v>14</v>
      </c>
      <c r="H3378" s="7" t="s">
        <v>20</v>
      </c>
      <c r="I3378" s="6" t="s">
        <v>68</v>
      </c>
      <c r="J3378" s="130"/>
      <c r="K3378" s="148" t="s">
        <v>6649</v>
      </c>
    </row>
    <row r="3379" spans="1:11" ht="28.9" customHeight="1" thickTop="1" thickBot="1" x14ac:dyDescent="0.75">
      <c r="A3379" s="6">
        <v>3377</v>
      </c>
      <c r="B3379" s="58" t="str">
        <f>HYPERLINK("https://search.naver.com/search.naver?query=화차 영화", "화차")</f>
        <v>화차</v>
      </c>
      <c r="C3379" s="12">
        <v>8.1</v>
      </c>
      <c r="D3379" s="13" t="s">
        <v>6650</v>
      </c>
      <c r="E3379" s="10" t="s">
        <v>13</v>
      </c>
      <c r="F3379" s="10">
        <v>2012</v>
      </c>
      <c r="G3379" s="10" t="s">
        <v>14</v>
      </c>
      <c r="H3379" s="11" t="s">
        <v>54</v>
      </c>
      <c r="I3379" s="10" t="s">
        <v>120</v>
      </c>
      <c r="J3379" s="131"/>
      <c r="K3379" s="149" t="s">
        <v>6651</v>
      </c>
    </row>
    <row r="3380" spans="1:11" ht="28.9" customHeight="1" thickTop="1" thickBot="1" x14ac:dyDescent="0.75">
      <c r="A3380" s="10">
        <v>3378</v>
      </c>
      <c r="B3380" s="57" t="str">
        <f>HYPERLINK("https://search.naver.com/search.naver?query=환상의 그대 영화", "환상의 그대")</f>
        <v>환상의 그대</v>
      </c>
      <c r="C3380" s="8">
        <v>7.6</v>
      </c>
      <c r="D3380" s="9" t="s">
        <v>6652</v>
      </c>
      <c r="E3380" s="6" t="s">
        <v>24</v>
      </c>
      <c r="F3380" s="6">
        <v>2011</v>
      </c>
      <c r="G3380" s="6" t="s">
        <v>14</v>
      </c>
      <c r="H3380" s="7" t="s">
        <v>91</v>
      </c>
      <c r="I3380" s="6" t="s">
        <v>16</v>
      </c>
      <c r="J3380" s="130"/>
      <c r="K3380" s="148" t="s">
        <v>6653</v>
      </c>
    </row>
    <row r="3381" spans="1:11" ht="28.9" customHeight="1" thickTop="1" thickBot="1" x14ac:dyDescent="0.75">
      <c r="A3381" s="10">
        <v>3379</v>
      </c>
      <c r="B3381" s="58" t="str">
        <f>HYPERLINK("https://search.naver.com/search.naver?query=일본영화환생", "환생")</f>
        <v>환생</v>
      </c>
      <c r="C3381" s="12">
        <v>5.45</v>
      </c>
      <c r="D3381" s="13" t="s">
        <v>6654</v>
      </c>
      <c r="E3381" s="10" t="s">
        <v>19</v>
      </c>
      <c r="F3381" s="10">
        <v>2006</v>
      </c>
      <c r="G3381" s="10" t="s">
        <v>14</v>
      </c>
      <c r="H3381" s="11" t="s">
        <v>382</v>
      </c>
      <c r="I3381" s="10" t="s">
        <v>150</v>
      </c>
      <c r="J3381" s="131"/>
      <c r="K3381" s="149" t="s">
        <v>6655</v>
      </c>
    </row>
    <row r="3382" spans="1:11" ht="28.9" customHeight="1" thickTop="1" thickBot="1" x14ac:dyDescent="0.75">
      <c r="A3382" s="6">
        <v>3380</v>
      </c>
      <c r="B3382" s="57" t="str">
        <f>HYPERLINK("https://search.daum.net/search?nil_suggest=btn&amp;w=tot&amp;DA=SBC&amp;q=%ED%99%A9%EA%B8%88+%EC%97%B0%EB%AA%BB+%EC%98%81%ED%99%94", "황금 연못")</f>
        <v>황금 연못</v>
      </c>
      <c r="C3382" s="8">
        <v>7.4</v>
      </c>
      <c r="D3382" s="9" t="s">
        <v>6656</v>
      </c>
      <c r="E3382" s="6" t="s">
        <v>24</v>
      </c>
      <c r="F3382" s="6">
        <v>1981</v>
      </c>
      <c r="G3382" s="6" t="s">
        <v>14</v>
      </c>
      <c r="H3382" s="7" t="s">
        <v>20</v>
      </c>
      <c r="I3382" s="6" t="s">
        <v>187</v>
      </c>
      <c r="J3382" s="130"/>
      <c r="K3382" s="148" t="s">
        <v>6657</v>
      </c>
    </row>
    <row r="3383" spans="1:11" ht="28.9" customHeight="1" thickTop="1" thickBot="1" x14ac:dyDescent="0.75">
      <c r="A3383" s="10">
        <v>3381</v>
      </c>
      <c r="B3383" s="58" t="str">
        <f>HYPERLINK("https://search.naver.com/search.naver?query=황금시대 영화", "황금시대")</f>
        <v>황금시대</v>
      </c>
      <c r="C3383" s="12">
        <v>7.86</v>
      </c>
      <c r="D3383" s="13" t="s">
        <v>6658</v>
      </c>
      <c r="E3383" s="10" t="s">
        <v>186</v>
      </c>
      <c r="F3383" s="10">
        <v>2014</v>
      </c>
      <c r="G3383" s="10" t="s">
        <v>14</v>
      </c>
      <c r="H3383" s="11" t="s">
        <v>20</v>
      </c>
      <c r="I3383" s="10" t="s">
        <v>6659</v>
      </c>
      <c r="J3383" s="131"/>
      <c r="K3383" s="149" t="s">
        <v>6660</v>
      </c>
    </row>
    <row r="3384" spans="1:11" ht="28.9" customHeight="1" thickTop="1" thickBot="1" x14ac:dyDescent="0.75">
      <c r="A3384" s="10">
        <v>3382</v>
      </c>
      <c r="B3384" s="57" t="str">
        <f>HYPERLINK("https://search.naver.com/search.naver?query=황제를 위하여 영화", "황제를 위하여")</f>
        <v>황제를 위하여</v>
      </c>
      <c r="C3384" s="8">
        <v>6.25</v>
      </c>
      <c r="D3384" s="9" t="s">
        <v>6661</v>
      </c>
      <c r="E3384" s="6" t="s">
        <v>13</v>
      </c>
      <c r="F3384" s="6">
        <v>2014</v>
      </c>
      <c r="G3384" s="6" t="s">
        <v>14</v>
      </c>
      <c r="H3384" s="7" t="s">
        <v>428</v>
      </c>
      <c r="I3384" s="6" t="s">
        <v>242</v>
      </c>
      <c r="J3384" s="130"/>
      <c r="K3384" s="148" t="s">
        <v>5870</v>
      </c>
    </row>
    <row r="3385" spans="1:11" ht="28.9" customHeight="1" thickTop="1" thickBot="1" x14ac:dyDescent="0.75">
      <c r="A3385" s="6">
        <v>3383</v>
      </c>
      <c r="B3385" s="58" t="str">
        <f>HYPERLINK("https://search.naver.com/search.naver?query=황해 영화", "황해")</f>
        <v>황해</v>
      </c>
      <c r="C3385" s="12">
        <v>7.99</v>
      </c>
      <c r="D3385" s="13" t="s">
        <v>6662</v>
      </c>
      <c r="E3385" s="10" t="s">
        <v>13</v>
      </c>
      <c r="F3385" s="10">
        <v>2010</v>
      </c>
      <c r="G3385" s="10" t="s">
        <v>14</v>
      </c>
      <c r="H3385" s="11" t="s">
        <v>124</v>
      </c>
      <c r="I3385" s="10" t="s">
        <v>3458</v>
      </c>
      <c r="J3385" s="131"/>
      <c r="K3385" s="149" t="s">
        <v>6663</v>
      </c>
    </row>
    <row r="3386" spans="1:11" ht="28.9" customHeight="1" thickTop="1" thickBot="1" x14ac:dyDescent="0.75">
      <c r="A3386" s="10">
        <v>3384</v>
      </c>
      <c r="B3386" s="57" t="str">
        <f>HYPERLINK("https://search.naver.com/search.naver?query=회사원 영화", "회사원")</f>
        <v>회사원</v>
      </c>
      <c r="C3386" s="8">
        <v>6.56</v>
      </c>
      <c r="D3386" s="9" t="s">
        <v>6664</v>
      </c>
      <c r="E3386" s="6" t="s">
        <v>13</v>
      </c>
      <c r="F3386" s="6">
        <v>2012</v>
      </c>
      <c r="G3386" s="6" t="s">
        <v>14</v>
      </c>
      <c r="H3386" s="7" t="s">
        <v>124</v>
      </c>
      <c r="I3386" s="6" t="s">
        <v>150</v>
      </c>
      <c r="J3386" s="130"/>
      <c r="K3386" s="148" t="s">
        <v>6665</v>
      </c>
    </row>
    <row r="3387" spans="1:11" ht="28.9" customHeight="1" thickTop="1" thickBot="1" x14ac:dyDescent="0.75">
      <c r="A3387" s="10">
        <v>3385</v>
      </c>
      <c r="B3387" s="58" t="str">
        <f>HYPERLINK("https://search.naver.com/search.naver?query=후궁 제왕의 첩 영화", "후궁-제왕의 첩")</f>
        <v>후궁-제왕의 첩</v>
      </c>
      <c r="C3387" s="12">
        <v>6.96</v>
      </c>
      <c r="D3387" s="13" t="s">
        <v>6666</v>
      </c>
      <c r="E3387" s="10" t="s">
        <v>13</v>
      </c>
      <c r="F3387" s="10">
        <v>2012</v>
      </c>
      <c r="G3387" s="10" t="s">
        <v>14</v>
      </c>
      <c r="H3387" s="11" t="s">
        <v>20</v>
      </c>
      <c r="I3387" s="10" t="s">
        <v>141</v>
      </c>
      <c r="J3387" s="131"/>
      <c r="K3387" s="149" t="s">
        <v>6667</v>
      </c>
    </row>
    <row r="3388" spans="1:11" ht="28.9" customHeight="1" thickTop="1" thickBot="1" x14ac:dyDescent="0.75">
      <c r="A3388" s="6">
        <v>3386</v>
      </c>
      <c r="B3388" s="57" t="str">
        <f>HYPERLINK("https://search.naver.com/search.naver?query=후처업의 여자 영화", "후처업의 여자")</f>
        <v>후처업의 여자</v>
      </c>
      <c r="C3388" s="8">
        <v>6.4</v>
      </c>
      <c r="D3388" s="9" t="s">
        <v>6668</v>
      </c>
      <c r="E3388" s="6" t="s">
        <v>19</v>
      </c>
      <c r="F3388" s="6">
        <v>2016</v>
      </c>
      <c r="G3388" s="6" t="s">
        <v>14</v>
      </c>
      <c r="H3388" s="7" t="s">
        <v>20</v>
      </c>
      <c r="I3388" s="6" t="s">
        <v>146</v>
      </c>
      <c r="J3388" s="130"/>
      <c r="K3388" s="148" t="s">
        <v>6669</v>
      </c>
    </row>
    <row r="3389" spans="1:11" ht="28.9" customHeight="1" thickTop="1" thickBot="1" x14ac:dyDescent="0.75">
      <c r="A3389" s="10">
        <v>3387</v>
      </c>
      <c r="B3389" s="58" t="str">
        <f>HYPERLINK("https://search.naver.com/search.naver?query=영화후쿠오카", "후쿠오카")</f>
        <v>후쿠오카</v>
      </c>
      <c r="C3389" s="12">
        <v>8</v>
      </c>
      <c r="D3389" s="13" t="s">
        <v>6670</v>
      </c>
      <c r="E3389" s="10" t="s">
        <v>13</v>
      </c>
      <c r="F3389" s="10">
        <v>2020</v>
      </c>
      <c r="G3389" s="10" t="s">
        <v>14</v>
      </c>
      <c r="H3389" s="11" t="s">
        <v>20</v>
      </c>
      <c r="I3389" s="10" t="s">
        <v>46</v>
      </c>
      <c r="J3389" s="131"/>
      <c r="K3389" s="149" t="s">
        <v>6671</v>
      </c>
    </row>
    <row r="3390" spans="1:11" ht="28.9" customHeight="1" thickTop="1" thickBot="1" x14ac:dyDescent="0.75">
      <c r="A3390" s="10">
        <v>3388</v>
      </c>
      <c r="B3390" s="57" t="str">
        <f>HYPERLINK("https://search.naver.com/search.naver?query=휴가 영화", "휴가")</f>
        <v>휴가</v>
      </c>
      <c r="C3390" s="8">
        <v>6.24</v>
      </c>
      <c r="D3390" s="9" t="s">
        <v>1819</v>
      </c>
      <c r="E3390" s="6" t="s">
        <v>24</v>
      </c>
      <c r="F3390" s="6">
        <v>2008</v>
      </c>
      <c r="G3390" s="6" t="s">
        <v>14</v>
      </c>
      <c r="H3390" s="7" t="s">
        <v>91</v>
      </c>
      <c r="I3390" s="6" t="s">
        <v>150</v>
      </c>
      <c r="J3390" s="130"/>
      <c r="K3390" s="148" t="s">
        <v>6672</v>
      </c>
    </row>
    <row r="3391" spans="1:11" ht="28.9" customHeight="1" thickTop="1" thickBot="1" x14ac:dyDescent="0.75">
      <c r="A3391" s="6">
        <v>3389</v>
      </c>
      <c r="B3391" s="58" t="str">
        <f>HYPERLINK("https://search.naver.com/search.naver?query=휴고 영화", "휴고")</f>
        <v>휴고</v>
      </c>
      <c r="C3391" s="12">
        <v>7.78</v>
      </c>
      <c r="D3391" s="13" t="s">
        <v>6673</v>
      </c>
      <c r="E3391" s="10" t="s">
        <v>24</v>
      </c>
      <c r="F3391" s="10">
        <v>2011</v>
      </c>
      <c r="G3391" s="10" t="s">
        <v>14</v>
      </c>
      <c r="H3391" s="11" t="s">
        <v>1452</v>
      </c>
      <c r="I3391" s="10" t="s">
        <v>105</v>
      </c>
      <c r="J3391" s="131"/>
      <c r="K3391" s="149" t="s">
        <v>6674</v>
      </c>
    </row>
    <row r="3392" spans="1:11" ht="28.9" customHeight="1" thickTop="1" thickBot="1" x14ac:dyDescent="0.75">
      <c r="A3392" s="10">
        <v>3390</v>
      </c>
      <c r="B3392" s="57" t="str">
        <f>HYPERLINK("https://search.naver.com/search.naver?query=휴먼 스테인 영화", "휴먼 스테인")</f>
        <v>휴먼 스테인</v>
      </c>
      <c r="C3392" s="8">
        <v>7.27</v>
      </c>
      <c r="D3392" s="9" t="s">
        <v>6675</v>
      </c>
      <c r="E3392" s="6" t="s">
        <v>24</v>
      </c>
      <c r="F3392" s="6">
        <v>2003</v>
      </c>
      <c r="G3392" s="6" t="s">
        <v>14</v>
      </c>
      <c r="H3392" s="7" t="s">
        <v>20</v>
      </c>
      <c r="I3392" s="6" t="s">
        <v>443</v>
      </c>
      <c r="J3392" s="130"/>
      <c r="K3392" s="148" t="s">
        <v>3276</v>
      </c>
    </row>
    <row r="3393" spans="1:11" ht="28.9" customHeight="1" thickTop="1" thickBot="1" x14ac:dyDescent="0.75">
      <c r="A3393" s="10">
        <v>3391</v>
      </c>
      <c r="B3393" s="59" t="str">
        <f>HYPERLINK("https://search.naver.com/search.naver?query=휴먼스 시즌1", "휴먼스 시즌1")</f>
        <v>휴먼스 시즌1</v>
      </c>
      <c r="C3393" s="16"/>
      <c r="D3393" s="17" t="s">
        <v>6676</v>
      </c>
      <c r="E3393" s="14" t="s">
        <v>29</v>
      </c>
      <c r="F3393" s="14">
        <v>2015</v>
      </c>
      <c r="G3393" s="14" t="s">
        <v>20</v>
      </c>
      <c r="H3393" s="15" t="s">
        <v>519</v>
      </c>
      <c r="I3393" s="14" t="s">
        <v>71</v>
      </c>
      <c r="J3393" s="132"/>
      <c r="K3393" s="150" t="s">
        <v>6677</v>
      </c>
    </row>
    <row r="3394" spans="1:11" ht="28.9" customHeight="1" thickTop="1" thickBot="1" x14ac:dyDescent="0.75">
      <c r="A3394" s="6">
        <v>3392</v>
      </c>
      <c r="B3394" s="59" t="str">
        <f>HYPERLINK("https://search.naver.com/search.naver?query=휴먼스 시즌2", "휴먼스 시즌2")</f>
        <v>휴먼스 시즌2</v>
      </c>
      <c r="C3394" s="16"/>
      <c r="D3394" s="17" t="s">
        <v>6676</v>
      </c>
      <c r="E3394" s="14" t="s">
        <v>29</v>
      </c>
      <c r="F3394" s="14">
        <v>2016</v>
      </c>
      <c r="G3394" s="14" t="s">
        <v>20</v>
      </c>
      <c r="H3394" s="15" t="s">
        <v>519</v>
      </c>
      <c r="I3394" s="14" t="s">
        <v>71</v>
      </c>
      <c r="J3394" s="132"/>
      <c r="K3394" s="150" t="s">
        <v>5221</v>
      </c>
    </row>
    <row r="3395" spans="1:11" ht="28.9" customHeight="1" thickTop="1" thickBot="1" x14ac:dyDescent="0.75">
      <c r="A3395" s="10">
        <v>3393</v>
      </c>
      <c r="B3395" s="59" t="str">
        <f>HYPERLINK("https://search.naver.com/search.naver?query=휴먼스 시즌3", "휴먼스 시즌3")</f>
        <v>휴먼스 시즌3</v>
      </c>
      <c r="C3395" s="16"/>
      <c r="D3395" s="17" t="s">
        <v>6678</v>
      </c>
      <c r="E3395" s="14" t="s">
        <v>29</v>
      </c>
      <c r="F3395" s="14">
        <v>2018</v>
      </c>
      <c r="G3395" s="14" t="s">
        <v>20</v>
      </c>
      <c r="H3395" s="15" t="s">
        <v>519</v>
      </c>
      <c r="I3395" s="14" t="s">
        <v>71</v>
      </c>
      <c r="J3395" s="132"/>
      <c r="K3395" s="150" t="s">
        <v>6679</v>
      </c>
    </row>
    <row r="3396" spans="1:11" ht="28.9" customHeight="1" thickTop="1" thickBot="1" x14ac:dyDescent="0.75">
      <c r="A3396" s="10">
        <v>3394</v>
      </c>
      <c r="B3396" s="58" t="str">
        <f>HYPERLINK("https://search.naver.com/search.naver?query=휴민트 영화", "휴민트 (Humint, 2026)")</f>
        <v>휴민트 (Humint, 2026)</v>
      </c>
      <c r="C3396" s="12">
        <v>7.65</v>
      </c>
      <c r="D3396" s="13" t="s">
        <v>6680</v>
      </c>
      <c r="E3396" s="10" t="s">
        <v>5688</v>
      </c>
      <c r="F3396" s="10">
        <v>2026</v>
      </c>
      <c r="G3396" s="10" t="s">
        <v>14</v>
      </c>
      <c r="H3396" s="11" t="s">
        <v>124</v>
      </c>
      <c r="I3396" s="10" t="s">
        <v>68</v>
      </c>
      <c r="J3396" s="131" t="s">
        <v>6681</v>
      </c>
      <c r="K3396" s="149" t="s">
        <v>6682</v>
      </c>
    </row>
    <row r="3397" spans="1:11" ht="28.9" customHeight="1" thickTop="1" thickBot="1" x14ac:dyDescent="0.75">
      <c r="A3397" s="6">
        <v>3395</v>
      </c>
      <c r="B3397" s="57" t="str">
        <f>HYPERLINK("https://search.naver.com/search.naver?query=흉악 어느 사형수의 고발 영화", "흉악-어느 사형수의 고발")</f>
        <v>흉악-어느 사형수의 고발</v>
      </c>
      <c r="C3397" s="8">
        <v>7.1</v>
      </c>
      <c r="D3397" s="9" t="s">
        <v>6683</v>
      </c>
      <c r="E3397" s="6" t="s">
        <v>19</v>
      </c>
      <c r="F3397" s="6">
        <v>2014</v>
      </c>
      <c r="G3397" s="6" t="s">
        <v>14</v>
      </c>
      <c r="H3397" s="7" t="s">
        <v>428</v>
      </c>
      <c r="I3397" s="6" t="s">
        <v>146</v>
      </c>
      <c r="J3397" s="130"/>
      <c r="K3397" s="148" t="s">
        <v>6684</v>
      </c>
    </row>
    <row r="3398" spans="1:11" ht="28.9" customHeight="1" thickTop="1" thickBot="1" x14ac:dyDescent="0.75">
      <c r="A3398" s="10">
        <v>3396</v>
      </c>
      <c r="B3398" s="58" t="str">
        <f>HYPERLINK("https://search.naver.com/search.naver?query=흔적 없는 삶 영화", "흔적 없는 삶")</f>
        <v>흔적 없는 삶</v>
      </c>
      <c r="C3398" s="12">
        <v>9.1999999999999993</v>
      </c>
      <c r="D3398" s="13" t="s">
        <v>6685</v>
      </c>
      <c r="E3398" s="10" t="s">
        <v>24</v>
      </c>
      <c r="F3398" s="10">
        <v>2018</v>
      </c>
      <c r="G3398" s="10" t="s">
        <v>14</v>
      </c>
      <c r="H3398" s="11" t="s">
        <v>20</v>
      </c>
      <c r="I3398" s="10" t="s">
        <v>187</v>
      </c>
      <c r="J3398" s="131"/>
      <c r="K3398" s="149" t="s">
        <v>6686</v>
      </c>
    </row>
    <row r="3399" spans="1:11" ht="28.9" customHeight="1" thickTop="1" thickBot="1" x14ac:dyDescent="0.75">
      <c r="A3399" s="10">
        <v>3397</v>
      </c>
      <c r="B3399" s="57" t="str">
        <f>HYPERLINK("https://search.naver.com/search.naver?query=흥부 글로 세상을 바꾼 자 영화", "흥부 - 글로 세상을 바꾼 자")</f>
        <v>흥부 - 글로 세상을 바꾼 자</v>
      </c>
      <c r="C3399" s="8">
        <v>6.88</v>
      </c>
      <c r="D3399" s="9" t="s">
        <v>6687</v>
      </c>
      <c r="E3399" s="6" t="s">
        <v>13</v>
      </c>
      <c r="F3399" s="6">
        <v>2017</v>
      </c>
      <c r="G3399" s="6" t="s">
        <v>14</v>
      </c>
      <c r="H3399" s="7" t="s">
        <v>20</v>
      </c>
      <c r="I3399" s="6" t="s">
        <v>38</v>
      </c>
      <c r="J3399" s="130"/>
      <c r="K3399" s="148" t="s">
        <v>6688</v>
      </c>
    </row>
    <row r="3400" spans="1:11" ht="28.9" customHeight="1" thickTop="1" thickBot="1" x14ac:dyDescent="0.75">
      <c r="A3400" s="6">
        <v>3398</v>
      </c>
      <c r="B3400" s="58" t="str">
        <f>HYPERLINK("https://search.naver.com/search.naver?query=희생부활자 영화", "희생부활자")</f>
        <v>희생부활자</v>
      </c>
      <c r="C3400" s="12">
        <v>6.6</v>
      </c>
      <c r="D3400" s="13" t="s">
        <v>6689</v>
      </c>
      <c r="E3400" s="10" t="s">
        <v>13</v>
      </c>
      <c r="F3400" s="10">
        <v>2017</v>
      </c>
      <c r="G3400" s="10" t="s">
        <v>14</v>
      </c>
      <c r="H3400" s="11" t="s">
        <v>54</v>
      </c>
      <c r="I3400" s="10" t="s">
        <v>150</v>
      </c>
      <c r="J3400" s="131"/>
      <c r="K3400" s="149" t="s">
        <v>6690</v>
      </c>
    </row>
    <row r="3401" spans="1:11" ht="28.9" customHeight="1" thickTop="1" thickBot="1" x14ac:dyDescent="0.75">
      <c r="A3401" s="10">
        <v>3399</v>
      </c>
      <c r="B3401" s="57" t="str">
        <f>HYPERLINK("https://search.naver.com/search.naver?query=히든 서스펙트 영화", "히든 서스펙트")</f>
        <v>히든 서스펙트</v>
      </c>
      <c r="C3401" s="8">
        <v>6.64</v>
      </c>
      <c r="D3401" s="9" t="s">
        <v>6691</v>
      </c>
      <c r="E3401" s="6" t="s">
        <v>24</v>
      </c>
      <c r="F3401" s="6">
        <v>2013</v>
      </c>
      <c r="G3401" s="6" t="s">
        <v>14</v>
      </c>
      <c r="H3401" s="7" t="s">
        <v>54</v>
      </c>
      <c r="I3401" s="6" t="s">
        <v>150</v>
      </c>
      <c r="J3401" s="130"/>
      <c r="K3401" s="148" t="s">
        <v>6692</v>
      </c>
    </row>
    <row r="3402" spans="1:11" ht="28.9" customHeight="1" thickTop="1" thickBot="1" x14ac:dyDescent="0.75">
      <c r="A3402" s="10">
        <v>3400</v>
      </c>
      <c r="B3402" s="58" t="str">
        <f>HYPERLINK("https://search.naver.com/search.naver?query=히든 아이덴티티 영화", "히든 아이덴티티")</f>
        <v>히든 아이덴티티</v>
      </c>
      <c r="C3402" s="12">
        <v>7.7</v>
      </c>
      <c r="D3402" s="13" t="s">
        <v>6693</v>
      </c>
      <c r="E3402" s="10" t="s">
        <v>24</v>
      </c>
      <c r="F3402" s="10">
        <v>2017</v>
      </c>
      <c r="G3402" s="10" t="s">
        <v>14</v>
      </c>
      <c r="H3402" s="11" t="s">
        <v>194</v>
      </c>
      <c r="I3402" s="10" t="s">
        <v>429</v>
      </c>
      <c r="J3402" s="131"/>
      <c r="K3402" s="149" t="s">
        <v>6694</v>
      </c>
    </row>
    <row r="3403" spans="1:11" ht="28.9" customHeight="1" thickTop="1" thickBot="1" x14ac:dyDescent="0.75">
      <c r="A3403" s="6">
        <v>3401</v>
      </c>
      <c r="B3403" s="57" t="str">
        <f>HYPERLINK("https://search.naver.com/search.naver?query=영화히든페이스", "히든 페이스")</f>
        <v>히든 페이스</v>
      </c>
      <c r="C3403" s="8">
        <v>7.83</v>
      </c>
      <c r="D3403" s="9" t="s">
        <v>6695</v>
      </c>
      <c r="E3403" s="6" t="s">
        <v>13</v>
      </c>
      <c r="F3403" s="6">
        <v>2024</v>
      </c>
      <c r="G3403" s="6" t="s">
        <v>14</v>
      </c>
      <c r="H3403" s="7" t="s">
        <v>54</v>
      </c>
      <c r="I3403" s="6" t="s">
        <v>60</v>
      </c>
      <c r="J3403" s="130"/>
      <c r="K3403" s="148" t="s">
        <v>6696</v>
      </c>
    </row>
    <row r="3404" spans="1:11" ht="28.9" customHeight="1" thickTop="1" thickBot="1" x14ac:dyDescent="0.75">
      <c r="A3404" s="10">
        <v>3402</v>
      </c>
      <c r="B3404" s="58" t="str">
        <f>HYPERLINK("https://search.naver.com/search.naver?query=히든페이스 2011", "히든 페이스")</f>
        <v>히든 페이스</v>
      </c>
      <c r="C3404" s="12">
        <v>8.1</v>
      </c>
      <c r="D3404" s="13" t="s">
        <v>6697</v>
      </c>
      <c r="E3404" s="10" t="s">
        <v>37</v>
      </c>
      <c r="F3404" s="10">
        <v>2011</v>
      </c>
      <c r="G3404" s="10" t="s">
        <v>14</v>
      </c>
      <c r="H3404" s="11" t="s">
        <v>54</v>
      </c>
      <c r="I3404" s="10" t="s">
        <v>150</v>
      </c>
      <c r="J3404" s="131"/>
      <c r="K3404" s="149" t="s">
        <v>6698</v>
      </c>
    </row>
    <row r="3405" spans="1:11" ht="28.9" customHeight="1" thickTop="1" thickBot="1" x14ac:dyDescent="0.75">
      <c r="A3405" s="10">
        <v>3403</v>
      </c>
      <c r="B3405" s="57" t="str">
        <f>HYPERLINK("https://search.naver.com/search.naver?query=히든 피겨스 영화", "히든 피겨스")</f>
        <v>히든 피겨스</v>
      </c>
      <c r="C3405" s="8">
        <v>9.3699999999999992</v>
      </c>
      <c r="D3405" s="9" t="s">
        <v>6699</v>
      </c>
      <c r="E3405" s="6" t="s">
        <v>24</v>
      </c>
      <c r="F3405" s="6">
        <v>2016</v>
      </c>
      <c r="G3405" s="6" t="s">
        <v>14</v>
      </c>
      <c r="H3405" s="7" t="s">
        <v>20</v>
      </c>
      <c r="I3405" s="6" t="s">
        <v>210</v>
      </c>
      <c r="J3405" s="130"/>
      <c r="K3405" s="148" t="s">
        <v>6700</v>
      </c>
    </row>
    <row r="3406" spans="1:11" ht="28.9" customHeight="1" thickTop="1" thickBot="1" x14ac:dyDescent="0.75">
      <c r="A3406" s="6">
        <v>3404</v>
      </c>
      <c r="B3406" s="58" t="str">
        <f>HYPERLINK("https://search.naver.com/search.naver?query=히든카드 영화", "히든카드")</f>
        <v>히든카드</v>
      </c>
      <c r="C3406" s="12">
        <v>6.09</v>
      </c>
      <c r="D3406" s="13" t="s">
        <v>6701</v>
      </c>
      <c r="E3406" s="10" t="s">
        <v>24</v>
      </c>
      <c r="F3406" s="10">
        <v>2013</v>
      </c>
      <c r="G3406" s="10" t="s">
        <v>14</v>
      </c>
      <c r="H3406" s="11" t="s">
        <v>428</v>
      </c>
      <c r="I3406" s="10" t="s">
        <v>345</v>
      </c>
      <c r="J3406" s="131"/>
      <c r="K3406" s="149" t="s">
        <v>6702</v>
      </c>
    </row>
    <row r="3407" spans="1:11" ht="28.9" customHeight="1" thickTop="1" thickBot="1" x14ac:dyDescent="0.75">
      <c r="A3407" s="10">
        <v>3405</v>
      </c>
      <c r="B3407" s="57" t="str">
        <f>HYPERLINK("https://search.naver.com/search.naver?query=히마와리와 나의 7일 영화", "히마와리와 나의 7일")</f>
        <v>히마와리와 나의 7일</v>
      </c>
      <c r="C3407" s="8">
        <v>8.25</v>
      </c>
      <c r="D3407" s="9" t="s">
        <v>6703</v>
      </c>
      <c r="E3407" s="6" t="s">
        <v>19</v>
      </c>
      <c r="F3407" s="6">
        <v>2013</v>
      </c>
      <c r="G3407" s="6" t="s">
        <v>14</v>
      </c>
      <c r="H3407" s="7" t="s">
        <v>20</v>
      </c>
      <c r="I3407" s="6" t="s">
        <v>150</v>
      </c>
      <c r="J3407" s="130"/>
      <c r="K3407" s="148" t="s">
        <v>6704</v>
      </c>
    </row>
    <row r="3408" spans="1:11" ht="28.9" customHeight="1" thickTop="1" thickBot="1" x14ac:dyDescent="0.75">
      <c r="A3408" s="10">
        <v>3406</v>
      </c>
      <c r="B3408" s="58" t="str">
        <f>HYPERLINK("https://search.naver.com/search.naver?query=히말라야 영화", "히말라야")</f>
        <v>히말라야</v>
      </c>
      <c r="C3408" s="12">
        <v>8.68</v>
      </c>
      <c r="D3408" s="13" t="s">
        <v>6705</v>
      </c>
      <c r="E3408" s="10" t="s">
        <v>13</v>
      </c>
      <c r="F3408" s="10">
        <v>2015</v>
      </c>
      <c r="G3408" s="10" t="s">
        <v>14</v>
      </c>
      <c r="H3408" s="11" t="s">
        <v>20</v>
      </c>
      <c r="I3408" s="10" t="s">
        <v>183</v>
      </c>
      <c r="J3408" s="131"/>
      <c r="K3408" s="149" t="s">
        <v>6706</v>
      </c>
    </row>
    <row r="3409" spans="1:15" ht="28.9" customHeight="1" thickTop="1" thickBot="1" x14ac:dyDescent="0.75">
      <c r="A3409" s="6">
        <v>3407</v>
      </c>
      <c r="B3409" s="57" t="str">
        <f>HYPERLINK("https://search.naver.com/search.naver?query=히셔 영화", "히셔")</f>
        <v>히셔</v>
      </c>
      <c r="C3409" s="8">
        <v>6.4</v>
      </c>
      <c r="D3409" s="9" t="s">
        <v>6707</v>
      </c>
      <c r="E3409" s="6" t="s">
        <v>24</v>
      </c>
      <c r="F3409" s="6">
        <v>2010</v>
      </c>
      <c r="G3409" s="6" t="s">
        <v>14</v>
      </c>
      <c r="H3409" s="7" t="s">
        <v>382</v>
      </c>
      <c r="I3409" s="6" t="s">
        <v>150</v>
      </c>
      <c r="J3409" s="130"/>
      <c r="K3409" s="148" t="s">
        <v>6708</v>
      </c>
    </row>
    <row r="3410" spans="1:15" ht="28.9" customHeight="1" thickTop="1" thickBot="1" x14ac:dyDescent="0.75">
      <c r="A3410" s="10">
        <v>3408</v>
      </c>
      <c r="B3410" s="58" t="str">
        <f>HYPERLINK("https://search.naver.com/search.naver?query=히스테리아 영화", "히스테리아")</f>
        <v>히스테리아</v>
      </c>
      <c r="C3410" s="12">
        <v>7.93</v>
      </c>
      <c r="D3410" s="13" t="s">
        <v>6709</v>
      </c>
      <c r="E3410" s="10" t="s">
        <v>29</v>
      </c>
      <c r="F3410" s="10">
        <v>2011</v>
      </c>
      <c r="G3410" s="10" t="s">
        <v>14</v>
      </c>
      <c r="H3410" s="11" t="s">
        <v>91</v>
      </c>
      <c r="I3410" s="10" t="s">
        <v>179</v>
      </c>
      <c r="J3410" s="131"/>
      <c r="K3410" s="149" t="s">
        <v>6710</v>
      </c>
    </row>
    <row r="3411" spans="1:15" ht="28.9" customHeight="1" thickTop="1" thickBot="1" x14ac:dyDescent="0.75">
      <c r="A3411" s="10">
        <v>3409</v>
      </c>
      <c r="B3411" s="57" t="str">
        <f>HYPERLINK("https://search.naver.com/search.naver?query=히어 컴스 더 붐 영화", "히어 컴스 더 붐")</f>
        <v>히어 컴스 더 붐</v>
      </c>
      <c r="C3411" s="8">
        <v>10</v>
      </c>
      <c r="D3411" s="9" t="s">
        <v>6711</v>
      </c>
      <c r="E3411" s="6" t="s">
        <v>24</v>
      </c>
      <c r="F3411" s="6">
        <v>2012</v>
      </c>
      <c r="G3411" s="6" t="s">
        <v>14</v>
      </c>
      <c r="H3411" s="7" t="s">
        <v>91</v>
      </c>
      <c r="I3411" s="6" t="s">
        <v>175</v>
      </c>
      <c r="J3411" s="130"/>
      <c r="K3411" s="148" t="s">
        <v>6712</v>
      </c>
    </row>
    <row r="3412" spans="1:15" ht="28.9" customHeight="1" thickTop="1" thickBot="1" x14ac:dyDescent="0.75">
      <c r="A3412" s="6">
        <v>3410</v>
      </c>
      <c r="B3412" s="58" t="str">
        <f>HYPERLINK("https://search.naver.com/search.naver?query=히어애프터 영화", "히어애프터")</f>
        <v>히어애프터</v>
      </c>
      <c r="C3412" s="12">
        <v>7.83</v>
      </c>
      <c r="D3412" s="13" t="s">
        <v>6713</v>
      </c>
      <c r="E3412" s="10" t="s">
        <v>24</v>
      </c>
      <c r="F3412" s="10">
        <v>2010</v>
      </c>
      <c r="G3412" s="10" t="s">
        <v>14</v>
      </c>
      <c r="H3412" s="11" t="s">
        <v>20</v>
      </c>
      <c r="I3412" s="10" t="s">
        <v>85</v>
      </c>
      <c r="J3412" s="131"/>
      <c r="K3412" s="149" t="s">
        <v>6714</v>
      </c>
    </row>
    <row r="3413" spans="1:15" ht="28.9" customHeight="1" thickTop="1" thickBot="1" x14ac:dyDescent="0.75">
      <c r="A3413" s="10">
        <v>3411</v>
      </c>
      <c r="B3413" s="57" t="str">
        <f>HYPERLINK("https://search.naver.com/search.naver?query=히트 영화", "히트")</f>
        <v>히트</v>
      </c>
      <c r="C3413" s="8">
        <v>9.3000000000000007</v>
      </c>
      <c r="D3413" s="9" t="s">
        <v>6715</v>
      </c>
      <c r="E3413" s="6" t="s">
        <v>24</v>
      </c>
      <c r="F3413" s="6">
        <v>1995</v>
      </c>
      <c r="G3413" s="6" t="s">
        <v>14</v>
      </c>
      <c r="H3413" s="7" t="s">
        <v>428</v>
      </c>
      <c r="I3413" s="6" t="s">
        <v>2946</v>
      </c>
      <c r="J3413" s="130"/>
      <c r="K3413" s="148" t="s">
        <v>6716</v>
      </c>
    </row>
    <row r="3414" spans="1:15" ht="28.9" customHeight="1" thickTop="1" thickBot="1" x14ac:dyDescent="0.75">
      <c r="A3414" s="10">
        <v>3412</v>
      </c>
      <c r="B3414" s="58" t="str">
        <f>HYPERLINK("https://search.naver.com/search.naver?query=히트맨 영화", "히트맨")</f>
        <v>히트맨</v>
      </c>
      <c r="C3414" s="25">
        <v>7.16</v>
      </c>
      <c r="D3414" s="13" t="s">
        <v>6717</v>
      </c>
      <c r="E3414" s="10" t="s">
        <v>13</v>
      </c>
      <c r="F3414" s="10">
        <v>2020</v>
      </c>
      <c r="G3414" s="10" t="s">
        <v>14</v>
      </c>
      <c r="H3414" s="11" t="s">
        <v>91</v>
      </c>
      <c r="I3414" s="10" t="s">
        <v>101</v>
      </c>
      <c r="J3414" s="131"/>
      <c r="K3414" s="149" t="s">
        <v>6718</v>
      </c>
    </row>
    <row r="3415" spans="1:15" ht="28.9" customHeight="1" thickTop="1" thickBot="1" x14ac:dyDescent="0.75">
      <c r="A3415" s="6">
        <v>3413</v>
      </c>
      <c r="B3415" s="65" t="str">
        <f>HYPERLINK("https://search.naver.com/search.naver?query=히트맨2007", "히트맨")</f>
        <v>히트맨</v>
      </c>
      <c r="C3415" s="31">
        <v>8.1</v>
      </c>
      <c r="D3415" s="26" t="s">
        <v>6717</v>
      </c>
      <c r="E3415" s="6" t="s">
        <v>310</v>
      </c>
      <c r="F3415" s="6">
        <v>2007</v>
      </c>
      <c r="G3415" s="6" t="s">
        <v>14</v>
      </c>
      <c r="H3415" s="7" t="s">
        <v>124</v>
      </c>
      <c r="I3415" s="6" t="s">
        <v>205</v>
      </c>
      <c r="J3415" s="130"/>
      <c r="K3415" s="148" t="s">
        <v>6719</v>
      </c>
    </row>
    <row r="3416" spans="1:15" ht="28.9" customHeight="1" thickTop="1" thickBot="1" x14ac:dyDescent="0.75">
      <c r="A3416" s="10">
        <v>3414</v>
      </c>
      <c r="B3416" s="66" t="str">
        <f>HYPERLINK("https://search.naver.com/search.naver?query=히트스트로크 영화", "히트스트로크")</f>
        <v>히트스트로크</v>
      </c>
      <c r="C3416" s="27">
        <v>6.4</v>
      </c>
      <c r="D3416" s="13" t="s">
        <v>6720</v>
      </c>
      <c r="E3416" s="10" t="s">
        <v>24</v>
      </c>
      <c r="F3416" s="10">
        <v>2013</v>
      </c>
      <c r="G3416" s="10" t="s">
        <v>14</v>
      </c>
      <c r="H3416" s="11" t="s">
        <v>54</v>
      </c>
      <c r="I3416" s="10" t="s">
        <v>150</v>
      </c>
      <c r="J3416" s="131"/>
      <c r="K3416" s="149" t="s">
        <v>6721</v>
      </c>
    </row>
    <row r="3417" spans="1:15" ht="28.9" customHeight="1" thickTop="1" thickBot="1" x14ac:dyDescent="0.75">
      <c r="A3417" s="76">
        <v>3415</v>
      </c>
      <c r="B3417" s="67" t="str">
        <f>HYPERLINK("https://search.naver.com/search.naver?query=히틀러와 제3제국의 종말.", "히틀러와 제3제국의 종말")</f>
        <v>히틀러와 제3제국의 종말</v>
      </c>
      <c r="C3417" s="29">
        <v>8.14</v>
      </c>
      <c r="D3417" s="36" t="s">
        <v>6722</v>
      </c>
      <c r="E3417" s="40" t="s">
        <v>136</v>
      </c>
      <c r="F3417" s="40">
        <v>2004</v>
      </c>
      <c r="G3417" s="40" t="s">
        <v>14</v>
      </c>
      <c r="H3417" s="48" t="s">
        <v>20</v>
      </c>
      <c r="I3417" s="40" t="s">
        <v>465</v>
      </c>
      <c r="J3417" s="139"/>
      <c r="K3417" s="159" t="s">
        <v>6723</v>
      </c>
    </row>
    <row r="3418" spans="1:15" ht="28.9" customHeight="1" thickTop="1" x14ac:dyDescent="0.7">
      <c r="A3418" s="80">
        <v>3416</v>
      </c>
      <c r="B3418" s="75" t="str">
        <f>HYPERLINK("https://search.naver.com/search.naver?query=힐빌리의 노래 영화", "힐빌리의 노래")</f>
        <v>힐빌리의 노래</v>
      </c>
      <c r="C3418" s="25">
        <v>9.33</v>
      </c>
      <c r="D3418" s="81" t="s">
        <v>6724</v>
      </c>
      <c r="E3418" s="76" t="s">
        <v>24</v>
      </c>
      <c r="F3418" s="76">
        <v>2020</v>
      </c>
      <c r="G3418" s="76" t="s">
        <v>14</v>
      </c>
      <c r="H3418" s="82" t="s">
        <v>20</v>
      </c>
      <c r="I3418" s="76" t="s">
        <v>591</v>
      </c>
      <c r="J3418" s="140"/>
      <c r="K3418" s="160" t="s">
        <v>6725</v>
      </c>
    </row>
    <row r="3419" spans="1:15" ht="28.9" customHeight="1" x14ac:dyDescent="0.7">
      <c r="A3419" s="78">
        <v>3417</v>
      </c>
      <c r="B3419" s="83" t="str">
        <f>HYPERLINK("https://search.naver.com/search.naver?query=힙노틱 영화", "힙노틱")</f>
        <v>힙노틱</v>
      </c>
      <c r="C3419" s="84">
        <v>6.44</v>
      </c>
      <c r="D3419" s="85" t="s">
        <v>6726</v>
      </c>
      <c r="E3419" s="77" t="s">
        <v>24</v>
      </c>
      <c r="F3419" s="77">
        <v>2023</v>
      </c>
      <c r="G3419" s="77" t="s">
        <v>14</v>
      </c>
      <c r="H3419" s="86" t="s">
        <v>124</v>
      </c>
      <c r="I3419" s="77" t="s">
        <v>125</v>
      </c>
      <c r="J3419" s="141"/>
      <c r="K3419" s="161" t="s">
        <v>6727</v>
      </c>
    </row>
    <row r="3420" spans="1:15" ht="31.8" customHeight="1" x14ac:dyDescent="0.7">
      <c r="A3420" s="106">
        <v>3418</v>
      </c>
      <c r="B3420" s="122" t="str">
        <f>HYPERLINK("https://search.naver.com/search.naver?query=포 올 맨카인드 시즌2", "포 올 맨카인드 시즌2")</f>
        <v>포 올 맨카인드 시즌2</v>
      </c>
      <c r="C3420" s="107"/>
      <c r="D3420" s="108" t="s">
        <v>4940</v>
      </c>
      <c r="E3420" s="106" t="s">
        <v>24</v>
      </c>
      <c r="F3420" s="106">
        <v>2021</v>
      </c>
      <c r="G3420" s="106" t="s">
        <v>20</v>
      </c>
      <c r="H3420" s="109" t="s">
        <v>877</v>
      </c>
      <c r="I3420" s="106" t="s">
        <v>4941</v>
      </c>
      <c r="J3420" s="142"/>
      <c r="K3420" s="162" t="s">
        <v>6728</v>
      </c>
    </row>
    <row r="3421" spans="1:15" ht="27.3" customHeight="1" x14ac:dyDescent="0.7">
      <c r="A3421" s="96">
        <v>3419</v>
      </c>
      <c r="B3421" s="97" t="str">
        <f>HYPERLINK("https://search.naver.com/search.naver?query=KBS대기획 인간, 신세계로 부터 다큐", "KBS대기획 인간, 신세계로 부터")</f>
        <v>KBS대기획 인간, 신세계로 부터</v>
      </c>
      <c r="C3421" s="98"/>
      <c r="D3421" s="101" t="s">
        <v>6729</v>
      </c>
      <c r="E3421" s="96" t="s">
        <v>5688</v>
      </c>
      <c r="F3421" s="96">
        <v>2023</v>
      </c>
      <c r="G3421" s="96" t="s">
        <v>5062</v>
      </c>
      <c r="H3421" s="100" t="s">
        <v>5062</v>
      </c>
      <c r="I3421" s="96" t="s">
        <v>6730</v>
      </c>
      <c r="J3421" s="136"/>
      <c r="K3421" s="156" t="s">
        <v>6731</v>
      </c>
    </row>
    <row r="3422" spans="1:15" s="87" customFormat="1" ht="27.6" customHeight="1" x14ac:dyDescent="0.7">
      <c r="A3422" s="89">
        <v>3420</v>
      </c>
      <c r="B3422" s="90" t="str">
        <f>HYPERLINK("https://search.naver.com/search.naver?query=남편의 그것이 들어가지 않아 드라마", "남편의 그것이 들어가지 않아")</f>
        <v>남편의 그것이 들어가지 않아</v>
      </c>
      <c r="C3422" s="91"/>
      <c r="D3422" s="92" t="s">
        <v>6732</v>
      </c>
      <c r="E3422" s="89" t="s">
        <v>19</v>
      </c>
      <c r="F3422" s="89">
        <v>2019</v>
      </c>
      <c r="G3422" s="89" t="s">
        <v>20</v>
      </c>
      <c r="H3422" s="93" t="s">
        <v>6733</v>
      </c>
      <c r="I3422" s="89" t="s">
        <v>4941</v>
      </c>
      <c r="J3422" s="143"/>
      <c r="K3422" s="163" t="s">
        <v>6734</v>
      </c>
    </row>
    <row r="3423" spans="1:15" ht="34.299999999999997" customHeight="1" x14ac:dyDescent="0.7">
      <c r="A3423" s="89">
        <v>3421</v>
      </c>
      <c r="B3423" s="94" t="str">
        <f>HYPERLINK("https://search.naver.com/search.naver?query=라팔마 드라마", "라팔마")</f>
        <v>라팔마</v>
      </c>
      <c r="C3423" s="91"/>
      <c r="D3423" s="95" t="s">
        <v>6735</v>
      </c>
      <c r="E3423" s="89" t="s">
        <v>6736</v>
      </c>
      <c r="F3423" s="89">
        <v>2024</v>
      </c>
      <c r="G3423" s="89" t="s">
        <v>20</v>
      </c>
      <c r="H3423" s="93" t="s">
        <v>6737</v>
      </c>
      <c r="I3423" s="89" t="s">
        <v>5063</v>
      </c>
      <c r="J3423" s="143"/>
      <c r="K3423" s="163" t="s">
        <v>6738</v>
      </c>
    </row>
    <row r="3424" spans="1:15" s="87" customFormat="1" ht="34.299999999999997" customHeight="1" x14ac:dyDescent="0.7">
      <c r="A3424" s="110">
        <v>3422</v>
      </c>
      <c r="B3424" s="111" t="str">
        <f>HYPERLINK("https://search.naver.com/search.naver?query=프로젝트+헤일메리+영화", "프로젝트 헤일메리")</f>
        <v>프로젝트 헤일메리</v>
      </c>
      <c r="C3424" s="112">
        <v>9.2100000000000009</v>
      </c>
      <c r="D3424" s="113" t="s">
        <v>6739</v>
      </c>
      <c r="E3424" s="110" t="s">
        <v>24</v>
      </c>
      <c r="F3424" s="110">
        <v>2026</v>
      </c>
      <c r="G3424" s="110" t="s">
        <v>14</v>
      </c>
      <c r="H3424" s="114" t="s">
        <v>877</v>
      </c>
      <c r="I3424" s="110" t="s">
        <v>465</v>
      </c>
      <c r="J3424" s="144" t="s">
        <v>6740</v>
      </c>
      <c r="K3424" s="164" t="s">
        <v>6741</v>
      </c>
      <c r="L3424" s="88"/>
      <c r="M3424" s="88"/>
      <c r="N3424" s="88"/>
      <c r="O3424" s="88"/>
    </row>
    <row r="3425" spans="1:15" ht="34.299999999999997" customHeight="1" x14ac:dyDescent="0.7">
      <c r="A3425" s="89">
        <v>3423</v>
      </c>
      <c r="B3425" s="94" t="str">
        <f>HYPERLINK("https://search.naver.com/search.naver?query=여행과+나날+영화", "여행과 나날")</f>
        <v>여행과 나날</v>
      </c>
      <c r="C3425" s="91">
        <v>7.84</v>
      </c>
      <c r="D3425" s="95" t="s">
        <v>6742</v>
      </c>
      <c r="E3425" s="89" t="s">
        <v>19</v>
      </c>
      <c r="F3425" s="89">
        <v>2025</v>
      </c>
      <c r="G3425" s="89" t="s">
        <v>14</v>
      </c>
      <c r="H3425" s="93" t="s">
        <v>20</v>
      </c>
      <c r="I3425" s="89" t="s">
        <v>162</v>
      </c>
      <c r="J3425" s="143" t="s">
        <v>6743</v>
      </c>
      <c r="K3425" s="163" t="s">
        <v>6744</v>
      </c>
    </row>
    <row r="3426" spans="1:15" s="87" customFormat="1" ht="34.299999999999997" customHeight="1" thickBot="1" x14ac:dyDescent="0.75">
      <c r="A3426" s="110"/>
      <c r="B3426" s="111"/>
      <c r="C3426" s="112"/>
      <c r="D3426" s="113"/>
      <c r="E3426" s="110"/>
      <c r="F3426" s="110"/>
      <c r="G3426" s="110"/>
      <c r="H3426" s="114"/>
      <c r="I3426" s="110"/>
      <c r="J3426" s="144"/>
      <c r="K3426" s="164"/>
      <c r="L3426" s="88"/>
      <c r="M3426" s="88"/>
      <c r="N3426" s="88"/>
      <c r="O3426" s="88"/>
    </row>
    <row r="3427" spans="1:15" ht="34.299999999999997" customHeight="1" thickTop="1" thickBot="1" x14ac:dyDescent="0.75">
      <c r="A3427" s="79"/>
      <c r="B3427" s="69"/>
      <c r="C3427" s="70"/>
      <c r="D3427" s="71"/>
      <c r="E3427" s="68"/>
      <c r="F3427" s="72"/>
      <c r="G3427" s="72"/>
      <c r="H3427" s="73"/>
      <c r="I3427" s="74"/>
      <c r="J3427" s="145"/>
      <c r="K3427" s="165"/>
    </row>
    <row r="3428" spans="1:15" ht="34.299999999999997" customHeight="1" thickTop="1" thickBot="1" x14ac:dyDescent="0.75">
      <c r="A3428" s="79"/>
      <c r="B3428" s="69"/>
      <c r="C3428" s="70"/>
      <c r="D3428" s="71"/>
      <c r="E3428" s="68"/>
      <c r="F3428" s="72"/>
      <c r="G3428" s="72"/>
      <c r="H3428" s="73"/>
      <c r="I3428" s="74"/>
      <c r="J3428" s="145"/>
      <c r="K3428" s="165"/>
    </row>
    <row r="3429" spans="1:15" ht="34.299999999999997" customHeight="1" thickTop="1" thickBot="1" x14ac:dyDescent="0.75">
      <c r="A3429" s="79"/>
      <c r="B3429" s="69"/>
      <c r="C3429" s="70"/>
      <c r="D3429" s="71"/>
      <c r="E3429" s="68"/>
      <c r="F3429" s="72"/>
      <c r="G3429" s="72"/>
      <c r="H3429" s="73"/>
      <c r="I3429" s="74"/>
      <c r="J3429" s="145"/>
      <c r="K3429" s="165"/>
    </row>
    <row r="3430" spans="1:15" ht="34.299999999999997" customHeight="1" thickTop="1" thickBot="1" x14ac:dyDescent="0.75">
      <c r="A3430" s="79"/>
      <c r="B3430" s="69"/>
      <c r="C3430" s="70"/>
      <c r="D3430" s="71"/>
      <c r="E3430" s="68"/>
      <c r="F3430" s="72"/>
      <c r="G3430" s="72"/>
      <c r="H3430" s="73"/>
      <c r="I3430" s="74"/>
      <c r="J3430" s="145"/>
      <c r="K3430" s="165"/>
    </row>
    <row r="3431" spans="1:15" ht="34.299999999999997" customHeight="1" thickTop="1" thickBot="1" x14ac:dyDescent="0.75">
      <c r="A3431" s="79"/>
      <c r="B3431" s="69"/>
      <c r="C3431" s="70"/>
      <c r="D3431" s="71"/>
      <c r="E3431" s="68"/>
      <c r="F3431" s="72"/>
      <c r="G3431" s="72"/>
      <c r="H3431" s="73"/>
      <c r="I3431" s="74"/>
      <c r="J3431" s="145"/>
      <c r="K3431" s="165"/>
    </row>
    <row r="3432" spans="1:15" ht="28.9" customHeight="1" thickTop="1" x14ac:dyDescent="0.7"/>
  </sheetData>
  <phoneticPr fontId="2" type="noConversion"/>
  <hyperlinks>
    <hyperlink ref="B566" r:id="rId1" xr:uid="{00000000-0004-0000-0000-000000000000}"/>
    <hyperlink ref="B854" r:id="rId2" xr:uid="{00000000-0004-0000-0000-000001000000}"/>
    <hyperlink ref="B2803" r:id="rId3" xr:uid="{00000000-0004-0000-0000-000002000000}"/>
  </hyperlinks>
  <pageMargins left="0.75" right="0.75" top="1" bottom="1" header="0.5" footer="0.5"/>
  <pageSetup paperSize="9" orientation="portrait"/>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영화DB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liberalnopen@gmail.com</cp:lastModifiedBy>
  <dcterms:created xsi:type="dcterms:W3CDTF">2026-03-10T23:46:46Z</dcterms:created>
  <dcterms:modified xsi:type="dcterms:W3CDTF">2026-04-18T23:35:30Z</dcterms:modified>
</cp:coreProperties>
</file>