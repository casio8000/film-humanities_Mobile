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A8976C84-8E42-411F-90B7-EB0DC63FEECD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70" i="1" l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26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<sst xmlns="http://schemas.openxmlformats.org/spreadsheetml/2006/main" count="20719" uniqueCount="3604">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</sst>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9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FF0000"/>
      <name val="맑은 고딕"/>
      <family val="3"/>
      <charset val="129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b/>
      <sz val="9"/>
      <color rgb="FFFF000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21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6" fillId="4" borderId="8" xfId="0" applyFont="1" applyFill="1" applyBorder="1" applyAlignment="1">
      <alignment horizontal="left" vertical="center"/>
    </xf>
    <xf numFmtId="2" fontId="17" fillId="4" borderId="3" xfId="0" applyNumberFormat="1" applyFont="1" applyFill="1" applyBorder="1" applyAlignment="1">
      <alignment horizontal="center" vertical="center"/>
    </xf>
    <xf numFmtId="0" fontId="16" fillId="5" borderId="8" xfId="0" applyFont="1" applyFill="1" applyBorder="1" applyAlignment="1">
      <alignment horizontal="left" vertical="center"/>
    </xf>
    <xf numFmtId="2" fontId="17" fillId="5" borderId="3" xfId="0" applyNumberFormat="1" applyFont="1" applyFill="1" applyBorder="1" applyAlignment="1">
      <alignment horizontal="center" vertical="center"/>
    </xf>
    <xf numFmtId="0" fontId="16" fillId="7" borderId="8" xfId="0" applyFont="1" applyFill="1" applyBorder="1" applyAlignment="1">
      <alignment horizontal="left" vertical="center"/>
    </xf>
    <xf numFmtId="2" fontId="17" fillId="7" borderId="3" xfId="0" applyNumberFormat="1" applyFont="1" applyFill="1" applyBorder="1" applyAlignment="1">
      <alignment horizontal="center" vertical="center"/>
    </xf>
    <xf numFmtId="0" fontId="16" fillId="5" borderId="11" xfId="0" applyFont="1" applyFill="1" applyBorder="1" applyAlignment="1">
      <alignment horizontal="left" vertical="center"/>
    </xf>
    <xf numFmtId="2" fontId="17" fillId="5" borderId="5" xfId="0" applyNumberFormat="1" applyFont="1" applyFill="1" applyBorder="1" applyAlignment="1">
      <alignment horizontal="center" vertical="center"/>
    </xf>
    <xf numFmtId="2" fontId="17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0" fontId="15" fillId="0" borderId="0" xfId="0" applyFont="1" applyBorder="1"/>
    <xf numFmtId="2" fontId="17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6" fillId="4" borderId="19" xfId="0" applyFont="1" applyFill="1" applyBorder="1" applyAlignment="1">
      <alignment horizontal="left" vertical="center"/>
    </xf>
    <xf numFmtId="2" fontId="17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8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7" fillId="5" borderId="13" xfId="0" applyNumberFormat="1" applyFont="1" applyFill="1" applyBorder="1" applyAlignment="1">
      <alignment horizontal="center" vertical="center"/>
    </xf>
    <xf numFmtId="2" fontId="17" fillId="4" borderId="12" xfId="0" applyNumberFormat="1" applyFont="1" applyFill="1" applyBorder="1" applyAlignment="1">
      <alignment horizontal="center" vertical="center"/>
    </xf>
    <xf numFmtId="2" fontId="17" fillId="5" borderId="14" xfId="0" applyNumberFormat="1" applyFont="1" applyFill="1" applyBorder="1" applyAlignment="1">
      <alignment horizontal="center" vertical="center"/>
    </xf>
    <xf numFmtId="0" fontId="16" fillId="4" borderId="10" xfId="0" applyFont="1" applyFill="1" applyBorder="1" applyAlignment="1">
      <alignment horizontal="left" vertical="center"/>
    </xf>
    <xf numFmtId="2" fontId="17" fillId="4" borderId="9" xfId="0" applyNumberFormat="1" applyFont="1" applyFill="1" applyBorder="1" applyAlignment="1">
      <alignment horizontal="center" vertical="center"/>
    </xf>
    <xf numFmtId="0" fontId="16" fillId="5" borderId="17" xfId="0" applyFont="1" applyFill="1" applyBorder="1" applyAlignment="1">
      <alignment horizontal="left" vertical="center"/>
    </xf>
    <xf numFmtId="0" fontId="16" fillId="4" borderId="18" xfId="0" applyFont="1" applyFill="1" applyBorder="1" applyAlignment="1">
      <alignment horizontal="left" vertical="center"/>
    </xf>
    <xf numFmtId="2" fontId="17" fillId="4" borderId="15" xfId="0" applyNumberFormat="1" applyFont="1" applyFill="1" applyBorder="1" applyAlignment="1">
      <alignment horizontal="center" vertical="center"/>
    </xf>
    <xf numFmtId="2" fontId="17" fillId="7" borderId="16" xfId="0" applyNumberFormat="1" applyFont="1" applyFill="1" applyBorder="1" applyAlignment="1">
      <alignment horizontal="center" vertical="center"/>
    </xf>
    <xf numFmtId="2" fontId="17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8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21" fillId="6" borderId="8" xfId="0" applyFont="1" applyFill="1" applyBorder="1" applyAlignment="1">
      <alignment vertical="center"/>
    </xf>
    <xf numFmtId="0" fontId="25" fillId="8" borderId="18" xfId="0" applyFont="1" applyFill="1" applyBorder="1" applyAlignment="1">
      <alignment horizontal="center" vertical="center"/>
    </xf>
    <xf numFmtId="0" fontId="25" fillId="7" borderId="18" xfId="0" applyFont="1" applyFill="1" applyBorder="1" applyAlignment="1">
      <alignment horizontal="center" vertical="center"/>
    </xf>
    <xf numFmtId="0" fontId="25" fillId="10" borderId="18" xfId="0" applyFont="1" applyFill="1" applyBorder="1" applyAlignment="1">
      <alignment horizontal="center" vertical="center"/>
    </xf>
    <xf numFmtId="0" fontId="26" fillId="5" borderId="8" xfId="0" applyFont="1" applyFill="1" applyBorder="1" applyAlignment="1">
      <alignment horizontal="left" vertical="center"/>
    </xf>
    <xf numFmtId="0" fontId="26" fillId="4" borderId="8" xfId="0" applyFont="1" applyFill="1" applyBorder="1" applyAlignment="1">
      <alignment horizontal="left" vertical="center"/>
    </xf>
    <xf numFmtId="0" fontId="26" fillId="7" borderId="8" xfId="0" applyFont="1" applyFill="1" applyBorder="1" applyAlignment="1">
      <alignment horizontal="left" vertical="center"/>
    </xf>
    <xf numFmtId="0" fontId="26" fillId="0" borderId="19" xfId="1" applyFont="1" applyBorder="1" applyAlignment="1">
      <alignment vertical="center"/>
    </xf>
    <xf numFmtId="0" fontId="27" fillId="3" borderId="1" xfId="0" applyFont="1" applyFill="1" applyBorder="1" applyAlignment="1">
      <alignment horizontal="center" vertical="top"/>
    </xf>
    <xf numFmtId="0" fontId="19" fillId="10" borderId="18" xfId="1" applyFont="1" applyFill="1" applyBorder="1" applyAlignment="1">
      <alignment vertical="center"/>
    </xf>
    <xf numFmtId="0" fontId="26" fillId="7" borderId="8" xfId="1" applyFont="1" applyFill="1" applyBorder="1" applyAlignment="1">
      <alignment horizontal="left" vertical="center"/>
    </xf>
    <xf numFmtId="0" fontId="26" fillId="7" borderId="19" xfId="1" applyFont="1" applyFill="1" applyBorder="1" applyAlignment="1">
      <alignment vertical="center"/>
    </xf>
    <xf numFmtId="0" fontId="26" fillId="10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vertical="center"/>
    </xf>
    <xf numFmtId="0" fontId="26" fillId="7" borderId="18" xfId="1" applyFont="1" applyFill="1" applyBorder="1" applyAlignment="1">
      <alignment horizontal="left" vertical="center"/>
    </xf>
    <xf numFmtId="0" fontId="26" fillId="5" borderId="17" xfId="0" applyFont="1" applyFill="1" applyBorder="1" applyAlignment="1">
      <alignment horizontal="left" vertical="center"/>
    </xf>
    <xf numFmtId="0" fontId="28" fillId="6" borderId="16" xfId="0" applyFont="1" applyFill="1" applyBorder="1" applyAlignment="1">
      <alignment vertical="center"/>
    </xf>
    <xf numFmtId="0" fontId="15" fillId="7" borderId="3" xfId="0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20" fillId="7" borderId="3" xfId="0" applyNumberFormat="1" applyFont="1" applyFill="1" applyBorder="1" applyAlignment="1">
      <alignment horizontal="center" vertical="center"/>
    </xf>
    <xf numFmtId="0" fontId="15" fillId="7" borderId="3" xfId="0" applyFont="1" applyFill="1" applyBorder="1" applyAlignment="1">
      <alignment vertical="top" wrapText="1"/>
    </xf>
    <xf numFmtId="176" fontId="15" fillId="7" borderId="3" xfId="0" applyNumberFormat="1" applyFont="1" applyFill="1" applyBorder="1" applyAlignment="1">
      <alignment horizontal="center" vertical="center"/>
    </xf>
    <xf numFmtId="0" fontId="22" fillId="2" borderId="19" xfId="0" applyFont="1" applyFill="1" applyBorder="1" applyAlignment="1">
      <alignment horizontal="left" vertical="center"/>
    </xf>
    <xf numFmtId="0" fontId="22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70" totalsRowShown="0" headerRowDxfId="13" dataDxfId="11" headerRowBorderDxfId="12" tableBorderDxfId="10">
  <autoFilter ref="A2:J3470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70"/>
  <sheetViews>
    <sheetView showGridLines="0" tabSelected="1" workbookViewId="0">
      <pane ySplit="2" topLeftCell="A3464" activePane="bottomLeft" state="frozen"/>
      <selection pane="bottomLeft" activeCell="F3475" sqref="F3475"/>
    </sheetView>
  </sheetViews>
  <sheetFormatPr defaultColWidth="9" defaultRowHeight="28.9" customHeight="1" x14ac:dyDescent="0.6"/>
  <cols>
    <col min="1" max="1" width="7" style="96" customWidth="1"/>
    <col min="2" max="2" width="36.19921875" style="94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6" customWidth="1"/>
    <col min="9" max="9" width="11.19921875" style="57" customWidth="1"/>
    <col min="10" max="10" width="10.69921875" style="95" bestFit="1" customWidth="1"/>
    <col min="11" max="16384" width="9" style="57"/>
  </cols>
  <sheetData>
    <row r="1" spans="1:14" ht="28.9" customHeight="1" x14ac:dyDescent="0.6">
      <c r="A1" s="119" t="s">
        <v>3523</v>
      </c>
      <c r="B1" s="119"/>
      <c r="C1" s="119"/>
      <c r="D1" s="119"/>
      <c r="E1" s="119"/>
      <c r="F1" s="119"/>
      <c r="G1" s="120"/>
      <c r="H1" s="98" t="s">
        <v>3489</v>
      </c>
      <c r="I1" s="99" t="s">
        <v>3490</v>
      </c>
      <c r="J1" s="100" t="s">
        <v>3518</v>
      </c>
      <c r="K1" s="73"/>
      <c r="L1" s="73"/>
      <c r="M1" s="73"/>
      <c r="N1" s="73"/>
    </row>
    <row r="2" spans="1:14" s="1" customFormat="1" ht="28.9" customHeight="1" thickBot="1" x14ac:dyDescent="0.75">
      <c r="A2" s="2" t="s">
        <v>0</v>
      </c>
      <c r="B2" s="105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7" t="str">
        <f>HYPERLINK("https://search.naver.com/search.naver?query=영화 고스트라이트", "고스트라이트")</f>
        <v>고스트라이트</v>
      </c>
      <c r="C160" s="77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8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s="71" customFormat="1" ht="28.9" customHeight="1" thickTop="1" thickBot="1" x14ac:dyDescent="0.65">
      <c r="A776" s="114">
        <v>774</v>
      </c>
      <c r="B776" s="115"/>
      <c r="C776" s="116"/>
      <c r="D776" s="117"/>
      <c r="E776" s="114"/>
      <c r="F776" s="114"/>
      <c r="G776" s="114"/>
      <c r="H776" s="114"/>
      <c r="I776" s="114"/>
      <c r="J776" s="118"/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7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2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1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2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1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3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3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3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3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3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1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2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3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2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3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3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3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3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3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3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1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3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1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2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1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2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1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2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1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2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1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2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1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3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3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3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3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3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3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3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3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2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1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2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1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2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1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2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1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2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1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2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1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2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1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2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1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2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1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2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1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2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1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2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1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2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1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2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1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2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1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2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1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2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1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2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1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3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1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2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1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2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1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2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1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2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1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2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1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2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1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2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1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2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1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2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1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3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3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2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1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2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1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2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1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2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1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2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1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2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3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3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3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3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3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3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1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2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1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2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1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3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1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2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1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2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1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2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1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2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1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2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1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2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1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2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1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2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1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2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1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2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1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2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1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2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1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2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1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2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2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1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2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1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2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1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2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1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2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1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2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1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2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1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2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1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3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1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3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1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2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1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2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1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4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1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2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1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2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1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3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1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2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1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3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2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1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2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3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2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1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3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1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2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1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2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1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2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1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2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1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2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1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2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1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2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1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2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1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2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1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2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3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3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1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2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1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2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1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2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1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2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1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2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1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3" customFormat="1" ht="28.9" customHeight="1" thickTop="1" thickBot="1" x14ac:dyDescent="0.65">
      <c r="A2316" s="33">
        <v>2314</v>
      </c>
      <c r="B2316" s="106" t="str">
        <f>HYPERLINK("https://search.naver.com/search.naver?query=와인을 향한 열정 영화", "와인을 향한 열정")</f>
        <v>와인을 향한 열정</v>
      </c>
      <c r="C2316" s="72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3" customFormat="1" ht="28.9" customHeight="1" thickTop="1" thickBot="1" x14ac:dyDescent="0.65">
      <c r="A2516" s="33">
        <v>2514</v>
      </c>
      <c r="B2516" s="106" t="str">
        <f>HYPERLINK("https://search.naver.com/search.naver?query=일곱 개의 대륙, 하나의 지구 다큐", "일곱 개의 대륙, 하나의 지구")</f>
        <v>일곱 개의 대륙, 하나의 지구</v>
      </c>
      <c r="C2516" s="72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드라마", "젠틀맨: 더 시리즈")</f>
        <v>젠틀맨: 더 시리즈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6" t="str">
        <f>HYPERLINK("https://search.naver.com/search.naver?query=아마존의 눈물 다큐", "아마존의 눈물")</f>
        <v>아마존의 눈물</v>
      </c>
      <c r="C2849" s="72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6" customFormat="1" ht="28.9" customHeight="1" thickTop="1" thickBot="1" x14ac:dyDescent="0.65">
      <c r="A2946" s="11">
        <v>2944</v>
      </c>
      <c r="B2946" s="74" t="str">
        <f>HYPERLINK("https://search.naver.com/search.naver?query=탐엣더팜 영화", "탐엣더팜")</f>
        <v>탐엣더팜</v>
      </c>
      <c r="C2946" s="75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9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4" t="str">
        <f>HYPERLINK("https://search.naver.com/search.naver?query=히트맨2007", "히트맨")</f>
        <v>히트맨</v>
      </c>
      <c r="C3415" s="80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1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2" t="str">
        <f>HYPERLINK("https://search.naver.com/search.naver?query=히틀러와 제3제국의 종말.", "히틀러와 제3제국의 종말")</f>
        <v>히틀러와 제3제국의 종말</v>
      </c>
      <c r="C3417" s="83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4" t="str">
        <f>HYPERLINK("https://search.naver.com/search.naver?query=힐빌리의 노래 영화", "힐빌리의 노래")</f>
        <v>힐빌리의 노래</v>
      </c>
      <c r="C3418" s="79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5" t="str">
        <f>HYPERLINK("https://search.naver.com/search.naver?query=힙노틱 영화", "힙노틱")</f>
        <v>힙노틱</v>
      </c>
      <c r="C3419" s="86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8" t="str">
        <f>HYPERLINK("https://search.naver.com/search.naver?query=포 올 맨카인드 시즌2", "포 올 맨카인드 시즌2")</f>
        <v>포 올 맨카인드 시즌2</v>
      </c>
      <c r="C3420" s="87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9" t="str">
        <f>HYPERLINK("https://search.naver.com/search.naver?query=KBS대기획 인간, 신세계로 부터 다큐", "KBS대기획 인간, 신세계로 부터")</f>
        <v>KBS대기획 인간, 신세계로 부터</v>
      </c>
      <c r="C3421" s="72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3" customFormat="1" ht="27.6" customHeight="1" x14ac:dyDescent="0.6">
      <c r="A3422" s="32">
        <v>3420</v>
      </c>
      <c r="B3422" s="110" t="str">
        <f>HYPERLINK("https://search.naver.com/search.naver?query=남편의 그것이 들어가지 않아 드라마", "남편의 그것이 들어가지 않아")</f>
        <v>남편의 그것이 들어가지 않아</v>
      </c>
      <c r="C3422" s="88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1" t="str">
        <f>HYPERLINK("https://search.naver.com/search.naver?query=라팔마 드라마", "라팔마")</f>
        <v>라팔마</v>
      </c>
      <c r="C3423" s="88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2" t="str">
        <f>HYPERLINK("https://search.naver.com/search.naver?query=프로젝트+헤일메리+영화", "프로젝트 헤일메리")</f>
        <v>프로젝트 헤일메리</v>
      </c>
      <c r="C3424" s="79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3" customFormat="1" ht="34.35" customHeight="1" x14ac:dyDescent="0.6">
      <c r="A3425" s="89">
        <v>3423</v>
      </c>
      <c r="B3425" s="113" t="str">
        <f>HYPERLINK("https://search.naver.com/search.naver?query=여행과+나날+영화", "여행과 나날")</f>
        <v>여행과 나날</v>
      </c>
      <c r="C3425" s="90">
        <v>7.84</v>
      </c>
      <c r="D3425" s="91" t="s">
        <v>3434</v>
      </c>
      <c r="E3425" s="89" t="s">
        <v>16</v>
      </c>
      <c r="F3425" s="89">
        <v>2025</v>
      </c>
      <c r="G3425" s="89" t="s">
        <v>12</v>
      </c>
      <c r="H3425" s="89" t="s">
        <v>17</v>
      </c>
      <c r="I3425" s="89" t="s">
        <v>119</v>
      </c>
      <c r="J3425" s="92" t="s">
        <v>3435</v>
      </c>
      <c r="K3425" s="93"/>
      <c r="L3425" s="93"/>
      <c r="M3425" s="93"/>
      <c r="N3425" s="93"/>
    </row>
    <row r="3426" spans="1:14" ht="27.3" customHeight="1" x14ac:dyDescent="0.6">
      <c r="A3426" s="33">
        <v>3424</v>
      </c>
      <c r="B3426" s="109" t="str">
        <f>HYPERLINK("https://search.naver.com/search.naver?query=KBS 대기획 트랜스휴먼+다큐", "KBS 대기획 트랜스휴먼")</f>
        <v>KBS 대기획 트랜스휴먼</v>
      </c>
      <c r="C3426" s="72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1" t="str">
        <f>HYPERLINK("https://search.naver.com/search.naver?query=버진리버 시즌7", "버진 리버 시즌7")</f>
        <v>버진 리버 시즌7</v>
      </c>
      <c r="C3427" s="88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3" customFormat="1" ht="34.35" customHeight="1" x14ac:dyDescent="0.6">
      <c r="A3428" s="89">
        <v>3426</v>
      </c>
      <c r="B3428" s="113" t="str">
        <f>HYPERLINK("https://search.naver.com/search.naver?query=왕과 사는 남자 영화", "왕과 사는 남자")</f>
        <v>왕과 사는 남자</v>
      </c>
      <c r="C3428" s="90">
        <v>8.8699999999999992</v>
      </c>
      <c r="D3428" s="91" t="s">
        <v>3537</v>
      </c>
      <c r="E3428" s="89" t="s">
        <v>3536</v>
      </c>
      <c r="F3428" s="89">
        <v>2026</v>
      </c>
      <c r="G3428" s="89" t="s">
        <v>3489</v>
      </c>
      <c r="H3428" s="89" t="s">
        <v>3490</v>
      </c>
      <c r="I3428" s="89" t="s">
        <v>3538</v>
      </c>
      <c r="J3428" s="92">
        <v>46144</v>
      </c>
      <c r="K3428" s="93"/>
      <c r="L3428" s="93"/>
      <c r="M3428" s="93"/>
      <c r="N3428" s="93"/>
    </row>
    <row r="3429" spans="1:14" ht="34.35" customHeight="1" x14ac:dyDescent="0.6">
      <c r="A3429" s="32">
        <v>3427</v>
      </c>
      <c r="B3429" s="111" t="str">
        <f>HYPERLINK("https://search.naver.com/search.naver?query=더 매디슨 시즌1", "더 매디슨 시즌1")</f>
        <v>더 매디슨 시즌1</v>
      </c>
      <c r="C3429" s="88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1" t="str">
        <f>HYPERLINK("https://www.themoviedb.org/tv/289560-cia?language=ko-KR=CIA 시즌1", "CIA 시즌1")</f>
        <v>CIA 시즌1</v>
      </c>
      <c r="C3430" s="88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1" t="str">
        <f>HYPERLINK("https://www.themoviedb.org/tv/120911-the-terminal-list=터미널 리스트 시즌 1", "터미널 리스트 시즌 1")</f>
        <v>터미널 리스트 시즌 1</v>
      </c>
      <c r="C3431" s="88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1" t="str">
        <f>HYPERLINK("https://search.naver.com/search.naver?query=나이트 에이전트 시즌2", "나이트 에이전트 시즌 2")</f>
        <v>나이트 에이전트 시즌 2</v>
      </c>
      <c r="C3432" s="88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1" t="str">
        <f>HYPERLINK("https://search.naver.com/search.naver?query=나이트 에이전트 시즌3", "나이트 에이전트 시즌 3")</f>
        <v>나이트 에이전트 시즌 3</v>
      </c>
      <c r="C3433" s="88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1" t="str">
        <f>HYPERLINK("https://search.naver.com/search.naver?query=마셜스 시즌1", "마셜스 시즌1")</f>
        <v>마셜스 시즌1</v>
      </c>
      <c r="C3434" s="88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1" t="str">
        <f>HYPERLINK("https://www.themoviedb.org/tv/302074-r-j-decker", "R.J. 데커 시즌1")</f>
        <v>R.J. 데커 시즌1</v>
      </c>
      <c r="C3435" s="88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1" t="str">
        <f>HYPERLINK("https://search.naver.com/search.naver?query=더 피트 시즌1", "더 피트 시즌1")</f>
        <v>더 피트 시즌1</v>
      </c>
      <c r="C3436" s="88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1" t="str">
        <f>HYPERLINK("https://search.naver.com/search.naver?query=더 피트 시즌2", "더 피트 시즌2")</f>
        <v>더 피트 시즌2</v>
      </c>
      <c r="C3437" s="88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1" t="str">
        <f>HYPERLINK("https://www.themoviedb.org/tv/240740-scarpetta2", "스카페타 시즌1")</f>
        <v>스카페타 시즌1</v>
      </c>
      <c r="C3438" s="88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3" customFormat="1" ht="34.35" customHeight="1" x14ac:dyDescent="0.6">
      <c r="A3439" s="89">
        <v>3437</v>
      </c>
      <c r="B3439" s="113" t="str">
        <f>HYPERLINK("https://search.naver.com/search.naver?query=악마는 프라다를 입는다 2", "악마는 프라다를 입는다 2")</f>
        <v>악마는 프라다를 입는다 2</v>
      </c>
      <c r="C3439" s="90">
        <v>8.9700000000000006</v>
      </c>
      <c r="D3439" s="91" t="s">
        <v>3559</v>
      </c>
      <c r="E3439" s="89" t="s">
        <v>3488</v>
      </c>
      <c r="F3439" s="89">
        <v>2026</v>
      </c>
      <c r="G3439" s="89" t="s">
        <v>12</v>
      </c>
      <c r="H3439" s="89" t="s">
        <v>17</v>
      </c>
      <c r="I3439" s="89" t="s">
        <v>3560</v>
      </c>
      <c r="J3439" s="92">
        <v>46220</v>
      </c>
      <c r="K3439" s="93"/>
      <c r="L3439" s="93"/>
      <c r="M3439" s="93"/>
      <c r="N3439" s="93"/>
    </row>
    <row r="3440" spans="1:14" ht="34.200000000000003" customHeight="1" x14ac:dyDescent="0.6">
      <c r="A3440" s="32">
        <v>3438</v>
      </c>
      <c r="B3440" s="111" t="str">
        <f>HYPERLINK("https://www.themoviedb.org/tv/285404-maximum-pleasure-guaranteed", "도파민 최대 보장 시즌1")</f>
        <v>도파민 최대 보장 시즌1</v>
      </c>
      <c r="C3440" s="88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1" t="str">
        <f>HYPERLINK("https://search.naver.com/search.naver?query=도쿄바이스 시즌1", "도쿄바이스 시즌1")</f>
        <v>도쿄바이스 시즌1</v>
      </c>
      <c r="C3441" s="88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1" t="str">
        <f>HYPERLINK("https://search.naver.com/search.naver?query=도쿄바이스 시즌2", "도쿄바이스 시즌2")</f>
        <v>도쿄바이스 시즌2</v>
      </c>
      <c r="C3442" s="88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1" t="str">
        <f>HYPERLINK("https://www.themoviedb.org/tv/299167-dutton-ranch=더턴 랜치 시즌1", "더턴 랜치 시즌1")</f>
        <v>더턴 랜치 시즌1</v>
      </c>
      <c r="C3443" s="88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1" t="str">
        <f>HYPERLINK("https://search.naver.com/search.naver?query=김부장", "김부장")</f>
        <v>김부장</v>
      </c>
      <c r="C3444" s="88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1" t="str">
        <f>HYPERLINK("https://search.naver.com/search.naver?query=나이트 매니저 시즌2", "나이트 매니저 시즌2")</f>
        <v>나이트 매니저 시즌2</v>
      </c>
      <c r="C3445" s="88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1" t="str">
        <f>HYPERLINK("https://search.naver.com/search.naver?query=트래커 시즌1", "트래커 시즌1")</f>
        <v>트래커 시즌1</v>
      </c>
      <c r="C3446" s="88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1" t="str">
        <f>HYPERLINK("https://search.naver.com/search.naver?query=케이프 피어", "케이프 피어 시즌1")</f>
        <v>케이프 피어 시즌1</v>
      </c>
      <c r="C3447" s="88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1" t="str">
        <f>HYPERLINK("https://search.naver.com/search.naver?query=트래커 시즌2", "트래커 시즌2")</f>
        <v>트래커 시즌2</v>
      </c>
      <c r="C3448" s="88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1" t="str">
        <f>HYPERLINK("https://search.naver.com/search.naver?query=트래커 시즌3", "트래커 시즌3")</f>
        <v>트래커 시즌3</v>
      </c>
      <c r="C3449" s="88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1" t="str">
        <f>HYPERLINK("https://search.naver.com/search.naver?query=화이트 칼라 시즌1", "화이트 칼라 시즌1")</f>
        <v>화이트 칼라 시즌1</v>
      </c>
      <c r="C3450" s="88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1" t="str">
        <f>HYPERLINK("https://search.naver.com/search.naver?query=화이트 칼라 시즌2", "화이트 칼라 시즌2")</f>
        <v>화이트 칼라 시즌2</v>
      </c>
      <c r="C3451" s="88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1" t="str">
        <f>HYPERLINK("https://search.naver.com/search.naver?query=화이트 칼라 시즌3", "화이트 칼라 시즌3")</f>
        <v>화이트 칼라 시즌3</v>
      </c>
      <c r="C3452" s="88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1" t="str">
        <f>HYPERLINK("https://search.naver.com/search.naver?query=화이트 칼라 시즌4", "화이트 칼라 시즌4")</f>
        <v>화이트 칼라 시즌4</v>
      </c>
      <c r="C3453" s="88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1" t="str">
        <f>HYPERLINK("https://search.naver.com/search.naver?query=화이트 칼라 시즌5", "화이트 칼라 시즌5")</f>
        <v>화이트 칼라 시즌5</v>
      </c>
      <c r="C3454" s="88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1" t="str">
        <f>HYPERLINK("https://search.naver.com/search.naver?query=화이트 칼라 시즌6", "화이트 칼라 시즌6")</f>
        <v>화이트 칼라 시즌6</v>
      </c>
      <c r="C3455" s="88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1" t="str">
        <f>HYPERLINK("https://search.naver.com/search.naver?query=아이 윌 파인드 유", "아이 윌 파인드 유")</f>
        <v>아이 윌 파인드 유</v>
      </c>
      <c r="C3456" s="88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1" t="str">
        <f>HYPERLINK("https://search.naver.com/search.naver?query=디 아메리칸즈 시즌1", "디 아메리칸즈 시즌1")</f>
        <v>디 아메리칸즈 시즌1</v>
      </c>
      <c r="C3457" s="88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1" t="str">
        <f>HYPERLINK("https://search.naver.com/search.naver?query=디 아메리칸즈 시즌2", "디 아메리칸즈 시즌2")</f>
        <v>디 아메리칸즈 시즌2</v>
      </c>
      <c r="C3458" s="88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1" t="str">
        <f>HYPERLINK("https://search.naver.com/search.naver?query=디 아메리칸즈 시즌3", "디 아메리칸즈 시즌3")</f>
        <v>디 아메리칸즈 시즌3</v>
      </c>
      <c r="C3459" s="88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1" t="str">
        <f>HYPERLINK("https://search.naver.com/search.naver?query=디 아메리칸즈 시즌4", "디 아메리칸즈 시즌4")</f>
        <v>디 아메리칸즈 시즌4</v>
      </c>
      <c r="C3460" s="88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1" t="str">
        <f>HYPERLINK("https://search.naver.com/search.naver?query=디 아메리칸즈 시즌5", "디 아메리칸즈 시즌5")</f>
        <v>디 아메리칸즈 시즌5</v>
      </c>
      <c r="C3461" s="88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1" t="str">
        <f>HYPERLINK("https://search.naver.com/search.naver?query=디 아메리칸즈 시즌6", "디 아메리칸즈 시즌6")</f>
        <v>디 아메리칸즈 시즌6</v>
      </c>
      <c r="C3462" s="88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1" t="str">
        <f>HYPERLINK("https://search.naver.com/search.naver?query=안야 테일러 럭키 시즌1", "럭키 시즌1")</f>
        <v>럭키 시즌1</v>
      </c>
      <c r="C3463" s="88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3" customFormat="1" ht="34.35" customHeight="1" x14ac:dyDescent="0.6">
      <c r="A3464" s="89">
        <v>3462</v>
      </c>
      <c r="B3464" s="113" t="str">
        <f>HYPERLINK("https://search.naver.com/search.naver?query=영화 뮤티니", "뮤티니")</f>
        <v>뮤티니</v>
      </c>
      <c r="C3464" s="90"/>
      <c r="D3464" s="91" t="s">
        <v>3591</v>
      </c>
      <c r="E3464" s="89" t="s">
        <v>3488</v>
      </c>
      <c r="F3464" s="89">
        <v>2026</v>
      </c>
      <c r="G3464" s="89" t="s">
        <v>12</v>
      </c>
      <c r="H3464" s="89" t="s">
        <v>3592</v>
      </c>
      <c r="I3464" s="89" t="s">
        <v>3498</v>
      </c>
      <c r="J3464" s="92">
        <v>46255</v>
      </c>
      <c r="K3464" s="93"/>
      <c r="L3464" s="93"/>
      <c r="M3464" s="93"/>
      <c r="N3464" s="93"/>
    </row>
    <row r="3465" spans="1:14" s="73" customFormat="1" ht="34.35" customHeight="1" x14ac:dyDescent="0.6">
      <c r="A3465" s="89">
        <v>3463</v>
      </c>
      <c r="B3465" s="113" t="str">
        <f>HYPERLINK("https://search.naver.com/search.naver?query=딥 워터", "딥 워터")</f>
        <v>딥 워터</v>
      </c>
      <c r="C3465" s="90"/>
      <c r="D3465" s="91" t="s">
        <v>3594</v>
      </c>
      <c r="E3465" s="89" t="s">
        <v>3488</v>
      </c>
      <c r="F3465" s="89">
        <v>2026</v>
      </c>
      <c r="G3465" s="89" t="s">
        <v>12</v>
      </c>
      <c r="H3465" s="89" t="s">
        <v>3546</v>
      </c>
      <c r="I3465" s="89" t="s">
        <v>3593</v>
      </c>
      <c r="J3465" s="92">
        <v>46258</v>
      </c>
      <c r="K3465" s="93"/>
      <c r="L3465" s="93"/>
      <c r="M3465" s="93"/>
      <c r="N3465" s="93"/>
    </row>
    <row r="3466" spans="1:14" ht="34.200000000000003" customHeight="1" x14ac:dyDescent="0.6">
      <c r="A3466" s="32">
        <v>3464</v>
      </c>
      <c r="B3466" s="111" t="str">
        <f>HYPERLINK("https://search.naver.com/search.naver?query=하이포텐셜 시즌1", "하이포텐셜 시즌1")</f>
        <v>하이포텐셜 시즌1</v>
      </c>
      <c r="C3466" s="88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3" customFormat="1" ht="34.35" customHeight="1" x14ac:dyDescent="0.6">
      <c r="A3467" s="89">
        <v>3465</v>
      </c>
      <c r="B3467" s="113" t="str">
        <f>HYPERLINK("https://search.naver.com/search.naver?query=파이널 피스 영화", "파이널 피스")</f>
        <v>파이널 피스</v>
      </c>
      <c r="C3467" s="90">
        <v>7.89</v>
      </c>
      <c r="D3467" s="91" t="s">
        <v>3598</v>
      </c>
      <c r="E3467" s="89" t="s">
        <v>3500</v>
      </c>
      <c r="F3467" s="89">
        <v>2026</v>
      </c>
      <c r="G3467" s="89" t="s">
        <v>3489</v>
      </c>
      <c r="H3467" s="89" t="s">
        <v>3599</v>
      </c>
      <c r="I3467" s="89" t="s">
        <v>3597</v>
      </c>
      <c r="J3467" s="92">
        <v>46261</v>
      </c>
      <c r="K3467" s="93"/>
      <c r="L3467" s="93"/>
      <c r="M3467" s="93"/>
      <c r="N3467" s="93"/>
    </row>
    <row r="3468" spans="1:14" ht="34.200000000000003" customHeight="1" x14ac:dyDescent="0.6">
      <c r="A3468" s="32">
        <v>3466</v>
      </c>
      <c r="B3468" s="111" t="str">
        <f>HYPERLINK("https://search.naver.com/search.naver?query=하이포텐셜 시즌2", "하이포텐셜 시즌2")</f>
        <v>하이포텐셜 시즌2</v>
      </c>
      <c r="C3468" s="88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3" customFormat="1" ht="34.35" customHeight="1" x14ac:dyDescent="0.6">
      <c r="A3469" s="89">
        <v>3467</v>
      </c>
      <c r="B3469" s="113" t="str">
        <f>HYPERLINK("https://search.naver.com/search.naver?query=위스퍼맨 영화", "위스퍼맨")</f>
        <v>위스퍼맨</v>
      </c>
      <c r="C3469" s="90"/>
      <c r="D3469" s="91" t="s">
        <v>3601</v>
      </c>
      <c r="E3469" s="89" t="s">
        <v>3488</v>
      </c>
      <c r="F3469" s="89">
        <v>2026</v>
      </c>
      <c r="G3469" s="89" t="s">
        <v>3489</v>
      </c>
      <c r="H3469" s="89" t="s">
        <v>3546</v>
      </c>
      <c r="I3469" s="89" t="s">
        <v>3602</v>
      </c>
      <c r="J3469" s="92">
        <v>46263</v>
      </c>
      <c r="K3469" s="93"/>
      <c r="L3469" s="93"/>
      <c r="M3469" s="93"/>
      <c r="N3469" s="93"/>
    </row>
    <row r="3470" spans="1:14" ht="34.200000000000003" customHeight="1" x14ac:dyDescent="0.6">
      <c r="A3470" s="32">
        <v>3468</v>
      </c>
      <c r="B3470" s="111" t="str">
        <f>HYPERLINK("https://search.naver.com/search.naver?query=스틸 영드", "스틸")</f>
        <v>스틸</v>
      </c>
      <c r="C3470" s="88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2026-08-29T11:50:20Z</dcterms:modified>
</cp:coreProperties>
</file>