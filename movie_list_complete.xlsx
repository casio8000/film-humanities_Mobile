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8FE06321-E5B9-4115-9E82-FDC2B312355B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142" i="1" l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<sst xmlns="http://schemas.openxmlformats.org/spreadsheetml/2006/main" count="20584" uniqueCount="3570">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</sst>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9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21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43" totalsRowShown="0" headerRowDxfId="13" dataDxfId="11" headerRowBorderDxfId="12" tableBorderDxfId="10">
  <autoFilter ref="A2:J3443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43"/>
  <sheetViews>
    <sheetView showGridLines="0" tabSelected="1" workbookViewId="0">
      <pane ySplit="2" topLeftCell="A2137" activePane="bottomLeft" state="frozen"/>
      <selection pane="bottomLeft" activeCell="C2143" sqref="C2143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19.8476562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19" t="s">
        <v>3523</v>
      </c>
      <c r="B1" s="119"/>
      <c r="C1" s="119"/>
      <c r="D1" s="119"/>
      <c r="E1" s="119"/>
      <c r="F1" s="119"/>
      <c r="G1" s="120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1" t="str">
        <f>HYPERLINK("https://search.naver.com/search.naver?query=더 피트 시즌2", "더 피트 시즌2")</f>
        <v>더 피트 시즌2</v>
      </c>
      <c r="C3437" s="88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1" t="str">
        <f>HYPERLINK("https://www.themoviedb.org/tv/240740-scarpetta2", "스카페타 시즌1")</f>
        <v>스카페타 시즌1</v>
      </c>
      <c r="C3438" s="88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3" customFormat="1" ht="34.35" customHeight="1" x14ac:dyDescent="0.6">
      <c r="A3439" s="89">
        <v>3437</v>
      </c>
      <c r="B3439" s="113" t="str">
        <f>HYPERLINK("https://search.naver.com/search.naver?query=악마는 프라다를 입는다 2", "악마는 프라다를 입는다 2")</f>
        <v>악마는 프라다를 입는다 2</v>
      </c>
      <c r="C3439" s="90">
        <v>8.9700000000000006</v>
      </c>
      <c r="D3439" s="91" t="s">
        <v>3559</v>
      </c>
      <c r="E3439" s="89" t="s">
        <v>3488</v>
      </c>
      <c r="F3439" s="89">
        <v>2026</v>
      </c>
      <c r="G3439" s="89" t="s">
        <v>12</v>
      </c>
      <c r="H3439" s="89" t="s">
        <v>17</v>
      </c>
      <c r="I3439" s="89" t="s">
        <v>3560</v>
      </c>
      <c r="J3439" s="92">
        <v>46220</v>
      </c>
      <c r="K3439" s="93"/>
      <c r="L3439" s="93"/>
      <c r="M3439" s="93"/>
      <c r="N3439" s="93"/>
    </row>
    <row r="3440" spans="1:14" ht="34.200000000000003" customHeight="1" x14ac:dyDescent="0.6">
      <c r="A3440" s="32">
        <v>3438</v>
      </c>
      <c r="B3440" s="111" t="str">
        <f>HYPERLINK("https://www.themoviedb.org/tv/285404-maximum-pleasure-guaranteed", "도파민 최대 보장 시즌1")</f>
        <v>도파민 최대 보장 시즌1</v>
      </c>
      <c r="C3440" s="88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1" t="str">
        <f>HYPERLINK("https://search.naver.com/search.naver?query=도쿄바이스 시즌1", "도쿄바이스 시즌1")</f>
        <v>도쿄바이스 시즌1</v>
      </c>
      <c r="C3441" s="88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1" t="str">
        <f>HYPERLINK("https://search.naver.com/search.naver?query=도쿄바이스 시즌2", "도쿄바이스 시즌2")</f>
        <v>도쿄바이스 시즌2</v>
      </c>
      <c r="C3442" s="88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1" t="str">
        <f>HYPERLINK("https://www.themoviedb.org/tv/299167-dutton-ranch=더턴 랜치 시즌1", "더턴 랜치 시즌1")</f>
        <v>더턴 랜치 시즌1</v>
      </c>
      <c r="C3443" s="88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2026-07-26T00:55:09Z</dcterms:modified>
</cp:coreProperties>
</file>