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96B2F455-09C0-481D-B2D0-CB2136BAE489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96" i="1" l="1"/>
  <c r="B3495" i="1"/>
  <c r="B3494" i="1"/>
  <c r="B3476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2626" i="1"/>
  <c r="B3479" i="1"/>
  <c r="B3478" i="1"/>
  <c r="B3477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<sst xmlns="http://schemas.openxmlformats.org/spreadsheetml/2006/main" count="20860" uniqueCount="3657">
  <si>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</si>
  <si>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</si>
  <si>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</si>
  <si>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</si>
  <si>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</si>
  <si>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</si>
  <si>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</si>
  <si>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</si>
  <si>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</si>
  <si>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</si>
  <si>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</si>
  <si>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</si>
  <si>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</si>
  <si>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</si>
  <si>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</si>
  <si>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</si>
  <si>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</si>
  <si>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</si>
  <si>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</si>
  <si>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</si>
  <si>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</si>
  <si>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</si>
  <si>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</si>
  <si>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</si>
  <si>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</si>
  <si>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</si>
  <si>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</si>
  <si>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</si>
  <si>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</si>
  <si>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</si>
  <si>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</si>
  <si>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</si>
  <si>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</si>
  <si>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</si>
  <si>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</si>
  <si>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</si>
  <si>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</si>
  <si>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</si>
  <si>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</si>
  <si>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</si>
  <si>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</si>
  <si>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</si>
  <si>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</si>
  <si>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</si>
  <si>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</si>
  <si>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</si>
  <si>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</si>
  <si>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</si>
  <si>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</si>
  <si>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</si>
  <si>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</si>
  <si>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</si>
  <si>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</si>
  <si>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</si>
  <si>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</si>
  <si>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</si>
  <si>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</si>
  <si>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</si>
  <si>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</si>
  <si>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</si>
  <si>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</si>
  <si>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</si>
  <si>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</si>
  <si>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</si>
  <si>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</si>
  <si>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</si>
  <si>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</si>
  <si>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</si>
  <si>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</si>
  <si>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</si>
  <si>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</si>
  <si>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</si>
  <si>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</si>
  <si>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</si>
  <si>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</si>
  <si>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</si>
  <si>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</si>
  <si>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</si>
  <si>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</si>
  <si>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</si>
  <si>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</si>
  <si>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</si>
  <si>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</si>
  <si>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</si>
  <si>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</si>
  <si>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</si>
  <si>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</si>
  <si>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</si>
  <si>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</si>
  <si>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</si>
  <si>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</si>
  <si>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</si>
  <si>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</si>
  <si>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</si>
  <si>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</si>
  <si>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</si>
  <si>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</si>
  <si>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</si>
  <si>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</si>
  <si>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</si>
  <si>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</si>
  <si>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</si>
  <si>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</si>
  <si>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</si>
  <si>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</si>
  <si>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</si>
  <si>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</si>
  <si>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</si>
  <si>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</si>
  <si>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</si>
  <si>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</si>
  <si>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</si>
  <si>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</si>
  <si>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</si>
  <si>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</si>
  <si>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</si>
  <si>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</si>
  <si>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</si>
  <si>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</si>
  <si>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</si>
  <si>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</si>
  <si>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</si>
  <si>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</si>
  <si>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</si>
  <si>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</si>
  <si>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</si>
  <si>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</si>
  <si>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</si>
  <si>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</si>
  <si>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</si>
  <si>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</si>
  <si>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</si>
  <si>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</si>
  <si>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</si>
  <si>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</si>
  <si>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</si>
  <si>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</si>
  <si>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</si>
  <si>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</si>
  <si>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</si>
  <si>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</si>
  <si>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</si>
  <si>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</si>
  <si>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</si>
  <si>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</si>
  <si>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</si>
  <si>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</si>
  <si>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</si>
  <si>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</si>
  <si>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</si>
  <si>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</si>
  <si>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</si>
  <si>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</si>
  <si>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</si>
  <si>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</si>
  <si>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</si>
  <si>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</si>
  <si>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</si>
  <si>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</si>
  <si>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</si>
  <si>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</si>
  <si>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</si>
  <si>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</si>
  <si>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</si>
  <si>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</si>
  <si>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</si>
  <si>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</si>
  <si>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</si>
  <si>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</si>
  <si>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</si>
  <si>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</si>
  <si>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</si>
  <si>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</si>
  <si>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</si>
  <si>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</si>
  <si>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</si>
  <si>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</si>
  <si>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</si>
  <si>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</si>
  <si>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</si>
  <si>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</si>
  <si>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</si>
  <si>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</si>
  <si>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</si>
  <si>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</si>
  <si>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</si>
  <si>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</si>
  <si>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</si>
  <si>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</si>
  <si>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</si>
  <si>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</si>
  <si>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</si>
  <si>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</si>
  <si>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</si>
  <si>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</si>
  <si>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</si>
  <si>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</si>
  <si>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</si>
  <si>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</si>
  <si>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</si>
  <si>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</si>
  <si>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</si>
  <si>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</si>
  <si>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</si>
  <si>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</si>
  <si>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</si>
  <si>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</si>
  <si>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</si>
  <si>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</si>
  <si>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</si>
  <si>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</si>
  <si>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</si>
  <si>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</si>
  <si>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</si>
  <si>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</si>
  <si>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</si>
  <si>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</si>
  <si>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</si>
  <si>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</si>
  <si>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</si>
  <si>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</si>
  <si>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</si>
  <si>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</si>
  <si>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</si>
  <si>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</si>
  <si>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</si>
  <si>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</si>
  <si>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</si>
  <si>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</si>
  <si>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</si>
  <si>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</si>
  <si>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</si>
  <si>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</si>
  <si>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</si>
  <si>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</si>
  <si>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</si>
  <si>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</si>
  <si>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</si>
  <si>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</si>
  <si>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</si>
  <si>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</si>
  <si>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</si>
  <si>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</si>
  <si>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</si>
  <si>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</si>
  <si>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</si>
  <si>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</si>
  <si>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</si>
  <si>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</si>
  <si>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</si>
  <si>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</si>
  <si>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</si>
  <si>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</si>
  <si>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</si>
  <si>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</si>
  <si>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</si>
  <si>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</si>
  <si>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</si>
  <si>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</si>
  <si>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</si>
  <si>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</si>
  <si>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</si>
  <si>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</si>
  <si>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</si>
  <si>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</si>
  <si>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</si>
  <si>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</si>
  <si>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</si>
  <si>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</si>
  <si>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</si>
  <si>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</si>
  <si>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</si>
  <si>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</si>
  <si>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</si>
  <si>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</si>
  <si>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</si>
  <si>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</si>
  <si>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</si>
  <si>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</si>
  <si>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</si>
  <si>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</si>
  <si>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</si>
  <si>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</si>
  <si>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</si>
  <si>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</si>
  <si>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</si>
  <si>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</si>
  <si>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</si>
  <si>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</si>
  <si>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</si>
  <si>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</si>
  <si>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</si>
  <si>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</si>
  <si>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</si>
  <si>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</si>
  <si>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</si>
  <si>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</si>
  <si>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</si>
  <si>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</si>
  <si>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</si>
  <si>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</si>
  <si>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</si>
  <si>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</si>
  <si>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</si>
  <si>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</si>
  <si>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</si>
  <si>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</si>
  <si>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</si>
  <si>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</si>
  <si>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</si>
  <si>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</si>
  <si>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</si>
  <si>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</si>
  <si>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</si>
  <si>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</si>
  <si>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</si>
  <si>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</si>
  <si>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</si>
  <si>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</si>
  <si>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</si>
  <si>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</si>
  <si>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</si>
  <si>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</si>
  <si>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</si>
  <si>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</si>
  <si>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</si>
  <si>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</si>
  <si>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</si>
  <si>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</si>
  <si>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</si>
  <si>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</si>
  <si>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</si>
  <si>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</si>
  <si>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</si>
  <si>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</si>
  <si>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</si>
  <si>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</si>
  <si>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</si>
  <si>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</si>
  <si>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</si>
  <si>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</si>
  <si>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</si>
  <si>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</si>
  <si>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</si>
  <si>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</si>
  <si>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</si>
  <si>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</si>
  <si>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</si>
  <si>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</si>
  <si>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</si>
  <si>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</si>
  <si>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</si>
  <si>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</si>
  <si>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</si>
  <si>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</si>
  <si>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</si>
  <si>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</si>
  <si>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</si>
  <si>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</si>
  <si>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</si>
  <si>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</si>
  <si>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</si>
  <si>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</si>
  <si>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</si>
  <si>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</si>
  <si>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</si>
  <si>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</si>
  <si>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</si>
  <si>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</si>
  <si>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</si>
  <si>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</si>
  <si>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</si>
  <si>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</si>
  <si>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</si>
  <si>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</si>
  <si>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</si>
  <si>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</si>
  <si>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</si>
  <si>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</si>
  <si>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</si>
  <si>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</si>
  <si>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</si>
  <si>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</si>
  <si>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</si>
  <si>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</si>
  <si>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</si>
  <si>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</si>
  <si>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</si>
  <si>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</si>
  <si>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</si>
  <si>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</si>
  <si>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</si>
  <si>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</si>
  <si>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</si>
  <si>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</si>
  <si>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</si>
  <si>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</si>
  <si>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</si>
  <si>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</si>
  <si>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</si>
  <si>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</si>
  <si>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</si>
  <si>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</si>
  <si>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</si>
  <si>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</si>
  <si>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</si>
  <si>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</si>
  <si>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</si>
  <si>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</si>
  <si>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</si>
  <si>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</si>
  <si>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</si>
  <si>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</si>
  <si>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</si>
  <si>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</si>
  <si>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</si>
  <si>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</si>
  <si>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</si>
  <si>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</si>
  <si>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</si>
  <si>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</si>
  <si>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</si>
  <si>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</si>
  <si>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</si>
  <si>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</si>
  <si>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</si>
  <si>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</si>
  <si>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</si>
  <si>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</si>
  <si>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</si>
  <si>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</si>
  <si>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</si>
  <si>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</si>
  <si>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</si>
  <si>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</si>
  <si>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</si>
  <si>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</si>
  <si>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</si>
  <si>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</si>
  <si>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</si>
  <si>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</si>
  <si>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</si>
  <si>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</si>
  <si>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</si>
  <si>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</si>
  <si>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</si>
  <si>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</si>
  <si>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</si>
  <si>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</si>
  <si>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</si>
  <si>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</si>
  <si>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</si>
  <si>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</si>
  <si>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</si>
  <si>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</si>
  <si>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</si>
  <si>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</si>
  <si>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</si>
  <si>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</si>
  <si>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</si>
  <si>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</si>
  <si>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</si>
  <si>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</si>
  <si>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</si>
  <si>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</si>
  <si>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</si>
  <si>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</si>
  <si>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</si>
  <si>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</si>
  <si>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</si>
  <si>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</si>
  <si>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</si>
  <si>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</si>
  <si>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</si>
  <si>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</si>
  <si>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</si>
  <si>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</si>
  <si>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</si>
  <si>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</si>
  <si>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</si>
  <si>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</si>
  <si>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</si>
  <si>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</si>
  <si>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</si>
  <si>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</si>
  <si>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</si>
  <si>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</si>
  <si>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</si>
  <si>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</si>
  <si>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</si>
  <si>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</si>
  <si>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</si>
  <si>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</si>
  <si>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</si>
  <si>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</si>
  <si>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</si>
  <si>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</si>
  <si>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</si>
  <si>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</si>
  <si>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</si>
  <si>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</si>
  <si>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</si>
  <si>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</si>
  <si>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</si>
  <si>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</si>
  <si>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</si>
  <si>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</si>
  <si>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</si>
  <si>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</si>
  <si>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</si>
  <si>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</si>
  <si>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</si>
  <si>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</si>
  <si>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</si>
  <si>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</si>
  <si>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</si>
  <si>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</si>
  <si>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</si>
  <si>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</si>
  <si>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</si>
  <si>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</si>
  <si>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</si>
  <si>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</si>
  <si>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</si>
  <si>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</si>
  <si>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</si>
  <si>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</si>
  <si>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</si>
  <si>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</si>
  <si>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</si>
  <si>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</si>
  <si>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</si>
  <si>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</si>
  <si>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</si>
  <si>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</si>
  <si>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</si>
  <si>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</si>
  <si>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</si>
  <si>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</si>
  <si>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</si>
  <si>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</si>
  <si>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</si>
  <si>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</si>
  <si>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</si>
  <si>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</si>
  <si>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</si>
  <si>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</si>
  <si>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</si>
  <si>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</si>
  <si>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</si>
  <si>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</si>
  <si>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</si>
  <si>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</si>
  <si>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</si>
  <si>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</si>
  <si>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</si>
  <si>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</si>
  <si>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</si>
  <si>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</si>
  <si>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</si>
  <si>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</si>
  <si>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</si>
  <si>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</si>
  <si>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</si>
  <si>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</si>
  <si>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</si>
  <si>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</si>
  <si>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</si>
  <si>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</si>
  <si>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</si>
  <si>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</si>
  <si>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</si>
  <si>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</si>
  <si>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</si>
  <si>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</si>
  <si>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</si>
  <si>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</si>
  <si>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</si>
  <si>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</si>
  <si>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</si>
  <si>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</si>
  <si>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</si>
  <si>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</si>
  <si>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</si>
  <si>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</si>
  <si>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</si>
  <si>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</si>
  <si>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</si>
  <si>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</si>
  <si>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</si>
  <si>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</si>
  <si>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</si>
  <si>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</si>
  <si>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</si>
  <si>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</si>
  <si>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</si>
  <si>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</si>
  <si>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</si>
  <si>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</si>
  <si>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</si>
  <si>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</si>
  <si>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</si>
  <si>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</si>
  <si>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</si>
  <si>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</si>
  <si>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</si>
  <si>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</si>
  <si>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</si>
  <si>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</si>
  <si>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</si>
  <si>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</si>
  <si>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</si>
  <si>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</si>
  <si>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</si>
  <si>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</si>
  <si>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</si>
  <si>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</si>
  <si>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</si>
  <si>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</si>
  <si>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</si>
  <si>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</si>
  <si>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</si>
  <si>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</si>
  <si>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</si>
  <si>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</si>
  <si>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</si>
  <si>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</si>
  <si>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</si>
  <si>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</si>
  <si>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</si>
  <si>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</si>
  <si>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</si>
  <si>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</si>
  <si>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</si>
  <si>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</si>
  <si>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</si>
  <si>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</si>
  <si>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</si>
  <si>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</si>
  <si>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</si>
  <si>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</si>
  <si>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</si>
  <si>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</si>
  <si>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</si>
  <si>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</si>
  <si>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</si>
  <si>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</si>
  <si>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</si>
  <si>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</si>
  <si>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</si>
  <si>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</si>
  <si>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</si>
  <si>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</si>
  <si>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</si>
  <si>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</si>
  <si>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</si>
  <si>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</si>
  <si>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</si>
  <si>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</si>
  <si>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</si>
  <si>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</si>
  <si>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</si>
  <si>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</si>
  <si>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</si>
  <si>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</si>
  <si>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</si>
  <si>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</si>
  <si>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</si>
  <si>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</si>
  <si>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</si>
  <si>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</si>
  <si>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</si>
  <si>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</si>
  <si>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</si>
  <si>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</si>
  <si>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</si>
  <si>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</si>
  <si>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</si>
  <si>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</si>
  <si>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</si>
  <si>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</si>
  <si>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</si>
  <si>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</si>
  <si>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</si>
  <si>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</si>
  <si>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</si>
  <si>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</si>
  <si>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</si>
  <si>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</si>
  <si>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</si>
  <si>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</si>
  <si>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</si>
  <si>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</si>
  <si>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</si>
  <si>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</si>
  <si>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</si>
  <si>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</si>
  <si>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</si>
  <si>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</si>
  <si>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</si>
  <si>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</si>
  <si>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</si>
  <si>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</si>
  <si>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</si>
  <si>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</si>
  <si>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</si>
  <si>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</si>
  <si>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</si>
  <si>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</si>
  <si>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</si>
  <si>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</si>
  <si>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</si>
  <si>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</si>
  <si>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</si>
  <si>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</si>
  <si>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</si>
  <si>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</si>
  <si>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</si>
  <si>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</si>
  <si>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</si>
  <si>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</si>
  <si>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</si>
  <si>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</si>
  <si>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</si>
  <si>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</si>
  <si>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</si>
  <si>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</si>
  <si>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</si>
  <si>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</si>
  <si>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</si>
  <si>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</si>
  <si>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</si>
  <si>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</si>
  <si>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</si>
  <si>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</si>
  <si>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</si>
  <si>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</si>
  <si>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</si>
  <si>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</si>
  <si>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</si>
  <si>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</si>
  <si>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</si>
  <si>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</si>
  <si>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</si>
  <si>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</si>
  <si>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</si>
  <si>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</si>
  <si>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</si>
  <si>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</si>
  <si>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</si>
  <si>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</si>
  <si>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</si>
  <si>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</si>
  <si>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</si>
  <si>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</si>
  <si>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</si>
  <si>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</si>
  <si>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</si>
  <si>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</si>
  <si>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</si>
  <si>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</si>
  <si>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</si>
  <si>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</si>
  <si>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</si>
  <si>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</si>
  <si>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</si>
  <si>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</si>
  <si>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</si>
  <si>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</si>
  <si>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</si>
  <si>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</si>
  <si>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</si>
  <si>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</si>
  <si>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</si>
  <si>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</si>
  <si>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</si>
  <si>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</si>
  <si>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</si>
  <si>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</si>
  <si>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</si>
  <si>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</si>
  <si>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</si>
  <si>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</si>
  <si>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</si>
  <si>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</si>
  <si>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</si>
  <si>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</si>
  <si>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</si>
  <si>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</si>
  <si>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</si>
  <si>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</si>
  <si>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</si>
  <si>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</si>
  <si>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</si>
  <si>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</si>
  <si>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</si>
  <si>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</si>
  <si>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</si>
  <si>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</si>
  <si>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</si>
  <si>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</si>
  <si>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</si>
  <si>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</si>
  <si>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</si>
  <si>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</si>
  <si>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</si>
  <si>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</si>
  <si>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</si>
  <si>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</si>
  <si>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</si>
  <si>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</si>
  <si>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</si>
  <si>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</si>
  <si>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</si>
  <si>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</si>
  <si>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</si>
  <si>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</si>
  <si>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</si>
  <si>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</si>
  <si>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</si>
  <si>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</si>
  <si>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</si>
  <si>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</si>
  <si>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</si>
  <si>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</si>
  <si>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</si>
  <si>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</si>
  <si>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</si>
  <si>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</si>
  <si>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</si>
  <si>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</si>
  <si>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</si>
  <si>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</si>
  <si>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</si>
  <si>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</si>
  <si>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</si>
  <si>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</si>
  <si>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</si>
  <si>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</si>
  <si>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</si>
  <si>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</si>
  <si>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</si>
  <si>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</si>
  <si>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</si>
  <si>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</si>
  <si>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</si>
  <si>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</si>
  <si>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</si>
  <si>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</si>
  <si>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</si>
  <si>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</si>
  <si>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</si>
  <si>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</si>
  <si>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</si>
  <si>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</si>
  <si>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</si>
  <si>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</si>
  <si>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</si>
  <si>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</si>
  <si>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</si>
  <si>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</si>
  <si>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</si>
  <si>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</si>
  <si>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</si>
  <si>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</si>
  <si>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</si>
  <si>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</si>
  <si>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</si>
  <si>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</si>
  <si>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</si>
  <si>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</si>
  <si>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</si>
  <si>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</si>
  <si>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</si>
  <si>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</si>
  <si>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</si>
  <si>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</si>
  <si>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</si>
  <si>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</si>
  <si>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</si>
  <si>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</si>
  <si>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</si>
  <si>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</si>
  <si>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</si>
  <si>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</si>
  <si>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</si>
  <si>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</si>
  <si>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</si>
  <si>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</si>
  <si>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</si>
  <si>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</si>
  <si>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</si>
  <si>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</si>
  <si>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</si>
  <si>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</si>
  <si>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</si>
  <si>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</si>
  <si>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</si>
  <si>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</si>
  <si>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</si>
  <si>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</si>
  <si>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</si>
  <si>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</si>
  <si>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</si>
  <si>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</si>
  <si>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</si>
  <si>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</si>
  <si>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</si>
  <si>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</si>
  <si>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</si>
  <si>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</si>
  <si>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</si>
  <si>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</si>
  <si>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</si>
  <si>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</si>
  <si>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</si>
  <si>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</si>
  <si>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</si>
  <si>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</si>
  <si>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</si>
  <si>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</si>
  <si>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</si>
  <si>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</si>
  <si>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</si>
  <si>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</si>
  <si>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</si>
  <si>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</si>
  <si>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</si>
  <si>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</si>
  <si>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</si>
  <si>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</si>
  <si>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</si>
  <si>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</si>
  <si>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</si>
  <si>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</si>
  <si>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</si>
  <si>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</si>
  <si>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</si>
  <si>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</si>
  <si>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</si>
  <si>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</si>
  <si>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</si>
  <si>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</si>
  <si>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</si>
  <si>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</si>
  <si>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</si>
  <si>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</si>
  <si>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</si>
  <si>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</si>
  <si>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</si>
  <si>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</si>
  <si>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</si>
  <si>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</si>
  <si>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</si>
  <si>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</si>
  <si>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</si>
  <si>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</si>
  <si>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</si>
  <si>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</si>
  <si>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</si>
  <si>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</si>
  <si>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</si>
  <si>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</si>
  <si>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</si>
  <si>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</si>
  <si>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</si>
  <si>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</si>
  <si>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</si>
  <si>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</si>
  <si>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</si>
  <si>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</si>
  <si>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</si>
  <si>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</si>
  <si>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</si>
  <si>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</si>
  <si>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</si>
  <si>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</si>
  <si>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</si>
  <si>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</si>
  <si>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</si>
  <si>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</si>
  <si>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</si>
  <si>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</si>
  <si>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</si>
  <si>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</si>
  <si>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</si>
  <si>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</si>
  <si>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</si>
  <si>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</si>
  <si>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</si>
  <si>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</si>
  <si>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</si>
  <si>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</si>
  <si>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</si>
  <si>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</si>
  <si>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</si>
  <si>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</si>
  <si>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</si>
  <si>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</si>
  <si>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</si>
  <si>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</si>
  <si>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</si>
  <si>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</si>
  <si>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</si>
  <si>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</si>
  <si>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</si>
  <si>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</si>
  <si>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</si>
  <si>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</si>
  <si>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</si>
  <si>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</si>
  <si>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</si>
  <si>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</si>
  <si>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</si>
  <si>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</si>
  <si>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</si>
  <si>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</si>
  <si>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</si>
  <si>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</si>
  <si>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</si>
  <si>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</si>
  <si>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</si>
  <si>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</si>
  <si>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</si>
  <si>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</si>
  <si>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</si>
  <si>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</si>
  <si>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</si>
  <si>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</si>
  <si>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</si>
  <si>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</si>
  <si>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</si>
  <si>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</si>
  <si>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</si>
  <si>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</si>
  <si>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</si>
  <si>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</si>
  <si>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</si>
  <si>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</si>
  <si>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</si>
  <si>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</si>
  <si>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</si>
  <si>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</si>
  <si>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</si>
  <si>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</si>
  <si>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</si>
  <si>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</si>
  <si>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</si>
  <si>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</si>
  <si>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</si>
  <si>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</si>
  <si>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</si>
  <si>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</si>
  <si>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</si>
  <si>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</si>
  <si>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</si>
  <si>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</si>
  <si>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</si>
  <si>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</si>
  <si>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</si>
  <si>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</si>
  <si>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</si>
  <si>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</si>
  <si>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</si>
  <si>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</si>
  <si>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</si>
  <si>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</si>
  <si>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</si>
  <si>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</si>
  <si>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</si>
  <si>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</si>
  <si>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</si>
  <si>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</si>
  <si>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</si>
  <si>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</si>
  <si>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</si>
  <si>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</si>
  <si>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</si>
  <si>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</si>
  <si>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</si>
  <si>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</si>
  <si>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</si>
  <si>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</si>
  <si>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</si>
  <si>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</si>
  <si>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</si>
  <si>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</si>
  <si>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</si>
  <si>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</si>
  <si>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</si>
  <si>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</si>
  <si>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</si>
  <si>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</si>
  <si>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</si>
  <si>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</si>
  <si>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</si>
  <si>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</si>
  <si>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</si>
  <si>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</si>
  <si>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</si>
  <si>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</si>
  <si>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</si>
  <si>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</si>
  <si>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</si>
  <si>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</si>
  <si>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</si>
  <si>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</si>
  <si>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</si>
  <si>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</si>
  <si>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</si>
  <si>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</si>
  <si>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</si>
  <si>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</si>
  <si>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</si>
  <si>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</si>
  <si>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</si>
  <si>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</si>
  <si>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</si>
  <si>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</si>
  <si>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</si>
  <si>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</si>
  <si>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</si>
  <si>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</si>
  <si>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</si>
  <si>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</si>
  <si>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</si>
  <si>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</si>
  <si>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</si>
  <si>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</si>
  <si>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</si>
  <si>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</si>
  <si>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</si>
  <si>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</si>
  <si>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</si>
  <si>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</si>
  <si>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</si>
  <si>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</si>
  <si>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</si>
  <si>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</si>
  <si>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</si>
  <si>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</si>
  <si>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</si>
  <si>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</si>
  <si>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</si>
  <si>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</si>
  <si>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</si>
  <si>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</si>
  <si>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</si>
  <si>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</si>
  <si>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</si>
  <si>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</si>
  <si>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</si>
  <si>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</si>
  <si>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</si>
  <si>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</si>
  <si>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</si>
  <si>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</si>
  <si>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</si>
  <si>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</si>
  <si>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</si>
  <si>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</si>
  <si>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</si>
  <si>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</si>
  <si>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</si>
  <si>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</si>
  <si>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</si>
  <si>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</si>
  <si>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</si>
  <si>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</si>
  <si>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</si>
  <si>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</si>
  <si>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</si>
  <si>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</si>
  <si>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</si>
  <si>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</si>
  <si>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</si>
  <si>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</si>
  <si>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</si>
  <si>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</si>
  <si>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</si>
  <si>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</si>
  <si>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</si>
  <si>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</si>
  <si>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</si>
  <si>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</si>
  <si>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</si>
  <si>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</si>
  <si>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</si>
  <si>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</si>
  <si>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</si>
  <si>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</si>
  <si>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</si>
  <si>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</si>
  <si>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</si>
  <si>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</si>
  <si>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</si>
  <si>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</si>
  <si>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</si>
  <si>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</si>
  <si>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</si>
  <si>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</si>
  <si>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</si>
  <si>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</si>
  <si>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</si>
  <si>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</si>
  <si>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</si>
  <si>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</si>
  <si>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</si>
  <si>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</si>
  <si>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</si>
  <si>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</si>
  <si>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</si>
  <si>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</si>
  <si>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</si>
  <si>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</si>
  <si>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</si>
  <si>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</si>
  <si>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</si>
  <si>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</si>
  <si>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</si>
  <si>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</si>
  <si>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</si>
  <si>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</si>
  <si>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</si>
  <si>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</si>
  <si>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</si>
  <si>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</si>
  <si>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</si>
  <si>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</si>
  <si>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</si>
  <si>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</si>
  <si>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</si>
  <si>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</si>
  <si>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</si>
  <si>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</si>
  <si>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</si>
  <si>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</si>
  <si>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</si>
  <si>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</si>
  <si>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</si>
  <si>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</si>
  <si>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</si>
  <si>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</si>
  <si>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</si>
  <si>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</si>
  <si>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</si>
  <si>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</si>
  <si>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</si>
  <si>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</si>
  <si>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</si>
  <si>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</si>
  <si>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</si>
  <si>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</si>
  <si>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</si>
  <si>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</si>
  <si>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</si>
  <si>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</si>
  <si>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</si>
  <si>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</si>
  <si>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</si>
  <si>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</si>
  <si>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</si>
  <si>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</si>
  <si>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</si>
  <si>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</si>
  <si>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</si>
  <si>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</si>
  <si>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</si>
  <si>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</si>
  <si>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</si>
  <si>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</si>
  <si>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</si>
  <si>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</si>
  <si>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</si>
  <si>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</si>
  <si>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</si>
  <si>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</si>
  <si>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</si>
  <si>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</si>
  <si>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</si>
  <si>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</si>
  <si>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</si>
  <si>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</si>
  <si>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</si>
  <si>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</si>
  <si>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</si>
  <si>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</si>
  <si>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</si>
  <si>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</si>
  <si>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</si>
  <si>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</si>
  <si>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</si>
  <si>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</si>
  <si>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</si>
  <si>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</si>
  <si>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</si>
  <si>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</si>
  <si>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</si>
  <si>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</si>
  <si>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</si>
  <si>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</si>
  <si>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</si>
  <si>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</si>
  <si>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</si>
  <si>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</si>
  <si>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</si>
  <si>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</si>
  <si>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</si>
  <si>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</si>
  <si>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</si>
  <si>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</si>
  <si>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</si>
  <si>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</si>
  <si>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</si>
  <si>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</si>
  <si>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</si>
  <si>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</si>
  <si>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</si>
  <si>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</si>
  <si>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</si>
  <si>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</si>
  <si>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</si>
  <si>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</si>
  <si>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</si>
  <si>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</si>
  <si>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</si>
  <si>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</si>
  <si>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</si>
  <si>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</si>
  <si>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</si>
  <si>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</si>
  <si>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</si>
  <si>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</si>
  <si>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</si>
  <si>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</si>
  <si>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</si>
  <si>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</si>
  <si>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</si>
  <si>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</si>
  <si>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</si>
  <si>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</si>
  <si>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</si>
  <si>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</si>
  <si>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</si>
  <si>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</si>
  <si>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</si>
  <si>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</si>
  <si>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</si>
  <si>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</si>
  <si>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</si>
  <si>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</si>
  <si>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</si>
  <si>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</si>
  <si>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</si>
  <si>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</si>
  <si>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</si>
  <si>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</si>
  <si>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</si>
  <si>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</si>
  <si>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</si>
  <si>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</si>
  <si>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</si>
  <si>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</si>
  <si>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</si>
  <si>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</si>
  <si>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</si>
  <si>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</si>
  <si>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</si>
  <si>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</si>
  <si>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</si>
  <si>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</si>
  <si>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</si>
  <si>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</si>
  <si>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</si>
  <si>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</si>
  <si>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</si>
  <si>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</si>
  <si>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</si>
  <si>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</si>
  <si>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</si>
  <si>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</si>
  <si>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</si>
  <si>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</si>
  <si>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</si>
  <si>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</si>
  <si>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</si>
  <si>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</si>
  <si>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</si>
  <si>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</si>
  <si>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</si>
  <si>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</si>
  <si>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</si>
  <si>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</si>
  <si>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</si>
  <si>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</si>
  <si>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</si>
  <si>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</si>
  <si>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</si>
  <si>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</si>
  <si>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</si>
  <si>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</si>
  <si>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</si>
  <si>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</si>
  <si>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</si>
  <si>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</si>
  <si>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</si>
  <si>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</si>
  <si>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</si>
  <si>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</si>
  <si>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</si>
  <si>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</si>
  <si>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</si>
  <si>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</si>
  <si>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</si>
  <si>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</si>
  <si>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</si>
  <si>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</si>
  <si>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</si>
  <si>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</si>
  <si>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</si>
  <si>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</si>
  <si>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</si>
  <si>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</si>
  <si>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</si>
  <si>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</si>
  <si>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</si>
  <si>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</si>
  <si>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</si>
  <si>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</si>
  <si>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</si>
  <si>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</si>
  <si>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</si>
  <si>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</si>
  <si>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</si>
  <si>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</si>
  <si>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</si>
  <si>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</si>
  <si>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</si>
  <si>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</si>
  <si>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</si>
  <si>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</si>
  <si>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</si>
  <si>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</si>
  <si>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</si>
  <si>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</si>
  <si>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</si>
  <si>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</si>
  <si>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</si>
  <si>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</si>
  <si>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</si>
  <si>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</si>
  <si>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</si>
  <si>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</si>
  <si>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</si>
  <si>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</si>
  <si>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</si>
  <si>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</si>
  <si>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</si>
  <si>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</si>
  <si>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</si>
  <si>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</si>
  <si>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</si>
  <si>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</si>
  <si>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</si>
  <si>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</si>
  <si>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</si>
  <si>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</si>
  <si>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</si>
  <si>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</si>
  <si>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</si>
  <si>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</si>
  <si>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</si>
  <si>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</si>
  <si>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</si>
  <si>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</si>
  <si>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</si>
  <si>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</si>
  <si>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</si>
  <si>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</si>
  <si>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</si>
  <si>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</si>
  <si>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</si>
  <si>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</si>
  <si>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</si>
  <si>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</si>
  <si>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</si>
  <si>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</si>
  <si>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</si>
  <si>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</si>
  <si>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</si>
  <si>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</si>
  <si>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</si>
  <si>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</si>
  <si>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</si>
  <si>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</si>
  <si>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</si>
  <si>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</si>
  <si>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</si>
  <si>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</si>
  <si>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</si>
  <si>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</si>
  <si>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</si>
  <si>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</si>
  <si>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</si>
  <si>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</si>
  <si>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</si>
  <si>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</si>
  <si>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</si>
  <si>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</si>
  <si>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</si>
  <si>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</si>
  <si>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</si>
  <si>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</si>
  <si>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</si>
  <si>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</si>
  <si>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</si>
  <si>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</si>
  <si>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</si>
  <si>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</si>
  <si>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</si>
  <si>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</si>
  <si>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</si>
  <si>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</si>
  <si>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</si>
  <si>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</si>
  <si>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</si>
  <si>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</si>
  <si>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</si>
  <si>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</si>
  <si>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</si>
  <si>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</si>
  <si>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</si>
  <si>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</si>
  <si>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</si>
  <si>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</si>
  <si>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</si>
  <si>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</si>
  <si>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</si>
  <si>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</si>
  <si>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</si>
  <si>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</si>
  <si>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</si>
  <si>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</si>
  <si>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</si>
  <si>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</si>
  <si>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</si>
  <si>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</si>
  <si>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</si>
  <si>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</si>
  <si>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</si>
  <si>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</si>
  <si>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</si>
  <si>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</si>
  <si>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</si>
  <si>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</si>
  <si>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</si>
  <si>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</si>
  <si>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</si>
  <si>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</si>
  <si>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</si>
  <si>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</si>
  <si>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</si>
  <si>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</si>
  <si>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</si>
  <si>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</si>
  <si>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</si>
  <si>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</si>
  <si>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</si>
  <si>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</si>
  <si>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</si>
  <si>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</si>
  <si>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</si>
  <si>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</si>
  <si>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</si>
  <si>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</si>
  <si>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</si>
  <si>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</si>
  <si>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</si>
  <si>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</si>
  <si>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</si>
  <si>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</si>
  <si>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</si>
  <si>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</si>
  <si>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</si>
  <si>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</si>
  <si>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</si>
  <si>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</si>
  <si>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</si>
  <si>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</si>
  <si>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</si>
  <si>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</si>
  <si>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</si>
  <si>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</si>
  <si>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</si>
  <si>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</si>
  <si>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</si>
  <si>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</si>
  <si>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</si>
  <si>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</si>
  <si>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</si>
  <si>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</si>
  <si>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</si>
  <si>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</si>
  <si>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</si>
  <si>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</si>
  <si>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</si>
  <si>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</si>
  <si>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</si>
  <si>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</si>
  <si>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</si>
  <si>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</si>
  <si>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</si>
  <si>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</si>
  <si>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</si>
  <si>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</si>
  <si>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</si>
  <si>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</si>
  <si>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</si>
  <si>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</si>
  <si>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</si>
  <si>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</si>
  <si>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</si>
  <si>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</si>
  <si>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</si>
  <si>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</si>
  <si>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</si>
  <si>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</si>
  <si>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</si>
  <si>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</si>
  <si>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</si>
  <si>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</si>
  <si>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</si>
  <si>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</si>
  <si>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</si>
  <si>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</si>
  <si>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</si>
  <si>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</si>
  <si>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</si>
  <si>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</si>
  <si>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</si>
  <si>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</si>
  <si>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</si>
  <si>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</si>
  <si>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</si>
  <si>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</si>
  <si>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</si>
  <si>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</si>
  <si>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</si>
  <si>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</si>
  <si>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</si>
  <si>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</si>
  <si>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</si>
  <si>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</si>
  <si>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</si>
  <si>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</si>
  <si>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</si>
  <si>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</si>
  <si>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</si>
  <si>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</si>
  <si>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</si>
  <si>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</si>
  <si>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</si>
  <si>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</si>
  <si>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</si>
  <si>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</si>
  <si>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</si>
  <si>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</si>
  <si>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</si>
  <si>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</si>
  <si>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</si>
  <si>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</si>
  <si>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</si>
  <si>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</si>
  <si>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</si>
  <si>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</si>
  <si>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</si>
  <si>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</si>
  <si>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</si>
  <si>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</si>
  <si>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</si>
  <si>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</si>
  <si>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</si>
  <si>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</si>
  <si>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</si>
  <si>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</si>
  <si>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</si>
  <si>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</si>
  <si>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</si>
  <si>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</si>
  <si>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</si>
  <si>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</si>
  <si>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</si>
  <si>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</si>
  <si>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</si>
  <si>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</si>
  <si>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</si>
  <si>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</si>
  <si>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</si>
  <si>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</si>
  <si>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</si>
  <si>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</si>
  <si>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</si>
  <si>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</si>
  <si>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</si>
  <si>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</si>
  <si>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</si>
  <si>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</si>
  <si>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</si>
  <si>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</si>
  <si>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</si>
  <si>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</si>
  <si>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</si>
  <si>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</si>
  <si>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</si>
  <si>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</si>
  <si>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</si>
  <si>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</si>
  <si>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</si>
  <si>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</si>
  <si>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</si>
  <si>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</si>
  <si>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</si>
  <si>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</si>
  <si>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</si>
  <si>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</si>
  <si>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</si>
  <si>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</si>
  <si>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</si>
  <si>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</si>
  <si>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</si>
  <si>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</si>
  <si>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</si>
  <si>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</si>
  <si>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</si>
  <si>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</si>
  <si>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</si>
  <si>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</si>
  <si>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</si>
  <si>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</si>
  <si>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</si>
  <si>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</si>
  <si>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</si>
  <si>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</si>
  <si>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</si>
  <si>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</si>
  <si>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</si>
  <si>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</si>
  <si>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</si>
  <si>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</si>
  <si>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</si>
  <si>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</si>
  <si>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</si>
  <si>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</si>
  <si>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</si>
  <si>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</si>
  <si>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</si>
  <si>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</si>
  <si>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</si>
  <si>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</si>
  <si>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</si>
  <si>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</si>
  <si>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</si>
  <si>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</si>
  <si>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</si>
  <si>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</si>
  <si>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</si>
  <si>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</si>
  <si>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</si>
  <si>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</si>
  <si>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</si>
  <si>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</si>
  <si>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</si>
  <si>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</si>
  <si>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</si>
  <si>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</si>
  <si>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</si>
  <si>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</si>
  <si>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</si>
  <si>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</si>
  <si>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</si>
  <si>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</si>
  <si>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</si>
  <si>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</si>
  <si>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</si>
  <si>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</si>
  <si>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</si>
  <si>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</si>
  <si>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</si>
  <si>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</si>
  <si>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</si>
  <si>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</si>
  <si>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</si>
  <si>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</si>
  <si>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</si>
  <si>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</si>
  <si>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</si>
  <si>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</si>
  <si>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</si>
  <si>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</si>
  <si>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</si>
  <si>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</si>
  <si>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</si>
  <si>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</si>
  <si>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</si>
  <si>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</si>
  <si>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</si>
  <si>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</si>
  <si>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</si>
  <si>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</si>
  <si>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</si>
  <si>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</si>
  <si>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</si>
  <si>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</si>
  <si>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</si>
  <si>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</si>
  <si>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</si>
  <si>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</si>
  <si>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</si>
  <si>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</si>
  <si>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</si>
  <si>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</si>
  <si>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</si>
  <si>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</si>
  <si>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</si>
  <si>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</si>
  <si>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</si>
  <si>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</si>
  <si>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</si>
  <si>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</si>
  <si>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</si>
  <si>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</si>
  <si>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</si>
  <si>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</si>
  <si>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</si>
  <si>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</si>
  <si>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</si>
  <si>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</si>
  <si>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</si>
  <si>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</si>
  <si>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</si>
  <si>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</si>
  <si>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</si>
  <si>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</si>
  <si>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</si>
  <si>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</si>
  <si>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</si>
  <si>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</si>
  <si>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</si>
  <si>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</si>
  <si>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</si>
  <si>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</si>
  <si>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</si>
  <si>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</si>
  <si>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</si>
  <si>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</si>
  <si>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</si>
  <si>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</si>
  <si>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</si>
  <si>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</si>
  <si>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</si>
  <si>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</si>
  <si>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</si>
  <si>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</si>
  <si>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</si>
  <si>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</si>
  <si>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</si>
  <si>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</si>
  <si>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</si>
  <si>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</si>
  <si>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</si>
  <si>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</si>
  <si>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</si>
  <si>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</si>
  <si>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</si>
  <si>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</si>
  <si>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</si>
  <si>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</si>
  <si>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</si>
  <si>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</si>
  <si>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</si>
  <si>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</si>
  <si>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</si>
  <si>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</si>
  <si>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</si>
  <si>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</si>
  <si>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</si>
  <si>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</si>
  <si>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</si>
  <si>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</si>
  <si>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</si>
  <si>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</si>
  <si>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</si>
  <si>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</si>
  <si>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</si>
  <si>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</si>
  <si>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</si>
  <si>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</si>
  <si>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</si>
  <si>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</si>
  <si>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</si>
  <si>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</si>
  <si>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</si>
  <si>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</si>
  <si>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</si>
  <si>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</si>
  <si>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</si>
  <si>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</si>
  <si>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</si>
  <si>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</si>
  <si>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</si>
  <si>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</si>
  <si>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</si>
  <si>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</si>
  <si>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</si>
  <si>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</si>
  <si>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</si>
  <si>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</si>
  <si>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</si>
  <si>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</si>
  <si>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</si>
  <si>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</si>
  <si>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</si>
  <si>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</si>
  <si>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</si>
  <si>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</si>
  <si>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</si>
  <si>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</si>
  <si>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</si>
  <si>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</si>
  <si>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</si>
  <si>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</si>
  <si>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</si>
  <si>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</si>
  <si>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</si>
  <si>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</si>
  <si>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</si>
  <si>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</si>
  <si>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</si>
  <si>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</si>
  <si>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</si>
  <si>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</si>
  <si>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</si>
  <si>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</si>
  <si>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</si>
  <si>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</si>
  <si>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</si>
  <si>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</si>
  <si>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</si>
  <si>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</si>
  <si>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</si>
  <si>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</si>
  <si>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</si>
  <si>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</si>
  <si>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</si>
  <si>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</si>
  <si>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</si>
  <si>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</si>
  <si>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</si>
  <si>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</si>
  <si>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</si>
  <si>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</si>
  <si>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</si>
  <si>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</si>
  <si>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</si>
  <si>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</si>
  <si>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</si>
  <si>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</si>
  <si>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</si>
  <si>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</si>
  <si>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</si>
  <si>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</si>
  <si>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</si>
  <si>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</si>
  <si>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</si>
  <si>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</si>
  <si>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</si>
  <si>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</si>
  <si>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</si>
  <si>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</si>
  <si>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</si>
  <si>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</si>
  <si>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</si>
  <si>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</si>
  <si>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</si>
  <si>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</si>
  <si>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</si>
  <si>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</si>
  <si>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</si>
  <si>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</si>
  <si>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</si>
  <si>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</si>
  <si>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</si>
  <si>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</si>
  <si>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</si>
  <si>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</si>
  <si>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</si>
  <si>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</si>
  <si>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</si>
  <si>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</si>
  <si>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</si>
  <si>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</si>
  <si>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</si>
  <si>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</si>
  <si>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</si>
  <si>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</si>
  <si>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</si>
  <si>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</si>
  <si>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</si>
  <si>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</si>
  <si>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</si>
  <si>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</si>
  <si>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</si>
  <si>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</si>
  <si>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</si>
  <si>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</si>
  <si>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</si>
  <si>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</si>
  <si>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</si>
  <si>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</si>
  <si>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</si>
  <si>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</si>
  <si>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</si>
  <si>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</si>
  <si>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</si>
  <si>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</si>
  <si>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</si>
  <si>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</si>
  <si>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</si>
  <si>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</si>
  <si>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</si>
  <si>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</si>
  <si>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</si>
  <si>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</si>
  <si>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</si>
  <si>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</si>
  <si>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</si>
  <si>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</si>
  <si>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</si>
  <si>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</si>
  <si>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</si>
  <si>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</si>
  <si>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</si>
  <si>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</si>
  <si>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</si>
  <si>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</si>
  <si>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</si>
  <si>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</si>
  <si>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</si>
  <si>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</si>
  <si>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</si>
  <si>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</si>
  <si>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</si>
  <si>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</si>
  <si>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</si>
  <si>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</si>
  <si>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</si>
  <si>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</si>
  <si>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</si>
  <si>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</si>
  <si>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</si>
  <si>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</si>
  <si>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</si>
  <si>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</si>
  <si>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</si>
  <si>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</si>
  <si>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</si>
  <si>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</si>
  <si>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</si>
  <si>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</si>
  <si>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</si>
  <si>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</si>
  <si>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</si>
  <si>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</si>
  <si>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</si>
  <si>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</si>
  <si>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</si>
  <si>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</si>
  <si>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</si>
  <si>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</si>
  <si>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</si>
  <si>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</si>
  <si>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</si>
  <si>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</si>
  <si>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</si>
  <si>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</si>
  <si>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</si>
  <si>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</si>
  <si>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</si>
  <si>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</si>
  <si>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</si>
  <si>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</si>
  <si>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</si>
  <si>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</si>
  <si>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</si>
  <si>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</si>
  <si>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</si>
  <si>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</si>
  <si>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</si>
  <si>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</si>
  <si>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</si>
  <si>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</si>
  <si>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</si>
  <si>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</si>
  <si>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</si>
  <si>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</si>
  <si>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</si>
  <si>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</si>
  <si>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</si>
  <si>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</si>
  <si>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</si>
  <si>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</si>
  <si>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</si>
  <si>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</si>
  <si>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</si>
  <si>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</si>
  <si>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</si>
  <si>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</si>
  <si>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</si>
  <si>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</si>
  <si>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</si>
  <si>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</si>
  <si>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</si>
  <si>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</si>
  <si>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</si>
  <si>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</si>
  <si>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</si>
  <si>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</si>
  <si>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</si>
  <si>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</si>
  <si>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</si>
  <si>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</si>
  <si>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</si>
  <si>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</si>
  <si>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</si>
  <si>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</si>
  <si>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</si>
  <si>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</si>
  <si>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</si>
  <si>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</si>
  <si>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</si>
  <si>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</si>
  <si>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</si>
  <si>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</si>
  <si>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</si>
  <si>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</si>
  <si>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</si>
  <si>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</si>
  <si>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</si>
  <si>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</si>
  <si>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</si>
  <si>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</si>
  <si>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</si>
  <si>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</si>
  <si>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</si>
  <si>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</si>
  <si>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</si>
  <si>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</si>
  <si>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</si>
  <si>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</si>
  <si>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</si>
  <si>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</si>
  <si>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</si>
  <si>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</si>
  <si>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</si>
  <si>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</si>
  <si>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</si>
  <si>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</si>
  <si>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</si>
  <si>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</si>
  <si>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</si>
  <si>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</si>
  <si>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</si>
  <si>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</si>
  <si>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</si>
  <si>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</si>
  <si>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</si>
  <si>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</si>
  <si>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</si>
  <si>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</si>
  <si>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</si>
  <si>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</si>
  <si>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</si>
  <si>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</si>
  <si>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</si>
  <si>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</si>
  <si>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</si>
  <si>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</si>
  <si>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</si>
  <si>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</si>
  <si>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</si>
  <si>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</si>
  <si>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</si>
  <si>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</si>
  <si>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</si>
  <si>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</si>
  <si>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</si>
  <si>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</si>
  <si>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</si>
  <si>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</si>
  <si>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</si>
  <si>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</si>
  <si>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</si>
  <si>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</si>
  <si>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</si>
  <si>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</si>
  <si>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</si>
  <si>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</si>
  <si>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</si>
  <si>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</si>
  <si>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</si>
  <si>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</si>
  <si>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</si>
  <si>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</si>
  <si>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</si>
  <si>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</si>
  <si>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</si>
  <si>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</si>
  <si>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</si>
  <si>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</si>
  <si>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</si>
  <si>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</si>
  <si>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</si>
  <si>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</si>
  <si>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</si>
  <si>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</si>
  <si>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</si>
  <si>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</si>
  <si>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</si>
  <si>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</si>
  <si>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</si>
  <si>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</si>
  <si>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</si>
  <si>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</si>
  <si>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</si>
  <si>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</si>
  <si>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</si>
  <si>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</si>
  <si>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</si>
  <si>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</si>
  <si>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</si>
  <si>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</si>
  <si>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</si>
  <si>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</si>
  <si>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</si>
  <si>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</si>
  <si>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</si>
  <si>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</si>
  <si>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</si>
  <si>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</si>
  <si>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</si>
  <si>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</si>
  <si>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</si>
  <si>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</si>
  <si>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</si>
  <si>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</si>
  <si>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</si>
  <si>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</si>
  <si>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</si>
  <si>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</si>
  <si>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</si>
  <si>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</si>
  <si>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</si>
  <si>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</si>
  <si>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</si>
  <si>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</si>
  <si>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</si>
  <si>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</si>
  <si>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</si>
  <si>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</si>
  <si>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</si>
  <si>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</si>
  <si>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</si>
  <si>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</si>
  <si>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</si>
  <si>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</si>
  <si>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</si>
  <si>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</si>
  <si>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</si>
  <si>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</si>
  <si>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</si>
  <si>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</si>
  <si>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</si>
  <si>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</si>
  <si>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</si>
  <si>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</si>
  <si>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</si>
  <si>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</si>
  <si>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</si>
  <si>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</si>
  <si>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</si>
  <si>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</si>
  <si>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</si>
  <si>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</si>
  <si>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</si>
  <si>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</si>
  <si>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</si>
  <si>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</si>
  <si>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</si>
  <si>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</si>
  <si>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</si>
  <si>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</si>
  <si>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</si>
  <si>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</si>
  <si>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</si>
  <si>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</si>
  <si>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</si>
  <si>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</si>
  <si>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</si>
  <si>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</si>
  <si>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</si>
  <si>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</si>
  <si>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</si>
  <si>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</si>
  <si>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</si>
  <si>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</si>
  <si>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</si>
  <si>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</si>
  <si>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</si>
  <si>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</si>
  <si>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</si>
  <si>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</si>
  <si>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</si>
  <si>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</si>
  <si>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</si>
  <si>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</si>
  <si>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</si>
  <si>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</si>
  <si>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</si>
  <si>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</si>
  <si>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</si>
  <si>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</si>
  <si>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</si>
  <si>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</si>
  <si>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</si>
  <si>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</si>
  <si>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</si>
  <si>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</si>
  <si>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</si>
  <si>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</si>
  <si>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</si>
  <si>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</si>
  <si>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</si>
  <si>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</si>
  <si>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</si>
  <si>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</si>
  <si>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</si>
  <si>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</si>
  <si>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</si>
  <si>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</si>
  <si>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</si>
  <si>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</si>
  <si>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</si>
  <si>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</si>
  <si>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</si>
  <si>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</si>
  <si>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</si>
  <si>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</si>
  <si>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</si>
  <si>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</si>
  <si>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</si>
  <si>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</si>
  <si>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</si>
  <si>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</si>
  <si>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</si>
  <si>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</si>
  <si>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</si>
  <si>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</si>
  <si>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</si>
  <si>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</si>
  <si>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</si>
  <si>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</si>
  <si>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</si>
  <si>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</si>
  <si>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</si>
  <si>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</si>
  <si>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</si>
  <si>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</si>
  <si>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</si>
  <si>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</si>
  <si>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</si>
  <si>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</si>
  <si>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</si>
  <si>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</si>
  <si>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</si>
  <si>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</si>
  <si>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</si>
  <si>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</si>
  <si>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</si>
  <si>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</si>
  <si>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</si>
  <si>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</si>
  <si>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</si>
  <si>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</si>
  <si>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</si>
  <si>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</si>
  <si>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</si>
  <si>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</si>
  <si>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</si>
  <si>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</si>
  <si>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</si>
  <si>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</si>
  <si>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</si>
  <si>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</si>
  <si>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</si>
  <si>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</si>
  <si>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</si>
  <si>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</si>
  <si>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</si>
  <si>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</si>
  <si>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</si>
  <si>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</si>
  <si>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</si>
  <si>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</si>
  <si>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</si>
  <si>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</si>
  <si>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</si>
  <si>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</si>
  <si>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</si>
  <si>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</si>
  <si>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</si>
  <si>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</si>
  <si>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</si>
  <si>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</si>
  <si>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</si>
  <si>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</si>
  <si>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</si>
  <si>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</si>
  <si>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</si>
  <si>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</si>
  <si>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</si>
  <si>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</si>
  <si>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</si>
  <si>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</si>
  <si>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</si>
  <si>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</si>
  <si>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</si>
  <si>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</si>
  <si>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</si>
  <si>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</si>
  <si>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</si>
  <si>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</si>
  <si>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</si>
  <si>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</si>
  <si>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</si>
  <si>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</si>
  <si>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</si>
  <si>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</si>
  <si>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</si>
  <si>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</si>
  <si>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</si>
  <si>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</si>
  <si>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</si>
  <si>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</si>
  <si>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</si>
  <si>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</si>
  <si>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</si>
  <si>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</si>
  <si>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</si>
  <si>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</si>
  <si>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</si>
  <si>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</si>
  <si>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</si>
  <si>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</si>
  <si>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</si>
  <si>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</si>
  <si>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</si>
  <si>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</si>
  <si>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</si>
  <si>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</si>
  <si>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</si>
  <si>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</si>
  <si>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</si>
  <si>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</si>
  <si>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</si>
  <si>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</si>
  <si>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</si>
  <si>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</si>
  <si>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</si>
  <si>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</si>
  <si>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</si>
  <si>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</si>
  <si>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</si>
  <si>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</si>
  <si>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</si>
  <si>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</si>
  <si>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</si>
  <si>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</si>
  <si>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</si>
  <si>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</si>
  <si>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</si>
  <si>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</si>
  <si>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</si>
  <si>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</si>
  <si>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</si>
  <si>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</si>
  <si>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</si>
  <si>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</si>
  <si>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</si>
  <si>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</si>
  <si>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</si>
  <si>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</si>
  <si>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</si>
  <si>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</si>
  <si>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</si>
  <si>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</si>
  <si>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</si>
  <si>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</si>
  <si>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</si>
  <si>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</si>
  <si>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</si>
  <si>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</si>
  <si>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</si>
  <si>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</si>
  <si>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</si>
  <si>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</si>
  <si>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</si>
  <si>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</si>
  <si>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</si>
  <si>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</si>
  <si>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</si>
  <si>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</si>
  <si>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</si>
  <si>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</si>
  <si>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</si>
  <si>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</si>
  <si>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</si>
  <si>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</si>
  <si>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</si>
  <si>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</si>
  <si>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</si>
  <si>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</si>
  <si>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</si>
  <si>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</si>
  <si>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</si>
  <si>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</si>
  <si>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</si>
  <si>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</si>
  <si>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</si>
  <si>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</si>
  <si>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</si>
  <si>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</si>
  <si>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</si>
  <si>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</si>
  <si>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</si>
  <si>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</si>
  <si>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</si>
  <si>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</si>
  <si>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</si>
  <si>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</si>
  <si>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</si>
  <si>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</si>
  <si>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</si>
  <si>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</si>
  <si>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</si>
  <si>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</si>
  <si>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</si>
  <si>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</si>
  <si>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</si>
  <si>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</si>
  <si>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</si>
  <si>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</si>
  <si>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</si>
  <si>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</si>
  <si>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</si>
  <si>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</si>
  <si>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</si>
  <si>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</si>
  <si>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</si>
  <si>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</si>
  <si>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</si>
  <si>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</si>
  <si>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</si>
  <si>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</si>
  <si>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</si>
  <si>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</si>
  <si>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</si>
  <si>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</si>
  <si>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</si>
  <si>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</si>
  <si>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</si>
  <si>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</si>
  <si>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</si>
  <si>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</si>
  <si>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</si>
  <si>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</si>
  <si>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</si>
  <si>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</si>
  <si>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</si>
  <si>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</si>
  <si>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</si>
  <si>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</si>
  <si>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</si>
  <si>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</si>
  <si>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</si>
  <si>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</si>
  <si>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</si>
  <si>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</si>
  <si>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</si>
  <si>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</si>
  <si>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</si>
  <si>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</si>
  <si>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</si>
  <si>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</si>
  <si>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</si>
  <si>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</si>
  <si>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</si>
  <si>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</si>
  <si>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</si>
  <si>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</si>
  <si>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</si>
  <si>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</si>
  <si>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</si>
  <si>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</si>
  <si>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</si>
  <si>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</si>
  <si>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</si>
  <si>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</si>
  <si>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</si>
  <si>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</si>
  <si>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</si>
  <si>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</si>
  <si>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</si>
  <si>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</si>
  <si>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</si>
  <si>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</si>
  <si>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</si>
  <si>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</si>
  <si>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</si>
  <si>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</si>
  <si>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</si>
  <si>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</si>
  <si>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</si>
  <si>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</si>
  <si>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</si>
  <si>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</si>
  <si>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</si>
  <si>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</si>
  <si>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</si>
  <si>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</si>
  <si>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</si>
  <si>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</si>
  <si>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</si>
  <si>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</si>
  <si>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</si>
  <si>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</si>
  <si>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</si>
  <si>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</si>
  <si>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</si>
  <si>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</si>
  <si>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</si>
  <si>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</si>
  <si>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</si>
  <si>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</si>
  <si>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</si>
  <si>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</si>
  <si>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</si>
  <si>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</si>
  <si>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</si>
  <si>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</si>
  <si>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</si>
  <si>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</si>
  <si>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</si>
  <si>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</si>
  <si>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</si>
  <si>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</si>
  <si>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</si>
  <si>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</si>
  <si>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</si>
  <si>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</si>
  <si>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</si>
  <si>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</si>
  <si>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</si>
  <si>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</si>
  <si>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</si>
  <si>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</si>
  <si>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</si>
  <si>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</si>
  <si>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</si>
  <si>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</si>
  <si>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</si>
  <si>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</si>
  <si>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</si>
  <si>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</si>
  <si>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</si>
  <si>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</si>
  <si>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</si>
  <si>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</si>
  <si>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</si>
  <si>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</si>
  <si>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</si>
  <si>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</si>
  <si>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</si>
  <si>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</si>
  <si>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</si>
  <si>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</si>
  <si>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</si>
  <si>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</si>
  <si>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</si>
  <si>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</si>
  <si>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</si>
  <si>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</si>
  <si>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</si>
  <si>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</si>
  <si>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</si>
  <si>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</si>
  <si>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</si>
  <si>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</si>
  <si>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</si>
  <si>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</si>
  <si>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</si>
  <si>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</si>
  <si>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</si>
  <si>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</si>
  <si>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</si>
  <si>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</si>
  <si>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</si>
  <si>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</si>
  <si>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</si>
  <si>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</si>
  <si>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</si>
  <si>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</si>
  <si>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</si>
  <si>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</si>
  <si>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</si>
  <si>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</si>
  <si>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</si>
  <si>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</si>
  <si>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</si>
  <si>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</si>
  <si>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</si>
  <si>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</si>
  <si>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</si>
  <si>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</si>
  <si>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</si>
  <si>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</si>
  <si>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</si>
  <si>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</si>
  <si>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</si>
  <si>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</si>
  <si>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</si>
  <si>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</si>
  <si>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</si>
  <si>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</si>
  <si>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</si>
  <si>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</si>
  <si>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</si>
  <si>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</si>
  <si>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</si>
  <si>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</si>
  <si>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</si>
  <si>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</si>
  <si>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</si>
  <si>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</si>
  <si>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</si>
  <si>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</si>
  <si>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</si>
  <si>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</si>
  <si>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</si>
  <si>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</si>
  <si>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</si>
  <si>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</si>
  <si>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</si>
  <si>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</si>
  <si>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</si>
  <si>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</si>
  <si>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</si>
  <si>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</si>
  <si>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</si>
  <si>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</si>
  <si>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</si>
  <si>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</si>
  <si>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</si>
  <si>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</si>
  <si>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</si>
  <si>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</si>
  <si>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</si>
  <si>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</si>
  <si>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</si>
  <si>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</si>
  <si>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</si>
  <si>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</si>
  <si>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</si>
  <si>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</si>
  <si>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</si>
  <si>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</si>
  <si>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</si>
  <si>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</si>
  <si>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</si>
  <si>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</si>
  <si>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</si>
  <si>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</si>
  <si>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</si>
  <si>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</si>
  <si>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</si>
  <si>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</si>
  <si>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</si>
  <si>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</si>
  <si>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</si>
  <si>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</si>
  <si>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</si>
  <si>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</si>
  <si>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</si>
  <si>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</si>
  <si>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</si>
  <si>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</si>
  <si>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</si>
  <si>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</si>
  <si>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</si>
  <si>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</si>
  <si>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</si>
  <si>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</si>
  <si>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</si>
  <si>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</si>
  <si>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</si>
  <si>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</si>
  <si>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</si>
  <si>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</si>
  <si>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</si>
  <si>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</si>
  <si>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</si>
  <si>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</si>
  <si>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</si>
  <si>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</si>
  <si>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</si>
  <si>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</si>
  <si>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</si>
  <si>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</si>
  <si>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</si>
  <si>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</si>
  <si>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</si>
  <si>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</si>
  <si>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</si>
  <si>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</si>
  <si>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</si>
  <si>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</si>
  <si>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</si>
  <si>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</si>
  <si>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</si>
  <si>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</si>
  <si>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</si>
  <si>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</si>
  <si>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</si>
  <si>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</si>
  <si>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</si>
  <si>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</si>
  <si>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</si>
  <si>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</si>
  <si>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</si>
  <si>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</si>
  <si>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</si>
  <si>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</si>
  <si>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</si>
  <si>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</si>
  <si>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</si>
  <si>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</si>
  <si>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</si>
  <si>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</si>
  <si>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</si>
  <si>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</si>
  <si>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</si>
  <si>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</si>
  <si>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</si>
  <si>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</si>
  <si>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</si>
  <si>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</si>
  <si>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</si>
  <si>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</si>
  <si>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</si>
  <si>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</si>
  <si>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</si>
  <si>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</si>
  <si>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</si>
  <si>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</si>
  <si>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</si>
  <si>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</si>
  <si>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</si>
  <si>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</si>
  <si>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</si>
  <si>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</si>
  <si>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</si>
  <si>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</si>
  <si>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</si>
  <si>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</si>
  <si>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</si>
  <si>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</si>
  <si>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</si>
  <si>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</si>
  <si>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</si>
  <si>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</si>
  <si>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</si>
  <si>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</si>
  <si>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</si>
  <si>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</si>
  <si>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</si>
  <si>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</si>
  <si>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</si>
  <si>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</si>
  <si>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</si>
  <si>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</si>
  <si>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</si>
  <si>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</si>
  <si>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</si>
  <si>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</si>
  <si>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</si>
  <si>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</si>
  <si>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</si>
  <si>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</si>
  <si>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</si>
  <si>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</si>
  <si>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</si>
  <si>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</si>
  <si>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</si>
  <si>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</si>
  <si>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</si>
  <si>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</si>
  <si>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</si>
  <si>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</si>
  <si>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</si>
  <si>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</si>
  <si>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</si>
  <si>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</si>
  <si>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</si>
  <si>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</si>
  <si>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</si>
  <si>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</si>
  <si>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</si>
  <si>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</si>
  <si>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</si>
  <si>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</si>
  <si>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</si>
  <si>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</si>
  <si>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</si>
  <si>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</si>
  <si>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</si>
  <si>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</si>
  <si>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</si>
  <si>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</si>
  <si>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</si>
  <si>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</si>
  <si>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</si>
  <si>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</si>
  <si>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</si>
  <si>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</si>
  <si>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</si>
  <si>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</si>
  <si>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</si>
  <si>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</si>
  <si>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</si>
  <si>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</si>
  <si>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</si>
  <si>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</si>
  <si>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</si>
  <si>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</si>
  <si>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</si>
  <si>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</si>
  <si>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</si>
  <si>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</si>
  <si>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</si>
  <si>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</si>
  <si>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</si>
  <si>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</si>
  <si>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</si>
  <si>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</si>
  <si>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</si>
  <si>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</si>
  <si>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</si>
  <si>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</si>
  <si>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</si>
  <si>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</si>
  <si>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</si>
  <si>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</si>
  <si>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</si>
  <si>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</si>
  <si>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</si>
  <si>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</si>
  <si>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</si>
  <si>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</si>
  <si>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</si>
  <si>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</si>
  <si>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</si>
  <si>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</si>
  <si>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</si>
  <si>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</si>
  <si>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</si>
  <si>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</si>
  <si>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</si>
  <si>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</si>
  <si>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</si>
  <si>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</si>
  <si>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</si>
  <si>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</si>
  <si>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</si>
  <si>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</si>
  <si>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</si>
  <si>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</si>
  <si>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</si>
  <si>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</si>
  <si>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</si>
  <si>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</si>
  <si>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</si>
  <si>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</si>
  <si>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</si>
  <si>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</si>
  <si>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</si>
  <si>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</si>
  <si>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</si>
  <si>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</si>
  <si>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</si>
  <si>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</si>
  <si>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</si>
  <si>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</si>
  <si>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</si>
  <si>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</si>
  <si>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</si>
  <si>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</si>
  <si>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</si>
  <si>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</si>
  <si>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</si>
  <si>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</si>
  <si>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</si>
  <si>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</si>
  <si>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</si>
  <si>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</si>
  <si>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</si>
  <si>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</si>
  <si>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</si>
  <si>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</si>
  <si>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</si>
  <si>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</si>
  <si>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</si>
  <si>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</si>
  <si>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</si>
  <si>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</si>
  <si>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</si>
  <si>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</si>
  <si>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</si>
  <si>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</si>
  <si>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</si>
  <si>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</si>
  <si>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</si>
  <si>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</si>
  <si>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</si>
  <si>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</si>
  <si>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</si>
  <si>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</si>
  <si>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</si>
  <si>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</si>
  <si>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</si>
  <si>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</si>
  <si>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</si>
  <si>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</si>
  <si>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</si>
  <si>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</si>
  <si>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</si>
  <si>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</si>
  <si>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</si>
  <si>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</si>
  <si>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</si>
  <si>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</si>
  <si>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</si>
  <si>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</si>
  <si>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</si>
  <si>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</si>
  <si>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</si>
  <si>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</si>
  <si>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</si>
  <si>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</si>
  <si>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</si>
  <si>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</si>
  <si>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</si>
  <si>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</si>
  <si>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</si>
  <si>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</si>
  <si>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</si>
  <si>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</si>
  <si>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</si>
  <si>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</si>
  <si>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</si>
  <si>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</si>
  <si>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</si>
  <si>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</si>
  <si>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</si>
  <si>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</si>
  <si>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</si>
  <si>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</si>
  <si>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</si>
  <si>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</si>
  <si>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</si>
  <si>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</si>
  <si>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</si>
  <si>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</si>
  <si>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</si>
  <si>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</si>
  <si>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</si>
  <si>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</si>
  <si>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</si>
  <si>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</si>
  <si>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</si>
  <si>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</si>
  <si>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</si>
  <si>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</si>
  <si>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</si>
  <si>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</si>
  <si>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</si>
  <si>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</si>
  <si>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</si>
  <si>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</si>
  <si>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</si>
  <si>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</si>
  <si>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</si>
  <si>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</si>
  <si>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</si>
  <si>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</si>
  <si>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</si>
  <si>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</si>
  <si>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</si>
  <si>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</si>
  <si>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</si>
  <si>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</si>
  <si>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</si>
  <si>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</si>
  <si>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</si>
  <si>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</si>
  <si>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</si>
  <si>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</si>
  <si>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</si>
  <si>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</si>
  <si>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</si>
  <si>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</si>
  <si>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</si>
  <si>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</si>
  <si>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</si>
  <si>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</si>
  <si>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</si>
  <si>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</si>
  <si>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</si>
  <si>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</si>
  <si>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</si>
  <si>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</si>
  <si>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</si>
  <si>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</si>
  <si>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</si>
  <si>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</si>
  <si>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</si>
  <si>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</si>
  <si>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</si>
  <si>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</si>
  <si>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</si>
  <si>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</si>
  <si>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</si>
  <si>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</si>
  <si>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</si>
  <si>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</si>
  <si>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</si>
  <si>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</si>
  <si>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</si>
  <si>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</si>
  <si>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</si>
  <si>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</si>
  <si>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</si>
  <si>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</si>
  <si>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</si>
  <si>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</si>
  <si>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</si>
  <si>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</si>
  <si>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</si>
  <si>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</si>
  <si>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</si>
  <si>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</si>
  <si>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</si>
  <si>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</si>
  <si>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</si>
  <si>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</si>
  <si>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</si>
  <si>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</si>
  <si>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</si>
  <si>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</si>
  <si>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</si>
  <si>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</si>
  <si>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</si>
  <si>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</si>
  <si>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</si>
  <si>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</si>
  <si>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</si>
  <si>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</si>
  <si>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</si>
  <si>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</si>
  <si>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</si>
  <si>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</si>
  <si>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</si>
  <si>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</si>
  <si>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</si>
  <si>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</si>
  <si>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</si>
  <si>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</si>
  <si>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</si>
  <si>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</si>
  <si>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</si>
  <si>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</si>
  <si>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</si>
  <si>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</si>
  <si>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</si>
  <si>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</si>
  <si>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</si>
  <si>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</si>
  <si>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</si>
  <si>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</si>
  <si>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</si>
  <si>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</si>
  <si>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</si>
  <si>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</si>
  <si>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</si>
  <si>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</si>
  <si>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</si>
  <si>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</si>
  <si>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</si>
  <si>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</si>
  <si>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</si>
  <si>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</si>
  <si>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</si>
  <si>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</si>
  <si>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</si>
  <si>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</si>
  <si>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</si>
  <si>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</si>
  <si>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</si>
  <si>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</si>
  <si>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</si>
  <si>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</si>
  <si>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</si>
  <si>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</si>
  <si>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</si>
  <si>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</si>
  <si>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</si>
  <si>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</si>
  <si>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</si>
  <si>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</si>
  <si>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</si>
  <si>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</si>
  <si>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</si>
  <si>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</si>
  <si>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</si>
  <si>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</si>
  <si>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</si>
  <si>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</si>
  <si>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</si>
  <si>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</si>
  <si>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</si>
  <si>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</si>
  <si>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</si>
  <si>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</si>
  <si>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</si>
  <si>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</si>
  <si>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</si>
  <si>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</si>
  <si>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</si>
  <si>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</si>
  <si>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</si>
  <si>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</si>
  <si>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</si>
  <si>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</si>
  <si>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</si>
  <si>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</si>
  <si>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</si>
  <si>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</si>
  <si>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</si>
  <si>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</si>
  <si>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</si>
  <si>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</si>
  <si>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</si>
  <si>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</si>
  <si>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</si>
  <si>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</si>
  <si>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</si>
  <si>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</si>
  <si>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</si>
  <si>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</si>
  <si>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</si>
  <si>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</si>
  <si>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</si>
  <si>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</si>
  <si>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</si>
  <si>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</si>
  <si>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</si>
  <si>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</si>
  <si>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</si>
  <si>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</si>
  <si>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</si>
  <si>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</si>
  <si>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</si>
  <si>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</si>
  <si>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</si>
  <si>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</si>
  <si>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</si>
  <si>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</si>
  <si>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</si>
  <si>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</si>
  <si>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</si>
  <si>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</si>
  <si>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</si>
  <si>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</si>
  <si>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</si>
  <si>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</si>
  <si>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</si>
  <si>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</si>
  <si>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</si>
  <si>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</si>
  <si>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</si>
  <si>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</si>
  <si>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</si>
  <si>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</si>
  <si>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</si>
  <si>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</si>
  <si>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</si>
  <si>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</si>
  <si>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</si>
  <si>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</si>
  <si>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</si>
  <si>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</si>
  <si>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</si>
  <si>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</si>
  <si>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</si>
  <si>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</si>
  <si>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</si>
  <si>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</si>
  <si>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</si>
  <si>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</si>
  <si>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</si>
  <si>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</si>
  <si>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</si>
  <si>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</si>
  <si>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</si>
  <si>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</si>
  <si>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</si>
  <si>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</si>
  <si>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</si>
  <si>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</si>
  <si>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</si>
  <si>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</si>
  <si>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</si>
  <si>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</si>
  <si>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</si>
  <si>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</si>
  <si>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</si>
  <si>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</si>
  <si>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</si>
  <si>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</si>
  <si>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</si>
  <si>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</si>
  <si>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</si>
  <si>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</si>
  <si>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</si>
  <si>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</si>
  <si>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</si>
  <si>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</si>
  <si>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</si>
  <si>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</si>
  <si>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</si>
  <si>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</si>
  <si>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</si>
  <si>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</si>
  <si>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</si>
  <si>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</si>
  <si>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</si>
  <si>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</si>
  <si>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</si>
  <si>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</si>
  <si>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</si>
  <si>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</si>
  <si>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</si>
  <si>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</si>
  <si>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</si>
  <si>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</si>
  <si>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</si>
  <si>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</si>
  <si>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</si>
  <si>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</si>
  <si>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</si>
  <si>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</si>
  <si>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</si>
  <si>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</si>
  <si>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</si>
  <si>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</si>
  <si>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</si>
  <si>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</si>
  <si>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</si>
  <si>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</si>
  <si>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</si>
  <si>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</si>
  <si>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</si>
  <si>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</si>
  <si>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</si>
  <si>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</si>
  <si>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</si>
  <si>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</si>
  <si>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</si>
  <si>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</si>
  <si>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</si>
  <si>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</si>
  <si>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</si>
  <si>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</si>
  <si>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</si>
  <si>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</si>
  <si>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</si>
  <si>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</si>
  <si>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</si>
  <si>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</si>
  <si>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</si>
  <si>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</si>
  <si>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</si>
  <si>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</si>
  <si>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</si>
  <si>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</si>
  <si>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</si>
  <si>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</si>
  <si>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</si>
  <si>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</si>
  <si>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</si>
  <si>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</si>
  <si>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</si>
  <si>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</si>
  <si>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</si>
  <si>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</si>
  <si>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</si>
  <si>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</si>
  <si>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</si>
  <si>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</si>
  <si>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</si>
  <si>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</si>
  <si>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</si>
  <si>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</si>
  <si>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</si>
  <si>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</si>
  <si>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</si>
  <si>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</si>
  <si>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</si>
  <si>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</si>
  <si>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</si>
  <si>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</si>
  <si>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</si>
  <si>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</si>
  <si>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</si>
  <si>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</si>
  <si>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</si>
  <si>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</si>
  <si>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</si>
  <si>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</si>
  <si>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</si>
  <si>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</si>
  <si>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</si>
  <si>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</si>
  <si>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</si>
  <si>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</si>
  <si>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</si>
  <si>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</si>
  <si>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</si>
  <si>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</si>
  <si>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</si>
  <si>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</si>
  <si>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</si>
  <si>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</si>
  <si>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</si>
  <si>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</si>
  <si>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</si>
  <si>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</si>
  <si>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</si>
  <si>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</si>
  <si>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</si>
  <si>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</si>
  <si>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</si>
  <si>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</si>
  <si>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</si>
  <si>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</si>
  <si>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</si>
  <si>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</si>
  <si>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</si>
  <si>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</si>
  <si>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</si>
  <si>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</si>
  <si>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</si>
  <si>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</si>
  <si>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</si>
  <si>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</si>
  <si>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</si>
  <si>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</si>
  <si>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</si>
  <si>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</si>
  <si>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</si>
  <si>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</si>
  <si>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</si>
  <si>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</si>
  <si>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</si>
  <si>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</si>
  <si>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</si>
  <si>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</si>
  <si>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</si>
  <si>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</si>
  <si>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</si>
  <si>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</si>
  <si>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</si>
  <si>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</si>
  <si>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</si>
  <si>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</si>
  <si>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</si>
  <si>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</si>
  <si>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</si>
  <si>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</si>
  <si>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</si>
  <si>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</si>
  <si>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</si>
  <si>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</si>
  <si>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</si>
  <si>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</si>
  <si>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</si>
  <si>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</si>
  <si>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</si>
  <si>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</si>
  <si>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</si>
  <si>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</si>
  <si>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</si>
  <si>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</si>
  <si>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</si>
  <si>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</si>
  <si>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</si>
  <si>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</si>
  <si>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</si>
  <si>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</si>
  <si>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</si>
  <si>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</si>
  <si>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</si>
  <si>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</si>
  <si>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</si>
  <si>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</si>
  <si>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</si>
  <si>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</si>
  <si>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</si>
  <si>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</si>
  <si>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</si>
  <si>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</si>
  <si>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</si>
  <si>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</si>
  <si>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</si>
  <si>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</si>
  <si>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</si>
  <si>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</si>
  <si>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</si>
  <si>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</si>
  <si>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</si>
  <si>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</si>
  <si>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</si>
  <si>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</si>
  <si>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</si>
  <si>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</si>
  <si>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</si>
  <si>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</si>
  <si>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</si>
  <si>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</si>
  <si>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</si>
  <si>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</si>
  <si>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</si>
  <si>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</si>
  <si>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</si>
  <si>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</si>
  <si>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</si>
  <si>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</si>
  <si>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</si>
  <si>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</si>
  <si>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</si>
  <si>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</si>
  <si>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</si>
  <si>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</si>
  <si>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</si>
  <si>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</si>
  <si>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</si>
  <si>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</si>
  <si>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</si>
  <si>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</si>
  <si>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</si>
  <si>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</si>
  <si>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</si>
  <si>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</si>
  <si>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</si>
  <si>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</si>
  <si>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</si>
  <si>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</si>
  <si>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</si>
  <si>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</si>
  <si>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</si>
  <si>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</si>
  <si>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</si>
  <si>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</si>
  <si>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</si>
  <si>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</si>
  <si>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</si>
  <si>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</si>
  <si>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</si>
  <si>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</si>
  <si>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</si>
  <si>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</si>
  <si>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</si>
  <si>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</si>
  <si>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</si>
  <si>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</si>
  <si>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</si>
  <si>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</si>
  <si>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</si>
  <si>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</si>
  <si>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</si>
  <si>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</si>
  <si>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</si>
  <si>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</si>
  <si>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</si>
  <si>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</si>
  <si>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</si>
  <si>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</si>
  <si>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</si>
  <si>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</si>
  <si>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</si>
  <si>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</si>
  <si>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</si>
  <si>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</si>
  <si>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</si>
  <si>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</si>
  <si>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</si>
  <si>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</si>
  <si>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</si>
  <si>
    <t>감독: 마틴 캠벨
출연: 크리스 오도넬, 로빈 튜니, 빌 팩스턴, 스콧 글렌</t>
    <phoneticPr fontId="2" type="noConversion"/>
  </si>
  <si>
    <t>모험</t>
    <phoneticPr fontId="2" type="noConversion"/>
  </si>
  <si>
    <t>미국, 독일</t>
    <phoneticPr fontId="2" type="noConversion"/>
  </si>
  <si>
    <t>미스터리, 범죄</t>
    <phoneticPr fontId="2" type="noConversion"/>
  </si>
  <si>
    <t>감독: 할런 코벤
출연: 리처드 아미티지, 셔본 피너런 및 제니퍼 손더스, 크리에이터: 할런 코벤</t>
    <phoneticPr fontId="2" type="noConversion"/>
  </si>
  <si>
    <t>103분</t>
    <phoneticPr fontId="2" type="noConversion"/>
  </si>
  <si>
    <t>감독: 클린트 벤틀리
출연: 조엘 에저턴, 펄리시티 존스 및 윌리엄 H. 메이시</t>
    <phoneticPr fontId="2" type="noConversion"/>
  </si>
  <si>
    <t>96분</t>
    <phoneticPr fontId="2" type="noConversion"/>
  </si>
  <si>
    <t>감독: 알렉스 가랜드
출연: 윌 폴터, 조셉 퀸, 찰스 멜튼, 킷 코너, 드파라오 운아타이</t>
    <phoneticPr fontId="2" type="noConversion"/>
  </si>
  <si>
    <t>감독: 필립 라코테
출연: 조셉 고든 레빗, 셰일린 우들리, 리차드 매든</t>
    <phoneticPr fontId="2" type="noConversion"/>
  </si>
  <si>
    <t>범죄 , 로맨스 , 드라마</t>
    <phoneticPr fontId="2" type="noConversion"/>
  </si>
  <si>
    <t>액션</t>
    <phoneticPr fontId="2" type="noConversion"/>
  </si>
  <si>
    <t>스페인</t>
    <phoneticPr fontId="2" type="noConversion"/>
  </si>
  <si>
    <t>감독: 알베르트 핀토
출연: 아나 카스티요, 타마르 노바스, 토니 코르비요, 마리암 토레스, 이리나 브라보</t>
    <phoneticPr fontId="2" type="noConversion"/>
  </si>
  <si>
    <t>감독: 데이비드 맥켄지
출연: 아론 테일러-존슨, 테오 제임스, 구구 음바타-로, 샘 워싱턴</t>
    <phoneticPr fontId="2" type="noConversion"/>
  </si>
  <si>
    <t>98분</t>
    <phoneticPr fontId="2" type="noConversion"/>
  </si>
  <si>
    <t>감독: 데이비드 맥켄지
출연: 제시카 비엘 (코라 태너) 빌 풀먼 (해리 암브로스)</t>
    <phoneticPr fontId="2" type="noConversion"/>
  </si>
  <si>
    <t>범죄, 수사, 미스터리, 심리 스릴러</t>
    <phoneticPr fontId="2" type="noConversion"/>
  </si>
  <si>
    <t>감독: 안토니오 캄포스
출연: 빌 풀먼 / 제시카 헤트 / 돈 노우드 / 캐리 쿤 / 한나 그로스</t>
    <phoneticPr fontId="2" type="noConversion"/>
  </si>
  <si>
    <t xml:space="preserve">감독: 데릭 사이먼즈
출연: 빌 풀먼, 제시카 비엘, 캐리 쿤, </t>
    <phoneticPr fontId="2" type="noConversion"/>
  </si>
  <si>
    <t>감독: 브라이언 커크
출연: 엠마 톰슨, 주디 그리어, 마크 멘차카, 로렐 마스든, 브라이언 F. 오번</t>
    <phoneticPr fontId="2" type="noConversion"/>
  </si>
  <si>
    <t>액션, 스릴러, 범죄, 추리</t>
    <phoneticPr fontId="2" type="noConversion"/>
  </si>
  <si>
    <t>감독: 닉 산토라
출연: 앨런 리치슨, 맬컴 굿윈, 윌라 피츠제럴드 外</t>
    <phoneticPr fontId="2" type="noConversion"/>
  </si>
  <si>
    <t>감독: 딘 게오르기스
출연: 앤 헤이시,  마이크 보겔,  테이트 엘링턴,  드미트리어스 그로세, 나타샤 카람</t>
    <phoneticPr fontId="2" type="noConversion"/>
  </si>
  <si>
    <t>액션, 드라마, 밀리터리</t>
    <phoneticPr fontId="2" type="noConversion"/>
  </si>
  <si>
    <t>퓨리어스 (Furious)</t>
  </si>
  <si>
    <t>감독: 리즈 메리웨더
출연: 에미 로섬, 롤라 페티크루, 스쿠트 맥네어리, 퀸시 타일러 번스틴</t>
  </si>
  <si>
    <t>범죄, 미스터리, 심리 스릴러, 드라마</t>
  </si>
  <si>
    <t>8부작</t>
  </si>
  <si>
    <t>스릴러, 스파이, 드라마</t>
    <phoneticPr fontId="2" type="noConversion"/>
  </si>
  <si>
    <t>감독: 	테일러 쉐리던
출연: 조 샐다나, 레이슬라 드 올리베이라, 데이브어네이블,모건 프리먼,니콜 키드먼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</si>
</sst>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5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0" fontId="11" fillId="0" borderId="19" xfId="0" applyFont="1"/>
    <xf numFmtId="0" fontId="13" fillId="0" borderId="19" xfId="0" applyFont="1"/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176" fontId="23" fillId="10" borderId="18" xfId="0" applyNumberFormat="1" applyFont="1" applyFill="1" applyBorder="1" applyAlignment="1">
      <alignment horizontal="center" vertical="center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176" fontId="12" fillId="7" borderId="3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6" borderId="16" xfId="0" applyNumberFormat="1" applyFont="1" applyFill="1" applyBorder="1" applyAlignment="1">
      <alignment horizontal="center" vertical="center"/>
    </xf>
    <xf numFmtId="176" fontId="14" fillId="0" borderId="0" xfId="0" applyNumberFormat="1" applyFont="1" applyBorder="1" applyAlignment="1">
      <alignment horizont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&quot;-&quot;m&quot;-&quot;d;@"/>
      <alignment horizontal="center"/>
      <border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96" totalsRowShown="0" headerRowDxfId="13" dataDxfId="11" headerRowBorderDxfId="12" tableBorderDxfId="10">
  <autoFilter ref="A2:J3496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03"/>
  <sheetViews>
    <sheetView showGridLines="0" tabSelected="1" workbookViewId="0">
      <pane ySplit="2" topLeftCell="A3491" activePane="bottomLeft" state="frozen"/>
      <selection pane="bottomLeft" activeCell="B3501" sqref="B3501"/>
    </sheetView>
  </sheetViews>
  <sheetFormatPr defaultColWidth="9" defaultRowHeight="28.9" customHeight="1" x14ac:dyDescent="0.6"/>
  <cols>
    <col min="1" max="1" width="7" style="78" customWidth="1"/>
    <col min="2" max="2" width="36.19921875" style="77" bestFit="1" customWidth="1"/>
    <col min="3" max="3" width="9" style="43" customWidth="1"/>
    <col min="4" max="4" width="56.25" style="43" customWidth="1"/>
    <col min="5" max="5" width="11.59765625" style="43" bestFit="1" customWidth="1"/>
    <col min="6" max="6" width="9.75" style="43" customWidth="1"/>
    <col min="7" max="7" width="9.69921875" style="43" customWidth="1"/>
    <col min="8" max="8" width="27.34765625" style="78" customWidth="1"/>
    <col min="9" max="9" width="11.19921875" style="43" customWidth="1"/>
    <col min="10" max="10" width="10.75" style="112" bestFit="1" customWidth="1"/>
    <col min="11" max="16384" width="9" style="43"/>
  </cols>
  <sheetData>
    <row r="1" spans="1:14" ht="28.9" customHeight="1" x14ac:dyDescent="0.6">
      <c r="A1" s="113" t="s">
        <v>3523</v>
      </c>
      <c r="B1" s="113"/>
      <c r="C1" s="113"/>
      <c r="D1" s="113"/>
      <c r="E1" s="113"/>
      <c r="F1" s="113"/>
      <c r="G1" s="114"/>
      <c r="H1" s="80" t="s">
        <v>3489</v>
      </c>
      <c r="I1" s="81" t="s">
        <v>3490</v>
      </c>
      <c r="J1" s="95" t="s">
        <v>3518</v>
      </c>
      <c r="K1" s="58"/>
      <c r="L1" s="58"/>
      <c r="M1" s="58"/>
      <c r="N1" s="58"/>
    </row>
    <row r="2" spans="1:14" s="1" customFormat="1" ht="28.9" customHeight="1" thickBot="1" x14ac:dyDescent="0.75">
      <c r="A2" s="2" t="s">
        <v>0</v>
      </c>
      <c r="B2" s="86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96" t="s">
        <v>9</v>
      </c>
    </row>
    <row r="3" spans="1:14" ht="28.9" customHeight="1" thickTop="1" thickBot="1" x14ac:dyDescent="0.65">
      <c r="A3" s="3">
        <v>1</v>
      </c>
      <c r="B3" s="44" t="str">
        <f>HYPERLINK("https://search.naver.com/search.naver?query=살아있다 영화", "#살아있다")</f>
        <v>#살아있다</v>
      </c>
      <c r="C3" s="45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97" t="s">
        <v>3436</v>
      </c>
    </row>
    <row r="4" spans="1:14" ht="28.9" customHeight="1" thickTop="1" thickBot="1" x14ac:dyDescent="0.65">
      <c r="A4" s="5">
        <v>2</v>
      </c>
      <c r="B4" s="46" t="str">
        <f>HYPERLINK("https://search.naver.com/search.naver?query=0.5미리 영화", "0.5미리")</f>
        <v>0.5미리</v>
      </c>
      <c r="C4" s="47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98" t="s">
        <v>3437</v>
      </c>
    </row>
    <row r="5" spans="1:14" ht="28.9" customHeight="1" thickTop="1" thickBot="1" x14ac:dyDescent="0.65">
      <c r="A5" s="3">
        <v>3</v>
      </c>
      <c r="B5" s="44" t="str">
        <f>HYPERLINK("https://search.naver.com/search.naver?query=007 노 타임 투 다이 영화", "007 노 타임 투 다이")</f>
        <v>007 노 타임 투 다이</v>
      </c>
      <c r="C5" s="45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97" t="s">
        <v>3438</v>
      </c>
    </row>
    <row r="6" spans="1:14" ht="28.9" customHeight="1" thickTop="1" thickBot="1" x14ac:dyDescent="0.65">
      <c r="A6" s="5">
        <v>4</v>
      </c>
      <c r="B6" s="46" t="str">
        <f>HYPERLINK("https://search.naver.com/search.naver?query=007 스카이폴 영화", "007 스카이폴")</f>
        <v>007 스카이폴</v>
      </c>
      <c r="C6" s="47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98" t="s">
        <v>3439</v>
      </c>
    </row>
    <row r="7" spans="1:14" ht="28.9" customHeight="1" thickTop="1" thickBot="1" x14ac:dyDescent="0.65">
      <c r="A7" s="3">
        <v>5</v>
      </c>
      <c r="B7" s="44" t="str">
        <f>HYPERLINK("https://search.naver.com/search.naver?query=007 스펙터 영화", "007 스펙터")</f>
        <v>007 스펙터</v>
      </c>
      <c r="C7" s="45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97" t="s">
        <v>3440</v>
      </c>
    </row>
    <row r="8" spans="1:14" ht="28.9" customHeight="1" thickTop="1" thickBot="1" x14ac:dyDescent="0.65">
      <c r="A8" s="5">
        <v>6</v>
      </c>
      <c r="B8" s="46" t="str">
        <f>HYPERLINK("https://cine21.com/movie/info/?movie_id=51171", "100미터")</f>
        <v>100미터</v>
      </c>
      <c r="C8" s="47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98" t="s">
        <v>3441</v>
      </c>
    </row>
    <row r="9" spans="1:14" ht="28.9" customHeight="1" thickTop="1" thickBot="1" x14ac:dyDescent="0.65">
      <c r="A9" s="3">
        <v>7</v>
      </c>
      <c r="B9" s="44" t="str">
        <f>HYPERLINK("https://search.naver.com/search.naver?query=12 솔져스 영화", "12 솔져스")</f>
        <v>12 솔져스</v>
      </c>
      <c r="C9" s="45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97" t="s">
        <v>3442</v>
      </c>
    </row>
    <row r="10" spans="1:14" ht="28.9" customHeight="1" thickTop="1" thickBot="1" x14ac:dyDescent="0.65">
      <c r="A10" s="5">
        <v>8</v>
      </c>
      <c r="B10" s="46" t="str">
        <f>HYPERLINK("https://search.naver.com/search.naver?query=120시간 로스트 인 아웃백 영화", "120시간 로스트 인 아웃백")</f>
        <v>120시간 로스트 인 아웃백</v>
      </c>
      <c r="C10" s="47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98" t="s">
        <v>3438</v>
      </c>
    </row>
    <row r="11" spans="1:14" ht="28.9" customHeight="1" thickTop="1" thickBot="1" x14ac:dyDescent="0.65">
      <c r="A11" s="3">
        <v>9</v>
      </c>
      <c r="B11" s="44" t="str">
        <f>HYPERLINK("https://search.naver.com/search.naver?query=12번째 솔저 영화", "12번째 솔저")</f>
        <v>12번째 솔저</v>
      </c>
      <c r="C11" s="45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97" t="s">
        <v>3443</v>
      </c>
    </row>
    <row r="12" spans="1:14" ht="28.9" customHeight="1" thickTop="1" thickBot="1" x14ac:dyDescent="0.65">
      <c r="A12" s="5">
        <v>10</v>
      </c>
      <c r="B12" s="46" t="str">
        <f>HYPERLINK("https://search.naver.com/search.naver?query=12피트 영화", "12피트")</f>
        <v>12피트</v>
      </c>
      <c r="C12" s="47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98" t="s">
        <v>3441</v>
      </c>
    </row>
    <row r="13" spans="1:14" ht="28.9" customHeight="1" thickTop="1" thickBot="1" x14ac:dyDescent="0.65">
      <c r="A13" s="3">
        <v>11</v>
      </c>
      <c r="B13" s="44" t="str">
        <f>HYPERLINK("https://search.naver.com/search.naver?query=13시간 영화", "13시간")</f>
        <v>13시간</v>
      </c>
      <c r="C13" s="45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97" t="s">
        <v>3441</v>
      </c>
    </row>
    <row r="14" spans="1:14" ht="28.9" customHeight="1" thickTop="1" thickBot="1" x14ac:dyDescent="0.65">
      <c r="A14" s="5">
        <v>12</v>
      </c>
      <c r="B14" s="46" t="str">
        <f>HYPERLINK("https://search.naver.com/search.naver?query=15시 17분 파리행 열차 영화", "15시 17분 파리행 열차")</f>
        <v>15시 17분 파리행 열차</v>
      </c>
      <c r="C14" s="47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98" t="s">
        <v>3442</v>
      </c>
    </row>
    <row r="15" spans="1:14" ht="28.9" customHeight="1" thickTop="1" thickBot="1" x14ac:dyDescent="0.65">
      <c r="A15" s="7">
        <v>13</v>
      </c>
      <c r="B15" s="48" t="str">
        <f>HYPERLINK("https://search.naver.com/search.naver?query=1883", "1883 시즌1")</f>
        <v>1883 시즌1</v>
      </c>
      <c r="C15" s="49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99" t="s">
        <v>3438</v>
      </c>
    </row>
    <row r="16" spans="1:14" ht="28.9" customHeight="1" thickTop="1" thickBot="1" x14ac:dyDescent="0.65">
      <c r="A16" s="5">
        <v>14</v>
      </c>
      <c r="B16" s="46" t="str">
        <f>HYPERLINK("https://search.naver.com/search.naver?query=1917 영화", "1917")</f>
        <v>1917</v>
      </c>
      <c r="C16" s="47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98" t="s">
        <v>3444</v>
      </c>
    </row>
    <row r="17" spans="1:10" ht="28.9" customHeight="1" thickTop="1" thickBot="1" x14ac:dyDescent="0.65">
      <c r="A17" s="7">
        <v>15</v>
      </c>
      <c r="B17" s="48" t="str">
        <f>HYPERLINK("https://search.naver.com/search.naver?query=1923  시즌1", "1923  시즌1")</f>
        <v>1923  시즌1</v>
      </c>
      <c r="C17" s="49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99" t="s">
        <v>3445</v>
      </c>
    </row>
    <row r="18" spans="1:10" ht="28.9" customHeight="1" thickTop="1" thickBot="1" x14ac:dyDescent="0.65">
      <c r="A18" s="7">
        <v>16</v>
      </c>
      <c r="B18" s="48" t="str">
        <f>HYPERLINK("https://search.naver.com/search.naver?query=1923 시즌2", "1923 시즌2")</f>
        <v>1923 시즌2</v>
      </c>
      <c r="C18" s="49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99" t="s">
        <v>3446</v>
      </c>
    </row>
    <row r="19" spans="1:10" ht="28.9" customHeight="1" thickTop="1" thickBot="1" x14ac:dyDescent="0.65">
      <c r="A19" s="5">
        <v>17</v>
      </c>
      <c r="B19" s="46" t="str">
        <f>HYPERLINK("https://search.naver.com/search.naver?query=1941 세바스토폴 상륙작전", "1941 세바스토폴 상륙작전")</f>
        <v>1941 세바스토폴 상륙작전</v>
      </c>
      <c r="C19" s="47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98" t="s">
        <v>3440</v>
      </c>
    </row>
    <row r="20" spans="1:10" ht="28.9" customHeight="1" thickTop="1" thickBot="1" x14ac:dyDescent="0.65">
      <c r="A20" s="3">
        <v>18</v>
      </c>
      <c r="B20" s="44" t="str">
        <f>HYPERLINK("https://search.naver.com/search.naver?query=1944 영화", "1944")</f>
        <v>1944</v>
      </c>
      <c r="C20" s="45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97" t="s">
        <v>3440</v>
      </c>
    </row>
    <row r="21" spans="1:10" ht="28.9" customHeight="1" thickTop="1" thickBot="1" x14ac:dyDescent="0.65">
      <c r="A21" s="5">
        <v>19</v>
      </c>
      <c r="B21" s="46" t="str">
        <f>HYPERLINK("https://search.naver.com/search.naver?query=1947 보스톤 영화", "1947 보스톤")</f>
        <v>1947 보스톤</v>
      </c>
      <c r="C21" s="47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98" t="s">
        <v>3446</v>
      </c>
    </row>
    <row r="22" spans="1:10" ht="28.9" customHeight="1" thickTop="1" thickBot="1" x14ac:dyDescent="0.65">
      <c r="A22" s="3">
        <v>20</v>
      </c>
      <c r="B22" s="44" t="str">
        <f>HYPERLINK("https://search.naver.com/search.naver?query=1987 영화", "1987")</f>
        <v>1987</v>
      </c>
      <c r="C22" s="45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97" t="s">
        <v>3443</v>
      </c>
    </row>
    <row r="23" spans="1:10" ht="28.9" customHeight="1" thickTop="1" thickBot="1" x14ac:dyDescent="0.65">
      <c r="A23" s="5">
        <v>21</v>
      </c>
      <c r="B23" s="46" t="str">
        <f>HYPERLINK("https://search.naver.com/search.naver?query=19곰 테드 영화", "19곰 테드")</f>
        <v>19곰 테드</v>
      </c>
      <c r="C23" s="47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98" t="s">
        <v>3439</v>
      </c>
    </row>
    <row r="24" spans="1:10" ht="28.9" customHeight="1" thickTop="1" thickBot="1" x14ac:dyDescent="0.65">
      <c r="A24" s="3">
        <v>22</v>
      </c>
      <c r="B24" s="44" t="str">
        <f>HYPERLINK("https://search.naver.com/search.naver?query=19곰 테드 2 영화", "19곰 테드 2")</f>
        <v>19곰 테드 2</v>
      </c>
      <c r="C24" s="45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97" t="s">
        <v>3440</v>
      </c>
    </row>
    <row r="25" spans="1:10" ht="28.9" customHeight="1" thickTop="1" thickBot="1" x14ac:dyDescent="0.65">
      <c r="A25" s="5">
        <v>23</v>
      </c>
      <c r="B25" s="46" t="str">
        <f>HYPERLINK("https://search.naver.com/search.naver?query=1급 기밀 영화", "1급 기밀")</f>
        <v>1급 기밀</v>
      </c>
      <c r="C25" s="47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98" t="s">
        <v>3441</v>
      </c>
    </row>
    <row r="26" spans="1:10" ht="28.9" customHeight="1" thickTop="1" thickBot="1" x14ac:dyDescent="0.65">
      <c r="A26" s="3">
        <v>24</v>
      </c>
      <c r="B26" s="44" t="str">
        <f>HYPERLINK("https://search.naver.com/search.naver?query=1번가의기적 영화", "1번가의기적")</f>
        <v>1번가의기적</v>
      </c>
      <c r="C26" s="45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97" t="s">
        <v>3447</v>
      </c>
    </row>
    <row r="27" spans="1:10" ht="28.9" customHeight="1" thickTop="1" thickBot="1" x14ac:dyDescent="0.65">
      <c r="A27" s="5">
        <v>25</v>
      </c>
      <c r="B27" s="46" t="str">
        <f>HYPERLINK("https://search.naver.com/search.naver?query=1승 영화", "1승")</f>
        <v>1승</v>
      </c>
      <c r="C27" s="47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98" t="s">
        <v>3448</v>
      </c>
    </row>
    <row r="28" spans="1:10" ht="28.9" customHeight="1" thickTop="1" thickBot="1" x14ac:dyDescent="0.65">
      <c r="A28" s="3">
        <v>26</v>
      </c>
      <c r="B28" s="44" t="str">
        <f>HYPERLINK("https://search.naver.com/search.naver?query=21 그램 영화", "21 그램")</f>
        <v>21 그램</v>
      </c>
      <c r="C28" s="45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97" t="s">
        <v>3449</v>
      </c>
    </row>
    <row r="29" spans="1:10" ht="28.9" customHeight="1" thickTop="1" thickBot="1" x14ac:dyDescent="0.65">
      <c r="A29" s="5">
        <v>27</v>
      </c>
      <c r="B29" s="46" t="str">
        <f>HYPERLINK("https://search.naver.com/search.naver?query=21 브릿지:테러 셧다운 영화", "21 브릿지:테러 셧다운")</f>
        <v>21 브릿지:테러 셧다운</v>
      </c>
      <c r="C29" s="47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98" t="s">
        <v>3444</v>
      </c>
    </row>
    <row r="30" spans="1:10" ht="28.9" customHeight="1" thickTop="1" thickBot="1" x14ac:dyDescent="0.65">
      <c r="A30" s="3">
        <v>28</v>
      </c>
      <c r="B30" s="44" t="str">
        <f>HYPERLINK("https://search.naver.com/search.naver?query=22 July", "22 July")</f>
        <v>22 July</v>
      </c>
      <c r="C30" s="45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97" t="s">
        <v>3442</v>
      </c>
    </row>
    <row r="31" spans="1:10" ht="28.9" customHeight="1" thickTop="1" thickBot="1" x14ac:dyDescent="0.65">
      <c r="A31" s="5">
        <v>29</v>
      </c>
      <c r="B31" s="46" t="str">
        <f>HYPERLINK("https://search.naver.com/search.naver?query=22년째의 고백", "22년째의 고백")</f>
        <v>22년째의 고백</v>
      </c>
      <c r="C31" s="47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98" t="s">
        <v>3443</v>
      </c>
    </row>
    <row r="32" spans="1:10" ht="28.9" customHeight="1" thickTop="1" thickBot="1" x14ac:dyDescent="0.65">
      <c r="A32" s="5">
        <v>30</v>
      </c>
      <c r="B32" s="46" t="str">
        <f>HYPERLINK("https://search.naver.com/search.naver?query=23 아이덴티티 영화", "23 아이덴티티")</f>
        <v>23 아이덴티티</v>
      </c>
      <c r="C32" s="47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98" t="s">
        <v>3441</v>
      </c>
    </row>
    <row r="33" spans="1:10" ht="28.9" customHeight="1" thickTop="1" thickBot="1" x14ac:dyDescent="0.65">
      <c r="A33" s="3">
        <v>31</v>
      </c>
      <c r="B33" s="44" t="str">
        <f>HYPERLINK("https://search.naver.com/search.naver?query=24 아워스 투 리브 영화", "24 아워스 투 리브")</f>
        <v>24 아워스 투 리브</v>
      </c>
      <c r="C33" s="45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97" t="s">
        <v>3443</v>
      </c>
    </row>
    <row r="34" spans="1:10" ht="28.9" customHeight="1" thickTop="1" thickBot="1" x14ac:dyDescent="0.65">
      <c r="A34" s="5">
        <v>32</v>
      </c>
      <c r="B34" s="46" t="str">
        <f>HYPERLINK("https://search.naver.com/search.naver?query=27번의 결혼 리허설 영화", "27번의 결혼 리허설")</f>
        <v>27번의 결혼 리허설</v>
      </c>
      <c r="C34" s="47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98" t="s">
        <v>3450</v>
      </c>
    </row>
    <row r="35" spans="1:10" ht="28.9" customHeight="1" thickTop="1" thickBot="1" x14ac:dyDescent="0.65">
      <c r="A35" s="3">
        <v>33</v>
      </c>
      <c r="B35" s="44" t="str">
        <f>HYPERLINK("https://search.naver.com/search.naver?query=300 제국의 부활 영화", "300 - 제국의 부활")</f>
        <v>300 - 제국의 부활</v>
      </c>
      <c r="C35" s="45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97" t="s">
        <v>3437</v>
      </c>
    </row>
    <row r="36" spans="1:10" ht="28.9" customHeight="1" thickTop="1" thickBot="1" x14ac:dyDescent="0.65">
      <c r="A36" s="5">
        <v>34</v>
      </c>
      <c r="B36" s="46" t="str">
        <f>HYPERLINK("https://search.naver.com/search.naver?query=3096일 영화", "3096일")</f>
        <v>3096일</v>
      </c>
      <c r="C36" s="47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98" t="s">
        <v>3451</v>
      </c>
    </row>
    <row r="37" spans="1:10" ht="28.9" customHeight="1" thickTop="1" thickBot="1" x14ac:dyDescent="0.65">
      <c r="A37" s="3">
        <v>35</v>
      </c>
      <c r="B37" s="44" t="str">
        <f>HYPERLINK("https://search.naver.com/search.naver?query=310 투 유마 영화", "310 투 유마")</f>
        <v>310 투 유마</v>
      </c>
      <c r="C37" s="45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97" t="s">
        <v>3447</v>
      </c>
    </row>
    <row r="38" spans="1:10" ht="28.9" customHeight="1" thickTop="1" thickBot="1" x14ac:dyDescent="0.65">
      <c r="A38" s="3">
        <v>36</v>
      </c>
      <c r="B38" s="44" t="str">
        <f>HYPERLINK("https://search.naver.com/search.naver?query=355 영화", "355")</f>
        <v>355</v>
      </c>
      <c r="C38" s="45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97" t="s">
        <v>3445</v>
      </c>
    </row>
    <row r="39" spans="1:10" ht="28.9" customHeight="1" thickTop="1" thickBot="1" x14ac:dyDescent="0.65">
      <c r="A39" s="5">
        <v>37</v>
      </c>
      <c r="B39" s="46" t="str">
        <f>HYPERLINK("https://search.naver.com/search.naver?query=42 영화", "42")</f>
        <v>42</v>
      </c>
      <c r="C39" s="47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98" t="s">
        <v>3451</v>
      </c>
    </row>
    <row r="40" spans="1:10" ht="28.9" customHeight="1" thickTop="1" thickBot="1" x14ac:dyDescent="0.65">
      <c r="A40" s="3">
        <v>38</v>
      </c>
      <c r="B40" s="44" t="str">
        <f>HYPERLINK("https://search.naver.com/search.naver?query=45년 후 영화", "45년 후")</f>
        <v>45년 후</v>
      </c>
      <c r="C40" s="45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97" t="s">
        <v>3440</v>
      </c>
    </row>
    <row r="41" spans="1:10" ht="28.9" customHeight="1" thickTop="1" thickBot="1" x14ac:dyDescent="0.65">
      <c r="A41" s="5">
        <v>39</v>
      </c>
      <c r="B41" s="46" t="str">
        <f>HYPERLINK("https://search.naver.com/search.naver?query=47 로닌 영화", "47 로닌")</f>
        <v>47 로닌</v>
      </c>
      <c r="C41" s="47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98" t="s">
        <v>3451</v>
      </c>
    </row>
    <row r="42" spans="1:10" ht="28.9" customHeight="1" thickTop="1" thickBot="1" x14ac:dyDescent="0.65">
      <c r="A42" s="3">
        <v>40</v>
      </c>
      <c r="B42" s="44" t="str">
        <f>HYPERLINK("https://search.naver.com/search.naver?query=47미터 2 영화", "47미터-2")</f>
        <v>47미터-2</v>
      </c>
      <c r="C42" s="45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97" t="s">
        <v>3444</v>
      </c>
    </row>
    <row r="43" spans="1:10" ht="28.9" customHeight="1" thickTop="1" thickBot="1" x14ac:dyDescent="0.65">
      <c r="A43" s="5">
        <v>41</v>
      </c>
      <c r="B43" s="46" t="str">
        <f>HYPERLINK("https://search.naver.com/search.naver?query=49일의 레시피 영화", "49일의 레시피")</f>
        <v>49일의 레시피</v>
      </c>
      <c r="C43" s="47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98" t="s">
        <v>3451</v>
      </c>
    </row>
    <row r="44" spans="1:10" ht="28.9" customHeight="1" thickTop="1" thickBot="1" x14ac:dyDescent="0.65">
      <c r="A44" s="3">
        <v>42</v>
      </c>
      <c r="B44" s="44" t="str">
        <f>HYPERLINK("https://namu.wiki/w/4%EC%9B%94%209%EC%9D%BC(%EC%98%81%ED%99%94)", "4월 9일")</f>
        <v>4월 9일</v>
      </c>
      <c r="C44" s="45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97" t="s">
        <v>3440</v>
      </c>
    </row>
    <row r="45" spans="1:10" ht="28.9" customHeight="1" thickTop="1" thickBot="1" x14ac:dyDescent="0.65">
      <c r="A45" s="3">
        <v>43</v>
      </c>
      <c r="B45" s="44" t="str">
        <f>HYPERLINK("https://search.naver.com/search.naver?query=4월 이야기 영화", "4월 이야기")</f>
        <v>4월 이야기</v>
      </c>
      <c r="C45" s="45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97" t="s">
        <v>3452</v>
      </c>
    </row>
    <row r="46" spans="1:10" ht="28.9" customHeight="1" thickTop="1" thickBot="1" x14ac:dyDescent="0.65">
      <c r="A46" s="5">
        <v>44</v>
      </c>
      <c r="B46" s="46" t="str">
        <f>HYPERLINK("https://search.naver.com/search.naver?query=5 to 7 영화", "5 to 7")</f>
        <v>5 to 7</v>
      </c>
      <c r="C46" s="47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98" t="s">
        <v>3437</v>
      </c>
    </row>
    <row r="47" spans="1:10" ht="28.9" customHeight="1" thickTop="1" thickBot="1" x14ac:dyDescent="0.65">
      <c r="A47" s="3">
        <v>45</v>
      </c>
      <c r="B47" s="44" t="str">
        <f>HYPERLINK("https://search.naver.com/search.naver?query=500일의 썸머 영화", "500일의 썸머")</f>
        <v>500일의 썸머</v>
      </c>
      <c r="C47" s="45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97" t="s">
        <v>3453</v>
      </c>
    </row>
    <row r="48" spans="1:10" ht="28.9" customHeight="1" thickTop="1" thickBot="1" x14ac:dyDescent="0.65">
      <c r="A48" s="5">
        <v>46</v>
      </c>
      <c r="B48" s="46" t="str">
        <f>HYPERLINK("https://search.naver.com/search.naver?query=50가지 그림자 해방 영화", "50가지 그림자-해방")</f>
        <v>50가지 그림자-해방</v>
      </c>
      <c r="C48" s="47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98" t="s">
        <v>3442</v>
      </c>
    </row>
    <row r="49" spans="1:10" ht="28.9" customHeight="1" thickTop="1" thickBot="1" x14ac:dyDescent="0.65">
      <c r="A49" s="3">
        <v>47</v>
      </c>
      <c r="B49" s="44" t="str">
        <f>HYPERLINK("https://search.naver.com/search.naver?query=50대50 영화", "50대50")</f>
        <v>50대50</v>
      </c>
      <c r="C49" s="45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97" t="s">
        <v>3454</v>
      </c>
    </row>
    <row r="50" spans="1:10" ht="28.9" customHeight="1" thickTop="1" thickBot="1" x14ac:dyDescent="0.65">
      <c r="A50" s="5">
        <v>48</v>
      </c>
      <c r="B50" s="46" t="str">
        <f>HYPERLINK("https://search.naver.com/search.naver?query=5년째 약혼중 영화", "5년째 약혼중")</f>
        <v>5년째 약혼중</v>
      </c>
      <c r="C50" s="47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98" t="s">
        <v>3439</v>
      </c>
    </row>
    <row r="51" spans="1:10" ht="28.9" customHeight="1" thickTop="1" thickBot="1" x14ac:dyDescent="0.65">
      <c r="A51" s="3">
        <v>49</v>
      </c>
      <c r="B51" s="44" t="str">
        <f>HYPERLINK("https://search.naver.com/search.naver?query=5일의 마중 영화", "5일의 마중")</f>
        <v>5일의 마중</v>
      </c>
      <c r="C51" s="45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97" t="s">
        <v>3437</v>
      </c>
    </row>
    <row r="52" spans="1:10" ht="28.9" customHeight="1" thickTop="1" thickBot="1" x14ac:dyDescent="0.65">
      <c r="A52" s="5">
        <v>50</v>
      </c>
      <c r="B52" s="46" t="str">
        <f>HYPERLINK("https://search.naver.com/search.naver?query=5쿼터 영화", "5쿼터")</f>
        <v>5쿼터</v>
      </c>
      <c r="C52" s="47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98" t="s">
        <v>3455</v>
      </c>
    </row>
    <row r="53" spans="1:10" ht="28.9" customHeight="1" thickTop="1" thickBot="1" x14ac:dyDescent="0.65">
      <c r="A53" s="3">
        <v>51</v>
      </c>
      <c r="B53" s="44" t="str">
        <f>HYPERLINK("https://search.naver.com/search.naver?query=6 언더그라운드 영화", "6 언더그라운드")</f>
        <v>6 언더그라운드</v>
      </c>
      <c r="C53" s="45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97" t="s">
        <v>3444</v>
      </c>
    </row>
    <row r="54" spans="1:10" ht="28.9" customHeight="1" thickTop="1" thickBot="1" x14ac:dyDescent="0.65">
      <c r="A54" s="5">
        <v>52</v>
      </c>
      <c r="B54" s="46" t="str">
        <f>HYPERLINK("https://search.naver.com/search.naver?query=64 파트 1 영화", "64 파트 1")</f>
        <v>64 파트 1</v>
      </c>
      <c r="C54" s="47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98" t="s">
        <v>3441</v>
      </c>
    </row>
    <row r="55" spans="1:10" ht="28.9" customHeight="1" thickTop="1" thickBot="1" x14ac:dyDescent="0.65">
      <c r="A55" s="3">
        <v>53</v>
      </c>
      <c r="B55" s="44" t="str">
        <f>HYPERLINK("https://search.naver.com/search.naver?query=64 파트 2 영화", "64 파트 2")</f>
        <v>64 파트 2</v>
      </c>
      <c r="C55" s="45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97" t="s">
        <v>3441</v>
      </c>
    </row>
    <row r="56" spans="1:10" ht="28.9" customHeight="1" thickTop="1" thickBot="1" x14ac:dyDescent="0.65">
      <c r="A56" s="5">
        <v>54</v>
      </c>
      <c r="B56" s="46" t="str">
        <f>HYPERLINK("https://search.naver.com/search.naver?query=6888 중앙우편대대 영화", "6888 중앙우편대대")</f>
        <v>6888 중앙우편대대</v>
      </c>
      <c r="C56" s="47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98" t="s">
        <v>3448</v>
      </c>
    </row>
    <row r="57" spans="1:10" ht="28.9" customHeight="1" thickTop="1" thickBot="1" x14ac:dyDescent="0.65">
      <c r="A57" s="7">
        <v>55</v>
      </c>
      <c r="B57" s="48" t="str">
        <f>HYPERLINK("https://search.naver.com/search.naver?query=68세의신입사원 드라마", "68세의신입사원")</f>
        <v>68세의신입사원</v>
      </c>
      <c r="C57" s="49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99" t="s">
        <v>3442</v>
      </c>
    </row>
    <row r="58" spans="1:10" ht="28.9" customHeight="1" thickTop="1" thickBot="1" x14ac:dyDescent="0.65">
      <c r="A58" s="5">
        <v>56</v>
      </c>
      <c r="B58" s="44" t="str">
        <f>HYPERLINK("https://search.naver.com/search.naver?query=71 벨파스트의 눈물 영화", "71-벨파스트의 눈물")</f>
        <v>71-벨파스트의 눈물</v>
      </c>
      <c r="C58" s="47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98" t="s">
        <v>3437</v>
      </c>
    </row>
    <row r="59" spans="1:10" ht="28.9" customHeight="1" thickTop="1" thickBot="1" x14ac:dyDescent="0.65">
      <c r="A59" s="3">
        <v>57</v>
      </c>
      <c r="B59" s="44" t="str">
        <f>HYPERLINK("https://search.naver.com/search.naver?query=7500 영화", "7500")</f>
        <v>7500</v>
      </c>
      <c r="C59" s="45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97" t="s">
        <v>3444</v>
      </c>
    </row>
    <row r="60" spans="1:10" ht="28.9" customHeight="1" thickTop="1" thickBot="1" x14ac:dyDescent="0.65">
      <c r="A60" s="5">
        <v>58</v>
      </c>
      <c r="B60" s="46" t="str">
        <f>HYPERLINK("https://search.naver.com/search.naver?query=7년의 밤 영화", "7년의 밤")</f>
        <v>7년의 밤</v>
      </c>
      <c r="C60" s="47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98" t="s">
        <v>3442</v>
      </c>
    </row>
    <row r="61" spans="1:10" ht="28.9" customHeight="1" thickTop="1" thickBot="1" x14ac:dyDescent="0.65">
      <c r="A61" s="3">
        <v>59</v>
      </c>
      <c r="B61" s="44" t="str">
        <f>HYPERLINK("https://search.naver.com/search.naver?query=7번방의 선물 영화", "7번방의 선물")</f>
        <v>7번방의 선물</v>
      </c>
      <c r="C61" s="45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97" t="s">
        <v>3439</v>
      </c>
    </row>
    <row r="62" spans="1:10" ht="28.9" customHeight="1" thickTop="1" thickBot="1" x14ac:dyDescent="0.65">
      <c r="A62" s="5">
        <v>60</v>
      </c>
      <c r="B62" s="46" t="str">
        <f>HYPERLINK("https://search.naver.com/search.naver?query=7번째 내가 죽던 날 영화", "7번째 내가 죽던 날")</f>
        <v>7번째 내가 죽던 날</v>
      </c>
      <c r="C62" s="47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98" t="s">
        <v>3443</v>
      </c>
    </row>
    <row r="63" spans="1:10" ht="28.9" customHeight="1" thickTop="1" thickBot="1" x14ac:dyDescent="0.65">
      <c r="A63" s="5">
        <v>61</v>
      </c>
      <c r="B63" s="46" t="str">
        <f>HYPERLINK("https://search.naver.com/search.naver?query=8년을 뛰어넘은 신부 영화", "8년을 뛰어넘은 신부")</f>
        <v>8년을 뛰어넘은 신부</v>
      </c>
      <c r="C63" s="47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98" t="s">
        <v>3438</v>
      </c>
    </row>
    <row r="64" spans="1:10" ht="28.9" customHeight="1" thickTop="1" thickBot="1" x14ac:dyDescent="0.65">
      <c r="A64" s="3">
        <v>62</v>
      </c>
      <c r="B64" s="44" t="str">
        <f>HYPERLINK("https://search.naver.com/search.naver?query=8미리 영화", "8미리")</f>
        <v>8미리</v>
      </c>
      <c r="C64" s="45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97" t="s">
        <v>3456</v>
      </c>
    </row>
    <row r="65" spans="1:10" ht="28.9" customHeight="1" thickTop="1" thickBot="1" x14ac:dyDescent="0.65">
      <c r="A65" s="5">
        <v>63</v>
      </c>
      <c r="B65" s="46" t="str">
        <f>HYPERLINK("https://search.naver.com/search.naver?query=8일째 매미 영화", "8일째 매미")</f>
        <v>8일째 매미</v>
      </c>
      <c r="C65" s="47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98" t="s">
        <v>3454</v>
      </c>
    </row>
    <row r="66" spans="1:10" ht="28.9" customHeight="1" thickTop="1" thickBot="1" x14ac:dyDescent="0.65">
      <c r="A66" s="3">
        <v>64</v>
      </c>
      <c r="B66" s="44" t="str">
        <f>HYPERLINK("https://search.naver.com/search.naver?query=90 미니츠 인 헤븐 영화", "90 미니츠 인 헤븐")</f>
        <v>90 미니츠 인 헤븐</v>
      </c>
      <c r="C66" s="45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97" t="s">
        <v>3440</v>
      </c>
    </row>
    <row r="67" spans="1:10" ht="28.9" customHeight="1" thickTop="1" thickBot="1" x14ac:dyDescent="0.65">
      <c r="A67" s="5">
        <v>65</v>
      </c>
      <c r="B67" s="46" t="str">
        <f>HYPERLINK("https://search.naver.com/search.naver?query=9/11 영화", "911")</f>
        <v>911</v>
      </c>
      <c r="C67" s="47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98" t="s">
        <v>3442</v>
      </c>
    </row>
    <row r="68" spans="1:10" ht="28.9" customHeight="1" thickTop="1" thickBot="1" x14ac:dyDescent="0.65">
      <c r="A68" s="7">
        <v>66</v>
      </c>
      <c r="B68" s="48" t="str">
        <f>HYPERLINK("https://search.naver.com/search.naver?query=9-1-1 론 스타 시즌1", "9-1-1: 론 스타 시즌1")</f>
        <v>9-1-1: 론 스타 시즌1</v>
      </c>
      <c r="C68" s="49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99" t="s">
        <v>3436</v>
      </c>
    </row>
    <row r="69" spans="1:10" ht="28.9" customHeight="1" thickTop="1" thickBot="1" x14ac:dyDescent="0.65">
      <c r="A69" s="7">
        <v>67</v>
      </c>
      <c r="B69" s="48" t="str">
        <f>HYPERLINK("https://search.naver.com/search.naver?query=9-1-1 론 스타 시즌2", "9-1-1: 론 스타 시즌2")</f>
        <v>9-1-1: 론 스타 시즌2</v>
      </c>
      <c r="C69" s="49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99" t="s">
        <v>3438</v>
      </c>
    </row>
    <row r="70" spans="1:10" ht="28.9" customHeight="1" thickTop="1" thickBot="1" x14ac:dyDescent="0.65">
      <c r="A70" s="7">
        <v>68</v>
      </c>
      <c r="B70" s="48" t="str">
        <f>HYPERLINK("https://search.naver.com/search.naver?query=9-1-1 론 스타 시즌3", "9-1-1: 론 스타 시즌3")</f>
        <v>9-1-1: 론 스타 시즌3</v>
      </c>
      <c r="C70" s="49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99" t="s">
        <v>3445</v>
      </c>
    </row>
    <row r="71" spans="1:10" ht="28.9" customHeight="1" thickTop="1" thickBot="1" x14ac:dyDescent="0.65">
      <c r="A71" s="5">
        <v>69</v>
      </c>
      <c r="B71" s="46" t="str">
        <f>HYPERLINK("https://search.naver.com/search.naver?query=9월 5일 위험한 특종 영화", "9월 5일 위험한 특종")</f>
        <v>9월 5일 위험한 특종</v>
      </c>
      <c r="C71" s="47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98" t="s">
        <v>3448</v>
      </c>
    </row>
    <row r="72" spans="1:10" ht="28.9" customHeight="1" thickTop="1" thickBot="1" x14ac:dyDescent="0.65">
      <c r="A72" s="3">
        <v>70</v>
      </c>
      <c r="B72" s="44" t="str">
        <f>HYPERLINK("https://search.naver.com/search.naver?query=A.I. 영화", "A.I.")</f>
        <v>A.I.</v>
      </c>
      <c r="C72" s="45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97" t="s">
        <v>3457</v>
      </c>
    </row>
    <row r="73" spans="1:10" ht="28.9" customHeight="1" thickTop="1" thickBot="1" x14ac:dyDescent="0.65">
      <c r="A73" s="5">
        <v>71</v>
      </c>
      <c r="B73" s="46" t="str">
        <f>HYPERLINK("https://search.naver.com/search.naver?query=AK-47 영화", "AK-47")</f>
        <v>AK-47</v>
      </c>
      <c r="C73" s="47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98" t="s">
        <v>3436</v>
      </c>
    </row>
    <row r="74" spans="1:10" ht="28.9" customHeight="1" thickTop="1" thickBot="1" x14ac:dyDescent="0.65">
      <c r="A74" s="3">
        <v>72</v>
      </c>
      <c r="B74" s="44" t="str">
        <f>HYPERLINK("https://search.naver.com/search.naver?query=CIA 데빌헌터 영화", "CIA 데빌헌터")</f>
        <v>CIA 데빌헌터</v>
      </c>
      <c r="C74" s="45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97" t="s">
        <v>3442</v>
      </c>
    </row>
    <row r="75" spans="1:10" ht="28.9" customHeight="1" thickTop="1" thickBot="1" x14ac:dyDescent="0.65">
      <c r="A75" s="7">
        <v>73</v>
      </c>
      <c r="B75" s="48" t="str">
        <f>HYPERLINK("https://search.naver.com/search.naver?query=D.P. 시즌1", "D.P. 시즌1")</f>
        <v>D.P. 시즌1</v>
      </c>
      <c r="C75" s="49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99" t="s">
        <v>3438</v>
      </c>
    </row>
    <row r="76" spans="1:10" ht="28.9" customHeight="1" thickTop="1" thickBot="1" x14ac:dyDescent="0.65">
      <c r="A76" s="7">
        <v>74</v>
      </c>
      <c r="B76" s="48" t="str">
        <f>HYPERLINK("https://search.naver.com/search.naver?query=D.P. 시즌2", "D.P. 시즌2")</f>
        <v>D.P. 시즌2</v>
      </c>
      <c r="C76" s="49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99" t="s">
        <v>3446</v>
      </c>
    </row>
    <row r="77" spans="1:10" ht="28.9" customHeight="1" thickTop="1" thickBot="1" x14ac:dyDescent="0.65">
      <c r="A77" s="5">
        <v>75</v>
      </c>
      <c r="B77" s="46" t="str">
        <f>HYPERLINK("https://search.naver.com/search.naver?query=D-13 영화", "D-13")</f>
        <v>D-13</v>
      </c>
      <c r="C77" s="47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98" t="s">
        <v>3458</v>
      </c>
    </row>
    <row r="78" spans="1:10" ht="28.9" customHeight="1" thickTop="1" thickBot="1" x14ac:dyDescent="0.65">
      <c r="A78" s="3">
        <v>76</v>
      </c>
      <c r="B78" s="44" t="str">
        <f>HYPERLINK("https://search.naver.com/search.naver?query=FBI덴저러스 영화", "FBI덴저러스")</f>
        <v>FBI덴저러스</v>
      </c>
      <c r="C78" s="45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97" t="s">
        <v>3438</v>
      </c>
    </row>
    <row r="79" spans="1:10" ht="28.9" customHeight="1" thickTop="1" thickBot="1" x14ac:dyDescent="0.65">
      <c r="A79" s="5">
        <v>77</v>
      </c>
      <c r="B79" s="46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47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98" t="s">
        <v>3453</v>
      </c>
    </row>
    <row r="80" spans="1:10" ht="28.9" customHeight="1" thickTop="1" thickBot="1" x14ac:dyDescent="0.65">
      <c r="A80" s="7">
        <v>78</v>
      </c>
      <c r="B80" s="48" t="str">
        <f>HYPERLINK("https://search.naver.com/search.naver?query=Dr. 브레인", "Dr. 브레인")</f>
        <v>Dr. 브레인</v>
      </c>
      <c r="C80" s="49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99" t="s">
        <v>3438</v>
      </c>
    </row>
    <row r="81" spans="1:10" ht="28.9" customHeight="1" thickTop="1" thickBot="1" x14ac:dyDescent="0.65">
      <c r="A81" s="5">
        <v>79</v>
      </c>
      <c r="B81" s="46" t="str">
        <f>HYPERLINK("https://search.naver.com/search.naver?query=F1 더 무비 영화", "F1 더 무비")</f>
        <v>F1 더 무비</v>
      </c>
      <c r="C81" s="47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98" t="s">
        <v>3459</v>
      </c>
    </row>
    <row r="82" spans="1:10" ht="28.9" customHeight="1" thickTop="1" thickBot="1" x14ac:dyDescent="0.65">
      <c r="A82" s="7">
        <v>80</v>
      </c>
      <c r="B82" s="48" t="str">
        <f>HYPERLINK("https://search.naver.com/search.naver?query=FBI 모스트 원티드 시즌1", "FBI: 모스트 원티드 시즌1")</f>
        <v>FBI: 모스트 원티드 시즌1</v>
      </c>
      <c r="C82" s="49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99" t="s">
        <v>3436</v>
      </c>
    </row>
    <row r="83" spans="1:10" ht="28.9" customHeight="1" thickTop="1" thickBot="1" x14ac:dyDescent="0.65">
      <c r="A83" s="5">
        <v>81</v>
      </c>
      <c r="B83" s="46" t="str">
        <f>HYPERLINK("https://search.naver.com/search.naver?query=ING 영화", "ING")</f>
        <v>ING</v>
      </c>
      <c r="C83" s="47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98" t="s">
        <v>3449</v>
      </c>
    </row>
    <row r="84" spans="1:10" ht="28.9" customHeight="1" thickTop="1" thickBot="1" x14ac:dyDescent="0.65">
      <c r="A84" s="3">
        <v>82</v>
      </c>
      <c r="B84" s="44" t="str">
        <f>HYPERLINK("https://search.naver.com/search.naver?query=J.에드가", "J.에드가")</f>
        <v>J.에드가</v>
      </c>
      <c r="C84" s="45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97" t="s">
        <v>3454</v>
      </c>
    </row>
    <row r="85" spans="1:10" ht="28.9" customHeight="1" thickTop="1" thickBot="1" x14ac:dyDescent="0.65">
      <c r="A85" s="3">
        <v>83</v>
      </c>
      <c r="B85" s="44" t="str">
        <f>HYPERLINK("https://search.naver.com/search.naver?query=M.F.A.%20%EC%98%81%ED%99%94", "M.F.A.")</f>
        <v>M.F.A.</v>
      </c>
      <c r="C85" s="45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97" t="s">
        <v>3443</v>
      </c>
    </row>
    <row r="86" spans="1:10" ht="28.9" customHeight="1" thickTop="1" thickBot="1" x14ac:dyDescent="0.65">
      <c r="A86" s="5">
        <v>84</v>
      </c>
      <c r="B86" s="46" t="str">
        <f>HYPERLINK("https://search.naver.com/search.naver?query=Mr.스타벅 영화", "Mr.스타벅")</f>
        <v>Mr.스타벅</v>
      </c>
      <c r="C86" s="47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98" t="s">
        <v>3454</v>
      </c>
    </row>
    <row r="87" spans="1:10" ht="28.9" customHeight="1" thickTop="1" thickBot="1" x14ac:dyDescent="0.65">
      <c r="A87" s="3">
        <v>85</v>
      </c>
      <c r="B87" s="44" t="str">
        <f>HYPERLINK("https://search.naver.com/search.naver?query=PM 11:14 영화", "PM 11:14")</f>
        <v>PM 11:14</v>
      </c>
      <c r="C87" s="45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97" t="s">
        <v>3449</v>
      </c>
    </row>
    <row r="88" spans="1:10" ht="28.9" customHeight="1" thickTop="1" thickBot="1" x14ac:dyDescent="0.65">
      <c r="A88" s="5">
        <v>86</v>
      </c>
      <c r="B88" s="46" t="str">
        <f>HYPERLINK("https://search.naver.com/search.naver?query=PMC 더 벙커 영화", "PMC-더 벙커")</f>
        <v>PMC-더 벙커</v>
      </c>
      <c r="C88" s="47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98" t="s">
        <v>3442</v>
      </c>
    </row>
    <row r="89" spans="1:10" ht="28.9" customHeight="1" thickTop="1" thickBot="1" x14ac:dyDescent="0.65">
      <c r="A89" s="3">
        <v>87</v>
      </c>
      <c r="B89" s="44" t="str">
        <f>HYPERLINK("https://search.naver.com/search.naver?query=S테이프 영화", "S테이프")</f>
        <v>S테이프</v>
      </c>
      <c r="C89" s="45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97" t="s">
        <v>3437</v>
      </c>
    </row>
    <row r="90" spans="1:10" ht="28.9" customHeight="1" thickTop="1" thickBot="1" x14ac:dyDescent="0.65">
      <c r="A90" s="5">
        <v>88</v>
      </c>
      <c r="B90" s="46" t="str">
        <f>HYPERLINK("https://search.naver.com/search.naver?query=33 영화", "The 33")</f>
        <v>The 33</v>
      </c>
      <c r="C90" s="47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98" t="s">
        <v>3440</v>
      </c>
    </row>
    <row r="91" spans="1:10" ht="28.9" customHeight="1" thickTop="1" thickBot="1" x14ac:dyDescent="0.65">
      <c r="A91" s="5">
        <v>89</v>
      </c>
      <c r="B91" s="46" t="str">
        <f>HYPERLINK("https://search.naver.com/search.naver?query=USS 인디애나폴리스 영화", "USS 인디애나폴리스")</f>
        <v>USS 인디애나폴리스</v>
      </c>
      <c r="C91" s="47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98" t="s">
        <v>3441</v>
      </c>
    </row>
    <row r="92" spans="1:10" ht="28.9" customHeight="1" thickTop="1" thickBot="1" x14ac:dyDescent="0.65">
      <c r="A92" s="3">
        <v>90</v>
      </c>
      <c r="B92" s="44" t="str">
        <f>HYPERLINK("https://search.naver.com/search.naver?query=브이아이피 영화", "V.I.P.")</f>
        <v>V.I.P.</v>
      </c>
      <c r="C92" s="45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97" t="s">
        <v>3443</v>
      </c>
    </row>
    <row r="93" spans="1:10" ht="28.9" customHeight="1" thickTop="1" thickBot="1" x14ac:dyDescent="0.65">
      <c r="A93" s="5">
        <v>91</v>
      </c>
      <c r="B93" s="46" t="str">
        <f>HYPERLINK("https://search.naver.com/search.naver?query=가디언즈 오브 갤럭시 영화", "가디언즈 오브 갤럭시")</f>
        <v>가디언즈 오브 갤럭시</v>
      </c>
      <c r="C93" s="47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98" t="s">
        <v>3437</v>
      </c>
    </row>
    <row r="94" spans="1:10" ht="28.9" customHeight="1" thickTop="1" thickBot="1" x14ac:dyDescent="0.65">
      <c r="A94" s="3">
        <v>92</v>
      </c>
      <c r="B94" s="44" t="str">
        <f>HYPERLINK("https://search.naver.com/search.naver?query=가면 영화", "가면")</f>
        <v>가면</v>
      </c>
      <c r="C94" s="45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97" t="s">
        <v>3447</v>
      </c>
    </row>
    <row r="95" spans="1:10" ht="28.9" customHeight="1" thickTop="1" thickBot="1" x14ac:dyDescent="0.65">
      <c r="A95" s="5">
        <v>93</v>
      </c>
      <c r="B95" s="46" t="str">
        <f>HYPERLINK("https://search.naver.com/search.naver?query=가문의 영광5-가문의 귀환 영화", "가문의 영광5-가문의 귀환")</f>
        <v>가문의 영광5-가문의 귀환</v>
      </c>
      <c r="C95" s="47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98" t="s">
        <v>3439</v>
      </c>
    </row>
    <row r="96" spans="1:10" ht="28.9" customHeight="1" thickTop="1" thickBot="1" x14ac:dyDescent="0.65">
      <c r="A96" s="3">
        <v>94</v>
      </c>
      <c r="B96" s="44" t="str">
        <f>HYPERLINK("https://search.naver.com/search.naver?query=가버나움 영화", "가버나움")</f>
        <v>가버나움</v>
      </c>
      <c r="C96" s="45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97" t="s">
        <v>3442</v>
      </c>
    </row>
    <row r="97" spans="1:10" ht="28.9" customHeight="1" thickTop="1" thickBot="1" x14ac:dyDescent="0.65">
      <c r="A97" s="5">
        <v>95</v>
      </c>
      <c r="B97" s="46" t="str">
        <f>HYPERLINK("https://search.naver.com/search.naver?query=가비2012", "가비")</f>
        <v>가비</v>
      </c>
      <c r="C97" s="47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98" t="s">
        <v>3439</v>
      </c>
    </row>
    <row r="98" spans="1:10" ht="28.9" customHeight="1" thickTop="1" thickBot="1" x14ac:dyDescent="0.65">
      <c r="A98" s="3">
        <v>96</v>
      </c>
      <c r="B98" s="44" t="str">
        <f>HYPERLINK("https://search.naver.com/search.naver?query=가을로 영화", "가을로")</f>
        <v>가을로</v>
      </c>
      <c r="C98" s="45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97" t="s">
        <v>3460</v>
      </c>
    </row>
    <row r="99" spans="1:10" ht="28.9" customHeight="1" thickTop="1" thickBot="1" x14ac:dyDescent="0.65">
      <c r="A99" s="5">
        <v>97</v>
      </c>
      <c r="B99" s="46" t="str">
        <f>HYPERLINK("https://search.naver.com/search.naver?query=가을의 마티네 영화", "가을의 마티네")</f>
        <v>가을의 마티네</v>
      </c>
      <c r="C99" s="47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98" t="s">
        <v>3436</v>
      </c>
    </row>
    <row r="100" spans="1:10" ht="28.9" customHeight="1" thickTop="1" thickBot="1" x14ac:dyDescent="0.65">
      <c r="A100" s="3">
        <v>98</v>
      </c>
      <c r="B100" s="44" t="str">
        <f>HYPERLINK("https://search.naver.com/search.naver?query=가장 따뜻한 색, 블루 영화", "가장 따뜻한 색, 블루")</f>
        <v>가장 따뜻한 색, 블루</v>
      </c>
      <c r="C100" s="45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97" t="s">
        <v>3451</v>
      </c>
    </row>
    <row r="101" spans="1:10" ht="28.9" customHeight="1" thickTop="1" thickBot="1" x14ac:dyDescent="0.65">
      <c r="A101" s="5">
        <v>99</v>
      </c>
      <c r="B101" s="46" t="str">
        <f>HYPERLINK("https://search.naver.com/search.naver?query=가장 보통의 연애 영화", "가장 보통의 연애")</f>
        <v>가장 보통의 연애</v>
      </c>
      <c r="C101" s="47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98" t="s">
        <v>3444</v>
      </c>
    </row>
    <row r="102" spans="1:10" ht="28.9" customHeight="1" thickTop="1" thickBot="1" x14ac:dyDescent="0.65">
      <c r="A102" s="3">
        <v>100</v>
      </c>
      <c r="B102" s="44" t="str">
        <f>HYPERLINK("https://search.naver.com/search.naver?query=가재가 노래하는 곳 영화", "가재가 노래하는 곳")</f>
        <v>가재가 노래하는 곳</v>
      </c>
      <c r="C102" s="45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97" t="s">
        <v>3445</v>
      </c>
    </row>
    <row r="103" spans="1:10" ht="28.9" customHeight="1" thickTop="1" thickBot="1" x14ac:dyDescent="0.65">
      <c r="A103" s="5">
        <v>101</v>
      </c>
      <c r="B103" s="46" t="str">
        <f>HYPERLINK("https://search.naver.com/search.naver?query=가족은 괴로워 2 영화", "가족은 괴로워 2")</f>
        <v>가족은 괴로워 2</v>
      </c>
      <c r="C103" s="47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98" t="s">
        <v>3443</v>
      </c>
    </row>
    <row r="104" spans="1:10" ht="28.9" customHeight="1" thickTop="1" thickBot="1" x14ac:dyDescent="0.65">
      <c r="A104" s="3">
        <v>102</v>
      </c>
      <c r="B104" s="44" t="str">
        <f>HYPERLINK("https://search.naver.com/search.naver?query=가족은 괴로워3 영화", "가족은 괴로워3")</f>
        <v>가족은 괴로워3</v>
      </c>
      <c r="C104" s="45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97" t="s">
        <v>3438</v>
      </c>
    </row>
    <row r="105" spans="1:10" ht="28.9" customHeight="1" thickTop="1" thickBot="1" x14ac:dyDescent="0.65">
      <c r="A105" s="5">
        <v>103</v>
      </c>
      <c r="B105" s="46" t="str">
        <f>HYPERLINK("https://search.naver.com/search.naver?query=가족의 나라 영화", "가족의 나라")</f>
        <v>가족의 나라</v>
      </c>
      <c r="C105" s="47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98" t="s">
        <v>3451</v>
      </c>
    </row>
    <row r="106" spans="1:10" ht="28.9" customHeight="1" thickTop="1" thickBot="1" x14ac:dyDescent="0.65">
      <c r="A106" s="3">
        <v>104</v>
      </c>
      <c r="B106" s="44" t="str">
        <f>HYPERLINK("https://search.naver.com/search.naver?query=가족의 색깔 영화", "가족의 색깔")</f>
        <v>가족의 색깔</v>
      </c>
      <c r="C106" s="45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97" t="s">
        <v>3438</v>
      </c>
    </row>
    <row r="107" spans="1:10" ht="28.9" customHeight="1" thickTop="1" thickBot="1" x14ac:dyDescent="0.65">
      <c r="A107" s="5">
        <v>105</v>
      </c>
      <c r="B107" s="46" t="str">
        <f>HYPERLINK("https://search.naver.com/search.naver?query=가족의 탄생 영화", "가족의 탄생")</f>
        <v>가족의 탄생</v>
      </c>
      <c r="C107" s="47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98" t="s">
        <v>3460</v>
      </c>
    </row>
    <row r="108" spans="1:10" ht="28.9" customHeight="1" thickTop="1" thickBot="1" x14ac:dyDescent="0.65">
      <c r="A108" s="3">
        <v>106</v>
      </c>
      <c r="B108" s="44" t="str">
        <f>HYPERLINK("https://search.naver.com/search.naver?query=간기남 영화", "간기남")</f>
        <v>간기남</v>
      </c>
      <c r="C108" s="45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97" t="s">
        <v>3439</v>
      </c>
    </row>
    <row r="109" spans="1:10" ht="28.9" customHeight="1" thickTop="1" thickBot="1" x14ac:dyDescent="0.65">
      <c r="A109" s="5">
        <v>107</v>
      </c>
      <c r="B109" s="46" t="str">
        <f>HYPERLINK("https://search.naver.com/search.naver?query=영화 간첩", "간첩")</f>
        <v>간첩</v>
      </c>
      <c r="C109" s="47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98" t="s">
        <v>3439</v>
      </c>
    </row>
    <row r="110" spans="1:10" ht="28.9" customHeight="1" thickTop="1" thickBot="1" x14ac:dyDescent="0.65">
      <c r="A110" s="3">
        <v>108</v>
      </c>
      <c r="B110" s="44" t="str">
        <f>HYPERLINK("https://search.naver.com/search.naver?query=감각 그녀의 초상 영화", "감각-그녀의 초상")</f>
        <v>감각-그녀의 초상</v>
      </c>
      <c r="C110" s="45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97" t="s">
        <v>3442</v>
      </c>
    </row>
    <row r="111" spans="1:10" ht="28.9" customHeight="1" thickTop="1" thickBot="1" x14ac:dyDescent="0.65">
      <c r="A111" s="5">
        <v>109</v>
      </c>
      <c r="B111" s="46" t="str">
        <f>HYPERLINK("https://search.naver.com/search.naver?query=감기 영화", "감기")</f>
        <v>감기</v>
      </c>
      <c r="C111" s="47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98" t="s">
        <v>3451</v>
      </c>
    </row>
    <row r="112" spans="1:10" ht="28.9" customHeight="1" thickTop="1" thickBot="1" x14ac:dyDescent="0.65">
      <c r="A112" s="3">
        <v>110</v>
      </c>
      <c r="B112" s="44" t="str">
        <f>HYPERLINK("https://search.naver.com/search.naver?query=감시자들 영화", "감시자들")</f>
        <v>감시자들</v>
      </c>
      <c r="C112" s="45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97" t="s">
        <v>3451</v>
      </c>
    </row>
    <row r="113" spans="1:10" ht="28.9" customHeight="1" thickTop="1" thickBot="1" x14ac:dyDescent="0.65">
      <c r="A113" s="5">
        <v>111</v>
      </c>
      <c r="B113" s="46" t="str">
        <f>HYPERLINK("https://search.naver.com/search.naver?query=갓 블레스 아메리카 영화", "갓 블레스 아메리카")</f>
        <v>갓 블레스 아메리카</v>
      </c>
      <c r="C113" s="47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98" t="s">
        <v>3454</v>
      </c>
    </row>
    <row r="114" spans="1:10" ht="28.9" customHeight="1" thickTop="1" thickBot="1" x14ac:dyDescent="0.65">
      <c r="A114" s="3">
        <v>112</v>
      </c>
      <c r="B114" s="44" t="str">
        <f>HYPERLINK("https://search.naver.com/search.naver?query=갓즈 포켓 영화", "갓즈 포켓")</f>
        <v>갓즈 포켓</v>
      </c>
      <c r="C114" s="45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97" t="s">
        <v>3437</v>
      </c>
    </row>
    <row r="115" spans="1:10" ht="28.9" customHeight="1" thickTop="1" thickBot="1" x14ac:dyDescent="0.65">
      <c r="A115" s="5">
        <v>113</v>
      </c>
      <c r="B115" s="46" t="str">
        <f>HYPERLINK("https://search.naver.com/search.naver?query=영화 강남1970", "강남 1970")</f>
        <v>강남 1970</v>
      </c>
      <c r="C115" s="47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98" t="s">
        <v>3440</v>
      </c>
    </row>
    <row r="116" spans="1:10" ht="28.9" customHeight="1" thickTop="1" thickBot="1" x14ac:dyDescent="0.65">
      <c r="A116" s="3">
        <v>114</v>
      </c>
      <c r="B116" s="44" t="str">
        <f>HYPERLINK("https://search.naver.com/search.naver?query=영화 강릉", "강릉")</f>
        <v>강릉</v>
      </c>
      <c r="C116" s="45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97" t="s">
        <v>3438</v>
      </c>
    </row>
    <row r="117" spans="1:10" ht="28.9" customHeight="1" thickTop="1" thickBot="1" x14ac:dyDescent="0.65">
      <c r="A117" s="5">
        <v>115</v>
      </c>
      <c r="B117" s="46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47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98" t="s">
        <v>3450</v>
      </c>
    </row>
    <row r="118" spans="1:10" ht="28.9" customHeight="1" thickTop="1" thickBot="1" x14ac:dyDescent="0.65">
      <c r="A118" s="3">
        <v>116</v>
      </c>
      <c r="B118" s="44" t="str">
        <f>HYPERLINK("https://search.naver.com/search.naver?query=강철대오:구국의 철가방 영화", "강철대오 - 구국의 철가방")</f>
        <v>강철대오 - 구국의 철가방</v>
      </c>
      <c r="C118" s="45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97" t="s">
        <v>3439</v>
      </c>
    </row>
    <row r="119" spans="1:10" ht="28.9" customHeight="1" thickTop="1" thickBot="1" x14ac:dyDescent="0.65">
      <c r="A119" s="5">
        <v>117</v>
      </c>
      <c r="B119" s="46" t="str">
        <f>HYPERLINK("https://search.naver.com/search.naver?query=강철비 영화", "강철비")</f>
        <v>강철비</v>
      </c>
      <c r="C119" s="47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98" t="s">
        <v>3443</v>
      </c>
    </row>
    <row r="120" spans="1:10" ht="28.9" customHeight="1" thickTop="1" thickBot="1" x14ac:dyDescent="0.65">
      <c r="A120" s="3">
        <v>118</v>
      </c>
      <c r="B120" s="44" t="str">
        <f>HYPERLINK("https://search.naver.com/search.naver?query=강철비2:정상회담 영화", "강철비2-정상회담")</f>
        <v>강철비2-정상회담</v>
      </c>
      <c r="C120" s="45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97" t="s">
        <v>3444</v>
      </c>
    </row>
    <row r="121" spans="1:10" ht="28.9" customHeight="1" thickTop="1" thickBot="1" x14ac:dyDescent="0.65">
      <c r="A121" s="5">
        <v>119</v>
      </c>
      <c r="B121" s="46" t="str">
        <f>HYPERLINK("https://search.naver.com/search.naver?query=갤버스턴 영화", "갤버스턴")</f>
        <v>갤버스턴</v>
      </c>
      <c r="C121" s="47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98" t="s">
        <v>3442</v>
      </c>
    </row>
    <row r="122" spans="1:10" ht="28.9" customHeight="1" thickTop="1" thickBot="1" x14ac:dyDescent="0.65">
      <c r="A122" s="7">
        <v>120</v>
      </c>
      <c r="B122" s="48" t="str">
        <f>HYPERLINK("https://search.naver.com/search.naver?query=갱스 오브 런던 시즌1", "갱스 오브 런던 시즌1")</f>
        <v>갱스 오브 런던 시즌1</v>
      </c>
      <c r="C122" s="49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99" t="s">
        <v>3436</v>
      </c>
    </row>
    <row r="123" spans="1:10" ht="28.9" customHeight="1" thickTop="1" thickBot="1" x14ac:dyDescent="0.65">
      <c r="A123" s="7">
        <v>121</v>
      </c>
      <c r="B123" s="48" t="str">
        <f>HYPERLINK("https://search.naver.com/search.naver?query=갱스 오브 런던 시즌2", "갱스 오브 런던 시즌2")</f>
        <v>갱스 오브 런던 시즌2</v>
      </c>
      <c r="C123" s="49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99" t="s">
        <v>3445</v>
      </c>
    </row>
    <row r="124" spans="1:10" ht="28.9" customHeight="1" thickTop="1" thickBot="1" x14ac:dyDescent="0.65">
      <c r="A124" s="3">
        <v>122</v>
      </c>
      <c r="B124" s="44" t="str">
        <f>HYPERLINK("https://search.naver.com/search.naver?query=갱스터 스쿼드 영화", "갱스터 스쿼드")</f>
        <v>갱스터 스쿼드</v>
      </c>
      <c r="C124" s="45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97" t="s">
        <v>3451</v>
      </c>
    </row>
    <row r="125" spans="1:10" ht="28.9" customHeight="1" thickTop="1" thickBot="1" x14ac:dyDescent="0.65">
      <c r="A125" s="5">
        <v>123</v>
      </c>
      <c r="B125" s="46" t="str">
        <f>HYPERLINK("https://search.naver.com/search.naver?query=거꾸로 가는 남자", "거꾸로 가는 남자")</f>
        <v>거꾸로 가는 남자</v>
      </c>
      <c r="C125" s="47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98" t="s">
        <v>3442</v>
      </c>
    </row>
    <row r="126" spans="1:10" ht="28.9" customHeight="1" thickTop="1" thickBot="1" x14ac:dyDescent="0.65">
      <c r="A126" s="3">
        <v>124</v>
      </c>
      <c r="B126" s="44" t="str">
        <f>HYPERLINK("https://search.naver.com/search.naver?query=거룩한 계보 영화", "거룩한 계보")</f>
        <v>거룩한 계보</v>
      </c>
      <c r="C126" s="45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97" t="s">
        <v>3460</v>
      </c>
    </row>
    <row r="127" spans="1:10" ht="28.9" customHeight="1" thickTop="1" thickBot="1" x14ac:dyDescent="0.65">
      <c r="A127" s="5">
        <v>125</v>
      </c>
      <c r="B127" s="46" t="str">
        <f>HYPERLINK("https://search.naver.com/search.naver?query=거룩한 분노 영화", "거룩한 분노")</f>
        <v>거룩한 분노</v>
      </c>
      <c r="C127" s="47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98" t="s">
        <v>3443</v>
      </c>
    </row>
    <row r="128" spans="1:10" ht="28.9" customHeight="1" thickTop="1" thickBot="1" x14ac:dyDescent="0.65">
      <c r="A128" s="3">
        <v>126</v>
      </c>
      <c r="B128" s="44" t="str">
        <f>HYPERLINK("https://search.naver.com/search.naver?query=거미줄에 걸린 소녀 영화", "거미줄에 걸린 소녀")</f>
        <v>거미줄에 걸린 소녀</v>
      </c>
      <c r="C128" s="45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97" t="s">
        <v>3442</v>
      </c>
    </row>
    <row r="129" spans="1:10" ht="28.9" customHeight="1" thickTop="1" thickBot="1" x14ac:dyDescent="0.65">
      <c r="A129" s="5">
        <v>127</v>
      </c>
      <c r="B129" s="46" t="str">
        <f>HYPERLINK("https://search.naver.com/search.naver?query=거북이 달린다 영화", "거북이 달린다")</f>
        <v>거북이 달린다</v>
      </c>
      <c r="C129" s="47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98" t="s">
        <v>3453</v>
      </c>
    </row>
    <row r="130" spans="1:10" ht="28.9" customHeight="1" thickTop="1" thickBot="1" x14ac:dyDescent="0.65">
      <c r="A130" s="3">
        <v>128</v>
      </c>
      <c r="B130" s="44" t="str">
        <f>HYPERLINK("https://search.naver.com/search.naver?query=거짓 혹은 진실 영화", "거짓 혹은 진실")</f>
        <v>거짓 혹은 진실</v>
      </c>
      <c r="C130" s="45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97" t="s">
        <v>3450</v>
      </c>
    </row>
    <row r="131" spans="1:10" ht="28.9" customHeight="1" thickTop="1" thickBot="1" x14ac:dyDescent="0.65">
      <c r="A131" s="5">
        <v>129</v>
      </c>
      <c r="B131" s="46" t="str">
        <f>HYPERLINK("https://search.naver.com/search.naver?query=거짓말을 사랑하는 여자 영화", "거짓말을 사랑하는 여자")</f>
        <v>거짓말을 사랑하는 여자</v>
      </c>
      <c r="C131" s="47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98" t="s">
        <v>3443</v>
      </c>
    </row>
    <row r="132" spans="1:10" ht="28.9" customHeight="1" thickTop="1" thickBot="1" x14ac:dyDescent="0.65">
      <c r="A132" s="3">
        <v>130</v>
      </c>
      <c r="B132" s="44" t="str">
        <f>HYPERLINK("https://search.naver.com/search.naver?query=건축학개론 영화", "건축학개론")</f>
        <v>건축학개론</v>
      </c>
      <c r="C132" s="45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97" t="s">
        <v>3439</v>
      </c>
    </row>
    <row r="133" spans="1:10" ht="28.9" customHeight="1" thickTop="1" thickBot="1" x14ac:dyDescent="0.65">
      <c r="A133" s="5">
        <v>131</v>
      </c>
      <c r="B133" s="46" t="str">
        <f>HYPERLINK("https://search.naver.com/search.naver?query=걸리버 여행기 영화", "걸리버 여행기")</f>
        <v>걸리버 여행기</v>
      </c>
      <c r="C133" s="47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98" t="s">
        <v>3455</v>
      </c>
    </row>
    <row r="134" spans="1:10" ht="28.9" customHeight="1" thickTop="1" thickBot="1" x14ac:dyDescent="0.65">
      <c r="A134" s="3">
        <v>132</v>
      </c>
      <c r="B134" s="44" t="str">
        <f>HYPERLINK("https://search.naver.com/search.naver?query=걸캅스 영화", "걸캅스")</f>
        <v>걸캅스</v>
      </c>
      <c r="C134" s="45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97" t="s">
        <v>3442</v>
      </c>
    </row>
    <row r="135" spans="1:10" ht="28.9" customHeight="1" thickTop="1" thickBot="1" x14ac:dyDescent="0.65">
      <c r="A135" s="5">
        <v>133</v>
      </c>
      <c r="B135" s="46" t="str">
        <f>HYPERLINK("https://search.naver.com/search.naver?query=검객 영화", "검객")</f>
        <v>검객</v>
      </c>
      <c r="C135" s="47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98" t="s">
        <v>3436</v>
      </c>
    </row>
    <row r="136" spans="1:10" ht="28.9" customHeight="1" thickTop="1" thickBot="1" x14ac:dyDescent="0.65">
      <c r="A136" s="3">
        <v>134</v>
      </c>
      <c r="B136" s="44" t="str">
        <f>HYPERLINK("https://search.naver.com/search.naver?query=검사외전 영화", "검사외전")</f>
        <v>검사외전</v>
      </c>
      <c r="C136" s="45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97" t="s">
        <v>3440</v>
      </c>
    </row>
    <row r="137" spans="1:10" ht="28.9" customHeight="1" thickTop="1" thickBot="1" x14ac:dyDescent="0.65">
      <c r="A137" s="5">
        <v>135</v>
      </c>
      <c r="B137" s="46" t="str">
        <f>HYPERLINK("https://search.naver.com/search.naver?query=검우강호 영화", "검우강호")</f>
        <v>검우강호</v>
      </c>
      <c r="C137" s="47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98" t="s">
        <v>3455</v>
      </c>
    </row>
    <row r="138" spans="1:10" ht="28.9" customHeight="1" thickTop="1" thickBot="1" x14ac:dyDescent="0.65">
      <c r="A138" s="3">
        <v>136</v>
      </c>
      <c r="B138" s="44" t="str">
        <f>HYPERLINK("https://search.naver.com/search.naver?query=검은 수녀들 영화", "검은 수녀들")</f>
        <v>검은 수녀들</v>
      </c>
      <c r="C138" s="45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97" t="s">
        <v>3459</v>
      </c>
    </row>
    <row r="139" spans="1:10" ht="28.9" customHeight="1" thickTop="1" thickBot="1" x14ac:dyDescent="0.65">
      <c r="A139" s="5">
        <v>137</v>
      </c>
      <c r="B139" s="46" t="str">
        <f>HYPERLINK("https://search.naver.com/search.naver?query=영화 검은사제들", "검은사제들")</f>
        <v>검은사제들</v>
      </c>
      <c r="C139" s="47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98" t="s">
        <v>3440</v>
      </c>
    </row>
    <row r="140" spans="1:10" ht="28.9" customHeight="1" thickTop="1" thickBot="1" x14ac:dyDescent="0.65">
      <c r="A140" s="3">
        <v>138</v>
      </c>
      <c r="B140" s="44" t="str">
        <f>HYPERLINK("https://search.naver.com/search.naver?query=검찰측의 죄인 영화", "검찰측의 죄인")</f>
        <v>검찰측의 죄인</v>
      </c>
      <c r="C140" s="45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97" t="s">
        <v>3442</v>
      </c>
    </row>
    <row r="141" spans="1:10" ht="28.9" customHeight="1" thickTop="1" thickBot="1" x14ac:dyDescent="0.65">
      <c r="A141" s="5">
        <v>139</v>
      </c>
      <c r="B141" s="46" t="str">
        <f>HYPERLINK("https://search.naver.com/search.naver?query=게이샤의 추억 영화", "게이샤의 추억")</f>
        <v>게이샤의 추억</v>
      </c>
      <c r="C141" s="47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98" t="s">
        <v>3461</v>
      </c>
    </row>
    <row r="142" spans="1:10" ht="28.9" customHeight="1" thickTop="1" thickBot="1" x14ac:dyDescent="0.65">
      <c r="A142" s="3">
        <v>140</v>
      </c>
      <c r="B142" s="44" t="str">
        <f>HYPERLINK("https://search.naver.com/search.naver?query=게이트 영화", "게이트")</f>
        <v>게이트</v>
      </c>
      <c r="C142" s="45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97" t="s">
        <v>3443</v>
      </c>
    </row>
    <row r="143" spans="1:10" ht="28.9" customHeight="1" thickTop="1" thickBot="1" x14ac:dyDescent="0.65">
      <c r="A143" s="5">
        <v>141</v>
      </c>
      <c r="B143" s="46" t="str">
        <f>HYPERLINK("https://search.naver.com/search.naver?query=게임체인지 영화", "게임체인지")</f>
        <v>게임체인지</v>
      </c>
      <c r="C143" s="47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98" t="s">
        <v>3440</v>
      </c>
    </row>
    <row r="144" spans="1:10" ht="28.9" customHeight="1" thickTop="1" thickBot="1" x14ac:dyDescent="0.65">
      <c r="A144" s="3">
        <v>142</v>
      </c>
      <c r="B144" s="44" t="str">
        <f>HYPERLINK("https://search.naver.com/search.naver?query=겜블러 영화", "겜블러")</f>
        <v>겜블러</v>
      </c>
      <c r="C144" s="45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97" t="s">
        <v>3437</v>
      </c>
    </row>
    <row r="145" spans="1:10" ht="28.9" customHeight="1" thickTop="1" thickBot="1" x14ac:dyDescent="0.65">
      <c r="A145" s="5">
        <v>143</v>
      </c>
      <c r="B145" s="46" t="str">
        <f>HYPERLINK("https://search.naver.com/search.naver?query=겟 더 그링고", "겟 더 그링고")</f>
        <v>겟 더 그링고</v>
      </c>
      <c r="C145" s="47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98" t="s">
        <v>3439</v>
      </c>
    </row>
    <row r="146" spans="1:10" ht="28.9" customHeight="1" thickTop="1" thickBot="1" x14ac:dyDescent="0.65">
      <c r="A146" s="3">
        <v>144</v>
      </c>
      <c r="B146" s="44" t="str">
        <f>HYPERLINK("https://search.naver.com/search.naver?query=겟 아웃 영화", "겟 아웃")</f>
        <v>겟 아웃</v>
      </c>
      <c r="C146" s="45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97" t="s">
        <v>3443</v>
      </c>
    </row>
    <row r="147" spans="1:10" ht="28.9" customHeight="1" thickTop="1" thickBot="1" x14ac:dyDescent="0.65">
      <c r="A147" s="5">
        <v>145</v>
      </c>
      <c r="B147" s="46" t="str">
        <f>HYPERLINK("https://search.naver.com/search.naver?query=결백 영화", "결백")</f>
        <v>결백</v>
      </c>
      <c r="C147" s="47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98" t="s">
        <v>3444</v>
      </c>
    </row>
    <row r="148" spans="1:10" ht="28.9" customHeight="1" thickTop="1" thickBot="1" x14ac:dyDescent="0.65">
      <c r="A148" s="3">
        <v>146</v>
      </c>
      <c r="B148" s="44" t="str">
        <f>HYPERLINK("https://search.daum.net/search?nil_suggest=btn&amp;w=tot&amp;DA=SBC&amp;q=%EA%B2%B0%ED%98%BC+%EC%83%9D%ED%99%9C+%EC%98%81%ED%99%94", "결혼 생활")</f>
        <v>결혼 생활</v>
      </c>
      <c r="C148" s="45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97" t="s">
        <v>3450</v>
      </c>
    </row>
    <row r="149" spans="1:10" ht="28.9" customHeight="1" thickTop="1" thickBot="1" x14ac:dyDescent="0.65">
      <c r="A149" s="5">
        <v>147</v>
      </c>
      <c r="B149" s="46" t="str">
        <f>HYPERLINK("https://search.naver.com/search.naver?query=결혼 이야기 영화", "결혼 이야기")</f>
        <v>결혼 이야기</v>
      </c>
      <c r="C149" s="47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98" t="s">
        <v>3444</v>
      </c>
    </row>
    <row r="150" spans="1:10" ht="28.9" customHeight="1" thickTop="1" thickBot="1" x14ac:dyDescent="0.65">
      <c r="A150" s="3">
        <v>148</v>
      </c>
      <c r="B150" s="44" t="str">
        <f>HYPERLINK("https://search.naver.com/search.naver?query=결혼하지 않아도 괜찮을까 영화", "결혼하지 않아도 괜찮을까")</f>
        <v>결혼하지 않아도 괜찮을까</v>
      </c>
      <c r="C150" s="45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97" t="s">
        <v>3439</v>
      </c>
    </row>
    <row r="151" spans="1:10" ht="28.9" customHeight="1" thickTop="1" thickBot="1" x14ac:dyDescent="0.65">
      <c r="A151" s="5">
        <v>149</v>
      </c>
      <c r="B151" s="46" t="str">
        <f>HYPERLINK("https://search.naver.com/search.naver?query=경관의 피 영화", "경관의 피")</f>
        <v>경관의 피</v>
      </c>
      <c r="C151" s="47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98" t="s">
        <v>3445</v>
      </c>
    </row>
    <row r="152" spans="1:10" ht="28.9" customHeight="1" thickTop="1" thickBot="1" x14ac:dyDescent="0.65">
      <c r="A152" s="3">
        <v>150</v>
      </c>
      <c r="B152" s="44" t="str">
        <f>HYPERLINK("https://search.daum.net/search?nil_suggest=btn&amp;w=tot&amp;DA=SBC&amp;q=%EA%B3%A0%EA%B3%A0%ED%95%9C+%EB%A9%94%EC%8A%A4+%EC%98%81%ED%99%94", "고고한 메스")</f>
        <v>고고한 메스</v>
      </c>
      <c r="C152" s="45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97" t="s">
        <v>3455</v>
      </c>
    </row>
    <row r="153" spans="1:10" ht="28.9" customHeight="1" thickTop="1" thickBot="1" x14ac:dyDescent="0.65">
      <c r="A153" s="5">
        <v>151</v>
      </c>
      <c r="B153" s="46" t="str">
        <f>HYPERLINK("https://search.naver.com/search.naver?query=고도 영화", "고도")</f>
        <v>고도</v>
      </c>
      <c r="C153" s="47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98" t="s">
        <v>3441</v>
      </c>
    </row>
    <row r="154" spans="1:10" ht="28.9" customHeight="1" thickTop="1" thickBot="1" x14ac:dyDescent="0.65">
      <c r="A154" s="3">
        <v>152</v>
      </c>
      <c r="B154" s="44" t="str">
        <f>HYPERLINK("https://search.naver.com/search.naver?query=영화 고독사", "고독사")</f>
        <v>고독사</v>
      </c>
      <c r="C154" s="45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97" t="s">
        <v>3454</v>
      </c>
    </row>
    <row r="155" spans="1:10" ht="28.9" customHeight="1" thickTop="1" thickBot="1" x14ac:dyDescent="0.65">
      <c r="A155" s="5">
        <v>153</v>
      </c>
      <c r="B155" s="46" t="str">
        <f>HYPERLINK("https://search.naver.com/search.naver?query=고령화가족 영화", "고령화가족")</f>
        <v>고령화가족</v>
      </c>
      <c r="C155" s="47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98" t="s">
        <v>3451</v>
      </c>
    </row>
    <row r="156" spans="1:10" ht="28.9" customHeight="1" thickTop="1" thickBot="1" x14ac:dyDescent="0.65">
      <c r="A156" s="3">
        <v>154</v>
      </c>
      <c r="B156" s="44" t="str">
        <f>HYPERLINK("https://www.kmdb.or.kr/db/kor/detail/movie/K/22837", "고백")</f>
        <v>고백</v>
      </c>
      <c r="C156" s="45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97" t="s">
        <v>3438</v>
      </c>
    </row>
    <row r="157" spans="1:10" ht="28.9" customHeight="1" thickTop="1" thickBot="1" x14ac:dyDescent="0.65">
      <c r="A157" s="5">
        <v>155</v>
      </c>
      <c r="B157" s="46" t="str">
        <f>HYPERLINK("https://search.naver.com/search.naver?query=영화고백", "고백")</f>
        <v>고백</v>
      </c>
      <c r="C157" s="47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98" t="s">
        <v>3455</v>
      </c>
    </row>
    <row r="158" spans="1:10" ht="28.9" customHeight="1" thickTop="1" thickBot="1" x14ac:dyDescent="0.65">
      <c r="A158" s="3">
        <v>156</v>
      </c>
      <c r="B158" s="44" t="str">
        <f>HYPERLINK("https://search.naver.com/search.naver?query=고스톱 살인 영화", "고스톱 살인")</f>
        <v>고스톱 살인</v>
      </c>
      <c r="C158" s="45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97" t="s">
        <v>3451</v>
      </c>
    </row>
    <row r="159" spans="1:10" ht="28.9" customHeight="1" thickTop="1" thickBot="1" x14ac:dyDescent="0.65">
      <c r="A159" s="5">
        <v>157</v>
      </c>
      <c r="B159" s="46" t="str">
        <f>HYPERLINK("https://search.naver.com/search.naver?query=고스트:보이지 않는 사랑 영화", "고스트:보이지 않는 사랑")</f>
        <v>고스트:보이지 않는 사랑</v>
      </c>
      <c r="C159" s="47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98" t="s">
        <v>3455</v>
      </c>
    </row>
    <row r="160" spans="1:10" ht="28.9" customHeight="1" thickTop="1" thickBot="1" x14ac:dyDescent="0.65">
      <c r="A160" s="38">
        <v>158</v>
      </c>
      <c r="B160" s="79" t="str">
        <f>HYPERLINK("https://search.naver.com/search.naver?query=영화 고스트라이트", "고스트라이트")</f>
        <v>고스트라이트</v>
      </c>
      <c r="C160" s="62">
        <v>8.2799999999999994</v>
      </c>
      <c r="D160" s="31" t="s">
        <v>289</v>
      </c>
      <c r="E160" s="38" t="s">
        <v>20</v>
      </c>
      <c r="F160" s="38">
        <v>2025</v>
      </c>
      <c r="G160" s="38" t="s">
        <v>12</v>
      </c>
      <c r="H160" s="38" t="s">
        <v>17</v>
      </c>
      <c r="I160" s="38" t="s">
        <v>47</v>
      </c>
      <c r="J160" s="100" t="s">
        <v>290</v>
      </c>
    </row>
    <row r="161" spans="1:10" ht="28.9" customHeight="1" thickTop="1" thickBot="1" x14ac:dyDescent="0.65">
      <c r="A161" s="3">
        <v>159</v>
      </c>
      <c r="B161" s="44" t="str">
        <f>HYPERLINK("https://search.naver.com/search.naver?query=고양이 여행 리포트 영화", "고양이 여행 리포트")</f>
        <v>고양이 여행 리포트</v>
      </c>
      <c r="C161" s="45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97" t="s">
        <v>3442</v>
      </c>
    </row>
    <row r="162" spans="1:10" ht="28.9" customHeight="1" thickTop="1" thickBot="1" x14ac:dyDescent="0.65">
      <c r="A162" s="5">
        <v>160</v>
      </c>
      <c r="B162" s="46" t="str">
        <f>HYPERLINK("https://search.naver.com/search.naver?query=고양이를 빌려드립니다 영화", "고양이를 빌려드립니다")</f>
        <v>고양이를 빌려드립니다</v>
      </c>
      <c r="C162" s="47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98" t="s">
        <v>3439</v>
      </c>
    </row>
    <row r="163" spans="1:10" ht="28.9" customHeight="1" thickTop="1" thickBot="1" x14ac:dyDescent="0.65">
      <c r="A163" s="3">
        <v>161</v>
      </c>
      <c r="B163" s="44" t="str">
        <f>HYPERLINK("https://search.naver.com/search.naver?query=고양이와 할아버지 영화", "고양이와 할아버지")</f>
        <v>고양이와 할아버지</v>
      </c>
      <c r="C163" s="45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97" t="s">
        <v>3442</v>
      </c>
    </row>
    <row r="164" spans="1:10" ht="28.9" customHeight="1" thickTop="1" thickBot="1" x14ac:dyDescent="0.65">
      <c r="A164" s="7">
        <v>162</v>
      </c>
      <c r="B164" s="48" t="str">
        <f>HYPERLINK("https://search.naver.com/search.naver?query=고요의 바다", "고요의 바다")</f>
        <v>고요의 바다</v>
      </c>
      <c r="C164" s="49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99" t="s">
        <v>3438</v>
      </c>
    </row>
    <row r="165" spans="1:10" ht="28.9" customHeight="1" thickTop="1" thickBot="1" x14ac:dyDescent="0.65">
      <c r="A165" s="3">
        <v>163</v>
      </c>
      <c r="B165" s="44" t="str">
        <f>HYPERLINK("https://search.naver.com/search.naver?query=고잉 인 스타일 영화", "고잉 인 스타일")</f>
        <v>고잉 인 스타일</v>
      </c>
      <c r="C165" s="45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97" t="s">
        <v>3443</v>
      </c>
    </row>
    <row r="166" spans="1:10" ht="28.9" customHeight="1" thickTop="1" thickBot="1" x14ac:dyDescent="0.65">
      <c r="A166" s="5">
        <v>164</v>
      </c>
      <c r="B166" s="46" t="str">
        <f>HYPERLINK("https://search.naver.com/search.naver?query=고지전 영화", "고지전")</f>
        <v>고지전</v>
      </c>
      <c r="C166" s="47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98" t="s">
        <v>3454</v>
      </c>
    </row>
    <row r="167" spans="1:10" ht="28.9" customHeight="1" thickTop="1" thickBot="1" x14ac:dyDescent="0.65">
      <c r="A167" s="3">
        <v>165</v>
      </c>
      <c r="B167" s="44" t="str">
        <f>HYPERLINK("https://search.naver.com/search.naver?query=곡성 영화", "곡성")</f>
        <v>곡성</v>
      </c>
      <c r="C167" s="45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97" t="s">
        <v>3441</v>
      </c>
    </row>
    <row r="168" spans="1:10" ht="28.9" customHeight="1" thickTop="1" thickBot="1" x14ac:dyDescent="0.65">
      <c r="A168" s="5">
        <v>166</v>
      </c>
      <c r="B168" s="46" t="str">
        <f>HYPERLINK("https://search.naver.com/search.naver?query=곤지암 영화", "곤지암")</f>
        <v>곤지암</v>
      </c>
      <c r="C168" s="47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98" t="s">
        <v>3443</v>
      </c>
    </row>
    <row r="169" spans="1:10" ht="28.9" customHeight="1" thickTop="1" thickBot="1" x14ac:dyDescent="0.65">
      <c r="A169" s="3">
        <v>167</v>
      </c>
      <c r="B169" s="44" t="str">
        <f>HYPERLINK("https://search.naver.com/search.naver?query=골드 영화", "골드")</f>
        <v>골드</v>
      </c>
      <c r="C169" s="45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97" t="s">
        <v>3441</v>
      </c>
    </row>
    <row r="170" spans="1:10" ht="28.9" customHeight="1" thickTop="1" thickBot="1" x14ac:dyDescent="0.65">
      <c r="A170" s="5">
        <v>168</v>
      </c>
      <c r="B170" s="46" t="str">
        <f>HYPERLINK("https://search.naver.com/search.naver?query=골든슬럼버2010", "골든 슬럼버")</f>
        <v>골든 슬럼버</v>
      </c>
      <c r="C170" s="47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98" t="s">
        <v>3442</v>
      </c>
    </row>
    <row r="171" spans="1:10" ht="28.9" customHeight="1" thickTop="1" thickBot="1" x14ac:dyDescent="0.65">
      <c r="A171" s="3">
        <v>169</v>
      </c>
      <c r="B171" s="44" t="str">
        <f>HYPERLINK("https://search.naver.com/search.naver?query=골든 슬럼버 영화", "골든 슬럼버")</f>
        <v>골든 슬럼버</v>
      </c>
      <c r="C171" s="45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97" t="s">
        <v>3455</v>
      </c>
    </row>
    <row r="172" spans="1:10" ht="28.9" customHeight="1" thickTop="1" thickBot="1" x14ac:dyDescent="0.65">
      <c r="A172" s="5">
        <v>170</v>
      </c>
      <c r="B172" s="46" t="str">
        <f>HYPERLINK("https://search.naver.com/search.naver?query=골든 오케스트라 영화", "골든 오케스트라")</f>
        <v>골든 오케스트라</v>
      </c>
      <c r="C172" s="47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98" t="s">
        <v>3441</v>
      </c>
    </row>
    <row r="173" spans="1:10" ht="28.9" customHeight="1" thickTop="1" thickBot="1" x14ac:dyDescent="0.65">
      <c r="A173" s="3">
        <v>171</v>
      </c>
      <c r="B173" s="44" t="str">
        <f>HYPERLINK("https://search.naver.com/search.naver?query=곰돌이 푸 다시 만나 행복해 영화", "곰돌이 푸 다시 만나 행복해")</f>
        <v>곰돌이 푸 다시 만나 행복해</v>
      </c>
      <c r="C173" s="45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97" t="s">
        <v>3443</v>
      </c>
    </row>
    <row r="174" spans="1:10" ht="28.9" customHeight="1" thickTop="1" thickBot="1" x14ac:dyDescent="0.65">
      <c r="A174" s="5">
        <v>172</v>
      </c>
      <c r="B174" s="46" t="str">
        <f>HYPERLINK("https://search.naver.com/search.naver?query=공동경비구역", "공동경비구역")</f>
        <v>공동경비구역</v>
      </c>
      <c r="C174" s="47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98" t="s">
        <v>3458</v>
      </c>
    </row>
    <row r="175" spans="1:10" ht="28.9" customHeight="1" thickTop="1" thickBot="1" x14ac:dyDescent="0.65">
      <c r="A175" s="3">
        <v>173</v>
      </c>
      <c r="B175" s="44" t="str">
        <f>HYPERLINK("https://search.naver.com/search.naver?query=공모자들 영화", "공모자들")</f>
        <v>공모자들</v>
      </c>
      <c r="C175" s="45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97" t="s">
        <v>3439</v>
      </c>
    </row>
    <row r="176" spans="1:10" ht="28.9" customHeight="1" thickTop="1" thickBot="1" x14ac:dyDescent="0.65">
      <c r="A176" s="5">
        <v>174</v>
      </c>
      <c r="B176" s="46" t="str">
        <f>HYPERLINK("https://search.naver.com/search.naver?query=공백 영화", "공백")</f>
        <v>공백</v>
      </c>
      <c r="C176" s="47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98" t="s">
        <v>3448</v>
      </c>
    </row>
    <row r="177" spans="1:10" ht="28.9" customHeight="1" thickTop="1" thickBot="1" x14ac:dyDescent="0.65">
      <c r="A177" s="3">
        <v>175</v>
      </c>
      <c r="B177" s="44" t="str">
        <f>HYPERLINK("https://search.naver.com/search.naver?query=공범 영화", "공범")</f>
        <v>공범</v>
      </c>
      <c r="C177" s="45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97" t="s">
        <v>3451</v>
      </c>
    </row>
    <row r="178" spans="1:10" ht="28.9" customHeight="1" thickTop="1" thickBot="1" x14ac:dyDescent="0.65">
      <c r="A178" s="5">
        <v>176</v>
      </c>
      <c r="B178" s="46" t="str">
        <f>HYPERLINK("https://search.naver.com/search.naver?query=공수도 영화", "공수도")</f>
        <v>공수도</v>
      </c>
      <c r="C178" s="47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98" t="s">
        <v>3444</v>
      </c>
    </row>
    <row r="179" spans="1:10" ht="28.9" customHeight="1" thickTop="1" thickBot="1" x14ac:dyDescent="0.65">
      <c r="A179" s="3">
        <v>177</v>
      </c>
      <c r="B179" s="44" t="str">
        <f>HYPERLINK("https://search.naver.com/search.naver?query=공작 영화", "공작")</f>
        <v>공작</v>
      </c>
      <c r="C179" s="45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97" t="s">
        <v>3442</v>
      </c>
    </row>
    <row r="180" spans="1:10" ht="28.9" customHeight="1" thickTop="1" thickBot="1" x14ac:dyDescent="0.65">
      <c r="A180" s="5">
        <v>178</v>
      </c>
      <c r="B180" s="46" t="str">
        <f>HYPERLINK("https://search.naver.com/search.naver?query=공작조-현애지상 영화", "공작조-현애지상")</f>
        <v>공작조-현애지상</v>
      </c>
      <c r="C180" s="47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98" t="s">
        <v>3438</v>
      </c>
    </row>
    <row r="181" spans="1:10" ht="28.9" customHeight="1" thickTop="1" thickBot="1" x14ac:dyDescent="0.65">
      <c r="A181" s="3">
        <v>179</v>
      </c>
      <c r="B181" s="44" t="str">
        <f>HYPERLINK("https://search.naver.com/search.naver?query=공조 영화", "공조")</f>
        <v>공조</v>
      </c>
      <c r="C181" s="45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97" t="s">
        <v>3441</v>
      </c>
    </row>
    <row r="182" spans="1:10" ht="28.9" customHeight="1" thickTop="1" thickBot="1" x14ac:dyDescent="0.65">
      <c r="A182" s="5">
        <v>180</v>
      </c>
      <c r="B182" s="46" t="str">
        <f>HYPERLINK("https://search.naver.com/search.naver?query=공조2:인터내셔날 영화", "공조2-인터내셔날")</f>
        <v>공조2-인터내셔날</v>
      </c>
      <c r="C182" s="47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98" t="s">
        <v>3445</v>
      </c>
    </row>
    <row r="183" spans="1:10" ht="28.9" customHeight="1" thickTop="1" thickBot="1" x14ac:dyDescent="0.65">
      <c r="A183" s="3">
        <v>181</v>
      </c>
      <c r="B183" s="44" t="str">
        <f>HYPERLINK("https://search.naver.com/search.naver?query=과속스캔들 영화", "과속스캔들")</f>
        <v>과속스캔들</v>
      </c>
      <c r="C183" s="45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97" t="s">
        <v>3450</v>
      </c>
    </row>
    <row r="184" spans="1:10" ht="28.9" customHeight="1" thickTop="1" thickBot="1" x14ac:dyDescent="0.65">
      <c r="A184" s="5">
        <v>182</v>
      </c>
      <c r="B184" s="46" t="str">
        <f>HYPERLINK("https://search.naver.com/search.naver?query=관능의 법칙 영화", "관능의 법칙")</f>
        <v>관능의 법칙</v>
      </c>
      <c r="C184" s="47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98" t="s">
        <v>3451</v>
      </c>
    </row>
    <row r="185" spans="1:10" ht="28.9" customHeight="1" thickTop="1" thickBot="1" x14ac:dyDescent="0.65">
      <c r="A185" s="3">
        <v>183</v>
      </c>
      <c r="B185" s="44" t="str">
        <f>HYPERLINK("https://search.naver.com/search.naver?query=관상 영화", "관상")</f>
        <v>관상</v>
      </c>
      <c r="C185" s="45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97" t="s">
        <v>3451</v>
      </c>
    </row>
    <row r="186" spans="1:10" ht="28.9" customHeight="1" thickTop="1" thickBot="1" x14ac:dyDescent="0.65">
      <c r="A186" s="5">
        <v>184</v>
      </c>
      <c r="B186" s="46" t="str">
        <f>HYPERLINK("https://search.naver.com/search.naver?query=광대들:풍문조작단 영화", "광대들-풍문조작단")</f>
        <v>광대들-풍문조작단</v>
      </c>
      <c r="C186" s="47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98" t="s">
        <v>3444</v>
      </c>
    </row>
    <row r="187" spans="1:10" ht="28.9" customHeight="1" thickTop="1" thickBot="1" x14ac:dyDescent="0.65">
      <c r="A187" s="3">
        <v>185</v>
      </c>
      <c r="B187" s="44" t="str">
        <f>HYPERLINK("https://search.naver.com/search.naver?query=광식이 동생 광태 영화", "광식이 동생 광태")</f>
        <v>광식이 동생 광태</v>
      </c>
      <c r="C187" s="45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97" t="s">
        <v>3462</v>
      </c>
    </row>
    <row r="188" spans="1:10" ht="28.9" customHeight="1" thickTop="1" thickBot="1" x14ac:dyDescent="0.65">
      <c r="A188" s="7">
        <v>186</v>
      </c>
      <c r="B188" s="48" t="str">
        <f>HYPERLINK("https://search.naver.com/search.naver?query=광장 드라마", "광장")</f>
        <v>광장</v>
      </c>
      <c r="C188" s="49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99" t="s">
        <v>3459</v>
      </c>
    </row>
    <row r="189" spans="1:10" ht="28.9" customHeight="1" thickTop="1" thickBot="1" x14ac:dyDescent="0.65">
      <c r="A189" s="3">
        <v>187</v>
      </c>
      <c r="B189" s="44" t="str">
        <f>HYPERLINK("https://search.naver.com/search.naver?query=광해, 왕이 된 남자 영화", "광해, 왕이 된 남자")</f>
        <v>광해, 왕이 된 남자</v>
      </c>
      <c r="C189" s="45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97" t="s">
        <v>3439</v>
      </c>
    </row>
    <row r="190" spans="1:10" ht="28.9" customHeight="1" thickTop="1" thickBot="1" x14ac:dyDescent="0.65">
      <c r="A190" s="5">
        <v>188</v>
      </c>
      <c r="B190" s="46" t="str">
        <f>HYPERLINK("https://search.naver.com/search.naver?query=괜찮아요, 미스터 브래드 영화", "괜찮아요, 미스터 브래드")</f>
        <v>괜찮아요, 미스터 브래드</v>
      </c>
      <c r="C190" s="47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98" t="s">
        <v>3443</v>
      </c>
    </row>
    <row r="191" spans="1:10" ht="28.9" customHeight="1" thickTop="1" thickBot="1" x14ac:dyDescent="0.65">
      <c r="A191" s="3">
        <v>189</v>
      </c>
      <c r="B191" s="44" t="str">
        <f>HYPERLINK("https://search.naver.com/search.naver?query=괴물 영화", "괴물")</f>
        <v>괴물</v>
      </c>
      <c r="C191" s="45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97" t="s">
        <v>3460</v>
      </c>
    </row>
    <row r="192" spans="1:10" ht="28.9" customHeight="1" thickTop="1" thickBot="1" x14ac:dyDescent="0.65">
      <c r="A192" s="5">
        <v>190</v>
      </c>
      <c r="B192" s="46" t="str">
        <f>HYPERLINK("https://search.naver.com/search.naver?query=괴물2023", "괴물")</f>
        <v>괴물</v>
      </c>
      <c r="C192" s="47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98" t="s">
        <v>3446</v>
      </c>
    </row>
    <row r="193" spans="1:10" ht="28.9" customHeight="1" thickTop="1" thickBot="1" x14ac:dyDescent="0.65">
      <c r="A193" s="3">
        <v>191</v>
      </c>
      <c r="B193" s="44" t="str">
        <f>HYPERLINK("https://search.naver.com/search.naver?query=교섭 영화", "교섭")</f>
        <v>교섭</v>
      </c>
      <c r="C193" s="45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97" t="s">
        <v>3446</v>
      </c>
    </row>
    <row r="194" spans="1:10" ht="28.9" customHeight="1" thickTop="1" thickBot="1" x14ac:dyDescent="0.65">
      <c r="A194" s="5">
        <v>192</v>
      </c>
      <c r="B194" s="46" t="str">
        <f>HYPERLINK("https://search.naver.com/search.naver?query=교장", "교장")</f>
        <v>교장</v>
      </c>
      <c r="C194" s="47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98" t="s">
        <v>3444</v>
      </c>
    </row>
    <row r="195" spans="1:10" ht="28.9" customHeight="1" thickTop="1" thickBot="1" x14ac:dyDescent="0.65">
      <c r="A195" s="3">
        <v>193</v>
      </c>
      <c r="B195" s="44" t="str">
        <f>HYPERLINK("https://search.naver.com/search.naver?query=구르믈 버서난 달처럼 영화", "구르믈 버서난 달처럼")</f>
        <v>구르믈 버서난 달처럼</v>
      </c>
      <c r="C195" s="45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97" t="s">
        <v>3455</v>
      </c>
    </row>
    <row r="196" spans="1:10" ht="28.9" customHeight="1" thickTop="1" thickBot="1" x14ac:dyDescent="0.65">
      <c r="A196" s="5">
        <v>194</v>
      </c>
      <c r="B196" s="46" t="str">
        <f>HYPERLINK("https://search.naver.com/search.naver?query=구스범스 영화", "구스범스")</f>
        <v>구스범스</v>
      </c>
      <c r="C196" s="47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98" t="s">
        <v>3440</v>
      </c>
    </row>
    <row r="197" spans="1:10" ht="28.9" customHeight="1" thickTop="1" thickBot="1" x14ac:dyDescent="0.65">
      <c r="A197" s="3">
        <v>195</v>
      </c>
      <c r="B197" s="44" t="str">
        <f>HYPERLINK("https://search.naver.com/search.naver?query=구조견 루비 영화", "구조견 루비")</f>
        <v>구조견 루비</v>
      </c>
      <c r="C197" s="45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97" t="s">
        <v>3445</v>
      </c>
    </row>
    <row r="198" spans="1:10" ht="28.9" customHeight="1" thickTop="1" thickBot="1" x14ac:dyDescent="0.65">
      <c r="A198" s="5">
        <v>196</v>
      </c>
      <c r="B198" s="46" t="str">
        <f>HYPERLINK("https://search.naver.com/search.naver?query=국가대표1", "국가대표1")</f>
        <v>국가대표1</v>
      </c>
      <c r="C198" s="47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98" t="s">
        <v>3453</v>
      </c>
    </row>
    <row r="199" spans="1:10" ht="28.9" customHeight="1" thickTop="1" thickBot="1" x14ac:dyDescent="0.65">
      <c r="A199" s="3">
        <v>197</v>
      </c>
      <c r="B199" s="44" t="str">
        <f>HYPERLINK("https://search.naver.com/search.naver?query=국가대표2", "국가대표2")</f>
        <v>국가대표2</v>
      </c>
      <c r="C199" s="45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97" t="s">
        <v>3441</v>
      </c>
    </row>
    <row r="200" spans="1:10" ht="28.9" customHeight="1" thickTop="1" thickBot="1" x14ac:dyDescent="0.65">
      <c r="A200" s="5">
        <v>198</v>
      </c>
      <c r="B200" s="46" t="str">
        <f>HYPERLINK("https://search.naver.com/search.naver?query=국가부도의 날 영화", "국가부도의 날")</f>
        <v>국가부도의 날</v>
      </c>
      <c r="C200" s="47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98" t="s">
        <v>3442</v>
      </c>
    </row>
    <row r="201" spans="1:10" ht="28.9" customHeight="1" thickTop="1" thickBot="1" x14ac:dyDescent="0.65">
      <c r="A201" s="3">
        <v>199</v>
      </c>
      <c r="B201" s="44" t="str">
        <f>HYPERLINK("https://search.naver.com/search.naver?query=국가의 탄생 영화", "국가의 탄생")</f>
        <v>국가의 탄생</v>
      </c>
      <c r="C201" s="45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97" t="s">
        <v>3441</v>
      </c>
    </row>
    <row r="202" spans="1:10" ht="28.9" customHeight="1" thickTop="1" thickBot="1" x14ac:dyDescent="0.65">
      <c r="A202" s="5">
        <v>200</v>
      </c>
      <c r="B202" s="46" t="str">
        <f>HYPERLINK("https://search.naver.com/search.naver?query=국경의 남쪽 영화", "국경의 남쪽")</f>
        <v>국경의 남쪽</v>
      </c>
      <c r="C202" s="47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98" t="s">
        <v>3460</v>
      </c>
    </row>
    <row r="203" spans="1:10" ht="28.9" customHeight="1" thickTop="1" thickBot="1" x14ac:dyDescent="0.65">
      <c r="A203" s="3">
        <v>201</v>
      </c>
      <c r="B203" s="44" t="str">
        <f>HYPERLINK("https://search.naver.com/search.naver?query=국제수사 영화", "국제수사")</f>
        <v>국제수사</v>
      </c>
      <c r="C203" s="45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97" t="s">
        <v>3436</v>
      </c>
    </row>
    <row r="204" spans="1:10" ht="28.9" customHeight="1" thickTop="1" thickBot="1" x14ac:dyDescent="0.65">
      <c r="A204" s="5">
        <v>202</v>
      </c>
      <c r="B204" s="46" t="str">
        <f>HYPERLINK("https://search.naver.com/search.naver?query=국제시장 영화", "국제시장")</f>
        <v>국제시장</v>
      </c>
      <c r="C204" s="47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98" t="s">
        <v>3437</v>
      </c>
    </row>
    <row r="205" spans="1:10" ht="28.9" customHeight="1" thickTop="1" thickBot="1" x14ac:dyDescent="0.65">
      <c r="A205" s="3">
        <v>203</v>
      </c>
      <c r="B205" s="44" t="str">
        <f>HYPERLINK("https://search.naver.com/search.naver?query=군도:민란의 시대 영화", "군도-민란의 시대")</f>
        <v>군도-민란의 시대</v>
      </c>
      <c r="C205" s="45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97" t="s">
        <v>3437</v>
      </c>
    </row>
    <row r="206" spans="1:10" ht="28.9" customHeight="1" thickTop="1" thickBot="1" x14ac:dyDescent="0.65">
      <c r="A206" s="7">
        <v>204</v>
      </c>
      <c r="B206" s="48" t="str">
        <f>HYPERLINK("https://search.naver.com/search.naver?query=군사 칸베에 드라마", "군사 칸베에")</f>
        <v>군사 칸베에</v>
      </c>
      <c r="C206" s="49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99" t="s">
        <v>3437</v>
      </c>
    </row>
    <row r="207" spans="1:10" ht="28.9" customHeight="1" thickTop="1" thickBot="1" x14ac:dyDescent="0.65">
      <c r="A207" s="3">
        <v>205</v>
      </c>
      <c r="B207" s="44" t="str">
        <f>HYPERLINK("https://search.naver.com/search.naver?query=군산 거위를 노래하다 영화", "군산 거위를 노래하다")</f>
        <v>군산 거위를 노래하다</v>
      </c>
      <c r="C207" s="45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97" t="s">
        <v>3442</v>
      </c>
    </row>
    <row r="208" spans="1:10" ht="28.9" customHeight="1" thickTop="1" thickBot="1" x14ac:dyDescent="0.65">
      <c r="A208" s="5">
        <v>206</v>
      </c>
      <c r="B208" s="46" t="str">
        <f>HYPERLINK("https://search.naver.com/search.naver?query=군함도 영화", "군함도")</f>
        <v>군함도</v>
      </c>
      <c r="C208" s="47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98" t="s">
        <v>3443</v>
      </c>
    </row>
    <row r="209" spans="1:10" ht="28.9" customHeight="1" thickTop="1" thickBot="1" x14ac:dyDescent="0.65">
      <c r="A209" s="3">
        <v>207</v>
      </c>
      <c r="B209" s="44" t="str">
        <f>HYPERLINK("https://search.naver.com/search.naver?query=굿 라이어 영화", "굿 라이어")</f>
        <v>굿 라이어</v>
      </c>
      <c r="C209" s="45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97" t="s">
        <v>3444</v>
      </c>
    </row>
    <row r="210" spans="1:10" ht="28.9" customHeight="1" thickTop="1" thickBot="1" x14ac:dyDescent="0.65">
      <c r="A210" s="5">
        <v>208</v>
      </c>
      <c r="B210" s="46" t="str">
        <f>HYPERLINK("https://search.naver.com/search.naver?query=굿 바이 영화", "굿 바이")</f>
        <v>굿 바이</v>
      </c>
      <c r="C210" s="47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98" t="s">
        <v>3450</v>
      </c>
    </row>
    <row r="211" spans="1:10" ht="28.9" customHeight="1" thickTop="1" thickBot="1" x14ac:dyDescent="0.65">
      <c r="A211" s="7">
        <v>209</v>
      </c>
      <c r="B211" s="48" t="str">
        <f>HYPERLINK("https://search.naver.com/search.naver?query=굿 와이프 시즌1", "굿 와이프 시즌1")</f>
        <v>굿 와이프 시즌1</v>
      </c>
      <c r="C211" s="49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99" t="s">
        <v>3453</v>
      </c>
    </row>
    <row r="212" spans="1:10" ht="28.9" customHeight="1" thickTop="1" thickBot="1" x14ac:dyDescent="0.65">
      <c r="A212" s="7">
        <v>210</v>
      </c>
      <c r="B212" s="48" t="str">
        <f>HYPERLINK("https://search.naver.com/search.naver?query=굿 와이프 시즌2", "굿 와이프 시즌2")</f>
        <v>굿 와이프 시즌2</v>
      </c>
      <c r="C212" s="49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99" t="s">
        <v>3455</v>
      </c>
    </row>
    <row r="213" spans="1:10" ht="28.9" customHeight="1" thickTop="1" thickBot="1" x14ac:dyDescent="0.65">
      <c r="A213" s="7">
        <v>211</v>
      </c>
      <c r="B213" s="48" t="str">
        <f>HYPERLINK("https://search.naver.com/search.naver?query=굿 와이프 시즌3", "굿 와이프 시즌3")</f>
        <v>굿 와이프 시즌3</v>
      </c>
      <c r="C213" s="49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99" t="s">
        <v>3454</v>
      </c>
    </row>
    <row r="214" spans="1:10" ht="28.9" customHeight="1" thickTop="1" thickBot="1" x14ac:dyDescent="0.65">
      <c r="A214" s="7">
        <v>212</v>
      </c>
      <c r="B214" s="48" t="str">
        <f>HYPERLINK("https://search.naver.com/search.naver?query=굿 와이프 시즌4", "굿 와이프 시즌4")</f>
        <v>굿 와이프 시즌4</v>
      </c>
      <c r="C214" s="49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99" t="s">
        <v>3439</v>
      </c>
    </row>
    <row r="215" spans="1:10" ht="28.9" customHeight="1" thickTop="1" thickBot="1" x14ac:dyDescent="0.65">
      <c r="A215" s="7">
        <v>213</v>
      </c>
      <c r="B215" s="48" t="str">
        <f>HYPERLINK("https://search.naver.com/search.naver?query=굿 와이프 시즌5", "굿 와이프 시즌5")</f>
        <v>굿 와이프 시즌5</v>
      </c>
      <c r="C215" s="49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99" t="s">
        <v>3451</v>
      </c>
    </row>
    <row r="216" spans="1:10" ht="28.9" customHeight="1" thickTop="1" thickBot="1" x14ac:dyDescent="0.65">
      <c r="A216" s="7">
        <v>214</v>
      </c>
      <c r="B216" s="48" t="str">
        <f>HYPERLINK("https://search.naver.com/search.naver?query=굿 와이프 시즌6", "굿 와이프 시즌6")</f>
        <v>굿 와이프 시즌6</v>
      </c>
      <c r="C216" s="49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99" t="s">
        <v>3437</v>
      </c>
    </row>
    <row r="217" spans="1:10" ht="28.9" customHeight="1" thickTop="1" thickBot="1" x14ac:dyDescent="0.65">
      <c r="A217" s="7">
        <v>215</v>
      </c>
      <c r="B217" s="48" t="str">
        <f>HYPERLINK("https://search.naver.com/search.naver?query=굿 와이프 시즌7", "굿 와이프 시즌7")</f>
        <v>굿 와이프 시즌7</v>
      </c>
      <c r="C217" s="49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99" t="s">
        <v>3440</v>
      </c>
    </row>
    <row r="218" spans="1:10" ht="28.9" customHeight="1" thickTop="1" thickBot="1" x14ac:dyDescent="0.65">
      <c r="A218" s="5">
        <v>216</v>
      </c>
      <c r="B218" s="46" t="str">
        <f>HYPERLINK("https://search.naver.com/search.naver?query=굿 우먼 영화", "굿 우먼")</f>
        <v>굿 우먼</v>
      </c>
      <c r="C218" s="47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98" t="s">
        <v>3462</v>
      </c>
    </row>
    <row r="219" spans="1:10" ht="28.9" customHeight="1" thickTop="1" thickBot="1" x14ac:dyDescent="0.65">
      <c r="A219" s="3">
        <v>217</v>
      </c>
      <c r="B219" s="44" t="str">
        <f>HYPERLINK("https://search.naver.com/search.naver?query=굿뉴스 영화", "굿뉴스")</f>
        <v>굿뉴스</v>
      </c>
      <c r="C219" s="45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97" t="s">
        <v>3459</v>
      </c>
    </row>
    <row r="220" spans="1:10" ht="28.9" customHeight="1" thickTop="1" thickBot="1" x14ac:dyDescent="0.65">
      <c r="A220" s="5">
        <v>218</v>
      </c>
      <c r="B220" s="46" t="str">
        <f>HYPERLINK("https://search.naver.com/search.naver?query=굿모닝 맨하탄 영화", "굿모닝 맨하탄")</f>
        <v>굿모닝 맨하탄</v>
      </c>
      <c r="C220" s="47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98" t="s">
        <v>3437</v>
      </c>
    </row>
    <row r="221" spans="1:10" ht="28.9" customHeight="1" thickTop="1" thickBot="1" x14ac:dyDescent="0.65">
      <c r="A221" s="3">
        <v>219</v>
      </c>
      <c r="B221" s="44" t="str">
        <f>HYPERLINK("https://search.naver.com/search.naver?query=굿바이 그레이스 영화", "굿바이 그레이스")</f>
        <v>굿바이 그레이스</v>
      </c>
      <c r="C221" s="45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97" t="s">
        <v>3447</v>
      </c>
    </row>
    <row r="222" spans="1:10" ht="28.9" customHeight="1" thickTop="1" thickBot="1" x14ac:dyDescent="0.65">
      <c r="A222" s="5">
        <v>220</v>
      </c>
      <c r="B222" s="46" t="str">
        <f>HYPERLINK("https://search.naver.com/search.naver?query=굿바이 마이 프랜드 영화", "굿바이 마이 프랜드")</f>
        <v>굿바이 마이 프랜드</v>
      </c>
      <c r="C222" s="47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98" t="s">
        <v>3463</v>
      </c>
    </row>
    <row r="223" spans="1:10" ht="28.9" customHeight="1" thickTop="1" thickBot="1" x14ac:dyDescent="0.65">
      <c r="A223" s="3">
        <v>221</v>
      </c>
      <c r="B223" s="44" t="str">
        <f>HYPERLINK("https://search.naver.com/search.naver?query=굿바이 싱글 영화", "굿바이 싱글")</f>
        <v>굿바이 싱글</v>
      </c>
      <c r="C223" s="45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97" t="s">
        <v>3441</v>
      </c>
    </row>
    <row r="224" spans="1:10" ht="28.9" customHeight="1" thickTop="1" thickBot="1" x14ac:dyDescent="0.65">
      <c r="A224" s="5">
        <v>222</v>
      </c>
      <c r="B224" s="46" t="str">
        <f>HYPERLINK("https://search.naver.com/search.naver?query=굿바이 크리스토퍼 로빈 영화", "굿바이 크리스토퍼 로빈")</f>
        <v>굿바이 크리스토퍼 로빈</v>
      </c>
      <c r="C224" s="47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98" t="s">
        <v>3443</v>
      </c>
    </row>
    <row r="225" spans="1:10" ht="28.9" customHeight="1" thickTop="1" thickBot="1" x14ac:dyDescent="0.65">
      <c r="A225" s="3">
        <v>223</v>
      </c>
      <c r="B225" s="44" t="str">
        <f>HYPERLINK("https://search.naver.com/search.naver?query=굿바이, 준 영화", "굿바이, 준")</f>
        <v>굿바이, 준</v>
      </c>
      <c r="C225" s="45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97" t="s">
        <v>3459</v>
      </c>
    </row>
    <row r="226" spans="1:10" ht="28.9" customHeight="1" thickTop="1" thickBot="1" x14ac:dyDescent="0.65">
      <c r="A226" s="5">
        <v>224</v>
      </c>
      <c r="B226" s="46" t="str">
        <f>HYPERLINK("https://search.naver.com/search.naver?query=굿바이레닌 영화", "굿바이레닌")</f>
        <v>굿바이레닌</v>
      </c>
      <c r="C226" s="47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98" t="s">
        <v>3449</v>
      </c>
    </row>
    <row r="227" spans="1:10" ht="28.9" customHeight="1" thickTop="1" thickBot="1" x14ac:dyDescent="0.65">
      <c r="A227" s="3">
        <v>225</v>
      </c>
      <c r="B227" s="44" t="str">
        <f>HYPERLINK("https://search.naver.com/search.naver?query=굿타임 영화", "굿타임")</f>
        <v>굿타임</v>
      </c>
      <c r="C227" s="45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97" t="s">
        <v>3443</v>
      </c>
    </row>
    <row r="228" spans="1:10" ht="28.9" customHeight="1" thickTop="1" thickBot="1" x14ac:dyDescent="0.65">
      <c r="A228" s="5">
        <v>226</v>
      </c>
      <c r="B228" s="46" t="str">
        <f>HYPERLINK("https://search.naver.com/search.naver?query=궁합 영화", "궁합")</f>
        <v>궁합</v>
      </c>
      <c r="C228" s="47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98" t="s">
        <v>3442</v>
      </c>
    </row>
    <row r="229" spans="1:10" ht="28.9" customHeight="1" thickTop="1" thickBot="1" x14ac:dyDescent="0.65">
      <c r="A229" s="3">
        <v>227</v>
      </c>
      <c r="B229" s="44" t="str">
        <f>HYPERLINK("https://search.naver.com/search.naver?query=귀여운 여인 영화", "귀여운 여인")</f>
        <v>귀여운 여인</v>
      </c>
      <c r="C229" s="45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97" t="s">
        <v>3464</v>
      </c>
    </row>
    <row r="230" spans="1:10" ht="28.9" customHeight="1" thickTop="1" thickBot="1" x14ac:dyDescent="0.65">
      <c r="A230" s="5">
        <v>228</v>
      </c>
      <c r="B230" s="46" t="str">
        <f>HYPERLINK("https://search.naver.com/search.naver?query=귀향 영화", "귀향")</f>
        <v>귀향</v>
      </c>
      <c r="C230" s="47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98" t="s">
        <v>3440</v>
      </c>
    </row>
    <row r="231" spans="1:10" ht="28.9" customHeight="1" thickTop="1" thickBot="1" x14ac:dyDescent="0.65">
      <c r="A231" s="3">
        <v>229</v>
      </c>
      <c r="B231" s="44" t="str">
        <f>HYPERLINK("https://search.naver.com/search.naver?query=그 남자가 아내에게 영화", "그 남자가 아내에게")</f>
        <v>그 남자가 아내에게</v>
      </c>
      <c r="C231" s="45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97" t="s">
        <v>3454</v>
      </c>
    </row>
    <row r="232" spans="1:10" ht="28.9" customHeight="1" thickTop="1" thickBot="1" x14ac:dyDescent="0.65">
      <c r="A232" s="5">
        <v>230</v>
      </c>
      <c r="B232" s="46" t="str">
        <f>HYPERLINK("https://search.naver.com/search.naver?query=그 산, 그 사람, 그 개 영화", "그 산, 그 사람, 그 개")</f>
        <v>그 산, 그 사람, 그 개</v>
      </c>
      <c r="C232" s="47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98" t="s">
        <v>3456</v>
      </c>
    </row>
    <row r="233" spans="1:10" ht="28.9" customHeight="1" thickTop="1" thickBot="1" x14ac:dyDescent="0.65">
      <c r="A233" s="3">
        <v>231</v>
      </c>
      <c r="B233" s="44" t="str">
        <f>HYPERLINK("https://search.naver.com/search.naver?query=그 시절, 우리가 좋아했던 소녀 영화", "그 시절, 우리가 좋아했던 소녀")</f>
        <v>그 시절, 우리가 좋아했던 소녀</v>
      </c>
      <c r="C233" s="45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97" t="s">
        <v>3454</v>
      </c>
    </row>
    <row r="234" spans="1:10" ht="28.9" customHeight="1" thickTop="1" thickBot="1" x14ac:dyDescent="0.65">
      <c r="A234" s="5">
        <v>232</v>
      </c>
      <c r="B234" s="46" t="str">
        <f>HYPERLINK("https://search.naver.com/search.naver?query=그 여름 가장 조용한 바다 영화", "그 여름 가장 조용한 바다")</f>
        <v>그 여름 가장 조용한 바다</v>
      </c>
      <c r="C234" s="47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98" t="s">
        <v>3465</v>
      </c>
    </row>
    <row r="235" spans="1:10" ht="28.9" customHeight="1" thickTop="1" thickBot="1" x14ac:dyDescent="0.65">
      <c r="A235" s="3">
        <v>233</v>
      </c>
      <c r="B235" s="44" t="str">
        <f>HYPERLINK("https://search.naver.com/search.naver?query=그 여자 작사 그 남자 작곡 영화", "그 여자 작사 그 남자 작곡")</f>
        <v>그 여자 작사 그 남자 작곡</v>
      </c>
      <c r="C235" s="45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97" t="s">
        <v>3447</v>
      </c>
    </row>
    <row r="236" spans="1:10" ht="28.9" customHeight="1" thickTop="1" thickBot="1" x14ac:dyDescent="0.65">
      <c r="A236" s="5">
        <v>234</v>
      </c>
      <c r="B236" s="46" t="str">
        <f>HYPERLINK("https://search.naver.com/search.naver?query=그것만이 내 세상 영화", "그것만이 내 세상")</f>
        <v>그것만이 내 세상</v>
      </c>
      <c r="C236" s="47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98" t="s">
        <v>3443</v>
      </c>
    </row>
    <row r="237" spans="1:10" ht="28.9" customHeight="1" thickTop="1" thickBot="1" x14ac:dyDescent="0.65">
      <c r="A237" s="3">
        <v>235</v>
      </c>
      <c r="B237" s="44" t="str">
        <f>HYPERLINK("https://search.naver.com/search.naver?query=그곳에서만 빛난다 영화", "그곳에서만 빛난다")</f>
        <v>그곳에서만 빛난다</v>
      </c>
      <c r="C237" s="45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97" t="s">
        <v>3437</v>
      </c>
    </row>
    <row r="238" spans="1:10" ht="28.9" customHeight="1" thickTop="1" thickBot="1" x14ac:dyDescent="0.65">
      <c r="A238" s="5">
        <v>236</v>
      </c>
      <c r="B238" s="46" t="str">
        <f>HYPERLINK("https://search.naver.com/search.naver?query=그남자,좋은 간호사 영화", "그남자,좋은 간호사")</f>
        <v>그남자,좋은 간호사</v>
      </c>
      <c r="C238" s="47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98" t="s">
        <v>3445</v>
      </c>
    </row>
    <row r="239" spans="1:10" ht="28.9" customHeight="1" thickTop="1" thickBot="1" x14ac:dyDescent="0.65">
      <c r="A239" s="3">
        <v>237</v>
      </c>
      <c r="B239" s="44" t="str">
        <f>HYPERLINK("https://search.naver.com/search.naver?query=그녀 영화", "그녀")</f>
        <v>그녀</v>
      </c>
      <c r="C239" s="45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97" t="s">
        <v>3451</v>
      </c>
    </row>
    <row r="240" spans="1:10" ht="28.9" customHeight="1" thickTop="1" thickBot="1" x14ac:dyDescent="0.65">
      <c r="A240" s="5">
        <v>238</v>
      </c>
      <c r="B240" s="46" t="str">
        <f>HYPERLINK("https://search.naver.com/search.naver?query=그녀가 말했다 영화", "그녀가 말했다")</f>
        <v>그녀가 말했다</v>
      </c>
      <c r="C240" s="47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98" t="s">
        <v>3445</v>
      </c>
    </row>
    <row r="241" spans="1:10" ht="28.9" customHeight="1" thickTop="1" thickBot="1" x14ac:dyDescent="0.65">
      <c r="A241" s="3">
        <v>239</v>
      </c>
      <c r="B241" s="44" t="str">
        <f>HYPERLINK("https://search.naver.com/search.naver?query=그녀가 부른다 영화", "그녀가 부른다")</f>
        <v>그녀가 부른다</v>
      </c>
      <c r="C241" s="45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97" t="s">
        <v>3439</v>
      </c>
    </row>
    <row r="242" spans="1:10" ht="28.9" customHeight="1" thickTop="1" thickBot="1" x14ac:dyDescent="0.65">
      <c r="A242" s="5">
        <v>240</v>
      </c>
      <c r="B242" s="46" t="str">
        <f>HYPERLINK("https://search.naver.com/search.naver?query=그녀를 믿지 마세요 영화", "그녀를 믿지 마세요")</f>
        <v>그녀를 믿지 마세요</v>
      </c>
      <c r="C242" s="47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98" t="s">
        <v>3462</v>
      </c>
    </row>
    <row r="243" spans="1:10" ht="28.9" customHeight="1" thickTop="1" thickBot="1" x14ac:dyDescent="0.65">
      <c r="A243" s="3">
        <v>241</v>
      </c>
      <c r="B243" s="44" t="str">
        <f>HYPERLINK("https://search.naver.com/search.naver?query=그녀에 대해 알고 있는 모든 것 영화", "그녀에 대해 알고 있는 모든 것")</f>
        <v>그녀에 대해 알고 있는 모든 것</v>
      </c>
      <c r="C243" s="45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97" t="s">
        <v>3439</v>
      </c>
    </row>
    <row r="244" spans="1:10" ht="28.9" customHeight="1" thickTop="1" thickBot="1" x14ac:dyDescent="0.65">
      <c r="A244" s="5">
        <v>242</v>
      </c>
      <c r="B244" s="46" t="str">
        <f>HYPERLINK("https://search.naver.com/search.naver?query=그녀에게 영화", "그녀에게")</f>
        <v>그녀에게</v>
      </c>
      <c r="C244" s="47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98" t="s">
        <v>3466</v>
      </c>
    </row>
    <row r="245" spans="1:10" ht="28.9" customHeight="1" thickTop="1" thickBot="1" x14ac:dyDescent="0.65">
      <c r="A245" s="3">
        <v>243</v>
      </c>
      <c r="B245" s="44" t="str">
        <f>HYPERLINK("https://search.naver.com/search.naver?query=그녀의 인생은 잘못이 없어 영화", "그녀의 인생은 잘못이 없어")</f>
        <v>그녀의 인생은 잘못이 없어</v>
      </c>
      <c r="C245" s="45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97" t="s">
        <v>3443</v>
      </c>
    </row>
    <row r="246" spans="1:10" ht="28.9" customHeight="1" thickTop="1" thickBot="1" x14ac:dyDescent="0.65">
      <c r="A246" s="5">
        <v>244</v>
      </c>
      <c r="B246" s="46" t="str">
        <f>HYPERLINK("https://search.naver.com/search.naver?query=그놈이다 영화", "그놈이다")</f>
        <v>그놈이다</v>
      </c>
      <c r="C246" s="47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98" t="s">
        <v>3440</v>
      </c>
    </row>
    <row r="247" spans="1:10" ht="28.9" customHeight="1" thickTop="1" thickBot="1" x14ac:dyDescent="0.65">
      <c r="A247" s="3">
        <v>245</v>
      </c>
      <c r="B247" s="44" t="str">
        <f>HYPERLINK("https://search.naver.com/search.naver?query=그대 이름은 장미 영화", "그대 이름은 장미")</f>
        <v>그대 이름은 장미</v>
      </c>
      <c r="C247" s="45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97" t="s">
        <v>3442</v>
      </c>
    </row>
    <row r="248" spans="1:10" ht="28.9" customHeight="1" thickTop="1" thickBot="1" x14ac:dyDescent="0.65">
      <c r="A248" s="5">
        <v>246</v>
      </c>
      <c r="B248" s="46" t="str">
        <f>HYPERLINK("https://search.naver.com/search.naver?query=그대를 사랑합니다 영화", "그대를 사랑합니다")</f>
        <v>그대를 사랑합니다</v>
      </c>
      <c r="C248" s="47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98" t="s">
        <v>3455</v>
      </c>
    </row>
    <row r="249" spans="1:10" ht="28.9" customHeight="1" thickTop="1" thickBot="1" x14ac:dyDescent="0.65">
      <c r="A249" s="3">
        <v>247</v>
      </c>
      <c r="B249" s="44" t="str">
        <f>HYPERLINK("https://search.naver.com/search.naver?query=그들이 아버지를 죽였다 영화", "그들이 아버지를 죽였다")</f>
        <v>그들이 아버지를 죽였다</v>
      </c>
      <c r="C249" s="45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97" t="s">
        <v>3443</v>
      </c>
    </row>
    <row r="250" spans="1:10" ht="28.9" customHeight="1" thickTop="1" thickBot="1" x14ac:dyDescent="0.65">
      <c r="A250" s="5">
        <v>248</v>
      </c>
      <c r="B250" s="46" t="str">
        <f>HYPERLINK("https://search.naver.com/search.naver?query=그들이 진심으로 엮을 때 영화", "그들이 진심으로 엮을 때")</f>
        <v>그들이 진심으로 엮을 때</v>
      </c>
      <c r="C250" s="47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98" t="s">
        <v>3443</v>
      </c>
    </row>
    <row r="251" spans="1:10" ht="28.9" customHeight="1" thickTop="1" thickBot="1" x14ac:dyDescent="0.65">
      <c r="A251" s="3">
        <v>249</v>
      </c>
      <c r="B251" s="44" t="str">
        <f>HYPERLINK("https://search.naver.com/search.naver?query=그때그사람들 영화", "그때그사람들")</f>
        <v>그때그사람들</v>
      </c>
      <c r="C251" s="45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97" t="s">
        <v>3461</v>
      </c>
    </row>
    <row r="252" spans="1:10" ht="28.9" customHeight="1" thickTop="1" thickBot="1" x14ac:dyDescent="0.65">
      <c r="A252" s="5">
        <v>250</v>
      </c>
      <c r="B252" s="46" t="str">
        <f>HYPERLINK("https://search.naver.com/search.naver?query=그래비티 영화", "그래비티")</f>
        <v>그래비티</v>
      </c>
      <c r="C252" s="47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98" t="s">
        <v>3451</v>
      </c>
    </row>
    <row r="253" spans="1:10" ht="28.9" customHeight="1" thickTop="1" thickBot="1" x14ac:dyDescent="0.65">
      <c r="A253" s="3">
        <v>251</v>
      </c>
      <c r="B253" s="44" t="str">
        <f>HYPERLINK("https://search.naver.com/search.naver?query=그랜 토리노 영화", "그랜 토리노")</f>
        <v>그랜 토리노</v>
      </c>
      <c r="C253" s="45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97" t="s">
        <v>3450</v>
      </c>
    </row>
    <row r="254" spans="1:10" ht="28.9" customHeight="1" thickTop="1" thickBot="1" x14ac:dyDescent="0.65">
      <c r="A254" s="5">
        <v>252</v>
      </c>
      <c r="B254" s="46" t="str">
        <f>HYPERLINK("https://search.naver.com/search.naver?query=그랜드 부다페스트 호텔 영화", "그랜드 부다페스트 호텔")</f>
        <v>그랜드 부다페스트 호텔</v>
      </c>
      <c r="C254" s="47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98" t="s">
        <v>3437</v>
      </c>
    </row>
    <row r="255" spans="1:10" ht="28.9" customHeight="1" thickTop="1" thickBot="1" x14ac:dyDescent="0.65">
      <c r="A255" s="3">
        <v>253</v>
      </c>
      <c r="B255" s="44" t="str">
        <f>HYPERLINK("https://search.naver.com/search.naver?query=그랜드 시덕션 영화", "그랜드 시덕션")</f>
        <v>그랜드 시덕션</v>
      </c>
      <c r="C255" s="45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97" t="s">
        <v>3451</v>
      </c>
    </row>
    <row r="256" spans="1:10" ht="28.9" customHeight="1" thickTop="1" thickBot="1" x14ac:dyDescent="0.65">
      <c r="A256" s="5">
        <v>254</v>
      </c>
      <c r="B256" s="46" t="str">
        <f>HYPERLINK("https://search.naver.com/search.naver?query=그랜드 피아노 영화", "그랜드 피아노")</f>
        <v>그랜드 피아노</v>
      </c>
      <c r="C256" s="47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98" t="s">
        <v>3451</v>
      </c>
    </row>
    <row r="257" spans="1:10" ht="28.9" customHeight="1" thickTop="1" thickBot="1" x14ac:dyDescent="0.65">
      <c r="A257" s="3">
        <v>255</v>
      </c>
      <c r="B257" s="44" t="str">
        <f>HYPERLINK("https://search.naver.com/search.naver?query=그렇게 아버지가 된다 영화", "그렇게 아버지가 된다")</f>
        <v>그렇게 아버지가 된다</v>
      </c>
      <c r="C257" s="45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97" t="s">
        <v>3451</v>
      </c>
    </row>
    <row r="258" spans="1:10" ht="28.9" customHeight="1" thickTop="1" thickBot="1" x14ac:dyDescent="0.65">
      <c r="A258" s="5">
        <v>256</v>
      </c>
      <c r="B258" s="46" t="str">
        <f>HYPERLINK("https://search.naver.com/search.naver?query=그레이 맨 영화", "그레이 맨")</f>
        <v>그레이 맨</v>
      </c>
      <c r="C258" s="47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98" t="s">
        <v>3445</v>
      </c>
    </row>
    <row r="259" spans="1:10" ht="28.9" customHeight="1" thickTop="1" thickBot="1" x14ac:dyDescent="0.65">
      <c r="A259" s="3">
        <v>257</v>
      </c>
      <c r="B259" s="44" t="str">
        <f>HYPERLINK("https://search.naver.com/search.naver?query=그레이스 오브 모나코 영화", "그레이스 오브 모나코")</f>
        <v>그레이스 오브 모나코</v>
      </c>
      <c r="C259" s="45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97" t="s">
        <v>3437</v>
      </c>
    </row>
    <row r="260" spans="1:10" ht="28.9" customHeight="1" thickTop="1" thickBot="1" x14ac:dyDescent="0.65">
      <c r="A260" s="5">
        <v>258</v>
      </c>
      <c r="B260" s="46" t="str">
        <f>HYPERLINK("https://search.naver.com/search.naver?query=그레이트 디베이터스 영화", "그레이트 디베이터스")</f>
        <v>그레이트 디베이터스</v>
      </c>
      <c r="C260" s="47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98" t="s">
        <v>3447</v>
      </c>
    </row>
    <row r="261" spans="1:10" ht="28.9" customHeight="1" thickTop="1" thickBot="1" x14ac:dyDescent="0.65">
      <c r="A261" s="3">
        <v>259</v>
      </c>
      <c r="B261" s="44" t="str">
        <f>HYPERLINK("https://search.naver.com/search.naver?query=그레이트 월 영화", "그레이트 월")</f>
        <v>그레이트 월</v>
      </c>
      <c r="C261" s="45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97" t="s">
        <v>3441</v>
      </c>
    </row>
    <row r="262" spans="1:10" ht="28.9" customHeight="1" thickTop="1" thickBot="1" x14ac:dyDescent="0.65">
      <c r="A262" s="5">
        <v>260</v>
      </c>
      <c r="B262" s="46" t="str">
        <f>HYPERLINK("https://search.naver.com/search.naver?query=그레이티스트 영화", "그레이티스트")</f>
        <v>그레이티스트</v>
      </c>
      <c r="C262" s="47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98" t="s">
        <v>3453</v>
      </c>
    </row>
    <row r="263" spans="1:10" ht="28.9" customHeight="1" thickTop="1" thickBot="1" x14ac:dyDescent="0.65">
      <c r="A263" s="3">
        <v>261</v>
      </c>
      <c r="B263" s="44" t="str">
        <f>HYPERLINK("https://search.naver.com/search.naver?query=그레이하운드 영화", "그레이하운드")</f>
        <v>그레이하운드</v>
      </c>
      <c r="C263" s="45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97" t="s">
        <v>3436</v>
      </c>
    </row>
    <row r="264" spans="1:10" ht="28.9" customHeight="1" thickTop="1" thickBot="1" x14ac:dyDescent="0.65">
      <c r="A264" s="5">
        <v>262</v>
      </c>
      <c r="B264" s="46" t="str">
        <f>HYPERLINK("https://search.naver.com/search.naver?query=그루지 영화", "그루지")</f>
        <v>그루지</v>
      </c>
      <c r="C264" s="47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98" t="s">
        <v>3436</v>
      </c>
    </row>
    <row r="265" spans="1:10" ht="28.9" customHeight="1" thickTop="1" thickBot="1" x14ac:dyDescent="0.65">
      <c r="A265" s="3">
        <v>263</v>
      </c>
      <c r="B265" s="44" t="str">
        <f>HYPERLINK("https://search.naver.com/search.naver?query=그루지 매치 영화", "그루지 매치")</f>
        <v>그루지 매치</v>
      </c>
      <c r="C265" s="45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97" t="s">
        <v>3451</v>
      </c>
    </row>
    <row r="266" spans="1:10" ht="28.9" customHeight="1" thickTop="1" thickBot="1" x14ac:dyDescent="0.65">
      <c r="A266" s="5">
        <v>264</v>
      </c>
      <c r="B266" s="46" t="str">
        <f>HYPERLINK("https://search.naver.com/search.naver?query=그리다이언 갱 영화", "그리다이언 갱")</f>
        <v>그리다이언 갱</v>
      </c>
      <c r="C266" s="47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98" t="s">
        <v>3460</v>
      </c>
    </row>
    <row r="267" spans="1:10" ht="28.5" customHeight="1" thickTop="1" thickBot="1" x14ac:dyDescent="0.65">
      <c r="A267" s="7">
        <v>265</v>
      </c>
      <c r="B267" s="48" t="str">
        <f>HYPERLINK("https://search.naver.com/search.naver?query=그리셀다 드라마", "그리셀다")</f>
        <v>그리셀다</v>
      </c>
      <c r="C267" s="49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99" t="s">
        <v>3448</v>
      </c>
    </row>
    <row r="268" spans="1:10" ht="28.9" customHeight="1" thickTop="1" thickBot="1" x14ac:dyDescent="0.65">
      <c r="A268" s="5">
        <v>266</v>
      </c>
      <c r="B268" s="46" t="str">
        <f>HYPERLINK("https://search.naver.com/search.naver?query=그리움과 함께 사는 법 영화", "그리움과 함께 사는 법")</f>
        <v>그리움과 함께 사는 법</v>
      </c>
      <c r="C268" s="47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98" t="s">
        <v>3440</v>
      </c>
    </row>
    <row r="269" spans="1:10" ht="28.9" customHeight="1" thickTop="1" thickBot="1" x14ac:dyDescent="0.65">
      <c r="A269" s="3">
        <v>267</v>
      </c>
      <c r="B269" s="44" t="str">
        <f>HYPERLINK("https://search.naver.com/search.naver?query=그린 마일 영화", "그린 마일")</f>
        <v>그린 마일</v>
      </c>
      <c r="C269" s="45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97" t="s">
        <v>3456</v>
      </c>
    </row>
    <row r="270" spans="1:10" ht="28.9" customHeight="1" thickTop="1" thickBot="1" x14ac:dyDescent="0.65">
      <c r="A270" s="5">
        <v>268</v>
      </c>
      <c r="B270" s="46" t="str">
        <f>HYPERLINK("https://search.naver.com/search.naver?query=그린 북 영화", "그린 북")</f>
        <v>그린 북</v>
      </c>
      <c r="C270" s="47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98" t="s">
        <v>3442</v>
      </c>
    </row>
    <row r="271" spans="1:10" ht="28.9" customHeight="1" thickTop="1" thickBot="1" x14ac:dyDescent="0.65">
      <c r="A271" s="3">
        <v>269</v>
      </c>
      <c r="B271" s="44" t="str">
        <f>HYPERLINK("https://search.naver.com/search.naver?query=그린랜드 영화", "그린랜드")</f>
        <v>그린랜드</v>
      </c>
      <c r="C271" s="45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97" t="s">
        <v>3436</v>
      </c>
    </row>
    <row r="272" spans="1:10" ht="28.9" customHeight="1" thickTop="1" thickBot="1" x14ac:dyDescent="0.65">
      <c r="A272" s="5">
        <v>270</v>
      </c>
      <c r="B272" s="46" t="str">
        <f>HYPERLINK("https://search.naver.com/search.naver?query=그린랜드2-미그레이션 영화", "그린랜드2-미그레이션")</f>
        <v>그린랜드2-미그레이션</v>
      </c>
      <c r="C272" s="47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98">
        <v>46051</v>
      </c>
    </row>
    <row r="273" spans="1:10" ht="28.9" customHeight="1" thickTop="1" thickBot="1" x14ac:dyDescent="0.65">
      <c r="A273" s="3">
        <v>271</v>
      </c>
      <c r="B273" s="44" t="str">
        <f>HYPERLINK("https://search.naver.com/search.naver?query=그림자 살인 영화", "그림자 살인")</f>
        <v>그림자 살인</v>
      </c>
      <c r="C273" s="45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97" t="s">
        <v>3453</v>
      </c>
    </row>
    <row r="274" spans="1:10" ht="28.9" customHeight="1" thickTop="1" thickBot="1" x14ac:dyDescent="0.65">
      <c r="A274" s="5">
        <v>272</v>
      </c>
      <c r="B274" s="46" t="str">
        <f>HYPERLINK("https://search.naver.com/search.naver?query=그물 영화", "그물")</f>
        <v>그물</v>
      </c>
      <c r="C274" s="47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98" t="s">
        <v>3441</v>
      </c>
    </row>
    <row r="275" spans="1:10" ht="28.9" customHeight="1" thickTop="1" thickBot="1" x14ac:dyDescent="0.65">
      <c r="A275" s="3">
        <v>273</v>
      </c>
      <c r="B275" s="44" t="str">
        <f>HYPERLINK("https://search.naver.com/search.naver?query=그을린 사랑 영화", "그을린 사랑")</f>
        <v>그을린 사랑</v>
      </c>
      <c r="C275" s="45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97" t="s">
        <v>3454</v>
      </c>
    </row>
    <row r="276" spans="1:10" ht="28.5" customHeight="1" thickTop="1" thickBot="1" x14ac:dyDescent="0.65">
      <c r="A276" s="7">
        <v>274</v>
      </c>
      <c r="B276" s="48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49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99">
        <v>46032</v>
      </c>
    </row>
    <row r="277" spans="1:10" ht="28.9" customHeight="1" thickTop="1" thickBot="1" x14ac:dyDescent="0.65">
      <c r="A277" s="3">
        <v>275</v>
      </c>
      <c r="B277" s="44" t="str">
        <f>HYPERLINK("https://search.naver.com/search.naver?query=그해여름 영화", "그해여름")</f>
        <v>그해여름</v>
      </c>
      <c r="C277" s="45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97" t="s">
        <v>3460</v>
      </c>
    </row>
    <row r="278" spans="1:10" ht="28.9" customHeight="1" thickTop="1" thickBot="1" x14ac:dyDescent="0.65">
      <c r="A278" s="5">
        <v>276</v>
      </c>
      <c r="B278" s="46" t="str">
        <f>HYPERLINK("https://search.naver.com/search.naver?query=극비수사 영화", "극비수사")</f>
        <v>극비수사</v>
      </c>
      <c r="C278" s="47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98" t="s">
        <v>3440</v>
      </c>
    </row>
    <row r="279" spans="1:10" ht="28.9" customHeight="1" thickTop="1" thickBot="1" x14ac:dyDescent="0.65">
      <c r="A279" s="3">
        <v>277</v>
      </c>
      <c r="B279" s="44" t="str">
        <f>HYPERLINK("https://search.naver.com/search.naver?query=극한직업 영화", "극한직업")</f>
        <v>극한직업</v>
      </c>
      <c r="C279" s="45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97" t="s">
        <v>3442</v>
      </c>
    </row>
    <row r="280" spans="1:10" ht="28.9" customHeight="1" thickTop="1" thickBot="1" x14ac:dyDescent="0.65">
      <c r="A280" s="5">
        <v>278</v>
      </c>
      <c r="B280" s="46" t="str">
        <f>HYPERLINK("https://search.naver.com/search.naver?query=글래디에이터1 영화", "글래디에이터1")</f>
        <v>글래디에이터1</v>
      </c>
      <c r="C280" s="47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98" t="s">
        <v>3458</v>
      </c>
    </row>
    <row r="281" spans="1:10" ht="28.9" customHeight="1" thickTop="1" thickBot="1" x14ac:dyDescent="0.65">
      <c r="A281" s="3">
        <v>279</v>
      </c>
      <c r="B281" s="44" t="str">
        <f>HYPERLINK("https://search.naver.com/search.naver?query=글래디에이터2 영화", "글래디에이터2")</f>
        <v>글래디에이터2</v>
      </c>
      <c r="C281" s="45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97" t="s">
        <v>3448</v>
      </c>
    </row>
    <row r="282" spans="1:10" ht="28.9" customHeight="1" thickTop="1" thickBot="1" x14ac:dyDescent="0.65">
      <c r="A282" s="5">
        <v>280</v>
      </c>
      <c r="B282" s="46" t="str">
        <f>HYPERLINK("https://search.naver.com/search.naver?query=글래스 영화", "글래스")</f>
        <v>글래스</v>
      </c>
      <c r="C282" s="47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98" t="s">
        <v>3442</v>
      </c>
    </row>
    <row r="283" spans="1:10" ht="28.9" customHeight="1" thickTop="1" thickBot="1" x14ac:dyDescent="0.65">
      <c r="A283" s="3">
        <v>281</v>
      </c>
      <c r="B283" s="44" t="str">
        <f>HYPERLINK("https://search.naver.com/search.naver?query=글러브 영화", "글러브")</f>
        <v>글러브</v>
      </c>
      <c r="C283" s="45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97" t="s">
        <v>3454</v>
      </c>
    </row>
    <row r="284" spans="1:10" ht="28.9" customHeight="1" thickTop="1" thickBot="1" x14ac:dyDescent="0.65">
      <c r="A284" s="5">
        <v>282</v>
      </c>
      <c r="B284" s="46" t="str">
        <f>HYPERLINK("https://search.naver.com/search.naver?query=글로리아 벨 영화", "글로리아 벨")</f>
        <v>글로리아 벨</v>
      </c>
      <c r="C284" s="47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98" t="s">
        <v>3442</v>
      </c>
    </row>
    <row r="285" spans="1:10" ht="28.9" customHeight="1" thickTop="1" thickBot="1" x14ac:dyDescent="0.65">
      <c r="A285" s="3">
        <v>283</v>
      </c>
      <c r="B285" s="44" t="str">
        <f>HYPERLINK("https://search.naver.com/search.naver?query=글루미 썬데이", "글루미 썬데이")</f>
        <v>글루미 썬데이</v>
      </c>
      <c r="C285" s="45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97" t="s">
        <v>3456</v>
      </c>
    </row>
    <row r="286" spans="1:10" ht="28.9" customHeight="1" thickTop="1" thickBot="1" x14ac:dyDescent="0.65">
      <c r="A286" s="5">
        <v>284</v>
      </c>
      <c r="B286" s="46" t="str">
        <f>HYPERLINK("https://search.naver.com/search.naver?query=기니피그를 좋아하세요 영화", "기니피그를 좋아하세요")</f>
        <v>기니피그를 좋아하세요</v>
      </c>
      <c r="C286" s="47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98" t="s">
        <v>3444</v>
      </c>
    </row>
    <row r="287" spans="1:10" ht="28.9" customHeight="1" thickTop="1" thickBot="1" x14ac:dyDescent="0.65">
      <c r="A287" s="3">
        <v>285</v>
      </c>
      <c r="B287" s="44" t="str">
        <f>HYPERLINK("https://search.naver.com/search.naver?query=기도의 막이 내릴 때 영화", "기도의 막이 내릴 때")</f>
        <v>기도의 막이 내릴 때</v>
      </c>
      <c r="C287" s="45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97" t="s">
        <v>3442</v>
      </c>
    </row>
    <row r="288" spans="1:10" ht="28.9" customHeight="1" thickTop="1" thickBot="1" x14ac:dyDescent="0.65">
      <c r="A288" s="5">
        <v>286</v>
      </c>
      <c r="B288" s="46" t="str">
        <f>HYPERLINK("https://search.naver.com/search.naver?query=기동순찰대 영화", "기동순찰대")</f>
        <v>기동순찰대</v>
      </c>
      <c r="C288" s="47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98" t="s">
        <v>3443</v>
      </c>
    </row>
    <row r="289" spans="1:10" ht="28.9" customHeight="1" thickTop="1" thickBot="1" x14ac:dyDescent="0.65">
      <c r="A289" s="3">
        <v>287</v>
      </c>
      <c r="B289" s="44" t="str">
        <f>HYPERLINK("https://search.naver.com/search.naver?query=기린의 날개 극장판 신참자 영화", "기린의 날개 극장판 신참자")</f>
        <v>기린의 날개 극장판 신참자</v>
      </c>
      <c r="C289" s="45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97" t="s">
        <v>3439</v>
      </c>
    </row>
    <row r="290" spans="1:10" ht="28.9" customHeight="1" thickTop="1" thickBot="1" x14ac:dyDescent="0.65">
      <c r="A290" s="5">
        <v>288</v>
      </c>
      <c r="B290" s="46" t="str">
        <f>HYPERLINK("https://search.naver.com/search.naver?query=기묘한 가족 영화", "기묘한 가족")</f>
        <v>기묘한 가족</v>
      </c>
      <c r="C290" s="47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98" t="s">
        <v>3442</v>
      </c>
    </row>
    <row r="291" spans="1:10" ht="28.9" customHeight="1" thickTop="1" thickBot="1" x14ac:dyDescent="0.65">
      <c r="A291" s="7">
        <v>289</v>
      </c>
      <c r="B291" s="48" t="str">
        <f>HYPERLINK("https://search.naver.com/search.naver?query=기묘한 이야기 시즌1", "기묘한 이야기 시즌1")</f>
        <v>기묘한 이야기 시즌1</v>
      </c>
      <c r="C291" s="49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99" t="s">
        <v>3441</v>
      </c>
    </row>
    <row r="292" spans="1:10" ht="28.9" customHeight="1" thickTop="1" thickBot="1" x14ac:dyDescent="0.65">
      <c r="A292" s="7">
        <v>290</v>
      </c>
      <c r="B292" s="48" t="str">
        <f>HYPERLINK("https://search.naver.com/search.naver?query=기묘한 이야기 시즌2", "기묘한 이야기 시즌2")</f>
        <v>기묘한 이야기 시즌2</v>
      </c>
      <c r="C292" s="49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99" t="s">
        <v>3443</v>
      </c>
    </row>
    <row r="293" spans="1:10" ht="28.9" customHeight="1" thickTop="1" thickBot="1" x14ac:dyDescent="0.65">
      <c r="A293" s="7">
        <v>291</v>
      </c>
      <c r="B293" s="48" t="str">
        <f>HYPERLINK("https://search.naver.com/search.naver?query=기묘한 이야기 시즌3", "기묘한 이야기 시즌3")</f>
        <v>기묘한 이야기 시즌3</v>
      </c>
      <c r="C293" s="49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99" t="s">
        <v>3444</v>
      </c>
    </row>
    <row r="294" spans="1:10" ht="28.9" customHeight="1" thickTop="1" thickBot="1" x14ac:dyDescent="0.65">
      <c r="A294" s="7">
        <v>292</v>
      </c>
      <c r="B294" s="48" t="str">
        <f>HYPERLINK("https://search.naver.com/search.naver?query=기묘한 이야기 시즌4", "기묘한 이야기 시즌4")</f>
        <v>기묘한 이야기 시즌4</v>
      </c>
      <c r="C294" s="49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99" t="s">
        <v>3445</v>
      </c>
    </row>
    <row r="295" spans="1:10" ht="28.9" customHeight="1" thickTop="1" thickBot="1" x14ac:dyDescent="0.65">
      <c r="A295" s="3">
        <v>293</v>
      </c>
      <c r="B295" s="44" t="str">
        <f>HYPERLINK("https://search.naver.com/search.naver?query=기생충 영화", "기생충")</f>
        <v>기생충</v>
      </c>
      <c r="C295" s="45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97" t="s">
        <v>3444</v>
      </c>
    </row>
    <row r="296" spans="1:10" ht="28.9" customHeight="1" thickTop="1" thickBot="1" x14ac:dyDescent="0.65">
      <c r="A296" s="5">
        <v>294</v>
      </c>
      <c r="B296" s="46" t="str">
        <f>HYPERLINK("https://search.naver.com/search.naver?query=기술자들 영화", "기술자들")</f>
        <v>기술자들</v>
      </c>
      <c r="C296" s="47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98" t="s">
        <v>3437</v>
      </c>
    </row>
    <row r="297" spans="1:10" ht="28.9" customHeight="1" thickTop="1" thickBot="1" x14ac:dyDescent="0.65">
      <c r="A297" s="3">
        <v>295</v>
      </c>
      <c r="B297" s="44" t="str">
        <f>HYPERLINK("https://search.naver.com/search.naver?query=기억의 밤 영화", "기억의 밤")</f>
        <v>기억의 밤</v>
      </c>
      <c r="C297" s="45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97" t="s">
        <v>3443</v>
      </c>
    </row>
    <row r="298" spans="1:10" ht="28.9" customHeight="1" thickTop="1" thickBot="1" x14ac:dyDescent="0.65">
      <c r="A298" s="5">
        <v>296</v>
      </c>
      <c r="B298" s="46" t="str">
        <f>HYPERLINK("https://search.naver.com/search.naver?query=기적 영화", "기적")</f>
        <v>기적</v>
      </c>
      <c r="C298" s="47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98" t="s">
        <v>3436</v>
      </c>
    </row>
    <row r="299" spans="1:10" ht="28.9" customHeight="1" thickTop="1" thickBot="1" x14ac:dyDescent="0.65">
      <c r="A299" s="3">
        <v>297</v>
      </c>
      <c r="B299" s="44" t="str">
        <f>HYPERLINK("https://search.naver.com/search.naver?query=기적:그 날의 소비토 영화", "기적-그 날의 소비토")</f>
        <v>기적-그 날의 소비토</v>
      </c>
      <c r="C299" s="45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97" t="s">
        <v>3443</v>
      </c>
    </row>
    <row r="300" spans="1:10" ht="28.9" customHeight="1" thickTop="1" thickBot="1" x14ac:dyDescent="0.65">
      <c r="A300" s="5">
        <v>298</v>
      </c>
      <c r="B300" s="46" t="str">
        <f>HYPERLINK("https://search.naver.com/search.naver?query=기적의 비행 영화", "기적의 비행")</f>
        <v>기적의 비행</v>
      </c>
      <c r="C300" s="47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98" t="s">
        <v>3446</v>
      </c>
    </row>
    <row r="301" spans="1:10" ht="28.9" customHeight="1" thickTop="1" thickBot="1" x14ac:dyDescent="0.65">
      <c r="A301" s="3">
        <v>299</v>
      </c>
      <c r="B301" s="44" t="str">
        <f>HYPERLINK("https://search.naver.com/search.naver?query=기적의 사과 영화", "기적의 사과")</f>
        <v>기적의 사과</v>
      </c>
      <c r="C301" s="45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97" t="s">
        <v>3451</v>
      </c>
    </row>
    <row r="302" spans="1:10" ht="28.9" customHeight="1" thickTop="1" thickBot="1" x14ac:dyDescent="0.65">
      <c r="A302" s="5">
        <v>300</v>
      </c>
      <c r="B302" s="46" t="str">
        <f>HYPERLINK("https://search.naver.com/search.naver?query=기적의 피아노 영화", "기적의 피아노")</f>
        <v>기적의 피아노</v>
      </c>
      <c r="C302" s="47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98" t="s">
        <v>3451</v>
      </c>
    </row>
    <row r="303" spans="1:10" ht="28.9" customHeight="1" thickTop="1" thickBot="1" x14ac:dyDescent="0.65">
      <c r="A303" s="3">
        <v>301</v>
      </c>
      <c r="B303" s="44" t="str">
        <f>HYPERLINK("https://search.naver.com/search.naver?query=기쿠지로의 여름 영화", "기쿠지로의 여름")</f>
        <v>기쿠지로의 여름</v>
      </c>
      <c r="C303" s="45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97" t="s">
        <v>3456</v>
      </c>
    </row>
    <row r="304" spans="1:10" ht="28.9" customHeight="1" thickTop="1" thickBot="1" x14ac:dyDescent="0.65">
      <c r="A304" s="5">
        <v>302</v>
      </c>
      <c r="B304" s="46" t="str">
        <f>HYPERLINK("https://search.naver.com/search.naver?query=기프트 영화", "기프트")</f>
        <v>기프트</v>
      </c>
      <c r="C304" s="47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98" t="s">
        <v>3437</v>
      </c>
    </row>
    <row r="305" spans="1:10" ht="28.9" customHeight="1" thickTop="1" thickBot="1" x14ac:dyDescent="0.65">
      <c r="A305" s="3">
        <v>303</v>
      </c>
      <c r="B305" s="44" t="str">
        <f>HYPERLINK("https://search.naver.com/search.naver?query=기프티드-어메이징 메리 영화", "기프티드")</f>
        <v>기프티드</v>
      </c>
      <c r="C305" s="45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97" t="s">
        <v>3443</v>
      </c>
    </row>
    <row r="306" spans="1:10" ht="28.9" customHeight="1" thickTop="1" thickBot="1" x14ac:dyDescent="0.65">
      <c r="A306" s="5">
        <v>304</v>
      </c>
      <c r="B306" s="46" t="str">
        <f>HYPERLINK("https://search.naver.com/search.naver?query=긴급명령 영화", "긴급명령")</f>
        <v>긴급명령</v>
      </c>
      <c r="C306" s="47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98" t="s">
        <v>3467</v>
      </c>
    </row>
    <row r="307" spans="1:10" ht="28.9" customHeight="1" thickTop="1" thickBot="1" x14ac:dyDescent="0.65">
      <c r="A307" s="3">
        <v>305</v>
      </c>
      <c r="B307" s="44" t="str">
        <f>HYPERLINK("https://search.naver.com/search.naver?query=길복순 영화", "길복순")</f>
        <v>길복순</v>
      </c>
      <c r="C307" s="45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97" t="s">
        <v>3446</v>
      </c>
    </row>
    <row r="308" spans="1:10" ht="28.9" customHeight="1" thickTop="1" thickBot="1" x14ac:dyDescent="0.65">
      <c r="A308" s="5">
        <v>306</v>
      </c>
      <c r="B308" s="46" t="str">
        <f>HYPERLINK("https://search.naver.com/search.naver?query=깃 영화", "깃")</f>
        <v>깃</v>
      </c>
      <c r="C308" s="47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98" t="s">
        <v>3462</v>
      </c>
    </row>
    <row r="309" spans="1:10" ht="28.9" customHeight="1" thickTop="1" thickBot="1" x14ac:dyDescent="0.65">
      <c r="A309" s="3">
        <v>307</v>
      </c>
      <c r="B309" s="44" t="str">
        <f>HYPERLINK("https://search.naver.com/search.naver?query=깨끗하고 연약한 영화", "깨끗하고 연약한")</f>
        <v>깨끗하고 연약한</v>
      </c>
      <c r="C309" s="45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97" t="s">
        <v>3451</v>
      </c>
    </row>
    <row r="310" spans="1:10" ht="28.9" customHeight="1" thickTop="1" thickBot="1" x14ac:dyDescent="0.65">
      <c r="A310" s="5">
        <v>308</v>
      </c>
      <c r="B310" s="46" t="str">
        <f>HYPERLINK("https://search.naver.com/search.naver?query=꽃다발 같은 사랑을 했다 영화", "꽃다발 같은 사랑을 했다")</f>
        <v>꽃다발 같은 사랑을 했다</v>
      </c>
      <c r="C310" s="47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98" t="s">
        <v>3438</v>
      </c>
    </row>
    <row r="311" spans="1:10" ht="28.9" customHeight="1" thickTop="1" thickBot="1" x14ac:dyDescent="0.65">
      <c r="A311" s="3">
        <v>309</v>
      </c>
      <c r="B311" s="44" t="str">
        <f>HYPERLINK("https://search.naver.com/search.naver?query=꽃잎, 춤 영화", "꽃잎, 춤")</f>
        <v>꽃잎, 춤</v>
      </c>
      <c r="C311" s="45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97" t="s">
        <v>3451</v>
      </c>
    </row>
    <row r="312" spans="1:10" ht="28.9" customHeight="1" thickTop="1" thickBot="1" x14ac:dyDescent="0.65">
      <c r="A312" s="5">
        <v>310</v>
      </c>
      <c r="B312" s="46" t="str">
        <f>HYPERLINK("https://search.naver.com/search.naver?query=꽃피는 봄이 오면 영화", "꽃피는 봄이 오면")</f>
        <v>꽃피는 봄이 오면</v>
      </c>
      <c r="C312" s="47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98" t="s">
        <v>3462</v>
      </c>
    </row>
    <row r="313" spans="1:10" ht="28.9" customHeight="1" thickTop="1" thickBot="1" x14ac:dyDescent="0.65">
      <c r="A313" s="3">
        <v>311</v>
      </c>
      <c r="B313" s="44" t="str">
        <f>HYPERLINK("https://search.naver.com/search.naver?query=꾸뻬씨의 행복여행 영화", "꾸뻬씨의 행복여행")</f>
        <v>꾸뻬씨의 행복여행</v>
      </c>
      <c r="C313" s="45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97" t="s">
        <v>3437</v>
      </c>
    </row>
    <row r="314" spans="1:10" ht="28.9" customHeight="1" thickTop="1" thickBot="1" x14ac:dyDescent="0.65">
      <c r="A314" s="5">
        <v>312</v>
      </c>
      <c r="B314" s="46" t="str">
        <f>HYPERLINK("https://search.naver.com/search.naver?query=꾼 영화", "꾼")</f>
        <v>꾼</v>
      </c>
      <c r="C314" s="47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98" t="s">
        <v>3443</v>
      </c>
    </row>
    <row r="315" spans="1:10" ht="28.9" customHeight="1" thickTop="1" thickBot="1" x14ac:dyDescent="0.65">
      <c r="A315" s="3">
        <v>313</v>
      </c>
      <c r="B315" s="44" t="str">
        <f>HYPERLINK("https://search.naver.com/search.naver?query=꿈팔이 부부 사기단 영화", "꿈팔이 부부 사기단")</f>
        <v>꿈팔이 부부 사기단</v>
      </c>
      <c r="C315" s="45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97" t="s">
        <v>3439</v>
      </c>
    </row>
    <row r="316" spans="1:10" ht="28.9" customHeight="1" thickTop="1" thickBot="1" x14ac:dyDescent="0.65">
      <c r="A316" s="5">
        <v>314</v>
      </c>
      <c r="B316" s="46" t="str">
        <f>HYPERLINK("https://search.naver.com/search.naver?query=끝까지 간다 영화", "끝까지 간다")</f>
        <v>끝까지 간다</v>
      </c>
      <c r="C316" s="47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98" t="s">
        <v>3451</v>
      </c>
    </row>
    <row r="317" spans="1:10" ht="28.9" customHeight="1" thickTop="1" thickBot="1" x14ac:dyDescent="0.65">
      <c r="A317" s="3">
        <v>315</v>
      </c>
      <c r="B317" s="44" t="str">
        <f>HYPERLINK("https://cine21.com/movie/info/?movie_id=53541", "끝에서 시작되다")</f>
        <v>끝에서 시작되다</v>
      </c>
      <c r="C317" s="45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97" t="s">
        <v>3443</v>
      </c>
    </row>
    <row r="318" spans="1:10" ht="28.9" customHeight="1" thickTop="1" thickBot="1" x14ac:dyDescent="0.65">
      <c r="A318" s="5">
        <v>316</v>
      </c>
      <c r="B318" s="46" t="str">
        <f>HYPERLINK("https://search.naver.com/search.naver?query=나, 다니엘 블레이크 영화", "나, 다니엘 블레이크")</f>
        <v>나, 다니엘 블레이크</v>
      </c>
      <c r="C318" s="47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98" t="s">
        <v>3441</v>
      </c>
    </row>
    <row r="319" spans="1:10" ht="28.9" customHeight="1" thickTop="1" thickBot="1" x14ac:dyDescent="0.65">
      <c r="A319" s="3">
        <v>317</v>
      </c>
      <c r="B319" s="44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45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97" t="s">
        <v>3444</v>
      </c>
    </row>
    <row r="320" spans="1:10" ht="28.9" customHeight="1" thickTop="1" thickBot="1" x14ac:dyDescent="0.65">
      <c r="A320" s="5">
        <v>318</v>
      </c>
      <c r="B320" s="46" t="str">
        <f>HYPERLINK("https://search.naver.com/search.naver?query=나는 나를 해고하지 않는다 영화", "나는 나를 해고하지 않는다")</f>
        <v>나는 나를 해고하지 않는다</v>
      </c>
      <c r="C320" s="47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98" t="s">
        <v>3438</v>
      </c>
    </row>
    <row r="321" spans="1:10" ht="28.9" customHeight="1" thickTop="1" thickBot="1" x14ac:dyDescent="0.65">
      <c r="A321" s="3">
        <v>319</v>
      </c>
      <c r="B321" s="44" t="str">
        <f>HYPERLINK("https://search.naver.com/search.naver?query=나는 내일 어제의 너와 만난다 영화", "나는 내일 어제의 너와 만난다")</f>
        <v>나는 내일 어제의 너와 만난다</v>
      </c>
      <c r="C321" s="45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97" t="s">
        <v>3441</v>
      </c>
    </row>
    <row r="322" spans="1:10" ht="28.9" customHeight="1" thickTop="1" thickBot="1" x14ac:dyDescent="0.65">
      <c r="A322" s="5">
        <v>320</v>
      </c>
      <c r="B322" s="46" t="str">
        <f>HYPERLINK("https://search.naver.com/search.naver?query=나는 빛을 움켜쥐고 있어 영화", "나는 빛을 움켜쥐고 있어")</f>
        <v>나는 빛을 움켜쥐고 있어</v>
      </c>
      <c r="C322" s="47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98" t="s">
        <v>3444</v>
      </c>
    </row>
    <row r="323" spans="1:10" ht="28.9" customHeight="1" thickTop="1" thickBot="1" x14ac:dyDescent="0.65">
      <c r="A323" s="3">
        <v>321</v>
      </c>
      <c r="B323" s="44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45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97" t="s">
        <v>3441</v>
      </c>
    </row>
    <row r="324" spans="1:10" ht="28.9" customHeight="1" thickTop="1" thickBot="1" x14ac:dyDescent="0.65">
      <c r="A324" s="5">
        <v>322</v>
      </c>
      <c r="B324" s="46" t="str">
        <f>HYPERLINK("https://search.naver.com/search.naver?query=나는 왕이로소이다 영화", "나는 왕이로소이다")</f>
        <v>나는 왕이로소이다</v>
      </c>
      <c r="C324" s="47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98" t="s">
        <v>3439</v>
      </c>
    </row>
    <row r="325" spans="1:10" ht="28.9" customHeight="1" thickTop="1" thickBot="1" x14ac:dyDescent="0.65">
      <c r="A325" s="3">
        <v>323</v>
      </c>
      <c r="B325" s="44" t="str">
        <f>HYPERLINK("https://search.naver.com/search.naver?query=나랏말싸미 영화", "나랏말싸미")</f>
        <v>나랏말싸미</v>
      </c>
      <c r="C325" s="45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97" t="s">
        <v>3444</v>
      </c>
    </row>
    <row r="326" spans="1:10" ht="28.9" customHeight="1" thickTop="1" thickBot="1" x14ac:dyDescent="0.65">
      <c r="A326" s="5">
        <v>324</v>
      </c>
      <c r="B326" s="46" t="str">
        <f>HYPERLINK("https://search.naver.com/search.naver?query=나를 미치게 하는 여자 영화", "나를 미치게 하는 여자")</f>
        <v>나를 미치게 하는 여자</v>
      </c>
      <c r="C326" s="47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98" t="s">
        <v>3440</v>
      </c>
    </row>
    <row r="327" spans="1:10" ht="28.9" customHeight="1" thickTop="1" thickBot="1" x14ac:dyDescent="0.65">
      <c r="A327" s="3">
        <v>325</v>
      </c>
      <c r="B327" s="44" t="str">
        <f>HYPERLINK("https://search.naver.com/search.naver?query=나를 죽여줘 영화", "나를 죽여줘")</f>
        <v>나를 죽여줘</v>
      </c>
      <c r="C327" s="45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97" t="s">
        <v>3445</v>
      </c>
    </row>
    <row r="328" spans="1:10" ht="28.9" customHeight="1" thickTop="1" thickBot="1" x14ac:dyDescent="0.65">
      <c r="A328" s="5">
        <v>326</v>
      </c>
      <c r="B328" s="46" t="str">
        <f>HYPERLINK("https://search.naver.com/search.naver?query=나를 차버린 스파이 영화", "나를 차버린 스파이")</f>
        <v>나를 차버린 스파이</v>
      </c>
      <c r="C328" s="47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98" t="s">
        <v>3442</v>
      </c>
    </row>
    <row r="329" spans="1:10" ht="28.9" customHeight="1" thickTop="1" thickBot="1" x14ac:dyDescent="0.65">
      <c r="A329" s="3">
        <v>327</v>
      </c>
      <c r="B329" s="44" t="str">
        <f>HYPERLINK("https://search.naver.com/search.naver?query=나를 찾아줘 2014", "나를 찾아줘")</f>
        <v>나를 찾아줘</v>
      </c>
      <c r="C329" s="45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97" t="s">
        <v>3444</v>
      </c>
    </row>
    <row r="330" spans="1:10" ht="28.9" customHeight="1" thickTop="1" thickBot="1" x14ac:dyDescent="0.65">
      <c r="A330" s="5">
        <v>328</v>
      </c>
      <c r="B330" s="46" t="str">
        <f>HYPERLINK("https://search.naver.com/search.naver?query=나를 찾아줘 영화", "나를 찾아줘")</f>
        <v>나를 찾아줘</v>
      </c>
      <c r="C330" s="47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98" t="s">
        <v>3437</v>
      </c>
    </row>
    <row r="331" spans="1:10" ht="28.9" customHeight="1" thickTop="1" thickBot="1" x14ac:dyDescent="0.65">
      <c r="A331" s="3">
        <v>329</v>
      </c>
      <c r="B331" s="44" t="str">
        <f>HYPERLINK("https://search.naver.com/search.naver?query=나만이 없는 거리 영화", "나만이 없는 거리")</f>
        <v>나만이 없는 거리</v>
      </c>
      <c r="C331" s="45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97" t="s">
        <v>3441</v>
      </c>
    </row>
    <row r="332" spans="1:10" ht="28.9" customHeight="1" thickTop="1" thickBot="1" x14ac:dyDescent="0.65">
      <c r="A332" s="5">
        <v>330</v>
      </c>
      <c r="B332" s="46" t="str">
        <f>HYPERLINK("https://search.naver.com/search.naver?query=나미야 잡화점의 기적 영화", "나미야 잡화점의 기적")</f>
        <v>나미야 잡화점의 기적</v>
      </c>
      <c r="C332" s="47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98" t="s">
        <v>3443</v>
      </c>
    </row>
    <row r="333" spans="1:10" ht="28.9" customHeight="1" thickTop="1" thickBot="1" x14ac:dyDescent="0.65">
      <c r="A333" s="3">
        <v>331</v>
      </c>
      <c r="B333" s="44" t="str">
        <f>HYPERLINK("https://search.naver.com/search.naver?query=나비 효과 영화", "나비 효과")</f>
        <v>나비 효과</v>
      </c>
      <c r="C333" s="45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97" t="s">
        <v>3462</v>
      </c>
    </row>
    <row r="334" spans="1:10" ht="28.9" customHeight="1" thickTop="1" thickBot="1" x14ac:dyDescent="0.65">
      <c r="A334" s="5">
        <v>332</v>
      </c>
      <c r="B334" s="46" t="str">
        <f>HYPERLINK("https://search.naver.com/search.naver?query=나비잠 영화", "나비잠")</f>
        <v>나비잠</v>
      </c>
      <c r="C334" s="47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98" t="s">
        <v>3442</v>
      </c>
    </row>
    <row r="335" spans="1:10" ht="28.9" customHeight="1" thickTop="1" thickBot="1" x14ac:dyDescent="0.65">
      <c r="A335" s="5">
        <v>333</v>
      </c>
      <c r="B335" s="46" t="str">
        <f>HYPERLINK("https://search.naver.com/search.naver?query=나쁜 녀석들 영화", "나쁜 녀석들")</f>
        <v>나쁜 녀석들</v>
      </c>
      <c r="C335" s="47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98" t="s">
        <v>3448</v>
      </c>
    </row>
    <row r="336" spans="1:10" ht="28.9" customHeight="1" thickTop="1" thickBot="1" x14ac:dyDescent="0.65">
      <c r="A336" s="7">
        <v>334</v>
      </c>
      <c r="B336" s="48" t="str">
        <f>HYPERLINK("https://search.naver.com/search.naver?query=나쁜 녀석들 : 악의 도시", "나쁜 녀석들 : 악의 도시")</f>
        <v>나쁜 녀석들 : 악의 도시</v>
      </c>
      <c r="C336" s="49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99" t="s">
        <v>3443</v>
      </c>
    </row>
    <row r="337" spans="1:10" ht="28.9" customHeight="1" thickTop="1" thickBot="1" x14ac:dyDescent="0.65">
      <c r="A337" s="3">
        <v>335</v>
      </c>
      <c r="B337" s="44" t="str">
        <f>HYPERLINK("https://search.naver.com/search.naver?query=나쁜 녀석들:포에버 영화", "나쁜 녀석들-포에버")</f>
        <v>나쁜 녀석들-포에버</v>
      </c>
      <c r="C337" s="45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97" t="s">
        <v>3436</v>
      </c>
    </row>
    <row r="338" spans="1:10" ht="28.9" customHeight="1" thickTop="1" thickBot="1" x14ac:dyDescent="0.65">
      <c r="A338" s="5">
        <v>336</v>
      </c>
      <c r="B338" s="46" t="str">
        <f>HYPERLINK("https://search.naver.com/search.naver?query=나쁜 이웃들 영화", "나쁜 이웃들")</f>
        <v>나쁜 이웃들</v>
      </c>
      <c r="C338" s="47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98" t="s">
        <v>3437</v>
      </c>
    </row>
    <row r="339" spans="1:10" ht="28.9" customHeight="1" thickTop="1" thickBot="1" x14ac:dyDescent="0.65">
      <c r="A339" s="3">
        <v>337</v>
      </c>
      <c r="B339" s="44" t="str">
        <f>HYPERLINK("https://search.naver.com/search.naver?query=나와 언니와 셀린 디온 영화", "나와 언니와 셀린 디온")</f>
        <v>나와 언니와 셀린 디온</v>
      </c>
      <c r="C339" s="45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97" t="s">
        <v>3444</v>
      </c>
    </row>
    <row r="340" spans="1:10" ht="28.9" customHeight="1" thickTop="1" thickBot="1" x14ac:dyDescent="0.65">
      <c r="A340" s="3">
        <v>338</v>
      </c>
      <c r="B340" s="44" t="str">
        <f>HYPERLINK("https://search.naver.com/search.naver?query=나우 유 씨 미2 영화", "나우 유 씨 미2")</f>
        <v>나우 유 씨 미2</v>
      </c>
      <c r="C340" s="45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97" t="s">
        <v>3441</v>
      </c>
    </row>
    <row r="341" spans="1:10" ht="28.9" customHeight="1" thickTop="1" thickBot="1" x14ac:dyDescent="0.65">
      <c r="A341" s="5">
        <v>339</v>
      </c>
      <c r="B341" s="46" t="str">
        <f>HYPERLINK("https://search.naver.com/search.naver?query=나우 이즈 굿 영화", "나우 이즈 굿")</f>
        <v>나우 이즈 굿</v>
      </c>
      <c r="C341" s="47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98" t="s">
        <v>3439</v>
      </c>
    </row>
    <row r="342" spans="1:10" ht="28.9" customHeight="1" thickTop="1" thickBot="1" x14ac:dyDescent="0.65">
      <c r="A342" s="5">
        <v>340</v>
      </c>
      <c r="B342" s="46" t="str">
        <f>HYPERLINK("https://search.naver.com/search.naver?query=나우 유 씨 미1 영화", "나우유씨미 - 마술사기단")</f>
        <v>나우유씨미 - 마술사기단</v>
      </c>
      <c r="C342" s="47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98" t="s">
        <v>3440</v>
      </c>
    </row>
    <row r="343" spans="1:10" ht="28.9" customHeight="1" thickTop="1" thickBot="1" x14ac:dyDescent="0.65">
      <c r="A343" s="3">
        <v>341</v>
      </c>
      <c r="B343" s="44" t="str">
        <f>HYPERLINK("https://search.naver.com/search.naver?query=나의 PS 파트너 영화", "나의 PS 파트너")</f>
        <v>나의 PS 파트너</v>
      </c>
      <c r="C343" s="45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97" t="s">
        <v>3439</v>
      </c>
    </row>
    <row r="344" spans="1:10" ht="28.9" customHeight="1" thickTop="1" thickBot="1" x14ac:dyDescent="0.65">
      <c r="A344" s="5">
        <v>342</v>
      </c>
      <c r="B344" s="46" t="str">
        <f>HYPERLINK("https://search.naver.com/search.naver?query=나의 독재자 영화", "나의 독재자")</f>
        <v>나의 독재자</v>
      </c>
      <c r="C344" s="47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98" t="s">
        <v>3437</v>
      </c>
    </row>
    <row r="345" spans="1:10" ht="28.9" customHeight="1" thickTop="1" thickBot="1" x14ac:dyDescent="0.65">
      <c r="A345" s="3">
        <v>343</v>
      </c>
      <c r="B345" s="44" t="str">
        <f>HYPERLINK("https://search.naver.com/search.naver?query=나의 딸 영화", "나의 딸")</f>
        <v>나의 딸</v>
      </c>
      <c r="C345" s="45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97" t="s">
        <v>3440</v>
      </c>
    </row>
    <row r="346" spans="1:10" ht="28.9" customHeight="1" thickTop="1" thickBot="1" x14ac:dyDescent="0.65">
      <c r="A346" s="5">
        <v>344</v>
      </c>
      <c r="B346" s="46" t="str">
        <f>HYPERLINK("https://search.naver.com/search.naver?query=나의 라임 오렌지 나무 영화", "나의 라임 오렌지 나무")</f>
        <v>나의 라임 오렌지 나무</v>
      </c>
      <c r="C346" s="47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98" t="s">
        <v>3439</v>
      </c>
    </row>
    <row r="347" spans="1:10" ht="28.9" customHeight="1" thickTop="1" thickBot="1" x14ac:dyDescent="0.65">
      <c r="A347" s="3">
        <v>345</v>
      </c>
      <c r="B347" s="44" t="str">
        <f>HYPERLINK("https://search.naver.com/search.naver?query=나의 사랑, 그리스 영화", "나의 사랑, 그리스")</f>
        <v>나의 사랑, 그리스</v>
      </c>
      <c r="C347" s="45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97" t="s">
        <v>3443</v>
      </c>
    </row>
    <row r="348" spans="1:10" ht="28.9" customHeight="1" thickTop="1" thickBot="1" x14ac:dyDescent="0.65">
      <c r="A348" s="5">
        <v>346</v>
      </c>
      <c r="B348" s="46" t="str">
        <f>HYPERLINK("https://search.naver.com/search.naver?query=나의 서른에게 영화", "나의 서른에게")</f>
        <v>나의 서른에게</v>
      </c>
      <c r="C348" s="47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98" t="s">
        <v>3443</v>
      </c>
    </row>
    <row r="349" spans="1:10" ht="28.9" customHeight="1" thickTop="1" thickBot="1" x14ac:dyDescent="0.65">
      <c r="A349" s="7">
        <v>347</v>
      </c>
      <c r="B349" s="48" t="str">
        <f>HYPERLINK("https://search.naver.com/search.naver?query=일본드라마 나의 위험한 아내", "나의 위험한 아내")</f>
        <v>나의 위험한 아내</v>
      </c>
      <c r="C349" s="49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99" t="s">
        <v>3443</v>
      </c>
    </row>
    <row r="350" spans="1:10" ht="28.9" customHeight="1" thickTop="1" thickBot="1" x14ac:dyDescent="0.65">
      <c r="A350" s="5">
        <v>348</v>
      </c>
      <c r="B350" s="46" t="str">
        <f>HYPERLINK("https://search.naver.com/search.naver?query=나의 첫 번째 슈퍼스타 영화", "나의 첫 번째 슈퍼스타")</f>
        <v>나의 첫 번째 슈퍼스타</v>
      </c>
      <c r="C350" s="47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98" t="s">
        <v>3436</v>
      </c>
    </row>
    <row r="351" spans="1:10" ht="28.9" customHeight="1" thickTop="1" thickBot="1" x14ac:dyDescent="0.65">
      <c r="A351" s="3">
        <v>349</v>
      </c>
      <c r="B351" s="44" t="str">
        <f>HYPERLINK("https://search.naver.com/search.naver?query=나의 첫번째 장례식 영화", "나의 첫번째 장례식")</f>
        <v>나의 첫번째 장례식</v>
      </c>
      <c r="C351" s="45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97" t="s">
        <v>3437</v>
      </c>
    </row>
    <row r="352" spans="1:10" ht="28.9" customHeight="1" thickTop="1" thickBot="1" x14ac:dyDescent="0.65">
      <c r="A352" s="5">
        <v>350</v>
      </c>
      <c r="B352" s="46" t="str">
        <f>HYPERLINK("https://search.naver.com/search.naver?query=나의 친구, 그의 아내 영화", "나의 친구, 그의 아내")</f>
        <v>나의 친구, 그의 아내</v>
      </c>
      <c r="C352" s="47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98" t="s">
        <v>3460</v>
      </c>
    </row>
    <row r="353" spans="1:10" ht="28.9" customHeight="1" thickTop="1" thickBot="1" x14ac:dyDescent="0.65">
      <c r="A353" s="3">
        <v>351</v>
      </c>
      <c r="B353" s="44" t="str">
        <f>HYPERLINK("https://search.naver.com/search.naver?query=나의 특별한 형제 영화", "나의 특별한 형제")</f>
        <v>나의 특별한 형제</v>
      </c>
      <c r="C353" s="45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97" t="s">
        <v>3442</v>
      </c>
    </row>
    <row r="354" spans="1:10" ht="28.9" customHeight="1" thickTop="1" thickBot="1" x14ac:dyDescent="0.65">
      <c r="A354" s="5">
        <v>352</v>
      </c>
      <c r="B354" s="46" t="str">
        <f>HYPERLINK("https://search.naver.com/search.naver?query=나이브스 아웃 영화", "나이브스 아웃")</f>
        <v>나이브스 아웃</v>
      </c>
      <c r="C354" s="47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98" t="s">
        <v>3444</v>
      </c>
    </row>
    <row r="355" spans="1:10" ht="28.9" customHeight="1" thickTop="1" thickBot="1" x14ac:dyDescent="0.65">
      <c r="A355" s="3">
        <v>353</v>
      </c>
      <c r="B355" s="44" t="str">
        <f>HYPERLINK("https://search.naver.com/search.naver?query=나이애드의 다섯 번째 파도 영화", "나이애드의 다섯 번째 파도")</f>
        <v>나이애드의 다섯 번째 파도</v>
      </c>
      <c r="C355" s="45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97" t="s">
        <v>3446</v>
      </c>
    </row>
    <row r="356" spans="1:10" ht="28.9" customHeight="1" thickTop="1" thickBot="1" x14ac:dyDescent="0.65">
      <c r="A356" s="7">
        <v>354</v>
      </c>
      <c r="B356" s="48" t="str">
        <f>HYPERLINK("https://search.naver.com/search.naver?query=나이트 에이전트 시즌1", "나이트 에이전트")</f>
        <v>나이트 에이전트</v>
      </c>
      <c r="C356" s="49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99" t="s">
        <v>3446</v>
      </c>
    </row>
    <row r="357" spans="1:10" ht="28.9" customHeight="1" thickTop="1" thickBot="1" x14ac:dyDescent="0.65">
      <c r="A357" s="3">
        <v>355</v>
      </c>
      <c r="B357" s="44" t="str">
        <f>HYPERLINK("https://search.naver.com/search.naver?query=나이트 인 로댄스 영화", "나이트 인 로댄스")</f>
        <v>나이트 인 로댄스</v>
      </c>
      <c r="C357" s="45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97" t="s">
        <v>3450</v>
      </c>
    </row>
    <row r="358" spans="1:10" ht="28.9" customHeight="1" thickTop="1" thickBot="1" x14ac:dyDescent="0.65">
      <c r="A358" s="5">
        <v>356</v>
      </c>
      <c r="B358" s="46" t="str">
        <f>HYPERLINK("https://search.naver.com/search.naver?query=나이트 크롤러 영화", "나이트 크롤러")</f>
        <v>나이트 크롤러</v>
      </c>
      <c r="C358" s="47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98" t="s">
        <v>3437</v>
      </c>
    </row>
    <row r="359" spans="1:10" ht="28.9" customHeight="1" thickTop="1" thickBot="1" x14ac:dyDescent="0.65">
      <c r="A359" s="3">
        <v>357</v>
      </c>
      <c r="B359" s="44" t="str">
        <f>HYPERLINK("https://search.naver.com/search.naver?query=나이트 폴 영화", "나이트 폴")</f>
        <v>나이트 폴</v>
      </c>
      <c r="C359" s="45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97" t="s">
        <v>3439</v>
      </c>
    </row>
    <row r="360" spans="1:10" ht="28.9" customHeight="1" thickTop="1" thickBot="1" x14ac:dyDescent="0.65">
      <c r="A360" s="5">
        <v>358</v>
      </c>
      <c r="B360" s="46" t="str">
        <f>HYPERLINK("https://search.naver.com/search.naver?query=나이트 헌터 영화", "나이트 헌터")</f>
        <v>나이트 헌터</v>
      </c>
      <c r="C360" s="47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98" t="s">
        <v>3444</v>
      </c>
    </row>
    <row r="361" spans="1:10" ht="28.9" customHeight="1" thickTop="1" thickBot="1" x14ac:dyDescent="0.65">
      <c r="A361" s="3">
        <v>359</v>
      </c>
      <c r="B361" s="44" t="str">
        <f>HYPERLINK("https://search.naver.com/search.naver?query=나이트메어 앨리 영화", "나이트메어 앨리")</f>
        <v>나이트메어 앨리</v>
      </c>
      <c r="C361" s="45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97" t="s">
        <v>3438</v>
      </c>
    </row>
    <row r="362" spans="1:10" ht="28.9" customHeight="1" thickTop="1" thickBot="1" x14ac:dyDescent="0.65">
      <c r="A362" s="5">
        <v>360</v>
      </c>
      <c r="B362" s="46" t="str">
        <f>HYPERLINK("https://search.naver.com/search.naver?query=나이팅게일2013", "나이팅게일")</f>
        <v>나이팅게일</v>
      </c>
      <c r="C362" s="47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98" t="s">
        <v>3437</v>
      </c>
    </row>
    <row r="363" spans="1:10" ht="28.9" customHeight="1" thickTop="1" thickBot="1" x14ac:dyDescent="0.65">
      <c r="A363" s="7">
        <v>361</v>
      </c>
      <c r="B363" s="48" t="str">
        <f>HYPERLINK("https://search.naver.com/search.naver?query=나인 퍼즐", "나인 퍼즐")</f>
        <v>나인 퍼즐</v>
      </c>
      <c r="C363" s="49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99" t="s">
        <v>3459</v>
      </c>
    </row>
    <row r="364" spans="1:10" ht="28.9" customHeight="1" thickTop="1" thickBot="1" x14ac:dyDescent="0.65">
      <c r="A364" s="5">
        <v>362</v>
      </c>
      <c r="B364" s="46" t="str">
        <f>HYPERLINK("https://search.naver.com/search.naver?query=나인 하프 위크 영화", "나인 하프 위크")</f>
        <v>나인 하프 위크</v>
      </c>
      <c r="C364" s="47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98" t="s">
        <v>3468</v>
      </c>
    </row>
    <row r="365" spans="1:10" ht="28.9" customHeight="1" thickTop="1" thickBot="1" x14ac:dyDescent="0.65">
      <c r="A365" s="3">
        <v>363</v>
      </c>
      <c r="B365" s="44" t="str">
        <f>HYPERLINK("https://search.naver.com/search.naver?query=나인스 라이프 영화", "나인스 라이프")</f>
        <v>나인스 라이프</v>
      </c>
      <c r="C365" s="45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97" t="s">
        <v>3441</v>
      </c>
    </row>
    <row r="366" spans="1:10" ht="28.9" customHeight="1" thickTop="1" thickBot="1" x14ac:dyDescent="0.65">
      <c r="A366" s="5">
        <v>364</v>
      </c>
      <c r="B366" s="46" t="str">
        <f>HYPERLINK("https://search.naver.com/search.naver?query=나일 강의 죽음 영화", "나일 강의 죽음")</f>
        <v>나일 강의 죽음</v>
      </c>
      <c r="C366" s="47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98" t="s">
        <v>3445</v>
      </c>
    </row>
    <row r="367" spans="1:10" ht="28.9" customHeight="1" thickTop="1" thickBot="1" x14ac:dyDescent="0.65">
      <c r="A367" s="3">
        <v>365</v>
      </c>
      <c r="B367" s="44" t="str">
        <f>HYPERLINK("https://search.naver.com/search.naver?query=나잇 &amp; 데이 영화", "나잇 &amp; 데이")</f>
        <v>나잇 &amp; 데이</v>
      </c>
      <c r="C367" s="45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97" t="s">
        <v>3455</v>
      </c>
    </row>
    <row r="368" spans="1:10" ht="28.9" customHeight="1" thickTop="1" thickBot="1" x14ac:dyDescent="0.65">
      <c r="A368" s="5">
        <v>366</v>
      </c>
      <c r="B368" s="46" t="str">
        <f>HYPERLINK("https://search.naver.com/search.naver?query=나폴레옹 영화", "나폴레옹")</f>
        <v>나폴레옹</v>
      </c>
      <c r="C368" s="47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98" t="s">
        <v>3446</v>
      </c>
    </row>
    <row r="369" spans="1:10" ht="28.9" customHeight="1" thickTop="1" thickBot="1" x14ac:dyDescent="0.65">
      <c r="A369" s="3">
        <v>367</v>
      </c>
      <c r="B369" s="44" t="str">
        <f>HYPERLINK("https://search.naver.com/search.naver?query=낙원의 밤 영화", "낙원의 밤")</f>
        <v>낙원의 밤</v>
      </c>
      <c r="C369" s="45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97" t="s">
        <v>3436</v>
      </c>
    </row>
    <row r="370" spans="1:10" ht="28.9" customHeight="1" thickTop="1" thickBot="1" x14ac:dyDescent="0.65">
      <c r="A370" s="5">
        <v>368</v>
      </c>
      <c r="B370" s="46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47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98" t="s">
        <v>3437</v>
      </c>
    </row>
    <row r="371" spans="1:10" ht="28.9" customHeight="1" thickTop="1" thickBot="1" x14ac:dyDescent="0.65">
      <c r="A371" s="3">
        <v>369</v>
      </c>
      <c r="B371" s="44" t="str">
        <f>HYPERLINK("https://search.naver.com/search.naver?query=날, 보러와요 영화", "날, 보러와요")</f>
        <v>날, 보러와요</v>
      </c>
      <c r="C371" s="45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97" t="s">
        <v>3440</v>
      </c>
    </row>
    <row r="372" spans="1:10" ht="28.9" customHeight="1" thickTop="1" thickBot="1" x14ac:dyDescent="0.65">
      <c r="A372" s="5">
        <v>370</v>
      </c>
      <c r="B372" s="46" t="str">
        <f>HYPERLINK("https://search.naver.com/search.naver?query=남과여2015", "남과 여")</f>
        <v>남과 여</v>
      </c>
      <c r="C372" s="47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98" t="s">
        <v>3440</v>
      </c>
    </row>
    <row r="373" spans="1:10" ht="28.9" customHeight="1" thickTop="1" thickBot="1" x14ac:dyDescent="0.65">
      <c r="A373" s="3">
        <v>371</v>
      </c>
      <c r="B373" s="44" t="str">
        <f>HYPERLINK("https://search.naver.com/search.naver?query=남극의 쉐프 영화", "남극의 쉐프")</f>
        <v>남극의 쉐프</v>
      </c>
      <c r="C373" s="45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97" t="s">
        <v>3455</v>
      </c>
    </row>
    <row r="374" spans="1:10" ht="28.9" customHeight="1" thickTop="1" thickBot="1" x14ac:dyDescent="0.65">
      <c r="A374" s="5">
        <v>372</v>
      </c>
      <c r="B374" s="46" t="str">
        <f>HYPERLINK("https://search.naver.com/search.naver?query=남동생 영화", "남동생")</f>
        <v>남동생</v>
      </c>
      <c r="C374" s="47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98" t="s">
        <v>3455</v>
      </c>
    </row>
    <row r="375" spans="1:10" ht="28.9" customHeight="1" thickTop="1" thickBot="1" x14ac:dyDescent="0.65">
      <c r="A375" s="3">
        <v>373</v>
      </c>
      <c r="B375" s="44" t="str">
        <f>HYPERLINK("https://search.naver.com/search.naver?query=남산의 부장들 영화", "남산의 부장들")</f>
        <v>남산의 부장들</v>
      </c>
      <c r="C375" s="45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97" t="s">
        <v>3436</v>
      </c>
    </row>
    <row r="376" spans="1:10" ht="28.9" customHeight="1" thickTop="1" thickBot="1" x14ac:dyDescent="0.65">
      <c r="A376" s="5">
        <v>374</v>
      </c>
      <c r="B376" s="46" t="str">
        <f>HYPERLINK("https://search.naver.com/search.naver?query=남아있는 나날 영화", "남아있는 나날")</f>
        <v>남아있는 나날</v>
      </c>
      <c r="C376" s="47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98" t="s">
        <v>3469</v>
      </c>
    </row>
    <row r="377" spans="1:10" ht="28.9" customHeight="1" thickTop="1" thickBot="1" x14ac:dyDescent="0.65">
      <c r="A377" s="3">
        <v>375</v>
      </c>
      <c r="B377" s="44" t="str">
        <f>HYPERLINK("https://search.naver.com/search.naver?query=남으로 가는 길 영화", "남으로 가는 길")</f>
        <v>남으로 가는 길</v>
      </c>
      <c r="C377" s="45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97" t="s">
        <v>3459</v>
      </c>
    </row>
    <row r="378" spans="1:10" ht="28.9" customHeight="1" thickTop="1" thickBot="1" x14ac:dyDescent="0.65">
      <c r="A378" s="5">
        <v>376</v>
      </c>
      <c r="B378" s="46" t="str">
        <f>HYPERLINK("https://search.naver.com/search.naver?query=남은 인생 10년 영화", "남은 인생 10년")</f>
        <v>남은 인생 10년</v>
      </c>
      <c r="C378" s="47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98" t="s">
        <v>3445</v>
      </c>
    </row>
    <row r="379" spans="1:10" ht="28.9" customHeight="1" thickTop="1" thickBot="1" x14ac:dyDescent="0.65">
      <c r="A379" s="3">
        <v>377</v>
      </c>
      <c r="B379" s="44" t="str">
        <f>HYPERLINK("https://search.naver.com/search.naver?query=남자가 사랑할 때 영화", "남자가 사랑할 때")</f>
        <v>남자가 사랑할 때</v>
      </c>
      <c r="C379" s="45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97" t="s">
        <v>3451</v>
      </c>
    </row>
    <row r="380" spans="1:10" ht="28.9" customHeight="1" thickTop="1" thickBot="1" x14ac:dyDescent="0.65">
      <c r="A380" s="5">
        <v>378</v>
      </c>
      <c r="B380" s="46" t="str">
        <f>HYPERLINK("https://search.naver.com/search.naver?query=남자의 일생 영화", "남자의 일생")</f>
        <v>남자의 일생</v>
      </c>
      <c r="C380" s="47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98" t="s">
        <v>3437</v>
      </c>
    </row>
    <row r="381" spans="1:10" ht="28.9" customHeight="1" thickTop="1" thickBot="1" x14ac:dyDescent="0.65">
      <c r="A381" s="3">
        <v>379</v>
      </c>
      <c r="B381" s="44" t="str">
        <f>HYPERLINK("https://search.naver.com/search.naver?query=남쪽으로 튀어 영화", "남쪽으로 튀어")</f>
        <v>남쪽으로 튀어</v>
      </c>
      <c r="C381" s="45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97" t="s">
        <v>3439</v>
      </c>
    </row>
    <row r="382" spans="1:10" ht="28.9" customHeight="1" thickTop="1" thickBot="1" x14ac:dyDescent="0.65">
      <c r="A382" s="5">
        <v>380</v>
      </c>
      <c r="B382" s="46" t="str">
        <f>HYPERLINK("https://search.naver.com/search.naver?query=남한산성 영화", "남한산성")</f>
        <v>남한산성</v>
      </c>
      <c r="C382" s="47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98" t="s">
        <v>3443</v>
      </c>
    </row>
    <row r="383" spans="1:10" ht="28.9" customHeight="1" thickTop="1" thickBot="1" x14ac:dyDescent="0.65">
      <c r="A383" s="3">
        <v>381</v>
      </c>
      <c r="B383" s="44" t="str">
        <f>HYPERLINK("https://search.naver.com/search.naver?query=낫 세이프 포 워크 영화", "낫 세이프 포 워크")</f>
        <v>낫 세이프 포 워크</v>
      </c>
      <c r="C383" s="45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97" t="s">
        <v>3437</v>
      </c>
    </row>
    <row r="384" spans="1:10" ht="28.9" customHeight="1" thickTop="1" thickBot="1" x14ac:dyDescent="0.65">
      <c r="A384" s="5">
        <v>382</v>
      </c>
      <c r="B384" s="46" t="str">
        <f>HYPERLINK("https://search.naver.com/search.naver?query=낮비 영화", "낮비")</f>
        <v>낮비</v>
      </c>
      <c r="C384" s="47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98" t="s">
        <v>3441</v>
      </c>
    </row>
    <row r="385" spans="1:10" ht="28.9" customHeight="1" thickTop="1" thickBot="1" x14ac:dyDescent="0.65">
      <c r="A385" s="7">
        <v>383</v>
      </c>
      <c r="B385" s="48" t="str">
        <f>HYPERLINK("https://search.naver.com/search.naver?query=낯선 별자리 드라마", "낯선 별자리 시즌1")</f>
        <v>낯선 별자리 시즌1</v>
      </c>
      <c r="C385" s="49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99" t="s">
        <v>3448</v>
      </c>
    </row>
    <row r="386" spans="1:10" ht="28.9" customHeight="1" thickTop="1" thickBot="1" x14ac:dyDescent="0.65">
      <c r="A386" s="5">
        <v>384</v>
      </c>
      <c r="B386" s="46" t="str">
        <f>HYPERLINK("https://search.naver.com/search.naver?query=내 남자의 아내도 좋아 영화", "내 남자의 아내도 좋아")</f>
        <v>내 남자의 아내도 좋아</v>
      </c>
      <c r="C386" s="47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98" t="s">
        <v>3453</v>
      </c>
    </row>
    <row r="387" spans="1:10" ht="28.9" customHeight="1" thickTop="1" thickBot="1" x14ac:dyDescent="0.65">
      <c r="A387" s="3">
        <v>385</v>
      </c>
      <c r="B387" s="44" t="str">
        <f>HYPERLINK("https://search.naver.com/search.naver?query=내 머리 속의 지우개 영화", "내 머리 속의 지우개")</f>
        <v>내 머리 속의 지우개</v>
      </c>
      <c r="C387" s="45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97" t="s">
        <v>3462</v>
      </c>
    </row>
    <row r="388" spans="1:10" ht="28.9" customHeight="1" thickTop="1" thickBot="1" x14ac:dyDescent="0.65">
      <c r="A388" s="5">
        <v>386</v>
      </c>
      <c r="B388" s="46" t="str">
        <f>HYPERLINK("https://search.naver.com/search.naver?query=내 사랑 영화", "내 사랑")</f>
        <v>내 사랑</v>
      </c>
      <c r="C388" s="47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98" t="s">
        <v>3441</v>
      </c>
    </row>
    <row r="389" spans="1:10" ht="28.9" customHeight="1" thickTop="1" thickBot="1" x14ac:dyDescent="0.65">
      <c r="A389" s="3">
        <v>387</v>
      </c>
      <c r="B389" s="44" t="str">
        <f>HYPERLINK("https://search.naver.com/search.naver?query=내 사랑 내 곁에 영화", "내 사랑 내 곁에")</f>
        <v>내 사랑 내 곁에</v>
      </c>
      <c r="C389" s="45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97" t="s">
        <v>3453</v>
      </c>
    </row>
    <row r="390" spans="1:10" ht="28.9" customHeight="1" thickTop="1" thickBot="1" x14ac:dyDescent="0.65">
      <c r="A390" s="5">
        <v>388</v>
      </c>
      <c r="B390" s="46" t="str">
        <f>HYPERLINK("https://search.naver.com/search.naver?query=내 생애 가장 아름다운 일주일 영화", "내 생애 가장 아름다운 일주일")</f>
        <v>내 생애 가장 아름다운 일주일</v>
      </c>
      <c r="C390" s="47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98" t="s">
        <v>3461</v>
      </c>
    </row>
    <row r="391" spans="1:10" ht="28.9" customHeight="1" thickTop="1" thickBot="1" x14ac:dyDescent="0.65">
      <c r="A391" s="3">
        <v>389</v>
      </c>
      <c r="B391" s="44" t="str">
        <f>HYPERLINK("https://search.naver.com/search.naver?query=내 아내의 모든 것 영화", "내 아내의 모든 것")</f>
        <v>내 아내의 모든 것</v>
      </c>
      <c r="C391" s="45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97" t="s">
        <v>3439</v>
      </c>
    </row>
    <row r="392" spans="1:10" ht="28.9" customHeight="1" thickTop="1" thickBot="1" x14ac:dyDescent="0.65">
      <c r="A392" s="5">
        <v>390</v>
      </c>
      <c r="B392" s="46" t="str">
        <f>HYPERLINK("https://search.naver.com/search.naver?query=내 아내의 행복한 장례식 영화", "내 아내의 행복한 장례식")</f>
        <v>내 아내의 행복한 장례식</v>
      </c>
      <c r="C392" s="47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98" t="s">
        <v>3439</v>
      </c>
    </row>
    <row r="393" spans="1:10" ht="28.9" customHeight="1" thickTop="1" thickBot="1" x14ac:dyDescent="0.65">
      <c r="A393" s="3">
        <v>391</v>
      </c>
      <c r="B393" s="44" t="str">
        <f>HYPERLINK("https://search.naver.com/search.naver?query=내 어깨 위 고양이 밥 2 영화", "내 어깨 위 고양이 밥 2")</f>
        <v>내 어깨 위 고양이 밥 2</v>
      </c>
      <c r="C393" s="45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97" t="s">
        <v>3436</v>
      </c>
    </row>
    <row r="394" spans="1:10" ht="28.9" customHeight="1" thickTop="1" thickBot="1" x14ac:dyDescent="0.65">
      <c r="A394" s="5">
        <v>392</v>
      </c>
      <c r="B394" s="46" t="str">
        <f>HYPERLINK("https://search.naver.com/search.naver?query=내 어깨 위 고양이, 밥 영화", "내 어깨 위 고양이, 밥")</f>
        <v>내 어깨 위 고양이, 밥</v>
      </c>
      <c r="C394" s="47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98" t="s">
        <v>3441</v>
      </c>
    </row>
    <row r="395" spans="1:10" ht="28.9" customHeight="1" thickTop="1" thickBot="1" x14ac:dyDescent="0.65">
      <c r="A395" s="3">
        <v>393</v>
      </c>
      <c r="B395" s="44" t="str">
        <f>HYPERLINK("https://search.naver.com/search.naver?query=내 어머니의 인생 영화", "내 어머니의 인생")</f>
        <v>내 어머니의 인생</v>
      </c>
      <c r="C395" s="45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97" t="s">
        <v>3454</v>
      </c>
    </row>
    <row r="396" spans="1:10" ht="28.9" customHeight="1" thickTop="1" thickBot="1" x14ac:dyDescent="0.65">
      <c r="A396" s="5">
        <v>394</v>
      </c>
      <c r="B396" s="46" t="str">
        <f>HYPERLINK("https://search.naver.com/search.naver?query=내 이름은 칸 영화", "내 이름은 칸")</f>
        <v>내 이름은 칸</v>
      </c>
      <c r="C396" s="47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98" t="s">
        <v>3455</v>
      </c>
    </row>
    <row r="397" spans="1:10" ht="28.9" customHeight="1" thickTop="1" thickBot="1" x14ac:dyDescent="0.65">
      <c r="A397" s="3">
        <v>395</v>
      </c>
      <c r="B397" s="44" t="str">
        <f>HYPERLINK("https://search.naver.com/search.naver?query=내 이야기 영화", "내 이야기")</f>
        <v>내 이야기</v>
      </c>
      <c r="C397" s="45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97" t="s">
        <v>3442</v>
      </c>
    </row>
    <row r="398" spans="1:10" ht="28.9" customHeight="1" thickTop="1" thickBot="1" x14ac:dyDescent="0.65">
      <c r="A398" s="5">
        <v>396</v>
      </c>
      <c r="B398" s="46" t="str">
        <f>HYPERLINK("https://search.naver.com/search.naver?query=내 인생의 마지막 변화구 영화", "내 인생의 마지막 변화구")</f>
        <v>내 인생의 마지막 변화구</v>
      </c>
      <c r="C398" s="47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98" t="s">
        <v>3439</v>
      </c>
    </row>
    <row r="399" spans="1:10" ht="28.9" customHeight="1" thickTop="1" thickBot="1" x14ac:dyDescent="0.65">
      <c r="A399" s="3">
        <v>397</v>
      </c>
      <c r="B399" s="44" t="str">
        <f>HYPERLINK("https://search.naver.com/search.naver?query=내 첫사랑을 너에게 바친다 영화", "내 첫사랑을 너에게 바친다")</f>
        <v>내 첫사랑을 너에게 바친다</v>
      </c>
      <c r="C399" s="45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97" t="s">
        <v>3453</v>
      </c>
    </row>
    <row r="400" spans="1:10" ht="28.9" customHeight="1" thickTop="1" thickBot="1" x14ac:dyDescent="0.65">
      <c r="A400" s="5">
        <v>398</v>
      </c>
      <c r="B400" s="46" t="str">
        <f>HYPERLINK("https://search.naver.com/search.naver?query=내가 고백을 하면 영화", "내가 고백을 하면")</f>
        <v>내가 고백을 하면</v>
      </c>
      <c r="C400" s="47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98" t="s">
        <v>3439</v>
      </c>
    </row>
    <row r="401" spans="1:10" ht="28.9" customHeight="1" thickTop="1" thickBot="1" x14ac:dyDescent="0.65">
      <c r="A401" s="3">
        <v>399</v>
      </c>
      <c r="B401" s="44" t="str">
        <f>HYPERLINK("https://search.naver.com/search.naver?query=내가 사는 피부 영화", "내가 사는 피부")</f>
        <v>내가 사는 피부</v>
      </c>
      <c r="C401" s="45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97" t="s">
        <v>3454</v>
      </c>
    </row>
    <row r="402" spans="1:10" ht="28.9" customHeight="1" thickTop="1" thickBot="1" x14ac:dyDescent="0.65">
      <c r="A402" s="5">
        <v>400</v>
      </c>
      <c r="B402" s="46" t="str">
        <f>HYPERLINK("https://search.naver.com/search.naver?query=내가 살인범이다 영화", "내가 살인범이다")</f>
        <v>내가 살인범이다</v>
      </c>
      <c r="C402" s="47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98" t="s">
        <v>3439</v>
      </c>
    </row>
    <row r="403" spans="1:10" ht="28.9" customHeight="1" thickTop="1" thickBot="1" x14ac:dyDescent="0.65">
      <c r="A403" s="3">
        <v>401</v>
      </c>
      <c r="B403" s="44" t="str">
        <f>HYPERLINK("https://search.naver.com/search.naver?query=내가 잠들기 전에 영화", "내가 잠들기 전에")</f>
        <v>내가 잠들기 전에</v>
      </c>
      <c r="C403" s="45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97" t="s">
        <v>3437</v>
      </c>
    </row>
    <row r="404" spans="1:10" ht="28.9" customHeight="1" thickTop="1" thickBot="1" x14ac:dyDescent="0.65">
      <c r="A404" s="5">
        <v>402</v>
      </c>
      <c r="B404" s="46" t="str">
        <f>HYPERLINK("https://search.naver.com/search.naver?query=내가 죽기를 바라는 자들 영화", "내가 죽기를 바라는 자들")</f>
        <v>내가 죽기를 바라는 자들</v>
      </c>
      <c r="C404" s="47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98" t="s">
        <v>3438</v>
      </c>
    </row>
    <row r="405" spans="1:10" ht="28.9" customHeight="1" thickTop="1" thickBot="1" x14ac:dyDescent="0.65">
      <c r="A405" s="3">
        <v>403</v>
      </c>
      <c r="B405" s="44" t="str">
        <f>HYPERLINK("https://search.naver.com/search.naver?query=내가 죽던 날 영화", "내가 죽던 날")</f>
        <v>내가 죽던 날</v>
      </c>
      <c r="C405" s="45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97" t="s">
        <v>3436</v>
      </c>
    </row>
    <row r="406" spans="1:10" ht="28.9" customHeight="1" thickTop="1" thickBot="1" x14ac:dyDescent="0.65">
      <c r="A406" s="5">
        <v>404</v>
      </c>
      <c r="B406" s="46" t="str">
        <f>HYPERLINK("https://search.naver.com/search.naver?query=내게 남은 사랑을 영화", "내게 남은 사랑을")</f>
        <v>내게 남은 사랑을</v>
      </c>
      <c r="C406" s="47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98" t="s">
        <v>3443</v>
      </c>
    </row>
    <row r="407" spans="1:10" ht="28.9" customHeight="1" thickTop="1" thickBot="1" x14ac:dyDescent="0.65">
      <c r="A407" s="3">
        <v>405</v>
      </c>
      <c r="B407" s="44" t="str">
        <f>HYPERLINK("https://search.naver.com/search.naver?query=내니 다이어리 영화", "내니 다이어리")</f>
        <v>내니 다이어리</v>
      </c>
      <c r="C407" s="45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97" t="s">
        <v>3447</v>
      </c>
    </row>
    <row r="408" spans="1:10" ht="28.9" customHeight="1" thickTop="1" thickBot="1" x14ac:dyDescent="0.65">
      <c r="A408" s="5">
        <v>406</v>
      </c>
      <c r="B408" s="46" t="str">
        <f>HYPERLINK("https://search.naver.com/search.naver?query=내부고발자:도시영웅 영화", "내부고발자-도시영웅")</f>
        <v>내부고발자-도시영웅</v>
      </c>
      <c r="C408" s="47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98" t="s">
        <v>3444</v>
      </c>
    </row>
    <row r="409" spans="1:10" ht="28.9" customHeight="1" thickTop="1" thickBot="1" x14ac:dyDescent="0.65">
      <c r="A409" s="3">
        <v>407</v>
      </c>
      <c r="B409" s="44" t="str">
        <f>HYPERLINK("https://search.naver.com/search.naver?query=내부자들 영화", "내부자들")</f>
        <v>내부자들</v>
      </c>
      <c r="C409" s="45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97" t="s">
        <v>3440</v>
      </c>
    </row>
    <row r="410" spans="1:10" ht="28.9" customHeight="1" thickTop="1" thickBot="1" x14ac:dyDescent="0.65">
      <c r="A410" s="7">
        <v>408</v>
      </c>
      <c r="B410" s="48" t="str">
        <f>HYPERLINK("https://search.naver.com/search.naver?query=내셔널 트레져:숨겨진 이야기", "내셔널 트레져: 숨겨진 이야기")</f>
        <v>내셔널 트레져: 숨겨진 이야기</v>
      </c>
      <c r="C410" s="49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99" t="s">
        <v>3445</v>
      </c>
    </row>
    <row r="411" spans="1:10" ht="28.9" customHeight="1" thickTop="1" thickBot="1" x14ac:dyDescent="0.65">
      <c r="A411" s="3">
        <v>409</v>
      </c>
      <c r="B411" s="44" t="str">
        <f>HYPERLINK("https://search.naver.com/search.naver?query=내안의 그놈 영화", "내안의 그놈")</f>
        <v>내안의 그놈</v>
      </c>
      <c r="C411" s="45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97" t="s">
        <v>3442</v>
      </c>
    </row>
    <row r="412" spans="1:10" ht="28.9" customHeight="1" thickTop="1" thickBot="1" x14ac:dyDescent="0.65">
      <c r="A412" s="5">
        <v>410</v>
      </c>
      <c r="B412" s="46" t="str">
        <f>HYPERLINK("https://search.naver.com/search.naver?query=내일을 위한 시간 영화", "내일을 위한 시간")</f>
        <v>내일을 위한 시간</v>
      </c>
      <c r="C412" s="47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98" t="s">
        <v>3437</v>
      </c>
    </row>
    <row r="413" spans="1:10" ht="28.9" customHeight="1" thickTop="1" thickBot="1" x14ac:dyDescent="0.65">
      <c r="A413" s="3">
        <v>411</v>
      </c>
      <c r="B413" s="44" t="str">
        <f>HYPERLINK("https://search.naver.com/search.naver?query=내일의 기억 영화", "내일의 기억")</f>
        <v>내일의 기억</v>
      </c>
      <c r="C413" s="45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97" t="s">
        <v>3438</v>
      </c>
    </row>
    <row r="414" spans="1:10" ht="28.9" customHeight="1" thickTop="1" thickBot="1" x14ac:dyDescent="0.65">
      <c r="A414" s="5">
        <v>412</v>
      </c>
      <c r="B414" s="46" t="str">
        <f>HYPERLINK("https://search.naver.com/search.naver?query=일본영화 내일의 기억", "내일의 기억")</f>
        <v>내일의 기억</v>
      </c>
      <c r="C414" s="47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98" t="s">
        <v>3460</v>
      </c>
    </row>
    <row r="415" spans="1:10" ht="28.9" customHeight="1" thickTop="1" thickBot="1" x14ac:dyDescent="0.65">
      <c r="A415" s="3">
        <v>413</v>
      </c>
      <c r="B415" s="44" t="str">
        <f>HYPERLINK("https://search.naver.com/search.naver?query=냉정과 열정 사이 영화", "냉정과 열정 사이")</f>
        <v>냉정과 열정 사이</v>
      </c>
      <c r="C415" s="45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97" t="s">
        <v>3449</v>
      </c>
    </row>
    <row r="416" spans="1:10" ht="28.9" customHeight="1" thickTop="1" thickBot="1" x14ac:dyDescent="0.65">
      <c r="A416" s="5">
        <v>414</v>
      </c>
      <c r="B416" s="46" t="str">
        <f>HYPERLINK("https://search.naver.com/search.naver?query=너는 내 운명 영화", "너는 내 운명")</f>
        <v>너는 내 운명</v>
      </c>
      <c r="C416" s="47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98" t="s">
        <v>3461</v>
      </c>
    </row>
    <row r="417" spans="1:10" ht="28.9" customHeight="1" thickTop="1" thickBot="1" x14ac:dyDescent="0.65">
      <c r="A417" s="3">
        <v>415</v>
      </c>
      <c r="B417" s="44" t="str">
        <f>HYPERLINK("https://search.naver.com/search.naver?query=너는 착한 아이 영화", "너는 착한 아이")</f>
        <v>너는 착한 아이</v>
      </c>
      <c r="C417" s="45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97" t="s">
        <v>3441</v>
      </c>
    </row>
    <row r="418" spans="1:10" ht="28.9" customHeight="1" thickTop="1" thickBot="1" x14ac:dyDescent="0.65">
      <c r="A418" s="5">
        <v>416</v>
      </c>
      <c r="B418" s="46" t="str">
        <f>HYPERLINK("https://search.naver.com/search.naver?query=너의 결혼식 영화", "너의 결혼식")</f>
        <v>너의 결혼식</v>
      </c>
      <c r="C418" s="47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98" t="s">
        <v>3442</v>
      </c>
    </row>
    <row r="419" spans="1:10" ht="28.9" customHeight="1" thickTop="1" thickBot="1" x14ac:dyDescent="0.65">
      <c r="A419" s="3">
        <v>417</v>
      </c>
      <c r="B419" s="44" t="str">
        <f>HYPERLINK("https://search.naver.com/search.naver?query=너의 췌장을 먹고 싶어 영화", "너의 췌장을 먹고 싶어")</f>
        <v>너의 췌장을 먹고 싶어</v>
      </c>
      <c r="C419" s="45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97" t="s">
        <v>3443</v>
      </c>
    </row>
    <row r="420" spans="1:10" ht="28.9" customHeight="1" thickTop="1" thickBot="1" x14ac:dyDescent="0.65">
      <c r="A420" s="5">
        <v>418</v>
      </c>
      <c r="B420" s="46" t="str">
        <f>HYPERLINK("https://search.naver.com/search.naver?query=넌 실수였어 영화", "넌 실수였어")</f>
        <v>넌 실수였어</v>
      </c>
      <c r="C420" s="47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98" t="s">
        <v>3436</v>
      </c>
    </row>
    <row r="421" spans="1:10" ht="28.9" customHeight="1" thickTop="1" thickBot="1" x14ac:dyDescent="0.65">
      <c r="A421" s="3">
        <v>419</v>
      </c>
      <c r="B421" s="44" t="str">
        <f>HYPERLINK("https://search.naver.com/search.naver?query=널 기다리며 영화", "널 기다리며")</f>
        <v>널 기다리며</v>
      </c>
      <c r="C421" s="45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97" t="s">
        <v>3440</v>
      </c>
    </row>
    <row r="422" spans="1:10" ht="28.9" customHeight="1" thickTop="1" thickBot="1" x14ac:dyDescent="0.65">
      <c r="A422" s="5">
        <v>420</v>
      </c>
      <c r="B422" s="46" t="str">
        <f>HYPERLINK("https://search.naver.com/search.naver?query=넘버스 스테이션 영화", "넘버스 스테이션")</f>
        <v>넘버스 스테이션</v>
      </c>
      <c r="C422" s="47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98" t="s">
        <v>3451</v>
      </c>
    </row>
    <row r="423" spans="1:10" ht="28.9" customHeight="1" thickTop="1" thickBot="1" x14ac:dyDescent="0.65">
      <c r="A423" s="3">
        <v>421</v>
      </c>
      <c r="B423" s="44" t="str">
        <f>HYPERLINK("https://search.naver.com/search.naver?query=네버 렛미고 영화", "네버 렛미고")</f>
        <v>네버 렛미고</v>
      </c>
      <c r="C423" s="45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97" t="s">
        <v>3455</v>
      </c>
    </row>
    <row r="424" spans="1:10" ht="28.9" customHeight="1" thickTop="1" thickBot="1" x14ac:dyDescent="0.65">
      <c r="A424" s="5">
        <v>422</v>
      </c>
      <c r="B424" s="46" t="str">
        <f>HYPERLINK("https://search.naver.com/search.naver?query=네버엔딩 스토리 영화", "네버엔딩 스토리")</f>
        <v>네버엔딩 스토리</v>
      </c>
      <c r="C424" s="47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98" t="s">
        <v>3439</v>
      </c>
    </row>
    <row r="425" spans="1:10" ht="28.9" customHeight="1" thickTop="1" thickBot="1" x14ac:dyDescent="0.65">
      <c r="A425" s="3">
        <v>423</v>
      </c>
      <c r="B425" s="44" t="str">
        <f>HYPERLINK("https://search.naver.com/search.naver?query=네코 아츠메의 집 영화", "네코 아츠메의 집")</f>
        <v>네코 아츠메의 집</v>
      </c>
      <c r="C425" s="45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97" t="s">
        <v>3443</v>
      </c>
    </row>
    <row r="426" spans="1:10" ht="28.9" customHeight="1" thickTop="1" thickBot="1" x14ac:dyDescent="0.65">
      <c r="A426" s="5">
        <v>424</v>
      </c>
      <c r="B426" s="46" t="str">
        <f>HYPERLINK("https://search.naver.com/search.naver?query=넬 영화", "넬")</f>
        <v>넬</v>
      </c>
      <c r="C426" s="47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98" t="s">
        <v>3467</v>
      </c>
    </row>
    <row r="427" spans="1:10" ht="28.9" customHeight="1" thickTop="1" thickBot="1" x14ac:dyDescent="0.65">
      <c r="A427" s="3">
        <v>425</v>
      </c>
      <c r="B427" s="44" t="str">
        <f>HYPERLINK("https://search.naver.com/search.naver?query=노 리미트 영화", "노 리미트")</f>
        <v>노 리미트</v>
      </c>
      <c r="C427" s="45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97" t="s">
        <v>3445</v>
      </c>
    </row>
    <row r="428" spans="1:10" ht="28.9" customHeight="1" thickTop="1" thickBot="1" x14ac:dyDescent="0.65">
      <c r="A428" s="5">
        <v>426</v>
      </c>
      <c r="B428" s="46" t="str">
        <f>HYPERLINK("https://search.naver.com/search.naver?query=노 머시 영화", "노 머시")</f>
        <v>노 머시</v>
      </c>
      <c r="C428" s="47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98">
        <v>46077</v>
      </c>
    </row>
    <row r="429" spans="1:10" ht="28.9" customHeight="1" thickTop="1" thickBot="1" x14ac:dyDescent="0.65">
      <c r="A429" s="7">
        <v>427</v>
      </c>
      <c r="B429" s="48" t="str">
        <f>HYPERLINK("https://search.naver.com/search.naver?query=노 웨이 아웃:더 룰렛", "노 웨이 아웃-더 룰렛")</f>
        <v>노 웨이 아웃-더 룰렛</v>
      </c>
      <c r="C429" s="49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99" t="s">
        <v>3448</v>
      </c>
    </row>
    <row r="430" spans="1:10" ht="28.9" customHeight="1" thickTop="1" thickBot="1" x14ac:dyDescent="0.65">
      <c r="A430" s="5">
        <v>428</v>
      </c>
      <c r="B430" s="46" t="str">
        <f>HYPERLINK("https://search.naver.com/search.naver?query=노란 손수건 영화", "노란 손수건")</f>
        <v>노란 손수건</v>
      </c>
      <c r="C430" s="47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98" t="s">
        <v>3450</v>
      </c>
    </row>
    <row r="431" spans="1:10" ht="28.9" customHeight="1" thickTop="1" thickBot="1" x14ac:dyDescent="0.65">
      <c r="A431" s="3">
        <v>429</v>
      </c>
      <c r="B431" s="44" t="str">
        <f>HYPERLINK("https://search.naver.com/search.naver?query=노량:죽음의 바다 영화", "노량-죽음의 바다")</f>
        <v>노량-죽음의 바다</v>
      </c>
      <c r="C431" s="45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97" t="s">
        <v>3446</v>
      </c>
    </row>
    <row r="432" spans="1:10" ht="28.9" customHeight="1" thickTop="1" thickBot="1" x14ac:dyDescent="0.65">
      <c r="A432" s="5">
        <v>430</v>
      </c>
      <c r="B432" s="46" t="str">
        <f>HYPERLINK("https://search.naver.com/search.naver?query=노매드랜드 영화", "노매드랜드")</f>
        <v>노매드랜드</v>
      </c>
      <c r="C432" s="47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98" t="s">
        <v>3436</v>
      </c>
    </row>
    <row r="433" spans="1:10" ht="28.9" customHeight="1" thickTop="1" thickBot="1" x14ac:dyDescent="0.65">
      <c r="A433" s="3">
        <v>431</v>
      </c>
      <c r="B433" s="44" t="str">
        <f>HYPERLINK("https://search.naver.com/search.naver?query=노바디 영화", "노바디")</f>
        <v>노바디</v>
      </c>
      <c r="C433" s="45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97" t="s">
        <v>3438</v>
      </c>
    </row>
    <row r="434" spans="1:10" ht="28.9" customHeight="1" thickTop="1" thickBot="1" x14ac:dyDescent="0.65">
      <c r="A434" s="5">
        <v>432</v>
      </c>
      <c r="B434" s="46" t="str">
        <f>HYPERLINK("https://search.naver.com/search.naver?query=노바디2 영화", "노바디2")</f>
        <v>노바디2</v>
      </c>
      <c r="C434" s="47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98" t="s">
        <v>3459</v>
      </c>
    </row>
    <row r="435" spans="1:10" ht="28.9" customHeight="1" thickTop="1" thickBot="1" x14ac:dyDescent="0.65">
      <c r="A435" s="3">
        <v>433</v>
      </c>
      <c r="B435" s="44" t="str">
        <f>HYPERLINK("https://search.naver.com/search.naver?query=노벨스 라스트 윌 영화", "노벨스 라스트 윌")</f>
        <v>노벨스 라스트 윌</v>
      </c>
      <c r="C435" s="45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97" t="s">
        <v>3439</v>
      </c>
    </row>
    <row r="436" spans="1:10" ht="28.9" customHeight="1" thickTop="1" thickBot="1" x14ac:dyDescent="0.65">
      <c r="A436" s="5">
        <v>434</v>
      </c>
      <c r="B436" s="46" t="str">
        <f>HYPERLINK("https://search.naver.com/search.naver?query=노벰버 맨 영화", "노벰버 맨")</f>
        <v>노벰버 맨</v>
      </c>
      <c r="C436" s="47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98" t="s">
        <v>3437</v>
      </c>
    </row>
    <row r="437" spans="1:10" ht="28.9" customHeight="1" thickTop="1" thickBot="1" x14ac:dyDescent="0.65">
      <c r="A437" s="3">
        <v>435</v>
      </c>
      <c r="B437" s="44" t="str">
        <f>HYPERLINK("https://search.naver.com/search.naver?query=노블 영화", "노블")</f>
        <v>노블</v>
      </c>
      <c r="C437" s="45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97" t="s">
        <v>3437</v>
      </c>
    </row>
    <row r="438" spans="1:10" ht="28.9" customHeight="1" thickTop="1" thickBot="1" x14ac:dyDescent="0.65">
      <c r="A438" s="5">
        <v>436</v>
      </c>
      <c r="B438" s="46" t="str">
        <f>HYPERLINK("https://search.naver.com/search.naver?query=노블리 영화", "노블리")</f>
        <v>노블리</v>
      </c>
      <c r="C438" s="47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98" t="s">
        <v>3458</v>
      </c>
    </row>
    <row r="439" spans="1:10" ht="28.9" customHeight="1" thickTop="1" thickBot="1" x14ac:dyDescent="0.65">
      <c r="A439" s="3">
        <v>437</v>
      </c>
      <c r="B439" s="44" t="str">
        <f>HYPERLINK("https://search.naver.com/search.naver?query=노스 컨츄리 영화", "노스 컨츄리")</f>
        <v>노스 컨츄리</v>
      </c>
      <c r="C439" s="45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97" t="s">
        <v>3461</v>
      </c>
    </row>
    <row r="440" spans="1:10" ht="28.9" customHeight="1" thickTop="1" thickBot="1" x14ac:dyDescent="0.65">
      <c r="A440" s="5">
        <v>438</v>
      </c>
      <c r="B440" s="46" t="str">
        <f>HYPERLINK("https://search.naver.com/search.naver?query=노스맨 영화", "노스맨")</f>
        <v>노스맨</v>
      </c>
      <c r="C440" s="47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98" t="s">
        <v>3445</v>
      </c>
    </row>
    <row r="441" spans="1:10" ht="28.9" customHeight="1" thickTop="1" thickBot="1" x14ac:dyDescent="0.65">
      <c r="A441" s="3">
        <v>439</v>
      </c>
      <c r="B441" s="44" t="str">
        <f>HYPERLINK("https://search.naver.com/search.naver?query=노스페이스 영화", "노스페이스")</f>
        <v>노스페이스</v>
      </c>
      <c r="C441" s="45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97" t="s">
        <v>3450</v>
      </c>
    </row>
    <row r="442" spans="1:10" ht="28.9" customHeight="1" thickTop="1" thickBot="1" x14ac:dyDescent="0.65">
      <c r="A442" s="5">
        <v>440</v>
      </c>
      <c r="B442" s="46" t="str">
        <f>HYPERLINK("https://search.naver.com/search.naver?query=노아 영화", "노아")</f>
        <v>노아</v>
      </c>
      <c r="C442" s="47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98" t="s">
        <v>3437</v>
      </c>
    </row>
    <row r="443" spans="1:10" ht="28.9" customHeight="1" thickTop="1" thickBot="1" x14ac:dyDescent="0.65">
      <c r="A443" s="3">
        <v>441</v>
      </c>
      <c r="B443" s="44" t="str">
        <f>HYPERLINK("https://search.naver.com/search.naver?query=노엘의 선물 영화", "노엘의 선물")</f>
        <v>노엘의 선물</v>
      </c>
      <c r="C443" s="45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97" t="s">
        <v>3440</v>
      </c>
    </row>
    <row r="444" spans="1:10" ht="28.9" customHeight="1" thickTop="1" thickBot="1" x14ac:dyDescent="0.65">
      <c r="A444" s="5">
        <v>442</v>
      </c>
      <c r="B444" s="46" t="str">
        <f>HYPERLINK("https://search.naver.com/search.naver?query=노예 12년 영화", "노예 12년")</f>
        <v>노예 12년</v>
      </c>
      <c r="C444" s="47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98" t="s">
        <v>3451</v>
      </c>
    </row>
    <row r="445" spans="1:10" ht="28.9" customHeight="1" thickTop="1" thickBot="1" x14ac:dyDescent="0.65">
      <c r="A445" s="3">
        <v>443</v>
      </c>
      <c r="B445" s="44" t="str">
        <f>HYPERLINK("https://search.naver.com/search.naver?query=노인을 위한 나라는 없다 영화", "노인을 위한 나라는 없다")</f>
        <v>노인을 위한 나라는 없다</v>
      </c>
      <c r="C445" s="45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97" t="s">
        <v>3447</v>
      </c>
    </row>
    <row r="446" spans="1:10" ht="28.9" customHeight="1" thickTop="1" thickBot="1" x14ac:dyDescent="0.65">
      <c r="A446" s="5">
        <v>444</v>
      </c>
      <c r="B446" s="46" t="str">
        <f>HYPERLINK("https://search.naver.com/search.naver?query=노크 노크 영화", "노크 노크")</f>
        <v>노크 노크</v>
      </c>
      <c r="C446" s="47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98" t="s">
        <v>3440</v>
      </c>
    </row>
    <row r="447" spans="1:10" ht="28.9" customHeight="1" thickTop="1" thickBot="1" x14ac:dyDescent="0.65">
      <c r="A447" s="3">
        <v>445</v>
      </c>
      <c r="B447" s="44" t="str">
        <f>HYPERLINK("https://search.naver.com/search.naver?query=노킹 온 헤븐스 도어 영화", "노킹 온 헤븐스 도어")</f>
        <v>노킹 온 헤븐스 도어</v>
      </c>
      <c r="C447" s="45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97" t="s">
        <v>3470</v>
      </c>
    </row>
    <row r="448" spans="1:10" ht="28.9" customHeight="1" thickTop="1" thickBot="1" x14ac:dyDescent="0.65">
      <c r="A448" s="5">
        <v>446</v>
      </c>
      <c r="B448" s="46" t="str">
        <f>HYPERLINK("https://search.naver.com/search.naver?query=노트 온 스캔들 영화", "노트 온 스캔들")</f>
        <v>노트 온 스캔들</v>
      </c>
      <c r="C448" s="47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98" t="s">
        <v>3460</v>
      </c>
    </row>
    <row r="449" spans="1:10" ht="28.9" customHeight="1" thickTop="1" thickBot="1" x14ac:dyDescent="0.65">
      <c r="A449" s="3">
        <v>447</v>
      </c>
      <c r="B449" s="44" t="str">
        <f>HYPERLINK("https://search.naver.com/search.naver?query=노트북 영화", "노트북")</f>
        <v>노트북</v>
      </c>
      <c r="C449" s="45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97" t="s">
        <v>3462</v>
      </c>
    </row>
    <row r="450" spans="1:10" ht="28.9" customHeight="1" thickTop="1" thickBot="1" x14ac:dyDescent="0.65">
      <c r="A450" s="5">
        <v>448</v>
      </c>
      <c r="B450" s="46" t="str">
        <f>HYPERLINK("https://search.naver.com/search.naver?query=노팅 힐 영화", "노팅 힐")</f>
        <v>노팅 힐</v>
      </c>
      <c r="C450" s="47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98" t="s">
        <v>3456</v>
      </c>
    </row>
    <row r="451" spans="1:10" ht="28.9" customHeight="1" thickTop="1" thickBot="1" x14ac:dyDescent="0.65">
      <c r="A451" s="3">
        <v>449</v>
      </c>
      <c r="B451" s="44" t="str">
        <f>HYPERLINK("https://search.naver.com/search.naver?query=녹터널 애니멀스 영화", "녹터널 애니멀스")</f>
        <v>녹터널 애니멀스</v>
      </c>
      <c r="C451" s="45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97" t="s">
        <v>3441</v>
      </c>
    </row>
    <row r="452" spans="1:10" ht="28.9" customHeight="1" thickTop="1" thickBot="1" x14ac:dyDescent="0.65">
      <c r="A452" s="5">
        <v>450</v>
      </c>
      <c r="B452" s="46" t="str">
        <f>HYPERLINK("https://search.naver.com/search.naver?query=논스톱 영화", "논스톱")</f>
        <v>논스톱</v>
      </c>
      <c r="C452" s="47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98" t="s">
        <v>3437</v>
      </c>
    </row>
    <row r="453" spans="1:10" ht="28.9" customHeight="1" thickTop="1" thickBot="1" x14ac:dyDescent="0.65">
      <c r="A453" s="3">
        <v>451</v>
      </c>
      <c r="B453" s="44" t="str">
        <f>HYPERLINK("https://search.naver.com/search.naver?query=논픽션 영화", "논픽션")</f>
        <v>논픽션</v>
      </c>
      <c r="C453" s="45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97" t="s">
        <v>3442</v>
      </c>
    </row>
    <row r="454" spans="1:10" ht="28.9" customHeight="1" thickTop="1" thickBot="1" x14ac:dyDescent="0.65">
      <c r="A454" s="5">
        <v>452</v>
      </c>
      <c r="B454" s="46" t="str">
        <f>HYPERLINK("https://search.naver.com/search.naver?query=뇌남 영화", "뇌남")</f>
        <v>뇌남</v>
      </c>
      <c r="C454" s="47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98" t="s">
        <v>3451</v>
      </c>
    </row>
    <row r="455" spans="1:10" ht="28.9" customHeight="1" thickTop="1" thickBot="1" x14ac:dyDescent="0.65">
      <c r="A455" s="3">
        <v>453</v>
      </c>
      <c r="B455" s="44" t="str">
        <f>HYPERLINK("https://search.naver.com/search.naver?query=누구나 아는 비밀 영화", "누구나 아는 비밀")</f>
        <v>누구나 아는 비밀</v>
      </c>
      <c r="C455" s="45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97" t="s">
        <v>3442</v>
      </c>
    </row>
    <row r="456" spans="1:10" ht="28.9" customHeight="1" thickTop="1" thickBot="1" x14ac:dyDescent="0.65">
      <c r="A456" s="5">
        <v>454</v>
      </c>
      <c r="B456" s="46" t="str">
        <f>HYPERLINK("https://search.naver.com/search.naver?query=누나 영화", "누나")</f>
        <v>누나</v>
      </c>
      <c r="C456" s="47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98" t="s">
        <v>3439</v>
      </c>
    </row>
    <row r="457" spans="1:10" ht="28.9" customHeight="1" thickTop="1" thickBot="1" x14ac:dyDescent="0.65">
      <c r="A457" s="3">
        <v>455</v>
      </c>
      <c r="B457" s="44" t="str">
        <f>HYPERLINK("https://search.naver.com/search.naver?query=누드 영화", "누드")</f>
        <v>누드</v>
      </c>
      <c r="C457" s="45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97" t="s">
        <v>3455</v>
      </c>
    </row>
    <row r="458" spans="1:10" ht="28.9" customHeight="1" thickTop="1" thickBot="1" x14ac:dyDescent="0.65">
      <c r="A458" s="5">
        <v>456</v>
      </c>
      <c r="B458" s="46" t="str">
        <f>HYPERLINK("https://search.naver.com/search.naver?query=누들 영화", "누들")</f>
        <v>누들</v>
      </c>
      <c r="C458" s="47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98" t="s">
        <v>3447</v>
      </c>
    </row>
    <row r="459" spans="1:10" ht="28.9" customHeight="1" thickTop="1" thickBot="1" x14ac:dyDescent="0.65">
      <c r="A459" s="3">
        <v>457</v>
      </c>
      <c r="B459" s="44" t="str">
        <f>HYPERLINK("https://search.naver.com/search.naver?query=영화누명", "누명")</f>
        <v>누명</v>
      </c>
      <c r="C459" s="45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97" t="s">
        <v>3441</v>
      </c>
    </row>
    <row r="460" spans="1:10" ht="28.9" customHeight="1" thickTop="1" thickBot="1" x14ac:dyDescent="0.65">
      <c r="A460" s="5">
        <v>458</v>
      </c>
      <c r="B460" s="46" t="str">
        <f>HYPERLINK("https://search.naver.com/search.naver?query=눈물이 주룩주룩 영화", "눈물이 주룩주룩")</f>
        <v>눈물이 주룩주룩</v>
      </c>
      <c r="C460" s="47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98" t="s">
        <v>3447</v>
      </c>
    </row>
    <row r="461" spans="1:10" ht="28.9" customHeight="1" thickTop="1" thickBot="1" x14ac:dyDescent="0.65">
      <c r="A461" s="3">
        <v>459</v>
      </c>
      <c r="B461" s="44" t="str">
        <f>HYPERLINK("https://search.naver.com/search.naver?query=눈부신 세상 끝에서, 너와 나 영화", "눈부신 세상 끝에서, 너와 나")</f>
        <v>눈부신 세상 끝에서, 너와 나</v>
      </c>
      <c r="C461" s="45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97" t="s">
        <v>3436</v>
      </c>
    </row>
    <row r="462" spans="1:10" ht="28.9" customHeight="1" thickTop="1" thickBot="1" x14ac:dyDescent="0.65">
      <c r="A462" s="5">
        <v>460</v>
      </c>
      <c r="B462" s="46" t="str">
        <f>HYPERLINK("https://search.naver.com/search.naver?query=눈에게 바라는 것 영화", "눈에게 바라는 것")</f>
        <v>눈에게 바라는 것</v>
      </c>
      <c r="C462" s="47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98" t="s">
        <v>3447</v>
      </c>
    </row>
    <row r="463" spans="1:10" ht="28.9" customHeight="1" thickTop="1" thickBot="1" x14ac:dyDescent="0.65">
      <c r="A463" s="7">
        <v>461</v>
      </c>
      <c r="B463" s="48" t="str">
        <f>HYPERLINK("https://search.naver.com/search.naver?query=뉴 암스테르담 시즌1", "뉴 암스테르담 시즌1")</f>
        <v>뉴 암스테르담 시즌1</v>
      </c>
      <c r="C463" s="49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99" t="s">
        <v>3442</v>
      </c>
    </row>
    <row r="464" spans="1:10" ht="28.9" customHeight="1" thickTop="1" thickBot="1" x14ac:dyDescent="0.65">
      <c r="A464" s="7">
        <v>462</v>
      </c>
      <c r="B464" s="48" t="str">
        <f>HYPERLINK("https://search.naver.com/search.naver?query=뉴 암스테르담 시즌2", "뉴 암스테르담 시즌2")</f>
        <v>뉴 암스테르담 시즌2</v>
      </c>
      <c r="C464" s="49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99" t="s">
        <v>3444</v>
      </c>
    </row>
    <row r="465" spans="1:10" ht="28.9" customHeight="1" thickTop="1" thickBot="1" x14ac:dyDescent="0.65">
      <c r="A465" s="7">
        <v>463</v>
      </c>
      <c r="B465" s="48" t="str">
        <f>HYPERLINK("https://search.naver.com/search.naver?query=뉴 암스테르담 시즌3", "뉴 암스테르담 시즌3")</f>
        <v>뉴 암스테르담 시즌3</v>
      </c>
      <c r="C465" s="49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99" t="s">
        <v>3438</v>
      </c>
    </row>
    <row r="466" spans="1:10" ht="28.9" customHeight="1" thickTop="1" thickBot="1" x14ac:dyDescent="0.65">
      <c r="A466" s="7">
        <v>464</v>
      </c>
      <c r="B466" s="48" t="str">
        <f>HYPERLINK("https://search.naver.com/search.naver?query=뉴 암스테르담 시즌4", "뉴 암스테르담 시즌4")</f>
        <v>뉴 암스테르담 시즌4</v>
      </c>
      <c r="C466" s="49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99" t="s">
        <v>3438</v>
      </c>
    </row>
    <row r="467" spans="1:10" ht="28.9" customHeight="1" thickTop="1" thickBot="1" x14ac:dyDescent="0.65">
      <c r="A467" s="7">
        <v>465</v>
      </c>
      <c r="B467" s="48" t="str">
        <f>HYPERLINK("https://search.naver.com/search.naver?query=뉴 암스테르담 시즌5", "뉴 암스테르담 시즌5")</f>
        <v>뉴 암스테르담 시즌5</v>
      </c>
      <c r="C467" s="49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99" t="s">
        <v>3445</v>
      </c>
    </row>
    <row r="468" spans="1:10" ht="28.9" customHeight="1" thickTop="1" thickBot="1" x14ac:dyDescent="0.65">
      <c r="A468" s="5">
        <v>466</v>
      </c>
      <c r="B468" s="46" t="str">
        <f>HYPERLINK("https://search.naver.com/search.naver?query=뉴니스 영화", "뉴니스")</f>
        <v>뉴니스</v>
      </c>
      <c r="C468" s="47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98" t="s">
        <v>3443</v>
      </c>
    </row>
    <row r="469" spans="1:10" ht="28.9" customHeight="1" thickTop="1" thickBot="1" x14ac:dyDescent="0.65">
      <c r="A469" s="3">
        <v>467</v>
      </c>
      <c r="B469" s="44" t="str">
        <f>HYPERLINK("https://search.naver.com/search.naver?query=뉴스 오브 더 월드 영화", "뉴스 오브 더 월드")</f>
        <v>뉴스 오브 더 월드</v>
      </c>
      <c r="C469" s="45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97" t="s">
        <v>3436</v>
      </c>
    </row>
    <row r="470" spans="1:10" ht="28.9" customHeight="1" thickTop="1" thickBot="1" x14ac:dyDescent="0.65">
      <c r="A470" s="7">
        <v>468</v>
      </c>
      <c r="B470" s="48" t="str">
        <f>HYPERLINK("https://search.naver.com/search.naver?query=뉴스룸 시즌1", "뉴스룸 시즌1")</f>
        <v>뉴스룸 시즌1</v>
      </c>
      <c r="C470" s="49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99" t="s">
        <v>3439</v>
      </c>
    </row>
    <row r="471" spans="1:10" ht="28.9" customHeight="1" thickTop="1" thickBot="1" x14ac:dyDescent="0.65">
      <c r="A471" s="3">
        <v>469</v>
      </c>
      <c r="B471" s="44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45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97" t="s">
        <v>3447</v>
      </c>
    </row>
    <row r="472" spans="1:10" ht="28.9" customHeight="1" thickTop="1" thickBot="1" x14ac:dyDescent="0.65">
      <c r="A472" s="5">
        <v>470</v>
      </c>
      <c r="B472" s="46" t="str">
        <f>HYPERLINK("https://search.naver.com/search.naver?query=뉴욕은 언제나 사랑 중 영화", "뉴욕은 언제나 사랑 중")</f>
        <v>뉴욕은 언제나 사랑 중</v>
      </c>
      <c r="C472" s="47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98" t="s">
        <v>3450</v>
      </c>
    </row>
    <row r="473" spans="1:10" ht="28.9" customHeight="1" thickTop="1" thickBot="1" x14ac:dyDescent="0.65">
      <c r="A473" s="3">
        <v>471</v>
      </c>
      <c r="B473" s="44" t="str">
        <f>HYPERLINK("https://search.naver.com/search.naver?query=뉴욕의 가을 영화", "뉴욕의 가을")</f>
        <v>뉴욕의 가을</v>
      </c>
      <c r="C473" s="45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97" t="s">
        <v>3458</v>
      </c>
    </row>
    <row r="474" spans="1:10" ht="28.9" customHeight="1" thickTop="1" thickBot="1" x14ac:dyDescent="0.65">
      <c r="A474" s="5">
        <v>472</v>
      </c>
      <c r="B474" s="46" t="str">
        <f>HYPERLINK("https://search.naver.com/search.naver?query=뉴욕의 연인들 영화", "뉴욕의 연인들")</f>
        <v>뉴욕의 연인들</v>
      </c>
      <c r="C474" s="47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98" t="s">
        <v>3454</v>
      </c>
    </row>
    <row r="475" spans="1:10" ht="28.9" customHeight="1" thickTop="1" thickBot="1" x14ac:dyDescent="0.65">
      <c r="A475" s="3">
        <v>473</v>
      </c>
      <c r="B475" s="44" t="str">
        <f>HYPERLINK("https://search.naver.com/search.naver?query=늑대와 춤을 영화", "늑대와 춤을")</f>
        <v>늑대와 춤을</v>
      </c>
      <c r="C475" s="45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97" t="s">
        <v>3464</v>
      </c>
    </row>
    <row r="476" spans="1:10" ht="28.9" customHeight="1" thickTop="1" thickBot="1" x14ac:dyDescent="0.65">
      <c r="A476" s="5">
        <v>474</v>
      </c>
      <c r="B476" s="46" t="str">
        <f>HYPERLINK("https://search.naver.com/search.naver?query=늑대의 어둠 영화", "늑대의 어둠")</f>
        <v>늑대의 어둠</v>
      </c>
      <c r="C476" s="47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98" t="s">
        <v>3442</v>
      </c>
    </row>
    <row r="477" spans="1:10" ht="28.9" customHeight="1" thickTop="1" thickBot="1" x14ac:dyDescent="0.65">
      <c r="A477" s="3">
        <v>475</v>
      </c>
      <c r="B477" s="44" t="str">
        <f>HYPERLINK("https://search.naver.com/search.naver?query=늙은 자전거 영화", "늙은 자전거")</f>
        <v>늙은 자전거</v>
      </c>
      <c r="C477" s="45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97" t="s">
        <v>3437</v>
      </c>
    </row>
    <row r="478" spans="1:10" ht="28.9" customHeight="1" thickTop="1" thickBot="1" x14ac:dyDescent="0.65">
      <c r="A478" s="5">
        <v>476</v>
      </c>
      <c r="B478" s="46" t="str">
        <f>HYPERLINK("https://search.naver.com/search.naver?query=니 부모 얼굴이 보고 싶다 영화", "니 부모 얼굴이 보고 싶다")</f>
        <v>니 부모 얼굴이 보고 싶다</v>
      </c>
      <c r="C478" s="47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98" t="s">
        <v>3445</v>
      </c>
    </row>
    <row r="479" spans="1:10" ht="28.9" customHeight="1" thickTop="1" thickBot="1" x14ac:dyDescent="0.65">
      <c r="A479" s="3">
        <v>477</v>
      </c>
      <c r="B479" s="44" t="str">
        <f>HYPERLINK("https://search.naver.com/search.naver?query=니드 포 스피드 영화", "니드 포 스피드")</f>
        <v>니드 포 스피드</v>
      </c>
      <c r="C479" s="45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97" t="s">
        <v>3437</v>
      </c>
    </row>
    <row r="480" spans="1:10" ht="28.9" customHeight="1" thickTop="1" thickBot="1" x14ac:dyDescent="0.65">
      <c r="A480" s="5">
        <v>478</v>
      </c>
      <c r="B480" s="46" t="str">
        <f>HYPERLINK("https://search.naver.com/search.naver?query=님아 그 강을 건너지 마오 영화", "님아 그 강을 건너지 마오")</f>
        <v>님아 그 강을 건너지 마오</v>
      </c>
      <c r="C480" s="47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98" t="s">
        <v>3437</v>
      </c>
    </row>
    <row r="481" spans="1:10" ht="28.9" customHeight="1" thickTop="1" thickBot="1" x14ac:dyDescent="0.65">
      <c r="A481" s="3">
        <v>479</v>
      </c>
      <c r="B481" s="44" t="str">
        <f>HYPERLINK("https://search.naver.com/search.naver?query=다만 악에서 구하소서 영화", "다만 악에서 구하소서")</f>
        <v>다만 악에서 구하소서</v>
      </c>
      <c r="C481" s="45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97" t="s">
        <v>3444</v>
      </c>
    </row>
    <row r="482" spans="1:10" ht="28.9" customHeight="1" thickTop="1" thickBot="1" x14ac:dyDescent="0.65">
      <c r="A482" s="5">
        <v>480</v>
      </c>
      <c r="B482" s="46" t="str">
        <f>HYPERLINK("https://search.naver.com/search.naver?query=다만, 널 사랑하고 있어 영화", "다만, 널 사랑하고 있어")</f>
        <v>다만, 널 사랑하고 있어</v>
      </c>
      <c r="C482" s="47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98" t="s">
        <v>3447</v>
      </c>
    </row>
    <row r="483" spans="1:10" ht="28.9" customHeight="1" thickTop="1" thickBot="1" x14ac:dyDescent="0.65">
      <c r="A483" s="3">
        <v>481</v>
      </c>
      <c r="B483" s="44" t="str">
        <f>HYPERLINK("https://search.naver.com/search.naver?query=다섯 번째 계절 영화", "다섯 번째 계절")</f>
        <v>다섯 번째 계절</v>
      </c>
      <c r="C483" s="45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97" t="s">
        <v>3460</v>
      </c>
    </row>
    <row r="484" spans="1:10" ht="28.9" customHeight="1" thickTop="1" thickBot="1" x14ac:dyDescent="0.65">
      <c r="A484" s="5">
        <v>482</v>
      </c>
      <c r="B484" s="46" t="str">
        <f>HYPERLINK("https://search.naver.com/search.naver?query=다시 뜨겁게 사랑하라 영화", "다시, 뜨겁게 사랑하라")</f>
        <v>다시, 뜨겁게 사랑하라</v>
      </c>
      <c r="C484" s="47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98" t="s">
        <v>3451</v>
      </c>
    </row>
    <row r="485" spans="1:10" ht="28.9" customHeight="1" thickTop="1" thickBot="1" x14ac:dyDescent="0.65">
      <c r="A485" s="3">
        <v>483</v>
      </c>
      <c r="B485" s="44" t="str">
        <f>HYPERLINK("https://search.naver.com/search.naver?query=다우트 영화", "다우트")</f>
        <v>다우트</v>
      </c>
      <c r="C485" s="45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97" t="s">
        <v>3450</v>
      </c>
    </row>
    <row r="486" spans="1:10" ht="28.9" customHeight="1" thickTop="1" thickBot="1" x14ac:dyDescent="0.65">
      <c r="A486" s="5">
        <v>484</v>
      </c>
      <c r="B486" s="46" t="str">
        <f>HYPERLINK("https://search.naver.com/search.naver?query=다운사이징 영화", "다운사이징")</f>
        <v>다운사이징</v>
      </c>
      <c r="C486" s="47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98" t="s">
        <v>3443</v>
      </c>
    </row>
    <row r="487" spans="1:10" ht="28.9" customHeight="1" thickTop="1" thickBot="1" x14ac:dyDescent="0.65">
      <c r="A487" s="3">
        <v>485</v>
      </c>
      <c r="B487" s="44" t="str">
        <f>HYPERLINK("https://search.naver.com/search.naver?query=다운튼 애비 영화", "다운튼 애비")</f>
        <v>다운튼 애비</v>
      </c>
      <c r="C487" s="45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97" t="s">
        <v>3444</v>
      </c>
    </row>
    <row r="488" spans="1:10" ht="28.9" customHeight="1" thickTop="1" thickBot="1" x14ac:dyDescent="0.65">
      <c r="A488" s="5">
        <v>486</v>
      </c>
      <c r="B488" s="46" t="str">
        <f>HYPERLINK("https://search.naver.com/search.naver?query=다운힐 영화", "다운힐")</f>
        <v>다운힐</v>
      </c>
      <c r="C488" s="47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98" t="s">
        <v>3436</v>
      </c>
    </row>
    <row r="489" spans="1:10" ht="28.9" customHeight="1" thickTop="1" thickBot="1" x14ac:dyDescent="0.65">
      <c r="A489" s="3">
        <v>487</v>
      </c>
      <c r="B489" s="44" t="str">
        <f>HYPERLINK("https://search.naver.com/search.naver?query=다윈으로 가는 마지막 택시 영화", "다윈으로 가는 마지막 택시")</f>
        <v>다윈으로 가는 마지막 택시</v>
      </c>
      <c r="C489" s="45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97" t="s">
        <v>3440</v>
      </c>
    </row>
    <row r="490" spans="1:10" ht="28.9" customHeight="1" thickTop="1" thickBot="1" x14ac:dyDescent="0.65">
      <c r="A490" s="5">
        <v>488</v>
      </c>
      <c r="B490" s="46" t="str">
        <f>HYPERLINK("https://search.naver.com/search.naver?query=다이버전트 영화", "다이버전트")</f>
        <v>다이버전트</v>
      </c>
      <c r="C490" s="47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98" t="s">
        <v>3437</v>
      </c>
    </row>
    <row r="491" spans="1:10" ht="28.9" customHeight="1" thickTop="1" thickBot="1" x14ac:dyDescent="0.65">
      <c r="A491" s="3">
        <v>489</v>
      </c>
      <c r="B491" s="44" t="str">
        <f>HYPERLINK("https://search.naver.com/search.naver?query=다이브 영화", "다이브")</f>
        <v>다이브</v>
      </c>
      <c r="C491" s="45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97" t="s">
        <v>3446</v>
      </c>
    </row>
    <row r="492" spans="1:10" ht="28.9" customHeight="1" thickTop="1" thickBot="1" x14ac:dyDescent="0.65">
      <c r="A492" s="5">
        <v>490</v>
      </c>
      <c r="B492" s="46" t="str">
        <f>HYPERLINK("https://search.naver.com/search.naver?query=다이애나 영화", "다이애나")</f>
        <v>다이애나</v>
      </c>
      <c r="C492" s="47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98" t="s">
        <v>3451</v>
      </c>
    </row>
    <row r="493" spans="1:10" ht="28.9" customHeight="1" thickTop="1" thickBot="1" x14ac:dyDescent="0.65">
      <c r="A493" s="3">
        <v>491</v>
      </c>
      <c r="B493" s="44" t="str">
        <f>HYPERLINK("https://search.naver.com/search.naver?query=다이하드:굿 데이 투 다이 영화", "다이하드-굿 데이 투 다이")</f>
        <v>다이하드-굿 데이 투 다이</v>
      </c>
      <c r="C493" s="45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97" t="s">
        <v>3451</v>
      </c>
    </row>
    <row r="494" spans="1:10" ht="28.9" customHeight="1" thickTop="1" thickBot="1" x14ac:dyDescent="0.65">
      <c r="A494" s="5">
        <v>492</v>
      </c>
      <c r="B494" s="46" t="str">
        <f>HYPERLINK("https://search.naver.com/search.naver?query=다잉 오브 더 라이트 영화", "다잉 오브 더 라이트")</f>
        <v>다잉 오브 더 라이트</v>
      </c>
      <c r="C494" s="47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98" t="s">
        <v>3437</v>
      </c>
    </row>
    <row r="495" spans="1:10" ht="28.9" customHeight="1" thickTop="1" thickBot="1" x14ac:dyDescent="0.65">
      <c r="A495" s="3">
        <v>493</v>
      </c>
      <c r="B495" s="44" t="str">
        <f>HYPERLINK("https://search.naver.com/search.naver?query=다크 나이트 라이즈 영화", "다크 나이트 라이즈")</f>
        <v>다크 나이트 라이즈</v>
      </c>
      <c r="C495" s="45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97" t="s">
        <v>3439</v>
      </c>
    </row>
    <row r="496" spans="1:10" ht="28.9" customHeight="1" thickTop="1" thickBot="1" x14ac:dyDescent="0.65">
      <c r="A496" s="5">
        <v>494</v>
      </c>
      <c r="B496" s="46" t="str">
        <f>HYPERLINK("https://search.naver.com/search.naver?query=다크 워터스 영화", "다크 워터스")</f>
        <v>다크 워터스</v>
      </c>
      <c r="C496" s="47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98" t="s">
        <v>3444</v>
      </c>
    </row>
    <row r="497" spans="1:10" ht="28.9" customHeight="1" thickTop="1" thickBot="1" x14ac:dyDescent="0.65">
      <c r="A497" s="3">
        <v>495</v>
      </c>
      <c r="B497" s="44" t="str">
        <f>HYPERLINK("https://search.naver.com/search.naver?query=다크 케이브 영화", "다크 케이브")</f>
        <v>다크 케이브</v>
      </c>
      <c r="C497" s="45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97" t="s">
        <v>3444</v>
      </c>
    </row>
    <row r="498" spans="1:10" ht="28.9" customHeight="1" thickTop="1" thickBot="1" x14ac:dyDescent="0.65">
      <c r="A498" s="5">
        <v>496</v>
      </c>
      <c r="B498" s="46" t="str">
        <f>HYPERLINK("https://search.naver.com/search.naver?query=다크 플레이스 영화", "다크 플레이스")</f>
        <v>다크 플레이스</v>
      </c>
      <c r="C498" s="47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98" t="s">
        <v>3440</v>
      </c>
    </row>
    <row r="499" spans="1:10" ht="28.9" customHeight="1" thickTop="1" thickBot="1" x14ac:dyDescent="0.65">
      <c r="A499" s="3">
        <v>497</v>
      </c>
      <c r="B499" s="44" t="str">
        <f>HYPERLINK("https://search.naver.com/search.naver?query=다크타워:희망의 탑 영화", "다크타워 - 희망의 탑")</f>
        <v>다크타워 - 희망의 탑</v>
      </c>
      <c r="C499" s="45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97" t="s">
        <v>3443</v>
      </c>
    </row>
    <row r="500" spans="1:10" ht="28.9" customHeight="1" thickTop="1" thickBot="1" x14ac:dyDescent="0.65">
      <c r="A500" s="5">
        <v>498</v>
      </c>
      <c r="B500" s="46" t="str">
        <f>HYPERLINK("https://search.naver.com/search.naver?query=다키스트 아워 영화", "다키스트 아워")</f>
        <v>다키스트 아워</v>
      </c>
      <c r="C500" s="47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98" t="s">
        <v>3443</v>
      </c>
    </row>
    <row r="501" spans="1:10" ht="28.9" customHeight="1" thickTop="1" thickBot="1" x14ac:dyDescent="0.65">
      <c r="A501" s="3">
        <v>499</v>
      </c>
      <c r="B501" s="44" t="str">
        <f>HYPERLINK("https://search.naver.com/search.naver?query=닥터 슬립 영화", "닥터 슬립")</f>
        <v>닥터 슬립</v>
      </c>
      <c r="C501" s="45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97" t="s">
        <v>3444</v>
      </c>
    </row>
    <row r="502" spans="1:10" ht="28.9" customHeight="1" thickTop="1" thickBot="1" x14ac:dyDescent="0.65">
      <c r="A502" s="7">
        <v>500</v>
      </c>
      <c r="B502" s="48" t="str">
        <f>HYPERLINK("https://search.naver.com/search.naver?query=닥터 포스터 시즌1", "닥터 포스터 시즌1")</f>
        <v>닥터 포스터 시즌1</v>
      </c>
      <c r="C502" s="49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99" t="s">
        <v>3440</v>
      </c>
    </row>
    <row r="503" spans="1:10" ht="28.9" customHeight="1" thickTop="1" thickBot="1" x14ac:dyDescent="0.65">
      <c r="A503" s="7">
        <v>501</v>
      </c>
      <c r="B503" s="48" t="str">
        <f>HYPERLINK("https://search.naver.com/search.naver?query=닥터 포스터 시즌2", "닥터 포스터 시즌2")</f>
        <v>닥터 포스터 시즌2</v>
      </c>
      <c r="C503" s="49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99" t="s">
        <v>3443</v>
      </c>
    </row>
    <row r="504" spans="1:10" ht="28.9" customHeight="1" thickTop="1" thickBot="1" x14ac:dyDescent="0.65">
      <c r="A504" s="5">
        <v>502</v>
      </c>
      <c r="B504" s="46" t="str">
        <f>HYPERLINK("https://search.naver.com/search.naver?query=단델리온 더스트 영화", "단델리온 더스트")</f>
        <v>단델리온 더스트</v>
      </c>
      <c r="C504" s="47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98" t="s">
        <v>3453</v>
      </c>
    </row>
    <row r="505" spans="1:10" ht="28.9" customHeight="1" thickTop="1" thickBot="1" x14ac:dyDescent="0.65">
      <c r="A505" s="3">
        <v>503</v>
      </c>
      <c r="B505" s="44" t="str">
        <f>HYPERLINK("https://search.naver.com/search.naver?query=단지 세상의 끝 영화", "단지 세상의 끝")</f>
        <v>단지 세상의 끝</v>
      </c>
      <c r="C505" s="45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97" t="s">
        <v>3441</v>
      </c>
    </row>
    <row r="506" spans="1:10" ht="28.9" customHeight="1" thickTop="1" thickBot="1" x14ac:dyDescent="0.65">
      <c r="A506" s="5">
        <v>504</v>
      </c>
      <c r="B506" s="46" t="str">
        <f>HYPERLINK("https://search.naver.com/search.naver?query=달라스 바이어스 클럽 영화", "달라스 바이어스 클럽")</f>
        <v>달라스 바이어스 클럽</v>
      </c>
      <c r="C506" s="47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98" t="s">
        <v>3451</v>
      </c>
    </row>
    <row r="507" spans="1:10" ht="28.9" customHeight="1" thickTop="1" thickBot="1" x14ac:dyDescent="0.65">
      <c r="A507" s="3">
        <v>505</v>
      </c>
      <c r="B507" s="44" t="str">
        <f>HYPERLINK("https://search.naver.com/search.naver?query=달링 영화", "달링")</f>
        <v>달링</v>
      </c>
      <c r="C507" s="45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97" t="s">
        <v>3443</v>
      </c>
    </row>
    <row r="508" spans="1:10" ht="28.9" customHeight="1" thickTop="1" thickBot="1" x14ac:dyDescent="0.65">
      <c r="A508" s="5">
        <v>506</v>
      </c>
      <c r="B508" s="46" t="str">
        <f>HYPERLINK("https://search.naver.com/search.naver?query=일본영화 달의 영휴", "달의 영휴")</f>
        <v>달의 영휴</v>
      </c>
      <c r="C508" s="47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98" t="s">
        <v>3445</v>
      </c>
    </row>
    <row r="509" spans="1:10" ht="28.9" customHeight="1" thickTop="1" thickBot="1" x14ac:dyDescent="0.65">
      <c r="A509" s="3">
        <v>507</v>
      </c>
      <c r="B509" s="44" t="str">
        <f>HYPERLINK("https://search.naver.com/search.naver?query=달콤 살벌한 연인", "달콤 살벌한 연인")</f>
        <v>달콤 살벌한 연인</v>
      </c>
      <c r="C509" s="45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97" t="s">
        <v>3460</v>
      </c>
    </row>
    <row r="510" spans="1:10" ht="28.9" customHeight="1" thickTop="1" thickBot="1" x14ac:dyDescent="0.65">
      <c r="A510" s="5">
        <v>508</v>
      </c>
      <c r="B510" s="46" t="str">
        <f>HYPERLINK("https://search.naver.com/search.naver?query=담보 영화", "담보")</f>
        <v>담보</v>
      </c>
      <c r="C510" s="47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98" t="s">
        <v>3436</v>
      </c>
    </row>
    <row r="511" spans="1:10" ht="28.9" customHeight="1" thickTop="1" thickBot="1" x14ac:dyDescent="0.65">
      <c r="A511" s="3">
        <v>509</v>
      </c>
      <c r="B511" s="44" t="str">
        <f>HYPERLINK("https://search.naver.com/search.naver?query=당갈 영화", "당갈")</f>
        <v>당갈</v>
      </c>
      <c r="C511" s="45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97" t="s">
        <v>3441</v>
      </c>
    </row>
    <row r="512" spans="1:10" ht="28.9" customHeight="1" thickTop="1" thickBot="1" x14ac:dyDescent="0.65">
      <c r="A512" s="5">
        <v>510</v>
      </c>
      <c r="B512" s="46" t="str">
        <f>HYPERLINK("https://search.naver.com/search.naver?query=당신 거기 있어 줄래요 영화", "당신 거기 있어 줄래요")</f>
        <v>당신 거기 있어 줄래요</v>
      </c>
      <c r="C512" s="47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98" t="s">
        <v>3441</v>
      </c>
    </row>
    <row r="513" spans="1:10" ht="28.9" customHeight="1" thickTop="1" thickBot="1" x14ac:dyDescent="0.65">
      <c r="A513" s="3">
        <v>511</v>
      </c>
      <c r="B513" s="44" t="str">
        <f>HYPERLINK("https://search.naver.com/search.naver?query=당신과 함께한 순간들 영화", "당신과 함께한 순간들")</f>
        <v>당신과 함께한 순간들</v>
      </c>
      <c r="C513" s="45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97" t="s">
        <v>3443</v>
      </c>
    </row>
    <row r="514" spans="1:10" ht="28.9" customHeight="1" thickTop="1" thickBot="1" x14ac:dyDescent="0.65">
      <c r="A514" s="5">
        <v>512</v>
      </c>
      <c r="B514" s="46" t="str">
        <f>HYPERLINK("https://search.naver.com/search.naver?query=당신에게2012 영화", "당신에게")</f>
        <v>당신에게</v>
      </c>
      <c r="C514" s="47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98" t="s">
        <v>3439</v>
      </c>
    </row>
    <row r="515" spans="1:10" ht="28.9" customHeight="1" thickTop="1" thickBot="1" x14ac:dyDescent="0.65">
      <c r="A515" s="3">
        <v>513</v>
      </c>
      <c r="B515" s="44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45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97" t="s">
        <v>3451</v>
      </c>
    </row>
    <row r="516" spans="1:10" ht="28.9" customHeight="1" thickTop="1" thickBot="1" x14ac:dyDescent="0.65">
      <c r="A516" s="3">
        <v>514</v>
      </c>
      <c r="B516" s="44" t="str">
        <f>HYPERLINK("https://search.naver.com/search.naver?query=당신을 오랫동안 사랑했어요 영화", "당신을 오랫동안 사랑했어요")</f>
        <v>당신을 오랫동안 사랑했어요</v>
      </c>
      <c r="C516" s="45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97" t="s">
        <v>3450</v>
      </c>
    </row>
    <row r="517" spans="1:10" ht="28.9" customHeight="1" thickTop="1" thickBot="1" x14ac:dyDescent="0.65">
      <c r="A517" s="3">
        <v>515</v>
      </c>
      <c r="B517" s="44" t="str">
        <f>HYPERLINK("https://search.naver.com/search.naver?query=당신이 사랑하는 동안에 영화", "당신이 사랑하는 동안에")</f>
        <v>당신이 사랑하는 동안에</v>
      </c>
      <c r="C517" s="45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97" t="s">
        <v>3461</v>
      </c>
    </row>
    <row r="518" spans="1:10" ht="28.9" customHeight="1" thickTop="1" thickBot="1" x14ac:dyDescent="0.65">
      <c r="A518" s="5">
        <v>516</v>
      </c>
      <c r="B518" s="46" t="str">
        <f>HYPERLINK("https://search.naver.com/search.naver?query=대니 콜린스 영화", "대니 콜린스")</f>
        <v>대니 콜린스</v>
      </c>
      <c r="C518" s="47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98" t="s">
        <v>3440</v>
      </c>
    </row>
    <row r="519" spans="1:10" ht="28.9" customHeight="1" thickTop="1" thickBot="1" x14ac:dyDescent="0.65">
      <c r="A519" s="3">
        <v>517</v>
      </c>
      <c r="B519" s="44" t="str">
        <f>HYPERLINK("https://search.naver.com/search.naver?query=대니쉬 걸 영화", "대니쉬 걸")</f>
        <v>대니쉬 걸</v>
      </c>
      <c r="C519" s="45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97" t="s">
        <v>3440</v>
      </c>
    </row>
    <row r="520" spans="1:10" ht="28.9" customHeight="1" thickTop="1" thickBot="1" x14ac:dyDescent="0.65">
      <c r="A520" s="5">
        <v>518</v>
      </c>
      <c r="B520" s="46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47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98" t="s">
        <v>3443</v>
      </c>
    </row>
    <row r="521" spans="1:10" ht="28.9" customHeight="1" thickTop="1" thickBot="1" x14ac:dyDescent="0.65">
      <c r="A521" s="3">
        <v>519</v>
      </c>
      <c r="B521" s="44" t="str">
        <f>HYPERLINK("https://search.naver.com/search.naver?query=대립군 영화", "대립군")</f>
        <v>대립군</v>
      </c>
      <c r="C521" s="45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97" t="s">
        <v>3443</v>
      </c>
    </row>
    <row r="522" spans="1:10" ht="28.9" customHeight="1" thickTop="1" thickBot="1" x14ac:dyDescent="0.65">
      <c r="A522" s="5">
        <v>520</v>
      </c>
      <c r="B522" s="46" t="str">
        <f>HYPERLINK("https://search.naver.com/search.naver?query=대무가 영화", "대무가")</f>
        <v>대무가</v>
      </c>
      <c r="C522" s="47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98" t="s">
        <v>3445</v>
      </c>
    </row>
    <row r="523" spans="1:10" ht="28.9" customHeight="1" thickTop="1" thickBot="1" x14ac:dyDescent="0.65">
      <c r="A523" s="3">
        <v>521</v>
      </c>
      <c r="B523" s="44" t="str">
        <f>HYPERLINK("https://search.naver.com/search.naver?query=대배우 영화", "대배우")</f>
        <v>대배우</v>
      </c>
      <c r="C523" s="45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97" t="s">
        <v>3440</v>
      </c>
    </row>
    <row r="524" spans="1:10" ht="28.9" customHeight="1" thickTop="1" thickBot="1" x14ac:dyDescent="0.65">
      <c r="A524" s="5">
        <v>522</v>
      </c>
      <c r="B524" s="46" t="str">
        <f>HYPERLINK("https://search.naver.com/search.naver?query=대부 영화", "대부")</f>
        <v>대부</v>
      </c>
      <c r="C524" s="47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98" t="s">
        <v>3471</v>
      </c>
    </row>
    <row r="525" spans="1:10" ht="28.9" customHeight="1" thickTop="1" thickBot="1" x14ac:dyDescent="0.65">
      <c r="A525" s="3">
        <v>523</v>
      </c>
      <c r="B525" s="44" t="str">
        <f>HYPERLINK("https://search.naver.com/search.naver?query=대부2 영화", "대부2")</f>
        <v>대부2</v>
      </c>
      <c r="C525" s="45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97" t="s">
        <v>3472</v>
      </c>
    </row>
    <row r="526" spans="1:10" ht="28.9" customHeight="1" thickTop="1" thickBot="1" x14ac:dyDescent="0.65">
      <c r="A526" s="5">
        <v>524</v>
      </c>
      <c r="B526" s="46" t="str">
        <f>HYPERLINK("https://search.naver.com/search.naver?query=대부3 영화", "대부3")</f>
        <v>대부3</v>
      </c>
      <c r="C526" s="47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98" t="s">
        <v>3464</v>
      </c>
    </row>
    <row r="527" spans="1:10" ht="28.9" customHeight="1" thickTop="1" thickBot="1" x14ac:dyDescent="0.65">
      <c r="A527" s="3">
        <v>525</v>
      </c>
      <c r="B527" s="44" t="str">
        <f>HYPERLINK("https://search.naver.com/search.naver?query=대상해 영화", "대상해")</f>
        <v>대상해</v>
      </c>
      <c r="C527" s="45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97" t="s">
        <v>3439</v>
      </c>
    </row>
    <row r="528" spans="1:10" ht="28.9" customHeight="1" thickTop="1" thickBot="1" x14ac:dyDescent="0.65">
      <c r="A528" s="5">
        <v>526</v>
      </c>
      <c r="B528" s="46" t="str">
        <f>HYPERLINK("https://search.naver.com/search.naver?query=대역전 영화", "대역전")</f>
        <v>대역전</v>
      </c>
      <c r="C528" s="47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98" t="s">
        <v>3441</v>
      </c>
    </row>
    <row r="529" spans="1:10" ht="28.9" customHeight="1" thickTop="1" thickBot="1" x14ac:dyDescent="0.65">
      <c r="A529" s="3">
        <v>527</v>
      </c>
      <c r="B529" s="44" t="str">
        <f>HYPERLINK("https://search.naver.com/search.naver?query=대외비 영화", "대외비")</f>
        <v>대외비</v>
      </c>
      <c r="C529" s="45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97" t="s">
        <v>3446</v>
      </c>
    </row>
    <row r="530" spans="1:10" ht="28.9" customHeight="1" thickTop="1" thickBot="1" x14ac:dyDescent="0.65">
      <c r="A530" s="5">
        <v>528</v>
      </c>
      <c r="B530" s="46" t="str">
        <f>HYPERLINK("https://search.naver.com/search.naver?query=대장 김창수 영화", "대장 김창수")</f>
        <v>대장 김창수</v>
      </c>
      <c r="C530" s="47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98" t="s">
        <v>3443</v>
      </c>
    </row>
    <row r="531" spans="1:10" ht="28.9" customHeight="1" thickTop="1" thickBot="1" x14ac:dyDescent="0.65">
      <c r="A531" s="3">
        <v>529</v>
      </c>
      <c r="B531" s="44" t="str">
        <f>HYPERLINK("https://movie-stella.tistory.com/entry/%EB%8C%80%EC%B2%B4%EB%B6%88%EA%B0%80-%EB%8B%B9%EC%8B%A0-Irreplaceable-You-2018", "대체불가 당신")</f>
        <v>대체불가 당신</v>
      </c>
      <c r="C531" s="45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97" t="s">
        <v>3442</v>
      </c>
    </row>
    <row r="532" spans="1:10" ht="28.9" customHeight="1" thickTop="1" thickBot="1" x14ac:dyDescent="0.65">
      <c r="A532" s="5">
        <v>530</v>
      </c>
      <c r="B532" s="46" t="str">
        <f>HYPERLINK("https://search.naver.com/search.naver?query=대폭격 영화", "대폭격")</f>
        <v>대폭격</v>
      </c>
      <c r="C532" s="47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98" t="s">
        <v>3442</v>
      </c>
    </row>
    <row r="533" spans="1:10" ht="28.9" customHeight="1" thickTop="1" thickBot="1" x14ac:dyDescent="0.65">
      <c r="A533" s="3">
        <v>531</v>
      </c>
      <c r="B533" s="44" t="str">
        <f>HYPERLINK("https://search.naver.com/search.naver?query=대학살의 신 영화", "대학살의 신")</f>
        <v>대학살의 신</v>
      </c>
      <c r="C533" s="45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97" t="s">
        <v>3454</v>
      </c>
    </row>
    <row r="534" spans="1:10" ht="28.9" customHeight="1" thickTop="1" thickBot="1" x14ac:dyDescent="0.65">
      <c r="A534" s="5">
        <v>532</v>
      </c>
      <c r="B534" s="46" t="str">
        <f>HYPERLINK("https://search.naver.com/search.naver?query=대호 영화", "대호")</f>
        <v>대호</v>
      </c>
      <c r="C534" s="47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98" t="s">
        <v>3440</v>
      </c>
    </row>
    <row r="535" spans="1:10" ht="28.9" customHeight="1" thickTop="1" thickBot="1" x14ac:dyDescent="0.65">
      <c r="A535" s="3">
        <v>533</v>
      </c>
      <c r="B535" s="44" t="str">
        <f>HYPERLINK("https://search.naver.com/search.naver?query=대홍수 영화", "대홍수")</f>
        <v>대홍수</v>
      </c>
      <c r="C535" s="45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97" t="s">
        <v>3459</v>
      </c>
    </row>
    <row r="536" spans="1:10" ht="28.9" customHeight="1" thickTop="1" thickBot="1" x14ac:dyDescent="0.65">
      <c r="A536" s="5">
        <v>534</v>
      </c>
      <c r="B536" s="46" t="str">
        <f>HYPERLINK("https://search.naver.com/search.naver?query=댄 인 러브 영화", "댄 인 러브")</f>
        <v>댄 인 러브</v>
      </c>
      <c r="C536" s="47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98" t="s">
        <v>3447</v>
      </c>
    </row>
    <row r="537" spans="1:10" ht="28.9" customHeight="1" thickTop="1" thickBot="1" x14ac:dyDescent="0.65">
      <c r="A537" s="3">
        <v>535</v>
      </c>
      <c r="B537" s="44" t="str">
        <f>HYPERLINK("https://search.naver.com/search.naver?query=댄싱퀸2012", "댄싱퀸")</f>
        <v>댄싱퀸</v>
      </c>
      <c r="C537" s="45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97" t="s">
        <v>3439</v>
      </c>
    </row>
    <row r="538" spans="1:10" ht="28.9" customHeight="1" thickTop="1" thickBot="1" x14ac:dyDescent="0.65">
      <c r="A538" s="5">
        <v>536</v>
      </c>
      <c r="B538" s="46" t="str">
        <f>HYPERLINK("https://search.naver.com/search.naver?query=댄저 클로즈:롱탄 대전투 영화", "댄저 클로즈-롱탄 대전투")</f>
        <v>댄저 클로즈-롱탄 대전투</v>
      </c>
      <c r="C538" s="47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98" t="s">
        <v>3444</v>
      </c>
    </row>
    <row r="539" spans="1:10" ht="28.9" customHeight="1" thickTop="1" thickBot="1" x14ac:dyDescent="0.65">
      <c r="A539" s="3">
        <v>537</v>
      </c>
      <c r="B539" s="44" t="str">
        <f>HYPERLINK("https://search.naver.com/search.naver?query=댓글부대 영화", "댓글부대")</f>
        <v>댓글부대</v>
      </c>
      <c r="C539" s="45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97" t="s">
        <v>3448</v>
      </c>
    </row>
    <row r="540" spans="1:10" ht="28.9" customHeight="1" thickTop="1" thickBot="1" x14ac:dyDescent="0.65">
      <c r="A540" s="5">
        <v>538</v>
      </c>
      <c r="B540" s="46" t="str">
        <f>HYPERLINK("https://search.naver.com/search.naver?query=댓츠 왓 아이 엠 영화", "댓츠 왓 아이 엠")</f>
        <v>댓츠 왓 아이 엠</v>
      </c>
      <c r="C540" s="47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98" t="s">
        <v>3454</v>
      </c>
    </row>
    <row r="541" spans="1:10" ht="28.9" customHeight="1" thickTop="1" thickBot="1" x14ac:dyDescent="0.65">
      <c r="A541" s="3">
        <v>539</v>
      </c>
      <c r="B541" s="44" t="str">
        <f>HYPERLINK("https://search.naver.com/search.naver?query=더 건맨 영화", "더 건맨")</f>
        <v>더 건맨</v>
      </c>
      <c r="C541" s="45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97" t="s">
        <v>3440</v>
      </c>
    </row>
    <row r="542" spans="1:10" ht="28.9" customHeight="1" thickTop="1" thickBot="1" x14ac:dyDescent="0.65">
      <c r="A542" s="5">
        <v>540</v>
      </c>
      <c r="B542" s="46" t="str">
        <f>HYPERLINK("https://search.naver.com/search.naver?query=더 걸 후 갓어웨이 영화", "더 걸 후 갓어웨이")</f>
        <v>더 걸 후 갓어웨이</v>
      </c>
      <c r="C542" s="47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98" t="s">
        <v>3445</v>
      </c>
    </row>
    <row r="543" spans="1:10" ht="28.9" customHeight="1" thickTop="1" thickBot="1" x14ac:dyDescent="0.65">
      <c r="A543" s="3">
        <v>541</v>
      </c>
      <c r="B543" s="44" t="str">
        <f>HYPERLINK("https://search.naver.com/search.naver?query=더 게임 영화", "더 게임")</f>
        <v>더 게임</v>
      </c>
      <c r="C543" s="45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97" t="s">
        <v>3470</v>
      </c>
    </row>
    <row r="544" spans="1:10" ht="28.9" customHeight="1" thickTop="1" thickBot="1" x14ac:dyDescent="0.65">
      <c r="A544" s="5">
        <v>542</v>
      </c>
      <c r="B544" s="46" t="str">
        <f>HYPERLINK("https://search.naver.com/search.naver?query=더 골든핀치 영화", "더 골든핀치")</f>
        <v>더 골든핀치</v>
      </c>
      <c r="C544" s="47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98" t="s">
        <v>3444</v>
      </c>
    </row>
    <row r="545" spans="1:10" ht="28.9" customHeight="1" thickTop="1" thickBot="1" x14ac:dyDescent="0.65">
      <c r="A545" s="3">
        <v>543</v>
      </c>
      <c r="B545" s="44" t="str">
        <f>HYPERLINK("https://search.naver.com/search.naver?query=더 그레이 영화", "더 그레이")</f>
        <v>더 그레이</v>
      </c>
      <c r="C545" s="45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97" t="s">
        <v>3439</v>
      </c>
    </row>
    <row r="546" spans="1:10" ht="28.9" customHeight="1" thickTop="1" thickBot="1" x14ac:dyDescent="0.65">
      <c r="A546" s="5">
        <v>544</v>
      </c>
      <c r="B546" s="46" t="str">
        <f>HYPERLINK("https://search.naver.com/search.naver?query=더 그레이트 서커스 영화", "더 그레이트 서커스")</f>
        <v>더 그레이트 서커스</v>
      </c>
      <c r="C546" s="47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98" t="s">
        <v>3451</v>
      </c>
    </row>
    <row r="547" spans="1:10" ht="28.9" customHeight="1" thickTop="1" thickBot="1" x14ac:dyDescent="0.65">
      <c r="A547" s="7">
        <v>545</v>
      </c>
      <c r="B547" s="48" t="str">
        <f>HYPERLINK("https://search.naver.com/search.naver?query=더 글로리", "더 글로리")</f>
        <v>더 글로리</v>
      </c>
      <c r="C547" s="49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99" t="s">
        <v>3445</v>
      </c>
    </row>
    <row r="548" spans="1:10" ht="28.9" customHeight="1" thickTop="1" thickBot="1" x14ac:dyDescent="0.65">
      <c r="A548" s="5">
        <v>546</v>
      </c>
      <c r="B548" s="46" t="str">
        <f>HYPERLINK("https://search.naver.com/search.naver?query=더 기버:기억전달자 영화", "더 기버 - 기억전달자")</f>
        <v>더 기버 - 기억전달자</v>
      </c>
      <c r="C548" s="47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98" t="s">
        <v>3437</v>
      </c>
    </row>
    <row r="549" spans="1:10" ht="28.9" customHeight="1" thickTop="1" thickBot="1" x14ac:dyDescent="0.65">
      <c r="A549" s="3">
        <v>547</v>
      </c>
      <c r="B549" s="44" t="str">
        <f>HYPERLINK("https://search.naver.com/search.naver?query=더 기프트 영화", "더 기프트")</f>
        <v>더 기프트</v>
      </c>
      <c r="C549" s="45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97" t="s">
        <v>3440</v>
      </c>
    </row>
    <row r="550" spans="1:10" ht="28.9" customHeight="1" thickTop="1" thickBot="1" x14ac:dyDescent="0.65">
      <c r="A550" s="7">
        <v>548</v>
      </c>
      <c r="B550" s="48" t="str">
        <f>HYPERLINK("https://search.naver.com/search.naver?query=더 나이트 매니저", "더 나이트 매니저 시즌1")</f>
        <v>더 나이트 매니저 시즌1</v>
      </c>
      <c r="C550" s="49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99" t="s">
        <v>3441</v>
      </c>
    </row>
    <row r="551" spans="1:10" ht="28.9" customHeight="1" thickTop="1" thickBot="1" x14ac:dyDescent="0.65">
      <c r="A551" s="3">
        <v>549</v>
      </c>
      <c r="B551" s="44" t="str">
        <f>HYPERLINK("https://search.naver.com/search.naver?query=더 노멀 하트 영화", "더 노멀 하트")</f>
        <v>더 노멀 하트</v>
      </c>
      <c r="C551" s="45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97" t="s">
        <v>3437</v>
      </c>
    </row>
    <row r="552" spans="1:10" ht="28.9" customHeight="1" thickTop="1" thickBot="1" x14ac:dyDescent="0.65">
      <c r="A552" s="7">
        <v>550</v>
      </c>
      <c r="B552" s="48" t="str">
        <f>HYPERLINK("https://search.naver.com/search.naver?query=더 뉴룩 드라마", "더 뉴룩")</f>
        <v>더 뉴룩</v>
      </c>
      <c r="C552" s="49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99" t="s">
        <v>3448</v>
      </c>
    </row>
    <row r="553" spans="1:10" ht="28.9" customHeight="1" thickTop="1" thickBot="1" x14ac:dyDescent="0.65">
      <c r="A553" s="3">
        <v>551</v>
      </c>
      <c r="B553" s="44" t="str">
        <f>HYPERLINK("https://search.naver.com/search.naver?query=더 도어맨 영화", "더 도어맨")</f>
        <v>더 도어맨</v>
      </c>
      <c r="C553" s="45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97" t="s">
        <v>3436</v>
      </c>
    </row>
    <row r="554" spans="1:10" ht="28.9" customHeight="1" thickTop="1" thickBot="1" x14ac:dyDescent="0.65">
      <c r="A554" s="5">
        <v>552</v>
      </c>
      <c r="B554" s="46" t="str">
        <f>HYPERLINK("https://search.naver.com/search.naver?query=더 드롭 영화", "더 드롭")</f>
        <v>더 드롭</v>
      </c>
      <c r="C554" s="47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98" t="s">
        <v>3437</v>
      </c>
    </row>
    <row r="555" spans="1:10" ht="28.9" customHeight="1" thickTop="1" thickBot="1" x14ac:dyDescent="0.65">
      <c r="A555" s="3">
        <v>553</v>
      </c>
      <c r="B555" s="44" t="str">
        <f>HYPERLINK("https://search.naver.com/search.naver?query=더 디그 영화", "더 디그")</f>
        <v>더 디그</v>
      </c>
      <c r="C555" s="45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97" t="s">
        <v>3438</v>
      </c>
    </row>
    <row r="556" spans="1:10" ht="28.9" customHeight="1" thickTop="1" thickBot="1" x14ac:dyDescent="0.65">
      <c r="A556" s="5">
        <v>554</v>
      </c>
      <c r="B556" s="46" t="str">
        <f>HYPERLINK("https://search.naver.com/search.naver?query=더 라스트 레터 영화", "더 라스트 레터")</f>
        <v>더 라스트 레터</v>
      </c>
      <c r="C556" s="47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98" t="s">
        <v>3438</v>
      </c>
    </row>
    <row r="557" spans="1:10" ht="28.9" customHeight="1" thickTop="1" thickBot="1" x14ac:dyDescent="0.65">
      <c r="A557" s="3">
        <v>555</v>
      </c>
      <c r="B557" s="44" t="str">
        <f>HYPERLINK("https://search.naver.com/search.naver?query=더 랍스터 영화", "더 랍스터")</f>
        <v>더 랍스터</v>
      </c>
      <c r="C557" s="45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97" t="s">
        <v>3440</v>
      </c>
    </row>
    <row r="558" spans="1:10" ht="28.9" customHeight="1" thickTop="1" thickBot="1" x14ac:dyDescent="0.65">
      <c r="A558" s="5">
        <v>556</v>
      </c>
      <c r="B558" s="46" t="str">
        <f>HYPERLINK("https://search.naver.com/search.naver?query=더 러너 영화", "더 러너")</f>
        <v>더 러너</v>
      </c>
      <c r="C558" s="47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98" t="s">
        <v>3440</v>
      </c>
    </row>
    <row r="559" spans="1:10" ht="28.9" customHeight="1" thickTop="1" thickBot="1" x14ac:dyDescent="0.65">
      <c r="A559" s="3">
        <v>557</v>
      </c>
      <c r="B559" s="44" t="str">
        <f>HYPERLINK("https://search.naver.com/search.naver?query=더 러버스 영화", "더 러버스")</f>
        <v>더 러버스</v>
      </c>
      <c r="C559" s="45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97" t="s">
        <v>3442</v>
      </c>
    </row>
    <row r="560" spans="1:10" ht="28.9" customHeight="1" thickTop="1" thickBot="1" x14ac:dyDescent="0.65">
      <c r="A560" s="5">
        <v>558</v>
      </c>
      <c r="B560" s="46" t="str">
        <f>HYPERLINK("https://search.naver.com/search.naver?query=더 럭키 원 영화", "더 럭키 원")</f>
        <v>더 럭키 원</v>
      </c>
      <c r="C560" s="47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98" t="s">
        <v>3439</v>
      </c>
    </row>
    <row r="561" spans="1:10" ht="28.9" customHeight="1" thickTop="1" thickBot="1" x14ac:dyDescent="0.65">
      <c r="A561" s="3">
        <v>559</v>
      </c>
      <c r="B561" s="44" t="str">
        <f>HYPERLINK("https://search.naver.com/search.naver?query=더 레슬러 영화", "더 레슬러")</f>
        <v>더 레슬러</v>
      </c>
      <c r="C561" s="45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97" t="s">
        <v>3450</v>
      </c>
    </row>
    <row r="562" spans="1:10" ht="28.9" customHeight="1" thickTop="1" thickBot="1" x14ac:dyDescent="0.65">
      <c r="A562" s="5">
        <v>560</v>
      </c>
      <c r="B562" s="46" t="str">
        <f>HYPERLINK("https://search.naver.com/search.naver?query=더 레일웨이 맨 영화", "더 레일웨이 맨")</f>
        <v>더 레일웨이 맨</v>
      </c>
      <c r="C562" s="47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98" t="s">
        <v>3451</v>
      </c>
    </row>
    <row r="563" spans="1:10" ht="28.9" customHeight="1" thickTop="1" thickBot="1" x14ac:dyDescent="0.65">
      <c r="A563" s="5">
        <v>561</v>
      </c>
      <c r="B563" s="46" t="str">
        <f>HYPERLINK("https://search.naver.com/search.naver?query=더 렛지 영화", "더 렛지")</f>
        <v>더 렛지</v>
      </c>
      <c r="C563" s="47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98" t="s">
        <v>3445</v>
      </c>
    </row>
    <row r="564" spans="1:10" ht="28.9" customHeight="1" thickTop="1" thickBot="1" x14ac:dyDescent="0.65">
      <c r="A564" s="3">
        <v>562</v>
      </c>
      <c r="B564" s="44" t="str">
        <f>HYPERLINK("https://search.naver.com/search.naver?query=더 로우라이프 영화", "더 로우라이프")</f>
        <v>더 로우라이프</v>
      </c>
      <c r="C564" s="45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97" t="s">
        <v>3443</v>
      </c>
    </row>
    <row r="565" spans="1:10" ht="28.9" customHeight="1" thickTop="1" thickBot="1" x14ac:dyDescent="0.65">
      <c r="A565" s="5">
        <v>563</v>
      </c>
      <c r="B565" s="46" t="str">
        <f>HYPERLINK("https://search.naver.com/search.naver?query=더 록 영화", "더 록")</f>
        <v>더 록</v>
      </c>
      <c r="C565" s="47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98" t="s">
        <v>3463</v>
      </c>
    </row>
    <row r="566" spans="1:10" ht="28.9" customHeight="1" thickTop="1" thickBot="1" x14ac:dyDescent="0.65">
      <c r="A566" s="3">
        <v>564</v>
      </c>
      <c r="B566" s="44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45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97" t="s">
        <v>3440</v>
      </c>
    </row>
    <row r="567" spans="1:10" ht="28.9" customHeight="1" thickTop="1" thickBot="1" x14ac:dyDescent="0.65">
      <c r="A567" s="7">
        <v>565</v>
      </c>
      <c r="B567" s="48" t="str">
        <f>HYPERLINK("https://search.naver.com/search.naver?query=더 루키 시즌1", "더 루키 시즌1")</f>
        <v>더 루키 시즌1</v>
      </c>
      <c r="C567" s="49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99" t="s">
        <v>3442</v>
      </c>
    </row>
    <row r="568" spans="1:10" ht="28.9" customHeight="1" thickTop="1" thickBot="1" x14ac:dyDescent="0.65">
      <c r="A568" s="7">
        <v>566</v>
      </c>
      <c r="B568" s="48" t="str">
        <f>HYPERLINK("https://search.naver.com/search.naver?query=더 루키 시즌2", "더 루키 시즌2")</f>
        <v>더 루키 시즌2</v>
      </c>
      <c r="C568" s="49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99" t="s">
        <v>3444</v>
      </c>
    </row>
    <row r="569" spans="1:10" ht="28.9" customHeight="1" thickTop="1" thickBot="1" x14ac:dyDescent="0.65">
      <c r="A569" s="7">
        <v>567</v>
      </c>
      <c r="B569" s="48" t="str">
        <f>HYPERLINK("https://search.naver.com/search.naver?query=더 루키 시즌3", "더 루키 시즌3")</f>
        <v>더 루키 시즌3</v>
      </c>
      <c r="C569" s="49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99" t="s">
        <v>3438</v>
      </c>
    </row>
    <row r="570" spans="1:10" ht="28.9" customHeight="1" thickTop="1" thickBot="1" x14ac:dyDescent="0.65">
      <c r="A570" s="7">
        <v>568</v>
      </c>
      <c r="B570" s="48" t="str">
        <f>HYPERLINK("https://search.naver.com/search.naver?query=더 루키 시즌4", "더 루키 시즌4")</f>
        <v>더 루키 시즌4</v>
      </c>
      <c r="C570" s="49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99" t="s">
        <v>3445</v>
      </c>
    </row>
    <row r="571" spans="1:10" ht="28.9" customHeight="1" thickTop="1" thickBot="1" x14ac:dyDescent="0.65">
      <c r="A571" s="7">
        <v>569</v>
      </c>
      <c r="B571" s="48" t="str">
        <f>HYPERLINK("https://search.naver.com/search.naver?query=더 루키 시즌5", "더 루키 시즌5")</f>
        <v>더 루키 시즌5</v>
      </c>
      <c r="C571" s="49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99" t="s">
        <v>3445</v>
      </c>
    </row>
    <row r="572" spans="1:10" ht="28.9" customHeight="1" thickTop="1" thickBot="1" x14ac:dyDescent="0.65">
      <c r="A572" s="7">
        <v>570</v>
      </c>
      <c r="B572" s="48" t="str">
        <f>HYPERLINK("https://search.naver.com/search.naver?query=더 루키 시즌6", "더 루키 시즌6")</f>
        <v>더 루키 시즌6</v>
      </c>
      <c r="C572" s="49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99" t="s">
        <v>3446</v>
      </c>
    </row>
    <row r="573" spans="1:10" ht="28.9" customHeight="1" thickTop="1" thickBot="1" x14ac:dyDescent="0.65">
      <c r="A573" s="5">
        <v>571</v>
      </c>
      <c r="B573" s="46" t="str">
        <f>HYPERLINK("https://search.naver.com/search.naver?query=더 룸2019 영화", "더 룸")</f>
        <v>더 룸</v>
      </c>
      <c r="C573" s="47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98" t="s">
        <v>3444</v>
      </c>
    </row>
    <row r="574" spans="1:10" ht="28.9" customHeight="1" thickTop="1" thickBot="1" x14ac:dyDescent="0.65">
      <c r="A574" s="3">
        <v>572</v>
      </c>
      <c r="B574" s="44" t="str">
        <f>HYPERLINK("https://search.naver.com/search.naver?query=더 리더 - 책 읽어주는 남자 영화", "더 리더 - 책 읽어주는 남자")</f>
        <v>더 리더 - 책 읽어주는 남자</v>
      </c>
      <c r="C574" s="45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97" t="s">
        <v>3450</v>
      </c>
    </row>
    <row r="575" spans="1:10" ht="28.9" customHeight="1" thickTop="1" thickBot="1" x14ac:dyDescent="0.65">
      <c r="A575" s="5">
        <v>573</v>
      </c>
      <c r="B575" s="46" t="str">
        <f>HYPERLINK("https://search.naver.com/search.naver?query=더 리버 와이 영화", "더 리버 와이")</f>
        <v>더 리버 와이</v>
      </c>
      <c r="C575" s="47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98" t="s">
        <v>3455</v>
      </c>
    </row>
    <row r="576" spans="1:10" ht="28.9" customHeight="1" thickTop="1" thickBot="1" x14ac:dyDescent="0.65">
      <c r="A576" s="3">
        <v>574</v>
      </c>
      <c r="B576" s="44" t="str">
        <f>HYPERLINK("https://search.naver.com/search.naver?query=더 리벤지 영화", "더 리벤지")</f>
        <v>더 리벤지</v>
      </c>
      <c r="C576" s="45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97" t="s">
        <v>3442</v>
      </c>
    </row>
    <row r="577" spans="1:10" ht="28.9" customHeight="1" thickTop="1" thickBot="1" x14ac:dyDescent="0.65">
      <c r="A577" s="5">
        <v>575</v>
      </c>
      <c r="B577" s="46" t="str">
        <f>HYPERLINK("https://search.naver.com/search.naver?query=더 리치 영화", "더 리치")</f>
        <v>더 리치</v>
      </c>
      <c r="C577" s="47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98" t="s">
        <v>3437</v>
      </c>
    </row>
    <row r="578" spans="1:10" ht="28.9" customHeight="1" thickTop="1" thickBot="1" x14ac:dyDescent="0.65">
      <c r="A578" s="3">
        <v>576</v>
      </c>
      <c r="B578" s="44" t="str">
        <f>HYPERLINK("https://search.naver.com/search.naver?query=더 리틀 띵스 영화", "더 리틀 띵스")</f>
        <v>더 리틀 띵스</v>
      </c>
      <c r="C578" s="45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97" t="s">
        <v>3438</v>
      </c>
    </row>
    <row r="579" spans="1:10" ht="28.9" customHeight="1" thickTop="1" thickBot="1" x14ac:dyDescent="0.65">
      <c r="A579" s="5">
        <v>577</v>
      </c>
      <c r="B579" s="46" t="str">
        <f>HYPERLINK("https://search.naver.com/search.naver?query=더 리포트 영화", "더 리포트")</f>
        <v>더 리포트</v>
      </c>
      <c r="C579" s="47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98" t="s">
        <v>3444</v>
      </c>
    </row>
    <row r="580" spans="1:10" ht="28.9" customHeight="1" thickTop="1" thickBot="1" x14ac:dyDescent="0.65">
      <c r="A580" s="3">
        <v>578</v>
      </c>
      <c r="B580" s="44" t="str">
        <f>HYPERLINK("https://search.naver.com/search.naver?query=더 리프 영화", "더 리프")</f>
        <v>더 리프</v>
      </c>
      <c r="C580" s="45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97" t="s">
        <v>3455</v>
      </c>
    </row>
    <row r="581" spans="1:10" ht="28.9" customHeight="1" thickTop="1" thickBot="1" x14ac:dyDescent="0.65">
      <c r="A581" s="5">
        <v>579</v>
      </c>
      <c r="B581" s="46" t="str">
        <f>HYPERLINK("https://search.naver.com/search.naver?query=더 립 영화", "더 립")</f>
        <v>더 립</v>
      </c>
      <c r="C581" s="47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98">
        <v>46047</v>
      </c>
    </row>
    <row r="582" spans="1:10" ht="28.9" customHeight="1" thickTop="1" thickBot="1" x14ac:dyDescent="0.65">
      <c r="A582" s="3">
        <v>580</v>
      </c>
      <c r="B582" s="44" t="str">
        <f>HYPERLINK("https://search.naver.com/search.naver?query=더 머시 영화", "더 머시")</f>
        <v>더 머시</v>
      </c>
      <c r="C582" s="45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97" t="s">
        <v>3442</v>
      </c>
    </row>
    <row r="583" spans="1:10" ht="28.9" customHeight="1" thickTop="1" thickBot="1" x14ac:dyDescent="0.65">
      <c r="A583" s="5">
        <v>581</v>
      </c>
      <c r="B583" s="46" t="str">
        <f>HYPERLINK("https://search.naver.com/search.naver?query=더 메들러 영화", "더 메들러")</f>
        <v>더 메들러</v>
      </c>
      <c r="C583" s="47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98" t="s">
        <v>3440</v>
      </c>
    </row>
    <row r="584" spans="1:10" ht="28.9" customHeight="1" thickTop="1" thickBot="1" x14ac:dyDescent="0.65">
      <c r="A584" s="7">
        <v>582</v>
      </c>
      <c r="B584" s="48" t="str">
        <f>HYPERLINK("https://search.naver.com/search.naver?query=더 모닝 쇼 시즌1", "더 모닝 쇼 시즌1")</f>
        <v>더 모닝 쇼 시즌1</v>
      </c>
      <c r="C584" s="49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99" t="s">
        <v>3444</v>
      </c>
    </row>
    <row r="585" spans="1:10" ht="28.9" customHeight="1" thickTop="1" thickBot="1" x14ac:dyDescent="0.65">
      <c r="A585" s="7">
        <v>583</v>
      </c>
      <c r="B585" s="48" t="str">
        <f>HYPERLINK("https://search.naver.com/search.naver?query=더 모닝 쇼 시즌2", "더 모닝 쇼 시즌2")</f>
        <v>더 모닝 쇼 시즌2</v>
      </c>
      <c r="C585" s="49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99" t="s">
        <v>3438</v>
      </c>
    </row>
    <row r="586" spans="1:10" ht="28.9" customHeight="1" thickTop="1" thickBot="1" x14ac:dyDescent="0.65">
      <c r="A586" s="3">
        <v>584</v>
      </c>
      <c r="B586" s="44" t="str">
        <f>HYPERLINK("https://search.naver.com/search.naver?query=더 문 영화", "더 문")</f>
        <v>더 문</v>
      </c>
      <c r="C586" s="45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97" t="s">
        <v>3446</v>
      </c>
    </row>
    <row r="587" spans="1:10" ht="28.9" customHeight="1" thickTop="1" thickBot="1" x14ac:dyDescent="0.65">
      <c r="A587" s="5">
        <v>585</v>
      </c>
      <c r="B587" s="46" t="str">
        <f>HYPERLINK("https://search.naver.com/search.naver?query=더 문 영화", "더 문")</f>
        <v>더 문</v>
      </c>
      <c r="C587" s="47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98" t="s">
        <v>3453</v>
      </c>
    </row>
    <row r="588" spans="1:10" ht="28.9" customHeight="1" thickTop="1" thickBot="1" x14ac:dyDescent="0.65">
      <c r="A588" s="3">
        <v>586</v>
      </c>
      <c r="B588" s="44" t="str">
        <f>HYPERLINK("https://search.naver.com/search.naver?query=더 바디 영화", "더 바디")</f>
        <v>더 바디</v>
      </c>
      <c r="C588" s="45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97" t="s">
        <v>3439</v>
      </c>
    </row>
    <row r="589" spans="1:10" ht="28.9" customHeight="1" thickTop="1" thickBot="1" x14ac:dyDescent="0.65">
      <c r="A589" s="5">
        <v>587</v>
      </c>
      <c r="B589" s="46" t="str">
        <f>HYPERLINK("https://search.naver.com/search.naver?query=더 백 맨 영화", "더 백 맨")</f>
        <v>더 백 맨</v>
      </c>
      <c r="C589" s="47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98" t="s">
        <v>3451</v>
      </c>
    </row>
    <row r="590" spans="1:10" ht="28.9" customHeight="1" thickTop="1" thickBot="1" x14ac:dyDescent="0.65">
      <c r="A590" s="3">
        <v>588</v>
      </c>
      <c r="B590" s="44" t="str">
        <f>HYPERLINK("https://search.naver.com/search.naver?query=더 뱅커 영화", "더 뱅커")</f>
        <v>더 뱅커</v>
      </c>
      <c r="C590" s="45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97" t="s">
        <v>3444</v>
      </c>
    </row>
    <row r="591" spans="1:10" ht="28.9" customHeight="1" thickTop="1" thickBot="1" x14ac:dyDescent="0.65">
      <c r="A591" s="5">
        <v>589</v>
      </c>
      <c r="B591" s="46" t="str">
        <f>HYPERLINK("https://search.naver.com/search.naver?query=더 버닝 씨 영화", "더 버닝 씨")</f>
        <v>더 버닝 씨</v>
      </c>
      <c r="C591" s="47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98" t="s">
        <v>3446</v>
      </c>
    </row>
    <row r="592" spans="1:10" ht="28.9" customHeight="1" thickTop="1" thickBot="1" x14ac:dyDescent="0.65">
      <c r="A592" s="3">
        <v>590</v>
      </c>
      <c r="B592" s="44" t="str">
        <f>HYPERLINK("https://search.naver.com/search.naver?query=더 버츄오소 영화", "더 버츄오소")</f>
        <v>더 버츄오소</v>
      </c>
      <c r="C592" s="45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97" t="s">
        <v>3438</v>
      </c>
    </row>
    <row r="593" spans="1:10" ht="28.9" customHeight="1" thickTop="1" thickBot="1" x14ac:dyDescent="0.65">
      <c r="A593" s="5">
        <v>591</v>
      </c>
      <c r="B593" s="46" t="str">
        <f>HYPERLINK("https://search.naver.com/search.naver?query=더 베스트 오브 에너미즈 영화", "더 베스트 오브 에너미즈")</f>
        <v>더 베스트 오브 에너미즈</v>
      </c>
      <c r="C593" s="47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98" t="s">
        <v>3444</v>
      </c>
    </row>
    <row r="594" spans="1:10" ht="28.9" customHeight="1" thickTop="1" thickBot="1" x14ac:dyDescent="0.65">
      <c r="A594" s="7">
        <v>592</v>
      </c>
      <c r="B594" s="48" t="str">
        <f>HYPERLINK("https://search.naver.com/search.naver?query=더 베일 드라마", "더 베일")</f>
        <v>더 베일</v>
      </c>
      <c r="C594" s="49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99" t="s">
        <v>3448</v>
      </c>
    </row>
    <row r="595" spans="1:10" ht="28.9" customHeight="1" thickTop="1" thickBot="1" x14ac:dyDescent="0.65">
      <c r="A595" s="5">
        <v>593</v>
      </c>
      <c r="B595" s="46" t="str">
        <f>HYPERLINK("https://search.naver.com/search.naver?query=더 보이 넥스트 도어", "더 보이 넥스트 도어")</f>
        <v>더 보이 넥스트 도어</v>
      </c>
      <c r="C595" s="47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98" t="s">
        <v>3440</v>
      </c>
    </row>
    <row r="596" spans="1:10" ht="28.9" customHeight="1" thickTop="1" thickBot="1" x14ac:dyDescent="0.65">
      <c r="A596" s="3">
        <v>594</v>
      </c>
      <c r="B596" s="44" t="str">
        <f>HYPERLINK("https://search.naver.com/search.naver?query=더 비지트 영화", "더 비지트")</f>
        <v>더 비지트</v>
      </c>
      <c r="C596" s="45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97" t="s">
        <v>3440</v>
      </c>
    </row>
    <row r="597" spans="1:10" ht="28.9" customHeight="1" thickTop="1" thickBot="1" x14ac:dyDescent="0.65">
      <c r="A597" s="5">
        <v>595</v>
      </c>
      <c r="B597" s="46" t="str">
        <f>HYPERLINK("https://search.naver.com/search.naver?query=더 서클 영화", "더 서클")</f>
        <v>더 서클</v>
      </c>
      <c r="C597" s="47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98" t="s">
        <v>3443</v>
      </c>
    </row>
    <row r="598" spans="1:10" ht="28.9" customHeight="1" thickTop="1" thickBot="1" x14ac:dyDescent="0.65">
      <c r="A598" s="3">
        <v>596</v>
      </c>
      <c r="B598" s="44" t="str">
        <f>HYPERLINK("https://search.naver.com/search.naver?query=더 셰프 영화", "더 셰프")</f>
        <v>더 셰프</v>
      </c>
      <c r="C598" s="45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97" t="s">
        <v>3440</v>
      </c>
    </row>
    <row r="599" spans="1:10" ht="28.9" customHeight="1" thickTop="1" thickBot="1" x14ac:dyDescent="0.65">
      <c r="A599" s="5">
        <v>597</v>
      </c>
      <c r="B599" s="46" t="str">
        <f>HYPERLINK("https://search.naver.com/search.naver?query=더 슈퍼 영화", "더 슈퍼")</f>
        <v>더 슈퍼</v>
      </c>
      <c r="C599" s="47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98" t="s">
        <v>3443</v>
      </c>
    </row>
    <row r="600" spans="1:10" ht="28.9" customHeight="1" thickTop="1" thickBot="1" x14ac:dyDescent="0.65">
      <c r="A600" s="3">
        <v>598</v>
      </c>
      <c r="B600" s="44" t="str">
        <f>HYPERLINK("https://search.naver.com/search.naver?query=더 스워브 영화", "더 스워브")</f>
        <v>더 스워브</v>
      </c>
      <c r="C600" s="45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97" t="s">
        <v>3444</v>
      </c>
    </row>
    <row r="601" spans="1:10" ht="28.9" customHeight="1" thickTop="1" thickBot="1" x14ac:dyDescent="0.65">
      <c r="A601" s="5">
        <v>599</v>
      </c>
      <c r="B601" s="46" t="str">
        <f>HYPERLINK("https://search.naver.com/search.naver?query=더 스토리:세상에 숨겨진 사랑 영화", "더 스토리 - 세상에 숨겨진 사랑")</f>
        <v>더 스토리 - 세상에 숨겨진 사랑</v>
      </c>
      <c r="C601" s="47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98" t="s">
        <v>3439</v>
      </c>
    </row>
    <row r="602" spans="1:10" ht="28.9" customHeight="1" thickTop="1" thickBot="1" x14ac:dyDescent="0.65">
      <c r="A602" s="3">
        <v>600</v>
      </c>
      <c r="B602" s="44" t="str">
        <f>HYPERLINK("https://search.naver.com/search.naver?query=더 스톰 영화", "더 스톰")</f>
        <v>더 스톰</v>
      </c>
      <c r="C602" s="45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97" t="s">
        <v>3453</v>
      </c>
    </row>
    <row r="603" spans="1:10" ht="28.9" customHeight="1" thickTop="1" thickBot="1" x14ac:dyDescent="0.65">
      <c r="A603" s="5">
        <v>601</v>
      </c>
      <c r="B603" s="46" t="str">
        <f>HYPERLINK("https://search.naver.com/search.naver?query=더 스파이 영화", "더 스파이")</f>
        <v>더 스파이</v>
      </c>
      <c r="C603" s="47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98" t="s">
        <v>3436</v>
      </c>
    </row>
    <row r="604" spans="1:10" ht="28.9" customHeight="1" thickTop="1" thickBot="1" x14ac:dyDescent="0.65">
      <c r="A604" s="7">
        <v>602</v>
      </c>
      <c r="B604" s="48" t="str">
        <f>HYPERLINK("https://search.naver.com/search.naver?query=더 스플릿 시즌1", "더 스플릿 시즌1")</f>
        <v>더 스플릿 시즌1</v>
      </c>
      <c r="C604" s="49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99" t="s">
        <v>3442</v>
      </c>
    </row>
    <row r="605" spans="1:10" ht="28.9" customHeight="1" thickTop="1" thickBot="1" x14ac:dyDescent="0.65">
      <c r="A605" s="5">
        <v>603</v>
      </c>
      <c r="B605" s="46" t="str">
        <f>HYPERLINK("https://search.naver.com/search.naver?query=더 시크릿 영화", "더 시크릿")</f>
        <v>더 시크릿</v>
      </c>
      <c r="C605" s="47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98" t="s">
        <v>3447</v>
      </c>
    </row>
    <row r="606" spans="1:10" ht="28.9" customHeight="1" thickTop="1" thickBot="1" x14ac:dyDescent="0.65">
      <c r="A606" s="3">
        <v>604</v>
      </c>
      <c r="B606" s="44" t="str">
        <f>HYPERLINK("https://search.naver.com/search.naver?query=더 시크릿 위 킵 영화", "더 시크릿 위 킵")</f>
        <v>더 시크릿 위 킵</v>
      </c>
      <c r="C606" s="45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97" t="s">
        <v>3436</v>
      </c>
    </row>
    <row r="607" spans="1:10" ht="28.9" customHeight="1" thickTop="1" thickBot="1" x14ac:dyDescent="0.65">
      <c r="A607" s="5">
        <v>605</v>
      </c>
      <c r="B607" s="46" t="str">
        <f>HYPERLINK("https://search.naver.com/search.naver?query=더 시크릿:데어 투 드림 영화", "더 시크릿-데어 투 드림")</f>
        <v>더 시크릿-데어 투 드림</v>
      </c>
      <c r="C607" s="47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98" t="s">
        <v>3436</v>
      </c>
    </row>
    <row r="608" spans="1:10" ht="28.9" customHeight="1" thickTop="1" thickBot="1" x14ac:dyDescent="0.65">
      <c r="A608" s="3">
        <v>606</v>
      </c>
      <c r="B608" s="44" t="str">
        <f>HYPERLINK("https://search.naver.com/search.naver?query=더 썬 영화", "더 썬")</f>
        <v>더 썬</v>
      </c>
      <c r="C608" s="45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97" t="s">
        <v>3446</v>
      </c>
    </row>
    <row r="609" spans="1:10" ht="28.9" customHeight="1" thickTop="1" thickBot="1" x14ac:dyDescent="0.65">
      <c r="A609" s="5">
        <v>607</v>
      </c>
      <c r="B609" s="46" t="str">
        <f>HYPERLINK("https://search.naver.com/search.naver?query=더 아웃포스트 영화", "더 아웃포스트")</f>
        <v>더 아웃포스트</v>
      </c>
      <c r="C609" s="47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98" t="s">
        <v>3436</v>
      </c>
    </row>
    <row r="610" spans="1:10" ht="28.9" customHeight="1" thickTop="1" thickBot="1" x14ac:dyDescent="0.65">
      <c r="A610" s="3">
        <v>608</v>
      </c>
      <c r="B610" s="44" t="str">
        <f>HYPERLINK("https://search.naver.com/search.naver?query=더 언홀리 영화", "더 언홀리")</f>
        <v>더 언홀리</v>
      </c>
      <c r="C610" s="45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97" t="s">
        <v>3438</v>
      </c>
    </row>
    <row r="611" spans="1:10" ht="28.9" customHeight="1" thickTop="1" thickBot="1" x14ac:dyDescent="0.65">
      <c r="A611" s="5">
        <v>609</v>
      </c>
      <c r="B611" s="46" t="str">
        <f>HYPERLINK("https://search.naver.com/search.naver?query=더 와이프 영화", "더 와이프")</f>
        <v>더 와이프</v>
      </c>
      <c r="C611" s="47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98" t="s">
        <v>3443</v>
      </c>
    </row>
    <row r="612" spans="1:10" ht="28.9" customHeight="1" thickTop="1" thickBot="1" x14ac:dyDescent="0.65">
      <c r="A612" s="3">
        <v>610</v>
      </c>
      <c r="B612" s="44" t="str">
        <f>HYPERLINK("https://search.naver.com/search.naver?query=더 울프 오브 월 스트리트 영화", "더 울프 오브 월 스트리트")</f>
        <v>더 울프 오브 월 스트리트</v>
      </c>
      <c r="C612" s="45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97" t="s">
        <v>3451</v>
      </c>
    </row>
    <row r="613" spans="1:10" ht="28.9" customHeight="1" thickTop="1" thickBot="1" x14ac:dyDescent="0.65">
      <c r="A613" s="5">
        <v>611</v>
      </c>
      <c r="B613" s="46" t="str">
        <f>HYPERLINK("https://search.naver.com/search.naver?query=더 웨딩 링거 영화", "더 웨딩 링거")</f>
        <v>더 웨딩 링거</v>
      </c>
      <c r="C613" s="47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98" t="s">
        <v>3440</v>
      </c>
    </row>
    <row r="614" spans="1:10" ht="28.9" customHeight="1" thickTop="1" thickBot="1" x14ac:dyDescent="0.65">
      <c r="A614" s="3">
        <v>612</v>
      </c>
      <c r="B614" s="44" t="str">
        <f>HYPERLINK("https://search.naver.com/search.naver?query=더 웨이 백 영화", "더 웨이 백")</f>
        <v>더 웨이 백</v>
      </c>
      <c r="C614" s="45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97" t="s">
        <v>3436</v>
      </c>
    </row>
    <row r="615" spans="1:10" ht="28.9" customHeight="1" thickTop="1" thickBot="1" x14ac:dyDescent="0.65">
      <c r="A615" s="5">
        <v>613</v>
      </c>
      <c r="B615" s="46" t="str">
        <f>HYPERLINK("https://search.naver.com/search.naver?query=더 웨이, 웨이 백 영화", "더 웨이, 웨이 백")</f>
        <v>더 웨이, 웨이 백</v>
      </c>
      <c r="C615" s="47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98" t="s">
        <v>3451</v>
      </c>
    </row>
    <row r="616" spans="1:10" ht="28.9" customHeight="1" thickTop="1" thickBot="1" x14ac:dyDescent="0.65">
      <c r="A616" s="3">
        <v>614</v>
      </c>
      <c r="B616" s="44" t="str">
        <f>HYPERLINK("https://search.naver.com/search.naver?query=더 웨이브 영화", "더 웨이브")</f>
        <v>더 웨이브</v>
      </c>
      <c r="C616" s="45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97" t="s">
        <v>3440</v>
      </c>
    </row>
    <row r="617" spans="1:10" ht="28.9" customHeight="1" thickTop="1" thickBot="1" x14ac:dyDescent="0.65">
      <c r="A617" s="5">
        <v>615</v>
      </c>
      <c r="B617" s="46" t="str">
        <f>HYPERLINK("https://search.naver.com/search.naver?query=더 유니온 영화", "더 유니온")</f>
        <v>더 유니온</v>
      </c>
      <c r="C617" s="47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98" t="s">
        <v>3448</v>
      </c>
    </row>
    <row r="618" spans="1:10" ht="28.9" customHeight="1" thickTop="1" thickBot="1" x14ac:dyDescent="0.65">
      <c r="A618" s="3">
        <v>616</v>
      </c>
      <c r="B618" s="44" t="str">
        <f>HYPERLINK("https://search.naver.com/search.naver?query=더 이퀄라이저 영화", "더 이퀄라이저")</f>
        <v>더 이퀄라이저</v>
      </c>
      <c r="C618" s="45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97" t="s">
        <v>3437</v>
      </c>
    </row>
    <row r="619" spans="1:10" ht="28.9" customHeight="1" thickTop="1" thickBot="1" x14ac:dyDescent="0.65">
      <c r="A619" s="5">
        <v>617</v>
      </c>
      <c r="B619" s="46" t="str">
        <f>HYPERLINK("https://search.naver.com/search.naver?query=더 이퀄라이저 2 영화", "더 이퀄라이저 2")</f>
        <v>더 이퀄라이저 2</v>
      </c>
      <c r="C619" s="47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98" t="s">
        <v>3442</v>
      </c>
    </row>
    <row r="620" spans="1:10" ht="28.9" customHeight="1" thickTop="1" thickBot="1" x14ac:dyDescent="0.65">
      <c r="A620" s="3">
        <v>618</v>
      </c>
      <c r="B620" s="44" t="str">
        <f>HYPERLINK("https://search.naver.com/search.naver?query=더 이퀄라이저 3 영화", "더 이퀄라이저 3")</f>
        <v>더 이퀄라이저 3</v>
      </c>
      <c r="C620" s="45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97" t="s">
        <v>3446</v>
      </c>
    </row>
    <row r="621" spans="1:10" ht="28.9" customHeight="1" thickTop="1" thickBot="1" x14ac:dyDescent="0.65">
      <c r="A621" s="5">
        <v>619</v>
      </c>
      <c r="B621" s="46" t="str">
        <f>HYPERLINK("https://search.naver.com/search.naver?query=더 익스프레스 영화", "더 익스프레스")</f>
        <v>더 익스프레스</v>
      </c>
      <c r="C621" s="47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98" t="s">
        <v>3450</v>
      </c>
    </row>
    <row r="622" spans="1:10" ht="28.9" customHeight="1" thickTop="1" thickBot="1" x14ac:dyDescent="0.65">
      <c r="A622" s="3">
        <v>620</v>
      </c>
      <c r="B622" s="44" t="str">
        <f>HYPERLINK("https://search.naver.com/search.naver?query=더 임파서블 영화", "더 임파서블")</f>
        <v>더 임파서블</v>
      </c>
      <c r="C622" s="45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97" t="s">
        <v>3439</v>
      </c>
    </row>
    <row r="623" spans="1:10" ht="28.9" customHeight="1" thickTop="1" thickBot="1" x14ac:dyDescent="0.65">
      <c r="A623" s="5">
        <v>621</v>
      </c>
      <c r="B623" s="46" t="str">
        <f>HYPERLINK("https://search.naver.com/search.naver?query=더 저지 영화", "더 저지")</f>
        <v>더 저지</v>
      </c>
      <c r="C623" s="47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98" t="s">
        <v>3437</v>
      </c>
    </row>
    <row r="624" spans="1:10" ht="28.9" customHeight="1" thickTop="1" thickBot="1" x14ac:dyDescent="0.65">
      <c r="A624" s="3">
        <v>622</v>
      </c>
      <c r="B624" s="44" t="str">
        <f>HYPERLINK("https://search.naver.com/search.naver?query=더 카드 카운터 영화", "더 카드 카운터")</f>
        <v>더 카드 카운터</v>
      </c>
      <c r="C624" s="45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97" t="s">
        <v>3438</v>
      </c>
    </row>
    <row r="625" spans="1:10" ht="28.9" customHeight="1" thickTop="1" thickBot="1" x14ac:dyDescent="0.65">
      <c r="A625" s="5">
        <v>623</v>
      </c>
      <c r="B625" s="46" t="str">
        <f>HYPERLINK("https://search.naver.com/search.naver?query=더 캐니언 영화", "더 캐니언")</f>
        <v>더 캐니언</v>
      </c>
      <c r="C625" s="47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98" t="s">
        <v>3459</v>
      </c>
    </row>
    <row r="626" spans="1:10" ht="28.9" customHeight="1" thickTop="1" thickBot="1" x14ac:dyDescent="0.65">
      <c r="A626" s="7">
        <v>624</v>
      </c>
      <c r="B626" s="48" t="str">
        <f>HYPERLINK("https://search.naver.com/search.naver?query=더 캡처 드라마", "더 캡처 시즌1")</f>
        <v>더 캡처 시즌1</v>
      </c>
      <c r="C626" s="49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99" t="s">
        <v>3444</v>
      </c>
    </row>
    <row r="627" spans="1:10" ht="28.9" customHeight="1" thickTop="1" thickBot="1" x14ac:dyDescent="0.65">
      <c r="A627" s="7">
        <v>625</v>
      </c>
      <c r="B627" s="48" t="str">
        <f>HYPERLINK("https://search.naver.com/search.naver?query=더 캡처 시즌2", "더 캡처 시즌2")</f>
        <v>더 캡처 시즌2</v>
      </c>
      <c r="C627" s="49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99" t="s">
        <v>3445</v>
      </c>
    </row>
    <row r="628" spans="1:10" ht="28.9" customHeight="1" thickTop="1" thickBot="1" x14ac:dyDescent="0.65">
      <c r="A628" s="3">
        <v>626</v>
      </c>
      <c r="B628" s="44" t="str">
        <f>HYPERLINK("https://search.naver.com/search.naver?query=더 캡틴 영화", "더 캡틴")</f>
        <v>더 캡틴</v>
      </c>
      <c r="C628" s="45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97" t="s">
        <v>3443</v>
      </c>
    </row>
    <row r="629" spans="1:10" ht="28.9" customHeight="1" thickTop="1" thickBot="1" x14ac:dyDescent="0.65">
      <c r="A629" s="5">
        <v>627</v>
      </c>
      <c r="B629" s="46" t="str">
        <f>HYPERLINK("https://search.naver.com/search.naver?query=더 커리어 영화", "더 커리어")</f>
        <v>더 커리어</v>
      </c>
      <c r="C629" s="47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98" t="s">
        <v>3444</v>
      </c>
    </row>
    <row r="630" spans="1:10" ht="28.9" customHeight="1" thickTop="1" thickBot="1" x14ac:dyDescent="0.65">
      <c r="A630" s="3">
        <v>628</v>
      </c>
      <c r="B630" s="44" t="str">
        <f>HYPERLINK("https://search.naver.com/search.naver?query=더 커버넌트 영화", "더 커버넌트")</f>
        <v>더 커버넌트</v>
      </c>
      <c r="C630" s="45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97" t="s">
        <v>3446</v>
      </c>
    </row>
    <row r="631" spans="1:10" ht="28.9" customHeight="1" thickTop="1" thickBot="1" x14ac:dyDescent="0.65">
      <c r="A631" s="5">
        <v>629</v>
      </c>
      <c r="B631" s="46" t="str">
        <f>HYPERLINK("https://search.naver.com/search.naver?query=더 컨트랙터 영화", "더 컨트랙터")</f>
        <v>더 컨트랙터</v>
      </c>
      <c r="C631" s="47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98" t="s">
        <v>3445</v>
      </c>
    </row>
    <row r="632" spans="1:10" ht="28.9" customHeight="1" thickTop="1" thickBot="1" x14ac:dyDescent="0.65">
      <c r="A632" s="3">
        <v>630</v>
      </c>
      <c r="B632" s="44" t="str">
        <f>HYPERLINK("https://search.naver.com/search.naver?query=더 컴퍼니 맨 영화", "더 컴퍼니 맨")</f>
        <v>더 컴퍼니 맨</v>
      </c>
      <c r="C632" s="45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97" t="s">
        <v>3455</v>
      </c>
    </row>
    <row r="633" spans="1:10" ht="28.9" customHeight="1" thickTop="1" thickBot="1" x14ac:dyDescent="0.65">
      <c r="A633" s="5">
        <v>631</v>
      </c>
      <c r="B633" s="46" t="str">
        <f>HYPERLINK("https://search.naver.com/search.naver?query=더 콘서트 영화", "더 콘서트")</f>
        <v>더 콘서트</v>
      </c>
      <c r="C633" s="47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98" t="s">
        <v>3453</v>
      </c>
    </row>
    <row r="634" spans="1:10" ht="28.9" customHeight="1" thickTop="1" thickBot="1" x14ac:dyDescent="0.65">
      <c r="A634" s="3">
        <v>632</v>
      </c>
      <c r="B634" s="44" t="str">
        <f>HYPERLINK("https://search.naver.com/search.naver?query=더 콜 영화", "더 콜")</f>
        <v>더 콜</v>
      </c>
      <c r="C634" s="45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97" t="s">
        <v>3451</v>
      </c>
    </row>
    <row r="635" spans="1:10" ht="28.9" customHeight="1" thickTop="1" thickBot="1" x14ac:dyDescent="0.65">
      <c r="A635" s="5">
        <v>633</v>
      </c>
      <c r="B635" s="46" t="str">
        <f>HYPERLINK("https://search.naver.com/search.naver?query=더 콜 오브 더 와일드 영화", "더 콜 오브 더 와일드")</f>
        <v>더 콜 오브 더 와일드</v>
      </c>
      <c r="C635" s="47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98" t="s">
        <v>3436</v>
      </c>
    </row>
    <row r="636" spans="1:10" ht="28.9" customHeight="1" thickTop="1" thickBot="1" x14ac:dyDescent="0.65">
      <c r="A636" s="3">
        <v>634</v>
      </c>
      <c r="B636" s="44" t="str">
        <f>HYPERLINK("https://search.naver.com/search.naver?query=더 콜링 영화", "더 콜링")</f>
        <v>더 콜링</v>
      </c>
      <c r="C636" s="45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97" t="s">
        <v>3437</v>
      </c>
    </row>
    <row r="637" spans="1:10" ht="28.9" customHeight="1" thickTop="1" thickBot="1" x14ac:dyDescent="0.65">
      <c r="A637" s="5">
        <v>635</v>
      </c>
      <c r="B637" s="46" t="str">
        <f>HYPERLINK("https://search.naver.com/search.naver?query=더 퀘에이크 영화", "더 퀘에이크")</f>
        <v>더 퀘에이크</v>
      </c>
      <c r="C637" s="47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98" t="s">
        <v>3442</v>
      </c>
    </row>
    <row r="638" spans="1:10" ht="28.9" customHeight="1" thickTop="1" thickBot="1" x14ac:dyDescent="0.65">
      <c r="A638" s="3">
        <v>636</v>
      </c>
      <c r="B638" s="44" t="str">
        <f>HYPERLINK("https://search.naver.com/search.naver?query=더 퀸 영화", "더 퀸")</f>
        <v>더 퀸</v>
      </c>
      <c r="C638" s="45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97" t="s">
        <v>3460</v>
      </c>
    </row>
    <row r="639" spans="1:10" ht="28.9" customHeight="1" thickTop="1" thickBot="1" x14ac:dyDescent="0.65">
      <c r="A639" s="7">
        <v>637</v>
      </c>
      <c r="B639" s="48" t="str">
        <f>HYPERLINK("https://search.naver.com/search.naver?query=더 크라운 시즌1", "더 크라운 시즌1")</f>
        <v>더 크라운 시즌1</v>
      </c>
      <c r="C639" s="49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99" t="s">
        <v>3441</v>
      </c>
    </row>
    <row r="640" spans="1:10" ht="28.9" customHeight="1" thickTop="1" thickBot="1" x14ac:dyDescent="0.65">
      <c r="A640" s="7">
        <v>638</v>
      </c>
      <c r="B640" s="48" t="str">
        <f>HYPERLINK("https://search.naver.com/search.naver?query=더 크라운 시즌2", "더 크라운 시즌2")</f>
        <v>더 크라운 시즌2</v>
      </c>
      <c r="C640" s="49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99" t="s">
        <v>3443</v>
      </c>
    </row>
    <row r="641" spans="1:10" ht="28.9" customHeight="1" thickTop="1" thickBot="1" x14ac:dyDescent="0.65">
      <c r="A641" s="7">
        <v>639</v>
      </c>
      <c r="B641" s="48" t="str">
        <f>HYPERLINK("https://search.naver.com/search.naver?query=더 크라운 시즌3", "더 크라운 시즌3")</f>
        <v>더 크라운 시즌3</v>
      </c>
      <c r="C641" s="49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99" t="s">
        <v>3444</v>
      </c>
    </row>
    <row r="642" spans="1:10" ht="28.9" customHeight="1" thickTop="1" thickBot="1" x14ac:dyDescent="0.65">
      <c r="A642" s="7">
        <v>640</v>
      </c>
      <c r="B642" s="48" t="str">
        <f>HYPERLINK("https://search.naver.com/search.naver?query=더 크라운 시즌4", "더 크라운 시즌4")</f>
        <v>더 크라운 시즌4</v>
      </c>
      <c r="C642" s="49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99" t="s">
        <v>3436</v>
      </c>
    </row>
    <row r="643" spans="1:10" ht="28.9" customHeight="1" thickTop="1" thickBot="1" x14ac:dyDescent="0.65">
      <c r="A643" s="7">
        <v>641</v>
      </c>
      <c r="B643" s="48" t="str">
        <f>HYPERLINK("https://search.naver.com/search.naver?query=더 크라운 시즌5", "더 크라운 시즌5")</f>
        <v>더 크라운 시즌5</v>
      </c>
      <c r="C643" s="49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99" t="s">
        <v>3445</v>
      </c>
    </row>
    <row r="644" spans="1:10" ht="28.9" customHeight="1" thickTop="1" thickBot="1" x14ac:dyDescent="0.65">
      <c r="A644" s="7">
        <v>642</v>
      </c>
      <c r="B644" s="48" t="str">
        <f>HYPERLINK("https://search.naver.com/search.naver?query=더 크라운 시즌6 파트1", "더 크라운 시즌6 파트1")</f>
        <v>더 크라운 시즌6 파트1</v>
      </c>
      <c r="C644" s="49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99" t="s">
        <v>3446</v>
      </c>
    </row>
    <row r="645" spans="1:10" ht="28.9" customHeight="1" thickTop="1" thickBot="1" x14ac:dyDescent="0.65">
      <c r="A645" s="7">
        <v>643</v>
      </c>
      <c r="B645" s="48" t="str">
        <f>HYPERLINK("https://search.naver.com/search.naver?query=더 크라운 시즌6 파트2", "더 크라운 시즌6 파트2")</f>
        <v>더 크라운 시즌6 파트2</v>
      </c>
      <c r="C645" s="49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99" t="s">
        <v>3446</v>
      </c>
    </row>
    <row r="646" spans="1:10" ht="28.9" customHeight="1" thickTop="1" thickBot="1" x14ac:dyDescent="0.65">
      <c r="A646" s="3">
        <v>644</v>
      </c>
      <c r="B646" s="44" t="str">
        <f>HYPERLINK("https://search.naver.com/search.naver?query=더 클럽 영화", "더 클럽")</f>
        <v>더 클럽</v>
      </c>
      <c r="C646" s="45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97" t="s">
        <v>3440</v>
      </c>
    </row>
    <row r="647" spans="1:10" ht="28.9" customHeight="1" thickTop="1" thickBot="1" x14ac:dyDescent="0.65">
      <c r="A647" s="5">
        <v>645</v>
      </c>
      <c r="B647" s="46" t="str">
        <f>HYPERLINK("https://search.naver.com/search.naver?query=더 키친 영화", "더 키친")</f>
        <v>더 키친</v>
      </c>
      <c r="C647" s="47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98" t="s">
        <v>3444</v>
      </c>
    </row>
    <row r="648" spans="1:10" ht="28.9" customHeight="1" thickTop="1" thickBot="1" x14ac:dyDescent="0.65">
      <c r="A648" s="3">
        <v>646</v>
      </c>
      <c r="B648" s="44" t="str">
        <f>HYPERLINK("https://search.naver.com/search.naver?query=더 킬러스 영화", "더 킬러스")</f>
        <v>더 킬러스</v>
      </c>
      <c r="C648" s="45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97" t="s">
        <v>3439</v>
      </c>
    </row>
    <row r="649" spans="1:10" ht="28.9" customHeight="1" thickTop="1" thickBot="1" x14ac:dyDescent="0.65">
      <c r="A649" s="5">
        <v>647</v>
      </c>
      <c r="B649" s="46" t="str">
        <f>HYPERLINK("https://search.naver.com/search.naver?query=더 킬링 오브 어 세이크리드 디어 영화", "더 킬링 오브 어 세이크리드 디어")</f>
        <v>더 킬링 오브 어 세이크리드 디어</v>
      </c>
      <c r="C649" s="47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98" t="s">
        <v>3443</v>
      </c>
    </row>
    <row r="650" spans="1:10" ht="28.9" customHeight="1" thickTop="1" thickBot="1" x14ac:dyDescent="0.65">
      <c r="A650" s="3">
        <v>648</v>
      </c>
      <c r="B650" s="44" t="str">
        <f>HYPERLINK("https://search.naver.com/search.naver?query=더 킹 영화", "더 킹")</f>
        <v>더 킹</v>
      </c>
      <c r="C650" s="45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97" t="s">
        <v>3441</v>
      </c>
    </row>
    <row r="651" spans="1:10" ht="28.9" customHeight="1" thickTop="1" thickBot="1" x14ac:dyDescent="0.65">
      <c r="A651" s="5">
        <v>649</v>
      </c>
      <c r="B651" s="46" t="str">
        <f>HYPERLINK("https://search.naver.com/search.naver?query=더 테너 리리코 스핀토 영화", "더 테너 리리코 스핀토")</f>
        <v>더 테너 리리코 스핀토</v>
      </c>
      <c r="C651" s="47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98" t="s">
        <v>3437</v>
      </c>
    </row>
    <row r="652" spans="1:10" ht="28.9" customHeight="1" thickTop="1" thickBot="1" x14ac:dyDescent="0.65">
      <c r="A652" s="3">
        <v>650</v>
      </c>
      <c r="B652" s="44" t="str">
        <f>HYPERLINK("https://namu.wiki/w/%EB%8D%94%20%ED%85%8C%EB%9F%AC%20%EB%9D%BC%EC%9D%B4%EB%B8%8C", "더 테러 라이브")</f>
        <v>더 테러 라이브</v>
      </c>
      <c r="C652" s="45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97" t="s">
        <v>3451</v>
      </c>
    </row>
    <row r="653" spans="1:10" ht="28.9" customHeight="1" thickTop="1" thickBot="1" x14ac:dyDescent="0.65">
      <c r="A653" s="5">
        <v>651</v>
      </c>
      <c r="B653" s="46" t="str">
        <f>HYPERLINK("https://search.naver.com/search.naver?query=더 트러스트 영화", "더 트러스트")</f>
        <v>더 트러스트</v>
      </c>
      <c r="C653" s="47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98" t="s">
        <v>3441</v>
      </c>
    </row>
    <row r="654" spans="1:10" ht="28.9" customHeight="1" thickTop="1" thickBot="1" x14ac:dyDescent="0.65">
      <c r="A654" s="3">
        <v>652</v>
      </c>
      <c r="B654" s="44" t="str">
        <f>HYPERLINK("https://search.naver.com/search.naver?query=더 트루스-무언의 제보자 영화", "더 트루스-무언의 제보자")</f>
        <v>더 트루스-무언의 제보자</v>
      </c>
      <c r="C654" s="45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97" t="s">
        <v>3444</v>
      </c>
    </row>
    <row r="655" spans="1:10" ht="28.9" customHeight="1" thickTop="1" thickBot="1" x14ac:dyDescent="0.65">
      <c r="A655" s="5">
        <v>653</v>
      </c>
      <c r="B655" s="46" t="str">
        <f>HYPERLINK("https://search.naver.com/search.naver?query=더 트리 영화", "더 트리")</f>
        <v>더 트리</v>
      </c>
      <c r="C655" s="47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98" t="s">
        <v>3455</v>
      </c>
    </row>
    <row r="656" spans="1:10" ht="28.9" customHeight="1" thickTop="1" thickBot="1" x14ac:dyDescent="0.65">
      <c r="A656" s="3">
        <v>654</v>
      </c>
      <c r="B656" s="44" t="str">
        <f>HYPERLINK("https://search.naver.com/search.naver?query=더 파나틱 영화", "더 파나틱")</f>
        <v>더 파나틱</v>
      </c>
      <c r="C656" s="45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97" t="s">
        <v>3444</v>
      </c>
    </row>
    <row r="657" spans="1:10" ht="28.9" customHeight="1" thickTop="1" thickBot="1" x14ac:dyDescent="0.65">
      <c r="A657" s="5">
        <v>655</v>
      </c>
      <c r="B657" s="46" t="str">
        <f>HYPERLINK("https://search.naver.com/search.naver?query=더 파더 영화", "더 파더")</f>
        <v>더 파더</v>
      </c>
      <c r="C657" s="47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98" t="s">
        <v>3436</v>
      </c>
    </row>
    <row r="658" spans="1:10" ht="28.9" customHeight="1" thickTop="1" thickBot="1" x14ac:dyDescent="0.65">
      <c r="A658" s="3">
        <v>656</v>
      </c>
      <c r="B658" s="44" t="str">
        <f>HYPERLINK("https://search.naver.com/search.naver?query=더 파이니스트 아워스 영화", "더 파이니스트 아워스")</f>
        <v>더 파이니스트 아워스</v>
      </c>
      <c r="C658" s="45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97" t="s">
        <v>3441</v>
      </c>
    </row>
    <row r="659" spans="1:10" ht="28.9" customHeight="1" thickTop="1" thickBot="1" x14ac:dyDescent="0.65">
      <c r="A659" s="5">
        <v>657</v>
      </c>
      <c r="B659" s="46" t="str">
        <f>HYPERLINK("https://search.naver.com/search.naver?query=더 파이브 영화", "더 파이브")</f>
        <v>더 파이브</v>
      </c>
      <c r="C659" s="47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98" t="s">
        <v>3451</v>
      </c>
    </row>
    <row r="660" spans="1:10" ht="28.9" customHeight="1" thickTop="1" thickBot="1" x14ac:dyDescent="0.65">
      <c r="A660" s="3">
        <v>658</v>
      </c>
      <c r="B660" s="44" t="str">
        <f>HYPERLINK("https://search.naver.com/search.naver?query=더 파츠 유 루즈 영화", "더 파츠 유 루즈")</f>
        <v>더 파츠 유 루즈</v>
      </c>
      <c r="C660" s="45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97" t="s">
        <v>3444</v>
      </c>
    </row>
    <row r="661" spans="1:10" ht="28.9" customHeight="1" thickTop="1" thickBot="1" x14ac:dyDescent="0.65">
      <c r="A661" s="5">
        <v>659</v>
      </c>
      <c r="B661" s="46" t="str">
        <f>HYPERLINK("https://search.naver.com/search.naver?query=더 팩토리 영화", "더 팩토리")</f>
        <v>더 팩토리</v>
      </c>
      <c r="C661" s="47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98" t="s">
        <v>3454</v>
      </c>
    </row>
    <row r="662" spans="1:10" ht="28.9" customHeight="1" thickTop="1" thickBot="1" x14ac:dyDescent="0.65">
      <c r="A662" s="3">
        <v>660</v>
      </c>
      <c r="B662" s="44" t="str">
        <f>HYPERLINK("https://search.naver.com/search.naver?query=더 퍼지 : 거리의 반란 영화", "더 퍼지 - 거리의 반란")</f>
        <v>더 퍼지 - 거리의 반란</v>
      </c>
      <c r="C662" s="45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97" t="s">
        <v>3437</v>
      </c>
    </row>
    <row r="663" spans="1:10" ht="28.9" customHeight="1" thickTop="1" thickBot="1" x14ac:dyDescent="0.65">
      <c r="A663" s="5">
        <v>661</v>
      </c>
      <c r="B663" s="46" t="str">
        <f>HYPERLINK("https://search.naver.com/search.naver?query=더 페이버릿:여왕의 여자 영화", "더 페이버릿-여왕의 여자")</f>
        <v>더 페이버릿-여왕의 여자</v>
      </c>
      <c r="C663" s="47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98" t="s">
        <v>3442</v>
      </c>
    </row>
    <row r="664" spans="1:10" ht="28.9" customHeight="1" thickTop="1" thickBot="1" x14ac:dyDescent="0.65">
      <c r="A664" s="3">
        <v>662</v>
      </c>
      <c r="B664" s="44" t="str">
        <f>HYPERLINK("https://search.naver.com/search.naver?query=더 펜서", "더 펜서")</f>
        <v>더 펜서</v>
      </c>
      <c r="C664" s="45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97" t="s">
        <v>3440</v>
      </c>
    </row>
    <row r="665" spans="1:10" ht="28.9" customHeight="1" thickTop="1" thickBot="1" x14ac:dyDescent="0.65">
      <c r="A665" s="5">
        <v>663</v>
      </c>
      <c r="B665" s="46" t="str">
        <f>HYPERLINK("https://search.naver.com/search.naver?query=더 포가튼 배틀 영화", "더 포가튼 배틀")</f>
        <v>더 포가튼 배틀</v>
      </c>
      <c r="C665" s="47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98" t="s">
        <v>3438</v>
      </c>
    </row>
    <row r="666" spans="1:10" ht="28.9" customHeight="1" thickTop="1" thickBot="1" x14ac:dyDescent="0.65">
      <c r="A666" s="3">
        <v>664</v>
      </c>
      <c r="B666" s="44" t="str">
        <f>HYPERLINK("https://search.naver.com/search.naver?query=더 포리너 영화", "더 포리너")</f>
        <v>더 포리너</v>
      </c>
      <c r="C666" s="45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97" t="s">
        <v>3443</v>
      </c>
    </row>
    <row r="667" spans="1:10" ht="28.9" customHeight="1" thickTop="1" thickBot="1" x14ac:dyDescent="0.65">
      <c r="A667" s="5">
        <v>665</v>
      </c>
      <c r="B667" s="46" t="str">
        <f>HYPERLINK("https://search.naver.com/search.naver?query=더 포스트 영화", "더 포스트")</f>
        <v>더 포스트</v>
      </c>
      <c r="C667" s="47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98" t="s">
        <v>3443</v>
      </c>
    </row>
    <row r="668" spans="1:10" ht="28.9" customHeight="1" thickTop="1" thickBot="1" x14ac:dyDescent="0.65">
      <c r="A668" s="3">
        <v>666</v>
      </c>
      <c r="B668" s="44" t="str">
        <f>HYPERLINK("https://search.naver.com/search.naver?query=더 포저 영화", "더 포저")</f>
        <v>더 포저</v>
      </c>
      <c r="C668" s="45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97" t="s">
        <v>3437</v>
      </c>
    </row>
    <row r="669" spans="1:10" ht="28.9" customHeight="1" thickTop="1" thickBot="1" x14ac:dyDescent="0.65">
      <c r="A669" s="5">
        <v>667</v>
      </c>
      <c r="B669" s="46" t="str">
        <f>HYPERLINK("https://search.naver.com/search.naver?query=더 폰 영화", "더 폰")</f>
        <v>더 폰</v>
      </c>
      <c r="C669" s="47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98" t="s">
        <v>3440</v>
      </c>
    </row>
    <row r="670" spans="1:10" ht="28.9" customHeight="1" thickTop="1" thickBot="1" x14ac:dyDescent="0.65">
      <c r="A670" s="3">
        <v>668</v>
      </c>
      <c r="B670" s="44" t="str">
        <f>HYPERLINK("https://search.naver.com/search.naver?query=더 프로즌 그라운드 영화", "더 프로즌 그라운드")</f>
        <v>더 프로즌 그라운드</v>
      </c>
      <c r="C670" s="45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97" t="s">
        <v>3439</v>
      </c>
    </row>
    <row r="671" spans="1:10" ht="28.9" customHeight="1" thickTop="1" thickBot="1" x14ac:dyDescent="0.65">
      <c r="A671" s="5">
        <v>669</v>
      </c>
      <c r="B671" s="46" t="str">
        <f>HYPERLINK("https://search.naver.com/search.naver?query=더 프로티지 영화", "더 프로티지")</f>
        <v>더 프로티지</v>
      </c>
      <c r="C671" s="47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98" t="s">
        <v>3438</v>
      </c>
    </row>
    <row r="672" spans="1:10" ht="28.9" customHeight="1" thickTop="1" thickBot="1" x14ac:dyDescent="0.65">
      <c r="A672" s="3">
        <v>670</v>
      </c>
      <c r="B672" s="44" t="str">
        <f>HYPERLINK("https://search.naver.com/search.naver?query=더 프로페서 앤 더 매드맨 영화", "더 프로페서 앤 더 매드맨")</f>
        <v>더 프로페서 앤 더 매드맨</v>
      </c>
      <c r="C672" s="45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97" t="s">
        <v>3444</v>
      </c>
    </row>
    <row r="673" spans="1:10" ht="28.9" customHeight="1" thickTop="1" thickBot="1" x14ac:dyDescent="0.65">
      <c r="A673" s="5">
        <v>671</v>
      </c>
      <c r="B673" s="46" t="str">
        <f>HYPERLINK("https://search.naver.com/search.naver?query=더 하드 웨이 영화", "더 하드 웨이")</f>
        <v>더 하드 웨이</v>
      </c>
      <c r="C673" s="47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98" t="s">
        <v>3444</v>
      </c>
    </row>
    <row r="674" spans="1:10" ht="28.9" customHeight="1" thickTop="1" thickBot="1" x14ac:dyDescent="0.65">
      <c r="A674" s="3">
        <v>672</v>
      </c>
      <c r="B674" s="44" t="str">
        <f>HYPERLINK("https://search.naver.com/search.naver?query=더 허슬 영화", "더 허슬")</f>
        <v>더 허슬</v>
      </c>
      <c r="C674" s="45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97" t="s">
        <v>3444</v>
      </c>
    </row>
    <row r="675" spans="1:10" ht="28.9" customHeight="1" thickTop="1" thickBot="1" x14ac:dyDescent="0.65">
      <c r="A675" s="5">
        <v>673</v>
      </c>
      <c r="B675" s="46" t="str">
        <f>HYPERLINK("https://search.naver.com/search.naver?query=더 홈즈맨 영화", "더 홈즈맨")</f>
        <v>더 홈즈맨</v>
      </c>
      <c r="C675" s="47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98" t="s">
        <v>3437</v>
      </c>
    </row>
    <row r="676" spans="1:10" ht="28.9" customHeight="1" thickTop="1" thickBot="1" x14ac:dyDescent="0.65">
      <c r="A676" s="3">
        <v>674</v>
      </c>
      <c r="B676" s="44" t="str">
        <f>HYPERLINK("https://search.naver.com/search.naver?query=더 휴머니티 뷰로 영화", "더 휴머니티 뷰로")</f>
        <v>더 휴머니티 뷰로</v>
      </c>
      <c r="C676" s="45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97" t="s">
        <v>3443</v>
      </c>
    </row>
    <row r="677" spans="1:10" ht="28.9" customHeight="1" thickTop="1" thickBot="1" x14ac:dyDescent="0.65">
      <c r="A677" s="5">
        <v>675</v>
      </c>
      <c r="B677" s="46" t="str">
        <f>HYPERLINK("https://search.naver.com/search.naver?query=더 히든 영화", "더 히든")</f>
        <v>더 히든</v>
      </c>
      <c r="C677" s="47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98" t="s">
        <v>3436</v>
      </c>
    </row>
    <row r="678" spans="1:10" ht="28.9" customHeight="1" thickTop="1" thickBot="1" x14ac:dyDescent="0.65">
      <c r="A678" s="3">
        <v>676</v>
      </c>
      <c r="B678" s="44" t="str">
        <f>HYPERLINK("https://search.naver.com/search.naver?query=더도어 영화", "더도어")</f>
        <v>더도어</v>
      </c>
      <c r="C678" s="45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97" t="s">
        <v>3455</v>
      </c>
    </row>
    <row r="679" spans="1:10" ht="28.9" customHeight="1" thickTop="1" thickBot="1" x14ac:dyDescent="0.65">
      <c r="A679" s="5">
        <v>677</v>
      </c>
      <c r="B679" s="46" t="str">
        <f>HYPERLINK("https://search.naver.com/search.naver?query=더박스 영화", "더박스")</f>
        <v>더박스</v>
      </c>
      <c r="C679" s="47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98" t="s">
        <v>3453</v>
      </c>
    </row>
    <row r="680" spans="1:10" ht="28.9" customHeight="1" thickTop="1" thickBot="1" x14ac:dyDescent="0.65">
      <c r="A680" s="3">
        <v>678</v>
      </c>
      <c r="B680" s="44" t="str">
        <f>HYPERLINK("https://search.naver.com/search.naver?query=더블2011", "더블")</f>
        <v>더블</v>
      </c>
      <c r="C680" s="45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97" t="s">
        <v>3439</v>
      </c>
    </row>
    <row r="681" spans="1:10" ht="28.9" customHeight="1" thickTop="1" thickBot="1" x14ac:dyDescent="0.65">
      <c r="A681" s="5">
        <v>679</v>
      </c>
      <c r="B681" s="46" t="str">
        <f>HYPERLINK("https://search.naver.com/search.naver?query=더블 타겟 영화", "더블 타겟")</f>
        <v>더블 타겟</v>
      </c>
      <c r="C681" s="47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98" t="s">
        <v>3447</v>
      </c>
    </row>
    <row r="682" spans="1:10" ht="28.9" customHeight="1" thickTop="1" thickBot="1" x14ac:dyDescent="0.65">
      <c r="A682" s="3">
        <v>680</v>
      </c>
      <c r="B682" s="44" t="str">
        <f>HYPERLINK("https://search.naver.com/search.naver?query=더킹:헨리5세 영화", "더킹-헨리5세")</f>
        <v>더킹-헨리5세</v>
      </c>
      <c r="C682" s="45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97" t="s">
        <v>3444</v>
      </c>
    </row>
    <row r="683" spans="1:10" ht="28.9" customHeight="1" thickTop="1" thickBot="1" x14ac:dyDescent="0.65">
      <c r="A683" s="5">
        <v>681</v>
      </c>
      <c r="B683" s="46" t="str">
        <f>HYPERLINK("https://search.naver.com/search.naver?query=덕수리 5형제 영화", "덕수리 5형제")</f>
        <v>덕수리 5형제</v>
      </c>
      <c r="C683" s="47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98" t="s">
        <v>3437</v>
      </c>
    </row>
    <row r="684" spans="1:10" ht="28.9" customHeight="1" thickTop="1" thickBot="1" x14ac:dyDescent="0.65">
      <c r="A684" s="3">
        <v>682</v>
      </c>
      <c r="B684" s="44" t="str">
        <f>HYPERLINK("https://search.naver.com/search.naver?query=덕혜옹주 영화", "덕혜옹주")</f>
        <v>덕혜옹주</v>
      </c>
      <c r="C684" s="45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97" t="s">
        <v>3441</v>
      </c>
    </row>
    <row r="685" spans="1:10" ht="28.9" customHeight="1" thickTop="1" thickBot="1" x14ac:dyDescent="0.65">
      <c r="A685" s="5">
        <v>683</v>
      </c>
      <c r="B685" s="46" t="str">
        <f>HYPERLINK("https://search.naver.com/search.naver?query=던 월 영화", "던 월")</f>
        <v>던 월</v>
      </c>
      <c r="C685" s="47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98" t="s">
        <v>3443</v>
      </c>
    </row>
    <row r="686" spans="1:10" ht="28.9" customHeight="1" thickTop="1" thickBot="1" x14ac:dyDescent="0.65">
      <c r="A686" s="3">
        <v>684</v>
      </c>
      <c r="B686" s="44" t="str">
        <f>HYPERLINK("https://search.naver.com/search.naver?query=덩케르크 영화", "덩케르크")</f>
        <v>덩케르크</v>
      </c>
      <c r="C686" s="45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97" t="s">
        <v>3443</v>
      </c>
    </row>
    <row r="687" spans="1:10" ht="28.9" customHeight="1" thickTop="1" thickBot="1" x14ac:dyDescent="0.65">
      <c r="A687" s="7">
        <v>685</v>
      </c>
      <c r="B687" s="48" t="str">
        <f>HYPERLINK("https://search.naver.com/search.naver?query=데드 투 미 시즌1", "데드 투 미 시즌1")</f>
        <v>데드 투 미 시즌1</v>
      </c>
      <c r="C687" s="49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99" t="s">
        <v>3444</v>
      </c>
    </row>
    <row r="688" spans="1:10" ht="28.9" customHeight="1" thickTop="1" thickBot="1" x14ac:dyDescent="0.65">
      <c r="A688" s="7">
        <v>686</v>
      </c>
      <c r="B688" s="48" t="str">
        <f>HYPERLINK("https://search.naver.com/search.naver?query=데드 투 미 시즌2", "데드 투 미 시즌2")</f>
        <v>데드 투 미 시즌2</v>
      </c>
      <c r="C688" s="49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99" t="s">
        <v>3436</v>
      </c>
    </row>
    <row r="689" spans="1:10" ht="28.9" customHeight="1" thickTop="1" thickBot="1" x14ac:dyDescent="0.65">
      <c r="A689" s="7">
        <v>687</v>
      </c>
      <c r="B689" s="48" t="str">
        <f>HYPERLINK("https://search.naver.com/search.naver?query=데드 투 미 시즌3", "데드 투 미 시즌3")</f>
        <v>데드 투 미 시즌3</v>
      </c>
      <c r="C689" s="49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99" t="s">
        <v>3445</v>
      </c>
    </row>
    <row r="690" spans="1:10" ht="28.9" customHeight="1" thickTop="1" thickBot="1" x14ac:dyDescent="0.65">
      <c r="A690" s="3">
        <v>688</v>
      </c>
      <c r="B690" s="44" t="str">
        <f>HYPERLINK("https://search.naver.com/search.naver?query=데드폴 영화", "데드폴")</f>
        <v>데드폴</v>
      </c>
      <c r="C690" s="45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97" t="s">
        <v>3439</v>
      </c>
    </row>
    <row r="691" spans="1:10" ht="28.9" customHeight="1" thickTop="1" thickBot="1" x14ac:dyDescent="0.65">
      <c r="A691" s="5">
        <v>689</v>
      </c>
      <c r="B691" s="46" t="str">
        <f>HYPERLINK("https://search.naver.com/search.naver?query=데몰리션 영화", "데몰리션")</f>
        <v>데몰리션</v>
      </c>
      <c r="C691" s="47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98" t="s">
        <v>3441</v>
      </c>
    </row>
    <row r="692" spans="1:10" ht="28.9" customHeight="1" thickTop="1" thickBot="1" x14ac:dyDescent="0.65">
      <c r="A692" s="3">
        <v>690</v>
      </c>
      <c r="B692" s="44" t="str">
        <f>HYPERLINK("https://search.naver.com/search.naver?query=데미지 영화", "데미지")</f>
        <v>데미지</v>
      </c>
      <c r="C692" s="45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97" t="s">
        <v>3473</v>
      </c>
    </row>
    <row r="693" spans="1:10" ht="28.9" customHeight="1" thickTop="1" thickBot="1" x14ac:dyDescent="0.65">
      <c r="A693" s="5">
        <v>691</v>
      </c>
      <c r="B693" s="46" t="str">
        <f>HYPERLINK("https://search.naver.com/search.naver?query=데미지드 영화", "데미지드")</f>
        <v>데미지드</v>
      </c>
      <c r="C693" s="47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98" t="s">
        <v>3448</v>
      </c>
    </row>
    <row r="694" spans="1:10" ht="28.9" customHeight="1" thickTop="1" thickBot="1" x14ac:dyDescent="0.65">
      <c r="A694" s="3">
        <v>692</v>
      </c>
      <c r="B694" s="44" t="str">
        <f>HYPERLINK("https://search.naver.com/search.naver?query=데스 센텐스 영화", "데스 센텐스")</f>
        <v>데스 센텐스</v>
      </c>
      <c r="C694" s="45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97" t="s">
        <v>3447</v>
      </c>
    </row>
    <row r="695" spans="1:10" ht="28.9" customHeight="1" thickTop="1" thickBot="1" x14ac:dyDescent="0.65">
      <c r="A695" s="5">
        <v>693</v>
      </c>
      <c r="B695" s="46" t="str">
        <f>HYPERLINK("https://search.naver.com/search.naver?query=데스 위시 영화", "데스 위시")</f>
        <v>데스 위시</v>
      </c>
      <c r="C695" s="47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98" t="s">
        <v>3442</v>
      </c>
    </row>
    <row r="696" spans="1:10" ht="28.9" customHeight="1" thickTop="1" thickBot="1" x14ac:dyDescent="0.65">
      <c r="A696" s="3">
        <v>694</v>
      </c>
      <c r="B696" s="44" t="str">
        <f>HYPERLINK("https://search.naver.com/search.naver?query=데스 체이싱 영화", "데스 체이싱")</f>
        <v>데스 체이싱</v>
      </c>
      <c r="C696" s="45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97" t="s">
        <v>3444</v>
      </c>
    </row>
    <row r="697" spans="1:10" ht="28.9" customHeight="1" thickTop="1" thickBot="1" x14ac:dyDescent="0.65">
      <c r="A697" s="5">
        <v>695</v>
      </c>
      <c r="B697" s="46" t="str">
        <f>HYPERLINK("https://search.naver.com/search.naver?query=데어 윌 비 블러드 영화", "데어 윌 비 블러드")</f>
        <v>데어 윌 비 블러드</v>
      </c>
      <c r="C697" s="47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98" t="s">
        <v>3447</v>
      </c>
    </row>
    <row r="698" spans="1:10" ht="28.9" customHeight="1" thickTop="1" thickBot="1" x14ac:dyDescent="0.65">
      <c r="A698" s="3">
        <v>696</v>
      </c>
      <c r="B698" s="44" t="str">
        <f>HYPERLINK("https://search.naver.com/search.naver?query=데이라이트 영화", "데이라이트")</f>
        <v>데이라이트</v>
      </c>
      <c r="C698" s="45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97" t="s">
        <v>3451</v>
      </c>
    </row>
    <row r="699" spans="1:10" ht="28.9" customHeight="1" thickTop="1" thickBot="1" x14ac:dyDescent="0.65">
      <c r="A699" s="5">
        <v>697</v>
      </c>
      <c r="B699" s="46" t="str">
        <f>HYPERLINK("https://search.naver.com/search.naver?query=데이비드 게일 영화", "데이비드 게일")</f>
        <v>데이비드 게일</v>
      </c>
      <c r="C699" s="47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98" t="s">
        <v>3449</v>
      </c>
    </row>
    <row r="700" spans="1:10" ht="28.9" customHeight="1" thickTop="1" thickBot="1" x14ac:dyDescent="0.65">
      <c r="A700" s="3">
        <v>698</v>
      </c>
      <c r="B700" s="44" t="str">
        <f>HYPERLINK("https://search.naver.com/search.naver?query=데인저러스 메소드 영화", "데인저러스 메소드")</f>
        <v>데인저러스 메소드</v>
      </c>
      <c r="C700" s="45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97" t="s">
        <v>3454</v>
      </c>
    </row>
    <row r="701" spans="1:10" ht="28.9" customHeight="1" thickTop="1" thickBot="1" x14ac:dyDescent="0.65">
      <c r="A701" s="5">
        <v>699</v>
      </c>
      <c r="B701" s="46" t="str">
        <f>HYPERLINK("https://search.naver.com/search.naver?query=데자뷰 영화", "데자뷰")</f>
        <v>데자뷰</v>
      </c>
      <c r="C701" s="47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98" t="s">
        <v>3460</v>
      </c>
    </row>
    <row r="702" spans="1:10" ht="28.9" customHeight="1" thickTop="1" thickBot="1" x14ac:dyDescent="0.65">
      <c r="A702" s="7">
        <v>700</v>
      </c>
      <c r="B702" s="48" t="str">
        <f>HYPERLINK("https://search.naver.com/search.naver?query=덱스터 시즌1", "덱스터 시즌1")</f>
        <v>덱스터 시즌1</v>
      </c>
      <c r="C702" s="49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99" t="s">
        <v>3460</v>
      </c>
    </row>
    <row r="703" spans="1:10" ht="28.9" customHeight="1" thickTop="1" thickBot="1" x14ac:dyDescent="0.65">
      <c r="A703" s="7">
        <v>701</v>
      </c>
      <c r="B703" s="48" t="str">
        <f>HYPERLINK("https://search.naver.com/search.naver?query=덱스터 시즌2", "덱스터 시즌2")</f>
        <v>덱스터 시즌2</v>
      </c>
      <c r="C703" s="49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99" t="s">
        <v>3447</v>
      </c>
    </row>
    <row r="704" spans="1:10" ht="28.9" customHeight="1" thickTop="1" thickBot="1" x14ac:dyDescent="0.65">
      <c r="A704" s="7">
        <v>702</v>
      </c>
      <c r="B704" s="48" t="str">
        <f>HYPERLINK("https://search.naver.com/search.naver?query=덱스터 뉴 블러드", "덱스터: 뉴 블러드")</f>
        <v>덱스터: 뉴 블러드</v>
      </c>
      <c r="C704" s="49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99" t="s">
        <v>3438</v>
      </c>
    </row>
    <row r="705" spans="1:10" ht="28.9" customHeight="1" thickTop="1" thickBot="1" x14ac:dyDescent="0.65">
      <c r="A705" s="5">
        <v>703</v>
      </c>
      <c r="B705" s="46" t="str">
        <f>HYPERLINK("https://search.naver.com/search.naver?query=델마 영화", "델마")</f>
        <v>델마</v>
      </c>
      <c r="C705" s="47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98" t="s">
        <v>3443</v>
      </c>
    </row>
    <row r="706" spans="1:10" ht="28.9" customHeight="1" thickTop="1" thickBot="1" x14ac:dyDescent="0.65">
      <c r="A706" s="3">
        <v>704</v>
      </c>
      <c r="B706" s="44" t="str">
        <f>HYPERLINK("https://search.naver.com/search.naver?query=도가니 영화", "도가니")</f>
        <v>도가니</v>
      </c>
      <c r="C706" s="45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97" t="s">
        <v>3454</v>
      </c>
    </row>
    <row r="707" spans="1:10" ht="28.9" customHeight="1" thickTop="1" thickBot="1" x14ac:dyDescent="0.65">
      <c r="A707" s="5">
        <v>705</v>
      </c>
      <c r="B707" s="46" t="str">
        <f>HYPERLINK("https://search.naver.com/search.naver?query=도굴 영화", "도굴")</f>
        <v>도굴</v>
      </c>
      <c r="C707" s="47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98" t="s">
        <v>3436</v>
      </c>
    </row>
    <row r="708" spans="1:10" ht="28.9" customHeight="1" thickTop="1" thickBot="1" x14ac:dyDescent="0.65">
      <c r="A708" s="3">
        <v>706</v>
      </c>
      <c r="B708" s="44" t="str">
        <f>HYPERLINK("https://search.naver.com/search.naver?query=도그 영화", "도그")</f>
        <v>도그</v>
      </c>
      <c r="C708" s="45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97" t="s">
        <v>3445</v>
      </c>
    </row>
    <row r="709" spans="1:10" ht="28.9" customHeight="1" thickTop="1" thickBot="1" x14ac:dyDescent="0.65">
      <c r="A709" s="5">
        <v>707</v>
      </c>
      <c r="B709" s="46" t="str">
        <f>HYPERLINK("https://search.naver.com/search.naver?query=도둑 영화", "도둑")</f>
        <v>도둑</v>
      </c>
      <c r="C709" s="47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98" t="s">
        <v>3455</v>
      </c>
    </row>
    <row r="710" spans="1:10" ht="28.9" customHeight="1" thickTop="1" thickBot="1" x14ac:dyDescent="0.65">
      <c r="A710" s="3">
        <v>708</v>
      </c>
      <c r="B710" s="44" t="str">
        <f>HYPERLINK("https://search.naver.com/search.naver?query=도둑들 영화", "도둑들")</f>
        <v>도둑들</v>
      </c>
      <c r="C710" s="45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97" t="s">
        <v>3439</v>
      </c>
    </row>
    <row r="711" spans="1:10" ht="28.9" customHeight="1" thickTop="1" thickBot="1" x14ac:dyDescent="0.65">
      <c r="A711" s="5">
        <v>709</v>
      </c>
      <c r="B711" s="46" t="str">
        <f>HYPERLINK("https://search.naver.com/search.naver?query=도라 도라 도라 영화", "도라 도라 도라")</f>
        <v>도라 도라 도라</v>
      </c>
      <c r="C711" s="47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98" t="s">
        <v>3474</v>
      </c>
    </row>
    <row r="712" spans="1:10" ht="28.9" customHeight="1" thickTop="1" thickBot="1" x14ac:dyDescent="0.65">
      <c r="A712" s="3">
        <v>710</v>
      </c>
      <c r="B712" s="44" t="str">
        <f>HYPERLINK("https://search.naver.com/search.naver?query=도망친 여자 영화", "도망친 여자")</f>
        <v>도망친 여자</v>
      </c>
      <c r="C712" s="45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97" t="s">
        <v>3436</v>
      </c>
    </row>
    <row r="713" spans="1:10" ht="28.9" customHeight="1" thickTop="1" thickBot="1" x14ac:dyDescent="0.65">
      <c r="A713" s="5">
        <v>711</v>
      </c>
      <c r="B713" s="46" t="str">
        <f>HYPERLINK("https://search.naver.com/search.naver?query=도모구이 영화", "도모구이")</f>
        <v>도모구이</v>
      </c>
      <c r="C713" s="47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98" t="s">
        <v>3451</v>
      </c>
    </row>
    <row r="714" spans="1:10" ht="28.9" customHeight="1" thickTop="1" thickBot="1" x14ac:dyDescent="0.65">
      <c r="A714" s="3">
        <v>712</v>
      </c>
      <c r="B714" s="44" t="str">
        <f>HYPERLINK("https://search.naver.com/search.naver?query=도어락 영화", "도어락")</f>
        <v>도어락</v>
      </c>
      <c r="C714" s="45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97" t="s">
        <v>3442</v>
      </c>
    </row>
    <row r="715" spans="1:10" ht="28.9" customHeight="1" thickTop="1" thickBot="1" x14ac:dyDescent="0.65">
      <c r="A715" s="7">
        <v>713</v>
      </c>
      <c r="B715" s="48" t="str">
        <f>HYPERLINK("https://search.naver.com/search.naver?query=도쿄 사기꾼들", "도쿄 사기꾼들")</f>
        <v>도쿄 사기꾼들</v>
      </c>
      <c r="C715" s="49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99" t="s">
        <v>3448</v>
      </c>
    </row>
    <row r="716" spans="1:10" ht="28.9" customHeight="1" thickTop="1" thickBot="1" x14ac:dyDescent="0.65">
      <c r="A716" s="3">
        <v>714</v>
      </c>
      <c r="B716" s="44" t="str">
        <f>HYPERLINK("https://search.naver.com/search.naver?query=도쿄 소나타 영화", "도쿄 소나타")</f>
        <v>도쿄 소나타</v>
      </c>
      <c r="C716" s="45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97" t="s">
        <v>3450</v>
      </c>
    </row>
    <row r="717" spans="1:10" ht="28.9" customHeight="1" thickTop="1" thickBot="1" x14ac:dyDescent="0.65">
      <c r="A717" s="5">
        <v>715</v>
      </c>
      <c r="B717" s="46" t="str">
        <f>HYPERLINK("https://search.naver.com/search.naver?query=도쿄 타워 영화", "도쿄 타워")</f>
        <v>도쿄 타워</v>
      </c>
      <c r="C717" s="47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98" t="s">
        <v>3447</v>
      </c>
    </row>
    <row r="718" spans="1:10" ht="28.9" customHeight="1" thickTop="1" thickBot="1" x14ac:dyDescent="0.65">
      <c r="A718" s="3">
        <v>716</v>
      </c>
      <c r="B718" s="44" t="str">
        <f>HYPERLINK("https://search.naver.com/search.naver?query=독수리 에디 영화", "독수리 에디")</f>
        <v>독수리 에디</v>
      </c>
      <c r="C718" s="45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97" t="s">
        <v>3441</v>
      </c>
    </row>
    <row r="719" spans="1:10" ht="28.9" customHeight="1" thickTop="1" thickBot="1" x14ac:dyDescent="0.65">
      <c r="A719" s="5">
        <v>717</v>
      </c>
      <c r="B719" s="46" t="str">
        <f>HYPERLINK("https://search.naver.com/search.naver?query=독전 영화", "독전")</f>
        <v>독전</v>
      </c>
      <c r="C719" s="47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98" t="s">
        <v>3442</v>
      </c>
    </row>
    <row r="720" spans="1:10" ht="28.9" customHeight="1" thickTop="1" thickBot="1" x14ac:dyDescent="0.65">
      <c r="A720" s="3">
        <v>718</v>
      </c>
      <c r="B720" s="44" t="str">
        <f>HYPERLINK("https://search.naver.com/search.naver?query=돈 영화", "돈")</f>
        <v>돈</v>
      </c>
      <c r="C720" s="45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97" t="s">
        <v>3444</v>
      </c>
    </row>
    <row r="721" spans="1:10" ht="28.9" customHeight="1" thickTop="1" thickBot="1" x14ac:dyDescent="0.65">
      <c r="A721" s="5">
        <v>719</v>
      </c>
      <c r="B721" s="46" t="str">
        <f>HYPERLINK("https://search.naver.com/search.naver?query=돈 룩 업 영화", "돈 룩 업")</f>
        <v>돈 룩 업</v>
      </c>
      <c r="C721" s="47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98" t="s">
        <v>3438</v>
      </c>
    </row>
    <row r="722" spans="1:10" ht="28.9" customHeight="1" thickTop="1" thickBot="1" x14ac:dyDescent="0.65">
      <c r="A722" s="3">
        <v>720</v>
      </c>
      <c r="B722" s="44" t="str">
        <f>HYPERLINK("https://search.naver.com/search.naver?query=돈 크라이 마미 영화", "돈 크라이 마미")</f>
        <v>돈 크라이 마미</v>
      </c>
      <c r="C722" s="45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97" t="s">
        <v>3439</v>
      </c>
    </row>
    <row r="723" spans="1:10" ht="28.9" customHeight="1" thickTop="1" thickBot="1" x14ac:dyDescent="0.65">
      <c r="A723" s="5">
        <v>721</v>
      </c>
      <c r="B723" s="46" t="str">
        <f>HYPERLINK("https://search.naver.com/search.naver?query=돈의 맛 영화", "돈의 맛")</f>
        <v>돈의 맛</v>
      </c>
      <c r="C723" s="47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98" t="s">
        <v>3439</v>
      </c>
    </row>
    <row r="724" spans="1:10" ht="28.9" customHeight="1" thickTop="1" thickBot="1" x14ac:dyDescent="0.65">
      <c r="A724" s="3">
        <v>722</v>
      </c>
      <c r="B724" s="44" t="str">
        <f>HYPERLINK("https://search.naver.com/search.naver?query=돌로레스 클레이븐 영화", "돌로레스 클레이븐")</f>
        <v>돌로레스 클레이븐</v>
      </c>
      <c r="C724" s="45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97" t="s">
        <v>3475</v>
      </c>
    </row>
    <row r="725" spans="1:10" ht="28.9" customHeight="1" thickTop="1" thickBot="1" x14ac:dyDescent="0.65">
      <c r="A725" s="5">
        <v>723</v>
      </c>
      <c r="B725" s="46" t="str">
        <f>HYPERLINK("https://search.naver.com/search.naver?query=돌멩이 영화", "돌멩이")</f>
        <v>돌멩이</v>
      </c>
      <c r="C725" s="47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98" t="s">
        <v>3436</v>
      </c>
    </row>
    <row r="726" spans="1:10" ht="28.9" customHeight="1" thickTop="1" thickBot="1" x14ac:dyDescent="0.65">
      <c r="A726" s="7">
        <v>724</v>
      </c>
      <c r="B726" s="48" t="str">
        <f>HYPERLINK("https://search.naver.com/search.naver?query=돌풍", "돌풍")</f>
        <v>돌풍</v>
      </c>
      <c r="C726" s="49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99" t="s">
        <v>3448</v>
      </c>
    </row>
    <row r="727" spans="1:10" ht="28.9" customHeight="1" thickTop="1" thickBot="1" x14ac:dyDescent="0.65">
      <c r="A727" s="5">
        <v>725</v>
      </c>
      <c r="B727" s="46" t="str">
        <f>HYPERLINK("https://search.naver.com/search.naver?query=돌핀 테일 2 영화", "돌핀 테일 2")</f>
        <v>돌핀 테일 2</v>
      </c>
      <c r="C727" s="47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98" t="s">
        <v>3437</v>
      </c>
    </row>
    <row r="728" spans="1:10" ht="28.9" customHeight="1" thickTop="1" thickBot="1" x14ac:dyDescent="0.65">
      <c r="A728" s="3">
        <v>726</v>
      </c>
      <c r="B728" s="44" t="str">
        <f>HYPERLINK("https://search.naver.com/search.naver?query=돌핀테일 영화", "돌핀테일")</f>
        <v>돌핀테일</v>
      </c>
      <c r="C728" s="45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97" t="s">
        <v>3454</v>
      </c>
    </row>
    <row r="729" spans="1:10" ht="28.9" customHeight="1" thickTop="1" thickBot="1" x14ac:dyDescent="0.65">
      <c r="A729" s="5">
        <v>727</v>
      </c>
      <c r="B729" s="46" t="str">
        <f>HYPERLINK("https://search.naver.com/search.naver?query=돔 헤밍웨이 영화", "돔 헤밍웨이")</f>
        <v>돔 헤밍웨이</v>
      </c>
      <c r="C729" s="47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98" t="s">
        <v>3451</v>
      </c>
    </row>
    <row r="730" spans="1:10" ht="28.9" customHeight="1" thickTop="1" thickBot="1" x14ac:dyDescent="0.65">
      <c r="A730" s="3">
        <v>728</v>
      </c>
      <c r="B730" s="44" t="str">
        <f>HYPERLINK("https://search.naver.com/search.naver?query=동감 영화", "동감")</f>
        <v>동감</v>
      </c>
      <c r="C730" s="45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97" t="s">
        <v>3458</v>
      </c>
    </row>
    <row r="731" spans="1:10" ht="28.9" customHeight="1" thickTop="1" thickBot="1" x14ac:dyDescent="0.65">
      <c r="A731" s="5">
        <v>729</v>
      </c>
      <c r="B731" s="46" t="str">
        <f>HYPERLINK("https://search.naver.com/search.naver?query=동갑내기 과외하기 영화", "동갑내기 과외하기")</f>
        <v>동갑내기 과외하기</v>
      </c>
      <c r="C731" s="47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98" t="s">
        <v>3449</v>
      </c>
    </row>
    <row r="732" spans="1:10" ht="28.9" customHeight="1" thickTop="1" thickBot="1" x14ac:dyDescent="0.65">
      <c r="A732" s="3">
        <v>730</v>
      </c>
      <c r="B732" s="44" t="str">
        <f>HYPERLINK("https://search.naver.com/search.naver?query=동경가족 영화", "동경가족")</f>
        <v>동경가족</v>
      </c>
      <c r="C732" s="45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97" t="s">
        <v>3451</v>
      </c>
    </row>
    <row r="733" spans="1:10" ht="28.9" customHeight="1" thickTop="1" thickBot="1" x14ac:dyDescent="0.65">
      <c r="A733" s="5">
        <v>731</v>
      </c>
      <c r="B733" s="46" t="str">
        <f>HYPERLINK("https://search.naver.com/search.naver?query=동네사람들 영화", "동네사람들")</f>
        <v>동네사람들</v>
      </c>
      <c r="C733" s="47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98" t="s">
        <v>3442</v>
      </c>
    </row>
    <row r="734" spans="1:10" ht="28.9" customHeight="1" thickTop="1" thickBot="1" x14ac:dyDescent="0.65">
      <c r="A734" s="3">
        <v>732</v>
      </c>
      <c r="B734" s="44" t="str">
        <f>HYPERLINK("https://search.naver.com/search.naver?query=동창생 영화", "동창생")</f>
        <v>동창생</v>
      </c>
      <c r="C734" s="45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97" t="s">
        <v>3451</v>
      </c>
    </row>
    <row r="735" spans="1:10" ht="28.9" customHeight="1" thickTop="1" thickBot="1" x14ac:dyDescent="0.65">
      <c r="A735" s="5">
        <v>733</v>
      </c>
      <c r="B735" s="46" t="str">
        <f>HYPERLINK("https://search.naver.com/search.naver?query=동화지만 청불입니다 영화", "동화지만 청불입니다")</f>
        <v>동화지만 청불입니다</v>
      </c>
      <c r="C735" s="47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98" t="s">
        <v>3459</v>
      </c>
    </row>
    <row r="736" spans="1:10" ht="28.9" customHeight="1" thickTop="1" thickBot="1" x14ac:dyDescent="0.65">
      <c r="A736" s="3">
        <v>734</v>
      </c>
      <c r="B736" s="44" t="str">
        <f>HYPERLINK("https://search.naver.com/search.naver?query=두 개의 사랑 영화", "두 개의 사랑")</f>
        <v>두 개의 사랑</v>
      </c>
      <c r="C736" s="45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97" t="s">
        <v>3443</v>
      </c>
    </row>
    <row r="737" spans="1:10" ht="28.9" customHeight="1" thickTop="1" thickBot="1" x14ac:dyDescent="0.65">
      <c r="A737" s="5">
        <v>735</v>
      </c>
      <c r="B737" s="46" t="str">
        <f>HYPERLINK("https://search.naver.com/search.naver?query=두 교황 영화", "두 교황")</f>
        <v>두 교황</v>
      </c>
      <c r="C737" s="47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98" t="s">
        <v>3444</v>
      </c>
    </row>
    <row r="738" spans="1:10" ht="28.9" customHeight="1" thickTop="1" thickBot="1" x14ac:dyDescent="0.65">
      <c r="A738" s="3">
        <v>736</v>
      </c>
      <c r="B738" s="44" t="str">
        <f>HYPERLINK("https://search.naver.com/search.naver?query=두 세계 사이에서 영화", "두 세계 사이에서")</f>
        <v>두 세계 사이에서</v>
      </c>
      <c r="C738" s="45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97" t="s">
        <v>3438</v>
      </c>
    </row>
    <row r="739" spans="1:10" ht="28.9" customHeight="1" thickTop="1" thickBot="1" x14ac:dyDescent="0.65">
      <c r="A739" s="5">
        <v>737</v>
      </c>
      <c r="B739" s="46" t="str">
        <f>HYPERLINK("https://search.naver.com/search.naver?query=두번째 사랑 영화", "두번째 사랑")</f>
        <v>두번째 사랑</v>
      </c>
      <c r="C739" s="47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98" t="s">
        <v>3447</v>
      </c>
    </row>
    <row r="740" spans="1:10" ht="28.9" customHeight="1" thickTop="1" thickBot="1" x14ac:dyDescent="0.65">
      <c r="A740" s="3">
        <v>738</v>
      </c>
      <c r="B740" s="44" t="str">
        <f>HYPERLINK("https://search.naver.com/search.naver?query=듀 데이트 영화", "듀 데이트")</f>
        <v>듀 데이트</v>
      </c>
      <c r="C740" s="45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97" t="s">
        <v>3455</v>
      </c>
    </row>
    <row r="741" spans="1:10" ht="28.9" customHeight="1" thickTop="1" thickBot="1" x14ac:dyDescent="0.65">
      <c r="A741" s="5">
        <v>739</v>
      </c>
      <c r="B741" s="46" t="str">
        <f>HYPERLINK("https://search.naver.com/search.naver?query=듄 영화", "듄")</f>
        <v>듄</v>
      </c>
      <c r="C741" s="47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98" t="s">
        <v>3438</v>
      </c>
    </row>
    <row r="742" spans="1:10" ht="28.9" customHeight="1" thickTop="1" thickBot="1" x14ac:dyDescent="0.65">
      <c r="A742" s="3">
        <v>740</v>
      </c>
      <c r="B742" s="44" t="str">
        <f>HYPERLINK("https://search.naver.com/search.naver?query=드라이 영화", "드라이")</f>
        <v>드라이</v>
      </c>
      <c r="C742" s="45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97" t="s">
        <v>3436</v>
      </c>
    </row>
    <row r="743" spans="1:10" ht="28.9" customHeight="1" thickTop="1" thickBot="1" x14ac:dyDescent="0.65">
      <c r="A743" s="5">
        <v>741</v>
      </c>
      <c r="B743" s="46" t="str">
        <f>HYPERLINK("https://search.naver.com/search.naver?query=드라이브 영화", "드라이브")</f>
        <v>드라이브</v>
      </c>
      <c r="C743" s="47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98" t="s">
        <v>3454</v>
      </c>
    </row>
    <row r="744" spans="1:10" ht="28.9" customHeight="1" thickTop="1" thickBot="1" x14ac:dyDescent="0.65">
      <c r="A744" s="3">
        <v>742</v>
      </c>
      <c r="B744" s="44" t="str">
        <f>HYPERLINK("https://search.naver.com/search.naver?query=드라이브 마이 카 영화", "드라이브 마이 카")</f>
        <v>드라이브 마이 카</v>
      </c>
      <c r="C744" s="45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97" t="s">
        <v>3438</v>
      </c>
    </row>
    <row r="745" spans="1:10" ht="28.9" customHeight="1" thickTop="1" thickBot="1" x14ac:dyDescent="0.65">
      <c r="A745" s="5">
        <v>743</v>
      </c>
      <c r="B745" s="46" t="str">
        <f>HYPERLINK("https://search.naver.com/search.naver?query=드라이브 앵그리 영화", "드라이브 앵그리")</f>
        <v>드라이브 앵그리</v>
      </c>
      <c r="C745" s="47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98" t="s">
        <v>3454</v>
      </c>
    </row>
    <row r="746" spans="1:10" ht="28.9" customHeight="1" thickTop="1" thickBot="1" x14ac:dyDescent="0.65">
      <c r="A746" s="3">
        <v>744</v>
      </c>
      <c r="B746" s="44" t="str">
        <f>HYPERLINK("https://search.naver.com/search.naver?query=드래그 영화", "드래그")</f>
        <v>드래그</v>
      </c>
      <c r="C746" s="45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97" t="s">
        <v>3442</v>
      </c>
    </row>
    <row r="747" spans="1:10" ht="28.9" customHeight="1" thickTop="1" thickBot="1" x14ac:dyDescent="0.65">
      <c r="A747" s="5">
        <v>745</v>
      </c>
      <c r="B747" s="46" t="str">
        <f>HYPERLINK("https://search.naver.com/search.naver?query=드래프트 데이 영화", "드래프트 데이")</f>
        <v>드래프트 데이</v>
      </c>
      <c r="C747" s="47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98" t="s">
        <v>3437</v>
      </c>
    </row>
    <row r="748" spans="1:10" ht="28.9" customHeight="1" thickTop="1" thickBot="1" x14ac:dyDescent="0.65">
      <c r="A748" s="3">
        <v>746</v>
      </c>
      <c r="B748" s="44" t="str">
        <f>HYPERLINK("https://search.naver.com/search.naver?query=드레스메이커 영화", "드레스메이커")</f>
        <v>드레스메이커</v>
      </c>
      <c r="C748" s="45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97" t="s">
        <v>3440</v>
      </c>
    </row>
    <row r="749" spans="1:10" ht="28.9" customHeight="1" thickTop="1" thickBot="1" x14ac:dyDescent="0.65">
      <c r="A749" s="5">
        <v>747</v>
      </c>
      <c r="B749" s="46" t="str">
        <f>HYPERLINK("https://search.naver.com/search.naver?query=드론전쟁 - 굿 킬 영화", "드론전쟁 - 굿 킬")</f>
        <v>드론전쟁 - 굿 킬</v>
      </c>
      <c r="C749" s="47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98" t="s">
        <v>3437</v>
      </c>
    </row>
    <row r="750" spans="1:10" ht="28.9" customHeight="1" thickTop="1" thickBot="1" x14ac:dyDescent="0.65">
      <c r="A750" s="3">
        <v>748</v>
      </c>
      <c r="B750" s="44" t="str">
        <f>HYPERLINK("https://search.naver.com/search.naver?query=드론전쟁 굿킬 영화", "드론전쟁 굿킬")</f>
        <v>드론전쟁 굿킬</v>
      </c>
      <c r="C750" s="45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97" t="s">
        <v>3437</v>
      </c>
    </row>
    <row r="751" spans="1:10" ht="28.9" customHeight="1" thickTop="1" thickBot="1" x14ac:dyDescent="0.65">
      <c r="A751" s="5">
        <v>749</v>
      </c>
      <c r="B751" s="46" t="str">
        <f>HYPERLINK("https://search.naver.com/search.naver?query=드롭 영화", "드롭")</f>
        <v>드롭</v>
      </c>
      <c r="C751" s="47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98" t="s">
        <v>3459</v>
      </c>
    </row>
    <row r="752" spans="1:10" ht="28.9" customHeight="1" thickTop="1" thickBot="1" x14ac:dyDescent="0.65">
      <c r="A752" s="3">
        <v>750</v>
      </c>
      <c r="B752" s="44" t="str">
        <f>HYPERLINK("https://search.naver.com/search.naver?query=드리프트 영화", "드리프트")</f>
        <v>드리프트</v>
      </c>
      <c r="C752" s="45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97" t="s">
        <v>3451</v>
      </c>
    </row>
    <row r="753" spans="1:10" ht="28.9" customHeight="1" thickTop="1" thickBot="1" x14ac:dyDescent="0.65">
      <c r="A753" s="5">
        <v>751</v>
      </c>
      <c r="B753" s="46" t="str">
        <f>HYPERLINK("https://search.naver.com/search.naver?query=드림 하우스 영화", "드림 하우스")</f>
        <v>드림 하우스</v>
      </c>
      <c r="C753" s="47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98" t="s">
        <v>3454</v>
      </c>
    </row>
    <row r="754" spans="1:10" ht="28.9" customHeight="1" thickTop="1" thickBot="1" x14ac:dyDescent="0.65">
      <c r="A754" s="3">
        <v>752</v>
      </c>
      <c r="B754" s="44" t="str">
        <f>HYPERLINK("https://search.naver.com/search.naver?query=드림 호스 영화", "드림 호스")</f>
        <v>드림 호스</v>
      </c>
      <c r="C754" s="45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97" t="s">
        <v>3436</v>
      </c>
    </row>
    <row r="755" spans="1:10" ht="28.9" customHeight="1" thickTop="1" thickBot="1" x14ac:dyDescent="0.65">
      <c r="A755" s="5">
        <v>753</v>
      </c>
      <c r="B755" s="46" t="str">
        <f>HYPERLINK("https://search.naver.com/search.naver?query=들리나요 영화", "들리나요")</f>
        <v>들리나요</v>
      </c>
      <c r="C755" s="47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98" t="s">
        <v>3436</v>
      </c>
    </row>
    <row r="756" spans="1:10" ht="28.9" customHeight="1" thickTop="1" thickBot="1" x14ac:dyDescent="0.65">
      <c r="A756" s="3">
        <v>754</v>
      </c>
      <c r="B756" s="44" t="str">
        <f>HYPERLINK("https://search.naver.com/search.naver?query=들어는 봤니 모건 부부 영화", "들어는 봤니 모건 부부")</f>
        <v>들어는 봤니 모건 부부</v>
      </c>
      <c r="C756" s="45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97" t="s">
        <v>3453</v>
      </c>
    </row>
    <row r="757" spans="1:10" ht="28.9" customHeight="1" thickTop="1" thickBot="1" x14ac:dyDescent="0.65">
      <c r="A757" s="5">
        <v>755</v>
      </c>
      <c r="B757" s="46" t="str">
        <f>HYPERLINK("https://search.naver.com/search.naver?query=디 아더 우먼 영화", "디 아더 우먼")</f>
        <v>디 아더 우먼</v>
      </c>
      <c r="C757" s="47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98" t="s">
        <v>3437</v>
      </c>
    </row>
    <row r="758" spans="1:10" ht="28.9" customHeight="1" thickTop="1" thickBot="1" x14ac:dyDescent="0.65">
      <c r="A758" s="3">
        <v>756</v>
      </c>
      <c r="B758" s="44" t="str">
        <f>HYPERLINK("https://search.naver.com/search.naver?query=디 아더스 영화", "디 아더스")</f>
        <v>디 아더스</v>
      </c>
      <c r="C758" s="45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97" t="s">
        <v>3457</v>
      </c>
    </row>
    <row r="759" spans="1:10" ht="28.9" customHeight="1" thickTop="1" thickBot="1" x14ac:dyDescent="0.65">
      <c r="A759" s="5">
        <v>757</v>
      </c>
      <c r="B759" s="46" t="str">
        <f>HYPERLINK("https://search.naver.com/search.naver?query=디 오버나이트 영화", "디 오버나이트")</f>
        <v>디 오버나이트</v>
      </c>
      <c r="C759" s="47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98" t="s">
        <v>3440</v>
      </c>
    </row>
    <row r="760" spans="1:10" ht="28.9" customHeight="1" thickTop="1" thickBot="1" x14ac:dyDescent="0.65">
      <c r="A760" s="3">
        <v>758</v>
      </c>
      <c r="B760" s="44" t="str">
        <f>HYPERLINK("https://search.naver.com/search.naver?query=디 인터뷰 영화", "디 인터뷰")</f>
        <v>디 인터뷰</v>
      </c>
      <c r="C760" s="45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97" t="s">
        <v>3437</v>
      </c>
    </row>
    <row r="761" spans="1:10" ht="28.9" customHeight="1" thickTop="1" thickBot="1" x14ac:dyDescent="0.65">
      <c r="A761" s="5">
        <v>759</v>
      </c>
      <c r="B761" s="46" t="str">
        <f>HYPERLINK("https://search.naver.com/search.naver?query=디바 영화", "디바")</f>
        <v>디바</v>
      </c>
      <c r="C761" s="47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98" t="s">
        <v>3436</v>
      </c>
    </row>
    <row r="762" spans="1:10" ht="28.9" customHeight="1" thickTop="1" thickBot="1" x14ac:dyDescent="0.65">
      <c r="A762" s="3">
        <v>760</v>
      </c>
      <c r="B762" s="44" t="str">
        <f>HYPERLINK("https://search.naver.com/search.naver?query=디서비디언스 영화", "디서비디언스")</f>
        <v>디서비디언스</v>
      </c>
      <c r="C762" s="45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97" t="s">
        <v>3443</v>
      </c>
    </row>
    <row r="763" spans="1:10" ht="28.9" customHeight="1" thickTop="1" thickBot="1" x14ac:dyDescent="0.65">
      <c r="A763" s="5">
        <v>761</v>
      </c>
      <c r="B763" s="46" t="str">
        <f>HYPERLINK("https://search.naver.com/search.naver?query=디센던트 영화", "디센던트")</f>
        <v>디센던트</v>
      </c>
      <c r="C763" s="47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98" t="s">
        <v>3454</v>
      </c>
    </row>
    <row r="764" spans="1:10" ht="28.9" customHeight="1" thickTop="1" thickBot="1" x14ac:dyDescent="0.65">
      <c r="A764" s="3">
        <v>762</v>
      </c>
      <c r="B764" s="44" t="str">
        <f>HYPERLINK("https://search.naver.com/search.naver?query=디스 민즈 워 영화", "디스 민즈 워")</f>
        <v>디스 민즈 워</v>
      </c>
      <c r="C764" s="45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97" t="s">
        <v>3439</v>
      </c>
    </row>
    <row r="765" spans="1:10" ht="28.9" customHeight="1" thickTop="1" thickBot="1" x14ac:dyDescent="0.65">
      <c r="A765" s="5">
        <v>763</v>
      </c>
      <c r="B765" s="46" t="str">
        <f>HYPERLINK("https://search.naver.com/search.naver?query=디스이즈 40 영화", "디스이즈 40")</f>
        <v>디스이즈 40</v>
      </c>
      <c r="C765" s="47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98" t="s">
        <v>3439</v>
      </c>
    </row>
    <row r="766" spans="1:10" ht="28.9" customHeight="1" thickTop="1" thickBot="1" x14ac:dyDescent="0.65">
      <c r="A766" s="3">
        <v>764</v>
      </c>
      <c r="B766" s="44" t="str">
        <f>HYPERLINK("https://search.naver.com/search.naver?query=디스커넥트 영화", "디스커넥트")</f>
        <v>디스커넥트</v>
      </c>
      <c r="C766" s="45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97" t="s">
        <v>3439</v>
      </c>
    </row>
    <row r="767" spans="1:10" ht="28.9" customHeight="1" thickTop="1" thickBot="1" x14ac:dyDescent="0.65">
      <c r="A767" s="5">
        <v>765</v>
      </c>
      <c r="B767" s="46" t="str">
        <f>HYPERLINK("https://search.naver.com/search.naver?query=디스커버리 영화", "디스커버리")</f>
        <v>디스커버리</v>
      </c>
      <c r="C767" s="47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98" t="s">
        <v>3443</v>
      </c>
    </row>
    <row r="768" spans="1:10" ht="28.9" customHeight="1" thickTop="1" thickBot="1" x14ac:dyDescent="0.65">
      <c r="A768" s="7">
        <v>766</v>
      </c>
      <c r="B768" s="48" t="str">
        <f>HYPERLINK("https://search.naver.com/search.naver?query=디스클레이머", "디스클레이머")</f>
        <v>디스클레이머</v>
      </c>
      <c r="C768" s="49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99" t="s">
        <v>3448</v>
      </c>
    </row>
    <row r="769" spans="1:10" ht="28.9" customHeight="1" thickTop="1" thickBot="1" x14ac:dyDescent="0.65">
      <c r="A769" s="5">
        <v>767</v>
      </c>
      <c r="B769" s="46" t="str">
        <f>HYPERLINK("https://search.naver.com/search.naver?query=디스터비아 영화", "디스터비아")</f>
        <v>디스터비아</v>
      </c>
      <c r="C769" s="47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98" t="s">
        <v>3447</v>
      </c>
    </row>
    <row r="770" spans="1:10" ht="28.9" customHeight="1" thickTop="1" thickBot="1" x14ac:dyDescent="0.65">
      <c r="A770" s="3">
        <v>768</v>
      </c>
      <c r="B770" s="44" t="str">
        <f>HYPERLINK("https://search.naver.com/search.naver?query=디아틀로프 영화", "디아틀로프")</f>
        <v>디아틀로프</v>
      </c>
      <c r="C770" s="45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97" t="s">
        <v>3451</v>
      </c>
    </row>
    <row r="771" spans="1:10" ht="28.9" customHeight="1" thickTop="1" thickBot="1" x14ac:dyDescent="0.65">
      <c r="A771" s="5">
        <v>769</v>
      </c>
      <c r="B771" s="46" t="str">
        <f>HYPERLINK("https://search.naver.com/search.naver?query=디어 한나 영화", "디어 한나")</f>
        <v>디어 한나</v>
      </c>
      <c r="C771" s="47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98" t="s">
        <v>3439</v>
      </c>
    </row>
    <row r="772" spans="1:10" ht="28.9" customHeight="1" thickTop="1" thickBot="1" x14ac:dyDescent="0.65">
      <c r="A772" s="3">
        <v>770</v>
      </c>
      <c r="B772" s="44" t="str">
        <f>HYPERLINK("https://search.naver.com/search.naver?query=디어리스트 영화", "디어리스트")</f>
        <v>디어리스트</v>
      </c>
      <c r="C772" s="45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97" t="s">
        <v>3437</v>
      </c>
    </row>
    <row r="773" spans="1:10" ht="28.9" customHeight="1" thickTop="1" thickBot="1" x14ac:dyDescent="0.65">
      <c r="A773" s="5">
        <v>771</v>
      </c>
      <c r="B773" s="46" t="str">
        <f>HYPERLINK("https://search.naver.com/search.naver?query=디트로이트 영화", "디트로이트")</f>
        <v>디트로이트</v>
      </c>
      <c r="C773" s="47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98" t="s">
        <v>3443</v>
      </c>
    </row>
    <row r="774" spans="1:10" ht="28.9" customHeight="1" thickTop="1" thickBot="1" x14ac:dyDescent="0.65">
      <c r="A774" s="3">
        <v>772</v>
      </c>
      <c r="B774" s="44" t="str">
        <f>HYPERLINK("https://search.naver.com/search.naver?query=디파이언스 영화", "디파이언스")</f>
        <v>디파이언스</v>
      </c>
      <c r="C774" s="45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97" t="s">
        <v>3450</v>
      </c>
    </row>
    <row r="775" spans="1:10" ht="28.9" customHeight="1" thickTop="1" thickBot="1" x14ac:dyDescent="0.65">
      <c r="A775" s="5">
        <v>773</v>
      </c>
      <c r="B775" s="46" t="str">
        <f>HYPERLINK("https://search.naver.com/search.naver?query=디파티드 영화", "디파티드")</f>
        <v>디파티드</v>
      </c>
      <c r="C775" s="47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98" t="s">
        <v>3460</v>
      </c>
    </row>
    <row r="776" spans="1:10" ht="28.9" customHeight="1" thickTop="1" thickBot="1" x14ac:dyDescent="0.65">
      <c r="A776" s="3">
        <v>774</v>
      </c>
      <c r="B776" s="44" t="str">
        <f>HYPERLINK("https://search.naver.com/search.naver?query=어메이징 메리 영화", "어메이징 메리")</f>
        <v>어메이징 메리</v>
      </c>
      <c r="C776" s="45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97">
        <v>43100</v>
      </c>
    </row>
    <row r="777" spans="1:10" ht="28.9" customHeight="1" thickTop="1" thickBot="1" x14ac:dyDescent="0.65">
      <c r="A777" s="5">
        <v>775</v>
      </c>
      <c r="B777" s="46" t="str">
        <f>HYPERLINK("https://search.naver.com/search.naver?query=딜리버리 맨 영화", "딜리버리 맨")</f>
        <v>딜리버리 맨</v>
      </c>
      <c r="C777" s="47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98" t="s">
        <v>3451</v>
      </c>
    </row>
    <row r="778" spans="1:10" ht="28.9" customHeight="1" thickTop="1" thickBot="1" x14ac:dyDescent="0.65">
      <c r="A778" s="3">
        <v>776</v>
      </c>
      <c r="B778" s="44" t="str">
        <f>HYPERLINK("https://search.naver.com/search.naver?query=딥 블루 씨 3 영화", "딥 블루 씨 3")</f>
        <v>딥 블루 씨 3</v>
      </c>
      <c r="C778" s="45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97" t="s">
        <v>3436</v>
      </c>
    </row>
    <row r="779" spans="1:10" ht="28.9" customHeight="1" thickTop="1" thickBot="1" x14ac:dyDescent="0.65">
      <c r="A779" s="5">
        <v>777</v>
      </c>
      <c r="B779" s="46" t="str">
        <f>HYPERLINK("https://search.naver.com/search.naver?query=딥 블루 씨2 영화", "딥 블루 씨2")</f>
        <v>딥 블루 씨2</v>
      </c>
      <c r="C779" s="47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98" t="s">
        <v>3442</v>
      </c>
    </row>
    <row r="780" spans="1:10" ht="28.9" customHeight="1" thickTop="1" thickBot="1" x14ac:dyDescent="0.65">
      <c r="A780" s="3">
        <v>778</v>
      </c>
      <c r="B780" s="44" t="str">
        <f>HYPERLINK("https://search.naver.com/search.naver?query=딥 워터 영화", "딥 워터")</f>
        <v>딥 워터</v>
      </c>
      <c r="C780" s="45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97" t="s">
        <v>3445</v>
      </c>
    </row>
    <row r="781" spans="1:10" ht="28.9" customHeight="1" thickTop="1" thickBot="1" x14ac:dyDescent="0.65">
      <c r="A781" s="5">
        <v>779</v>
      </c>
      <c r="B781" s="46" t="str">
        <f>HYPERLINK("https://search.naver.com/search.naver?query=딥 임팩트 영화", "딥 임팩트")</f>
        <v>딥 임팩트</v>
      </c>
      <c r="C781" s="47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98" t="s">
        <v>3452</v>
      </c>
    </row>
    <row r="782" spans="1:10" ht="28.9" customHeight="1" thickTop="1" thickBot="1" x14ac:dyDescent="0.65">
      <c r="A782" s="3">
        <v>780</v>
      </c>
      <c r="B782" s="44" t="str">
        <f>HYPERLINK("https://search.naver.com/search.naver?query=딥워터 호라이즌 영화", "딥워터 호라이즌")</f>
        <v>딥워터 호라이즌</v>
      </c>
      <c r="C782" s="45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97" t="s">
        <v>3441</v>
      </c>
    </row>
    <row r="783" spans="1:10" ht="28.9" customHeight="1" thickTop="1" thickBot="1" x14ac:dyDescent="0.65">
      <c r="A783" s="5">
        <v>781</v>
      </c>
      <c r="B783" s="46" t="str">
        <f>HYPERLINK("https://search.naver.com/search.naver?query=딱따구리와 비 영화", "딱따구리와 비")</f>
        <v>딱따구리와 비</v>
      </c>
      <c r="C783" s="47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98" t="s">
        <v>3439</v>
      </c>
    </row>
    <row r="784" spans="1:10" ht="28.9" customHeight="1" thickTop="1" thickBot="1" x14ac:dyDescent="0.65">
      <c r="A784" s="3">
        <v>782</v>
      </c>
      <c r="B784" s="44" t="str">
        <f>HYPERLINK("https://search.naver.com/search.naver?query=땡스 포 쉐어링 영화", "땡스 포 쉐어링")</f>
        <v>땡스 포 쉐어링</v>
      </c>
      <c r="C784" s="45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97" t="s">
        <v>3439</v>
      </c>
    </row>
    <row r="785" spans="1:10" ht="28.9" customHeight="1" thickTop="1" thickBot="1" x14ac:dyDescent="0.65">
      <c r="A785" s="5">
        <v>783</v>
      </c>
      <c r="B785" s="46" t="str">
        <f>HYPERLINK("https://search.naver.com/search.naver?query=떠나기 전 해야할 일 영화", "떠나기 전 해야할 일")</f>
        <v>떠나기 전 해야할 일</v>
      </c>
      <c r="C785" s="47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98" t="s">
        <v>3437</v>
      </c>
    </row>
    <row r="786" spans="1:10" ht="28.9" customHeight="1" thickTop="1" thickBot="1" x14ac:dyDescent="0.65">
      <c r="A786" s="3">
        <v>784</v>
      </c>
      <c r="B786" s="44" t="str">
        <f>HYPERLINK("https://search.naver.com/search.naver?query=떨어지는 동백 영화", "떨어지는 동백")</f>
        <v>떨어지는 동백</v>
      </c>
      <c r="C786" s="45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97" t="s">
        <v>3442</v>
      </c>
    </row>
    <row r="787" spans="1:10" ht="28.9" customHeight="1" thickTop="1" thickBot="1" x14ac:dyDescent="0.65">
      <c r="A787" s="5">
        <v>785</v>
      </c>
      <c r="B787" s="46" t="str">
        <f>HYPERLINK("https://search.naver.com/search.naver?query=또 하나의 약속 영화", "또 하나의 약속")</f>
        <v>또 하나의 약속</v>
      </c>
      <c r="C787" s="47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98" t="s">
        <v>3451</v>
      </c>
    </row>
    <row r="788" spans="1:10" ht="28.9" customHeight="1" thickTop="1" thickBot="1" x14ac:dyDescent="0.65">
      <c r="A788" s="3">
        <v>786</v>
      </c>
      <c r="B788" s="44" t="str">
        <f>HYPERLINK("https://search.naver.com/search.naver?query=뜨거운 안녕 영화", "뜨거운 안녕")</f>
        <v>뜨거운 안녕</v>
      </c>
      <c r="C788" s="45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97" t="s">
        <v>3451</v>
      </c>
    </row>
    <row r="789" spans="1:10" ht="28.9" customHeight="1" thickTop="1" thickBot="1" x14ac:dyDescent="0.65">
      <c r="A789" s="7">
        <v>787</v>
      </c>
      <c r="B789" s="48" t="str">
        <f>HYPERLINK("https://search.naver.com/search.naver?query=라 팔마", "라 팔마")</f>
        <v>라 팔마</v>
      </c>
      <c r="C789" s="49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99" t="s">
        <v>3448</v>
      </c>
    </row>
    <row r="790" spans="1:10" ht="28.9" customHeight="1" thickTop="1" thickBot="1" x14ac:dyDescent="0.65">
      <c r="A790" s="3">
        <v>788</v>
      </c>
      <c r="B790" s="44" t="str">
        <f>HYPERLINK("https://search.naver.com/search.naver?query=라디오 영화", "라디오")</f>
        <v>라디오</v>
      </c>
      <c r="C790" s="45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97" t="s">
        <v>3449</v>
      </c>
    </row>
    <row r="791" spans="1:10" ht="28.9" customHeight="1" thickTop="1" thickBot="1" x14ac:dyDescent="0.65">
      <c r="A791" s="5">
        <v>789</v>
      </c>
      <c r="B791" s="46" t="str">
        <f>HYPERLINK("https://search.naver.com/search.naver?query=라라랜드 영화", "라라랜드")</f>
        <v>라라랜드</v>
      </c>
      <c r="C791" s="47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98" t="s">
        <v>3441</v>
      </c>
    </row>
    <row r="792" spans="1:10" ht="28.9" customHeight="1" thickTop="1" thickBot="1" x14ac:dyDescent="0.65">
      <c r="A792" s="3">
        <v>790</v>
      </c>
      <c r="B792" s="44" t="str">
        <f>HYPERLINK("https://search.naver.com/search.naver?query=라면 걸 영화", "라면 걸")</f>
        <v>라면 걸</v>
      </c>
      <c r="C792" s="45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97" t="s">
        <v>3450</v>
      </c>
    </row>
    <row r="793" spans="1:10" ht="28.9" customHeight="1" thickTop="1" thickBot="1" x14ac:dyDescent="0.65">
      <c r="A793" s="5">
        <v>791</v>
      </c>
      <c r="B793" s="46" t="str">
        <f>HYPERLINK("https://search.naver.com/search.naver?query=라비앙 로즈 영화", "라비앙 로즈")</f>
        <v>라비앙 로즈</v>
      </c>
      <c r="C793" s="47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98" t="s">
        <v>3447</v>
      </c>
    </row>
    <row r="794" spans="1:10" ht="28.9" customHeight="1" thickTop="1" thickBot="1" x14ac:dyDescent="0.65">
      <c r="A794" s="3">
        <v>792</v>
      </c>
      <c r="B794" s="44" t="str">
        <f>HYPERLINK("https://search.naver.com/search.naver?query=라쇼몽 영화", "라쇼몽")</f>
        <v>라쇼몽</v>
      </c>
      <c r="C794" s="45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97" t="s">
        <v>3476</v>
      </c>
    </row>
    <row r="795" spans="1:10" ht="28.9" customHeight="1" thickTop="1" thickBot="1" x14ac:dyDescent="0.65">
      <c r="A795" s="5">
        <v>793</v>
      </c>
      <c r="B795" s="46" t="str">
        <f>HYPERLINK("https://search.naver.com/search.naver?query=라스베가스를 떠나며 영화", "라스베가스를 떠나며")</f>
        <v>라스베가스를 떠나며</v>
      </c>
      <c r="C795" s="47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98" t="s">
        <v>3475</v>
      </c>
    </row>
    <row r="796" spans="1:10" ht="28.9" customHeight="1" thickTop="1" thickBot="1" x14ac:dyDescent="0.65">
      <c r="A796" s="3">
        <v>794</v>
      </c>
      <c r="B796" s="44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45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97" t="s">
        <v>3450</v>
      </c>
    </row>
    <row r="797" spans="1:10" ht="28.9" customHeight="1" thickTop="1" thickBot="1" x14ac:dyDescent="0.65">
      <c r="A797" s="5">
        <v>795</v>
      </c>
      <c r="B797" s="46" t="str">
        <f>HYPERLINK("https://search.naver.com/search.naver?query=라스트 나잇 영화", "라스트 나잇")</f>
        <v>라스트 나잇</v>
      </c>
      <c r="C797" s="47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98" t="s">
        <v>3455</v>
      </c>
    </row>
    <row r="798" spans="1:10" ht="28.9" customHeight="1" thickTop="1" thickBot="1" x14ac:dyDescent="0.65">
      <c r="A798" s="3">
        <v>796</v>
      </c>
      <c r="B798" s="44" t="str">
        <f>HYPERLINK("https://search.naver.com/search.naver?query=라스트 듀얼-최후의 결투 영화", "라스트 듀얼-최후의 결투")</f>
        <v>라스트 듀얼-최후의 결투</v>
      </c>
      <c r="C798" s="45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97" t="s">
        <v>3438</v>
      </c>
    </row>
    <row r="799" spans="1:10" ht="28.9" customHeight="1" thickTop="1" thickBot="1" x14ac:dyDescent="0.65">
      <c r="A799" s="5">
        <v>797</v>
      </c>
      <c r="B799" s="46" t="str">
        <f>HYPERLINK("https://search.naver.com/search.naver?query=라스트 러브 인 뉴욕 영화", "라스트 러브 인 뉴욕")</f>
        <v>라스트 러브 인 뉴욕</v>
      </c>
      <c r="C799" s="47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98" t="s">
        <v>3460</v>
      </c>
    </row>
    <row r="800" spans="1:10" ht="28.9" customHeight="1" thickTop="1" thickBot="1" x14ac:dyDescent="0.65">
      <c r="A800" s="3">
        <v>798</v>
      </c>
      <c r="B800" s="44" t="str">
        <f>HYPERLINK("https://search.naver.com/search.naver?query=라스트 레시피-기린의 혀의 기억 영화", "라스트 레시피-기린의 혀의 기억")</f>
        <v>라스트 레시피-기린의 혀의 기억</v>
      </c>
      <c r="C800" s="45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97" t="s">
        <v>3443</v>
      </c>
    </row>
    <row r="801" spans="1:10" ht="28.9" customHeight="1" thickTop="1" thickBot="1" x14ac:dyDescent="0.65">
      <c r="A801" s="5">
        <v>799</v>
      </c>
      <c r="B801" s="46" t="str">
        <f>HYPERLINK("https://search.naver.com/search.naver?query=라스트 레터 영화", "라스트 레터")</f>
        <v>라스트 레터</v>
      </c>
      <c r="C801" s="47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98" t="s">
        <v>3444</v>
      </c>
    </row>
    <row r="802" spans="1:10" ht="28.9" customHeight="1" thickTop="1" thickBot="1" x14ac:dyDescent="0.65">
      <c r="A802" s="3">
        <v>800</v>
      </c>
      <c r="B802" s="44" t="str">
        <f>HYPERLINK("https://search.naver.com/search.naver?query=라스트 마일 영화", "라스트 마일")</f>
        <v>라스트 마일</v>
      </c>
      <c r="C802" s="45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97" t="s">
        <v>3448</v>
      </c>
    </row>
    <row r="803" spans="1:10" ht="28.9" customHeight="1" thickTop="1" thickBot="1" x14ac:dyDescent="0.65">
      <c r="A803" s="5">
        <v>801</v>
      </c>
      <c r="B803" s="46" t="str">
        <f>HYPERLINK("https://search.naver.com/search.naver?query=라스트 모히칸 영화", "라스트 모히칸")</f>
        <v>라스트 모히칸</v>
      </c>
      <c r="C803" s="47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98" t="s">
        <v>3473</v>
      </c>
    </row>
    <row r="804" spans="1:10" ht="28.9" customHeight="1" thickTop="1" thickBot="1" x14ac:dyDescent="0.65">
      <c r="A804" s="3">
        <v>802</v>
      </c>
      <c r="B804" s="44" t="str">
        <f>HYPERLINK("https://search.naver.com/search.naver?query=라스트 미션 영화", "라스트 미션")</f>
        <v>라스트 미션</v>
      </c>
      <c r="C804" s="45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97" t="s">
        <v>3442</v>
      </c>
    </row>
    <row r="805" spans="1:10" ht="28.9" customHeight="1" thickTop="1" thickBot="1" x14ac:dyDescent="0.65">
      <c r="A805" s="5">
        <v>803</v>
      </c>
      <c r="B805" s="46" t="str">
        <f>HYPERLINK("https://search.naver.com/search.naver?query=라스트 베가스 영화", "라스트 베가스")</f>
        <v>라스트 베가스</v>
      </c>
      <c r="C805" s="47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98" t="s">
        <v>3451</v>
      </c>
    </row>
    <row r="806" spans="1:10" ht="28.9" customHeight="1" thickTop="1" thickBot="1" x14ac:dyDescent="0.65">
      <c r="A806" s="3">
        <v>804</v>
      </c>
      <c r="B806" s="44" t="str">
        <f>HYPERLINK("https://search.naver.com/search.naver?query=라스트 브레스 영화", "라스트 브레스")</f>
        <v>라스트 브레스</v>
      </c>
      <c r="C806" s="45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97" t="s">
        <v>3459</v>
      </c>
    </row>
    <row r="807" spans="1:10" ht="28.9" customHeight="1" thickTop="1" thickBot="1" x14ac:dyDescent="0.65">
      <c r="A807" s="5">
        <v>805</v>
      </c>
      <c r="B807" s="46" t="str">
        <f>HYPERLINK("https://search.naver.com/search.naver?query=라스트 송 영화", "라스트 송")</f>
        <v>라스트 송</v>
      </c>
      <c r="C807" s="47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98" t="s">
        <v>3455</v>
      </c>
    </row>
    <row r="808" spans="1:10" ht="28.9" customHeight="1" thickTop="1" thickBot="1" x14ac:dyDescent="0.65">
      <c r="A808" s="7">
        <v>806</v>
      </c>
      <c r="B808" s="48" t="str">
        <f>HYPERLINK("https://search.naver.com/search.naver?query=라스트 쉽 시즌1", "라스트 쉽 시즌1")</f>
        <v>라스트 쉽 시즌1</v>
      </c>
      <c r="C808" s="49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99" t="s">
        <v>3437</v>
      </c>
    </row>
    <row r="809" spans="1:10" ht="28.9" customHeight="1" thickTop="1" thickBot="1" x14ac:dyDescent="0.65">
      <c r="A809" s="7">
        <v>807</v>
      </c>
      <c r="B809" s="48" t="str">
        <f>HYPERLINK("https://search.naver.com/search.naver?query=라스트 쉽 시즌2", "라스트 쉽 시즌2")</f>
        <v>라스트 쉽 시즌2</v>
      </c>
      <c r="C809" s="49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99" t="s">
        <v>3440</v>
      </c>
    </row>
    <row r="810" spans="1:10" ht="28.9" customHeight="1" thickTop="1" thickBot="1" x14ac:dyDescent="0.65">
      <c r="A810" s="7">
        <v>808</v>
      </c>
      <c r="B810" s="48" t="str">
        <f>HYPERLINK("https://search.naver.com/search.naver?query=라스트 쉽 시즌3", "라스트 쉽 시즌3")</f>
        <v>라스트 쉽 시즌3</v>
      </c>
      <c r="C810" s="49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99" t="s">
        <v>3441</v>
      </c>
    </row>
    <row r="811" spans="1:10" ht="28.9" customHeight="1" thickTop="1" thickBot="1" x14ac:dyDescent="0.65">
      <c r="A811" s="7">
        <v>809</v>
      </c>
      <c r="B811" s="48" t="str">
        <f>HYPERLINK("https://search.naver.com/search.naver?query=라스트 쉽 시즌4", "라스트 쉽 시즌4")</f>
        <v>라스트 쉽 시즌4</v>
      </c>
      <c r="C811" s="49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99" t="s">
        <v>3443</v>
      </c>
    </row>
    <row r="812" spans="1:10" ht="28.9" customHeight="1" thickTop="1" thickBot="1" x14ac:dyDescent="0.65">
      <c r="A812" s="7">
        <v>810</v>
      </c>
      <c r="B812" s="48" t="str">
        <f>HYPERLINK("https://search.naver.com/search.naver?query=라스트 쉽 시즌5", "라스트 쉽 시즌5")</f>
        <v>라스트 쉽 시즌5</v>
      </c>
      <c r="C812" s="49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99" t="s">
        <v>3442</v>
      </c>
    </row>
    <row r="813" spans="1:10" ht="28.9" customHeight="1" thickTop="1" thickBot="1" x14ac:dyDescent="0.65">
      <c r="A813" s="5">
        <v>811</v>
      </c>
      <c r="B813" s="46" t="str">
        <f>HYPERLINK("https://search.naver.com/search.naver?query=라스트 스탠드 영화", "라스트 스탠드")</f>
        <v>라스트 스탠드</v>
      </c>
      <c r="C813" s="47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98" t="s">
        <v>3451</v>
      </c>
    </row>
    <row r="814" spans="1:10" ht="28.9" customHeight="1" thickTop="1" thickBot="1" x14ac:dyDescent="0.65">
      <c r="A814" s="3">
        <v>812</v>
      </c>
      <c r="B814" s="44" t="str">
        <f>HYPERLINK("https://search.naver.com/search.naver?query=라스트 시크릿 영화", "라스트 시크릿")</f>
        <v>라스트 시크릿</v>
      </c>
      <c r="C814" s="45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97" t="s">
        <v>3436</v>
      </c>
    </row>
    <row r="815" spans="1:10" ht="28.9" customHeight="1" thickTop="1" thickBot="1" x14ac:dyDescent="0.65">
      <c r="A815" s="5">
        <v>813</v>
      </c>
      <c r="B815" s="46" t="str">
        <f>HYPERLINK("https://search.naver.com/search.naver?query=라스트 워드 영화", "라스트 워드")</f>
        <v>라스트 워드</v>
      </c>
      <c r="C815" s="47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98" t="s">
        <v>3450</v>
      </c>
    </row>
    <row r="816" spans="1:10" ht="28.9" customHeight="1" thickTop="1" thickBot="1" x14ac:dyDescent="0.65">
      <c r="A816" s="3">
        <v>814</v>
      </c>
      <c r="B816" s="44" t="str">
        <f>HYPERLINK("https://search.naver.com/search.naver?query=라스트 크리스마스 영화", "라스트 크리스마스")</f>
        <v>라스트 크리스마스</v>
      </c>
      <c r="C816" s="45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97" t="s">
        <v>3444</v>
      </c>
    </row>
    <row r="817" spans="1:10" ht="28.9" customHeight="1" thickTop="1" thickBot="1" x14ac:dyDescent="0.65">
      <c r="A817" s="5">
        <v>815</v>
      </c>
      <c r="B817" s="46" t="str">
        <f>HYPERLINK("https://search.naver.com/search.naver?query=라스트 킹 영화", "라스트 킹")</f>
        <v>라스트 킹</v>
      </c>
      <c r="C817" s="47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98" t="s">
        <v>3441</v>
      </c>
    </row>
    <row r="818" spans="1:10" ht="28.9" customHeight="1" thickTop="1" thickBot="1" x14ac:dyDescent="0.65">
      <c r="A818" s="3">
        <v>816</v>
      </c>
      <c r="B818" s="44" t="str">
        <f>HYPERLINK("https://search.naver.com/search.naver?query=라스트 풀 메저 영화", "라스트 풀 메저")</f>
        <v>라스트 풀 메저</v>
      </c>
      <c r="C818" s="45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97" t="s">
        <v>3444</v>
      </c>
    </row>
    <row r="819" spans="1:10" ht="28.9" customHeight="1" thickTop="1" thickBot="1" x14ac:dyDescent="0.65">
      <c r="A819" s="7">
        <v>817</v>
      </c>
      <c r="B819" s="48" t="str">
        <f>HYPERLINK("https://search.naver.com/search.naver?query=라스트 프런티어", "라스트 프런티어")</f>
        <v>라스트 프런티어</v>
      </c>
      <c r="C819" s="49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99" t="s">
        <v>3459</v>
      </c>
    </row>
    <row r="820" spans="1:10" ht="28.9" customHeight="1" thickTop="1" thickBot="1" x14ac:dyDescent="0.65">
      <c r="A820" s="3">
        <v>818</v>
      </c>
      <c r="B820" s="44" t="str">
        <f>HYPERLINK("https://search.naver.com/search.naver?query=라스트 필름 쇼 영화", "라스트 필름 쇼")</f>
        <v>라스트 필름 쇼</v>
      </c>
      <c r="C820" s="45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97" t="s">
        <v>3438</v>
      </c>
    </row>
    <row r="821" spans="1:10" ht="28.9" customHeight="1" thickTop="1" thickBot="1" x14ac:dyDescent="0.65">
      <c r="A821" s="5">
        <v>819</v>
      </c>
      <c r="B821" s="46" t="str">
        <f>HYPERLINK("https://search.naver.com/search.naver?query=라스트 홀리데이 영화", "라스트 홀리데이")</f>
        <v>라스트 홀리데이</v>
      </c>
      <c r="C821" s="47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98" t="s">
        <v>3460</v>
      </c>
    </row>
    <row r="822" spans="1:10" ht="28.9" customHeight="1" thickTop="1" thickBot="1" x14ac:dyDescent="0.65">
      <c r="A822" s="3">
        <v>820</v>
      </c>
      <c r="B822" s="44" t="str">
        <f>HYPERLINK("https://search.naver.com/search.naver?query=라스트 홈", "라스트 홈")</f>
        <v>라스트 홈</v>
      </c>
      <c r="C822" s="45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97" t="s">
        <v>3441</v>
      </c>
    </row>
    <row r="823" spans="1:10" ht="28.9" customHeight="1" thickTop="1" thickBot="1" x14ac:dyDescent="0.65">
      <c r="A823" s="5">
        <v>821</v>
      </c>
      <c r="B823" s="46" t="str">
        <f>HYPERLINK("https://search.naver.com/search.naver?query=라스트씬 얼라이브 영화", "라스트씬 얼라이브")</f>
        <v>라스트씬 얼라이브</v>
      </c>
      <c r="C823" s="47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98" t="s">
        <v>3445</v>
      </c>
    </row>
    <row r="824" spans="1:10" ht="28.9" customHeight="1" thickTop="1" thickBot="1" x14ac:dyDescent="0.65">
      <c r="A824" s="3">
        <v>822</v>
      </c>
      <c r="B824" s="44" t="str">
        <f>HYPERLINK("https://search.naver.com/search.naver?query=라운드 업 영화", "라운드 업")</f>
        <v>라운드 업</v>
      </c>
      <c r="C824" s="45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97" t="s">
        <v>3455</v>
      </c>
    </row>
    <row r="825" spans="1:10" ht="28.9" customHeight="1" thickTop="1" thickBot="1" x14ac:dyDescent="0.65">
      <c r="A825" s="5">
        <v>823</v>
      </c>
      <c r="B825" s="46" t="str">
        <f>HYPERLINK("https://search.naver.com/search.naver?query=라이브 영화", "라이브")</f>
        <v>라이브</v>
      </c>
      <c r="C825" s="47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98" t="s">
        <v>3444</v>
      </c>
    </row>
    <row r="826" spans="1:10" ht="28.9" customHeight="1" thickTop="1" thickBot="1" x14ac:dyDescent="0.65">
      <c r="A826" s="7">
        <v>824</v>
      </c>
      <c r="B826" s="48" t="str">
        <f>HYPERLINK("https://search.naver.com/search.naver?query=라이어니스 특수작전팀", "라이어니스: 특수작전팀 시즌1")</f>
        <v>라이어니스: 특수작전팀 시즌1</v>
      </c>
      <c r="C826" s="49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99" t="s">
        <v>3446</v>
      </c>
    </row>
    <row r="827" spans="1:10" ht="28.9" customHeight="1" thickTop="1" thickBot="1" x14ac:dyDescent="0.65">
      <c r="A827" s="7">
        <v>825</v>
      </c>
      <c r="B827" s="48" t="str">
        <f>HYPERLINK("https://search.naver.com/search.naver?query=라이어니스 특수작전팀 시즌2", "라이어니스: 특수작전팀 시즌2")</f>
        <v>라이어니스: 특수작전팀 시즌2</v>
      </c>
      <c r="C827" s="49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99" t="s">
        <v>3448</v>
      </c>
    </row>
    <row r="828" spans="1:10" ht="28.9" customHeight="1" thickTop="1" thickBot="1" x14ac:dyDescent="0.65">
      <c r="A828" s="3">
        <v>826</v>
      </c>
      <c r="B828" s="44" t="str">
        <f>HYPERLINK("https://search.naver.com/search.naver?query=라이언 영화", "라이언")</f>
        <v>라이언</v>
      </c>
      <c r="C828" s="45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97" t="s">
        <v>3441</v>
      </c>
    </row>
    <row r="829" spans="1:10" ht="28.9" customHeight="1" thickTop="1" thickBot="1" x14ac:dyDescent="0.65">
      <c r="A829" s="5">
        <v>827</v>
      </c>
      <c r="B829" s="46" t="str">
        <f>HYPERLINK("https://search.naver.com/search.naver?query=라이언 일병 구하기 영화", "라이언 일병 구하기")</f>
        <v>라이언 일병 구하기</v>
      </c>
      <c r="C829" s="47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98" t="s">
        <v>3452</v>
      </c>
    </row>
    <row r="830" spans="1:10" ht="28.9" customHeight="1" thickTop="1" thickBot="1" x14ac:dyDescent="0.65">
      <c r="A830" s="3">
        <v>828</v>
      </c>
      <c r="B830" s="44" t="str">
        <f>HYPERLINK("https://search.naver.com/search.naver?query=라이크 크레이지 영화", "라이크 크레이지")</f>
        <v>라이크 크레이지</v>
      </c>
      <c r="C830" s="45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97" t="s">
        <v>3454</v>
      </c>
    </row>
    <row r="831" spans="1:10" ht="28.9" customHeight="1" thickTop="1" thickBot="1" x14ac:dyDescent="0.65">
      <c r="A831" s="5">
        <v>829</v>
      </c>
      <c r="B831" s="46" t="str">
        <f>HYPERLINK("https://search.naver.com/search.naver?query=라이프", "라이프")</f>
        <v>라이프</v>
      </c>
      <c r="C831" s="47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98" t="s">
        <v>3440</v>
      </c>
    </row>
    <row r="832" spans="1:10" ht="28.9" customHeight="1" thickTop="1" thickBot="1" x14ac:dyDescent="0.65">
      <c r="A832" s="3">
        <v>830</v>
      </c>
      <c r="B832" s="44" t="str">
        <f>HYPERLINK("https://search.naver.com/search.naver?query=라이프 영화", "라이프")</f>
        <v>라이프</v>
      </c>
      <c r="C832" s="45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97" t="s">
        <v>3443</v>
      </c>
    </row>
    <row r="833" spans="1:10" ht="28.9" customHeight="1" thickTop="1" thickBot="1" x14ac:dyDescent="0.65">
      <c r="A833" s="7">
        <v>831</v>
      </c>
      <c r="B833" s="48" t="str">
        <f>HYPERLINK("https://search.naver.com/search.naver?query=라이프 영국드라마", "라이프")</f>
        <v>라이프</v>
      </c>
      <c r="C833" s="49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99" t="s">
        <v>3436</v>
      </c>
    </row>
    <row r="834" spans="1:10" ht="28.9" customHeight="1" thickTop="1" thickBot="1" x14ac:dyDescent="0.65">
      <c r="A834" s="3">
        <v>832</v>
      </c>
      <c r="B834" s="44" t="str">
        <f>HYPERLINK("https://search.naver.com/search.naver?query=라이프 라이크 영화", "라이프 라이크")</f>
        <v>라이프 라이크</v>
      </c>
      <c r="C834" s="45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97" t="s">
        <v>3444</v>
      </c>
    </row>
    <row r="835" spans="1:10" ht="28.9" customHeight="1" thickTop="1" thickBot="1" x14ac:dyDescent="0.65">
      <c r="A835" s="5">
        <v>833</v>
      </c>
      <c r="B835" s="46" t="str">
        <f>HYPERLINK("https://search.naver.com/search.naver?query=라이프 리스트", "라이프 리스트")</f>
        <v>라이프 리스트</v>
      </c>
      <c r="C835" s="47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98" t="s">
        <v>3459</v>
      </c>
    </row>
    <row r="836" spans="1:10" ht="28.9" customHeight="1" thickTop="1" thickBot="1" x14ac:dyDescent="0.65">
      <c r="A836" s="3">
        <v>834</v>
      </c>
      <c r="B836" s="44" t="str">
        <f>HYPERLINK("https://search.naver.com/search.naver?query=라이프 애즈 어 하우스 영화", "라이프 애즈 어 하우스")</f>
        <v>라이프 애즈 어 하우스</v>
      </c>
      <c r="C836" s="45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97" t="s">
        <v>3457</v>
      </c>
    </row>
    <row r="837" spans="1:10" ht="28.9" customHeight="1" thickTop="1" thickBot="1" x14ac:dyDescent="0.65">
      <c r="A837" s="5">
        <v>835</v>
      </c>
      <c r="B837" s="46" t="str">
        <f>HYPERLINK("https://search.naver.com/search.naver?query=라파예트 영화", "라파예트")</f>
        <v>라파예트</v>
      </c>
      <c r="C837" s="47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98" t="s">
        <v>3460</v>
      </c>
    </row>
    <row r="838" spans="1:10" ht="28.9" customHeight="1" thickTop="1" thickBot="1" x14ac:dyDescent="0.65">
      <c r="A838" s="3">
        <v>836</v>
      </c>
      <c r="B838" s="44" t="str">
        <f>HYPERLINK("https://search.naver.com/search.naver?query=라플라스의 마녀 영화", "라플라스의 마녀")</f>
        <v>라플라스의 마녀</v>
      </c>
      <c r="C838" s="45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97" t="s">
        <v>3442</v>
      </c>
    </row>
    <row r="839" spans="1:10" ht="28.9" customHeight="1" thickTop="1" thickBot="1" x14ac:dyDescent="0.65">
      <c r="A839" s="5">
        <v>837</v>
      </c>
      <c r="B839" s="46" t="str">
        <f>HYPERLINK("https://search.naver.com/search.naver?query=람보-라스트 워 영화", "람보-라스트 워")</f>
        <v>람보-라스트 워</v>
      </c>
      <c r="C839" s="47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98" t="s">
        <v>3444</v>
      </c>
    </row>
    <row r="840" spans="1:10" ht="28.9" customHeight="1" thickTop="1" thickBot="1" x14ac:dyDescent="0.65">
      <c r="A840" s="3">
        <v>838</v>
      </c>
      <c r="B840" s="44" t="str">
        <f>HYPERLINK("https://search.naver.com/search.naver?query=래기스 영화", "래기스")</f>
        <v>래기스</v>
      </c>
      <c r="C840" s="45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97" t="s">
        <v>3437</v>
      </c>
    </row>
    <row r="841" spans="1:10" ht="28.9" customHeight="1" thickTop="1" thickBot="1" x14ac:dyDescent="0.65">
      <c r="A841" s="5">
        <v>839</v>
      </c>
      <c r="B841" s="46" t="str">
        <f>HYPERLINK("https://search.naver.com/search.naver?query=래빗 홀 영화", "래빗 홀")</f>
        <v>래빗 홀</v>
      </c>
      <c r="C841" s="47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98" t="s">
        <v>3455</v>
      </c>
    </row>
    <row r="842" spans="1:10" ht="28.9" customHeight="1" thickTop="1" thickBot="1" x14ac:dyDescent="0.65">
      <c r="A842" s="7">
        <v>840</v>
      </c>
      <c r="B842" s="48" t="str">
        <f>HYPERLINK("https://search.naver.com/search.naver?query=래빗홀 드라마", "래빗홀")</f>
        <v>래빗홀</v>
      </c>
      <c r="C842" s="49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99" t="s">
        <v>3446</v>
      </c>
    </row>
    <row r="843" spans="1:10" ht="28.9" customHeight="1" thickTop="1" thickBot="1" x14ac:dyDescent="0.65">
      <c r="A843" s="5">
        <v>841</v>
      </c>
      <c r="B843" s="46" t="str">
        <f>HYPERLINK("https://search.naver.com/search.naver?query=래시 컴 홈 영화", "래시 컴 홈")</f>
        <v>래시 컴 홈</v>
      </c>
      <c r="C843" s="47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98" t="s">
        <v>3436</v>
      </c>
    </row>
    <row r="844" spans="1:10" ht="28.9" customHeight="1" thickTop="1" thickBot="1" x14ac:dyDescent="0.65">
      <c r="A844" s="3">
        <v>842</v>
      </c>
      <c r="B844" s="44" t="str">
        <f>HYPERLINK("https://search.naver.com/search.naver?query=랜드 영화", "랜드")</f>
        <v>랜드</v>
      </c>
      <c r="C844" s="45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97" t="s">
        <v>3438</v>
      </c>
    </row>
    <row r="845" spans="1:10" ht="28.9" customHeight="1" thickTop="1" thickBot="1" x14ac:dyDescent="0.65">
      <c r="A845" s="5">
        <v>843</v>
      </c>
      <c r="B845" s="46" t="str">
        <f>HYPERLINK("https://search.naver.com/search.naver?query=랜드 오브 배드 영화", "랜드 오브 배드")</f>
        <v>랜드 오브 배드</v>
      </c>
      <c r="C845" s="47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98" t="s">
        <v>3448</v>
      </c>
    </row>
    <row r="846" spans="1:10" ht="28.9" customHeight="1" thickTop="1" thickBot="1" x14ac:dyDescent="0.65">
      <c r="A846" s="7">
        <v>844</v>
      </c>
      <c r="B846" s="48" t="str">
        <f>HYPERLINK("https://search.naver.com/search.naver?query=랜드맨 시즌1", "랜드맨 시즌1")</f>
        <v>랜드맨 시즌1</v>
      </c>
      <c r="C846" s="49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99" t="s">
        <v>3448</v>
      </c>
    </row>
    <row r="847" spans="1:10" ht="28.9" customHeight="1" thickTop="1" thickBot="1" x14ac:dyDescent="0.65">
      <c r="A847" s="5">
        <v>845</v>
      </c>
      <c r="B847" s="46" t="str">
        <f>HYPERLINK("https://search.naver.com/search.naver?query=랜섬 영화", "랜섬")</f>
        <v>랜섬</v>
      </c>
      <c r="C847" s="47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98" t="s">
        <v>3463</v>
      </c>
    </row>
    <row r="848" spans="1:10" ht="28.9" customHeight="1" thickTop="1" thickBot="1" x14ac:dyDescent="0.65">
      <c r="A848" s="3">
        <v>846</v>
      </c>
      <c r="B848" s="44" t="str">
        <f>HYPERLINK("https://search.naver.com/search.naver?query=램페이지 영화", "램페이지")</f>
        <v>램페이지</v>
      </c>
      <c r="C848" s="45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97" t="s">
        <v>3442</v>
      </c>
    </row>
    <row r="849" spans="1:10" ht="28.9" customHeight="1" thickTop="1" thickBot="1" x14ac:dyDescent="0.65">
      <c r="A849" s="5">
        <v>847</v>
      </c>
      <c r="B849" s="46" t="str">
        <f>HYPERLINK("https://search.naver.com/search.naver?query=러닝 위드 더 데빌 영화", "러닝 위드 더 데빌")</f>
        <v>러닝 위드 더 데빌</v>
      </c>
      <c r="C849" s="47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98" t="s">
        <v>3444</v>
      </c>
    </row>
    <row r="850" spans="1:10" ht="28.9" customHeight="1" thickTop="1" thickBot="1" x14ac:dyDescent="0.65">
      <c r="A850" s="3">
        <v>848</v>
      </c>
      <c r="B850" s="44" t="str">
        <f>HYPERLINK("https://search.naver.com/search.naver?query=러덜리스 영화", "러덜리스")</f>
        <v>러덜리스</v>
      </c>
      <c r="C850" s="45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97" t="s">
        <v>3437</v>
      </c>
    </row>
    <row r="851" spans="1:10" ht="28.9" customHeight="1" thickTop="1" thickBot="1" x14ac:dyDescent="0.65">
      <c r="A851" s="5">
        <v>849</v>
      </c>
      <c r="B851" s="46" t="str">
        <f>HYPERLINK("https://search.naver.com/search.naver?query=러브 &amp; 드럭스 영화", "러브 &amp; 드럭스")</f>
        <v>러브 &amp; 드럭스</v>
      </c>
      <c r="C851" s="47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98" t="s">
        <v>3455</v>
      </c>
    </row>
    <row r="852" spans="1:10" ht="28.9" customHeight="1" thickTop="1" thickBot="1" x14ac:dyDescent="0.65">
      <c r="A852" s="3">
        <v>850</v>
      </c>
      <c r="B852" s="44" t="str">
        <f>HYPERLINK("https://search.naver.com/search.naver?query=러브 라이프 영화", "러브 라이프")</f>
        <v>러브 라이프</v>
      </c>
      <c r="C852" s="45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97" t="s">
        <v>3445</v>
      </c>
    </row>
    <row r="853" spans="1:10" ht="28.9" customHeight="1" thickTop="1" thickBot="1" x14ac:dyDescent="0.65">
      <c r="A853" s="5">
        <v>851</v>
      </c>
      <c r="B853" s="46" t="str">
        <f>HYPERLINK("https://search.naver.com/search.naver?query=러브 송 포 바비 롱 영화", "러브 송 포 바비 롱")</f>
        <v>러브 송 포 바비 롱</v>
      </c>
      <c r="C853" s="47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98" t="s">
        <v>3462</v>
      </c>
    </row>
    <row r="854" spans="1:10" ht="28.2" thickTop="1" thickBot="1" x14ac:dyDescent="0.65">
      <c r="A854" s="7">
        <v>852</v>
      </c>
      <c r="B854" s="88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49">
        <v>8.3000000000000007</v>
      </c>
      <c r="D854" s="24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101" t="s">
        <v>1041</v>
      </c>
    </row>
    <row r="855" spans="1:10" ht="28.9" customHeight="1" thickTop="1" thickBot="1" x14ac:dyDescent="0.65">
      <c r="A855" s="3">
        <v>853</v>
      </c>
      <c r="B855" s="44" t="str">
        <f>HYPERLINK("https://search.naver.com/search.naver?query=러브 액츄얼리 영화", "러브 액츄얼리")</f>
        <v>러브 액츄얼리</v>
      </c>
      <c r="C855" s="45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97" t="s">
        <v>3449</v>
      </c>
    </row>
    <row r="856" spans="1:10" ht="28.9" customHeight="1" thickTop="1" thickBot="1" x14ac:dyDescent="0.65">
      <c r="A856" s="7">
        <v>854</v>
      </c>
      <c r="B856" s="48" t="str">
        <f>HYPERLINK("https://search.naver.com/search.naver?query=러브 앤 아나키 시즌1", "러브 앤 아나키 시즌1")</f>
        <v>러브 앤 아나키 시즌1</v>
      </c>
      <c r="C856" s="49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99" t="s">
        <v>3436</v>
      </c>
    </row>
    <row r="857" spans="1:10" ht="28.9" customHeight="1" thickTop="1" thickBot="1" x14ac:dyDescent="0.65">
      <c r="A857" s="3">
        <v>855</v>
      </c>
      <c r="B857" s="44" t="str">
        <f>HYPERLINK("https://search.naver.com/search.naver?query=러브 앤 아트 영화", "러브 앤 아트")</f>
        <v>러브 앤 아트</v>
      </c>
      <c r="C857" s="45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97" t="s">
        <v>3451</v>
      </c>
    </row>
    <row r="858" spans="1:10" ht="28.9" customHeight="1" thickTop="1" thickBot="1" x14ac:dyDescent="0.65">
      <c r="A858" s="5">
        <v>856</v>
      </c>
      <c r="B858" s="46" t="str">
        <f>HYPERLINK("https://search.naver.com/search.naver?query=러브 앳 영화", "러브 앳")</f>
        <v>러브 앳</v>
      </c>
      <c r="C858" s="47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98" t="s">
        <v>3444</v>
      </c>
    </row>
    <row r="859" spans="1:10" ht="28.9" customHeight="1" thickTop="1" thickBot="1" x14ac:dyDescent="0.65">
      <c r="A859" s="3">
        <v>857</v>
      </c>
      <c r="B859" s="44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45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97" t="s">
        <v>3438</v>
      </c>
    </row>
    <row r="860" spans="1:10" ht="28.9" customHeight="1" thickTop="1" thickBot="1" x14ac:dyDescent="0.65">
      <c r="A860" s="5">
        <v>858</v>
      </c>
      <c r="B860" s="46" t="str">
        <f>HYPERLINK("https://search.naver.com/search.naver?query=러브 인 비즈니스클래스 영화", "러브 인 비즈니스클래스")</f>
        <v>러브 인 비즈니스클래스</v>
      </c>
      <c r="C860" s="47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98" t="s">
        <v>3437</v>
      </c>
    </row>
    <row r="861" spans="1:10" ht="28.9" customHeight="1" thickTop="1" thickBot="1" x14ac:dyDescent="0.65">
      <c r="A861" s="3">
        <v>859</v>
      </c>
      <c r="B861" s="44" t="str">
        <f>HYPERLINK("https://search.naver.com/search.naver?query=러브 인 클라우즈 영화", "러브 인 클라우즈")</f>
        <v>러브 인 클라우즈</v>
      </c>
      <c r="C861" s="45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97" t="s">
        <v>3450</v>
      </c>
    </row>
    <row r="862" spans="1:10" ht="28.9" customHeight="1" thickTop="1" thickBot="1" x14ac:dyDescent="0.65">
      <c r="A862" s="5">
        <v>860</v>
      </c>
      <c r="B862" s="46" t="str">
        <f>HYPERLINK("https://search.naver.com/search.naver?query=러브 인 프로방스 영화", "러브 인 프로방스")</f>
        <v>러브 인 프로방스</v>
      </c>
      <c r="C862" s="47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98" t="s">
        <v>3437</v>
      </c>
    </row>
    <row r="863" spans="1:10" ht="28.9" customHeight="1" thickTop="1" thickBot="1" x14ac:dyDescent="0.65">
      <c r="A863" s="3">
        <v>861</v>
      </c>
      <c r="B863" s="44" t="str">
        <f>HYPERLINK("https://search.naver.com/search.naver?query=러브 펀치 영화", "러브 펀치")</f>
        <v>러브 펀치</v>
      </c>
      <c r="C863" s="45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97" t="s">
        <v>3451</v>
      </c>
    </row>
    <row r="864" spans="1:10" ht="28.9" customHeight="1" thickTop="1" thickBot="1" x14ac:dyDescent="0.65">
      <c r="A864" s="5">
        <v>862</v>
      </c>
      <c r="B864" s="46" t="str">
        <f>HYPERLINK("https://search.naver.com/search.naver?query=러브, 로지 영화", "러브, 로지")</f>
        <v>러브, 로지</v>
      </c>
      <c r="C864" s="47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98" t="s">
        <v>3437</v>
      </c>
    </row>
    <row r="865" spans="1:10" ht="28.9" customHeight="1" thickTop="1" thickBot="1" x14ac:dyDescent="0.65">
      <c r="A865" s="3">
        <v>863</v>
      </c>
      <c r="B865" s="44" t="str">
        <f>HYPERLINK("https://search.naver.com/search.naver?query=러브, 비하인드 영화", "러브, 비하인드")</f>
        <v>러브, 비하인드</v>
      </c>
      <c r="C865" s="45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97" t="s">
        <v>3439</v>
      </c>
    </row>
    <row r="866" spans="1:10" ht="28.9" customHeight="1" thickTop="1" thickBot="1" x14ac:dyDescent="0.65">
      <c r="A866" s="5">
        <v>864</v>
      </c>
      <c r="B866" s="46" t="str">
        <f>HYPERLINK("https://search.naver.com/search.naver?query=러브, 어게인 영화", "러브, 어게인")</f>
        <v>러브, 어게인</v>
      </c>
      <c r="C866" s="47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98" t="s">
        <v>3443</v>
      </c>
    </row>
    <row r="867" spans="1:10" ht="28.9" customHeight="1" thickTop="1" thickBot="1" x14ac:dyDescent="0.65">
      <c r="A867" s="3">
        <v>865</v>
      </c>
      <c r="B867" s="44" t="str">
        <f>HYPERLINK("https://search.naver.com/search.naver?query=러블리 본즈 영화", "러블리 본즈")</f>
        <v>러블리 본즈</v>
      </c>
      <c r="C867" s="45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97" t="s">
        <v>3453</v>
      </c>
    </row>
    <row r="868" spans="1:10" ht="28.9" customHeight="1" thickTop="1" thickBot="1" x14ac:dyDescent="0.65">
      <c r="A868" s="5">
        <v>866</v>
      </c>
      <c r="B868" s="46" t="str">
        <f>HYPERLINK("https://search.naver.com/search.naver?query=러빙 영화", "러빙")</f>
        <v>러빙</v>
      </c>
      <c r="C868" s="47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98" t="s">
        <v>3441</v>
      </c>
    </row>
    <row r="869" spans="1:10" ht="28.9" customHeight="1" thickTop="1" thickBot="1" x14ac:dyDescent="0.65">
      <c r="A869" s="3">
        <v>867</v>
      </c>
      <c r="B869" s="44" t="str">
        <f>HYPERLINK("https://search.naver.com/search.naver?query=러스트 크릭 영화", "러스트 크릭")</f>
        <v>러스트 크릭</v>
      </c>
      <c r="C869" s="45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97" t="s">
        <v>3442</v>
      </c>
    </row>
    <row r="870" spans="1:10" ht="28.9" customHeight="1" thickTop="1" thickBot="1" x14ac:dyDescent="0.65">
      <c r="A870" s="5">
        <v>868</v>
      </c>
      <c r="B870" s="46" t="str">
        <f>HYPERLINK("https://search.naver.com/search.naver?query=러시 - 더 라이벌 영화", "러시 - 더 라이벌")</f>
        <v>러시 - 더 라이벌</v>
      </c>
      <c r="C870" s="47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98" t="s">
        <v>3451</v>
      </c>
    </row>
    <row r="871" spans="1:10" ht="28.9" customHeight="1" thickTop="1" thickBot="1" x14ac:dyDescent="0.65">
      <c r="A871" s="3">
        <v>869</v>
      </c>
      <c r="B871" s="44" t="str">
        <f>HYPERLINK("https://search.naver.com/search.naver?query=럭키 넘버 슬레븐 영화", "럭키 넘버 슬레븐")</f>
        <v>럭키 넘버 슬레븐</v>
      </c>
      <c r="C871" s="45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97" t="s">
        <v>3460</v>
      </c>
    </row>
    <row r="872" spans="1:10" ht="28.9" customHeight="1" thickTop="1" thickBot="1" x14ac:dyDescent="0.65">
      <c r="A872" s="5">
        <v>870</v>
      </c>
      <c r="B872" s="46" t="str">
        <f>HYPERLINK("https://search.naver.com/search.naver?query=런 영화", "런")</f>
        <v>런</v>
      </c>
      <c r="C872" s="47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98" t="s">
        <v>3436</v>
      </c>
    </row>
    <row r="873" spans="1:10" ht="28.9" customHeight="1" thickTop="1" thickBot="1" x14ac:dyDescent="0.65">
      <c r="A873" s="3">
        <v>871</v>
      </c>
      <c r="B873" s="44" t="str">
        <f>HYPERLINK("https://search.naver.com/search.naver?query=런 올 나이트 영화", "런 올 나이트")</f>
        <v>런 올 나이트</v>
      </c>
      <c r="C873" s="45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97" t="s">
        <v>3440</v>
      </c>
    </row>
    <row r="874" spans="1:10" ht="28.9" customHeight="1" thickTop="1" thickBot="1" x14ac:dyDescent="0.65">
      <c r="A874" s="5">
        <v>872</v>
      </c>
      <c r="B874" s="46" t="str">
        <f>HYPERLINK("https://search.naver.com/search.naver?query=영화런닝맨", "런닝맨")</f>
        <v>런닝맨</v>
      </c>
      <c r="C874" s="47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98" t="s">
        <v>3451</v>
      </c>
    </row>
    <row r="875" spans="1:10" ht="28.9" customHeight="1" thickTop="1" thickBot="1" x14ac:dyDescent="0.65">
      <c r="A875" s="3">
        <v>873</v>
      </c>
      <c r="B875" s="44" t="str">
        <f>HYPERLINK("https://search.naver.com/search.naver?query=런던 블러바드 영화", "런던 블러바드")</f>
        <v>런던 블러바드</v>
      </c>
      <c r="C875" s="45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97" t="s">
        <v>3439</v>
      </c>
    </row>
    <row r="876" spans="1:10" ht="28.9" customHeight="1" thickTop="1" thickBot="1" x14ac:dyDescent="0.65">
      <c r="A876" s="5">
        <v>874</v>
      </c>
      <c r="B876" s="46" t="str">
        <f>HYPERLINK("https://search.naver.com/search.naver?query=런던 프라이드 영화", "런던 프라이드")</f>
        <v>런던 프라이드</v>
      </c>
      <c r="C876" s="47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98" t="s">
        <v>3437</v>
      </c>
    </row>
    <row r="877" spans="1:10" ht="28.9" customHeight="1" thickTop="1" thickBot="1" x14ac:dyDescent="0.65">
      <c r="A877" s="3">
        <v>875</v>
      </c>
      <c r="B877" s="44" t="str">
        <f>HYPERLINK("https://search.naver.com/search.naver?query=런던 해즈 폴른 영화", "런던 해즈 폴른")</f>
        <v>런던 해즈 폴른</v>
      </c>
      <c r="C877" s="45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97" t="s">
        <v>3441</v>
      </c>
    </row>
    <row r="878" spans="1:10" ht="28.9" customHeight="1" thickTop="1" thickBot="1" x14ac:dyDescent="0.65">
      <c r="A878" s="5">
        <v>876</v>
      </c>
      <c r="B878" s="46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47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98" t="s">
        <v>3441</v>
      </c>
    </row>
    <row r="879" spans="1:10" ht="28.9" customHeight="1" thickTop="1" thickBot="1" x14ac:dyDescent="0.65">
      <c r="A879" s="3">
        <v>877</v>
      </c>
      <c r="B879" s="44" t="str">
        <f>HYPERLINK("https://search.naver.com/search.naver?query=런어웨이 영화", "런어웨이")</f>
        <v>런어웨이</v>
      </c>
      <c r="C879" s="45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97" t="s">
        <v>3449</v>
      </c>
    </row>
    <row r="880" spans="1:10" ht="28.9" customHeight="1" thickTop="1" thickBot="1" x14ac:dyDescent="0.65">
      <c r="A880" s="5">
        <v>878</v>
      </c>
      <c r="B880" s="46" t="str">
        <f>HYPERLINK("https://search.naver.com/search.naver?query=런치박스 영화", "런치박스")</f>
        <v>런치박스</v>
      </c>
      <c r="C880" s="47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98" t="s">
        <v>3451</v>
      </c>
    </row>
    <row r="881" spans="1:10" ht="28.9" customHeight="1" thickTop="1" thickBot="1" x14ac:dyDescent="0.65">
      <c r="A881" s="3">
        <v>879</v>
      </c>
      <c r="B881" s="44" t="str">
        <f>HYPERLINK("https://search.naver.com/search.naver?query=럼 다이어리 영화", "럼 다이어리")</f>
        <v>럼 다이어리</v>
      </c>
      <c r="C881" s="45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97" t="s">
        <v>3454</v>
      </c>
    </row>
    <row r="882" spans="1:10" ht="28.9" customHeight="1" thickTop="1" thickBot="1" x14ac:dyDescent="0.65">
      <c r="A882" s="5">
        <v>880</v>
      </c>
      <c r="B882" s="46" t="str">
        <f>HYPERLINK("https://search.naver.com/search.naver?query=레거시 오브 라이즈 영화", "레거시 오브 라이즈")</f>
        <v>레거시 오브 라이즈</v>
      </c>
      <c r="C882" s="47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98" t="s">
        <v>3436</v>
      </c>
    </row>
    <row r="883" spans="1:10" ht="28.9" customHeight="1" thickTop="1" thickBot="1" x14ac:dyDescent="0.65">
      <c r="A883" s="3">
        <v>881</v>
      </c>
      <c r="B883" s="44" t="str">
        <f>HYPERLINK("https://search.naver.com/search.naver?query=레드 - 더 레전드 영화", "레드 - 더 레전드")</f>
        <v>레드 - 더 레전드</v>
      </c>
      <c r="C883" s="45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97" t="s">
        <v>3451</v>
      </c>
    </row>
    <row r="884" spans="1:10" ht="28.9" customHeight="1" thickTop="1" thickBot="1" x14ac:dyDescent="0.65">
      <c r="A884" s="5">
        <v>882</v>
      </c>
      <c r="B884" s="46" t="str">
        <f>HYPERLINK("https://search.naver.com/search.naver?query=레드 노티스 영화", "레드 노티스")</f>
        <v>레드 노티스</v>
      </c>
      <c r="C884" s="47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98" t="s">
        <v>3438</v>
      </c>
    </row>
    <row r="885" spans="1:10" ht="28.9" customHeight="1" thickTop="1" thickBot="1" x14ac:dyDescent="0.65">
      <c r="A885" s="3">
        <v>883</v>
      </c>
      <c r="B885" s="44" t="str">
        <f>HYPERLINK("https://search.naver.com/search.naver?query=레드 닷 영화", "레드 닷")</f>
        <v>레드 닷</v>
      </c>
      <c r="C885" s="45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97" t="s">
        <v>3438</v>
      </c>
    </row>
    <row r="886" spans="1:10" ht="28.9" customHeight="1" thickTop="1" thickBot="1" x14ac:dyDescent="0.65">
      <c r="A886" s="5">
        <v>884</v>
      </c>
      <c r="B886" s="46" t="str">
        <f>HYPERLINK("https://search.naver.com/search.naver?query=레드 드래곤 영화", "레드 드래곤")</f>
        <v>레드 드래곤</v>
      </c>
      <c r="C886" s="47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98" t="s">
        <v>3466</v>
      </c>
    </row>
    <row r="887" spans="1:10" ht="28.9" customHeight="1" thickTop="1" thickBot="1" x14ac:dyDescent="0.65">
      <c r="A887" s="3">
        <v>885</v>
      </c>
      <c r="B887" s="44" t="str">
        <f>HYPERLINK("https://search.naver.com/search.naver?query=레드 바론 영화", "레드 바론")</f>
        <v>레드 바론</v>
      </c>
      <c r="C887" s="45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97" t="s">
        <v>3450</v>
      </c>
    </row>
    <row r="888" spans="1:10" ht="28.9" customHeight="1" thickTop="1" thickBot="1" x14ac:dyDescent="0.65">
      <c r="A888" s="5">
        <v>886</v>
      </c>
      <c r="B888" s="46" t="str">
        <f>HYPERLINK("https://search.naver.com/search.naver?query=레드 스패로 영화", "레드 스패로")</f>
        <v>레드 스패로</v>
      </c>
      <c r="C888" s="47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98" t="s">
        <v>3442</v>
      </c>
    </row>
    <row r="889" spans="1:10" ht="28.9" customHeight="1" thickTop="1" thickBot="1" x14ac:dyDescent="0.65">
      <c r="A889" s="3">
        <v>887</v>
      </c>
      <c r="B889" s="44" t="str">
        <f>HYPERLINK("https://search.naver.com/search.naver?query=레드라이트 영화", "레드라이트")</f>
        <v>레드라이트</v>
      </c>
      <c r="C889" s="45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97" t="s">
        <v>3439</v>
      </c>
    </row>
    <row r="890" spans="1:10" ht="28.9" customHeight="1" thickTop="1" thickBot="1" x14ac:dyDescent="0.65">
      <c r="A890" s="5">
        <v>888</v>
      </c>
      <c r="B890" s="46" t="str">
        <f>HYPERLINK("https://search.naver.com/search.naver?query=레드테일스 영화", "레드테일스")</f>
        <v>레드테일스</v>
      </c>
      <c r="C890" s="47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98" t="s">
        <v>3439</v>
      </c>
    </row>
    <row r="891" spans="1:10" ht="28.9" customHeight="1" thickTop="1" thickBot="1" x14ac:dyDescent="0.65">
      <c r="A891" s="3">
        <v>889</v>
      </c>
      <c r="B891" s="44" t="str">
        <f>HYPERLINK("https://search.naver.com/search.naver?query=레디 오어 낫 영화", "레디 오어 낫")</f>
        <v>레디 오어 낫</v>
      </c>
      <c r="C891" s="45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97" t="s">
        <v>3444</v>
      </c>
    </row>
    <row r="892" spans="1:10" ht="28.9" customHeight="1" thickTop="1" thickBot="1" x14ac:dyDescent="0.65">
      <c r="A892" s="5">
        <v>890</v>
      </c>
      <c r="B892" s="46" t="str">
        <f>HYPERLINK("https://search.naver.com/search.naver?query=레디 플레이어 원 영화", "레디 플레이어 원")</f>
        <v>레디 플레이어 원</v>
      </c>
      <c r="C892" s="47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98" t="s">
        <v>3442</v>
      </c>
    </row>
    <row r="893" spans="1:10" ht="28.9" customHeight="1" thickTop="1" thickBot="1" x14ac:dyDescent="0.65">
      <c r="A893" s="3">
        <v>891</v>
      </c>
      <c r="B893" s="44" t="str">
        <f>HYPERLINK("https://search.naver.com/search.naver?query=레미니센스 영화", "레미니센스")</f>
        <v>레미니센스</v>
      </c>
      <c r="C893" s="45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97" t="s">
        <v>3438</v>
      </c>
    </row>
    <row r="894" spans="1:10" ht="28.9" customHeight="1" thickTop="1" thickBot="1" x14ac:dyDescent="0.65">
      <c r="A894" s="5">
        <v>892</v>
      </c>
      <c r="B894" s="46" t="str">
        <f>HYPERLINK("https://search.naver.com/search.naver?query=레미-집 없는 아이 영화", "레미-집 없는 아이")</f>
        <v>레미-집 없는 아이</v>
      </c>
      <c r="C894" s="47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98" t="s">
        <v>3442</v>
      </c>
    </row>
    <row r="895" spans="1:10" ht="28.9" customHeight="1" thickTop="1" thickBot="1" x14ac:dyDescent="0.65">
      <c r="A895" s="3">
        <v>893</v>
      </c>
      <c r="B895" s="44" t="str">
        <f>HYPERLINK("https://search.naver.com/search.naver?query=레버넌트 - 죽음에서 돌아온 자 영화", "레버넌트 - 죽음에서 돌아온 자")</f>
        <v>레버넌트 - 죽음에서 돌아온 자</v>
      </c>
      <c r="C895" s="45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97" t="s">
        <v>3440</v>
      </c>
    </row>
    <row r="896" spans="1:10" ht="28.9" customHeight="1" thickTop="1" thickBot="1" x14ac:dyDescent="0.65">
      <c r="A896" s="5">
        <v>894</v>
      </c>
      <c r="B896" s="46" t="str">
        <f>HYPERLINK("https://search.naver.com/search.naver?query=레베카 영화", "레베카")</f>
        <v>레베카</v>
      </c>
      <c r="C896" s="47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98" t="s">
        <v>3436</v>
      </c>
    </row>
    <row r="897" spans="1:10" ht="28.9" customHeight="1" thickTop="1" thickBot="1" x14ac:dyDescent="0.65">
      <c r="A897" s="3">
        <v>895</v>
      </c>
      <c r="B897" s="44" t="str">
        <f>HYPERLINK("https://search.naver.com/search.naver?query=레벨 16 영화", "레벨 16")</f>
        <v>레벨 16</v>
      </c>
      <c r="C897" s="45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97" t="s">
        <v>3442</v>
      </c>
    </row>
    <row r="898" spans="1:10" ht="28.9" customHeight="1" thickTop="1" thickBot="1" x14ac:dyDescent="0.65">
      <c r="A898" s="40">
        <v>896</v>
      </c>
      <c r="B898" s="50" t="str">
        <f>HYPERLINK("https://search.naver.com/search.naver?query=레스큐 돈 영화", "레스큐 돈")</f>
        <v>레스큐 돈</v>
      </c>
      <c r="C898" s="51">
        <v>6.4</v>
      </c>
      <c r="D898" s="36" t="s">
        <v>1086</v>
      </c>
      <c r="E898" s="40" t="s">
        <v>20</v>
      </c>
      <c r="F898" s="41">
        <v>2006</v>
      </c>
      <c r="G898" s="41" t="s">
        <v>12</v>
      </c>
      <c r="H898" s="41" t="s">
        <v>92</v>
      </c>
      <c r="I898" s="42" t="s">
        <v>214</v>
      </c>
      <c r="J898" s="102" t="s">
        <v>3460</v>
      </c>
    </row>
    <row r="899" spans="1:10" ht="28.9" customHeight="1" thickTop="1" thickBot="1" x14ac:dyDescent="0.65">
      <c r="A899" s="3">
        <v>897</v>
      </c>
      <c r="B899" s="44" t="str">
        <f>HYPERLINK("https://search.naver.com/search.naver?query=레슬러 영화", "레슬러")</f>
        <v>레슬러</v>
      </c>
      <c r="C899" s="45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97" t="s">
        <v>3443</v>
      </c>
    </row>
    <row r="900" spans="1:10" ht="28.9" customHeight="1" thickTop="1" thickBot="1" x14ac:dyDescent="0.65">
      <c r="A900" s="12">
        <v>898</v>
      </c>
      <c r="B900" s="44" t="str">
        <f>HYPERLINK("https://search.naver.com/search.naver?query=레옹 영화", "레옹")</f>
        <v>레옹</v>
      </c>
      <c r="C900" s="52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97" t="s">
        <v>3475</v>
      </c>
    </row>
    <row r="901" spans="1:10" ht="28.9" customHeight="1" thickTop="1" thickBot="1" x14ac:dyDescent="0.65">
      <c r="A901" s="5">
        <v>899</v>
      </c>
      <c r="B901" s="46" t="str">
        <f>HYPERLINK("https://search.naver.com/search.naver?query=레이 영화", "레이")</f>
        <v>레이</v>
      </c>
      <c r="C901" s="47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98" t="s">
        <v>3462</v>
      </c>
    </row>
    <row r="902" spans="1:10" ht="28.9" customHeight="1" thickTop="1" thickBot="1" x14ac:dyDescent="0.65">
      <c r="A902" s="3">
        <v>900</v>
      </c>
      <c r="B902" s="44" t="str">
        <f>HYPERLINK("https://search.naver.com/search.naver?query=레이더스", "레이더스")</f>
        <v>레이더스</v>
      </c>
      <c r="C902" s="45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103">
        <v>30316</v>
      </c>
    </row>
    <row r="903" spans="1:10" ht="28.9" customHeight="1" thickTop="1" thickBot="1" x14ac:dyDescent="0.65">
      <c r="A903" s="3">
        <v>901</v>
      </c>
      <c r="B903" s="44" t="str">
        <f>HYPERLINK("https://search.naver.com/search.naver?query=레이디스 나잇 영화", "레이디스 나잇")</f>
        <v>레이디스 나잇</v>
      </c>
      <c r="C903" s="45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97" t="s">
        <v>3443</v>
      </c>
    </row>
    <row r="904" spans="1:10" ht="28.9" customHeight="1" thickTop="1" thickBot="1" x14ac:dyDescent="0.65">
      <c r="A904" s="5">
        <v>902</v>
      </c>
      <c r="B904" s="46" t="str">
        <f>HYPERLINK("https://search.naver.com/search.naver?query=레이먼드 &amp; 레이 영화", "레이먼드 &amp; 레이")</f>
        <v>레이먼드 &amp; 레이</v>
      </c>
      <c r="C904" s="47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98" t="s">
        <v>3445</v>
      </c>
    </row>
    <row r="905" spans="1:10" ht="28.9" customHeight="1" thickTop="1" thickBot="1" x14ac:dyDescent="0.65">
      <c r="A905" s="3">
        <v>903</v>
      </c>
      <c r="B905" s="44" t="str">
        <f>HYPERLINK("https://search.naver.com/search.naver?query=레이버 데이 영화", "레이버 데이")</f>
        <v>레이버 데이</v>
      </c>
      <c r="C905" s="45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97" t="s">
        <v>3451</v>
      </c>
    </row>
    <row r="906" spans="1:10" ht="28.9" customHeight="1" thickTop="1" thickBot="1" x14ac:dyDescent="0.65">
      <c r="A906" s="5">
        <v>904</v>
      </c>
      <c r="B906" s="46" t="str">
        <f>HYPERLINK("https://search.naver.com/search.naver?query=레이스 영화", "레이스")</f>
        <v>레이스</v>
      </c>
      <c r="C906" s="47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98" t="s">
        <v>3441</v>
      </c>
    </row>
    <row r="907" spans="1:10" ht="28.9" customHeight="1" thickTop="1" thickBot="1" x14ac:dyDescent="0.65">
      <c r="A907" s="3">
        <v>905</v>
      </c>
      <c r="B907" s="44" t="str">
        <f>HYPERLINK("https://search.naver.com/search.naver?query=레이징 파이어 영화", "레이징 파이어")</f>
        <v>레이징 파이어</v>
      </c>
      <c r="C907" s="45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97" t="s">
        <v>3438</v>
      </c>
    </row>
    <row r="908" spans="1:10" ht="28.9" customHeight="1" thickTop="1" thickBot="1" x14ac:dyDescent="0.65">
      <c r="A908" s="5">
        <v>906</v>
      </c>
      <c r="B908" s="46" t="str">
        <f>HYPERLINK("https://search.naver.com/search.naver?query=레이크 하우스 영화", "레이크 하우스")</f>
        <v>레이크 하우스</v>
      </c>
      <c r="C908" s="47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98" t="s">
        <v>3460</v>
      </c>
    </row>
    <row r="909" spans="1:10" ht="28.9" customHeight="1" thickTop="1" thickBot="1" x14ac:dyDescent="0.65">
      <c r="A909" s="3">
        <v>907</v>
      </c>
      <c r="B909" s="44" t="str">
        <f>HYPERLINK("https://search.naver.com/search.naver?query=레저 시커 영화", "레저 시커")</f>
        <v>레저 시커</v>
      </c>
      <c r="C909" s="45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97" t="s">
        <v>3443</v>
      </c>
    </row>
    <row r="910" spans="1:10" ht="28.9" customHeight="1" thickTop="1" thickBot="1" x14ac:dyDescent="0.65">
      <c r="A910" s="5">
        <v>908</v>
      </c>
      <c r="B910" s="46" t="str">
        <f>HYPERLINK("https://search.naver.com/search.naver?query=레저베이션 로드 영화", "레저베이션 로드")</f>
        <v>레저베이션 로드</v>
      </c>
      <c r="C910" s="47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98" t="s">
        <v>3447</v>
      </c>
    </row>
    <row r="911" spans="1:10" ht="28.9" customHeight="1" thickTop="1" thickBot="1" x14ac:dyDescent="0.65">
      <c r="A911" s="3">
        <v>909</v>
      </c>
      <c r="B911" s="44" t="str">
        <f>HYPERLINK("https://search.naver.com/search.naver?query=레전드 영화", "레전드")</f>
        <v>레전드</v>
      </c>
      <c r="C911" s="45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97" t="s">
        <v>3440</v>
      </c>
    </row>
    <row r="912" spans="1:10" ht="28.9" customHeight="1" thickTop="1" thickBot="1" x14ac:dyDescent="0.65">
      <c r="A912" s="5">
        <v>910</v>
      </c>
      <c r="B912" s="46" t="str">
        <f>HYPERLINK("https://search.naver.com/search.naver?query=레전드 &amp; 버터플라이 영화", "레전드 &amp; 버터플라이")</f>
        <v>레전드 &amp; 버터플라이</v>
      </c>
      <c r="C912" s="47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98" t="s">
        <v>3446</v>
      </c>
    </row>
    <row r="913" spans="1:10" ht="28.9" customHeight="1" thickTop="1" thickBot="1" x14ac:dyDescent="0.65">
      <c r="A913" s="3">
        <v>911</v>
      </c>
      <c r="B913" s="44" t="str">
        <f>HYPERLINK("https://search.naver.com/search.naver?query=레전드 오브 타잔 영화", "레전드 오브 타잔")</f>
        <v>레전드 오브 타잔</v>
      </c>
      <c r="C913" s="45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97" t="s">
        <v>3441</v>
      </c>
    </row>
    <row r="914" spans="1:10" ht="28.9" customHeight="1" thickTop="1" thickBot="1" x14ac:dyDescent="0.65">
      <c r="A914" s="5">
        <v>912</v>
      </c>
      <c r="B914" s="46" t="str">
        <f>HYPERLINK("https://search.naver.com/search.naver?query=레지스탕스 영화", "레지스탕스")</f>
        <v>레지스탕스</v>
      </c>
      <c r="C914" s="47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98" t="s">
        <v>3436</v>
      </c>
    </row>
    <row r="915" spans="1:10" ht="28.9" customHeight="1" thickTop="1" thickBot="1" x14ac:dyDescent="0.65">
      <c r="A915" s="3">
        <v>913</v>
      </c>
      <c r="B915" s="44" t="str">
        <f>HYPERLINK("https://search.naver.com/search.naver?query=레터스 투 줄리엣 영화", "레터스 투 줄리엣")</f>
        <v>레터스 투 줄리엣</v>
      </c>
      <c r="C915" s="45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97" t="s">
        <v>3455</v>
      </c>
    </row>
    <row r="916" spans="1:10" ht="28.9" customHeight="1" thickTop="1" thickBot="1" x14ac:dyDescent="0.65">
      <c r="A916" s="5">
        <v>914</v>
      </c>
      <c r="B916" s="46" t="str">
        <f>HYPERLINK("https://search.naver.com/search.naver?query=레트리뷰션 영화", "레트리뷰션")</f>
        <v>레트리뷰션</v>
      </c>
      <c r="C916" s="47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98" t="s">
        <v>3448</v>
      </c>
    </row>
    <row r="917" spans="1:10" ht="28.9" customHeight="1" thickTop="1" thickBot="1" x14ac:dyDescent="0.65">
      <c r="A917" s="3">
        <v>915</v>
      </c>
      <c r="B917" s="44" t="str">
        <f>HYPERLINK("https://search.naver.com/search.naver?query=레프트 비하인드 영화", "레프트 비하인드")</f>
        <v>레프트 비하인드</v>
      </c>
      <c r="C917" s="45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97" t="s">
        <v>3437</v>
      </c>
    </row>
    <row r="918" spans="1:10" ht="28.9" customHeight="1" thickTop="1" thickBot="1" x14ac:dyDescent="0.65">
      <c r="A918" s="5">
        <v>916</v>
      </c>
      <c r="B918" s="46" t="str">
        <f>HYPERLINK("https://search.naver.com/search.naver?query=렌디션 영화", "렌디션")</f>
        <v>렌디션</v>
      </c>
      <c r="C918" s="47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98" t="s">
        <v>3447</v>
      </c>
    </row>
    <row r="919" spans="1:10" ht="28.9" customHeight="1" thickTop="1" thickBot="1" x14ac:dyDescent="0.65">
      <c r="A919" s="3">
        <v>917</v>
      </c>
      <c r="B919" s="44" t="str">
        <f>HYPERLINK("https://search.naver.com/search.naver?query=렛 더 선샤인 인 영화", "렛 더 선샤인 인")</f>
        <v>렛 더 선샤인 인</v>
      </c>
      <c r="C919" s="45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97" t="s">
        <v>3443</v>
      </c>
    </row>
    <row r="920" spans="1:10" ht="28.9" customHeight="1" thickTop="1" thickBot="1" x14ac:dyDescent="0.65">
      <c r="A920" s="5">
        <v>918</v>
      </c>
      <c r="B920" s="46" t="str">
        <f>HYPERLINK("https://search.naver.com/search.naver?query=렛츠 비 캅스 영화", "렛츠 비 캅스")</f>
        <v>렛츠 비 캅스</v>
      </c>
      <c r="C920" s="47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98" t="s">
        <v>3437</v>
      </c>
    </row>
    <row r="921" spans="1:10" ht="28.9" customHeight="1" thickTop="1" thickBot="1" x14ac:dyDescent="0.65">
      <c r="A921" s="3">
        <v>919</v>
      </c>
      <c r="B921" s="44" t="str">
        <f>HYPERLINK("https://search.naver.com/search.naver?query=렛힘고 영화", "렛힘고")</f>
        <v>렛힘고</v>
      </c>
      <c r="C921" s="45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97" t="s">
        <v>3436</v>
      </c>
    </row>
    <row r="922" spans="1:10" ht="28.9" customHeight="1" thickTop="1" thickBot="1" x14ac:dyDescent="0.65">
      <c r="A922" s="5">
        <v>920</v>
      </c>
      <c r="B922" s="46" t="str">
        <f>HYPERLINK("https://search.naver.com/search.naver?query=로건 럭키 영화", "로건 럭키")</f>
        <v>로건 럭키</v>
      </c>
      <c r="C922" s="47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98" t="s">
        <v>3443</v>
      </c>
    </row>
    <row r="923" spans="1:10" ht="28.9" customHeight="1" thickTop="1" thickBot="1" x14ac:dyDescent="0.65">
      <c r="A923" s="3">
        <v>921</v>
      </c>
      <c r="B923" s="44" t="str">
        <f>HYPERLINK("https://search.naver.com/search.naver?query=로기완 영화", "로기완")</f>
        <v>로기완</v>
      </c>
      <c r="C923" s="45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97" t="s">
        <v>3448</v>
      </c>
    </row>
    <row r="924" spans="1:10" ht="28.9" customHeight="1" thickTop="1" thickBot="1" x14ac:dyDescent="0.65">
      <c r="A924" s="5">
        <v>922</v>
      </c>
      <c r="B924" s="46" t="str">
        <f>HYPERLINK("https://search.naver.com/search.naver?query=로나의 침묵 영화", "로나의 침묵")</f>
        <v>로나의 침묵</v>
      </c>
      <c r="C924" s="47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98" t="s">
        <v>3450</v>
      </c>
    </row>
    <row r="925" spans="1:10" ht="28.9" customHeight="1" thickTop="1" thickBot="1" x14ac:dyDescent="0.65">
      <c r="A925" s="3">
        <v>923</v>
      </c>
      <c r="B925" s="44" t="str">
        <f>HYPERLINK("https://search.naver.com/search.naver?query=로렐 영화", "로렐")</f>
        <v>로렐</v>
      </c>
      <c r="C925" s="45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97" t="s">
        <v>3440</v>
      </c>
    </row>
    <row r="926" spans="1:10" ht="28.9" customHeight="1" thickTop="1" thickBot="1" x14ac:dyDescent="0.65">
      <c r="A926" s="5">
        <v>924</v>
      </c>
      <c r="B926" s="46" t="str">
        <f>HYPERLINK("https://search.naver.com/search.naver?query=로맨스 돌 영화", "로맨스 돌")</f>
        <v>로맨스 돌</v>
      </c>
      <c r="C926" s="47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98" t="s">
        <v>3436</v>
      </c>
    </row>
    <row r="927" spans="1:10" ht="28.9" customHeight="1" thickTop="1" thickBot="1" x14ac:dyDescent="0.65">
      <c r="A927" s="3">
        <v>925</v>
      </c>
      <c r="B927" s="44" t="str">
        <f>HYPERLINK("https://search.naver.com/search.naver?query=로맨틱 크라운 영화", "로맨틱 크라운")</f>
        <v>로맨틱 크라운</v>
      </c>
      <c r="C927" s="45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97" t="s">
        <v>3454</v>
      </c>
    </row>
    <row r="928" spans="1:10" ht="28.9" customHeight="1" thickTop="1" thickBot="1" x14ac:dyDescent="0.65">
      <c r="A928" s="5">
        <v>926</v>
      </c>
      <c r="B928" s="46" t="str">
        <f>HYPERLINK("https://search.naver.com/search.naver?query=로맨틱 홀리데이 영화", "로맨틱 홀리데이")</f>
        <v>로맨틱 홀리데이</v>
      </c>
      <c r="C928" s="47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98" t="s">
        <v>3460</v>
      </c>
    </row>
    <row r="929" spans="1:10" ht="28.9" customHeight="1" thickTop="1" thickBot="1" x14ac:dyDescent="0.65">
      <c r="A929" s="3">
        <v>927</v>
      </c>
      <c r="B929" s="44" t="str">
        <f>HYPERLINK("https://search.naver.com/search.naver?query=로미오 머스트 다이 영화", "로미오 머스트 다이")</f>
        <v>로미오 머스트 다이</v>
      </c>
      <c r="C929" s="45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97" t="s">
        <v>3458</v>
      </c>
    </row>
    <row r="930" spans="1:10" ht="28.9" customHeight="1" thickTop="1" thickBot="1" x14ac:dyDescent="0.65">
      <c r="A930" s="5">
        <v>928</v>
      </c>
      <c r="B930" s="46" t="str">
        <f>HYPERLINK("https://search.naver.com/search.naver?query=로봇 영화", "로봇")</f>
        <v>로봇</v>
      </c>
      <c r="C930" s="47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98" t="s">
        <v>3439</v>
      </c>
    </row>
    <row r="931" spans="1:10" ht="28.9" customHeight="1" thickTop="1" thickBot="1" x14ac:dyDescent="0.65">
      <c r="A931" s="3">
        <v>929</v>
      </c>
      <c r="B931" s="44" t="str">
        <f>HYPERLINK("https://search.naver.com/search.naver?query=로스트 영화", "로스트")</f>
        <v>로스트</v>
      </c>
      <c r="C931" s="45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97" t="s">
        <v>3439</v>
      </c>
    </row>
    <row r="932" spans="1:10" ht="28.9" customHeight="1" thickTop="1" thickBot="1" x14ac:dyDescent="0.65">
      <c r="A932" s="5">
        <v>930</v>
      </c>
      <c r="B932" s="46" t="str">
        <f>HYPERLINK("https://search.naver.com/search.naver?query=로스트 라이언즈 영화", "로스트 라이언즈")</f>
        <v>로스트 라이언즈</v>
      </c>
      <c r="C932" s="47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98" t="s">
        <v>3447</v>
      </c>
    </row>
    <row r="933" spans="1:10" ht="28.9" customHeight="1" thickTop="1" thickBot="1" x14ac:dyDescent="0.65">
      <c r="A933" s="3">
        <v>931</v>
      </c>
      <c r="B933" s="44" t="str">
        <f>HYPERLINK("https://search.naver.com/search.naver?query=로스트 인 더스트 영화", "로스트 인 더스트")</f>
        <v>로스트 인 더스트</v>
      </c>
      <c r="C933" s="45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97" t="s">
        <v>3441</v>
      </c>
    </row>
    <row r="934" spans="1:10" ht="28.9" customHeight="1" thickTop="1" thickBot="1" x14ac:dyDescent="0.65">
      <c r="A934" s="5">
        <v>932</v>
      </c>
      <c r="B934" s="46" t="str">
        <f>HYPERLINK("https://search.naver.com/search.naver?query=로스트 인 마운틴 영화", "로스트 인 마운틴")</f>
        <v>로스트 인 마운틴</v>
      </c>
      <c r="C934" s="47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98" t="s">
        <v>3443</v>
      </c>
    </row>
    <row r="935" spans="1:10" ht="28.9" customHeight="1" thickTop="1" thickBot="1" x14ac:dyDescent="0.65">
      <c r="A935" s="3">
        <v>933</v>
      </c>
      <c r="B935" s="44" t="str">
        <f>HYPERLINK("https://search.naver.com/search.naver?query=로스트 인 베이징 영화", "로스트 인 베이징")</f>
        <v>로스트 인 베이징</v>
      </c>
      <c r="C935" s="45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97" t="s">
        <v>3447</v>
      </c>
    </row>
    <row r="936" spans="1:10" ht="28.9" customHeight="1" thickTop="1" thickBot="1" x14ac:dyDescent="0.65">
      <c r="A936" s="5">
        <v>934</v>
      </c>
      <c r="B936" s="46" t="str">
        <f>HYPERLINK("https://search.naver.com/search.naver?query=로스트 케어 영화", "로스트 케어")</f>
        <v>로스트 케어</v>
      </c>
      <c r="C936" s="47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98" t="s">
        <v>3448</v>
      </c>
    </row>
    <row r="937" spans="1:10" ht="28.9" customHeight="1" thickTop="1" thickBot="1" x14ac:dyDescent="0.65">
      <c r="A937" s="3">
        <v>935</v>
      </c>
      <c r="B937" s="44" t="str">
        <f>HYPERLINK("https://search.naver.com/search.naver?query=로스트씨티 영화", "로스트씨티")</f>
        <v>로스트씨티</v>
      </c>
      <c r="C937" s="45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97" t="s">
        <v>3445</v>
      </c>
    </row>
    <row r="938" spans="1:10" ht="28.9" customHeight="1" thickTop="1" thickBot="1" x14ac:dyDescent="0.65">
      <c r="A938" s="5">
        <v>936</v>
      </c>
      <c r="B938" s="46" t="str">
        <f>HYPERLINK("https://search.naver.com/search.naver?query=로얄 테넌바움 영화", "로얄 테넌바움")</f>
        <v>로얄 테넌바움</v>
      </c>
      <c r="C938" s="47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98" t="s">
        <v>3457</v>
      </c>
    </row>
    <row r="939" spans="1:10" ht="28.9" customHeight="1" thickTop="1" thickBot="1" x14ac:dyDescent="0.65">
      <c r="A939" s="3">
        <v>937</v>
      </c>
      <c r="B939" s="44" t="str">
        <f>HYPERLINK("https://search.naver.com/search.naver?query=로즈 영화", "로즈")</f>
        <v>로즈</v>
      </c>
      <c r="C939" s="45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97" t="s">
        <v>3443</v>
      </c>
    </row>
    <row r="940" spans="1:10" ht="28.9" customHeight="1" thickTop="1" thickBot="1" x14ac:dyDescent="0.65">
      <c r="A940" s="5">
        <v>938</v>
      </c>
      <c r="B940" s="46" t="str">
        <f>HYPERLINK("https://search.naver.com/search.naver?query=로크 영화", "로크")</f>
        <v>로크</v>
      </c>
      <c r="C940" s="47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98" t="s">
        <v>3451</v>
      </c>
    </row>
    <row r="941" spans="1:10" ht="28.9" customHeight="1" thickTop="1" thickBot="1" x14ac:dyDescent="0.65">
      <c r="A941" s="7">
        <v>939</v>
      </c>
      <c r="B941" s="48" t="str">
        <f>HYPERLINK("https://search.naver.com/search.naver?query=로크 앤 키 시즌1", "로크 앤 키 시즌1")</f>
        <v>로크 앤 키 시즌1</v>
      </c>
      <c r="C941" s="49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99" t="s">
        <v>3436</v>
      </c>
    </row>
    <row r="942" spans="1:10" ht="28.9" customHeight="1" thickTop="1" thickBot="1" x14ac:dyDescent="0.65">
      <c r="A942" s="5">
        <v>940</v>
      </c>
      <c r="B942" s="46" t="str">
        <f>HYPERLINK("https://search.naver.com/search.naver?query=로프트 영화", "로프트")</f>
        <v>로프트</v>
      </c>
      <c r="C942" s="47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98" t="s">
        <v>3437</v>
      </c>
    </row>
    <row r="943" spans="1:10" ht="28.9" customHeight="1" thickTop="1" thickBot="1" x14ac:dyDescent="0.65">
      <c r="A943" s="3">
        <v>941</v>
      </c>
      <c r="B943" s="44" t="str">
        <f>HYPERLINK("https://search.naver.com/search.naver?query=록트 영화", "록트")</f>
        <v>록트</v>
      </c>
      <c r="C943" s="45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97" t="s">
        <v>3459</v>
      </c>
    </row>
    <row r="944" spans="1:10" ht="28.9" customHeight="1" thickTop="1" thickBot="1" x14ac:dyDescent="0.65">
      <c r="A944" s="5">
        <v>942</v>
      </c>
      <c r="B944" s="46" t="str">
        <f>HYPERLINK("https://search.naver.com/search.naver?query=론 레인저 영화", "론 레인저")</f>
        <v>론 레인저</v>
      </c>
      <c r="C944" s="47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98" t="s">
        <v>3451</v>
      </c>
    </row>
    <row r="945" spans="1:10" ht="28.9" customHeight="1" thickTop="1" thickBot="1" x14ac:dyDescent="0.65">
      <c r="A945" s="3">
        <v>943</v>
      </c>
      <c r="B945" s="44" t="str">
        <f>HYPERLINK("https://search.naver.com/search.naver?query=론 서바이버 영화", "론 서바이버")</f>
        <v>론 서바이버</v>
      </c>
      <c r="C945" s="45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97" t="s">
        <v>3451</v>
      </c>
    </row>
    <row r="946" spans="1:10" ht="28.9" customHeight="1" thickTop="1" thickBot="1" x14ac:dyDescent="0.65">
      <c r="A946" s="5">
        <v>944</v>
      </c>
      <c r="B946" s="46" t="str">
        <f>HYPERLINK("https://search.naver.com/search.naver?query=론리 플래닛 영화", "론리 플래닛")</f>
        <v>론리 플래닛</v>
      </c>
      <c r="C946" s="47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98" t="s">
        <v>3448</v>
      </c>
    </row>
    <row r="947" spans="1:10" ht="28.9" customHeight="1" thickTop="1" thickBot="1" x14ac:dyDescent="0.65">
      <c r="A947" s="3">
        <v>945</v>
      </c>
      <c r="B947" s="44" t="str">
        <f>HYPERLINK("https://search.naver.com/search.naver?query=론리 플레이스 투 다이 영화", "론리 플레이스 투 다이")</f>
        <v>론리 플레이스 투 다이</v>
      </c>
      <c r="C947" s="45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97" t="s">
        <v>3454</v>
      </c>
    </row>
    <row r="948" spans="1:10" ht="28.9" customHeight="1" thickTop="1" thickBot="1" x14ac:dyDescent="0.65">
      <c r="A948" s="5">
        <v>946</v>
      </c>
      <c r="B948" s="46" t="str">
        <f>HYPERLINK("https://search.naver.com/search.naver?query=롬멜-사막의 여우 영화", "롬멜-사막의 여우")</f>
        <v>롬멜-사막의 여우</v>
      </c>
      <c r="C948" s="47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98" t="s">
        <v>3439</v>
      </c>
    </row>
    <row r="949" spans="1:10" ht="28.9" customHeight="1" thickTop="1" thickBot="1" x14ac:dyDescent="0.65">
      <c r="A949" s="3">
        <v>947</v>
      </c>
      <c r="B949" s="44" t="str">
        <f>HYPERLINK("https://search.naver.com/search.naver?query=롭 더 몹 영화", "롭 더 몹")</f>
        <v>롭 더 몹</v>
      </c>
      <c r="C949" s="45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97" t="s">
        <v>3437</v>
      </c>
    </row>
    <row r="950" spans="1:10" ht="28.9" customHeight="1" thickTop="1" thickBot="1" x14ac:dyDescent="0.65">
      <c r="A950" s="5">
        <v>948</v>
      </c>
      <c r="B950" s="46" t="str">
        <f>HYPERLINK("https://search.naver.com/search.naver?query=롱리브더킹: 목포영웅 영화", "롱리브더킹 - 목포영웅")</f>
        <v>롱리브더킹 - 목포영웅</v>
      </c>
      <c r="C950" s="47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98" t="s">
        <v>3444</v>
      </c>
    </row>
    <row r="951" spans="1:10" ht="28.9" customHeight="1" thickTop="1" thickBot="1" x14ac:dyDescent="0.65">
      <c r="A951" s="3">
        <v>949</v>
      </c>
      <c r="B951" s="44" t="str">
        <f>HYPERLINK("https://search.naver.com/search.naver?query=롱샷 영화", "롱샷")</f>
        <v>롱샷</v>
      </c>
      <c r="C951" s="45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97" t="s">
        <v>3444</v>
      </c>
    </row>
    <row r="952" spans="1:10" ht="28.9" customHeight="1" thickTop="1" thickBot="1" x14ac:dyDescent="0.65">
      <c r="A952" s="5">
        <v>950</v>
      </c>
      <c r="B952" s="46" t="str">
        <f>HYPERLINK("https://search.naver.com/search.naver?query=루디 이야기 영화", "루디 이야기")</f>
        <v>루디 이야기</v>
      </c>
      <c r="C952" s="47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98" t="s">
        <v>3469</v>
      </c>
    </row>
    <row r="953" spans="1:10" ht="28.9" customHeight="1" thickTop="1" thickBot="1" x14ac:dyDescent="0.65">
      <c r="A953" s="3">
        <v>951</v>
      </c>
      <c r="B953" s="44" t="str">
        <f>HYPERLINK("https://search.naver.com/search.naver?query=루비 스팍스 영화", "루비 스팍스")</f>
        <v>루비 스팍스</v>
      </c>
      <c r="C953" s="45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97" t="s">
        <v>3439</v>
      </c>
    </row>
    <row r="954" spans="1:10" ht="28.9" customHeight="1" thickTop="1" thickBot="1" x14ac:dyDescent="0.65">
      <c r="A954" s="5">
        <v>952</v>
      </c>
      <c r="B954" s="46" t="str">
        <f>HYPERLINK("https://search.naver.com/search.naver?query=루시 영화", "루시")</f>
        <v>루시</v>
      </c>
      <c r="C954" s="47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98" t="s">
        <v>3437</v>
      </c>
    </row>
    <row r="955" spans="1:10" ht="28.9" customHeight="1" thickTop="1" thickBot="1" x14ac:dyDescent="0.65">
      <c r="A955" s="3">
        <v>953</v>
      </c>
      <c r="B955" s="44" t="str">
        <f>HYPERLINK("https://search.naver.com/search.naver?query=루카스 영화", "루카스")</f>
        <v>루카스</v>
      </c>
      <c r="C955" s="45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97" t="s">
        <v>3442</v>
      </c>
    </row>
    <row r="956" spans="1:10" ht="28.9" customHeight="1" thickTop="1" thickBot="1" x14ac:dyDescent="0.65">
      <c r="A956" s="5">
        <v>954</v>
      </c>
      <c r="B956" s="46" t="str">
        <f>HYPERLINK("https://search.naver.com/search.naver?query=루킹 글라스 영화", "루킹 글라스")</f>
        <v>루킹 글라스</v>
      </c>
      <c r="C956" s="47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98" t="s">
        <v>3442</v>
      </c>
    </row>
    <row r="957" spans="1:10" ht="28.9" customHeight="1" thickTop="1" thickBot="1" x14ac:dyDescent="0.65">
      <c r="A957" s="3">
        <v>955</v>
      </c>
      <c r="B957" s="44" t="str">
        <f>HYPERLINK("https://search.naver.com/search.naver?query=룰스 오브 인게이지먼트 영화", "룰스 오브 인게이지먼트")</f>
        <v>룰스 오브 인게이지먼트</v>
      </c>
      <c r="C957" s="45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97" t="s">
        <v>3458</v>
      </c>
    </row>
    <row r="958" spans="1:10" ht="28.9" customHeight="1" thickTop="1" thickBot="1" x14ac:dyDescent="0.65">
      <c r="A958" s="5">
        <v>956</v>
      </c>
      <c r="B958" s="46" t="str">
        <f>HYPERLINK("https://search.naver.com/search.naver?query=룸 영화", "룸")</f>
        <v>룸</v>
      </c>
      <c r="C958" s="47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98" t="s">
        <v>3440</v>
      </c>
    </row>
    <row r="959" spans="1:10" ht="28.9" customHeight="1" thickTop="1" thickBot="1" x14ac:dyDescent="0.65">
      <c r="A959" s="3">
        <v>957</v>
      </c>
      <c r="B959" s="44" t="str">
        <f>HYPERLINK("https://search.naver.com/search.naver?query=룸 넥스트 도어 영화", "룸 넥스트 도어")</f>
        <v>룸 넥스트 도어</v>
      </c>
      <c r="C959" s="45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97" t="s">
        <v>3448</v>
      </c>
    </row>
    <row r="960" spans="1:10" ht="28.9" customHeight="1" thickTop="1" thickBot="1" x14ac:dyDescent="0.65">
      <c r="A960" s="5">
        <v>958</v>
      </c>
      <c r="B960" s="46" t="str">
        <f>HYPERLINK("https://search.naver.com/search.naver?query=리 밀러 카메라를 든 여자 영화", "리 밀러 카메라를 든 여자")</f>
        <v>리 밀러 카메라를 든 여자</v>
      </c>
      <c r="C960" s="47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98" t="s">
        <v>3446</v>
      </c>
    </row>
    <row r="961" spans="1:10" ht="28.9" customHeight="1" thickTop="1" thickBot="1" x14ac:dyDescent="0.65">
      <c r="A961" s="3">
        <v>959</v>
      </c>
      <c r="B961" s="44" t="str">
        <f>HYPERLINK("https://search.naver.com/search.naver?query=리그레션 영화", "리그레션")</f>
        <v>리그레션</v>
      </c>
      <c r="C961" s="45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97" t="s">
        <v>3440</v>
      </c>
    </row>
    <row r="962" spans="1:10" ht="28.9" customHeight="1" thickTop="1" thickBot="1" x14ac:dyDescent="0.65">
      <c r="A962" s="5">
        <v>960</v>
      </c>
      <c r="B962" s="46" t="str">
        <f>HYPERLINK("https://search.naver.com/search.naver?query=리뎀션 데이 영화", "리뎀션 데이")</f>
        <v>리뎀션 데이</v>
      </c>
      <c r="C962" s="47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98" t="s">
        <v>3438</v>
      </c>
    </row>
    <row r="963" spans="1:10" ht="28.9" customHeight="1" thickTop="1" thickBot="1" x14ac:dyDescent="0.65">
      <c r="A963" s="3">
        <v>961</v>
      </c>
      <c r="B963" s="44" t="str">
        <f>HYPERLINK("https://search.naver.com/search.naver?query=리듬 오브 리벤지 영화", "리듬 오브 리벤지")</f>
        <v>리듬 오브 리벤지</v>
      </c>
      <c r="C963" s="45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97" t="s">
        <v>3436</v>
      </c>
    </row>
    <row r="964" spans="1:10" ht="28.9" customHeight="1" thickTop="1" thickBot="1" x14ac:dyDescent="0.65">
      <c r="A964" s="5">
        <v>962</v>
      </c>
      <c r="B964" s="46" t="str">
        <f>HYPERLINK("https://search.naver.com/search.naver?query=리디밍 러브 영화", "리디밍 러브")</f>
        <v>리디밍 러브</v>
      </c>
      <c r="C964" s="47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98" t="s">
        <v>3445</v>
      </c>
    </row>
    <row r="965" spans="1:10" ht="28.9" customHeight="1" thickTop="1" thickBot="1" x14ac:dyDescent="0.65">
      <c r="A965" s="3">
        <v>963</v>
      </c>
      <c r="B965" s="44" t="str">
        <f>HYPERLINK("https://search.naver.com/search.naver?query=리멤버 영화", "리멤버")</f>
        <v>리멤버</v>
      </c>
      <c r="C965" s="45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97" t="s">
        <v>3445</v>
      </c>
    </row>
    <row r="966" spans="1:10" ht="28.9" customHeight="1" thickTop="1" thickBot="1" x14ac:dyDescent="0.65">
      <c r="A966" s="5">
        <v>964</v>
      </c>
      <c r="B966" s="46" t="str">
        <f>HYPERLINK("https://search.naver.com/search.naver?query=리멤버:기억의 살인자 영화", "리멤버")</f>
        <v>리멤버</v>
      </c>
      <c r="C966" s="47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98" t="s">
        <v>3440</v>
      </c>
    </row>
    <row r="967" spans="1:10" ht="28.9" customHeight="1" thickTop="1" thickBot="1" x14ac:dyDescent="0.65">
      <c r="A967" s="3">
        <v>965</v>
      </c>
      <c r="B967" s="44" t="str">
        <f>HYPERLINK("https://search.naver.com/search.naver?query=리멤버 미 2010", "리멤버 미")</f>
        <v>리멤버 미</v>
      </c>
      <c r="C967" s="45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97" t="s">
        <v>3455</v>
      </c>
    </row>
    <row r="968" spans="1:10" ht="28.9" customHeight="1" thickTop="1" thickBot="1" x14ac:dyDescent="0.65">
      <c r="A968" s="5">
        <v>966</v>
      </c>
      <c r="B968" s="46" t="str">
        <f>HYPERLINK("https://search.naver.com/search.naver?query=리멤버 타이탄 영화", "리멤버 타이탄")</f>
        <v>리멤버 타이탄</v>
      </c>
      <c r="C968" s="47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98" t="s">
        <v>3458</v>
      </c>
    </row>
    <row r="969" spans="1:10" ht="28.9" customHeight="1" thickTop="1" thickBot="1" x14ac:dyDescent="0.65">
      <c r="A969" s="3">
        <v>967</v>
      </c>
      <c r="B969" s="44" t="str">
        <f>HYPERLINK("https://search.naver.com/search.naver?query=리미트리스 영화", "리미트리스")</f>
        <v>리미트리스</v>
      </c>
      <c r="C969" s="45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97" t="s">
        <v>3454</v>
      </c>
    </row>
    <row r="970" spans="1:10" ht="28.9" customHeight="1" thickTop="1" thickBot="1" x14ac:dyDescent="0.65">
      <c r="A970" s="5">
        <v>968</v>
      </c>
      <c r="B970" s="46" t="str">
        <f>HYPERLINK("https://search.naver.com/search.naver?query=리바이어던 영화", "리바이어던")</f>
        <v>리바이어던</v>
      </c>
      <c r="C970" s="47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98" t="s">
        <v>3437</v>
      </c>
    </row>
    <row r="971" spans="1:10" ht="28.9" customHeight="1" thickTop="1" thickBot="1" x14ac:dyDescent="0.65">
      <c r="A971" s="3">
        <v>969</v>
      </c>
      <c r="B971" s="44" t="str">
        <f>HYPERLINK("https://search.naver.com/search.naver?query=리버럴 아츠 영화", "리버럴 아츠")</f>
        <v>리버럴 아츠</v>
      </c>
      <c r="C971" s="45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97" t="s">
        <v>3439</v>
      </c>
    </row>
    <row r="972" spans="1:10" ht="28.9" customHeight="1" thickTop="1" thickBot="1" x14ac:dyDescent="0.65">
      <c r="A972" s="5">
        <v>970</v>
      </c>
      <c r="B972" s="46" t="str">
        <f>HYPERLINK("https://search.naver.com/search.naver?query=리볼버 영화", "리볼버")</f>
        <v>리볼버</v>
      </c>
      <c r="C972" s="47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98" t="s">
        <v>3448</v>
      </c>
    </row>
    <row r="973" spans="1:10" ht="28.9" customHeight="1" thickTop="1" thickBot="1" x14ac:dyDescent="0.65">
      <c r="A973" s="3">
        <v>971</v>
      </c>
      <c r="B973" s="44" t="str">
        <f>HYPERLINK("https://search.naver.com/search.naver?query=리브 더 월드 비하인드 영화", "리브 더 월드 비하인드")</f>
        <v>리브 더 월드 비하인드</v>
      </c>
      <c r="C973" s="45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97" t="s">
        <v>3446</v>
      </c>
    </row>
    <row r="974" spans="1:10" ht="28.9" customHeight="1" thickTop="1" thickBot="1" x14ac:dyDescent="0.65">
      <c r="A974" s="5">
        <v>972</v>
      </c>
      <c r="B974" s="46" t="str">
        <f>HYPERLINK("https://search.naver.com/search.naver?query=리빙보이 인 뉴욕 영화", "리빙보이 인 뉴욕")</f>
        <v>리빙보이 인 뉴욕</v>
      </c>
      <c r="C974" s="47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98" t="s">
        <v>3443</v>
      </c>
    </row>
    <row r="975" spans="1:10" ht="28.9" customHeight="1" thickTop="1" thickBot="1" x14ac:dyDescent="0.65">
      <c r="A975" s="3">
        <v>973</v>
      </c>
      <c r="B975" s="44" t="str">
        <f>HYPERLINK("https://search.naver.com/search.naver?query=리빙:어떤 인생 영화", "리빙-어떤 인생")</f>
        <v>리빙-어떤 인생</v>
      </c>
      <c r="C975" s="45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97" t="s">
        <v>3445</v>
      </c>
    </row>
    <row r="976" spans="1:10" ht="28.9" customHeight="1" thickTop="1" thickBot="1" x14ac:dyDescent="0.65">
      <c r="A976" s="5">
        <v>974</v>
      </c>
      <c r="B976" s="46" t="str">
        <f>HYPERLINK("https://search.naver.com/search.naver?query=리스본행 야간열차 영화", "리스본행 야간열차")</f>
        <v>리스본행 야간열차</v>
      </c>
      <c r="C976" s="47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98" t="s">
        <v>3451</v>
      </c>
    </row>
    <row r="977" spans="1:10" ht="28.9" customHeight="1" thickTop="1" thickBot="1" x14ac:dyDescent="0.65">
      <c r="A977" s="3">
        <v>975</v>
      </c>
      <c r="B977" s="44" t="str">
        <f>HYPERLINK("https://search.naver.com/search.naver?query=리스펙트 영화", "리스펙트")</f>
        <v>리스펙트</v>
      </c>
      <c r="C977" s="45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97" t="s">
        <v>3438</v>
      </c>
    </row>
    <row r="978" spans="1:10" ht="28.9" customHeight="1" thickTop="1" thickBot="1" x14ac:dyDescent="0.65">
      <c r="A978" s="5">
        <v>976</v>
      </c>
      <c r="B978" s="46" t="str">
        <f>HYPERLINK("https://search.naver.com/search.naver?query=리슨 영화", "리슨")</f>
        <v>리슨</v>
      </c>
      <c r="C978" s="47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98" t="s">
        <v>3438</v>
      </c>
    </row>
    <row r="979" spans="1:10" ht="28.9" customHeight="1" thickTop="1" thickBot="1" x14ac:dyDescent="0.65">
      <c r="A979" s="3">
        <v>977</v>
      </c>
      <c r="B979" s="44" t="str">
        <f>HYPERLINK("https://search.naver.com/search.naver?query=리차드 쥬얼", "리차드 쥬얼")</f>
        <v>리차드 쥬얼</v>
      </c>
      <c r="C979" s="45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97" t="s">
        <v>3444</v>
      </c>
    </row>
    <row r="980" spans="1:10" ht="28.9" customHeight="1" thickTop="1" thickBot="1" x14ac:dyDescent="0.65">
      <c r="A980" s="7">
        <v>978</v>
      </c>
      <c r="B980" s="48" t="str">
        <f>HYPERLINK("https://search.naver.com/search.naver?query=리처 시즌1", "리처 시즌1")</f>
        <v>리처 시즌1</v>
      </c>
      <c r="C980" s="49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99" t="s">
        <v>3445</v>
      </c>
    </row>
    <row r="981" spans="1:10" ht="28.9" customHeight="1" thickTop="1" thickBot="1" x14ac:dyDescent="0.65">
      <c r="A981" s="7">
        <v>979</v>
      </c>
      <c r="B981" s="48" t="str">
        <f>HYPERLINK("https://search.naver.com/search.naver?query=리처 시즌2", "리처 시즌2")</f>
        <v>리처 시즌2</v>
      </c>
      <c r="C981" s="49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99" t="s">
        <v>3446</v>
      </c>
    </row>
    <row r="982" spans="1:10" ht="28.9" customHeight="1" thickTop="1" thickBot="1" x14ac:dyDescent="0.65">
      <c r="A982" s="7">
        <v>980</v>
      </c>
      <c r="B982" s="48" t="str">
        <f>HYPERLINK("https://search.naver.com/search.naver?query=리처 시즌3", "리처 시즌3")</f>
        <v>리처 시즌3</v>
      </c>
      <c r="C982" s="49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99" t="s">
        <v>3459</v>
      </c>
    </row>
    <row r="983" spans="1:10" ht="28.9" customHeight="1" thickTop="1" thickBot="1" x14ac:dyDescent="0.65">
      <c r="A983" s="3">
        <v>981</v>
      </c>
      <c r="B983" s="44" t="str">
        <f>HYPERLINK("https://search.naver.com/search.naver?query=리카운트 영화", "리카운트")</f>
        <v>리카운트</v>
      </c>
      <c r="C983" s="45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97" t="s">
        <v>3450</v>
      </c>
    </row>
    <row r="984" spans="1:10" ht="28.9" customHeight="1" thickTop="1" thickBot="1" x14ac:dyDescent="0.65">
      <c r="A984" s="5">
        <v>982</v>
      </c>
      <c r="B984" s="46" t="str">
        <f>HYPERLINK("https://search.naver.com/search.naver?query=리턴 영화", "리턴")</f>
        <v>리턴</v>
      </c>
      <c r="C984" s="47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98" t="s">
        <v>3447</v>
      </c>
    </row>
    <row r="985" spans="1:10" ht="28.9" customHeight="1" thickTop="1" thickBot="1" x14ac:dyDescent="0.65">
      <c r="A985" s="3">
        <v>983</v>
      </c>
      <c r="B985" s="44" t="str">
        <f>HYPERLINK("https://search.naver.com/search.naver?query=리턴 투 센더 영화", "리턴 투 센더")</f>
        <v>리턴 투 센더</v>
      </c>
      <c r="C985" s="45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97" t="s">
        <v>3440</v>
      </c>
    </row>
    <row r="986" spans="1:10" ht="28.9" customHeight="1" thickTop="1" thickBot="1" x14ac:dyDescent="0.65">
      <c r="A986" s="5">
        <v>984</v>
      </c>
      <c r="B986" s="46" t="str">
        <f>HYPERLINK("https://search.naver.com/search.naver?query=리틀 보이 영화", "리틀 보이")</f>
        <v>리틀 보이</v>
      </c>
      <c r="C986" s="47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98" t="s">
        <v>3440</v>
      </c>
    </row>
    <row r="987" spans="1:10" ht="28.9" customHeight="1" thickTop="1" thickBot="1" x14ac:dyDescent="0.65">
      <c r="A987" s="3">
        <v>985</v>
      </c>
      <c r="B987" s="44" t="str">
        <f>HYPERLINK("https://search.naver.com/search.naver?query=리틀 칠드런 영화", "리틀 칠드런")</f>
        <v>리틀 칠드런</v>
      </c>
      <c r="C987" s="45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97" t="s">
        <v>3460</v>
      </c>
    </row>
    <row r="988" spans="1:10" ht="28.9" customHeight="1" thickTop="1" thickBot="1" x14ac:dyDescent="0.65">
      <c r="A988" s="5">
        <v>986</v>
      </c>
      <c r="B988" s="46" t="str">
        <f>HYPERLINK("https://search.naver.com/search.naver?query=리틀 포레스트 영화", "리틀 포레스트")</f>
        <v>리틀 포레스트</v>
      </c>
      <c r="C988" s="47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98" t="s">
        <v>3442</v>
      </c>
    </row>
    <row r="989" spans="1:10" ht="28.9" customHeight="1" thickTop="1" thickBot="1" x14ac:dyDescent="0.65">
      <c r="A989" s="3">
        <v>987</v>
      </c>
      <c r="B989" s="44" t="str">
        <f>HYPERLINK("https://search.naver.com/search.naver?query=리틀 포레스트 : 여름과 가을 영화", "리틀 포레스트 - 여름과 가을")</f>
        <v>리틀 포레스트 - 여름과 가을</v>
      </c>
      <c r="C989" s="45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97" t="s">
        <v>3437</v>
      </c>
    </row>
    <row r="990" spans="1:10" ht="28.9" customHeight="1" thickTop="1" thickBot="1" x14ac:dyDescent="0.65">
      <c r="A990" s="5">
        <v>988</v>
      </c>
      <c r="B990" s="46" t="str">
        <f>HYPERLINK("https://search.naver.com/search.naver?query=리틀 포레스트2 : 겨울과 봄 영화", "리틀 포레스트2 - 겨울과 봄")</f>
        <v>리틀 포레스트2 - 겨울과 봄</v>
      </c>
      <c r="C990" s="47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98" t="s">
        <v>3440</v>
      </c>
    </row>
    <row r="991" spans="1:10" ht="28.9" customHeight="1" thickTop="1" thickBot="1" x14ac:dyDescent="0.65">
      <c r="A991" s="3">
        <v>989</v>
      </c>
      <c r="B991" s="44" t="str">
        <f>HYPERLINK("https://search.naver.com/search.naver?query=리프라이즐 영화", "리프라이즐")</f>
        <v>리프라이즐</v>
      </c>
      <c r="C991" s="45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97" t="s">
        <v>3442</v>
      </c>
    </row>
    <row r="992" spans="1:10" ht="28.9" customHeight="1" thickTop="1" thickBot="1" x14ac:dyDescent="0.65">
      <c r="A992" s="5">
        <v>990</v>
      </c>
      <c r="B992" s="46" t="str">
        <f>HYPERLINK("https://search.naver.com/search.naver?query=리프트:비행기를 털어라 영화", "리프트-비행기를 털어라")</f>
        <v>리프트-비행기를 털어라</v>
      </c>
      <c r="C992" s="47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98" t="s">
        <v>3448</v>
      </c>
    </row>
    <row r="993" spans="1:10" ht="28.9" customHeight="1" thickTop="1" thickBot="1" x14ac:dyDescent="0.65">
      <c r="A993" s="3">
        <v>991</v>
      </c>
      <c r="B993" s="44" t="str">
        <f>HYPERLINK("https://search.naver.com/search.naver?query=리플레이", "리플레이")</f>
        <v>리플레이</v>
      </c>
      <c r="C993" s="45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97" t="s">
        <v>3436</v>
      </c>
    </row>
    <row r="994" spans="1:10" ht="28.9" customHeight="1" thickTop="1" thickBot="1" x14ac:dyDescent="0.65">
      <c r="A994" s="5">
        <v>992</v>
      </c>
      <c r="B994" s="46" t="str">
        <f>HYPERLINK("https://search.naver.com/search.naver?query=리플리 영화", "리플리")</f>
        <v>리플리</v>
      </c>
      <c r="C994" s="47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98" t="s">
        <v>3456</v>
      </c>
    </row>
    <row r="995" spans="1:10" ht="28.9" customHeight="1" thickTop="1" thickBot="1" x14ac:dyDescent="0.65">
      <c r="A995" s="3">
        <v>993</v>
      </c>
      <c r="B995" s="44" t="str">
        <f>HYPERLINK("https://search.naver.com/search.naver?query=린 온 피트 영화", "린 온 피트")</f>
        <v>린 온 피트</v>
      </c>
      <c r="C995" s="45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97" t="s">
        <v>3443</v>
      </c>
    </row>
    <row r="996" spans="1:10" ht="28.9" customHeight="1" thickTop="1" thickBot="1" x14ac:dyDescent="0.65">
      <c r="A996" s="5">
        <v>994</v>
      </c>
      <c r="B996" s="46" t="str">
        <f>HYPERLINK("https://search.naver.com/search.naver?query=립반윙클의 신부 영화", "립반윙클의 신부")</f>
        <v>립반윙클의 신부</v>
      </c>
      <c r="C996" s="47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98" t="s">
        <v>3441</v>
      </c>
    </row>
    <row r="997" spans="1:10" ht="28.9" customHeight="1" thickTop="1" thickBot="1" x14ac:dyDescent="0.65">
      <c r="A997" s="3">
        <v>995</v>
      </c>
      <c r="B997" s="44" t="str">
        <f>HYPERLINK("https://search.naver.com/search.naver?query=링컨 차를 타는 변호사 영화", "링컨 차를 타는 변호사")</f>
        <v>링컨 차를 타는 변호사</v>
      </c>
      <c r="C997" s="45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97" t="s">
        <v>3454</v>
      </c>
    </row>
    <row r="998" spans="1:10" ht="28.9" customHeight="1" thickTop="1" thickBot="1" x14ac:dyDescent="0.65">
      <c r="A998" s="5">
        <v>996</v>
      </c>
      <c r="B998" s="46" t="str">
        <f>HYPERLINK("https://search.naver.com/search.naver?query=마녀 영화", "마녀")</f>
        <v>마녀</v>
      </c>
      <c r="C998" s="47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98" t="s">
        <v>3442</v>
      </c>
    </row>
    <row r="999" spans="1:10" ht="28.9" customHeight="1" thickTop="1" thickBot="1" x14ac:dyDescent="0.65">
      <c r="A999" s="3">
        <v>997</v>
      </c>
      <c r="B999" s="44" t="str">
        <f>HYPERLINK("https://search.naver.com/search.naver?query=마녀 2 영화", "마녀 2")</f>
        <v>마녀 2</v>
      </c>
      <c r="C999" s="45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97" t="s">
        <v>3445</v>
      </c>
    </row>
    <row r="1000" spans="1:10" ht="28.9" customHeight="1" thickTop="1" thickBot="1" x14ac:dyDescent="0.65">
      <c r="A1000" s="7">
        <v>998</v>
      </c>
      <c r="B1000" s="48" t="str">
        <f>HYPERLINK("https://search.naver.com/search.naver?query=마녀의 발견 시즌1", "마녀의 발견 시즌1")</f>
        <v>마녀의 발견 시즌1</v>
      </c>
      <c r="C1000" s="49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99" t="s">
        <v>3442</v>
      </c>
    </row>
    <row r="1001" spans="1:10" ht="28.9" customHeight="1" thickTop="1" thickBot="1" x14ac:dyDescent="0.65">
      <c r="A1001" s="7">
        <v>999</v>
      </c>
      <c r="B1001" s="48" t="str">
        <f>HYPERLINK("https://search.naver.com/search.naver?query=마녀의 발견 시즌2", "마녀의 발견 시즌2")</f>
        <v>마녀의 발견 시즌2</v>
      </c>
      <c r="C1001" s="49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99" t="s">
        <v>3438</v>
      </c>
    </row>
    <row r="1002" spans="1:10" ht="28.9" customHeight="1" thickTop="1" thickBot="1" x14ac:dyDescent="0.65">
      <c r="A1002" s="7">
        <v>1000</v>
      </c>
      <c r="B1002" s="48" t="str">
        <f>HYPERLINK("https://search.naver.com/search.naver?query=마녀의 발견 시즌3", "마녀의 발견 시즌3")</f>
        <v>마녀의 발견 시즌3</v>
      </c>
      <c r="C1002" s="49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99" t="s">
        <v>3445</v>
      </c>
    </row>
    <row r="1003" spans="1:10" ht="28.9" customHeight="1" thickTop="1" thickBot="1" x14ac:dyDescent="0.65">
      <c r="A1003" s="3">
        <v>1001</v>
      </c>
      <c r="B1003" s="44" t="str">
        <f>HYPERLINK("https://search.naver.com/search.naver?query=마농의 샘1 영화", "마농의 샘 1")</f>
        <v>마농의 샘 1</v>
      </c>
      <c r="C1003" s="45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97" t="s">
        <v>3468</v>
      </c>
    </row>
    <row r="1004" spans="1:10" ht="28.9" customHeight="1" thickTop="1" thickBot="1" x14ac:dyDescent="0.65">
      <c r="A1004" s="5">
        <v>1002</v>
      </c>
      <c r="B1004" s="46" t="str">
        <f>HYPERLINK("https://search.naver.com/search.naver?query=마농의 샘 2 영화", "마농의 샘 2")</f>
        <v>마농의 샘 2</v>
      </c>
      <c r="C1004" s="47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98" t="s">
        <v>3468</v>
      </c>
    </row>
    <row r="1005" spans="1:10" ht="28.9" customHeight="1" thickTop="1" thickBot="1" x14ac:dyDescent="0.65">
      <c r="A1005" s="7">
        <v>1003</v>
      </c>
      <c r="B1005" s="48" t="str">
        <f>HYPERLINK("https://search.naver.com/search.naver?query=마담 세크리터리 시즌1", "마담 세크리터리 시즌1")</f>
        <v>마담 세크리터리 시즌1</v>
      </c>
      <c r="C1005" s="49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99" t="s">
        <v>3440</v>
      </c>
    </row>
    <row r="1006" spans="1:10" ht="28.9" customHeight="1" thickTop="1" thickBot="1" x14ac:dyDescent="0.65">
      <c r="A1006" s="7">
        <v>1004</v>
      </c>
      <c r="B1006" s="48" t="str">
        <f>HYPERLINK("https://search.naver.com/search.naver?query=마담 세크리터리 시즌2", "마담 세크리터리 시즌2")</f>
        <v>마담 세크리터리 시즌2</v>
      </c>
      <c r="C1006" s="49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99" t="s">
        <v>3441</v>
      </c>
    </row>
    <row r="1007" spans="1:10" ht="28.9" customHeight="1" thickTop="1" thickBot="1" x14ac:dyDescent="0.65">
      <c r="A1007" s="7">
        <v>1005</v>
      </c>
      <c r="B1007" s="48" t="str">
        <f>HYPERLINK("https://search.naver.com/search.naver?query=마담 세크리터리 시즌36", "마담 세크리터리 시즌3")</f>
        <v>마담 세크리터리 시즌3</v>
      </c>
      <c r="C1007" s="49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99" t="s">
        <v>3443</v>
      </c>
    </row>
    <row r="1008" spans="1:10" ht="28.9" customHeight="1" thickTop="1" thickBot="1" x14ac:dyDescent="0.65">
      <c r="A1008" s="7">
        <v>1006</v>
      </c>
      <c r="B1008" s="48" t="str">
        <f>HYPERLINK("https://search.naver.com/search.naver?query=마담 시크리터리 시즌4", "마담 시크리터리 시즌4")</f>
        <v>마담 시크리터리 시즌4</v>
      </c>
      <c r="C1008" s="49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99" t="s">
        <v>3442</v>
      </c>
    </row>
    <row r="1009" spans="1:10" ht="28.9" customHeight="1" thickTop="1" thickBot="1" x14ac:dyDescent="0.65">
      <c r="A1009" s="7">
        <v>1007</v>
      </c>
      <c r="B1009" s="48" t="str">
        <f>HYPERLINK("https://search.naver.com/search.naver?query=마담 시크리터리 시즌5", "마담 시크리터리 시즌5")</f>
        <v>마담 시크리터리 시즌5</v>
      </c>
      <c r="C1009" s="49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99" t="s">
        <v>3444</v>
      </c>
    </row>
    <row r="1010" spans="1:10" ht="28.9" customHeight="1" thickTop="1" thickBot="1" x14ac:dyDescent="0.65">
      <c r="A1010" s="7">
        <v>1008</v>
      </c>
      <c r="B1010" s="48" t="str">
        <f>HYPERLINK("https://search.naver.com/search.naver?query=마담 시크리터리 시즌6", "마담 시크리터리 시즌6")</f>
        <v>마담 시크리터리 시즌6</v>
      </c>
      <c r="C1010" s="49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99" t="s">
        <v>3444</v>
      </c>
    </row>
    <row r="1011" spans="1:10" ht="28.9" customHeight="1" thickTop="1" thickBot="1" x14ac:dyDescent="0.65">
      <c r="A1011" s="3">
        <v>1009</v>
      </c>
      <c r="B1011" s="44" t="str">
        <f>HYPERLINK("https://search.naver.com/search.naver?query=마담 싸이코 영화", "마담 싸이코")</f>
        <v>마담 싸이코</v>
      </c>
      <c r="C1011" s="45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97" t="s">
        <v>3442</v>
      </c>
    </row>
    <row r="1012" spans="1:10" ht="28.9" customHeight="1" thickTop="1" thickBot="1" x14ac:dyDescent="0.65">
      <c r="A1012" s="5">
        <v>1010</v>
      </c>
      <c r="B1012" s="46" t="str">
        <f>HYPERLINK("https://search.naver.com/search.naver?query=마더 영화", "마더")</f>
        <v>마더</v>
      </c>
      <c r="C1012" s="47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98" t="s">
        <v>3453</v>
      </c>
    </row>
    <row r="1013" spans="1:10" ht="28.9" customHeight="1" thickTop="1" thickBot="1" x14ac:dyDescent="0.65">
      <c r="A1013" s="3">
        <v>1011</v>
      </c>
      <c r="B1013" s="44" t="str">
        <f>HYPERLINK("https://namu.wiki/w/%EB%A7%88%EB%8D%94(%EC%9D%BC%EB%B3%B8%20%EC%98%81%ED%99%94)", "마더")</f>
        <v>마더</v>
      </c>
      <c r="C1013" s="45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97" t="s">
        <v>3436</v>
      </c>
    </row>
    <row r="1014" spans="1:10" ht="28.9" customHeight="1" thickTop="1" thickBot="1" x14ac:dyDescent="0.65">
      <c r="A1014" s="5">
        <v>1012</v>
      </c>
      <c r="B1014" s="46" t="str">
        <f>HYPERLINK("https://search.naver.com/search.naver?query=마더 2017", "마더")</f>
        <v>마더</v>
      </c>
      <c r="C1014" s="47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98" t="s">
        <v>3443</v>
      </c>
    </row>
    <row r="1015" spans="1:10" ht="28.9" customHeight="1" thickTop="1" thickBot="1" x14ac:dyDescent="0.65">
      <c r="A1015" s="3">
        <v>1013</v>
      </c>
      <c r="B1015" s="44" t="str">
        <f>HYPERLINK("https://search.naver.com/search.naver?query=마더 앤 머더 영화", "마더 앤 머더")</f>
        <v>마더 앤 머더</v>
      </c>
      <c r="C1015" s="45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97" t="s">
        <v>3438</v>
      </c>
    </row>
    <row r="1016" spans="1:10" ht="28.9" customHeight="1" thickTop="1" thickBot="1" x14ac:dyDescent="0.65">
      <c r="A1016" s="5">
        <v>1014</v>
      </c>
      <c r="B1016" s="46" t="str">
        <f>HYPERLINK("https://search.naver.com/search.naver?query=마더 앤 차일드 영화", "마더 앤 차일드")</f>
        <v>마더 앤 차일드</v>
      </c>
      <c r="C1016" s="47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98" t="s">
        <v>3453</v>
      </c>
    </row>
    <row r="1017" spans="1:10" ht="28.9" customHeight="1" thickTop="1" thickBot="1" x14ac:dyDescent="0.65">
      <c r="A1017" s="3">
        <v>1015</v>
      </c>
      <c r="B1017" s="44" t="str">
        <f>HYPERLINK("https://search.naver.com/search.naver?query=마리 퀴리 영화", "마리 퀴리")</f>
        <v>마리 퀴리</v>
      </c>
      <c r="C1017" s="45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97" t="s">
        <v>3436</v>
      </c>
    </row>
    <row r="1018" spans="1:10" ht="28.9" customHeight="1" thickTop="1" thickBot="1" x14ac:dyDescent="0.65">
      <c r="A1018" s="5">
        <v>1016</v>
      </c>
      <c r="B1018" s="46" t="str">
        <f>HYPERLINK("https://search.naver.com/search.naver?query=마린 영화", "마린")</f>
        <v>마린</v>
      </c>
      <c r="C1018" s="47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98" t="s">
        <v>3439</v>
      </c>
    </row>
    <row r="1019" spans="1:10" ht="28.9" customHeight="1" thickTop="1" thickBot="1" x14ac:dyDescent="0.65">
      <c r="A1019" s="3">
        <v>1017</v>
      </c>
      <c r="B1019" s="44" t="str">
        <f>HYPERLINK("https://search.naver.com/search.naver?query=마릴린 먼로와 함께한 일주일 영화", "마릴린 먼로와 함께한 일주일")</f>
        <v>마릴린 먼로와 함께한 일주일</v>
      </c>
      <c r="C1019" s="45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97" t="s">
        <v>3454</v>
      </c>
    </row>
    <row r="1020" spans="1:10" ht="28.9" customHeight="1" thickTop="1" thickBot="1" x14ac:dyDescent="0.65">
      <c r="A1020" s="5">
        <v>1018</v>
      </c>
      <c r="B1020" s="46" t="str">
        <f>HYPERLINK("https://search.naver.com/search.naver?query=마미웨이 영화", "마미웨이")</f>
        <v>마미웨이</v>
      </c>
      <c r="C1020" s="47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98" t="s">
        <v>3454</v>
      </c>
    </row>
    <row r="1021" spans="1:10" ht="28.9" customHeight="1" thickTop="1" thickBot="1" x14ac:dyDescent="0.65">
      <c r="A1021" s="3">
        <v>1019</v>
      </c>
      <c r="B1021" s="44" t="str">
        <f>HYPERLINK("https://search.naver.com/search.naver?query=마션 영화", "마션")</f>
        <v>마션</v>
      </c>
      <c r="C1021" s="45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97" t="s">
        <v>3440</v>
      </c>
    </row>
    <row r="1022" spans="1:10" ht="28.9" customHeight="1" thickTop="1" thickBot="1" x14ac:dyDescent="0.65">
      <c r="A1022" s="7">
        <v>1020</v>
      </c>
      <c r="B1022" s="48" t="str">
        <f>HYPERLINK("https://search.naver.com/search.naver?query=마스크걸", "마스크걸")</f>
        <v>마스크걸</v>
      </c>
      <c r="C1022" s="49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99" t="s">
        <v>3446</v>
      </c>
    </row>
    <row r="1023" spans="1:10" ht="28.9" customHeight="1" thickTop="1" thickBot="1" x14ac:dyDescent="0.65">
      <c r="A1023" s="3">
        <v>1021</v>
      </c>
      <c r="B1023" s="44" t="str">
        <f>HYPERLINK("https://search.naver.com/search.naver?query=마스터 영화", "마스터")</f>
        <v>마스터</v>
      </c>
      <c r="C1023" s="45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97" t="s">
        <v>3441</v>
      </c>
    </row>
    <row r="1024" spans="1:10" ht="28.9" customHeight="1" thickTop="1" thickBot="1" x14ac:dyDescent="0.65">
      <c r="A1024" s="5">
        <v>1022</v>
      </c>
      <c r="B1024" s="46" t="str">
        <f>HYPERLINK("https://search.naver.com/search.naver?query=마스터 영화", "마스터")</f>
        <v>마스터</v>
      </c>
      <c r="C1024" s="47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98" t="s">
        <v>3439</v>
      </c>
    </row>
    <row r="1025" spans="1:10" ht="28.9" customHeight="1" thickTop="1" thickBot="1" x14ac:dyDescent="0.65">
      <c r="A1025" s="3">
        <v>1023</v>
      </c>
      <c r="B1025" s="44" t="str">
        <f>HYPERLINK("https://search.naver.com/search.naver?query=마스터 앤드 커맨더 영화", "마스터 앤드 커맨더")</f>
        <v>마스터 앤드 커맨더</v>
      </c>
      <c r="C1025" s="45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97" t="s">
        <v>3449</v>
      </c>
    </row>
    <row r="1026" spans="1:10" ht="28.9" customHeight="1" thickTop="1" thickBot="1" x14ac:dyDescent="0.65">
      <c r="A1026" s="7">
        <v>1024</v>
      </c>
      <c r="B1026" s="48" t="str">
        <f>HYPERLINK("https://search.naver.com/search.naver?query=마스터스 오브 디 에어", "마스터스 오브 디 에어")</f>
        <v>마스터스 오브 디 에어</v>
      </c>
      <c r="C1026" s="49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99" t="s">
        <v>3448</v>
      </c>
    </row>
    <row r="1027" spans="1:10" ht="28.9" customHeight="1" thickTop="1" thickBot="1" x14ac:dyDescent="0.65">
      <c r="A1027" s="3">
        <v>1025</v>
      </c>
      <c r="B1027" s="44" t="str">
        <f>HYPERLINK("https://search.naver.com/search.naver?query=마약왕 영화", "마약왕")</f>
        <v>마약왕</v>
      </c>
      <c r="C1027" s="45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97" t="s">
        <v>3442</v>
      </c>
    </row>
    <row r="1028" spans="1:10" ht="28.9" customHeight="1" thickTop="1" thickBot="1" x14ac:dyDescent="0.65">
      <c r="A1028" s="5">
        <v>1026</v>
      </c>
      <c r="B1028" s="46" t="str">
        <f>HYPERLINK("https://search.naver.com/search.naver?query=마에스트로 영화", "마에스트로")</f>
        <v>마에스트로</v>
      </c>
      <c r="C1028" s="47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98" t="s">
        <v>3440</v>
      </c>
    </row>
    <row r="1029" spans="1:10" ht="28.9" customHeight="1" thickTop="1" thickBot="1" x14ac:dyDescent="0.65">
      <c r="A1029" s="3">
        <v>1027</v>
      </c>
      <c r="B1029" s="44" t="str">
        <f>HYPERLINK("https://search.naver.com/search.naver?query=마음에 부는 바람 영화", "마음에 부는 바람")</f>
        <v>마음에 부는 바람</v>
      </c>
      <c r="C1029" s="45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97" t="s">
        <v>3436</v>
      </c>
    </row>
    <row r="1030" spans="1:10" ht="28.9" customHeight="1" thickTop="1" thickBot="1" x14ac:dyDescent="0.65">
      <c r="A1030" s="5">
        <v>1028</v>
      </c>
      <c r="B1030" s="46" t="str">
        <f>HYPERLINK("https://search.naver.com/search.naver?query=마음이 외치고 싶어해 영화", "마음이 외치고 싶어해")</f>
        <v>마음이 외치고 싶어해</v>
      </c>
      <c r="C1030" s="47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98" t="s">
        <v>3443</v>
      </c>
    </row>
    <row r="1031" spans="1:10" ht="28.9" customHeight="1" thickTop="1" thickBot="1" x14ac:dyDescent="0.65">
      <c r="A1031" s="3">
        <v>1029</v>
      </c>
      <c r="B1031" s="44" t="str">
        <f>HYPERLINK("https://search.naver.com/search.naver?query=마이 뉴욕 다이어리 영화", "마이 뉴욕 다이어리")</f>
        <v>마이 뉴욕 다이어리</v>
      </c>
      <c r="C1031" s="45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97" t="s">
        <v>3436</v>
      </c>
    </row>
    <row r="1032" spans="1:10" ht="28.9" customHeight="1" thickTop="1" thickBot="1" x14ac:dyDescent="0.65">
      <c r="A1032" s="5">
        <v>1030</v>
      </c>
      <c r="B1032" s="46" t="str">
        <f>HYPERLINK("https://search.naver.com/search.naver?query=마이 리틀 히어로 영화", "마이 리틀 히어로")</f>
        <v>마이 리틀 히어로</v>
      </c>
      <c r="C1032" s="47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98" t="s">
        <v>3439</v>
      </c>
    </row>
    <row r="1033" spans="1:10" ht="28.9" customHeight="1" thickTop="1" thickBot="1" x14ac:dyDescent="0.65">
      <c r="A1033" s="3">
        <v>1031</v>
      </c>
      <c r="B1033" s="44" t="str">
        <f>HYPERLINK("https://search.naver.com/search.naver?query=마이 블루베리 나이츠 영화", "마이 블루베리 나이츠")</f>
        <v>마이 블루베리 나이츠</v>
      </c>
      <c r="C1033" s="45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97" t="s">
        <v>3447</v>
      </c>
    </row>
    <row r="1034" spans="1:10" ht="28.9" customHeight="1" thickTop="1" thickBot="1" x14ac:dyDescent="0.65">
      <c r="A1034" s="5">
        <v>1032</v>
      </c>
      <c r="B1034" s="46" t="str">
        <f>HYPERLINK("https://search.naver.com/search.naver?query=마이 선 영화", "마이 선")</f>
        <v>마이 선</v>
      </c>
      <c r="C1034" s="47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98" t="s">
        <v>3438</v>
      </c>
    </row>
    <row r="1035" spans="1:10" ht="28.9" customHeight="1" thickTop="1" thickBot="1" x14ac:dyDescent="0.65">
      <c r="A1035" s="3">
        <v>1033</v>
      </c>
      <c r="B1035" s="44" t="str">
        <f>HYPERLINK("https://search.naver.com/search.naver?query=마이 스파이 영화", "마이 스파이")</f>
        <v>마이 스파이</v>
      </c>
      <c r="C1035" s="45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97" t="s">
        <v>3436</v>
      </c>
    </row>
    <row r="1036" spans="1:10" ht="28.9" customHeight="1" thickTop="1" thickBot="1" x14ac:dyDescent="0.65">
      <c r="A1036" s="5">
        <v>1034</v>
      </c>
      <c r="B1036" s="46" t="str">
        <f>HYPERLINK("https://search.naver.com/search.naver?query=마이 시스터즈 키퍼 영화", "마이 시스터즈 키퍼")</f>
        <v>마이 시스터즈 키퍼</v>
      </c>
      <c r="C1036" s="47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98" t="s">
        <v>3453</v>
      </c>
    </row>
    <row r="1037" spans="1:10" ht="28.9" customHeight="1" thickTop="1" thickBot="1" x14ac:dyDescent="0.65">
      <c r="A1037" s="3">
        <v>1035</v>
      </c>
      <c r="B1037" s="44" t="str">
        <f>HYPERLINK("https://search.naver.com/search.naver?query=마이 파더 영화", "마이 파더")</f>
        <v>마이 파더</v>
      </c>
      <c r="C1037" s="45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97" t="s">
        <v>3447</v>
      </c>
    </row>
    <row r="1038" spans="1:10" ht="28.9" customHeight="1" thickTop="1" thickBot="1" x14ac:dyDescent="0.65">
      <c r="A1038" s="5">
        <v>1036</v>
      </c>
      <c r="B1038" s="46" t="str">
        <f>HYPERLINK("https://search.naver.com/search.naver?query=마이너리티 리포트 영화", "마이너리티 리포트")</f>
        <v>마이너리티 리포트</v>
      </c>
      <c r="C1038" s="47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98" t="s">
        <v>3466</v>
      </c>
    </row>
    <row r="1039" spans="1:10" ht="28.9" customHeight="1" thickTop="1" thickBot="1" x14ac:dyDescent="0.65">
      <c r="A1039" s="7">
        <v>1037</v>
      </c>
      <c r="B1039" s="48" t="str">
        <f>HYPERLINK("https://search.naver.com/search.naver?query=마이네임", "마이네임")</f>
        <v>마이네임</v>
      </c>
      <c r="C1039" s="49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99" t="s">
        <v>3438</v>
      </c>
    </row>
    <row r="1040" spans="1:10" ht="28.9" customHeight="1" thickTop="1" thickBot="1" x14ac:dyDescent="0.65">
      <c r="A1040" s="5">
        <v>1038</v>
      </c>
      <c r="B1040" s="46" t="str">
        <f>HYPERLINK("https://search.naver.com/search.naver?query=마이어로위츠 이야기 영화", "마이어로위츠 이야기")</f>
        <v>마이어로위츠 이야기</v>
      </c>
      <c r="C1040" s="47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98" t="s">
        <v>3443</v>
      </c>
    </row>
    <row r="1041" spans="1:10" ht="28.9" customHeight="1" thickTop="1" thickBot="1" x14ac:dyDescent="0.65">
      <c r="A1041" s="3">
        <v>1039</v>
      </c>
      <c r="B1041" s="44" t="str">
        <f>HYPERLINK("https://search.naver.com/search.naver?query=마이클 클레이튼 영화", "마이클 클레이튼")</f>
        <v>마이클 클레이튼</v>
      </c>
      <c r="C1041" s="45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97" t="s">
        <v>3447</v>
      </c>
    </row>
    <row r="1042" spans="1:10" ht="28.9" customHeight="1" thickTop="1" thickBot="1" x14ac:dyDescent="0.65">
      <c r="A1042" s="5">
        <v>1040</v>
      </c>
      <c r="B1042" s="46" t="str">
        <f>HYPERLINK("https://search.naver.com/search.naver?query=마인 영화", "마인")</f>
        <v>마인</v>
      </c>
      <c r="C1042" s="47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98" t="s">
        <v>3441</v>
      </c>
    </row>
    <row r="1043" spans="1:10" ht="28.9" customHeight="1" thickTop="1" thickBot="1" x14ac:dyDescent="0.65">
      <c r="A1043" s="3">
        <v>1041</v>
      </c>
      <c r="B1043" s="44" t="str">
        <f>HYPERLINK("https://search.naver.com/search.naver?query=마인드스케이프 영화", "마인드스케이프")</f>
        <v>마인드스케이프</v>
      </c>
      <c r="C1043" s="45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97" t="s">
        <v>3451</v>
      </c>
    </row>
    <row r="1044" spans="1:10" ht="28.9" customHeight="1" thickTop="1" thickBot="1" x14ac:dyDescent="0.65">
      <c r="A1044" s="5">
        <v>1042</v>
      </c>
      <c r="B1044" s="46" t="str">
        <f>HYPERLINK("https://search.naver.com/search.naver?query=마인드케이지 영화", "마인드케이지")</f>
        <v>마인드케이지</v>
      </c>
      <c r="C1044" s="47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98" t="s">
        <v>3445</v>
      </c>
    </row>
    <row r="1045" spans="1:10" ht="28.9" customHeight="1" thickTop="1" thickBot="1" x14ac:dyDescent="0.65">
      <c r="A1045" s="3">
        <v>1043</v>
      </c>
      <c r="B1045" s="44" t="str">
        <f>HYPERLINK("https://search.naver.com/search.naver?query=마인드헌터 영화", "마인드헌터")</f>
        <v>마인드헌터</v>
      </c>
      <c r="C1045" s="45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97" t="s">
        <v>3462</v>
      </c>
    </row>
    <row r="1046" spans="1:10" ht="28.9" customHeight="1" thickTop="1" thickBot="1" x14ac:dyDescent="0.65">
      <c r="A1046" s="5">
        <v>1044</v>
      </c>
      <c r="B1046" s="46" t="str">
        <f>HYPERLINK("https://search.naver.com/search.naver?query=마일 22 영화", "마일 22")</f>
        <v>마일 22</v>
      </c>
      <c r="C1046" s="47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98" t="s">
        <v>3442</v>
      </c>
    </row>
    <row r="1047" spans="1:10" ht="28.9" customHeight="1" thickTop="1" thickBot="1" x14ac:dyDescent="0.65">
      <c r="A1047" s="3">
        <v>1045</v>
      </c>
      <c r="B1047" s="44" t="str">
        <f>HYPERLINK("https://search.naver.com/search.naver?query=마일스 영화", "마일스")</f>
        <v>마일스</v>
      </c>
      <c r="C1047" s="45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97" t="s">
        <v>3440</v>
      </c>
    </row>
    <row r="1048" spans="1:10" ht="28.9" customHeight="1" thickTop="1" thickBot="1" x14ac:dyDescent="0.65">
      <c r="A1048" s="5">
        <v>1046</v>
      </c>
      <c r="B1048" s="46" t="str">
        <f>HYPERLINK("https://search.naver.com/search.naver?query=마지막 4중주 영화", "마지막 4중주")</f>
        <v>마지막 4중주</v>
      </c>
      <c r="C1048" s="47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98" t="s">
        <v>3439</v>
      </c>
    </row>
    <row r="1049" spans="1:10" ht="28.9" customHeight="1" thickTop="1" thickBot="1" x14ac:dyDescent="0.65">
      <c r="A1049" s="3">
        <v>1047</v>
      </c>
      <c r="B1049" s="44" t="str">
        <f>HYPERLINK("https://search.naver.com/search.naver?query=마지막 게임 영화", "마지막 게임")</f>
        <v>마지막 게임</v>
      </c>
      <c r="C1049" s="45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97" t="s">
        <v>3436</v>
      </c>
    </row>
    <row r="1050" spans="1:10" ht="28.9" customHeight="1" thickTop="1" thickBot="1" x14ac:dyDescent="0.65">
      <c r="A1050" s="5">
        <v>1048</v>
      </c>
      <c r="B1050" s="46" t="str">
        <f>HYPERLINK("https://search.naver.com/search.naver?query=마지막 사랑 영화", "마지막 사랑")</f>
        <v>마지막 사랑</v>
      </c>
      <c r="C1050" s="47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98" t="s">
        <v>3475</v>
      </c>
    </row>
    <row r="1051" spans="1:10" ht="28.9" customHeight="1" thickTop="1" thickBot="1" x14ac:dyDescent="0.65">
      <c r="A1051" s="3">
        <v>1049</v>
      </c>
      <c r="B1051" s="44" t="str">
        <f>HYPERLINK("https://search.naver.com/search.naver?query=마지막 편지 영화", "마지막 편지")</f>
        <v>마지막 편지</v>
      </c>
      <c r="C1051" s="45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97" t="s">
        <v>3442</v>
      </c>
    </row>
    <row r="1052" spans="1:10" ht="28.9" customHeight="1" thickTop="1" thickBot="1" x14ac:dyDescent="0.65">
      <c r="A1052" s="5">
        <v>1050</v>
      </c>
      <c r="B1052" s="46" t="str">
        <f>HYPERLINK("https://search.naver.com/search.naver?query=마지막 한 걸음까지 영화", "마지막 한 걸음까지")</f>
        <v>마지막 한 걸음까지</v>
      </c>
      <c r="C1052" s="47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98" t="s">
        <v>3457</v>
      </c>
    </row>
    <row r="1053" spans="1:10" ht="28.9" customHeight="1" thickTop="1" thickBot="1" x14ac:dyDescent="0.65">
      <c r="A1053" s="3">
        <v>1051</v>
      </c>
      <c r="B1053" s="44" t="str">
        <f>HYPERLINK("https://search.naver.com/search.naver?query=마진 콜 - 24시간, 조작된 진실 영화", "마진 콜 - 24시간, 조작된 진실")</f>
        <v>마진 콜 - 24시간, 조작된 진실</v>
      </c>
      <c r="C1053" s="45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97" t="s">
        <v>3454</v>
      </c>
    </row>
    <row r="1054" spans="1:10" ht="28.9" customHeight="1" thickTop="1" thickBot="1" x14ac:dyDescent="0.65">
      <c r="A1054" s="5">
        <v>1052</v>
      </c>
      <c r="B1054" s="46" t="str">
        <f>HYPERLINK("https://search.naver.com/search.naver?query=마차 타고 고래고래 영화", "마차 타고 고래고래")</f>
        <v>마차 타고 고래고래</v>
      </c>
      <c r="C1054" s="47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98" t="s">
        <v>3441</v>
      </c>
    </row>
    <row r="1055" spans="1:10" ht="28.9" customHeight="1" thickTop="1" thickBot="1" x14ac:dyDescent="0.65">
      <c r="A1055" s="3">
        <v>1053</v>
      </c>
      <c r="B1055" s="44" t="str">
        <f>HYPERLINK("https://search.naver.com/search.naver?query=마크 펠트 영화", "마크 펠트")</f>
        <v>마크 펠트</v>
      </c>
      <c r="C1055" s="45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97" t="s">
        <v>3443</v>
      </c>
    </row>
    <row r="1056" spans="1:10" ht="28.9" customHeight="1" thickTop="1" thickBot="1" x14ac:dyDescent="0.65">
      <c r="A1056" s="5">
        <v>1054</v>
      </c>
      <c r="B1056" s="46" t="str">
        <f>HYPERLINK("https://search.naver.com/search.naver?query=마크맨 영화", "마크맨")</f>
        <v>마크맨</v>
      </c>
      <c r="C1056" s="47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98" t="s">
        <v>3438</v>
      </c>
    </row>
    <row r="1057" spans="1:10" ht="28.9" customHeight="1" thickTop="1" thickBot="1" x14ac:dyDescent="0.65">
      <c r="A1057" s="3">
        <v>1055</v>
      </c>
      <c r="B1057" s="44" t="str">
        <f>HYPERLINK("https://search.naver.com/search.naver?query=마타도어 영화", "마타도어")</f>
        <v>마타도어</v>
      </c>
      <c r="C1057" s="45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97" t="s">
        <v>3461</v>
      </c>
    </row>
    <row r="1058" spans="1:10" ht="28.9" customHeight="1" thickTop="1" thickBot="1" x14ac:dyDescent="0.65">
      <c r="A1058" s="5">
        <v>1056</v>
      </c>
      <c r="B1058" s="46" t="str">
        <f>HYPERLINK("https://search.naver.com/search.naver?query=만능감정사 Q - 모나리자의 눈동자 영화", "만능감정사 Q - 모나리자의 눈동자")</f>
        <v>만능감정사 Q - 모나리자의 눈동자</v>
      </c>
      <c r="C1058" s="47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98" t="s">
        <v>3437</v>
      </c>
    </row>
    <row r="1059" spans="1:10" ht="28.9" customHeight="1" thickTop="1" thickBot="1" x14ac:dyDescent="0.65">
      <c r="A1059" s="3">
        <v>1057</v>
      </c>
      <c r="B1059" s="44" t="str">
        <f>HYPERLINK("https://search.naver.com/search.naver?query=만추 영화", "만추")</f>
        <v>만추</v>
      </c>
      <c r="C1059" s="45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97" t="s">
        <v>3455</v>
      </c>
    </row>
    <row r="1060" spans="1:10" ht="28.9" customHeight="1" thickTop="1" thickBot="1" x14ac:dyDescent="0.65">
      <c r="A1060" s="5">
        <v>1058</v>
      </c>
      <c r="B1060" s="46" t="str">
        <f>HYPERLINK("https://search.naver.com/search.naver?query=말 할수 없는 비밀 영화", "말 할수 없는 비밀")</f>
        <v>말 할수 없는 비밀</v>
      </c>
      <c r="C1060" s="47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98" t="s">
        <v>3447</v>
      </c>
    </row>
    <row r="1061" spans="1:10" ht="28.9" customHeight="1" thickTop="1" thickBot="1" x14ac:dyDescent="0.65">
      <c r="A1061" s="3">
        <v>1059</v>
      </c>
      <c r="B1061" s="44" t="str">
        <f>HYPERLINK("https://search.naver.com/search.naver?query=말리와 나 영화", "말리와 나")</f>
        <v>말리와 나</v>
      </c>
      <c r="C1061" s="45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97" t="s">
        <v>3450</v>
      </c>
    </row>
    <row r="1062" spans="1:10" ht="28.9" customHeight="1" thickTop="1" thickBot="1" x14ac:dyDescent="0.65">
      <c r="A1062" s="5">
        <v>1060</v>
      </c>
      <c r="B1062" s="46" t="str">
        <f>HYPERLINK("https://search.naver.com/search.naver?query=말모이 영화", "말모이")</f>
        <v>말모이</v>
      </c>
      <c r="C1062" s="47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98" t="s">
        <v>3442</v>
      </c>
    </row>
    <row r="1063" spans="1:10" ht="28.9" customHeight="1" thickTop="1" thickBot="1" x14ac:dyDescent="0.65">
      <c r="A1063" s="3">
        <v>1061</v>
      </c>
      <c r="B1063" s="44" t="str">
        <f>HYPERLINK("https://search.naver.com/search.naver?query=말하는 건축가 영화", "말하는 건축가")</f>
        <v>말하는 건축가</v>
      </c>
      <c r="C1063" s="45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97" t="s">
        <v>3454</v>
      </c>
    </row>
    <row r="1064" spans="1:10" ht="28.9" customHeight="1" thickTop="1" thickBot="1" x14ac:dyDescent="0.65">
      <c r="A1064" s="5">
        <v>1062</v>
      </c>
      <c r="B1064" s="46" t="str">
        <f>HYPERLINK("https://search.naver.com/search.naver?query=맘 앤 대드 영화", "맘 앤 대드")</f>
        <v>맘 앤 대드</v>
      </c>
      <c r="C1064" s="47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98" t="s">
        <v>3443</v>
      </c>
    </row>
    <row r="1065" spans="1:10" ht="28.9" customHeight="1" thickTop="1" thickBot="1" x14ac:dyDescent="0.65">
      <c r="A1065" s="3">
        <v>1063</v>
      </c>
      <c r="B1065" s="44" t="str">
        <f>HYPERLINK("https://search.naver.com/search.naver?query=맘마 미아! 영화", "맘마 미아!")</f>
        <v>맘마 미아!</v>
      </c>
      <c r="C1065" s="45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97" t="s">
        <v>3450</v>
      </c>
    </row>
    <row r="1066" spans="1:10" ht="28.9" customHeight="1" thickTop="1" thickBot="1" x14ac:dyDescent="0.65">
      <c r="A1066" s="5">
        <v>1064</v>
      </c>
      <c r="B1066" s="46" t="str">
        <f>HYPERLINK("https://search.naver.com/search.naver?query=맘마미아!2 영화", "맘마미아!2")</f>
        <v>맘마미아!2</v>
      </c>
      <c r="C1066" s="47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98" t="s">
        <v>3442</v>
      </c>
    </row>
    <row r="1067" spans="1:10" ht="28.9" customHeight="1" thickTop="1" thickBot="1" x14ac:dyDescent="0.65">
      <c r="A1067" s="7">
        <v>1065</v>
      </c>
      <c r="B1067" s="48" t="str">
        <f>HYPERLINK("https://search.naver.com/search.naver?query=매니페스트 시즌1", "매니페스트 시즌1")</f>
        <v>매니페스트 시즌1</v>
      </c>
      <c r="C1067" s="49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99" t="s">
        <v>3442</v>
      </c>
    </row>
    <row r="1068" spans="1:10" ht="28.9" customHeight="1" thickTop="1" thickBot="1" x14ac:dyDescent="0.65">
      <c r="A1068" s="7">
        <v>1066</v>
      </c>
      <c r="B1068" s="48" t="str">
        <f>HYPERLINK("https://search.naver.com/search.naver?query=매니페스트 시즌2", "매니페스트 시즌2")</f>
        <v>매니페스트 시즌2</v>
      </c>
      <c r="C1068" s="49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99" t="s">
        <v>3436</v>
      </c>
    </row>
    <row r="1069" spans="1:10" ht="28.9" customHeight="1" thickTop="1" thickBot="1" x14ac:dyDescent="0.65">
      <c r="A1069" s="3">
        <v>1067</v>
      </c>
      <c r="B1069" s="44" t="str">
        <f>HYPERLINK("https://search.naver.com/search.naver?query=매드 위민스 볼 영화", "매드 위민스 볼")</f>
        <v>매드 위민스 볼</v>
      </c>
      <c r="C1069" s="45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97" t="s">
        <v>3438</v>
      </c>
    </row>
    <row r="1070" spans="1:10" ht="28.9" customHeight="1" thickTop="1" thickBot="1" x14ac:dyDescent="0.65">
      <c r="A1070" s="5">
        <v>1068</v>
      </c>
      <c r="B1070" s="46" t="str">
        <f>HYPERLINK("https://search.naver.com/search.naver?query=매드맥스 - 분노의 도로 영화", "매드맥스 - 분노의 도로")</f>
        <v>매드맥스 - 분노의 도로</v>
      </c>
      <c r="C1070" s="47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98" t="s">
        <v>3440</v>
      </c>
    </row>
    <row r="1071" spans="1:10" ht="28.9" customHeight="1" thickTop="1" thickBot="1" x14ac:dyDescent="0.65">
      <c r="A1071" s="3">
        <v>1069</v>
      </c>
      <c r="B1071" s="44" t="str">
        <f>HYPERLINK("https://search.naver.com/search.naver?query=매디슨 카운티의 다리 영화", "매디슨 카운티의 다리")</f>
        <v>매디슨 카운티의 다리</v>
      </c>
      <c r="C1071" s="45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97" t="s">
        <v>3475</v>
      </c>
    </row>
    <row r="1072" spans="1:10" ht="28.9" customHeight="1" thickTop="1" thickBot="1" x14ac:dyDescent="0.65">
      <c r="A1072" s="5">
        <v>1070</v>
      </c>
      <c r="B1072" s="46" t="str">
        <f>HYPERLINK("https://search.naver.com/search.naver?query=매스커레이드 호텔 영화", "매스커레이드 호텔")</f>
        <v>매스커레이드 호텔</v>
      </c>
      <c r="C1072" s="47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98" t="s">
        <v>3444</v>
      </c>
    </row>
    <row r="1073" spans="1:10" ht="28.9" customHeight="1" thickTop="1" thickBot="1" x14ac:dyDescent="0.65">
      <c r="A1073" s="3">
        <v>1071</v>
      </c>
      <c r="B1073" s="44" t="str">
        <f>HYPERLINK("https://search.naver.com/search.naver?query=매직 마이크 영화", "매직 마이크")</f>
        <v>매직 마이크</v>
      </c>
      <c r="C1073" s="45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97" t="s">
        <v>3439</v>
      </c>
    </row>
    <row r="1074" spans="1:10" ht="28.9" customHeight="1" thickTop="1" thickBot="1" x14ac:dyDescent="0.65">
      <c r="A1074" s="5">
        <v>1072</v>
      </c>
      <c r="B1074" s="46" t="str">
        <f>HYPERLINK("https://search.naver.com/search.naver?query=매직 오브 벨 아일 영화", "매직 오브 벨 아일")</f>
        <v>매직 오브 벨 아일</v>
      </c>
      <c r="C1074" s="47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98" t="s">
        <v>3439</v>
      </c>
    </row>
    <row r="1075" spans="1:10" ht="28.9" customHeight="1" thickTop="1" thickBot="1" x14ac:dyDescent="0.65">
      <c r="A1075" s="3">
        <v>1073</v>
      </c>
      <c r="B1075" s="44" t="str">
        <f>HYPERLINK("https://search.naver.com/search.naver?query=매치 포인트 영화", "매치 포인트")</f>
        <v>매치 포인트</v>
      </c>
      <c r="C1075" s="45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97" t="s">
        <v>3461</v>
      </c>
    </row>
    <row r="1076" spans="1:10" ht="28.9" customHeight="1" thickTop="1" thickBot="1" x14ac:dyDescent="0.65">
      <c r="A1076" s="7">
        <v>1074</v>
      </c>
      <c r="B1076" s="48" t="str">
        <f>HYPERLINK("https://search.naver.com/search.naver?query=매트록 시즌1", "매트록 시즌1")</f>
        <v>매트록 시즌1</v>
      </c>
      <c r="C1076" s="49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99" t="s">
        <v>3448</v>
      </c>
    </row>
    <row r="1077" spans="1:10" ht="28.9" customHeight="1" thickTop="1" thickBot="1" x14ac:dyDescent="0.65">
      <c r="A1077" s="3">
        <v>1075</v>
      </c>
      <c r="B1077" s="44" t="str">
        <f>HYPERLINK("https://search.naver.com/search.naver?query=매트릭스-리저렉션 영화", "매트릭스-리저렉션")</f>
        <v>매트릭스-리저렉션</v>
      </c>
      <c r="C1077" s="45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97" t="s">
        <v>3438</v>
      </c>
    </row>
    <row r="1078" spans="1:10" ht="28.9" customHeight="1" thickTop="1" thickBot="1" x14ac:dyDescent="0.65">
      <c r="A1078" s="5">
        <v>1076</v>
      </c>
      <c r="B1078" s="46" t="str">
        <f>HYPERLINK("https://search.naver.com/search.naver?query=매혹당한 사람들 영화", "매혹당한 사람들")</f>
        <v>매혹당한 사람들</v>
      </c>
      <c r="C1078" s="47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98" t="s">
        <v>3443</v>
      </c>
    </row>
    <row r="1079" spans="1:10" ht="28.9" customHeight="1" thickTop="1" thickBot="1" x14ac:dyDescent="0.65">
      <c r="A1079" s="3">
        <v>1077</v>
      </c>
      <c r="B1079" s="44" t="str">
        <f>HYPERLINK("https://search.naver.com/search.naver?query=맥스 영화", "맥스")</f>
        <v>맥스</v>
      </c>
      <c r="C1079" s="45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97" t="s">
        <v>3440</v>
      </c>
    </row>
    <row r="1080" spans="1:10" ht="28.9" customHeight="1" thickTop="1" thickBot="1" x14ac:dyDescent="0.65">
      <c r="A1080" s="5">
        <v>1078</v>
      </c>
      <c r="B1080" s="46" t="str">
        <f>HYPERLINK("https://search.naver.com/search.naver?query=맥스 영화", "맥스")</f>
        <v>맥스</v>
      </c>
      <c r="C1080" s="47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98" t="s">
        <v>3440</v>
      </c>
    </row>
    <row r="1081" spans="1:10" ht="28.9" customHeight="1" thickTop="1" thickBot="1" x14ac:dyDescent="0.65">
      <c r="A1081" s="3">
        <v>1079</v>
      </c>
      <c r="B1081" s="44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45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97" t="s">
        <v>3439</v>
      </c>
    </row>
    <row r="1082" spans="1:10" ht="28.9" customHeight="1" thickTop="1" thickBot="1" x14ac:dyDescent="0.65">
      <c r="A1082" s="5">
        <v>1080</v>
      </c>
      <c r="B1082" s="46" t="str">
        <f>HYPERLINK("https://search.naver.com/search.naver?query=맥팔랜드 영화", "맥팔랜드")</f>
        <v>맥팔랜드</v>
      </c>
      <c r="C1082" s="47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98" t="s">
        <v>3440</v>
      </c>
    </row>
    <row r="1083" spans="1:10" ht="28.9" customHeight="1" thickTop="1" thickBot="1" x14ac:dyDescent="0.65">
      <c r="A1083" s="3">
        <v>1081</v>
      </c>
      <c r="B1083" s="44" t="str">
        <f>HYPERLINK("https://search.naver.com/search.naver?query=맨 오브 마스크 영화", "맨 오브 마스크")</f>
        <v>맨 오브 마스크</v>
      </c>
      <c r="C1083" s="45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97" t="s">
        <v>3442</v>
      </c>
    </row>
    <row r="1084" spans="1:10" ht="28.9" customHeight="1" thickTop="1" thickBot="1" x14ac:dyDescent="0.65">
      <c r="A1084" s="5">
        <v>1082</v>
      </c>
      <c r="B1084" s="46" t="str">
        <f>HYPERLINK("https://search.naver.com/search.naver?query=맨 프롬 UNCLE 영화", "맨 프롬 UNCLE")</f>
        <v>맨 프롬 UNCLE</v>
      </c>
      <c r="C1084" s="47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98" t="s">
        <v>3440</v>
      </c>
    </row>
    <row r="1085" spans="1:10" ht="28.9" customHeight="1" thickTop="1" thickBot="1" x14ac:dyDescent="0.65">
      <c r="A1085" s="3">
        <v>1083</v>
      </c>
      <c r="B1085" s="44" t="str">
        <f>HYPERLINK("https://search.naver.com/search.naver?query=맨발의 승리 영화", "맨발의 승리")</f>
        <v>맨발의 승리</v>
      </c>
      <c r="C1085" s="45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97" t="s">
        <v>3438</v>
      </c>
    </row>
    <row r="1086" spans="1:10" ht="28.9" customHeight="1" thickTop="1" thickBot="1" x14ac:dyDescent="0.65">
      <c r="A1086" s="5">
        <v>1084</v>
      </c>
      <c r="B1086" s="46" t="str">
        <f>HYPERLINK("https://search.naver.com/search.naver?query=맨온렛지 영화", "맨온렛지")</f>
        <v>맨온렛지</v>
      </c>
      <c r="C1086" s="47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98" t="s">
        <v>3439</v>
      </c>
    </row>
    <row r="1087" spans="1:10" ht="28.9" customHeight="1" thickTop="1" thickBot="1" x14ac:dyDescent="0.65">
      <c r="A1087" s="3">
        <v>1085</v>
      </c>
      <c r="B1087" s="44" t="str">
        <f>HYPERLINK("https://search.naver.com/search.naver?query=맨체스터 바이 더 씨 영화", "맨체스터 바이 더 씨")</f>
        <v>맨체스터 바이 더 씨</v>
      </c>
      <c r="C1087" s="45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97" t="s">
        <v>3441</v>
      </c>
    </row>
    <row r="1088" spans="1:10" ht="28.9" customHeight="1" thickTop="1" thickBot="1" x14ac:dyDescent="0.65">
      <c r="A1088" s="5">
        <v>1086</v>
      </c>
      <c r="B1088" s="46" t="str">
        <f>HYPERLINK("https://search.naver.com/search.naver?query=맨츄리안 켄디데이트 영화", "맨츄리안 켄디데이트")</f>
        <v>맨츄리안 켄디데이트</v>
      </c>
      <c r="C1088" s="47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98" t="s">
        <v>3462</v>
      </c>
    </row>
    <row r="1089" spans="1:10" ht="28.9" customHeight="1" thickTop="1" thickBot="1" x14ac:dyDescent="0.65">
      <c r="A1089" s="3">
        <v>1087</v>
      </c>
      <c r="B1089" s="44" t="str">
        <f>HYPERLINK("https://search.naver.com/search.naver?query=맨하탄 나이트 영화", "맨하탄 나이트")</f>
        <v>맨하탄 나이트</v>
      </c>
      <c r="C1089" s="45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97" t="s">
        <v>3441</v>
      </c>
    </row>
    <row r="1090" spans="1:10" ht="28.9" customHeight="1" thickTop="1" thickBot="1" x14ac:dyDescent="0.65">
      <c r="A1090" s="5">
        <v>1088</v>
      </c>
      <c r="B1090" s="46" t="str">
        <f>HYPERLINK("https://search.naver.com/search.naver?query=맨하탄 녹턴 영화", "맨하탄 녹턴")</f>
        <v>맨하탄 녹턴</v>
      </c>
      <c r="C1090" s="47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98" t="s">
        <v>3441</v>
      </c>
    </row>
    <row r="1091" spans="1:10" ht="28.9" customHeight="1" thickTop="1" thickBot="1" x14ac:dyDescent="0.65">
      <c r="A1091" s="7">
        <v>1089</v>
      </c>
      <c r="B1091" s="48" t="str">
        <f>HYPERLINK("https://search.naver.com/search.naver?query=맨헌트-유나바머", "맨헌트-유나바머")</f>
        <v>맨헌트-유나바머</v>
      </c>
      <c r="C1091" s="49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99" t="s">
        <v>3443</v>
      </c>
    </row>
    <row r="1092" spans="1:10" ht="28.9" customHeight="1" thickTop="1" thickBot="1" x14ac:dyDescent="0.65">
      <c r="A1092" s="5">
        <v>1090</v>
      </c>
      <c r="B1092" s="46" t="str">
        <f>HYPERLINK("https://search.naver.com/search.naver?query=맹글혼 영화", "맹글혼")</f>
        <v>맹글혼</v>
      </c>
      <c r="C1092" s="47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98" t="s">
        <v>3437</v>
      </c>
    </row>
    <row r="1093" spans="1:10" ht="28.9" customHeight="1" thickTop="1" thickBot="1" x14ac:dyDescent="0.65">
      <c r="A1093" s="3">
        <v>1091</v>
      </c>
      <c r="B1093" s="44" t="str">
        <f>HYPERLINK("https://search.naver.com/search.naver?query=머나먼 사랑 영화", "머나먼 사랑")</f>
        <v>머나먼 사랑</v>
      </c>
      <c r="C1093" s="45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97" t="s">
        <v>3462</v>
      </c>
    </row>
    <row r="1094" spans="1:10" ht="28.9" customHeight="1" thickTop="1" thickBot="1" x14ac:dyDescent="0.65">
      <c r="A1094" s="5">
        <v>1092</v>
      </c>
      <c r="B1094" s="46" t="str">
        <f>HYPERLINK("https://search.naver.com/search.naver?query=머나먼 여정 영화", "머나먼 여정")</f>
        <v>머나먼 여정</v>
      </c>
      <c r="C1094" s="47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98" t="s">
        <v>3469</v>
      </c>
    </row>
    <row r="1095" spans="1:10" ht="28.9" customHeight="1" thickTop="1" thickBot="1" x14ac:dyDescent="0.65">
      <c r="A1095" s="3">
        <v>1093</v>
      </c>
      <c r="B1095" s="44" t="str">
        <f>HYPERLINK("https://search.naver.com/search.naver?query=머니 몬스터 영화", "머니 몬스터")</f>
        <v>머니 몬스터</v>
      </c>
      <c r="C1095" s="45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97" t="s">
        <v>3441</v>
      </c>
    </row>
    <row r="1096" spans="1:10" ht="28.9" customHeight="1" thickTop="1" thickBot="1" x14ac:dyDescent="0.65">
      <c r="A1096" s="5">
        <v>1094</v>
      </c>
      <c r="B1096" s="46" t="str">
        <f>HYPERLINK("https://search.naver.com/search.naver?query=머니볼 영화", "머니볼")</f>
        <v>머니볼</v>
      </c>
      <c r="C1096" s="47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98" t="s">
        <v>3454</v>
      </c>
    </row>
    <row r="1097" spans="1:10" ht="28.9" customHeight="1" thickTop="1" thickBot="1" x14ac:dyDescent="0.65">
      <c r="A1097" s="3">
        <v>1095</v>
      </c>
      <c r="B1097" s="44" t="str">
        <f>HYPERLINK("https://search.naver.com/search.naver?query=머더리스 브루클린 영화", "머더리스 브루클린")</f>
        <v>머더리스 브루클린</v>
      </c>
      <c r="C1097" s="45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97" t="s">
        <v>3444</v>
      </c>
    </row>
    <row r="1098" spans="1:10" ht="28.9" customHeight="1" thickTop="1" thickBot="1" x14ac:dyDescent="0.65">
      <c r="A1098" s="5">
        <v>1096</v>
      </c>
      <c r="B1098" s="46" t="str">
        <f>HYPERLINK("https://search.naver.com/search.naver?query=머드 영화", "머드")</f>
        <v>머드</v>
      </c>
      <c r="C1098" s="47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98" t="s">
        <v>3439</v>
      </c>
    </row>
    <row r="1099" spans="1:10" ht="28.9" customHeight="1" thickTop="1" thickBot="1" x14ac:dyDescent="0.65">
      <c r="A1099" s="3">
        <v>1097</v>
      </c>
      <c r="B1099" s="44" t="str">
        <f>HYPERLINK("https://search.naver.com/search.naver?query=머신건 프리처 영화", "머신건 프리처")</f>
        <v>머신건 프리처</v>
      </c>
      <c r="C1099" s="45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97" t="s">
        <v>3454</v>
      </c>
    </row>
    <row r="1100" spans="1:10" ht="28.9" customHeight="1" thickTop="1" thickBot="1" x14ac:dyDescent="0.65">
      <c r="A1100" s="5">
        <v>1098</v>
      </c>
      <c r="B1100" s="46" t="str">
        <f>HYPERLINK("https://search.naver.com/search.naver?query=머티리얼리스트 영화", "머티리얼리스트")</f>
        <v>머티리얼리스트</v>
      </c>
      <c r="C1100" s="47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98" t="s">
        <v>3459</v>
      </c>
    </row>
    <row r="1101" spans="1:10" ht="28.9" customHeight="1" thickTop="1" thickBot="1" x14ac:dyDescent="0.65">
      <c r="A1101" s="3">
        <v>1099</v>
      </c>
      <c r="B1101" s="44" t="str">
        <f>HYPERLINK("https://search.naver.com/search.naver?query=먼 훗날 우리", "먼 훗날 우리")</f>
        <v>먼 훗날 우리</v>
      </c>
      <c r="C1101" s="45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97" t="s">
        <v>3442</v>
      </c>
    </row>
    <row r="1102" spans="1:10" ht="28.9" customHeight="1" thickTop="1" thickBot="1" x14ac:dyDescent="0.65">
      <c r="A1102" s="5">
        <v>1100</v>
      </c>
      <c r="B1102" s="46" t="str">
        <f>HYPERLINK("https://search.naver.com/search.naver?query=멀리서 늘 곁에 있어 영화", "멀리서 늘 곁에 있어")</f>
        <v>멀리서 늘 곁에 있어</v>
      </c>
      <c r="C1102" s="47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98" t="s">
        <v>3451</v>
      </c>
    </row>
    <row r="1103" spans="1:10" ht="28.9" customHeight="1" thickTop="1" thickBot="1" x14ac:dyDescent="0.65">
      <c r="A1103" s="3">
        <v>1101</v>
      </c>
      <c r="B1103" s="44" t="str">
        <f>HYPERLINK("https://search.naver.com/search.naver?query=멋진 녀석들 영화", "멋진 녀석들")</f>
        <v>멋진 녀석들</v>
      </c>
      <c r="C1103" s="45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97" t="s">
        <v>3441</v>
      </c>
    </row>
    <row r="1104" spans="1:10" ht="28.9" customHeight="1" thickTop="1" thickBot="1" x14ac:dyDescent="0.65">
      <c r="A1104" s="5">
        <v>1102</v>
      </c>
      <c r="B1104" s="46" t="str">
        <f>HYPERLINK("https://search.naver.com/search.naver?query=멋진 세계 영화", "멋진 세계")</f>
        <v>멋진 세계</v>
      </c>
      <c r="C1104" s="47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98" t="s">
        <v>3436</v>
      </c>
    </row>
    <row r="1105" spans="1:10" ht="28.9" customHeight="1" thickTop="1" thickBot="1" x14ac:dyDescent="0.65">
      <c r="A1105" s="3">
        <v>1103</v>
      </c>
      <c r="B1105" s="44" t="str">
        <f>HYPERLINK("https://search.naver.com/search.naver?query=멋진 악몽 영화", "멋진 악몽")</f>
        <v>멋진 악몽</v>
      </c>
      <c r="C1105" s="45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97" t="s">
        <v>3439</v>
      </c>
    </row>
    <row r="1106" spans="1:10" ht="28.9" customHeight="1" thickTop="1" thickBot="1" x14ac:dyDescent="0.65">
      <c r="A1106" s="5">
        <v>1104</v>
      </c>
      <c r="B1106" s="46" t="str">
        <f>HYPERLINK("https://search.naver.com/search.naver?query=멋진하루 영화", "멋진하루")</f>
        <v>멋진하루</v>
      </c>
      <c r="C1106" s="47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98" t="s">
        <v>3450</v>
      </c>
    </row>
    <row r="1107" spans="1:10" ht="28.9" customHeight="1" thickTop="1" thickBot="1" x14ac:dyDescent="0.65">
      <c r="A1107" s="3">
        <v>1105</v>
      </c>
      <c r="B1107" s="44" t="str">
        <f>HYPERLINK("https://search.naver.com/search.naver?query=메가로돈 영화", "메가로돈")</f>
        <v>메가로돈</v>
      </c>
      <c r="C1107" s="45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97" t="s">
        <v>3442</v>
      </c>
    </row>
    <row r="1108" spans="1:10" ht="28.9" customHeight="1" thickTop="1" thickBot="1" x14ac:dyDescent="0.65">
      <c r="A1108" s="5">
        <v>1106</v>
      </c>
      <c r="B1108" s="46" t="str">
        <f>HYPERLINK("https://search.naver.com/search.naver?query=메건 리비 영화", "메건 리비")</f>
        <v>메건 리비</v>
      </c>
      <c r="C1108" s="47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98" t="s">
        <v>3443</v>
      </c>
    </row>
    <row r="1109" spans="1:10" ht="28.9" customHeight="1" thickTop="1" thickBot="1" x14ac:dyDescent="0.65">
      <c r="A1109" s="3">
        <v>1107</v>
      </c>
      <c r="B1109" s="44" t="str">
        <f>HYPERLINK("https://search.naver.com/search.naver?query=메루 영화", "메루")</f>
        <v>메루</v>
      </c>
      <c r="C1109" s="45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97" t="s">
        <v>3440</v>
      </c>
    </row>
    <row r="1110" spans="1:10" ht="28.9" customHeight="1" thickTop="1" thickBot="1" x14ac:dyDescent="0.65">
      <c r="A1110" s="5">
        <v>1108</v>
      </c>
      <c r="B1110" s="46" t="str">
        <f>HYPERLINK("https://search.naver.com/search.naver?query=메리 영화", "메리")</f>
        <v>메리</v>
      </c>
      <c r="C1110" s="47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98" t="s">
        <v>3444</v>
      </c>
    </row>
    <row r="1111" spans="1:10" ht="28.9" customHeight="1" thickTop="1" thickBot="1" x14ac:dyDescent="0.65">
      <c r="A1111" s="3">
        <v>1109</v>
      </c>
      <c r="B1111" s="44" t="str">
        <f>HYPERLINK("https://search.naver.com/search.naver?query=메리 미 영화", "메리 미")</f>
        <v>메리 미</v>
      </c>
      <c r="C1111" s="45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97" t="s">
        <v>3445</v>
      </c>
    </row>
    <row r="1112" spans="1:10" ht="28.9" customHeight="1" thickTop="1" thickBot="1" x14ac:dyDescent="0.65">
      <c r="A1112" s="5">
        <v>1110</v>
      </c>
      <c r="B1112" s="46" t="str">
        <f>HYPERLINK("https://search.naver.com/search.naver?query=메멘토 영화", "메멘토")</f>
        <v>메멘토</v>
      </c>
      <c r="C1112" s="47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98" t="s">
        <v>3458</v>
      </c>
    </row>
    <row r="1113" spans="1:10" ht="28.9" customHeight="1" thickTop="1" thickBot="1" x14ac:dyDescent="0.65">
      <c r="A1113" s="3">
        <v>1111</v>
      </c>
      <c r="B1113" s="44" t="str">
        <f>HYPERLINK("https://search.naver.com/search.naver?query=메모리 영화", "메모리")</f>
        <v>메모리</v>
      </c>
      <c r="C1113" s="45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97" t="s">
        <v>3445</v>
      </c>
    </row>
    <row r="1114" spans="1:10" ht="28.9" customHeight="1" thickTop="1" thickBot="1" x14ac:dyDescent="0.65">
      <c r="A1114" s="7">
        <v>1112</v>
      </c>
      <c r="B1114" s="48" t="str">
        <f>HYPERLINK("https://search.naver.com/search.naver?query=메시아 시즌1", "메시아 시즌1")</f>
        <v>메시아 시즌1</v>
      </c>
      <c r="C1114" s="49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99" t="s">
        <v>3436</v>
      </c>
    </row>
    <row r="1115" spans="1:10" ht="28.9" customHeight="1" thickTop="1" thickBot="1" x14ac:dyDescent="0.65">
      <c r="A1115" s="3">
        <v>1113</v>
      </c>
      <c r="B1115" s="44" t="str">
        <f>HYPERLINK("https://search.naver.com/search.naver?query=메시지 맨 영화", "메시지 맨")</f>
        <v>메시지 맨</v>
      </c>
      <c r="C1115" s="45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97" t="s">
        <v>3442</v>
      </c>
    </row>
    <row r="1116" spans="1:10" ht="28.9" customHeight="1" thickTop="1" thickBot="1" x14ac:dyDescent="0.65">
      <c r="A1116" s="7">
        <v>1114</v>
      </c>
      <c r="B1116" s="48" t="str">
        <f>HYPERLINK("https://search.naver.com/search.naver?query=메어 오브 이스트타운", "메어 오브 이스트타운")</f>
        <v>메어 오브 이스트타운</v>
      </c>
      <c r="C1116" s="49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99" t="s">
        <v>3438</v>
      </c>
    </row>
    <row r="1117" spans="1:10" ht="28.9" customHeight="1" thickTop="1" thickBot="1" x14ac:dyDescent="0.65">
      <c r="A1117" s="3">
        <v>1115</v>
      </c>
      <c r="B1117" s="44" t="str">
        <f>HYPERLINK("https://search.naver.com/search.naver?query=메이 디셈버 영화", "메이 디셈버")</f>
        <v>메이 디셈버</v>
      </c>
      <c r="C1117" s="45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97" t="s">
        <v>3446</v>
      </c>
    </row>
    <row r="1118" spans="1:10" ht="28.9" customHeight="1" thickTop="1" thickBot="1" x14ac:dyDescent="0.65">
      <c r="A1118" s="7">
        <v>1116</v>
      </c>
      <c r="B1118" s="48" t="str">
        <f>HYPERLINK("https://search.naver.com/search.naver?query=메이드인코리아", "메이드인코리아")</f>
        <v>메이드인코리아</v>
      </c>
      <c r="C1118" s="49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99" t="s">
        <v>3459</v>
      </c>
    </row>
    <row r="1119" spans="1:10" ht="28.9" customHeight="1" thickTop="1" thickBot="1" x14ac:dyDescent="0.65">
      <c r="A1119" s="7">
        <v>1117</v>
      </c>
      <c r="B1119" s="48" t="str">
        <f>HYPERLINK("https://search.naver.com/search.naver?query=메이어 오브 킹스타운 시즌1", "메이어 오브 킹스타운 시즌1")</f>
        <v>메이어 오브 킹스타운 시즌1</v>
      </c>
      <c r="C1119" s="49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99" t="s">
        <v>3445</v>
      </c>
    </row>
    <row r="1120" spans="1:10" ht="28.9" customHeight="1" thickTop="1" thickBot="1" x14ac:dyDescent="0.65">
      <c r="A1120" s="7">
        <v>1118</v>
      </c>
      <c r="B1120" s="48" t="str">
        <f>HYPERLINK("https://search.naver.com/search.naver?query=메이어 오브 킹스타운 시즌2", "메이어 오브 킹스타운 시즌2")</f>
        <v>메이어 오브 킹스타운 시즌2</v>
      </c>
      <c r="C1120" s="49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99" t="s">
        <v>3446</v>
      </c>
    </row>
    <row r="1121" spans="1:10" ht="28.9" customHeight="1" thickTop="1" thickBot="1" x14ac:dyDescent="0.65">
      <c r="A1121" s="3">
        <v>1119</v>
      </c>
      <c r="B1121" s="44" t="str">
        <f>HYPERLINK("https://search.naver.com/search.naver?query=메이지가 알고 있었던 일 영화", "메이지가 알고 있었던 일")</f>
        <v>메이지가 알고 있었던 일</v>
      </c>
      <c r="C1121" s="45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97" t="s">
        <v>3439</v>
      </c>
    </row>
    <row r="1122" spans="1:10" ht="28.9" customHeight="1" thickTop="1" thickBot="1" x14ac:dyDescent="0.65">
      <c r="A1122" s="7">
        <v>1120</v>
      </c>
      <c r="B1122" s="48" t="str">
        <f>HYPERLINK("https://search.naver.com/search.naver?query=메종 드 폴리스", "메종 드 폴리스")</f>
        <v>메종 드 폴리스</v>
      </c>
      <c r="C1122" s="49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99" t="s">
        <v>3444</v>
      </c>
    </row>
    <row r="1123" spans="1:10" ht="28.9" customHeight="1" thickTop="1" thickBot="1" x14ac:dyDescent="0.65">
      <c r="A1123" s="3">
        <v>1121</v>
      </c>
      <c r="B1123" s="44" t="str">
        <f>HYPERLINK("https://search.naver.com/search.naver?query=멘, 우먼 &amp; 칠드런 영화", "멘, 우먼 &amp; 칠드런")</f>
        <v>멘, 우먼 &amp; 칠드런</v>
      </c>
      <c r="C1123" s="45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97" t="s">
        <v>3437</v>
      </c>
    </row>
    <row r="1124" spans="1:10" ht="28.9" customHeight="1" thickTop="1" thickBot="1" x14ac:dyDescent="0.65">
      <c r="A1124" s="7">
        <v>1122</v>
      </c>
      <c r="B1124" s="48" t="str">
        <f>HYPERLINK("https://search.naver.com/search.naver?query=멘탈리스트 시즌1", "멘탈리스트 시즌1")</f>
        <v>멘탈리스트 시즌1</v>
      </c>
      <c r="C1124" s="49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99" t="s">
        <v>3450</v>
      </c>
    </row>
    <row r="1125" spans="1:10" ht="28.9" customHeight="1" thickTop="1" thickBot="1" x14ac:dyDescent="0.65">
      <c r="A1125" s="3">
        <v>1123</v>
      </c>
      <c r="B1125" s="44" t="str">
        <f>HYPERLINK("https://search.naver.com/search.naver?query=명당 영화", "명당")</f>
        <v>명당</v>
      </c>
      <c r="C1125" s="45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97" t="s">
        <v>3442</v>
      </c>
    </row>
    <row r="1126" spans="1:10" ht="28.9" customHeight="1" thickTop="1" thickBot="1" x14ac:dyDescent="0.65">
      <c r="A1126" s="5">
        <v>1124</v>
      </c>
      <c r="B1126" s="46" t="str">
        <f>HYPERLINK("https://search.naver.com/search.naver?query=명량 영화", "명량")</f>
        <v>명량</v>
      </c>
      <c r="C1126" s="47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98" t="s">
        <v>3437</v>
      </c>
    </row>
    <row r="1127" spans="1:10" ht="28.9" customHeight="1" thickTop="1" thickBot="1" x14ac:dyDescent="0.65">
      <c r="A1127" s="3">
        <v>1125</v>
      </c>
      <c r="B1127" s="44" t="str">
        <f>HYPERLINK("https://search.naver.com/search.naver?query=명운화장사 영화", "명운화장사")</f>
        <v>명운화장사</v>
      </c>
      <c r="C1127" s="45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97" t="s">
        <v>3454</v>
      </c>
    </row>
    <row r="1128" spans="1:10" ht="28.9" customHeight="1" thickTop="1" thickBot="1" x14ac:dyDescent="0.65">
      <c r="A1128" s="5">
        <v>1126</v>
      </c>
      <c r="B1128" s="46" t="str">
        <f>HYPERLINK("https://search.naver.com/search.naver?query=모가디슈 영화", "모가디슈")</f>
        <v>모가디슈</v>
      </c>
      <c r="C1128" s="47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98" t="s">
        <v>3438</v>
      </c>
    </row>
    <row r="1129" spans="1:10" ht="28.9" customHeight="1" thickTop="1" thickBot="1" x14ac:dyDescent="0.65">
      <c r="A1129" s="3">
        <v>1127</v>
      </c>
      <c r="B1129" s="44" t="str">
        <f>HYPERLINK("https://search.naver.com/search.naver?query=모나리자 스마일 영화", "모나리자 스마일")</f>
        <v>모나리자 스마일</v>
      </c>
      <c r="C1129" s="45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97" t="s">
        <v>3449</v>
      </c>
    </row>
    <row r="1130" spans="1:10" ht="28.9" customHeight="1" thickTop="1" thickBot="1" x14ac:dyDescent="0.65">
      <c r="A1130" s="5">
        <v>1128</v>
      </c>
      <c r="B1130" s="46" t="str">
        <f>HYPERLINK("https://search.naver.com/search.naver?query=모놀리스 영화", "모놀리스")</f>
        <v>모놀리스</v>
      </c>
      <c r="C1130" s="47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98" t="s">
        <v>3441</v>
      </c>
    </row>
    <row r="1131" spans="1:10" ht="28.9" customHeight="1" thickTop="1" thickBot="1" x14ac:dyDescent="0.65">
      <c r="A1131" s="3">
        <v>1129</v>
      </c>
      <c r="B1131" s="44" t="str">
        <f>HYPERLINK("https://search.naver.com/search.naver?query=모뉴먼츠 맨 - 세기의 작전 영화", "모뉴먼츠 맨 - 세기의 작전")</f>
        <v>모뉴먼츠 맨 - 세기의 작전</v>
      </c>
      <c r="C1131" s="45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97" t="s">
        <v>3437</v>
      </c>
    </row>
    <row r="1132" spans="1:10" ht="28.9" customHeight="1" thickTop="1" thickBot="1" x14ac:dyDescent="0.65">
      <c r="A1132" s="5">
        <v>1130</v>
      </c>
      <c r="B1132" s="46" t="str">
        <f>HYPERLINK("https://search.naver.com/search.naver?query=모데카이 영화", "모데카이")</f>
        <v>모데카이</v>
      </c>
      <c r="C1132" s="47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98" t="s">
        <v>3440</v>
      </c>
    </row>
    <row r="1133" spans="1:10" ht="28.9" customHeight="1" thickTop="1" thickBot="1" x14ac:dyDescent="0.65">
      <c r="A1133" s="3">
        <v>1131</v>
      </c>
      <c r="B1133" s="44" t="str">
        <f>HYPERLINK("https://search.naver.com/search.naver?query=모든 비밀스러운 것들 영화", "모든 비밀스러운 것들")</f>
        <v>모든 비밀스러운 것들</v>
      </c>
      <c r="C1133" s="45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97" t="s">
        <v>3437</v>
      </c>
    </row>
    <row r="1134" spans="1:10" ht="28.9" customHeight="1" thickTop="1" thickBot="1" x14ac:dyDescent="0.65">
      <c r="A1134" s="5">
        <v>1132</v>
      </c>
      <c r="B1134" s="46" t="str">
        <f>HYPERLINK("https://search.naver.com/search.naver?query=모라토리움기의 다마코 영화", "모라토리움기의 다마코")</f>
        <v>모라토리움기의 다마코</v>
      </c>
      <c r="C1134" s="47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98" t="s">
        <v>3451</v>
      </c>
    </row>
    <row r="1135" spans="1:10" ht="28.9" customHeight="1" thickTop="1" thickBot="1" x14ac:dyDescent="0.65">
      <c r="A1135" s="3">
        <v>1133</v>
      </c>
      <c r="B1135" s="44" t="str">
        <f>HYPERLINK("https://search.naver.com/search.naver?query=모래와 안개의 집 영화", "모래와 안개의 집")</f>
        <v>모래와 안개의 집</v>
      </c>
      <c r="C1135" s="45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97" t="s">
        <v>3449</v>
      </c>
    </row>
    <row r="1136" spans="1:10" ht="28.9" customHeight="1" thickTop="1" thickBot="1" x14ac:dyDescent="0.65">
      <c r="A1136" s="5">
        <v>1134</v>
      </c>
      <c r="B1136" s="46" t="str">
        <f>HYPERLINK("https://search.naver.com/search.naver?query=모리타니안 영화", "모리타니안")</f>
        <v>모리타니안</v>
      </c>
      <c r="C1136" s="47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98" t="s">
        <v>3438</v>
      </c>
    </row>
    <row r="1137" spans="1:10" ht="28.9" customHeight="1" thickTop="1" thickBot="1" x14ac:dyDescent="0.65">
      <c r="A1137" s="3">
        <v>1135</v>
      </c>
      <c r="B1137" s="44" t="str">
        <f>HYPERLINK("https://search.naver.com/search.naver?query=모멘텀 영화", "모멘텀")</f>
        <v>모멘텀</v>
      </c>
      <c r="C1137" s="45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97" t="s">
        <v>3440</v>
      </c>
    </row>
    <row r="1138" spans="1:10" ht="28.9" customHeight="1" thickTop="1" thickBot="1" x14ac:dyDescent="0.65">
      <c r="A1138" s="7">
        <v>1136</v>
      </c>
      <c r="B1138" s="48" t="str">
        <f>HYPERLINK("https://search.naver.com/search.naver?query=모범가족", "모범가족")</f>
        <v>모범가족</v>
      </c>
      <c r="C1138" s="49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99" t="s">
        <v>3445</v>
      </c>
    </row>
    <row r="1139" spans="1:10" ht="28.9" customHeight="1" thickTop="1" thickBot="1" x14ac:dyDescent="0.65">
      <c r="A1139" s="3">
        <v>1137</v>
      </c>
      <c r="B1139" s="44" t="str">
        <f>HYPERLINK("https://search.naver.com/search.naver?query=모범시민 영화", "모범시민")</f>
        <v>모범시민</v>
      </c>
      <c r="C1139" s="45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97" t="s">
        <v>3453</v>
      </c>
    </row>
    <row r="1140" spans="1:10" ht="28.9" customHeight="1" thickTop="1" thickBot="1" x14ac:dyDescent="0.65">
      <c r="A1140" s="5">
        <v>1138</v>
      </c>
      <c r="B1140" s="46" t="str">
        <f>HYPERLINK("https://search.naver.com/search.naver?query=모비딕 영화", "모비딕")</f>
        <v>모비딕</v>
      </c>
      <c r="C1140" s="47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98" t="s">
        <v>3454</v>
      </c>
    </row>
    <row r="1141" spans="1:10" ht="28.9" customHeight="1" thickTop="1" thickBot="1" x14ac:dyDescent="0.65">
      <c r="A1141" s="3">
        <v>1139</v>
      </c>
      <c r="B1141" s="44" t="str">
        <f>HYPERLINK("https://search.naver.com/search.naver?query=모스트 바이어런트 영화", "모스트 바이어런트")</f>
        <v>모스트 바이어런트</v>
      </c>
      <c r="C1141" s="45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97" t="s">
        <v>3437</v>
      </c>
    </row>
    <row r="1142" spans="1:10" ht="28.9" customHeight="1" thickTop="1" thickBot="1" x14ac:dyDescent="0.65">
      <c r="A1142" s="5">
        <v>1140</v>
      </c>
      <c r="B1142" s="46" t="str">
        <f>HYPERLINK("https://search.naver.com/search.naver?query=모스트 원티드 맨 영화", "모스트 원티드 맨")</f>
        <v>모스트 원티드 맨</v>
      </c>
      <c r="C1142" s="47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98" t="s">
        <v>3437</v>
      </c>
    </row>
    <row r="1143" spans="1:10" ht="28.9" customHeight="1" thickTop="1" thickBot="1" x14ac:dyDescent="0.65">
      <c r="A1143" s="3">
        <v>1141</v>
      </c>
      <c r="B1143" s="44" t="str">
        <f>HYPERLINK("https://search.naver.com/search.naver?query=모즈 영화", "모즈")</f>
        <v>모즈</v>
      </c>
      <c r="C1143" s="45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97" t="s">
        <v>3441</v>
      </c>
    </row>
    <row r="1144" spans="1:10" ht="28.9" customHeight="1" thickTop="1" thickBot="1" x14ac:dyDescent="0.65">
      <c r="A1144" s="5">
        <v>1142</v>
      </c>
      <c r="B1144" s="46" t="str">
        <f>HYPERLINK("https://search.naver.com/search.naver?query=모차르트 타운 영화", "모차르트 타운")</f>
        <v>모차르트 타운</v>
      </c>
      <c r="C1144" s="47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98" t="s">
        <v>3450</v>
      </c>
    </row>
    <row r="1145" spans="1:10" ht="28.9" customHeight="1" thickTop="1" thickBot="1" x14ac:dyDescent="0.65">
      <c r="A1145" s="3">
        <v>1143</v>
      </c>
      <c r="B1145" s="44" t="str">
        <f>HYPERLINK("https://search.naver.com/search.naver?query=목격자", "목격자")</f>
        <v>목격자</v>
      </c>
      <c r="C1145" s="45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97" t="s">
        <v>3443</v>
      </c>
    </row>
    <row r="1146" spans="1:10" ht="28.9" customHeight="1" thickTop="1" thickBot="1" x14ac:dyDescent="0.65">
      <c r="A1146" s="5">
        <v>1144</v>
      </c>
      <c r="B1146" s="46" t="str">
        <f>HYPERLINK("https://search.naver.com/search.naver?query=몬태나 영화", "몬태나")</f>
        <v>몬태나</v>
      </c>
      <c r="C1146" s="47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98" t="s">
        <v>3443</v>
      </c>
    </row>
    <row r="1147" spans="1:10" ht="28.9" customHeight="1" thickTop="1" thickBot="1" x14ac:dyDescent="0.65">
      <c r="A1147" s="3">
        <v>1145</v>
      </c>
      <c r="B1147" s="44" t="str">
        <f>HYPERLINK("https://search.naver.com/search.naver?query=몰리스 게임 영화", "몰리스 게임")</f>
        <v>몰리스 게임</v>
      </c>
      <c r="C1147" s="45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97" t="s">
        <v>3443</v>
      </c>
    </row>
    <row r="1148" spans="1:10" ht="28.9" customHeight="1" thickTop="1" thickBot="1" x14ac:dyDescent="0.65">
      <c r="A1148" s="5">
        <v>1146</v>
      </c>
      <c r="B1148" s="46" t="str">
        <f>HYPERLINK("https://search.naver.com/search.naver?query=몽타주 영화", "몽타주")</f>
        <v>몽타주</v>
      </c>
      <c r="C1148" s="47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98" t="s">
        <v>3439</v>
      </c>
    </row>
    <row r="1149" spans="1:10" ht="28.9" customHeight="1" thickTop="1" thickBot="1" x14ac:dyDescent="0.65">
      <c r="A1149" s="3">
        <v>1147</v>
      </c>
      <c r="B1149" s="44" t="str">
        <f>HYPERLINK("https://search.naver.com/search.naver?query=무곡 영화", "무곡")</f>
        <v>무곡</v>
      </c>
      <c r="C1149" s="45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97" t="s">
        <v>3442</v>
      </c>
    </row>
    <row r="1150" spans="1:10" ht="28.9" customHeight="1" thickTop="1" thickBot="1" x14ac:dyDescent="0.65">
      <c r="A1150" s="5">
        <v>1148</v>
      </c>
      <c r="B1150" s="46" t="str">
        <f>HYPERLINK("https://search.naver.com/search.naver?query=무도실무관 영화", "무도실무관")</f>
        <v>무도실무관</v>
      </c>
      <c r="C1150" s="47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98" t="s">
        <v>3448</v>
      </c>
    </row>
    <row r="1151" spans="1:10" ht="28.9" customHeight="1" thickTop="1" thickBot="1" x14ac:dyDescent="0.65">
      <c r="A1151" s="3">
        <v>1149</v>
      </c>
      <c r="B1151" s="44" t="str">
        <f>HYPERLINK("https://search.naver.com/search.naver?query=무뢰한 영화", "무뢰한")</f>
        <v>무뢰한</v>
      </c>
      <c r="C1151" s="45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97" t="s">
        <v>3437</v>
      </c>
    </row>
    <row r="1152" spans="1:10" ht="28.9" customHeight="1" thickTop="1" thickBot="1" x14ac:dyDescent="0.65">
      <c r="A1152" s="5">
        <v>1150</v>
      </c>
      <c r="B1152" s="46" t="str">
        <f>HYPERLINK("https://search.naver.com/search.naver?query=무명인 영화", "무명인")</f>
        <v>무명인</v>
      </c>
      <c r="C1152" s="47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98" t="s">
        <v>3437</v>
      </c>
    </row>
    <row r="1153" spans="1:10" ht="28.9" customHeight="1" thickTop="1" thickBot="1" x14ac:dyDescent="0.65">
      <c r="A1153" s="3">
        <v>1151</v>
      </c>
      <c r="B1153" s="44" t="str">
        <f>HYPERLINK("https://search.naver.com/search.naver?query=무반주 영화", "무반주")</f>
        <v>무반주</v>
      </c>
      <c r="C1153" s="45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97" t="s">
        <v>3441</v>
      </c>
    </row>
    <row r="1154" spans="1:10" ht="28.9" customHeight="1" thickTop="1" thickBot="1" x14ac:dyDescent="0.65">
      <c r="A1154" s="7">
        <v>1152</v>
      </c>
      <c r="B1154" s="48" t="str">
        <f>HYPERLINK("https://search.naver.com/search.naver?query=무브 투 헤븐", "무브 투 헤븐")</f>
        <v>무브 투 헤븐</v>
      </c>
      <c r="C1154" s="49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99" t="s">
        <v>3438</v>
      </c>
    </row>
    <row r="1155" spans="1:10" ht="28.9" customHeight="1" thickTop="1" thickBot="1" x14ac:dyDescent="0.65">
      <c r="A1155" s="7">
        <v>1153</v>
      </c>
      <c r="B1155" s="48" t="str">
        <f>HYPERLINK("https://search.naver.com/search.naver?query=무빙", "무빙")</f>
        <v>무빙</v>
      </c>
      <c r="C1155" s="49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99" t="s">
        <v>3446</v>
      </c>
    </row>
    <row r="1156" spans="1:10" ht="28.9" customHeight="1" thickTop="1" thickBot="1" x14ac:dyDescent="0.65">
      <c r="A1156" s="5">
        <v>1154</v>
      </c>
      <c r="B1156" s="46" t="str">
        <f>HYPERLINK("https://search.naver.com/search.naver?query=무쌍 영화", "무쌍")</f>
        <v>무쌍</v>
      </c>
      <c r="C1156" s="47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98" t="s">
        <v>3442</v>
      </c>
    </row>
    <row r="1157" spans="1:10" ht="28.9" customHeight="1" thickTop="1" thickBot="1" x14ac:dyDescent="0.65">
      <c r="A1157" s="7">
        <v>1155</v>
      </c>
      <c r="B1157" s="48" t="str">
        <f>HYPERLINK("https://search.naver.com/search.naver?query=무죄추정  드라마", "무죄추정")</f>
        <v>무죄추정</v>
      </c>
      <c r="C1157" s="49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99" t="s">
        <v>3448</v>
      </c>
    </row>
    <row r="1158" spans="1:10" ht="28.9" customHeight="1" thickTop="1" thickBot="1" x14ac:dyDescent="0.65">
      <c r="A1158" s="5">
        <v>1156</v>
      </c>
      <c r="B1158" s="46" t="str">
        <f>HYPERLINK("https://search.naver.com/search.naver?query=무협 영화", "무협")</f>
        <v>무협</v>
      </c>
      <c r="C1158" s="47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98" t="s">
        <v>3454</v>
      </c>
    </row>
    <row r="1159" spans="1:10" ht="28.9" customHeight="1" thickTop="1" thickBot="1" x14ac:dyDescent="0.65">
      <c r="A1159" s="3">
        <v>1157</v>
      </c>
      <c r="B1159" s="44" t="str">
        <f>HYPERLINK("https://search.naver.com/search.naver?query=문 섀도우 영화", "문 섀도우")</f>
        <v>문 섀도우</v>
      </c>
      <c r="C1159" s="45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97" t="s">
        <v>3444</v>
      </c>
    </row>
    <row r="1160" spans="1:10" ht="28.9" customHeight="1" thickTop="1" thickBot="1" x14ac:dyDescent="0.65">
      <c r="A1160" s="5">
        <v>1158</v>
      </c>
      <c r="B1160" s="46" t="str">
        <f>HYPERLINK("https://search.naver.com/search.naver?query=문라이트 영화", "문라이트")</f>
        <v>문라이트</v>
      </c>
      <c r="C1160" s="47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98" t="s">
        <v>3441</v>
      </c>
    </row>
    <row r="1161" spans="1:10" ht="28.9" customHeight="1" thickTop="1" thickBot="1" x14ac:dyDescent="0.65">
      <c r="A1161" s="3">
        <v>1159</v>
      </c>
      <c r="B1161" s="44" t="str">
        <f>HYPERLINK("https://search.naver.com/search.naver?query=문신을 한 신부님 영화", "문신을 한 신부님")</f>
        <v>문신을 한 신부님</v>
      </c>
      <c r="C1161" s="45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97" t="s">
        <v>3436</v>
      </c>
    </row>
    <row r="1162" spans="1:10" ht="28.9" customHeight="1" thickTop="1" thickBot="1" x14ac:dyDescent="0.65">
      <c r="A1162" s="5">
        <v>1160</v>
      </c>
      <c r="B1162" s="46" t="str">
        <f>HYPERLINK("https://search.naver.com/search.naver?query=문폴 영화", "문폴")</f>
        <v>문폴</v>
      </c>
      <c r="C1162" s="47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98" t="s">
        <v>3445</v>
      </c>
    </row>
    <row r="1163" spans="1:10" ht="28.9" customHeight="1" thickTop="1" thickBot="1" x14ac:dyDescent="0.65">
      <c r="A1163" s="3">
        <v>1161</v>
      </c>
      <c r="B1163" s="44" t="str">
        <f>HYPERLINK("https://search.naver.com/search.naver?query=묻지마 사랑 영화", "묻지마 사랑")</f>
        <v>묻지마 사랑</v>
      </c>
      <c r="C1163" s="45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97" t="s">
        <v>3451</v>
      </c>
    </row>
    <row r="1164" spans="1:10" ht="28.9" customHeight="1" thickTop="1" thickBot="1" x14ac:dyDescent="0.65">
      <c r="A1164" s="5">
        <v>1162</v>
      </c>
      <c r="B1164" s="46" t="str">
        <f>HYPERLINK("https://search.naver.com/search.naver?query=물괴 영화", "물괴")</f>
        <v>물괴</v>
      </c>
      <c r="C1164" s="47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98" t="s">
        <v>3442</v>
      </c>
    </row>
    <row r="1165" spans="1:10" ht="28.9" customHeight="1" thickTop="1" thickBot="1" x14ac:dyDescent="0.65">
      <c r="A1165" s="3">
        <v>1163</v>
      </c>
      <c r="B1165" s="44" t="str">
        <f>HYPERLINK("https://search.naver.com/search.naver?query=물랑 루즈 영화", "물랑 루즈")</f>
        <v>물랑 루즈</v>
      </c>
      <c r="C1165" s="45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97" t="s">
        <v>3457</v>
      </c>
    </row>
    <row r="1166" spans="1:10" ht="28.9" customHeight="1" thickTop="1" thickBot="1" x14ac:dyDescent="0.65">
      <c r="A1166" s="5">
        <v>1164</v>
      </c>
      <c r="B1166" s="46" t="str">
        <f>HYPERLINK("https://search.naver.com/search.naver?query=뮌헨 영화", "뮌헨")</f>
        <v>뮌헨</v>
      </c>
      <c r="C1166" s="47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98" t="s">
        <v>3461</v>
      </c>
    </row>
    <row r="1167" spans="1:10" ht="28.9" customHeight="1" thickTop="1" thickBot="1" x14ac:dyDescent="0.65">
      <c r="A1167" s="3">
        <v>1165</v>
      </c>
      <c r="B1167" s="44" t="str">
        <f>HYPERLINK("https://search.naver.com/search.naver?query=뮌헨 전쟁의 문턱에서 영화", "뮌헨 전쟁의 문턱에서")</f>
        <v>뮌헨 전쟁의 문턱에서</v>
      </c>
      <c r="C1167" s="45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97" t="s">
        <v>3438</v>
      </c>
    </row>
    <row r="1168" spans="1:10" ht="28.9" customHeight="1" thickTop="1" thickBot="1" x14ac:dyDescent="0.65">
      <c r="A1168" s="5">
        <v>1166</v>
      </c>
      <c r="B1168" s="46" t="str">
        <f>HYPERLINK("https://search.naver.com/search.naver?query=뮤직 네버 스탑 영화", "뮤직 네버 스탑")</f>
        <v>뮤직 네버 스탑</v>
      </c>
      <c r="C1168" s="47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98" t="s">
        <v>3454</v>
      </c>
    </row>
    <row r="1169" spans="1:10" ht="28.9" customHeight="1" thickTop="1" thickBot="1" x14ac:dyDescent="0.65">
      <c r="A1169" s="3">
        <v>1167</v>
      </c>
      <c r="B1169" s="44" t="str">
        <f>HYPERLINK("https://search.naver.com/search.naver?query=뮤직 박스 영화", "뮤직 박스")</f>
        <v>뮤직 박스</v>
      </c>
      <c r="C1169" s="45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97" t="s">
        <v>3477</v>
      </c>
    </row>
    <row r="1170" spans="1:10" ht="28.9" customHeight="1" thickTop="1" thickBot="1" x14ac:dyDescent="0.65">
      <c r="A1170" s="5">
        <v>1168</v>
      </c>
      <c r="B1170" s="46" t="str">
        <f>HYPERLINK("https://search.naver.com/search.naver?query=뮬란 영화", "뮬란")</f>
        <v>뮬란</v>
      </c>
      <c r="C1170" s="47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98" t="s">
        <v>3436</v>
      </c>
    </row>
    <row r="1171" spans="1:10" ht="28.9" customHeight="1" thickTop="1" thickBot="1" x14ac:dyDescent="0.65">
      <c r="A1171" s="3">
        <v>1169</v>
      </c>
      <c r="B1171" s="44" t="str">
        <f>HYPERLINK("https://search.naver.com/search.naver?query=뮬란-전사의 귀환 영화", "뮬란-전사의 귀환")</f>
        <v>뮬란-전사의 귀환</v>
      </c>
      <c r="C1171" s="45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97" t="s">
        <v>3453</v>
      </c>
    </row>
    <row r="1172" spans="1:10" ht="28.9" customHeight="1" thickTop="1" thickBot="1" x14ac:dyDescent="0.65">
      <c r="A1172" s="5">
        <v>1170</v>
      </c>
      <c r="B1172" s="46" t="str">
        <f>HYPERLINK("https://search.naver.com/search.naver?query=미 비포 유 영화", "미 비포 유")</f>
        <v>미 비포 유</v>
      </c>
      <c r="C1172" s="47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98" t="s">
        <v>3441</v>
      </c>
    </row>
    <row r="1173" spans="1:10" ht="28.9" customHeight="1" thickTop="1" thickBot="1" x14ac:dyDescent="0.65">
      <c r="A1173" s="3">
        <v>1171</v>
      </c>
      <c r="B1173" s="44" t="str">
        <f>HYPERLINK("https://search.naver.com/search.naver?query=미결처리반4-순수의 배신 영화", "미결처리반4-순수의 배신")</f>
        <v>미결처리반4-순수의 배신</v>
      </c>
      <c r="C1173" s="45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97" t="s">
        <v>3442</v>
      </c>
    </row>
    <row r="1174" spans="1:10" ht="28.9" customHeight="1" thickTop="1" thickBot="1" x14ac:dyDescent="0.65">
      <c r="A1174" s="5">
        <v>1172</v>
      </c>
      <c r="B1174" s="46" t="str">
        <f>HYPERLINK("https://search.naver.com/search.naver?query=미나마타 영화", "미나마타")</f>
        <v>미나마타</v>
      </c>
      <c r="C1174" s="47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98" t="s">
        <v>3436</v>
      </c>
    </row>
    <row r="1175" spans="1:10" ht="28.9" customHeight="1" thickTop="1" thickBot="1" x14ac:dyDescent="0.65">
      <c r="A1175" s="3">
        <v>1173</v>
      </c>
      <c r="B1175" s="44" t="str">
        <f>HYPERLINK("https://search.naver.com/search.naver?query=미녀 삼총사3 영화", "미녀 삼총사3")</f>
        <v>미녀 삼총사3</v>
      </c>
      <c r="C1175" s="45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97" t="s">
        <v>3444</v>
      </c>
    </row>
    <row r="1176" spans="1:10" ht="28.9" customHeight="1" thickTop="1" thickBot="1" x14ac:dyDescent="0.65">
      <c r="A1176" s="5">
        <v>1174</v>
      </c>
      <c r="B1176" s="46" t="str">
        <f>HYPERLINK("https://search.naver.com/search.naver?query=미드나이트 스카이 영화", "미드나이트 스카이")</f>
        <v>미드나이트 스카이</v>
      </c>
      <c r="C1176" s="47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98" t="s">
        <v>3436</v>
      </c>
    </row>
    <row r="1177" spans="1:10" ht="28.9" customHeight="1" thickTop="1" thickBot="1" x14ac:dyDescent="0.65">
      <c r="A1177" s="3">
        <v>1175</v>
      </c>
      <c r="B1177" s="44" t="str">
        <f>HYPERLINK("https://search.naver.com/search.naver?query=미드나잇 버스 영화", "미드나잇 버스")</f>
        <v>미드나잇 버스</v>
      </c>
      <c r="C1177" s="45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97" t="s">
        <v>3438</v>
      </c>
    </row>
    <row r="1178" spans="1:10" ht="28.9" customHeight="1" thickTop="1" thickBot="1" x14ac:dyDescent="0.65">
      <c r="A1178" s="5">
        <v>1176</v>
      </c>
      <c r="B1178" s="46" t="str">
        <f>HYPERLINK("https://search.naver.com/search.naver?query=미드나잇 선 영화", "미드나잇 선")</f>
        <v>미드나잇 선</v>
      </c>
      <c r="C1178" s="47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98" t="s">
        <v>3442</v>
      </c>
    </row>
    <row r="1179" spans="1:10" ht="28.9" customHeight="1" thickTop="1" thickBot="1" x14ac:dyDescent="0.65">
      <c r="A1179" s="3">
        <v>1177</v>
      </c>
      <c r="B1179" s="44" t="str">
        <f>HYPERLINK("https://search.naver.com/search.naver?query=미드나잇 스페샬 영화", "미드나잇 스페샬")</f>
        <v>미드나잇 스페샬</v>
      </c>
      <c r="C1179" s="45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97" t="s">
        <v>3441</v>
      </c>
    </row>
    <row r="1180" spans="1:10" ht="28.9" customHeight="1" thickTop="1" thickBot="1" x14ac:dyDescent="0.65">
      <c r="A1180" s="5">
        <v>1178</v>
      </c>
      <c r="B1180" s="46" t="str">
        <f>HYPERLINK("https://search.naver.com/search.naver?query=미드나잇 인 더 스위치그래스 영화", "미드나잇 인 더 스위치그래스")</f>
        <v>미드나잇 인 더 스위치그래스</v>
      </c>
      <c r="C1180" s="47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98" t="s">
        <v>3438</v>
      </c>
    </row>
    <row r="1181" spans="1:10" ht="28.9" customHeight="1" thickTop="1" thickBot="1" x14ac:dyDescent="0.65">
      <c r="A1181" s="3">
        <v>1179</v>
      </c>
      <c r="B1181" s="44" t="str">
        <f>HYPERLINK("https://search.naver.com/search.naver?query=미드나잇 인 파리 영화", "미드나잇 인 파리")</f>
        <v>미드나잇 인 파리</v>
      </c>
      <c r="C1181" s="45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97" t="s">
        <v>3454</v>
      </c>
    </row>
    <row r="1182" spans="1:10" ht="28.9" customHeight="1" thickTop="1" thickBot="1" x14ac:dyDescent="0.65">
      <c r="A1182" s="5">
        <v>1180</v>
      </c>
      <c r="B1182" s="46" t="str">
        <f>HYPERLINK("https://search.naver.com/search.naver?query=미드소마 영화", "미드소마")</f>
        <v>미드소마</v>
      </c>
      <c r="C1182" s="47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98" t="s">
        <v>3444</v>
      </c>
    </row>
    <row r="1183" spans="1:10" ht="28.9" customHeight="1" thickTop="1" thickBot="1" x14ac:dyDescent="0.65">
      <c r="A1183" s="3">
        <v>1181</v>
      </c>
      <c r="B1183" s="44" t="str">
        <f>HYPERLINK("https://search.naver.com/search.naver?query=미드웨이 영화", "미드웨이")</f>
        <v>미드웨이</v>
      </c>
      <c r="C1183" s="45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97" t="s">
        <v>3444</v>
      </c>
    </row>
    <row r="1184" spans="1:10" ht="28.9" customHeight="1" thickTop="1" thickBot="1" x14ac:dyDescent="0.65">
      <c r="A1184" s="5">
        <v>1182</v>
      </c>
      <c r="B1184" s="46" t="str">
        <f>HYPERLINK("https://search.naver.com/search.naver?query=미라클 벨리에 영화", "미라클 벨리에")</f>
        <v>미라클 벨리에</v>
      </c>
      <c r="C1184" s="47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98" t="s">
        <v>3437</v>
      </c>
    </row>
    <row r="1185" spans="1:10" ht="28.9" customHeight="1" thickTop="1" thickBot="1" x14ac:dyDescent="0.65">
      <c r="A1185" s="3">
        <v>1183</v>
      </c>
      <c r="B1185" s="44" t="str">
        <f>HYPERLINK("https://search.naver.com/search.naver?query=미라클 시즌 영화", "미라클 시즌")</f>
        <v>미라클 시즌</v>
      </c>
      <c r="C1185" s="45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97" t="s">
        <v>3442</v>
      </c>
    </row>
    <row r="1186" spans="1:10" ht="28.9" customHeight="1" thickTop="1" thickBot="1" x14ac:dyDescent="0.65">
      <c r="A1186" s="5">
        <v>1184</v>
      </c>
      <c r="B1186" s="46" t="str">
        <f>HYPERLINK("https://search.naver.com/search.naver?query=미라클 프롬 헤븐 영화", "미라클 프롬 헤븐")</f>
        <v>미라클 프롬 헤븐</v>
      </c>
      <c r="C1186" s="47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98" t="s">
        <v>3441</v>
      </c>
    </row>
    <row r="1187" spans="1:10" ht="28.9" customHeight="1" thickTop="1" thickBot="1" x14ac:dyDescent="0.65">
      <c r="A1187" s="3">
        <v>1185</v>
      </c>
      <c r="B1187" s="44" t="str">
        <f>HYPERLINK("https://search.naver.com/search.naver?query=미래를 걷는 소녀 영화", "미래를 걷는 소녀")</f>
        <v>미래를 걷는 소녀</v>
      </c>
      <c r="C1187" s="45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97" t="s">
        <v>3453</v>
      </c>
    </row>
    <row r="1188" spans="1:10" ht="28.9" customHeight="1" thickTop="1" thickBot="1" x14ac:dyDescent="0.65">
      <c r="A1188" s="5">
        <v>1186</v>
      </c>
      <c r="B1188" s="46" t="str">
        <f>HYPERLINK("https://search.naver.com/search.naver?query=미성년 영화", "미성년")</f>
        <v>미성년</v>
      </c>
      <c r="C1188" s="47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98" t="s">
        <v>3444</v>
      </c>
    </row>
    <row r="1189" spans="1:10" ht="28.9" customHeight="1" thickTop="1" thickBot="1" x14ac:dyDescent="0.65">
      <c r="A1189" s="3">
        <v>1187</v>
      </c>
      <c r="B1189" s="44" t="str">
        <f>HYPERLINK("https://search.naver.com/search.naver?query=미션 영화", "미션 (
The Mission,1986)")</f>
        <v>미션 (
The Mission,1986)</v>
      </c>
      <c r="C1189" s="45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97" t="s">
        <v>3468</v>
      </c>
    </row>
    <row r="1190" spans="1:10" ht="28.9" customHeight="1" thickTop="1" thickBot="1" x14ac:dyDescent="0.65">
      <c r="A1190" s="3">
        <v>1188</v>
      </c>
      <c r="B1190" s="44" t="str">
        <f>HYPERLINK("https://search.naver.com/search.naver?query=미션 이스탄불3-더 리벤지 영화", "미션 이스탄불3-더 리벤지")</f>
        <v>미션 이스탄불3-더 리벤지</v>
      </c>
      <c r="C1190" s="45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97" t="s">
        <v>3437</v>
      </c>
    </row>
    <row r="1191" spans="1:10" ht="28.9" customHeight="1" thickTop="1" thickBot="1" x14ac:dyDescent="0.65">
      <c r="A1191" s="5">
        <v>1189</v>
      </c>
      <c r="B1191" s="46" t="str">
        <f>HYPERLINK("https://search.naver.com/search.naver?query=미션 임파서블 영화", "미션 임파서블")</f>
        <v>미션 임파서블</v>
      </c>
      <c r="C1191" s="47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98" t="s">
        <v>3463</v>
      </c>
    </row>
    <row r="1192" spans="1:10" ht="28.9" customHeight="1" thickTop="1" thickBot="1" x14ac:dyDescent="0.65">
      <c r="A1192" s="3">
        <v>1190</v>
      </c>
      <c r="B1192" s="44" t="str">
        <f>HYPERLINK("https://search.naver.com/search.naver?query=미션 임파서블 - 로그네이션 영화", "미션 임파서블 - 로그네이션")</f>
        <v>미션 임파서블 - 로그네이션</v>
      </c>
      <c r="C1192" s="45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97" t="s">
        <v>3440</v>
      </c>
    </row>
    <row r="1193" spans="1:10" ht="28.9" customHeight="1" thickTop="1" thickBot="1" x14ac:dyDescent="0.65">
      <c r="A1193" s="5">
        <v>1191</v>
      </c>
      <c r="B1193" s="46" t="str">
        <f>HYPERLINK("https://search.naver.com/search.naver?query=미션 임파서블 2 영화", "미션 임파서블 2")</f>
        <v>미션 임파서블 2</v>
      </c>
      <c r="C1193" s="47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98" t="s">
        <v>3458</v>
      </c>
    </row>
    <row r="1194" spans="1:10" ht="28.9" customHeight="1" thickTop="1" thickBot="1" x14ac:dyDescent="0.65">
      <c r="A1194" s="3">
        <v>1192</v>
      </c>
      <c r="B1194" s="44" t="str">
        <f>HYPERLINK("https://search.naver.com/search.naver?query=미션 임파서블 3 영화", "미션 임파서블 3")</f>
        <v>미션 임파서블 3</v>
      </c>
      <c r="C1194" s="45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97" t="s">
        <v>3460</v>
      </c>
    </row>
    <row r="1195" spans="1:10" ht="28.9" customHeight="1" thickTop="1" thickBot="1" x14ac:dyDescent="0.65">
      <c r="A1195" s="5">
        <v>1193</v>
      </c>
      <c r="B1195" s="46" t="str">
        <f>HYPERLINK("https://search.naver.com/search.naver?query=미션 임파서블 고스트 프로토콜 영화", "미션 임파서블 고스트 프로토콜")</f>
        <v>미션 임파서블 고스트 프로토콜</v>
      </c>
      <c r="C1195" s="47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98" t="s">
        <v>3454</v>
      </c>
    </row>
    <row r="1196" spans="1:10" ht="28.9" customHeight="1" thickTop="1" thickBot="1" x14ac:dyDescent="0.65">
      <c r="A1196" s="3">
        <v>1194</v>
      </c>
      <c r="B1196" s="44" t="str">
        <f>HYPERLINK("https://search.naver.com/search.naver?query=미션 임파서블-데드 레코닝 영화", "미션 임파서블-데드 레코닝")</f>
        <v>미션 임파서블-데드 레코닝</v>
      </c>
      <c r="C1196" s="45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97" t="s">
        <v>3446</v>
      </c>
    </row>
    <row r="1197" spans="1:10" ht="28.9" customHeight="1" thickTop="1" thickBot="1" x14ac:dyDescent="0.65">
      <c r="A1197" s="5">
        <v>1195</v>
      </c>
      <c r="B1197" s="46" t="str">
        <f>HYPERLINK("https://search.naver.com/search.naver?query=미션 임파서블-파이널 레코닝 영화", "미션 임파서블-파이널 레코닝")</f>
        <v>미션 임파서블-파이널 레코닝</v>
      </c>
      <c r="C1197" s="47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98" t="s">
        <v>3459</v>
      </c>
    </row>
    <row r="1198" spans="1:10" ht="28.9" customHeight="1" thickTop="1" thickBot="1" x14ac:dyDescent="0.65">
      <c r="A1198" s="3">
        <v>1196</v>
      </c>
      <c r="B1198" s="44" t="str">
        <f>HYPERLINK("https://search.naver.com/search.naver?query=미션 임파서블-폴 아웃 영화", "미션 임파서블-폴 아웃")</f>
        <v>미션 임파서블-폴 아웃</v>
      </c>
      <c r="C1198" s="45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97" t="s">
        <v>3442</v>
      </c>
    </row>
    <row r="1199" spans="1:10" ht="28.9" customHeight="1" thickTop="1" thickBot="1" x14ac:dyDescent="0.65">
      <c r="A1199" s="5">
        <v>1197</v>
      </c>
      <c r="B1199" s="46" t="str">
        <f>HYPERLINK("https://search.naver.com/search.naver?query=미션파서블 영화", "미션파서블")</f>
        <v>미션파서블</v>
      </c>
      <c r="C1199" s="47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98" t="s">
        <v>3438</v>
      </c>
    </row>
    <row r="1200" spans="1:10" ht="28.9" customHeight="1" thickTop="1" thickBot="1" x14ac:dyDescent="0.65">
      <c r="A1200" s="3">
        <v>1198</v>
      </c>
      <c r="B1200" s="44" t="str">
        <f>HYPERLINK("https://search.naver.com/search.naver?query=미스 리틀 선샤인 영화", "미스 리틀 선샤인")</f>
        <v>미스 리틀 선샤인</v>
      </c>
      <c r="C1200" s="45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97" t="s">
        <v>3460</v>
      </c>
    </row>
    <row r="1201" spans="1:10" ht="28.9" customHeight="1" thickTop="1" thickBot="1" x14ac:dyDescent="0.65">
      <c r="A1201" s="5">
        <v>1199</v>
      </c>
      <c r="B1201" s="46" t="str">
        <f>HYPERLINK("https://search.naver.com/search.naver?query=미스 유 올레디 영화", "미스 유 올레디")</f>
        <v>미스 유 올레디</v>
      </c>
      <c r="C1201" s="47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98" t="s">
        <v>3440</v>
      </c>
    </row>
    <row r="1202" spans="1:10" ht="28.9" customHeight="1" thickTop="1" thickBot="1" x14ac:dyDescent="0.65">
      <c r="A1202" s="3">
        <v>1200</v>
      </c>
      <c r="B1202" s="44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45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97" t="s">
        <v>3450</v>
      </c>
    </row>
    <row r="1203" spans="1:10" ht="28.9" customHeight="1" thickTop="1" thickBot="1" x14ac:dyDescent="0.65">
      <c r="A1203" s="5">
        <v>1201</v>
      </c>
      <c r="B1203" s="46" t="str">
        <f>HYPERLINK("https://search.naver.com/search.naver?query=미스언더스탠드 영화", "미스언더스탠드")</f>
        <v>미스언더스탠드</v>
      </c>
      <c r="C1203" s="47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98" t="s">
        <v>3450</v>
      </c>
    </row>
    <row r="1204" spans="1:10" ht="28.9" customHeight="1" thickTop="1" thickBot="1" x14ac:dyDescent="0.65">
      <c r="A1204" s="3">
        <v>1202</v>
      </c>
      <c r="B1204" s="44" t="str">
        <f>HYPERLINK("https://search.naver.com/search.naver?query=미스컨덕트 영화", "미스컨덕트")</f>
        <v>미스컨덕트</v>
      </c>
      <c r="C1204" s="45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97" t="s">
        <v>3441</v>
      </c>
    </row>
    <row r="1205" spans="1:10" ht="28.9" customHeight="1" thickTop="1" thickBot="1" x14ac:dyDescent="0.65">
      <c r="A1205" s="5">
        <v>1203</v>
      </c>
      <c r="B1205" s="46" t="str">
        <f>HYPERLINK("https://search.naver.com/search.naver?query=미스터 노바디 영화", "미스터 노바디")</f>
        <v>미스터 노바디</v>
      </c>
      <c r="C1205" s="47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98" t="s">
        <v>3453</v>
      </c>
    </row>
    <row r="1206" spans="1:10" ht="28.9" customHeight="1" thickTop="1" thickBot="1" x14ac:dyDescent="0.65">
      <c r="A1206" s="3">
        <v>1204</v>
      </c>
      <c r="B1206" s="44" t="str">
        <f>HYPERLINK("https://search.naver.com/search.naver?query=미스터 스마일 영화", "미스터 스마일")</f>
        <v>미스터 스마일</v>
      </c>
      <c r="C1206" s="45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97" t="s">
        <v>3442</v>
      </c>
    </row>
    <row r="1207" spans="1:10" ht="28.9" customHeight="1" thickTop="1" thickBot="1" x14ac:dyDescent="0.65">
      <c r="A1207" s="5">
        <v>1205</v>
      </c>
      <c r="B1207" s="46" t="str">
        <f>HYPERLINK("https://search.naver.com/search.naver?query=미스터 주:사라진 VIP 영화", "미스터 주-사라진 VIP")</f>
        <v>미스터 주-사라진 VIP</v>
      </c>
      <c r="C1207" s="47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98" t="s">
        <v>3436</v>
      </c>
    </row>
    <row r="1208" spans="1:10" ht="28.9" customHeight="1" thickTop="1" thickBot="1" x14ac:dyDescent="0.65">
      <c r="A1208" s="3">
        <v>1206</v>
      </c>
      <c r="B1208" s="44" t="str">
        <f>HYPERLINK("https://search.naver.com/search.naver?query=미스터 홈즈 영화", "미스터 홈즈")</f>
        <v>미스터 홈즈</v>
      </c>
      <c r="C1208" s="45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97" t="s">
        <v>3440</v>
      </c>
    </row>
    <row r="1209" spans="1:10" ht="28.9" customHeight="1" thickTop="1" thickBot="1" x14ac:dyDescent="0.65">
      <c r="A1209" s="5">
        <v>1207</v>
      </c>
      <c r="B1209" s="46" t="str">
        <f>HYPERLINK("https://search.naver.com/search.naver?query=미스트리스 아메리카 영화", "미스트리스 아메리카")</f>
        <v>미스트리스 아메리카</v>
      </c>
      <c r="C1209" s="47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98" t="s">
        <v>3440</v>
      </c>
    </row>
    <row r="1210" spans="1:10" ht="28.9" customHeight="1" thickTop="1" thickBot="1" x14ac:dyDescent="0.65">
      <c r="A1210" s="3">
        <v>1208</v>
      </c>
      <c r="B1210" s="44" t="str">
        <f>HYPERLINK("https://search.naver.com/search.naver?query=미스틱 리버 영화", "미스틱 리버")</f>
        <v>미스틱 리버</v>
      </c>
      <c r="C1210" s="45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97" t="s">
        <v>3449</v>
      </c>
    </row>
    <row r="1211" spans="1:10" ht="28.9" customHeight="1" thickTop="1" thickBot="1" x14ac:dyDescent="0.65">
      <c r="A1211" s="5">
        <v>1209</v>
      </c>
      <c r="B1211" s="46" t="str">
        <f>HYPERLINK("https://search.naver.com/search.naver?query=미스포터 영화", "미스포터")</f>
        <v>미스포터</v>
      </c>
      <c r="C1211" s="47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98" t="s">
        <v>3460</v>
      </c>
    </row>
    <row r="1212" spans="1:10" ht="28.9" customHeight="1" thickTop="1" thickBot="1" x14ac:dyDescent="0.65">
      <c r="A1212" s="3">
        <v>1210</v>
      </c>
      <c r="B1212" s="44" t="str">
        <f>HYPERLINK("https://search.naver.com/search.naver?query=미스피츠 영화", "미스피츠")</f>
        <v>미스피츠</v>
      </c>
      <c r="C1212" s="45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97" t="s">
        <v>3438</v>
      </c>
    </row>
    <row r="1213" spans="1:10" ht="28.9" customHeight="1" thickTop="1" thickBot="1" x14ac:dyDescent="0.65">
      <c r="A1213" s="5">
        <v>1211</v>
      </c>
      <c r="B1213" s="46" t="str">
        <f>HYPERLINK("https://search.naver.com/search.naver?query=미시즈 해리스 파리에 가다 영화", "미시즈 해리스 파리에 가다")</f>
        <v>미시즈 해리스 파리에 가다</v>
      </c>
      <c r="C1213" s="47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98" t="s">
        <v>3445</v>
      </c>
    </row>
    <row r="1214" spans="1:10" ht="28.9" customHeight="1" thickTop="1" thickBot="1" x14ac:dyDescent="0.65">
      <c r="A1214" s="3">
        <v>1212</v>
      </c>
      <c r="B1214" s="44" t="str">
        <f>HYPERLINK("https://search.naver.com/search.naver?query=미쓰 와이프 영화", "미쓰 와이프")</f>
        <v>미쓰 와이프</v>
      </c>
      <c r="C1214" s="45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97" t="s">
        <v>3440</v>
      </c>
    </row>
    <row r="1215" spans="1:10" ht="28.9" customHeight="1" thickTop="1" thickBot="1" x14ac:dyDescent="0.65">
      <c r="A1215" s="5">
        <v>1213</v>
      </c>
      <c r="B1215" s="46" t="str">
        <f>HYPERLINK("https://search.naver.com/search.naver?query=미쓰백 영화", "미쓰백")</f>
        <v>미쓰백</v>
      </c>
      <c r="C1215" s="47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98" t="s">
        <v>3442</v>
      </c>
    </row>
    <row r="1216" spans="1:10" ht="28.9" customHeight="1" thickTop="1" thickBot="1" x14ac:dyDescent="0.65">
      <c r="A1216" s="3">
        <v>1214</v>
      </c>
      <c r="B1216" s="44" t="str">
        <f>HYPERLINK("https://search.naver.com/search.naver?query=미씽 영화", "미씽")</f>
        <v>미씽</v>
      </c>
      <c r="C1216" s="45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97" t="s">
        <v>3446</v>
      </c>
    </row>
    <row r="1217" spans="1:10" ht="28.9" customHeight="1" thickTop="1" thickBot="1" x14ac:dyDescent="0.65">
      <c r="A1217" s="5">
        <v>1215</v>
      </c>
      <c r="B1217" s="46" t="str">
        <f>HYPERLINK("https://search.naver.com/search.naver?query=미씽 - 사라진 여자", "미씽 - 사라진 여자")</f>
        <v>미씽 - 사라진 여자</v>
      </c>
      <c r="C1217" s="47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98" t="s">
        <v>3441</v>
      </c>
    </row>
    <row r="1218" spans="1:10" ht="28.9" customHeight="1" thickTop="1" thickBot="1" x14ac:dyDescent="0.65">
      <c r="A1218" s="3">
        <v>1216</v>
      </c>
      <c r="B1218" s="44" t="str">
        <f>HYPERLINK("https://search.naver.com/search.naver?query=미안해요, 리키 영화", "미안해요, 리키")</f>
        <v>미안해요, 리키</v>
      </c>
      <c r="C1218" s="45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97" t="s">
        <v>3444</v>
      </c>
    </row>
    <row r="1219" spans="1:10" ht="28.9" customHeight="1" thickTop="1" thickBot="1" x14ac:dyDescent="0.65">
      <c r="A1219" s="7">
        <v>1217</v>
      </c>
      <c r="B1219" s="48" t="str">
        <f>HYPERLINK("https://search.naver.com/search.naver?query=미야모토 무사시 드라마", "미야모토 무사시")</f>
        <v>미야모토 무사시</v>
      </c>
      <c r="C1219" s="49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99" t="s">
        <v>3437</v>
      </c>
    </row>
    <row r="1220" spans="1:10" ht="28.9" customHeight="1" thickTop="1" thickBot="1" x14ac:dyDescent="0.65">
      <c r="A1220" s="3">
        <v>1218</v>
      </c>
      <c r="B1220" s="44" t="str">
        <f>HYPERLINK("https://search.naver.com/search.naver?query=미옥 영화", "미옥")</f>
        <v>미옥</v>
      </c>
      <c r="C1220" s="45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97" t="s">
        <v>3443</v>
      </c>
    </row>
    <row r="1221" spans="1:10" ht="28.9" customHeight="1" thickTop="1" thickBot="1" x14ac:dyDescent="0.65">
      <c r="A1221" s="5">
        <v>1219</v>
      </c>
      <c r="B1221" s="46" t="str">
        <f>HYPERLINK("https://search.naver.com/search.naver?query=미운 오리 새끼 영화", "미운 오리 새끼")</f>
        <v>미운 오리 새끼</v>
      </c>
      <c r="C1221" s="47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98" t="s">
        <v>3439</v>
      </c>
    </row>
    <row r="1222" spans="1:10" ht="28.9" customHeight="1" thickTop="1" thickBot="1" x14ac:dyDescent="0.65">
      <c r="A1222" s="3">
        <v>1220</v>
      </c>
      <c r="B1222" s="44" t="str">
        <f>HYPERLINK("https://search.naver.com/search.naver?query=미이라 영화", "미이라")</f>
        <v>미이라</v>
      </c>
      <c r="C1222" s="45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97" t="s">
        <v>3443</v>
      </c>
    </row>
    <row r="1223" spans="1:10" ht="28.9" customHeight="1" thickTop="1" thickBot="1" x14ac:dyDescent="0.65">
      <c r="A1223" s="5">
        <v>1221</v>
      </c>
      <c r="B1223" s="46" t="str">
        <f>HYPERLINK("https://search.naver.com/search.naver?query=미하엘 콜하스의 선택 영화", "미하엘 콜하스의 선택")</f>
        <v>미하엘 콜하스의 선택</v>
      </c>
      <c r="C1223" s="47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98" t="s">
        <v>3451</v>
      </c>
    </row>
    <row r="1224" spans="1:10" ht="28.9" customHeight="1" thickTop="1" thickBot="1" x14ac:dyDescent="0.65">
      <c r="A1224" s="3">
        <v>1222</v>
      </c>
      <c r="B1224" s="44" t="str">
        <f>HYPERLINK("https://search.naver.com/search.naver?query=믹막-티르라리고 사람들 영화", "믹막-티르라리고 사람들")</f>
        <v>믹막-티르라리고 사람들</v>
      </c>
      <c r="C1224" s="45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97" t="s">
        <v>3453</v>
      </c>
    </row>
    <row r="1225" spans="1:10" ht="28.9" customHeight="1" thickTop="1" thickBot="1" x14ac:dyDescent="0.65">
      <c r="A1225" s="5">
        <v>1223</v>
      </c>
      <c r="B1225" s="46" t="str">
        <f>HYPERLINK("https://search.naver.com/search.naver?query=믹스 영화", "믹스")</f>
        <v>믹스</v>
      </c>
      <c r="C1225" s="47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98" t="s">
        <v>3443</v>
      </c>
    </row>
    <row r="1226" spans="1:10" ht="28.9" customHeight="1" thickTop="1" thickBot="1" x14ac:dyDescent="0.65">
      <c r="A1226" s="3">
        <v>1224</v>
      </c>
      <c r="B1226" s="44" t="str">
        <f>HYPERLINK("https://search.naver.com/search.naver?query=민스미트 작전 영화", "민스미트 작전")</f>
        <v>민스미트 작전</v>
      </c>
      <c r="C1226" s="45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97" t="s">
        <v>3438</v>
      </c>
    </row>
    <row r="1227" spans="1:10" ht="28.9" customHeight="1" thickTop="1" thickBot="1" x14ac:dyDescent="0.65">
      <c r="A1227" s="5">
        <v>1225</v>
      </c>
      <c r="B1227" s="46" t="str">
        <f>HYPERLINK("https://search.naver.com/search.naver?query=믿음의 승부 영화", "믿음의 승부")</f>
        <v>믿음의 승부</v>
      </c>
      <c r="C1227" s="47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98" t="s">
        <v>3460</v>
      </c>
    </row>
    <row r="1228" spans="1:10" ht="28.9" customHeight="1" thickTop="1" thickBot="1" x14ac:dyDescent="0.65">
      <c r="A1228" s="7">
        <v>1226</v>
      </c>
      <c r="B1228" s="48" t="str">
        <f>HYPERLINK("https://search.naver.com/search.naver?query=밀고는 부른다 경시청 감찰 파일", "밀고는 부른다 경시청 감찰 파일")</f>
        <v>밀고는 부른다 경시청 감찰 파일</v>
      </c>
      <c r="C1228" s="49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99" t="s">
        <v>3438</v>
      </c>
    </row>
    <row r="1229" spans="1:10" ht="28.9" customHeight="1" thickTop="1" thickBot="1" x14ac:dyDescent="0.65">
      <c r="A1229" s="5">
        <v>1227</v>
      </c>
      <c r="B1229" s="46" t="str">
        <f>HYPERLINK("https://search.naver.com/search.naver?query=밀레니엄 여자를 증오한 남자들 영화", "밀레니엄 여자를 증오한 남자들")</f>
        <v>밀레니엄 여자를 증오한 남자들</v>
      </c>
      <c r="C1229" s="47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98" t="s">
        <v>3454</v>
      </c>
    </row>
    <row r="1230" spans="1:10" ht="28.9" customHeight="1" thickTop="1" thickBot="1" x14ac:dyDescent="0.65">
      <c r="A1230" s="3">
        <v>1228</v>
      </c>
      <c r="B1230" s="44" t="str">
        <f>HYPERLINK("https://search.naver.com/search.naver?query=밀수 영화", "밀수")</f>
        <v>밀수</v>
      </c>
      <c r="C1230" s="45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97" t="s">
        <v>3446</v>
      </c>
    </row>
    <row r="1231" spans="1:10" ht="28.9" customHeight="1" thickTop="1" thickBot="1" x14ac:dyDescent="0.65">
      <c r="A1231" s="5">
        <v>1229</v>
      </c>
      <c r="B1231" s="46" t="str">
        <f>HYPERLINK("https://search.naver.com/search.naver?query=밀양 영화", "밀양")</f>
        <v>밀양</v>
      </c>
      <c r="C1231" s="47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98" t="s">
        <v>3447</v>
      </c>
    </row>
    <row r="1232" spans="1:10" ht="28.9" customHeight="1" thickTop="1" thickBot="1" x14ac:dyDescent="0.65">
      <c r="A1232" s="3">
        <v>1230</v>
      </c>
      <c r="B1232" s="44" t="str">
        <f>HYPERLINK("https://search.naver.com/search.naver?query=밀정 영화", "밀정")</f>
        <v>밀정</v>
      </c>
      <c r="C1232" s="45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97" t="s">
        <v>3441</v>
      </c>
    </row>
    <row r="1233" spans="1:10" ht="28.9" customHeight="1" thickTop="1" thickBot="1" x14ac:dyDescent="0.65">
      <c r="A1233" s="5">
        <v>1231</v>
      </c>
      <c r="B1233" s="46" t="str">
        <f>HYPERLINK("https://search.naver.com/search.naver?query=바느질 위의 인생", "바느질 위의 인생")</f>
        <v>바느질 위의 인생</v>
      </c>
      <c r="C1233" s="47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98" t="s">
        <v>3441</v>
      </c>
    </row>
    <row r="1234" spans="1:10" ht="28.9" customHeight="1" thickTop="1" thickBot="1" x14ac:dyDescent="0.65">
      <c r="A1234" s="3">
        <v>1232</v>
      </c>
      <c r="B1234" s="44" t="str">
        <f>HYPERLINK("https://search.naver.com/search.naver?query=바다 쪽으로, 한 뼘 더 영화", "바다 쪽으로, 한 뼘 더")</f>
        <v>바다 쪽으로, 한 뼘 더</v>
      </c>
      <c r="C1234" s="45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97" t="s">
        <v>3453</v>
      </c>
    </row>
    <row r="1235" spans="1:10" ht="28.9" customHeight="1" thickTop="1" thickBot="1" x14ac:dyDescent="0.65">
      <c r="A1235" s="5">
        <v>1233</v>
      </c>
      <c r="B1235" s="46" t="str">
        <f>HYPERLINK("https://search.naver.com/search.naver?query=바닷마을 다이어리 영화", "바닷마을 다이어리")</f>
        <v>바닷마을 다이어리</v>
      </c>
      <c r="C1235" s="47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98" t="s">
        <v>3440</v>
      </c>
    </row>
    <row r="1236" spans="1:10" ht="28.9" customHeight="1" thickTop="1" thickBot="1" x14ac:dyDescent="0.65">
      <c r="A1236" s="7">
        <v>1234</v>
      </c>
      <c r="B1236" s="48" t="str">
        <f>HYPERLINK("https://search.naver.com/search.naver?query=바디 오브 프루프 시즌1", "바디 오브 프루프 시즌1")</f>
        <v>바디 오브 프루프 시즌1</v>
      </c>
      <c r="C1236" s="49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99" t="s">
        <v>3454</v>
      </c>
    </row>
    <row r="1237" spans="1:10" ht="28.9" customHeight="1" thickTop="1" thickBot="1" x14ac:dyDescent="0.65">
      <c r="A1237" s="7">
        <v>1235</v>
      </c>
      <c r="B1237" s="48" t="str">
        <f>HYPERLINK("https://search.naver.com/search.naver?query=바디 오브 프루프 시즌2", "바디 오브 프루프 시즌2")</f>
        <v>바디 오브 프루프 시즌2</v>
      </c>
      <c r="C1237" s="49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99" t="s">
        <v>3439</v>
      </c>
    </row>
    <row r="1238" spans="1:10" ht="28.9" customHeight="1" thickTop="1" thickBot="1" x14ac:dyDescent="0.65">
      <c r="A1238" s="7">
        <v>1236</v>
      </c>
      <c r="B1238" s="48" t="str">
        <f>HYPERLINK("https://search.naver.com/search.naver?query=바디 오브 프루프 시즌3", "바디 오브 프루프 시즌3")</f>
        <v>바디 오브 프루프 시즌3</v>
      </c>
      <c r="C1238" s="49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99" t="s">
        <v>3451</v>
      </c>
    </row>
    <row r="1239" spans="1:10" ht="28.9" customHeight="1" thickTop="1" thickBot="1" x14ac:dyDescent="0.65">
      <c r="A1239" s="5">
        <v>1237</v>
      </c>
      <c r="B1239" s="46" t="str">
        <f>HYPERLINK("https://search.naver.com/search.naver?query=바람 영화", "바람")</f>
        <v>바람</v>
      </c>
      <c r="C1239" s="47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98" t="s">
        <v>3453</v>
      </c>
    </row>
    <row r="1240" spans="1:10" ht="28.9" customHeight="1" thickTop="1" thickBot="1" x14ac:dyDescent="0.65">
      <c r="A1240" s="3">
        <v>1238</v>
      </c>
      <c r="B1240" s="44" t="str">
        <f>HYPERLINK("https://search.naver.com/search.naver?query=바람 바람 바람 영화", "바람 바람 바람")</f>
        <v>바람 바람 바람</v>
      </c>
      <c r="C1240" s="45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97" t="s">
        <v>3443</v>
      </c>
    </row>
    <row r="1241" spans="1:10" ht="28.9" customHeight="1" thickTop="1" thickBot="1" x14ac:dyDescent="0.65">
      <c r="A1241" s="5">
        <v>1239</v>
      </c>
      <c r="B1241" s="46" t="str">
        <f>HYPERLINK("https://search.naver.com/search.naver?query=바람과 함께 사라지다 영화", "바람과 함께 사라지다")</f>
        <v>바람과 함께 사라지다</v>
      </c>
      <c r="C1241" s="47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98" t="s">
        <v>3478</v>
      </c>
    </row>
    <row r="1242" spans="1:10" ht="28.9" customHeight="1" thickTop="1" thickBot="1" x14ac:dyDescent="0.65">
      <c r="A1242" s="3">
        <v>1240</v>
      </c>
      <c r="B1242" s="44" t="str">
        <f>HYPERLINK("https://search.naver.com/search.naver?query=더 보이 후 하네스드 더 윈드", "바람을 길들인 풍차소년")</f>
        <v>바람을 길들인 풍차소년</v>
      </c>
      <c r="C1242" s="45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97" t="s">
        <v>3444</v>
      </c>
    </row>
    <row r="1243" spans="1:10" ht="28.9" customHeight="1" thickTop="1" thickBot="1" x14ac:dyDescent="0.65">
      <c r="A1243" s="5">
        <v>1241</v>
      </c>
      <c r="B1243" s="46" t="str">
        <f>HYPERLINK("https://search.naver.com/search.naver?query=바람의 검심 영화", "바람의 검심")</f>
        <v>바람의 검심</v>
      </c>
      <c r="C1243" s="47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98" t="s">
        <v>3439</v>
      </c>
    </row>
    <row r="1244" spans="1:10" ht="28.9" customHeight="1" thickTop="1" thickBot="1" x14ac:dyDescent="0.65">
      <c r="A1244" s="3">
        <v>1242</v>
      </c>
      <c r="B1244" s="44" t="str">
        <f>HYPERLINK("https://search.naver.com/search.naver?query=바람의 검심 최종장 더 파이널 영화", "바람의 검심 최종장 더 파이널")</f>
        <v>바람의 검심 최종장 더 파이널</v>
      </c>
      <c r="C1244" s="45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97" t="s">
        <v>3438</v>
      </c>
    </row>
    <row r="1245" spans="1:10" ht="28.9" customHeight="1" thickTop="1" thickBot="1" x14ac:dyDescent="0.65">
      <c r="A1245" s="5">
        <v>1243</v>
      </c>
      <c r="B1245" s="46" t="str">
        <f>HYPERLINK("https://search.naver.com/search.naver?query=바람의 검심-교토 대화재편 영화", "바람의 검심-교토 대화재편")</f>
        <v>바람의 검심-교토 대화재편</v>
      </c>
      <c r="C1245" s="47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98" t="s">
        <v>3437</v>
      </c>
    </row>
    <row r="1246" spans="1:10" ht="28.9" customHeight="1" thickTop="1" thickBot="1" x14ac:dyDescent="0.65">
      <c r="A1246" s="3">
        <v>1244</v>
      </c>
      <c r="B1246" s="44" t="str">
        <f>HYPERLINK("https://search.naver.com/search.naver?query=바람의 검심-전설의 최후편 영화", "바람의 검심-전설의 최후편")</f>
        <v>바람의 검심-전설의 최후편</v>
      </c>
      <c r="C1246" s="45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97" t="s">
        <v>3437</v>
      </c>
    </row>
    <row r="1247" spans="1:10" ht="28.9" customHeight="1" thickTop="1" thickBot="1" x14ac:dyDescent="0.65">
      <c r="A1247" s="5">
        <v>1245</v>
      </c>
      <c r="B1247" s="46" t="str">
        <f>HYPERLINK("https://search.naver.com/search.naver?query=바람의 소리 영화", "바람의 소리")</f>
        <v>바람의 소리</v>
      </c>
      <c r="C1247" s="47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98" t="s">
        <v>3453</v>
      </c>
    </row>
    <row r="1248" spans="1:10" ht="28.9" customHeight="1" thickTop="1" thickBot="1" x14ac:dyDescent="0.65">
      <c r="A1248" s="3">
        <v>1246</v>
      </c>
      <c r="B1248" s="44" t="str">
        <f>HYPERLINK("https://search.naver.com/search.naver?query=바르다가 사랑한 얼굴들 영화", "바르다가 사랑한 얼굴들")</f>
        <v>바르다가 사랑한 얼굴들</v>
      </c>
      <c r="C1248" s="45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97" t="s">
        <v>3443</v>
      </c>
    </row>
    <row r="1249" spans="1:10" ht="28.9" customHeight="1" thickTop="1" thickBot="1" x14ac:dyDescent="0.65">
      <c r="A1249" s="5">
        <v>1247</v>
      </c>
      <c r="B1249" s="46" t="str">
        <f>HYPERLINK("https://search.naver.com/search.naver?query=바르샤바 영화", "바르샤바")</f>
        <v>바르샤바</v>
      </c>
      <c r="C1249" s="47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98" t="s">
        <v>3437</v>
      </c>
    </row>
    <row r="1250" spans="1:10" ht="28.9" customHeight="1" thickTop="1" thickBot="1" x14ac:dyDescent="0.65">
      <c r="A1250" s="3">
        <v>1248</v>
      </c>
      <c r="B1250" s="44" t="str">
        <f>HYPERLINK("https://search.naver.com/search.naver?query=바벨 영화", "바벨")</f>
        <v>바벨</v>
      </c>
      <c r="C1250" s="45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97" t="s">
        <v>3460</v>
      </c>
    </row>
    <row r="1251" spans="1:10" ht="28.9" customHeight="1" thickTop="1" thickBot="1" x14ac:dyDescent="0.65">
      <c r="A1251" s="5">
        <v>1249</v>
      </c>
      <c r="B1251" s="46" t="str">
        <f>HYPERLINK("https://search.naver.com/search.naver?query=바보 영화", "바보")</f>
        <v>바보</v>
      </c>
      <c r="C1251" s="47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98" t="s">
        <v>3450</v>
      </c>
    </row>
    <row r="1252" spans="1:10" ht="28.9" customHeight="1" thickTop="1" thickBot="1" x14ac:dyDescent="0.65">
      <c r="A1252" s="3">
        <v>1250</v>
      </c>
      <c r="B1252" s="44" t="str">
        <f>HYPERLINK("https://search.naver.com/search.naver?query=바보 일본영화", "바보")</f>
        <v>바보</v>
      </c>
      <c r="C1252" s="45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97" t="s">
        <v>3455</v>
      </c>
    </row>
    <row r="1253" spans="1:10" ht="28.9" customHeight="1" thickTop="1" thickBot="1" x14ac:dyDescent="0.65">
      <c r="A1253" s="5">
        <v>1251</v>
      </c>
      <c r="B1253" s="46" t="str">
        <f>HYPERLINK("https://search.naver.com/search.naver?query=바비 영화", "바비")</f>
        <v>바비</v>
      </c>
      <c r="C1253" s="47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98" t="s">
        <v>3460</v>
      </c>
    </row>
    <row r="1254" spans="1:10" ht="28.9" customHeight="1" thickTop="1" thickBot="1" x14ac:dyDescent="0.65">
      <c r="A1254" s="3">
        <v>1252</v>
      </c>
      <c r="B1254" s="44" t="str">
        <f>HYPERLINK("https://search.naver.com/search.naver?query=바비를 위한 기도 영화", "바비를 위한 기도")</f>
        <v>바비를 위한 기도</v>
      </c>
      <c r="C1254" s="45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97" t="s">
        <v>3453</v>
      </c>
    </row>
    <row r="1255" spans="1:10" ht="28.9" customHeight="1" thickTop="1" thickBot="1" x14ac:dyDescent="0.65">
      <c r="A1255" s="5">
        <v>1253</v>
      </c>
      <c r="B1255" s="46" t="str">
        <f>HYPERLINK("https://search.naver.com/search.naver?query=바스티유 데이 영화", "바스티유 데이")</f>
        <v>바스티유 데이</v>
      </c>
      <c r="C1255" s="47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98" t="s">
        <v>3441</v>
      </c>
    </row>
    <row r="1256" spans="1:10" ht="28.9" customHeight="1" thickTop="1" thickBot="1" x14ac:dyDescent="0.65">
      <c r="A1256" s="3">
        <v>1254</v>
      </c>
      <c r="B1256" s="44" t="str">
        <f>HYPERLINK("https://search.naver.com/search.naver?query=바운더리스 영화", "바운더리스")</f>
        <v>바운더리스</v>
      </c>
      <c r="C1256" s="45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97" t="s">
        <v>3442</v>
      </c>
    </row>
    <row r="1257" spans="1:10" ht="28.9" customHeight="1" thickTop="1" thickBot="1" x14ac:dyDescent="0.65">
      <c r="A1257" s="5">
        <v>1255</v>
      </c>
      <c r="B1257" s="46" t="str">
        <f>HYPERLINK("https://search.naver.com/search.naver?query=바이 더 씨 영화", "바이 더 씨")</f>
        <v>바이 더 씨</v>
      </c>
      <c r="C1257" s="47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98" t="s">
        <v>3440</v>
      </c>
    </row>
    <row r="1258" spans="1:10" ht="28.9" customHeight="1" thickTop="1" thickBot="1" x14ac:dyDescent="0.65">
      <c r="A1258" s="3">
        <v>1256</v>
      </c>
      <c r="B1258" s="44" t="str">
        <f>HYPERLINK("https://search.naver.com/search.naver?query=바이스 영화", "바이스")</f>
        <v>바이스</v>
      </c>
      <c r="C1258" s="45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97" t="s">
        <v>3442</v>
      </c>
    </row>
    <row r="1259" spans="1:10" ht="28.9" customHeight="1" thickTop="1" thickBot="1" x14ac:dyDescent="0.65">
      <c r="A1259" s="5">
        <v>1257</v>
      </c>
      <c r="B1259" s="46" t="str">
        <f>HYPERLINK("https://search.naver.com/search.naver?query=바이올런트 러브 영화", "바이올런트 러브")</f>
        <v>바이올런트 러브</v>
      </c>
      <c r="C1259" s="47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98" t="s">
        <v>3436</v>
      </c>
    </row>
    <row r="1260" spans="1:10" ht="28.9" customHeight="1" thickTop="1" thickBot="1" x14ac:dyDescent="0.65">
      <c r="A1260" s="7">
        <v>1258</v>
      </c>
      <c r="B1260" s="48" t="str">
        <f>HYPERLINK("https://search.naver.com/search.naver?query=바이킹스 시즌1", "바이킹스 시즌1")</f>
        <v>바이킹스 시즌1</v>
      </c>
      <c r="C1260" s="49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99" t="s">
        <v>3451</v>
      </c>
    </row>
    <row r="1261" spans="1:10" ht="28.9" customHeight="1" thickTop="1" thickBot="1" x14ac:dyDescent="0.65">
      <c r="A1261" s="7">
        <v>1259</v>
      </c>
      <c r="B1261" s="48" t="str">
        <f>HYPERLINK("https://search.naver.com/search.naver?query=바이킹스 시즌2", "바이킹스 시즌2")</f>
        <v>바이킹스 시즌2</v>
      </c>
      <c r="C1261" s="49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99" t="s">
        <v>3437</v>
      </c>
    </row>
    <row r="1262" spans="1:10" ht="28.9" customHeight="1" thickTop="1" thickBot="1" x14ac:dyDescent="0.65">
      <c r="A1262" s="7">
        <v>1260</v>
      </c>
      <c r="B1262" s="48" t="str">
        <f>HYPERLINK("https://search.naver.com/search.naver?query=바이킹스 시즌3", "바이킹스 시즌3")</f>
        <v>바이킹스 시즌3</v>
      </c>
      <c r="C1262" s="49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99" t="s">
        <v>3440</v>
      </c>
    </row>
    <row r="1263" spans="1:10" ht="28.9" customHeight="1" thickTop="1" thickBot="1" x14ac:dyDescent="0.65">
      <c r="A1263" s="7">
        <v>1261</v>
      </c>
      <c r="B1263" s="48" t="str">
        <f>HYPERLINK("https://search.naver.com/search.naver?query=바이킹스 시즌4", "바이킹스 시즌4")</f>
        <v>바이킹스 시즌4</v>
      </c>
      <c r="C1263" s="49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99" t="s">
        <v>3441</v>
      </c>
    </row>
    <row r="1264" spans="1:10" ht="28.9" customHeight="1" thickTop="1" thickBot="1" x14ac:dyDescent="0.65">
      <c r="A1264" s="7">
        <v>1262</v>
      </c>
      <c r="B1264" s="48" t="str">
        <f>HYPERLINK("https://search.naver.com/search.naver?query=바이킹스 시즌5", "바이킹스 시즌5")</f>
        <v>바이킹스 시즌5</v>
      </c>
      <c r="C1264" s="49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99" t="s">
        <v>3444</v>
      </c>
    </row>
    <row r="1265" spans="1:10" ht="28.9" customHeight="1" thickTop="1" thickBot="1" x14ac:dyDescent="0.65">
      <c r="A1265" s="7">
        <v>1263</v>
      </c>
      <c r="B1265" s="48" t="str">
        <f>HYPERLINK("https://search.naver.com/search.naver?query=바이킹스 시즌6", "바이킹스 시즌6")</f>
        <v>바이킹스 시즌6</v>
      </c>
      <c r="C1265" s="49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99" t="s">
        <v>3436</v>
      </c>
    </row>
    <row r="1266" spans="1:10" ht="28.9" customHeight="1" thickTop="1" thickBot="1" x14ac:dyDescent="0.65">
      <c r="A1266" s="3">
        <v>1264</v>
      </c>
      <c r="B1266" s="44" t="str">
        <f>HYPERLINK("https://search.naver.com/search.naver?query=바쿠만 영화", "바쿠만")</f>
        <v>바쿠만</v>
      </c>
      <c r="C1266" s="45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97" t="s">
        <v>3440</v>
      </c>
    </row>
    <row r="1267" spans="1:10" ht="28.9" customHeight="1" thickTop="1" thickBot="1" x14ac:dyDescent="0.65">
      <c r="A1267" s="5">
        <v>1265</v>
      </c>
      <c r="B1267" s="46" t="str">
        <f>HYPERLINK("https://search.naver.com/search.naver?query=박물관이 살아있다 - 비밀의 무덤 영화", "박물관이 살아있다 - 비밀의 무덤")</f>
        <v>박물관이 살아있다 - 비밀의 무덤</v>
      </c>
      <c r="C1267" s="47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98" t="s">
        <v>3437</v>
      </c>
    </row>
    <row r="1268" spans="1:10" ht="28.9" customHeight="1" thickTop="1" thickBot="1" x14ac:dyDescent="0.65">
      <c r="A1268" s="3">
        <v>1266</v>
      </c>
      <c r="B1268" s="44" t="str">
        <f>HYPERLINK("https://search.naver.com/search.naver?query=박사가 사랑한 수식 영화", "박사가 사랑한 수식")</f>
        <v>박사가 사랑한 수식</v>
      </c>
      <c r="C1268" s="45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97" t="s">
        <v>3461</v>
      </c>
    </row>
    <row r="1269" spans="1:10" ht="28.9" customHeight="1" thickTop="1" thickBot="1" x14ac:dyDescent="0.65">
      <c r="A1269" s="5">
        <v>1267</v>
      </c>
      <c r="B1269" s="46" t="str">
        <f>HYPERLINK("https://search.naver.com/search.naver?query=박수건달 영화", "박수건달")</f>
        <v>박수건달</v>
      </c>
      <c r="C1269" s="47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98" t="s">
        <v>3439</v>
      </c>
    </row>
    <row r="1270" spans="1:10" ht="28.9" customHeight="1" thickTop="1" thickBot="1" x14ac:dyDescent="0.65">
      <c r="A1270" s="3">
        <v>1268</v>
      </c>
      <c r="B1270" s="44" t="str">
        <f>HYPERLINK("https://search.naver.com/search.naver?query=반도 영화", "반도")</f>
        <v>반도</v>
      </c>
      <c r="C1270" s="45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97" t="s">
        <v>3436</v>
      </c>
    </row>
    <row r="1271" spans="1:10" ht="28.9" customHeight="1" thickTop="1" thickBot="1" x14ac:dyDescent="0.65">
      <c r="A1271" s="5">
        <v>1269</v>
      </c>
      <c r="B1271" s="46" t="str">
        <f>HYPERLINK("https://search.naver.com/search.naver?query=반드시 잡는다 영화", "반드시 잡는다")</f>
        <v>반드시 잡는다</v>
      </c>
      <c r="C1271" s="47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98" t="s">
        <v>3443</v>
      </c>
    </row>
    <row r="1272" spans="1:10" ht="28.9" customHeight="1" thickTop="1" thickBot="1" x14ac:dyDescent="0.65">
      <c r="A1272" s="3">
        <v>1270</v>
      </c>
      <c r="B1272" s="44" t="str">
        <f>HYPERLINK("https://search.naver.com/search.naver?query=반지를 끼워주고 싶다 영화", "반지를 끼워주고 싶다")</f>
        <v>반지를 끼워주고 싶다</v>
      </c>
      <c r="C1272" s="45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97" t="s">
        <v>3454</v>
      </c>
    </row>
    <row r="1273" spans="1:10" ht="28.9" customHeight="1" thickTop="1" thickBot="1" x14ac:dyDescent="0.65">
      <c r="A1273" s="5">
        <v>1271</v>
      </c>
      <c r="B1273" s="46" t="str">
        <f>HYPERLINK("https://search.naver.com/search.naver?query=발레리나 영화", "발레리나")</f>
        <v>발레리나</v>
      </c>
      <c r="C1273" s="47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98" t="s">
        <v>3459</v>
      </c>
    </row>
    <row r="1274" spans="1:10" ht="28.9" customHeight="1" thickTop="1" thickBot="1" x14ac:dyDescent="0.65">
      <c r="A1274" s="3">
        <v>1272</v>
      </c>
      <c r="B1274" s="44" t="str">
        <f>HYPERLINK("https://search.naver.com/search.naver?query=발레리안 - 천 개 행성의 도시 영화", "발레리안 - 천 개 행성의 도시")</f>
        <v>발레리안 - 천 개 행성의 도시</v>
      </c>
      <c r="C1274" s="45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97" t="s">
        <v>3443</v>
      </c>
    </row>
    <row r="1275" spans="1:10" ht="28.9" customHeight="1" thickTop="1" thickBot="1" x14ac:dyDescent="0.65">
      <c r="A1275" s="5">
        <v>1273</v>
      </c>
      <c r="B1275" s="46" t="str">
        <f>HYPERLINK("https://search.naver.com/search.naver?query=발렌타인 데이 영화", "발렌타인 데이")</f>
        <v>발렌타인 데이</v>
      </c>
      <c r="C1275" s="47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98" t="s">
        <v>3455</v>
      </c>
    </row>
    <row r="1276" spans="1:10" ht="28.9" customHeight="1" thickTop="1" thickBot="1" x14ac:dyDescent="0.65">
      <c r="A1276" s="3">
        <v>1274</v>
      </c>
      <c r="B1276" s="44" t="str">
        <f>HYPERLINK("https://search.naver.com/search.naver?query=발명의 아버지 영화", "발명의 아버지")</f>
        <v>발명의 아버지</v>
      </c>
      <c r="C1276" s="45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97" t="s">
        <v>3455</v>
      </c>
    </row>
    <row r="1277" spans="1:10" ht="28.9" customHeight="1" thickTop="1" thickBot="1" x14ac:dyDescent="0.65">
      <c r="A1277" s="5">
        <v>1275</v>
      </c>
      <c r="B1277" s="46" t="str">
        <f>HYPERLINK("https://search.naver.com/search.naver?query=발신제한 영화", "발신제한")</f>
        <v>발신제한</v>
      </c>
      <c r="C1277" s="47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98" t="s">
        <v>3438</v>
      </c>
    </row>
    <row r="1278" spans="1:10" ht="28.9" customHeight="1" thickTop="1" thickBot="1" x14ac:dyDescent="0.65">
      <c r="A1278" s="3">
        <v>1276</v>
      </c>
      <c r="B1278" s="44" t="str">
        <f>HYPERLINK("https://search.naver.com/search.naver?query=밤쉘-세상을 바꾼 폭탄선언 영화", "밤쉘-세상을 바꾼 폭탄선언")</f>
        <v>밤쉘-세상을 바꾼 폭탄선언</v>
      </c>
      <c r="C1278" s="45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97" t="s">
        <v>3444</v>
      </c>
    </row>
    <row r="1279" spans="1:10" ht="28.9" customHeight="1" thickTop="1" thickBot="1" x14ac:dyDescent="0.65">
      <c r="A1279" s="5">
        <v>1277</v>
      </c>
      <c r="B1279" s="46" t="str">
        <f>HYPERLINK("https://search.naver.com/search.naver?query=밤에 우리 영혼은 영화", "밤에 우리 영혼은")</f>
        <v>밤에 우리 영혼은</v>
      </c>
      <c r="C1279" s="47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98" t="s">
        <v>3443</v>
      </c>
    </row>
    <row r="1280" spans="1:10" ht="28.9" customHeight="1" thickTop="1" thickBot="1" x14ac:dyDescent="0.65">
      <c r="A1280" s="3">
        <v>1278</v>
      </c>
      <c r="B1280" s="44" t="str">
        <f>HYPERLINK("https://search.naver.com/search.naver?query=방가 방가! 영화", "방가 방가!")</f>
        <v>방가 방가!</v>
      </c>
      <c r="C1280" s="45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97" t="s">
        <v>3455</v>
      </c>
    </row>
    <row r="1281" spans="1:10" ht="28.9" customHeight="1" thickTop="1" thickBot="1" x14ac:dyDescent="0.65">
      <c r="A1281" s="5">
        <v>1279</v>
      </c>
      <c r="B1281" s="46" t="str">
        <f>HYPERLINK("https://search.naver.com/search.naver?query=방황하는 칼날 영화", "방황하는 칼날")</f>
        <v>방황하는 칼날</v>
      </c>
      <c r="C1281" s="47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98" t="s">
        <v>3451</v>
      </c>
    </row>
    <row r="1282" spans="1:10" ht="28.9" customHeight="1" thickTop="1" thickBot="1" x14ac:dyDescent="0.65">
      <c r="A1282" s="3">
        <v>1280</v>
      </c>
      <c r="B1282" s="44" t="str">
        <f>HYPERLINK("https://search.naver.com/search.naver?query=배드 맘스 영화", "배드 맘스")</f>
        <v>배드 맘스</v>
      </c>
      <c r="C1282" s="45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97" t="s">
        <v>3441</v>
      </c>
    </row>
    <row r="1283" spans="1:10" ht="28.9" customHeight="1" thickTop="1" thickBot="1" x14ac:dyDescent="0.65">
      <c r="A1283" s="5">
        <v>1281</v>
      </c>
      <c r="B1283" s="46" t="str">
        <f>HYPERLINK("https://search.naver.com/search.naver?query=배드 지니어스 영화", "배드 지니어스")</f>
        <v>배드 지니어스</v>
      </c>
      <c r="C1283" s="47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98" t="s">
        <v>3443</v>
      </c>
    </row>
    <row r="1284" spans="1:10" ht="28.9" customHeight="1" thickTop="1" thickBot="1" x14ac:dyDescent="0.65">
      <c r="A1284" s="3">
        <v>1282</v>
      </c>
      <c r="B1284" s="44" t="str">
        <f>HYPERLINK("https://search.naver.com/search.naver?query=배드 컨트리 영화", "배드 컨트리")</f>
        <v>배드 컨트리</v>
      </c>
      <c r="C1284" s="45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97" t="s">
        <v>3437</v>
      </c>
    </row>
    <row r="1285" spans="1:10" ht="28.9" customHeight="1" thickTop="1" thickBot="1" x14ac:dyDescent="0.65">
      <c r="A1285" s="5">
        <v>1283</v>
      </c>
      <c r="B1285" s="46" t="str">
        <f>HYPERLINK("https://search.naver.com/search.naver?query=배심원 #2 영화", "배심원 #2")</f>
        <v>배심원 #2</v>
      </c>
      <c r="C1285" s="47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98" t="s">
        <v>3448</v>
      </c>
    </row>
    <row r="1286" spans="1:10" ht="28.9" customHeight="1" thickTop="1" thickBot="1" x14ac:dyDescent="0.65">
      <c r="A1286" s="3">
        <v>1284</v>
      </c>
      <c r="B1286" s="44" t="str">
        <f>HYPERLINK("https://search.naver.com/search.naver?query=배심원들 영화", "배심원들")</f>
        <v>배심원들</v>
      </c>
      <c r="C1286" s="45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97" t="s">
        <v>3442</v>
      </c>
    </row>
    <row r="1287" spans="1:10" ht="28.9" customHeight="1" thickTop="1" thickBot="1" x14ac:dyDescent="0.65">
      <c r="A1287" s="5">
        <v>1285</v>
      </c>
      <c r="B1287" s="46" t="str">
        <f>HYPERLINK("https://search.naver.com/search.naver?query=백 인 액션 영화", "백 인 액션")</f>
        <v>백 인 액션</v>
      </c>
      <c r="C1287" s="47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98" t="s">
        <v>3459</v>
      </c>
    </row>
    <row r="1288" spans="1:10" ht="28.9" customHeight="1" thickTop="1" thickBot="1" x14ac:dyDescent="0.65">
      <c r="A1288" s="3">
        <v>1286</v>
      </c>
      <c r="B1288" s="44" t="str">
        <f>HYPERLINK("https://search.naver.com/search.naver?query=백 투 더 비기닝 영화", "백 투 더 비기닝")</f>
        <v>백 투 더 비기닝</v>
      </c>
      <c r="C1288" s="45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97" t="s">
        <v>3437</v>
      </c>
    </row>
    <row r="1289" spans="1:10" ht="28.9" customHeight="1" thickTop="1" thickBot="1" x14ac:dyDescent="0.65">
      <c r="A1289" s="5">
        <v>1287</v>
      </c>
      <c r="B1289" s="46" t="str">
        <f>HYPERLINK("https://search.naver.com/search.naver?query=백두산 영화", "백두산")</f>
        <v>백두산</v>
      </c>
      <c r="C1289" s="47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98" t="s">
        <v>3444</v>
      </c>
    </row>
    <row r="1290" spans="1:10" ht="28.9" customHeight="1" thickTop="1" thickBot="1" x14ac:dyDescent="0.65">
      <c r="A1290" s="3">
        <v>1288</v>
      </c>
      <c r="B1290" s="44" t="str">
        <f>HYPERLINK("https://search.naver.com/search.naver?query=백만엔걸 스즈코 영화", "백만엔걸 스즈코")</f>
        <v>백만엔걸 스즈코</v>
      </c>
      <c r="C1290" s="45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97" t="s">
        <v>3437</v>
      </c>
    </row>
    <row r="1291" spans="1:10" ht="28.9" customHeight="1" thickTop="1" thickBot="1" x14ac:dyDescent="0.65">
      <c r="A1291" s="5">
        <v>1289</v>
      </c>
      <c r="B1291" s="46" t="str">
        <f>HYPERLINK("https://search.naver.com/search.naver?query=백발마녀전 - 명월천국 영화", "백발마녀전 - 명월천국")</f>
        <v>백발마녀전 - 명월천국</v>
      </c>
      <c r="C1291" s="47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98" t="s">
        <v>3437</v>
      </c>
    </row>
    <row r="1292" spans="1:10" ht="28.9" customHeight="1" thickTop="1" thickBot="1" x14ac:dyDescent="0.65">
      <c r="A1292" s="3">
        <v>1290</v>
      </c>
      <c r="B1292" s="44" t="str">
        <f>HYPERLINK("https://search.naver.com/search.naver?query=백설공주 영화", "백설공주")</f>
        <v>백설공주</v>
      </c>
      <c r="C1292" s="45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97" t="s">
        <v>3439</v>
      </c>
    </row>
    <row r="1293" spans="1:10" ht="28.9" customHeight="1" thickTop="1" thickBot="1" x14ac:dyDescent="0.65">
      <c r="A1293" s="5">
        <v>1291</v>
      </c>
      <c r="B1293" s="46" t="str">
        <f>HYPERLINK("https://search.naver.com/search.naver?query=백설공주 살인사건 영화", "백설공주 살인사건")</f>
        <v>백설공주 살인사건</v>
      </c>
      <c r="C1293" s="47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98" t="s">
        <v>3437</v>
      </c>
    </row>
    <row r="1294" spans="1:10" ht="28.9" customHeight="1" thickTop="1" thickBot="1" x14ac:dyDescent="0.65">
      <c r="A1294" s="3">
        <v>1292</v>
      </c>
      <c r="B1294" s="44" t="str">
        <f>HYPERLINK("https://search.naver.com/search.naver?query=백스태빙 포 비기너스 영화", "백스태빙 포 비기너스")</f>
        <v>백스태빙 포 비기너스</v>
      </c>
      <c r="C1294" s="45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97" t="s">
        <v>3442</v>
      </c>
    </row>
    <row r="1295" spans="1:10" ht="28.9" customHeight="1" thickTop="1" thickBot="1" x14ac:dyDescent="0.65">
      <c r="A1295" s="5">
        <v>1293</v>
      </c>
      <c r="B1295" s="46" t="str">
        <f>HYPERLINK("https://search.naver.com/search.naver?query=백악관 최후의 날 영화", "백악관 최후의 날")</f>
        <v>백악관 최후의 날</v>
      </c>
      <c r="C1295" s="47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98" t="s">
        <v>3451</v>
      </c>
    </row>
    <row r="1296" spans="1:10" ht="28.9" customHeight="1" thickTop="1" thickBot="1" x14ac:dyDescent="0.65">
      <c r="A1296" s="3">
        <v>1294</v>
      </c>
      <c r="B1296" s="44" t="str">
        <f>HYPERLINK("https://search.naver.com/search.naver?query=백악관을 무너뜨린 사나이 영화", "백악관을 무너뜨린 사나이")</f>
        <v>백악관을 무너뜨린 사나이</v>
      </c>
      <c r="C1296" s="45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97" t="s">
        <v>3443</v>
      </c>
    </row>
    <row r="1297" spans="1:10" ht="28.9" customHeight="1" thickTop="1" thickBot="1" x14ac:dyDescent="0.65">
      <c r="A1297" s="5">
        <v>1295</v>
      </c>
      <c r="B1297" s="46" t="str">
        <f>HYPERLINK("https://search.naver.com/search.naver?query=백야 영화", "백야")</f>
        <v>백야</v>
      </c>
      <c r="C1297" s="47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98">
        <v>31777</v>
      </c>
    </row>
    <row r="1298" spans="1:10" ht="28.9" customHeight="1" thickTop="1" thickBot="1" x14ac:dyDescent="0.65">
      <c r="A1298" s="3">
        <v>1296</v>
      </c>
      <c r="B1298" s="44" t="str">
        <f>HYPERLINK("https://search.naver.com/search.naver?query=백야행 영화", "백야행 - 하얀 어둠 속을 걷다")</f>
        <v>백야행 - 하얀 어둠 속을 걷다</v>
      </c>
      <c r="C1298" s="45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97" t="s">
        <v>3453</v>
      </c>
    </row>
    <row r="1299" spans="1:10" ht="28.9" customHeight="1" thickTop="1" thickBot="1" x14ac:dyDescent="0.65">
      <c r="A1299" s="5">
        <v>1297</v>
      </c>
      <c r="B1299" s="46" t="str">
        <f>HYPERLINK("https://search.naver.com/search.naver?query=백컨트리 영화", "백컨트리")</f>
        <v>백컨트리</v>
      </c>
      <c r="C1299" s="47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98" t="s">
        <v>3437</v>
      </c>
    </row>
    <row r="1300" spans="1:10" ht="28.9" customHeight="1" thickTop="1" thickBot="1" x14ac:dyDescent="0.65">
      <c r="A1300" s="3">
        <v>1298</v>
      </c>
      <c r="B1300" s="44" t="str">
        <f>HYPERLINK("https://search.naver.com/search.naver?query=백컨트리 - 야생곰의 습격 영화", "백컨트리 - 야생곰의 습격")</f>
        <v>백컨트리 - 야생곰의 습격</v>
      </c>
      <c r="C1300" s="45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97" t="s">
        <v>3437</v>
      </c>
    </row>
    <row r="1301" spans="1:10" ht="28.9" customHeight="1" thickTop="1" thickBot="1" x14ac:dyDescent="0.65">
      <c r="A1301" s="5">
        <v>1299</v>
      </c>
      <c r="B1301" s="46" t="str">
        <f>HYPERLINK("https://search.naver.com/search.naver?query=백트레이스 영화", "백트레이스")</f>
        <v>백트레이스</v>
      </c>
      <c r="C1301" s="47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98" t="s">
        <v>3442</v>
      </c>
    </row>
    <row r="1302" spans="1:10" ht="28.9" customHeight="1" thickTop="1" thickBot="1" x14ac:dyDescent="0.65">
      <c r="A1302" s="3">
        <v>1300</v>
      </c>
      <c r="B1302" s="44" t="str">
        <f>HYPERLINK("https://search.naver.com/search.naver?query=뱅크 오브 데이브 영화", "뱅크 오브 데이브")</f>
        <v>뱅크 오브 데이브</v>
      </c>
      <c r="C1302" s="45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97" t="s">
        <v>3446</v>
      </c>
    </row>
    <row r="1303" spans="1:10" ht="28.9" customHeight="1" thickTop="1" thickBot="1" x14ac:dyDescent="0.65">
      <c r="A1303" s="5">
        <v>1301</v>
      </c>
      <c r="B1303" s="46" t="str">
        <f>HYPERLINK("https://search.naver.com/search.naver?query=뱅크 오브 데이브 2 더 론 레인저 영화", "뱅크 오브 데이브 2 더 론 레인저")</f>
        <v>뱅크 오브 데이브 2 더 론 레인저</v>
      </c>
      <c r="C1303" s="47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98" t="s">
        <v>3459</v>
      </c>
    </row>
    <row r="1304" spans="1:10" ht="28.9" customHeight="1" thickTop="1" thickBot="1" x14ac:dyDescent="0.65">
      <c r="A1304" s="3">
        <v>1302</v>
      </c>
      <c r="B1304" s="44" t="str">
        <f>HYPERLINK("https://search.naver.com/search.naver?query=버닝 영화", "버닝")</f>
        <v>버닝</v>
      </c>
      <c r="C1304" s="45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97" t="s">
        <v>3442</v>
      </c>
    </row>
    <row r="1305" spans="1:10" ht="28.9" customHeight="1" thickTop="1" thickBot="1" x14ac:dyDescent="0.65">
      <c r="A1305" s="5">
        <v>1303</v>
      </c>
      <c r="B1305" s="46" t="str">
        <f>HYPERLINK("https://search.naver.com/search.naver?query=버닝 플레인 영화", "버닝 플레인")</f>
        <v>버닝 플레인</v>
      </c>
      <c r="C1305" s="47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98" t="s">
        <v>3450</v>
      </c>
    </row>
    <row r="1306" spans="1:10" ht="28.9" customHeight="1" thickTop="1" thickBot="1" x14ac:dyDescent="0.65">
      <c r="A1306" s="3">
        <v>1304</v>
      </c>
      <c r="B1306" s="44" t="str">
        <f>HYPERLINK("https://search.naver.com/search.naver?query=버드 박스 영화", "버드 박스")</f>
        <v>버드 박스</v>
      </c>
      <c r="C1306" s="45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97" t="s">
        <v>3442</v>
      </c>
    </row>
    <row r="1307" spans="1:10" ht="28.9" customHeight="1" thickTop="1" thickBot="1" x14ac:dyDescent="0.65">
      <c r="A1307" s="5">
        <v>1305</v>
      </c>
      <c r="B1307" s="46" t="str">
        <f>HYPERLINK("https://search.naver.com/search.naver?query=버드맨 영화", "버드맨")</f>
        <v>버드맨</v>
      </c>
      <c r="C1307" s="47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98" t="s">
        <v>3437</v>
      </c>
    </row>
    <row r="1308" spans="1:10" ht="28.9" customHeight="1" thickTop="1" thickBot="1" x14ac:dyDescent="0.65">
      <c r="A1308" s="3">
        <v>1306</v>
      </c>
      <c r="B1308" s="44" t="str">
        <f>HYPERLINK("https://search.naver.com/search.naver?query=버든-세상을 바꾸는 힘 영화", "버든-세상을 바꾸는 힘")</f>
        <v>버든-세상을 바꾸는 힘</v>
      </c>
      <c r="C1308" s="45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97" t="s">
        <v>3442</v>
      </c>
    </row>
    <row r="1309" spans="1:10" ht="28.9" customHeight="1" thickTop="1" thickBot="1" x14ac:dyDescent="0.65">
      <c r="A1309" s="5">
        <v>1307</v>
      </c>
      <c r="B1309" s="46" t="str">
        <f>HYPERLINK("https://search.naver.com/search.naver?query=버스 657 영화", "버스 657")</f>
        <v>버스 657</v>
      </c>
      <c r="C1309" s="47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98" t="s">
        <v>3440</v>
      </c>
    </row>
    <row r="1310" spans="1:10" ht="28.9" customHeight="1" thickTop="1" thickBot="1" x14ac:dyDescent="0.65">
      <c r="A1310" s="7">
        <v>1308</v>
      </c>
      <c r="B1310" s="48" t="str">
        <f>HYPERLINK("https://search.naver.com/search.naver?query=버진리버 시즌1", "버진리버 시즌1")</f>
        <v>버진리버 시즌1</v>
      </c>
      <c r="C1310" s="49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99" t="s">
        <v>3444</v>
      </c>
    </row>
    <row r="1311" spans="1:10" ht="28.9" customHeight="1" thickTop="1" thickBot="1" x14ac:dyDescent="0.65">
      <c r="A1311" s="7">
        <v>1309</v>
      </c>
      <c r="B1311" s="48" t="str">
        <f>HYPERLINK("https://search.naver.com/search.naver?query=버진리버 시즌2", "버진리버 시즌2")</f>
        <v>버진리버 시즌2</v>
      </c>
      <c r="C1311" s="49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99" t="s">
        <v>3436</v>
      </c>
    </row>
    <row r="1312" spans="1:10" ht="28.9" customHeight="1" thickTop="1" thickBot="1" x14ac:dyDescent="0.65">
      <c r="A1312" s="7">
        <v>1310</v>
      </c>
      <c r="B1312" s="48" t="str">
        <f>HYPERLINK("https://search.naver.com/search.naver?query=버진리버 시즌3", "버진리버 시즌3")</f>
        <v>버진리버 시즌3</v>
      </c>
      <c r="C1312" s="49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99" t="s">
        <v>3438</v>
      </c>
    </row>
    <row r="1313" spans="1:10" ht="28.9" customHeight="1" thickTop="1" thickBot="1" x14ac:dyDescent="0.65">
      <c r="A1313" s="7">
        <v>1311</v>
      </c>
      <c r="B1313" s="48" t="str">
        <f>HYPERLINK("https://search.naver.com/search.naver?query=버진리버 시즌5", "버진리버 시즌5")</f>
        <v>버진리버 시즌5</v>
      </c>
      <c r="C1313" s="49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99" t="s">
        <v>3446</v>
      </c>
    </row>
    <row r="1314" spans="1:10" ht="28.9" customHeight="1" thickTop="1" thickBot="1" x14ac:dyDescent="0.65">
      <c r="A1314" s="7">
        <v>1312</v>
      </c>
      <c r="B1314" s="48" t="str">
        <f>HYPERLINK("https://search.naver.com/search.naver?query=버진리버 시즌6", "버진리버 시즌6")</f>
        <v>버진리버 시즌6</v>
      </c>
      <c r="C1314" s="49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99" t="s">
        <v>3448</v>
      </c>
    </row>
    <row r="1315" spans="1:10" ht="28.9" customHeight="1" thickTop="1" thickBot="1" x14ac:dyDescent="0.65">
      <c r="A1315" s="5">
        <v>1313</v>
      </c>
      <c r="B1315" s="46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47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98" t="s">
        <v>3447</v>
      </c>
    </row>
    <row r="1316" spans="1:10" ht="28.9" customHeight="1" thickTop="1" thickBot="1" x14ac:dyDescent="0.65">
      <c r="A1316" s="7">
        <v>1314</v>
      </c>
      <c r="B1316" s="48" t="str">
        <f>HYPERLINK("https://search.naver.com/search.naver?query=버터플라이 드라마", "버터플라이")</f>
        <v>버터플라이</v>
      </c>
      <c r="C1316" s="49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99" t="s">
        <v>3459</v>
      </c>
    </row>
    <row r="1317" spans="1:10" ht="28.9" customHeight="1" thickTop="1" thickBot="1" x14ac:dyDescent="0.65">
      <c r="A1317" s="5">
        <v>1315</v>
      </c>
      <c r="B1317" s="46" t="str">
        <f>HYPERLINK("https://search.naver.com/search.naver?query=버틀러-대통령의집사 영화", "버틀러-대통령의집사")</f>
        <v>버틀러-대통령의집사</v>
      </c>
      <c r="C1317" s="47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98" t="s">
        <v>3451</v>
      </c>
    </row>
    <row r="1318" spans="1:10" ht="28.9" customHeight="1" thickTop="1" thickBot="1" x14ac:dyDescent="0.65">
      <c r="A1318" s="3">
        <v>1316</v>
      </c>
      <c r="B1318" s="44" t="str">
        <f>HYPERLINK("https://search.naver.com/search.naver?query=버티고 영화", "버티고")</f>
        <v>버티고</v>
      </c>
      <c r="C1318" s="45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97">
        <v>43830</v>
      </c>
    </row>
    <row r="1319" spans="1:10" ht="28.9" customHeight="1" thickTop="1" thickBot="1" x14ac:dyDescent="0.65">
      <c r="A1319" s="5">
        <v>1317</v>
      </c>
      <c r="B1319" s="46" t="str">
        <f>HYPERLINK("https://search.naver.com/search.naver?query=번 애프터 리딩 영화", "번 애프터 리딩")</f>
        <v>번 애프터 리딩</v>
      </c>
      <c r="C1319" s="47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98" t="s">
        <v>3450</v>
      </c>
    </row>
    <row r="1320" spans="1:10" ht="28.9" customHeight="1" thickTop="1" thickBot="1" x14ac:dyDescent="0.65">
      <c r="A1320" s="3">
        <v>1318</v>
      </c>
      <c r="B1320" s="44" t="str">
        <f>HYPERLINK("https://search.naver.com/search.naver?query=벌룬 영화", "벌룬")</f>
        <v>벌룬</v>
      </c>
      <c r="C1320" s="45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97" t="s">
        <v>3442</v>
      </c>
    </row>
    <row r="1321" spans="1:10" ht="28.9" customHeight="1" thickTop="1" thickBot="1" x14ac:dyDescent="0.65">
      <c r="A1321" s="5">
        <v>1319</v>
      </c>
      <c r="B1321" s="46" t="str">
        <f>HYPERLINK("https://search.naver.com/search.naver?query=일본영화 범인에게 고한다 2007", "범인에게 고한다")</f>
        <v>범인에게 고한다</v>
      </c>
      <c r="C1321" s="47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98" t="s">
        <v>3447</v>
      </c>
    </row>
    <row r="1322" spans="1:10" ht="28.9" customHeight="1" thickTop="1" thickBot="1" x14ac:dyDescent="0.65">
      <c r="A1322" s="3">
        <v>1320</v>
      </c>
      <c r="B1322" s="44" t="str">
        <f>HYPERLINK("https://search.naver.com/search.naver?query=범죄도시 영화", "범죄도시")</f>
        <v>범죄도시</v>
      </c>
      <c r="C1322" s="45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97" t="s">
        <v>3443</v>
      </c>
    </row>
    <row r="1323" spans="1:10" ht="28.9" customHeight="1" thickTop="1" thickBot="1" x14ac:dyDescent="0.65">
      <c r="A1323" s="5">
        <v>1321</v>
      </c>
      <c r="B1323" s="46" t="str">
        <f>HYPERLINK("https://search.naver.com/search.naver?query=범죄도시2 영화", "범죄도시2")</f>
        <v>범죄도시2</v>
      </c>
      <c r="C1323" s="47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98" t="s">
        <v>3445</v>
      </c>
    </row>
    <row r="1324" spans="1:10" ht="28.9" customHeight="1" thickTop="1" thickBot="1" x14ac:dyDescent="0.65">
      <c r="A1324" s="3">
        <v>1322</v>
      </c>
      <c r="B1324" s="44" t="str">
        <f>HYPERLINK("https://search.naver.com/search.naver?query=범죄도시3 영화", "범죄도시3")</f>
        <v>범죄도시3</v>
      </c>
      <c r="C1324" s="45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97" t="s">
        <v>3446</v>
      </c>
    </row>
    <row r="1325" spans="1:10" ht="28.9" customHeight="1" thickTop="1" thickBot="1" x14ac:dyDescent="0.65">
      <c r="A1325" s="5">
        <v>1323</v>
      </c>
      <c r="B1325" s="46" t="str">
        <f>HYPERLINK("https://search.naver.com/search.naver?query=범죄도시4 영화", "범죄도시4")</f>
        <v>범죄도시4</v>
      </c>
      <c r="C1325" s="47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98" t="s">
        <v>3448</v>
      </c>
    </row>
    <row r="1326" spans="1:10" ht="28.9" customHeight="1" thickTop="1" thickBot="1" x14ac:dyDescent="0.65">
      <c r="A1326" s="3">
        <v>1324</v>
      </c>
      <c r="B1326" s="44" t="str">
        <f>HYPERLINK("https://search.naver.com/search.naver?query=범죄와의 전쟁 나쁜놈들 전성시대 영화", "범죄와의 전쟁 나쁜놈들 전성시대")</f>
        <v>범죄와의 전쟁 나쁜놈들 전성시대</v>
      </c>
      <c r="C1326" s="45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97" t="s">
        <v>3454</v>
      </c>
    </row>
    <row r="1327" spans="1:10" ht="28.9" customHeight="1" thickTop="1" thickBot="1" x14ac:dyDescent="0.65">
      <c r="A1327" s="7">
        <v>1325</v>
      </c>
      <c r="B1327" s="48" t="str">
        <f>HYPERLINK("https://search.naver.com/search.naver?query=범죄의 재구성 시즌1", "범죄의 재구성 시즌1")</f>
        <v>범죄의 재구성 시즌1</v>
      </c>
      <c r="C1327" s="49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99" t="s">
        <v>3437</v>
      </c>
    </row>
    <row r="1328" spans="1:10" ht="28.9" customHeight="1" thickTop="1" thickBot="1" x14ac:dyDescent="0.65">
      <c r="A1328" s="7">
        <v>1326</v>
      </c>
      <c r="B1328" s="48" t="str">
        <f>HYPERLINK("https://search.naver.com/search.naver?query=범죄의 재구성 시즌2", "범죄의 재구성 시즌2")</f>
        <v>범죄의 재구성 시즌2</v>
      </c>
      <c r="C1328" s="49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99" t="s">
        <v>3440</v>
      </c>
    </row>
    <row r="1329" spans="1:10" ht="28.9" customHeight="1" thickTop="1" thickBot="1" x14ac:dyDescent="0.65">
      <c r="A1329" s="7">
        <v>1327</v>
      </c>
      <c r="B1329" s="48" t="str">
        <f>HYPERLINK("https://search.naver.com/search.naver?query=범죄의 재구성 시즌3", "범죄의 재구성 시즌3")</f>
        <v>범죄의 재구성 시즌3</v>
      </c>
      <c r="C1329" s="49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99" t="s">
        <v>3441</v>
      </c>
    </row>
    <row r="1330" spans="1:10" ht="28.9" customHeight="1" thickTop="1" thickBot="1" x14ac:dyDescent="0.65">
      <c r="A1330" s="7">
        <v>1328</v>
      </c>
      <c r="B1330" s="48" t="str">
        <f>HYPERLINK("https://search.naver.com/search.naver?query=범죄의 재구성 시즌4", "범죄의 재구성 시즌4")</f>
        <v>범죄의 재구성 시즌4</v>
      </c>
      <c r="C1330" s="49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99" t="s">
        <v>3443</v>
      </c>
    </row>
    <row r="1331" spans="1:10" ht="28.9" customHeight="1" thickTop="1" thickBot="1" x14ac:dyDescent="0.65">
      <c r="A1331" s="7">
        <v>1329</v>
      </c>
      <c r="B1331" s="48" t="str">
        <f>HYPERLINK("https://search.naver.com/search.naver?query=범죄의 재구성 시즌5", "범죄의 재구성 시즌5")</f>
        <v>범죄의 재구성 시즌5</v>
      </c>
      <c r="C1331" s="49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99" t="s">
        <v>3442</v>
      </c>
    </row>
    <row r="1332" spans="1:10" ht="28.9" customHeight="1" thickTop="1" thickBot="1" x14ac:dyDescent="0.65">
      <c r="A1332" s="7">
        <v>1330</v>
      </c>
      <c r="B1332" s="48" t="str">
        <f>HYPERLINK("https://search.naver.com/search.naver?query=범죄의 재구성 시즌6", "범죄의 재구성 시즌6")</f>
        <v>범죄의 재구성 시즌6</v>
      </c>
      <c r="C1332" s="49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99" t="s">
        <v>3444</v>
      </c>
    </row>
    <row r="1333" spans="1:10" ht="28.9" customHeight="1" thickTop="1" thickBot="1" x14ac:dyDescent="0.65">
      <c r="A1333" s="5">
        <v>1331</v>
      </c>
      <c r="B1333" s="46" t="str">
        <f>HYPERLINK("https://search.naver.com/search.naver?query=벚꽃 물든 게이샤 영화", "벚꽃 물든 게이샤")</f>
        <v>벚꽃 물든 게이샤</v>
      </c>
      <c r="C1333" s="47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98" t="s">
        <v>3437</v>
      </c>
    </row>
    <row r="1334" spans="1:10" ht="28.9" customHeight="1" thickTop="1" thickBot="1" x14ac:dyDescent="0.65">
      <c r="A1334" s="3">
        <v>1332</v>
      </c>
      <c r="B1334" s="44" t="str">
        <f>HYPERLINK("https://search.naver.com/search.naver?query=벚꽃, 다시 한 번 카나코 영화", "벚꽃, 다시 한 번 카나코")</f>
        <v>벚꽃, 다시 한 번 카나코</v>
      </c>
      <c r="C1334" s="45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97" t="s">
        <v>3451</v>
      </c>
    </row>
    <row r="1335" spans="1:10" ht="28.9" customHeight="1" thickTop="1" thickBot="1" x14ac:dyDescent="0.65">
      <c r="A1335" s="5">
        <v>1333</v>
      </c>
      <c r="B1335" s="46" t="str">
        <f>HYPERLINK("https://search.naver.com/search.naver?query=베가번스의 전설 영화", "베가번스의 전설")</f>
        <v>베가번스의 전설</v>
      </c>
      <c r="C1335" s="47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98" t="s">
        <v>3458</v>
      </c>
    </row>
    <row r="1336" spans="1:10" ht="28.9" customHeight="1" thickTop="1" thickBot="1" x14ac:dyDescent="0.65">
      <c r="A1336" s="3">
        <v>1334</v>
      </c>
      <c r="B1336" s="44" t="str">
        <f>HYPERLINK("https://search.naver.com/search.naver?query=베네데타 영화", "베네데타")</f>
        <v>베네데타</v>
      </c>
      <c r="C1336" s="45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97" t="s">
        <v>3438</v>
      </c>
    </row>
    <row r="1337" spans="1:10" ht="28.9" customHeight="1" thickTop="1" thickBot="1" x14ac:dyDescent="0.65">
      <c r="A1337" s="5">
        <v>1335</v>
      </c>
      <c r="B1337" s="46" t="str">
        <f>HYPERLINK("https://search.naver.com/search.naver?query=베놈 영화", "베놈")</f>
        <v>베놈</v>
      </c>
      <c r="C1337" s="47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98" t="s">
        <v>3442</v>
      </c>
    </row>
    <row r="1338" spans="1:10" ht="28.9" customHeight="1" thickTop="1" thickBot="1" x14ac:dyDescent="0.65">
      <c r="A1338" s="3">
        <v>1336</v>
      </c>
      <c r="B1338" s="44" t="str">
        <f>HYPERLINK("https://search.naver.com/search.naver?query=베로니카 게린 영화", "베로니카 게린")</f>
        <v>베로니카 게린</v>
      </c>
      <c r="C1338" s="45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97" t="s">
        <v>3449</v>
      </c>
    </row>
    <row r="1339" spans="1:10" ht="28.9" customHeight="1" thickTop="1" thickBot="1" x14ac:dyDescent="0.65">
      <c r="A1339" s="5">
        <v>1337</v>
      </c>
      <c r="B1339" s="46" t="str">
        <f>HYPERLINK("https://search.naver.com/search.naver?query=베로니카의 이중 생활 영화", "베로니카의 이중 생활")</f>
        <v>베로니카의 이중 생활</v>
      </c>
      <c r="C1339" s="47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98" t="s">
        <v>3465</v>
      </c>
    </row>
    <row r="1340" spans="1:10" ht="28.9" customHeight="1" thickTop="1" thickBot="1" x14ac:dyDescent="0.65">
      <c r="A1340" s="3">
        <v>1338</v>
      </c>
      <c r="B1340" s="44" t="str">
        <f>HYPERLINK("https://search.naver.com/search.naver?query=베를린 영화", "베를린")</f>
        <v>베를린</v>
      </c>
      <c r="C1340" s="45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97" t="s">
        <v>3451</v>
      </c>
    </row>
    <row r="1341" spans="1:10" ht="28.9" customHeight="1" thickTop="1" thickBot="1" x14ac:dyDescent="0.65">
      <c r="A1341" s="5">
        <v>1339</v>
      </c>
      <c r="B1341" s="46" t="str">
        <f>HYPERLINK("https://search.naver.com/search.naver?query=베리 굿 걸 영화", "베리 굿 걸")</f>
        <v>베리 굿 걸</v>
      </c>
      <c r="C1341" s="47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98" t="s">
        <v>3451</v>
      </c>
    </row>
    <row r="1342" spans="1:10" ht="28.9" customHeight="1" thickTop="1" thickBot="1" x14ac:dyDescent="0.65">
      <c r="A1342" s="3">
        <v>1340</v>
      </c>
      <c r="B1342" s="44" t="str">
        <f>HYPERLINK("https://search.naver.com/search.naver?query=베스트 엑조틱 메리골드 호텔 영화", "베스트 엑조틱 메리골드 호텔")</f>
        <v>베스트 엑조틱 메리골드 호텔</v>
      </c>
      <c r="C1342" s="45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97" t="s">
        <v>3454</v>
      </c>
    </row>
    <row r="1343" spans="1:10" ht="28.9" customHeight="1" thickTop="1" thickBot="1" x14ac:dyDescent="0.65">
      <c r="A1343" s="5">
        <v>1341</v>
      </c>
      <c r="B1343" s="46" t="str">
        <f>HYPERLINK("https://search.naver.com/search.naver?query=베스트 엑조틱 메리골드 호텔 2 영화", "베스트 엑조틱 메리골드 호텔 2")</f>
        <v>베스트 엑조틱 메리골드 호텔 2</v>
      </c>
      <c r="C1343" s="47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98" t="s">
        <v>3440</v>
      </c>
    </row>
    <row r="1344" spans="1:10" ht="28.9" customHeight="1" thickTop="1" thickBot="1" x14ac:dyDescent="0.65">
      <c r="A1344" s="3">
        <v>1342</v>
      </c>
      <c r="B1344" s="44" t="str">
        <f>HYPERLINK("https://search.naver.com/search.naver?query=베스트 오퍼 영화", "베스트 오퍼")</f>
        <v>베스트 오퍼</v>
      </c>
      <c r="C1344" s="45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97" t="s">
        <v>3451</v>
      </c>
    </row>
    <row r="1345" spans="1:10" ht="28.9" customHeight="1" thickTop="1" thickBot="1" x14ac:dyDescent="0.65">
      <c r="A1345" s="5">
        <v>1343</v>
      </c>
      <c r="B1345" s="46" t="str">
        <f>HYPERLINK("https://search.naver.com/search.naver?query=베스트셀러 영화", "베스트셀러")</f>
        <v>베스트셀러</v>
      </c>
      <c r="C1345" s="47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98" t="s">
        <v>3455</v>
      </c>
    </row>
    <row r="1346" spans="1:10" ht="28.9" customHeight="1" thickTop="1" thickBot="1" x14ac:dyDescent="0.65">
      <c r="A1346" s="3">
        <v>1344</v>
      </c>
      <c r="B1346" s="44" t="str">
        <f>HYPERLINK("https://search.naver.com/search.naver?query=베이 오브 사일런스 영화", "베이 오브 사일런스")</f>
        <v>베이 오브 사일런스</v>
      </c>
      <c r="C1346" s="45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97" t="s">
        <v>3436</v>
      </c>
    </row>
    <row r="1347" spans="1:10" ht="28.9" customHeight="1" thickTop="1" thickBot="1" x14ac:dyDescent="0.65">
      <c r="A1347" s="5">
        <v>1345</v>
      </c>
      <c r="B1347" s="46" t="str">
        <f>HYPERLINK("https://search.naver.com/search.naver?query=베일리 어게인 영화", "베일리 어게인")</f>
        <v>베일리 어게인</v>
      </c>
      <c r="C1347" s="47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98" t="s">
        <v>3443</v>
      </c>
    </row>
    <row r="1348" spans="1:10" ht="28.9" customHeight="1" thickTop="1" thickBot="1" x14ac:dyDescent="0.65">
      <c r="A1348" s="3">
        <v>1346</v>
      </c>
      <c r="B1348" s="44" t="str">
        <f>HYPERLINK("https://search.naver.com/search.naver?query=베터 데이즈 영화", "베터 데이즈")</f>
        <v>베터 데이즈</v>
      </c>
      <c r="C1348" s="45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97" t="s">
        <v>3444</v>
      </c>
    </row>
    <row r="1349" spans="1:10" ht="28.9" customHeight="1" thickTop="1" thickBot="1" x14ac:dyDescent="0.65">
      <c r="A1349" s="7">
        <v>1347</v>
      </c>
      <c r="B1349" s="48" t="str">
        <f>HYPERLINK("https://search.naver.com/search.naver?query=베터 콜 사울 시즌1", "베터 콜 사울 시즌1")</f>
        <v>베터 콜 사울 시즌1</v>
      </c>
      <c r="C1349" s="49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99" t="s">
        <v>3440</v>
      </c>
    </row>
    <row r="1350" spans="1:10" ht="28.9" customHeight="1" thickTop="1" thickBot="1" x14ac:dyDescent="0.65">
      <c r="A1350" s="7">
        <v>1348</v>
      </c>
      <c r="B1350" s="48" t="str">
        <f>HYPERLINK("https://search.naver.com/search.naver?query=베터 콜 사울 시즌2", "베터 콜 사울 시즌2")</f>
        <v>베터 콜 사울 시즌2</v>
      </c>
      <c r="C1350" s="49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99" t="s">
        <v>3441</v>
      </c>
    </row>
    <row r="1351" spans="1:10" ht="28.9" customHeight="1" thickTop="1" thickBot="1" x14ac:dyDescent="0.65">
      <c r="A1351" s="7">
        <v>1349</v>
      </c>
      <c r="B1351" s="48" t="str">
        <f>HYPERLINK("https://search.naver.com/search.naver?query=베터 콜 사울 시즌3", "베터 콜 사울 시즌3")</f>
        <v>베터 콜 사울 시즌3</v>
      </c>
      <c r="C1351" s="49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99" t="s">
        <v>3443</v>
      </c>
    </row>
    <row r="1352" spans="1:10" ht="28.9" customHeight="1" thickTop="1" thickBot="1" x14ac:dyDescent="0.65">
      <c r="A1352" s="7">
        <v>1350</v>
      </c>
      <c r="B1352" s="48" t="str">
        <f>HYPERLINK("https://search.naver.com/search.naver?query=베터 콜 사울 시즌4", "베터 콜 사울 시즌4")</f>
        <v>베터 콜 사울 시즌4</v>
      </c>
      <c r="C1352" s="49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99" t="s">
        <v>3442</v>
      </c>
    </row>
    <row r="1353" spans="1:10" ht="28.9" customHeight="1" thickTop="1" thickBot="1" x14ac:dyDescent="0.65">
      <c r="A1353" s="7">
        <v>1351</v>
      </c>
      <c r="B1353" s="48" t="str">
        <f>HYPERLINK("https://search.naver.com/search.naver?query=베터 콜 사울 시즌5", "베터 콜 사울 시즌5")</f>
        <v>베터 콜 사울 시즌5</v>
      </c>
      <c r="C1353" s="49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99" t="s">
        <v>3436</v>
      </c>
    </row>
    <row r="1354" spans="1:10" ht="28.9" customHeight="1" thickTop="1" thickBot="1" x14ac:dyDescent="0.65">
      <c r="A1354" s="7">
        <v>1352</v>
      </c>
      <c r="B1354" s="48" t="str">
        <f>HYPERLINK("https://search.naver.com/search.naver?query=베터 콜 사울 시즌6", "베터 콜 사울 시즌6")</f>
        <v>베터 콜 사울 시즌6</v>
      </c>
      <c r="C1354" s="49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99" t="s">
        <v>3445</v>
      </c>
    </row>
    <row r="1355" spans="1:10" ht="28.9" customHeight="1" thickTop="1" thickBot="1" x14ac:dyDescent="0.65">
      <c r="A1355" s="5">
        <v>1353</v>
      </c>
      <c r="B1355" s="46" t="str">
        <f>HYPERLINK("https://search.naver.com/search.naver?query=베테랑1 영화", "베테랑")</f>
        <v>베테랑</v>
      </c>
      <c r="C1355" s="47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98" t="s">
        <v>3440</v>
      </c>
    </row>
    <row r="1356" spans="1:10" ht="28.9" customHeight="1" thickTop="1" thickBot="1" x14ac:dyDescent="0.65">
      <c r="A1356" s="3">
        <v>1354</v>
      </c>
      <c r="B1356" s="44" t="str">
        <f>HYPERLINK("https://search.naver.com/search.naver?query=베테랑2 영화", "베테랑2")</f>
        <v>베테랑2</v>
      </c>
      <c r="C1356" s="45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97" t="s">
        <v>3448</v>
      </c>
    </row>
    <row r="1357" spans="1:10" ht="28.9" customHeight="1" thickTop="1" thickBot="1" x14ac:dyDescent="0.65">
      <c r="A1357" s="5">
        <v>1355</v>
      </c>
      <c r="B1357" s="46" t="str">
        <f>HYPERLINK("https://search.naver.com/search.naver?query=벡키 영화", "벡키")</f>
        <v>벡키</v>
      </c>
      <c r="C1357" s="47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98" t="s">
        <v>3436</v>
      </c>
    </row>
    <row r="1358" spans="1:10" ht="28.9" customHeight="1" thickTop="1" thickBot="1" x14ac:dyDescent="0.65">
      <c r="A1358" s="3">
        <v>1356</v>
      </c>
      <c r="B1358" s="44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45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97" t="s">
        <v>3450</v>
      </c>
    </row>
    <row r="1359" spans="1:10" ht="28.9" customHeight="1" thickTop="1" thickBot="1" x14ac:dyDescent="0.65">
      <c r="A1359" s="5">
        <v>1357</v>
      </c>
      <c r="B1359" s="46" t="str">
        <f>HYPERLINK("https://search.naver.com/search.naver?query=벤쿠버의 아침 영화", "벤쿠버의 아침")</f>
        <v>벤쿠버의 아침</v>
      </c>
      <c r="C1359" s="47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98" t="s">
        <v>3437</v>
      </c>
    </row>
    <row r="1360" spans="1:10" ht="28.9" customHeight="1" thickTop="1" thickBot="1" x14ac:dyDescent="0.65">
      <c r="A1360" s="3">
        <v>1358</v>
      </c>
      <c r="B1360" s="44" t="str">
        <f>HYPERLINK("https://search.naver.com/search.naver?query=벨 칸토 영화", "벨 칸토")</f>
        <v>벨 칸토</v>
      </c>
      <c r="C1360" s="45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97" t="s">
        <v>3442</v>
      </c>
    </row>
    <row r="1361" spans="1:10" ht="28.9" customHeight="1" thickTop="1" thickBot="1" x14ac:dyDescent="0.65">
      <c r="A1361" s="5">
        <v>1359</v>
      </c>
      <c r="B1361" s="46" t="str">
        <f>HYPERLINK("https://search.naver.com/search.naver?query=벨과 세바스찬 영화", "벨과 세바스찬")</f>
        <v>벨과 세바스찬</v>
      </c>
      <c r="C1361" s="47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98" t="s">
        <v>3451</v>
      </c>
    </row>
    <row r="1362" spans="1:10" ht="28.9" customHeight="1" thickTop="1" thickBot="1" x14ac:dyDescent="0.65">
      <c r="A1362" s="3">
        <v>1360</v>
      </c>
      <c r="B1362" s="44" t="str">
        <f>HYPERLINK("https://search.naver.com/search.naver?query=벨라 영화", "벨라")</f>
        <v>벨라</v>
      </c>
      <c r="C1362" s="45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97" t="s">
        <v>3460</v>
      </c>
    </row>
    <row r="1363" spans="1:10" ht="28.9" customHeight="1" thickTop="1" thickBot="1" x14ac:dyDescent="0.65">
      <c r="A1363" s="5">
        <v>1361</v>
      </c>
      <c r="B1363" s="46" t="str">
        <f>HYPERLINK("https://search.naver.com/search.naver?query=벨벳 버즈소 영화", "벨벳 버즈소")</f>
        <v>벨벳 버즈소</v>
      </c>
      <c r="C1363" s="47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98" t="s">
        <v>3444</v>
      </c>
    </row>
    <row r="1364" spans="1:10" ht="28.9" customHeight="1" thickTop="1" thickBot="1" x14ac:dyDescent="0.65">
      <c r="A1364" s="3">
        <v>1362</v>
      </c>
      <c r="B1364" s="44" t="str">
        <f>HYPERLINK("https://search.naver.com/search.naver?query=벨아미 영화", "벨아미")</f>
        <v>벨아미</v>
      </c>
      <c r="C1364" s="45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97" t="s">
        <v>3439</v>
      </c>
    </row>
    <row r="1365" spans="1:10" ht="28.9" customHeight="1" thickTop="1" thickBot="1" x14ac:dyDescent="0.65">
      <c r="A1365" s="5">
        <v>1363</v>
      </c>
      <c r="B1365" s="46" t="str">
        <f>HYPERLINK("https://search.naver.com/search.naver?query=변산 영화", "변산")</f>
        <v>변산</v>
      </c>
      <c r="C1365" s="47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98" t="s">
        <v>3443</v>
      </c>
    </row>
    <row r="1366" spans="1:10" ht="28.9" customHeight="1" thickTop="1" thickBot="1" x14ac:dyDescent="0.65">
      <c r="A1366" s="3">
        <v>1364</v>
      </c>
      <c r="B1366" s="44" t="str">
        <f>HYPERLINK("https://search.naver.com/search.naver?query=변호인 영화", "변호인")</f>
        <v>변호인</v>
      </c>
      <c r="C1366" s="45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97" t="s">
        <v>3451</v>
      </c>
    </row>
    <row r="1367" spans="1:10" ht="28.9" customHeight="1" thickTop="1" thickBot="1" x14ac:dyDescent="0.65">
      <c r="A1367" s="5">
        <v>1365</v>
      </c>
      <c r="B1367" s="46" t="str">
        <f>HYPERLINK("https://search.naver.com/search.naver?query=보고타:마지막 기회의 땅 영화", "보고타 - 마지막 기회의 땅")</f>
        <v>보고타 - 마지막 기회의 땅</v>
      </c>
      <c r="C1367" s="47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98" t="s">
        <v>3448</v>
      </c>
    </row>
    <row r="1368" spans="1:10" ht="28.9" customHeight="1" thickTop="1" thickBot="1" x14ac:dyDescent="0.65">
      <c r="A1368" s="3">
        <v>1366</v>
      </c>
      <c r="B1368" s="44" t="str">
        <f>HYPERLINK("https://search.naver.com/search.naver?query=보더타운 영화", "보더타운")</f>
        <v>보더타운</v>
      </c>
      <c r="C1368" s="45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97" t="s">
        <v>3447</v>
      </c>
    </row>
    <row r="1369" spans="1:10" ht="28.9" customHeight="1" thickTop="1" thickBot="1" x14ac:dyDescent="0.65">
      <c r="A1369" s="5">
        <v>1367</v>
      </c>
      <c r="B1369" s="46" t="str">
        <f>HYPERLINK("https://search.naver.com/search.naver?query=보디가드", "보디가드")</f>
        <v>보디가드</v>
      </c>
      <c r="C1369" s="47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98" t="s">
        <v>3473</v>
      </c>
    </row>
    <row r="1370" spans="1:10" ht="28.9" customHeight="1" thickTop="1" thickBot="1" x14ac:dyDescent="0.65">
      <c r="A1370" s="7">
        <v>1368</v>
      </c>
      <c r="B1370" s="48" t="str">
        <f>HYPERLINK("https://search.naver.com/search.naver?query=보디가드 드라마", "보디가드")</f>
        <v>보디가드</v>
      </c>
      <c r="C1370" s="49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99" t="s">
        <v>3442</v>
      </c>
    </row>
    <row r="1371" spans="1:10" ht="28.9" customHeight="1" thickTop="1" thickBot="1" x14ac:dyDescent="0.65">
      <c r="A1371" s="7">
        <v>1369</v>
      </c>
      <c r="B1371" s="48" t="str">
        <f>HYPERLINK("https://search.naver.com/search.naver?query=보슈 시즌1", "보슈 시즌1")</f>
        <v>보슈 시즌1</v>
      </c>
      <c r="C1371" s="49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99" t="s">
        <v>3437</v>
      </c>
    </row>
    <row r="1372" spans="1:10" ht="28.9" customHeight="1" thickTop="1" thickBot="1" x14ac:dyDescent="0.65">
      <c r="A1372" s="3">
        <v>1370</v>
      </c>
      <c r="B1372" s="44" t="str">
        <f>HYPERLINK("https://search.naver.com/search.naver?query=보스턴 교살자 영화", "보스턴 교살자")</f>
        <v>보스턴 교살자</v>
      </c>
      <c r="C1372" s="45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97" t="s">
        <v>3446</v>
      </c>
    </row>
    <row r="1373" spans="1:10" ht="28.9" customHeight="1" thickTop="1" thickBot="1" x14ac:dyDescent="0.65">
      <c r="A1373" s="5">
        <v>1371</v>
      </c>
      <c r="B1373" s="46" t="str">
        <f>HYPERLINK("https://search.naver.com/search.naver?query=보이 이레이즈드 영화", "보이 이레이즈드")</f>
        <v>보이 이레이즈드</v>
      </c>
      <c r="C1373" s="47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98" t="s">
        <v>3442</v>
      </c>
    </row>
    <row r="1374" spans="1:10" ht="28.9" customHeight="1" thickTop="1" thickBot="1" x14ac:dyDescent="0.65">
      <c r="A1374" s="7">
        <v>1372</v>
      </c>
      <c r="B1374" s="48" t="str">
        <f>HYPERLINK("https://search.naver.com/search.naver?query=보이스 시즌1", "보이스")</f>
        <v>보이스</v>
      </c>
      <c r="C1374" s="49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99" t="s">
        <v>3443</v>
      </c>
    </row>
    <row r="1375" spans="1:10" ht="28.9" customHeight="1" thickTop="1" thickBot="1" x14ac:dyDescent="0.65">
      <c r="A1375" s="5">
        <v>1373</v>
      </c>
      <c r="B1375" s="46" t="str">
        <f>HYPERLINK("https://search.naver.com/search.naver?query=보이스 영화", "보이스")</f>
        <v>보이스</v>
      </c>
      <c r="C1375" s="47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98" t="s">
        <v>3438</v>
      </c>
    </row>
    <row r="1376" spans="1:10" ht="28.9" customHeight="1" thickTop="1" thickBot="1" x14ac:dyDescent="0.65">
      <c r="A1376" s="3">
        <v>1374</v>
      </c>
      <c r="B1376" s="44" t="str">
        <f>HYPERLINK("https://search.naver.com/search.naver?query=보이저스 영화", "보이저스")</f>
        <v>보이저스</v>
      </c>
      <c r="C1376" s="45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97" t="s">
        <v>3438</v>
      </c>
    </row>
    <row r="1377" spans="1:10" ht="28.9" customHeight="1" thickTop="1" thickBot="1" x14ac:dyDescent="0.65">
      <c r="A1377" s="5">
        <v>1375</v>
      </c>
      <c r="B1377" s="46" t="str">
        <f>HYPERLINK("https://search.naver.com/search.naver?query=보이카 - 언디스퓨티드 파이널 영화", "보이카 - 언디스퓨티드 파이널")</f>
        <v>보이카 - 언디스퓨티드 파이널</v>
      </c>
      <c r="C1377" s="47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98" t="s">
        <v>3441</v>
      </c>
    </row>
    <row r="1378" spans="1:10" ht="28.9" customHeight="1" thickTop="1" thickBot="1" x14ac:dyDescent="0.65">
      <c r="A1378" s="3">
        <v>1376</v>
      </c>
      <c r="B1378" s="44" t="str">
        <f>HYPERLINK("https://search.naver.com/search.naver?query=보이후드 영화", "보이후드")</f>
        <v>보이후드</v>
      </c>
      <c r="C1378" s="45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97" t="s">
        <v>3437</v>
      </c>
    </row>
    <row r="1379" spans="1:10" ht="28.9" customHeight="1" thickTop="1" thickBot="1" x14ac:dyDescent="0.65">
      <c r="A1379" s="5">
        <v>1377</v>
      </c>
      <c r="B1379" s="46" t="str">
        <f>HYPERLINK("https://search.naver.com/search.naver?query=보통사람 영화", "보통사람")</f>
        <v>보통사람</v>
      </c>
      <c r="C1379" s="47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98" t="s">
        <v>3443</v>
      </c>
    </row>
    <row r="1380" spans="1:10" ht="28.9" customHeight="1" thickTop="1" thickBot="1" x14ac:dyDescent="0.65">
      <c r="A1380" s="3">
        <v>1378</v>
      </c>
      <c r="B1380" s="44" t="str">
        <f>HYPERLINK("https://search.naver.com/search.naver?query=보통의 가족 영화", "보통의 가족")</f>
        <v>보통의 가족</v>
      </c>
      <c r="C1380" s="45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97" t="s">
        <v>3448</v>
      </c>
    </row>
    <row r="1381" spans="1:10" ht="28.9" customHeight="1" thickTop="1" thickBot="1" x14ac:dyDescent="0.65">
      <c r="A1381" s="5">
        <v>1379</v>
      </c>
      <c r="B1381" s="46" t="str">
        <f>HYPERLINK("https://search.naver.com/search.naver?query=보헤미안 랩소디 영화", "보헤미안 랩소디")</f>
        <v>보헤미안 랩소디</v>
      </c>
      <c r="C1381" s="47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98" t="s">
        <v>3442</v>
      </c>
    </row>
    <row r="1382" spans="1:10" ht="28.9" customHeight="1" thickTop="1" thickBot="1" x14ac:dyDescent="0.65">
      <c r="A1382" s="3">
        <v>1380</v>
      </c>
      <c r="B1382" s="44" t="str">
        <f>HYPERLINK("https://search.naver.com/search.naver?query=보호받지 못한 사람들 영화", "보호받지 못한 사람들")</f>
        <v>보호받지 못한 사람들</v>
      </c>
      <c r="C1382" s="45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97" t="s">
        <v>3438</v>
      </c>
    </row>
    <row r="1383" spans="1:10" ht="28.9" customHeight="1" thickTop="1" thickBot="1" x14ac:dyDescent="0.65">
      <c r="A1383" s="5">
        <v>1381</v>
      </c>
      <c r="B1383" s="46" t="str">
        <f>HYPERLINK("https://search.naver.com/search.naver?query=보호자 영화", "보호자")</f>
        <v>보호자</v>
      </c>
      <c r="C1383" s="47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98" t="s">
        <v>3446</v>
      </c>
    </row>
    <row r="1384" spans="1:10" ht="28.9" customHeight="1" thickTop="1" thickBot="1" x14ac:dyDescent="0.65">
      <c r="A1384" s="3">
        <v>1382</v>
      </c>
      <c r="B1384" s="44" t="str">
        <f>HYPERLINK("https://search.naver.com/search.naver?query=복수는 나의 것 영화", "복수는 나의 것")</f>
        <v>복수는 나의 것</v>
      </c>
      <c r="C1384" s="45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97" t="s">
        <v>3480</v>
      </c>
    </row>
    <row r="1385" spans="1:10" ht="28.9" customHeight="1" thickTop="1" thickBot="1" x14ac:dyDescent="0.65">
      <c r="A1385" s="5">
        <v>1383</v>
      </c>
      <c r="B1385" s="46" t="str">
        <f>HYPERLINK("https://search.naver.com/search.naver?query=복수의 사도-어포슬 영화", "복수의 사도-어포슬")</f>
        <v>복수의 사도-어포슬</v>
      </c>
      <c r="C1385" s="47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98" t="s">
        <v>3442</v>
      </c>
    </row>
    <row r="1386" spans="1:10" ht="28.9" customHeight="1" thickTop="1" thickBot="1" x14ac:dyDescent="0.65">
      <c r="A1386" s="3">
        <v>1384</v>
      </c>
      <c r="B1386" s="44" t="str">
        <f>HYPERLINK("https://search.naver.com/search.naver?query=본 슈프리머시 영화", "본 슈프리머시")</f>
        <v>본 슈프리머시</v>
      </c>
      <c r="C1386" s="45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97" t="s">
        <v>3462</v>
      </c>
    </row>
    <row r="1387" spans="1:10" ht="28.9" customHeight="1" thickTop="1" thickBot="1" x14ac:dyDescent="0.65">
      <c r="A1387" s="5">
        <v>1385</v>
      </c>
      <c r="B1387" s="46" t="str">
        <f>HYPERLINK("https://search.naver.com/search.naver?query=본 투 비 블루 영화", "본 투 비 블루")</f>
        <v>본 투 비 블루</v>
      </c>
      <c r="C1387" s="47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98" t="s">
        <v>3440</v>
      </c>
    </row>
    <row r="1388" spans="1:10" ht="28.9" customHeight="1" thickTop="1" thickBot="1" x14ac:dyDescent="0.65">
      <c r="A1388" s="3">
        <v>1386</v>
      </c>
      <c r="B1388" s="44" t="str">
        <f>HYPERLINK("https://search.naver.com/search.naver?query=볼케이노 영화", "볼케이노")</f>
        <v>볼케이노</v>
      </c>
      <c r="C1388" s="45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97" t="s">
        <v>3470</v>
      </c>
    </row>
    <row r="1389" spans="1:10" ht="28.9" customHeight="1" thickTop="1" thickBot="1" x14ac:dyDescent="0.65">
      <c r="A1389" s="5">
        <v>1387</v>
      </c>
      <c r="B1389" s="46" t="str">
        <f>HYPERLINK("https://search.naver.com/search.naver?query=봄날 영화", "봄날")</f>
        <v>봄날</v>
      </c>
      <c r="C1389" s="47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98" t="s">
        <v>3445</v>
      </c>
    </row>
    <row r="1390" spans="1:10" ht="28.9" customHeight="1" thickTop="1" thickBot="1" x14ac:dyDescent="0.65">
      <c r="A1390" s="3">
        <v>1388</v>
      </c>
      <c r="B1390" s="44" t="str">
        <f>HYPERLINK("https://search.naver.com/search.naver?query=봄날은 간다 영화", "봄날은 간다")</f>
        <v>봄날은 간다</v>
      </c>
      <c r="C1390" s="45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97" t="s">
        <v>3457</v>
      </c>
    </row>
    <row r="1391" spans="1:10" ht="28.9" customHeight="1" thickTop="1" thickBot="1" x14ac:dyDescent="0.65">
      <c r="A1391" s="5">
        <v>1389</v>
      </c>
      <c r="B1391" s="46" t="str">
        <f>HYPERLINK("https://search.naver.com/search.naver?query=봄을 짊어지고 영화", "봄을 짊어지고")</f>
        <v>봄을 짊어지고</v>
      </c>
      <c r="C1391" s="47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98" t="s">
        <v>3437</v>
      </c>
    </row>
    <row r="1392" spans="1:10" ht="28.9" customHeight="1" thickTop="1" thickBot="1" x14ac:dyDescent="0.65">
      <c r="A1392" s="3">
        <v>1390</v>
      </c>
      <c r="B1392" s="44" t="str">
        <f>HYPERLINK("https://search.naver.com/search.naver?query=봉오동 전투 영화", "봉오동 전투")</f>
        <v>봉오동 전투</v>
      </c>
      <c r="C1392" s="45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97" t="s">
        <v>3444</v>
      </c>
    </row>
    <row r="1393" spans="1:10" ht="28.9" customHeight="1" thickTop="1" thickBot="1" x14ac:dyDescent="0.65">
      <c r="A1393" s="5">
        <v>1391</v>
      </c>
      <c r="B1393" s="46" t="str">
        <f>HYPERLINK("https://search.naver.com/search.naver?query=봉이 김선달 영화", "봉이 김선달")</f>
        <v>봉이 김선달</v>
      </c>
      <c r="C1393" s="47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98" t="s">
        <v>3441</v>
      </c>
    </row>
    <row r="1394" spans="1:10" ht="28.9" customHeight="1" thickTop="1" thickBot="1" x14ac:dyDescent="0.65">
      <c r="A1394" s="3">
        <v>1392</v>
      </c>
      <c r="B1394" s="44" t="str">
        <f>HYPERLINK("https://search.naver.com/search.naver?query=부라더 영화", "부라더")</f>
        <v>부라더</v>
      </c>
      <c r="C1394" s="45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97" t="s">
        <v>3443</v>
      </c>
    </row>
    <row r="1395" spans="1:10" ht="28.9" customHeight="1" thickTop="1" thickBot="1" x14ac:dyDescent="0.65">
      <c r="A1395" s="5">
        <v>1393</v>
      </c>
      <c r="B1395" s="46" t="str">
        <f>HYPERLINK("https://search.naver.com/search.naver?query=부러진 화살 영화", "부러진 화살")</f>
        <v>부러진 화살</v>
      </c>
      <c r="C1395" s="47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98" t="s">
        <v>3454</v>
      </c>
    </row>
    <row r="1396" spans="1:10" ht="28.9" customHeight="1" thickTop="1" thickBot="1" x14ac:dyDescent="0.65">
      <c r="A1396" s="3">
        <v>1394</v>
      </c>
      <c r="B1396" s="44" t="str">
        <f>HYPERLINK("https://search.naver.com/search.naver?query=부모님과 이혼하는 방법 영화", "부모님과 이혼하는 방법")</f>
        <v>부모님과 이혼하는 방법</v>
      </c>
      <c r="C1396" s="45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97" t="s">
        <v>3441</v>
      </c>
    </row>
    <row r="1397" spans="1:10" ht="28.9" customHeight="1" thickTop="1" thickBot="1" x14ac:dyDescent="0.65">
      <c r="A1397" s="5">
        <v>1395</v>
      </c>
      <c r="B1397" s="46" t="str">
        <f>HYPERLINK("https://search.naver.com/search.naver?query=부산행 영화", "부산행")</f>
        <v>부산행</v>
      </c>
      <c r="C1397" s="47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98" t="s">
        <v>3441</v>
      </c>
    </row>
    <row r="1398" spans="1:10" ht="28.9" customHeight="1" thickTop="1" thickBot="1" x14ac:dyDescent="0.65">
      <c r="A1398" s="3">
        <v>1396</v>
      </c>
      <c r="B1398" s="44" t="str">
        <f>HYPERLINK("https://search.naver.com/search.naver?query=부에나 비스타 소셜 클럽 영화", "부에나 비스타 소셜 클럽")</f>
        <v>부에나 비스타 소셜 클럽</v>
      </c>
      <c r="C1398" s="45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97" t="s">
        <v>3456</v>
      </c>
    </row>
    <row r="1399" spans="1:10" ht="28.9" customHeight="1" thickTop="1" thickBot="1" x14ac:dyDescent="0.65">
      <c r="A1399" s="7">
        <v>1397</v>
      </c>
      <c r="B1399" s="48" t="str">
        <f>HYPERLINK("https://search.naver.com/search.naver?query=부인은 취급주의", "부인은 취급주의")</f>
        <v>부인은 취급주의</v>
      </c>
      <c r="C1399" s="49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99" t="s">
        <v>3443</v>
      </c>
    </row>
    <row r="1400" spans="1:10" ht="28.9" customHeight="1" thickTop="1" thickBot="1" x14ac:dyDescent="0.65">
      <c r="A1400" s="3">
        <v>1398</v>
      </c>
      <c r="B1400" s="44" t="str">
        <f>HYPERLINK("https://search.naver.com/search.naver?query=부재양니고단 영화", "부재양니고단")</f>
        <v>부재양니고단</v>
      </c>
      <c r="C1400" s="45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97" t="s">
        <v>3454</v>
      </c>
    </row>
    <row r="1401" spans="1:10" ht="28.9" customHeight="1" thickTop="1" thickBot="1" x14ac:dyDescent="0.65">
      <c r="A1401" s="5">
        <v>1399</v>
      </c>
      <c r="B1401" s="46" t="str">
        <f>HYPERLINK("https://search.naver.com/search.naver?query=부탁 하나만 들어줘 영화", "부탁 하나만 들어줘")</f>
        <v>부탁 하나만 들어줘</v>
      </c>
      <c r="C1401" s="47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98" t="s">
        <v>3442</v>
      </c>
    </row>
    <row r="1402" spans="1:10" ht="28.9" customHeight="1" thickTop="1" thickBot="1" x14ac:dyDescent="0.65">
      <c r="A1402" s="3">
        <v>1400</v>
      </c>
      <c r="B1402" s="44" t="str">
        <f>HYPERLINK("https://search.naver.com/search.naver?query=부활 영화", "부활")</f>
        <v>부활</v>
      </c>
      <c r="C1402" s="45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97" t="s">
        <v>3441</v>
      </c>
    </row>
    <row r="1403" spans="1:10" ht="28.9" customHeight="1" thickTop="1" thickBot="1" x14ac:dyDescent="0.65">
      <c r="A1403" s="5">
        <v>1401</v>
      </c>
      <c r="B1403" s="46" t="str">
        <f>HYPERLINK("https://search.naver.com/search.naver?query=북 오브 러브 영화", "북 오브 러브")</f>
        <v>북 오브 러브</v>
      </c>
      <c r="C1403" s="47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98" t="s">
        <v>3445</v>
      </c>
    </row>
    <row r="1404" spans="1:10" ht="28.9" customHeight="1" thickTop="1" thickBot="1" x14ac:dyDescent="0.65">
      <c r="A1404" s="7">
        <v>1402</v>
      </c>
      <c r="B1404" s="48" t="str">
        <f>HYPERLINK("https://search.naver.com/search.naver?query=북극성", "북극성")</f>
        <v>북극성</v>
      </c>
      <c r="C1404" s="49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99" t="s">
        <v>3459</v>
      </c>
    </row>
    <row r="1405" spans="1:10" ht="28.9" customHeight="1" thickTop="1" thickBot="1" x14ac:dyDescent="0.65">
      <c r="A1405" s="5">
        <v>1403</v>
      </c>
      <c r="B1405" s="46" t="str">
        <f>HYPERLINK("https://search.naver.com/search.naver?query=북의 영년 영화", "북의 영년")</f>
        <v>북의 영년</v>
      </c>
      <c r="C1405" s="47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98" t="s">
        <v>3462</v>
      </c>
    </row>
    <row r="1406" spans="1:10" ht="28.9" customHeight="1" thickTop="1" thickBot="1" x14ac:dyDescent="0.65">
      <c r="A1406" s="3">
        <v>1404</v>
      </c>
      <c r="B1406" s="44" t="str">
        <f>HYPERLINK("https://search.naver.com/search.naver?query=북쪽의 카나리아들 영화", "북쪽의 카나리아들")</f>
        <v>북쪽의 카나리아들</v>
      </c>
      <c r="C1406" s="45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97" t="s">
        <v>3439</v>
      </c>
    </row>
    <row r="1407" spans="1:10" ht="28.9" customHeight="1" thickTop="1" thickBot="1" x14ac:dyDescent="0.65">
      <c r="A1407" s="5">
        <v>1405</v>
      </c>
      <c r="B1407" s="46" t="str">
        <f>HYPERLINK("https://search.naver.com/search.naver?query=분노 영화", "분노")</f>
        <v>분노</v>
      </c>
      <c r="C1407" s="47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98" t="s">
        <v>3443</v>
      </c>
    </row>
    <row r="1408" spans="1:10" ht="28.9" customHeight="1" thickTop="1" thickBot="1" x14ac:dyDescent="0.65">
      <c r="A1408" s="3">
        <v>1406</v>
      </c>
      <c r="B1408" s="44" t="str">
        <f>HYPERLINK("https://search.naver.com/search.naver?query=분노의 역류 영화", "분노의 역류")</f>
        <v>분노의 역류</v>
      </c>
      <c r="C1408" s="45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97" t="s">
        <v>3465</v>
      </c>
    </row>
    <row r="1409" spans="1:10" ht="28.9" customHeight="1" thickTop="1" thickBot="1" x14ac:dyDescent="0.65">
      <c r="A1409" s="5">
        <v>1407</v>
      </c>
      <c r="B1409" s="46" t="str">
        <f>HYPERLINK("https://search.naver.com/search.naver?query=영화 분노의 역류2019", "분노의 역류-2")</f>
        <v>분노의 역류-2</v>
      </c>
      <c r="C1409" s="47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98" t="s">
        <v>3444</v>
      </c>
    </row>
    <row r="1410" spans="1:10" ht="28.9" customHeight="1" thickTop="1" thickBot="1" x14ac:dyDescent="0.65">
      <c r="A1410" s="3">
        <v>1408</v>
      </c>
      <c r="B1410" s="44" t="str">
        <f>HYPERLINK("https://search.naver.com/search.naver?query=분노의 질주 더 맥시멈 영화", "분노의 질주 - 더 맥시멈")</f>
        <v>분노의 질주 - 더 맥시멈</v>
      </c>
      <c r="C1410" s="45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97" t="s">
        <v>3451</v>
      </c>
    </row>
    <row r="1411" spans="1:10" ht="28.9" customHeight="1" thickTop="1" thickBot="1" x14ac:dyDescent="0.65">
      <c r="A1411" s="5">
        <v>1409</v>
      </c>
      <c r="B1411" s="46" t="str">
        <f>HYPERLINK("https://search.naver.com/search.naver?query=분노의 질주 더 세븐 영화", "분노의 질주 - 더 세븐")</f>
        <v>분노의 질주 - 더 세븐</v>
      </c>
      <c r="C1411" s="47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98" t="s">
        <v>3440</v>
      </c>
    </row>
    <row r="1412" spans="1:10" ht="28.9" customHeight="1" thickTop="1" thickBot="1" x14ac:dyDescent="0.65">
      <c r="A1412" s="3">
        <v>1410</v>
      </c>
      <c r="B1412" s="44" t="str">
        <f>HYPERLINK("https://search.naver.com/search.naver?query=분노의 질주 8 더 익스트림 영화", "분노의 질주 8 더 익스트림")</f>
        <v>분노의 질주 8 더 익스트림</v>
      </c>
      <c r="C1412" s="45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97" t="s">
        <v>3443</v>
      </c>
    </row>
    <row r="1413" spans="1:10" ht="28.9" customHeight="1" thickTop="1" thickBot="1" x14ac:dyDescent="0.65">
      <c r="A1413" s="5">
        <v>1411</v>
      </c>
      <c r="B1413" s="46" t="str">
        <f>HYPERLINK("https://search.naver.com/search.naver?query=분노의 질주 더 얼티메이트 영화", "분노의 질주-더 얼티메이트")</f>
        <v>분노의 질주-더 얼티메이트</v>
      </c>
      <c r="C1413" s="47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98" t="s">
        <v>3438</v>
      </c>
    </row>
    <row r="1414" spans="1:10" ht="28.9" customHeight="1" thickTop="1" thickBot="1" x14ac:dyDescent="0.65">
      <c r="A1414" s="3">
        <v>1412</v>
      </c>
      <c r="B1414" s="44" t="str">
        <f>HYPERLINK("https://search.naver.com/search.naver?query=분노의 질주 홉스&amp;쇼 영화", "분노의 질주-홉스&amp;쇼")</f>
        <v>분노의 질주-홉스&amp;쇼</v>
      </c>
      <c r="C1414" s="45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97" t="s">
        <v>3444</v>
      </c>
    </row>
    <row r="1415" spans="1:10" ht="28.9" customHeight="1" thickTop="1" thickBot="1" x14ac:dyDescent="0.65">
      <c r="A1415" s="5">
        <v>1413</v>
      </c>
      <c r="B1415" s="46" t="str">
        <f>HYPERLINK("https://search.naver.com/search.naver?query=분노의 추격자 영화", "분노의 추격자")</f>
        <v>분노의 추격자</v>
      </c>
      <c r="C1415" s="47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98" t="s">
        <v>3445</v>
      </c>
    </row>
    <row r="1416" spans="1:10" ht="28.9" customHeight="1" thickTop="1" thickBot="1" x14ac:dyDescent="0.65">
      <c r="A1416" s="3">
        <v>1414</v>
      </c>
      <c r="B1416" s="44" t="str">
        <f>HYPERLINK("https://search.naver.com/search.naver?query=불능범 영화", "불능범")</f>
        <v>불능범</v>
      </c>
      <c r="C1416" s="45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97" t="s">
        <v>3442</v>
      </c>
    </row>
    <row r="1417" spans="1:10" ht="28.9" customHeight="1" thickTop="1" thickBot="1" x14ac:dyDescent="0.65">
      <c r="A1417" s="5">
        <v>1415</v>
      </c>
      <c r="B1417" s="46" t="str">
        <f>HYPERLINK("https://search.naver.com/search.naver?query=불량소녀 너를 응원해 영화", "불량소녀, 너를 응원해")</f>
        <v>불량소녀, 너를 응원해</v>
      </c>
      <c r="C1417" s="47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98" t="s">
        <v>3440</v>
      </c>
    </row>
    <row r="1418" spans="1:10" ht="28.9" customHeight="1" thickTop="1" thickBot="1" x14ac:dyDescent="0.65">
      <c r="A1418" s="3">
        <v>1416</v>
      </c>
      <c r="B1418" s="44" t="str">
        <f>HYPERLINK("https://search.naver.com/search.naver?query=불쾌한 과거 영화", "불쾌한 과거")</f>
        <v>불쾌한 과거</v>
      </c>
      <c r="C1418" s="45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97" t="s">
        <v>3441</v>
      </c>
    </row>
    <row r="1419" spans="1:10" ht="28.9" customHeight="1" thickTop="1" thickBot="1" x14ac:dyDescent="0.65">
      <c r="A1419" s="5">
        <v>1417</v>
      </c>
      <c r="B1419" s="46" t="str">
        <f>HYPERLINK("https://search.naver.com/search.naver?query=붉은 수수밭 영화", "붉은 수수밭")</f>
        <v>붉은 수수밭</v>
      </c>
      <c r="C1419" s="47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98" t="s">
        <v>3481</v>
      </c>
    </row>
    <row r="1420" spans="1:10" ht="28.9" customHeight="1" thickTop="1" thickBot="1" x14ac:dyDescent="0.65">
      <c r="A1420" s="3">
        <v>1418</v>
      </c>
      <c r="B1420" s="44" t="str">
        <f>HYPERLINK("https://search.naver.com/search.naver?query=뷰티 인 더 글라스 영화", "뷰티 인 더 글라스")</f>
        <v>뷰티 인 더 글라스</v>
      </c>
      <c r="C1420" s="45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97" t="s">
        <v>3444</v>
      </c>
    </row>
    <row r="1421" spans="1:10" ht="28.9" customHeight="1" thickTop="1" thickBot="1" x14ac:dyDescent="0.65">
      <c r="A1421" s="5">
        <v>1419</v>
      </c>
      <c r="B1421" s="46" t="str">
        <f>HYPERLINK("https://search.naver.com/search.naver?query=뷰티풀 데이즈 영화", "뷰티풀 데이즈")</f>
        <v>뷰티풀 데이즈</v>
      </c>
      <c r="C1421" s="47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98" t="s">
        <v>3442</v>
      </c>
    </row>
    <row r="1422" spans="1:10" ht="28.9" customHeight="1" thickTop="1" thickBot="1" x14ac:dyDescent="0.65">
      <c r="A1422" s="3">
        <v>1420</v>
      </c>
      <c r="B1422" s="44" t="str">
        <f>HYPERLINK("https://search.naver.com/search.naver?query=뷰티풀 라이 영화", "뷰티풀 라이")</f>
        <v>뷰티풀 라이</v>
      </c>
      <c r="C1422" s="45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97" t="s">
        <v>3440</v>
      </c>
    </row>
    <row r="1423" spans="1:10" ht="28.9" customHeight="1" thickTop="1" thickBot="1" x14ac:dyDescent="0.65">
      <c r="A1423" s="5">
        <v>1421</v>
      </c>
      <c r="B1423" s="46" t="str">
        <f>HYPERLINK("https://search.naver.com/search.naver?query=뷰티풀 프래니 영화", "뷰티풀 프래니")</f>
        <v>뷰티풀 프래니</v>
      </c>
      <c r="C1423" s="47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98" t="s">
        <v>3441</v>
      </c>
    </row>
    <row r="1424" spans="1:10" ht="28.9" customHeight="1" thickTop="1" thickBot="1" x14ac:dyDescent="0.65">
      <c r="A1424" s="3">
        <v>1422</v>
      </c>
      <c r="B1424" s="44" t="str">
        <f>HYPERLINK("https://search.naver.com/search.naver?query=브라더 영화", "브라더")</f>
        <v>브라더</v>
      </c>
      <c r="C1424" s="45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97" t="s">
        <v>3458</v>
      </c>
    </row>
    <row r="1425" spans="1:10" ht="28.9" customHeight="1" thickTop="1" thickBot="1" x14ac:dyDescent="0.65">
      <c r="A1425" s="5">
        <v>1423</v>
      </c>
      <c r="B1425" s="46" t="str">
        <f>HYPERLINK("https://search.naver.com/search.naver?query=브라더스 영화", "브라더스")</f>
        <v>브라더스</v>
      </c>
      <c r="C1425" s="47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98" t="s">
        <v>3453</v>
      </c>
    </row>
    <row r="1426" spans="1:10" ht="28.9" customHeight="1" thickTop="1" thickBot="1" x14ac:dyDescent="0.65">
      <c r="A1426" s="3">
        <v>1424</v>
      </c>
      <c r="B1426" s="44" t="str">
        <f>HYPERLINK("https://search.naver.com/search.naver?query=브레이브 언더 파이어 영화", "브레이브 언더 파이어")</f>
        <v>브레이브 언더 파이어</v>
      </c>
      <c r="C1426" s="45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97" t="s">
        <v>3438</v>
      </c>
    </row>
    <row r="1427" spans="1:10" ht="28.9" customHeight="1" thickTop="1" thickBot="1" x14ac:dyDescent="0.65">
      <c r="A1427" s="5">
        <v>1425</v>
      </c>
      <c r="B1427" s="46" t="str">
        <f>HYPERLINK("https://search.naver.com/search.naver?query=브레이브 원 영화", "브레이브 원")</f>
        <v>브레이브 원</v>
      </c>
      <c r="C1427" s="47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98" t="s">
        <v>3447</v>
      </c>
    </row>
    <row r="1428" spans="1:10" ht="28.9" customHeight="1" thickTop="1" thickBot="1" x14ac:dyDescent="0.65">
      <c r="A1428" s="3">
        <v>1426</v>
      </c>
      <c r="B1428" s="44" t="str">
        <f>HYPERLINK("https://search.naver.com/search.naver?query=브레이브 하트 영화", "브레이브 하트")</f>
        <v>브레이브 하트</v>
      </c>
      <c r="C1428" s="45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97" t="s">
        <v>3475</v>
      </c>
    </row>
    <row r="1429" spans="1:10" ht="28.9" customHeight="1" thickTop="1" thickBot="1" x14ac:dyDescent="0.65">
      <c r="A1429" s="5">
        <v>1427</v>
      </c>
      <c r="B1429" s="46" t="str">
        <f>HYPERLINK("https://search.naver.com/search.naver?query=브레이븐 영화", "브레이븐")</f>
        <v>브레이븐</v>
      </c>
      <c r="C1429" s="47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98" t="s">
        <v>3442</v>
      </c>
    </row>
    <row r="1430" spans="1:10" ht="28.9" customHeight="1" thickTop="1" thickBot="1" x14ac:dyDescent="0.65">
      <c r="A1430" s="3">
        <v>1428</v>
      </c>
      <c r="B1430" s="44" t="str">
        <f>HYPERLINK("https://search.naver.com/search.naver?query=브레이즌 영화", "브레이즌")</f>
        <v>브레이즌</v>
      </c>
      <c r="C1430" s="45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97" t="s">
        <v>3445</v>
      </c>
    </row>
    <row r="1431" spans="1:10" ht="28.9" customHeight="1" thickTop="1" thickBot="1" x14ac:dyDescent="0.65">
      <c r="A1431" s="5">
        <v>1429</v>
      </c>
      <c r="B1431" s="46" t="str">
        <f>HYPERLINK("https://search.naver.com/search.naver?query=브레이크다운 영화", "브레이크다운")</f>
        <v>브레이크다운</v>
      </c>
      <c r="C1431" s="47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98" t="s">
        <v>3470</v>
      </c>
    </row>
    <row r="1432" spans="1:10" ht="28.9" customHeight="1" thickTop="1" thickBot="1" x14ac:dyDescent="0.65">
      <c r="A1432" s="3">
        <v>1430</v>
      </c>
      <c r="B1432" s="44" t="str">
        <f>HYPERLINK("https://search.naver.com/search.naver?query=브레이크스루 영화", "브레이크스루")</f>
        <v>브레이크스루</v>
      </c>
      <c r="C1432" s="45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97" t="s">
        <v>3444</v>
      </c>
    </row>
    <row r="1433" spans="1:10" ht="28.9" customHeight="1" thickTop="1" thickBot="1" x14ac:dyDescent="0.65">
      <c r="A1433" s="7">
        <v>1431</v>
      </c>
      <c r="B1433" s="48" t="str">
        <f>HYPERLINK("https://search.naver.com/search.naver?query=브레이킹 배드 시즌1", "브레이킹 배드 시즌1")</f>
        <v>브레이킹 배드 시즌1</v>
      </c>
      <c r="C1433" s="49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99" t="s">
        <v>3450</v>
      </c>
    </row>
    <row r="1434" spans="1:10" ht="28.9" customHeight="1" thickTop="1" thickBot="1" x14ac:dyDescent="0.65">
      <c r="A1434" s="7">
        <v>1432</v>
      </c>
      <c r="B1434" s="48" t="str">
        <f>HYPERLINK("https://search.naver.com/search.naver?query=브레이킹 배드 시즌2", "브레이킹 배드 시즌2")</f>
        <v>브레이킹 배드 시즌2</v>
      </c>
      <c r="C1434" s="49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99" t="s">
        <v>3453</v>
      </c>
    </row>
    <row r="1435" spans="1:10" ht="28.9" customHeight="1" thickTop="1" thickBot="1" x14ac:dyDescent="0.65">
      <c r="A1435" s="7">
        <v>1433</v>
      </c>
      <c r="B1435" s="48" t="str">
        <f>HYPERLINK("https://search.naver.com/search.naver?query=브레이킹 배드 시즌3", "브레이킹 배드 시즌3")</f>
        <v>브레이킹 배드 시즌3</v>
      </c>
      <c r="C1435" s="49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99" t="s">
        <v>3455</v>
      </c>
    </row>
    <row r="1436" spans="1:10" ht="28.9" customHeight="1" thickTop="1" thickBot="1" x14ac:dyDescent="0.65">
      <c r="A1436" s="7">
        <v>1434</v>
      </c>
      <c r="B1436" s="48" t="str">
        <f>HYPERLINK("https://search.naver.com/search.naver?query=브레이킹 배드 시즌4", "브레이킹 배드 시즌4")</f>
        <v>브레이킹 배드 시즌4</v>
      </c>
      <c r="C1436" s="49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99" t="s">
        <v>3454</v>
      </c>
    </row>
    <row r="1437" spans="1:10" ht="28.9" customHeight="1" thickTop="1" thickBot="1" x14ac:dyDescent="0.65">
      <c r="A1437" s="7">
        <v>1435</v>
      </c>
      <c r="B1437" s="48" t="str">
        <f>HYPERLINK("https://search.naver.com/search.naver?query=브레이킹 배드 시즌5", "브레이킹 배드 시즌5")</f>
        <v>브레이킹 배드 시즌5</v>
      </c>
      <c r="C1437" s="49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99" t="s">
        <v>3439</v>
      </c>
    </row>
    <row r="1438" spans="1:10" ht="28.9" customHeight="1" thickTop="1" thickBot="1" x14ac:dyDescent="0.65">
      <c r="A1438" s="3">
        <v>1436</v>
      </c>
      <c r="B1438" s="44" t="str">
        <f>HYPERLINK("https://search.naver.com/search.naver?query=브레이킹 앤 엔터링 영화", "브레이킹 앤 엔터링")</f>
        <v>브레이킹 앤 엔터링</v>
      </c>
      <c r="C1438" s="45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97" t="s">
        <v>3460</v>
      </c>
    </row>
    <row r="1439" spans="1:10" ht="28.9" customHeight="1" thickTop="1" thickBot="1" x14ac:dyDescent="0.65">
      <c r="A1439" s="5">
        <v>1437</v>
      </c>
      <c r="B1439" s="46" t="str">
        <f>HYPERLINK("https://search.naver.com/search.naver?query=브렉시트 치열한 전쟁 영화", "브렉시트-치열한 전쟁")</f>
        <v>브렉시트-치열한 전쟁</v>
      </c>
      <c r="C1439" s="47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98" t="s">
        <v>3444</v>
      </c>
    </row>
    <row r="1440" spans="1:10" ht="28.9" customHeight="1" thickTop="1" thickBot="1" x14ac:dyDescent="0.65">
      <c r="A1440" s="3">
        <v>1438</v>
      </c>
      <c r="B1440" s="44" t="str">
        <f>HYPERLINK("https://search.naver.com/search.naver?query=브로커 영화", "브로커")</f>
        <v>브로커</v>
      </c>
      <c r="C1440" s="45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97" t="s">
        <v>3445</v>
      </c>
    </row>
    <row r="1441" spans="1:10" ht="28.9" customHeight="1" thickTop="1" thickBot="1" x14ac:dyDescent="0.65">
      <c r="A1441" s="5">
        <v>1439</v>
      </c>
      <c r="B1441" s="46" t="str">
        <f>HYPERLINK("https://search.naver.com/search.naver?query=브로큰 영화", "브로큰")</f>
        <v>브로큰</v>
      </c>
      <c r="C1441" s="47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98" t="s">
        <v>3459</v>
      </c>
    </row>
    <row r="1442" spans="1:10" ht="28.9" customHeight="1" thickTop="1" thickBot="1" x14ac:dyDescent="0.65">
      <c r="A1442" s="3">
        <v>1440</v>
      </c>
      <c r="B1442" s="44" t="str">
        <f>HYPERLINK("https://search.naver.com/search.naver?query=브로큰 플라워 영화", "브로큰 플라워")</f>
        <v>브로큰 플라워</v>
      </c>
      <c r="C1442" s="45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97" t="s">
        <v>3461</v>
      </c>
    </row>
    <row r="1443" spans="1:10" ht="28.9" customHeight="1" thickTop="1" thickBot="1" x14ac:dyDescent="0.65">
      <c r="A1443" s="5">
        <v>1441</v>
      </c>
      <c r="B1443" s="46" t="str">
        <f>HYPERLINK("https://search.naver.com/search.naver?query=브루스 올마이티 영화", "브루스 올마이티")</f>
        <v>브루스 올마이티</v>
      </c>
      <c r="C1443" s="47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98" t="s">
        <v>3449</v>
      </c>
    </row>
    <row r="1444" spans="1:10" ht="28.9" customHeight="1" thickTop="1" thickBot="1" x14ac:dyDescent="0.65">
      <c r="A1444" s="3">
        <v>1442</v>
      </c>
      <c r="B1444" s="44" t="str">
        <f>HYPERLINK("https://search.naver.com/search.naver?query=브루클린 영화", "브루클린")</f>
        <v>브루클린</v>
      </c>
      <c r="C1444" s="45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97" t="s">
        <v>3440</v>
      </c>
    </row>
    <row r="1445" spans="1:10" ht="28.9" customHeight="1" thickTop="1" thickBot="1" x14ac:dyDescent="0.65">
      <c r="A1445" s="5">
        <v>1443</v>
      </c>
      <c r="B1445" s="46" t="str">
        <f>HYPERLINK("https://search.naver.com/search.naver?query=브루클린의 멋진 주말 영화", "브루클린의 멋진 주말")</f>
        <v>브루클린의 멋진 주말</v>
      </c>
      <c r="C1445" s="47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98" t="s">
        <v>3437</v>
      </c>
    </row>
    <row r="1446" spans="1:10" ht="28.9" customHeight="1" thickTop="1" thickBot="1" x14ac:dyDescent="0.65">
      <c r="A1446" s="3">
        <v>1444</v>
      </c>
      <c r="B1446" s="44" t="str">
        <f>HYPERLINK("https://search.naver.com/search.naver?query=브룩클린스 파이니스트 영화", "브룩클린스 파이니스트")</f>
        <v>브룩클린스 파이니스트</v>
      </c>
      <c r="C1446" s="45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97" t="s">
        <v>3453</v>
      </c>
    </row>
    <row r="1447" spans="1:10" ht="28.9" customHeight="1" thickTop="1" thickBot="1" x14ac:dyDescent="0.65">
      <c r="A1447" s="5">
        <v>1445</v>
      </c>
      <c r="B1447" s="46" t="str">
        <f>HYPERLINK("https://search.naver.com/search.naver?query=브룩클린으로 가는 마지막 비상구 영화", "브룩클린으로 가는 마지막 비상구")</f>
        <v>브룩클린으로 가는 마지막 비상구</v>
      </c>
      <c r="C1447" s="47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98" t="s">
        <v>3477</v>
      </c>
    </row>
    <row r="1448" spans="1:10" ht="28.9" customHeight="1" thickTop="1" thickBot="1" x14ac:dyDescent="0.65">
      <c r="A1448" s="3">
        <v>1446</v>
      </c>
      <c r="B1448" s="44" t="str">
        <f>HYPERLINK("https://search.naver.com/search.naver?query=브리짓 존스의 베이비 영화", "브리짓 존스의 베이비")</f>
        <v>브리짓 존스의 베이비</v>
      </c>
      <c r="C1448" s="45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97" t="s">
        <v>3441</v>
      </c>
    </row>
    <row r="1449" spans="1:10" ht="28.9" customHeight="1" thickTop="1" thickBot="1" x14ac:dyDescent="0.65">
      <c r="A1449" s="5">
        <v>1447</v>
      </c>
      <c r="B1449" s="46" t="str">
        <f>HYPERLINK("https://search.naver.com/search.naver?query=브리치 영화", "브리치")</f>
        <v>브리치</v>
      </c>
      <c r="C1449" s="47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98" t="s">
        <v>3447</v>
      </c>
    </row>
    <row r="1450" spans="1:10" ht="28.9" customHeight="1" thickTop="1" thickBot="1" x14ac:dyDescent="0.65">
      <c r="A1450" s="3">
        <v>1448</v>
      </c>
      <c r="B1450" s="44" t="str">
        <f>HYPERLINK("https://search.naver.com/search.naver?query=브릭 영화", "브릭")</f>
        <v>브릭</v>
      </c>
      <c r="C1450" s="45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97" t="s">
        <v>3461</v>
      </c>
    </row>
    <row r="1451" spans="1:10" ht="28.9" customHeight="1" thickTop="1" thickBot="1" x14ac:dyDescent="0.65">
      <c r="A1451" s="5">
        <v>1449</v>
      </c>
      <c r="B1451" s="46" t="str">
        <f>HYPERLINK("https://search.naver.com/search.naver?query=브이 포 벤데타 영화", "브이 포 벤데타")</f>
        <v>브이 포 벤데타</v>
      </c>
      <c r="C1451" s="47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98" t="s">
        <v>3461</v>
      </c>
    </row>
    <row r="1452" spans="1:10" ht="28.9" customHeight="1" thickTop="1" thickBot="1" x14ac:dyDescent="0.65">
      <c r="A1452" s="3">
        <v>1450</v>
      </c>
      <c r="B1452" s="83" t="str">
        <f>HYPERLINK("https://namu.wiki/w/%EB%B8%94%EB%9D%BC%EC%9D%B8%EB%93%9C(2007%EB%85%84%20%EC%98%81%ED%99%94)", "블라인드")</f>
        <v>블라인드</v>
      </c>
      <c r="C1452" s="45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97" t="s">
        <v>3447</v>
      </c>
    </row>
    <row r="1453" spans="1:10" ht="28.9" customHeight="1" thickTop="1" thickBot="1" x14ac:dyDescent="0.65">
      <c r="A1453" s="5">
        <v>1451</v>
      </c>
      <c r="B1453" s="82" t="str">
        <f>HYPERLINK("https://search.naver.com/search.naver?query=블라인드 마운틴 영화", "블라인드 마운틴")</f>
        <v>블라인드 마운틴</v>
      </c>
      <c r="C1453" s="47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98" t="s">
        <v>3447</v>
      </c>
    </row>
    <row r="1454" spans="1:10" ht="28.9" customHeight="1" thickTop="1" thickBot="1" x14ac:dyDescent="0.65">
      <c r="A1454" s="3">
        <v>1452</v>
      </c>
      <c r="B1454" s="83" t="str">
        <f>HYPERLINK("https://search.naver.com/search.naver?query=블라인드 맨 영화", "블라인드 맨")</f>
        <v>블라인드 맨</v>
      </c>
      <c r="C1454" s="45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97" t="s">
        <v>3439</v>
      </c>
    </row>
    <row r="1455" spans="1:10" ht="28.9" customHeight="1" thickTop="1" thickBot="1" x14ac:dyDescent="0.65">
      <c r="A1455" s="5">
        <v>1453</v>
      </c>
      <c r="B1455" s="82" t="str">
        <f>HYPERLINK("https://search.naver.com/search.naver?query=블라인드 사이드 영화", "블라인드 사이드")</f>
        <v>블라인드 사이드</v>
      </c>
      <c r="C1455" s="47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98" t="s">
        <v>3453</v>
      </c>
    </row>
    <row r="1456" spans="1:10" ht="28.9" customHeight="1" thickTop="1" thickBot="1" x14ac:dyDescent="0.65">
      <c r="A1456" s="7">
        <v>1454</v>
      </c>
      <c r="B1456" s="84" t="str">
        <f>HYPERLINK("https://search.naver.com/search.naver?query=블라인드 스팟 시즌1", "블라인드 스팟 시즌1")</f>
        <v>블라인드 스팟 시즌1</v>
      </c>
      <c r="C1456" s="49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99" t="s">
        <v>3440</v>
      </c>
    </row>
    <row r="1457" spans="1:10" ht="28.9" customHeight="1" thickTop="1" thickBot="1" x14ac:dyDescent="0.65">
      <c r="A1457" s="7">
        <v>1455</v>
      </c>
      <c r="B1457" s="84" t="str">
        <f>HYPERLINK("https://search.naver.com/search.naver?query=블라인드 스팟 시즌2", "블라인드 스팟 시즌2")</f>
        <v>블라인드 스팟 시즌2</v>
      </c>
      <c r="C1457" s="49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99" t="s">
        <v>3441</v>
      </c>
    </row>
    <row r="1458" spans="1:10" ht="28.9" customHeight="1" thickTop="1" thickBot="1" x14ac:dyDescent="0.65">
      <c r="A1458" s="7">
        <v>1456</v>
      </c>
      <c r="B1458" s="84" t="str">
        <f>HYPERLINK("https://search.naver.com/search.naver?query=블라인드 스팟 시즌3", "블라인드 스팟 시즌3")</f>
        <v>블라인드 스팟 시즌3</v>
      </c>
      <c r="C1458" s="49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99" t="s">
        <v>3443</v>
      </c>
    </row>
    <row r="1459" spans="1:10" ht="28.9" customHeight="1" thickTop="1" thickBot="1" x14ac:dyDescent="0.65">
      <c r="A1459" s="7">
        <v>1457</v>
      </c>
      <c r="B1459" s="84" t="str">
        <f>HYPERLINK("https://search.naver.com/search.naver?query=블라인드 스팟 시즌4", "블라인드 스팟 시즌4")</f>
        <v>블라인드 스팟 시즌4</v>
      </c>
      <c r="C1459" s="49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99" t="s">
        <v>3442</v>
      </c>
    </row>
    <row r="1460" spans="1:10" ht="28.9" customHeight="1" thickTop="1" thickBot="1" x14ac:dyDescent="0.65">
      <c r="A1460" s="7">
        <v>1458</v>
      </c>
      <c r="B1460" s="84" t="str">
        <f>HYPERLINK("https://search.naver.com/search.naver?query=블라인드 스팟 시즌5", "블라인드 스팟 시즌5")</f>
        <v>블라인드 스팟 시즌5</v>
      </c>
      <c r="C1460" s="49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99" t="s">
        <v>3436</v>
      </c>
    </row>
    <row r="1461" spans="1:10" ht="28.9" customHeight="1" thickTop="1" thickBot="1" x14ac:dyDescent="0.65">
      <c r="A1461" s="5">
        <v>1459</v>
      </c>
      <c r="B1461" s="82" t="str">
        <f>HYPERLINK("https://search.naver.com/search.naver?query=블랙 영화", "블랙")</f>
        <v>블랙</v>
      </c>
      <c r="C1461" s="47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98" t="s">
        <v>3461</v>
      </c>
    </row>
    <row r="1462" spans="1:10" ht="28.9" customHeight="1" thickTop="1" thickBot="1" x14ac:dyDescent="0.65">
      <c r="A1462" s="3">
        <v>1460</v>
      </c>
      <c r="B1462" s="83" t="str">
        <f>HYPERLINK("https://search.naver.com/search.naver?query=블랙 골드 영화", "블랙 골드")</f>
        <v>블랙 골드</v>
      </c>
      <c r="C1462" s="45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97" t="s">
        <v>3454</v>
      </c>
    </row>
    <row r="1463" spans="1:10" ht="28.9" customHeight="1" thickTop="1" thickBot="1" x14ac:dyDescent="0.65">
      <c r="A1463" s="7">
        <v>1461</v>
      </c>
      <c r="B1463" s="84" t="str">
        <f>HYPERLINK("https://search.naver.com/search.naver?query=블랙 도브 드라마", "블랙 도브 시즌1")</f>
        <v>블랙 도브 시즌1</v>
      </c>
      <c r="C1463" s="49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99" t="s">
        <v>3448</v>
      </c>
    </row>
    <row r="1464" spans="1:10" ht="28.9" customHeight="1" thickTop="1" thickBot="1" x14ac:dyDescent="0.65">
      <c r="A1464" s="3">
        <v>1462</v>
      </c>
      <c r="B1464" s="83" t="str">
        <f>HYPERLINK("https://search.naver.com/search.naver?query=블랙 매스 영화", "블랙 매스")</f>
        <v>블랙 매스</v>
      </c>
      <c r="C1464" s="45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97" t="s">
        <v>3440</v>
      </c>
    </row>
    <row r="1465" spans="1:10" ht="28.9" customHeight="1" thickTop="1" thickBot="1" x14ac:dyDescent="0.65">
      <c r="A1465" s="7">
        <v>1463</v>
      </c>
      <c r="B1465" s="84" t="str">
        <f>HYPERLINK("https://search.naver.com/search.naver?query=블랙 미러 시즌1", "블랙 미러 시즌1")</f>
        <v>블랙 미러 시즌1</v>
      </c>
      <c r="C1465" s="49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99" t="s">
        <v>3454</v>
      </c>
    </row>
    <row r="1466" spans="1:10" ht="28.9" customHeight="1" thickTop="1" thickBot="1" x14ac:dyDescent="0.65">
      <c r="A1466" s="7">
        <v>1464</v>
      </c>
      <c r="B1466" s="84" t="str">
        <f>HYPERLINK("https://search.naver.com/search.naver?query=블랙 미러 시즌2", "블랙 미러 시즌2")</f>
        <v>블랙 미러 시즌2</v>
      </c>
      <c r="C1466" s="49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99" t="s">
        <v>3451</v>
      </c>
    </row>
    <row r="1467" spans="1:10" ht="28.9" customHeight="1" thickTop="1" thickBot="1" x14ac:dyDescent="0.65">
      <c r="A1467" s="7">
        <v>1465</v>
      </c>
      <c r="B1467" s="84" t="str">
        <f>HYPERLINK("https://search.naver.com/search.naver?query=블랙 미러 시즌4", "블랙 미러 시즌4")</f>
        <v>블랙 미러 시즌4</v>
      </c>
      <c r="C1467" s="49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99" t="s">
        <v>3443</v>
      </c>
    </row>
    <row r="1468" spans="1:10" ht="28.9" customHeight="1" thickTop="1" thickBot="1" x14ac:dyDescent="0.65">
      <c r="A1468" s="7">
        <v>1466</v>
      </c>
      <c r="B1468" s="84" t="str">
        <f>HYPERLINK("https://search.naver.com/search.naver?query=블랙 미러 시즌5", "블랙 미러 시즌5")</f>
        <v>블랙 미러 시즌5</v>
      </c>
      <c r="C1468" s="49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99" t="s">
        <v>3444</v>
      </c>
    </row>
    <row r="1469" spans="1:10" ht="28.9" customHeight="1" thickTop="1" thickBot="1" x14ac:dyDescent="0.65">
      <c r="A1469" s="7">
        <v>1467</v>
      </c>
      <c r="B1469" s="84" t="str">
        <f>HYPERLINK("https://search.naver.com/search.naver?query=블랙 미러 시즌6", "블랙 미러 시즌6")</f>
        <v>블랙 미러 시즌6</v>
      </c>
      <c r="C1469" s="49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99" t="s">
        <v>3446</v>
      </c>
    </row>
    <row r="1470" spans="1:10" ht="28.9" customHeight="1" thickTop="1" thickBot="1" x14ac:dyDescent="0.65">
      <c r="A1470" s="7">
        <v>1468</v>
      </c>
      <c r="B1470" s="84" t="str">
        <f>HYPERLINK("https://search.naver.com/search.naver?query=블랙 미러 시즌7", "블랙 미러 시즌7")</f>
        <v>블랙 미러 시즌7</v>
      </c>
      <c r="C1470" s="49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99" t="s">
        <v>3459</v>
      </c>
    </row>
    <row r="1471" spans="1:10" ht="28.9" customHeight="1" thickTop="1" thickBot="1" x14ac:dyDescent="0.65">
      <c r="A1471" s="5">
        <v>1469</v>
      </c>
      <c r="B1471" s="82" t="str">
        <f>HYPERLINK("https://search.naver.com/search.naver?query=블랙 백 영화", "블랙 백")</f>
        <v>블랙 백</v>
      </c>
      <c r="C1471" s="47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98" t="s">
        <v>3459</v>
      </c>
    </row>
    <row r="1472" spans="1:10" ht="28.9" customHeight="1" thickTop="1" thickBot="1" x14ac:dyDescent="0.65">
      <c r="A1472" s="7">
        <v>1470</v>
      </c>
      <c r="B1472" s="84" t="str">
        <f>HYPERLINK("https://search.naver.com/search.naver?query=블랙 버드", "블랙 버드")</f>
        <v>블랙 버드</v>
      </c>
      <c r="C1472" s="49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99" t="s">
        <v>3445</v>
      </c>
    </row>
    <row r="1473" spans="1:10" ht="28.9" customHeight="1" thickTop="1" thickBot="1" x14ac:dyDescent="0.65">
      <c r="A1473" s="5">
        <v>1471</v>
      </c>
      <c r="B1473" s="82" t="str">
        <f>HYPERLINK("https://search.naver.com/search.naver?query=블랙 뷰티 영화", "블랙 뷰티")</f>
        <v>블랙 뷰티</v>
      </c>
      <c r="C1473" s="47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98" t="s">
        <v>3436</v>
      </c>
    </row>
    <row r="1474" spans="1:10" ht="28.9" customHeight="1" thickTop="1" thickBot="1" x14ac:dyDescent="0.65">
      <c r="A1474" s="3">
        <v>1472</v>
      </c>
      <c r="B1474" s="83" t="str">
        <f>HYPERLINK("https://search.naver.com/search.naver?query=블랙 사이트 영화", "블랙 사이트")</f>
        <v>블랙 사이트</v>
      </c>
      <c r="C1474" s="45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97" t="s">
        <v>3445</v>
      </c>
    </row>
    <row r="1475" spans="1:10" ht="28.9" customHeight="1" thickTop="1" thickBot="1" x14ac:dyDescent="0.65">
      <c r="A1475" s="5">
        <v>1473</v>
      </c>
      <c r="B1475" s="82" t="str">
        <f>HYPERLINK("https://search.naver.com/search.naver?query=블랙 스완 영화", "블랙 스완")</f>
        <v>블랙 스완</v>
      </c>
      <c r="C1475" s="47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98" t="s">
        <v>3455</v>
      </c>
    </row>
    <row r="1476" spans="1:10" ht="28.9" customHeight="1" thickTop="1" thickBot="1" x14ac:dyDescent="0.65">
      <c r="A1476" s="3">
        <v>1474</v>
      </c>
      <c r="B1476" s="83" t="str">
        <f>HYPERLINK("https://search.naver.com/search.naver?query=블랙 씨 영화", "블랙 씨")</f>
        <v>블랙 씨</v>
      </c>
      <c r="C1476" s="45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97" t="s">
        <v>3437</v>
      </c>
    </row>
    <row r="1477" spans="1:10" ht="28.9" customHeight="1" thickTop="1" thickBot="1" x14ac:dyDescent="0.65">
      <c r="A1477" s="5">
        <v>1475</v>
      </c>
      <c r="B1477" s="82" t="str">
        <f>HYPERLINK("https://search.naver.com/search.naver?query=블랙 워터 영화", "블랙 워터")</f>
        <v>블랙 워터</v>
      </c>
      <c r="C1477" s="47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98" t="s">
        <v>3442</v>
      </c>
    </row>
    <row r="1478" spans="1:10" ht="28.9" customHeight="1" thickTop="1" thickBot="1" x14ac:dyDescent="0.65">
      <c r="A1478" s="3">
        <v>1476</v>
      </c>
      <c r="B1478" s="83" t="str">
        <f>HYPERLINK("https://search.naver.com/search.naver?query=블랙 워터 아비스 영화", "블랙 워터-아비스")</f>
        <v>블랙 워터-아비스</v>
      </c>
      <c r="C1478" s="45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97" t="s">
        <v>3436</v>
      </c>
    </row>
    <row r="1479" spans="1:10" ht="28.9" customHeight="1" thickTop="1" thickBot="1" x14ac:dyDescent="0.65">
      <c r="A1479" s="5">
        <v>1477</v>
      </c>
      <c r="B1479" s="82" t="str">
        <f>HYPERLINK("https://search.naver.com/search.naver?query=블랙 위도우 영화", "블랙 위도우")</f>
        <v>블랙 위도우</v>
      </c>
      <c r="C1479" s="47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98" t="s">
        <v>3438</v>
      </c>
    </row>
    <row r="1480" spans="1:10" ht="28.9" customHeight="1" thickTop="1" thickBot="1" x14ac:dyDescent="0.65">
      <c r="A1480" s="3">
        <v>1478</v>
      </c>
      <c r="B1480" s="83" t="str">
        <f>HYPERLINK("https://search.naver.com/search.naver?query=블랙 위도우 파이널 챕터 영화", "블랙 위도우-파이널 챕터")</f>
        <v>블랙 위도우-파이널 챕터</v>
      </c>
      <c r="C1480" s="45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97" t="s">
        <v>3444</v>
      </c>
    </row>
    <row r="1481" spans="1:10" ht="28.9" customHeight="1" thickTop="1" thickBot="1" x14ac:dyDescent="0.65">
      <c r="A1481" s="5">
        <v>1479</v>
      </c>
      <c r="B1481" s="82" t="str">
        <f>HYPERLINK("https://search.naver.com/search.naver?query=블랙 크랩 영화", "블랙 크랩")</f>
        <v>블랙 크랩</v>
      </c>
      <c r="C1481" s="47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98" t="s">
        <v>3445</v>
      </c>
    </row>
    <row r="1482" spans="1:10" ht="28.9" customHeight="1" thickTop="1" thickBot="1" x14ac:dyDescent="0.65">
      <c r="A1482" s="3">
        <v>1480</v>
      </c>
      <c r="B1482" s="83" t="str">
        <f>HYPERLINK("https://search.naver.com/search.naver?query=블랙 호크 다운 영화", "블랙 호크 다운")</f>
        <v>블랙 호크 다운</v>
      </c>
      <c r="C1482" s="45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97" t="s">
        <v>3457</v>
      </c>
    </row>
    <row r="1483" spans="1:10" ht="28.9" customHeight="1" thickTop="1" thickBot="1" x14ac:dyDescent="0.65">
      <c r="A1483" s="5">
        <v>1481</v>
      </c>
      <c r="B1483" s="82" t="str">
        <f>HYPERLINK("https://search.naver.com/search.naver?query=블랙라이트 영화", "블랙라이트")</f>
        <v>블랙라이트</v>
      </c>
      <c r="C1483" s="47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98" t="s">
        <v>3445</v>
      </c>
    </row>
    <row r="1484" spans="1:10" ht="28.9" customHeight="1" thickTop="1" thickBot="1" x14ac:dyDescent="0.65">
      <c r="A1484" s="7">
        <v>1482</v>
      </c>
      <c r="B1484" s="84" t="str">
        <f>HYPERLINK("https://search.naver.com/search.naver?query=블랙리스트 시즌1", "블랙리스트 시즌1")</f>
        <v>블랙리스트 시즌1</v>
      </c>
      <c r="C1484" s="49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99" t="s">
        <v>3451</v>
      </c>
    </row>
    <row r="1485" spans="1:10" ht="28.9" customHeight="1" thickTop="1" thickBot="1" x14ac:dyDescent="0.65">
      <c r="A1485" s="7">
        <v>1483</v>
      </c>
      <c r="B1485" s="84" t="str">
        <f>HYPERLINK("https://search.naver.com/search.naver?query=블랙리스트 시즌2", "블랙리스트 시즌2")</f>
        <v>블랙리스트 시즌2</v>
      </c>
      <c r="C1485" s="49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99" t="s">
        <v>3437</v>
      </c>
    </row>
    <row r="1486" spans="1:10" ht="28.9" customHeight="1" thickTop="1" thickBot="1" x14ac:dyDescent="0.65">
      <c r="A1486" s="7">
        <v>1484</v>
      </c>
      <c r="B1486" s="84" t="str">
        <f>HYPERLINK("https://search.naver.com/search.naver?query=블랙리스트 시즌3", "블랙리스트 시즌3")</f>
        <v>블랙리스트 시즌3</v>
      </c>
      <c r="C1486" s="49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99" t="s">
        <v>3440</v>
      </c>
    </row>
    <row r="1487" spans="1:10" ht="28.9" customHeight="1" thickTop="1" thickBot="1" x14ac:dyDescent="0.65">
      <c r="A1487" s="7">
        <v>1485</v>
      </c>
      <c r="B1487" s="84" t="str">
        <f>HYPERLINK("https://search.naver.com/search.naver?query=블랙리스트 시즌4", "블랙리스트 시즌4")</f>
        <v>블랙리스트 시즌4</v>
      </c>
      <c r="C1487" s="49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99" t="s">
        <v>3441</v>
      </c>
    </row>
    <row r="1488" spans="1:10" ht="28.9" customHeight="1" thickTop="1" thickBot="1" x14ac:dyDescent="0.65">
      <c r="A1488" s="7">
        <v>1486</v>
      </c>
      <c r="B1488" s="84" t="str">
        <f>HYPERLINK("https://search.naver.com/search.naver?query=블랙리스트 시즌5", "블랙리스트 시즌5")</f>
        <v>블랙리스트 시즌5</v>
      </c>
      <c r="C1488" s="49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99" t="s">
        <v>3443</v>
      </c>
    </row>
    <row r="1489" spans="1:10" ht="28.9" customHeight="1" thickTop="1" thickBot="1" x14ac:dyDescent="0.65">
      <c r="A1489" s="7">
        <v>1487</v>
      </c>
      <c r="B1489" s="84" t="str">
        <f>HYPERLINK("https://search.naver.com/search.naver?query=블랙리스트 시즌6", "블랙리스트 시즌6")</f>
        <v>블랙리스트 시즌6</v>
      </c>
      <c r="C1489" s="49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99" t="s">
        <v>3444</v>
      </c>
    </row>
    <row r="1490" spans="1:10" ht="28.9" customHeight="1" thickTop="1" thickBot="1" x14ac:dyDescent="0.65">
      <c r="A1490" s="7">
        <v>1488</v>
      </c>
      <c r="B1490" s="84" t="str">
        <f>HYPERLINK("https://search.naver.com/search.naver?query=블랙리스트 시즌7", "블랙리스트 시즌7")</f>
        <v>블랙리스트 시즌7</v>
      </c>
      <c r="C1490" s="49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99" t="s">
        <v>3444</v>
      </c>
    </row>
    <row r="1491" spans="1:10" ht="28.9" customHeight="1" thickTop="1" thickBot="1" x14ac:dyDescent="0.65">
      <c r="A1491" s="7">
        <v>1489</v>
      </c>
      <c r="B1491" s="84" t="str">
        <f>HYPERLINK("https://search.naver.com/search.naver?query=블랙리스트 시즌8", "블랙리스트 시즌8")</f>
        <v>블랙리스트 시즌8</v>
      </c>
      <c r="C1491" s="49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99" t="s">
        <v>3436</v>
      </c>
    </row>
    <row r="1492" spans="1:10" ht="28.9" customHeight="1" thickTop="1" thickBot="1" x14ac:dyDescent="0.65">
      <c r="A1492" s="3">
        <v>1490</v>
      </c>
      <c r="B1492" s="83" t="str">
        <f>HYPERLINK("https://search.naver.com/search.naver?query=블랙머니 영화", "블랙머니")</f>
        <v>블랙머니</v>
      </c>
      <c r="C1492" s="45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97" t="s">
        <v>3444</v>
      </c>
    </row>
    <row r="1493" spans="1:10" ht="28.9" customHeight="1" thickTop="1" thickBot="1" x14ac:dyDescent="0.65">
      <c r="A1493" s="5">
        <v>1491</v>
      </c>
      <c r="B1493" s="82" t="str">
        <f>HYPERLINK("https://search.naver.com/search.naver?query=블랙미션 영화", "블랙미션")</f>
        <v>블랙미션</v>
      </c>
      <c r="C1493" s="47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98" t="s">
        <v>3448</v>
      </c>
    </row>
    <row r="1494" spans="1:10" ht="28.9" customHeight="1" thickTop="1" thickBot="1" x14ac:dyDescent="0.65">
      <c r="A1494" s="3">
        <v>1492</v>
      </c>
      <c r="B1494" s="83" t="str">
        <f>HYPERLINK("https://search.naver.com/search.naver?query=블랙버드 영화", "블랙버드")</f>
        <v>블랙버드</v>
      </c>
      <c r="C1494" s="45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97" t="s">
        <v>3444</v>
      </c>
    </row>
    <row r="1495" spans="1:10" ht="28.9" customHeight="1" thickTop="1" thickBot="1" x14ac:dyDescent="0.65">
      <c r="A1495" s="5">
        <v>1493</v>
      </c>
      <c r="B1495" s="82" t="str">
        <f>HYPERLINK("https://search.naver.com/search.naver?query=블랙북 영화", "블랙북")</f>
        <v>블랙북</v>
      </c>
      <c r="C1495" s="47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98" t="s">
        <v>3460</v>
      </c>
    </row>
    <row r="1496" spans="1:10" ht="28.9" customHeight="1" thickTop="1" thickBot="1" x14ac:dyDescent="0.65">
      <c r="A1496" s="3">
        <v>1494</v>
      </c>
      <c r="B1496" s="83" t="str">
        <f>HYPERLINK("https://search.naver.com/search.naver?query=블랙웨이 영화", "블랙웨이")</f>
        <v>블랙웨이</v>
      </c>
      <c r="C1496" s="45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97" t="s">
        <v>3440</v>
      </c>
    </row>
    <row r="1497" spans="1:10" ht="28.9" customHeight="1" thickTop="1" thickBot="1" x14ac:dyDescent="0.65">
      <c r="A1497" s="5">
        <v>1495</v>
      </c>
      <c r="B1497" s="82" t="str">
        <f>HYPERLINK("https://search.naver.com/search.naver?query=블랙코드 영화", "블랙코드")</f>
        <v>블랙코드</v>
      </c>
      <c r="C1497" s="47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98" t="s">
        <v>3440</v>
      </c>
    </row>
    <row r="1498" spans="1:10" ht="28.9" customHeight="1" thickTop="1" thickBot="1" x14ac:dyDescent="0.65">
      <c r="A1498" s="3">
        <v>1496</v>
      </c>
      <c r="B1498" s="83" t="str">
        <f>HYPERLINK("https://search.naver.com/search.naver?query=블랙폰 영화", "블랙폰")</f>
        <v>블랙폰</v>
      </c>
      <c r="C1498" s="45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97" t="s">
        <v>3438</v>
      </c>
    </row>
    <row r="1499" spans="1:10" ht="28.9" customHeight="1" thickTop="1" thickBot="1" x14ac:dyDescent="0.65">
      <c r="A1499" s="5">
        <v>1497</v>
      </c>
      <c r="B1499" s="82" t="str">
        <f>HYPERLINK("https://search.naver.com/search.naver?query=블랜디드 영화", "블랜디드")</f>
        <v>블랜디드</v>
      </c>
      <c r="C1499" s="47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98" t="s">
        <v>3437</v>
      </c>
    </row>
    <row r="1500" spans="1:10" ht="28.9" customHeight="1" thickTop="1" thickBot="1" x14ac:dyDescent="0.65">
      <c r="A1500" s="3">
        <v>1498</v>
      </c>
      <c r="B1500" s="83" t="str">
        <f>HYPERLINK("https://search.naver.com/search.naver?query=블러드 다이아몬드 영화", "블러드 다이아몬드")</f>
        <v>블러드 다이아몬드</v>
      </c>
      <c r="C1500" s="45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97" t="s">
        <v>3460</v>
      </c>
    </row>
    <row r="1501" spans="1:10" ht="28.9" customHeight="1" thickTop="1" thickBot="1" x14ac:dyDescent="0.65">
      <c r="A1501" s="5">
        <v>1499</v>
      </c>
      <c r="B1501" s="82" t="str">
        <f>HYPERLINK("https://search.naver.com/search.naver?query=블러드 앤 머니 영화", "블러드 앤 머니")</f>
        <v>블러드 앤 머니</v>
      </c>
      <c r="C1501" s="47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98" t="s">
        <v>3436</v>
      </c>
    </row>
    <row r="1502" spans="1:10" ht="28.9" customHeight="1" thickTop="1" thickBot="1" x14ac:dyDescent="0.65">
      <c r="A1502" s="3">
        <v>1500</v>
      </c>
      <c r="B1502" s="83" t="str">
        <f>HYPERLINK("https://search.naver.com/search.naver?query=블러드 킬 영화", "블러드 킬")</f>
        <v>블러드 킬</v>
      </c>
      <c r="C1502" s="45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97" t="s">
        <v>3436</v>
      </c>
    </row>
    <row r="1503" spans="1:10" ht="28.9" customHeight="1" thickTop="1" thickBot="1" x14ac:dyDescent="0.65">
      <c r="A1503" s="5">
        <v>1501</v>
      </c>
      <c r="B1503" s="82" t="str">
        <f>HYPERLINK("https://search.naver.com/search.naver?query=블러드 파더 영화", "블러드 파더")</f>
        <v>블러드 파더</v>
      </c>
      <c r="C1503" s="47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98" t="s">
        <v>3441</v>
      </c>
    </row>
    <row r="1504" spans="1:10" ht="28.9" customHeight="1" thickTop="1" thickBot="1" x14ac:dyDescent="0.65">
      <c r="A1504" s="3">
        <v>1502</v>
      </c>
      <c r="B1504" s="83" t="str">
        <f>HYPERLINK("https://search.naver.com/search.naver?query=블레이드 러너 영화", "블레이드 러너")</f>
        <v>블레이드 러너</v>
      </c>
      <c r="C1504" s="45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97" t="s">
        <v>3443</v>
      </c>
    </row>
    <row r="1505" spans="1:10" ht="28.9" customHeight="1" thickTop="1" thickBot="1" x14ac:dyDescent="0.65">
      <c r="A1505" s="5">
        <v>1503</v>
      </c>
      <c r="B1505" s="82" t="str">
        <f>HYPERLINK("https://search.naver.com/search.naver?query=블로우 더 맨 다운 영화", "블로우 더 맨 다운")</f>
        <v>블로우 더 맨 다운</v>
      </c>
      <c r="C1505" s="47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98" t="s">
        <v>3444</v>
      </c>
    </row>
    <row r="1506" spans="1:10" ht="28.9" customHeight="1" thickTop="1" thickBot="1" x14ac:dyDescent="0.65">
      <c r="A1506" s="3">
        <v>1504</v>
      </c>
      <c r="B1506" s="83" t="str">
        <f>HYPERLINK("https://search.naver.com/search.naver?query=블루 루인 영화", "블루 루인")</f>
        <v>블루 루인</v>
      </c>
      <c r="C1506" s="45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97" t="s">
        <v>3451</v>
      </c>
    </row>
    <row r="1507" spans="1:10" ht="28.9" customHeight="1" thickTop="1" thickBot="1" x14ac:dyDescent="0.65">
      <c r="A1507" s="5">
        <v>1505</v>
      </c>
      <c r="B1507" s="82" t="str">
        <f>HYPERLINK("https://search.naver.com/search.naver?query=블루 미라클 영화", "블루 미라클")</f>
        <v>블루 미라클</v>
      </c>
      <c r="C1507" s="47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98" t="s">
        <v>3438</v>
      </c>
    </row>
    <row r="1508" spans="1:10" ht="28.9" customHeight="1" thickTop="1" thickBot="1" x14ac:dyDescent="0.65">
      <c r="A1508" s="3">
        <v>1506</v>
      </c>
      <c r="B1508" s="83" t="str">
        <f>HYPERLINK("https://search.naver.com/search.naver?query=블루 발렌타인 영화", "블루 발렌타인")</f>
        <v>블루 발렌타인</v>
      </c>
      <c r="C1508" s="45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97" t="s">
        <v>3455</v>
      </c>
    </row>
    <row r="1509" spans="1:10" ht="28.9" customHeight="1" thickTop="1" thickBot="1" x14ac:dyDescent="0.65">
      <c r="A1509" s="5">
        <v>1507</v>
      </c>
      <c r="B1509" s="82" t="str">
        <f>HYPERLINK("https://search.naver.com/search.naver?query=블루 스톰 영화", "블루 스톰")</f>
        <v>블루 스톰</v>
      </c>
      <c r="C1509" s="47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98" t="s">
        <v>3461</v>
      </c>
    </row>
    <row r="1510" spans="1:10" ht="28.9" customHeight="1" thickTop="1" thickBot="1" x14ac:dyDescent="0.65">
      <c r="A1510" s="3">
        <v>1508</v>
      </c>
      <c r="B1510" s="83" t="str">
        <f>HYPERLINK("https://search.naver.com/search.naver?query=블루 재스민 영화", "블루 재스민")</f>
        <v>블루 재스민</v>
      </c>
      <c r="C1510" s="45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97" t="s">
        <v>3451</v>
      </c>
    </row>
    <row r="1511" spans="1:10" ht="28.9" customHeight="1" thickTop="1" thickBot="1" x14ac:dyDescent="0.65">
      <c r="A1511" s="5">
        <v>1509</v>
      </c>
      <c r="B1511" s="82" t="str">
        <f>HYPERLINK("https://search.naver.com/search.naver?query=블루밍 러브 영화", "블루밍 러브")</f>
        <v>블루밍 러브</v>
      </c>
      <c r="C1511" s="47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98" t="s">
        <v>3437</v>
      </c>
    </row>
    <row r="1512" spans="1:10" ht="28.9" customHeight="1" thickTop="1" thickBot="1" x14ac:dyDescent="0.65">
      <c r="A1512" s="3">
        <v>1510</v>
      </c>
      <c r="B1512" s="83" t="str">
        <f>HYPERLINK("https://search.naver.com/search.naver?query=블루버드 인 마이 하트 영화", "블루버드 인 마이 하트")</f>
        <v>블루버드 인 마이 하트</v>
      </c>
      <c r="C1512" s="45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97" t="s">
        <v>3442</v>
      </c>
    </row>
    <row r="1513" spans="1:10" ht="28.9" customHeight="1" thickTop="1" thickBot="1" x14ac:dyDescent="0.65">
      <c r="A1513" s="5">
        <v>1511</v>
      </c>
      <c r="B1513" s="82" t="str">
        <f>HYPERLINK("https://search.naver.com/search.naver?query=블리드 포 디스 영화", "블리드 포 디스")</f>
        <v>블리드 포 디스</v>
      </c>
      <c r="C1513" s="47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98" t="s">
        <v>3441</v>
      </c>
    </row>
    <row r="1514" spans="1:10" ht="28.9" customHeight="1" thickTop="1" thickBot="1" x14ac:dyDescent="0.65">
      <c r="A1514" s="3">
        <v>1512</v>
      </c>
      <c r="B1514" s="83" t="str">
        <f>HYPERLINK("https://search.naver.com/search.naver?query=블리츠 영화", "블리츠")</f>
        <v>블리츠</v>
      </c>
      <c r="C1514" s="45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97" t="s">
        <v>3454</v>
      </c>
    </row>
    <row r="1515" spans="1:10" ht="28.9" customHeight="1" thickTop="1" thickBot="1" x14ac:dyDescent="0.65">
      <c r="A1515" s="5">
        <v>1513</v>
      </c>
      <c r="B1515" s="82" t="str">
        <f>HYPERLINK("https://search.naver.com/search.naver?query=블링 링 영화", "블링 링")</f>
        <v>블링 링</v>
      </c>
      <c r="C1515" s="47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98" t="s">
        <v>3451</v>
      </c>
    </row>
    <row r="1516" spans="1:10" ht="28.9" customHeight="1" thickTop="1" thickBot="1" x14ac:dyDescent="0.65">
      <c r="A1516" s="3">
        <v>1514</v>
      </c>
      <c r="B1516" s="83" t="str">
        <f>HYPERLINK("https://search.naver.com/search.naver?query=비거 스플래쉬 영화", "비거 스플래쉬")</f>
        <v>비거 스플래쉬</v>
      </c>
      <c r="C1516" s="45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97" t="s">
        <v>3440</v>
      </c>
    </row>
    <row r="1517" spans="1:10" ht="28.9" customHeight="1" thickTop="1" thickBot="1" x14ac:dyDescent="0.65">
      <c r="A1517" s="5">
        <v>1515</v>
      </c>
      <c r="B1517" s="82" t="str">
        <f>HYPERLINK("https://search.naver.com/search.naver?query=비공식작전 영화", "비공식작전")</f>
        <v>비공식작전</v>
      </c>
      <c r="C1517" s="47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98" t="s">
        <v>3446</v>
      </c>
    </row>
    <row r="1518" spans="1:10" ht="28.9" customHeight="1" thickTop="1" thickBot="1" x14ac:dyDescent="0.65">
      <c r="A1518" s="3">
        <v>1516</v>
      </c>
      <c r="B1518" s="83" t="str">
        <f>HYPERLINK("https://search.naver.com/search.naver?query=비그치다 영화", "비그치다")</f>
        <v>비그치다</v>
      </c>
      <c r="C1518" s="45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97" t="s">
        <v>3456</v>
      </c>
    </row>
    <row r="1519" spans="1:10" ht="28.9" customHeight="1" thickTop="1" thickBot="1" x14ac:dyDescent="0.65">
      <c r="A1519" s="5">
        <v>1517</v>
      </c>
      <c r="B1519" s="82" t="str">
        <f>HYPERLINK("https://search.naver.com/search.naver?query=비기너스 영화", "비기너스")</f>
        <v>비기너스</v>
      </c>
      <c r="C1519" s="47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98" t="s">
        <v>3455</v>
      </c>
    </row>
    <row r="1520" spans="1:10" ht="28.9" customHeight="1" thickTop="1" thickBot="1" x14ac:dyDescent="0.65">
      <c r="A1520" s="3">
        <v>1518</v>
      </c>
      <c r="B1520" s="83" t="str">
        <f>HYPERLINK("https://search.naver.com/search.naver?query=비긴 어게인 영화", "비긴 어게인")</f>
        <v>비긴 어게인</v>
      </c>
      <c r="C1520" s="45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97" t="s">
        <v>3451</v>
      </c>
    </row>
    <row r="1521" spans="1:10" ht="28.9" customHeight="1" thickTop="1" thickBot="1" x14ac:dyDescent="0.65">
      <c r="A1521" s="5">
        <v>1519</v>
      </c>
      <c r="B1521" s="82" t="str">
        <f>HYPERLINK("https://search.naver.com/search.naver?query=비눗방울 영화", "비눗방울")</f>
        <v>비눗방울</v>
      </c>
      <c r="C1521" s="47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98" t="s">
        <v>3443</v>
      </c>
    </row>
    <row r="1522" spans="1:10" ht="28.9" customHeight="1" thickTop="1" thickBot="1" x14ac:dyDescent="0.65">
      <c r="A1522" s="3">
        <v>1520</v>
      </c>
      <c r="B1522" s="83" t="str">
        <f>HYPERLINK("https://search.naver.com/search.naver?query=비닐하우스 영화", "비닐하우스")</f>
        <v>비닐하우스</v>
      </c>
      <c r="C1522" s="45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97" t="s">
        <v>3446</v>
      </c>
    </row>
    <row r="1523" spans="1:10" ht="28.9" customHeight="1" thickTop="1" thickBot="1" x14ac:dyDescent="0.65">
      <c r="A1523" s="5">
        <v>1521</v>
      </c>
      <c r="B1523" s="82" t="str">
        <f>HYPERLINK("https://search.naver.com/search.naver?query=비리갸루 영화", "비리갸루")</f>
        <v>비리갸루</v>
      </c>
      <c r="C1523" s="47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98" t="s">
        <v>3440</v>
      </c>
    </row>
    <row r="1524" spans="1:10" ht="28.9" customHeight="1" thickTop="1" thickBot="1" x14ac:dyDescent="0.65">
      <c r="A1524" s="3">
        <v>1522</v>
      </c>
      <c r="B1524" s="83" t="str">
        <f>HYPERLINK("https://search.naver.com/search.naver?query=비밀 영화", "비밀")</f>
        <v>비밀</v>
      </c>
      <c r="C1524" s="45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97" t="s">
        <v>3456</v>
      </c>
    </row>
    <row r="1525" spans="1:10" ht="28.9" customHeight="1" thickTop="1" thickBot="1" x14ac:dyDescent="0.65">
      <c r="A1525" s="5">
        <v>1523</v>
      </c>
      <c r="B1525" s="82" t="str">
        <f>HYPERLINK("https://search.naver.com/search.naver?query=비밀과 거짓말 영화", "비밀과 거짓말")</f>
        <v>비밀과 거짓말</v>
      </c>
      <c r="C1525" s="47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98" t="s">
        <v>3463</v>
      </c>
    </row>
    <row r="1526" spans="1:10" ht="28.9" customHeight="1" thickTop="1" thickBot="1" x14ac:dyDescent="0.65">
      <c r="A1526" s="3">
        <v>1524</v>
      </c>
      <c r="B1526" s="83" t="str">
        <f>HYPERLINK("https://search.naver.com/search.naver?query=비밀과 거짓말의 차이 영화", "비밀과 거짓말의 차이")</f>
        <v>비밀과 거짓말의 차이</v>
      </c>
      <c r="C1526" s="45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97" t="s">
        <v>3461</v>
      </c>
    </row>
    <row r="1527" spans="1:10" ht="28.9" customHeight="1" thickTop="1" thickBot="1" x14ac:dyDescent="0.65">
      <c r="A1527" s="5">
        <v>1525</v>
      </c>
      <c r="B1527" s="82" t="str">
        <f>HYPERLINK("https://search.naver.com/search.naver?query=비밀애 영화", "비밀애")</f>
        <v>비밀애</v>
      </c>
      <c r="C1527" s="47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98" t="s">
        <v>3455</v>
      </c>
    </row>
    <row r="1528" spans="1:10" ht="28.9" customHeight="1" thickTop="1" thickBot="1" x14ac:dyDescent="0.65">
      <c r="A1528" s="7">
        <v>1526</v>
      </c>
      <c r="B1528" s="84" t="str">
        <f>HYPERLINK("https://search.naver.com/search.naver?query=비밀의 비밀 드라마", "비밀의 비밀 시즌1")</f>
        <v>비밀의 비밀 시즌1</v>
      </c>
      <c r="C1528" s="49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99" t="s">
        <v>3448</v>
      </c>
    </row>
    <row r="1529" spans="1:10" ht="28.9" customHeight="1" thickTop="1" thickBot="1" x14ac:dyDescent="0.65">
      <c r="A1529" s="5">
        <v>1527</v>
      </c>
      <c r="B1529" s="82" t="str">
        <f>HYPERLINK("https://search.naver.com/search.naver?query=비밀정보원 인 더 프리즌 영화", "비밀정보원-인 더 프리즌")</f>
        <v>비밀정보원-인 더 프리즌</v>
      </c>
      <c r="C1529" s="47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98" t="s">
        <v>3444</v>
      </c>
    </row>
    <row r="1530" spans="1:10" ht="28.9" customHeight="1" thickTop="1" thickBot="1" x14ac:dyDescent="0.65">
      <c r="A1530" s="3">
        <v>1528</v>
      </c>
      <c r="B1530" s="83" t="str">
        <f>HYPERLINK("https://search.naver.com/search.naver?query=비버 영화", "비버")</f>
        <v>비버</v>
      </c>
      <c r="C1530" s="45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97" t="s">
        <v>3454</v>
      </c>
    </row>
    <row r="1531" spans="1:10" ht="28.9" customHeight="1" thickTop="1" thickBot="1" x14ac:dyDescent="0.65">
      <c r="A1531" s="5">
        <v>1529</v>
      </c>
      <c r="B1531" s="82" t="str">
        <f>HYPERLINK("https://search.naver.com/search.naver?query=비상선언 영화", "비상선언")</f>
        <v>비상선언</v>
      </c>
      <c r="C1531" s="47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98" t="s">
        <v>3445</v>
      </c>
    </row>
    <row r="1532" spans="1:10" ht="28.9" customHeight="1" thickTop="1" thickBot="1" x14ac:dyDescent="0.65">
      <c r="A1532" s="3">
        <v>1530</v>
      </c>
      <c r="B1532" s="83" t="str">
        <f>HYPERLINK("https://search.naver.com/search.naver?query=비스트 2019", "비스트")</f>
        <v>비스트</v>
      </c>
      <c r="C1532" s="45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97" t="s">
        <v>3444</v>
      </c>
    </row>
    <row r="1533" spans="1:10" ht="28.9" customHeight="1" thickTop="1" thickBot="1" x14ac:dyDescent="0.65">
      <c r="A1533" s="5">
        <v>1531</v>
      </c>
      <c r="B1533" s="82" t="str">
        <f>HYPERLINK("https://search.naver.com/search.naver?query=비스트 영화", "비스트")</f>
        <v>비스트</v>
      </c>
      <c r="C1533" s="47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98" t="s">
        <v>3443</v>
      </c>
    </row>
    <row r="1534" spans="1:10" ht="28.9" customHeight="1" thickTop="1" thickBot="1" x14ac:dyDescent="0.65">
      <c r="A1534" s="3">
        <v>1532</v>
      </c>
      <c r="B1534" s="83" t="str">
        <f>HYPERLINK("https://search.naver.com/search.naver?query=비스트 오브 노 네이션 영화", "비스트 오브 노 네이션")</f>
        <v>비스트 오브 노 네이션</v>
      </c>
      <c r="C1534" s="45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97" t="s">
        <v>3440</v>
      </c>
    </row>
    <row r="1535" spans="1:10" ht="28.9" customHeight="1" thickTop="1" thickBot="1" x14ac:dyDescent="0.65">
      <c r="A1535" s="5">
        <v>1533</v>
      </c>
      <c r="B1535" s="82" t="str">
        <f>HYPERLINK("https://search.naver.com/search.naver?query=비와 당신의 이야기 영화", "비와 당신의 이야기")</f>
        <v>비와 당신의 이야기</v>
      </c>
      <c r="C1535" s="47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98" t="s">
        <v>3438</v>
      </c>
    </row>
    <row r="1536" spans="1:10" ht="28.9" customHeight="1" thickTop="1" thickBot="1" x14ac:dyDescent="0.65">
      <c r="A1536" s="3">
        <v>1534</v>
      </c>
      <c r="B1536" s="83" t="str">
        <f>HYPERLINK("https://search.naver.com/search.naver?query=비욘의 아내 영화", "비욘의 아내")</f>
        <v>비욘의 아내</v>
      </c>
      <c r="C1536" s="45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97" t="s">
        <v>3453</v>
      </c>
    </row>
    <row r="1537" spans="1:10" ht="28.9" customHeight="1" thickTop="1" thickBot="1" x14ac:dyDescent="0.65">
      <c r="A1537" s="5">
        <v>1535</v>
      </c>
      <c r="B1537" s="82" t="str">
        <f>HYPERLINK("https://search.naver.com/search.naver?query=비우티풀 영화", "비우티풀")</f>
        <v>비우티풀</v>
      </c>
      <c r="C1537" s="47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98" t="s">
        <v>3455</v>
      </c>
    </row>
    <row r="1538" spans="1:10" ht="28.9" customHeight="1" thickTop="1" thickBot="1" x14ac:dyDescent="0.65">
      <c r="A1538" s="3">
        <v>1536</v>
      </c>
      <c r="B1538" s="83" t="str">
        <f>HYPERLINK("https://search.naver.com/search.naver?query=비잉 더 리카도 영화", "비잉 더 리카도")</f>
        <v>비잉 더 리카도</v>
      </c>
      <c r="C1538" s="45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97" t="s">
        <v>3438</v>
      </c>
    </row>
    <row r="1539" spans="1:10" ht="28.9" customHeight="1" thickTop="1" thickBot="1" x14ac:dyDescent="0.65">
      <c r="A1539" s="5">
        <v>1537</v>
      </c>
      <c r="B1539" s="82" t="str">
        <f>HYPERLINK("https://search.naver.com/search.naver?query=비치 영화", "비치")</f>
        <v>비치</v>
      </c>
      <c r="C1539" s="47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98" t="s">
        <v>3458</v>
      </c>
    </row>
    <row r="1540" spans="1:10" ht="28.9" customHeight="1" thickTop="1" thickBot="1" x14ac:dyDescent="0.65">
      <c r="A1540" s="3">
        <v>1538</v>
      </c>
      <c r="B1540" s="83" t="str">
        <f>HYPERLINK("https://search.naver.com/search.naver?query=비키와 그녀의 미스테리 영화", "비키와 그녀의 미스테리")</f>
        <v>비키와 그녀의 미스테리</v>
      </c>
      <c r="C1540" s="45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97" t="s">
        <v>3438</v>
      </c>
    </row>
    <row r="1541" spans="1:10" ht="28.9" customHeight="1" thickTop="1" thickBot="1" x14ac:dyDescent="0.65">
      <c r="A1541" s="5">
        <v>1539</v>
      </c>
      <c r="B1541" s="82" t="str">
        <f>HYPERLINK("https://search.naver.com/search.naver?query=비투스 영화", "비투스")</f>
        <v>비투스</v>
      </c>
      <c r="C1541" s="47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98" t="s">
        <v>3460</v>
      </c>
    </row>
    <row r="1542" spans="1:10" ht="28.9" customHeight="1" thickTop="1" thickBot="1" x14ac:dyDescent="0.65">
      <c r="A1542" s="3">
        <v>1540</v>
      </c>
      <c r="B1542" s="83" t="str">
        <f>HYPERLINK("https://search.naver.com/search.naver?query=비포 미드나잇 영화", "비포 미드나잇")</f>
        <v>비포 미드나잇</v>
      </c>
      <c r="C1542" s="45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97" t="s">
        <v>3451</v>
      </c>
    </row>
    <row r="1543" spans="1:10" ht="28.9" customHeight="1" thickTop="1" thickBot="1" x14ac:dyDescent="0.65">
      <c r="A1543" s="5">
        <v>1541</v>
      </c>
      <c r="B1543" s="82" t="str">
        <f>HYPERLINK("https://search.naver.com/search.naver?query=비포 선라이즈 영화", "비포 선라이즈")</f>
        <v>비포 선라이즈</v>
      </c>
      <c r="C1543" s="47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98" t="s">
        <v>3475</v>
      </c>
    </row>
    <row r="1544" spans="1:10" ht="28.9" customHeight="1" thickTop="1" thickBot="1" x14ac:dyDescent="0.65">
      <c r="A1544" s="3">
        <v>1542</v>
      </c>
      <c r="B1544" s="83" t="str">
        <f>HYPERLINK("https://search.naver.com/search.naver?query=비포 선셋 영화", "비포 선셋")</f>
        <v>비포 선셋</v>
      </c>
      <c r="C1544" s="45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97" t="s">
        <v>3462</v>
      </c>
    </row>
    <row r="1545" spans="1:10" ht="28.9" customHeight="1" thickTop="1" thickBot="1" x14ac:dyDescent="0.65">
      <c r="A1545" s="5">
        <v>1543</v>
      </c>
      <c r="B1545" s="82" t="str">
        <f>HYPERLINK("https://search.naver.com/search.naver?query=비포 위 고 영화", "비포 위 고")</f>
        <v>비포 위 고</v>
      </c>
      <c r="C1545" s="47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98" t="s">
        <v>3437</v>
      </c>
    </row>
    <row r="1546" spans="1:10" ht="28.9" customHeight="1" thickTop="1" thickBot="1" x14ac:dyDescent="0.65">
      <c r="A1546" s="3">
        <v>1544</v>
      </c>
      <c r="B1546" s="83" t="str">
        <f>HYPERLINK("https://search.naver.com/search.naver?query=비홀드 마이 하트 영화", "비홀드 마이 하트")</f>
        <v>비홀드 마이 하트</v>
      </c>
      <c r="C1546" s="45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97" t="s">
        <v>3437</v>
      </c>
    </row>
    <row r="1547" spans="1:10" ht="28.9" customHeight="1" thickTop="1" thickBot="1" x14ac:dyDescent="0.65">
      <c r="A1547" s="5">
        <v>1545</v>
      </c>
      <c r="B1547" s="82" t="str">
        <f>HYPERLINK("https://search.naver.com/search.naver?query=빅 게임 영화", "빅 게임")</f>
        <v>빅 게임</v>
      </c>
      <c r="C1547" s="47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98" t="s">
        <v>3437</v>
      </c>
    </row>
    <row r="1548" spans="1:10" ht="28.9" customHeight="1" thickTop="1" thickBot="1" x14ac:dyDescent="0.65">
      <c r="A1548" s="7">
        <v>1546</v>
      </c>
      <c r="B1548" s="84" t="str">
        <f>HYPERLINK("https://search.naver.com/search.naver?query=빅 리틀 라이즈 시즌1", "빅 리틀 라이즈 시즌1")</f>
        <v>빅 리틀 라이즈 시즌1</v>
      </c>
      <c r="C1548" s="49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99" t="s">
        <v>3443</v>
      </c>
    </row>
    <row r="1549" spans="1:10" ht="28.9" customHeight="1" thickTop="1" thickBot="1" x14ac:dyDescent="0.65">
      <c r="A1549" s="7">
        <v>1547</v>
      </c>
      <c r="B1549" s="84" t="str">
        <f>HYPERLINK("https://search.naver.com/search.naver?query=빅 리틀 라이즈 시즌2", "빅 리틀 라이즈 시즌2")</f>
        <v>빅 리틀 라이즈 시즌2</v>
      </c>
      <c r="C1549" s="49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99" t="s">
        <v>3444</v>
      </c>
    </row>
    <row r="1550" spans="1:10" ht="28.9" customHeight="1" thickTop="1" thickBot="1" x14ac:dyDescent="0.65">
      <c r="A1550" s="3">
        <v>1548</v>
      </c>
      <c r="B1550" s="83" t="str">
        <f>HYPERLINK("https://search.naver.com/search.naver?query=빅 미라클 영화", "빅 미라클")</f>
        <v>빅 미라클</v>
      </c>
      <c r="C1550" s="45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97" t="s">
        <v>3439</v>
      </c>
    </row>
    <row r="1551" spans="1:10" ht="28.9" customHeight="1" thickTop="1" thickBot="1" x14ac:dyDescent="0.65">
      <c r="A1551" s="5">
        <v>1549</v>
      </c>
      <c r="B1551" s="82" t="str">
        <f>HYPERLINK("https://search.naver.com/search.naver?query=빅 아이즈 영화", "빅 아이즈")</f>
        <v>빅 아이즈</v>
      </c>
      <c r="C1551" s="47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98" t="s">
        <v>3437</v>
      </c>
    </row>
    <row r="1552" spans="1:10" ht="28.9" customHeight="1" thickTop="1" thickBot="1" x14ac:dyDescent="0.65">
      <c r="A1552" s="3">
        <v>1550</v>
      </c>
      <c r="B1552" s="83" t="str">
        <f>HYPERLINK("https://search.naver.com/search.naver?query=빅 웨딩 영화", "빅 웨딩")</f>
        <v>빅 웨딩</v>
      </c>
      <c r="C1552" s="45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97" t="s">
        <v>3451</v>
      </c>
    </row>
    <row r="1553" spans="1:10" ht="28.9" customHeight="1" thickTop="1" thickBot="1" x14ac:dyDescent="0.65">
      <c r="A1553" s="5">
        <v>1551</v>
      </c>
      <c r="B1553" s="82" t="str">
        <f>HYPERLINK("https://search.naver.com/search.naver?query=빅쇼트 영화", "빅쇼트")</f>
        <v>빅쇼트</v>
      </c>
      <c r="C1553" s="47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98" t="s">
        <v>3440</v>
      </c>
    </row>
    <row r="1554" spans="1:10" ht="28.9" customHeight="1" thickTop="1" thickBot="1" x14ac:dyDescent="0.65">
      <c r="A1554" s="3">
        <v>1552</v>
      </c>
      <c r="B1554" s="83" t="str">
        <f>HYPERLINK("https://search.naver.com/search.naver?query=빅식 영화", "빅식")</f>
        <v>빅식</v>
      </c>
      <c r="C1554" s="45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97" t="s">
        <v>3443</v>
      </c>
    </row>
    <row r="1555" spans="1:10" ht="28.9" customHeight="1" thickTop="1" thickBot="1" x14ac:dyDescent="0.65">
      <c r="A1555" s="5">
        <v>1553</v>
      </c>
      <c r="B1555" s="82" t="str">
        <f>HYPERLINK("https://search.naver.com/search.naver?query=빅토리 영화", "빅토리")</f>
        <v>빅토리</v>
      </c>
      <c r="C1555" s="47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98" t="s">
        <v>3448</v>
      </c>
    </row>
    <row r="1556" spans="1:10" ht="28.9" customHeight="1" thickTop="1" thickBot="1" x14ac:dyDescent="0.65">
      <c r="A1556" s="3">
        <v>1554</v>
      </c>
      <c r="B1556" s="83" t="str">
        <f>HYPERLINK("https://search.naver.com/search.naver?query=빅토리아 &amp; 압둘 영화", "빅토리아 &amp; 압둘")</f>
        <v>빅토리아 &amp; 압둘</v>
      </c>
      <c r="C1556" s="45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97" t="s">
        <v>3443</v>
      </c>
    </row>
    <row r="1557" spans="1:10" ht="28.9" customHeight="1" thickTop="1" thickBot="1" x14ac:dyDescent="0.65">
      <c r="A1557" s="5">
        <v>1555</v>
      </c>
      <c r="B1557" s="82" t="str">
        <f>HYPERLINK("https://search.naver.com/search.naver?query=빈 집 영화", "빈 집")</f>
        <v>빈 집</v>
      </c>
      <c r="C1557" s="47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98" t="s">
        <v>3462</v>
      </c>
    </row>
    <row r="1558" spans="1:10" ht="28.9" customHeight="1" thickTop="1" thickBot="1" x14ac:dyDescent="0.65">
      <c r="A1558" s="3">
        <v>1556</v>
      </c>
      <c r="B1558" s="83" t="str">
        <f>HYPERLINK("https://cine21.com/movie/info/?movie_id=56427", "빌런")</f>
        <v>빌런</v>
      </c>
      <c r="C1558" s="45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97" t="s">
        <v>3436</v>
      </c>
    </row>
    <row r="1559" spans="1:10" ht="28.9" customHeight="1" thickTop="1" thickBot="1" x14ac:dyDescent="0.65">
      <c r="A1559" s="5">
        <v>1557</v>
      </c>
      <c r="B1559" s="82" t="str">
        <f>HYPERLINK("https://search.naver.com/search.naver?query=빌리 린스 롱 하프타임 워크 영화", "빌리 린스 롱 하프타임 워크")</f>
        <v>빌리 린스 롱 하프타임 워크</v>
      </c>
      <c r="C1559" s="47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98" t="s">
        <v>3441</v>
      </c>
    </row>
    <row r="1560" spans="1:10" ht="28.9" customHeight="1" thickTop="1" thickBot="1" x14ac:dyDescent="0.65">
      <c r="A1560" s="3">
        <v>1558</v>
      </c>
      <c r="B1560" s="83" t="str">
        <f>HYPERLINK("https://search.naver.com/search.naver?query=빌리 진 킹 세기의 대결 영화", "빌리 진 킹 - 세기의 대결")</f>
        <v>빌리 진 킹 - 세기의 대결</v>
      </c>
      <c r="C1560" s="45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97" t="s">
        <v>3443</v>
      </c>
    </row>
    <row r="1561" spans="1:10" ht="28.9" customHeight="1" thickTop="1" thickBot="1" x14ac:dyDescent="0.65">
      <c r="A1561" s="7">
        <v>1559</v>
      </c>
      <c r="B1561" s="84" t="str">
        <f>HYPERLINK("https://search.naver.com/search.naver?query=빌리언스 시즌1", "빌리언스 시즌1")</f>
        <v>빌리언스 시즌1</v>
      </c>
      <c r="C1561" s="49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99" t="s">
        <v>3441</v>
      </c>
    </row>
    <row r="1562" spans="1:10" ht="28.9" customHeight="1" thickTop="1" thickBot="1" x14ac:dyDescent="0.65">
      <c r="A1562" s="7">
        <v>1560</v>
      </c>
      <c r="B1562" s="84" t="str">
        <f>HYPERLINK("https://search.naver.com/search.naver?query=빌리언스 시즌2", "빌리언스 시즌2")</f>
        <v>빌리언스 시즌2</v>
      </c>
      <c r="C1562" s="49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99" t="s">
        <v>3443</v>
      </c>
    </row>
    <row r="1563" spans="1:10" ht="28.9" customHeight="1" thickTop="1" thickBot="1" x14ac:dyDescent="0.65">
      <c r="A1563" s="7">
        <v>1561</v>
      </c>
      <c r="B1563" s="84" t="str">
        <f>HYPERLINK("https://search.naver.com/search.naver?query=빌리언스 시즌3", "빌리언스 시즌3")</f>
        <v>빌리언스 시즌3</v>
      </c>
      <c r="C1563" s="49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99" t="s">
        <v>3442</v>
      </c>
    </row>
    <row r="1564" spans="1:10" ht="28.9" customHeight="1" thickTop="1" thickBot="1" x14ac:dyDescent="0.65">
      <c r="A1564" s="7">
        <v>1562</v>
      </c>
      <c r="B1564" s="84" t="str">
        <f>HYPERLINK("https://search.naver.com/search.naver?query=빌리언스 시즌4", "빌리언스 시즌4")</f>
        <v>빌리언스 시즌4</v>
      </c>
      <c r="C1564" s="49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99" t="s">
        <v>3444</v>
      </c>
    </row>
    <row r="1565" spans="1:10" ht="28.9" customHeight="1" thickTop="1" thickBot="1" x14ac:dyDescent="0.65">
      <c r="A1565" s="7">
        <v>1563</v>
      </c>
      <c r="B1565" s="84" t="str">
        <f>HYPERLINK("https://search.naver.com/search.naver?query=빌리언스 시즌5", "빌리언스 시즌5")</f>
        <v>빌리언스 시즌5</v>
      </c>
      <c r="C1565" s="49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99" t="s">
        <v>3436</v>
      </c>
    </row>
    <row r="1566" spans="1:10" ht="28.9" customHeight="1" thickTop="1" thickBot="1" x14ac:dyDescent="0.65">
      <c r="A1566" s="7">
        <v>1564</v>
      </c>
      <c r="B1566" s="84" t="str">
        <f>HYPERLINK("https://search.naver.com/search.naver?query=빌리언스 시즌6", "빌리언스 시즌6")</f>
        <v>빌리언스 시즌6</v>
      </c>
      <c r="C1566" s="49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99" t="s">
        <v>3445</v>
      </c>
    </row>
    <row r="1567" spans="1:10" ht="28.9" customHeight="1" thickTop="1" thickBot="1" x14ac:dyDescent="0.65">
      <c r="A1567" s="5">
        <v>1565</v>
      </c>
      <c r="B1567" s="82" t="str">
        <f>HYPERLINK("https://search.naver.com/search.naver?query=빙 플린 영화", "빙 플린")</f>
        <v>빙 플린</v>
      </c>
      <c r="C1567" s="47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98" t="s">
        <v>3439</v>
      </c>
    </row>
    <row r="1568" spans="1:10" ht="28.9" customHeight="1" thickTop="1" thickBot="1" x14ac:dyDescent="0.65">
      <c r="A1568" s="3">
        <v>1566</v>
      </c>
      <c r="B1568" s="83" t="str">
        <f>HYPERLINK("https://search.naver.com/search.naver?query=빛나는 영화", "빛나는")</f>
        <v>빛나는</v>
      </c>
      <c r="C1568" s="45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97" t="s">
        <v>3443</v>
      </c>
    </row>
    <row r="1569" spans="1:10" ht="28.9" customHeight="1" thickTop="1" thickBot="1" x14ac:dyDescent="0.65">
      <c r="A1569" s="5">
        <v>1567</v>
      </c>
      <c r="B1569" s="82" t="str">
        <f>HYPERLINK("https://search.naver.com/search.naver?query=빠삐용 영화", "빠삐용")</f>
        <v>빠삐용</v>
      </c>
      <c r="C1569" s="47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98" t="s">
        <v>3443</v>
      </c>
    </row>
    <row r="1570" spans="1:10" ht="28.9" customHeight="1" thickTop="1" thickBot="1" x14ac:dyDescent="0.65">
      <c r="A1570" s="3">
        <v>1568</v>
      </c>
      <c r="B1570" s="83" t="str">
        <f>HYPERLINK("https://search.naver.com/search.naver?query=뺑반 영화", "뺑반")</f>
        <v>뺑반</v>
      </c>
      <c r="C1570" s="45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97" t="s">
        <v>3442</v>
      </c>
    </row>
    <row r="1571" spans="1:10" ht="28.9" customHeight="1" thickTop="1" thickBot="1" x14ac:dyDescent="0.65">
      <c r="A1571" s="5">
        <v>1569</v>
      </c>
      <c r="B1571" s="82" t="str">
        <f>HYPERLINK("https://search.naver.com/search.naver?query=쁘띠 아만다 영화", "쁘띠 아만다")</f>
        <v>쁘띠 아만다</v>
      </c>
      <c r="C1571" s="47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98" t="s">
        <v>3442</v>
      </c>
    </row>
    <row r="1572" spans="1:10" ht="28.9" customHeight="1" thickTop="1" thickBot="1" x14ac:dyDescent="0.65">
      <c r="A1572" s="7">
        <v>1570</v>
      </c>
      <c r="B1572" s="84" t="str">
        <f>HYPERLINK("https://search.naver.com/search.naver?query=사나다마루", "사나다마루")</f>
        <v>사나다마루</v>
      </c>
      <c r="C1572" s="49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99" t="s">
        <v>3441</v>
      </c>
    </row>
    <row r="1573" spans="1:10" ht="28.9" customHeight="1" thickTop="1" thickBot="1" x14ac:dyDescent="0.65">
      <c r="A1573" s="5">
        <v>1571</v>
      </c>
      <c r="B1573" s="82" t="str">
        <f>HYPERLINK("https://search.naver.com/search.naver?query=사냥 영화", "사냥")</f>
        <v>사냥</v>
      </c>
      <c r="C1573" s="47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98" t="s">
        <v>3441</v>
      </c>
    </row>
    <row r="1574" spans="1:10" ht="28.9" customHeight="1" thickTop="1" thickBot="1" x14ac:dyDescent="0.65">
      <c r="A1574" s="3">
        <v>1572</v>
      </c>
      <c r="B1574" s="83" t="str">
        <f>HYPERLINK("https://cine21.com/movie/info/?movie_id=54142", "사냥의 시간")</f>
        <v>사냥의 시간</v>
      </c>
      <c r="C1574" s="45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97" t="s">
        <v>3436</v>
      </c>
    </row>
    <row r="1575" spans="1:10" ht="28.9" customHeight="1" thickTop="1" thickBot="1" x14ac:dyDescent="0.65">
      <c r="A1575" s="5">
        <v>1573</v>
      </c>
      <c r="B1575" s="82" t="str">
        <f>HYPERLINK("https://search.naver.com/search.naver?query=사도 영화", "사도")</f>
        <v>사도</v>
      </c>
      <c r="C1575" s="47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98" t="s">
        <v>3440</v>
      </c>
    </row>
    <row r="1576" spans="1:10" ht="28.9" customHeight="1" thickTop="1" thickBot="1" x14ac:dyDescent="0.65">
      <c r="A1576" s="3">
        <v>1574</v>
      </c>
      <c r="B1576" s="83" t="str">
        <f>HYPERLINK("https://search.naver.com/search.naver?query=사라 영화", "사라")</f>
        <v>사라</v>
      </c>
      <c r="C1576" s="45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97" t="s">
        <v>3437</v>
      </c>
    </row>
    <row r="1577" spans="1:10" ht="28.9" customHeight="1" thickTop="1" thickBot="1" x14ac:dyDescent="0.65">
      <c r="A1577" s="5">
        <v>1575</v>
      </c>
      <c r="B1577" s="82" t="str">
        <f>HYPERLINK("https://search.naver.com/search.naver?query=사라의 열쇠 영화", "사라의 열쇠")</f>
        <v>사라의 열쇠</v>
      </c>
      <c r="C1577" s="47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98" t="s">
        <v>3455</v>
      </c>
    </row>
    <row r="1578" spans="1:10" ht="28.9" customHeight="1" thickTop="1" thickBot="1" x14ac:dyDescent="0.65">
      <c r="A1578" s="3">
        <v>1576</v>
      </c>
      <c r="B1578" s="83" t="str">
        <f>HYPERLINK("https://search.naver.com/search.naver?query=사라져버린 영화", "사라져버린")</f>
        <v>사라져버린</v>
      </c>
      <c r="C1578" s="45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97" t="s">
        <v>3438</v>
      </c>
    </row>
    <row r="1579" spans="1:10" ht="28.9" customHeight="1" thickTop="1" thickBot="1" x14ac:dyDescent="0.65">
      <c r="A1579" s="5">
        <v>1577</v>
      </c>
      <c r="B1579" s="82" t="str">
        <f>HYPERLINK("https://search.naver.com/search.naver?query=사라진 밤 영화", "사라진 밤")</f>
        <v>사라진 밤</v>
      </c>
      <c r="C1579" s="47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98" t="s">
        <v>3442</v>
      </c>
    </row>
    <row r="1580" spans="1:10" ht="28.9" customHeight="1" thickTop="1" thickBot="1" x14ac:dyDescent="0.65">
      <c r="A1580" s="3">
        <v>1578</v>
      </c>
      <c r="B1580" s="83" t="str">
        <f>HYPERLINK("https://f-fox1213.tistory.com/99", "사라진 소녀들")</f>
        <v>사라진 소녀들</v>
      </c>
      <c r="C1580" s="45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97" t="s">
        <v>3436</v>
      </c>
    </row>
    <row r="1581" spans="1:10" ht="28.9" customHeight="1" thickTop="1" thickBot="1" x14ac:dyDescent="0.65">
      <c r="A1581" s="5">
        <v>1579</v>
      </c>
      <c r="B1581" s="82" t="str">
        <f>HYPERLINK("https://search.naver.com/search.naver?query=사라짐의 순서 지옥행 제설차 영화", "사라짐의 순서 - 지옥행 제설차")</f>
        <v>사라짐의 순서 - 지옥행 제설차</v>
      </c>
      <c r="C1581" s="47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98" t="s">
        <v>3437</v>
      </c>
    </row>
    <row r="1582" spans="1:10" ht="28.9" customHeight="1" thickTop="1" thickBot="1" x14ac:dyDescent="0.65">
      <c r="A1582" s="3">
        <v>1580</v>
      </c>
      <c r="B1582" s="83" t="str">
        <f>HYPERLINK("https://search.naver.com/search.naver?query=사랑 후에 남겨진 것들 영화", "사랑 후에 남겨진 것들")</f>
        <v>사랑 후에 남겨진 것들</v>
      </c>
      <c r="C1582" s="45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97" t="s">
        <v>3453</v>
      </c>
    </row>
    <row r="1583" spans="1:10" ht="28.9" customHeight="1" thickTop="1" thickBot="1" x14ac:dyDescent="0.65">
      <c r="A1583" s="5">
        <v>1581</v>
      </c>
      <c r="B1583" s="82" t="str">
        <f>HYPERLINK("https://search.naver.com/search.naver?query=사랑 후에 오는 것들", "사랑 후에 오는 것들")</f>
        <v>사랑 후에 오는 것들</v>
      </c>
      <c r="C1583" s="47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98" t="s">
        <v>3448</v>
      </c>
    </row>
    <row r="1584" spans="1:10" ht="28.9" customHeight="1" thickTop="1" thickBot="1" x14ac:dyDescent="0.65">
      <c r="A1584" s="3">
        <v>1582</v>
      </c>
      <c r="B1584" s="83" t="str">
        <f>HYPERLINK("https://search.naver.com/search.naver?query=사랑 후의 두 여자 영화", "사랑 후의 두 여자")</f>
        <v>사랑 후의 두 여자</v>
      </c>
      <c r="C1584" s="45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97" t="s">
        <v>3436</v>
      </c>
    </row>
    <row r="1585" spans="1:10" ht="28.9" customHeight="1" thickTop="1" thickBot="1" x14ac:dyDescent="0.65">
      <c r="A1585" s="5">
        <v>1583</v>
      </c>
      <c r="B1585" s="82" t="str">
        <f>HYPERLINK("https://search.naver.com/search.naver?query=사랑노래 약속의 나쿠히토 영화", "사랑노래 - 약속의 나쿠히토")</f>
        <v>사랑노래 - 약속의 나쿠히토</v>
      </c>
      <c r="C1585" s="47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98" t="s">
        <v>3444</v>
      </c>
    </row>
    <row r="1586" spans="1:10" ht="28.9" customHeight="1" thickTop="1" thickBot="1" x14ac:dyDescent="0.65">
      <c r="A1586" s="3">
        <v>1584</v>
      </c>
      <c r="B1586" s="83" t="str">
        <f>HYPERLINK("https://search.naver.com/search.naver?query=사랑도 통역이 되나요 영화", "사랑도 통역이 되나요")</f>
        <v>사랑도 통역이 되나요</v>
      </c>
      <c r="C1586" s="45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97" t="s">
        <v>3449</v>
      </c>
    </row>
    <row r="1587" spans="1:10" ht="28.9" customHeight="1" thickTop="1" thickBot="1" x14ac:dyDescent="0.65">
      <c r="A1587" s="5">
        <v>1585</v>
      </c>
      <c r="B1587" s="82" t="str">
        <f>HYPERLINK("https://search.naver.com/search.naver?query=사랑보다 황금 영화", "사랑보다 황금")</f>
        <v>사랑보다 황금</v>
      </c>
      <c r="C1587" s="47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98" t="s">
        <v>3450</v>
      </c>
    </row>
    <row r="1588" spans="1:10" ht="28.9" customHeight="1" thickTop="1" thickBot="1" x14ac:dyDescent="0.65">
      <c r="A1588" s="3">
        <v>1586</v>
      </c>
      <c r="B1588" s="83" t="str">
        <f>HYPERLINK("https://search.naver.com/search.naver?query=사랑에 대한 모든 것 영화", "사랑에 대한 모든 것")</f>
        <v>사랑에 대한 모든 것</v>
      </c>
      <c r="C1588" s="45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97" t="s">
        <v>3437</v>
      </c>
    </row>
    <row r="1589" spans="1:10" ht="28.9" customHeight="1" thickTop="1" thickBot="1" x14ac:dyDescent="0.65">
      <c r="A1589" s="5">
        <v>1587</v>
      </c>
      <c r="B1589" s="82" t="str">
        <f>HYPERLINK("https://search.naver.com/search.naver?query=사랑에 빠진 것처럼 영화", "사랑에 빠진 것처럼")</f>
        <v>사랑에 빠진 것처럼</v>
      </c>
      <c r="C1589" s="47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98" t="s">
        <v>3451</v>
      </c>
    </row>
    <row r="1590" spans="1:10" ht="28.9" customHeight="1" thickTop="1" thickBot="1" x14ac:dyDescent="0.65">
      <c r="A1590" s="3">
        <v>1588</v>
      </c>
      <c r="B1590" s="83" t="str">
        <f>HYPERLINK("https://search.naver.com/search.naver?query=사랑은 너무 복잡해 영화", "사랑은 너무 복잡해")</f>
        <v>사랑은 너무 복잡해</v>
      </c>
      <c r="C1590" s="45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97" t="s">
        <v>3455</v>
      </c>
    </row>
    <row r="1591" spans="1:10" ht="28.9" customHeight="1" thickTop="1" thickBot="1" x14ac:dyDescent="0.65">
      <c r="A1591" s="5">
        <v>1589</v>
      </c>
      <c r="B1591" s="82" t="str">
        <f>HYPERLINK("https://search.naver.com/search.naver?query=사랑은 비가 갠 뒤처럼 영화", "사랑은 비가 갠 뒤처럼")</f>
        <v>사랑은 비가 갠 뒤처럼</v>
      </c>
      <c r="C1591" s="47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98" t="s">
        <v>3442</v>
      </c>
    </row>
    <row r="1592" spans="1:10" ht="28.9" customHeight="1" thickTop="1" thickBot="1" x14ac:dyDescent="0.65">
      <c r="A1592" s="3">
        <v>1590</v>
      </c>
      <c r="B1592" s="83" t="str">
        <f>HYPERLINK("https://search.naver.com/search.naver?query=사랑을 놓치다 영화", "사랑을 놓치다")</f>
        <v>사랑을 놓치다</v>
      </c>
      <c r="C1592" s="45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97" t="s">
        <v>3460</v>
      </c>
    </row>
    <row r="1593" spans="1:10" ht="28.9" customHeight="1" thickTop="1" thickBot="1" x14ac:dyDescent="0.65">
      <c r="A1593" s="5">
        <v>1591</v>
      </c>
      <c r="B1593" s="82" t="str">
        <f>HYPERLINK("https://search.naver.com/search.naver?query=사랑을 부르는, 파리 영화", "사랑을 부르는, 파리")</f>
        <v>사랑을 부르는, 파리</v>
      </c>
      <c r="C1593" s="47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98" t="s">
        <v>3453</v>
      </c>
    </row>
    <row r="1594" spans="1:10" ht="28.9" customHeight="1" thickTop="1" thickBot="1" x14ac:dyDescent="0.65">
      <c r="A1594" s="3">
        <v>1592</v>
      </c>
      <c r="B1594" s="83" t="str">
        <f>HYPERLINK("https://search.naver.com/search.naver?query=사랑을 카피하다 영화", "사랑을 카피하다")</f>
        <v>사랑을 카피하다</v>
      </c>
      <c r="C1594" s="45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97" t="s">
        <v>3454</v>
      </c>
    </row>
    <row r="1595" spans="1:10" s="54" customFormat="1" ht="28.9" customHeight="1" thickTop="1" thickBot="1" x14ac:dyDescent="0.65">
      <c r="A1595" s="20">
        <v>1593</v>
      </c>
      <c r="B1595" s="82" t="str">
        <f>HYPERLINK("https://search.naver.com/search.naver?query=%EC%82%AC%EB%9E%91%EC%9D%98%20%EB%B8%94%EB%9E%99%ED%99%80%20%EC%98%81%ED%99%94", "사랑의 블랙홀")</f>
        <v>사랑의 블랙홀</v>
      </c>
      <c r="C1595" s="53">
        <v>8.59</v>
      </c>
      <c r="D1595" s="19" t="s">
        <v>1736</v>
      </c>
      <c r="E1595" s="20" t="s">
        <v>20</v>
      </c>
      <c r="F1595" s="20">
        <v>1993</v>
      </c>
      <c r="G1595" s="20" t="s">
        <v>12</v>
      </c>
      <c r="H1595" s="20" t="s">
        <v>121</v>
      </c>
      <c r="I1595" s="20" t="s">
        <v>70</v>
      </c>
      <c r="J1595" s="98" t="s">
        <v>3469</v>
      </c>
    </row>
    <row r="1596" spans="1:10" s="54" customFormat="1" ht="28.9" customHeight="1" thickTop="1" thickBot="1" x14ac:dyDescent="0.65">
      <c r="A1596" s="18">
        <v>1594</v>
      </c>
      <c r="B1596" s="83" t="str">
        <f>HYPERLINK("https://search.naver.com/search.naver?query=%EC%82%AC%EB%9E%91%EC%9D%98%20%EC%88%9C%EA%B0%84%20%EC%98%81%ED%99%94", "사랑의 순간")</f>
        <v>사랑의 순간</v>
      </c>
      <c r="C1596" s="55">
        <v>9.2100000000000009</v>
      </c>
      <c r="D1596" s="21" t="s">
        <v>1737</v>
      </c>
      <c r="E1596" s="18" t="s">
        <v>24</v>
      </c>
      <c r="F1596" s="18">
        <v>2008</v>
      </c>
      <c r="G1596" s="18" t="s">
        <v>12</v>
      </c>
      <c r="H1596" s="18" t="s">
        <v>17</v>
      </c>
      <c r="I1596" s="18" t="s">
        <v>111</v>
      </c>
      <c r="J1596" s="97" t="s">
        <v>3450</v>
      </c>
    </row>
    <row r="1597" spans="1:10" s="54" customFormat="1" ht="28.9" customHeight="1" thickTop="1" thickBot="1" x14ac:dyDescent="0.65">
      <c r="A1597" s="20">
        <v>1595</v>
      </c>
      <c r="B1597" s="82" t="str">
        <f>HYPERLINK("https://search.naver.com/search.naver?query=%EC%82%AC%EB%9E%91%EC%9D%98%20%EC%9C%A0%ED%98%95%EC%A7%80%20%EC%98%81%ED%99%94", "사랑의 유형지")</f>
        <v>사랑의 유형지</v>
      </c>
      <c r="C1597" s="53"/>
      <c r="D1597" s="19" t="s">
        <v>1738</v>
      </c>
      <c r="E1597" s="20" t="s">
        <v>16</v>
      </c>
      <c r="F1597" s="20">
        <v>2007</v>
      </c>
      <c r="G1597" s="20" t="s">
        <v>12</v>
      </c>
      <c r="H1597" s="20" t="s">
        <v>121</v>
      </c>
      <c r="I1597" s="20" t="s">
        <v>214</v>
      </c>
      <c r="J1597" s="98" t="s">
        <v>3447</v>
      </c>
    </row>
    <row r="1598" spans="1:10" s="54" customFormat="1" ht="28.9" customHeight="1" thickTop="1" thickBot="1" x14ac:dyDescent="0.65">
      <c r="A1598" s="18">
        <v>1596</v>
      </c>
      <c r="B1598" s="83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55">
        <v>7.89</v>
      </c>
      <c r="D1598" s="21" t="s">
        <v>1739</v>
      </c>
      <c r="E1598" s="18" t="s">
        <v>210</v>
      </c>
      <c r="F1598" s="18">
        <v>2014</v>
      </c>
      <c r="G1598" s="18" t="s">
        <v>12</v>
      </c>
      <c r="H1598" s="18" t="s">
        <v>68</v>
      </c>
      <c r="I1598" s="18" t="s">
        <v>124</v>
      </c>
      <c r="J1598" s="97" t="s">
        <v>3437</v>
      </c>
    </row>
    <row r="1599" spans="1:10" s="54" customFormat="1" ht="28.9" customHeight="1" thickTop="1" thickBot="1" x14ac:dyDescent="0.65">
      <c r="A1599" s="20">
        <v>1597</v>
      </c>
      <c r="B1599" s="82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53">
        <v>6.3</v>
      </c>
      <c r="D1599" s="19" t="s">
        <v>1740</v>
      </c>
      <c r="E1599" s="20" t="s">
        <v>210</v>
      </c>
      <c r="F1599" s="20">
        <v>2016</v>
      </c>
      <c r="G1599" s="20" t="s">
        <v>12</v>
      </c>
      <c r="H1599" s="20" t="s">
        <v>68</v>
      </c>
      <c r="I1599" s="20" t="s">
        <v>73</v>
      </c>
      <c r="J1599" s="98" t="s">
        <v>3441</v>
      </c>
    </row>
    <row r="1600" spans="1:10" s="54" customFormat="1" ht="28.9" customHeight="1" thickTop="1" thickBot="1" x14ac:dyDescent="0.65">
      <c r="A1600" s="18">
        <v>1598</v>
      </c>
      <c r="B1600" s="83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55">
        <v>8.26</v>
      </c>
      <c r="D1600" s="21" t="s">
        <v>1741</v>
      </c>
      <c r="E1600" s="18" t="s">
        <v>20</v>
      </c>
      <c r="F1600" s="18">
        <v>1999</v>
      </c>
      <c r="G1600" s="18" t="s">
        <v>12</v>
      </c>
      <c r="H1600" s="18" t="s">
        <v>17</v>
      </c>
      <c r="I1600" s="18" t="s">
        <v>128</v>
      </c>
      <c r="J1600" s="97" t="s">
        <v>3456</v>
      </c>
    </row>
    <row r="1601" spans="1:10" s="54" customFormat="1" ht="28.9" customHeight="1" thickTop="1" thickBot="1" x14ac:dyDescent="0.65">
      <c r="A1601" s="20">
        <v>1599</v>
      </c>
      <c r="B1601" s="8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53">
        <v>9.01</v>
      </c>
      <c r="D1601" s="19" t="s">
        <v>1742</v>
      </c>
      <c r="E1601" s="20" t="s">
        <v>30</v>
      </c>
      <c r="F1601" s="20">
        <v>2018</v>
      </c>
      <c r="G1601" s="20" t="s">
        <v>12</v>
      </c>
      <c r="H1601" s="20" t="s">
        <v>17</v>
      </c>
      <c r="I1601" s="20" t="s">
        <v>237</v>
      </c>
      <c r="J1601" s="98" t="s">
        <v>3442</v>
      </c>
    </row>
    <row r="1602" spans="1:10" s="54" customFormat="1" ht="28.9" customHeight="1" thickTop="1" thickBot="1" x14ac:dyDescent="0.65">
      <c r="A1602" s="18">
        <v>1600</v>
      </c>
      <c r="B1602" s="83" t="str">
        <f>HYPERLINK("https://search.naver.com/search.naver?query=%EC%82%AC%EB%9E%91%ED%95%98%EB%8A%94%20%EB%88%84%EA%B5%B0%EA%B0%80%20%EC%98%81%ED%99%94", "사랑하는 누군가")</f>
        <v>사랑하는 누군가</v>
      </c>
      <c r="C1602" s="55">
        <v>8.61</v>
      </c>
      <c r="D1602" s="21" t="s">
        <v>1743</v>
      </c>
      <c r="E1602" s="18" t="s">
        <v>118</v>
      </c>
      <c r="F1602" s="18">
        <v>2014</v>
      </c>
      <c r="G1602" s="18" t="s">
        <v>12</v>
      </c>
      <c r="H1602" s="18" t="s">
        <v>17</v>
      </c>
      <c r="I1602" s="18" t="s">
        <v>61</v>
      </c>
      <c r="J1602" s="97" t="s">
        <v>3437</v>
      </c>
    </row>
    <row r="1603" spans="1:10" s="54" customFormat="1" ht="28.9" customHeight="1" thickTop="1" thickBot="1" x14ac:dyDescent="0.65">
      <c r="A1603" s="20">
        <v>1601</v>
      </c>
      <c r="B1603" s="82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53"/>
      <c r="D1603" s="19" t="s">
        <v>1744</v>
      </c>
      <c r="E1603" s="20" t="s">
        <v>20</v>
      </c>
      <c r="F1603" s="20">
        <v>2004</v>
      </c>
      <c r="G1603" s="20" t="s">
        <v>12</v>
      </c>
      <c r="H1603" s="20" t="s">
        <v>68</v>
      </c>
      <c r="I1603" s="20" t="s">
        <v>89</v>
      </c>
      <c r="J1603" s="98" t="s">
        <v>3462</v>
      </c>
    </row>
    <row r="1604" spans="1:10" s="54" customFormat="1" ht="28.9" customHeight="1" thickTop="1" thickBot="1" x14ac:dyDescent="0.65">
      <c r="A1604" s="18">
        <v>1602</v>
      </c>
      <c r="B1604" s="83" t="str">
        <f>HYPERLINK("https://search.naver.com/search.naver?query=%EC%82%AC%EB%9E%91%ED%95%B4%2C%20%EB%A7%A4%EA%B8%B0%20%EC%98%81%ED%99%94", "사랑해, 매기")</f>
        <v>사랑해, 매기</v>
      </c>
      <c r="C1604" s="55">
        <v>8.5399999999999991</v>
      </c>
      <c r="D1604" s="21" t="s">
        <v>1745</v>
      </c>
      <c r="E1604" s="18" t="s">
        <v>1567</v>
      </c>
      <c r="F1604" s="18">
        <v>2016</v>
      </c>
      <c r="G1604" s="18" t="s">
        <v>12</v>
      </c>
      <c r="H1604" s="18" t="s">
        <v>68</v>
      </c>
      <c r="I1604" s="18" t="s">
        <v>75</v>
      </c>
      <c r="J1604" s="97" t="s">
        <v>3441</v>
      </c>
    </row>
    <row r="1605" spans="1:10" s="54" customFormat="1" ht="28.9" customHeight="1" thickTop="1" thickBot="1" x14ac:dyDescent="0.65">
      <c r="A1605" s="20">
        <v>1603</v>
      </c>
      <c r="B1605" s="82" t="str">
        <f>HYPERLINK("https://search.naver.com/search.naver?query=%EC%82%AC%EB%A7%88%EB%A6%AC%EC%95%84%20%EC%98%81%ED%99%94", "사마리아")</f>
        <v>사마리아</v>
      </c>
      <c r="C1605" s="53">
        <v>8.57</v>
      </c>
      <c r="D1605" s="19" t="s">
        <v>1746</v>
      </c>
      <c r="E1605" s="20" t="s">
        <v>11</v>
      </c>
      <c r="F1605" s="20">
        <v>2004</v>
      </c>
      <c r="G1605" s="20" t="s">
        <v>12</v>
      </c>
      <c r="H1605" s="20" t="s">
        <v>17</v>
      </c>
      <c r="I1605" s="20" t="s">
        <v>111</v>
      </c>
      <c r="J1605" s="98" t="s">
        <v>3462</v>
      </c>
    </row>
    <row r="1606" spans="1:10" s="54" customFormat="1" ht="28.9" customHeight="1" thickTop="1" thickBot="1" x14ac:dyDescent="0.65">
      <c r="A1606" s="18">
        <v>1604</v>
      </c>
      <c r="B1606" s="83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55">
        <v>6.89</v>
      </c>
      <c r="D1606" s="21" t="s">
        <v>1747</v>
      </c>
      <c r="E1606" s="18" t="s">
        <v>24</v>
      </c>
      <c r="F1606" s="18">
        <v>2011</v>
      </c>
      <c r="G1606" s="18" t="s">
        <v>12</v>
      </c>
      <c r="H1606" s="18" t="s">
        <v>17</v>
      </c>
      <c r="I1606" s="18" t="s">
        <v>75</v>
      </c>
      <c r="J1606" s="97" t="s">
        <v>3454</v>
      </c>
    </row>
    <row r="1607" spans="1:10" s="54" customFormat="1" ht="28.9" customHeight="1" thickTop="1" thickBot="1" x14ac:dyDescent="0.65">
      <c r="A1607" s="20">
        <v>1605</v>
      </c>
      <c r="B1607" s="82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53">
        <v>8.0500000000000007</v>
      </c>
      <c r="D1607" s="19" t="s">
        <v>3503</v>
      </c>
      <c r="E1607" s="20" t="s">
        <v>16</v>
      </c>
      <c r="F1607" s="20">
        <v>2014</v>
      </c>
      <c r="G1607" s="20" t="s">
        <v>12</v>
      </c>
      <c r="H1607" s="20" t="s">
        <v>873</v>
      </c>
      <c r="I1607" s="20" t="s">
        <v>31</v>
      </c>
      <c r="J1607" s="98" t="s">
        <v>3437</v>
      </c>
    </row>
    <row r="1608" spans="1:10" s="54" customFormat="1" ht="28.9" customHeight="1" thickTop="1" thickBot="1" x14ac:dyDescent="0.65">
      <c r="A1608" s="18">
        <v>1606</v>
      </c>
      <c r="B1608" s="83" t="str">
        <f>HYPERLINK("https://search.naver.com/search.naver?query=%EC%82%AC%EB%B0%94%ED%95%98%20%EC%98%81%ED%99%94", "사바하")</f>
        <v>사바하</v>
      </c>
      <c r="C1608" s="55"/>
      <c r="D1608" s="21" t="s">
        <v>1748</v>
      </c>
      <c r="E1608" s="18" t="s">
        <v>11</v>
      </c>
      <c r="F1608" s="18">
        <v>2019</v>
      </c>
      <c r="G1608" s="18" t="s">
        <v>12</v>
      </c>
      <c r="H1608" s="18" t="s">
        <v>141</v>
      </c>
      <c r="I1608" s="18" t="s">
        <v>105</v>
      </c>
      <c r="J1608" s="97" t="s">
        <v>3444</v>
      </c>
    </row>
    <row r="1609" spans="1:10" s="54" customFormat="1" ht="28.9" customHeight="1" thickTop="1" thickBot="1" x14ac:dyDescent="0.65">
      <c r="A1609" s="20">
        <v>1607</v>
      </c>
      <c r="B1609" s="82" t="str">
        <f>HYPERLINK("https://search.naver.com/search.naver?query=%EC%82%AC%EB%B3%B4%ED%83%80%EC%A7%80%20%EC%98%81%ED%99%94", "사보타지")</f>
        <v>사보타지</v>
      </c>
      <c r="C1609" s="53">
        <v>7.45</v>
      </c>
      <c r="D1609" s="19" t="s">
        <v>1749</v>
      </c>
      <c r="E1609" s="20" t="s">
        <v>20</v>
      </c>
      <c r="F1609" s="20">
        <v>2014</v>
      </c>
      <c r="G1609" s="20" t="s">
        <v>12</v>
      </c>
      <c r="H1609" s="20" t="s">
        <v>92</v>
      </c>
      <c r="I1609" s="20" t="s">
        <v>137</v>
      </c>
      <c r="J1609" s="98" t="s">
        <v>3437</v>
      </c>
    </row>
    <row r="1610" spans="1:10" s="54" customFormat="1" ht="28.9" customHeight="1" thickTop="1" thickBot="1" x14ac:dyDescent="0.65">
      <c r="A1610" s="18">
        <v>1608</v>
      </c>
      <c r="B1610" s="83" t="str">
        <f>HYPERLINK("https://search.naver.com/search.naver?query=%EC%82%AC%EC%9A%94%EB%82%98%EB%9D%BC%20%EC%9D%B4%EC%B8%A0%EC%B9%B4%20%EC%98%81%ED%99%94", "사요나라 이츠카")</f>
        <v>사요나라 이츠카</v>
      </c>
      <c r="C1610" s="55">
        <v>7.72</v>
      </c>
      <c r="D1610" s="21" t="s">
        <v>1750</v>
      </c>
      <c r="E1610" s="18" t="s">
        <v>16</v>
      </c>
      <c r="F1610" s="18">
        <v>2010</v>
      </c>
      <c r="G1610" s="18" t="s">
        <v>12</v>
      </c>
      <c r="H1610" s="18" t="s">
        <v>121</v>
      </c>
      <c r="I1610" s="18" t="s">
        <v>86</v>
      </c>
      <c r="J1610" s="97" t="s">
        <v>3455</v>
      </c>
    </row>
    <row r="1611" spans="1:10" s="54" customFormat="1" ht="28.9" customHeight="1" thickTop="1" thickBot="1" x14ac:dyDescent="0.65">
      <c r="A1611" s="20">
        <v>1609</v>
      </c>
      <c r="B1611" s="82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53">
        <v>7.72</v>
      </c>
      <c r="D1611" s="19" t="s">
        <v>1751</v>
      </c>
      <c r="E1611" s="20" t="s">
        <v>20</v>
      </c>
      <c r="F1611" s="20">
        <v>2016</v>
      </c>
      <c r="G1611" s="20" t="s">
        <v>12</v>
      </c>
      <c r="H1611" s="20" t="s">
        <v>17</v>
      </c>
      <c r="I1611" s="20" t="s">
        <v>952</v>
      </c>
      <c r="J1611" s="98" t="s">
        <v>3441</v>
      </c>
    </row>
    <row r="1612" spans="1:10" s="54" customFormat="1" ht="28.9" customHeight="1" thickTop="1" thickBot="1" x14ac:dyDescent="0.65">
      <c r="A1612" s="18">
        <v>1610</v>
      </c>
      <c r="B1612" s="83" t="str">
        <f>HYPERLINK("https://search.naver.com/search.naver?query=%EC%82%AC%EC%9A%B0%EC%8A%A4%ED%8F%AC%20%EC%98%81%ED%99%94", "사우스포")</f>
        <v>사우스포</v>
      </c>
      <c r="C1612" s="55"/>
      <c r="D1612" s="21" t="s">
        <v>1752</v>
      </c>
      <c r="E1612" s="18" t="s">
        <v>20</v>
      </c>
      <c r="F1612" s="18">
        <v>2015</v>
      </c>
      <c r="G1612" s="18" t="s">
        <v>12</v>
      </c>
      <c r="H1612" s="18" t="s">
        <v>17</v>
      </c>
      <c r="I1612" s="18" t="s">
        <v>134</v>
      </c>
      <c r="J1612" s="97" t="s">
        <v>3440</v>
      </c>
    </row>
    <row r="1613" spans="1:10" s="54" customFormat="1" ht="28.9" customHeight="1" thickTop="1" thickBot="1" x14ac:dyDescent="0.65">
      <c r="A1613" s="20">
        <v>1611</v>
      </c>
      <c r="B1613" s="82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53">
        <v>8.5399999999999991</v>
      </c>
      <c r="D1613" s="19" t="s">
        <v>1753</v>
      </c>
      <c r="E1613" s="20" t="s">
        <v>20</v>
      </c>
      <c r="F1613" s="20">
        <v>2023</v>
      </c>
      <c r="G1613" s="20" t="s">
        <v>12</v>
      </c>
      <c r="H1613" s="20" t="s">
        <v>17</v>
      </c>
      <c r="I1613" s="20" t="s">
        <v>280</v>
      </c>
      <c r="J1613" s="98" t="s">
        <v>3446</v>
      </c>
    </row>
    <row r="1614" spans="1:10" s="54" customFormat="1" ht="28.9" customHeight="1" thickTop="1" thickBot="1" x14ac:dyDescent="0.65">
      <c r="A1614" s="18">
        <v>1612</v>
      </c>
      <c r="B1614" s="83" t="str">
        <f>HYPERLINK("https://search.naver.com/search.naver?query=%EC%82%AC%EC%9A%B8%EC%9D%98%20%EC%95%84%EB%93%A4%20%EC%98%81%ED%99%94", "사울의 아들")</f>
        <v>사울의 아들</v>
      </c>
      <c r="C1614" s="55">
        <v>8.67</v>
      </c>
      <c r="D1614" s="21" t="s">
        <v>1754</v>
      </c>
      <c r="E1614" s="18" t="s">
        <v>639</v>
      </c>
      <c r="F1614" s="18">
        <v>2015</v>
      </c>
      <c r="G1614" s="18" t="s">
        <v>12</v>
      </c>
      <c r="H1614" s="18" t="s">
        <v>17</v>
      </c>
      <c r="I1614" s="18" t="s">
        <v>75</v>
      </c>
      <c r="J1614" s="97" t="s">
        <v>3440</v>
      </c>
    </row>
    <row r="1615" spans="1:10" s="54" customFormat="1" ht="28.9" customHeight="1" thickTop="1" thickBot="1" x14ac:dyDescent="0.65">
      <c r="A1615" s="20">
        <v>1613</v>
      </c>
      <c r="B1615" s="82" t="str">
        <f>HYPERLINK("https://search.naver.com/search.naver?query=%EC%82%AC%EC%9D%B4%EB%93%9C%20%EC%9D%B4%ED%8E%99%ED%8A%B8%20%EC%98%81%ED%99%94", "사이드 이펙트")</f>
        <v>사이드 이펙트</v>
      </c>
      <c r="C1615" s="53">
        <v>8.67</v>
      </c>
      <c r="D1615" s="19" t="s">
        <v>1755</v>
      </c>
      <c r="E1615" s="20" t="s">
        <v>20</v>
      </c>
      <c r="F1615" s="20">
        <v>2013</v>
      </c>
      <c r="G1615" s="20" t="s">
        <v>12</v>
      </c>
      <c r="H1615" s="20" t="s">
        <v>43</v>
      </c>
      <c r="I1615" s="20" t="s">
        <v>286</v>
      </c>
      <c r="J1615" s="98" t="s">
        <v>3451</v>
      </c>
    </row>
    <row r="1616" spans="1:10" s="54" customFormat="1" ht="28.9" customHeight="1" thickTop="1" thickBot="1" x14ac:dyDescent="0.65">
      <c r="A1616" s="18">
        <v>1614</v>
      </c>
      <c r="B1616" s="83" t="str">
        <f>HYPERLINK("https://search.naver.com/search.naver?query=%EC%82%AC%EC%9D%B4%EB%93%9C%EC%9B%A8%EC%9D%B4%20%EC%98%81%ED%99%94", "사이드웨이")</f>
        <v>사이드웨이</v>
      </c>
      <c r="C1616" s="55">
        <v>7.6</v>
      </c>
      <c r="D1616" s="21" t="s">
        <v>1756</v>
      </c>
      <c r="E1616" s="18" t="s">
        <v>20</v>
      </c>
      <c r="F1616" s="18">
        <v>2004</v>
      </c>
      <c r="G1616" s="18" t="s">
        <v>12</v>
      </c>
      <c r="H1616" s="18" t="s">
        <v>68</v>
      </c>
      <c r="I1616" s="18" t="s">
        <v>78</v>
      </c>
      <c r="J1616" s="97" t="s">
        <v>3462</v>
      </c>
    </row>
    <row r="1617" spans="1:10" s="54" customFormat="1" ht="28.9" customHeight="1" thickTop="1" thickBot="1" x14ac:dyDescent="0.65">
      <c r="A1617" s="20">
        <v>1615</v>
      </c>
      <c r="B1617" s="82" t="str">
        <f>HYPERLINK("https://search.naver.com/search.naver?query=%EC%82%AC%EC%9D%B4%EB%93%9C%EC%B9%B4%EC%9D%98%20%EA%B0%9C%20%EC%98%81%ED%99%94", "사이드카의 개")</f>
        <v>사이드카의 개</v>
      </c>
      <c r="C1617" s="53">
        <v>8.57</v>
      </c>
      <c r="D1617" s="19" t="s">
        <v>3504</v>
      </c>
      <c r="E1617" s="20" t="s">
        <v>16</v>
      </c>
      <c r="F1617" s="20">
        <v>2007</v>
      </c>
      <c r="G1617" s="20" t="s">
        <v>12</v>
      </c>
      <c r="H1617" s="20" t="s">
        <v>17</v>
      </c>
      <c r="I1617" s="20" t="s">
        <v>111</v>
      </c>
      <c r="J1617" s="98" t="s">
        <v>3447</v>
      </c>
    </row>
    <row r="1618" spans="1:10" s="54" customFormat="1" ht="28.9" customHeight="1" thickTop="1" thickBot="1" x14ac:dyDescent="0.65">
      <c r="A1618" s="23">
        <v>1616</v>
      </c>
      <c r="B1618" s="84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56"/>
      <c r="D1618" s="22" t="s">
        <v>1757</v>
      </c>
      <c r="E1618" s="23" t="s">
        <v>20</v>
      </c>
      <c r="F1618" s="23">
        <v>2025</v>
      </c>
      <c r="G1618" s="23" t="s">
        <v>17</v>
      </c>
      <c r="H1618" s="23" t="s">
        <v>17</v>
      </c>
      <c r="I1618" s="23" t="s">
        <v>687</v>
      </c>
      <c r="J1618" s="99" t="s">
        <v>3459</v>
      </c>
    </row>
    <row r="1619" spans="1:10" s="54" customFormat="1" ht="28.9" customHeight="1" thickTop="1" thickBot="1" x14ac:dyDescent="0.65">
      <c r="A1619" s="20">
        <v>1617</v>
      </c>
      <c r="B1619" s="82" t="str">
        <f>HYPERLINK("https://search.naver.com/search.naver?query=%EC%82%AC%EC%9D%B4%EC%BD%94%EB%A9%94%ED%8A%B8%EB%A6%AC%20%EC%98%81%ED%99%94", "사이코메트리")</f>
        <v>사이코메트리</v>
      </c>
      <c r="C1619" s="53">
        <v>4.32</v>
      </c>
      <c r="D1619" s="19" t="s">
        <v>1758</v>
      </c>
      <c r="E1619" s="20" t="s">
        <v>11</v>
      </c>
      <c r="F1619" s="20">
        <v>2013</v>
      </c>
      <c r="G1619" s="20" t="s">
        <v>12</v>
      </c>
      <c r="H1619" s="20" t="s">
        <v>43</v>
      </c>
      <c r="I1619" s="20" t="s">
        <v>111</v>
      </c>
      <c r="J1619" s="98" t="s">
        <v>3451</v>
      </c>
    </row>
    <row r="1620" spans="1:10" s="54" customFormat="1" ht="28.9" customHeight="1" thickTop="1" thickBot="1" x14ac:dyDescent="0.65">
      <c r="A1620" s="23">
        <v>1618</v>
      </c>
      <c r="B1620" s="84" t="str">
        <f>HYPERLINK("https://search.naver.com/search.naver?query=%EC%82%AC%EC%9D%BC%EB%9F%B0%ED%8A%B8%20%EB%93%9C%EB%9D%BC%EB%A7%88", "사일런트")</f>
        <v>사일런트</v>
      </c>
      <c r="C1620" s="56"/>
      <c r="D1620" s="22" t="s">
        <v>1759</v>
      </c>
      <c r="E1620" s="23" t="s">
        <v>16</v>
      </c>
      <c r="F1620" s="23">
        <v>2022</v>
      </c>
      <c r="G1620" s="23" t="s">
        <v>17</v>
      </c>
      <c r="H1620" s="23" t="s">
        <v>110</v>
      </c>
      <c r="I1620" s="23" t="s">
        <v>527</v>
      </c>
      <c r="J1620" s="99" t="s">
        <v>3445</v>
      </c>
    </row>
    <row r="1621" spans="1:10" s="54" customFormat="1" ht="28.9" customHeight="1" thickTop="1" thickBot="1" x14ac:dyDescent="0.65">
      <c r="A1621" s="20">
        <v>1619</v>
      </c>
      <c r="B1621" s="82" t="str">
        <f>HYPERLINK("https://search.naver.com/search.naver?query=%EC%82%AC%EC%9D%BC%EB%9F%B0%ED%8A%B8%20%ED%9E%90%20%EC%98%81%ED%99%94", "사일런트 힐")</f>
        <v>사일런트 힐</v>
      </c>
      <c r="C1621" s="53">
        <v>4.84</v>
      </c>
      <c r="D1621" s="19" t="s">
        <v>1760</v>
      </c>
      <c r="E1621" s="20" t="s">
        <v>189</v>
      </c>
      <c r="F1621" s="20">
        <v>2006</v>
      </c>
      <c r="G1621" s="20" t="s">
        <v>12</v>
      </c>
      <c r="H1621" s="20" t="s">
        <v>252</v>
      </c>
      <c r="I1621" s="20" t="s">
        <v>214</v>
      </c>
      <c r="J1621" s="98" t="s">
        <v>3460</v>
      </c>
    </row>
    <row r="1622" spans="1:10" s="54" customFormat="1" ht="28.9" customHeight="1" thickTop="1" thickBot="1" x14ac:dyDescent="0.65">
      <c r="A1622" s="18">
        <v>1620</v>
      </c>
      <c r="B1622" s="83" t="str">
        <f>HYPERLINK("https://search.naver.com/search.naver?query=%EC%82%AC%EC%9E%90%20%EC%98%81%ED%99%94", "사자")</f>
        <v>사자</v>
      </c>
      <c r="C1622" s="55">
        <v>7.74</v>
      </c>
      <c r="D1622" s="21" t="s">
        <v>1761</v>
      </c>
      <c r="E1622" s="18" t="s">
        <v>11</v>
      </c>
      <c r="F1622" s="18">
        <v>2019</v>
      </c>
      <c r="G1622" s="18" t="s">
        <v>12</v>
      </c>
      <c r="H1622" s="18" t="s">
        <v>252</v>
      </c>
      <c r="I1622" s="18" t="s">
        <v>64</v>
      </c>
      <c r="J1622" s="97" t="s">
        <v>3444</v>
      </c>
    </row>
    <row r="1623" spans="1:10" s="54" customFormat="1" ht="28.9" customHeight="1" thickTop="1" thickBot="1" x14ac:dyDescent="0.65">
      <c r="A1623" s="20">
        <v>1621</v>
      </c>
      <c r="B1623" s="82" t="str">
        <f>HYPERLINK("https://search.naver.com/search.naver?query=%EC%82%AC%EC%B1%84%EC%99%95%20%ED%8E%98%EA%B7%B8%20%EC%98%81%ED%99%94", "사채왕 페그")</f>
        <v>사채왕 페그</v>
      </c>
      <c r="C1623" s="53">
        <v>7.89</v>
      </c>
      <c r="D1623" s="19" t="s">
        <v>1762</v>
      </c>
      <c r="E1623" s="20" t="s">
        <v>20</v>
      </c>
      <c r="F1623" s="20">
        <v>2020</v>
      </c>
      <c r="G1623" s="20" t="s">
        <v>12</v>
      </c>
      <c r="H1623" s="20" t="s">
        <v>277</v>
      </c>
      <c r="I1623" s="20" t="s">
        <v>111</v>
      </c>
      <c r="J1623" s="98" t="s">
        <v>3436</v>
      </c>
    </row>
    <row r="1624" spans="1:10" s="54" customFormat="1" ht="28.9" customHeight="1" thickTop="1" thickBot="1" x14ac:dyDescent="0.65">
      <c r="A1624" s="18">
        <v>1622</v>
      </c>
      <c r="B1624" s="83" t="str">
        <f>HYPERLINK("https://search.naver.com/search.naver?query=%EC%82%AC%EC%BF%A0%EB%9E%80%20%EC%98%81%ED%99%94", "사쿠란")</f>
        <v>사쿠란</v>
      </c>
      <c r="C1624" s="55">
        <v>6.71</v>
      </c>
      <c r="D1624" s="21" t="s">
        <v>3505</v>
      </c>
      <c r="E1624" s="18" t="s">
        <v>16</v>
      </c>
      <c r="F1624" s="18">
        <v>2006</v>
      </c>
      <c r="G1624" s="18" t="s">
        <v>12</v>
      </c>
      <c r="H1624" s="18" t="s">
        <v>17</v>
      </c>
      <c r="I1624" s="18" t="s">
        <v>102</v>
      </c>
      <c r="J1624" s="97" t="s">
        <v>3460</v>
      </c>
    </row>
    <row r="1625" spans="1:10" s="54" customFormat="1" ht="28.9" customHeight="1" thickTop="1" thickBot="1" x14ac:dyDescent="0.65">
      <c r="A1625" s="20">
        <v>1623</v>
      </c>
      <c r="B1625" s="82" t="str">
        <f>HYPERLINK("https://search.naver.com/search.naver?query=%EC%82%AC%ED%86%A0%EB%9D%BC%EB%A0%88%20%EC%98%81%ED%99%94", "사토라레")</f>
        <v>사토라레</v>
      </c>
      <c r="C1625" s="53">
        <v>8.42</v>
      </c>
      <c r="D1625" s="19" t="s">
        <v>3506</v>
      </c>
      <c r="E1625" s="20" t="s">
        <v>16</v>
      </c>
      <c r="F1625" s="20">
        <v>2001</v>
      </c>
      <c r="G1625" s="20" t="s">
        <v>12</v>
      </c>
      <c r="H1625" s="20" t="s">
        <v>68</v>
      </c>
      <c r="I1625" s="20" t="s">
        <v>96</v>
      </c>
      <c r="J1625" s="98" t="s">
        <v>3457</v>
      </c>
    </row>
    <row r="1626" spans="1:10" s="54" customFormat="1" ht="28.9" customHeight="1" thickTop="1" thickBot="1" x14ac:dyDescent="0.65">
      <c r="A1626" s="18">
        <v>1624</v>
      </c>
      <c r="B1626" s="85" t="str">
        <f>HYPERLINK("https://search.naver.com/search.naver?query=사형대의 엘리베이터 2010", "사형대의 엘리베이터")</f>
        <v>사형대의 엘리베이터</v>
      </c>
      <c r="C1626" s="55"/>
      <c r="D1626" s="21" t="s">
        <v>3502</v>
      </c>
      <c r="E1626" s="18" t="s">
        <v>3500</v>
      </c>
      <c r="F1626" s="18">
        <v>2010</v>
      </c>
      <c r="G1626" s="18" t="s">
        <v>12</v>
      </c>
      <c r="H1626" s="18" t="s">
        <v>43</v>
      </c>
      <c r="I1626" s="18" t="s">
        <v>3501</v>
      </c>
      <c r="J1626" s="97">
        <v>40543</v>
      </c>
    </row>
    <row r="1627" spans="1:10" s="54" customFormat="1" ht="28.9" customHeight="1" thickTop="1" thickBot="1" x14ac:dyDescent="0.65">
      <c r="A1627" s="20">
        <v>1625</v>
      </c>
      <c r="B1627" s="82" t="str">
        <f>HYPERLINK("https://search.naver.com/search.naver?query=%EC%82%B0%20%EC%98%81%ED%99%94", "산")</f>
        <v>산</v>
      </c>
      <c r="C1627" s="53">
        <v>7.73</v>
      </c>
      <c r="D1627" s="19" t="s">
        <v>1763</v>
      </c>
      <c r="E1627" s="20" t="s">
        <v>16</v>
      </c>
      <c r="F1627" s="20">
        <v>2011</v>
      </c>
      <c r="G1627" s="20" t="s">
        <v>12</v>
      </c>
      <c r="H1627" s="20" t="s">
        <v>17</v>
      </c>
      <c r="I1627" s="20" t="s">
        <v>78</v>
      </c>
      <c r="J1627" s="98" t="s">
        <v>3454</v>
      </c>
    </row>
    <row r="1628" spans="1:10" s="54" customFormat="1" ht="28.9" customHeight="1" thickTop="1" thickBot="1" x14ac:dyDescent="0.65">
      <c r="A1628" s="18">
        <v>1626</v>
      </c>
      <c r="B1628" s="83" t="str">
        <f>HYPERLINK("https://search.naver.com/search.naver?query=%EC%82%B0%EC%82%AC%EB%82%98%EB%AC%B4%20%EC%95%84%EB%9E%98%20%EC%98%81%ED%99%94", "산사나무 아래")</f>
        <v>산사나무 아래</v>
      </c>
      <c r="C1628" s="55">
        <v>9.52</v>
      </c>
      <c r="D1628" s="21" t="s">
        <v>3507</v>
      </c>
      <c r="E1628" s="18" t="s">
        <v>136</v>
      </c>
      <c r="F1628" s="18">
        <v>2010</v>
      </c>
      <c r="G1628" s="18" t="s">
        <v>12</v>
      </c>
      <c r="H1628" s="18" t="s">
        <v>17</v>
      </c>
      <c r="I1628" s="18" t="s">
        <v>47</v>
      </c>
      <c r="J1628" s="97" t="s">
        <v>3455</v>
      </c>
    </row>
    <row r="1629" spans="1:10" s="54" customFormat="1" ht="28.9" customHeight="1" thickTop="1" thickBot="1" x14ac:dyDescent="0.65">
      <c r="A1629" s="20">
        <v>1627</v>
      </c>
      <c r="B1629" s="82" t="str">
        <f>HYPERLINK("https://search.naver.com/search.naver?query=%EC%82%B0%EC%9D%98%20%ED%86%B0%EC%94%A8%20%EC%98%81%ED%99%94", "산의 톰씨")</f>
        <v>산의 톰씨</v>
      </c>
      <c r="C1629" s="53"/>
      <c r="D1629" s="19" t="s">
        <v>3508</v>
      </c>
      <c r="E1629" s="20" t="s">
        <v>16</v>
      </c>
      <c r="F1629" s="20">
        <v>2018</v>
      </c>
      <c r="G1629" s="20" t="s">
        <v>12</v>
      </c>
      <c r="H1629" s="20" t="s">
        <v>17</v>
      </c>
      <c r="I1629" s="20" t="s">
        <v>89</v>
      </c>
      <c r="J1629" s="98" t="s">
        <v>3442</v>
      </c>
    </row>
    <row r="1630" spans="1:10" s="54" customFormat="1" ht="28.9" customHeight="1" thickTop="1" thickBot="1" x14ac:dyDescent="0.65">
      <c r="A1630" s="18">
        <v>1628</v>
      </c>
      <c r="B1630" s="83" t="str">
        <f>HYPERLINK("https://search.naver.com/search.naver?query=%EC%82%B0%EC%9D%B4%20%EC%9A%B8%EB%8B%A4%20%EC%98%81%ED%99%94", "산이 울다")</f>
        <v>산이 울다</v>
      </c>
      <c r="C1630" s="55">
        <v>8.83</v>
      </c>
      <c r="D1630" s="21" t="s">
        <v>3509</v>
      </c>
      <c r="E1630" s="18" t="s">
        <v>136</v>
      </c>
      <c r="F1630" s="18">
        <v>2016</v>
      </c>
      <c r="G1630" s="18" t="s">
        <v>12</v>
      </c>
      <c r="H1630" s="18" t="s">
        <v>17</v>
      </c>
      <c r="I1630" s="18" t="s">
        <v>75</v>
      </c>
      <c r="J1630" s="97" t="s">
        <v>3441</v>
      </c>
    </row>
    <row r="1631" spans="1:10" s="54" customFormat="1" ht="28.9" customHeight="1" thickTop="1" thickBot="1" x14ac:dyDescent="0.65">
      <c r="A1631" s="20">
        <v>1629</v>
      </c>
      <c r="B1631" s="82" t="str">
        <f>HYPERLINK("https://search.naver.com/search.naver?query=%EC%82%B0%ED%83%80%EB%82%98%20%EC%98%81%ED%99%94", "산타나")</f>
        <v>산타나</v>
      </c>
      <c r="C1631" s="53">
        <v>8.83</v>
      </c>
      <c r="D1631" s="19" t="s">
        <v>1764</v>
      </c>
      <c r="E1631" s="20" t="s">
        <v>1316</v>
      </c>
      <c r="F1631" s="20">
        <v>2020</v>
      </c>
      <c r="G1631" s="20" t="s">
        <v>12</v>
      </c>
      <c r="H1631" s="20" t="s">
        <v>92</v>
      </c>
      <c r="I1631" s="20" t="s">
        <v>31</v>
      </c>
      <c r="J1631" s="98" t="s">
        <v>3436</v>
      </c>
    </row>
    <row r="1632" spans="1:10" s="54" customFormat="1" ht="28.9" customHeight="1" thickTop="1" thickBot="1" x14ac:dyDescent="0.65">
      <c r="A1632" s="23">
        <v>1630</v>
      </c>
      <c r="B1632" s="84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56"/>
      <c r="D1632" s="22"/>
      <c r="E1632" s="23" t="s">
        <v>16</v>
      </c>
      <c r="F1632" s="23">
        <v>2024</v>
      </c>
      <c r="G1632" s="23" t="s">
        <v>17</v>
      </c>
      <c r="H1632" s="23" t="s">
        <v>17</v>
      </c>
      <c r="I1632" s="23" t="s">
        <v>50</v>
      </c>
      <c r="J1632" s="99" t="s">
        <v>3448</v>
      </c>
    </row>
    <row r="1633" spans="1:10" s="54" customFormat="1" ht="28.9" customHeight="1" thickTop="1" thickBot="1" x14ac:dyDescent="0.65">
      <c r="A1633" s="20">
        <v>1631</v>
      </c>
      <c r="B1633" s="82" t="str">
        <f>HYPERLINK("https://search.naver.com/search.naver?query=%EC%82%B4%EC%95%84%EA%B0%80%EB%8A%94%20%EB%82%98%EB%82%A0%EB%93%A4%20%EC%98%81%ED%99%94", "살아가는 나날들")</f>
        <v>살아가는 나날들</v>
      </c>
      <c r="C1633" s="53"/>
      <c r="D1633" s="19" t="s">
        <v>1765</v>
      </c>
      <c r="E1633" s="20" t="s">
        <v>20</v>
      </c>
      <c r="F1633" s="20">
        <v>1984</v>
      </c>
      <c r="G1633" s="20" t="s">
        <v>12</v>
      </c>
      <c r="H1633" s="20" t="s">
        <v>17</v>
      </c>
      <c r="I1633" s="20" t="s">
        <v>105</v>
      </c>
      <c r="J1633" s="98" t="s">
        <v>3482</v>
      </c>
    </row>
    <row r="1634" spans="1:10" s="54" customFormat="1" ht="28.9" customHeight="1" thickTop="1" thickBot="1" x14ac:dyDescent="0.65">
      <c r="A1634" s="18">
        <v>1632</v>
      </c>
      <c r="B1634" s="83" t="str">
        <f>HYPERLINK("https://search.naver.com/search.naver?query=%EC%82%B4%EC%95%84%EB%82%A8%EC%9D%80%20%EC%82%AC%EB%9E%8C%EB%93%A4%20%EC%98%81%ED%99%94", "살아남은 사람들")</f>
        <v>살아남은 사람들</v>
      </c>
      <c r="C1634" s="55"/>
      <c r="D1634" s="21" t="s">
        <v>1766</v>
      </c>
      <c r="E1634" s="18" t="s">
        <v>639</v>
      </c>
      <c r="F1634" s="18">
        <v>2021</v>
      </c>
      <c r="G1634" s="18" t="s">
        <v>12</v>
      </c>
      <c r="H1634" s="18" t="s">
        <v>17</v>
      </c>
      <c r="I1634" s="18" t="s">
        <v>231</v>
      </c>
      <c r="J1634" s="97" t="s">
        <v>3438</v>
      </c>
    </row>
    <row r="1635" spans="1:10" s="54" customFormat="1" ht="28.9" customHeight="1" thickTop="1" thickBot="1" x14ac:dyDescent="0.65">
      <c r="A1635" s="20">
        <v>1633</v>
      </c>
      <c r="B1635" s="82" t="str">
        <f>HYPERLINK("https://search.naver.com/search.naver?query=%EC%82%B4%EC%9D%B8%20%EC%86%8C%EC%84%A4%20%EC%98%81%ED%99%94", "살인 소설")</f>
        <v>살인 소설</v>
      </c>
      <c r="C1635" s="53">
        <v>8</v>
      </c>
      <c r="D1635" s="19" t="s">
        <v>1767</v>
      </c>
      <c r="E1635" s="20" t="s">
        <v>11</v>
      </c>
      <c r="F1635" s="20">
        <v>2012</v>
      </c>
      <c r="G1635" s="20" t="s">
        <v>12</v>
      </c>
      <c r="H1635" s="20" t="s">
        <v>43</v>
      </c>
      <c r="I1635" s="20" t="s">
        <v>111</v>
      </c>
      <c r="J1635" s="98" t="s">
        <v>3439</v>
      </c>
    </row>
    <row r="1636" spans="1:10" s="54" customFormat="1" ht="28.9" customHeight="1" thickTop="1" thickBot="1" x14ac:dyDescent="0.65">
      <c r="A1636" s="23">
        <v>1634</v>
      </c>
      <c r="B1636" s="84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56"/>
      <c r="D1636" s="22" t="s">
        <v>1768</v>
      </c>
      <c r="E1636" s="23" t="s">
        <v>24</v>
      </c>
      <c r="F1636" s="23">
        <v>2011</v>
      </c>
      <c r="G1636" s="23" t="s">
        <v>17</v>
      </c>
      <c r="H1636" s="23" t="s">
        <v>17</v>
      </c>
      <c r="I1636" s="23" t="s">
        <v>173</v>
      </c>
      <c r="J1636" s="99" t="s">
        <v>3454</v>
      </c>
    </row>
    <row r="1637" spans="1:10" s="54" customFormat="1" ht="28.9" customHeight="1" thickTop="1" thickBot="1" x14ac:dyDescent="0.65">
      <c r="A1637" s="18">
        <v>1635</v>
      </c>
      <c r="B1637" s="83" t="str">
        <f>HYPERLINK("https://search.naver.com/search.naver?query=%EC%82%B4%EC%9D%B8%EC%9D%98%20%EC%B6%94%EC%96%B5%20%EC%98%81%ED%99%94", "살인의 추억")</f>
        <v>살인의 추억</v>
      </c>
      <c r="C1637" s="55">
        <v>6.4</v>
      </c>
      <c r="D1637" s="21" t="s">
        <v>1769</v>
      </c>
      <c r="E1637" s="18" t="s">
        <v>11</v>
      </c>
      <c r="F1637" s="18">
        <v>2003</v>
      </c>
      <c r="G1637" s="18" t="s">
        <v>12</v>
      </c>
      <c r="H1637" s="18" t="s">
        <v>277</v>
      </c>
      <c r="I1637" s="18" t="s">
        <v>350</v>
      </c>
      <c r="J1637" s="97" t="s">
        <v>3449</v>
      </c>
    </row>
    <row r="1638" spans="1:10" s="54" customFormat="1" ht="28.9" customHeight="1" thickTop="1" thickBot="1" x14ac:dyDescent="0.65">
      <c r="A1638" s="20">
        <v>1636</v>
      </c>
      <c r="B1638" s="82" t="str">
        <f>HYPERLINK("https://search.naver.com/search.naver?query=%EC%82%B4%EC%9D%B8%EC%9D%98%EB%A2%B0%20%EC%98%81%ED%99%94", "살인의뢰")</f>
        <v>살인의뢰</v>
      </c>
      <c r="C1638" s="53">
        <v>9.6</v>
      </c>
      <c r="D1638" s="19" t="s">
        <v>1770</v>
      </c>
      <c r="E1638" s="20" t="s">
        <v>11</v>
      </c>
      <c r="F1638" s="20">
        <v>2014</v>
      </c>
      <c r="G1638" s="20" t="s">
        <v>12</v>
      </c>
      <c r="H1638" s="20" t="s">
        <v>43</v>
      </c>
      <c r="I1638" s="20" t="s">
        <v>170</v>
      </c>
      <c r="J1638" s="98" t="s">
        <v>3437</v>
      </c>
    </row>
    <row r="1639" spans="1:10" s="54" customFormat="1" ht="28.9" customHeight="1" thickTop="1" thickBot="1" x14ac:dyDescent="0.65">
      <c r="A1639" s="18">
        <v>1637</v>
      </c>
      <c r="B1639" s="83" t="str">
        <f>HYPERLINK("https://search.naver.com/search.naver?query=%EC%82%B4%EC%9D%B8%EC%9E%90%20%EB%A6%AC%ED%8F%AC%ED%8A%B8%20%EC%98%81%ED%99%94", "살인자 리포트")</f>
        <v>살인자 리포트</v>
      </c>
      <c r="C1639" s="55">
        <v>7.02</v>
      </c>
      <c r="D1639" s="21" t="s">
        <v>1771</v>
      </c>
      <c r="E1639" s="18" t="s">
        <v>11</v>
      </c>
      <c r="F1639" s="18">
        <v>2025</v>
      </c>
      <c r="G1639" s="18" t="s">
        <v>12</v>
      </c>
      <c r="H1639" s="18" t="s">
        <v>43</v>
      </c>
      <c r="I1639" s="18" t="s">
        <v>111</v>
      </c>
      <c r="J1639" s="97" t="s">
        <v>3459</v>
      </c>
    </row>
    <row r="1640" spans="1:10" s="54" customFormat="1" ht="28.9" customHeight="1" thickTop="1" thickBot="1" x14ac:dyDescent="0.65">
      <c r="A1640" s="23">
        <v>1638</v>
      </c>
      <c r="B1640" s="84" t="str">
        <f>HYPERLINK("https://search.naver.com/search.naver?query=%EC%82%B4%EC%9D%B8%EC%9E%90%E3%85%87%EB%82%9C%EA%B0%90%20%EB%93%9C%EB%9D%BC%EB%A7%88", "살인자ㅇ난감")</f>
        <v>살인자ㅇ난감</v>
      </c>
      <c r="C1640" s="56"/>
      <c r="D1640" s="22" t="s">
        <v>1772</v>
      </c>
      <c r="E1640" s="23" t="s">
        <v>11</v>
      </c>
      <c r="F1640" s="23">
        <v>2024</v>
      </c>
      <c r="G1640" s="23" t="s">
        <v>17</v>
      </c>
      <c r="H1640" s="23" t="s">
        <v>892</v>
      </c>
      <c r="I1640" s="23" t="s">
        <v>55</v>
      </c>
      <c r="J1640" s="99" t="s">
        <v>3448</v>
      </c>
    </row>
    <row r="1641" spans="1:10" s="54" customFormat="1" ht="28.9" customHeight="1" thickTop="1" thickBot="1" x14ac:dyDescent="0.65">
      <c r="A1641" s="18">
        <v>1639</v>
      </c>
      <c r="B1641" s="83" t="str">
        <f>HYPERLINK("https://search.naver.com/search.naver?query=%EC%82%B4%EC%9D%B8%EC%9E%90%EC%9D%98%20%EA%B8%B0%EC%96%B5%EB%B2%95%20%EC%98%81%ED%99%94", "살인자의 기억법")</f>
        <v>살인자의 기억법</v>
      </c>
      <c r="C1641" s="55">
        <v>4.32</v>
      </c>
      <c r="D1641" s="21" t="s">
        <v>1773</v>
      </c>
      <c r="E1641" s="18" t="s">
        <v>11</v>
      </c>
      <c r="F1641" s="18">
        <v>2017</v>
      </c>
      <c r="G1641" s="18" t="s">
        <v>12</v>
      </c>
      <c r="H1641" s="18" t="s">
        <v>277</v>
      </c>
      <c r="I1641" s="18" t="s">
        <v>221</v>
      </c>
      <c r="J1641" s="97" t="s">
        <v>3443</v>
      </c>
    </row>
    <row r="1642" spans="1:10" s="54" customFormat="1" ht="28.9" customHeight="1" thickTop="1" thickBot="1" x14ac:dyDescent="0.65">
      <c r="A1642" s="20">
        <v>1640</v>
      </c>
      <c r="B1642" s="82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53">
        <v>8.17</v>
      </c>
      <c r="D1642" s="19" t="s">
        <v>1774</v>
      </c>
      <c r="E1642" s="20" t="s">
        <v>11</v>
      </c>
      <c r="F1642" s="20">
        <v>2020</v>
      </c>
      <c r="G1642" s="20" t="s">
        <v>12</v>
      </c>
      <c r="H1642" s="20" t="s">
        <v>17</v>
      </c>
      <c r="I1642" s="20" t="s">
        <v>96</v>
      </c>
      <c r="J1642" s="98" t="s">
        <v>3436</v>
      </c>
    </row>
    <row r="1643" spans="1:10" s="54" customFormat="1" ht="28.9" customHeight="1" thickTop="1" thickBot="1" x14ac:dyDescent="0.65">
      <c r="A1643" s="23">
        <v>1641</v>
      </c>
      <c r="B1643" s="84" t="str">
        <f>HYPERLINK("https://search.naver.com/search.naver?query=삼체 드라마", "삼체")</f>
        <v>삼체</v>
      </c>
      <c r="C1643" s="56"/>
      <c r="D1643" s="22" t="s">
        <v>1775</v>
      </c>
      <c r="E1643" s="23" t="s">
        <v>20</v>
      </c>
      <c r="F1643" s="23">
        <v>2024</v>
      </c>
      <c r="G1643" s="23" t="s">
        <v>17</v>
      </c>
      <c r="H1643" s="23" t="s">
        <v>328</v>
      </c>
      <c r="I1643" s="23" t="s">
        <v>55</v>
      </c>
      <c r="J1643" s="99" t="s">
        <v>3448</v>
      </c>
    </row>
    <row r="1644" spans="1:10" s="54" customFormat="1" ht="28.9" customHeight="1" thickTop="1" thickBot="1" x14ac:dyDescent="0.65">
      <c r="A1644" s="20">
        <v>1642</v>
      </c>
      <c r="B1644" s="82" t="str">
        <f>HYPERLINK("https://search.naver.com/search.naver?query=%EC%83%81%EB%A5%98%EC%82%AC%ED%9A%8C%20%EC%98%81%ED%99%94", "상류사회")</f>
        <v>상류사회</v>
      </c>
      <c r="C1644" s="53">
        <v>4.32</v>
      </c>
      <c r="D1644" s="19" t="s">
        <v>1776</v>
      </c>
      <c r="E1644" s="20" t="s">
        <v>11</v>
      </c>
      <c r="F1644" s="20">
        <v>2018</v>
      </c>
      <c r="G1644" s="20" t="s">
        <v>12</v>
      </c>
      <c r="H1644" s="20" t="s">
        <v>17</v>
      </c>
      <c r="I1644" s="20" t="s">
        <v>131</v>
      </c>
      <c r="J1644" s="98" t="s">
        <v>3442</v>
      </c>
    </row>
    <row r="1645" spans="1:10" s="54" customFormat="1" ht="28.9" customHeight="1" thickTop="1" thickBot="1" x14ac:dyDescent="0.65">
      <c r="A1645" s="18">
        <v>1643</v>
      </c>
      <c r="B1645" s="83" t="str">
        <f>HYPERLINK("https://search.naver.com/search.naver?query=%EC%83%81%EC%8B%A4%EC%9D%98%20%EC%8B%9C%EB%8C%80%20%EC%98%81%ED%99%94", "상실의 시대")</f>
        <v>상실의 시대</v>
      </c>
      <c r="C1645" s="55">
        <v>5.64</v>
      </c>
      <c r="D1645" s="21" t="s">
        <v>1777</v>
      </c>
      <c r="E1645" s="18" t="s">
        <v>16</v>
      </c>
      <c r="F1645" s="18">
        <v>2010</v>
      </c>
      <c r="G1645" s="18" t="s">
        <v>12</v>
      </c>
      <c r="H1645" s="18" t="s">
        <v>17</v>
      </c>
      <c r="I1645" s="18" t="s">
        <v>83</v>
      </c>
      <c r="J1645" s="97" t="s">
        <v>3455</v>
      </c>
    </row>
    <row r="1646" spans="1:10" s="54" customFormat="1" ht="28.9" customHeight="1" thickTop="1" thickBot="1" x14ac:dyDescent="0.65">
      <c r="A1646" s="20">
        <v>1644</v>
      </c>
      <c r="B1646" s="82" t="str">
        <f>HYPERLINK("https://search.naver.com/search.naver?query=%EC%83%81%EC%9D%98%EC%9B%90%20%EC%98%81%ED%99%94", "상의원")</f>
        <v>상의원</v>
      </c>
      <c r="C1646" s="53">
        <v>4.91</v>
      </c>
      <c r="D1646" s="19" t="s">
        <v>1778</v>
      </c>
      <c r="E1646" s="20" t="s">
        <v>11</v>
      </c>
      <c r="F1646" s="20">
        <v>2014</v>
      </c>
      <c r="G1646" s="20" t="s">
        <v>12</v>
      </c>
      <c r="H1646" s="20" t="s">
        <v>873</v>
      </c>
      <c r="I1646" s="20" t="s">
        <v>150</v>
      </c>
      <c r="J1646" s="98" t="s">
        <v>3437</v>
      </c>
    </row>
    <row r="1647" spans="1:10" s="54" customFormat="1" ht="28.9" customHeight="1" thickTop="1" thickBot="1" x14ac:dyDescent="0.65">
      <c r="A1647" s="18">
        <v>1645</v>
      </c>
      <c r="B1647" s="83" t="str">
        <f>HYPERLINK("https://search.naver.com/search.naver?query=%EC%83%81%ED%95%98%EC%9D%B4%20%EB%82%98%EC%9D%B4%EC%B8%A0%20%EC%98%81%ED%99%94", "상하이 나이츠")</f>
        <v>상하이 나이츠</v>
      </c>
      <c r="C1647" s="55">
        <v>7.79</v>
      </c>
      <c r="D1647" s="21" t="s">
        <v>1779</v>
      </c>
      <c r="E1647" s="18" t="s">
        <v>20</v>
      </c>
      <c r="F1647" s="18">
        <v>2003</v>
      </c>
      <c r="G1647" s="18" t="s">
        <v>12</v>
      </c>
      <c r="H1647" s="18" t="s">
        <v>92</v>
      </c>
      <c r="I1647" s="18" t="s">
        <v>207</v>
      </c>
      <c r="J1647" s="97" t="s">
        <v>3449</v>
      </c>
    </row>
    <row r="1648" spans="1:10" s="54" customFormat="1" ht="28.9" customHeight="1" thickTop="1" thickBot="1" x14ac:dyDescent="0.65">
      <c r="A1648" s="20">
        <v>1646</v>
      </c>
      <c r="B1648" s="82" t="str">
        <f>HYPERLINK("https://search.naver.com/search.naver?query=%EC%83%88%20%EA%B5%AC%EB%91%90%EB%A5%BC%20%EC%82%AC%EC%95%BC%ED%95%B4%20%EC%98%81%ED%99%94", "새 구두를 사야해")</f>
        <v>새 구두를 사야해</v>
      </c>
      <c r="C1648" s="53">
        <v>8.3699999999999992</v>
      </c>
      <c r="D1648" s="19" t="s">
        <v>3510</v>
      </c>
      <c r="E1648" s="20" t="s">
        <v>16</v>
      </c>
      <c r="F1648" s="20">
        <v>2013</v>
      </c>
      <c r="G1648" s="20" t="s">
        <v>12</v>
      </c>
      <c r="H1648" s="20" t="s">
        <v>121</v>
      </c>
      <c r="I1648" s="20" t="s">
        <v>207</v>
      </c>
      <c r="J1648" s="98" t="s">
        <v>3451</v>
      </c>
    </row>
    <row r="1649" spans="1:10" s="54" customFormat="1" ht="28.9" customHeight="1" thickTop="1" thickBot="1" x14ac:dyDescent="0.65">
      <c r="A1649" s="18">
        <v>1647</v>
      </c>
      <c r="B1649" s="83" t="str">
        <f>HYPERLINK("https://search.naver.com/search.naver?query=%EC%83%88%EB%B2%BD%20%EA%B1%B0%EB%A6%AC%EC%97%90%EC%84%9C%20%EC%98%81%ED%99%94", "새벽 거리에서")</f>
        <v>새벽 거리에서</v>
      </c>
      <c r="C1649" s="55">
        <v>8.07</v>
      </c>
      <c r="D1649" s="21" t="s">
        <v>1691</v>
      </c>
      <c r="E1649" s="18" t="s">
        <v>16</v>
      </c>
      <c r="F1649" s="18">
        <v>2011</v>
      </c>
      <c r="G1649" s="18" t="s">
        <v>12</v>
      </c>
      <c r="H1649" s="18" t="s">
        <v>17</v>
      </c>
      <c r="I1649" s="18" t="s">
        <v>64</v>
      </c>
      <c r="J1649" s="97" t="s">
        <v>3454</v>
      </c>
    </row>
    <row r="1650" spans="1:10" s="54" customFormat="1" ht="28.9" customHeight="1" thickTop="1" thickBot="1" x14ac:dyDescent="0.65">
      <c r="A1650" s="20">
        <v>1648</v>
      </c>
      <c r="B1650" s="82" t="str">
        <f>HYPERLINK("https://search.naver.com/search.naver?query=%EC%83%88%EB%B2%BD%EC%9D%98%20%EC%95%BD%EC%86%8D%20%EC%98%81%ED%99%94", "새벽의 약속")</f>
        <v>새벽의 약속</v>
      </c>
      <c r="C1650" s="53"/>
      <c r="D1650" s="19" t="s">
        <v>1780</v>
      </c>
      <c r="E1650" s="20" t="s">
        <v>16</v>
      </c>
      <c r="F1650" s="20">
        <v>2017</v>
      </c>
      <c r="G1650" s="20" t="s">
        <v>12</v>
      </c>
      <c r="H1650" s="20" t="s">
        <v>17</v>
      </c>
      <c r="I1650" s="20" t="s">
        <v>111</v>
      </c>
      <c r="J1650" s="98" t="s">
        <v>3443</v>
      </c>
    </row>
    <row r="1651" spans="1:10" s="54" customFormat="1" ht="28.9" customHeight="1" thickTop="1" thickBot="1" x14ac:dyDescent="0.65">
      <c r="A1651" s="18">
        <v>1649</v>
      </c>
      <c r="B1651" s="83" t="str">
        <f>HYPERLINK("https://search.naver.com/search.naver?query=%EC%83%89%2C%20%EA%B3%84%20%EC%98%81%ED%99%94", "색, 계")</f>
        <v>색, 계</v>
      </c>
      <c r="C1651" s="55">
        <v>8.81</v>
      </c>
      <c r="D1651" s="21" t="s">
        <v>1781</v>
      </c>
      <c r="E1651" s="18" t="s">
        <v>375</v>
      </c>
      <c r="F1651" s="18">
        <v>2007</v>
      </c>
      <c r="G1651" s="18" t="s">
        <v>12</v>
      </c>
      <c r="H1651" s="18" t="s">
        <v>17</v>
      </c>
      <c r="I1651" s="18" t="s">
        <v>1782</v>
      </c>
      <c r="J1651" s="97" t="s">
        <v>3447</v>
      </c>
    </row>
    <row r="1652" spans="1:10" s="54" customFormat="1" ht="28.9" customHeight="1" thickTop="1" thickBot="1" x14ac:dyDescent="0.65">
      <c r="A1652" s="20">
        <v>1650</v>
      </c>
      <c r="B1652" s="82" t="str">
        <f>HYPERLINK("https://search.naver.com/search.naver?query=%EC%83%8C%20%EC%95%88%EB%93%9C%EB%A0%88%EC%95%84%EC%8A%A4%20%EC%98%81%ED%99%94", "샌 안드레아스")</f>
        <v>샌 안드레아스</v>
      </c>
      <c r="C1652" s="53">
        <v>8.81</v>
      </c>
      <c r="D1652" s="19" t="s">
        <v>1783</v>
      </c>
      <c r="E1652" s="20" t="s">
        <v>20</v>
      </c>
      <c r="F1652" s="20">
        <v>2015</v>
      </c>
      <c r="G1652" s="20" t="s">
        <v>12</v>
      </c>
      <c r="H1652" s="20" t="s">
        <v>92</v>
      </c>
      <c r="I1652" s="20" t="s">
        <v>207</v>
      </c>
      <c r="J1652" s="98" t="s">
        <v>3440</v>
      </c>
    </row>
    <row r="1653" spans="1:10" s="54" customFormat="1" ht="28.9" customHeight="1" thickTop="1" thickBot="1" x14ac:dyDescent="0.65">
      <c r="A1653" s="18">
        <v>1651</v>
      </c>
      <c r="B1653" s="83" t="str">
        <f>HYPERLINK("https://search.naver.com/search.naver?query=%EC%83%9D%EC%9D%BC%20%EC%98%81%ED%99%94", "생일")</f>
        <v>생일</v>
      </c>
      <c r="C1653" s="55">
        <v>8.3000000000000007</v>
      </c>
      <c r="D1653" s="21" t="s">
        <v>1784</v>
      </c>
      <c r="E1653" s="18" t="s">
        <v>11</v>
      </c>
      <c r="F1653" s="18">
        <v>2018</v>
      </c>
      <c r="G1653" s="18" t="s">
        <v>12</v>
      </c>
      <c r="H1653" s="18" t="s">
        <v>17</v>
      </c>
      <c r="I1653" s="18" t="s">
        <v>86</v>
      </c>
      <c r="J1653" s="97" t="s">
        <v>3442</v>
      </c>
    </row>
    <row r="1654" spans="1:10" s="54" customFormat="1" ht="28.9" customHeight="1" thickTop="1" thickBot="1" x14ac:dyDescent="0.65">
      <c r="A1654" s="20">
        <v>1652</v>
      </c>
      <c r="B1654" s="82" t="str">
        <f>HYPERLINK("https://search.naver.com/search.naver?query=%EC%83%9D%EC%A1%B4%EC%9E%90%EB%93%A4%20%EC%98%81%ED%99%94", "생존자들")</f>
        <v>생존자들</v>
      </c>
      <c r="C1654" s="53">
        <v>9.01</v>
      </c>
      <c r="D1654" s="19" t="s">
        <v>1785</v>
      </c>
      <c r="E1654" s="20" t="s">
        <v>20</v>
      </c>
      <c r="F1654" s="20">
        <v>2014</v>
      </c>
      <c r="G1654" s="20" t="s">
        <v>12</v>
      </c>
      <c r="H1654" s="20" t="s">
        <v>824</v>
      </c>
      <c r="I1654" s="20" t="s">
        <v>81</v>
      </c>
      <c r="J1654" s="98" t="s">
        <v>3437</v>
      </c>
    </row>
    <row r="1655" spans="1:10" s="54" customFormat="1" ht="28.9" customHeight="1" thickTop="1" thickBot="1" x14ac:dyDescent="0.65">
      <c r="A1655" s="18">
        <v>1653</v>
      </c>
      <c r="B1655" s="83" t="str">
        <f>HYPERLINK("https://search.naver.com/search.naver?query=%EC%83%9D%ED%85%80%20%EC%98%81%ED%99%94", "생텀")</f>
        <v>생텀</v>
      </c>
      <c r="C1655" s="55"/>
      <c r="D1655" s="21" t="s">
        <v>1786</v>
      </c>
      <c r="E1655" s="18" t="s">
        <v>20</v>
      </c>
      <c r="F1655" s="18">
        <v>2011</v>
      </c>
      <c r="G1655" s="18" t="s">
        <v>12</v>
      </c>
      <c r="H1655" s="18" t="s">
        <v>92</v>
      </c>
      <c r="I1655" s="18" t="s">
        <v>31</v>
      </c>
      <c r="J1655" s="97" t="s">
        <v>3454</v>
      </c>
    </row>
    <row r="1656" spans="1:10" s="54" customFormat="1" ht="28.9" customHeight="1" thickTop="1" thickBot="1" x14ac:dyDescent="0.65">
      <c r="A1656" s="20">
        <v>1654</v>
      </c>
      <c r="B1656" s="82" t="str">
        <f>HYPERLINK("https://search.naver.com/search.naver?query=%EC%83%A4%EC%9D%B8%20%EC%98%81%ED%99%94", "샤인")</f>
        <v>샤인</v>
      </c>
      <c r="C1656" s="53">
        <v>9.09</v>
      </c>
      <c r="D1656" s="19" t="s">
        <v>1787</v>
      </c>
      <c r="E1656" s="20" t="s">
        <v>36</v>
      </c>
      <c r="F1656" s="20">
        <v>1996</v>
      </c>
      <c r="G1656" s="20" t="s">
        <v>12</v>
      </c>
      <c r="H1656" s="20" t="s">
        <v>17</v>
      </c>
      <c r="I1656" s="20" t="s">
        <v>128</v>
      </c>
      <c r="J1656" s="98" t="s">
        <v>3463</v>
      </c>
    </row>
    <row r="1657" spans="1:10" s="54" customFormat="1" ht="28.9" customHeight="1" thickTop="1" thickBot="1" x14ac:dyDescent="0.65">
      <c r="A1657" s="18">
        <v>1655</v>
      </c>
      <c r="B1657" s="83" t="str">
        <f>HYPERLINK("https://search.naver.com/search.naver?query=%EC%83%A4%ED%8D%BC%20%EC%98%81%ED%99%94", "샤퍼")</f>
        <v>샤퍼</v>
      </c>
      <c r="C1657" s="55">
        <v>9.09</v>
      </c>
      <c r="D1657" s="21" t="s">
        <v>1788</v>
      </c>
      <c r="E1657" s="18" t="s">
        <v>20</v>
      </c>
      <c r="F1657" s="18">
        <v>2023</v>
      </c>
      <c r="G1657" s="18" t="s">
        <v>12</v>
      </c>
      <c r="H1657" s="18" t="s">
        <v>277</v>
      </c>
      <c r="I1657" s="18" t="s">
        <v>366</v>
      </c>
      <c r="J1657" s="97" t="s">
        <v>3446</v>
      </c>
    </row>
    <row r="1658" spans="1:10" s="54" customFormat="1" ht="28.9" customHeight="1" thickTop="1" thickBot="1" x14ac:dyDescent="0.65">
      <c r="A1658" s="20">
        <v>1656</v>
      </c>
      <c r="B1658" s="82" t="str">
        <f>HYPERLINK("https://search.naver.com/search.naver?query=%EC%83%B7%20%EC%BD%9C%EB%9F%AC%20%EC%98%81%ED%99%94", "샷 콜러")</f>
        <v>샷 콜러</v>
      </c>
      <c r="C1658" s="53">
        <v>7.46</v>
      </c>
      <c r="D1658" s="19" t="s">
        <v>1789</v>
      </c>
      <c r="E1658" s="20" t="s">
        <v>20</v>
      </c>
      <c r="F1658" s="20">
        <v>2017</v>
      </c>
      <c r="G1658" s="20" t="s">
        <v>12</v>
      </c>
      <c r="H1658" s="20" t="s">
        <v>277</v>
      </c>
      <c r="I1658" s="20" t="s">
        <v>142</v>
      </c>
      <c r="J1658" s="98" t="s">
        <v>3443</v>
      </c>
    </row>
    <row r="1659" spans="1:10" s="54" customFormat="1" ht="28.9" customHeight="1" thickTop="1" thickBot="1" x14ac:dyDescent="0.65">
      <c r="A1659" s="18">
        <v>1657</v>
      </c>
      <c r="B1659" s="83" t="str">
        <f>HYPERLINK("https://search.naver.com/search.naver?query=%EC%84%80%EB%8F%84%EC%9A%B0%20%EB%8C%84%EC%84%9C%20%EC%98%81%ED%99%94", "섀도우 댄서")</f>
        <v>섀도우 댄서</v>
      </c>
      <c r="C1659" s="55">
        <v>8.83</v>
      </c>
      <c r="D1659" s="21" t="s">
        <v>1790</v>
      </c>
      <c r="E1659" s="18" t="s">
        <v>24</v>
      </c>
      <c r="F1659" s="18">
        <v>2012</v>
      </c>
      <c r="G1659" s="18" t="s">
        <v>12</v>
      </c>
      <c r="H1659" s="18" t="s">
        <v>43</v>
      </c>
      <c r="I1659" s="18" t="s">
        <v>70</v>
      </c>
      <c r="J1659" s="97" t="s">
        <v>3439</v>
      </c>
    </row>
    <row r="1660" spans="1:10" s="54" customFormat="1" ht="28.9" customHeight="1" thickTop="1" thickBot="1" x14ac:dyDescent="0.65">
      <c r="A1660" s="20">
        <v>1658</v>
      </c>
      <c r="B1660" s="82" t="str">
        <f>HYPERLINK("https://search.naver.com/search.naver?query=%EC%84%9C%EB%A5%B8%EC%95%84%ED%99%89%2C%20%EC%97%B4%EC%95%84%ED%99%89%20%EC%98%81%ED%99%94", "서른아홉, 열아홉")</f>
        <v>서른아홉, 열아홉</v>
      </c>
      <c r="C1660" s="53">
        <v>7.3</v>
      </c>
      <c r="D1660" s="19" t="s">
        <v>1791</v>
      </c>
      <c r="E1660" s="20" t="s">
        <v>210</v>
      </c>
      <c r="F1660" s="20">
        <v>2014</v>
      </c>
      <c r="G1660" s="20" t="s">
        <v>12</v>
      </c>
      <c r="H1660" s="20" t="s">
        <v>68</v>
      </c>
      <c r="I1660" s="20" t="s">
        <v>147</v>
      </c>
      <c r="J1660" s="98" t="s">
        <v>3437</v>
      </c>
    </row>
    <row r="1661" spans="1:10" s="54" customFormat="1" ht="28.9" customHeight="1" thickTop="1" thickBot="1" x14ac:dyDescent="0.65">
      <c r="A1661" s="18">
        <v>1659</v>
      </c>
      <c r="B1661" s="83" t="str">
        <f>HYPERLINK("https://search.naver.com/search.naver?query=%EC%84%9C%EB%B0%94%EC%9D%B4%EB%B2%84%20%EC%98%81%ED%99%94", "서바이버")</f>
        <v>서바이버</v>
      </c>
      <c r="C1661" s="55">
        <v>8.36</v>
      </c>
      <c r="D1661" s="21" t="s">
        <v>1792</v>
      </c>
      <c r="E1661" s="18" t="s">
        <v>20</v>
      </c>
      <c r="F1661" s="18">
        <v>2015</v>
      </c>
      <c r="G1661" s="18" t="s">
        <v>12</v>
      </c>
      <c r="H1661" s="18" t="s">
        <v>92</v>
      </c>
      <c r="I1661" s="18" t="s">
        <v>61</v>
      </c>
      <c r="J1661" s="97" t="s">
        <v>3440</v>
      </c>
    </row>
    <row r="1662" spans="1:10" s="54" customFormat="1" ht="28.9" customHeight="1" thickTop="1" thickBot="1" x14ac:dyDescent="0.65">
      <c r="A1662" s="20">
        <v>1660</v>
      </c>
      <c r="B1662" s="82" t="str">
        <f>HYPERLINK("https://search.naver.com/search.naver?query=%EC%84%9C%EB%B0%94%EC%9D%B4%EB%B2%8C%20%ED%8C%A8%EB%B0%80%EB%A6%AC%20%EC%98%81%ED%99%94", "서바이벌 패밀리")</f>
        <v>서바이벌 패밀리</v>
      </c>
      <c r="C1662" s="53">
        <v>3.32</v>
      </c>
      <c r="D1662" s="19" t="s">
        <v>1793</v>
      </c>
      <c r="E1662" s="20" t="s">
        <v>16</v>
      </c>
      <c r="F1662" s="20">
        <v>2017</v>
      </c>
      <c r="G1662" s="20" t="s">
        <v>12</v>
      </c>
      <c r="H1662" s="20" t="s">
        <v>68</v>
      </c>
      <c r="I1662" s="20" t="s">
        <v>89</v>
      </c>
      <c r="J1662" s="98" t="s">
        <v>3443</v>
      </c>
    </row>
    <row r="1663" spans="1:10" s="54" customFormat="1" ht="28.9" customHeight="1" thickTop="1" thickBot="1" x14ac:dyDescent="0.65">
      <c r="A1663" s="18">
        <v>1661</v>
      </c>
      <c r="B1663" s="83" t="str">
        <f>HYPERLINK("https://search.naver.com/search.naver?query=%EC%84%9C%EB%B2%84%EB%B9%84%EC%BD%98%20%EC%98%81%ED%99%94", "서버비콘")</f>
        <v>서버비콘</v>
      </c>
      <c r="C1663" s="55">
        <v>8.61</v>
      </c>
      <c r="D1663" s="21" t="s">
        <v>1794</v>
      </c>
      <c r="E1663" s="18" t="s">
        <v>20</v>
      </c>
      <c r="F1663" s="18">
        <v>2017</v>
      </c>
      <c r="G1663" s="18" t="s">
        <v>12</v>
      </c>
      <c r="H1663" s="18" t="s">
        <v>68</v>
      </c>
      <c r="I1663" s="18" t="s">
        <v>128</v>
      </c>
      <c r="J1663" s="97" t="s">
        <v>3443</v>
      </c>
    </row>
    <row r="1664" spans="1:10" s="54" customFormat="1" ht="28.9" customHeight="1" thickTop="1" thickBot="1" x14ac:dyDescent="0.65">
      <c r="A1664" s="23">
        <v>1662</v>
      </c>
      <c r="B1664" s="84" t="str">
        <f>HYPERLINK("https://search.naver.com/search.naver?query=%EC%84%9C%EB%B2%88%ED%8A%B8%20%EC%8B%9C%EC%A6%8C1%20%EB%93%9C%EB%9D%BC%EB%A7%88", "서번트 시즌1")</f>
        <v>서번트 시즌1</v>
      </c>
      <c r="C1664" s="56"/>
      <c r="D1664" s="22" t="s">
        <v>1795</v>
      </c>
      <c r="E1664" s="23" t="s">
        <v>20</v>
      </c>
      <c r="F1664" s="23">
        <v>2019</v>
      </c>
      <c r="G1664" s="23" t="s">
        <v>17</v>
      </c>
      <c r="H1664" s="23" t="s">
        <v>13</v>
      </c>
      <c r="I1664" s="23" t="s">
        <v>50</v>
      </c>
      <c r="J1664" s="99" t="s">
        <v>3444</v>
      </c>
    </row>
    <row r="1665" spans="1:10" s="54" customFormat="1" ht="28.9" customHeight="1" thickTop="1" thickBot="1" x14ac:dyDescent="0.65">
      <c r="A1665" s="23">
        <v>1663</v>
      </c>
      <c r="B1665" s="84" t="str">
        <f>HYPERLINK("https://search.naver.com/search.naver?query=%EC%84%9C%EB%B2%88%ED%8A%B8%20%EC%8B%9C%EC%A6%8C21%20%EB%93%9C%EB%9D%BC%EB%A7%88", "서번트 시즌21")</f>
        <v>서번트 시즌21</v>
      </c>
      <c r="C1665" s="56"/>
      <c r="D1665" s="22" t="s">
        <v>1795</v>
      </c>
      <c r="E1665" s="23" t="s">
        <v>20</v>
      </c>
      <c r="F1665" s="23">
        <v>2021</v>
      </c>
      <c r="G1665" s="23" t="s">
        <v>17</v>
      </c>
      <c r="H1665" s="23" t="s">
        <v>13</v>
      </c>
      <c r="I1665" s="23" t="s">
        <v>50</v>
      </c>
      <c r="J1665" s="99" t="s">
        <v>3438</v>
      </c>
    </row>
    <row r="1666" spans="1:10" s="54" customFormat="1" ht="28.9" customHeight="1" thickTop="1" thickBot="1" x14ac:dyDescent="0.65">
      <c r="A1666" s="20">
        <v>1664</v>
      </c>
      <c r="B1666" s="82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53">
        <v>6.4</v>
      </c>
      <c r="D1666" s="19" t="s">
        <v>1796</v>
      </c>
      <c r="E1666" s="20" t="s">
        <v>101</v>
      </c>
      <c r="F1666" s="20">
        <v>2022</v>
      </c>
      <c r="G1666" s="20" t="s">
        <v>12</v>
      </c>
      <c r="H1666" s="20" t="s">
        <v>721</v>
      </c>
      <c r="I1666" s="20" t="s">
        <v>157</v>
      </c>
      <c r="J1666" s="98" t="s">
        <v>3445</v>
      </c>
    </row>
    <row r="1667" spans="1:10" s="54" customFormat="1" ht="28.9" customHeight="1" thickTop="1" thickBot="1" x14ac:dyDescent="0.65">
      <c r="A1667" s="18">
        <v>1665</v>
      </c>
      <c r="B1667" s="83" t="str">
        <f>HYPERLINK("https://search.naver.com/search.naver?query=%EC%84%9C%EB%B6%80%EC%A0%84%EC%84%A0%20%EC%98%81%ED%99%94", "서부전선")</f>
        <v>서부전선</v>
      </c>
      <c r="C1667" s="55">
        <v>9.0299999999999994</v>
      </c>
      <c r="D1667" s="21" t="s">
        <v>1797</v>
      </c>
      <c r="E1667" s="18" t="s">
        <v>11</v>
      </c>
      <c r="F1667" s="18">
        <v>2015</v>
      </c>
      <c r="G1667" s="18" t="s">
        <v>12</v>
      </c>
      <c r="H1667" s="18" t="s">
        <v>721</v>
      </c>
      <c r="I1667" s="18" t="s">
        <v>278</v>
      </c>
      <c r="J1667" s="97" t="s">
        <v>3440</v>
      </c>
    </row>
    <row r="1668" spans="1:10" s="54" customFormat="1" ht="28.9" customHeight="1" thickTop="1" thickBot="1" x14ac:dyDescent="0.65">
      <c r="A1668" s="20">
        <v>1666</v>
      </c>
      <c r="B1668" s="82" t="str">
        <f>HYPERLINK("https://search.naver.com/search.naver?query=%EC%84%9C%EB%B8%8C%EB%A8%B8%EC%A0%84%EC%8A%A4%20%EC%98%81%ED%99%94", "서브머전스")</f>
        <v>서브머전스</v>
      </c>
      <c r="C1668" s="53">
        <v>7.16</v>
      </c>
      <c r="D1668" s="19" t="s">
        <v>1798</v>
      </c>
      <c r="E1668" s="20" t="s">
        <v>101</v>
      </c>
      <c r="F1668" s="20">
        <v>2017</v>
      </c>
      <c r="G1668" s="20" t="s">
        <v>12</v>
      </c>
      <c r="H1668" s="20" t="s">
        <v>17</v>
      </c>
      <c r="I1668" s="20" t="s">
        <v>278</v>
      </c>
      <c r="J1668" s="98" t="s">
        <v>3443</v>
      </c>
    </row>
    <row r="1669" spans="1:10" s="54" customFormat="1" ht="28.9" customHeight="1" thickTop="1" thickBot="1" x14ac:dyDescent="0.65">
      <c r="A1669" s="18">
        <v>1667</v>
      </c>
      <c r="B1669" s="83" t="str">
        <f>HYPERLINK("https://search.naver.com/search.naver?query=서브스턴스 영화", "서브스턴스")</f>
        <v>서브스턴스</v>
      </c>
      <c r="C1669" s="55">
        <v>8.51</v>
      </c>
      <c r="D1669" s="21" t="s">
        <v>1799</v>
      </c>
      <c r="E1669" s="18" t="s">
        <v>24</v>
      </c>
      <c r="F1669" s="18">
        <v>2024</v>
      </c>
      <c r="G1669" s="18" t="s">
        <v>12</v>
      </c>
      <c r="H1669" s="18" t="s">
        <v>43</v>
      </c>
      <c r="I1669" s="18" t="s">
        <v>455</v>
      </c>
      <c r="J1669" s="97" t="s">
        <v>3448</v>
      </c>
    </row>
    <row r="1670" spans="1:10" ht="28.9" customHeight="1" thickTop="1" thickBot="1" x14ac:dyDescent="0.65">
      <c r="A1670" s="5">
        <v>1668</v>
      </c>
      <c r="B1670" s="82" t="str">
        <f>HYPERLINK("https://search.naver.com/search.naver?query=서약 영화", "서약")</f>
        <v>서약</v>
      </c>
      <c r="C1670" s="47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98" t="s">
        <v>3439</v>
      </c>
    </row>
    <row r="1671" spans="1:10" ht="28.9" customHeight="1" thickTop="1" thickBot="1" x14ac:dyDescent="0.65">
      <c r="A1671" s="3">
        <v>1669</v>
      </c>
      <c r="B1671" s="83" t="str">
        <f>HYPERLINK("https://search.naver.com/search.naver?query=서울의 봄 영화", "서울의 봄")</f>
        <v>서울의 봄</v>
      </c>
      <c r="C1671" s="45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97" t="s">
        <v>3446</v>
      </c>
    </row>
    <row r="1672" spans="1:10" ht="28.9" customHeight="1" thickTop="1" thickBot="1" x14ac:dyDescent="0.65">
      <c r="A1672" s="5">
        <v>1670</v>
      </c>
      <c r="B1672" s="82" t="str">
        <f>HYPERLINK("https://search.naver.com/search.naver?query=서치 영화", "서치")</f>
        <v>서치</v>
      </c>
      <c r="C1672" s="47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98" t="s">
        <v>3442</v>
      </c>
    </row>
    <row r="1673" spans="1:10" ht="28.9" customHeight="1" thickTop="1" thickBot="1" x14ac:dyDescent="0.65">
      <c r="A1673" s="3">
        <v>1671</v>
      </c>
      <c r="B1673" s="83" t="str">
        <f>HYPERLINK("https://search.naver.com/search.naver?query=서치 2 영화", "서치 2")</f>
        <v>서치 2</v>
      </c>
      <c r="C1673" s="45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97" t="s">
        <v>3446</v>
      </c>
    </row>
    <row r="1674" spans="1:10" ht="28.9" customHeight="1" thickTop="1" thickBot="1" x14ac:dyDescent="0.65">
      <c r="A1674" s="5">
        <v>1672</v>
      </c>
      <c r="B1674" s="82" t="str">
        <f>HYPERLINK("https://search.naver.com/search.naver?query=서툴지만, 사랑 영화", "서툴지만, 사랑")</f>
        <v>서툴지만, 사랑</v>
      </c>
      <c r="C1674" s="47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98" t="s">
        <v>3440</v>
      </c>
    </row>
    <row r="1675" spans="1:10" ht="28.9" customHeight="1" thickTop="1" thickBot="1" x14ac:dyDescent="0.65">
      <c r="A1675" s="3">
        <v>1673</v>
      </c>
      <c r="B1675" s="83" t="str">
        <f>HYPERLINK("https://search.naver.com/search.naver?query=서펀트 죽음의 협곡 영화", "서펀트 - 죽음의 협곡")</f>
        <v>서펀트 - 죽음의 협곡</v>
      </c>
      <c r="C1675" s="45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97" t="s">
        <v>3443</v>
      </c>
    </row>
    <row r="1676" spans="1:10" ht="28.9" customHeight="1" thickTop="1" thickBot="1" x14ac:dyDescent="0.65">
      <c r="A1676" s="5">
        <v>1674</v>
      </c>
      <c r="B1676" s="82" t="str">
        <f>HYPERLINK("https://search.naver.com/search.naver?query=서프러제트 영화", "서프러제트")</f>
        <v>서프러제트</v>
      </c>
      <c r="C1676" s="47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98" t="s">
        <v>3440</v>
      </c>
    </row>
    <row r="1677" spans="1:10" ht="28.9" customHeight="1" thickTop="1" thickBot="1" x14ac:dyDescent="0.65">
      <c r="A1677" s="7">
        <v>1675</v>
      </c>
      <c r="B1677" s="48" t="str">
        <f>HYPERLINK("https://search.naver.com/search.naver?query=석세션 시즌1", "석세션 시즌1")</f>
        <v>석세션 시즌1</v>
      </c>
      <c r="C1677" s="49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99" t="s">
        <v>3442</v>
      </c>
    </row>
    <row r="1678" spans="1:10" ht="28.9" customHeight="1" thickTop="1" thickBot="1" x14ac:dyDescent="0.65">
      <c r="A1678" s="7">
        <v>1676</v>
      </c>
      <c r="B1678" s="48" t="str">
        <f>HYPERLINK("https://search.naver.com/search.naver?query=석세션 시즌2", "석세션 시즌2")</f>
        <v>석세션 시즌2</v>
      </c>
      <c r="C1678" s="49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99" t="s">
        <v>3444</v>
      </c>
    </row>
    <row r="1679" spans="1:10" ht="28.9" customHeight="1" thickTop="1" thickBot="1" x14ac:dyDescent="0.65">
      <c r="A1679" s="7">
        <v>1677</v>
      </c>
      <c r="B1679" s="48" t="str">
        <f>HYPERLINK("https://search.naver.com/search.naver?query=석세션 시즌3", "석세션 시즌3")</f>
        <v>석세션 시즌3</v>
      </c>
      <c r="C1679" s="49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99" t="s">
        <v>3438</v>
      </c>
    </row>
    <row r="1680" spans="1:10" ht="28.9" customHeight="1" thickTop="1" thickBot="1" x14ac:dyDescent="0.65">
      <c r="A1680" s="7">
        <v>1678</v>
      </c>
      <c r="B1680" s="48" t="str">
        <f>HYPERLINK("https://search.naver.com/search.naver?query=선산", "선산")</f>
        <v>선산</v>
      </c>
      <c r="C1680" s="49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99" t="s">
        <v>3448</v>
      </c>
    </row>
    <row r="1681" spans="1:10" ht="28.9" customHeight="1" thickTop="1" thickBot="1" x14ac:dyDescent="0.65">
      <c r="A1681" s="3">
        <v>1679</v>
      </c>
      <c r="B1681" s="44" t="str">
        <f>HYPERLINK("https://search.naver.com/search.naver?query=선생님 내 옆에 앉아줄래요", "선생님, 내 옆에 앉아줄래요")</f>
        <v>선생님, 내 옆에 앉아줄래요</v>
      </c>
      <c r="C1681" s="45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97" t="s">
        <v>3438</v>
      </c>
    </row>
    <row r="1682" spans="1:10" ht="28.9" customHeight="1" thickTop="1" thickBot="1" x14ac:dyDescent="0.65">
      <c r="A1682" s="5">
        <v>1680</v>
      </c>
      <c r="B1682" s="46" t="str">
        <f>HYPERLINK("https://search.naver.com/search.naver?query=설계 영화", "설계")</f>
        <v>설계</v>
      </c>
      <c r="C1682" s="47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98" t="s">
        <v>3437</v>
      </c>
    </row>
    <row r="1683" spans="1:10" ht="28.9" customHeight="1" thickTop="1" thickBot="1" x14ac:dyDescent="0.65">
      <c r="A1683" s="3">
        <v>1681</v>
      </c>
      <c r="B1683" s="44" t="str">
        <f>HYPERLINK("https://search.naver.com/search.naver?query=설국열차 영화", "설국열차")</f>
        <v>설국열차</v>
      </c>
      <c r="C1683" s="45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97" t="s">
        <v>3451</v>
      </c>
    </row>
    <row r="1684" spans="1:10" ht="28.9" customHeight="1" thickTop="1" thickBot="1" x14ac:dyDescent="0.65">
      <c r="A1684" s="5">
        <v>1682</v>
      </c>
      <c r="B1684" s="46" t="str">
        <f>HYPERLINK("https://search.naver.com/search.naver?query=설리 허드슨강의 기적 영화", "설리 - 허드슨강의 기적")</f>
        <v>설리 - 허드슨강의 기적</v>
      </c>
      <c r="C1684" s="47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98" t="s">
        <v>3441</v>
      </c>
    </row>
    <row r="1685" spans="1:10" ht="28.9" customHeight="1" thickTop="1" thickBot="1" x14ac:dyDescent="0.65">
      <c r="A1685" s="3">
        <v>1683</v>
      </c>
      <c r="B1685" s="44" t="str">
        <f>HYPERLINK("https://search.naver.com/search.naver?query=섬 사라진 사람들 영화", "섬 사라진 사람들")</f>
        <v>섬 사라진 사람들</v>
      </c>
      <c r="C1685" s="45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97" t="s">
        <v>3440</v>
      </c>
    </row>
    <row r="1686" spans="1:10" ht="28.9" customHeight="1" thickTop="1" thickBot="1" x14ac:dyDescent="0.65">
      <c r="A1686" s="5">
        <v>1684</v>
      </c>
      <c r="B1686" s="46" t="str">
        <f>HYPERLINK("https://search.naver.com/search.naver?query=성난 군중으로부터 멀리 영화", "성난 군중으로부터 멀리")</f>
        <v>성난 군중으로부터 멀리</v>
      </c>
      <c r="C1686" s="47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98" t="s">
        <v>3440</v>
      </c>
    </row>
    <row r="1687" spans="1:10" ht="28.9" customHeight="1" thickTop="1" thickBot="1" x14ac:dyDescent="0.65">
      <c r="A1687" s="3">
        <v>1685</v>
      </c>
      <c r="B1687" s="44" t="str">
        <f>HYPERLINK("https://search.naver.com/search.naver?query=성난 변호사 영화", "성난 변호사")</f>
        <v>성난 변호사</v>
      </c>
      <c r="C1687" s="45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97" t="s">
        <v>3440</v>
      </c>
    </row>
    <row r="1688" spans="1:10" ht="28.9" customHeight="1" thickTop="1" thickBot="1" x14ac:dyDescent="0.65">
      <c r="A1688" s="5">
        <v>1686</v>
      </c>
      <c r="B1688" s="46" t="str">
        <f>HYPERLINK("https://search.naver.com/search.naver?query=성난황소 영화", "성난황소")</f>
        <v>성난황소</v>
      </c>
      <c r="C1688" s="47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98" t="s">
        <v>3442</v>
      </c>
    </row>
    <row r="1689" spans="1:10" ht="28.9" customHeight="1" thickTop="1" thickBot="1" x14ac:dyDescent="0.65">
      <c r="A1689" s="3">
        <v>1687</v>
      </c>
      <c r="B1689" s="44" t="str">
        <f>HYPERLINK("https://search.naver.com/search.naver?query=세 도시 이야기 영화", "세 도시 이야기")</f>
        <v>세 도시 이야기</v>
      </c>
      <c r="C1689" s="45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97" t="s">
        <v>3440</v>
      </c>
    </row>
    <row r="1690" spans="1:10" ht="28.9" customHeight="1" thickTop="1" thickBot="1" x14ac:dyDescent="0.65">
      <c r="A1690" s="5">
        <v>1688</v>
      </c>
      <c r="B1690" s="46" t="str">
        <f>HYPERLINK("https://search.naver.com/search.naver?query=세 번째 살인 영화", "세 번째 살인")</f>
        <v>세 번째 살인</v>
      </c>
      <c r="C1690" s="47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98" t="s">
        <v>3443</v>
      </c>
    </row>
    <row r="1691" spans="1:10" ht="28.9" customHeight="1" thickTop="1" thickBot="1" x14ac:dyDescent="0.65">
      <c r="A1691" s="3">
        <v>1689</v>
      </c>
      <c r="B1691" s="44" t="str">
        <f>HYPERLINK("https://search.naver.com/search.naver?query=세 얼간이 영화", "세 얼간이")</f>
        <v>세 얼간이</v>
      </c>
      <c r="C1691" s="45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97" t="s">
        <v>3453</v>
      </c>
    </row>
    <row r="1692" spans="1:10" ht="28.9" customHeight="1" thickTop="1" thickBot="1" x14ac:dyDescent="0.65">
      <c r="A1692" s="5">
        <v>1690</v>
      </c>
      <c r="B1692" s="46" t="str">
        <f>HYPERLINK("https://search.naver.com/search.naver?query=세기의 매치 영화", "세기의 매치")</f>
        <v>세기의 매치</v>
      </c>
      <c r="C1692" s="47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98" t="s">
        <v>3437</v>
      </c>
    </row>
    <row r="1693" spans="1:10" ht="28.9" customHeight="1" thickTop="1" thickBot="1" x14ac:dyDescent="0.65">
      <c r="A1693" s="3">
        <v>1691</v>
      </c>
      <c r="B1693" s="44" t="str">
        <f>HYPERLINK("https://search.naver.com/search.naver?query=세레나 영화", "세레나")</f>
        <v>세레나</v>
      </c>
      <c r="C1693" s="45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97" t="s">
        <v>3437</v>
      </c>
    </row>
    <row r="1694" spans="1:10" ht="28.9" customHeight="1" thickTop="1" thickBot="1" x14ac:dyDescent="0.65">
      <c r="A1694" s="5">
        <v>1692</v>
      </c>
      <c r="B1694" s="46" t="str">
        <f>HYPERLINK("https://search.naver.com/search.naver?query=세레니티 영화", "세레니티")</f>
        <v>세레니티</v>
      </c>
      <c r="C1694" s="47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98" t="s">
        <v>3444</v>
      </c>
    </row>
    <row r="1695" spans="1:10" ht="28.9" customHeight="1" thickTop="1" thickBot="1" x14ac:dyDescent="0.65">
      <c r="A1695" s="3">
        <v>1693</v>
      </c>
      <c r="B1695" s="44" t="str">
        <f>HYPERLINK("https://search.naver.com/search.naver?query=세렌디피티 영화", "세렌디피티")</f>
        <v>세렌디피티</v>
      </c>
      <c r="C1695" s="45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97" t="s">
        <v>3457</v>
      </c>
    </row>
    <row r="1696" spans="1:10" ht="28.9" customHeight="1" thickTop="1" thickBot="1" x14ac:dyDescent="0.65">
      <c r="A1696" s="5">
        <v>1694</v>
      </c>
      <c r="B1696" s="46" t="str">
        <f>HYPERLINK("https://search.naver.com/search.naver?query=세번째 사랑 영화", "세번째 사랑")</f>
        <v>세번째 사랑</v>
      </c>
      <c r="C1696" s="47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98" t="s">
        <v>3439</v>
      </c>
    </row>
    <row r="1697" spans="1:10" ht="28.9" customHeight="1" thickTop="1" thickBot="1" x14ac:dyDescent="0.65">
      <c r="A1697" s="3">
        <v>1695</v>
      </c>
      <c r="B1697" s="44" t="str">
        <f>HYPERLINK("https://search.naver.com/search.naver?query=세븐 데이즈 영화", "세븐 데이즈")</f>
        <v>세븐 데이즈</v>
      </c>
      <c r="C1697" s="45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97" t="s">
        <v>3447</v>
      </c>
    </row>
    <row r="1698" spans="1:10" ht="28.9" customHeight="1" thickTop="1" thickBot="1" x14ac:dyDescent="0.65">
      <c r="A1698" s="5">
        <v>1696</v>
      </c>
      <c r="B1698" s="46" t="str">
        <f>HYPERLINK("https://search.naver.com/search.naver?query=세상에서 가장 아름다운 이별 영화", "세상에서 가장 아름다운 이별")</f>
        <v>세상에서 가장 아름다운 이별</v>
      </c>
      <c r="C1698" s="47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98" t="s">
        <v>3454</v>
      </c>
    </row>
    <row r="1699" spans="1:10" ht="28.9" customHeight="1" thickTop="1" thickBot="1" x14ac:dyDescent="0.65">
      <c r="A1699" s="3">
        <v>1697</v>
      </c>
      <c r="B1699" s="44" t="str">
        <f>HYPERLINK("https://search.naver.com/search.naver?query=세상에서 고양이가 사라진다면 영화", "세상에서 고양이가 사라진다면")</f>
        <v>세상에서 고양이가 사라진다면</v>
      </c>
      <c r="C1699" s="45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97" t="s">
        <v>3441</v>
      </c>
    </row>
    <row r="1700" spans="1:10" ht="28.9" customHeight="1" thickTop="1" thickBot="1" x14ac:dyDescent="0.65">
      <c r="A1700" s="5">
        <v>1698</v>
      </c>
      <c r="B1700" s="46" t="str">
        <f>HYPERLINK("https://search.naver.com/search.naver?query=세상을 바꾼 변호인 영화", "세상을 바꾼 변호인")</f>
        <v>세상을 바꾼 변호인</v>
      </c>
      <c r="C1700" s="47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98" t="s">
        <v>3444</v>
      </c>
    </row>
    <row r="1701" spans="1:10" ht="28.9" customHeight="1" thickTop="1" thickBot="1" x14ac:dyDescent="0.65">
      <c r="A1701" s="3">
        <v>1699</v>
      </c>
      <c r="B1701" s="44" t="str">
        <f>HYPERLINK("https://search.naver.com/search.naver?query=세상의 끝까지 21일 영화", "세상의 끝까지 21일")</f>
        <v>세상의 끝까지 21일</v>
      </c>
      <c r="C1701" s="45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97" t="s">
        <v>3451</v>
      </c>
    </row>
    <row r="1702" spans="1:10" ht="28.9" customHeight="1" thickTop="1" thickBot="1" x14ac:dyDescent="0.65">
      <c r="A1702" s="5">
        <v>1700</v>
      </c>
      <c r="B1702" s="46" t="str">
        <f>HYPERLINK("https://search.naver.com/search.naver?query=세상의 끝에서 커피 한 잔 영화", "세상의 끝에서 커피 한 잔")</f>
        <v>세상의 끝에서 커피 한 잔</v>
      </c>
      <c r="C1702" s="47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98" t="s">
        <v>3437</v>
      </c>
    </row>
    <row r="1703" spans="1:10" ht="28.9" customHeight="1" thickTop="1" thickBot="1" x14ac:dyDescent="0.65">
      <c r="A1703" s="3">
        <v>1701</v>
      </c>
      <c r="B1703" s="44" t="str">
        <f>HYPERLINK("https://search.naver.com/search.naver?query=세상의 모든 디저트 러브 사라 영화", "세상의 모든 디저트-러브 사라")</f>
        <v>세상의 모든 디저트-러브 사라</v>
      </c>
      <c r="C1703" s="45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97" t="s">
        <v>3436</v>
      </c>
    </row>
    <row r="1704" spans="1:10" ht="28.9" customHeight="1" thickTop="1" thickBot="1" x14ac:dyDescent="0.65">
      <c r="A1704" s="5">
        <v>1702</v>
      </c>
      <c r="B1704" s="46" t="str">
        <f>HYPERLINK("https://search.naver.com/search.naver?query=세션 이 남자가 사랑하는 법 영화", "세션 - 이 남자가 사랑하는 법")</f>
        <v>세션 - 이 남자가 사랑하는 법</v>
      </c>
      <c r="C1704" s="47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98" t="s">
        <v>3439</v>
      </c>
    </row>
    <row r="1705" spans="1:10" ht="28.9" customHeight="1" thickTop="1" thickBot="1" x14ac:dyDescent="0.65">
      <c r="A1705" s="3">
        <v>1703</v>
      </c>
      <c r="B1705" s="44" t="str">
        <f>HYPERLINK("https://search.naver.com/search.naver?query=세이브 어 라이프 영화", "세이브 어 라이프")</f>
        <v>세이브 어 라이프</v>
      </c>
      <c r="C1705" s="45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97" t="s">
        <v>3455</v>
      </c>
    </row>
    <row r="1706" spans="1:10" ht="28.9" customHeight="1" thickTop="1" thickBot="1" x14ac:dyDescent="0.65">
      <c r="A1706" s="5">
        <v>1704</v>
      </c>
      <c r="B1706" s="46" t="str">
        <f>HYPERLINK("https://search.naver.com/search.naver?query=세이빙 MR.뱅크스 영화", "세이빙 MR.뱅크스")</f>
        <v>세이빙 MR.뱅크스</v>
      </c>
      <c r="C1706" s="47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98" t="s">
        <v>3451</v>
      </c>
    </row>
    <row r="1707" spans="1:10" ht="28.9" customHeight="1" thickTop="1" thickBot="1" x14ac:dyDescent="0.65">
      <c r="A1707" s="3">
        <v>1705</v>
      </c>
      <c r="B1707" s="44" t="str">
        <f>HYPERLINK("https://search.naver.com/search.naver?query=세이빙 레닌그라드 영화", "세이빙 레닌그라드")</f>
        <v>세이빙 레닌그라드</v>
      </c>
      <c r="C1707" s="45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97" t="s">
        <v>3444</v>
      </c>
    </row>
    <row r="1708" spans="1:10" ht="28.9" customHeight="1" thickTop="1" thickBot="1" x14ac:dyDescent="0.65">
      <c r="A1708" s="5">
        <v>1706</v>
      </c>
      <c r="B1708" s="46" t="str">
        <f>HYPERLINK("https://search.naver.com/search.naver?query=세이지 육지의 물고기 영화", "세이지 - 육지의 물고기")</f>
        <v>세이지 - 육지의 물고기</v>
      </c>
      <c r="C1708" s="47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98" t="s">
        <v>3454</v>
      </c>
    </row>
    <row r="1709" spans="1:10" ht="28.9" customHeight="1" thickTop="1" thickBot="1" x14ac:dyDescent="0.65">
      <c r="A1709" s="3">
        <v>1707</v>
      </c>
      <c r="B1709" s="44" t="str">
        <f>HYPERLINK("https://search.naver.com/search.naver?query=세이프 헤이븐 영화", "세이프 헤이븐")</f>
        <v>세이프 헤이븐</v>
      </c>
      <c r="C1709" s="45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97" t="s">
        <v>3451</v>
      </c>
    </row>
    <row r="1710" spans="1:10" ht="28.9" customHeight="1" thickTop="1" thickBot="1" x14ac:dyDescent="0.65">
      <c r="A1710" s="5">
        <v>1708</v>
      </c>
      <c r="B1710" s="46" t="str">
        <f>HYPERLINK("https://search.naver.com/search.naver?query=세이프하우스 영화", "세이프하우스")</f>
        <v>세이프하우스</v>
      </c>
      <c r="C1710" s="47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98" t="s">
        <v>3439</v>
      </c>
    </row>
    <row r="1711" spans="1:10" ht="28.9" customHeight="1" thickTop="1" thickBot="1" x14ac:dyDescent="0.65">
      <c r="A1711" s="3">
        <v>1709</v>
      </c>
      <c r="B1711" s="44" t="str">
        <f>HYPERLINK("https://search.naver.com/search.naver?query=세인트 빈센트 영화", "세인트 빈센트")</f>
        <v>세인트 빈센트</v>
      </c>
      <c r="C1711" s="45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97" t="s">
        <v>3437</v>
      </c>
    </row>
    <row r="1712" spans="1:10" ht="28.9" customHeight="1" thickTop="1" thickBot="1" x14ac:dyDescent="0.65">
      <c r="A1712" s="5">
        <v>1710</v>
      </c>
      <c r="B1712" s="46" t="str">
        <f>HYPERLINK("https://search.naver.com/search.naver?query=세인트 클라우드 영화", "세인트 클라우드")</f>
        <v>세인트 클라우드</v>
      </c>
      <c r="C1712" s="47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98" t="s">
        <v>3455</v>
      </c>
    </row>
    <row r="1713" spans="1:10" ht="28.9" customHeight="1" thickTop="1" thickBot="1" x14ac:dyDescent="0.65">
      <c r="A1713" s="3">
        <v>1711</v>
      </c>
      <c r="B1713" s="44" t="str">
        <f>HYPERLINK("https://search.naver.com/search.naver?query=세자매", "세자매")</f>
        <v>세자매</v>
      </c>
      <c r="C1713" s="45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97" t="s">
        <v>3436</v>
      </c>
    </row>
    <row r="1714" spans="1:10" ht="28.9" customHeight="1" thickTop="1" thickBot="1" x14ac:dyDescent="0.65">
      <c r="A1714" s="5">
        <v>1712</v>
      </c>
      <c r="B1714" s="46" t="str">
        <f>HYPERLINK("https://search.naver.com/search.naver?query=세컨드 마더 영화", "세컨드 마더")</f>
        <v>세컨드 마더</v>
      </c>
      <c r="C1714" s="47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98" t="s">
        <v>3440</v>
      </c>
    </row>
    <row r="1715" spans="1:10" ht="28.9" customHeight="1" thickTop="1" thickBot="1" x14ac:dyDescent="0.65">
      <c r="A1715" s="3">
        <v>1713</v>
      </c>
      <c r="B1715" s="44" t="str">
        <f>HYPERLINK("https://search.naver.com/search.naver?query=세컨드 액트 영화", "세컨드 액트")</f>
        <v>세컨드 액트</v>
      </c>
      <c r="C1715" s="45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97" t="s">
        <v>3442</v>
      </c>
    </row>
    <row r="1716" spans="1:10" ht="28.9" customHeight="1" thickTop="1" thickBot="1" x14ac:dyDescent="0.65">
      <c r="A1716" s="5">
        <v>1714</v>
      </c>
      <c r="B1716" s="46" t="str">
        <f>HYPERLINK("https://search.naver.com/search.naver?query=세컨핸드 라이온스 영화", "세컨핸드 라이온스")</f>
        <v>세컨핸드 라이온스</v>
      </c>
      <c r="C1716" s="47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98" t="s">
        <v>3449</v>
      </c>
    </row>
    <row r="1717" spans="1:10" ht="28.9" customHeight="1" thickTop="1" thickBot="1" x14ac:dyDescent="0.65">
      <c r="A1717" s="3">
        <v>1715</v>
      </c>
      <c r="B1717" s="44" t="str">
        <f>HYPERLINK("https://search.naver.com/search.naver?query=세크리테어리엇 영화", "세크리테어리엇")</f>
        <v>세크리테어리엇</v>
      </c>
      <c r="C1717" s="45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97" t="s">
        <v>3455</v>
      </c>
    </row>
    <row r="1718" spans="1:10" ht="28.9" customHeight="1" thickTop="1" thickBot="1" x14ac:dyDescent="0.65">
      <c r="A1718" s="5">
        <v>1716</v>
      </c>
      <c r="B1718" s="46" t="str">
        <f>HYPERLINK("https://search.naver.com/search.naver?query=세키가하라 영화", "세키가하라")</f>
        <v>세키가하라</v>
      </c>
      <c r="C1718" s="47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98" t="s">
        <v>3443</v>
      </c>
    </row>
    <row r="1719" spans="1:10" ht="28.9" customHeight="1" thickTop="1" thickBot="1" x14ac:dyDescent="0.65">
      <c r="A1719" s="7">
        <v>1717</v>
      </c>
      <c r="B1719" s="48" t="str">
        <f>HYPERLINK("https://search.naver.com/search.naver?query=섹스 라이프 시즌1", "섹스 라이프 시즌1")</f>
        <v>섹스 라이프 시즌1</v>
      </c>
      <c r="C1719" s="49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99" t="s">
        <v>3438</v>
      </c>
    </row>
    <row r="1720" spans="1:10" ht="28.9" customHeight="1" thickTop="1" thickBot="1" x14ac:dyDescent="0.65">
      <c r="A1720" s="5">
        <v>1718</v>
      </c>
      <c r="B1720" s="46" t="str">
        <f>HYPERLINK("https://search.naver.com/search.naver?query=센트럴 인텔리전스 영화", "센트럴 인텔리전스")</f>
        <v>센트럴 인텔리전스</v>
      </c>
      <c r="C1720" s="47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98" t="s">
        <v>3441</v>
      </c>
    </row>
    <row r="1721" spans="1:10" ht="28.9" customHeight="1" thickTop="1" thickBot="1" x14ac:dyDescent="0.65">
      <c r="A1721" s="3">
        <v>1719</v>
      </c>
      <c r="B1721" s="44" t="str">
        <f>HYPERLINK("https://search.naver.com/search.naver?query=센티넬 영화", "센티넬")</f>
        <v>센티넬</v>
      </c>
      <c r="C1721" s="45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97" t="s">
        <v>3460</v>
      </c>
    </row>
    <row r="1722" spans="1:10" ht="28.9" customHeight="1" thickTop="1" thickBot="1" x14ac:dyDescent="0.65">
      <c r="A1722" s="5">
        <v>1720</v>
      </c>
      <c r="B1722" s="46" t="str">
        <f>HYPERLINK("https://search.naver.com/search.naver?query=셀프 리스 영화", "셀프 리스")</f>
        <v>셀프 리스</v>
      </c>
      <c r="C1722" s="47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98" t="s">
        <v>3440</v>
      </c>
    </row>
    <row r="1723" spans="1:10" ht="28.9" customHeight="1" thickTop="1" thickBot="1" x14ac:dyDescent="0.65">
      <c r="A1723" s="3">
        <v>1721</v>
      </c>
      <c r="B1723" s="44" t="str">
        <f>HYPERLINK("https://search.naver.com/search.naver?query=셜록 유령신부 영화", "셜록 - 유령신부")</f>
        <v>셜록 - 유령신부</v>
      </c>
      <c r="C1723" s="45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97" t="s">
        <v>3441</v>
      </c>
    </row>
    <row r="1724" spans="1:10" ht="28.9" customHeight="1" thickTop="1" thickBot="1" x14ac:dyDescent="0.65">
      <c r="A1724" s="5">
        <v>1722</v>
      </c>
      <c r="B1724" s="46" t="str">
        <f>HYPERLINK("https://search.naver.com/search.naver?query=셜록홈즈 그림자 게임 영화", "셜록홈즈 그림자 게임")</f>
        <v>셜록홈즈 그림자 게임</v>
      </c>
      <c r="C1724" s="47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98" t="s">
        <v>3454</v>
      </c>
    </row>
    <row r="1725" spans="1:10" ht="28.9" customHeight="1" thickTop="1" thickBot="1" x14ac:dyDescent="0.65">
      <c r="A1725" s="3">
        <v>1723</v>
      </c>
      <c r="B1725" s="44" t="str">
        <f>HYPERLINK("https://search.naver.com/search.naver?query=셰이프 오브 워터 사랑의 모양 영화", "셰이프 오브 워터-사랑의 모양")</f>
        <v>셰이프 오브 워터-사랑의 모양</v>
      </c>
      <c r="C1725" s="45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97" t="s">
        <v>3443</v>
      </c>
    </row>
    <row r="1726" spans="1:10" ht="28.9" customHeight="1" thickTop="1" thickBot="1" x14ac:dyDescent="0.65">
      <c r="A1726" s="5">
        <v>1724</v>
      </c>
      <c r="B1726" s="46" t="str">
        <f>HYPERLINK("https://search.naver.com/search.naver?query=셰임 영화", "셰임")</f>
        <v>셰임</v>
      </c>
      <c r="C1726" s="47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98" t="s">
        <v>3454</v>
      </c>
    </row>
    <row r="1727" spans="1:10" ht="28.9" customHeight="1" thickTop="1" thickBot="1" x14ac:dyDescent="0.65">
      <c r="A1727" s="3">
        <v>1725</v>
      </c>
      <c r="B1727" s="44" t="str">
        <f>HYPERLINK("https://search.naver.com/search.naver?query=셰터드 영화", "셰터드")</f>
        <v>셰터드</v>
      </c>
      <c r="C1727" s="45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97" t="s">
        <v>3445</v>
      </c>
    </row>
    <row r="1728" spans="1:10" ht="28.9" customHeight="1" thickTop="1" thickBot="1" x14ac:dyDescent="0.65">
      <c r="A1728" s="5">
        <v>1726</v>
      </c>
      <c r="B1728" s="46" t="str">
        <f>HYPERLINK("https://search.naver.com/search.naver?query=셰프 영화", "셰프")</f>
        <v>셰프</v>
      </c>
      <c r="C1728" s="47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98" t="s">
        <v>3437</v>
      </c>
    </row>
    <row r="1729" spans="1:10" ht="28.9" customHeight="1" thickTop="1" thickBot="1" x14ac:dyDescent="0.65">
      <c r="A1729" s="7">
        <v>1727</v>
      </c>
      <c r="B1729" s="48" t="str">
        <f>HYPERLINK("https://search.naver.com/search.naver?query=소년시대", "소년시대")</f>
        <v>소년시대</v>
      </c>
      <c r="C1729" s="49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99" t="s">
        <v>3446</v>
      </c>
    </row>
    <row r="1730" spans="1:10" ht="28.9" customHeight="1" thickTop="1" thickBot="1" x14ac:dyDescent="0.65">
      <c r="A1730" s="5">
        <v>1728</v>
      </c>
      <c r="B1730" s="46" t="str">
        <f>HYPERLINK("https://search.naver.com/search.naver?query=소년시절의 너 영화", "소년시절의 너")</f>
        <v>소년시절의 너</v>
      </c>
      <c r="C1730" s="47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98" t="s">
        <v>3444</v>
      </c>
    </row>
    <row r="1731" spans="1:10" ht="28.9" customHeight="1" thickTop="1" thickBot="1" x14ac:dyDescent="0.65">
      <c r="A1731" s="7">
        <v>1729</v>
      </c>
      <c r="B1731" s="48" t="str">
        <f>HYPERLINK("https://search.naver.com/search.naver?query=소년심판", "소년심판")</f>
        <v>소년심판</v>
      </c>
      <c r="C1731" s="49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99" t="s">
        <v>3445</v>
      </c>
    </row>
    <row r="1732" spans="1:10" ht="28.9" customHeight="1" thickTop="1" thickBot="1" x14ac:dyDescent="0.65">
      <c r="A1732" s="7">
        <v>1730</v>
      </c>
      <c r="B1732" s="48" t="str">
        <f>HYPERLINK("https://search.naver.com/search.naver?query=소년의 시간", "소년의 시간")</f>
        <v>소년의 시간</v>
      </c>
      <c r="C1732" s="49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99" t="s">
        <v>3459</v>
      </c>
    </row>
    <row r="1733" spans="1:10" ht="28.9" customHeight="1" thickTop="1" thickBot="1" x14ac:dyDescent="0.65">
      <c r="A1733" s="3">
        <v>1731</v>
      </c>
      <c r="B1733" s="44" t="str">
        <f>HYPERLINK("https://search.naver.com/search.naver?query=소라닌 영화", "소라닌")</f>
        <v>소라닌</v>
      </c>
      <c r="C1733" s="45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97" t="s">
        <v>3455</v>
      </c>
    </row>
    <row r="1734" spans="1:10" ht="28.9" customHeight="1" thickTop="1" thickBot="1" x14ac:dyDescent="0.65">
      <c r="A1734" s="5">
        <v>1732</v>
      </c>
      <c r="B1734" s="46" t="str">
        <f>HYPERLINK("https://search.naver.com/search.naver?query=소리도 없이 영화", "소리도 없이")</f>
        <v>소리도 없이</v>
      </c>
      <c r="C1734" s="47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98" t="s">
        <v>3436</v>
      </c>
    </row>
    <row r="1735" spans="1:10" ht="28.9" customHeight="1" thickTop="1" thickBot="1" x14ac:dyDescent="0.65">
      <c r="A1735" s="3">
        <v>1733</v>
      </c>
      <c r="B1735" s="44" t="str">
        <f>HYPERLINK("https://search.naver.com/search.naver?query=소방관 영화", "소방관")</f>
        <v>소방관</v>
      </c>
      <c r="C1735" s="45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97" t="s">
        <v>3448</v>
      </c>
    </row>
    <row r="1736" spans="1:10" ht="28.9" customHeight="1" thickTop="1" thickBot="1" x14ac:dyDescent="0.65">
      <c r="A1736" s="5">
        <v>1734</v>
      </c>
      <c r="B1736" s="46" t="str">
        <f>HYPERLINK("https://search.naver.com/search.naver?query=소수의견 영화", "소수의견")</f>
        <v>소수의견</v>
      </c>
      <c r="C1736" s="47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98" t="s">
        <v>3451</v>
      </c>
    </row>
    <row r="1737" spans="1:10" ht="28.9" customHeight="1" thickTop="1" thickBot="1" x14ac:dyDescent="0.65">
      <c r="A1737" s="3">
        <v>1735</v>
      </c>
      <c r="B1737" s="44" t="str">
        <f>HYPERLINK("https://search.naver.com/search.naver?query=소스 코드 영화", "소스 코드")</f>
        <v>소스 코드</v>
      </c>
      <c r="C1737" s="45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97" t="s">
        <v>3454</v>
      </c>
    </row>
    <row r="1738" spans="1:10" ht="28.9" customHeight="1" thickTop="1" thickBot="1" x14ac:dyDescent="0.65">
      <c r="A1738" s="5">
        <v>1736</v>
      </c>
      <c r="B1738" s="46" t="str">
        <f>HYPERLINK("https://search.naver.com/search.naver?query=소울 서퍼 영화", "소울 서퍼")</f>
        <v>소울 서퍼</v>
      </c>
      <c r="C1738" s="47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98" t="s">
        <v>3454</v>
      </c>
    </row>
    <row r="1739" spans="1:10" ht="28.9" customHeight="1" thickTop="1" thickBot="1" x14ac:dyDescent="0.65">
      <c r="A1739" s="3">
        <v>1737</v>
      </c>
      <c r="B1739" s="44" t="str">
        <f>HYPERLINK("https://search.naver.com/search.naver?query=소원 영화", "소원")</f>
        <v>소원</v>
      </c>
      <c r="C1739" s="45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97" t="s">
        <v>3451</v>
      </c>
    </row>
    <row r="1740" spans="1:10" ht="28.9" customHeight="1" thickTop="1" thickBot="1" x14ac:dyDescent="0.65">
      <c r="A1740" s="5">
        <v>1738</v>
      </c>
      <c r="B1740" s="46" t="str">
        <f>HYPERLINK("https://search.naver.com/search.naver?query=소프트 보이즈 영화", "소프트 보이즈")</f>
        <v>소프트 보이즈</v>
      </c>
      <c r="C1740" s="47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98" t="s">
        <v>3439</v>
      </c>
    </row>
    <row r="1741" spans="1:10" ht="28.9" customHeight="1" thickTop="1" thickBot="1" x14ac:dyDescent="0.65">
      <c r="A1741" s="3">
        <v>1739</v>
      </c>
      <c r="B1741" s="44" t="str">
        <f>HYPERLINK("https://search.naver.com/search.naver?query=소피 숄의 마지막 날들 영화", "소피 숄의 마지막 날들")</f>
        <v>소피 숄의 마지막 날들</v>
      </c>
      <c r="C1741" s="45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97" t="s">
        <v>3461</v>
      </c>
    </row>
    <row r="1742" spans="1:10" ht="28.9" customHeight="1" thickTop="1" thickBot="1" x14ac:dyDescent="0.65">
      <c r="A1742" s="5">
        <v>1740</v>
      </c>
      <c r="B1742" s="46" t="str">
        <f>HYPERLINK("https://search.naver.com/search.naver?query=소피아 영화", "소피아")</f>
        <v>소피아</v>
      </c>
      <c r="C1742" s="47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98" t="s">
        <v>3444</v>
      </c>
    </row>
    <row r="1743" spans="1:10" ht="28.9" customHeight="1" thickTop="1" thickBot="1" x14ac:dyDescent="0.65">
      <c r="A1743" s="3">
        <v>1741</v>
      </c>
      <c r="B1743" s="44" t="str">
        <f>HYPERLINK("https://search.naver.com/search.naver?query=솔러스 영화", "솔러스")</f>
        <v>솔러스</v>
      </c>
      <c r="C1743" s="45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97" t="s">
        <v>3466</v>
      </c>
    </row>
    <row r="1744" spans="1:10" ht="28.9" customHeight="1" thickTop="1" thickBot="1" x14ac:dyDescent="0.65">
      <c r="A1744" s="5">
        <v>1742</v>
      </c>
      <c r="B1744" s="46" t="str">
        <f>HYPERLINK("https://search.naver.com/search.naver?query=솔로몬의 위증 전편 사건 영화", "솔로몬의 위증 전편-사건")</f>
        <v>솔로몬의 위증 전편-사건</v>
      </c>
      <c r="C1744" s="47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98" t="s">
        <v>3440</v>
      </c>
    </row>
    <row r="1745" spans="1:10" ht="28.9" customHeight="1" thickTop="1" thickBot="1" x14ac:dyDescent="0.65">
      <c r="A1745" s="3">
        <v>1743</v>
      </c>
      <c r="B1745" s="44" t="str">
        <f>HYPERLINK("https://search.naver.com/search.naver?query=솔로몬의 위증 후편 재판 영화", "솔로몬의 위증 후편-재판")</f>
        <v>솔로몬의 위증 후편-재판</v>
      </c>
      <c r="C1745" s="45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97" t="s">
        <v>3440</v>
      </c>
    </row>
    <row r="1746" spans="1:10" ht="28.9" customHeight="1" thickTop="1" thickBot="1" x14ac:dyDescent="0.65">
      <c r="A1746" s="5">
        <v>1744</v>
      </c>
      <c r="B1746" s="46" t="str">
        <f>HYPERLINK("https://search.naver.com/search.naver?query=솔로이스트 영화", "솔로이스트")</f>
        <v>솔로이스트</v>
      </c>
      <c r="C1746" s="47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98" t="s">
        <v>3453</v>
      </c>
    </row>
    <row r="1747" spans="1:10" ht="28.9" customHeight="1" thickTop="1" thickBot="1" x14ac:dyDescent="0.65">
      <c r="A1747" s="3">
        <v>1745</v>
      </c>
      <c r="B1747" s="44" t="str">
        <f>HYPERLINK("https://search.naver.com/search.naver?query=솔리터리 맨 영화", "솔리터리 맨")</f>
        <v>솔리터리 맨</v>
      </c>
      <c r="C1747" s="45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97" t="s">
        <v>3453</v>
      </c>
    </row>
    <row r="1748" spans="1:10" ht="28.9" customHeight="1" thickTop="1" thickBot="1" x14ac:dyDescent="0.65">
      <c r="A1748" s="5">
        <v>1746</v>
      </c>
      <c r="B1748" s="46" t="str">
        <f>HYPERLINK("https://search.naver.com/search.naver?query=송 원 영화", "송 원")</f>
        <v>송 원</v>
      </c>
      <c r="C1748" s="47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98" t="s">
        <v>3437</v>
      </c>
    </row>
    <row r="1749" spans="1:10" ht="28.9" customHeight="1" thickTop="1" thickBot="1" x14ac:dyDescent="0.65">
      <c r="A1749" s="3">
        <v>1747</v>
      </c>
      <c r="B1749" s="44" t="str">
        <f>HYPERLINK("https://search.naver.com/search.naver?query=송가황조 영화", "송가황조")</f>
        <v>송가황조</v>
      </c>
      <c r="C1749" s="45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97" t="s">
        <v>3470</v>
      </c>
    </row>
    <row r="1750" spans="1:10" ht="28.9" customHeight="1" thickTop="1" thickBot="1" x14ac:dyDescent="0.65">
      <c r="A1750" s="7">
        <v>1748</v>
      </c>
      <c r="B1750" s="48" t="str">
        <f>HYPERLINK("https://search.naver.com/search.naver?query=쇼군", "쇼군")</f>
        <v>쇼군</v>
      </c>
      <c r="C1750" s="49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99" t="s">
        <v>3448</v>
      </c>
    </row>
    <row r="1751" spans="1:10" ht="28.9" customHeight="1" thickTop="1" thickBot="1" x14ac:dyDescent="0.65">
      <c r="A1751" s="3">
        <v>1749</v>
      </c>
      <c r="B1751" s="44" t="str">
        <f>HYPERLINK("https://search.naver.com/search.naver?query=쇼를 사랑한 남자 영화", "쇼를 사랑한 남자")</f>
        <v>쇼를 사랑한 남자</v>
      </c>
      <c r="C1751" s="45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97" t="s">
        <v>3451</v>
      </c>
    </row>
    <row r="1752" spans="1:10" ht="28.9" customHeight="1" thickTop="1" thickBot="1" x14ac:dyDescent="0.65">
      <c r="A1752" s="5">
        <v>1750</v>
      </c>
      <c r="B1752" s="46" t="str">
        <f>HYPERLINK("https://search.naver.com/search.naver?query=쇼생크 탈출 영화", "쇼생크 탈출")</f>
        <v>쇼생크 탈출</v>
      </c>
      <c r="C1752" s="47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98" t="s">
        <v>3467</v>
      </c>
    </row>
    <row r="1753" spans="1:10" ht="28.9" customHeight="1" thickTop="1" thickBot="1" x14ac:dyDescent="0.65">
      <c r="A1753" s="3">
        <v>1751</v>
      </c>
      <c r="B1753" s="44" t="str">
        <f>HYPERLINK("https://search.naver.com/search.naver?query=숏텀12 영화", "숏텀12")</f>
        <v>숏텀12</v>
      </c>
      <c r="C1753" s="45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97" t="s">
        <v>3451</v>
      </c>
    </row>
    <row r="1754" spans="1:10" ht="28.9" customHeight="1" thickTop="1" thickBot="1" x14ac:dyDescent="0.65">
      <c r="A1754" s="7">
        <v>1752</v>
      </c>
      <c r="B1754" s="48" t="str">
        <f>HYPERLINK("https://search.naver.com/search.naver?query=수리남 드라마", "수리남")</f>
        <v>수리남</v>
      </c>
      <c r="C1754" s="49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99" t="s">
        <v>3445</v>
      </c>
    </row>
    <row r="1755" spans="1:10" ht="28.9" customHeight="1" thickTop="1" thickBot="1" x14ac:dyDescent="0.65">
      <c r="A1755" s="3">
        <v>1753</v>
      </c>
      <c r="B1755" s="44" t="str">
        <f>HYPERLINK("https://search.naver.com/search.naver?query=수부라 게이트 영화", "수부라 게이트")</f>
        <v>수부라 게이트</v>
      </c>
      <c r="C1755" s="45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97" t="s">
        <v>3440</v>
      </c>
    </row>
    <row r="1756" spans="1:10" ht="28.9" customHeight="1" thickTop="1" thickBot="1" x14ac:dyDescent="0.65">
      <c r="A1756" s="5">
        <v>1754</v>
      </c>
      <c r="B1756" s="46" t="str">
        <f>HYPERLINK("https://search.naver.com/search.naver?query=수상한 그녀 영화", "수상한 그녀")</f>
        <v>수상한 그녀</v>
      </c>
      <c r="C1756" s="47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98" t="s">
        <v>3437</v>
      </c>
    </row>
    <row r="1757" spans="1:10" ht="28.9" customHeight="1" thickTop="1" thickBot="1" x14ac:dyDescent="0.65">
      <c r="A1757" s="3">
        <v>1755</v>
      </c>
      <c r="B1757" s="44" t="str">
        <f>HYPERLINK("https://search.naver.com/search.naver?query=수색자 영화", "수색자")</f>
        <v>수색자</v>
      </c>
      <c r="C1757" s="45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97" t="s">
        <v>3438</v>
      </c>
    </row>
    <row r="1758" spans="1:10" ht="28.9" customHeight="1" thickTop="1" thickBot="1" x14ac:dyDescent="0.65">
      <c r="A1758" s="5">
        <v>1756</v>
      </c>
      <c r="B1758" s="46" t="str">
        <f>HYPERLINK("https://search.naver.com/search.naver?query=수영장으로 간 남자들 영화", "수영장으로 간 남자들")</f>
        <v>수영장으로 간 남자들</v>
      </c>
      <c r="C1758" s="47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98" t="s">
        <v>3444</v>
      </c>
    </row>
    <row r="1759" spans="1:10" ht="28.9" customHeight="1" thickTop="1" thickBot="1" x14ac:dyDescent="0.65">
      <c r="A1759" s="3">
        <v>1757</v>
      </c>
      <c r="B1759" s="44" t="str">
        <f>HYPERLINK("https://search.naver.com/search.naver?query=순정 영화", "순정")</f>
        <v>순정</v>
      </c>
      <c r="C1759" s="45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97" t="s">
        <v>3440</v>
      </c>
    </row>
    <row r="1760" spans="1:10" ht="28.9" customHeight="1" thickTop="1" thickBot="1" x14ac:dyDescent="0.65">
      <c r="A1760" s="5">
        <v>1758</v>
      </c>
      <c r="B1760" s="46" t="str">
        <f>HYPERLINK("https://search.naver.com/search.naver?query=숨바꼭질 영화", "숨바꼭질")</f>
        <v>숨바꼭질</v>
      </c>
      <c r="C1760" s="47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98" t="s">
        <v>3451</v>
      </c>
    </row>
    <row r="1761" spans="1:10" ht="28.9" customHeight="1" thickTop="1" thickBot="1" x14ac:dyDescent="0.65">
      <c r="A1761" s="3">
        <v>1759</v>
      </c>
      <c r="B1761" s="44" t="str">
        <f>HYPERLINK("https://search.naver.com/search.naver?query=쉐프 영화", "쉐프")</f>
        <v>쉐프</v>
      </c>
      <c r="C1761" s="45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97" t="s">
        <v>3439</v>
      </c>
    </row>
    <row r="1762" spans="1:10" ht="28.9" customHeight="1" thickTop="1" thickBot="1" x14ac:dyDescent="0.65">
      <c r="A1762" s="5">
        <v>1760</v>
      </c>
      <c r="B1762" s="46" t="str">
        <f>HYPERLINK("https://search.naver.com/search.naver?query=쉘터 영화", "쉘터")</f>
        <v>쉘터</v>
      </c>
      <c r="C1762" s="47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98">
        <v>46082</v>
      </c>
    </row>
    <row r="1763" spans="1:10" ht="28.9" customHeight="1" thickTop="1" thickBot="1" x14ac:dyDescent="0.65">
      <c r="A1763" s="3">
        <v>1761</v>
      </c>
      <c r="B1763" s="44" t="str">
        <f>HYPERLINK("https://search.naver.com/search.naver?query=쉬핑뉴스 영화", "쉬핑뉴스")</f>
        <v>쉬핑뉴스</v>
      </c>
      <c r="C1763" s="45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97" t="s">
        <v>3457</v>
      </c>
    </row>
    <row r="1764" spans="1:10" ht="28.9" customHeight="1" thickTop="1" thickBot="1" x14ac:dyDescent="0.65">
      <c r="A1764" s="7">
        <v>1762</v>
      </c>
      <c r="B1764" s="48" t="str">
        <f>HYPERLINK("https://search.naver.com/search.naver?query=미국드라마 슈츠 시즌1", "슈츠 시즌1")</f>
        <v>슈츠 시즌1</v>
      </c>
      <c r="C1764" s="49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99" t="s">
        <v>3454</v>
      </c>
    </row>
    <row r="1765" spans="1:10" ht="28.9" customHeight="1" thickTop="1" thickBot="1" x14ac:dyDescent="0.65">
      <c r="A1765" s="7">
        <v>1763</v>
      </c>
      <c r="B1765" s="48" t="str">
        <f>HYPERLINK("https://search.naver.com/search.naver?query=미국드라마 슈츠 시즌2", "슈츠 시즌2")</f>
        <v>슈츠 시즌2</v>
      </c>
      <c r="C1765" s="49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99" t="s">
        <v>3439</v>
      </c>
    </row>
    <row r="1766" spans="1:10" ht="28.9" customHeight="1" thickTop="1" thickBot="1" x14ac:dyDescent="0.65">
      <c r="A1766" s="7">
        <v>1764</v>
      </c>
      <c r="B1766" s="48" t="str">
        <f>HYPERLINK("https://search.naver.com/search.naver?query=미국드라마 슈츠 시즌3", "슈츠 시즌3")</f>
        <v>슈츠 시즌3</v>
      </c>
      <c r="C1766" s="49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99" t="s">
        <v>3451</v>
      </c>
    </row>
    <row r="1767" spans="1:10" ht="28.9" customHeight="1" thickTop="1" thickBot="1" x14ac:dyDescent="0.65">
      <c r="A1767" s="7">
        <v>1765</v>
      </c>
      <c r="B1767" s="48" t="str">
        <f>HYPERLINK("https://search.naver.com/search.naver?query=미국드라마 슈츠 시즌4", "슈츠 시즌4")</f>
        <v>슈츠 시즌4</v>
      </c>
      <c r="C1767" s="49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99" t="s">
        <v>3437</v>
      </c>
    </row>
    <row r="1768" spans="1:10" ht="28.9" customHeight="1" thickTop="1" thickBot="1" x14ac:dyDescent="0.65">
      <c r="A1768" s="7">
        <v>1766</v>
      </c>
      <c r="B1768" s="48" t="str">
        <f>HYPERLINK("https://search.naver.com/search.naver?query=미국드라마 슈츠 시즌5", "슈츠 시즌5")</f>
        <v>슈츠 시즌5</v>
      </c>
      <c r="C1768" s="49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99" t="s">
        <v>3440</v>
      </c>
    </row>
    <row r="1769" spans="1:10" ht="28.9" customHeight="1" thickTop="1" thickBot="1" x14ac:dyDescent="0.65">
      <c r="A1769" s="7">
        <v>1767</v>
      </c>
      <c r="B1769" s="48" t="str">
        <f>HYPERLINK("https://search.naver.com/search.naver?query=미국드라마 슈츠 시즌6", "슈츠 시즌6")</f>
        <v>슈츠 시즌6</v>
      </c>
      <c r="C1769" s="49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99" t="s">
        <v>3441</v>
      </c>
    </row>
    <row r="1770" spans="1:10" ht="28.9" customHeight="1" thickTop="1" thickBot="1" x14ac:dyDescent="0.65">
      <c r="A1770" s="7">
        <v>1768</v>
      </c>
      <c r="B1770" s="48" t="str">
        <f>HYPERLINK("https://search.naver.com/search.naver?query=미국드라마 슈츠 시즌7", "슈츠 시즌7")</f>
        <v>슈츠 시즌7</v>
      </c>
      <c r="C1770" s="49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99" t="s">
        <v>3443</v>
      </c>
    </row>
    <row r="1771" spans="1:10" ht="28.9" customHeight="1" thickTop="1" thickBot="1" x14ac:dyDescent="0.65">
      <c r="A1771" s="7">
        <v>1769</v>
      </c>
      <c r="B1771" s="48" t="str">
        <f>HYPERLINK("https://search.naver.com/search.naver?query=미국드라마 슈츠 시즌8", "슈츠 시즌8")</f>
        <v>슈츠 시즌8</v>
      </c>
      <c r="C1771" s="49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99" t="s">
        <v>3442</v>
      </c>
    </row>
    <row r="1772" spans="1:10" ht="28.9" customHeight="1" thickTop="1" thickBot="1" x14ac:dyDescent="0.65">
      <c r="A1772" s="7">
        <v>1770</v>
      </c>
      <c r="B1772" s="48" t="str">
        <f>HYPERLINK("https://search.naver.com/search.naver?query=미국드라마 슈츠 시즌9", "슈츠 시즌9")</f>
        <v>슈츠 시즌9</v>
      </c>
      <c r="C1772" s="49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99" t="s">
        <v>3444</v>
      </c>
    </row>
    <row r="1773" spans="1:10" ht="28.9" customHeight="1" thickTop="1" thickBot="1" x14ac:dyDescent="0.65">
      <c r="A1773" s="3">
        <v>1771</v>
      </c>
      <c r="B1773" s="44" t="str">
        <f>HYPERLINK("https://search.naver.com/search.naver?query=슈퍼노바 영화", "슈퍼노바")</f>
        <v>슈퍼노바</v>
      </c>
      <c r="C1773" s="45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97" t="s">
        <v>3436</v>
      </c>
    </row>
    <row r="1774" spans="1:10" ht="28.9" customHeight="1" thickTop="1" thickBot="1" x14ac:dyDescent="0.65">
      <c r="A1774" s="5">
        <v>1772</v>
      </c>
      <c r="B1774" s="46" t="str">
        <f>HYPERLINK("https://search.naver.com/search.naver?query=스기하라 지우네 영화", "스기하라 지우네")</f>
        <v>스기하라 지우네</v>
      </c>
      <c r="C1774" s="47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98" t="s">
        <v>3440</v>
      </c>
    </row>
    <row r="1775" spans="1:10" ht="28.9" customHeight="1" thickTop="1" thickBot="1" x14ac:dyDescent="0.65">
      <c r="A1775" s="3">
        <v>1773</v>
      </c>
      <c r="B1775" s="44" t="str">
        <f>HYPERLINK("https://search.naver.com/search.naver?query=스기하라 치우네 영화", "스기하라 치우네")</f>
        <v>스기하라 치우네</v>
      </c>
      <c r="C1775" s="45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97" t="s">
        <v>3440</v>
      </c>
    </row>
    <row r="1776" spans="1:10" ht="28.9" customHeight="1" thickTop="1" thickBot="1" x14ac:dyDescent="0.65">
      <c r="A1776" s="5">
        <v>1774</v>
      </c>
      <c r="B1776" s="46" t="str">
        <f>HYPERLINK("https://search.naver.com/search.naver?query=스나이퍼 얼티밋 킬 영화", "스나이퍼 - 얼티밋 킬")</f>
        <v>스나이퍼 - 얼티밋 킬</v>
      </c>
      <c r="C1776" s="47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98" t="s">
        <v>3443</v>
      </c>
    </row>
    <row r="1777" spans="1:10" ht="28.9" customHeight="1" thickTop="1" thickBot="1" x14ac:dyDescent="0.65">
      <c r="A1777" s="3">
        <v>1775</v>
      </c>
      <c r="B1777" s="44" t="str">
        <f>HYPERLINK("https://search.naver.com/search.naver?query=스나이퍼 특수작전부대 영화", "스나이퍼 - 특수작전부대")</f>
        <v>스나이퍼 - 특수작전부대</v>
      </c>
      <c r="C1777" s="45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97" t="s">
        <v>3441</v>
      </c>
    </row>
    <row r="1778" spans="1:10" ht="28.9" customHeight="1" thickTop="1" thickBot="1" x14ac:dyDescent="0.65">
      <c r="A1778" s="5">
        <v>1776</v>
      </c>
      <c r="B1778" s="46" t="str">
        <f>HYPERLINK("https://search.naver.com/search.naver?query=스나이퍼 고스트 슈터 영화", "스나이퍼 고스트 슈터")</f>
        <v>스나이퍼 고스트 슈터</v>
      </c>
      <c r="C1778" s="47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98" t="s">
        <v>3441</v>
      </c>
    </row>
    <row r="1779" spans="1:10" ht="28.9" customHeight="1" thickTop="1" thickBot="1" x14ac:dyDescent="0.65">
      <c r="A1779" s="3">
        <v>1777</v>
      </c>
      <c r="B1779" s="44" t="str">
        <f>HYPERLINK("https://search.naver.com/search.naver?query=스나이퍼 라스트 미션 영화", "스나이퍼 라스트 미션")</f>
        <v>스나이퍼 라스트 미션</v>
      </c>
      <c r="C1779" s="45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97" t="s">
        <v>3444</v>
      </c>
    </row>
    <row r="1780" spans="1:10" ht="28.9" customHeight="1" thickTop="1" thickBot="1" x14ac:dyDescent="0.65">
      <c r="A1780" s="5">
        <v>1778</v>
      </c>
      <c r="B1780" s="46" t="str">
        <f>HYPERLINK("https://search.naver.com/search.naver?query=스나이퍼 암살자의 최후 영화", "스나이퍼 암살자의 최후")</f>
        <v>스나이퍼 암살자의 최후</v>
      </c>
      <c r="C1780" s="47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98" t="s">
        <v>3436</v>
      </c>
    </row>
    <row r="1781" spans="1:10" ht="28.9" customHeight="1" thickTop="1" thickBot="1" x14ac:dyDescent="0.65">
      <c r="A1781" s="3">
        <v>1779</v>
      </c>
      <c r="B1781" s="44" t="str">
        <f>HYPERLINK("https://search.naver.com/search.naver?query=스노든 영화", "스노든")</f>
        <v>스노든</v>
      </c>
      <c r="C1781" s="45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97" t="s">
        <v>3441</v>
      </c>
    </row>
    <row r="1782" spans="1:10" ht="28.9" customHeight="1" thickTop="1" thickBot="1" x14ac:dyDescent="0.65">
      <c r="A1782" s="5">
        <v>1780</v>
      </c>
      <c r="B1782" s="46" t="str">
        <f>HYPERLINK("https://search.naver.com/search.naver?query=스노우맨 영화", "스노우맨")</f>
        <v>스노우맨</v>
      </c>
      <c r="C1782" s="47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98" t="s">
        <v>3443</v>
      </c>
    </row>
    <row r="1783" spans="1:10" ht="28.9" customHeight="1" thickTop="1" thickBot="1" x14ac:dyDescent="0.65">
      <c r="A1783" s="3">
        <v>1781</v>
      </c>
      <c r="B1783" s="44" t="str">
        <f>HYPERLINK("https://search.naver.com/search.naver?query=스노우워커 영화", "스노우워커")</f>
        <v>스노우워커</v>
      </c>
      <c r="C1783" s="45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97" t="s">
        <v>3449</v>
      </c>
    </row>
    <row r="1784" spans="1:10" ht="28.9" customHeight="1" thickTop="1" thickBot="1" x14ac:dyDescent="0.65">
      <c r="A1784" s="5">
        <v>1782</v>
      </c>
      <c r="B1784" s="46" t="str">
        <f>HYPERLINK("https://search.naver.com/search.naver?query=스니치 영화", "스니치")</f>
        <v>스니치</v>
      </c>
      <c r="C1784" s="47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98" t="s">
        <v>3451</v>
      </c>
    </row>
    <row r="1785" spans="1:10" ht="28.9" customHeight="1" thickTop="1" thickBot="1" x14ac:dyDescent="0.65">
      <c r="A1785" s="3">
        <v>1783</v>
      </c>
      <c r="B1785" s="44" t="str">
        <f>HYPERLINK("https://search.naver.com/search.naver?query=스마트폰을 떨어뜨렸을 뿐인데 영화", "스마트폰을 떨어뜨렸을 뿐인데")</f>
        <v>스마트폰을 떨어뜨렸을 뿐인데</v>
      </c>
      <c r="C1785" s="45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97" t="s">
        <v>3442</v>
      </c>
    </row>
    <row r="1786" spans="1:10" ht="28.9" customHeight="1" thickTop="1" thickBot="1" x14ac:dyDescent="0.65">
      <c r="A1786" s="5">
        <v>1784</v>
      </c>
      <c r="B1786" s="46" t="str">
        <f>HYPERLINK("https://search.naver.com/search.naver?query=스매쉬드 영화", "스매쉬드")</f>
        <v>스매쉬드</v>
      </c>
      <c r="C1786" s="47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98" t="s">
        <v>3439</v>
      </c>
    </row>
    <row r="1787" spans="1:10" ht="28.9" customHeight="1" thickTop="1" thickBot="1" x14ac:dyDescent="0.65">
      <c r="A1787" s="3">
        <v>1785</v>
      </c>
      <c r="B1787" s="44" t="str">
        <f>HYPERLINK("https://search.naver.com/search.naver?query=스시 장인 지로의 꿈 영화", "스시 장인-지로의 꿈")</f>
        <v>스시 장인-지로의 꿈</v>
      </c>
      <c r="C1787" s="45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97" t="s">
        <v>3454</v>
      </c>
    </row>
    <row r="1788" spans="1:10" ht="28.9" customHeight="1" thickTop="1" thickBot="1" x14ac:dyDescent="0.65">
      <c r="A1788" s="7">
        <v>1786</v>
      </c>
      <c r="B1788" s="48" t="str">
        <f>HYPERLINK("https://search.naver.com/search.naver?query=스와트 시즌1", "스와트 시즌1")</f>
        <v>스와트 시즌1</v>
      </c>
      <c r="C1788" s="49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99" t="s">
        <v>3443</v>
      </c>
    </row>
    <row r="1789" spans="1:10" ht="28.9" customHeight="1" thickTop="1" thickBot="1" x14ac:dyDescent="0.65">
      <c r="A1789" s="7">
        <v>1787</v>
      </c>
      <c r="B1789" s="48" t="str">
        <f>HYPERLINK("https://search.naver.com/search.naver?query=스와트 시즌2", "스와트 시즌2")</f>
        <v>스와트 시즌2</v>
      </c>
      <c r="C1789" s="49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99" t="s">
        <v>3442</v>
      </c>
    </row>
    <row r="1790" spans="1:10" ht="28.9" customHeight="1" thickTop="1" thickBot="1" x14ac:dyDescent="0.65">
      <c r="A1790" s="7">
        <v>1788</v>
      </c>
      <c r="B1790" s="48" t="str">
        <f>HYPERLINK("https://search.naver.com/search.naver?query=스와트 시즌3", "스와트 시즌3")</f>
        <v>스와트 시즌3</v>
      </c>
      <c r="C1790" s="49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99" t="s">
        <v>3444</v>
      </c>
    </row>
    <row r="1791" spans="1:10" ht="28.9" customHeight="1" thickTop="1" thickBot="1" x14ac:dyDescent="0.65">
      <c r="A1791" s="7">
        <v>1789</v>
      </c>
      <c r="B1791" s="48" t="str">
        <f>HYPERLINK("https://search.naver.com/search.naver?query=스와트 시즌4", "스와트 시즌4")</f>
        <v>스와트 시즌4</v>
      </c>
      <c r="C1791" s="49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99" t="s">
        <v>3436</v>
      </c>
    </row>
    <row r="1792" spans="1:10" ht="28.9" customHeight="1" thickTop="1" thickBot="1" x14ac:dyDescent="0.65">
      <c r="A1792" s="7">
        <v>1790</v>
      </c>
      <c r="B1792" s="48" t="str">
        <f>HYPERLINK("https://search.naver.com/search.naver?query=스와트 시즌5", "스와트 시즌5")</f>
        <v>스와트 시즌5</v>
      </c>
      <c r="C1792" s="49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99" t="s">
        <v>3445</v>
      </c>
    </row>
    <row r="1793" spans="1:10" ht="28.9" customHeight="1" thickTop="1" thickBot="1" x14ac:dyDescent="0.65">
      <c r="A1793" s="7">
        <v>1791</v>
      </c>
      <c r="B1793" s="48" t="str">
        <f>HYPERLINK("https://search.naver.com/search.naver?query=스와트 시즌7", "스와트 시즌7")</f>
        <v>스와트 시즌7</v>
      </c>
      <c r="C1793" s="49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99" t="s">
        <v>3448</v>
      </c>
    </row>
    <row r="1794" spans="1:10" ht="28.9" customHeight="1" thickTop="1" thickBot="1" x14ac:dyDescent="0.65">
      <c r="A1794" s="5">
        <v>1792</v>
      </c>
      <c r="B1794" s="46" t="str">
        <f>HYPERLINK("https://search.naver.com/search.naver?query=스위칭 로맨스 영화", "스위칭 로맨스")</f>
        <v>스위칭 로맨스</v>
      </c>
      <c r="C1794" s="47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98" t="s">
        <v>3446</v>
      </c>
    </row>
    <row r="1795" spans="1:10" ht="28.9" customHeight="1" thickTop="1" thickBot="1" x14ac:dyDescent="0.65">
      <c r="A1795" s="3">
        <v>1793</v>
      </c>
      <c r="B1795" s="44" t="str">
        <f>HYPERLINK("https://search.naver.com/search.naver?query=스위트 리틀 라이즈 영화", "스위트 리틀 라이즈")</f>
        <v>스위트 리틀 라이즈</v>
      </c>
      <c r="C1795" s="45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97" t="s">
        <v>3455</v>
      </c>
    </row>
    <row r="1796" spans="1:10" ht="28.9" customHeight="1" thickTop="1" thickBot="1" x14ac:dyDescent="0.65">
      <c r="A1796" s="5">
        <v>1794</v>
      </c>
      <c r="B1796" s="46" t="str">
        <f>HYPERLINK("https://search.naver.com/search.naver?query=스윗 리틀 라이즈 영화", "스윗 리틀 라이즈")</f>
        <v>스윗 리틀 라이즈</v>
      </c>
      <c r="C1796" s="47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98" t="s">
        <v>3455</v>
      </c>
    </row>
    <row r="1797" spans="1:10" ht="28.9" customHeight="1" thickTop="1" thickBot="1" x14ac:dyDescent="0.65">
      <c r="A1797" s="3">
        <v>1795</v>
      </c>
      <c r="B1797" s="44" t="str">
        <f>HYPERLINK("https://search.naver.com/search.naver?query=스윗 프랑세즈 영화", "스윗 프랑세즈")</f>
        <v>스윗 프랑세즈</v>
      </c>
      <c r="C1797" s="45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97" t="s">
        <v>3437</v>
      </c>
    </row>
    <row r="1798" spans="1:10" ht="28.9" customHeight="1" thickTop="1" thickBot="1" x14ac:dyDescent="0.65">
      <c r="A1798" s="5">
        <v>1796</v>
      </c>
      <c r="B1798" s="46" t="str">
        <f>HYPERLINK("https://search.naver.com/search.naver?query=스윙 보트 영화", "스윙 보트")</f>
        <v>스윙 보트</v>
      </c>
      <c r="C1798" s="47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98" t="s">
        <v>3450</v>
      </c>
    </row>
    <row r="1799" spans="1:10" ht="28.9" customHeight="1" thickTop="1" thickBot="1" x14ac:dyDescent="0.65">
      <c r="A1799" s="3">
        <v>1797</v>
      </c>
      <c r="B1799" s="44" t="str">
        <f>HYPERLINK("https://search.naver.com/search.naver?query=스윙키즈 영화", "스윙키즈")</f>
        <v>스윙키즈</v>
      </c>
      <c r="C1799" s="45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97" t="s">
        <v>3442</v>
      </c>
    </row>
    <row r="1800" spans="1:10" ht="28.9" customHeight="1" thickTop="1" thickBot="1" x14ac:dyDescent="0.65">
      <c r="A1800" s="5">
        <v>1798</v>
      </c>
      <c r="B1800" s="46" t="str">
        <f>HYPERLINK("https://search.naver.com/search.naver?query=스카이바운드 영화", "스카이바운드")</f>
        <v>스카이바운드</v>
      </c>
      <c r="C1800" s="47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98" t="s">
        <v>3443</v>
      </c>
    </row>
    <row r="1801" spans="1:10" ht="28.9" customHeight="1" thickTop="1" thickBot="1" x14ac:dyDescent="0.65">
      <c r="A1801" s="3">
        <v>1799</v>
      </c>
      <c r="B1801" s="44" t="str">
        <f>HYPERLINK("https://search.naver.com/search.naver?query=스카이스크랩퍼 영화", "스카이스크랩퍼")</f>
        <v>스카이스크랩퍼</v>
      </c>
      <c r="C1801" s="45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97" t="s">
        <v>3442</v>
      </c>
    </row>
    <row r="1802" spans="1:10" ht="28.9" customHeight="1" thickTop="1" thickBot="1" x14ac:dyDescent="0.65">
      <c r="A1802" s="5">
        <v>1800</v>
      </c>
      <c r="B1802" s="46" t="str">
        <f>HYPERLINK("https://search.naver.com/search.naver?query=스케이터 걸 영화", "스케이터 걸")</f>
        <v>스케이터 걸</v>
      </c>
      <c r="C1802" s="47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98" t="s">
        <v>3438</v>
      </c>
    </row>
    <row r="1803" spans="1:10" ht="28.9" customHeight="1" thickTop="1" thickBot="1" x14ac:dyDescent="0.65">
      <c r="A1803" s="3">
        <v>1801</v>
      </c>
      <c r="B1803" s="44" t="str">
        <f>HYPERLINK("https://search.naver.com/search.naver?query=스코어 투 셔틀 영화", "스코어 투 셔틀")</f>
        <v>스코어 투 셔틀</v>
      </c>
      <c r="C1803" s="45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97" t="s">
        <v>3444</v>
      </c>
    </row>
    <row r="1804" spans="1:10" ht="28.9" customHeight="1" thickTop="1" thickBot="1" x14ac:dyDescent="0.65">
      <c r="A1804" s="5">
        <v>1802</v>
      </c>
      <c r="B1804" s="46" t="str">
        <f>HYPERLINK("https://search.naver.com/search.naver?query=스쿠프 영화", "스쿠프")</f>
        <v>스쿠프</v>
      </c>
      <c r="C1804" s="47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98" t="s">
        <v>3460</v>
      </c>
    </row>
    <row r="1805" spans="1:10" ht="28.9" customHeight="1" thickTop="1" thickBot="1" x14ac:dyDescent="0.65">
      <c r="A1805" s="3">
        <v>1803</v>
      </c>
      <c r="B1805" s="44" t="str">
        <f>HYPERLINK("https://search.naver.com/search.naver?query=스쿨 오브 락 영화", "스쿨 오브 락")</f>
        <v>스쿨 오브 락</v>
      </c>
      <c r="C1805" s="45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97" t="s">
        <v>3449</v>
      </c>
    </row>
    <row r="1806" spans="1:10" ht="28.9" customHeight="1" thickTop="1" thickBot="1" x14ac:dyDescent="0.65">
      <c r="A1806" s="5">
        <v>1804</v>
      </c>
      <c r="B1806" s="46" t="str">
        <f>HYPERLINK("https://search.naver.com/search.naver?query=스크림 영화", "스크림")</f>
        <v>스크림</v>
      </c>
      <c r="C1806" s="47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98" t="s">
        <v>3445</v>
      </c>
    </row>
    <row r="1807" spans="1:10" ht="28.9" customHeight="1" thickTop="1" thickBot="1" x14ac:dyDescent="0.65">
      <c r="A1807" s="3">
        <v>1805</v>
      </c>
      <c r="B1807" s="44" t="str">
        <f>HYPERLINK("https://search.naver.com/search.naver?query=스킵트레이스 합동수사 영화", "스킵트레이스 - 합동수사")</f>
        <v>스킵트레이스 - 합동수사</v>
      </c>
      <c r="C1807" s="45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97" t="s">
        <v>3441</v>
      </c>
    </row>
    <row r="1808" spans="1:10" ht="28.9" customHeight="1" thickTop="1" thickBot="1" x14ac:dyDescent="0.65">
      <c r="A1808" s="5">
        <v>1806</v>
      </c>
      <c r="B1808" s="46" t="str">
        <f>HYPERLINK("https://search.naver.com/search.naver?query=스타 이즈 본 영화", "스타 이즈 본")</f>
        <v>스타 이즈 본</v>
      </c>
      <c r="C1808" s="47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98" t="s">
        <v>3442</v>
      </c>
    </row>
    <row r="1809" spans="1:10" ht="28.9" customHeight="1" thickTop="1" thickBot="1" x14ac:dyDescent="0.65">
      <c r="A1809" s="3">
        <v>1807</v>
      </c>
      <c r="B1809" s="44" t="str">
        <f>HYPERLINK("https://search.naver.com/search.naver?query=스타렛 영화", "스타렛")</f>
        <v>스타렛</v>
      </c>
      <c r="C1809" s="45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97" t="s">
        <v>3439</v>
      </c>
    </row>
    <row r="1810" spans="1:10" ht="28.9" customHeight="1" thickTop="1" thickBot="1" x14ac:dyDescent="0.65">
      <c r="A1810" s="5">
        <v>1808</v>
      </c>
      <c r="B1810" s="46" t="str">
        <f>HYPERLINK("https://search.naver.com/search.naver?query=스타워즈 깨어난 포스 영화", "스타워즈 깨어난 포스")</f>
        <v>스타워즈 깨어난 포스</v>
      </c>
      <c r="C1810" s="47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98" t="s">
        <v>3440</v>
      </c>
    </row>
    <row r="1811" spans="1:10" ht="28.9" customHeight="1" thickTop="1" thickBot="1" x14ac:dyDescent="0.65">
      <c r="A1811" s="3">
        <v>1809</v>
      </c>
      <c r="B1811" s="44" t="str">
        <f>HYPERLINK("https://search.naver.com/search.naver?query=스탠딩 업 영화", "스탠딩 업")</f>
        <v>스탠딩 업</v>
      </c>
      <c r="C1811" s="45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97" t="s">
        <v>3451</v>
      </c>
    </row>
    <row r="1812" spans="1:10" ht="28.9" customHeight="1" thickTop="1" thickBot="1" x14ac:dyDescent="0.65">
      <c r="A1812" s="5">
        <v>1810</v>
      </c>
      <c r="B1812" s="46" t="str">
        <f>HYPERLINK("https://search.naver.com/search.naver?query=스탠리의 도시락 영화", "스탠리의 도시락")</f>
        <v>스탠리의 도시락</v>
      </c>
      <c r="C1812" s="47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98" t="s">
        <v>3454</v>
      </c>
    </row>
    <row r="1813" spans="1:10" ht="28.9" customHeight="1" thickTop="1" thickBot="1" x14ac:dyDescent="0.65">
      <c r="A1813" s="3">
        <v>1811</v>
      </c>
      <c r="B1813" s="44" t="str">
        <f>HYPERLINK("https://search.naver.com/search.naver?query=스턱 인 러브 영화", "스턱 인 러브")</f>
        <v>스턱 인 러브</v>
      </c>
      <c r="C1813" s="45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97" t="s">
        <v>3439</v>
      </c>
    </row>
    <row r="1814" spans="1:10" ht="28.9" customHeight="1" thickTop="1" thickBot="1" x14ac:dyDescent="0.65">
      <c r="A1814" s="5">
        <v>1812</v>
      </c>
      <c r="B1814" s="46" t="str">
        <f>HYPERLINK("https://search.naver.com/search.naver?query=스테이션 7 영화", "스테이션 7")</f>
        <v>스테이션 7</v>
      </c>
      <c r="C1814" s="47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98" t="s">
        <v>3443</v>
      </c>
    </row>
    <row r="1815" spans="1:10" ht="28.9" customHeight="1" thickTop="1" thickBot="1" x14ac:dyDescent="0.65">
      <c r="A1815" s="3">
        <v>1813</v>
      </c>
      <c r="B1815" s="44" t="str">
        <f>HYPERLINK("https://search.naver.com/search.naver?query=스테이트 오브 플레이 영화", "스테이트 오브 플레이")</f>
        <v>스테이트 오브 플레이</v>
      </c>
      <c r="C1815" s="45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97" t="s">
        <v>3453</v>
      </c>
    </row>
    <row r="1816" spans="1:10" ht="28.9" customHeight="1" thickTop="1" thickBot="1" x14ac:dyDescent="0.65">
      <c r="A1816" s="5">
        <v>1814</v>
      </c>
      <c r="B1816" s="46" t="str">
        <f>HYPERLINK("https://search.naver.com/search.naver?query=스텔라 영화", "스텔라")</f>
        <v>스텔라</v>
      </c>
      <c r="C1816" s="47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98" t="s">
        <v>3446</v>
      </c>
    </row>
    <row r="1817" spans="1:10" ht="28.9" customHeight="1" thickTop="1" thickBot="1" x14ac:dyDescent="0.65">
      <c r="A1817" s="3">
        <v>1815</v>
      </c>
      <c r="B1817" s="44" t="str">
        <f>HYPERLINK("https://search.naver.com/search.naver?query=스텝 업 영화", "스텝 업")</f>
        <v>스텝 업</v>
      </c>
      <c r="C1817" s="45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97" t="s">
        <v>3460</v>
      </c>
    </row>
    <row r="1818" spans="1:10" ht="28.9" customHeight="1" thickTop="1" thickBot="1" x14ac:dyDescent="0.65">
      <c r="A1818" s="5">
        <v>1816</v>
      </c>
      <c r="B1818" s="46" t="str">
        <f>HYPERLINK("https://search.naver.com/search.naver?query=스텝 업 3 영화", "스텝 업 3")</f>
        <v>스텝 업 3</v>
      </c>
      <c r="C1818" s="47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98" t="s">
        <v>3455</v>
      </c>
    </row>
    <row r="1819" spans="1:10" ht="28.9" customHeight="1" thickTop="1" thickBot="1" x14ac:dyDescent="0.65">
      <c r="A1819" s="3">
        <v>1817</v>
      </c>
      <c r="B1819" s="44" t="str">
        <f>HYPERLINK("https://search.naver.com/search.naver?query=스텝업 올인 영화", "스텝업 - 올인")</f>
        <v>스텝업 - 올인</v>
      </c>
      <c r="C1819" s="45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97" t="s">
        <v>3437</v>
      </c>
    </row>
    <row r="1820" spans="1:10" ht="28.9" customHeight="1" thickTop="1" thickBot="1" x14ac:dyDescent="0.65">
      <c r="A1820" s="5">
        <v>1818</v>
      </c>
      <c r="B1820" s="46" t="str">
        <f>HYPERLINK("https://search.naver.com/search.naver?query=스텝업4 레볼루션 영화", "스텝업4 - 레볼루션")</f>
        <v>스텝업4 - 레볼루션</v>
      </c>
      <c r="C1820" s="47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98" t="s">
        <v>3439</v>
      </c>
    </row>
    <row r="1821" spans="1:10" ht="28.9" customHeight="1" thickTop="1" thickBot="1" x14ac:dyDescent="0.65">
      <c r="A1821" s="3">
        <v>1819</v>
      </c>
      <c r="B1821" s="44" t="str">
        <f>HYPERLINK("https://search.naver.com/search.naver?query=스토커 영화", "스토커")</f>
        <v>스토커</v>
      </c>
      <c r="C1821" s="45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97" t="s">
        <v>3451</v>
      </c>
    </row>
    <row r="1822" spans="1:10" ht="28.9" customHeight="1" thickTop="1" thickBot="1" x14ac:dyDescent="0.65">
      <c r="A1822" s="5">
        <v>1820</v>
      </c>
      <c r="B1822" s="46" t="str">
        <f>HYPERLINK("https://search.naver.com/search.naver?query=스톡홀름 영화", "스톡홀름")</f>
        <v>스톡홀름</v>
      </c>
      <c r="C1822" s="47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98" t="s">
        <v>3442</v>
      </c>
    </row>
    <row r="1823" spans="1:10" ht="28.9" customHeight="1" thickTop="1" thickBot="1" x14ac:dyDescent="0.65">
      <c r="A1823" s="3">
        <v>1821</v>
      </c>
      <c r="B1823" s="44" t="str">
        <f>HYPERLINK("https://search.naver.com/search.naver?query=스톤 영화", "스톤")</f>
        <v>스톤</v>
      </c>
      <c r="C1823" s="45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97" t="s">
        <v>3455</v>
      </c>
    </row>
    <row r="1824" spans="1:10" ht="28.9" customHeight="1" thickTop="1" thickBot="1" x14ac:dyDescent="0.65">
      <c r="A1824" s="5">
        <v>1822</v>
      </c>
      <c r="B1824" s="46" t="str">
        <f>HYPERLINK("https://search.naver.com/search.naver?query=스톤 영화", "스톤")</f>
        <v>스톤</v>
      </c>
      <c r="C1824" s="47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98" t="s">
        <v>3451</v>
      </c>
    </row>
    <row r="1825" spans="1:10" ht="28.9" customHeight="1" thickTop="1" thickBot="1" x14ac:dyDescent="0.65">
      <c r="A1825" s="3">
        <v>1823</v>
      </c>
      <c r="B1825" s="44" t="str">
        <f>HYPERLINK("https://search.naver.com/search.naver?query=스톨런 영화", "스톨런")</f>
        <v>스톨런</v>
      </c>
      <c r="C1825" s="45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97" t="s">
        <v>3439</v>
      </c>
    </row>
    <row r="1826" spans="1:10" ht="28.9" customHeight="1" thickTop="1" thickBot="1" x14ac:dyDescent="0.65">
      <c r="A1826" s="5">
        <v>1824</v>
      </c>
      <c r="B1826" s="46" t="str">
        <f>HYPERLINK("https://search.naver.com/search.naver?query=스톰 보이 영화", "스톰 보이")</f>
        <v>스톰 보이</v>
      </c>
      <c r="C1826" s="47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98" t="s">
        <v>3444</v>
      </c>
    </row>
    <row r="1827" spans="1:10" ht="28.9" customHeight="1" thickTop="1" thickBot="1" x14ac:dyDescent="0.65">
      <c r="A1827" s="3">
        <v>1825</v>
      </c>
      <c r="B1827" s="44" t="str">
        <f>HYPERLINK("https://search.naver.com/search.naver?query=스톱로스 영화", "스톱로스")</f>
        <v>스톱로스</v>
      </c>
      <c r="C1827" s="45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97" t="s">
        <v>3450</v>
      </c>
    </row>
    <row r="1828" spans="1:10" ht="28.9" customHeight="1" thickTop="1" thickBot="1" x14ac:dyDescent="0.65">
      <c r="A1828" s="5">
        <v>1826</v>
      </c>
      <c r="B1828" s="46" t="str">
        <f>HYPERLINK("https://search.naver.com/search.naver?query=스트라튼 영화", "스트라튼")</f>
        <v>스트라튼</v>
      </c>
      <c r="C1828" s="47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98" t="s">
        <v>3443</v>
      </c>
    </row>
    <row r="1829" spans="1:10" ht="28.9" customHeight="1" thickTop="1" thickBot="1" x14ac:dyDescent="0.65">
      <c r="A1829" s="3">
        <v>1827</v>
      </c>
      <c r="B1829" s="44" t="str">
        <f>HYPERLINK("https://search.naver.com/search.naver?query=스트레인저랜드 영화", "스트레인저랜드")</f>
        <v>스트레인저랜드</v>
      </c>
      <c r="C1829" s="45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97" t="s">
        <v>3440</v>
      </c>
    </row>
    <row r="1830" spans="1:10" ht="28.9" customHeight="1" thickTop="1" thickBot="1" x14ac:dyDescent="0.65">
      <c r="A1830" s="5">
        <v>1828</v>
      </c>
      <c r="B1830" s="46" t="str">
        <f>HYPERLINK("https://search.naver.com/search.naver?query=스트로베리 나이트 극장판 영화", "스트로베리 나이트 극장판")</f>
        <v>스트로베리 나이트 극장판</v>
      </c>
      <c r="C1830" s="47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98" t="s">
        <v>3451</v>
      </c>
    </row>
    <row r="1831" spans="1:10" ht="28.9" customHeight="1" thickTop="1" thickBot="1" x14ac:dyDescent="0.65">
      <c r="A1831" s="3">
        <v>1829</v>
      </c>
      <c r="B1831" s="44" t="str">
        <f>HYPERLINK("https://search.naver.com/search.naver?query=스트롱거 영화", "스트롱거")</f>
        <v>스트롱거</v>
      </c>
      <c r="C1831" s="45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97" t="s">
        <v>3443</v>
      </c>
    </row>
    <row r="1832" spans="1:10" ht="28.9" customHeight="1" thickTop="1" thickBot="1" x14ac:dyDescent="0.65">
      <c r="A1832" s="5">
        <v>1830</v>
      </c>
      <c r="B1832" s="46" t="str">
        <f>HYPERLINK("https://search.naver.com/search.naver?query=스티브 잡스 영화", "스티브 잡스")</f>
        <v>스티브 잡스</v>
      </c>
      <c r="C1832" s="47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98" t="s">
        <v>3440</v>
      </c>
    </row>
    <row r="1833" spans="1:10" ht="28.9" customHeight="1" thickTop="1" thickBot="1" x14ac:dyDescent="0.65">
      <c r="A1833" s="3">
        <v>1831</v>
      </c>
      <c r="B1833" s="44" t="str">
        <f>HYPERLINK("https://search.naver.com/search.naver?query=스티브 잡스 미래를 읽는 천재 영화", "스티브 잡스 미래를 읽는 천재")</f>
        <v>스티브 잡스 미래를 읽는 천재</v>
      </c>
      <c r="C1833" s="45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97" t="s">
        <v>3440</v>
      </c>
    </row>
    <row r="1834" spans="1:10" ht="28.9" customHeight="1" thickTop="1" thickBot="1" x14ac:dyDescent="0.65">
      <c r="A1834" s="5">
        <v>1832</v>
      </c>
      <c r="B1834" s="46" t="str">
        <f>HYPERLINK("https://search.naver.com/search.naver?query=스티븐 시걸의 제네럴 커맨더 영화", "스티븐 시걸의 제네럴 커맨더")</f>
        <v>스티븐 시걸의 제네럴 커맨더</v>
      </c>
      <c r="C1834" s="47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98" t="s">
        <v>3444</v>
      </c>
    </row>
    <row r="1835" spans="1:10" ht="28.9" customHeight="1" thickTop="1" thickBot="1" x14ac:dyDescent="0.65">
      <c r="A1835" s="3">
        <v>1833</v>
      </c>
      <c r="B1835" s="44" t="str">
        <f>HYPERLINK("https://search.naver.com/search.naver?query=스틸 영화", "스틸")</f>
        <v>스틸</v>
      </c>
      <c r="C1835" s="45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97" t="s">
        <v>3439</v>
      </c>
    </row>
    <row r="1836" spans="1:10" ht="28.9" customHeight="1" thickTop="1" thickBot="1" x14ac:dyDescent="0.65">
      <c r="A1836" s="5">
        <v>1834</v>
      </c>
      <c r="B1836" s="46" t="str">
        <f>HYPERLINK("https://search.naver.com/search.naver?query=스틸 라이프 영화", "스틸 라이프")</f>
        <v>스틸 라이프</v>
      </c>
      <c r="C1836" s="47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98" t="s">
        <v>3451</v>
      </c>
    </row>
    <row r="1837" spans="1:10" ht="28.9" customHeight="1" thickTop="1" thickBot="1" x14ac:dyDescent="0.65">
      <c r="A1837" s="3">
        <v>1835</v>
      </c>
      <c r="B1837" s="44" t="str">
        <f>HYPERLINK("https://search.naver.com/search.naver?query=스틸 앨리스 영화", "스틸 앨리스")</f>
        <v>스틸 앨리스</v>
      </c>
      <c r="C1837" s="45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97" t="s">
        <v>3437</v>
      </c>
    </row>
    <row r="1838" spans="1:10" ht="28.9" customHeight="1" thickTop="1" thickBot="1" x14ac:dyDescent="0.65">
      <c r="A1838" s="5">
        <v>1836</v>
      </c>
      <c r="B1838" s="46" t="str">
        <f>HYPERLINK("https://search.naver.com/search.naver?query=스틸워터 영화", "스틸워터")</f>
        <v>스틸워터</v>
      </c>
      <c r="C1838" s="47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98" t="s">
        <v>3438</v>
      </c>
    </row>
    <row r="1839" spans="1:10" ht="28.9" customHeight="1" thickTop="1" thickBot="1" x14ac:dyDescent="0.65">
      <c r="A1839" s="3">
        <v>1837</v>
      </c>
      <c r="B1839" s="44" t="str">
        <f>HYPERLINK("https://search.naver.com/search.naver?query=한국영화 스파이", "스파이")</f>
        <v>스파이</v>
      </c>
      <c r="C1839" s="45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97" t="s">
        <v>3451</v>
      </c>
    </row>
    <row r="1840" spans="1:10" ht="28.9" customHeight="1" thickTop="1" thickBot="1" x14ac:dyDescent="0.65">
      <c r="A1840" s="5">
        <v>1838</v>
      </c>
      <c r="B1840" s="46" t="str">
        <f>HYPERLINK("https://search.naver.com/search.naver?query=스파이 영화", "스파이")</f>
        <v>스파이</v>
      </c>
      <c r="C1840" s="47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98" t="s">
        <v>3440</v>
      </c>
    </row>
    <row r="1841" spans="1:10" ht="28.9" customHeight="1" thickTop="1" thickBot="1" x14ac:dyDescent="0.65">
      <c r="A1841" s="3">
        <v>1839</v>
      </c>
      <c r="B1841" s="44" t="str">
        <f>HYPERLINK("https://search.naver.com/search.naver?query=스파이 게임 영화", "스파이 게임")</f>
        <v>스파이 게임</v>
      </c>
      <c r="C1841" s="45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97" t="s">
        <v>3457</v>
      </c>
    </row>
    <row r="1842" spans="1:10" ht="28.9" customHeight="1" thickTop="1" thickBot="1" x14ac:dyDescent="0.65">
      <c r="A1842" s="5">
        <v>1840</v>
      </c>
      <c r="B1842" s="46" t="str">
        <f>HYPERLINK("https://search.naver.com/search.naver?query=스파이 게임 영화", "스파이 게임")</f>
        <v>스파이 게임</v>
      </c>
      <c r="C1842" s="47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98" t="s">
        <v>3443</v>
      </c>
    </row>
    <row r="1843" spans="1:10" ht="28.9" customHeight="1" thickTop="1" thickBot="1" x14ac:dyDescent="0.65">
      <c r="A1843" s="3">
        <v>1841</v>
      </c>
      <c r="B1843" s="44" t="str">
        <f>HYPERLINK("https://search.naver.com/search.naver?query=스파이 브릿지 영화", "스파이 브릿지")</f>
        <v>스파이 브릿지</v>
      </c>
      <c r="C1843" s="45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97" t="s">
        <v>3440</v>
      </c>
    </row>
    <row r="1844" spans="1:10" ht="28.9" customHeight="1" thickTop="1" thickBot="1" x14ac:dyDescent="0.65">
      <c r="A1844" s="7">
        <v>1842</v>
      </c>
      <c r="B1844" s="48" t="str">
        <f>HYPERLINK("https://search.naver.com/search.naver?query=스파이가 된 남자 시즌1", "스파이가 된 남자 시즌1")</f>
        <v>스파이가 된 남자 시즌1</v>
      </c>
      <c r="C1844" s="49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99" t="s">
        <v>3448</v>
      </c>
    </row>
    <row r="1845" spans="1:10" ht="28.9" customHeight="1" thickTop="1" thickBot="1" x14ac:dyDescent="0.65">
      <c r="A1845" s="3">
        <v>1843</v>
      </c>
      <c r="B1845" s="44" t="str">
        <f>HYPERLINK("https://search.naver.com/search.naver?query=스파이럴 영화", "스파이럴")</f>
        <v>스파이럴</v>
      </c>
      <c r="C1845" s="45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97" t="s">
        <v>3438</v>
      </c>
    </row>
    <row r="1846" spans="1:10" ht="28.9" customHeight="1" thickTop="1" thickBot="1" x14ac:dyDescent="0.65">
      <c r="A1846" s="5">
        <v>1844</v>
      </c>
      <c r="B1846" s="46" t="str">
        <f>HYPERLINK("https://search.naver.com/search.naver?query=스파이의 아내 영화", "스파이의 아내")</f>
        <v>스파이의 아내</v>
      </c>
      <c r="C1846" s="47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98" t="s">
        <v>3436</v>
      </c>
    </row>
    <row r="1847" spans="1:10" ht="28.9" customHeight="1" thickTop="1" thickBot="1" x14ac:dyDescent="0.65">
      <c r="A1847" s="3">
        <v>1845</v>
      </c>
      <c r="B1847" s="44" t="str">
        <f>HYPERLINK("https://search.naver.com/search.naver?query=스페셜 포스 블러드 마운틴 영화", "스페셜 포스：블러드 마운틴")</f>
        <v>스페셜 포스：블러드 마운틴</v>
      </c>
      <c r="C1847" s="45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97" t="s">
        <v>3438</v>
      </c>
    </row>
    <row r="1848" spans="1:10" ht="28.9" customHeight="1" thickTop="1" thickBot="1" x14ac:dyDescent="0.65">
      <c r="A1848" s="5">
        <v>1846</v>
      </c>
      <c r="B1848" s="46" t="str">
        <f>HYPERLINK("https://search.naver.com/search.naver?query=스페이스 비트윈 어스 영화", "스페이스 비트윈 어스")</f>
        <v>스페이스 비트윈 어스</v>
      </c>
      <c r="C1848" s="47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98" t="s">
        <v>3443</v>
      </c>
    </row>
    <row r="1849" spans="1:10" ht="28.9" customHeight="1" thickTop="1" thickBot="1" x14ac:dyDescent="0.65">
      <c r="A1849" s="3">
        <v>1847</v>
      </c>
      <c r="B1849" s="44" t="str">
        <f>HYPERLINK("https://search.naver.com/search.naver?query=스페이스 워커 영화", "스페이스 워커")</f>
        <v>스페이스 워커</v>
      </c>
      <c r="C1849" s="45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97" t="s">
        <v>3443</v>
      </c>
    </row>
    <row r="1850" spans="1:10" ht="28.9" customHeight="1" thickTop="1" thickBot="1" x14ac:dyDescent="0.65">
      <c r="A1850" s="5">
        <v>1848</v>
      </c>
      <c r="B1850" s="46" t="str">
        <f>HYPERLINK("https://search.naver.com/search.naver?query=스페이스 카우보이 영화", "스페이스 카우보이")</f>
        <v>스페이스 카우보이</v>
      </c>
      <c r="C1850" s="47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98" t="s">
        <v>3458</v>
      </c>
    </row>
    <row r="1851" spans="1:10" ht="28.9" customHeight="1" thickTop="1" thickBot="1" x14ac:dyDescent="0.65">
      <c r="A1851" s="3">
        <v>1849</v>
      </c>
      <c r="B1851" s="44" t="str">
        <f>HYPERLINK("https://search.naver.com/search.naver?query=스펜서 영화", "스펜서")</f>
        <v>스펜서</v>
      </c>
      <c r="C1851" s="45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97" t="s">
        <v>3438</v>
      </c>
    </row>
    <row r="1852" spans="1:10" ht="28.9" customHeight="1" thickTop="1" thickBot="1" x14ac:dyDescent="0.65">
      <c r="A1852" s="5">
        <v>1850</v>
      </c>
      <c r="B1852" s="46" t="str">
        <f>HYPERLINK("https://search.naver.com/search.naver?query=스펜서 컨피덴셜 영화", "스펜서 컨피덴셜")</f>
        <v>스펜서 컨피덴셜</v>
      </c>
      <c r="C1852" s="47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98" t="s">
        <v>3436</v>
      </c>
    </row>
    <row r="1853" spans="1:10" ht="28.9" customHeight="1" thickTop="1" thickBot="1" x14ac:dyDescent="0.65">
      <c r="A1853" s="3">
        <v>1851</v>
      </c>
      <c r="B1853" s="44" t="str">
        <f>HYPERLINK("https://search.naver.com/search.naver?query=스포트라이트 영화", "스포트라이트")</f>
        <v>스포트라이트</v>
      </c>
      <c r="C1853" s="45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97" t="s">
        <v>3440</v>
      </c>
    </row>
    <row r="1854" spans="1:10" ht="28.9" customHeight="1" thickTop="1" thickBot="1" x14ac:dyDescent="0.65">
      <c r="A1854" s="5">
        <v>1852</v>
      </c>
      <c r="B1854" s="46" t="str">
        <f>HYPERLINK("https://search.naver.com/search.naver?query=스푹스 더 그레이터 굿 영화", "스푹스 - 더 그레이터 굿")</f>
        <v>스푹스 - 더 그레이터 굿</v>
      </c>
      <c r="C1854" s="47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98" t="s">
        <v>3440</v>
      </c>
    </row>
    <row r="1855" spans="1:10" ht="28.9" customHeight="1" thickTop="1" thickBot="1" x14ac:dyDescent="0.65">
      <c r="A1855" s="3">
        <v>1853</v>
      </c>
      <c r="B1855" s="44" t="str">
        <f>HYPERLINK("https://search.naver.com/search.naver?query=스플릿 영화", "스플릿")</f>
        <v>스플릿</v>
      </c>
      <c r="C1855" s="45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97" t="s">
        <v>3441</v>
      </c>
    </row>
    <row r="1856" spans="1:10" ht="28.9" customHeight="1" thickTop="1" thickBot="1" x14ac:dyDescent="0.65">
      <c r="A1856" s="5">
        <v>1854</v>
      </c>
      <c r="B1856" s="46" t="str">
        <f>HYPERLINK("https://search.naver.com/search.naver?query=스피닝 맨 영화", "스피닝 맨")</f>
        <v>스피닝 맨</v>
      </c>
      <c r="C1856" s="47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98" t="s">
        <v>3442</v>
      </c>
    </row>
    <row r="1857" spans="1:10" ht="28.9" customHeight="1" thickTop="1" thickBot="1" x14ac:dyDescent="0.65">
      <c r="A1857" s="3">
        <v>1855</v>
      </c>
      <c r="B1857" s="44" t="str">
        <f>HYPERLINK("https://search.naver.com/search.naver?query=스픽 노 이블 영화", "스픽 노 이블")</f>
        <v>스픽 노 이블</v>
      </c>
      <c r="C1857" s="45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97" t="s">
        <v>3445</v>
      </c>
    </row>
    <row r="1858" spans="1:10" ht="28.9" customHeight="1" thickTop="1" thickBot="1" x14ac:dyDescent="0.65">
      <c r="A1858" s="5">
        <v>1856</v>
      </c>
      <c r="B1858" s="46" t="str">
        <f>HYPERLINK("https://search.naver.com/search.naver?query=슬럼독 밀리어네어 영화", "슬럼독 밀리어네어")</f>
        <v>슬럼독 밀리어네어</v>
      </c>
      <c r="C1858" s="47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98" t="s">
        <v>3450</v>
      </c>
    </row>
    <row r="1859" spans="1:10" ht="28.9" customHeight="1" thickTop="1" thickBot="1" x14ac:dyDescent="0.65">
      <c r="A1859" s="7">
        <v>1857</v>
      </c>
      <c r="B1859" s="48" t="str">
        <f>HYPERLINK("https://search.naver.com/search.naver?query=슬로 호시스 시즌1", "슬로 호시스 시즌1")</f>
        <v>슬로 호시스 시즌1</v>
      </c>
      <c r="C1859" s="49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99" t="s">
        <v>3438</v>
      </c>
    </row>
    <row r="1860" spans="1:10" ht="28.9" customHeight="1" thickTop="1" thickBot="1" x14ac:dyDescent="0.65">
      <c r="A1860" s="7">
        <v>1858</v>
      </c>
      <c r="B1860" s="48" t="str">
        <f>HYPERLINK("https://search.naver.com/search.naver?query=슬로 호시스 시즌2", "슬로 호시스 시즌2")</f>
        <v>슬로 호시스 시즌2</v>
      </c>
      <c r="C1860" s="49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99" t="s">
        <v>3445</v>
      </c>
    </row>
    <row r="1861" spans="1:10" ht="28.9" customHeight="1" thickTop="1" thickBot="1" x14ac:dyDescent="0.65">
      <c r="A1861" s="7">
        <v>1859</v>
      </c>
      <c r="B1861" s="48" t="str">
        <f>HYPERLINK("https://search.naver.com/search.naver?query=슬로 호시스 시즌3", "슬로 호시스 시즌3")</f>
        <v>슬로 호시스 시즌3</v>
      </c>
      <c r="C1861" s="49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99" t="s">
        <v>3446</v>
      </c>
    </row>
    <row r="1862" spans="1:10" ht="28.9" customHeight="1" thickTop="1" thickBot="1" x14ac:dyDescent="0.65">
      <c r="A1862" s="7">
        <v>1860</v>
      </c>
      <c r="B1862" s="48" t="str">
        <f>HYPERLINK("https://search.naver.com/search.naver?query=슬로 호시스 시즌4", "슬로 호시스 시즌4")</f>
        <v>슬로 호시스 시즌4</v>
      </c>
      <c r="C1862" s="49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99" t="s">
        <v>3448</v>
      </c>
    </row>
    <row r="1863" spans="1:10" ht="28.9" customHeight="1" thickTop="1" thickBot="1" x14ac:dyDescent="0.65">
      <c r="A1863" s="7">
        <v>1861</v>
      </c>
      <c r="B1863" s="48" t="str">
        <f>HYPERLINK("https://search.naver.com/search.naver?query=슬로 호시스 시즌5", "슬로 호시스 시즌5")</f>
        <v>슬로 호시스 시즌5</v>
      </c>
      <c r="C1863" s="49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99" t="s">
        <v>3459</v>
      </c>
    </row>
    <row r="1864" spans="1:10" ht="28.9" customHeight="1" thickTop="1" thickBot="1" x14ac:dyDescent="0.65">
      <c r="A1864" s="3">
        <v>1862</v>
      </c>
      <c r="B1864" s="44" t="str">
        <f>HYPERLINK("https://search.naver.com/search.naver?query=슬로우 비디오 영화", "슬로우 비디오")</f>
        <v>슬로우 비디오</v>
      </c>
      <c r="C1864" s="45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97" t="s">
        <v>3437</v>
      </c>
    </row>
    <row r="1865" spans="1:10" ht="28.9" customHeight="1" thickTop="1" thickBot="1" x14ac:dyDescent="0.65">
      <c r="A1865" s="5">
        <v>1863</v>
      </c>
      <c r="B1865" s="46" t="str">
        <f>HYPERLINK("https://search.naver.com/search.naver?query=슬리핑 위드 아더 피플 영화", "슬리핑 위드 아더 피플")</f>
        <v>슬리핑 위드 아더 피플</v>
      </c>
      <c r="C1865" s="47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98" t="s">
        <v>3440</v>
      </c>
    </row>
    <row r="1866" spans="1:10" ht="28.9" customHeight="1" thickTop="1" thickBot="1" x14ac:dyDescent="0.65">
      <c r="A1866" s="3">
        <v>1864</v>
      </c>
      <c r="B1866" s="44" t="str">
        <f>HYPERLINK("https://search.naver.com/search.naver?query=슬픔보다 더 슬픈이야기 영화", "슬픔보다 더 슬픈이야기")</f>
        <v>슬픔보다 더 슬픈이야기</v>
      </c>
      <c r="C1866" s="45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97" t="s">
        <v>3453</v>
      </c>
    </row>
    <row r="1867" spans="1:10" ht="28.9" customHeight="1" thickTop="1" thickBot="1" x14ac:dyDescent="0.65">
      <c r="A1867" s="5">
        <v>1865</v>
      </c>
      <c r="B1867" s="46" t="str">
        <f>HYPERLINK("https://search.naver.com/search.naver?query=승부 영화", "승부")</f>
        <v>승부</v>
      </c>
      <c r="C1867" s="47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98" t="s">
        <v>3459</v>
      </c>
    </row>
    <row r="1868" spans="1:10" ht="28.9" customHeight="1" thickTop="1" thickBot="1" x14ac:dyDescent="0.65">
      <c r="A1868" s="3">
        <v>1866</v>
      </c>
      <c r="B1868" s="44" t="str">
        <f>HYPERLINK("https://search.naver.com/search.naver?query=시간 여행자의 아내 영화", "시간 여행자의 아내")</f>
        <v>시간 여행자의 아내</v>
      </c>
      <c r="C1868" s="45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97" t="s">
        <v>3453</v>
      </c>
    </row>
    <row r="1869" spans="1:10" ht="28.9" customHeight="1" thickTop="1" thickBot="1" x14ac:dyDescent="0.65">
      <c r="A1869" s="5">
        <v>1867</v>
      </c>
      <c r="B1869" s="46" t="str">
        <f>HYPERLINK("https://search.naver.com/search.naver?query=시간을 달리는 소녀 영화", "시간을 달리는 소녀")</f>
        <v>시간을 달리는 소녀</v>
      </c>
      <c r="C1869" s="47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98" t="s">
        <v>3460</v>
      </c>
    </row>
    <row r="1870" spans="1:10" ht="28.9" customHeight="1" thickTop="1" thickBot="1" x14ac:dyDescent="0.65">
      <c r="A1870" s="7">
        <v>1868</v>
      </c>
      <c r="B1870" s="48" t="str">
        <f>HYPERLINK("https://search.naver.com/search.naver?query=시그널1", "시그널1")</f>
        <v>시그널1</v>
      </c>
      <c r="C1870" s="49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99" t="s">
        <v>3441</v>
      </c>
    </row>
    <row r="1871" spans="1:10" ht="28.9" customHeight="1" thickTop="1" thickBot="1" x14ac:dyDescent="0.65">
      <c r="A1871" s="5">
        <v>1869</v>
      </c>
      <c r="B1871" s="46" t="str">
        <f>HYPERLINK("https://search.naver.com/search.naver?query=시동 영화", "시동")</f>
        <v>시동</v>
      </c>
      <c r="C1871" s="47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98" t="s">
        <v>3444</v>
      </c>
    </row>
    <row r="1872" spans="1:10" ht="28.9" customHeight="1" thickTop="1" thickBot="1" x14ac:dyDescent="0.65">
      <c r="A1872" s="3">
        <v>1870</v>
      </c>
      <c r="B1872" s="44" t="str">
        <f>HYPERLINK("https://search.naver.com/search.naver?query=시라노 연애조작단 영화", "시라노-연애조작단")</f>
        <v>시라노-연애조작단</v>
      </c>
      <c r="C1872" s="45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97" t="s">
        <v>3455</v>
      </c>
    </row>
    <row r="1873" spans="1:10" ht="28.9" customHeight="1" thickTop="1" thickBot="1" x14ac:dyDescent="0.65">
      <c r="A1873" s="5">
        <v>1871</v>
      </c>
      <c r="B1873" s="46" t="str">
        <f>HYPERLINK("https://search.naver.com/search.naver?query=시리아나 영화", "시리아나")</f>
        <v>시리아나</v>
      </c>
      <c r="C1873" s="47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98" t="s">
        <v>3461</v>
      </c>
    </row>
    <row r="1874" spans="1:10" ht="28.9" customHeight="1" thickTop="1" thickBot="1" x14ac:dyDescent="0.65">
      <c r="A1874" s="3">
        <v>1872</v>
      </c>
      <c r="B1874" s="44" t="str">
        <f>HYPERLINK("https://search.naver.com/search.naver?query=시빌 영화", "시빌")</f>
        <v>시빌</v>
      </c>
      <c r="C1874" s="45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97" t="s">
        <v>3444</v>
      </c>
    </row>
    <row r="1875" spans="1:10" ht="28.9" customHeight="1" thickTop="1" thickBot="1" x14ac:dyDescent="0.65">
      <c r="A1875" s="5">
        <v>1873</v>
      </c>
      <c r="B1875" s="46" t="str">
        <f>HYPERLINK("https://search.naver.com/search.naver?query=시빌워 영화", "시빌워")</f>
        <v>시빌워</v>
      </c>
      <c r="C1875" s="47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98" t="s">
        <v>3448</v>
      </c>
    </row>
    <row r="1876" spans="1:10" ht="28.9" customHeight="1" thickTop="1" thickBot="1" x14ac:dyDescent="0.65">
      <c r="A1876" s="3">
        <v>1874</v>
      </c>
      <c r="B1876" s="44" t="str">
        <f>HYPERLINK("https://search.naver.com/search.naver?query=시선 영화", "시선")</f>
        <v>시선</v>
      </c>
      <c r="C1876" s="45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97" t="s">
        <v>3451</v>
      </c>
    </row>
    <row r="1877" spans="1:10" ht="28.9" customHeight="1" thickTop="1" thickBot="1" x14ac:dyDescent="0.65">
      <c r="A1877" s="5">
        <v>1875</v>
      </c>
      <c r="B1877" s="46" t="str">
        <f>HYPERLINK("https://search.naver.com/search.naver?query=시스터스 브라더스 영화", "시스터스 브라더스")</f>
        <v>시스터스 브라더스</v>
      </c>
      <c r="C1877" s="47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98" t="s">
        <v>3442</v>
      </c>
    </row>
    <row r="1878" spans="1:10" ht="28.9" customHeight="1" thickTop="1" thickBot="1" x14ac:dyDescent="0.65">
      <c r="A1878" s="3">
        <v>1876</v>
      </c>
      <c r="B1878" s="44" t="str">
        <f>HYPERLINK("https://search.naver.com/search.naver?query=시스터즈 영화", "시스터즈")</f>
        <v>시스터즈</v>
      </c>
      <c r="C1878" s="45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97" t="s">
        <v>3440</v>
      </c>
    </row>
    <row r="1879" spans="1:10" ht="28.9" customHeight="1" thickTop="1" thickBot="1" x14ac:dyDescent="0.65">
      <c r="A1879" s="5">
        <v>1877</v>
      </c>
      <c r="B1879" s="46" t="str">
        <f>HYPERLINK("https://search.naver.com/search.naver?query=시월애 영화", "시월애")</f>
        <v>시월애</v>
      </c>
      <c r="C1879" s="47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98" t="s">
        <v>3458</v>
      </c>
    </row>
    <row r="1880" spans="1:10" ht="28.9" customHeight="1" thickTop="1" thickBot="1" x14ac:dyDescent="0.65">
      <c r="A1880" s="3">
        <v>1878</v>
      </c>
      <c r="B1880" s="44" t="str">
        <f>HYPERLINK("https://search.naver.com/search.naver?query=영화 시작은 키스", "시작은 키스")</f>
        <v>시작은 키스</v>
      </c>
      <c r="C1880" s="45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97" t="s">
        <v>3439</v>
      </c>
    </row>
    <row r="1881" spans="1:10" ht="28.9" customHeight="1" thickTop="1" thickBot="1" x14ac:dyDescent="0.65">
      <c r="A1881" s="5">
        <v>1879</v>
      </c>
      <c r="B1881" s="46" t="str">
        <f>HYPERLINK("https://search.naver.com/search.naver?query=시작의 길 영화", "시작의 길")</f>
        <v>시작의 길</v>
      </c>
      <c r="C1881" s="47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98" t="s">
        <v>3451</v>
      </c>
    </row>
    <row r="1882" spans="1:10" ht="28.9" customHeight="1" thickTop="1" thickBot="1" x14ac:dyDescent="0.65">
      <c r="A1882" s="3">
        <v>1880</v>
      </c>
      <c r="B1882" s="44" t="str">
        <f>HYPERLINK("https://search.naver.com/search.naver?query=시절인연 영화", "시절인연")</f>
        <v>시절인연</v>
      </c>
      <c r="C1882" s="45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97" t="s">
        <v>3451</v>
      </c>
    </row>
    <row r="1883" spans="1:10" ht="28.9" customHeight="1" thickTop="1" thickBot="1" x14ac:dyDescent="0.65">
      <c r="A1883" s="5">
        <v>1881</v>
      </c>
      <c r="B1883" s="46" t="str">
        <f>HYPERLINK("https://search.naver.com/search.naver?query=시절인연 2 북 오브 러브 영화", "시절인연 2 (북 오브 러브)")</f>
        <v>시절인연 2 (북 오브 러브)</v>
      </c>
      <c r="C1883" s="47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98" t="s">
        <v>3441</v>
      </c>
    </row>
    <row r="1884" spans="1:10" ht="28.9" customHeight="1" thickTop="1" thickBot="1" x14ac:dyDescent="0.65">
      <c r="A1884" s="3">
        <v>1882</v>
      </c>
      <c r="B1884" s="44" t="str">
        <f>HYPERLINK("https://search.naver.com/search.naver?query=시체가 돌아왔다 영화", "시체가 돌아왔다")</f>
        <v>시체가 돌아왔다</v>
      </c>
      <c r="C1884" s="45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97" t="s">
        <v>3439</v>
      </c>
    </row>
    <row r="1885" spans="1:10" ht="28.9" customHeight="1" thickTop="1" thickBot="1" x14ac:dyDescent="0.65">
      <c r="A1885" s="5">
        <v>1883</v>
      </c>
      <c r="B1885" s="46" t="str">
        <f>HYPERLINK("https://search.naver.com/search.naver?query=시카고 하이스트 영화", "시카고 하이스트")</f>
        <v>시카고 하이스트</v>
      </c>
      <c r="C1885" s="47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98" t="s">
        <v>3446</v>
      </c>
    </row>
    <row r="1886" spans="1:10" ht="28.9" customHeight="1" thickTop="1" thickBot="1" x14ac:dyDescent="0.65">
      <c r="A1886" s="3">
        <v>1884</v>
      </c>
      <c r="B1886" s="44" t="str">
        <f>HYPERLINK("https://search.naver.com/search.naver?query=시카리오 암살자의 도시 영화", "시카리오 - 암살자의 도시")</f>
        <v>시카리오 - 암살자의 도시</v>
      </c>
      <c r="C1886" s="45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97" t="s">
        <v>3440</v>
      </c>
    </row>
    <row r="1887" spans="1:10" ht="28.9" customHeight="1" thickTop="1" thickBot="1" x14ac:dyDescent="0.65">
      <c r="A1887" s="5">
        <v>1885</v>
      </c>
      <c r="B1887" s="46" t="str">
        <f>HYPERLINK("https://search.naver.com/search.naver?query=시카리오 데이 오브 솔다도 영화", "시카리오-데이 오브 솔다도")</f>
        <v>시카리오-데이 오브 솔다도</v>
      </c>
      <c r="C1887" s="47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98" t="s">
        <v>3442</v>
      </c>
    </row>
    <row r="1888" spans="1:10" ht="28.9" customHeight="1" thickTop="1" thickBot="1" x14ac:dyDescent="0.65">
      <c r="A1888" s="3">
        <v>1886</v>
      </c>
      <c r="B1888" s="44" t="str">
        <f>HYPERLINK("https://search.naver.com/search.naver?query=시크릿 레터 영화", "시크릿 레터")</f>
        <v>시크릿 레터</v>
      </c>
      <c r="C1888" s="45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97" t="s">
        <v>3443</v>
      </c>
    </row>
    <row r="1889" spans="1:10" ht="28.9" customHeight="1" thickTop="1" thickBot="1" x14ac:dyDescent="0.65">
      <c r="A1889" s="5">
        <v>1887</v>
      </c>
      <c r="B1889" s="46" t="str">
        <f>HYPERLINK("https://search.naver.com/search.naver?query=시크릿 슈퍼스타 영화", "시크릿 슈퍼스타")</f>
        <v>시크릿 슈퍼스타</v>
      </c>
      <c r="C1889" s="47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98" t="s">
        <v>3443</v>
      </c>
    </row>
    <row r="1890" spans="1:10" ht="28.9" customHeight="1" thickTop="1" thickBot="1" x14ac:dyDescent="0.65">
      <c r="A1890" s="3">
        <v>1888</v>
      </c>
      <c r="B1890" s="44" t="str">
        <f>HYPERLINK("https://search.naver.com/search.naver?query=시크릿 에이전트 영화", "시크릿 에이전트")</f>
        <v>시크릿 에이전트</v>
      </c>
      <c r="C1890" s="45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97" t="s">
        <v>3438</v>
      </c>
    </row>
    <row r="1891" spans="1:10" ht="28.9" customHeight="1" thickTop="1" thickBot="1" x14ac:dyDescent="0.65">
      <c r="A1891" s="5">
        <v>1889</v>
      </c>
      <c r="B1891" s="46" t="str">
        <f>HYPERLINK("https://search.naver.com/search.naver?query=시크릿 인 데어 아이즈 영화", "시크릿 인 데어 아이즈")</f>
        <v>시크릿 인 데어 아이즈</v>
      </c>
      <c r="C1891" s="47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98" t="s">
        <v>3440</v>
      </c>
    </row>
    <row r="1892" spans="1:10" ht="28.9" customHeight="1" thickTop="1" thickBot="1" x14ac:dyDescent="0.65">
      <c r="A1892" s="7">
        <v>1890</v>
      </c>
      <c r="B1892" s="48" t="str">
        <f>HYPERLINK("https://search.naver.com/search.naver?query=시타델 시즌1", "시타델 시즌1")</f>
        <v>시타델 시즌1</v>
      </c>
      <c r="C1892" s="49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99" t="s">
        <v>3446</v>
      </c>
    </row>
    <row r="1893" spans="1:10" ht="28.9" customHeight="1" thickTop="1" thickBot="1" x14ac:dyDescent="0.65">
      <c r="A1893" s="5">
        <v>1891</v>
      </c>
      <c r="B1893" s="46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47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98" t="s">
        <v>3450</v>
      </c>
    </row>
    <row r="1894" spans="1:10" ht="28.9" customHeight="1" thickTop="1" thickBot="1" x14ac:dyDescent="0.65">
      <c r="A1894" s="3">
        <v>1892</v>
      </c>
      <c r="B1894" s="44" t="str">
        <f>HYPERLINK("https://search.naver.com/search.naver?query=영화 식스 빌로우", "식스 빌로우 빌로우 - 미라클 온 더 마운틴")</f>
        <v>식스 빌로우 빌로우 - 미라클 온 더 마운틴</v>
      </c>
      <c r="C1894" s="45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97" t="s">
        <v>3442</v>
      </c>
    </row>
    <row r="1895" spans="1:10" ht="28.9" customHeight="1" thickTop="1" thickBot="1" x14ac:dyDescent="0.65">
      <c r="A1895" s="5">
        <v>1893</v>
      </c>
      <c r="B1895" s="46" t="str">
        <f>HYPERLINK("https://search.naver.com/search.naver?query=식스틴 블럭 영화", "식스틴 블럭")</f>
        <v>식스틴 블럭</v>
      </c>
      <c r="C1895" s="47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98" t="s">
        <v>3460</v>
      </c>
    </row>
    <row r="1896" spans="1:10" ht="28.9" customHeight="1" thickTop="1" thickBot="1" x14ac:dyDescent="0.65">
      <c r="A1896" s="3">
        <v>1894</v>
      </c>
      <c r="B1896" s="44" t="str">
        <f>HYPERLINK("https://search.naver.com/search.naver?query=신과 나눈 이야기 영화", "신과 나눈 이야기")</f>
        <v>신과 나눈 이야기</v>
      </c>
      <c r="C1896" s="45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97" t="s">
        <v>3460</v>
      </c>
    </row>
    <row r="1897" spans="1:10" ht="28.9" customHeight="1" thickTop="1" thickBot="1" x14ac:dyDescent="0.65">
      <c r="A1897" s="5">
        <v>1895</v>
      </c>
      <c r="B1897" s="46" t="str">
        <f>HYPERLINK("https://search.naver.com/search.naver?query=신과 인간 영화", "신과 인간")</f>
        <v>신과 인간</v>
      </c>
      <c r="C1897" s="47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98" t="s">
        <v>3455</v>
      </c>
    </row>
    <row r="1898" spans="1:10" ht="28.9" customHeight="1" thickTop="1" thickBot="1" x14ac:dyDescent="0.65">
      <c r="A1898" s="3">
        <v>1896</v>
      </c>
      <c r="B1898" s="44" t="str">
        <f>HYPERLINK("https://search.naver.com/search.naver?query=신과 인간 사이 영화", "신과 인간 사이")</f>
        <v>신과 인간 사이</v>
      </c>
      <c r="C1898" s="45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97" t="s">
        <v>3443</v>
      </c>
    </row>
    <row r="1899" spans="1:10" ht="28.9" customHeight="1" thickTop="1" thickBot="1" x14ac:dyDescent="0.65">
      <c r="A1899" s="5">
        <v>1897</v>
      </c>
      <c r="B1899" s="46" t="str">
        <f>HYPERLINK("https://search.naver.com/search.naver?query=신과 함께 가라 영화", "신과 함께 가라")</f>
        <v>신과 함께 가라</v>
      </c>
      <c r="C1899" s="47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98" t="s">
        <v>3466</v>
      </c>
    </row>
    <row r="1900" spans="1:10" ht="28.9" customHeight="1" thickTop="1" thickBot="1" x14ac:dyDescent="0.65">
      <c r="A1900" s="3">
        <v>1898</v>
      </c>
      <c r="B1900" s="44" t="str">
        <f>HYPERLINK("https://search.naver.com/search.naver?query=신과 함께 죄와 벌 영화", "신과 함께-죄와 벌")</f>
        <v>신과 함께-죄와 벌</v>
      </c>
      <c r="C1900" s="45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97" t="s">
        <v>3443</v>
      </c>
    </row>
    <row r="1901" spans="1:10" ht="28.9" customHeight="1" thickTop="1" thickBot="1" x14ac:dyDescent="0.65">
      <c r="A1901" s="5">
        <v>1899</v>
      </c>
      <c r="B1901" s="46" t="str">
        <f>HYPERLINK("https://search.naver.com/search.naver?query=신과함께 인과 연 영화", "신과함께-인과 연")</f>
        <v>신과함께-인과 연</v>
      </c>
      <c r="C1901" s="47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98" t="s">
        <v>3442</v>
      </c>
    </row>
    <row r="1902" spans="1:10" ht="28.9" customHeight="1" thickTop="1" thickBot="1" x14ac:dyDescent="0.65">
      <c r="A1902" s="3">
        <v>1900</v>
      </c>
      <c r="B1902" s="44" t="str">
        <f>HYPERLINK("https://search.naver.com/search.naver?query=신기전 영화", "신기전")</f>
        <v>신기전</v>
      </c>
      <c r="C1902" s="45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97" t="s">
        <v>3450</v>
      </c>
    </row>
    <row r="1903" spans="1:10" ht="28.9" customHeight="1" thickTop="1" thickBot="1" x14ac:dyDescent="0.65">
      <c r="A1903" s="5">
        <v>1901</v>
      </c>
      <c r="B1903" s="46" t="str">
        <f>HYPERLINK("https://search.naver.com/search.naver?query=신데렐라 맨 영화", "신데렐라 맨")</f>
        <v>신데렐라 맨</v>
      </c>
      <c r="C1903" s="47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98" t="s">
        <v>3461</v>
      </c>
    </row>
    <row r="1904" spans="1:10" ht="28.9" customHeight="1" thickTop="1" thickBot="1" x14ac:dyDescent="0.65">
      <c r="A1904" s="3">
        <v>1902</v>
      </c>
      <c r="B1904" s="44" t="str">
        <f>HYPERLINK("https://search.naver.com/search.naver?query=신문기자", "신문기자")</f>
        <v>신문기자</v>
      </c>
      <c r="C1904" s="45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97" t="s">
        <v>3444</v>
      </c>
    </row>
    <row r="1905" spans="1:10" ht="28.9" customHeight="1" thickTop="1" thickBot="1" x14ac:dyDescent="0.65">
      <c r="A1905" s="7">
        <v>1903</v>
      </c>
      <c r="B1905" s="48" t="str">
        <f>HYPERLINK("https://search.naver.com/search.naver?query=신문기자 드라마", "신문기자")</f>
        <v>신문기자</v>
      </c>
      <c r="C1905" s="49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99" t="s">
        <v>3445</v>
      </c>
    </row>
    <row r="1906" spans="1:10" ht="28.9" customHeight="1" thickTop="1" thickBot="1" x14ac:dyDescent="0.65">
      <c r="A1906" s="3">
        <v>1904</v>
      </c>
      <c r="B1906" s="44" t="str">
        <f>HYPERLINK("https://search.naver.com/search.naver?query=신부가 된 복서 영화", "신부가 된 복서")</f>
        <v>신부가 된 복서</v>
      </c>
      <c r="C1906" s="45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97" t="s">
        <v>3445</v>
      </c>
    </row>
    <row r="1907" spans="1:10" ht="28.9" customHeight="1" thickTop="1" thickBot="1" x14ac:dyDescent="0.65">
      <c r="A1907" s="5">
        <v>1905</v>
      </c>
      <c r="B1907" s="46" t="str">
        <f>HYPERLINK("https://search.naver.com/search.naver?query=신세계 영화", "신세계")</f>
        <v>신세계</v>
      </c>
      <c r="C1907" s="47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98" t="s">
        <v>3439</v>
      </c>
    </row>
    <row r="1908" spans="1:10" ht="28.9" customHeight="1" thickTop="1" thickBot="1" x14ac:dyDescent="0.65">
      <c r="A1908" s="3">
        <v>1906</v>
      </c>
      <c r="B1908" s="44" t="str">
        <f>HYPERLINK("https://search.naver.com/search.naver?query=신은 죽지 않았다 2 영화", "신은 죽지 않았다 2")</f>
        <v>신은 죽지 않았다 2</v>
      </c>
      <c r="C1908" s="45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97" t="s">
        <v>3441</v>
      </c>
    </row>
    <row r="1909" spans="1:10" ht="28.9" customHeight="1" thickTop="1" thickBot="1" x14ac:dyDescent="0.65">
      <c r="A1909" s="5">
        <v>1907</v>
      </c>
      <c r="B1909" s="46" t="str">
        <f>HYPERLINK("https://search.naver.com/search.naver?query=신은 죽지 않았다 3 어둠 속의 빛 영화", "신은 죽지 않았다 3-어둠 속의 빛")</f>
        <v>신은 죽지 않았다 3-어둠 속의 빛</v>
      </c>
      <c r="C1909" s="47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98" t="s">
        <v>3442</v>
      </c>
    </row>
    <row r="1910" spans="1:10" ht="28.9" customHeight="1" thickTop="1" thickBot="1" x14ac:dyDescent="0.65">
      <c r="A1910" s="3">
        <v>1908</v>
      </c>
      <c r="B1910" s="44" t="str">
        <f>HYPERLINK("https://search.naver.com/search.naver?query=신을 믿습니까 영화", "신을 믿습니까")</f>
        <v>신을 믿습니까</v>
      </c>
      <c r="C1910" s="45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97" t="s">
        <v>3440</v>
      </c>
    </row>
    <row r="1911" spans="1:10" ht="28.9" customHeight="1" thickTop="1" thickBot="1" x14ac:dyDescent="0.65">
      <c r="A1911" s="5">
        <v>1909</v>
      </c>
      <c r="B1911" s="46" t="str">
        <f>HYPERLINK("https://search.naver.com/search.naver?query=신의 기적 영화", "신의 기적")</f>
        <v>신의 기적</v>
      </c>
      <c r="C1911" s="47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98" t="s">
        <v>3443</v>
      </c>
    </row>
    <row r="1912" spans="1:10" ht="28.9" customHeight="1" thickTop="1" thickBot="1" x14ac:dyDescent="0.65">
      <c r="A1912" s="3">
        <v>1910</v>
      </c>
      <c r="B1912" s="44" t="str">
        <f>HYPERLINK("https://search.naver.com/search.naver?query=신의 나라 영화", "신의 나라")</f>
        <v>신의 나라</v>
      </c>
      <c r="C1912" s="45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97" t="s">
        <v>3443</v>
      </c>
    </row>
    <row r="1913" spans="1:10" ht="28.9" customHeight="1" thickTop="1" thickBot="1" x14ac:dyDescent="0.65">
      <c r="A1913" s="7">
        <v>1911</v>
      </c>
      <c r="B1913" s="48" t="str">
        <f>HYPERLINK("https://search.naver.com/search.naver?query=신의 물방울 시즌1", "신의 물방울 시즌1")</f>
        <v>신의 물방울 시즌1</v>
      </c>
      <c r="C1913" s="49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99" t="s">
        <v>3446</v>
      </c>
    </row>
    <row r="1914" spans="1:10" ht="28.9" customHeight="1" thickTop="1" thickBot="1" x14ac:dyDescent="0.65">
      <c r="A1914" s="3">
        <v>1912</v>
      </c>
      <c r="B1914" s="44" t="str">
        <f>HYPERLINK("https://search.naver.com/search.naver?query=신의 카르테 영화", "신의 카르테")</f>
        <v>신의 카르테</v>
      </c>
      <c r="C1914" s="45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97" t="s">
        <v>3454</v>
      </c>
    </row>
    <row r="1915" spans="1:10" ht="28.9" customHeight="1" thickTop="1" thickBot="1" x14ac:dyDescent="0.65">
      <c r="A1915" s="5">
        <v>1913</v>
      </c>
      <c r="B1915" s="46" t="str">
        <f>HYPERLINK("https://search.naver.com/search.naver?query=신의 카르테 2 영화", "신의 카르테 2")</f>
        <v>신의 카르테 2</v>
      </c>
      <c r="C1915" s="47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98" t="s">
        <v>3437</v>
      </c>
    </row>
    <row r="1916" spans="1:10" ht="28.9" customHeight="1" thickTop="1" thickBot="1" x14ac:dyDescent="0.65">
      <c r="A1916" s="3">
        <v>1914</v>
      </c>
      <c r="B1916" s="44" t="str">
        <f>HYPERLINK("https://search.naver.com/search.naver?query=신의 한 수 영화", "신의 한 수")</f>
        <v>신의 한 수</v>
      </c>
      <c r="C1916" s="45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97" t="s">
        <v>3437</v>
      </c>
    </row>
    <row r="1917" spans="1:10" ht="28.9" customHeight="1" thickTop="1" thickBot="1" x14ac:dyDescent="0.65">
      <c r="A1917" s="5">
        <v>1915</v>
      </c>
      <c r="B1917" s="46" t="str">
        <f>HYPERLINK("https://search.naver.com/search.naver?query=신의 한 수 귀수편 영화", "신의 한 수 귀수편")</f>
        <v>신의 한 수 귀수편</v>
      </c>
      <c r="C1917" s="47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98" t="s">
        <v>3444</v>
      </c>
    </row>
    <row r="1918" spans="1:10" ht="28.9" customHeight="1" thickTop="1" thickBot="1" x14ac:dyDescent="0.65">
      <c r="A1918" s="3">
        <v>1916</v>
      </c>
      <c r="B1918" s="44" t="str">
        <f>HYPERLINK("https://search.naver.com/search.naver?query=신이 보낸 사람 영화", "신이 보낸 사람")</f>
        <v>신이 보낸 사람</v>
      </c>
      <c r="C1918" s="45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97" t="s">
        <v>3437</v>
      </c>
    </row>
    <row r="1919" spans="1:10" ht="28.9" customHeight="1" thickTop="1" thickBot="1" x14ac:dyDescent="0.65">
      <c r="A1919" s="5">
        <v>1917</v>
      </c>
      <c r="B1919" s="46" t="str">
        <f>HYPERLINK("https://search.naver.com/search.naver?query=실고 영화", "실고")</f>
        <v>실고</v>
      </c>
      <c r="C1919" s="47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98" t="s">
        <v>3440</v>
      </c>
    </row>
    <row r="1920" spans="1:10" ht="28.9" customHeight="1" thickTop="1" thickBot="1" x14ac:dyDescent="0.65">
      <c r="A1920" s="3">
        <v>1918</v>
      </c>
      <c r="B1920" s="44" t="str">
        <f>HYPERLINK("https://search.naver.com/search.naver?query=실락원 영화", "실락원")</f>
        <v>실락원</v>
      </c>
      <c r="C1920" s="45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97" t="s">
        <v>3470</v>
      </c>
    </row>
    <row r="1921" spans="1:10" ht="28.9" customHeight="1" thickTop="1" thickBot="1" x14ac:dyDescent="0.65">
      <c r="A1921" s="5">
        <v>1919</v>
      </c>
      <c r="B1921" s="46" t="str">
        <f>HYPERLINK("https://search.naver.com/search.naver?query=실미도 영화", "실미도")</f>
        <v>실미도</v>
      </c>
      <c r="C1921" s="47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98" t="s">
        <v>3449</v>
      </c>
    </row>
    <row r="1922" spans="1:10" ht="28.9" customHeight="1" thickTop="1" thickBot="1" x14ac:dyDescent="0.65">
      <c r="A1922" s="3">
        <v>1920</v>
      </c>
      <c r="B1922" s="44" t="str">
        <f>HYPERLINK("https://search.naver.com/search.naver?query=실버라이닝 플레이북 영화", "실버라이닝 플레이북")</f>
        <v>실버라이닝 플레이북</v>
      </c>
      <c r="C1922" s="45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97" t="s">
        <v>3439</v>
      </c>
    </row>
    <row r="1923" spans="1:10" ht="28.9" customHeight="1" thickTop="1" thickBot="1" x14ac:dyDescent="0.65">
      <c r="A1923" s="5">
        <v>1921</v>
      </c>
      <c r="B1923" s="46" t="str">
        <f>HYPERLINK("https://search.naver.com/search.naver?query=실 인연의 시작 영화", "실-인연의 시작")</f>
        <v>실-인연의 시작</v>
      </c>
      <c r="C1923" s="47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98" t="s">
        <v>3438</v>
      </c>
    </row>
    <row r="1924" spans="1:10" ht="28.9" customHeight="1" thickTop="1" thickBot="1" x14ac:dyDescent="0.65">
      <c r="A1924" s="3">
        <v>1922</v>
      </c>
      <c r="B1924" s="44" t="str">
        <f>HYPERLINK("https://search.naver.com/search.naver?query=실종 영화", "실종")</f>
        <v>실종</v>
      </c>
      <c r="C1924" s="45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97" t="s">
        <v>3445</v>
      </c>
    </row>
    <row r="1925" spans="1:10" ht="28.9" customHeight="1" thickTop="1" thickBot="1" x14ac:dyDescent="0.65">
      <c r="A1925" s="5">
        <v>1923</v>
      </c>
      <c r="B1925" s="46" t="str">
        <f>HYPERLINK("https://search.naver.com/search.naver?query=실크 로드 영화", "실크 로드")</f>
        <v>실크 로드</v>
      </c>
      <c r="C1925" s="47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98" t="s">
        <v>3438</v>
      </c>
    </row>
    <row r="1926" spans="1:10" ht="28.9" customHeight="1" thickTop="1" thickBot="1" x14ac:dyDescent="0.65">
      <c r="A1926" s="7">
        <v>1924</v>
      </c>
      <c r="B1926" s="48" t="str">
        <f>HYPERLINK("https://search.naver.com/search.naver?query=실크 시즌1", "실크 시즌1")</f>
        <v>실크 시즌1</v>
      </c>
      <c r="C1926" s="49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99" t="s">
        <v>3454</v>
      </c>
    </row>
    <row r="1927" spans="1:10" ht="28.9" customHeight="1" thickTop="1" thickBot="1" x14ac:dyDescent="0.65">
      <c r="A1927" s="7">
        <v>1925</v>
      </c>
      <c r="B1927" s="48" t="str">
        <f>HYPERLINK("https://search.naver.com/search.naver?query=실크 시즌2", "실크 시즌2")</f>
        <v>실크 시즌2</v>
      </c>
      <c r="C1927" s="49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99" t="s">
        <v>3439</v>
      </c>
    </row>
    <row r="1928" spans="1:10" ht="28.9" customHeight="1" thickTop="1" thickBot="1" x14ac:dyDescent="0.65">
      <c r="A1928" s="3">
        <v>1926</v>
      </c>
      <c r="B1928" s="44" t="str">
        <f>HYPERLINK("https://search.naver.com/search.naver?query=실화 숨겨진 비밀 영화", "실화-숨겨진 비밀")</f>
        <v>실화-숨겨진 비밀</v>
      </c>
      <c r="C1928" s="45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97" t="s">
        <v>3444</v>
      </c>
    </row>
    <row r="1929" spans="1:10" ht="28.9" customHeight="1" thickTop="1" thickBot="1" x14ac:dyDescent="0.65">
      <c r="A1929" s="5">
        <v>1927</v>
      </c>
      <c r="B1929" s="46" t="str">
        <f>HYPERLINK("https://search.naver.com/search.naver?query=심야식당 영화", "심야식당")</f>
        <v>심야식당</v>
      </c>
      <c r="C1929" s="47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98" t="s">
        <v>3440</v>
      </c>
    </row>
    <row r="1930" spans="1:10" ht="28.9" customHeight="1" thickTop="1" thickBot="1" x14ac:dyDescent="0.65">
      <c r="A1930" s="3">
        <v>1928</v>
      </c>
      <c r="B1930" s="44" t="str">
        <f>HYPERLINK("https://search.naver.com/search.naver?query=심야식당 2 영화", "심야식당 2")</f>
        <v>심야식당 2</v>
      </c>
      <c r="C1930" s="45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97" t="s">
        <v>3441</v>
      </c>
    </row>
    <row r="1931" spans="1:10" ht="28.9" customHeight="1" thickTop="1" thickBot="1" x14ac:dyDescent="0.65">
      <c r="A1931" s="5">
        <v>1929</v>
      </c>
      <c r="B1931" s="46" t="str">
        <f>HYPERLINK("https://search.naver.com/search.naver?query=심야의 FM 영화", "심야의 FM")</f>
        <v>심야의 FM</v>
      </c>
      <c r="C1931" s="47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98" t="s">
        <v>3455</v>
      </c>
    </row>
    <row r="1932" spans="1:10" ht="28.9" customHeight="1" thickTop="1" thickBot="1" x14ac:dyDescent="0.65">
      <c r="A1932" s="3">
        <v>1930</v>
      </c>
      <c r="B1932" s="44" t="str">
        <f>HYPERLINK("https://search.naver.com/search.naver?query=심장이 뛴다 영화", "심장이 뛴다")</f>
        <v>심장이 뛴다</v>
      </c>
      <c r="C1932" s="45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97" t="s">
        <v>3454</v>
      </c>
    </row>
    <row r="1933" spans="1:10" ht="28.9" customHeight="1" thickTop="1" thickBot="1" x14ac:dyDescent="0.65">
      <c r="A1933" s="5">
        <v>1931</v>
      </c>
      <c r="B1933" s="46" t="str">
        <f>HYPERLINK("https://search.naver.com/search.naver?query=심판 영화", "심판")</f>
        <v>심판</v>
      </c>
      <c r="C1933" s="47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98" t="s">
        <v>3444</v>
      </c>
    </row>
    <row r="1934" spans="1:10" ht="28.9" customHeight="1" thickTop="1" thickBot="1" x14ac:dyDescent="0.65">
      <c r="A1934" s="3">
        <v>1932</v>
      </c>
      <c r="B1934" s="44" t="str">
        <f>HYPERLINK("https://search.naver.com/search.naver?query=심플 라이프 영화", "심플 라이프")</f>
        <v>심플 라이프</v>
      </c>
      <c r="C1934" s="45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97" t="s">
        <v>3454</v>
      </c>
    </row>
    <row r="1935" spans="1:10" ht="28.9" customHeight="1" thickTop="1" thickBot="1" x14ac:dyDescent="0.65">
      <c r="A1935" s="5">
        <v>1933</v>
      </c>
      <c r="B1935" s="46" t="str">
        <f>HYPERLINK("https://search.naver.com/search.naver?query=싱글 맨 영화", "싱글 맨")</f>
        <v>싱글 맨</v>
      </c>
      <c r="C1935" s="47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98" t="s">
        <v>3453</v>
      </c>
    </row>
    <row r="1936" spans="1:10" ht="28.9" customHeight="1" thickTop="1" thickBot="1" x14ac:dyDescent="0.65">
      <c r="A1936" s="3">
        <v>1934</v>
      </c>
      <c r="B1936" s="44" t="str">
        <f>HYPERLINK("https://search.naver.com/search.naver?query=싱글라이더 영화", "싱글라이더")</f>
        <v>싱글라이더</v>
      </c>
      <c r="C1936" s="45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97" t="s">
        <v>3443</v>
      </c>
    </row>
    <row r="1937" spans="1:10" ht="28.9" customHeight="1" thickTop="1" thickBot="1" x14ac:dyDescent="0.65">
      <c r="A1937" s="5">
        <v>1935</v>
      </c>
      <c r="B1937" s="46" t="str">
        <f>HYPERLINK("https://search.naver.com/search.naver?query=싱크로닉 영화", "싱크로닉")</f>
        <v>싱크로닉</v>
      </c>
      <c r="C1937" s="47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98" t="s">
        <v>3444</v>
      </c>
    </row>
    <row r="1938" spans="1:10" ht="28.9" customHeight="1" thickTop="1" thickBot="1" x14ac:dyDescent="0.65">
      <c r="A1938" s="3">
        <v>1936</v>
      </c>
      <c r="B1938" s="44" t="str">
        <f>HYPERLINK("https://search.naver.com/search.naver?query=싱크홀 영화", "싱크홀")</f>
        <v>싱크홀</v>
      </c>
      <c r="C1938" s="45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97" t="s">
        <v>3438</v>
      </c>
    </row>
    <row r="1939" spans="1:10" ht="28.9" customHeight="1" thickTop="1" thickBot="1" x14ac:dyDescent="0.65">
      <c r="A1939" s="5">
        <v>1937</v>
      </c>
      <c r="B1939" s="46" t="str">
        <f>HYPERLINK("https://search.naver.com/search.naver?query=싸이보그 그녀 영화", "싸이보그 그녀")</f>
        <v>싸이보그 그녀</v>
      </c>
      <c r="C1939" s="47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98" t="s">
        <v>3450</v>
      </c>
    </row>
    <row r="1940" spans="1:10" ht="28.9" customHeight="1" thickTop="1" thickBot="1" x14ac:dyDescent="0.65">
      <c r="A1940" s="3">
        <v>1938</v>
      </c>
      <c r="B1940" s="44" t="str">
        <f>HYPERLINK("https://search.naver.com/search.naver?query=싸인 영화", "싸인")</f>
        <v>싸인</v>
      </c>
      <c r="C1940" s="45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97" t="s">
        <v>3466</v>
      </c>
    </row>
    <row r="1941" spans="1:10" ht="28.9" customHeight="1" thickTop="1" thickBot="1" x14ac:dyDescent="0.65">
      <c r="A1941" s="5">
        <v>1939</v>
      </c>
      <c r="B1941" s="46" t="str">
        <f>HYPERLINK("https://search.naver.com/search.naver?query=쌍화점 영화", "쌍화점")</f>
        <v>쌍화점</v>
      </c>
      <c r="C1941" s="47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98" t="s">
        <v>3450</v>
      </c>
    </row>
    <row r="1942" spans="1:10" ht="28.9" customHeight="1" thickTop="1" thickBot="1" x14ac:dyDescent="0.65">
      <c r="A1942" s="3">
        <v>1940</v>
      </c>
      <c r="B1942" s="44" t="str">
        <f>HYPERLINK("https://search.naver.com/search.naver?query=써니2011", "써니")</f>
        <v>써니</v>
      </c>
      <c r="C1942" s="45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97" t="s">
        <v>3454</v>
      </c>
    </row>
    <row r="1943" spans="1:10" ht="28.9" customHeight="1" thickTop="1" thickBot="1" x14ac:dyDescent="0.65">
      <c r="A1943" s="5">
        <v>1941</v>
      </c>
      <c r="B1943" s="46" t="str">
        <f>HYPERLINK("https://search.naver.com/search.naver?query=써니 강한 마음, 강한 사랑", "써니 강한 마음, 강한 사랑")</f>
        <v>써니 강한 마음, 강한 사랑</v>
      </c>
      <c r="C1943" s="47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98" t="s">
        <v>3438</v>
      </c>
    </row>
    <row r="1944" spans="1:10" ht="28.9" customHeight="1" thickTop="1" thickBot="1" x14ac:dyDescent="0.65">
      <c r="A1944" s="3">
        <v>1942</v>
      </c>
      <c r="B1944" s="44" t="str">
        <f>HYPERLINK("https://search.naver.com/search.naver?query=써드 퍼슨 영화", "써드 퍼슨")</f>
        <v>써드 퍼슨</v>
      </c>
      <c r="C1944" s="45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97" t="s">
        <v>3451</v>
      </c>
    </row>
    <row r="1945" spans="1:10" ht="28.9" customHeight="1" thickTop="1" thickBot="1" x14ac:dyDescent="0.65">
      <c r="A1945" s="5">
        <v>1943</v>
      </c>
      <c r="B1945" s="46" t="str">
        <f>HYPERLINK("https://search.naver.com/search.naver?query=써머스비 영화", "써머스비")</f>
        <v>써머스비</v>
      </c>
      <c r="C1945" s="47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98" t="s">
        <v>3469</v>
      </c>
    </row>
    <row r="1946" spans="1:10" ht="28.9" customHeight="1" thickTop="1" thickBot="1" x14ac:dyDescent="0.65">
      <c r="A1946" s="3">
        <v>1944</v>
      </c>
      <c r="B1946" s="44" t="str">
        <f>HYPERLINK("https://search.naver.com/search.naver?query=썸원 썸웨어 영화", "썸원 썸웨어")</f>
        <v>썸원 썸웨어</v>
      </c>
      <c r="C1946" s="45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97" t="s">
        <v>3444</v>
      </c>
    </row>
    <row r="1947" spans="1:10" ht="28.9" customHeight="1" thickTop="1" thickBot="1" x14ac:dyDescent="0.65">
      <c r="A1947" s="5">
        <v>1945</v>
      </c>
      <c r="B1947" s="46" t="str">
        <f>HYPERLINK("https://search.naver.com/search.naver?query=쎄시봉 영화", "쎄시봉")</f>
        <v>쎄시봉</v>
      </c>
      <c r="C1947" s="47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98" t="s">
        <v>3440</v>
      </c>
    </row>
    <row r="1948" spans="1:10" ht="28.9" customHeight="1" thickTop="1" thickBot="1" x14ac:dyDescent="0.65">
      <c r="A1948" s="3">
        <v>1946</v>
      </c>
      <c r="B1948" s="44" t="str">
        <f>HYPERLINK("https://search.naver.com/search.naver?query=쏘리 투 바더 유 영화", "쏘리 투 바더 유")</f>
        <v>쏘리 투 바더 유</v>
      </c>
      <c r="C1948" s="45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97" t="s">
        <v>3442</v>
      </c>
    </row>
    <row r="1949" spans="1:10" ht="28.9" customHeight="1" thickTop="1" thickBot="1" x14ac:dyDescent="0.65">
      <c r="A1949" s="5">
        <v>1947</v>
      </c>
      <c r="B1949" s="46" t="str">
        <f>HYPERLINK("https://search.naver.com/search.naver?query=쓰리 데이즈 영화", "쓰리 데이즈")</f>
        <v>쓰리 데이즈</v>
      </c>
      <c r="C1949" s="47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98" t="s">
        <v>3455</v>
      </c>
    </row>
    <row r="1950" spans="1:10" ht="28.9" customHeight="1" thickTop="1" thickBot="1" x14ac:dyDescent="0.65">
      <c r="A1950" s="3">
        <v>1948</v>
      </c>
      <c r="B1950" s="44" t="str">
        <f>HYPERLINK("https://search.naver.com/search.naver?query=쓰리 빌보드 영화", "쓰리 빌보드")</f>
        <v>쓰리 빌보드</v>
      </c>
      <c r="C1950" s="45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97" t="s">
        <v>3443</v>
      </c>
    </row>
    <row r="1951" spans="1:10" ht="28.9" customHeight="1" thickTop="1" thickBot="1" x14ac:dyDescent="0.65">
      <c r="A1951" s="5">
        <v>1949</v>
      </c>
      <c r="B1951" s="46" t="str">
        <f>HYPERLINK("https://search.naver.com/search.naver?query=쓰리 세컨즈 영화", "쓰리 세컨즈")</f>
        <v>쓰리 세컨즈</v>
      </c>
      <c r="C1951" s="47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98" t="s">
        <v>3443</v>
      </c>
    </row>
    <row r="1952" spans="1:10" ht="28.9" customHeight="1" thickTop="1" thickBot="1" x14ac:dyDescent="0.65">
      <c r="A1952" s="3">
        <v>1950</v>
      </c>
      <c r="B1952" s="44" t="str">
        <f>HYPERLINK("https://search.naver.com/search.naver?query=쓰리데이즈 투 킬 영화", "쓰리데이즈 투 킬")</f>
        <v>쓰리데이즈 투 킬</v>
      </c>
      <c r="C1952" s="45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97" t="s">
        <v>3437</v>
      </c>
    </row>
    <row r="1953" spans="1:10" ht="28.9" customHeight="1" thickTop="1" thickBot="1" x14ac:dyDescent="0.65">
      <c r="A1953" s="5">
        <v>1951</v>
      </c>
      <c r="B1953" s="46" t="str">
        <f>HYPERLINK("https://search.naver.com/search.naver?query=씨 오브 트리스 영화", "씨 오브 트리스")</f>
        <v>씨 오브 트리스</v>
      </c>
      <c r="C1953" s="47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98" t="s">
        <v>3440</v>
      </c>
    </row>
    <row r="1954" spans="1:10" ht="28.9" customHeight="1" thickTop="1" thickBot="1" x14ac:dyDescent="0.65">
      <c r="A1954" s="3">
        <v>1952</v>
      </c>
      <c r="B1954" s="44" t="str">
        <f>HYPERLINK("https://search.naver.com/search.naver?query=씨.바이퍼 영화", "씨.바이퍼")</f>
        <v>씨.바이퍼</v>
      </c>
      <c r="C1954" s="45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97" t="s">
        <v>3439</v>
      </c>
    </row>
    <row r="1955" spans="1:10" ht="28.9" customHeight="1" thickTop="1" thickBot="1" x14ac:dyDescent="0.65">
      <c r="A1955" s="5">
        <v>1953</v>
      </c>
      <c r="B1955" s="46" t="str">
        <f>HYPERLINK("https://search.naver.com/search.naver?query=씨민과 나데르의 별거 영화", "씨민과 나데르의 별거")</f>
        <v>씨민과 나데르의 별거</v>
      </c>
      <c r="C1955" s="47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98" t="s">
        <v>3454</v>
      </c>
    </row>
    <row r="1956" spans="1:10" ht="28.9" customHeight="1" thickTop="1" thickBot="1" x14ac:dyDescent="0.65">
      <c r="A1956" s="3">
        <v>1954</v>
      </c>
      <c r="B1956" s="44" t="str">
        <f>HYPERLINK("https://search.naver.com/search.naver?query=씨비스킷 영화", "씨비스킷")</f>
        <v>씨비스킷</v>
      </c>
      <c r="C1956" s="45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97" t="s">
        <v>3449</v>
      </c>
    </row>
    <row r="1957" spans="1:10" ht="28.9" customHeight="1" thickTop="1" thickBot="1" x14ac:dyDescent="0.65">
      <c r="A1957" s="5">
        <v>1955</v>
      </c>
      <c r="B1957" s="46" t="str">
        <f>HYPERLINK("https://search.naver.com/search.naver?query=씬 레드 라인 영화", "씬 레드 라인")</f>
        <v>씬 레드 라인</v>
      </c>
      <c r="C1957" s="47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98" t="s">
        <v>3452</v>
      </c>
    </row>
    <row r="1958" spans="1:10" ht="28.9" customHeight="1" thickTop="1" thickBot="1" x14ac:dyDescent="0.65">
      <c r="A1958" s="7">
        <v>1956</v>
      </c>
      <c r="B1958" s="48" t="str">
        <f>HYPERLINK("https://search.naver.com/search.naver?query=씰 팀 시즌1", "씰 팀 시즌1")</f>
        <v>씰 팀 시즌1</v>
      </c>
      <c r="C1958" s="49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99" t="s">
        <v>3443</v>
      </c>
    </row>
    <row r="1959" spans="1:10" ht="28.9" customHeight="1" thickTop="1" thickBot="1" x14ac:dyDescent="0.65">
      <c r="A1959" s="7">
        <v>1957</v>
      </c>
      <c r="B1959" s="48" t="str">
        <f>HYPERLINK("https://search.naver.com/search.naver?query=씰 팀 시즌2", "씰 팀 시즌2")</f>
        <v>씰 팀 시즌2</v>
      </c>
      <c r="C1959" s="49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99" t="s">
        <v>3442</v>
      </c>
    </row>
    <row r="1960" spans="1:10" ht="28.9" customHeight="1" thickTop="1" thickBot="1" x14ac:dyDescent="0.65">
      <c r="A1960" s="7">
        <v>1958</v>
      </c>
      <c r="B1960" s="48" t="str">
        <f>HYPERLINK("https://search.naver.com/search.naver?query=씰 팀 시즌4", "씰 팀 시즌4")</f>
        <v>씰 팀 시즌4</v>
      </c>
      <c r="C1960" s="49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99" t="s">
        <v>3436</v>
      </c>
    </row>
    <row r="1961" spans="1:10" ht="28.9" customHeight="1" thickTop="1" thickBot="1" x14ac:dyDescent="0.65">
      <c r="A1961" s="7">
        <v>1959</v>
      </c>
      <c r="B1961" s="48" t="str">
        <f>HYPERLINK("https://search.naver.com/search.naver?query=씰 팀 시즌5", "씰 팀 시즌5")</f>
        <v>씰 팀 시즌5</v>
      </c>
      <c r="C1961" s="49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99" t="s">
        <v>3438</v>
      </c>
    </row>
    <row r="1962" spans="1:10" ht="28.9" customHeight="1" thickTop="1" thickBot="1" x14ac:dyDescent="0.65">
      <c r="A1962" s="7">
        <v>1960</v>
      </c>
      <c r="B1962" s="48" t="str">
        <f>HYPERLINK("https://search.naver.com/search.naver?query=씰 팀 시즌6", "씰 팀 시즌6")</f>
        <v>씰 팀 시즌6</v>
      </c>
      <c r="C1962" s="49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99" t="s">
        <v>3445</v>
      </c>
    </row>
    <row r="1963" spans="1:10" ht="28.9" customHeight="1" thickTop="1" thickBot="1" x14ac:dyDescent="0.65">
      <c r="A1963" s="5">
        <v>1961</v>
      </c>
      <c r="B1963" s="46" t="str">
        <f>HYPERLINK("https://search.naver.com/search.naver?query=아가씨 영화", "아가씨")</f>
        <v>아가씨</v>
      </c>
      <c r="C1963" s="47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98" t="s">
        <v>3441</v>
      </c>
    </row>
    <row r="1964" spans="1:10" ht="28.9" customHeight="1" thickTop="1" thickBot="1" x14ac:dyDescent="0.65">
      <c r="A1964" s="7">
        <v>1962</v>
      </c>
      <c r="B1964" s="48" t="str">
        <f>HYPERLINK("https://search.naver.com/search.naver?query=아나토미 오브 스캔들", "아나토미 오브 스캔들")</f>
        <v>아나토미 오브 스캔들</v>
      </c>
      <c r="C1964" s="49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99" t="s">
        <v>3445</v>
      </c>
    </row>
    <row r="1965" spans="1:10" ht="28.9" customHeight="1" thickTop="1" thickBot="1" x14ac:dyDescent="0.65">
      <c r="A1965" s="5">
        <v>1963</v>
      </c>
      <c r="B1965" s="46" t="str">
        <f>HYPERLINK("https://search.naver.com/search.naver?query=아내의 애인을 만나다 영화", "아내의 애인을 만나다")</f>
        <v>아내의 애인을 만나다</v>
      </c>
      <c r="C1965" s="47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98" t="s">
        <v>3447</v>
      </c>
    </row>
    <row r="1966" spans="1:10" ht="28.9" customHeight="1" thickTop="1" thickBot="1" x14ac:dyDescent="0.65">
      <c r="A1966" s="3">
        <v>1964</v>
      </c>
      <c r="B1966" s="44" t="str">
        <f>HYPERLINK("https://search.naver.com/search.naver?query=아논 영화", "아논")</f>
        <v>아논</v>
      </c>
      <c r="C1966" s="45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97" t="s">
        <v>3442</v>
      </c>
    </row>
    <row r="1967" spans="1:10" ht="28.9" customHeight="1" thickTop="1" thickBot="1" x14ac:dyDescent="0.65">
      <c r="A1967" s="5">
        <v>1965</v>
      </c>
      <c r="B1967" s="46" t="str">
        <f>HYPERLINK("https://search.naver.com/search.naver?query=아델라인 멈춰진 시간 영화", "아델라인 - 멈춰진 시간")</f>
        <v>아델라인 - 멈춰진 시간</v>
      </c>
      <c r="C1967" s="47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98" t="s">
        <v>3440</v>
      </c>
    </row>
    <row r="1968" spans="1:10" ht="28.9" customHeight="1" thickTop="1" thickBot="1" x14ac:dyDescent="0.65">
      <c r="A1968" s="3">
        <v>1966</v>
      </c>
      <c r="B1968" s="44" t="str">
        <f>HYPERLINK("https://search.naver.com/search.naver?query=아르고 영화", "아르고")</f>
        <v>아르고</v>
      </c>
      <c r="C1968" s="45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97" t="s">
        <v>3439</v>
      </c>
    </row>
    <row r="1969" spans="1:10" ht="28.9" customHeight="1" thickTop="1" thickBot="1" x14ac:dyDescent="0.65">
      <c r="A1969" s="5">
        <v>1967</v>
      </c>
      <c r="B1969" s="46" t="str">
        <f>HYPERLINK("https://search.naver.com/search.naver?query=아르키메데스의 대전 영화", "아르키메데스의 대전")</f>
        <v>아르키메데스의 대전</v>
      </c>
      <c r="C1969" s="47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98" t="s">
        <v>3444</v>
      </c>
    </row>
    <row r="1970" spans="1:10" ht="28.9" customHeight="1" thickTop="1" thickBot="1" x14ac:dyDescent="0.65">
      <c r="A1970" s="3">
        <v>1968</v>
      </c>
      <c r="B1970" s="44" t="str">
        <f>HYPERLINK("https://search.naver.com/search.naver?query=아름다운 세상을 위하여 영화", "아름다운 세상을 위하여")</f>
        <v>아름다운 세상을 위하여</v>
      </c>
      <c r="C1970" s="45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97" t="s">
        <v>3458</v>
      </c>
    </row>
    <row r="1971" spans="1:10" ht="28.9" customHeight="1" thickTop="1" thickBot="1" x14ac:dyDescent="0.65">
      <c r="A1971" s="7">
        <v>1969</v>
      </c>
      <c r="B1971" s="48" t="str">
        <f>HYPERLINK("https://search.naver.com/search.naver?query=아리스 인 보더랜드 시즌1", "아리스 인 보더랜드 시즌1")</f>
        <v>아리스 인 보더랜드 시즌1</v>
      </c>
      <c r="C1971" s="49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99" t="s">
        <v>3436</v>
      </c>
    </row>
    <row r="1972" spans="1:10" ht="28.9" customHeight="1" thickTop="1" thickBot="1" x14ac:dyDescent="0.65">
      <c r="A1972" s="7">
        <v>1970</v>
      </c>
      <c r="B1972" s="48" t="str">
        <f>HYPERLINK("https://search.naver.com/search.naver?query=아리스 인 보더랜드 시즌2", "아리스 인 보더랜드 시즌2")</f>
        <v>아리스 인 보더랜드 시즌2</v>
      </c>
      <c r="C1972" s="49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99" t="s">
        <v>3445</v>
      </c>
    </row>
    <row r="1973" spans="1:10" ht="28.9" customHeight="1" thickTop="1" thickBot="1" x14ac:dyDescent="0.65">
      <c r="A1973" s="5">
        <v>1971</v>
      </c>
      <c r="B1973" s="46" t="str">
        <f>HYPERLINK("https://search.naver.com/search.naver?query=아마겟돈 타임 영화", "아마겟돈 타임")</f>
        <v>아마겟돈 타임</v>
      </c>
      <c r="C1973" s="47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98" t="s">
        <v>3445</v>
      </c>
    </row>
    <row r="1974" spans="1:10" ht="28.9" customHeight="1" thickTop="1" thickBot="1" x14ac:dyDescent="0.65">
      <c r="A1974" s="3">
        <v>1972</v>
      </c>
      <c r="B1974" s="44" t="str">
        <f>HYPERLINK("https://search.naver.com/search.naver?query=아말피 여신의 보수 영화", "아말피 여신의 보수")</f>
        <v>아말피 여신의 보수</v>
      </c>
      <c r="C1974" s="45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97" t="s">
        <v>3453</v>
      </c>
    </row>
    <row r="1975" spans="1:10" ht="28.9" customHeight="1" thickTop="1" thickBot="1" x14ac:dyDescent="0.65">
      <c r="A1975" s="5">
        <v>1973</v>
      </c>
      <c r="B1975" s="46" t="str">
        <f>HYPERLINK("https://search.naver.com/search.naver?query=아메리칸 영화", "아메리칸")</f>
        <v>아메리칸</v>
      </c>
      <c r="C1975" s="47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98" t="s">
        <v>3455</v>
      </c>
    </row>
    <row r="1976" spans="1:10" ht="28.9" customHeight="1" thickTop="1" thickBot="1" x14ac:dyDescent="0.65">
      <c r="A1976" s="3">
        <v>1974</v>
      </c>
      <c r="B1976" s="44" t="str">
        <f>HYPERLINK("https://search.naver.com/search.naver?query=아메리칸 갱스터 영화", "아메리칸 갱스터")</f>
        <v>아메리칸 갱스터</v>
      </c>
      <c r="C1976" s="45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97" t="s">
        <v>3447</v>
      </c>
    </row>
    <row r="1977" spans="1:10" ht="28.9" customHeight="1" thickTop="1" thickBot="1" x14ac:dyDescent="0.65">
      <c r="A1977" s="5">
        <v>1975</v>
      </c>
      <c r="B1977" s="46" t="str">
        <f>HYPERLINK("https://search.naver.com/search.naver?query=아메리칸 메이드 영화", "아메리칸 메이드")</f>
        <v>아메리칸 메이드</v>
      </c>
      <c r="C1977" s="47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98" t="s">
        <v>3443</v>
      </c>
    </row>
    <row r="1978" spans="1:10" ht="28.9" customHeight="1" thickTop="1" thickBot="1" x14ac:dyDescent="0.65">
      <c r="A1978" s="3">
        <v>1976</v>
      </c>
      <c r="B1978" s="44" t="str">
        <f>HYPERLINK("https://search.naver.com/search.naver?query=아메리칸 뷰티 영화", "아메리칸 뷰티")</f>
        <v>아메리칸 뷰티</v>
      </c>
      <c r="C1978" s="45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97" t="s">
        <v>3456</v>
      </c>
    </row>
    <row r="1979" spans="1:10" ht="28.9" customHeight="1" thickTop="1" thickBot="1" x14ac:dyDescent="0.65">
      <c r="A1979" s="5">
        <v>1977</v>
      </c>
      <c r="B1979" s="46" t="str">
        <f>HYPERLINK("https://search.naver.com/search.naver?query=아메리칸 스나이퍼 영화", "아메리칸 스나이퍼")</f>
        <v>아메리칸 스나이퍼</v>
      </c>
      <c r="C1979" s="47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98" t="s">
        <v>3437</v>
      </c>
    </row>
    <row r="1980" spans="1:10" ht="28.9" customHeight="1" thickTop="1" thickBot="1" x14ac:dyDescent="0.65">
      <c r="A1980" s="3">
        <v>1978</v>
      </c>
      <c r="B1980" s="44" t="str">
        <f>HYPERLINK("https://search.naver.com/search.naver?query=아메리칸 우먼 영화", "아메리칸 우먼")</f>
        <v>아메리칸 우먼</v>
      </c>
      <c r="C1980" s="45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97" t="s">
        <v>3442</v>
      </c>
    </row>
    <row r="1981" spans="1:10" ht="28.9" customHeight="1" thickTop="1" thickBot="1" x14ac:dyDescent="0.65">
      <c r="A1981" s="5">
        <v>1979</v>
      </c>
      <c r="B1981" s="46" t="str">
        <f>HYPERLINK("https://search.naver.com/search.naver?query=아메리칸 크라임 영화", "아메리칸 크라임")</f>
        <v>아메리칸 크라임</v>
      </c>
      <c r="C1981" s="47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98" t="s">
        <v>3447</v>
      </c>
    </row>
    <row r="1982" spans="1:10" ht="28.9" customHeight="1" thickTop="1" thickBot="1" x14ac:dyDescent="0.65">
      <c r="A1982" s="3">
        <v>1980</v>
      </c>
      <c r="B1982" s="44" t="str">
        <f>HYPERLINK("https://search.naver.com/search.naver?query=아메리칸 트레이터 영화", "아메리칸 트레이터")</f>
        <v>아메리칸 트레이터</v>
      </c>
      <c r="C1982" s="45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97" t="s">
        <v>3438</v>
      </c>
    </row>
    <row r="1983" spans="1:10" ht="28.9" customHeight="1" thickTop="1" thickBot="1" x14ac:dyDescent="0.65">
      <c r="A1983" s="5">
        <v>1981</v>
      </c>
      <c r="B1983" s="46" t="str">
        <f>HYPERLINK("https://search.naver.com/search.naver?query=아메리칸 패스토럴 영화", "아메리칸 패스토럴")</f>
        <v>아메리칸 패스토럴</v>
      </c>
      <c r="C1983" s="47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98" t="s">
        <v>3441</v>
      </c>
    </row>
    <row r="1984" spans="1:10" ht="28.9" customHeight="1" thickTop="1" thickBot="1" x14ac:dyDescent="0.65">
      <c r="A1984" s="3">
        <v>1982</v>
      </c>
      <c r="B1984" s="44" t="str">
        <f>HYPERLINK("https://search.naver.com/search.naver?query=아메리칸 허슬 영화", "아메리칸 허슬")</f>
        <v>아메리칸 허슬</v>
      </c>
      <c r="C1984" s="45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97" t="s">
        <v>3451</v>
      </c>
    </row>
    <row r="1985" spans="1:10" ht="28.9" customHeight="1" thickTop="1" thickBot="1" x14ac:dyDescent="0.65">
      <c r="A1985" s="5">
        <v>1983</v>
      </c>
      <c r="B1985" s="46" t="str">
        <f>HYPERLINK("https://search.naver.com/search.naver?query=아멜리에 하늘을 사랑한 여인 영화", "아멜리에 - 하늘을 사랑한 여인")</f>
        <v>아멜리에 - 하늘을 사랑한 여인</v>
      </c>
      <c r="C1985" s="47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98" t="s">
        <v>3453</v>
      </c>
    </row>
    <row r="1986" spans="1:10" ht="28.9" customHeight="1" thickTop="1" thickBot="1" x14ac:dyDescent="0.65">
      <c r="A1986" s="3">
        <v>1984</v>
      </c>
      <c r="B1986" s="44" t="str">
        <f>HYPERLINK("https://search.naver.com/search.naver?query=아무도 모른다 영화", "아무도 모른다")</f>
        <v>아무도 모른다</v>
      </c>
      <c r="C1986" s="45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97" t="s">
        <v>3462</v>
      </c>
    </row>
    <row r="1987" spans="1:10" ht="28.9" customHeight="1" thickTop="1" thickBot="1" x14ac:dyDescent="0.65">
      <c r="A1987" s="5">
        <v>1985</v>
      </c>
      <c r="B1987" s="46" t="str">
        <f>HYPERLINK("https://search.naver.com/search.naver?query=아무르 영화", "아무르")</f>
        <v>아무르</v>
      </c>
      <c r="C1987" s="47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98" t="s">
        <v>3439</v>
      </c>
    </row>
    <row r="1988" spans="1:10" ht="28.9" customHeight="1" thickTop="1" thickBot="1" x14ac:dyDescent="0.65">
      <c r="A1988" s="3">
        <v>1986</v>
      </c>
      <c r="B1988" s="44" t="str">
        <f>HYPERLINK("https://search.naver.com/search.naver?query=아미스타드 영화", "아미스타드")</f>
        <v>아미스타드</v>
      </c>
      <c r="C1988" s="45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97" t="s">
        <v>3470</v>
      </c>
    </row>
    <row r="1989" spans="1:10" ht="28.9" customHeight="1" thickTop="1" thickBot="1" x14ac:dyDescent="0.65">
      <c r="A1989" s="5">
        <v>1987</v>
      </c>
      <c r="B1989" s="46" t="str">
        <f>HYPERLINK("https://search.naver.com/search.naver?query=아버지와 이토씨 영화", "아버지와 이토씨")</f>
        <v>아버지와 이토씨</v>
      </c>
      <c r="C1989" s="47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98" t="s">
        <v>3443</v>
      </c>
    </row>
    <row r="1990" spans="1:10" ht="28.9" customHeight="1" thickTop="1" thickBot="1" x14ac:dyDescent="0.65">
      <c r="A1990" s="3">
        <v>1988</v>
      </c>
      <c r="B1990" s="44" t="str">
        <f>HYPERLINK("https://search.naver.com/search.naver?query=아버지의 깃발 영화", "아버지의 깃발")</f>
        <v>아버지의 깃발</v>
      </c>
      <c r="C1990" s="45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97" t="s">
        <v>3460</v>
      </c>
    </row>
    <row r="1991" spans="1:10" ht="28.9" customHeight="1" thickTop="1" thickBot="1" x14ac:dyDescent="0.65">
      <c r="A1991" s="5">
        <v>1989</v>
      </c>
      <c r="B1991" s="46" t="str">
        <f>HYPERLINK("https://search.naver.com/search.naver?query=아비트라지 영화", "아비트라지")</f>
        <v>아비트라지</v>
      </c>
      <c r="C1991" s="47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98" t="s">
        <v>3439</v>
      </c>
    </row>
    <row r="1992" spans="1:10" ht="28.9" customHeight="1" thickTop="1" thickBot="1" x14ac:dyDescent="0.65">
      <c r="A1992" s="3">
        <v>1990</v>
      </c>
      <c r="B1992" s="44" t="str">
        <f>HYPERLINK("https://search.naver.com/search.naver?query=아빠가 되는 중 영화", "아빠가 되는 중")</f>
        <v>아빠가 되는 중</v>
      </c>
      <c r="C1992" s="45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97" t="s">
        <v>3438</v>
      </c>
    </row>
    <row r="1993" spans="1:10" ht="28.9" customHeight="1" thickTop="1" thickBot="1" x14ac:dyDescent="0.65">
      <c r="A1993" s="5">
        <v>1991</v>
      </c>
      <c r="B1993" s="46" t="str">
        <f>HYPERLINK("https://search.naver.com/search.naver?query=아빠는 딸 영화", "아빠는 딸")</f>
        <v>아빠는 딸</v>
      </c>
      <c r="C1993" s="47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98" t="s">
        <v>3443</v>
      </c>
    </row>
    <row r="1994" spans="1:10" ht="28.9" customHeight="1" thickTop="1" thickBot="1" x14ac:dyDescent="0.65">
      <c r="A1994" s="3">
        <v>1992</v>
      </c>
      <c r="B1994" s="44" t="str">
        <f>HYPERLINK("https://search.naver.com/search.naver?query=아빠의 바이올린 영화", "아빠의 바이올린")</f>
        <v>아빠의 바이올린</v>
      </c>
      <c r="C1994" s="45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97" t="s">
        <v>3445</v>
      </c>
    </row>
    <row r="1995" spans="1:10" ht="28.9" customHeight="1" thickTop="1" thickBot="1" x14ac:dyDescent="0.65">
      <c r="A1995" s="5">
        <v>1993</v>
      </c>
      <c r="B1995" s="46" t="str">
        <f>HYPERLINK("https://search.naver.com/search.naver?query=아사코 영화", "아사코")</f>
        <v>아사코</v>
      </c>
      <c r="C1995" s="47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98" t="s">
        <v>3442</v>
      </c>
    </row>
    <row r="1996" spans="1:10" ht="28.9" customHeight="1" thickTop="1" thickBot="1" x14ac:dyDescent="0.65">
      <c r="A1996" s="3">
        <v>1994</v>
      </c>
      <c r="B1996" s="44" t="str">
        <f>HYPERLINK("https://search.naver.com/search.naver?query=아서 영화", "아서")</f>
        <v>아서</v>
      </c>
      <c r="C1996" s="45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97" t="s">
        <v>3448</v>
      </c>
    </row>
    <row r="1997" spans="1:10" ht="28.9" customHeight="1" thickTop="1" thickBot="1" x14ac:dyDescent="0.65">
      <c r="A1997" s="5">
        <v>1995</v>
      </c>
      <c r="B1997" s="46" t="str">
        <f>HYPERLINK("https://search.naver.com/search.naver?query=아수라 영화", "아수라")</f>
        <v>아수라</v>
      </c>
      <c r="C1997" s="47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98" t="s">
        <v>3441</v>
      </c>
    </row>
    <row r="1998" spans="1:10" ht="28.9" customHeight="1" thickTop="1" thickBot="1" x14ac:dyDescent="0.65">
      <c r="A1998" s="7">
        <v>1996</v>
      </c>
      <c r="B1998" s="48" t="str">
        <f>HYPERLINK("https://search.naver.com/search.naver?query=아웃랜더 시즌1", "아웃랜더 시즌1")</f>
        <v>아웃랜더 시즌1</v>
      </c>
      <c r="C1998" s="49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99" t="s">
        <v>3437</v>
      </c>
    </row>
    <row r="1999" spans="1:10" ht="28.9" customHeight="1" thickTop="1" thickBot="1" x14ac:dyDescent="0.65">
      <c r="A1999" s="7">
        <v>1997</v>
      </c>
      <c r="B1999" s="48" t="str">
        <f>HYPERLINK("https://search.naver.com/search.naver?query=아웃랜더 시즌2", "아웃랜더 시즌2")</f>
        <v>아웃랜더 시즌2</v>
      </c>
      <c r="C1999" s="49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99" t="s">
        <v>3441</v>
      </c>
    </row>
    <row r="2000" spans="1:10" ht="28.9" customHeight="1" thickTop="1" thickBot="1" x14ac:dyDescent="0.65">
      <c r="A2000" s="7">
        <v>1998</v>
      </c>
      <c r="B2000" s="48" t="str">
        <f>HYPERLINK("https://search.naver.com/search.naver?query=아웃랜더 시즌3", "아웃랜더 시즌3")</f>
        <v>아웃랜더 시즌3</v>
      </c>
      <c r="C2000" s="49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99" t="s">
        <v>3443</v>
      </c>
    </row>
    <row r="2001" spans="1:10" ht="28.9" customHeight="1" thickTop="1" thickBot="1" x14ac:dyDescent="0.65">
      <c r="A2001" s="7">
        <v>1999</v>
      </c>
      <c r="B2001" s="48" t="str">
        <f>HYPERLINK("https://search.naver.com/search.naver?query=아웃랜더 시즌4", "아웃랜더 시즌4")</f>
        <v>아웃랜더 시즌4</v>
      </c>
      <c r="C2001" s="49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99" t="s">
        <v>3444</v>
      </c>
    </row>
    <row r="2002" spans="1:10" ht="28.9" customHeight="1" thickTop="1" thickBot="1" x14ac:dyDescent="0.65">
      <c r="A2002" s="7">
        <v>2000</v>
      </c>
      <c r="B2002" s="48" t="str">
        <f>HYPERLINK("https://search.naver.com/search.naver?query=아웃랜더 시즌5", "아웃랜더 시즌5")</f>
        <v>아웃랜더 시즌5</v>
      </c>
      <c r="C2002" s="49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99" t="s">
        <v>3436</v>
      </c>
    </row>
    <row r="2003" spans="1:10" ht="28.9" customHeight="1" thickTop="1" thickBot="1" x14ac:dyDescent="0.65">
      <c r="A2003" s="7">
        <v>2001</v>
      </c>
      <c r="B2003" s="48" t="str">
        <f>HYPERLINK("https://search.naver.com/search.naver?query=아웃랜더 시즌6", "아웃랜더 시즌6")</f>
        <v>아웃랜더 시즌6</v>
      </c>
      <c r="C2003" s="49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99" t="s">
        <v>3445</v>
      </c>
    </row>
    <row r="2004" spans="1:10" ht="28.9" customHeight="1" thickTop="1" thickBot="1" x14ac:dyDescent="0.65">
      <c r="A2004" s="7">
        <v>2002</v>
      </c>
      <c r="B2004" s="48" t="str">
        <f>HYPERLINK("https://search.naver.com/search.naver?query=아웃랜더 시즌7", "아웃랜더 시즌7")</f>
        <v>아웃랜더 시즌7</v>
      </c>
      <c r="C2004" s="49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99" t="s">
        <v>3448</v>
      </c>
    </row>
    <row r="2005" spans="1:10" ht="28.9" customHeight="1" thickTop="1" thickBot="1" x14ac:dyDescent="0.65">
      <c r="A2005" s="5">
        <v>2003</v>
      </c>
      <c r="B2005" s="46" t="str">
        <f>HYPERLINK("https://search.naver.com/search.naver?query=아웃레이지 영화", "아웃레이지")</f>
        <v>아웃레이지</v>
      </c>
      <c r="C2005" s="47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98" t="s">
        <v>3455</v>
      </c>
    </row>
    <row r="2006" spans="1:10" ht="28.9" customHeight="1" thickTop="1" thickBot="1" x14ac:dyDescent="0.65">
      <c r="A2006" s="3">
        <v>2004</v>
      </c>
      <c r="B2006" s="44" t="str">
        <f>HYPERLINK("https://search.naver.com/search.naver?query=아웃레이지 파이널 영화", "아웃레이지 파이널")</f>
        <v>아웃레이지 파이널</v>
      </c>
      <c r="C2006" s="45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97" t="s">
        <v>3443</v>
      </c>
    </row>
    <row r="2007" spans="1:10" ht="28.9" customHeight="1" thickTop="1" thickBot="1" x14ac:dyDescent="0.65">
      <c r="A2007" s="5">
        <v>2005</v>
      </c>
      <c r="B2007" s="46" t="str">
        <f>HYPERLINK("https://search.naver.com/search.naver?query=아웃로 킹 영화", "아웃로 킹")</f>
        <v>아웃로 킹</v>
      </c>
      <c r="C2007" s="47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98" t="s">
        <v>3442</v>
      </c>
    </row>
    <row r="2008" spans="1:10" ht="28.9" customHeight="1" thickTop="1" thickBot="1" x14ac:dyDescent="0.65">
      <c r="A2008" s="3">
        <v>2006</v>
      </c>
      <c r="B2008" s="44" t="str">
        <f>HYPERLINK("https://search.naver.com/search.naver?query=아웃브레이크 영화", "아웃브레이크")</f>
        <v>아웃브레이크</v>
      </c>
      <c r="C2008" s="45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97" t="s">
        <v>3475</v>
      </c>
    </row>
    <row r="2009" spans="1:10" ht="28.9" customHeight="1" thickTop="1" thickBot="1" x14ac:dyDescent="0.65">
      <c r="A2009" s="5">
        <v>2007</v>
      </c>
      <c r="B2009" s="46" t="str">
        <f>HYPERLINK("https://search.naver.com/search.naver?query=아웃사이더 영화", "아웃사이더")</f>
        <v>아웃사이더</v>
      </c>
      <c r="C2009" s="47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98" t="s">
        <v>3442</v>
      </c>
    </row>
    <row r="2010" spans="1:10" ht="28.9" customHeight="1" thickTop="1" thickBot="1" x14ac:dyDescent="0.65">
      <c r="A2010" s="3">
        <v>2008</v>
      </c>
      <c r="B2010" s="44" t="str">
        <f>HYPERLINK("https://search.naver.com/search.naver?query=아웃사이드 더 와이어 영화", "아웃사이드 더 와이어")</f>
        <v>아웃사이드 더 와이어</v>
      </c>
      <c r="C2010" s="45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97" t="s">
        <v>3438</v>
      </c>
    </row>
    <row r="2011" spans="1:10" ht="28.9" customHeight="1" thickTop="1" thickBot="1" x14ac:dyDescent="0.65">
      <c r="A2011" s="5">
        <v>2009</v>
      </c>
      <c r="B2011" s="46" t="str">
        <f>HYPERLINK("https://search.naver.com/search.naver?query=아웃오브타임 영화", "아웃오브타임")</f>
        <v>아웃오브타임</v>
      </c>
      <c r="C2011" s="47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98" t="s">
        <v>3449</v>
      </c>
    </row>
    <row r="2012" spans="1:10" ht="28.9" customHeight="1" thickTop="1" thickBot="1" x14ac:dyDescent="0.65">
      <c r="A2012" s="7">
        <v>2010</v>
      </c>
      <c r="B2012" s="48" t="str">
        <f>HYPERLINK("https://search.naver.com/search.naver?query=아워 걸 시즌2", "아워 걸 시즌2")</f>
        <v>아워 걸 시즌2</v>
      </c>
      <c r="C2012" s="49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99" t="s">
        <v>3441</v>
      </c>
    </row>
    <row r="2013" spans="1:10" ht="28.9" customHeight="1" thickTop="1" thickBot="1" x14ac:dyDescent="0.65">
      <c r="A2013" s="5">
        <v>2011</v>
      </c>
      <c r="B2013" s="46" t="str">
        <f>HYPERLINK("https://search.naver.com/search.naver?query=아워 이디엇 브라더 영화", "아워 이디엇 브라더")</f>
        <v>아워 이디엇 브라더</v>
      </c>
      <c r="C2013" s="47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98" t="s">
        <v>3454</v>
      </c>
    </row>
    <row r="2014" spans="1:10" ht="28.9" customHeight="1" thickTop="1" thickBot="1" x14ac:dyDescent="0.65">
      <c r="A2014" s="3">
        <v>2012</v>
      </c>
      <c r="B2014" s="44" t="str">
        <f>HYPERLINK("https://search.naver.com/search.naver?query=아워즈 영화", "아워즈")</f>
        <v>아워즈</v>
      </c>
      <c r="C2014" s="45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97" t="s">
        <v>3466</v>
      </c>
    </row>
    <row r="2015" spans="1:10" ht="28.9" customHeight="1" thickTop="1" thickBot="1" x14ac:dyDescent="0.65">
      <c r="A2015" s="5">
        <v>2013</v>
      </c>
      <c r="B2015" s="46" t="str">
        <f>HYPERLINK("https://search.naver.com/search.naver?query=아이2021", "아이")</f>
        <v>아이</v>
      </c>
      <c r="C2015" s="47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98" t="s">
        <v>3438</v>
      </c>
    </row>
    <row r="2016" spans="1:10" ht="28.9" customHeight="1" thickTop="1" thickBot="1" x14ac:dyDescent="0.65">
      <c r="A2016" s="7">
        <v>2014</v>
      </c>
      <c r="B2016" s="48" t="str">
        <f>HYPERLINK("https://search.naver.com/search.naver?query=아이 러브 유", "아이 러브 유")</f>
        <v>아이 러브 유</v>
      </c>
      <c r="C2016" s="49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99" t="s">
        <v>3448</v>
      </c>
    </row>
    <row r="2017" spans="1:10" ht="28.9" customHeight="1" thickTop="1" thickBot="1" x14ac:dyDescent="0.65">
      <c r="A2017" s="5">
        <v>2015</v>
      </c>
      <c r="B2017" s="46" t="str">
        <f>HYPERLINK("https://search.naver.com/search.naver?query=아이 소우 더 라이트 영화", "아이 소우 더 라이트")</f>
        <v>아이 소우 더 라이트</v>
      </c>
      <c r="C2017" s="47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98" t="s">
        <v>3441</v>
      </c>
    </row>
    <row r="2018" spans="1:10" ht="28.9" customHeight="1" thickTop="1" thickBot="1" x14ac:dyDescent="0.65">
      <c r="A2018" s="3">
        <v>2016</v>
      </c>
      <c r="B2018" s="44" t="str">
        <f>HYPERLINK("https://search.naver.com/search.naver?query=아이 씨 유 영화", "아이 씨 유")</f>
        <v>아이 씨 유</v>
      </c>
      <c r="C2018" s="45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97" t="s">
        <v>3444</v>
      </c>
    </row>
    <row r="2019" spans="1:10" ht="28.9" customHeight="1" thickTop="1" thickBot="1" x14ac:dyDescent="0.65">
      <c r="A2019" s="5">
        <v>2017</v>
      </c>
      <c r="B2019" s="46" t="str">
        <f>HYPERLINK("https://search.naver.com/search.naver?query=아이 엠 러브 영화", "아이 엠 러브")</f>
        <v>아이 엠 러브</v>
      </c>
      <c r="C2019" s="47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98" t="s">
        <v>3453</v>
      </c>
    </row>
    <row r="2020" spans="1:10" ht="28.9" customHeight="1" thickTop="1" thickBot="1" x14ac:dyDescent="0.65">
      <c r="A2020" s="3">
        <v>2018</v>
      </c>
      <c r="B2020" s="44" t="str">
        <f>HYPERLINK("https://search.naver.com/search.naver?query=아이 엠 마더 영화", "아이 엠 마더")</f>
        <v>아이 엠 마더</v>
      </c>
      <c r="C2020" s="45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97" t="s">
        <v>3444</v>
      </c>
    </row>
    <row r="2021" spans="1:10" ht="28.9" customHeight="1" thickTop="1" thickBot="1" x14ac:dyDescent="0.65">
      <c r="A2021" s="5">
        <v>2019</v>
      </c>
      <c r="B2021" s="46" t="str">
        <f>HYPERLINK("https://search.naver.com/search.naver?query=아이 오리진스 영화", "아이 오리진스")</f>
        <v>아이 오리진스</v>
      </c>
      <c r="C2021" s="47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98" t="s">
        <v>3437</v>
      </c>
    </row>
    <row r="2022" spans="1:10" ht="28.9" customHeight="1" thickTop="1" thickBot="1" x14ac:dyDescent="0.65">
      <c r="A2022" s="3">
        <v>2020</v>
      </c>
      <c r="B2022" s="44" t="str">
        <f>HYPERLINK("https://search.naver.com/search.naver?query=아이 인 더 스카이 영화", "아이 인 더 스카이")</f>
        <v>아이 인 더 스카이</v>
      </c>
      <c r="C2022" s="45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97" t="s">
        <v>3440</v>
      </c>
    </row>
    <row r="2023" spans="1:10" ht="28.9" customHeight="1" thickTop="1" thickBot="1" x14ac:dyDescent="0.65">
      <c r="A2023" s="5">
        <v>2021</v>
      </c>
      <c r="B2023" s="46" t="str">
        <f>HYPERLINK("https://search.naver.com/search.naver?query=아이 캔 스피크 영화", "아이 캔 스피크")</f>
        <v>아이 캔 스피크</v>
      </c>
      <c r="C2023" s="47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98" t="s">
        <v>3443</v>
      </c>
    </row>
    <row r="2024" spans="1:10" ht="28.9" customHeight="1" thickTop="1" thickBot="1" x14ac:dyDescent="0.65">
      <c r="A2024" s="3">
        <v>2022</v>
      </c>
      <c r="B2024" s="44" t="str">
        <f>HYPERLINK("https://search.naver.com/search.naver?query=아이 캔 온리 이매진 영화", "아이 캔 온리 이매진")</f>
        <v>아이 캔 온리 이매진</v>
      </c>
      <c r="C2024" s="45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97" t="s">
        <v>3442</v>
      </c>
    </row>
    <row r="2025" spans="1:10" ht="28.9" customHeight="1" thickTop="1" thickBot="1" x14ac:dyDescent="0.65">
      <c r="A2025" s="5">
        <v>2023</v>
      </c>
      <c r="B2025" s="46" t="str">
        <f>HYPERLINK("https://search.naver.com/search.naver?query=아이 필 프리티 영화", "아이 필 프리티")</f>
        <v>아이 필 프리티</v>
      </c>
      <c r="C2025" s="47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98" t="s">
        <v>3442</v>
      </c>
    </row>
    <row r="2026" spans="1:10" ht="28.9" customHeight="1" thickTop="1" thickBot="1" x14ac:dyDescent="0.65">
      <c r="A2026" s="3">
        <v>2024</v>
      </c>
      <c r="B2026" s="44" t="str">
        <f>HYPERLINK("https://search.naver.com/search.naver?query=아이, 토냐 영화", "아이, 토냐")</f>
        <v>아이, 토냐</v>
      </c>
      <c r="C2026" s="45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97" t="s">
        <v>3443</v>
      </c>
    </row>
    <row r="2027" spans="1:10" ht="28.9" customHeight="1" thickTop="1" thickBot="1" x14ac:dyDescent="0.65">
      <c r="A2027" s="5">
        <v>2025</v>
      </c>
      <c r="B2027" s="46" t="str">
        <f>HYPERLINK("https://search.naver.com/search.naver?query=아이덴티티 영화", "아이덴티티")</f>
        <v>아이덴티티</v>
      </c>
      <c r="C2027" s="47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98" t="s">
        <v>3449</v>
      </c>
    </row>
    <row r="2028" spans="1:10" ht="28.9" customHeight="1" thickTop="1" thickBot="1" x14ac:dyDescent="0.65">
      <c r="A2028" s="3">
        <v>2026</v>
      </c>
      <c r="B2028" s="44" t="str">
        <f>HYPERLINK("https://search.naver.com/search.naver?query=아이리시맨 영화", "아이리시맨")</f>
        <v>아이리시맨</v>
      </c>
      <c r="C2028" s="45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97" t="s">
        <v>3444</v>
      </c>
    </row>
    <row r="2029" spans="1:10" ht="28.9" customHeight="1" thickTop="1" thickBot="1" x14ac:dyDescent="0.65">
      <c r="A2029" s="5">
        <v>2027</v>
      </c>
      <c r="B2029" s="46" t="str">
        <f>HYPERLINK("https://search.naver.com/search.naver?query=아이스 로드 영화", "아이스 로드")</f>
        <v>아이스 로드</v>
      </c>
      <c r="C2029" s="47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98" t="s">
        <v>3438</v>
      </c>
    </row>
    <row r="2030" spans="1:10" ht="28.9" customHeight="1" thickTop="1" thickBot="1" x14ac:dyDescent="0.65">
      <c r="A2030" s="3">
        <v>2028</v>
      </c>
      <c r="B2030" s="44" t="str">
        <f>HYPERLINK("https://search.naver.com/search.naver?query=아이스 로드 벤전스 영화", "아이스 로드-벤전스")</f>
        <v>아이스 로드-벤전스</v>
      </c>
      <c r="C2030" s="45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97" t="s">
        <v>3459</v>
      </c>
    </row>
    <row r="2031" spans="1:10" ht="28.9" customHeight="1" thickTop="1" thickBot="1" x14ac:dyDescent="0.65">
      <c r="A2031" s="5">
        <v>2029</v>
      </c>
      <c r="B2031" s="46" t="str">
        <f>HYPERLINK("https://search.naver.com/search.naver?query=아이엠히어 영화", "아이엠히어")</f>
        <v>아이엠히어</v>
      </c>
      <c r="C2031" s="47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98" t="s">
        <v>3436</v>
      </c>
    </row>
    <row r="2032" spans="1:10" ht="28.9" customHeight="1" thickTop="1" thickBot="1" x14ac:dyDescent="0.65">
      <c r="A2032" s="3">
        <v>2030</v>
      </c>
      <c r="B2032" s="44" t="str">
        <f>HYPERLINK("https://search.naver.com/search.naver?query=아이즈 와이드 셧 영화", "아이즈 와이드 셧")</f>
        <v>아이즈 와이드 셧</v>
      </c>
      <c r="C2032" s="45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97" t="s">
        <v>3456</v>
      </c>
    </row>
    <row r="2033" spans="1:10" ht="28.9" customHeight="1" thickTop="1" thickBot="1" x14ac:dyDescent="0.65">
      <c r="A2033" s="5">
        <v>2031</v>
      </c>
      <c r="B2033" s="46" t="str">
        <f>HYPERLINK("https://search.naver.com/search.naver?query=아일라 영화", "아일라")</f>
        <v>아일라</v>
      </c>
      <c r="C2033" s="47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98" t="s">
        <v>3443</v>
      </c>
    </row>
    <row r="2034" spans="1:10" ht="28.9" customHeight="1" thickTop="1" thickBot="1" x14ac:dyDescent="0.65">
      <c r="A2034" s="3">
        <v>2032</v>
      </c>
      <c r="B2034" s="44" t="str">
        <f>HYPERLINK("https://search.naver.com/search.naver?query=아임 유어 우먼 영화", "아임 유어 우먼")</f>
        <v>아임 유어 우먼</v>
      </c>
      <c r="C2034" s="45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97" t="s">
        <v>3436</v>
      </c>
    </row>
    <row r="2035" spans="1:10" ht="28.9" customHeight="1" thickTop="1" thickBot="1" x14ac:dyDescent="0.65">
      <c r="A2035" s="5">
        <v>2033</v>
      </c>
      <c r="B2035" s="46" t="str">
        <f>HYPERLINK("https://search.naver.com/search.naver?query=아주 긴 변명 영화", "아주 긴 변명")</f>
        <v>아주 긴 변명</v>
      </c>
      <c r="C2035" s="47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98" t="s">
        <v>3441</v>
      </c>
    </row>
    <row r="2036" spans="1:10" ht="28.9" customHeight="1" thickTop="1" thickBot="1" x14ac:dyDescent="0.65">
      <c r="A2036" s="3">
        <v>2034</v>
      </c>
      <c r="B2036" s="44" t="str">
        <f>HYPERLINK("https://search.naver.com/search.naver?query=아직 끝나지 않았다 영화", "아직 끝나지 않았다")</f>
        <v>아직 끝나지 않았다</v>
      </c>
      <c r="C2036" s="45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97" t="s">
        <v>3442</v>
      </c>
    </row>
    <row r="2037" spans="1:10" ht="28.9" customHeight="1" thickTop="1" thickBot="1" x14ac:dyDescent="0.65">
      <c r="A2037" s="5">
        <v>2035</v>
      </c>
      <c r="B2037" s="46" t="str">
        <f>HYPERLINK("https://search.naver.com/search.naver?query=아쿠아맨 영화", "아쿠아맨")</f>
        <v>아쿠아맨</v>
      </c>
      <c r="C2037" s="47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98" t="s">
        <v>3442</v>
      </c>
    </row>
    <row r="2038" spans="1:10" ht="28.9" customHeight="1" thickTop="1" thickBot="1" x14ac:dyDescent="0.65">
      <c r="A2038" s="3">
        <v>2036</v>
      </c>
      <c r="B2038" s="44" t="str">
        <f>HYPERLINK("https://search.naver.com/search.naver?query=아킬레스와 거북이 영화", "아킬레스와 거북이")</f>
        <v>아킬레스와 거북이</v>
      </c>
      <c r="C2038" s="45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97" t="s">
        <v>3450</v>
      </c>
    </row>
    <row r="2039" spans="1:10" ht="28.9" customHeight="1" thickTop="1" thickBot="1" x14ac:dyDescent="0.65">
      <c r="A2039" s="5">
        <v>2037</v>
      </c>
      <c r="B2039" s="46" t="str">
        <f>HYPERLINK("https://search.naver.com/search.naver?query=아트 오브 레이싱 인 더 레인 영화", "아트 오브 레이싱 인 더 레인")</f>
        <v>아트 오브 레이싱 인 더 레인</v>
      </c>
      <c r="C2039" s="47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98" t="s">
        <v>3444</v>
      </c>
    </row>
    <row r="2040" spans="1:10" ht="28.9" customHeight="1" thickTop="1" thickBot="1" x14ac:dyDescent="0.65">
      <c r="A2040" s="3">
        <v>2038</v>
      </c>
      <c r="B2040" s="44" t="str">
        <f>HYPERLINK("https://search.naver.com/search.naver?query=아티스트 영화", "아티스트")</f>
        <v>아티스트</v>
      </c>
      <c r="C2040" s="45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97" t="s">
        <v>3454</v>
      </c>
    </row>
    <row r="2041" spans="1:10" ht="28.9" customHeight="1" thickTop="1" thickBot="1" x14ac:dyDescent="0.65">
      <c r="A2041" s="5">
        <v>2039</v>
      </c>
      <c r="B2041" s="46" t="str">
        <f>HYPERLINK("https://search.naver.com/search.naver?query=아틱 영화", "아틱")</f>
        <v>아틱</v>
      </c>
      <c r="C2041" s="47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98" t="s">
        <v>3442</v>
      </c>
    </row>
    <row r="2042" spans="1:10" ht="28.9" customHeight="1" thickTop="1" thickBot="1" x14ac:dyDescent="0.65">
      <c r="A2042" s="3">
        <v>2040</v>
      </c>
      <c r="B2042" s="44" t="str">
        <f>HYPERLINK("https://search.naver.com/search.naver?query=악녀 영화", "악녀")</f>
        <v>악녀</v>
      </c>
      <c r="C2042" s="45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97" t="s">
        <v>3443</v>
      </c>
    </row>
    <row r="2043" spans="1:10" ht="28.9" customHeight="1" thickTop="1" thickBot="1" x14ac:dyDescent="0.65">
      <c r="A2043" s="5">
        <v>2041</v>
      </c>
      <c r="B2043" s="46" t="str">
        <f>HYPERLINK("https://search.naver.com/search.naver?query=악마가 너의 죽음을 알기 전에 영화", "악마가 너의 죽음을 알기 전에")</f>
        <v>악마가 너의 죽음을 알기 전에</v>
      </c>
      <c r="C2043" s="47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98" t="s">
        <v>3447</v>
      </c>
    </row>
    <row r="2044" spans="1:10" ht="28.9" customHeight="1" thickTop="1" thickBot="1" x14ac:dyDescent="0.65">
      <c r="A2044" s="3">
        <v>2042</v>
      </c>
      <c r="B2044" s="44" t="str">
        <f>HYPERLINK("https://search.naver.com/search.naver?query=악마는 프라다를 입는다 영화", "악마는 프라다를 입는다")</f>
        <v>악마는 프라다를 입는다</v>
      </c>
      <c r="C2044" s="45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97" t="s">
        <v>3460</v>
      </c>
    </row>
    <row r="2045" spans="1:10" ht="28.9" customHeight="1" thickTop="1" thickBot="1" x14ac:dyDescent="0.65">
      <c r="A2045" s="5">
        <v>2043</v>
      </c>
      <c r="B2045" s="46" t="str">
        <f>HYPERLINK("https://search.naver.com/search.naver?query=악마를 보았다 영화", "악마를 보았다")</f>
        <v>악마를 보았다</v>
      </c>
      <c r="C2045" s="47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98" t="s">
        <v>3455</v>
      </c>
    </row>
    <row r="2046" spans="1:10" ht="28.9" customHeight="1" thickTop="1" thickBot="1" x14ac:dyDescent="0.65">
      <c r="A2046" s="3">
        <v>2044</v>
      </c>
      <c r="B2046" s="44" t="str">
        <f>HYPERLINK("https://search.naver.com/search.naver?query=악은 존재하지 않는다 영화", "악은 존재하지 않는다")</f>
        <v>악은 존재하지 않는다</v>
      </c>
      <c r="C2046" s="45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97" t="s">
        <v>3446</v>
      </c>
    </row>
    <row r="2047" spans="1:10" ht="28.9" customHeight="1" thickTop="1" thickBot="1" x14ac:dyDescent="0.65">
      <c r="A2047" s="5">
        <v>2045</v>
      </c>
      <c r="B2047" s="46" t="str">
        <f>HYPERLINK("https://search.naver.com/search.naver?query=악의 도시 영화", "악의 도시")</f>
        <v>악의 도시</v>
      </c>
      <c r="C2047" s="47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98" t="s">
        <v>3440</v>
      </c>
    </row>
    <row r="2048" spans="1:10" ht="28.9" customHeight="1" thickTop="1" thickBot="1" x14ac:dyDescent="0.65">
      <c r="A2048" s="3">
        <v>2046</v>
      </c>
      <c r="B2048" s="44" t="str">
        <f>HYPERLINK("https://search.naver.com/search.naver?query=악의 연대기 영화", "악의 연대기")</f>
        <v>악의 연대기</v>
      </c>
      <c r="C2048" s="45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97" t="s">
        <v>3440</v>
      </c>
    </row>
    <row r="2049" spans="1:10" ht="28.9" customHeight="1" thickTop="1" thickBot="1" x14ac:dyDescent="0.65">
      <c r="A2049" s="5">
        <v>2047</v>
      </c>
      <c r="B2049" s="46" t="str">
        <f>HYPERLINK("https://search.naver.com/search.naver?query=악인 영화", "악인")</f>
        <v>악인</v>
      </c>
      <c r="C2049" s="47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98" t="s">
        <v>3454</v>
      </c>
    </row>
    <row r="2050" spans="1:10" ht="28.9" customHeight="1" thickTop="1" thickBot="1" x14ac:dyDescent="0.65">
      <c r="A2050" s="3">
        <v>2048</v>
      </c>
      <c r="B2050" s="44" t="str">
        <f>HYPERLINK("https://search.naver.com/search.naver?query=악인전 영화", "악인전")</f>
        <v>악인전</v>
      </c>
      <c r="C2050" s="45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97" t="s">
        <v>3442</v>
      </c>
    </row>
    <row r="2051" spans="1:10" ht="28.9" customHeight="1" thickTop="1" thickBot="1" x14ac:dyDescent="0.65">
      <c r="A2051" s="5">
        <v>2049</v>
      </c>
      <c r="B2051" s="46" t="str">
        <f>HYPERLINK("https://search.naver.com/search.naver?query=악질경찰", "악질경찰")</f>
        <v>악질경찰</v>
      </c>
      <c r="C2051" s="47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98" t="s">
        <v>3444</v>
      </c>
    </row>
    <row r="2052" spans="1:10" ht="28.9" customHeight="1" thickTop="1" thickBot="1" x14ac:dyDescent="0.65">
      <c r="A2052" s="3">
        <v>2050</v>
      </c>
      <c r="B2052" s="44" t="str">
        <f>HYPERLINK("https://search.naver.com/search.naver?query=안개 속 소녀 영화", "안개 속 소녀")</f>
        <v>안개 속 소녀</v>
      </c>
      <c r="C2052" s="45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97" t="s">
        <v>3443</v>
      </c>
    </row>
    <row r="2053" spans="1:10" ht="28.9" customHeight="1" thickTop="1" thickBot="1" x14ac:dyDescent="0.65">
      <c r="A2053" s="5">
        <v>2051</v>
      </c>
      <c r="B2053" s="46" t="str">
        <f>HYPERLINK("https://search.naver.com/search.naver?query=안개 속의 풍경 영화", "안개 속의 풍경")</f>
        <v>안개 속의 풍경</v>
      </c>
      <c r="C2053" s="47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98" t="s">
        <v>3483</v>
      </c>
    </row>
    <row r="2054" spans="1:10" ht="28.9" customHeight="1" thickTop="1" thickBot="1" x14ac:dyDescent="0.65">
      <c r="A2054" s="3">
        <v>2052</v>
      </c>
      <c r="B2054" s="44" t="str">
        <f>HYPERLINK("https://search.naver.com/search.naver?query=안나 영화", "안나")</f>
        <v>안나</v>
      </c>
      <c r="C2054" s="45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97" t="s">
        <v>3444</v>
      </c>
    </row>
    <row r="2055" spans="1:10" ht="28.9" customHeight="1" thickTop="1" thickBot="1" x14ac:dyDescent="0.65">
      <c r="A2055" s="5">
        <v>2053</v>
      </c>
      <c r="B2055" s="46" t="str">
        <f>HYPERLINK("https://search.naver.com/search.naver?query=안나푸르나 비욘드 써밋 영화", "안나푸르나 비욘드 써밋")</f>
        <v>안나푸르나 비욘드 써밋</v>
      </c>
      <c r="C2055" s="47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98" t="s">
        <v>3445</v>
      </c>
    </row>
    <row r="2056" spans="1:10" ht="28.9" customHeight="1" thickTop="1" thickBot="1" x14ac:dyDescent="0.65">
      <c r="A2056" s="7">
        <v>2054</v>
      </c>
      <c r="B2056" s="48" t="str">
        <f>HYPERLINK("https://search.naver.com/search.naver?query=안녕 마에스트로", "안녕 마에스트로")</f>
        <v>안녕 마에스트로</v>
      </c>
      <c r="C2056" s="49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99" t="s">
        <v>3448</v>
      </c>
    </row>
    <row r="2057" spans="1:10" ht="28.9" customHeight="1" thickTop="1" thickBot="1" x14ac:dyDescent="0.65">
      <c r="A2057" s="5">
        <v>2055</v>
      </c>
      <c r="B2057" s="46" t="str">
        <f>HYPERLINK("https://search.naver.com/search.naver?query=안녕 베일리 영화", "안녕 베일리")</f>
        <v>안녕 베일리</v>
      </c>
      <c r="C2057" s="47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98" t="s">
        <v>3444</v>
      </c>
    </row>
    <row r="2058" spans="1:10" ht="28.9" customHeight="1" thickTop="1" thickBot="1" x14ac:dyDescent="0.65">
      <c r="A2058" s="3">
        <v>2056</v>
      </c>
      <c r="B2058" s="44" t="str">
        <f>HYPERLINK("https://search.naver.com/search.naver?query=안녕, 나의 소울메이트2017", "안녕, 나의 소울메이트")</f>
        <v>안녕, 나의 소울메이트</v>
      </c>
      <c r="C2058" s="45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97" t="s">
        <v>3443</v>
      </c>
    </row>
    <row r="2059" spans="1:10" ht="28.9" customHeight="1" thickTop="1" thickBot="1" x14ac:dyDescent="0.65">
      <c r="A2059" s="5">
        <v>2057</v>
      </c>
      <c r="B2059" s="46" t="str">
        <f>HYPERLINK("https://search.naver.com/search.naver?query=안녕,헤이즐 영화", "안녕,헤이즐")</f>
        <v>안녕,헤이즐</v>
      </c>
      <c r="C2059" s="47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98" t="s">
        <v>3437</v>
      </c>
    </row>
    <row r="2060" spans="1:10" ht="28.9" customHeight="1" thickTop="1" thickBot="1" x14ac:dyDescent="0.65">
      <c r="A2060" s="3">
        <v>2058</v>
      </c>
      <c r="B2060" s="44" t="str">
        <f>HYPERLINK("https://search.naver.com/search.naver?query=안녕까지 30분 영화", "안녕까지 30분")</f>
        <v>안녕까지 30분</v>
      </c>
      <c r="C2060" s="45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97" t="s">
        <v>3436</v>
      </c>
    </row>
    <row r="2061" spans="1:10" ht="28.9" customHeight="1" thickTop="1" thickBot="1" x14ac:dyDescent="0.65">
      <c r="A2061" s="5">
        <v>2059</v>
      </c>
      <c r="B2061" s="46" t="str">
        <f>HYPERLINK("https://search.naver.com/search.naver?query=안시성 영화", "안시성")</f>
        <v>안시성</v>
      </c>
      <c r="C2061" s="47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98" t="s">
        <v>3442</v>
      </c>
    </row>
    <row r="2062" spans="1:10" ht="28.9" customHeight="1" thickTop="1" thickBot="1" x14ac:dyDescent="0.65">
      <c r="A2062" s="3">
        <v>2060</v>
      </c>
      <c r="B2062" s="44" t="str">
        <f>HYPERLINK("https://search.naver.com/search.naver?query=안전은 보장할 수 없음 영화", "안전은 보장할 수 없음")</f>
        <v>안전은 보장할 수 없음</v>
      </c>
      <c r="C2062" s="45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97" t="s">
        <v>3439</v>
      </c>
    </row>
    <row r="2063" spans="1:10" ht="28.9" customHeight="1" thickTop="1" thickBot="1" x14ac:dyDescent="0.65">
      <c r="A2063" s="5">
        <v>2061</v>
      </c>
      <c r="B2063" s="46" t="str">
        <f>HYPERLINK("https://search.naver.com/search.naver?query=안테벨룸 영화", "안테벨룸")</f>
        <v>안테벨룸</v>
      </c>
      <c r="C2063" s="47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98" t="s">
        <v>3436</v>
      </c>
    </row>
    <row r="2064" spans="1:10" ht="28.9" customHeight="1" thickTop="1" thickBot="1" x14ac:dyDescent="0.65">
      <c r="A2064" s="7">
        <v>2062</v>
      </c>
      <c r="B2064" s="48" t="str">
        <f>HYPERLINK("https://search.naver.com/search.naver?query=알렉스 라이더 시즌1", "알렉스 라이더 시즌1")</f>
        <v>알렉스 라이더 시즌1</v>
      </c>
      <c r="C2064" s="49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99" t="s">
        <v>3436</v>
      </c>
    </row>
    <row r="2065" spans="1:10" ht="28.9" customHeight="1" thickTop="1" thickBot="1" x14ac:dyDescent="0.65">
      <c r="A2065" s="5">
        <v>2063</v>
      </c>
      <c r="B2065" s="46" t="str">
        <f>HYPERLINK("https://search.naver.com/search.naver?query=알투비:리턴투베이스 영화", "알투비-리턴투베이스")</f>
        <v>알투비-리턴투베이스</v>
      </c>
      <c r="C2065" s="47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98" t="s">
        <v>3439</v>
      </c>
    </row>
    <row r="2066" spans="1:10" ht="28.9" customHeight="1" thickTop="1" thickBot="1" x14ac:dyDescent="0.65">
      <c r="A2066" s="3">
        <v>2064</v>
      </c>
      <c r="B2066" s="44" t="str">
        <f>HYPERLINK("https://search.naver.com/search.naver?query=알파 위대한 여정 영화", "알파-위대한 여정")</f>
        <v>알파-위대한 여정</v>
      </c>
      <c r="C2066" s="45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97" t="s">
        <v>3442</v>
      </c>
    </row>
    <row r="2067" spans="1:10" ht="28.9" customHeight="1" thickTop="1" thickBot="1" x14ac:dyDescent="0.65">
      <c r="A2067" s="5">
        <v>2065</v>
      </c>
      <c r="B2067" s="46" t="str">
        <f>HYPERLINK("https://search.naver.com/search.naver?query=암살 영화", "암살")</f>
        <v>암살</v>
      </c>
      <c r="C2067" s="47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98" t="s">
        <v>3440</v>
      </c>
    </row>
    <row r="2068" spans="1:10" ht="28.9" customHeight="1" thickTop="1" thickBot="1" x14ac:dyDescent="0.65">
      <c r="A2068" s="3">
        <v>2066</v>
      </c>
      <c r="B2068" s="44" t="str">
        <f>HYPERLINK("https://search.naver.com/search.naver?query=암수살인 영화", "암수살인")</f>
        <v>암수살인</v>
      </c>
      <c r="C2068" s="45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97" t="s">
        <v>3442</v>
      </c>
    </row>
    <row r="2069" spans="1:10" ht="28.9" customHeight="1" thickTop="1" thickBot="1" x14ac:dyDescent="0.65">
      <c r="A2069" s="5">
        <v>2067</v>
      </c>
      <c r="B2069" s="46" t="str">
        <f>HYPERLINK("https://search.naver.com/search.naver?query=앙 단팥 인생 이야기 영화", "앙 - 단팥 인생 이야기")</f>
        <v>앙 - 단팥 인생 이야기</v>
      </c>
      <c r="C2069" s="47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98" t="s">
        <v>3440</v>
      </c>
    </row>
    <row r="2070" spans="1:10" ht="28.9" customHeight="1" thickTop="1" thickBot="1" x14ac:dyDescent="0.65">
      <c r="A2070" s="3">
        <v>2068</v>
      </c>
      <c r="B2070" s="44" t="str">
        <f>HYPERLINK("https://search.naver.com/search.naver?query=앙투라지 영화", "앙투라지")</f>
        <v>앙투라지</v>
      </c>
      <c r="C2070" s="45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97" t="s">
        <v>3440</v>
      </c>
    </row>
    <row r="2071" spans="1:10" ht="28.9" customHeight="1" thickTop="1" thickBot="1" x14ac:dyDescent="0.65">
      <c r="A2071" s="5">
        <v>2069</v>
      </c>
      <c r="B2071" s="46" t="str">
        <f>HYPERLINK("https://search.naver.com/search.naver?query=애나 앤드 킹 영화", "애나 앤드 킹")</f>
        <v>애나 앤드 킹</v>
      </c>
      <c r="C2071" s="47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98" t="s">
        <v>3456</v>
      </c>
    </row>
    <row r="2072" spans="1:10" ht="28.9" customHeight="1" thickTop="1" thickBot="1" x14ac:dyDescent="0.65">
      <c r="A2072" s="3">
        <v>2070</v>
      </c>
      <c r="B2072" s="44" t="str">
        <f>HYPERLINK("https://search.naver.com/search.naver?query=애더럴 다이어리 영화", "애더럴 다이어리")</f>
        <v>애더럴 다이어리</v>
      </c>
      <c r="C2072" s="45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97" t="s">
        <v>3440</v>
      </c>
    </row>
    <row r="2073" spans="1:10" ht="28.9" customHeight="1" thickTop="1" thickBot="1" x14ac:dyDescent="0.65">
      <c r="A2073" s="5">
        <v>2071</v>
      </c>
      <c r="B2073" s="46" t="str">
        <f>HYPERLINK("https://search.naver.com/search.naver?query=애드 아스트라 영화", "애드 아스트라")</f>
        <v>애드 아스트라</v>
      </c>
      <c r="C2073" s="47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98" t="s">
        <v>3444</v>
      </c>
    </row>
    <row r="2074" spans="1:10" ht="28.9" customHeight="1" thickTop="1" thickBot="1" x14ac:dyDescent="0.65">
      <c r="A2074" s="3">
        <v>2072</v>
      </c>
      <c r="B2074" s="44" t="str">
        <f>HYPERLINK("https://search.naver.com/search.naver?query=애쉬 영화", "애쉬")</f>
        <v>애쉬</v>
      </c>
      <c r="C2074" s="45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97" t="s">
        <v>3445</v>
      </c>
    </row>
    <row r="2075" spans="1:10" ht="28.9" customHeight="1" thickTop="1" thickBot="1" x14ac:dyDescent="0.65">
      <c r="A2075" s="5">
        <v>2073</v>
      </c>
      <c r="B2075" s="46" t="str">
        <f>HYPERLINK("https://search.naver.com/search.naver?query=애스크 미 애니씽 영화", "애스크 미 애니씽")</f>
        <v>애스크 미 애니씽</v>
      </c>
      <c r="C2075" s="47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98" t="s">
        <v>3437</v>
      </c>
    </row>
    <row r="2076" spans="1:10" ht="28.9" customHeight="1" thickTop="1" thickBot="1" x14ac:dyDescent="0.65">
      <c r="A2076" s="3">
        <v>2074</v>
      </c>
      <c r="B2076" s="44" t="str">
        <f>HYPERLINK("https://search.naver.com/search.naver?query=애스트로너트 영화", "애스트로너트")</f>
        <v>애스트로너트</v>
      </c>
      <c r="C2076" s="45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97" t="s">
        <v>3459</v>
      </c>
    </row>
    <row r="2077" spans="1:10" ht="28.9" customHeight="1" thickTop="1" thickBot="1" x14ac:dyDescent="0.65">
      <c r="A2077" s="5">
        <v>2075</v>
      </c>
      <c r="B2077" s="46" t="str">
        <f>HYPERLINK("https://search.naver.com/search.naver?query=애적면포혼 영화", "애적면포혼")</f>
        <v>애적면포혼</v>
      </c>
      <c r="C2077" s="47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98" t="s">
        <v>3451</v>
      </c>
    </row>
    <row r="2078" spans="1:10" ht="28.9" customHeight="1" thickTop="1" thickBot="1" x14ac:dyDescent="0.65">
      <c r="A2078" s="3">
        <v>2076</v>
      </c>
      <c r="B2078" s="44" t="str">
        <f>HYPERLINK("https://search.naver.com/search.naver?query=애처가 미야모토 영화", "애처가 미야모토")</f>
        <v>애처가 미야모토</v>
      </c>
      <c r="C2078" s="45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97" t="s">
        <v>3441</v>
      </c>
    </row>
    <row r="2079" spans="1:10" ht="28.9" customHeight="1" thickTop="1" thickBot="1" x14ac:dyDescent="0.65">
      <c r="A2079" s="5">
        <v>2077</v>
      </c>
      <c r="B2079" s="46" t="str">
        <f>HYPERLINK("https://search.naver.com/search.naver?query=애프터 영화", "애프터")</f>
        <v>애프터</v>
      </c>
      <c r="C2079" s="47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98" t="s">
        <v>3444</v>
      </c>
    </row>
    <row r="2080" spans="1:10" ht="28.9" customHeight="1" thickTop="1" thickBot="1" x14ac:dyDescent="0.65">
      <c r="A2080" s="3">
        <v>2078</v>
      </c>
      <c r="B2080" s="44" t="str">
        <f>HYPERLINK("https://search.naver.com/search.naver?query=애프터 더 헌트 영화", "애프터 더 헌트")</f>
        <v>애프터 더 헌트</v>
      </c>
      <c r="C2080" s="45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97" t="s">
        <v>3459</v>
      </c>
    </row>
    <row r="2081" spans="1:10" ht="28.9" customHeight="1" thickTop="1" thickBot="1" x14ac:dyDescent="0.65">
      <c r="A2081" s="5">
        <v>2079</v>
      </c>
      <c r="B2081" s="46" t="str">
        <f>HYPERLINK("https://search.naver.com/search.naver?query=애프터 라이프 영화", "애프터 라이프")</f>
        <v>애프터 라이프</v>
      </c>
      <c r="C2081" s="47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98" t="s">
        <v>3453</v>
      </c>
    </row>
    <row r="2082" spans="1:10" ht="28.9" customHeight="1" thickTop="1" thickBot="1" x14ac:dyDescent="0.65">
      <c r="A2082" s="3">
        <v>2080</v>
      </c>
      <c r="B2082" s="44" t="str">
        <f>HYPERLINK("https://search.naver.com/search.naver?query=애프터 그 후 영화", "애프터-그 후")</f>
        <v>애프터-그 후</v>
      </c>
      <c r="C2082" s="45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97" t="s">
        <v>3436</v>
      </c>
    </row>
    <row r="2083" spans="1:10" ht="28.9" customHeight="1" thickTop="1" thickBot="1" x14ac:dyDescent="0.65">
      <c r="A2083" s="5">
        <v>2081</v>
      </c>
      <c r="B2083" s="46" t="str">
        <f>HYPERLINK("https://search.naver.com/search.naver?query=애프터매스 영화", "애프터매스")</f>
        <v>애프터매스</v>
      </c>
      <c r="C2083" s="47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98" t="s">
        <v>3443</v>
      </c>
    </row>
    <row r="2084" spans="1:10" ht="28.9" customHeight="1" thickTop="1" thickBot="1" x14ac:dyDescent="0.65">
      <c r="A2084" s="3">
        <v>2082</v>
      </c>
      <c r="B2084" s="44" t="str">
        <f>HYPERLINK("https://search.naver.com/search.naver?query=액츠 오브 바이올런스 영화", "액츠 오브 바이올런스")</f>
        <v>액츠 오브 바이올런스</v>
      </c>
      <c r="C2084" s="45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97" t="s">
        <v>3442</v>
      </c>
    </row>
    <row r="2085" spans="1:10" ht="28.9" customHeight="1" thickTop="1" thickBot="1" x14ac:dyDescent="0.65">
      <c r="A2085" s="5">
        <v>2083</v>
      </c>
      <c r="B2085" s="46" t="str">
        <f>HYPERLINK("https://search.naver.com/search.naver?query=액트 오브 밸러 영화", "액트 오브 밸러")</f>
        <v>액트 오브 밸러</v>
      </c>
      <c r="C2085" s="47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98" t="s">
        <v>3439</v>
      </c>
    </row>
    <row r="2086" spans="1:10" ht="28.9" customHeight="1" thickTop="1" thickBot="1" x14ac:dyDescent="0.65">
      <c r="A2086" s="3">
        <v>2084</v>
      </c>
      <c r="B2086" s="44" t="str">
        <f>HYPERLINK("https://search.naver.com/search.naver?query=앤드 오브 워 영화", "앤드 오브 워")</f>
        <v>앤드 오브 워</v>
      </c>
      <c r="C2086" s="45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97" t="s">
        <v>3453</v>
      </c>
    </row>
    <row r="2087" spans="1:10" ht="28.9" customHeight="1" thickTop="1" thickBot="1" x14ac:dyDescent="0.65">
      <c r="A2087" s="5">
        <v>2085</v>
      </c>
      <c r="B2087" s="46" t="str">
        <f>HYPERLINK("https://search.naver.com/search.naver?query=앤트맨 영화", "앤트맨")</f>
        <v>앤트맨</v>
      </c>
      <c r="C2087" s="47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98" t="s">
        <v>3440</v>
      </c>
    </row>
    <row r="2088" spans="1:10" ht="28.9" customHeight="1" thickTop="1" thickBot="1" x14ac:dyDescent="0.65">
      <c r="A2088" s="3">
        <v>2086</v>
      </c>
      <c r="B2088" s="44" t="str">
        <f>HYPERLINK("https://search.naver.com/search.naver?query=앤트맨과 와스프 영화", "앤트맨과 와스프")</f>
        <v>앤트맨과 와스프</v>
      </c>
      <c r="C2088" s="45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97" t="s">
        <v>3442</v>
      </c>
    </row>
    <row r="2089" spans="1:10" ht="28.9" customHeight="1" thickTop="1" thickBot="1" x14ac:dyDescent="0.65">
      <c r="A2089" s="5">
        <v>2087</v>
      </c>
      <c r="B2089" s="46" t="str">
        <f>HYPERLINK("https://search.naver.com/search.naver?query=앤트원 피셔 영화", "앤트원 피셔")</f>
        <v>앤트원 피셔</v>
      </c>
      <c r="C2089" s="47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98" t="s">
        <v>3466</v>
      </c>
    </row>
    <row r="2090" spans="1:10" ht="28.9" customHeight="1" thickTop="1" thickBot="1" x14ac:dyDescent="0.65">
      <c r="A2090" s="3">
        <v>2088</v>
      </c>
      <c r="B2090" s="44" t="str">
        <f>HYPERLINK("https://search.naver.com/search.naver?query=앨버트 놉스 영화", "앨버트 놉스")</f>
        <v>앨버트 놉스</v>
      </c>
      <c r="C2090" s="45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97" t="s">
        <v>3454</v>
      </c>
    </row>
    <row r="2091" spans="1:10" ht="28.9" customHeight="1" thickTop="1" thickBot="1" x14ac:dyDescent="0.65">
      <c r="A2091" s="5">
        <v>2089</v>
      </c>
      <c r="B2091" s="46" t="str">
        <f>HYPERLINK("https://search.naver.com/search.naver?query=앰뷸런스 영화", "앰뷸런스")</f>
        <v>앰뷸런스</v>
      </c>
      <c r="C2091" s="47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98" t="s">
        <v>3461</v>
      </c>
    </row>
    <row r="2092" spans="1:10" ht="28.9" customHeight="1" thickTop="1" thickBot="1" x14ac:dyDescent="0.65">
      <c r="A2092" s="3">
        <v>2090</v>
      </c>
      <c r="B2092" s="44" t="str">
        <f>HYPERLINK("https://search.naver.com/search.naver?query=앰뷸런스 영화", "앰뷸런스")</f>
        <v>앰뷸런스</v>
      </c>
      <c r="C2092" s="45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97" t="s">
        <v>3445</v>
      </c>
    </row>
    <row r="2093" spans="1:10" ht="28.9" customHeight="1" thickTop="1" thickBot="1" x14ac:dyDescent="0.65">
      <c r="A2093" s="5">
        <v>2091</v>
      </c>
      <c r="B2093" s="46" t="str">
        <f>HYPERLINK("https://search.naver.com/search.naver?query=앱솔루션 영화", "앱솔루션")</f>
        <v>앱솔루션</v>
      </c>
      <c r="C2093" s="47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98" t="s">
        <v>3448</v>
      </c>
    </row>
    <row r="2094" spans="1:10" ht="28.9" customHeight="1" thickTop="1" thickBot="1" x14ac:dyDescent="0.65">
      <c r="A2094" s="3">
        <v>2092</v>
      </c>
      <c r="B2094" s="44" t="str">
        <f>HYPERLINK("https://search.naver.com/search.naver?query=앳 홈 2014", "앳 홈")</f>
        <v>앳 홈</v>
      </c>
      <c r="C2094" s="45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97">
        <v>42004</v>
      </c>
    </row>
    <row r="2095" spans="1:10" ht="28.9" customHeight="1" thickTop="1" thickBot="1" x14ac:dyDescent="0.65">
      <c r="A2095" s="5">
        <v>2093</v>
      </c>
      <c r="B2095" s="46" t="str">
        <f>HYPERLINK("https://search.naver.com/search.naver?query=앵그리스트맨 영화", "앵그리스트맨")</f>
        <v>앵그리스트맨</v>
      </c>
      <c r="C2095" s="47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98" t="s">
        <v>3437</v>
      </c>
    </row>
    <row r="2096" spans="1:10" ht="28.9" customHeight="1" thickTop="1" thickBot="1" x14ac:dyDescent="0.65">
      <c r="A2096" s="3">
        <v>2094</v>
      </c>
      <c r="B2096" s="44" t="str">
        <f>HYPERLINK("https://search.naver.com/search.naver?query=야구소녀 영화", "야구소녀")</f>
        <v>야구소녀</v>
      </c>
      <c r="C2096" s="45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97" t="s">
        <v>3444</v>
      </c>
    </row>
    <row r="2097" spans="1:10" ht="28.9" customHeight="1" thickTop="1" thickBot="1" x14ac:dyDescent="0.65">
      <c r="A2097" s="5">
        <v>2095</v>
      </c>
      <c r="B2097" s="46" t="str">
        <f>HYPERLINK("https://search.naver.com/search.naver?query=야당 영화", "야당")</f>
        <v>야당</v>
      </c>
      <c r="C2097" s="47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98" t="s">
        <v>3459</v>
      </c>
    </row>
    <row r="2098" spans="1:10" ht="28.9" customHeight="1" thickTop="1" thickBot="1" x14ac:dyDescent="0.65">
      <c r="A2098" s="3">
        <v>2096</v>
      </c>
      <c r="B2098" s="44" t="str">
        <f>HYPERLINK("https://search.naver.com/search.naver?query=야차 영화", "야차")</f>
        <v>야차</v>
      </c>
      <c r="C2098" s="45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97" t="s">
        <v>3445</v>
      </c>
    </row>
    <row r="2099" spans="1:10" ht="28.9" customHeight="1" thickTop="1" thickBot="1" x14ac:dyDescent="0.65">
      <c r="A2099" s="5">
        <v>2097</v>
      </c>
      <c r="B2099" s="46" t="str">
        <f>HYPERLINK("https://search.naver.com/search.naver?query=야쿠자와 가족 영화", "야쿠자와 가족")</f>
        <v>야쿠자와 가족</v>
      </c>
      <c r="C2099" s="47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98" t="s">
        <v>3438</v>
      </c>
    </row>
    <row r="2100" spans="1:10" ht="28.9" customHeight="1" thickTop="1" thickBot="1" x14ac:dyDescent="0.65">
      <c r="A2100" s="3">
        <v>2098</v>
      </c>
      <c r="B2100" s="44" t="str">
        <f>HYPERLINK("https://search.naver.com/search.naver?query=약속의 땅 영화", "약속의 땅")</f>
        <v>약속의 땅</v>
      </c>
      <c r="C2100" s="45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97" t="s">
        <v>3446</v>
      </c>
    </row>
    <row r="2101" spans="1:10" ht="28.9" customHeight="1" thickTop="1" thickBot="1" x14ac:dyDescent="0.65">
      <c r="A2101" s="5">
        <v>2099</v>
      </c>
      <c r="B2101" s="46" t="str">
        <f>HYPERLINK("https://search.naver.com/search.naver?query=양귀비 왕조의 여인 영화", "양귀비 - 왕조의 여인")</f>
        <v>양귀비 - 왕조의 여인</v>
      </c>
      <c r="C2101" s="47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98" t="s">
        <v>3440</v>
      </c>
    </row>
    <row r="2102" spans="1:10" ht="28.9" customHeight="1" thickTop="1" thickBot="1" x14ac:dyDescent="0.65">
      <c r="A2102" s="3">
        <v>2100</v>
      </c>
      <c r="B2102" s="44" t="str">
        <f>HYPERLINK("https://search.naver.com/search.naver?query=양들의 침묵 영화", "양들의 침묵")</f>
        <v>양들의 침묵</v>
      </c>
      <c r="C2102" s="45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97" t="s">
        <v>3465</v>
      </c>
    </row>
    <row r="2103" spans="1:10" ht="28.9" customHeight="1" thickTop="1" thickBot="1" x14ac:dyDescent="0.65">
      <c r="A2103" s="5">
        <v>2101</v>
      </c>
      <c r="B2103" s="46" t="str">
        <f>HYPERLINK("https://search.naver.com/search.naver?query=양봉꾼 영화", "양봉꾼")</f>
        <v>양봉꾼</v>
      </c>
      <c r="C2103" s="47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98" t="s">
        <v>3448</v>
      </c>
    </row>
    <row r="2104" spans="1:10" ht="28.9" customHeight="1" thickTop="1" thickBot="1" x14ac:dyDescent="0.65">
      <c r="A2104" s="3">
        <v>2102</v>
      </c>
      <c r="B2104" s="44" t="str">
        <f>HYPERLINK("https://search.naver.com/search.naver?query=양의 나무 영화", "양의 나무")</f>
        <v>양의 나무</v>
      </c>
      <c r="C2104" s="45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97" t="s">
        <v>3442</v>
      </c>
    </row>
    <row r="2105" spans="1:10" ht="28.9" customHeight="1" thickTop="1" thickBot="1" x14ac:dyDescent="0.65">
      <c r="A2105" s="5">
        <v>2103</v>
      </c>
      <c r="B2105" s="46" t="str">
        <f>HYPERLINK("https://search.naver.com/search.naver?query=양지의 그녀 영화", "양지의 그녀")</f>
        <v>양지의 그녀</v>
      </c>
      <c r="C2105" s="47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98" t="s">
        <v>3451</v>
      </c>
    </row>
    <row r="2106" spans="1:10" ht="28.9" customHeight="1" thickTop="1" thickBot="1" x14ac:dyDescent="0.65">
      <c r="A2106" s="3">
        <v>2104</v>
      </c>
      <c r="B2106" s="44" t="str">
        <f>HYPERLINK("https://search.naver.com/search.naver?query=어 독스 웨이 홈 영화", "어 독스 웨이 홈")</f>
        <v>어 독스 웨이 홈</v>
      </c>
      <c r="C2106" s="45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97" t="s">
        <v>3444</v>
      </c>
    </row>
    <row r="2107" spans="1:10" ht="28.9" customHeight="1" thickTop="1" thickBot="1" x14ac:dyDescent="0.65">
      <c r="A2107" s="5">
        <v>2105</v>
      </c>
      <c r="B2107" s="46" t="str">
        <f>HYPERLINK("https://search.naver.com/search.naver?query=어 리틀 빗 오브 헤븐 영화", "어 리틀 빗 오브 헤븐")</f>
        <v>어 리틀 빗 오브 헤븐</v>
      </c>
      <c r="C2107" s="47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98" t="s">
        <v>3454</v>
      </c>
    </row>
    <row r="2108" spans="1:10" ht="28.9" customHeight="1" thickTop="1" thickBot="1" x14ac:dyDescent="0.65">
      <c r="A2108" s="3">
        <v>2106</v>
      </c>
      <c r="B2108" s="44" t="str">
        <f>HYPERLINK("https://search.naver.com/search.naver?query=어 뷰티풀 데이 인 더 네이버후드 영화", "어 뷰티풀 데이 인 더 네이버후드")</f>
        <v>어 뷰티풀 데이 인 더 네이버후드</v>
      </c>
      <c r="C2108" s="45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97" t="s">
        <v>3444</v>
      </c>
    </row>
    <row r="2109" spans="1:10" ht="28.9" customHeight="1" thickTop="1" thickBot="1" x14ac:dyDescent="0.65">
      <c r="A2109" s="5">
        <v>2107</v>
      </c>
      <c r="B2109" s="46" t="str">
        <f>HYPERLINK("https://search.naver.com/search.naver?query=어 워크 인 더 우즈 영화", "어 워크 인 더 우즈")</f>
        <v>어 워크 인 더 우즈</v>
      </c>
      <c r="C2109" s="47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98" t="s">
        <v>3440</v>
      </c>
    </row>
    <row r="2110" spans="1:10" ht="28.9" customHeight="1" thickTop="1" thickBot="1" x14ac:dyDescent="0.65">
      <c r="A2110" s="3">
        <v>2108</v>
      </c>
      <c r="B2110" s="44" t="str">
        <f>HYPERLINK("https://search.naver.com/search.naver?query=어 퍼펙트 데이 영화", "어 퍼펙트 데이")</f>
        <v>어 퍼펙트 데이</v>
      </c>
      <c r="C2110" s="45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97" t="s">
        <v>3440</v>
      </c>
    </row>
    <row r="2111" spans="1:10" ht="28.9" customHeight="1" thickTop="1" thickBot="1" x14ac:dyDescent="0.65">
      <c r="A2111" s="5">
        <v>2109</v>
      </c>
      <c r="B2111" s="46" t="str">
        <f>HYPERLINK("https://search.naver.com/search.naver?query=어 프라이빗 워 영화", "어 프라이빗 워")</f>
        <v>어 프라이빗 워</v>
      </c>
      <c r="C2111" s="47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98" t="s">
        <v>3442</v>
      </c>
    </row>
    <row r="2112" spans="1:10" ht="28.9" customHeight="1" thickTop="1" thickBot="1" x14ac:dyDescent="0.65">
      <c r="A2112" s="3">
        <v>2110</v>
      </c>
      <c r="B2112" s="44" t="str">
        <f>HYPERLINK("https://search.naver.com/search.naver?query=어거스트 가족의 초상 영화", "어거스트 - 가족의 초상")</f>
        <v>어거스트 - 가족의 초상</v>
      </c>
      <c r="C2112" s="45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97" t="s">
        <v>3451</v>
      </c>
    </row>
    <row r="2113" spans="1:10" ht="28.9" customHeight="1" thickTop="1" thickBot="1" x14ac:dyDescent="0.65">
      <c r="A2113" s="5">
        <v>2111</v>
      </c>
      <c r="B2113" s="46" t="str">
        <f>HYPERLINK("https://search.naver.com/search.naver?query=어거스트 러쉬 영화", "어거스트 러쉬")</f>
        <v>어거스트 러쉬</v>
      </c>
      <c r="C2113" s="47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98" t="s">
        <v>3447</v>
      </c>
    </row>
    <row r="2114" spans="1:10" ht="28.9" customHeight="1" thickTop="1" thickBot="1" x14ac:dyDescent="0.65">
      <c r="A2114" s="3">
        <v>2112</v>
      </c>
      <c r="B2114" s="44" t="str">
        <f>HYPERLINK("https://search.naver.com/search.naver?query=어게인 끝없는 도전 영화", "어게인 - 끝없는 도전")</f>
        <v>어게인 - 끝없는 도전</v>
      </c>
      <c r="C2114" s="45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97" t="s">
        <v>3440</v>
      </c>
    </row>
    <row r="2115" spans="1:10" ht="28.9" customHeight="1" thickTop="1" thickBot="1" x14ac:dyDescent="0.65">
      <c r="A2115" s="5">
        <v>2113</v>
      </c>
      <c r="B2115" s="46" t="str">
        <f>HYPERLINK("https://search.naver.com/search.naver?query=어글리 트루스 영화", "어글리 트루스")</f>
        <v>어글리 트루스</v>
      </c>
      <c r="C2115" s="47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98" t="s">
        <v>3453</v>
      </c>
    </row>
    <row r="2116" spans="1:10" ht="28.9" customHeight="1" thickTop="1" thickBot="1" x14ac:dyDescent="0.65">
      <c r="A2116" s="3">
        <v>2114</v>
      </c>
      <c r="B2116" s="44" t="str">
        <f>HYPERLINK("https://search.naver.com/search.naver?query=어나더 어스 영화", "어나더 어스")</f>
        <v>어나더 어스</v>
      </c>
      <c r="C2116" s="45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97" t="s">
        <v>3454</v>
      </c>
    </row>
    <row r="2117" spans="1:10" ht="28.9" customHeight="1" thickTop="1" thickBot="1" x14ac:dyDescent="0.65">
      <c r="A2117" s="5">
        <v>2115</v>
      </c>
      <c r="B2117" s="46" t="str">
        <f>HYPERLINK("https://search.naver.com/search.naver?query=어느 가족 영화", "어느 가족")</f>
        <v>어느 가족</v>
      </c>
      <c r="C2117" s="47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98" t="s">
        <v>3442</v>
      </c>
    </row>
    <row r="2118" spans="1:10" ht="28.9" customHeight="1" thickTop="1" thickBot="1" x14ac:dyDescent="0.65">
      <c r="A2118" s="7">
        <v>2116</v>
      </c>
      <c r="B2118" s="48" t="str">
        <f>HYPERLINK("https://search.naver.com/search.naver?query=어느 날", "어느 날")</f>
        <v>어느 날</v>
      </c>
      <c r="C2118" s="49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99" t="s">
        <v>3438</v>
      </c>
    </row>
    <row r="2119" spans="1:10" ht="28.9" customHeight="1" thickTop="1" thickBot="1" x14ac:dyDescent="0.65">
      <c r="A2119" s="5">
        <v>2117</v>
      </c>
      <c r="B2119" s="46" t="str">
        <f>HYPERLINK("https://search.naver.com/search.naver?query=어느 날 인생이 엉켰다 영화", "어느 날 인생이 엉켰다")</f>
        <v>어느 날 인생이 엉켰다</v>
      </c>
      <c r="C2119" s="47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98" t="s">
        <v>3442</v>
      </c>
    </row>
    <row r="2120" spans="1:10" ht="28.9" customHeight="1" thickTop="1" thickBot="1" x14ac:dyDescent="0.65">
      <c r="A2120" s="3">
        <v>2118</v>
      </c>
      <c r="B2120" s="44" t="str">
        <f>HYPERLINK("https://search.naver.com/search.naver?query=어느 날, 사랑이 걸어왔다 영화", "어느 날, 사랑이 걸어왔다")</f>
        <v>어느 날, 사랑이 걸어왔다</v>
      </c>
      <c r="C2120" s="45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97" t="s">
        <v>3439</v>
      </c>
    </row>
    <row r="2121" spans="1:10" ht="28.9" customHeight="1" thickTop="1" thickBot="1" x14ac:dyDescent="0.65">
      <c r="A2121" s="5">
        <v>2119</v>
      </c>
      <c r="B2121" s="46" t="str">
        <f>HYPERLINK("https://search.naver.com/search.naver?query=어느 멋진 순간 영화", "어느 멋진 순간")</f>
        <v>어느 멋진 순간</v>
      </c>
      <c r="C2121" s="47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98" t="s">
        <v>3460</v>
      </c>
    </row>
    <row r="2122" spans="1:10" ht="28.9" customHeight="1" thickTop="1" thickBot="1" x14ac:dyDescent="0.65">
      <c r="A2122" s="3">
        <v>2120</v>
      </c>
      <c r="B2122" s="44" t="str">
        <f>HYPERLINK("https://search.naver.com/search.naver?query=어느날 영화", "어느날")</f>
        <v>어느날</v>
      </c>
      <c r="C2122" s="45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97" t="s">
        <v>3441</v>
      </c>
    </row>
    <row r="2123" spans="1:10" ht="28.9" customHeight="1" thickTop="1" thickBot="1" x14ac:dyDescent="0.65">
      <c r="A2123" s="5">
        <v>2121</v>
      </c>
      <c r="B2123" s="46" t="str">
        <f>HYPERLINK("https://search.naver.com/search.naver?query=어니스트 씨프 영화", "어니스트 씨프")</f>
        <v>어니스트 씨프</v>
      </c>
      <c r="C2123" s="47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98" t="s">
        <v>3436</v>
      </c>
    </row>
    <row r="2124" spans="1:10" ht="28.9" customHeight="1" thickTop="1" thickBot="1" x14ac:dyDescent="0.65">
      <c r="A2124" s="3">
        <v>2122</v>
      </c>
      <c r="B2124" s="44" t="str">
        <f>HYPERLINK("https://search.naver.com/search.naver?query=어답트 어 하이웨이 영화", "어답트 어 하이웨이")</f>
        <v>어답트 어 하이웨이</v>
      </c>
      <c r="C2124" s="45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97" t="s">
        <v>3444</v>
      </c>
    </row>
    <row r="2125" spans="1:10" ht="28.9" customHeight="1" thickTop="1" thickBot="1" x14ac:dyDescent="0.65">
      <c r="A2125" s="5">
        <v>2123</v>
      </c>
      <c r="B2125" s="46" t="str">
        <f>HYPERLINK("https://search.naver.com/search.naver?query=어덜트 월드 영화", "어덜트 월드")</f>
        <v>어덜트 월드</v>
      </c>
      <c r="C2125" s="47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98" t="s">
        <v>3451</v>
      </c>
    </row>
    <row r="2126" spans="1:10" ht="28.9" customHeight="1" thickTop="1" thickBot="1" x14ac:dyDescent="0.65">
      <c r="A2126" s="3">
        <v>2124</v>
      </c>
      <c r="B2126" s="44" t="str">
        <f>HYPERLINK("https://search.naver.com/search.naver?query=어둠 속의 빛 영화", "어둠 속의 빛")</f>
        <v>어둠 속의 빛</v>
      </c>
      <c r="C2126" s="45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97" t="s">
        <v>3451</v>
      </c>
    </row>
    <row r="2127" spans="1:10" ht="28.9" customHeight="1" thickTop="1" thickBot="1" x14ac:dyDescent="0.65">
      <c r="A2127" s="5">
        <v>2125</v>
      </c>
      <c r="B2127" s="46" t="str">
        <f>HYPERLINK("https://search.naver.com/search.naver?query=어둠의 아이들 영화", "어둠의 아이들")</f>
        <v>어둠의 아이들</v>
      </c>
      <c r="C2127" s="47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98" t="s">
        <v>3450</v>
      </c>
    </row>
    <row r="2128" spans="1:10" ht="28.9" customHeight="1" thickTop="1" thickBot="1" x14ac:dyDescent="0.65">
      <c r="A2128" s="3">
        <v>2126</v>
      </c>
      <c r="B2128" s="44" t="str">
        <f>HYPERLINK("https://search.naver.com/search.naver?query=어드리프트 우리가 함께한 바다 영화", "어드리프트-우리가 함께한 바다")</f>
        <v>어드리프트-우리가 함께한 바다</v>
      </c>
      <c r="C2128" s="45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97" t="s">
        <v>3442</v>
      </c>
    </row>
    <row r="2129" spans="1:10" ht="28.9" customHeight="1" thickTop="1" thickBot="1" x14ac:dyDescent="0.65">
      <c r="A2129" s="5">
        <v>2127</v>
      </c>
      <c r="B2129" s="46" t="str">
        <f>HYPERLINK("https://search.naver.com/search.naver?query=어떤 만남 영화", "어떤 만남")</f>
        <v>어떤 만남</v>
      </c>
      <c r="C2129" s="47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98" t="s">
        <v>3437</v>
      </c>
    </row>
    <row r="2130" spans="1:10" ht="28.9" customHeight="1" thickTop="1" thickBot="1" x14ac:dyDescent="0.65">
      <c r="A2130" s="3">
        <v>2128</v>
      </c>
      <c r="B2130" s="44" t="str">
        <f>HYPERLINK("https://search.naver.com/search.naver?query=어머니와 살면 영화", "어머니와 살면")</f>
        <v>어머니와 살면</v>
      </c>
      <c r="C2130" s="45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97" t="s">
        <v>3440</v>
      </c>
    </row>
    <row r="2131" spans="1:10" ht="28.9" customHeight="1" thickTop="1" thickBot="1" x14ac:dyDescent="0.65">
      <c r="A2131" s="5">
        <v>2129</v>
      </c>
      <c r="B2131" s="46" t="str">
        <f>HYPERLINK("https://search.naver.com/search.naver?query=어메이징 스파이더맨 영화", "어메이징 스파이더맨")</f>
        <v>어메이징 스파이더맨</v>
      </c>
      <c r="C2131" s="47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98" t="s">
        <v>3439</v>
      </c>
    </row>
    <row r="2132" spans="1:10" ht="28.9" customHeight="1" thickTop="1" thickBot="1" x14ac:dyDescent="0.65">
      <c r="A2132" s="3">
        <v>2130</v>
      </c>
      <c r="B2132" s="44" t="str">
        <f>HYPERLINK("https://search.naver.com/search.naver?query=어메이징 스파이더맨2 영화", "어메이징 스파이더맨2")</f>
        <v>어메이징 스파이더맨2</v>
      </c>
      <c r="C2132" s="45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97" t="s">
        <v>3437</v>
      </c>
    </row>
    <row r="2133" spans="1:10" ht="28.9" customHeight="1" thickTop="1" thickBot="1" x14ac:dyDescent="0.65">
      <c r="A2133" s="5">
        <v>2131</v>
      </c>
      <c r="B2133" s="46" t="str">
        <f>HYPERLINK("https://search.naver.com/search.naver?query=어바웃 리키 영화", "어바웃 리키")</f>
        <v>어바웃 리키</v>
      </c>
      <c r="C2133" s="47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98" t="s">
        <v>3440</v>
      </c>
    </row>
    <row r="2134" spans="1:10" ht="28.9" customHeight="1" thickTop="1" thickBot="1" x14ac:dyDescent="0.65">
      <c r="A2134" s="3">
        <v>2132</v>
      </c>
      <c r="B2134" s="44" t="str">
        <f>HYPERLINK("https://search.naver.com/search.naver?query=어바웃 타임 영화", "어바웃 타임")</f>
        <v>어바웃 타임</v>
      </c>
      <c r="C2134" s="45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97" t="s">
        <v>3451</v>
      </c>
    </row>
    <row r="2135" spans="1:10" ht="28.9" customHeight="1" thickTop="1" thickBot="1" x14ac:dyDescent="0.65">
      <c r="A2135" s="5">
        <v>2133</v>
      </c>
      <c r="B2135" s="46" t="str">
        <f>HYPERLINK("https://search.naver.com/search.naver?query=어쌔신 더 비기닝 영화", "어쌔신 - 더 비기닝")</f>
        <v>어쌔신 - 더 비기닝</v>
      </c>
      <c r="C2135" s="47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98" t="s">
        <v>3443</v>
      </c>
    </row>
    <row r="2136" spans="1:10" ht="28.9" customHeight="1" thickTop="1" thickBot="1" x14ac:dyDescent="0.65">
      <c r="A2136" s="3">
        <v>2134</v>
      </c>
      <c r="B2136" s="44" t="str">
        <f>HYPERLINK("https://search.naver.com/search.naver?query=어웨이 프롬 허 영화", "어웨이 프롬 허")</f>
        <v>어웨이 프롬 허</v>
      </c>
      <c r="C2136" s="45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97" t="s">
        <v>3460</v>
      </c>
    </row>
    <row r="2137" spans="1:10" ht="28.9" customHeight="1" thickTop="1" thickBot="1" x14ac:dyDescent="0.65">
      <c r="A2137" s="5">
        <v>2135</v>
      </c>
      <c r="B2137" s="46" t="str">
        <f>HYPERLINK("https://search.naver.com/search.naver?query=어쩔수가없다 영화", "어쩔수가없다")</f>
        <v>어쩔수가없다</v>
      </c>
      <c r="C2137" s="47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98" t="s">
        <v>3459</v>
      </c>
    </row>
    <row r="2138" spans="1:10" ht="28.9" customHeight="1" thickTop="1" thickBot="1" x14ac:dyDescent="0.65">
      <c r="A2138" s="3">
        <v>2136</v>
      </c>
      <c r="B2138" s="44" t="str">
        <f>HYPERLINK("https://search.naver.com/search.naver?query=어카운턴트 영화", "어카운턴트")</f>
        <v>어카운턴트</v>
      </c>
      <c r="C2138" s="45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97" t="s">
        <v>3441</v>
      </c>
    </row>
    <row r="2139" spans="1:10" ht="28.9" customHeight="1" thickTop="1" thickBot="1" x14ac:dyDescent="0.65">
      <c r="A2139" s="5">
        <v>2137</v>
      </c>
      <c r="B2139" s="46" t="str">
        <f>HYPERLINK("https://search.naver.com/search.naver?query=어톤먼트 영화", "어톤먼트")</f>
        <v>어톤먼트</v>
      </c>
      <c r="C2139" s="47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98" t="s">
        <v>3447</v>
      </c>
    </row>
    <row r="2140" spans="1:10" ht="28.9" customHeight="1" thickTop="1" thickBot="1" x14ac:dyDescent="0.65">
      <c r="A2140" s="3">
        <v>2138</v>
      </c>
      <c r="B2140" s="44" t="str">
        <f>HYPERLINK("https://search.naver.com/search.naver?query=언노운 우먼 영화", "언노운 우먼")</f>
        <v>언노운 우먼</v>
      </c>
      <c r="C2140" s="45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97" t="s">
        <v>3460</v>
      </c>
    </row>
    <row r="2141" spans="1:10" ht="28.9" customHeight="1" thickTop="1" thickBot="1" x14ac:dyDescent="0.65">
      <c r="A2141" s="5">
        <v>2139</v>
      </c>
      <c r="B2141" s="46" t="str">
        <f>HYPERLINK("https://search.naver.com/search.naver?query=언니 영화", "언니")</f>
        <v>언니</v>
      </c>
      <c r="C2141" s="47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98" t="s">
        <v>3442</v>
      </c>
    </row>
    <row r="2142" spans="1:10" ht="28.9" customHeight="1" thickTop="1" thickBot="1" x14ac:dyDescent="0.65">
      <c r="A2142" s="3">
        <v>2140</v>
      </c>
      <c r="B2142" s="44" t="str">
        <f>HYPERLINK("https://search.naver.com/search.naver?query=언더워터2016", "언더 워터")</f>
        <v>언더 워터</v>
      </c>
      <c r="C2142" s="45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97">
        <v>42735</v>
      </c>
    </row>
    <row r="2143" spans="1:10" ht="28.9" customHeight="1" thickTop="1" thickBot="1" x14ac:dyDescent="0.65">
      <c r="A2143" s="5">
        <v>2141</v>
      </c>
      <c r="B2143" s="46" t="str">
        <f>HYPERLINK("https://gamsgopromocode.com/movie/view.php?id=640090&amp;type=movie", "언더 유어 베드")</f>
        <v>언더 유어 베드</v>
      </c>
      <c r="C2143" s="47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98" t="s">
        <v>3444</v>
      </c>
    </row>
    <row r="2144" spans="1:10" ht="28.9" customHeight="1" thickTop="1" thickBot="1" x14ac:dyDescent="0.65">
      <c r="A2144" s="3">
        <v>2142</v>
      </c>
      <c r="B2144" s="44" t="str">
        <f>HYPERLINK("https://search.naver.com/search.naver?query=언더 파이어 영화", "언더 파이어")</f>
        <v>언더 파이어</v>
      </c>
      <c r="C2144" s="45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97" t="s">
        <v>3443</v>
      </c>
    </row>
    <row r="2145" spans="1:10" ht="28.9" customHeight="1" thickTop="1" thickBot="1" x14ac:dyDescent="0.65">
      <c r="A2145" s="5">
        <v>2143</v>
      </c>
      <c r="B2145" s="46" t="str">
        <f>HYPERLINK("https://search.naver.com/search.naver?query=언더워터 영화", "언더워터")</f>
        <v>언더워터</v>
      </c>
      <c r="C2145" s="47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98" t="s">
        <v>3436</v>
      </c>
    </row>
    <row r="2146" spans="1:10" ht="28.9" customHeight="1" thickTop="1" thickBot="1" x14ac:dyDescent="0.65">
      <c r="A2146" s="3">
        <v>2144</v>
      </c>
      <c r="B2146" s="44" t="str">
        <f>HYPERLINK("https://search.naver.com/search.naver?query=언덕길의 아폴론 영화", "언덕길의 아폴론")</f>
        <v>언덕길의 아폴론</v>
      </c>
      <c r="C2146" s="45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97" t="s">
        <v>3442</v>
      </c>
    </row>
    <row r="2147" spans="1:10" ht="28.9" customHeight="1" thickTop="1" thickBot="1" x14ac:dyDescent="0.65">
      <c r="A2147" s="7">
        <v>2145</v>
      </c>
      <c r="B2147" s="48" t="str">
        <f>HYPERLINK("https://search.naver.com/search.naver?query=언두잉", "언두잉")</f>
        <v>언두잉</v>
      </c>
      <c r="C2147" s="49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99" t="s">
        <v>3438</v>
      </c>
    </row>
    <row r="2148" spans="1:10" ht="28.9" customHeight="1" thickTop="1" thickBot="1" x14ac:dyDescent="0.65">
      <c r="A2148" s="3">
        <v>2146</v>
      </c>
      <c r="B2148" s="44" t="str">
        <f>HYPERLINK("https://search.naver.com/search.naver?query=언브로큰 영화", "언브로큰")</f>
        <v>언브로큰</v>
      </c>
      <c r="C2148" s="45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97" t="s">
        <v>3437</v>
      </c>
    </row>
    <row r="2149" spans="1:10" ht="28.9" customHeight="1" thickTop="1" thickBot="1" x14ac:dyDescent="0.65">
      <c r="A2149" s="5">
        <v>2147</v>
      </c>
      <c r="B2149" s="46" t="str">
        <f>HYPERLINK("https://search.naver.com/search.naver?query=언세인 영화", "언세인")</f>
        <v>언세인</v>
      </c>
      <c r="C2149" s="47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98" t="s">
        <v>3442</v>
      </c>
    </row>
    <row r="2150" spans="1:10" ht="28.9" customHeight="1" thickTop="1" thickBot="1" x14ac:dyDescent="0.65">
      <c r="A2150" s="3">
        <v>2148</v>
      </c>
      <c r="B2150" s="44" t="str">
        <f>HYPERLINK("https://search.naver.com/search.naver?query=언싱커블 영화", "언싱커블")</f>
        <v>언싱커블</v>
      </c>
      <c r="C2150" s="45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97" t="s">
        <v>3455</v>
      </c>
    </row>
    <row r="2151" spans="1:10" ht="28.9" customHeight="1" thickTop="1" thickBot="1" x14ac:dyDescent="0.65">
      <c r="A2151" s="5">
        <v>2149</v>
      </c>
      <c r="B2151" s="46" t="str">
        <f>HYPERLINK("https://search.naver.com/search.naver?query=언차티드 영화", "언차티드")</f>
        <v>언차티드</v>
      </c>
      <c r="C2151" s="47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98" t="s">
        <v>3445</v>
      </c>
    </row>
    <row r="2152" spans="1:10" ht="28.9" customHeight="1" thickTop="1" thickBot="1" x14ac:dyDescent="0.65">
      <c r="A2152" s="3">
        <v>2150</v>
      </c>
      <c r="B2152" s="44" t="str">
        <f>HYPERLINK("https://search.naver.com/search.naver?query=언컷 젬스 영화", "언컷 젬스")</f>
        <v>언컷 젬스</v>
      </c>
      <c r="C2152" s="45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97" t="s">
        <v>3444</v>
      </c>
    </row>
    <row r="2153" spans="1:10" ht="28.9" customHeight="1" thickTop="1" thickBot="1" x14ac:dyDescent="0.65">
      <c r="A2153" s="5">
        <v>2151</v>
      </c>
      <c r="B2153" s="46" t="str">
        <f>HYPERLINK("https://search.naver.com/search.naver?query=언터처블: 1%의 우정 영화", "언터처블: 1%의 우정")</f>
        <v>언터처블: 1%의 우정</v>
      </c>
      <c r="C2153" s="47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98" t="s">
        <v>3454</v>
      </c>
    </row>
    <row r="2154" spans="1:10" ht="28.9" customHeight="1" thickTop="1" thickBot="1" x14ac:dyDescent="0.65">
      <c r="A2154" s="3">
        <v>2152</v>
      </c>
      <c r="B2154" s="44" t="str">
        <f>HYPERLINK("https://search.naver.com/search.naver?query=언페이스풀 영화", "언페이스풀")</f>
        <v>언페이스풀</v>
      </c>
      <c r="C2154" s="45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97" t="s">
        <v>3466</v>
      </c>
    </row>
    <row r="2155" spans="1:10" ht="28.9" customHeight="1" thickTop="1" thickBot="1" x14ac:dyDescent="0.65">
      <c r="A2155" s="5">
        <v>2153</v>
      </c>
      <c r="B2155" s="46" t="str">
        <f>HYPERLINK("https://search.naver.com/search.naver?query=언포기버블 영화", "언포기버블")</f>
        <v>언포기버블</v>
      </c>
      <c r="C2155" s="47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98" t="s">
        <v>3438</v>
      </c>
    </row>
    <row r="2156" spans="1:10" ht="28.9" customHeight="1" thickTop="1" thickBot="1" x14ac:dyDescent="0.65">
      <c r="A2156" s="3">
        <v>2154</v>
      </c>
      <c r="B2156" s="44" t="str">
        <f>HYPERLINK("https://search.naver.com/search.naver?query=언프렌디드 다크 웹 영화", "언프렌디드 다크 웹")</f>
        <v>언프렌디드 다크 웹</v>
      </c>
      <c r="C2156" s="45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97" t="s">
        <v>3442</v>
      </c>
    </row>
    <row r="2157" spans="1:10" ht="28.9" customHeight="1" thickTop="1" thickBot="1" x14ac:dyDescent="0.65">
      <c r="A2157" s="5">
        <v>2155</v>
      </c>
      <c r="B2157" s="46" t="str">
        <f>HYPERLINK("https://search.naver.com/search.naver?query=언피니쉬드 라이프 영화", "언피니쉬드 라이프")</f>
        <v>언피니쉬드 라이프</v>
      </c>
      <c r="C2157" s="47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98" t="s">
        <v>3461</v>
      </c>
    </row>
    <row r="2158" spans="1:10" ht="28.9" customHeight="1" thickTop="1" thickBot="1" x14ac:dyDescent="0.65">
      <c r="A2158" s="3">
        <v>2156</v>
      </c>
      <c r="B2158" s="44" t="str">
        <f>HYPERLINK("https://search.naver.com/search.naver?query=언힌지드 영화", "언힌지드")</f>
        <v>언힌지드</v>
      </c>
      <c r="C2158" s="45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97" t="s">
        <v>3436</v>
      </c>
    </row>
    <row r="2159" spans="1:10" ht="28.9" customHeight="1" thickTop="1" thickBot="1" x14ac:dyDescent="0.65">
      <c r="A2159" s="5">
        <v>2157</v>
      </c>
      <c r="B2159" s="46" t="str">
        <f>HYPERLINK("https://search.naver.com/search.naver?query=얼굴 도둑 영화", "얼굴 도둑")</f>
        <v>얼굴 도둑</v>
      </c>
      <c r="C2159" s="47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98" t="s">
        <v>3441</v>
      </c>
    </row>
    <row r="2160" spans="1:10" ht="28.9" customHeight="1" thickTop="1" thickBot="1" x14ac:dyDescent="0.65">
      <c r="A2160" s="3">
        <v>2158</v>
      </c>
      <c r="B2160" s="44" t="str">
        <f>HYPERLINK("https://search.naver.com/search.naver?query=얼라이드 영화", "얼라이드")</f>
        <v>얼라이드</v>
      </c>
      <c r="C2160" s="45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97" t="s">
        <v>3441</v>
      </c>
    </row>
    <row r="2161" spans="1:10" ht="28.9" customHeight="1" thickTop="1" thickBot="1" x14ac:dyDescent="0.65">
      <c r="A2161" s="5">
        <v>2159</v>
      </c>
      <c r="B2161" s="46" t="str">
        <f>HYPERLINK("https://search.naver.com/search.naver?query=얼라이브 영화", "얼라이브")</f>
        <v>얼라이브</v>
      </c>
      <c r="C2161" s="47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98" t="s">
        <v>3440</v>
      </c>
    </row>
    <row r="2162" spans="1:10" ht="28.9" customHeight="1" thickTop="1" thickBot="1" x14ac:dyDescent="0.65">
      <c r="A2162" s="3">
        <v>2160</v>
      </c>
      <c r="B2162" s="44" t="str">
        <f>HYPERLINK("https://search.naver.com/search.naver?query=얼어버린 시간 속에서 영화", "얼어버린 시간 속에서")</f>
        <v>얼어버린 시간 속에서</v>
      </c>
      <c r="C2162" s="45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97" t="s">
        <v>3445</v>
      </c>
    </row>
    <row r="2163" spans="1:10" ht="28.9" customHeight="1" thickTop="1" thickBot="1" x14ac:dyDescent="0.65">
      <c r="A2163" s="5">
        <v>2161</v>
      </c>
      <c r="B2163" s="46" t="str">
        <f>HYPERLINK("https://search.naver.com/search.naver?query=엄마 시집 보내기 영화", "엄마 시집 보내기")</f>
        <v>엄마 시집 보내기</v>
      </c>
      <c r="C2163" s="47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98" t="s">
        <v>3455</v>
      </c>
    </row>
    <row r="2164" spans="1:10" ht="28.9" customHeight="1" thickTop="1" thickBot="1" x14ac:dyDescent="0.65">
      <c r="A2164" s="3">
        <v>2162</v>
      </c>
      <c r="B2164" s="44" t="str">
        <f>HYPERLINK("https://search.naver.com/search.naver?query=엄마의 레시피 영화", "엄마의 레시피")</f>
        <v>엄마의 레시피</v>
      </c>
      <c r="C2164" s="45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97" t="s">
        <v>3442</v>
      </c>
    </row>
    <row r="2165" spans="1:10" ht="28.9" customHeight="1" thickTop="1" thickBot="1" x14ac:dyDescent="0.65">
      <c r="A2165" s="5">
        <v>2163</v>
      </c>
      <c r="B2165" s="46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47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98" t="s">
        <v>3454</v>
      </c>
    </row>
    <row r="2166" spans="1:10" ht="28.9" customHeight="1" thickTop="1" thickBot="1" x14ac:dyDescent="0.65">
      <c r="A2166" s="3">
        <v>2164</v>
      </c>
      <c r="B2166" s="44" t="str">
        <f>HYPERLINK("https://search.naver.com/search.naver?query=업 포 러브 영화", "업 포 러브")</f>
        <v>업 포 러브</v>
      </c>
      <c r="C2166" s="45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97" t="s">
        <v>3441</v>
      </c>
    </row>
    <row r="2167" spans="1:10" ht="28.9" customHeight="1" thickTop="1" thickBot="1" x14ac:dyDescent="0.65">
      <c r="A2167" s="5">
        <v>2165</v>
      </c>
      <c r="B2167" s="46" t="str">
        <f>HYPERLINK("https://search.naver.com/search.naver?query=업그레이드 영화", "업그레이드")</f>
        <v>업그레이드</v>
      </c>
      <c r="C2167" s="47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98" t="s">
        <v>3442</v>
      </c>
    </row>
    <row r="2168" spans="1:10" ht="28.9" customHeight="1" thickTop="1" thickBot="1" x14ac:dyDescent="0.65">
      <c r="A2168" s="3">
        <v>2166</v>
      </c>
      <c r="B2168" s="44" t="str">
        <f>HYPERLINK("https://search.naver.com/search.naver?query=업사이드 영화", "업사이드")</f>
        <v>업사이드</v>
      </c>
      <c r="C2168" s="45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97" t="s">
        <v>3443</v>
      </c>
    </row>
    <row r="2169" spans="1:10" ht="28.9" customHeight="1" thickTop="1" thickBot="1" x14ac:dyDescent="0.65">
      <c r="A2169" s="5">
        <v>2167</v>
      </c>
      <c r="B2169" s="46" t="str">
        <f>HYPERLINK("https://search.naver.com/search.naver?query=에곤 쉴레 욕망이 그린 그림 영화", "에곤 쉴레-욕망이 그린 그림")</f>
        <v>에곤 쉴레-욕망이 그린 그림</v>
      </c>
      <c r="C2169" s="47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98" t="s">
        <v>3441</v>
      </c>
    </row>
    <row r="2170" spans="1:10" ht="28.9" customHeight="1" thickTop="1" thickBot="1" x14ac:dyDescent="0.65">
      <c r="A2170" s="3">
        <v>2168</v>
      </c>
      <c r="B2170" s="44" t="str">
        <f>HYPERLINK("https://search.naver.com/search.naver?query=에너미 영화", "에너미")</f>
        <v>에너미</v>
      </c>
      <c r="C2170" s="45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97" t="s">
        <v>3451</v>
      </c>
    </row>
    <row r="2171" spans="1:10" ht="28.9" customHeight="1" thickTop="1" thickBot="1" x14ac:dyDescent="0.65">
      <c r="A2171" s="5">
        <v>2169</v>
      </c>
      <c r="B2171" s="46" t="str">
        <f>HYPERLINK("https://search.naver.com/search.naver?query=에놀라 홈즈 영화", "에놀라 홈즈")</f>
        <v>에놀라 홈즈</v>
      </c>
      <c r="C2171" s="47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98" t="s">
        <v>3436</v>
      </c>
    </row>
    <row r="2172" spans="1:10" ht="28.9" customHeight="1" thickTop="1" thickBot="1" x14ac:dyDescent="0.65">
      <c r="A2172" s="3">
        <v>2170</v>
      </c>
      <c r="B2172" s="44" t="str">
        <f>HYPERLINK("https://search.naver.com/search.naver?query=에놀라 홈즈 2 영화", "에놀라 홈즈 2")</f>
        <v>에놀라 홈즈 2</v>
      </c>
      <c r="C2172" s="45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97" t="s">
        <v>3445</v>
      </c>
    </row>
    <row r="2173" spans="1:10" ht="28.9" customHeight="1" thickTop="1" thickBot="1" x14ac:dyDescent="0.65">
      <c r="A2173" s="5">
        <v>2171</v>
      </c>
      <c r="B2173" s="46" t="str">
        <f>HYPERLINK("https://search.naver.com/search.naver?query=에드워드 영화", "에드워드")</f>
        <v>에드워드</v>
      </c>
      <c r="C2173" s="47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98" t="s">
        <v>3440</v>
      </c>
    </row>
    <row r="2174" spans="1:10" ht="28.9" customHeight="1" thickTop="1" thickBot="1" x14ac:dyDescent="0.65">
      <c r="A2174" s="7">
        <v>2172</v>
      </c>
      <c r="B2174" s="48" t="str">
        <f>HYPERLINK("https://search.naver.com/search.naver?query=에밀리 파리에 가다 시즌1", "에밀리 파리에 가다 시즌1")</f>
        <v>에밀리 파리에 가다 시즌1</v>
      </c>
      <c r="C2174" s="49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99" t="s">
        <v>3436</v>
      </c>
    </row>
    <row r="2175" spans="1:10" ht="28.9" customHeight="1" thickTop="1" thickBot="1" x14ac:dyDescent="0.65">
      <c r="A2175" s="7">
        <v>2173</v>
      </c>
      <c r="B2175" s="48" t="str">
        <f>HYPERLINK("https://search.naver.com/search.naver?query=에밀리 파리에 가다 시즌2", "에밀리 파리에 가다 시즌2")</f>
        <v>에밀리 파리에 가다 시즌2</v>
      </c>
      <c r="C2175" s="49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99" t="s">
        <v>3438</v>
      </c>
    </row>
    <row r="2176" spans="1:10" ht="28.9" customHeight="1" thickTop="1" thickBot="1" x14ac:dyDescent="0.65">
      <c r="A2176" s="7">
        <v>2174</v>
      </c>
      <c r="B2176" s="48" t="str">
        <f>HYPERLINK("https://search.naver.com/search.naver?query=에밀리 파리에 가다 시즌3", "에밀리 파리에 가다 시즌3")</f>
        <v>에밀리 파리에 가다 시즌3</v>
      </c>
      <c r="C2176" s="49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99" t="s">
        <v>3445</v>
      </c>
    </row>
    <row r="2177" spans="1:10" ht="28.9" customHeight="1" thickTop="1" thickBot="1" x14ac:dyDescent="0.65">
      <c r="A2177" s="5">
        <v>2175</v>
      </c>
      <c r="B2177" s="46" t="str">
        <f>HYPERLINK("https://search.naver.com/search.naver?query=에반 올마이티 영화", "에반 올마이티")</f>
        <v>에반 올마이티</v>
      </c>
      <c r="C2177" s="47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98" t="s">
        <v>3447</v>
      </c>
    </row>
    <row r="2178" spans="1:10" ht="28.9" customHeight="1" thickTop="1" thickBot="1" x14ac:dyDescent="0.65">
      <c r="A2178" s="3">
        <v>2176</v>
      </c>
      <c r="B2178" s="44" t="str">
        <f>HYPERLINK("https://search.naver.com/search.naver?query=에버 애프터 영화", "에버 애프터")</f>
        <v>에버 애프터</v>
      </c>
      <c r="C2178" s="45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97" t="s">
        <v>3452</v>
      </c>
    </row>
    <row r="2179" spans="1:10" ht="28.9" customHeight="1" thickTop="1" thickBot="1" x14ac:dyDescent="0.65">
      <c r="A2179" s="5">
        <v>2177</v>
      </c>
      <c r="B2179" s="46" t="str">
        <f>HYPERLINK("https://search.naver.com/search.naver?query=에베레스트 영화", "에베레스트")</f>
        <v>에베레스트</v>
      </c>
      <c r="C2179" s="47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98" t="s">
        <v>3440</v>
      </c>
    </row>
    <row r="2180" spans="1:10" ht="28.9" customHeight="1" thickTop="1" thickBot="1" x14ac:dyDescent="0.65">
      <c r="A2180" s="3">
        <v>2178</v>
      </c>
      <c r="B2180" s="44" t="str">
        <f>HYPERLINK("https://search.naver.com/search.naver?query=에베레스트 신들의 봉우리 영화", "에베레스트 신들의 봉우리")</f>
        <v>에베레스트 신들의 봉우리</v>
      </c>
      <c r="C2180" s="45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97" t="s">
        <v>3442</v>
      </c>
    </row>
    <row r="2181" spans="1:10" ht="28.9" customHeight="1" thickTop="1" thickBot="1" x14ac:dyDescent="0.65">
      <c r="A2181" s="5">
        <v>2179</v>
      </c>
      <c r="B2181" s="46" t="str">
        <f>HYPERLINK("https://search.naver.com/search.naver?query=에스코바르 영화", "에스코바르")</f>
        <v>에스코바르</v>
      </c>
      <c r="C2181" s="47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98" t="s">
        <v>3443</v>
      </c>
    </row>
    <row r="2182" spans="1:10" ht="28.9" customHeight="1" thickTop="1" thickBot="1" x14ac:dyDescent="0.65">
      <c r="A2182" s="3">
        <v>2180</v>
      </c>
      <c r="B2182" s="44" t="str">
        <f>HYPERLINK("https://search.naver.com/search.naver?query=에어 영화", "에어")</f>
        <v>에어</v>
      </c>
      <c r="C2182" s="45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97" t="s">
        <v>3446</v>
      </c>
    </row>
    <row r="2183" spans="1:10" ht="28.9" customHeight="1" thickTop="1" thickBot="1" x14ac:dyDescent="0.65">
      <c r="A2183" s="5">
        <v>2181</v>
      </c>
      <c r="B2183" s="46" t="str">
        <f>HYPERLINK("https://search.naver.com/search.naver?query=에이리언 커버넌트 영화", "에이리언 - 커버넌트")</f>
        <v>에이리언 - 커버넌트</v>
      </c>
      <c r="C2183" s="47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98" t="s">
        <v>3443</v>
      </c>
    </row>
    <row r="2184" spans="1:10" ht="28.9" customHeight="1" thickTop="1" thickBot="1" x14ac:dyDescent="0.65">
      <c r="A2184" s="3">
        <v>2182</v>
      </c>
      <c r="B2184" s="44" t="str">
        <f>HYPERLINK("https://search.naver.com/search.naver?query=에이바 영화", "에이바")</f>
        <v>에이바</v>
      </c>
      <c r="C2184" s="45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97" t="s">
        <v>3436</v>
      </c>
    </row>
    <row r="2185" spans="1:10" ht="28.9" customHeight="1" thickTop="1" thickBot="1" x14ac:dyDescent="0.65">
      <c r="A2185" s="5">
        <v>2183</v>
      </c>
      <c r="B2185" s="46" t="str">
        <f>HYPERLINK("https://search.naver.com/search.naver?query=에코 벨리 영화", "에코 벨리")</f>
        <v>에코 벨리</v>
      </c>
      <c r="C2185" s="47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98" t="s">
        <v>3459</v>
      </c>
    </row>
    <row r="2186" spans="1:10" ht="28.9" customHeight="1" thickTop="1" thickBot="1" x14ac:dyDescent="0.65">
      <c r="A2186" s="7">
        <v>2184</v>
      </c>
      <c r="B2186" s="48" t="str">
        <f>HYPERLINK("https://search.naver.com/search.naver?query=에코3", "에코3")</f>
        <v>에코3</v>
      </c>
      <c r="C2186" s="49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99" t="s">
        <v>3445</v>
      </c>
    </row>
    <row r="2187" spans="1:10" ht="28.9" customHeight="1" thickTop="1" thickBot="1" x14ac:dyDescent="0.65">
      <c r="A2187" s="5">
        <v>2185</v>
      </c>
      <c r="B2187" s="46" t="str">
        <f>HYPERLINK("https://search.naver.com/search.naver?query=에펠 영화", "에펠")</f>
        <v>에펠</v>
      </c>
      <c r="C2187" s="47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98" t="s">
        <v>3438</v>
      </c>
    </row>
    <row r="2188" spans="1:10" ht="28.9" customHeight="1" thickTop="1" thickBot="1" x14ac:dyDescent="0.65">
      <c r="A2188" s="3">
        <v>2186</v>
      </c>
      <c r="B2188" s="44" t="str">
        <f>HYPERLINK("https://search.naver.com/search.naver?query=엑스페리먼트 영화", "엑스페리먼트")</f>
        <v>엑스페리먼트</v>
      </c>
      <c r="C2188" s="45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97" t="s">
        <v>3455</v>
      </c>
    </row>
    <row r="2189" spans="1:10" ht="28.9" customHeight="1" thickTop="1" thickBot="1" x14ac:dyDescent="0.65">
      <c r="A2189" s="5">
        <v>2187</v>
      </c>
      <c r="B2189" s="46" t="str">
        <f>HYPERLINK("https://search.naver.com/search.naver?query=엑시트", "엑시트")</f>
        <v>엑시트</v>
      </c>
      <c r="C2189" s="47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98" t="s">
        <v>3444</v>
      </c>
    </row>
    <row r="2190" spans="1:10" ht="28.9" customHeight="1" thickTop="1" thickBot="1" x14ac:dyDescent="0.65">
      <c r="A2190" s="3">
        <v>2188</v>
      </c>
      <c r="B2190" s="44" t="str">
        <f>HYPERLINK("https://search.naver.com/search.naver?query=엔더스 게임 영화", "엔더스 게임")</f>
        <v>엔더스 게임</v>
      </c>
      <c r="C2190" s="45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97" t="s">
        <v>3451</v>
      </c>
    </row>
    <row r="2191" spans="1:10" ht="28.9" customHeight="1" thickTop="1" thickBot="1" x14ac:dyDescent="0.65">
      <c r="A2191" s="5">
        <v>2189</v>
      </c>
      <c r="B2191" s="46" t="str">
        <f>HYPERLINK("https://search.naver.com/search.naver?query=엔드게임 나는 킬러다 영화", "엔드게임 나는 킬러다")</f>
        <v>엔드게임 나는 킬러다</v>
      </c>
      <c r="C2191" s="47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98" t="s">
        <v>3445</v>
      </c>
    </row>
    <row r="2192" spans="1:10" ht="28.9" customHeight="1" thickTop="1" thickBot="1" x14ac:dyDescent="0.65">
      <c r="A2192" s="3">
        <v>2190</v>
      </c>
      <c r="B2192" s="44" t="str">
        <f>HYPERLINK("https://search.naver.com/search.naver?query=엔들리스 러브 영화", "엔들리스 러브")</f>
        <v>엔들리스 러브</v>
      </c>
      <c r="C2192" s="45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97" t="s">
        <v>3437</v>
      </c>
    </row>
    <row r="2193" spans="1:10" ht="28.9" customHeight="1" thickTop="1" thickBot="1" x14ac:dyDescent="0.65">
      <c r="A2193" s="5">
        <v>2191</v>
      </c>
      <c r="B2193" s="46" t="str">
        <f>HYPERLINK("https://search.naver.com/search.naver?query=엔젤 오브 마인 영화", "엔젤 오브 마인")</f>
        <v>엔젤 오브 마인</v>
      </c>
      <c r="C2193" s="47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98" t="s">
        <v>3444</v>
      </c>
    </row>
    <row r="2194" spans="1:10" ht="28.9" customHeight="1" thickTop="1" thickBot="1" x14ac:dyDescent="0.65">
      <c r="A2194" s="3">
        <v>2192</v>
      </c>
      <c r="B2194" s="44" t="str">
        <f>HYPERLINK("https://search.naver.com/search.naver?query=엔젤 해즈 폴른 영화", "엔젤 해즈 폴른")</f>
        <v>엔젤 해즈 폴른</v>
      </c>
      <c r="C2194" s="45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97" t="s">
        <v>3444</v>
      </c>
    </row>
    <row r="2195" spans="1:10" ht="28.9" customHeight="1" thickTop="1" thickBot="1" x14ac:dyDescent="0.65">
      <c r="A2195" s="5">
        <v>2193</v>
      </c>
      <c r="B2195" s="46" t="str">
        <f>HYPERLINK("https://search.naver.com/search.naver?query=엔터 노웨어 영화", "엔터 노웨어")</f>
        <v>엔터 노웨어</v>
      </c>
      <c r="C2195" s="47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98" t="s">
        <v>3454</v>
      </c>
    </row>
    <row r="2196" spans="1:10" ht="28.9" customHeight="1" thickTop="1" thickBot="1" x14ac:dyDescent="0.65">
      <c r="A2196" s="3">
        <v>2194</v>
      </c>
      <c r="B2196" s="44" t="str">
        <f>HYPERLINK("https://search.naver.com/search.naver?query=엘 시크레토 비밀의 눈동자 영화", "엘 시크레토 - 비밀의 눈동자")</f>
        <v>엘 시크레토 - 비밀의 눈동자</v>
      </c>
      <c r="C2196" s="45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97" t="s">
        <v>3453</v>
      </c>
    </row>
    <row r="2197" spans="1:10" ht="28.9" customHeight="1" thickTop="1" thickBot="1" x14ac:dyDescent="0.65">
      <c r="A2197" s="5">
        <v>2195</v>
      </c>
      <c r="B2197" s="46" t="str">
        <f>HYPERLINK("https://search.naver.com/search.naver?query=엘라의 계곡 영화", "엘라의 계곡")</f>
        <v>엘라의 계곡</v>
      </c>
      <c r="C2197" s="47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98" t="s">
        <v>3447</v>
      </c>
    </row>
    <row r="2198" spans="1:10" ht="28.9" customHeight="1" thickTop="1" thickBot="1" x14ac:dyDescent="0.65">
      <c r="A2198" s="3">
        <v>2196</v>
      </c>
      <c r="B2198" s="44" t="str">
        <f>HYPERLINK("https://search.naver.com/search.naver?query=엘레지 영화", "엘레지")</f>
        <v>엘레지</v>
      </c>
      <c r="C2198" s="45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97" t="s">
        <v>3450</v>
      </c>
    </row>
    <row r="2199" spans="1:10" ht="28.9" customHeight="1" thickTop="1" thickBot="1" x14ac:dyDescent="0.65">
      <c r="A2199" s="5">
        <v>2197</v>
      </c>
      <c r="B2199" s="46" t="str">
        <f>HYPERLINK("https://search.naver.com/search.naver?query=엘로이즈 영화", "엘로이즈")</f>
        <v>엘로이즈</v>
      </c>
      <c r="C2199" s="47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98" t="s">
        <v>3443</v>
      </c>
    </row>
    <row r="2200" spans="1:10" ht="28.9" customHeight="1" thickTop="1" thickBot="1" x14ac:dyDescent="0.65">
      <c r="A2200" s="3">
        <v>2198</v>
      </c>
      <c r="B2200" s="44" t="str">
        <f>HYPERLINK("https://search.naver.com/search.naver?query=엘르 영화", "엘르")</f>
        <v>엘르</v>
      </c>
      <c r="C2200" s="45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97" t="s">
        <v>3441</v>
      </c>
    </row>
    <row r="2201" spans="1:10" ht="28.9" customHeight="1" thickTop="1" thickBot="1" x14ac:dyDescent="0.65">
      <c r="A2201" s="5">
        <v>2199</v>
      </c>
      <c r="B2201" s="46" t="str">
        <f>HYPERLINK("https://search.naver.com/search.naver?query=엘르 영화", "엘르")</f>
        <v>엘르</v>
      </c>
      <c r="C2201" s="47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98" t="s">
        <v>3441</v>
      </c>
    </row>
    <row r="2202" spans="1:10" ht="28.9" customHeight="1" thickTop="1" thickBot="1" x14ac:dyDescent="0.65">
      <c r="A2202" s="7">
        <v>2200</v>
      </c>
      <c r="B2202" s="48" t="str">
        <f>HYPERLINK("https://search.naver.com/search.naver?query=엘리멘트리 시즌1", "엘리멘트리 시즌1")</f>
        <v>엘리멘트리 시즌1</v>
      </c>
      <c r="C2202" s="49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99" t="s">
        <v>3439</v>
      </c>
    </row>
    <row r="2203" spans="1:10" ht="28.9" customHeight="1" thickTop="1" thickBot="1" x14ac:dyDescent="0.65">
      <c r="A2203" s="7">
        <v>2201</v>
      </c>
      <c r="B2203" s="48" t="str">
        <f>HYPERLINK("https://search.naver.com/search.naver?query=엘리멘트리 시즌2", "엘리멘트리 시즌2")</f>
        <v>엘리멘트리 시즌2</v>
      </c>
      <c r="C2203" s="49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99" t="s">
        <v>3451</v>
      </c>
    </row>
    <row r="2204" spans="1:10" ht="28.9" customHeight="1" thickTop="1" thickBot="1" x14ac:dyDescent="0.65">
      <c r="A2204" s="7">
        <v>2202</v>
      </c>
      <c r="B2204" s="48" t="str">
        <f>HYPERLINK("https://search.naver.com/search.naver?query=엘리멘트리 시즌3", "엘리멘트리 시즌3")</f>
        <v>엘리멘트리 시즌3</v>
      </c>
      <c r="C2204" s="49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99" t="s">
        <v>3437</v>
      </c>
    </row>
    <row r="2205" spans="1:10" ht="28.9" customHeight="1" thickTop="1" thickBot="1" x14ac:dyDescent="0.65">
      <c r="A2205" s="7">
        <v>2203</v>
      </c>
      <c r="B2205" s="48" t="str">
        <f>HYPERLINK("https://search.naver.com/search.naver?query=엘리멘트리 시즌4", "엘리멘트리 시즌4")</f>
        <v>엘리멘트리 시즌4</v>
      </c>
      <c r="C2205" s="49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99" t="s">
        <v>3440</v>
      </c>
    </row>
    <row r="2206" spans="1:10" ht="28.9" customHeight="1" thickTop="1" thickBot="1" x14ac:dyDescent="0.65">
      <c r="A2206" s="7">
        <v>2204</v>
      </c>
      <c r="B2206" s="48" t="str">
        <f>HYPERLINK("https://search.naver.com/search.naver?query=엘리멘트리 시즌5", "엘리멘트리 시즌5")</f>
        <v>엘리멘트리 시즌5</v>
      </c>
      <c r="C2206" s="49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99" t="s">
        <v>3441</v>
      </c>
    </row>
    <row r="2207" spans="1:10" ht="28.9" customHeight="1" thickTop="1" thickBot="1" x14ac:dyDescent="0.65">
      <c r="A2207" s="7">
        <v>2205</v>
      </c>
      <c r="B2207" s="48" t="str">
        <f>HYPERLINK("https://search.naver.com/search.naver?query=엘리멘트리 시즌6", "엘리멘트리 시즌6")</f>
        <v>엘리멘트리 시즌6</v>
      </c>
      <c r="C2207" s="49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99" t="s">
        <v>3442</v>
      </c>
    </row>
    <row r="2208" spans="1:10" ht="28.9" customHeight="1" thickTop="1" thickBot="1" x14ac:dyDescent="0.65">
      <c r="A2208" s="7">
        <v>2206</v>
      </c>
      <c r="B2208" s="48" t="str">
        <f>HYPERLINK("https://search.naver.com/search.naver?query=엘리멘트리 시즌7", "엘리멘트리 시즌7")</f>
        <v>엘리멘트리 시즌7</v>
      </c>
      <c r="C2208" s="49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99" t="s">
        <v>3444</v>
      </c>
    </row>
    <row r="2209" spans="1:10" ht="28.9" customHeight="1" thickTop="1" thickBot="1" x14ac:dyDescent="0.65">
      <c r="A2209" s="5">
        <v>2207</v>
      </c>
      <c r="B2209" s="46" t="str">
        <f>HYPERLINK("https://search.naver.com/search.naver?query=엘리스 영화", "엘리스")</f>
        <v>엘리스</v>
      </c>
      <c r="C2209" s="47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98" t="s">
        <v>3436</v>
      </c>
    </row>
    <row r="2210" spans="1:10" ht="28.9" customHeight="1" thickTop="1" thickBot="1" x14ac:dyDescent="0.65">
      <c r="A2210" s="3">
        <v>2208</v>
      </c>
      <c r="B2210" s="44" t="str">
        <f>HYPERLINK("https://search.naver.com/search.naver?query=엘리시움 영화", "엘리시움")</f>
        <v>엘리시움</v>
      </c>
      <c r="C2210" s="45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97" t="s">
        <v>3451</v>
      </c>
    </row>
    <row r="2211" spans="1:10" ht="28.9" customHeight="1" thickTop="1" thickBot="1" x14ac:dyDescent="0.65">
      <c r="A2211" s="5">
        <v>2209</v>
      </c>
      <c r="B2211" s="46" t="str">
        <f>HYPERLINK("https://search.naver.com/search.naver?query=엘리자의 내일 영화", "엘리자의 내일")</f>
        <v>엘리자의 내일</v>
      </c>
      <c r="C2211" s="47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98" t="s">
        <v>3443</v>
      </c>
    </row>
    <row r="2212" spans="1:10" ht="28.9" customHeight="1" thickTop="1" thickBot="1" x14ac:dyDescent="0.65">
      <c r="A2212" s="3">
        <v>2210</v>
      </c>
      <c r="B2212" s="44" t="str">
        <f>HYPERLINK("https://search.naver.com/search.naver?query=엘비스 영화", "엘비스")</f>
        <v>엘비스</v>
      </c>
      <c r="C2212" s="45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97" t="s">
        <v>3445</v>
      </c>
    </row>
    <row r="2213" spans="1:10" ht="28.9" customHeight="1" thickTop="1" thickBot="1" x14ac:dyDescent="0.65">
      <c r="A2213" s="7">
        <v>2211</v>
      </c>
      <c r="B2213" s="48" t="str">
        <f>HYPERLINK("https://search.naver.com/search.naver?query=엘피스-희망, 혹은 재앙 드라마", "엘피스-희망, 혹은 재앙")</f>
        <v>엘피스-희망, 혹은 재앙</v>
      </c>
      <c r="C2213" s="49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99" t="s">
        <v>3445</v>
      </c>
    </row>
    <row r="2214" spans="1:10" ht="28.9" customHeight="1" thickTop="1" thickBot="1" x14ac:dyDescent="0.65">
      <c r="A2214" s="3">
        <v>2212</v>
      </c>
      <c r="B2214" s="44" t="str">
        <f>HYPERLINK("https://search.naver.com/search.naver?query=엣지 오브 투모로우 영화", "엣지 오브 투모로우")</f>
        <v>엣지 오브 투모로우</v>
      </c>
      <c r="C2214" s="45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97" t="s">
        <v>3437</v>
      </c>
    </row>
    <row r="2215" spans="1:10" ht="28.9" customHeight="1" thickTop="1" thickBot="1" x14ac:dyDescent="0.65">
      <c r="A2215" s="5">
        <v>2213</v>
      </c>
      <c r="B2215" s="46" t="str">
        <f>HYPERLINK("https://chulinbone.tistory.com/5358", "여기에 고요한 노을이")</f>
        <v>여기에 고요한 노을이</v>
      </c>
      <c r="C2215" s="47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98" t="s">
        <v>3440</v>
      </c>
    </row>
    <row r="2216" spans="1:10" ht="28.9" customHeight="1" thickTop="1" thickBot="1" x14ac:dyDescent="0.65">
      <c r="A2216" s="3">
        <v>2214</v>
      </c>
      <c r="B2216" s="44" t="str">
        <f>HYPERLINK("https://search.naver.com/search.naver?query=여름의 끝 영화", "여름의 끝")</f>
        <v>여름의 끝</v>
      </c>
      <c r="C2216" s="45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97" t="s">
        <v>3443</v>
      </c>
    </row>
    <row r="2217" spans="1:10" ht="28.9" customHeight="1" thickTop="1" thickBot="1" x14ac:dyDescent="0.65">
      <c r="A2217" s="3">
        <v>2215</v>
      </c>
      <c r="B2217" s="44" t="str">
        <f>HYPERLINK("https://www.themoviedb.org/movie/1446033?language=ko-KR?query=여름의 모래 위 영화", "여름의 모래 위")</f>
        <v>여름의 모래 위</v>
      </c>
      <c r="C2217" s="45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97">
        <v>46099</v>
      </c>
    </row>
    <row r="2218" spans="1:10" ht="28.9" customHeight="1" thickTop="1" thickBot="1" x14ac:dyDescent="0.65">
      <c r="A2218" s="5">
        <v>2216</v>
      </c>
      <c r="B2218" s="46" t="str">
        <f>HYPERLINK("https://search.naver.com/search.naver?query=여름이 끝날 무렵의 라트라비아타 영화", "여름이 끝날 무렵의 라트라비아타")</f>
        <v>여름이 끝날 무렵의 라트라비아타</v>
      </c>
      <c r="C2218" s="47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98" t="s">
        <v>3448</v>
      </c>
    </row>
    <row r="2219" spans="1:10" ht="28.9" customHeight="1" thickTop="1" thickBot="1" x14ac:dyDescent="0.65">
      <c r="A2219" s="3">
        <v>2217</v>
      </c>
      <c r="B2219" s="44" t="str">
        <f>HYPERLINK("https://search.naver.com/search.naver?query=여행자 영화", "여행자")</f>
        <v>여행자</v>
      </c>
      <c r="C2219" s="45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97" t="s">
        <v>3453</v>
      </c>
    </row>
    <row r="2220" spans="1:10" ht="28.9" customHeight="1" thickTop="1" thickBot="1" x14ac:dyDescent="0.65">
      <c r="A2220" s="5">
        <v>2218</v>
      </c>
      <c r="B2220" s="46" t="str">
        <f>HYPERLINK("https://search.naver.com/search.naver?query=역린 영화", "역린")</f>
        <v>역린</v>
      </c>
      <c r="C2220" s="47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98" t="s">
        <v>3437</v>
      </c>
    </row>
    <row r="2221" spans="1:10" ht="28.9" customHeight="1" thickTop="1" thickBot="1" x14ac:dyDescent="0.65">
      <c r="A2221" s="3">
        <v>2219</v>
      </c>
      <c r="B2221" s="44" t="str">
        <f>HYPERLINK("https://search.naver.com/search.naver?query=역모 반란의 시대 영화", "역모 - 반란의 시대")</f>
        <v>역모 - 반란의 시대</v>
      </c>
      <c r="C2221" s="45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97" t="s">
        <v>3441</v>
      </c>
    </row>
    <row r="2222" spans="1:10" ht="28.9" customHeight="1" thickTop="1" thickBot="1" x14ac:dyDescent="0.65">
      <c r="A2222" s="5">
        <v>2220</v>
      </c>
      <c r="B2222" s="46" t="str">
        <f>HYPERLINK("https://search.naver.com/search.naver?query=역으로 가는 길을 알려줘 영화", "역으로 가는 길을 알려줘")</f>
        <v>역으로 가는 길을 알려줘</v>
      </c>
      <c r="C2222" s="47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98" t="s">
        <v>3444</v>
      </c>
    </row>
    <row r="2223" spans="1:10" ht="28.9" customHeight="1" thickTop="1" thickBot="1" x14ac:dyDescent="0.65">
      <c r="A2223" s="3">
        <v>2221</v>
      </c>
      <c r="B2223" s="44" t="str">
        <f>HYPERLINK("https://search.naver.com/search.naver?query=연애 빠진 로맨스 영화", "연애 빠진 로맨스")</f>
        <v>연애 빠진 로맨스</v>
      </c>
      <c r="C2223" s="45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97" t="s">
        <v>3438</v>
      </c>
    </row>
    <row r="2224" spans="1:10" ht="28.9" customHeight="1" thickTop="1" thickBot="1" x14ac:dyDescent="0.65">
      <c r="A2224" s="5">
        <v>2222</v>
      </c>
      <c r="B2224" s="46" t="str">
        <f>HYPERLINK("https://search.naver.com/search.naver?query=연애, 그 참을 수 없는 가벼움 영화", "연애, 그 참을 수 없는 가벼움")</f>
        <v>연애, 그 참을 수 없는 가벼움</v>
      </c>
      <c r="C2224" s="47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98" t="s">
        <v>3460</v>
      </c>
    </row>
    <row r="2225" spans="1:10" ht="28.9" customHeight="1" thickTop="1" thickBot="1" x14ac:dyDescent="0.65">
      <c r="A2225" s="3">
        <v>2223</v>
      </c>
      <c r="B2225" s="44" t="str">
        <f>HYPERLINK("https://search.naver.com/search.naver?query=연의 황후 영화", "연의 황후")</f>
        <v>연의 황후</v>
      </c>
      <c r="C2225" s="45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97" t="s">
        <v>3450</v>
      </c>
    </row>
    <row r="2226" spans="1:10" ht="28.9" customHeight="1" thickTop="1" thickBot="1" x14ac:dyDescent="0.65">
      <c r="A2226" s="5">
        <v>2224</v>
      </c>
      <c r="B2226" s="46" t="str">
        <f>HYPERLINK("https://search.naver.com/search.naver?query=연인들 영화", "연인들")</f>
        <v>연인들</v>
      </c>
      <c r="C2226" s="47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98" t="s">
        <v>3437</v>
      </c>
    </row>
    <row r="2227" spans="1:10" ht="28.9" customHeight="1" thickTop="1" thickBot="1" x14ac:dyDescent="0.65">
      <c r="A2227" s="3">
        <v>2225</v>
      </c>
      <c r="B2227" s="44" t="str">
        <f>HYPERLINK("https://search.naver.com/search.naver?query=연평해전 영화", "연평해전")</f>
        <v>연평해전</v>
      </c>
      <c r="C2227" s="45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97" t="s">
        <v>3440</v>
      </c>
    </row>
    <row r="2228" spans="1:10" ht="28.9" customHeight="1" thickTop="1" thickBot="1" x14ac:dyDescent="0.65">
      <c r="A2228" s="5">
        <v>2226</v>
      </c>
      <c r="B2228" s="46" t="str">
        <f>HYPERLINK("https://search.naver.com/search.naver?query=열두 달 흙을 먹다 영화", "열두 달 흙을 먹다")</f>
        <v>열두 달 흙을 먹다</v>
      </c>
      <c r="C2228" s="47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98" t="s">
        <v>3446</v>
      </c>
    </row>
    <row r="2229" spans="1:10" ht="28.9" customHeight="1" thickTop="1" thickBot="1" x14ac:dyDescent="0.65">
      <c r="A2229" s="3">
        <v>2227</v>
      </c>
      <c r="B2229" s="44" t="str">
        <f>HYPERLINK("https://search.naver.com/search.naver?query=열쇠 도둑의 방법 영화", "열쇠 도둑의 방법")</f>
        <v>열쇠 도둑의 방법</v>
      </c>
      <c r="C2229" s="45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97" t="s">
        <v>3439</v>
      </c>
    </row>
    <row r="2230" spans="1:10" ht="28.9" customHeight="1" thickTop="1" thickBot="1" x14ac:dyDescent="0.65">
      <c r="A2230" s="5">
        <v>2228</v>
      </c>
      <c r="B2230" s="46" t="str">
        <f>HYPERLINK("https://search.naver.com/search.naver?query=열여덟번의 선물 영화", "열여덟번의 선물")</f>
        <v>열여덟번의 선물</v>
      </c>
      <c r="C2230" s="47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98" t="s">
        <v>3436</v>
      </c>
    </row>
    <row r="2231" spans="1:10" ht="28.9" customHeight="1" thickTop="1" thickBot="1" x14ac:dyDescent="0.65">
      <c r="A2231" s="3">
        <v>2229</v>
      </c>
      <c r="B2231" s="44" t="str">
        <f>HYPERLINK("https://search.naver.com/search.naver?query=열정 같은 소리하고 있네 영화", "열정 같은 소리하고 있네")</f>
        <v>열정 같은 소리하고 있네</v>
      </c>
      <c r="C2231" s="45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97" t="s">
        <v>3440</v>
      </c>
    </row>
    <row r="2232" spans="1:10" ht="28.9" customHeight="1" thickTop="1" thickBot="1" x14ac:dyDescent="0.65">
      <c r="A2232" s="5">
        <v>2230</v>
      </c>
      <c r="B2232" s="46" t="str">
        <f>HYPERLINK("https://search.naver.com/search.naver?query=염력 영화", "염력")</f>
        <v>염력</v>
      </c>
      <c r="C2232" s="47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98" t="s">
        <v>3442</v>
      </c>
    </row>
    <row r="2233" spans="1:10" ht="28.9" customHeight="1" thickTop="1" thickBot="1" x14ac:dyDescent="0.65">
      <c r="A2233" s="3">
        <v>2231</v>
      </c>
      <c r="B2233" s="44" t="str">
        <f>HYPERLINK("https://search.naver.com/search.naver?query=엽문 영화", "엽문")</f>
        <v>엽문</v>
      </c>
      <c r="C2233" s="45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97" t="s">
        <v>3450</v>
      </c>
    </row>
    <row r="2234" spans="1:10" ht="28.9" customHeight="1" thickTop="1" thickBot="1" x14ac:dyDescent="0.65">
      <c r="A2234" s="5">
        <v>2232</v>
      </c>
      <c r="B2234" s="46" t="str">
        <f>HYPERLINK("https://search.naver.com/search.naver?query=엽문 외전 영화", "엽문 외전")</f>
        <v>엽문 외전</v>
      </c>
      <c r="C2234" s="47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98" t="s">
        <v>3442</v>
      </c>
    </row>
    <row r="2235" spans="1:10" ht="28.9" customHeight="1" thickTop="1" thickBot="1" x14ac:dyDescent="0.65">
      <c r="A2235" s="3">
        <v>2233</v>
      </c>
      <c r="B2235" s="44" t="str">
        <f>HYPERLINK("https://search.naver.com/search.naver?query=엽문3 최후의 대결 영화", "엽문3 - 최후의 대결")</f>
        <v>엽문3 - 최후의 대결</v>
      </c>
      <c r="C2235" s="45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97" t="s">
        <v>3440</v>
      </c>
    </row>
    <row r="2236" spans="1:10" ht="28.9" customHeight="1" thickTop="1" thickBot="1" x14ac:dyDescent="0.65">
      <c r="A2236" s="5">
        <v>2234</v>
      </c>
      <c r="B2236" s="46" t="str">
        <f>HYPERLINK("https://search.naver.com/search.naver?query=엽문4 더 파이널 영화", "엽문4-더 파이널")</f>
        <v>엽문4-더 파이널</v>
      </c>
      <c r="C2236" s="47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98" t="s">
        <v>3444</v>
      </c>
    </row>
    <row r="2237" spans="1:10" ht="28.9" customHeight="1" thickTop="1" thickBot="1" x14ac:dyDescent="0.65">
      <c r="A2237" s="3">
        <v>2235</v>
      </c>
      <c r="B2237" s="44" t="str">
        <f>HYPERLINK("https://search.naver.com/search.naver?query=영 어덜트 영화", "영 어덜트")</f>
        <v>영 어덜트</v>
      </c>
      <c r="C2237" s="45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97" t="s">
        <v>3454</v>
      </c>
    </row>
    <row r="2238" spans="1:10" ht="28.9" customHeight="1" thickTop="1" thickBot="1" x14ac:dyDescent="0.65">
      <c r="A2238" s="5">
        <v>2236</v>
      </c>
      <c r="B2238" s="46" t="str">
        <f>HYPERLINK("https://search.naver.com/search.naver?query=영광의 날들 영화", "영광의 날들")</f>
        <v>영광의 날들</v>
      </c>
      <c r="C2238" s="47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98" t="s">
        <v>3460</v>
      </c>
    </row>
    <row r="2239" spans="1:10" ht="28.9" customHeight="1" thickTop="1" thickBot="1" x14ac:dyDescent="0.65">
      <c r="A2239" s="3">
        <v>2237</v>
      </c>
      <c r="B2239" s="44" t="str">
        <f>HYPERLINK("https://search.naver.com/search.naver?query=영국 남자처럼 사랑하는 법 영화", "영국 남자처럼 사랑하는 법")</f>
        <v>영국 남자처럼 사랑하는 법</v>
      </c>
      <c r="C2239" s="45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97" t="s">
        <v>3440</v>
      </c>
    </row>
    <row r="2240" spans="1:10" ht="28.9" customHeight="1" thickTop="1" thickBot="1" x14ac:dyDescent="0.65">
      <c r="A2240" s="5">
        <v>2238</v>
      </c>
      <c r="B2240" s="46" t="str">
        <f>HYPERLINK("https://search.naver.com/search.naver?query=영웅본색 영화", "영웅본색")</f>
        <v>영웅본색</v>
      </c>
      <c r="C2240" s="47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98" t="s">
        <v>3468</v>
      </c>
    </row>
    <row r="2241" spans="1:10" ht="28.9" customHeight="1" thickTop="1" thickBot="1" x14ac:dyDescent="0.65">
      <c r="A2241" s="3">
        <v>2239</v>
      </c>
      <c r="B2241" s="44" t="str">
        <f>HYPERLINK("https://search.naver.com/search.naver?query=영웅본색 2 영화", "영웅본색 2")</f>
        <v>영웅본색 2</v>
      </c>
      <c r="C2241" s="45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97" t="s">
        <v>3481</v>
      </c>
    </row>
    <row r="2242" spans="1:10" ht="28.9" customHeight="1" thickTop="1" thickBot="1" x14ac:dyDescent="0.65">
      <c r="A2242" s="5">
        <v>2240</v>
      </c>
      <c r="B2242" s="46" t="str">
        <f>HYPERLINK("https://search.naver.com/search.naver?query=영웅본색 3 영화", "영웅본색 3")</f>
        <v>영웅본색 3</v>
      </c>
      <c r="C2242" s="47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98" t="s">
        <v>3477</v>
      </c>
    </row>
    <row r="2243" spans="1:10" ht="28.9" customHeight="1" thickTop="1" thickBot="1" x14ac:dyDescent="0.65">
      <c r="A2243" s="3">
        <v>2241</v>
      </c>
      <c r="B2243" s="44" t="str">
        <f>HYPERLINK("https://search.naver.com/search.naver?query=영화는 영화다 영화", "영화는 영화다")</f>
        <v>영화는 영화다</v>
      </c>
      <c r="C2243" s="45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97" t="s">
        <v>3450</v>
      </c>
    </row>
    <row r="2244" spans="1:10" ht="28.9" customHeight="1" thickTop="1" thickBot="1" x14ac:dyDescent="0.65">
      <c r="A2244" s="5">
        <v>2242</v>
      </c>
      <c r="B2244" s="46" t="str">
        <f>HYPERLINK("https://search.naver.com/search.naver?query=예감은 틀리지 않는다 영화", "예감은 틀리지 않는다")</f>
        <v>예감은 틀리지 않는다</v>
      </c>
      <c r="C2244" s="47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98" t="s">
        <v>3443</v>
      </c>
    </row>
    <row r="2245" spans="1:10" ht="28.9" customHeight="1" thickTop="1" thickBot="1" x14ac:dyDescent="0.65">
      <c r="A2245" s="3">
        <v>2243</v>
      </c>
      <c r="B2245" s="44" t="str">
        <f>HYPERLINK("https://search.naver.com/search.naver?query=예고범 영화", "예고범")</f>
        <v>예고범</v>
      </c>
      <c r="C2245" s="45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97" t="s">
        <v>3440</v>
      </c>
    </row>
    <row r="2246" spans="1:10" ht="28.9" customHeight="1" thickTop="1" thickBot="1" x14ac:dyDescent="0.65">
      <c r="A2246" s="5">
        <v>2244</v>
      </c>
      <c r="B2246" s="46" t="str">
        <f>HYPERLINK("https://search.naver.com/search.naver?query=예스터데이 영화", "예스터데이")</f>
        <v>예스터데이</v>
      </c>
      <c r="C2246" s="47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98" t="s">
        <v>3444</v>
      </c>
    </row>
    <row r="2247" spans="1:10" ht="28.9" customHeight="1" thickTop="1" thickBot="1" x14ac:dyDescent="0.65">
      <c r="A2247" s="3">
        <v>2245</v>
      </c>
      <c r="B2247" s="44" t="str">
        <f>HYPERLINK("https://search.naver.com/search.naver?query=예언자 영화", "예언자")</f>
        <v>예언자</v>
      </c>
      <c r="C2247" s="45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97" t="s">
        <v>3453</v>
      </c>
    </row>
    <row r="2248" spans="1:10" ht="28.9" customHeight="1" thickTop="1" thickBot="1" x14ac:dyDescent="0.65">
      <c r="A2248" s="7">
        <v>2246</v>
      </c>
      <c r="B2248" s="48" t="str">
        <f>HYPERLINK("https://search.naver.com/search.naver?query=옐로우스톤 시즌1", "옐로우스톤 시즌1")</f>
        <v>옐로우스톤 시즌1</v>
      </c>
      <c r="C2248" s="49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99" t="s">
        <v>3442</v>
      </c>
    </row>
    <row r="2249" spans="1:10" ht="28.9" customHeight="1" thickTop="1" thickBot="1" x14ac:dyDescent="0.65">
      <c r="A2249" s="7">
        <v>2247</v>
      </c>
      <c r="B2249" s="48" t="str">
        <f>HYPERLINK("https://search.naver.com/search.naver?query=옐로우스톤 시즌2", "옐로우스톤 시즌2")</f>
        <v>옐로우스톤 시즌2</v>
      </c>
      <c r="C2249" s="49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99" t="s">
        <v>3444</v>
      </c>
    </row>
    <row r="2250" spans="1:10" ht="28.9" customHeight="1" thickTop="1" thickBot="1" x14ac:dyDescent="0.65">
      <c r="A2250" s="7">
        <v>2248</v>
      </c>
      <c r="B2250" s="48" t="str">
        <f>HYPERLINK("https://search.naver.com/search.naver?query=옐로우스톤 시즌3", "옐로우스톤 시즌3")</f>
        <v>옐로우스톤 시즌3</v>
      </c>
      <c r="C2250" s="49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99" t="s">
        <v>3436</v>
      </c>
    </row>
    <row r="2251" spans="1:10" ht="28.9" customHeight="1" thickTop="1" thickBot="1" x14ac:dyDescent="0.65">
      <c r="A2251" s="7">
        <v>2249</v>
      </c>
      <c r="B2251" s="48" t="str">
        <f>HYPERLINK("https://search.naver.com/search.naver?query=옐로우스톤 시즌4", "옐로우스톤 시즌4")</f>
        <v>옐로우스톤 시즌4</v>
      </c>
      <c r="C2251" s="49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99" t="s">
        <v>3445</v>
      </c>
    </row>
    <row r="2252" spans="1:10" ht="28.9" customHeight="1" thickTop="1" thickBot="1" x14ac:dyDescent="0.65">
      <c r="A2252" s="7">
        <v>2250</v>
      </c>
      <c r="B2252" s="48" t="str">
        <f>HYPERLINK("https://search.naver.com/search.naver?query=옐로우스톤 시즌5", "옐로우스톤 시즌5")</f>
        <v>옐로우스톤 시즌5</v>
      </c>
      <c r="C2252" s="49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99" t="s">
        <v>3448</v>
      </c>
    </row>
    <row r="2253" spans="1:10" ht="28.9" customHeight="1" thickTop="1" thickBot="1" x14ac:dyDescent="0.65">
      <c r="A2253" s="3">
        <v>2251</v>
      </c>
      <c r="B2253" s="44" t="str">
        <f>HYPERLINK("https://search.naver.com/search.naver?query=오 루시 영화", "오 루시")</f>
        <v>오 루시</v>
      </c>
      <c r="C2253" s="45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97" t="s">
        <v>3443</v>
      </c>
    </row>
    <row r="2254" spans="1:10" ht="28.9" customHeight="1" thickTop="1" thickBot="1" x14ac:dyDescent="0.65">
      <c r="A2254" s="5">
        <v>2252</v>
      </c>
      <c r="B2254" s="46" t="str">
        <f>HYPERLINK("https://search.naver.com/search.naver?query=오 마이 그랜파 영화", "오 마이 그랜파")</f>
        <v>오 마이 그랜파</v>
      </c>
      <c r="C2254" s="47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98" t="s">
        <v>3441</v>
      </c>
    </row>
    <row r="2255" spans="1:10" ht="28.9" customHeight="1" thickTop="1" thickBot="1" x14ac:dyDescent="0.65">
      <c r="A2255" s="3">
        <v>2253</v>
      </c>
      <c r="B2255" s="44" t="str">
        <f>HYPERLINK("https://search.naver.com/search.naver?query=오 브라더, 오 시스터 영화", "오 브라더, 오 시스터")</f>
        <v>오 브라더, 오 시스터</v>
      </c>
      <c r="C2255" s="45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97" t="s">
        <v>3437</v>
      </c>
    </row>
    <row r="2256" spans="1:10" ht="28.9" customHeight="1" thickTop="1" thickBot="1" x14ac:dyDescent="0.65">
      <c r="A2256" s="5">
        <v>2254</v>
      </c>
      <c r="B2256" s="46" t="str">
        <f>HYPERLINK("https://search.naver.com/search.naver?query=오! 문희 영화", "오! 문희")</f>
        <v>오! 문희</v>
      </c>
      <c r="C2256" s="47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98" t="s">
        <v>3436</v>
      </c>
    </row>
    <row r="2257" spans="1:10" ht="28.9" customHeight="1" thickTop="1" thickBot="1" x14ac:dyDescent="0.65">
      <c r="A2257" s="3">
        <v>2255</v>
      </c>
      <c r="B2257" s="44" t="str">
        <f>HYPERLINK("https://search.naver.com/search.naver?query=오!파더 영화", "오!파더")</f>
        <v>오!파더</v>
      </c>
      <c r="C2257" s="45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97" t="s">
        <v>3437</v>
      </c>
    </row>
    <row r="2258" spans="1:10" ht="28.9" customHeight="1" thickTop="1" thickBot="1" x14ac:dyDescent="0.65">
      <c r="A2258" s="5">
        <v>2256</v>
      </c>
      <c r="B2258" s="46" t="str">
        <f>HYPERLINK("https://search.naver.com/search.naver?query=오늘2011", "오늘")</f>
        <v>오늘</v>
      </c>
      <c r="C2258" s="47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98" t="s">
        <v>3454</v>
      </c>
    </row>
    <row r="2259" spans="1:10" ht="28.9" customHeight="1" thickTop="1" thickBot="1" x14ac:dyDescent="0.65">
      <c r="A2259" s="3">
        <v>2257</v>
      </c>
      <c r="B2259" s="44" t="str">
        <f>HYPERLINK("https://search.naver.com/search.naver?query=오렌지 영화", "오렌지")</f>
        <v>오렌지</v>
      </c>
      <c r="C2259" s="45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97" t="s">
        <v>3440</v>
      </c>
    </row>
    <row r="2260" spans="1:10" ht="28.9" customHeight="1" thickTop="1" thickBot="1" x14ac:dyDescent="0.65">
      <c r="A2260" s="5">
        <v>2258</v>
      </c>
      <c r="B2260" s="46" t="str">
        <f>HYPERLINK("https://search.naver.com/search.naver?query=오로라 공주 영화", "오로라 공주")</f>
        <v>오로라 공주</v>
      </c>
      <c r="C2260" s="47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98" t="s">
        <v>3461</v>
      </c>
    </row>
    <row r="2261" spans="1:10" ht="28.9" customHeight="1" thickTop="1" thickBot="1" x14ac:dyDescent="0.65">
      <c r="A2261" s="3">
        <v>2259</v>
      </c>
      <c r="B2261" s="44" t="str">
        <f>HYPERLINK("https://search.naver.com/search.naver?query=오르페브르 36번가 영화", "오르페브르 36번가")</f>
        <v>오르페브르 36번가</v>
      </c>
      <c r="C2261" s="45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97" t="s">
        <v>3462</v>
      </c>
    </row>
    <row r="2262" spans="1:10" ht="28.9" customHeight="1" thickTop="1" thickBot="1" x14ac:dyDescent="0.65">
      <c r="A2262" s="5">
        <v>2260</v>
      </c>
      <c r="B2262" s="46" t="str">
        <f>HYPERLINK("https://search.naver.com/search.naver?query=오리엔트 특급 살인 영화", "오리엔트 특급 살인")</f>
        <v>오리엔트 특급 살인</v>
      </c>
      <c r="C2262" s="47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98" t="s">
        <v>3443</v>
      </c>
    </row>
    <row r="2263" spans="1:10" ht="28.9" customHeight="1" thickTop="1" thickBot="1" x14ac:dyDescent="0.65">
      <c r="A2263" s="7">
        <v>2261</v>
      </c>
      <c r="B2263" s="48" t="str">
        <f>HYPERLINK("https://search.naver.com/search.naver?query=오만과 편견1995 영국드라마", "오만과 편견")</f>
        <v>오만과 편견</v>
      </c>
      <c r="C2263" s="49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99" t="s">
        <v>3475</v>
      </c>
    </row>
    <row r="2264" spans="1:10" ht="28.9" customHeight="1" thickTop="1" thickBot="1" x14ac:dyDescent="0.65">
      <c r="A2264" s="5">
        <v>2262</v>
      </c>
      <c r="B2264" s="46" t="str">
        <f>HYPERLINK("https://search.naver.com/search.naver?query=오만과 편견 영화", "오만과 편견")</f>
        <v>오만과 편견</v>
      </c>
      <c r="C2264" s="47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98" t="s">
        <v>3461</v>
      </c>
    </row>
    <row r="2265" spans="1:10" ht="28.9" customHeight="1" thickTop="1" thickBot="1" x14ac:dyDescent="0.65">
      <c r="A2265" s="3">
        <v>2263</v>
      </c>
      <c r="B2265" s="44" t="str">
        <f>HYPERLINK("https://search.naver.com/search.naver?query=오버로드 영화", "오버로드")</f>
        <v>오버로드</v>
      </c>
      <c r="C2265" s="45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97" t="s">
        <v>3442</v>
      </c>
    </row>
    <row r="2266" spans="1:10" ht="28.9" customHeight="1" thickTop="1" thickBot="1" x14ac:dyDescent="0.65">
      <c r="A2266" s="5">
        <v>2264</v>
      </c>
      <c r="B2266" s="46" t="str">
        <f>HYPERLINK("https://search.naver.com/search.naver?query=오베라는 남자 영화", "오베라는 남자")</f>
        <v>오베라는 남자</v>
      </c>
      <c r="C2266" s="47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98" t="s">
        <v>3440</v>
      </c>
    </row>
    <row r="2267" spans="1:10" ht="28.9" customHeight="1" thickTop="1" thickBot="1" x14ac:dyDescent="0.65">
      <c r="A2267" s="3">
        <v>2265</v>
      </c>
      <c r="B2267" s="44" t="str">
        <f>HYPERLINK("https://search.naver.com/search.naver?query=오블리비언 영화", "오블리비언")</f>
        <v>오블리비언</v>
      </c>
      <c r="C2267" s="45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97" t="s">
        <v>3451</v>
      </c>
    </row>
    <row r="2268" spans="1:10" ht="28.9" customHeight="1" thickTop="1" thickBot="1" x14ac:dyDescent="0.65">
      <c r="A2268" s="5">
        <v>2266</v>
      </c>
      <c r="B2268" s="46" t="str">
        <f>HYPERLINK("https://search.naver.com/search.naver?query=오빠생각 영화", "오빠생각")</f>
        <v>오빠생각</v>
      </c>
      <c r="C2268" s="47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98" t="s">
        <v>3441</v>
      </c>
    </row>
    <row r="2269" spans="1:10" ht="28.9" customHeight="1" thickTop="1" thickBot="1" x14ac:dyDescent="0.65">
      <c r="A2269" s="3">
        <v>2267</v>
      </c>
      <c r="B2269" s="44" t="str">
        <f>HYPERLINK("https://search.naver.com/search.naver?query=오살 영화", "오살")</f>
        <v>오살</v>
      </c>
      <c r="C2269" s="45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97" t="s">
        <v>3436</v>
      </c>
    </row>
    <row r="2270" spans="1:10" ht="28.9" customHeight="1" thickTop="1" thickBot="1" x14ac:dyDescent="0.65">
      <c r="A2270" s="5">
        <v>2268</v>
      </c>
      <c r="B2270" s="46" t="str">
        <f>HYPERLINK("https://search.naver.com/search.naver?query=오션스8 영화", "오션스8")</f>
        <v>오션스8</v>
      </c>
      <c r="C2270" s="47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98" t="s">
        <v>3442</v>
      </c>
    </row>
    <row r="2271" spans="1:10" ht="28.9" customHeight="1" thickTop="1" thickBot="1" x14ac:dyDescent="0.65">
      <c r="A2271" s="3">
        <v>2269</v>
      </c>
      <c r="B2271" s="44" t="str">
        <f>HYPERLINK("https://search.naver.com/search.naver?query=오스카 그랜트의 어떤 하루 영화", "오스카 그랜트의 어떤 하루")</f>
        <v>오스카 그랜트의 어떤 하루</v>
      </c>
      <c r="C2271" s="45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97" t="s">
        <v>3451</v>
      </c>
    </row>
    <row r="2272" spans="1:10" ht="28.9" customHeight="1" thickTop="1" thickBot="1" x14ac:dyDescent="0.65">
      <c r="A2272" s="5">
        <v>2270</v>
      </c>
      <c r="B2272" s="46" t="str">
        <f>HYPERLINK("https://search.naver.com/search.naver?query=오싱 영화", "오싱")</f>
        <v>오싱</v>
      </c>
      <c r="C2272" s="47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98" t="s">
        <v>3451</v>
      </c>
    </row>
    <row r="2273" spans="1:10" ht="28.9" customHeight="1" thickTop="1" thickBot="1" x14ac:dyDescent="0.65">
      <c r="A2273" s="3">
        <v>2271</v>
      </c>
      <c r="B2273" s="44" t="str">
        <f>HYPERLINK("https://search.naver.com/search.naver?query=오이시맨 영화", "오이시맨")</f>
        <v>오이시맨</v>
      </c>
      <c r="C2273" s="45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97" t="s">
        <v>3450</v>
      </c>
    </row>
    <row r="2274" spans="1:10" ht="28.9" customHeight="1" thickTop="1" thickBot="1" x14ac:dyDescent="0.65">
      <c r="A2274" s="7">
        <v>2272</v>
      </c>
      <c r="B2274" s="48" t="str">
        <f>HYPERLINK("https://search.naver.com/search.naver?query=오자크 시즌1", "오자크 시즌1")</f>
        <v>오자크 시즌1</v>
      </c>
      <c r="C2274" s="49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99" t="s">
        <v>3443</v>
      </c>
    </row>
    <row r="2275" spans="1:10" ht="28.9" customHeight="1" thickTop="1" thickBot="1" x14ac:dyDescent="0.65">
      <c r="A2275" s="7">
        <v>2273</v>
      </c>
      <c r="B2275" s="48" t="str">
        <f>HYPERLINK("https://search.naver.com/search.naver?query=오자크 시즌2", "오자크 시즌2")</f>
        <v>오자크 시즌2</v>
      </c>
      <c r="C2275" s="49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99" t="s">
        <v>3442</v>
      </c>
    </row>
    <row r="2276" spans="1:10" ht="28.9" customHeight="1" thickTop="1" thickBot="1" x14ac:dyDescent="0.65">
      <c r="A2276" s="7">
        <v>2274</v>
      </c>
      <c r="B2276" s="48" t="str">
        <f>HYPERLINK("https://search.naver.com/search.naver?query=오자크 시즌3", "오자크 시즌3")</f>
        <v>오자크 시즌3</v>
      </c>
      <c r="C2276" s="49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99" t="s">
        <v>3444</v>
      </c>
    </row>
    <row r="2277" spans="1:10" ht="28.9" customHeight="1" thickTop="1" thickBot="1" x14ac:dyDescent="0.65">
      <c r="A2277" s="7">
        <v>2275</v>
      </c>
      <c r="B2277" s="48" t="str">
        <f>HYPERLINK("https://search.naver.com/search.naver?query=오자크 시즌4", "오자크 시즌4")</f>
        <v>오자크 시즌4</v>
      </c>
      <c r="C2277" s="49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99" t="s">
        <v>3445</v>
      </c>
    </row>
    <row r="2278" spans="1:10" ht="28.9" customHeight="1" thickTop="1" thickBot="1" x14ac:dyDescent="0.65">
      <c r="A2278" s="5">
        <v>2276</v>
      </c>
      <c r="B2278" s="46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47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98" t="s">
        <v>3442</v>
      </c>
    </row>
    <row r="2279" spans="1:10" ht="28.9" customHeight="1" thickTop="1" thickBot="1" x14ac:dyDescent="0.65">
      <c r="A2279" s="3">
        <v>2277</v>
      </c>
      <c r="B2279" s="44" t="str">
        <f>HYPERLINK("https://search.naver.com/search.naver?query=오직 그대만 영화", "오직 그대만")</f>
        <v>오직 그대만</v>
      </c>
      <c r="C2279" s="45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97" t="s">
        <v>3454</v>
      </c>
    </row>
    <row r="2280" spans="1:10" ht="28.9" customHeight="1" thickTop="1" thickBot="1" x14ac:dyDescent="0.65">
      <c r="A2280" s="5">
        <v>2278</v>
      </c>
      <c r="B2280" s="46" t="str">
        <f>HYPERLINK("https://search.naver.com/search.naver?query=오직 사랑뿐 영화", "오직 사랑뿐")</f>
        <v>오직 사랑뿐</v>
      </c>
      <c r="C2280" s="47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98" t="s">
        <v>3442</v>
      </c>
    </row>
    <row r="2281" spans="1:10" ht="28.9" customHeight="1" thickTop="1" thickBot="1" x14ac:dyDescent="0.65">
      <c r="A2281" s="7">
        <v>2279</v>
      </c>
      <c r="B2281" s="48" t="str">
        <f>HYPERLINK("https://search.naver.com/search.naver?query=오징어 게임 시즌1", "오징어 게임 시즌1")</f>
        <v>오징어 게임 시즌1</v>
      </c>
      <c r="C2281" s="49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99" t="s">
        <v>3438</v>
      </c>
    </row>
    <row r="2282" spans="1:10" ht="28.9" customHeight="1" thickTop="1" thickBot="1" x14ac:dyDescent="0.65">
      <c r="A2282" s="7">
        <v>2280</v>
      </c>
      <c r="B2282" s="48" t="str">
        <f>HYPERLINK("https://search.naver.com/search.naver?query=오징어 게임 시즌2", "오징어 게임 시즌2")</f>
        <v>오징어 게임 시즌2</v>
      </c>
      <c r="C2282" s="49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99" t="s">
        <v>3448</v>
      </c>
    </row>
    <row r="2283" spans="1:10" ht="28.9" customHeight="1" thickTop="1" thickBot="1" x14ac:dyDescent="0.65">
      <c r="A2283" s="7">
        <v>2281</v>
      </c>
      <c r="B2283" s="48" t="str">
        <f>HYPERLINK("https://search.naver.com/search.naver?query=오징어 게임 시즌3", "오징어 게임 시즌3")</f>
        <v>오징어 게임 시즌3</v>
      </c>
      <c r="C2283" s="49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99" t="s">
        <v>3459</v>
      </c>
    </row>
    <row r="2284" spans="1:10" ht="28.9" customHeight="1" thickTop="1" thickBot="1" x14ac:dyDescent="0.65">
      <c r="A2284" s="5">
        <v>2282</v>
      </c>
      <c r="B2284" s="46" t="str">
        <f>HYPERLINK("https://search.naver.com/search.naver?query=오케이 마담 영화", "오케이 마담")</f>
        <v>오케이 마담</v>
      </c>
      <c r="C2284" s="47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98" t="s">
        <v>3436</v>
      </c>
    </row>
    <row r="2285" spans="1:10" ht="28.9" customHeight="1" thickTop="1" thickBot="1" x14ac:dyDescent="0.65">
      <c r="A2285" s="3">
        <v>2283</v>
      </c>
      <c r="B2285" s="44" t="str">
        <f>HYPERLINK("https://search.naver.com/search.naver?query=오토라는 남자 영화", "오토라는 남자")</f>
        <v>오토라는 남자</v>
      </c>
      <c r="C2285" s="45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97" t="s">
        <v>3445</v>
      </c>
    </row>
    <row r="2286" spans="1:10" ht="28.9" customHeight="1" thickTop="1" thickBot="1" x14ac:dyDescent="0.65">
      <c r="A2286" s="5">
        <v>2284</v>
      </c>
      <c r="B2286" s="46" t="str">
        <f>HYPERLINK("https://search.naver.com/search.naver?query=오토만 루테넌트 영화", "오토만 루테넌트")</f>
        <v>오토만 루테넌트</v>
      </c>
      <c r="C2286" s="47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98" t="s">
        <v>3443</v>
      </c>
    </row>
    <row r="2287" spans="1:10" ht="28.9" customHeight="1" thickTop="1" thickBot="1" x14ac:dyDescent="0.65">
      <c r="A2287" s="7">
        <v>2285</v>
      </c>
      <c r="B2287" s="48" t="str">
        <f>HYPERLINK("https://search.naver.com/search.naver?query=오티스의 비밀 상담소 시즌1", "오티스의 비밀 상담소 시즌1")</f>
        <v>오티스의 비밀 상담소 시즌1</v>
      </c>
      <c r="C2287" s="49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99" t="s">
        <v>3444</v>
      </c>
    </row>
    <row r="2288" spans="1:10" ht="28.9" customHeight="1" thickTop="1" thickBot="1" x14ac:dyDescent="0.65">
      <c r="A2288" s="7">
        <v>2286</v>
      </c>
      <c r="B2288" s="48" t="str">
        <f>HYPERLINK("https://search.naver.com/search.naver?query=오티스의 비밀 상담소 시즌2", "오티스의 비밀 상담소 시즌2")</f>
        <v>오티스의 비밀 상담소 시즌2</v>
      </c>
      <c r="C2288" s="49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99" t="s">
        <v>3436</v>
      </c>
    </row>
    <row r="2289" spans="1:10" ht="28.9" customHeight="1" thickTop="1" thickBot="1" x14ac:dyDescent="0.65">
      <c r="A2289" s="7">
        <v>2287</v>
      </c>
      <c r="B2289" s="48" t="str">
        <f>HYPERLINK("https://search.naver.com/search.naver?query=오티스의 비밀 상담소 시즌3", "오티스의 비밀 상담소 시즌3")</f>
        <v>오티스의 비밀 상담소 시즌3</v>
      </c>
      <c r="C2289" s="49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99" t="s">
        <v>3438</v>
      </c>
    </row>
    <row r="2290" spans="1:10" ht="28.9" customHeight="1" thickTop="1" thickBot="1" x14ac:dyDescent="0.65">
      <c r="A2290" s="7">
        <v>2288</v>
      </c>
      <c r="B2290" s="48" t="str">
        <f>HYPERLINK("https://search.naver.com/search.naver?query=오티스의 비밀 상담소 시즌4", "오티스의 비밀 상담소 시즌4")</f>
        <v>오티스의 비밀 상담소 시즌4</v>
      </c>
      <c r="C2290" s="49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99" t="s">
        <v>3446</v>
      </c>
    </row>
    <row r="2291" spans="1:10" ht="28.9" customHeight="1" thickTop="1" thickBot="1" x14ac:dyDescent="0.65">
      <c r="A2291" s="3">
        <v>2289</v>
      </c>
      <c r="B2291" s="44" t="str">
        <f>HYPERLINK("https://search.naver.com/search.naver?query=오퍼레이션 레드 씨 영화", "오퍼레이션 레드 씨")</f>
        <v>오퍼레이션 레드 씨</v>
      </c>
      <c r="C2291" s="45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97" t="s">
        <v>3442</v>
      </c>
    </row>
    <row r="2292" spans="1:10" ht="28.9" customHeight="1" thickTop="1" thickBot="1" x14ac:dyDescent="0.65">
      <c r="A2292" s="5">
        <v>2290</v>
      </c>
      <c r="B2292" s="46" t="str">
        <f>HYPERLINK("https://search.naver.com/search.naver?query=오퍼레이션 피날레 영화", "오퍼레이션 피날레")</f>
        <v>오퍼레이션 피날레</v>
      </c>
      <c r="C2292" s="47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98" t="s">
        <v>3442</v>
      </c>
    </row>
    <row r="2293" spans="1:10" ht="28.9" customHeight="1" thickTop="1" thickBot="1" x14ac:dyDescent="0.65">
      <c r="A2293" s="3">
        <v>2291</v>
      </c>
      <c r="B2293" s="44" t="str">
        <f>HYPERLINK("https://search.naver.com/search.naver?query=오펜하이머 영화", "오펜하이머")</f>
        <v>오펜하이머</v>
      </c>
      <c r="C2293" s="45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97" t="s">
        <v>3446</v>
      </c>
    </row>
    <row r="2294" spans="1:10" ht="28.9" customHeight="1" thickTop="1" thickBot="1" x14ac:dyDescent="0.65">
      <c r="A2294" s="5">
        <v>2292</v>
      </c>
      <c r="B2294" s="46" t="str">
        <f>HYPERLINK("https://search.naver.com/search.naver?query=오피셜 시크릿 영화", "오피셜 시크릿")</f>
        <v>오피셜 시크릿</v>
      </c>
      <c r="C2294" s="47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98" t="s">
        <v>3444</v>
      </c>
    </row>
    <row r="2295" spans="1:10" ht="28.9" customHeight="1" thickTop="1" thickBot="1" x14ac:dyDescent="0.65">
      <c r="A2295" s="3">
        <v>2293</v>
      </c>
      <c r="B2295" s="44" t="str">
        <f>HYPERLINK("https://search.naver.com/search.naver?query=오필리아 영화", "오필리아")</f>
        <v>오필리아</v>
      </c>
      <c r="C2295" s="45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97" t="s">
        <v>3442</v>
      </c>
    </row>
    <row r="2296" spans="1:10" ht="28.9" customHeight="1" thickTop="1" thickBot="1" x14ac:dyDescent="0.65">
      <c r="A2296" s="5">
        <v>2294</v>
      </c>
      <c r="B2296" s="46" t="str">
        <f>HYPERLINK("https://search.naver.com/search.naver?query=오하이오 삿포로 영화", "오하이오 삿포로")</f>
        <v>오하이오 삿포로</v>
      </c>
      <c r="C2296" s="47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98" t="s">
        <v>3454</v>
      </c>
    </row>
    <row r="2297" spans="1:10" ht="28.9" customHeight="1" thickTop="1" thickBot="1" x14ac:dyDescent="0.65">
      <c r="A2297" s="3">
        <v>2295</v>
      </c>
      <c r="B2297" s="44" t="str">
        <f>HYPERLINK("https://search.naver.com/search.naver?query=옥자 영화", "옥자")</f>
        <v>옥자</v>
      </c>
      <c r="C2297" s="45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97" t="s">
        <v>3443</v>
      </c>
    </row>
    <row r="2298" spans="1:10" ht="28.9" customHeight="1" thickTop="1" thickBot="1" x14ac:dyDescent="0.65">
      <c r="A2298" s="5">
        <v>2296</v>
      </c>
      <c r="B2298" s="46" t="str">
        <f>HYPERLINK("https://search.naver.com/search.naver?query=옥토버 스카이 영화", "옥토버 스카이")</f>
        <v>옥토버 스카이</v>
      </c>
      <c r="C2298" s="47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98" t="s">
        <v>3456</v>
      </c>
    </row>
    <row r="2299" spans="1:10" ht="28.9" customHeight="1" thickTop="1" thickBot="1" x14ac:dyDescent="0.65">
      <c r="A2299" s="3">
        <v>2297</v>
      </c>
      <c r="B2299" s="44" t="str">
        <f>HYPERLINK("https://search.naver.com/search.naver?query=온 더 락스 영화", "온 더 락스")</f>
        <v>온 더 락스</v>
      </c>
      <c r="C2299" s="45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97" t="s">
        <v>3436</v>
      </c>
    </row>
    <row r="2300" spans="1:10" ht="28.9" customHeight="1" thickTop="1" thickBot="1" x14ac:dyDescent="0.65">
      <c r="A2300" s="5">
        <v>2298</v>
      </c>
      <c r="B2300" s="46" t="str">
        <f>HYPERLINK("https://search.naver.com/search.naver?query=온리 더 브레이브 영화", "온리 더 브레이브")</f>
        <v>온리 더 브레이브</v>
      </c>
      <c r="C2300" s="47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98" t="s">
        <v>3443</v>
      </c>
    </row>
    <row r="2301" spans="1:10" ht="28.9" customHeight="1" thickTop="1" thickBot="1" x14ac:dyDescent="0.65">
      <c r="A2301" s="3">
        <v>2299</v>
      </c>
      <c r="B2301" s="44" t="str">
        <f>HYPERLINK("https://search.naver.com/search.naver?query=올 굿 에브리씽 영화", "올 굿 에브리씽")</f>
        <v>올 굿 에브리씽</v>
      </c>
      <c r="C2301" s="45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97" t="s">
        <v>3455</v>
      </c>
    </row>
    <row r="2302" spans="1:10" ht="28.9" customHeight="1" thickTop="1" thickBot="1" x14ac:dyDescent="0.65">
      <c r="A2302" s="5">
        <v>2300</v>
      </c>
      <c r="B2302" s="46" t="str">
        <f>HYPERLINK("https://search.naver.com/search.naver?query=올 더 머니 영화", "올 더 머니")</f>
        <v>올 더 머니</v>
      </c>
      <c r="C2302" s="47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98" t="s">
        <v>3443</v>
      </c>
    </row>
    <row r="2303" spans="1:10" ht="28.9" customHeight="1" thickTop="1" thickBot="1" x14ac:dyDescent="0.65">
      <c r="A2303" s="3">
        <v>2301</v>
      </c>
      <c r="B2303" s="44" t="str">
        <f>HYPERLINK("https://search.naver.com/search.naver?query=올 디 올드 나이브스 영화", "올 디 올드 나이브스")</f>
        <v>올 디 올드 나이브스</v>
      </c>
      <c r="C2303" s="45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97" t="s">
        <v>3445</v>
      </c>
    </row>
    <row r="2304" spans="1:10" ht="28.9" customHeight="1" thickTop="1" thickBot="1" x14ac:dyDescent="0.65">
      <c r="A2304" s="5">
        <v>2302</v>
      </c>
      <c r="B2304" s="46" t="str">
        <f>HYPERLINK("https://search.naver.com/search.naver?query=올 마이 라이프 영화", "올 마이 라이프")</f>
        <v>올 마이 라이프</v>
      </c>
      <c r="C2304" s="47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98" t="s">
        <v>3436</v>
      </c>
    </row>
    <row r="2305" spans="1:10" ht="28.9" customHeight="1" thickTop="1" thickBot="1" x14ac:dyDescent="0.65">
      <c r="A2305" s="7">
        <v>2303</v>
      </c>
      <c r="B2305" s="48" t="str">
        <f>HYPERLINK("https://search.naver.com/search.naver?query=올 허 폴트: 그날의 책임", "올 허 폴트: 그날의 책임")</f>
        <v>올 허 폴트: 그날의 책임</v>
      </c>
      <c r="C2305" s="49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99" t="s">
        <v>3459</v>
      </c>
    </row>
    <row r="2306" spans="1:10" ht="28.9" customHeight="1" thickTop="1" thickBot="1" x14ac:dyDescent="0.65">
      <c r="A2306" s="5">
        <v>2304</v>
      </c>
      <c r="B2306" s="46" t="str">
        <f>HYPERLINK("https://search.naver.com/search.naver?query=올드 영화", "올드")</f>
        <v>올드</v>
      </c>
      <c r="C2306" s="47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98" t="s">
        <v>3438</v>
      </c>
    </row>
    <row r="2307" spans="1:10" ht="28.9" customHeight="1" thickTop="1" thickBot="1" x14ac:dyDescent="0.65">
      <c r="A2307" s="7">
        <v>2305</v>
      </c>
      <c r="B2307" s="48" t="str">
        <f>HYPERLINK("https://search.naver.com/search.naver?query=올드 맨 시즌2", "올드 맨 시즌2")</f>
        <v>올드 맨 시즌2</v>
      </c>
      <c r="C2307" s="49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99" t="s">
        <v>3448</v>
      </c>
    </row>
    <row r="2308" spans="1:10" ht="28.9" customHeight="1" thickTop="1" thickBot="1" x14ac:dyDescent="0.65">
      <c r="A2308" s="5">
        <v>2306</v>
      </c>
      <c r="B2308" s="46" t="str">
        <f>HYPERLINK("https://search.naver.com/search.naver?query=올드가드 영화", "올드가드")</f>
        <v>올드가드</v>
      </c>
      <c r="C2308" s="47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98" t="s">
        <v>3436</v>
      </c>
    </row>
    <row r="2309" spans="1:10" ht="28.9" customHeight="1" thickTop="1" thickBot="1" x14ac:dyDescent="0.65">
      <c r="A2309" s="7">
        <v>2307</v>
      </c>
      <c r="B2309" s="48" t="str">
        <f>HYPERLINK("https://search.naver.com/search.naver?query=올드 맨 시즌1", "올드 맨 시즌1")</f>
        <v>올드 맨 시즌1</v>
      </c>
      <c r="C2309" s="49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99" t="s">
        <v>3445</v>
      </c>
    </row>
    <row r="2310" spans="1:10" ht="28.9" customHeight="1" thickTop="1" thickBot="1" x14ac:dyDescent="0.65">
      <c r="A2310" s="5">
        <v>2308</v>
      </c>
      <c r="B2310" s="46" t="str">
        <f>HYPERLINK("https://search.naver.com/search.naver?query=올레 영화", "올레")</f>
        <v>올레</v>
      </c>
      <c r="C2310" s="47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98" t="s">
        <v>3441</v>
      </c>
    </row>
    <row r="2311" spans="1:10" ht="28.9" customHeight="1" thickTop="1" thickBot="1" x14ac:dyDescent="0.65">
      <c r="A2311" s="3">
        <v>2309</v>
      </c>
      <c r="B2311" s="44" t="str">
        <f>HYPERLINK("https://search.naver.com/search.naver?query=올리버 트위스트 영화", "올리버 트위스트")</f>
        <v>올리버 트위스트</v>
      </c>
      <c r="C2311" s="45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97" t="s">
        <v>3461</v>
      </c>
    </row>
    <row r="2312" spans="1:10" ht="28.9" customHeight="1" thickTop="1" thickBot="1" x14ac:dyDescent="0.65">
      <c r="A2312" s="5">
        <v>2310</v>
      </c>
      <c r="B2312" s="46" t="str">
        <f>HYPERLINK("https://search.naver.com/search.naver?query=올빼미 영화", "올빼미")</f>
        <v>올빼미</v>
      </c>
      <c r="C2312" s="47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98" t="s">
        <v>3445</v>
      </c>
    </row>
    <row r="2313" spans="1:10" ht="28.9" customHeight="1" thickTop="1" thickBot="1" x14ac:dyDescent="0.65">
      <c r="A2313" s="3">
        <v>2311</v>
      </c>
      <c r="B2313" s="44" t="str">
        <f>HYPERLINK("https://search.naver.com/search.naver?query=올웨이즈 3번가의 석양 영화", "올웨이즈 - 3번가의 석양")</f>
        <v>올웨이즈 - 3번가의 석양</v>
      </c>
      <c r="C2313" s="45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97" t="s">
        <v>3461</v>
      </c>
    </row>
    <row r="2314" spans="1:10" ht="28.9" customHeight="1" thickTop="1" thickBot="1" x14ac:dyDescent="0.65">
      <c r="A2314" s="7">
        <v>2312</v>
      </c>
      <c r="B2314" s="48" t="str">
        <f>HYPERLINK("https://search.naver.com/search.naver?query=와이 우먼 킬 시즌1", "와이 우먼 킬 시즌1")</f>
        <v>와이 우먼 킬 시즌1</v>
      </c>
      <c r="C2314" s="49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99" t="s">
        <v>3444</v>
      </c>
    </row>
    <row r="2315" spans="1:10" ht="28.9" customHeight="1" thickTop="1" thickBot="1" x14ac:dyDescent="0.65">
      <c r="A2315" s="7">
        <v>2313</v>
      </c>
      <c r="B2315" s="48" t="str">
        <f>HYPERLINK("https://search.naver.com/search.naver?query=와이 우먼 킬 시즌2", "와이 우먼 킬 시즌2")</f>
        <v>와이 우먼 킬 시즌2</v>
      </c>
      <c r="C2315" s="49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99" t="s">
        <v>3438</v>
      </c>
    </row>
    <row r="2316" spans="1:10" s="58" customFormat="1" ht="28.9" customHeight="1" thickTop="1" thickBot="1" x14ac:dyDescent="0.65">
      <c r="A2316" s="26">
        <v>2314</v>
      </c>
      <c r="B2316" s="87" t="str">
        <f>HYPERLINK("https://search.naver.com/search.naver?query=와인을 향한 열정 영화", "와인을 향한 열정")</f>
        <v>와인을 향한 열정</v>
      </c>
      <c r="C2316" s="57"/>
      <c r="D2316" s="30" t="s">
        <v>3530</v>
      </c>
      <c r="E2316" s="26" t="s">
        <v>3528</v>
      </c>
      <c r="F2316" s="26">
        <v>2013</v>
      </c>
      <c r="G2316" s="26" t="s">
        <v>3518</v>
      </c>
      <c r="H2316" s="26" t="s">
        <v>3518</v>
      </c>
      <c r="I2316" s="26" t="s">
        <v>3529</v>
      </c>
      <c r="J2316" s="104" t="s">
        <v>3451</v>
      </c>
    </row>
    <row r="2317" spans="1:10" ht="28.9" customHeight="1" thickTop="1" thickBot="1" x14ac:dyDescent="0.65">
      <c r="A2317" s="3">
        <v>2315</v>
      </c>
      <c r="B2317" s="44" t="str">
        <f>HYPERLINK("https://search.naver.com/search.naver?query=와일드 영화", "와일드")</f>
        <v>와일드</v>
      </c>
      <c r="C2317" s="45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97" t="s">
        <v>3437</v>
      </c>
    </row>
    <row r="2318" spans="1:10" ht="28.9" customHeight="1" thickTop="1" thickBot="1" x14ac:dyDescent="0.65">
      <c r="A2318" s="5">
        <v>2316</v>
      </c>
      <c r="B2318" s="46" t="str">
        <f>HYPERLINK("https://search.naver.com/search.naver?query=와일드 로즈 영화", "와일드 로즈")</f>
        <v>와일드 로즈</v>
      </c>
      <c r="C2318" s="47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98" t="s">
        <v>3442</v>
      </c>
    </row>
    <row r="2319" spans="1:10" ht="28.9" customHeight="1" thickTop="1" thickBot="1" x14ac:dyDescent="0.65">
      <c r="A2319" s="3">
        <v>2317</v>
      </c>
      <c r="B2319" s="44" t="str">
        <f>HYPERLINK("https://search.naver.com/search.naver?query=와일드 마운틴 타임 영화", "와일드 마운틴 타임")</f>
        <v>와일드 마운틴 타임</v>
      </c>
      <c r="C2319" s="45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97" t="s">
        <v>3436</v>
      </c>
    </row>
    <row r="2320" spans="1:10" ht="28.9" customHeight="1" thickTop="1" thickBot="1" x14ac:dyDescent="0.65">
      <c r="A2320" s="5">
        <v>2318</v>
      </c>
      <c r="B2320" s="46" t="str">
        <f>HYPERLINK("https://search.naver.com/search.naver?query=와일드 카드 영화", "와일드 카드")</f>
        <v>와일드 카드</v>
      </c>
      <c r="C2320" s="47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98" t="s">
        <v>3440</v>
      </c>
    </row>
    <row r="2321" spans="1:10" ht="28.9" customHeight="1" thickTop="1" thickBot="1" x14ac:dyDescent="0.65">
      <c r="A2321" s="3">
        <v>2319</v>
      </c>
      <c r="B2321" s="44" t="str">
        <f>HYPERLINK("https://search.naver.com/search.naver?query=와일드라이프 영화", "와일드라이프")</f>
        <v>와일드라이프</v>
      </c>
      <c r="C2321" s="45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97" t="s">
        <v>3442</v>
      </c>
    </row>
    <row r="2322" spans="1:10" ht="28.9" customHeight="1" thickTop="1" thickBot="1" x14ac:dyDescent="0.65">
      <c r="A2322" s="5">
        <v>2320</v>
      </c>
      <c r="B2322" s="46" t="str">
        <f>HYPERLINK("https://search.naver.com/search.naver?query=완득이 영화", "완득이")</f>
        <v>완득이</v>
      </c>
      <c r="C2322" s="47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98" t="s">
        <v>3454</v>
      </c>
    </row>
    <row r="2323" spans="1:10" ht="28.9" customHeight="1" thickTop="1" thickBot="1" x14ac:dyDescent="0.65">
      <c r="A2323" s="3">
        <v>2321</v>
      </c>
      <c r="B2323" s="44" t="str">
        <f>HYPERLINK("https://search.naver.com/search.naver?query=완벽한 가족 영화", "완벽한 가족")</f>
        <v>완벽한 가족</v>
      </c>
      <c r="C2323" s="45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97" t="s">
        <v>3444</v>
      </c>
    </row>
    <row r="2324" spans="1:10" ht="28.9" customHeight="1" thickTop="1" thickBot="1" x14ac:dyDescent="0.65">
      <c r="A2324" s="5">
        <v>2322</v>
      </c>
      <c r="B2324" s="46" t="str">
        <f>HYPERLINK("https://search.naver.com/search.naver?query=완벽한 타인 영화", "완벽한 타인")</f>
        <v>완벽한 타인</v>
      </c>
      <c r="C2324" s="47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98" t="s">
        <v>3442</v>
      </c>
    </row>
    <row r="2325" spans="1:10" ht="28.9" customHeight="1" thickTop="1" thickBot="1" x14ac:dyDescent="0.65">
      <c r="A2325" s="3">
        <v>2323</v>
      </c>
      <c r="B2325" s="44" t="str">
        <f>HYPERLINK("https://search.naver.com/search.naver?query=완벽한 파트너 영화", "완벽한 파트너")</f>
        <v>완벽한 파트너</v>
      </c>
      <c r="C2325" s="45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97" t="s">
        <v>3454</v>
      </c>
    </row>
    <row r="2326" spans="1:10" ht="28.9" customHeight="1" thickTop="1" thickBot="1" x14ac:dyDescent="0.65">
      <c r="A2326" s="7">
        <v>2324</v>
      </c>
      <c r="B2326" s="48" t="str">
        <f>HYPERLINK("https://search.naver.com/search.naver?query=완전무결한 커플", "완전무결한 커플")</f>
        <v>완전무결한 커플</v>
      </c>
      <c r="C2326" s="49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99" t="s">
        <v>3448</v>
      </c>
    </row>
    <row r="2327" spans="1:10" ht="28.9" customHeight="1" thickTop="1" thickBot="1" x14ac:dyDescent="0.65">
      <c r="A2327" s="3">
        <v>2325</v>
      </c>
      <c r="B2327" s="44" t="str">
        <f>HYPERLINK("https://search.naver.com/search.naver?query=완전범죄 프로젝트 영화", "완전범죄 프로젝트")</f>
        <v>완전범죄 프로젝트</v>
      </c>
      <c r="C2327" s="45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97" t="s">
        <v>3451</v>
      </c>
    </row>
    <row r="2328" spans="1:10" ht="28.9" customHeight="1" thickTop="1" thickBot="1" x14ac:dyDescent="0.65">
      <c r="A2328" s="5">
        <v>2326</v>
      </c>
      <c r="B2328" s="46" t="str">
        <f>HYPERLINK("https://search.naver.com/search.naver?query=왓 데이 해드 영화", "왓 데이 해드")</f>
        <v>왓 데이 해드</v>
      </c>
      <c r="C2328" s="47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98" t="s">
        <v>3442</v>
      </c>
    </row>
    <row r="2329" spans="1:10" ht="28.9" customHeight="1" thickTop="1" thickBot="1" x14ac:dyDescent="0.65">
      <c r="A2329" s="3">
        <v>2327</v>
      </c>
      <c r="B2329" s="44" t="str">
        <f>HYPERLINK("https://search.naver.com/search.naver?query=왓치 영화", "왓치")</f>
        <v>왓치</v>
      </c>
      <c r="C2329" s="45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97" t="s">
        <v>3439</v>
      </c>
    </row>
    <row r="2330" spans="1:10" ht="28.9" customHeight="1" thickTop="1" thickBot="1" x14ac:dyDescent="0.65">
      <c r="A2330" s="5">
        <v>2328</v>
      </c>
      <c r="B2330" s="46" t="str">
        <f>HYPERLINK("https://search.naver.com/search.naver?query=왕을 위한 홀로그램 영화", "왕을 위한 홀로그램")</f>
        <v>왕을 위한 홀로그램</v>
      </c>
      <c r="C2330" s="47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98" t="s">
        <v>3441</v>
      </c>
    </row>
    <row r="2331" spans="1:10" ht="28.9" customHeight="1" thickTop="1" thickBot="1" x14ac:dyDescent="0.65">
      <c r="A2331" s="7">
        <v>2329</v>
      </c>
      <c r="B2331" s="48" t="str">
        <f>HYPERLINK("https://search.naver.com/search.naver?query=왕자의게임 시즌1", "왕자의게임 시즌1")</f>
        <v>왕자의게임 시즌1</v>
      </c>
      <c r="C2331" s="49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99" t="s">
        <v>3454</v>
      </c>
    </row>
    <row r="2332" spans="1:10" ht="28.9" customHeight="1" thickTop="1" thickBot="1" x14ac:dyDescent="0.65">
      <c r="A2332" s="7">
        <v>2330</v>
      </c>
      <c r="B2332" s="48" t="str">
        <f>HYPERLINK("https://search.naver.com/search.naver?query=왕자의게임 시즌2", "왕자의게임 시즌2")</f>
        <v>왕자의게임 시즌2</v>
      </c>
      <c r="C2332" s="49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99" t="s">
        <v>3439</v>
      </c>
    </row>
    <row r="2333" spans="1:10" ht="28.9" customHeight="1" thickTop="1" thickBot="1" x14ac:dyDescent="0.65">
      <c r="A2333" s="7">
        <v>2331</v>
      </c>
      <c r="B2333" s="48" t="str">
        <f>HYPERLINK("https://search.naver.com/search.naver?query=왕자의게임 시즌3", "왕자의게임 시즌3")</f>
        <v>왕자의게임 시즌3</v>
      </c>
      <c r="C2333" s="49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99" t="s">
        <v>3451</v>
      </c>
    </row>
    <row r="2334" spans="1:10" ht="28.9" customHeight="1" thickTop="1" thickBot="1" x14ac:dyDescent="0.65">
      <c r="A2334" s="7">
        <v>2332</v>
      </c>
      <c r="B2334" s="48" t="str">
        <f>HYPERLINK("https://search.naver.com/search.naver?query=왕자의게임 시즌4", "왕자의게임 시즌4")</f>
        <v>왕자의게임 시즌4</v>
      </c>
      <c r="C2334" s="49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99" t="s">
        <v>3437</v>
      </c>
    </row>
    <row r="2335" spans="1:10" ht="28.9" customHeight="1" thickTop="1" thickBot="1" x14ac:dyDescent="0.65">
      <c r="A2335" s="7">
        <v>2333</v>
      </c>
      <c r="B2335" s="48" t="str">
        <f>HYPERLINK("https://search.naver.com/search.naver?query=왕자의게임 시즌5", "왕자의게임 시즌5")</f>
        <v>왕자의게임 시즌5</v>
      </c>
      <c r="C2335" s="49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99" t="s">
        <v>3440</v>
      </c>
    </row>
    <row r="2336" spans="1:10" ht="28.9" customHeight="1" thickTop="1" thickBot="1" x14ac:dyDescent="0.65">
      <c r="A2336" s="7">
        <v>2334</v>
      </c>
      <c r="B2336" s="48" t="str">
        <f>HYPERLINK("https://search.naver.com/search.naver?query=왕자의게임 시즌6", "왕자의게임 시즌6")</f>
        <v>왕자의게임 시즌6</v>
      </c>
      <c r="C2336" s="49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99" t="s">
        <v>3441</v>
      </c>
    </row>
    <row r="2337" spans="1:10" ht="28.9" customHeight="1" thickTop="1" thickBot="1" x14ac:dyDescent="0.65">
      <c r="A2337" s="7">
        <v>2335</v>
      </c>
      <c r="B2337" s="48" t="str">
        <f>HYPERLINK("https://search.naver.com/search.naver?query=왕자의게임 시즌7", "왕자의게임 시즌7")</f>
        <v>왕자의게임 시즌7</v>
      </c>
      <c r="C2337" s="49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99" t="s">
        <v>3443</v>
      </c>
    </row>
    <row r="2338" spans="1:10" ht="28.9" customHeight="1" thickTop="1" thickBot="1" x14ac:dyDescent="0.65">
      <c r="A2338" s="7">
        <v>2336</v>
      </c>
      <c r="B2338" s="48" t="str">
        <f>HYPERLINK("https://search.naver.com/search.naver?query=왕자의게임 시즌8", "왕자의게임 시즌8")</f>
        <v>왕자의게임 시즌8</v>
      </c>
      <c r="C2338" s="49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99" t="s">
        <v>3444</v>
      </c>
    </row>
    <row r="2339" spans="1:10" ht="28.9" customHeight="1" thickTop="1" thickBot="1" x14ac:dyDescent="0.65">
      <c r="A2339" s="7">
        <v>2337</v>
      </c>
      <c r="B2339" s="48" t="str">
        <f>HYPERLINK("https://search.naver.com/search.naver?query=외교관 시즌1", "외교관 시즌1")</f>
        <v>외교관 시즌1</v>
      </c>
      <c r="C2339" s="49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99" t="s">
        <v>3446</v>
      </c>
    </row>
    <row r="2340" spans="1:10" ht="28.9" customHeight="1" thickTop="1" thickBot="1" x14ac:dyDescent="0.65">
      <c r="A2340" s="7">
        <v>2338</v>
      </c>
      <c r="B2340" s="48" t="str">
        <f>HYPERLINK("https://search.naver.com/search.naver?query=외교관 시즌2", "외교관 시즌2")</f>
        <v>외교관 시즌2</v>
      </c>
      <c r="C2340" s="49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99" t="s">
        <v>3448</v>
      </c>
    </row>
    <row r="2341" spans="1:10" ht="28.9" customHeight="1" thickTop="1" thickBot="1" x14ac:dyDescent="0.65">
      <c r="A2341" s="7">
        <v>2339</v>
      </c>
      <c r="B2341" s="48" t="str">
        <f>HYPERLINK("https://search.naver.com/search.naver?query=외교관 시즌3", "외교관 시즌3")</f>
        <v>외교관 시즌3</v>
      </c>
      <c r="C2341" s="49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99" t="s">
        <v>3459</v>
      </c>
    </row>
    <row r="2342" spans="1:10" ht="28.9" customHeight="1" thickTop="1" thickBot="1" x14ac:dyDescent="0.65">
      <c r="A2342" s="5">
        <v>2340</v>
      </c>
      <c r="B2342" s="46" t="str">
        <f>HYPERLINK("https://search.naver.com/search.naver?query=욕망의 대지 영화", "욕망의 대지")</f>
        <v>욕망의 대지</v>
      </c>
      <c r="C2342" s="47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98" t="s">
        <v>3450</v>
      </c>
    </row>
    <row r="2343" spans="1:10" ht="28.9" customHeight="1" thickTop="1" thickBot="1" x14ac:dyDescent="0.65">
      <c r="A2343" s="3">
        <v>2341</v>
      </c>
      <c r="B2343" s="44" t="str">
        <f>HYPERLINK("https://search.naver.com/search.naver?query=용기와 구원 영화", "용기와 구원")</f>
        <v>용기와 구원</v>
      </c>
      <c r="C2343" s="45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97" t="s">
        <v>3454</v>
      </c>
    </row>
    <row r="2344" spans="1:10" ht="28.9" customHeight="1" thickTop="1" thickBot="1" x14ac:dyDescent="0.65">
      <c r="A2344" s="5">
        <v>2342</v>
      </c>
      <c r="B2344" s="46" t="str">
        <f>HYPERLINK("https://search.naver.com/search.naver?query=용길이네 곱창집 영화", "용길이네 곱창집")</f>
        <v>용길이네 곱창집</v>
      </c>
      <c r="C2344" s="47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98" t="s">
        <v>3436</v>
      </c>
    </row>
    <row r="2345" spans="1:10" ht="28.9" customHeight="1" thickTop="1" thickBot="1" x14ac:dyDescent="0.65">
      <c r="A2345" s="3">
        <v>2343</v>
      </c>
      <c r="B2345" s="44" t="str">
        <f>HYPERLINK("https://search.naver.com/search.naver?query=클린트이스트우드의 용서받지 못한 자", "용서받지 못한 자")</f>
        <v>용서받지 못한 자</v>
      </c>
      <c r="C2345" s="45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97" t="s">
        <v>3469</v>
      </c>
    </row>
    <row r="2346" spans="1:10" ht="28.9" customHeight="1" thickTop="1" thickBot="1" x14ac:dyDescent="0.65">
      <c r="A2346" s="5">
        <v>2344</v>
      </c>
      <c r="B2346" s="46" t="str">
        <f>HYPERLINK("https://search.naver.com/search.naver?query=용서받지 못한 자 영화", "용서받지 못한 자")</f>
        <v>용서받지 못한 자</v>
      </c>
      <c r="C2346" s="47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98" t="s">
        <v>3451</v>
      </c>
    </row>
    <row r="2347" spans="1:10" ht="28.9" customHeight="1" thickTop="1" thickBot="1" x14ac:dyDescent="0.65">
      <c r="A2347" s="3">
        <v>2345</v>
      </c>
      <c r="B2347" s="44" t="str">
        <f>HYPERLINK("https://search.naver.com/search.naver?query=용의자 영화", "용의자")</f>
        <v>용의자</v>
      </c>
      <c r="C2347" s="45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97" t="s">
        <v>3451</v>
      </c>
    </row>
    <row r="2348" spans="1:10" ht="28.9" customHeight="1" thickTop="1" thickBot="1" x14ac:dyDescent="0.65">
      <c r="A2348" s="5">
        <v>2346</v>
      </c>
      <c r="B2348" s="46" t="str">
        <f>HYPERLINK("https://search.naver.com/search.naver?query=용의자 X 영화", "용의자 X")</f>
        <v>용의자 X</v>
      </c>
      <c r="C2348" s="47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98" t="s">
        <v>3450</v>
      </c>
    </row>
    <row r="2349" spans="1:10" ht="28.9" customHeight="1" thickTop="1" thickBot="1" x14ac:dyDescent="0.65">
      <c r="A2349" s="3">
        <v>2347</v>
      </c>
      <c r="B2349" s="44" t="str">
        <f>HYPERLINK("https://search.naver.com/search.naver?query=용의자 X의 헌신 영화", "용의자 X의 헌신")</f>
        <v>용의자 X의 헌신</v>
      </c>
      <c r="C2349" s="45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97" t="s">
        <v>3453</v>
      </c>
    </row>
    <row r="2350" spans="1:10" ht="28.9" customHeight="1" thickTop="1" thickBot="1" x14ac:dyDescent="0.65">
      <c r="A2350" s="7">
        <v>2348</v>
      </c>
      <c r="B2350" s="48" t="str">
        <f>HYPERLINK("https://search.naver.com/search.naver?query=용의자들 드라마", "용의자들 시즌1")</f>
        <v>용의자들 시즌1</v>
      </c>
      <c r="C2350" s="49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99" t="s">
        <v>3445</v>
      </c>
    </row>
    <row r="2351" spans="1:10" ht="28.9" customHeight="1" thickTop="1" thickBot="1" x14ac:dyDescent="0.65">
      <c r="A2351" s="3">
        <v>2349</v>
      </c>
      <c r="B2351" s="44" t="str">
        <f>HYPERLINK("https://search.naver.com/search.naver?query=우나기 영화", "우나기")</f>
        <v>우나기</v>
      </c>
      <c r="C2351" s="45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97" t="s">
        <v>3470</v>
      </c>
    </row>
    <row r="2352" spans="1:10" ht="28.9" customHeight="1" thickTop="1" thickBot="1" x14ac:dyDescent="0.65">
      <c r="A2352" s="5">
        <v>2350</v>
      </c>
      <c r="B2352" s="46" t="str">
        <f>HYPERLINK("https://search.naver.com/search.naver?query=우동 영화", "우동")</f>
        <v>우동</v>
      </c>
      <c r="C2352" s="47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98" t="s">
        <v>3460</v>
      </c>
    </row>
    <row r="2353" spans="1:10" ht="28.9" customHeight="1" thickTop="1" thickBot="1" x14ac:dyDescent="0.65">
      <c r="A2353" s="3">
        <v>2351</v>
      </c>
      <c r="B2353" s="44" t="str">
        <f>HYPERLINK("https://search.naver.com/search.naver?query=우드잡 영화", "우드잡")</f>
        <v>우드잡</v>
      </c>
      <c r="C2353" s="45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97" t="s">
        <v>3437</v>
      </c>
    </row>
    <row r="2354" spans="1:10" ht="28.9" customHeight="1" thickTop="1" thickBot="1" x14ac:dyDescent="0.65">
      <c r="A2354" s="5">
        <v>2352</v>
      </c>
      <c r="B2354" s="46" t="str">
        <f>HYPERLINK("https://search.naver.com/search.naver?query=우리 사이 어쩌면 영화", "우리 사이 어쩌면")</f>
        <v>우리 사이 어쩌면</v>
      </c>
      <c r="C2354" s="47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98" t="s">
        <v>3444</v>
      </c>
    </row>
    <row r="2355" spans="1:10" ht="28.9" customHeight="1" thickTop="1" thickBot="1" x14ac:dyDescent="0.65">
      <c r="A2355" s="3">
        <v>2353</v>
      </c>
      <c r="B2355" s="44" t="str">
        <f>HYPERLINK("https://search.naver.com/search.naver?query=우리 사이의 거대한 산 영화", "우리 사이의 거대한 산")</f>
        <v>우리 사이의 거대한 산</v>
      </c>
      <c r="C2355" s="45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97" t="s">
        <v>3443</v>
      </c>
    </row>
    <row r="2356" spans="1:10" ht="28.9" customHeight="1" thickTop="1" thickBot="1" x14ac:dyDescent="0.65">
      <c r="A2356" s="5">
        <v>2354</v>
      </c>
      <c r="B2356" s="46" t="str">
        <f>HYPERLINK("https://search.naver.com/search.naver?query=우리 의사 선생님 영화", "우리 의사 선생님")</f>
        <v>우리 의사 선생님</v>
      </c>
      <c r="C2356" s="47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98" t="s">
        <v>3453</v>
      </c>
    </row>
    <row r="2357" spans="1:10" ht="28.9" customHeight="1" thickTop="1" thickBot="1" x14ac:dyDescent="0.65">
      <c r="A2357" s="3">
        <v>2355</v>
      </c>
      <c r="B2357" s="44" t="str">
        <f>HYPERLINK("https://search.naver.com/search.naver?query=우리 집에 왜 왔니 영화", "우리 집에 왜 왔니")</f>
        <v>우리 집에 왜 왔니</v>
      </c>
      <c r="C2357" s="45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97" t="s">
        <v>3453</v>
      </c>
    </row>
    <row r="2358" spans="1:10" ht="28.9" customHeight="1" thickTop="1" thickBot="1" x14ac:dyDescent="0.65">
      <c r="A2358" s="5">
        <v>2356</v>
      </c>
      <c r="B2358" s="46" t="str">
        <f>HYPERLINK("https://search.naver.com/search.naver?query=우리, 둘 영화", "우리, 둘")</f>
        <v>우리, 둘</v>
      </c>
      <c r="C2358" s="47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98" t="s">
        <v>3444</v>
      </c>
    </row>
    <row r="2359" spans="1:10" ht="28.9" customHeight="1" thickTop="1" thickBot="1" x14ac:dyDescent="0.65">
      <c r="A2359" s="3">
        <v>2357</v>
      </c>
      <c r="B2359" s="44" t="str">
        <f>HYPERLINK("https://search.naver.com/search.naver?query=우리, 사랑일까요 영화", "우리, 사랑일까요")</f>
        <v>우리, 사랑일까요</v>
      </c>
      <c r="C2359" s="45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97" t="s">
        <v>3461</v>
      </c>
    </row>
    <row r="2360" spans="1:10" ht="28.9" customHeight="1" thickTop="1" thickBot="1" x14ac:dyDescent="0.65">
      <c r="A2360" s="5">
        <v>2358</v>
      </c>
      <c r="B2360" s="46" t="str">
        <f>HYPERLINK("https://search.naver.com/search.naver?query=우리가 끝이야 영화", "우리가 끝이야")</f>
        <v>우리가 끝이야</v>
      </c>
      <c r="C2360" s="47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98" t="s">
        <v>3448</v>
      </c>
    </row>
    <row r="2361" spans="1:10" ht="28.9" customHeight="1" thickTop="1" thickBot="1" x14ac:dyDescent="0.65">
      <c r="A2361" s="3">
        <v>2359</v>
      </c>
      <c r="B2361" s="44" t="str">
        <f>HYPERLINK("https://search.naver.com/search.naver?query=우리가 사랑한 시간 영화", "우리가 사랑한 시간")</f>
        <v>우리가 사랑한 시간</v>
      </c>
      <c r="C2361" s="45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97" t="s">
        <v>3446</v>
      </c>
    </row>
    <row r="2362" spans="1:10" ht="28.9" customHeight="1" thickTop="1" thickBot="1" x14ac:dyDescent="0.65">
      <c r="A2362" s="5">
        <v>2360</v>
      </c>
      <c r="B2362" s="46" t="str">
        <f>HYPERLINK("https://search.naver.com/search.naver?query=우리는 동물원을 샀다 영화", "우리는 동물원을 샀다")</f>
        <v>우리는 동물원을 샀다</v>
      </c>
      <c r="C2362" s="47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98" t="s">
        <v>3454</v>
      </c>
    </row>
    <row r="2363" spans="1:10" ht="28.9" customHeight="1" thickTop="1" thickBot="1" x14ac:dyDescent="0.65">
      <c r="A2363" s="3">
        <v>2361</v>
      </c>
      <c r="B2363" s="44" t="str">
        <f>HYPERLINK("https://search.naver.com/search.naver?query=우리는 형제입니다 영화", "우리는 형제입니다")</f>
        <v>우리는 형제입니다</v>
      </c>
      <c r="C2363" s="45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97" t="s">
        <v>3437</v>
      </c>
    </row>
    <row r="2364" spans="1:10" ht="28.9" customHeight="1" thickTop="1" thickBot="1" x14ac:dyDescent="0.65">
      <c r="A2364" s="5">
        <v>2362</v>
      </c>
      <c r="B2364" s="46" t="str">
        <f>HYPERLINK("https://search.naver.com/search.naver?query=우리도 사랑일까 영화", "우리도 사랑일까")</f>
        <v>우리도 사랑일까</v>
      </c>
      <c r="C2364" s="47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98" t="s">
        <v>3439</v>
      </c>
    </row>
    <row r="2365" spans="1:10" ht="28.9" customHeight="1" thickTop="1" thickBot="1" x14ac:dyDescent="0.65">
      <c r="A2365" s="3">
        <v>2363</v>
      </c>
      <c r="B2365" s="44" t="str">
        <f>HYPERLINK("https://search.naver.com/search.naver?query=우리들의 행복한 시간 영화", "우리들의 행복한 시간")</f>
        <v>우리들의 행복한 시간</v>
      </c>
      <c r="C2365" s="45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97" t="s">
        <v>3460</v>
      </c>
    </row>
    <row r="2366" spans="1:10" ht="28.9" customHeight="1" thickTop="1" thickBot="1" x14ac:dyDescent="0.65">
      <c r="A2366" s="5">
        <v>2364</v>
      </c>
      <c r="B2366" s="46" t="str">
        <f>HYPERLINK("https://search.naver.com/search.naver?query=우리들이 있었다 전편 영화", "우리들이 있었다 전편")</f>
        <v>우리들이 있었다 전편</v>
      </c>
      <c r="C2366" s="47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98" t="s">
        <v>3454</v>
      </c>
    </row>
    <row r="2367" spans="1:10" ht="28.9" customHeight="1" thickTop="1" thickBot="1" x14ac:dyDescent="0.65">
      <c r="A2367" s="3">
        <v>2365</v>
      </c>
      <c r="B2367" s="44" t="str">
        <f>HYPERLINK("https://search.naver.com/search.naver?query=우리의 20세기 영화", "우리의 20세기")</f>
        <v>우리의 20세기</v>
      </c>
      <c r="C2367" s="45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97" t="s">
        <v>3443</v>
      </c>
    </row>
    <row r="2368" spans="1:10" ht="28.9" customHeight="1" thickTop="1" thickBot="1" x14ac:dyDescent="0.65">
      <c r="A2368" s="5">
        <v>2366</v>
      </c>
      <c r="B2368" s="46" t="str">
        <f>HYPERLINK("https://search.naver.com/search.naver?query=우리집 개를 찾습니다 영화", "우리집 개를 찾습니다")</f>
        <v>우리집 개를 찾습니다</v>
      </c>
      <c r="C2368" s="47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98" t="s">
        <v>3446</v>
      </c>
    </row>
    <row r="2369" spans="1:10" ht="28.9" customHeight="1" thickTop="1" thickBot="1" x14ac:dyDescent="0.65">
      <c r="A2369" s="3">
        <v>2367</v>
      </c>
      <c r="B2369" s="44" t="str">
        <f>HYPERLINK("https://search.naver.com/search.naver?query=우리집 똥멍청이 영화", "우리집 똥멍청이")</f>
        <v>우리집 똥멍청이</v>
      </c>
      <c r="C2369" s="45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97" t="s">
        <v>3436</v>
      </c>
    </row>
    <row r="2370" spans="1:10" ht="28.9" customHeight="1" thickTop="1" thickBot="1" x14ac:dyDescent="0.65">
      <c r="A2370" s="5">
        <v>2368</v>
      </c>
      <c r="B2370" s="46" t="str">
        <f>HYPERLINK("https://search.naver.com/search.naver?query=우먼 인 골드 영화", "우먼 인 골드")</f>
        <v>우먼 인 골드</v>
      </c>
      <c r="C2370" s="47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98" t="s">
        <v>3440</v>
      </c>
    </row>
    <row r="2371" spans="1:10" ht="28.9" customHeight="1" thickTop="1" thickBot="1" x14ac:dyDescent="0.65">
      <c r="A2371" s="3">
        <v>2369</v>
      </c>
      <c r="B2371" s="44" t="str">
        <f>HYPERLINK("https://search.naver.com/search.naver?query=우먼 인 블랙 영화", "우먼 인 블랙")</f>
        <v>우먼 인 블랙</v>
      </c>
      <c r="C2371" s="45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97" t="s">
        <v>3439</v>
      </c>
    </row>
    <row r="2372" spans="1:10" ht="28.9" customHeight="1" thickTop="1" thickBot="1" x14ac:dyDescent="0.65">
      <c r="A2372" s="5">
        <v>2370</v>
      </c>
      <c r="B2372" s="46" t="str">
        <f>HYPERLINK("https://search.naver.com/search.naver?query=우먼 인 윈도 영화", "우먼 인 윈도")</f>
        <v>우먼 인 윈도</v>
      </c>
      <c r="C2372" s="47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98" t="s">
        <v>3438</v>
      </c>
    </row>
    <row r="2373" spans="1:10" ht="28.9" customHeight="1" thickTop="1" thickBot="1" x14ac:dyDescent="0.65">
      <c r="A2373" s="3">
        <v>2371</v>
      </c>
      <c r="B2373" s="44" t="str">
        <f>HYPERLINK("https://search.naver.com/search.naver?query=우먼 인 캐빈10 영화", "우먼 인 캐빈10")</f>
        <v>우먼 인 캐빈10</v>
      </c>
      <c r="C2373" s="45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97" t="s">
        <v>3459</v>
      </c>
    </row>
    <row r="2374" spans="1:10" ht="28.9" customHeight="1" thickTop="1" thickBot="1" x14ac:dyDescent="0.65">
      <c r="A2374" s="5">
        <v>2372</v>
      </c>
      <c r="B2374" s="46" t="str">
        <f>HYPERLINK("https://search.naver.com/search.naver?query=우미자루 4 브레이브 하츠 영화", "우미자루 4 브레이브 하츠")</f>
        <v>우미자루 4 브레이브 하츠</v>
      </c>
      <c r="C2374" s="47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98" t="s">
        <v>3439</v>
      </c>
    </row>
    <row r="2375" spans="1:10" ht="28.9" customHeight="1" thickTop="1" thickBot="1" x14ac:dyDescent="0.65">
      <c r="A2375" s="3">
        <v>2373</v>
      </c>
      <c r="B2375" s="44" t="str">
        <f>HYPERLINK("https://search.naver.com/search.naver?query=우상 영화", "우상")</f>
        <v>우상</v>
      </c>
      <c r="C2375" s="45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97" t="s">
        <v>3444</v>
      </c>
    </row>
    <row r="2376" spans="1:10" ht="28.9" customHeight="1" thickTop="1" thickBot="1" x14ac:dyDescent="0.65">
      <c r="A2376" s="5">
        <v>2374</v>
      </c>
      <c r="B2376" s="46" t="str">
        <f>HYPERLINK("https://search.naver.com/search.naver?query=우아한 거짓말 영화", "우아한 거짓말")</f>
        <v>우아한 거짓말</v>
      </c>
      <c r="C2376" s="47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98" t="s">
        <v>3437</v>
      </c>
    </row>
    <row r="2377" spans="1:10" ht="28.9" customHeight="1" thickTop="1" thickBot="1" x14ac:dyDescent="0.65">
      <c r="A2377" s="3">
        <v>2375</v>
      </c>
      <c r="B2377" s="44" t="str">
        <f>HYPERLINK("https://search.naver.com/search.naver?query=우연한 납치범 영화", "우연한 납치범")</f>
        <v>우연한 납치범</v>
      </c>
      <c r="C2377" s="45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97" t="s">
        <v>3455</v>
      </c>
    </row>
    <row r="2378" spans="1:10" ht="28.9" customHeight="1" thickTop="1" thickBot="1" x14ac:dyDescent="0.65">
      <c r="A2378" s="5">
        <v>2376</v>
      </c>
      <c r="B2378" s="46" t="str">
        <f>HYPERLINK("https://search.naver.com/search.naver?query=우행록 영화", "우행록")</f>
        <v>우행록</v>
      </c>
      <c r="C2378" s="47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98" t="s">
        <v>3444</v>
      </c>
    </row>
    <row r="2379" spans="1:10" ht="28.9" customHeight="1" thickTop="1" thickBot="1" x14ac:dyDescent="0.65">
      <c r="A2379" s="3">
        <v>2377</v>
      </c>
      <c r="B2379" s="44" t="str">
        <f>HYPERLINK("https://search.naver.com/search.naver?query=운디네 영화", "운디네")</f>
        <v>운디네</v>
      </c>
      <c r="C2379" s="45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97" t="s">
        <v>3436</v>
      </c>
    </row>
    <row r="2380" spans="1:10" ht="28.9" customHeight="1" thickTop="1" thickBot="1" x14ac:dyDescent="0.65">
      <c r="A2380" s="7">
        <v>2378</v>
      </c>
      <c r="B2380" s="48" t="str">
        <f>HYPERLINK("https://search.naver.com/search.naver?query=운명을 닮은 사랑 드라마", "운명을 닮은 사랑")</f>
        <v>운명을 닮은 사랑</v>
      </c>
      <c r="C2380" s="49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99" t="s">
        <v>3441</v>
      </c>
    </row>
    <row r="2381" spans="1:10" ht="28.9" customHeight="1" thickTop="1" thickBot="1" x14ac:dyDescent="0.65">
      <c r="A2381" s="3">
        <v>2379</v>
      </c>
      <c r="B2381" s="44" t="str">
        <f>HYPERLINK("https://search.naver.com/search.naver?query=운명의 하루 영화", "운명의 하루")</f>
        <v>운명의 하루</v>
      </c>
      <c r="C2381" s="45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97" t="s">
        <v>3444</v>
      </c>
    </row>
    <row r="2382" spans="1:10" ht="28.9" customHeight="1" thickTop="1" thickBot="1" x14ac:dyDescent="0.65">
      <c r="A2382" s="5">
        <v>2380</v>
      </c>
      <c r="B2382" s="46" t="str">
        <f>HYPERLINK("https://search.naver.com/search.naver?query=울프 콜 영화", "울프 콜")</f>
        <v>울프 콜</v>
      </c>
      <c r="C2382" s="47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98" t="s">
        <v>3444</v>
      </c>
    </row>
    <row r="2383" spans="1:10" ht="28.9" customHeight="1" thickTop="1" thickBot="1" x14ac:dyDescent="0.65">
      <c r="A2383" s="3">
        <v>2381</v>
      </c>
      <c r="B2383" s="44" t="str">
        <f>HYPERLINK("https://search.naver.com/search.naver?query=울프 토템 영화", "울프 토템")</f>
        <v>울프 토템</v>
      </c>
      <c r="C2383" s="45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97" t="s">
        <v>3440</v>
      </c>
    </row>
    <row r="2384" spans="1:10" ht="28.9" customHeight="1" thickTop="1" thickBot="1" x14ac:dyDescent="0.65">
      <c r="A2384" s="5">
        <v>2382</v>
      </c>
      <c r="B2384" s="46" t="str">
        <f>HYPERLINK("https://search.naver.com/search.naver?query=울프스 영화", "울프스")</f>
        <v>울프스</v>
      </c>
      <c r="C2384" s="47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98" t="s">
        <v>3448</v>
      </c>
    </row>
    <row r="2385" spans="1:10" ht="28.9" customHeight="1" thickTop="1" thickBot="1" x14ac:dyDescent="0.65">
      <c r="A2385" s="3">
        <v>2383</v>
      </c>
      <c r="B2385" s="44" t="str">
        <f>HYPERLINK("https://search.naver.com/search.naver?query=워 룸 영화", "워 룸")</f>
        <v>워 룸</v>
      </c>
      <c r="C2385" s="45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97" t="s">
        <v>3440</v>
      </c>
    </row>
    <row r="2386" spans="1:10" ht="28.9" customHeight="1" thickTop="1" thickBot="1" x14ac:dyDescent="0.65">
      <c r="A2386" s="5">
        <v>2384</v>
      </c>
      <c r="B2386" s="46" t="str">
        <f>HYPERLINK("https://search.naver.com/search.naver?query=워 머신 영화", "워 머신")</f>
        <v>워 머신</v>
      </c>
      <c r="C2386" s="47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98" t="s">
        <v>3443</v>
      </c>
    </row>
    <row r="2387" spans="1:10" ht="28.9" customHeight="1" thickTop="1" thickBot="1" x14ac:dyDescent="0.65">
      <c r="A2387" s="3">
        <v>2385</v>
      </c>
      <c r="B2387" s="44" t="str">
        <f>HYPERLINK("https://search.naver.com/search.naver?query=워 위드 그랜파 영화", "워 위드 그랜파")</f>
        <v>워 위드 그랜파</v>
      </c>
      <c r="C2387" s="45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97" t="s">
        <v>3436</v>
      </c>
    </row>
    <row r="2388" spans="1:10" ht="28.9" customHeight="1" thickTop="1" thickBot="1" x14ac:dyDescent="0.65">
      <c r="A2388" s="5">
        <v>2386</v>
      </c>
      <c r="B2388" s="46" t="str">
        <f>HYPERLINK("https://search.naver.com/search.naver?query=워리어 영화", "워리어")</f>
        <v>워리어</v>
      </c>
      <c r="C2388" s="47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98" t="s">
        <v>3454</v>
      </c>
    </row>
    <row r="2389" spans="1:10" ht="28.9" customHeight="1" thickTop="1" thickBot="1" x14ac:dyDescent="0.65">
      <c r="A2389" s="3">
        <v>2387</v>
      </c>
      <c r="B2389" s="44" t="str">
        <f>HYPERLINK("https://search.naver.com/search.naver?query=워스 영화", "워스")</f>
        <v>워스</v>
      </c>
      <c r="C2389" s="45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97" t="s">
        <v>3436</v>
      </c>
    </row>
    <row r="2390" spans="1:10" ht="28.9" customHeight="1" thickTop="1" thickBot="1" x14ac:dyDescent="0.65">
      <c r="A2390" s="5">
        <v>2388</v>
      </c>
      <c r="B2390" s="46" t="str">
        <f>HYPERLINK("https://search.naver.com/search.naver?query=워크 오브 셰임 영화", "워크 오브 셰임")</f>
        <v>워크 오브 셰임</v>
      </c>
      <c r="C2390" s="47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98" t="s">
        <v>3437</v>
      </c>
    </row>
    <row r="2391" spans="1:10" ht="28.9" customHeight="1" thickTop="1" thickBot="1" x14ac:dyDescent="0.65">
      <c r="A2391" s="3">
        <v>2389</v>
      </c>
      <c r="B2391" s="44" t="str">
        <f>HYPERLINK("https://search.naver.com/search.naver?query=워크 투 리멤버 영화", "워크 투 리멤버")</f>
        <v>워크 투 리멤버</v>
      </c>
      <c r="C2391" s="45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97" t="s">
        <v>3466</v>
      </c>
    </row>
    <row r="2392" spans="1:10" ht="28.9" customHeight="1" thickTop="1" thickBot="1" x14ac:dyDescent="0.65">
      <c r="A2392" s="5">
        <v>2390</v>
      </c>
      <c r="B2392" s="46" t="str">
        <f>HYPERLINK("https://search.naver.com/search.naver?query=워킹 맨 영화", "워킹 맨")</f>
        <v>워킹 맨</v>
      </c>
      <c r="C2392" s="47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98" t="s">
        <v>3459</v>
      </c>
    </row>
    <row r="2393" spans="1:10" ht="28.9" customHeight="1" thickTop="1" thickBot="1" x14ac:dyDescent="0.65">
      <c r="A2393" s="3">
        <v>2391</v>
      </c>
      <c r="B2393" s="44" t="str">
        <f>HYPERLINK("https://search.naver.com/search.naver?query=워터 디바이너 영화", "워터 디바이너")</f>
        <v>워터 디바이너</v>
      </c>
      <c r="C2393" s="45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97" t="s">
        <v>3437</v>
      </c>
    </row>
    <row r="2394" spans="1:10" ht="28.9" customHeight="1" thickTop="1" thickBot="1" x14ac:dyDescent="0.65">
      <c r="A2394" s="5">
        <v>2392</v>
      </c>
      <c r="B2394" s="46" t="str">
        <f>HYPERLINK("https://search.naver.com/search.naver?query=워터보이즈 영화", "워터보이즈")</f>
        <v>워터보이즈</v>
      </c>
      <c r="C2394" s="47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98" t="s">
        <v>3457</v>
      </c>
    </row>
    <row r="2395" spans="1:10" ht="28.9" customHeight="1" thickTop="1" thickBot="1" x14ac:dyDescent="0.65">
      <c r="A2395" s="3">
        <v>2393</v>
      </c>
      <c r="B2395" s="44" t="str">
        <f>HYPERLINK("https://search.naver.com/search.naver?query=워호스 영화", "워호스")</f>
        <v>워호스</v>
      </c>
      <c r="C2395" s="45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97" t="s">
        <v>3454</v>
      </c>
    </row>
    <row r="2396" spans="1:10" ht="28.9" customHeight="1" thickTop="1" thickBot="1" x14ac:dyDescent="0.65">
      <c r="A2396" s="5">
        <v>2394</v>
      </c>
      <c r="B2396" s="46" t="str">
        <f>HYPERLINK("https://search.naver.com/search.naver?query=원 배틀 애프터 어나더 영화", "원 배틀 애프터 어나더")</f>
        <v>원 배틀 애프터 어나더</v>
      </c>
      <c r="C2396" s="47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98" t="s">
        <v>3459</v>
      </c>
    </row>
    <row r="2397" spans="1:10" ht="28.9" customHeight="1" thickTop="1" thickBot="1" x14ac:dyDescent="0.65">
      <c r="A2397" s="3">
        <v>2395</v>
      </c>
      <c r="B2397" s="44" t="str">
        <f>HYPERLINK("https://search.naver.com/search.naver?query=원 와일드 모먼트 영화", "원 와일드 모먼트")</f>
        <v>원 와일드 모먼트</v>
      </c>
      <c r="C2397" s="45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97" t="s">
        <v>3440</v>
      </c>
    </row>
    <row r="2398" spans="1:10" ht="28.9" customHeight="1" thickTop="1" thickBot="1" x14ac:dyDescent="0.65">
      <c r="A2398" s="5">
        <v>2396</v>
      </c>
      <c r="B2398" s="46" t="str">
        <f>HYPERLINK("https://search.naver.com/search.naver?query=원더 영화", "원더")</f>
        <v>원더</v>
      </c>
      <c r="C2398" s="47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98" t="s">
        <v>3443</v>
      </c>
    </row>
    <row r="2399" spans="1:10" ht="28.9" customHeight="1" thickTop="1" thickBot="1" x14ac:dyDescent="0.65">
      <c r="A2399" s="3">
        <v>2397</v>
      </c>
      <c r="B2399" s="44" t="str">
        <f>HYPERLINK("https://search.naver.com/search.naver?query=원더 우먼 영화", "원더 우먼")</f>
        <v>원더 우먼</v>
      </c>
      <c r="C2399" s="45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97" t="s">
        <v>3443</v>
      </c>
    </row>
    <row r="2400" spans="1:10" ht="28.9" customHeight="1" thickTop="1" thickBot="1" x14ac:dyDescent="0.65">
      <c r="A2400" s="5">
        <v>2398</v>
      </c>
      <c r="B2400" s="46" t="str">
        <f>HYPERLINK("https://search.naver.com/search.naver?query=원더 힐 영화", "원더 힐")</f>
        <v>원더 힐</v>
      </c>
      <c r="C2400" s="47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98" t="s">
        <v>3443</v>
      </c>
    </row>
    <row r="2401" spans="1:10" ht="28.9" customHeight="1" thickTop="1" thickBot="1" x14ac:dyDescent="0.65">
      <c r="A2401" s="3">
        <v>2399</v>
      </c>
      <c r="B2401" s="44" t="str">
        <f>HYPERLINK("https://search.naver.com/search.naver?query=원더우먼 스토리 영화", "원더우먼 스토리")</f>
        <v>원더우먼 스토리</v>
      </c>
      <c r="C2401" s="45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97" t="s">
        <v>3443</v>
      </c>
    </row>
    <row r="2402" spans="1:10" ht="28.9" customHeight="1" thickTop="1" thickBot="1" x14ac:dyDescent="0.65">
      <c r="A2402" s="5">
        <v>2400</v>
      </c>
      <c r="B2402" s="46" t="str">
        <f>HYPERLINK("https://search.naver.com/search.naver?query=원더풀 고스트 영화", "원더풀 고스트")</f>
        <v>원더풀 고스트</v>
      </c>
      <c r="C2402" s="47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98" t="s">
        <v>3442</v>
      </c>
    </row>
    <row r="2403" spans="1:10" ht="28.9" customHeight="1" thickTop="1" thickBot="1" x14ac:dyDescent="0.65">
      <c r="A2403" s="3">
        <v>2401</v>
      </c>
      <c r="B2403" s="44" t="str">
        <f>HYPERLINK("https://search.naver.com/search.naver?query=원더풀 라디오 영화", "원더풀 라디오")</f>
        <v>원더풀 라디오</v>
      </c>
      <c r="C2403" s="45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97" t="s">
        <v>3454</v>
      </c>
    </row>
    <row r="2404" spans="1:10" ht="28.9" customHeight="1" thickTop="1" thickBot="1" x14ac:dyDescent="0.65">
      <c r="A2404" s="5">
        <v>2402</v>
      </c>
      <c r="B2404" s="46" t="str">
        <f>HYPERLINK("https://search.naver.com/search.naver?query=원데이 영화", "원데이")</f>
        <v>원데이</v>
      </c>
      <c r="C2404" s="47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98" t="s">
        <v>3454</v>
      </c>
    </row>
    <row r="2405" spans="1:10" ht="28.9" customHeight="1" thickTop="1" thickBot="1" x14ac:dyDescent="0.65">
      <c r="A2405" s="3">
        <v>2403</v>
      </c>
      <c r="B2405" s="44" t="str">
        <f>HYPERLINK("https://search.naver.com/search.naver?query=원라인 영화", "원라인")</f>
        <v>원라인</v>
      </c>
      <c r="C2405" s="45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97" t="s">
        <v>3441</v>
      </c>
    </row>
    <row r="2406" spans="1:10" ht="28.9" customHeight="1" thickTop="1" thickBot="1" x14ac:dyDescent="0.65">
      <c r="A2406" s="5">
        <v>2404</v>
      </c>
      <c r="B2406" s="46" t="str">
        <f>HYPERLINK("https://search.naver.com/search.naver?query=원샷 영화", "원샷")</f>
        <v>원샷</v>
      </c>
      <c r="C2406" s="47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98" t="s">
        <v>3438</v>
      </c>
    </row>
    <row r="2407" spans="1:10" ht="28.9" customHeight="1" thickTop="1" thickBot="1" x14ac:dyDescent="0.65">
      <c r="A2407" s="3">
        <v>2405</v>
      </c>
      <c r="B2407" s="44" t="str">
        <f>HYPERLINK("https://search.naver.com/search.naver?query=원스 영화", "원스")</f>
        <v>원스</v>
      </c>
      <c r="C2407" s="45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97" t="s">
        <v>3447</v>
      </c>
    </row>
    <row r="2408" spans="1:10" ht="28.9" customHeight="1" thickTop="1" thickBot="1" x14ac:dyDescent="0.65">
      <c r="A2408" s="5">
        <v>2406</v>
      </c>
      <c r="B2408" s="46" t="str">
        <f>HYPERLINK("https://search.naver.com/search.naver?query=원스 어폰 어 타임 인 아메리카 영화", "원스 어폰 어 타임 인 아메리카")</f>
        <v>원스 어폰 어 타임 인 아메리카</v>
      </c>
      <c r="C2408" s="47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98" t="s">
        <v>3482</v>
      </c>
    </row>
    <row r="2409" spans="1:10" ht="28.9" customHeight="1" thickTop="1" thickBot="1" x14ac:dyDescent="0.65">
      <c r="A2409" s="3">
        <v>2407</v>
      </c>
      <c r="B2409" s="44" t="str">
        <f>HYPERLINK("https://search.naver.com/search.naver?query=원위크 영화", "원위크")</f>
        <v>원위크</v>
      </c>
      <c r="C2409" s="45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97" t="s">
        <v>3450</v>
      </c>
    </row>
    <row r="2410" spans="1:10" ht="28.9" customHeight="1" thickTop="1" thickBot="1" x14ac:dyDescent="0.65">
      <c r="A2410" s="5">
        <v>2408</v>
      </c>
      <c r="B2410" s="46" t="str">
        <f>HYPERLINK("https://search.naver.com/search.naver?query=원첸스 영화", "원첸스")</f>
        <v>원첸스</v>
      </c>
      <c r="C2410" s="47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98" t="s">
        <v>3451</v>
      </c>
    </row>
    <row r="2411" spans="1:10" ht="28.9" customHeight="1" thickTop="1" thickBot="1" x14ac:dyDescent="0.65">
      <c r="A2411" s="3">
        <v>2409</v>
      </c>
      <c r="B2411" s="44" t="str">
        <f>HYPERLINK("https://search.naver.com/search.naver?query=원트 백 다운 영화", "원트 백 다운")</f>
        <v>원트 백 다운</v>
      </c>
      <c r="C2411" s="45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97" t="s">
        <v>3439</v>
      </c>
    </row>
    <row r="2412" spans="1:10" ht="28.9" customHeight="1" thickTop="1" thickBot="1" x14ac:dyDescent="0.65">
      <c r="A2412" s="5">
        <v>2410</v>
      </c>
      <c r="B2412" s="46" t="str">
        <f>HYPERLINK("https://search.naver.com/search.naver?query=월드 인베이젼 영화", "월드 인베이젼")</f>
        <v>월드 인베이젼</v>
      </c>
      <c r="C2412" s="47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98" t="s">
        <v>3454</v>
      </c>
    </row>
    <row r="2413" spans="1:10" ht="28.9" customHeight="1" thickTop="1" thickBot="1" x14ac:dyDescent="0.65">
      <c r="A2413" s="3">
        <v>2411</v>
      </c>
      <c r="B2413" s="44" t="str">
        <f>HYPERLINK("https://search.naver.com/search.naver?query=월드워 Z 영화", "월드워 Z")</f>
        <v>월드워 Z</v>
      </c>
      <c r="C2413" s="45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97" t="s">
        <v>3451</v>
      </c>
    </row>
    <row r="2414" spans="1:10" ht="28.9" customHeight="1" thickTop="1" thickBot="1" x14ac:dyDescent="0.65">
      <c r="A2414" s="5">
        <v>2412</v>
      </c>
      <c r="B2414" s="46" t="str">
        <f>HYPERLINK("https://search.naver.com/search.naver?query=월스트리트 분노의 복수 영화", "월스트리트-분노의 복수")</f>
        <v>월스트리트-분노의 복수</v>
      </c>
      <c r="C2414" s="47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98" t="s">
        <v>3455</v>
      </c>
    </row>
    <row r="2415" spans="1:10" ht="28.9" customHeight="1" thickTop="1" thickBot="1" x14ac:dyDescent="0.65">
      <c r="A2415" s="3">
        <v>2413</v>
      </c>
      <c r="B2415" s="44" t="str">
        <f>HYPERLINK("https://search.naver.com/search.naver?query=월요일이 사라졌다 영화", "월요일이 사라졌다")</f>
        <v>월요일이 사라졌다</v>
      </c>
      <c r="C2415" s="45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97" t="s">
        <v>3443</v>
      </c>
    </row>
    <row r="2416" spans="1:10" ht="28.9" customHeight="1" thickTop="1" thickBot="1" x14ac:dyDescent="0.65">
      <c r="A2416" s="5">
        <v>2414</v>
      </c>
      <c r="B2416" s="46" t="str">
        <f>HYPERLINK("https://search.naver.com/search.naver?query=월터 교수의 마지막 강의 영화", "월터 교수의 마지막 강의")</f>
        <v>월터 교수의 마지막 강의</v>
      </c>
      <c r="C2416" s="47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98" t="s">
        <v>3441</v>
      </c>
    </row>
    <row r="2417" spans="1:10" ht="28.9" customHeight="1" thickTop="1" thickBot="1" x14ac:dyDescent="0.65">
      <c r="A2417" s="3">
        <v>2415</v>
      </c>
      <c r="B2417" s="44" t="str">
        <f>HYPERLINK("https://search.naver.com/search.naver?query=월플라워 영화", "월플라워")</f>
        <v>월플라워</v>
      </c>
      <c r="C2417" s="45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97" t="s">
        <v>3439</v>
      </c>
    </row>
    <row r="2418" spans="1:10" ht="28.9" customHeight="1" thickTop="1" thickBot="1" x14ac:dyDescent="0.65">
      <c r="A2418" s="5">
        <v>2416</v>
      </c>
      <c r="B2418" s="46" t="str">
        <f>HYPERLINK("https://search.naver.com/search.naver?query=웨더 맨 영화", "웨더 맨")</f>
        <v>웨더 맨</v>
      </c>
      <c r="C2418" s="47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98" t="s">
        <v>3461</v>
      </c>
    </row>
    <row r="2419" spans="1:10" ht="28.9" customHeight="1" thickTop="1" thickBot="1" x14ac:dyDescent="0.65">
      <c r="A2419" s="3">
        <v>2417</v>
      </c>
      <c r="B2419" s="44" t="str">
        <f>HYPERLINK("https://search.naver.com/search.naver?query=웨딩 드레스 영화", "웨딩 드레스")</f>
        <v>웨딩 드레스</v>
      </c>
      <c r="C2419" s="45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97" t="s">
        <v>3453</v>
      </c>
    </row>
    <row r="2420" spans="1:10" ht="28.9" customHeight="1" thickTop="1" thickBot="1" x14ac:dyDescent="0.65">
      <c r="A2420" s="5">
        <v>2418</v>
      </c>
      <c r="B2420" s="46" t="str">
        <f>HYPERLINK("https://search.naver.com/search.naver?query=웨스턴 리벤지 영화", "웨스턴 리벤지")</f>
        <v>웨스턴 리벤지</v>
      </c>
      <c r="C2420" s="47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98" t="s">
        <v>3437</v>
      </c>
    </row>
    <row r="2421" spans="1:10" ht="28.9" customHeight="1" thickTop="1" thickBot="1" x14ac:dyDescent="0.65">
      <c r="A2421" s="7">
        <v>2419</v>
      </c>
      <c r="B2421" s="48" t="str">
        <f>HYPERLINK("https://search.naver.com/search.naver?query=웨스트월드 시즌1", "웨스트월드 시즌1")</f>
        <v>웨스트월드 시즌1</v>
      </c>
      <c r="C2421" s="49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99" t="s">
        <v>3441</v>
      </c>
    </row>
    <row r="2422" spans="1:10" ht="28.9" customHeight="1" thickTop="1" thickBot="1" x14ac:dyDescent="0.65">
      <c r="A2422" s="7">
        <v>2420</v>
      </c>
      <c r="B2422" s="48" t="str">
        <f>HYPERLINK("https://search.naver.com/search.naver?query=웨스트월드 시즌2", "웨스트월드 시즌2")</f>
        <v>웨스트월드 시즌2</v>
      </c>
      <c r="C2422" s="49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99" t="s">
        <v>3442</v>
      </c>
    </row>
    <row r="2423" spans="1:10" ht="28.9" customHeight="1" thickTop="1" thickBot="1" x14ac:dyDescent="0.65">
      <c r="A2423" s="7">
        <v>2421</v>
      </c>
      <c r="B2423" s="48" t="str">
        <f>HYPERLINK("https://search.naver.com/search.naver?query=웨스트월드 시즌3", "웨스트월드 시즌3")</f>
        <v>웨스트월드 시즌3</v>
      </c>
      <c r="C2423" s="49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99" t="s">
        <v>3436</v>
      </c>
    </row>
    <row r="2424" spans="1:10" ht="28.9" customHeight="1" thickTop="1" thickBot="1" x14ac:dyDescent="0.65">
      <c r="A2424" s="7">
        <v>2422</v>
      </c>
      <c r="B2424" s="48" t="str">
        <f>HYPERLINK("https://search.naver.com/search.naver?query=웨스트월드 시즌4", "웨스트월드 시즌4")</f>
        <v>웨스트월드 시즌4</v>
      </c>
      <c r="C2424" s="49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99" t="s">
        <v>3445</v>
      </c>
    </row>
    <row r="2425" spans="1:10" ht="28.9" customHeight="1" thickTop="1" thickBot="1" x14ac:dyDescent="0.65">
      <c r="A2425" s="3">
        <v>2423</v>
      </c>
      <c r="B2425" s="44" t="str">
        <f>HYPERLINK("https://search.naver.com/search.naver?query=웨어 핸즈 터치 영화", "웨어 핸즈 터치")</f>
        <v>웨어 핸즈 터치</v>
      </c>
      <c r="C2425" s="45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97" t="s">
        <v>3442</v>
      </c>
    </row>
    <row r="2426" spans="1:10" ht="28.9" customHeight="1" thickTop="1" thickBot="1" x14ac:dyDescent="0.65">
      <c r="A2426" s="5">
        <v>2424</v>
      </c>
      <c r="B2426" s="46" t="str">
        <f>HYPERLINK("https://search.naver.com/search.naver?query=웨이다운 영화", "웨이다운")</f>
        <v>웨이다운</v>
      </c>
      <c r="C2426" s="47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98" t="s">
        <v>3438</v>
      </c>
    </row>
    <row r="2427" spans="1:10" ht="28.9" customHeight="1" thickTop="1" thickBot="1" x14ac:dyDescent="0.65">
      <c r="A2427" s="3">
        <v>2425</v>
      </c>
      <c r="B2427" s="44" t="str">
        <f>HYPERLINK("https://search.naver.com/search.naver?query=웰컴 미스터 맥도날드 영화", "웰컴 미스터 맥도날드")</f>
        <v>웰컴 미스터 맥도날드</v>
      </c>
      <c r="C2427" s="45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97" t="s">
        <v>3470</v>
      </c>
    </row>
    <row r="2428" spans="1:10" ht="28.9" customHeight="1" thickTop="1" thickBot="1" x14ac:dyDescent="0.65">
      <c r="A2428" s="5">
        <v>2426</v>
      </c>
      <c r="B2428" s="46" t="str">
        <f>HYPERLINK("https://search.naver.com/search.naver?query=웰컴 투 마이 하트 영화", "웰컴 투 마이 하트")</f>
        <v>웰컴 투 마이 하트</v>
      </c>
      <c r="C2428" s="47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98" t="s">
        <v>3439</v>
      </c>
    </row>
    <row r="2429" spans="1:10" ht="28.9" customHeight="1" thickTop="1" thickBot="1" x14ac:dyDescent="0.65">
      <c r="A2429" s="3">
        <v>2427</v>
      </c>
      <c r="B2429" s="44" t="str">
        <f>HYPERLINK("https://search.naver.com/search.naver?query=위 아 더 밀러스 영화", "위 아 더 밀러스")</f>
        <v>위 아 더 밀러스</v>
      </c>
      <c r="C2429" s="45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97" t="s">
        <v>3451</v>
      </c>
    </row>
    <row r="2430" spans="1:10" ht="28.9" customHeight="1" thickTop="1" thickBot="1" x14ac:dyDescent="0.65">
      <c r="A2430" s="5">
        <v>2428</v>
      </c>
      <c r="B2430" s="46" t="str">
        <f>HYPERLINK("https://search.naver.com/search.naver?query=위국 일기 영화", "위국 일기")</f>
        <v>위국 일기</v>
      </c>
      <c r="C2430" s="47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98" t="s">
        <v>3448</v>
      </c>
    </row>
    <row r="2431" spans="1:10" ht="28.9" customHeight="1" thickTop="1" thickBot="1" x14ac:dyDescent="0.65">
      <c r="A2431" s="3">
        <v>2429</v>
      </c>
      <c r="B2431" s="44" t="str">
        <f>HYPERLINK("https://search.naver.com/search.naver?query=위대한 개츠비 영화", "위대한 개츠비")</f>
        <v>위대한 개츠비</v>
      </c>
      <c r="C2431" s="45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97" t="s">
        <v>3451</v>
      </c>
    </row>
    <row r="2432" spans="1:10" ht="28.9" customHeight="1" thickTop="1" thickBot="1" x14ac:dyDescent="0.65">
      <c r="A2432" s="5">
        <v>2430</v>
      </c>
      <c r="B2432" s="46" t="str">
        <f>HYPERLINK("https://search.naver.com/search.naver?query=위대한 비밀 영화", "위대한 비밀")</f>
        <v>위대한 비밀</v>
      </c>
      <c r="C2432" s="47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98" t="s">
        <v>3454</v>
      </c>
    </row>
    <row r="2433" spans="1:10" ht="28.9" customHeight="1" thickTop="1" thickBot="1" x14ac:dyDescent="0.65">
      <c r="A2433" s="3">
        <v>2431</v>
      </c>
      <c r="B2433" s="44" t="str">
        <f>HYPERLINK("https://search.naver.com/search.naver?query=위대한 쇼맨 영화", "위대한 쇼맨")</f>
        <v>위대한 쇼맨</v>
      </c>
      <c r="C2433" s="45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97" t="s">
        <v>3443</v>
      </c>
    </row>
    <row r="2434" spans="1:10" ht="28.9" customHeight="1" thickTop="1" thickBot="1" x14ac:dyDescent="0.65">
      <c r="A2434" s="5">
        <v>2432</v>
      </c>
      <c r="B2434" s="46" t="str">
        <f>HYPERLINK("https://search.naver.com/search.naver?query=위대한 유산 더 베리얼 영화", "위대한 유산 더 베리얼")</f>
        <v>위대한 유산 더 베리얼</v>
      </c>
      <c r="C2434" s="47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98" t="s">
        <v>3446</v>
      </c>
    </row>
    <row r="2435" spans="1:10" ht="28.9" customHeight="1" thickTop="1" thickBot="1" x14ac:dyDescent="0.65">
      <c r="A2435" s="3">
        <v>2433</v>
      </c>
      <c r="B2435" s="44" t="str">
        <f>HYPERLINK("https://search.naver.com/search.naver?query=위도우즈 영화", "위도우즈")</f>
        <v>위도우즈</v>
      </c>
      <c r="C2435" s="45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97" t="s">
        <v>3442</v>
      </c>
    </row>
    <row r="2436" spans="1:10" ht="28.9" customHeight="1" thickTop="1" thickBot="1" x14ac:dyDescent="0.65">
      <c r="A2436" s="5">
        <v>2434</v>
      </c>
      <c r="B2436" s="46" t="str">
        <f>HYPERLINK("https://search.naver.com/search.naver?query=위스키 탱고 폭스트롯 영화", "위스키 탱고 폭스트롯")</f>
        <v>위스키 탱고 폭스트롯</v>
      </c>
      <c r="C2436" s="47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98" t="s">
        <v>3441</v>
      </c>
    </row>
    <row r="2437" spans="1:10" ht="28.9" customHeight="1" thickTop="1" thickBot="1" x14ac:dyDescent="0.65">
      <c r="A2437" s="3">
        <v>2435</v>
      </c>
      <c r="B2437" s="44" t="str">
        <f>HYPERLINK("https://search.naver.com/search.naver?query=위시 아이 워즈 히어 영화", "위시 아이 워즈 히어")</f>
        <v>위시 아이 워즈 히어</v>
      </c>
      <c r="C2437" s="45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97" t="s">
        <v>3437</v>
      </c>
    </row>
    <row r="2438" spans="1:10" ht="28.9" customHeight="1" thickTop="1" thickBot="1" x14ac:dyDescent="0.65">
      <c r="A2438" s="5">
        <v>2436</v>
      </c>
      <c r="B2438" s="46" t="str">
        <f>HYPERLINK("https://search.naver.com/search.naver?query=위아 유어 프렌즈 영화", "위아 유어 프렌즈")</f>
        <v>위아 유어 프렌즈</v>
      </c>
      <c r="C2438" s="47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98" t="s">
        <v>3440</v>
      </c>
    </row>
    <row r="2439" spans="1:10" ht="28.9" customHeight="1" thickTop="1" thickBot="1" x14ac:dyDescent="0.65">
      <c r="A2439" s="3">
        <v>2437</v>
      </c>
      <c r="B2439" s="44" t="str">
        <f>HYPERLINK("https://search.naver.com/search.naver?query=위아영 영화", "위아영")</f>
        <v>위아영</v>
      </c>
      <c r="C2439" s="45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97" t="s">
        <v>3440</v>
      </c>
    </row>
    <row r="2440" spans="1:10" ht="28.9" customHeight="1" thickTop="1" thickBot="1" x14ac:dyDescent="0.65">
      <c r="A2440" s="5">
        <v>2438</v>
      </c>
      <c r="B2440" s="46" t="str">
        <f>HYPERLINK("https://search.naver.com/search.naver?query=위크엔드 어웨이 영화", "위크엔드 어웨이")</f>
        <v>위크엔드 어웨이</v>
      </c>
      <c r="C2440" s="47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98" t="s">
        <v>3445</v>
      </c>
    </row>
    <row r="2441" spans="1:10" ht="28.9" customHeight="1" thickTop="1" thickBot="1" x14ac:dyDescent="0.65">
      <c r="A2441" s="3">
        <v>2439</v>
      </c>
      <c r="B2441" s="44" t="str">
        <f>HYPERLINK("https://search.naver.com/search.naver?query=위크엔드 인 파리 영화", "위크엔드 인 파리")</f>
        <v>위크엔드 인 파리</v>
      </c>
      <c r="C2441" s="45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97" t="s">
        <v>3451</v>
      </c>
    </row>
    <row r="2442" spans="1:10" ht="28.9" customHeight="1" thickTop="1" thickBot="1" x14ac:dyDescent="0.65">
      <c r="A2442" s="5">
        <v>2440</v>
      </c>
      <c r="B2442" s="46" t="str">
        <f>HYPERLINK("https://search.naver.com/search.naver?query=위플래쉬 영화", "위플래쉬")</f>
        <v>위플래쉬</v>
      </c>
      <c r="C2442" s="47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98" t="s">
        <v>3437</v>
      </c>
    </row>
    <row r="2443" spans="1:10" ht="28.9" customHeight="1" thickTop="1" thickBot="1" x14ac:dyDescent="0.65">
      <c r="A2443" s="3">
        <v>2441</v>
      </c>
      <c r="B2443" s="44" t="str">
        <f>HYPERLINK("https://search.naver.com/search.naver?query=위험한 관계 영화", "위험한 관계")</f>
        <v>위험한 관계</v>
      </c>
      <c r="C2443" s="45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97" t="s">
        <v>3439</v>
      </c>
    </row>
    <row r="2444" spans="1:10" ht="28.9" customHeight="1" thickTop="1" thickBot="1" x14ac:dyDescent="0.65">
      <c r="A2444" s="5">
        <v>2442</v>
      </c>
      <c r="B2444" s="46" t="str">
        <f>HYPERLINK("https://search.naver.com/search.naver?query=위험한 동거 영화", "위험한 동거")</f>
        <v>위험한 동거</v>
      </c>
      <c r="C2444" s="47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98" t="s">
        <v>3436</v>
      </c>
    </row>
    <row r="2445" spans="1:10" ht="28.9" customHeight="1" thickTop="1" thickBot="1" x14ac:dyDescent="0.65">
      <c r="A2445" s="3">
        <v>2443</v>
      </c>
      <c r="B2445" s="44" t="str">
        <f>HYPERLINK("https://search.naver.com/search.naver?query=위험한 패밀리 영화", "위험한 패밀리")</f>
        <v>위험한 패밀리</v>
      </c>
      <c r="C2445" s="45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97" t="s">
        <v>3437</v>
      </c>
    </row>
    <row r="2446" spans="1:10" ht="28.9" customHeight="1" thickTop="1" thickBot="1" x14ac:dyDescent="0.65">
      <c r="A2446" s="5">
        <v>2444</v>
      </c>
      <c r="B2446" s="46" t="str">
        <f>HYPERLINK("https://search.naver.com/search.naver?query=윈드리버 영화", "윈드리버")</f>
        <v>윈드리버</v>
      </c>
      <c r="C2446" s="47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98" t="s">
        <v>3443</v>
      </c>
    </row>
    <row r="2447" spans="1:10" ht="28.9" customHeight="1" thickTop="1" thickBot="1" x14ac:dyDescent="0.65">
      <c r="A2447" s="3">
        <v>2445</v>
      </c>
      <c r="B2447" s="44" t="str">
        <f>HYPERLINK("https://search.naver.com/search.naver?query=윈터스 테일 영화", "윈터스 테일")</f>
        <v>윈터스 테일</v>
      </c>
      <c r="C2447" s="45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97" t="s">
        <v>3437</v>
      </c>
    </row>
    <row r="2448" spans="1:10" ht="28.9" customHeight="1" thickTop="1" thickBot="1" x14ac:dyDescent="0.65">
      <c r="A2448" s="5">
        <v>2446</v>
      </c>
      <c r="B2448" s="46" t="str">
        <f>HYPERLINK("https://search.naver.com/search.naver?query=유레루 영화", "유레루")</f>
        <v>유레루</v>
      </c>
      <c r="C2448" s="47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98" t="s">
        <v>3460</v>
      </c>
    </row>
    <row r="2449" spans="1:10" ht="28.9" customHeight="1" thickTop="1" thickBot="1" x14ac:dyDescent="0.65">
      <c r="A2449" s="3">
        <v>2447</v>
      </c>
      <c r="B2449" s="44" t="str">
        <f>HYPERLINK("https://search.naver.com/search.naver?query=유령 작가 영화", "유령 작가")</f>
        <v>유령 작가</v>
      </c>
      <c r="C2449" s="45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97" t="s">
        <v>3455</v>
      </c>
    </row>
    <row r="2450" spans="1:10" ht="28.9" customHeight="1" thickTop="1" thickBot="1" x14ac:dyDescent="0.65">
      <c r="A2450" s="5">
        <v>2448</v>
      </c>
      <c r="B2450" s="46" t="str">
        <f>HYPERLINK("https://search.naver.com/search.naver?query=유리고코로 영화", "유리고코로")</f>
        <v>유리고코로</v>
      </c>
      <c r="C2450" s="47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98" t="s">
        <v>3443</v>
      </c>
    </row>
    <row r="2451" spans="1:10" ht="28.9" customHeight="1" thickTop="1" thickBot="1" x14ac:dyDescent="0.65">
      <c r="A2451" s="3">
        <v>2449</v>
      </c>
      <c r="B2451" s="44" t="str">
        <f>HYPERLINK("https://search.naver.com/search.naver?query=유리정원 영화", "유리정원")</f>
        <v>유리정원</v>
      </c>
      <c r="C2451" s="45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97" t="s">
        <v>3443</v>
      </c>
    </row>
    <row r="2452" spans="1:10" ht="28.9" customHeight="1" thickTop="1" thickBot="1" x14ac:dyDescent="0.65">
      <c r="A2452" s="5">
        <v>2450</v>
      </c>
      <c r="B2452" s="46" t="str">
        <f>HYPERLINK("https://search.naver.com/search.naver?query=유스 영화", "유스")</f>
        <v>유스</v>
      </c>
      <c r="C2452" s="47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98" t="s">
        <v>3440</v>
      </c>
    </row>
    <row r="2453" spans="1:10" ht="28.9" customHeight="1" thickTop="1" thickBot="1" x14ac:dyDescent="0.65">
      <c r="A2453" s="3">
        <v>2451</v>
      </c>
      <c r="B2453" s="44" t="str">
        <f>HYPERLINK("https://search.naver.com/search.naver?query=유아 낫 유 영화", "유아 낫 유")</f>
        <v>유아 낫 유</v>
      </c>
      <c r="C2453" s="45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97" t="s">
        <v>3437</v>
      </c>
    </row>
    <row r="2454" spans="1:10" ht="28.9" customHeight="1" thickTop="1" thickBot="1" x14ac:dyDescent="0.65">
      <c r="A2454" s="7">
        <v>2452</v>
      </c>
      <c r="B2454" s="48" t="str">
        <f>HYPERLINK("https://search.naver.com/search.naver?query=포 올 맨카인드 시즌1", "포 올 맨카인드 시즌1")</f>
        <v>포 올 맨카인드 시즌1</v>
      </c>
      <c r="C2454" s="49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99" t="s">
        <v>3444</v>
      </c>
    </row>
    <row r="2455" spans="1:10" ht="28.9" customHeight="1" thickTop="1" thickBot="1" x14ac:dyDescent="0.65">
      <c r="A2455" s="7">
        <v>2453</v>
      </c>
      <c r="B2455" s="48" t="str">
        <f>HYPERLINK("https://search.naver.com/search.naver?query=유어 아너", "유어 아너")</f>
        <v>유어 아너</v>
      </c>
      <c r="C2455" s="49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99" t="s">
        <v>3448</v>
      </c>
    </row>
    <row r="2456" spans="1:10" ht="28.9" customHeight="1" thickTop="1" thickBot="1" x14ac:dyDescent="0.65">
      <c r="A2456" s="5">
        <v>2454</v>
      </c>
      <c r="B2456" s="46" t="str">
        <f>HYPERLINK("https://search.naver.com/search.naver?query=유주얼 서스펙트 영화", "유주얼 서스펙트")</f>
        <v>유주얼 서스펙트</v>
      </c>
      <c r="C2456" s="47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98" t="s">
        <v>3475</v>
      </c>
    </row>
    <row r="2457" spans="1:10" ht="28.9" customHeight="1" thickTop="1" thickBot="1" x14ac:dyDescent="0.65">
      <c r="A2457" s="3">
        <v>2455</v>
      </c>
      <c r="B2457" s="44" t="str">
        <f>HYPERLINK("https://search.naver.com/search.naver?query=유체이탈자 영화", "유체이탈자")</f>
        <v>유체이탈자</v>
      </c>
      <c r="C2457" s="45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97" t="s">
        <v>3438</v>
      </c>
    </row>
    <row r="2458" spans="1:10" ht="28.9" customHeight="1" thickTop="1" thickBot="1" x14ac:dyDescent="0.65">
      <c r="A2458" s="5">
        <v>2456</v>
      </c>
      <c r="B2458" s="46" t="str">
        <f>HYPERLINK("https://search.naver.com/search.naver?query=유혹의 계절 영화", "유혹의 계절")</f>
        <v>유혹의 계절</v>
      </c>
      <c r="C2458" s="47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98" t="s">
        <v>3442</v>
      </c>
    </row>
    <row r="2459" spans="1:10" ht="28.9" customHeight="1" thickTop="1" thickBot="1" x14ac:dyDescent="0.65">
      <c r="A2459" s="3">
        <v>2457</v>
      </c>
      <c r="B2459" s="44" t="str">
        <f>HYPERLINK("https://search.naver.com/search.naver?query=육사오 645 영화", "육사오 645")</f>
        <v>육사오 645</v>
      </c>
      <c r="C2459" s="45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97" t="s">
        <v>3445</v>
      </c>
    </row>
    <row r="2460" spans="1:10" ht="28.9" customHeight="1" thickTop="1" thickBot="1" x14ac:dyDescent="0.65">
      <c r="A2460" s="5">
        <v>2458</v>
      </c>
      <c r="B2460" s="46" t="str">
        <f>HYPERLINK("https://search.naver.com/search.naver?query=윤희에게 영화", "윤희에게")</f>
        <v>윤희에게</v>
      </c>
      <c r="C2460" s="47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98" t="s">
        <v>3444</v>
      </c>
    </row>
    <row r="2461" spans="1:10" ht="28.9" customHeight="1" thickTop="1" thickBot="1" x14ac:dyDescent="0.65">
      <c r="A2461" s="3">
        <v>2459</v>
      </c>
      <c r="B2461" s="44" t="str">
        <f>HYPERLINK("https://search.naver.com/search.naver?query=은교 영화", "은교")</f>
        <v>은교</v>
      </c>
      <c r="C2461" s="45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97" t="s">
        <v>3439</v>
      </c>
    </row>
    <row r="2462" spans="1:10" ht="28.9" customHeight="1" thickTop="1" thickBot="1" x14ac:dyDescent="0.65">
      <c r="A2462" s="5">
        <v>2460</v>
      </c>
      <c r="B2462" s="46" t="str">
        <f>HYPERLINK("https://search.naver.com/search.naver?query=은밀하게 위대하게 영화", "은밀하게 위대하게")</f>
        <v>은밀하게 위대하게</v>
      </c>
      <c r="C2462" s="47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98" t="s">
        <v>3451</v>
      </c>
    </row>
    <row r="2463" spans="1:10" ht="28.9" customHeight="1" thickTop="1" thickBot="1" x14ac:dyDescent="0.65">
      <c r="A2463" s="3">
        <v>2461</v>
      </c>
      <c r="B2463" s="44" t="str">
        <f>HYPERLINK("https://search.naver.com/search.naver?query=은밀한 유혹 영화", "은밀한 유혹")</f>
        <v>은밀한 유혹</v>
      </c>
      <c r="C2463" s="45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97" t="s">
        <v>3440</v>
      </c>
    </row>
    <row r="2464" spans="1:10" ht="28.9" customHeight="1" thickTop="1" thickBot="1" x14ac:dyDescent="0.65">
      <c r="A2464" s="5">
        <v>2462</v>
      </c>
      <c r="B2464" s="46" t="str">
        <f>HYPERLINK("https://search.naver.com/search.naver?query=음란서생 영화", "음란서생")</f>
        <v>음란서생</v>
      </c>
      <c r="C2464" s="47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98" t="s">
        <v>3460</v>
      </c>
    </row>
    <row r="2465" spans="1:10" ht="28.9" customHeight="1" thickTop="1" thickBot="1" x14ac:dyDescent="0.65">
      <c r="A2465" s="3">
        <v>2463</v>
      </c>
      <c r="B2465" s="44" t="str">
        <f>HYPERLINK("https://search.naver.com/search.naver?query=음모자 영화", "음모자")</f>
        <v>음모자</v>
      </c>
      <c r="C2465" s="45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97" t="s">
        <v>3455</v>
      </c>
    </row>
    <row r="2466" spans="1:10" ht="28.9" customHeight="1" thickTop="1" thickBot="1" x14ac:dyDescent="0.65">
      <c r="A2466" s="5">
        <v>2464</v>
      </c>
      <c r="B2466" s="46" t="str">
        <f>HYPERLINK("https://search.naver.com/search.naver?query=음치클리닉 영화", "음치클리닉")</f>
        <v>음치클리닉</v>
      </c>
      <c r="C2466" s="47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98" t="s">
        <v>3439</v>
      </c>
    </row>
    <row r="2467" spans="1:10" ht="28.9" customHeight="1" thickTop="1" thickBot="1" x14ac:dyDescent="0.65">
      <c r="A2467" s="3">
        <v>2465</v>
      </c>
      <c r="B2467" s="44" t="str">
        <f>HYPERLINK("https://search.naver.com/search.naver?query=응징자 영화", "응징자")</f>
        <v>응징자</v>
      </c>
      <c r="C2467" s="45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97" t="s">
        <v>3462</v>
      </c>
    </row>
    <row r="2468" spans="1:10" ht="28.9" customHeight="1" thickTop="1" thickBot="1" x14ac:dyDescent="0.65">
      <c r="A2468" s="5">
        <v>2466</v>
      </c>
      <c r="B2468" s="46" t="str">
        <f>HYPERLINK("https://search.naver.com/search.naver?query=의뢰인 영화", "의뢰인")</f>
        <v>의뢰인</v>
      </c>
      <c r="C2468" s="47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98" t="s">
        <v>3454</v>
      </c>
    </row>
    <row r="2469" spans="1:10" ht="28.9" customHeight="1" thickTop="1" thickBot="1" x14ac:dyDescent="0.65">
      <c r="A2469" s="3">
        <v>2467</v>
      </c>
      <c r="B2469" s="44" t="str">
        <f>HYPERLINK("https://search.naver.com/search.naver?query=이글아이 영화", "이글아이")</f>
        <v>이글아이</v>
      </c>
      <c r="C2469" s="45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97" t="s">
        <v>3450</v>
      </c>
    </row>
    <row r="2470" spans="1:10" ht="28.9" customHeight="1" thickTop="1" thickBot="1" x14ac:dyDescent="0.65">
      <c r="A2470" s="5">
        <v>2468</v>
      </c>
      <c r="B2470" s="46" t="str">
        <f>HYPERLINK("https://search.naver.com/search.naver?query=이너 시티 영화", "이너 시티")</f>
        <v>이너 시티</v>
      </c>
      <c r="C2470" s="47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98" t="s">
        <v>3443</v>
      </c>
    </row>
    <row r="2471" spans="1:10" ht="28.9" customHeight="1" thickTop="1" thickBot="1" x14ac:dyDescent="0.65">
      <c r="A2471" s="3">
        <v>2469</v>
      </c>
      <c r="B2471" s="44" t="str">
        <f>HYPERLINK("https://search.naver.com/search.naver?query=이너프 세드 영화", "이너프 세드")</f>
        <v>이너프 세드</v>
      </c>
      <c r="C2471" s="45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97" t="s">
        <v>3451</v>
      </c>
    </row>
    <row r="2472" spans="1:10" ht="28.9" customHeight="1" thickTop="1" thickBot="1" x14ac:dyDescent="0.65">
      <c r="A2472" s="5">
        <v>2470</v>
      </c>
      <c r="B2472" s="46" t="str">
        <f>HYPERLINK("https://search.naver.com/search.naver?query=이레셔널 맨 영화", "이레셔널 맨")</f>
        <v>이레셔널 맨</v>
      </c>
      <c r="C2472" s="47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98" t="s">
        <v>3440</v>
      </c>
    </row>
    <row r="2473" spans="1:10" ht="28.9" customHeight="1" thickTop="1" thickBot="1" x14ac:dyDescent="0.65">
      <c r="A2473" s="3">
        <v>2471</v>
      </c>
      <c r="B2473" s="44" t="str">
        <f>HYPERLINK("https://search.naver.com/search.naver?query=이름없는 새 영화", "이름없는 새")</f>
        <v>이름없는 새</v>
      </c>
      <c r="C2473" s="45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97" t="s">
        <v>3442</v>
      </c>
    </row>
    <row r="2474" spans="1:10" ht="28.9" customHeight="1" thickTop="1" thickBot="1" x14ac:dyDescent="0.65">
      <c r="A2474" s="5">
        <v>2472</v>
      </c>
      <c r="B2474" s="46" t="str">
        <f>HYPERLINK("https://search.naver.com/search.naver?query=이미테이션 게임 영화", "이미테이션 게임")</f>
        <v>이미테이션 게임</v>
      </c>
      <c r="C2474" s="47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98" t="s">
        <v>3437</v>
      </c>
    </row>
    <row r="2475" spans="1:10" ht="28.9" customHeight="1" thickTop="1" thickBot="1" x14ac:dyDescent="0.65">
      <c r="A2475" s="3">
        <v>2473</v>
      </c>
      <c r="B2475" s="44" t="str">
        <f>HYPERLINK("https://search.naver.com/search.naver?query=이민자 영화", "이민자")</f>
        <v>이민자</v>
      </c>
      <c r="C2475" s="45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97" t="s">
        <v>3451</v>
      </c>
    </row>
    <row r="2476" spans="1:10" ht="28.9" customHeight="1" thickTop="1" thickBot="1" x14ac:dyDescent="0.65">
      <c r="A2476" s="5">
        <v>2474</v>
      </c>
      <c r="B2476" s="46" t="str">
        <f>HYPERLINK("https://search.naver.com/search.naver?query=이번 일요일에 영화", "이번 일요일에")</f>
        <v>이번 일요일에</v>
      </c>
      <c r="C2476" s="47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98" t="s">
        <v>3455</v>
      </c>
    </row>
    <row r="2477" spans="1:10" ht="28.9" customHeight="1" thickTop="1" thickBot="1" x14ac:dyDescent="0.65">
      <c r="A2477" s="3">
        <v>2475</v>
      </c>
      <c r="B2477" s="44" t="str">
        <f>HYPERLINK("https://search.naver.com/search.naver?query=이별까지 7일 영화", "이별까지 7일")</f>
        <v>이별까지 7일</v>
      </c>
      <c r="C2477" s="45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97" t="s">
        <v>3440</v>
      </c>
    </row>
    <row r="2478" spans="1:10" ht="28.9" customHeight="1" thickTop="1" thickBot="1" x14ac:dyDescent="0.65">
      <c r="A2478" s="5">
        <v>2476</v>
      </c>
      <c r="B2478" s="46" t="str">
        <f>HYPERLINK("https://search.naver.com/search.naver?query=이브 생 로랑 영화", "이브 생 로랑")</f>
        <v>이브 생 로랑</v>
      </c>
      <c r="C2478" s="47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98" t="s">
        <v>3437</v>
      </c>
    </row>
    <row r="2479" spans="1:10" ht="28.9" customHeight="1" thickTop="1" thickBot="1" x14ac:dyDescent="0.65">
      <c r="A2479" s="3">
        <v>2477</v>
      </c>
      <c r="B2479" s="44" t="str">
        <f>HYPERLINK("https://search.naver.com/search.naver?query=이상한 곶 이야기 영화", "이상한 곶 이야기")</f>
        <v>이상한 곶 이야기</v>
      </c>
      <c r="C2479" s="45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97" t="s">
        <v>3437</v>
      </c>
    </row>
    <row r="2480" spans="1:10" ht="28.9" customHeight="1" thickTop="1" thickBot="1" x14ac:dyDescent="0.65">
      <c r="A2480" s="5">
        <v>2478</v>
      </c>
      <c r="B2480" s="46" t="str">
        <f>HYPERLINK("https://search.naver.com/search.naver?query=이상한 나라의 수학자 영화", "이상한 나라의 수학자")</f>
        <v>이상한 나라의 수학자</v>
      </c>
      <c r="C2480" s="47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98" t="s">
        <v>3445</v>
      </c>
    </row>
    <row r="2481" spans="1:10" ht="28.9" customHeight="1" thickTop="1" thickBot="1" x14ac:dyDescent="0.65">
      <c r="A2481" s="3">
        <v>2479</v>
      </c>
      <c r="B2481" s="44" t="str">
        <f>HYPERLINK("https://search.naver.com/search.naver?query=이스케이프 영화", "이스케이프")</f>
        <v>이스케이프</v>
      </c>
      <c r="C2481" s="45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97" t="s">
        <v>3440</v>
      </c>
    </row>
    <row r="2482" spans="1:10" ht="28.9" customHeight="1" thickTop="1" thickBot="1" x14ac:dyDescent="0.65">
      <c r="A2482" s="5">
        <v>2480</v>
      </c>
      <c r="B2482" s="46" t="str">
        <f>HYPERLINK("https://search.naver.com/search.naver?query=이스케이프 룸 영화", "이스케이프 룸")</f>
        <v>이스케이프 룸</v>
      </c>
      <c r="C2482" s="47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98" t="s">
        <v>3444</v>
      </c>
    </row>
    <row r="2483" spans="1:10" ht="28.9" customHeight="1" thickTop="1" thickBot="1" x14ac:dyDescent="0.65">
      <c r="A2483" s="3">
        <v>2481</v>
      </c>
      <c r="B2483" s="44" t="str">
        <f>HYPERLINK("https://search.naver.com/search.naver?query=이스케이프 룸 2 노웨이 아웃 영화", "이스케이프 룸 2 노웨이 아웃")</f>
        <v>이스케이프 룸 2 노웨이 아웃</v>
      </c>
      <c r="C2483" s="45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97" t="s">
        <v>3438</v>
      </c>
    </row>
    <row r="2484" spans="1:10" ht="28.9" customHeight="1" thickTop="1" thickBot="1" x14ac:dyDescent="0.65">
      <c r="A2484" s="5">
        <v>2482</v>
      </c>
      <c r="B2484" s="46" t="str">
        <f>HYPERLINK("https://search.naver.com/search.naver?query=이스케이프 프롬 프리토리아 영화", "이스케이프 프롬 프리토리아")</f>
        <v>이스케이프 프롬 프리토리아</v>
      </c>
      <c r="C2484" s="47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98" t="s">
        <v>3436</v>
      </c>
    </row>
    <row r="2485" spans="1:10" ht="28.9" customHeight="1" thickTop="1" thickBot="1" x14ac:dyDescent="0.65">
      <c r="A2485" s="3">
        <v>2483</v>
      </c>
      <c r="B2485" s="44" t="str">
        <f>HYPERLINK("https://search.naver.com/search.naver?query=이스케이프 플랜 영화", "이스케이프 플랜")</f>
        <v>이스케이프 플랜</v>
      </c>
      <c r="C2485" s="45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97" t="s">
        <v>3451</v>
      </c>
    </row>
    <row r="2486" spans="1:10" ht="28.9" customHeight="1" thickTop="1" thickBot="1" x14ac:dyDescent="0.65">
      <c r="A2486" s="5">
        <v>2484</v>
      </c>
      <c r="B2486" s="46" t="str">
        <f>HYPERLINK("https://search.naver.com/search.naver?query=이스케이프파이터 영화", "이스케이프파이터")</f>
        <v>이스케이프파이터</v>
      </c>
      <c r="C2486" s="47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98" t="s">
        <v>3443</v>
      </c>
    </row>
    <row r="2487" spans="1:10" ht="28.9" customHeight="1" thickTop="1" thickBot="1" x14ac:dyDescent="0.65">
      <c r="A2487" s="3">
        <v>2485</v>
      </c>
      <c r="B2487" s="44" t="str">
        <f>HYPERLINK("https://search.naver.com/search.naver?query=이스턴 프라미스 영화", "이스턴 프라미스")</f>
        <v>이스턴 프라미스</v>
      </c>
      <c r="C2487" s="45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97" t="s">
        <v>3447</v>
      </c>
    </row>
    <row r="2488" spans="1:10" ht="28.9" customHeight="1" thickTop="1" thickBot="1" x14ac:dyDescent="0.65">
      <c r="A2488" s="5">
        <v>2486</v>
      </c>
      <c r="B2488" s="46" t="str">
        <f>HYPERLINK("https://search.naver.com/search.naver?query=이스트 영화", "이스트")</f>
        <v>이스트</v>
      </c>
      <c r="C2488" s="47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98" t="s">
        <v>3451</v>
      </c>
    </row>
    <row r="2489" spans="1:10" ht="28.9" customHeight="1" thickTop="1" thickBot="1" x14ac:dyDescent="0.65">
      <c r="A2489" s="3">
        <v>2487</v>
      </c>
      <c r="B2489" s="44" t="str">
        <f>HYPERLINK("https://search.naver.com/search.naver?query=이스트 오브 더 마운틴스 영화", "이스트 오브 더 마운틴스")</f>
        <v>이스트 오브 더 마운틴스</v>
      </c>
      <c r="C2489" s="45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97" t="s">
        <v>3438</v>
      </c>
    </row>
    <row r="2490" spans="1:10" ht="28.9" customHeight="1" thickTop="1" thickBot="1" x14ac:dyDescent="0.65">
      <c r="A2490" s="5">
        <v>2488</v>
      </c>
      <c r="B2490" s="46" t="str">
        <f>HYPERLINK("https://search.naver.com/search.naver?query=이스트 워 영화", "이스트 워")</f>
        <v>이스트 워</v>
      </c>
      <c r="C2490" s="47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98" t="s">
        <v>3436</v>
      </c>
    </row>
    <row r="2491" spans="1:10" ht="28.9" customHeight="1" thickTop="1" thickBot="1" x14ac:dyDescent="0.65">
      <c r="A2491" s="3">
        <v>2489</v>
      </c>
      <c r="B2491" s="44" t="str">
        <f>HYPERLINK("https://search.naver.com/search.naver?query=이야기 영화", "이야기")</f>
        <v>이야기</v>
      </c>
      <c r="C2491" s="45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97" t="s">
        <v>3442</v>
      </c>
    </row>
    <row r="2492" spans="1:10" ht="28.9" customHeight="1" thickTop="1" thickBot="1" x14ac:dyDescent="0.65">
      <c r="A2492" s="7">
        <v>2490</v>
      </c>
      <c r="B2492" s="48" t="str">
        <f>HYPERLINK("https://search.naver.com/search.naver?query=이어즈 &amp; 이어즈 드라마", "이어즈 &amp; 이어즈")</f>
        <v>이어즈 &amp; 이어즈</v>
      </c>
      <c r="C2492" s="49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99" t="s">
        <v>3444</v>
      </c>
    </row>
    <row r="2493" spans="1:10" ht="28.9" customHeight="1" thickTop="1" thickBot="1" x14ac:dyDescent="0.65">
      <c r="A2493" s="3">
        <v>2491</v>
      </c>
      <c r="B2493" s="44" t="str">
        <f>HYPERLINK("https://search.naver.com/search.naver?query=이오지마에서 온 편지 영화", "이오지마에서 온 편지")</f>
        <v>이오지마에서 온 편지</v>
      </c>
      <c r="C2493" s="45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97" t="s">
        <v>3460</v>
      </c>
    </row>
    <row r="2494" spans="1:10" ht="28.9" customHeight="1" thickTop="1" thickBot="1" x14ac:dyDescent="0.65">
      <c r="A2494" s="5">
        <v>2492</v>
      </c>
      <c r="B2494" s="46" t="str">
        <f>HYPERLINK("https://search.naver.com/search.naver?query=이웃사람 영화", "이웃사람")</f>
        <v>이웃사람</v>
      </c>
      <c r="C2494" s="47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98" t="s">
        <v>3439</v>
      </c>
    </row>
    <row r="2495" spans="1:10" ht="28.9" customHeight="1" thickTop="1" thickBot="1" x14ac:dyDescent="0.65">
      <c r="A2495" s="3">
        <v>2493</v>
      </c>
      <c r="B2495" s="44" t="str">
        <f>HYPERLINK("https://search.naver.com/search.naver?query=이웃사촌 영화", "이웃사촌")</f>
        <v>이웃사촌</v>
      </c>
      <c r="C2495" s="45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97" t="s">
        <v>3436</v>
      </c>
    </row>
    <row r="2496" spans="1:10" ht="28.9" customHeight="1" thickTop="1" thickBot="1" x14ac:dyDescent="0.65">
      <c r="A2496" s="5">
        <v>2494</v>
      </c>
      <c r="B2496" s="46" t="str">
        <f>HYPERLINK("https://search.naver.com/search.naver?query=이중생활 2016", "이중생활")</f>
        <v>이중생활</v>
      </c>
      <c r="C2496" s="47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98" t="s">
        <v>3441</v>
      </c>
    </row>
    <row r="2497" spans="1:10" ht="28.9" customHeight="1" thickTop="1" thickBot="1" x14ac:dyDescent="0.65">
      <c r="A2497" s="3">
        <v>2495</v>
      </c>
      <c r="B2497" s="44" t="str">
        <f>HYPERLINK("https://search.naver.com/search.naver?query=이치 영화", "이치")</f>
        <v>이치</v>
      </c>
      <c r="C2497" s="45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97" t="s">
        <v>3450</v>
      </c>
    </row>
    <row r="2498" spans="1:10" ht="28.9" customHeight="1" thickTop="1" thickBot="1" x14ac:dyDescent="0.65">
      <c r="A2498" s="5">
        <v>2496</v>
      </c>
      <c r="B2498" s="46" t="str">
        <f>HYPERLINK("https://search.naver.com/search.naver?query=이터널 윈터 여자 포로수용소 영화", "이터널 윈터 여자 포로수용소")</f>
        <v>이터널 윈터 여자 포로수용소</v>
      </c>
      <c r="C2498" s="47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98" t="s">
        <v>3444</v>
      </c>
    </row>
    <row r="2499" spans="1:10" ht="28.9" customHeight="1" thickTop="1" thickBot="1" x14ac:dyDescent="0.65">
      <c r="A2499" s="3">
        <v>2497</v>
      </c>
      <c r="B2499" s="44" t="str">
        <f>HYPERLINK("https://search.naver.com/search.naver?query=이터널스 영화", "이터널스")</f>
        <v>이터널스</v>
      </c>
      <c r="C2499" s="45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97" t="s">
        <v>3438</v>
      </c>
    </row>
    <row r="2500" spans="1:10" ht="28.9" customHeight="1" thickTop="1" thickBot="1" x14ac:dyDescent="0.65">
      <c r="A2500" s="7">
        <v>2498</v>
      </c>
      <c r="B2500" s="48" t="str">
        <f>HYPERLINK("https://search.naver.com/search.naver?query=이토록 친밀한 배신자", "이토록 친밀한 배신자")</f>
        <v>이토록 친밀한 배신자</v>
      </c>
      <c r="C2500" s="49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99" t="s">
        <v>3448</v>
      </c>
    </row>
    <row r="2501" spans="1:10" ht="28.9" customHeight="1" thickTop="1" thickBot="1" x14ac:dyDescent="0.65">
      <c r="A2501" s="3">
        <v>2499</v>
      </c>
      <c r="B2501" s="44" t="str">
        <f>HYPERLINK("https://search.naver.com/search.naver?query=이프 아이 스테이 영화", "이프 아이 스테이")</f>
        <v>이프 아이 스테이</v>
      </c>
      <c r="C2501" s="45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97" t="s">
        <v>3437</v>
      </c>
    </row>
    <row r="2502" spans="1:10" ht="28.9" customHeight="1" thickTop="1" thickBot="1" x14ac:dyDescent="0.65">
      <c r="A2502" s="5">
        <v>2500</v>
      </c>
      <c r="B2502" s="46" t="str">
        <f>HYPERLINK("https://search.naver.com/search.naver?query=이프 온리 영화", "이프 온리")</f>
        <v>이프 온리</v>
      </c>
      <c r="C2502" s="47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98" t="s">
        <v>3462</v>
      </c>
    </row>
    <row r="2503" spans="1:10" ht="28.9" customHeight="1" thickTop="1" thickBot="1" x14ac:dyDescent="0.65">
      <c r="A2503" s="3">
        <v>2501</v>
      </c>
      <c r="B2503" s="44" t="str">
        <f>HYPERLINK("https://search.naver.com/search.naver?query=익스토션 영화", "익스토션")</f>
        <v>익스토션</v>
      </c>
      <c r="C2503" s="45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97" t="s">
        <v>3443</v>
      </c>
    </row>
    <row r="2504" spans="1:10" ht="28.9" customHeight="1" thickTop="1" thickBot="1" x14ac:dyDescent="0.65">
      <c r="A2504" s="5">
        <v>2502</v>
      </c>
      <c r="B2504" s="46" t="str">
        <f>HYPERLINK("https://search.naver.com/search.naver?query=익스트랙티드 영화", "익스트랙티드")</f>
        <v>익스트랙티드</v>
      </c>
      <c r="C2504" s="47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98" t="s">
        <v>3439</v>
      </c>
    </row>
    <row r="2505" spans="1:10" ht="28.9" customHeight="1" thickTop="1" thickBot="1" x14ac:dyDescent="0.65">
      <c r="A2505" s="3">
        <v>2503</v>
      </c>
      <c r="B2505" s="44" t="str">
        <f>HYPERLINK("https://search.naver.com/search.naver?query=익스트렉션 영화", "익스트렉션")</f>
        <v>익스트렉션</v>
      </c>
      <c r="C2505" s="45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97" t="s">
        <v>3440</v>
      </c>
    </row>
    <row r="2506" spans="1:10" ht="28.9" customHeight="1" thickTop="1" thickBot="1" x14ac:dyDescent="0.65">
      <c r="A2506" s="5">
        <v>2504</v>
      </c>
      <c r="B2506" s="46" t="str">
        <f>HYPERLINK("https://search.naver.com/search.naver?query=익스펜더블 2 영화", "익스펜더블 2")</f>
        <v>익스펜더블 2</v>
      </c>
      <c r="C2506" s="47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98" t="s">
        <v>3439</v>
      </c>
    </row>
    <row r="2507" spans="1:10" ht="28.9" customHeight="1" thickTop="1" thickBot="1" x14ac:dyDescent="0.65">
      <c r="A2507" s="3">
        <v>2505</v>
      </c>
      <c r="B2507" s="44" t="str">
        <f>HYPERLINK("https://search.naver.com/search.naver?query=인 굿 컴퍼니 영화", "인 굿 컴퍼니")</f>
        <v>인 굿 컴퍼니</v>
      </c>
      <c r="C2507" s="45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97" t="s">
        <v>3462</v>
      </c>
    </row>
    <row r="2508" spans="1:10" ht="28.9" customHeight="1" thickTop="1" thickBot="1" x14ac:dyDescent="0.65">
      <c r="A2508" s="5">
        <v>2506</v>
      </c>
      <c r="B2508" s="46" t="str">
        <f>HYPERLINK("https://search.naver.com/search.naver?query=인 더 더스트 영화", "인 더 더스트")</f>
        <v>인 더 더스트</v>
      </c>
      <c r="C2508" s="47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98" t="s">
        <v>3442</v>
      </c>
    </row>
    <row r="2509" spans="1:10" ht="28.9" customHeight="1" thickTop="1" thickBot="1" x14ac:dyDescent="0.65">
      <c r="A2509" s="3">
        <v>2507</v>
      </c>
      <c r="B2509" s="44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45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97" t="s">
        <v>3446</v>
      </c>
    </row>
    <row r="2510" spans="1:10" ht="28.9" customHeight="1" thickTop="1" thickBot="1" x14ac:dyDescent="0.65">
      <c r="A2510" s="5">
        <v>2508</v>
      </c>
      <c r="B2510" s="46" t="str">
        <f>HYPERLINK("https://search.naver.com/search.naver?query=인 더 하우스 영화", "인 더 하우스")</f>
        <v>인 더 하우스</v>
      </c>
      <c r="C2510" s="47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98" t="s">
        <v>3439</v>
      </c>
    </row>
    <row r="2511" spans="1:10" ht="28.9" customHeight="1" thickTop="1" thickBot="1" x14ac:dyDescent="0.65">
      <c r="A2511" s="3">
        <v>2509</v>
      </c>
      <c r="B2511" s="44" t="str">
        <f>HYPERLINK("https://search.naver.com/search.naver?query=인 디 아일 영화", "인 디 아일")</f>
        <v>인 디 아일</v>
      </c>
      <c r="C2511" s="45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97" t="s">
        <v>3442</v>
      </c>
    </row>
    <row r="2512" spans="1:10" ht="28.9" customHeight="1" thickTop="1" thickBot="1" x14ac:dyDescent="0.65">
      <c r="A2512" s="5">
        <v>2510</v>
      </c>
      <c r="B2512" s="46" t="str">
        <f>HYPERLINK("https://search.naver.com/search.naver?query=인 어 베러 월드 영화", "인 어 베러 월드")</f>
        <v>인 어 베러 월드</v>
      </c>
      <c r="C2512" s="47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98" t="s">
        <v>3455</v>
      </c>
    </row>
    <row r="2513" spans="1:10" ht="28.9" customHeight="1" thickTop="1" thickBot="1" x14ac:dyDescent="0.65">
      <c r="A2513" s="3">
        <v>2511</v>
      </c>
      <c r="B2513" s="44" t="str">
        <f>HYPERLINK("https://search.naver.com/search.naver?query=인 유어 아이즈 영화", "인 유어 아이즈")</f>
        <v>인 유어 아이즈</v>
      </c>
      <c r="C2513" s="45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97" t="s">
        <v>3437</v>
      </c>
    </row>
    <row r="2514" spans="1:10" ht="28.9" customHeight="1" thickTop="1" thickBot="1" x14ac:dyDescent="0.65">
      <c r="A2514" s="7">
        <v>2512</v>
      </c>
      <c r="B2514" s="48" t="str">
        <f>HYPERLINK("https://search.naver.com/search.naver?query=인간실격 드라마", "인간실격")</f>
        <v>인간실격</v>
      </c>
      <c r="C2514" s="49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99" t="s">
        <v>3438</v>
      </c>
    </row>
    <row r="2515" spans="1:10" ht="28.9" customHeight="1" thickTop="1" thickBot="1" x14ac:dyDescent="0.65">
      <c r="A2515" s="3">
        <v>2513</v>
      </c>
      <c r="B2515" s="44" t="str">
        <f>HYPERLINK("https://search.naver.com/search.naver?query=인간중독 영화", "인간중독")</f>
        <v>인간중독</v>
      </c>
      <c r="C2515" s="45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97" t="s">
        <v>3437</v>
      </c>
    </row>
    <row r="2516" spans="1:10" s="58" customFormat="1" ht="28.9" customHeight="1" thickTop="1" thickBot="1" x14ac:dyDescent="0.65">
      <c r="A2516" s="26">
        <v>2514</v>
      </c>
      <c r="B2516" s="87" t="str">
        <f>HYPERLINK("https://search.naver.com/search.naver?query=일곱 개의 대륙, 하나의 지구 다큐", "일곱 개의 대륙, 하나의 지구")</f>
        <v>일곱 개의 대륙, 하나의 지구</v>
      </c>
      <c r="C2516" s="57"/>
      <c r="D2516" s="30" t="s">
        <v>2575</v>
      </c>
      <c r="E2516" s="26" t="s">
        <v>24</v>
      </c>
      <c r="F2516" s="26">
        <v>2019</v>
      </c>
      <c r="G2516" s="26" t="s">
        <v>2576</v>
      </c>
      <c r="H2516" s="26" t="s">
        <v>2576</v>
      </c>
      <c r="I2516" s="26" t="s">
        <v>2577</v>
      </c>
      <c r="J2516" s="104" t="s">
        <v>3444</v>
      </c>
    </row>
    <row r="2517" spans="1:10" ht="28.9" customHeight="1" thickTop="1" thickBot="1" x14ac:dyDescent="0.65">
      <c r="A2517" s="3">
        <v>2515</v>
      </c>
      <c r="B2517" s="44" t="str">
        <f>HYPERLINK("https://search.naver.com/search.naver?query=인디아나 존스 운명의 다이얼 영화", "인디아나 존스-운명의 다이얼")</f>
        <v>인디아나 존스-운명의 다이얼</v>
      </c>
      <c r="C2517" s="45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97" t="s">
        <v>3446</v>
      </c>
    </row>
    <row r="2518" spans="1:10" ht="28.9" customHeight="1" thickTop="1" thickBot="1" x14ac:dyDescent="0.65">
      <c r="A2518" s="5">
        <v>2516</v>
      </c>
      <c r="B2518" s="46" t="str">
        <f>HYPERLINK("https://search.naver.com/search.naver?query=인디펜던스 데이 리써전스 영화", "인디펜던스 데이 - 리써전스")</f>
        <v>인디펜던스 데이 - 리써전스</v>
      </c>
      <c r="C2518" s="47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98" t="s">
        <v>3441</v>
      </c>
    </row>
    <row r="2519" spans="1:10" ht="28.9" customHeight="1" thickTop="1" thickBot="1" x14ac:dyDescent="0.65">
      <c r="A2519" s="3">
        <v>2517</v>
      </c>
      <c r="B2519" s="44" t="str">
        <f>HYPERLINK("https://search.naver.com/search.naver?query=인베이젼 영화", "인베이젼")</f>
        <v>인베이젼</v>
      </c>
      <c r="C2519" s="45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97" t="s">
        <v>3447</v>
      </c>
    </row>
    <row r="2520" spans="1:10" ht="28.9" customHeight="1" thickTop="1" thickBot="1" x14ac:dyDescent="0.65">
      <c r="A2520" s="5">
        <v>2518</v>
      </c>
      <c r="B2520" s="46" t="str">
        <f>HYPERLINK("https://search.naver.com/search.naver?query=인비저블 게스트 영화", "인비저블 게스트")</f>
        <v>인비저블 게스트</v>
      </c>
      <c r="C2520" s="47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98" t="s">
        <v>3441</v>
      </c>
    </row>
    <row r="2521" spans="1:10" ht="28.9" customHeight="1" thickTop="1" thickBot="1" x14ac:dyDescent="0.65">
      <c r="A2521" s="3">
        <v>2519</v>
      </c>
      <c r="B2521" s="44" t="str">
        <f>HYPERLINK("https://search.naver.com/search.naver?query=인비저블맨 영화", "인비저블맨")</f>
        <v>인비저블맨</v>
      </c>
      <c r="C2521" s="45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97" t="s">
        <v>3436</v>
      </c>
    </row>
    <row r="2522" spans="1:10" ht="28.9" customHeight="1" thickTop="1" thickBot="1" x14ac:dyDescent="0.65">
      <c r="A2522" s="5">
        <v>2520</v>
      </c>
      <c r="B2522" s="46" t="str">
        <f>HYPERLINK("https://search.naver.com/search.naver?query=인빈서블 영화", "인빈서블")</f>
        <v>인빈서블</v>
      </c>
      <c r="C2522" s="47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98" t="s">
        <v>3460</v>
      </c>
    </row>
    <row r="2523" spans="1:10" ht="28.9" customHeight="1" thickTop="1" thickBot="1" x14ac:dyDescent="0.65">
      <c r="A2523" s="3">
        <v>2521</v>
      </c>
      <c r="B2523" s="44" t="str">
        <f>HYPERLINK("https://search.naver.com/search.naver?query=인사이드 링 항공기를 훔쳐라 영화", "인사이드 링 - 항공기를 훔쳐라")</f>
        <v>인사이드 링 - 항공기를 훔쳐라</v>
      </c>
      <c r="C2523" s="45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97" t="s">
        <v>3453</v>
      </c>
    </row>
    <row r="2524" spans="1:10" ht="28.9" customHeight="1" thickTop="1" thickBot="1" x14ac:dyDescent="0.65">
      <c r="A2524" s="5">
        <v>2522</v>
      </c>
      <c r="B2524" s="46" t="str">
        <f>HYPERLINK("https://search.naver.com/search.naver?query=인사이드 맨 영화", "인사이드 맨")</f>
        <v>인사이드 맨</v>
      </c>
      <c r="C2524" s="47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98" t="s">
        <v>3460</v>
      </c>
    </row>
    <row r="2525" spans="1:10" ht="28.9" customHeight="1" thickTop="1" thickBot="1" x14ac:dyDescent="0.65">
      <c r="A2525" s="7">
        <v>2523</v>
      </c>
      <c r="B2525" s="48" t="str">
        <f>HYPERLINK("https://search.naver.com/search.naver?query=인사이드 맨 드라마", "인사이드 맨")</f>
        <v>인사이드 맨</v>
      </c>
      <c r="C2525" s="49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99" t="s">
        <v>3445</v>
      </c>
    </row>
    <row r="2526" spans="1:10" ht="28.9" customHeight="1" thickTop="1" thickBot="1" x14ac:dyDescent="0.65">
      <c r="A2526" s="5">
        <v>2524</v>
      </c>
      <c r="B2526" s="46" t="str">
        <f>HYPERLINK("https://search.naver.com/search.naver?query=인생1994", "인생")</f>
        <v>인생</v>
      </c>
      <c r="C2526" s="47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98" t="s">
        <v>3475</v>
      </c>
    </row>
    <row r="2527" spans="1:10" ht="28.9" customHeight="1" thickTop="1" thickBot="1" x14ac:dyDescent="0.65">
      <c r="A2527" s="3">
        <v>2525</v>
      </c>
      <c r="B2527" s="44" t="str">
        <f>HYPERLINK("https://search.naver.com/search.naver?query=인생대사 영화", "인생대사")</f>
        <v>인생대사</v>
      </c>
      <c r="C2527" s="45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97" t="s">
        <v>3445</v>
      </c>
    </row>
    <row r="2528" spans="1:10" ht="28.9" customHeight="1" thickTop="1" thickBot="1" x14ac:dyDescent="0.65">
      <c r="A2528" s="5">
        <v>2526</v>
      </c>
      <c r="B2528" s="46" t="str">
        <f>HYPERLINK("https://search.naver.com/search.naver?query=인생은 아름다워 영화", "인생은 아름다워")</f>
        <v>인생은 아름다워</v>
      </c>
      <c r="C2528" s="47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98" t="s">
        <v>3470</v>
      </c>
    </row>
    <row r="2529" spans="1:10" ht="28.9" customHeight="1" thickTop="1" thickBot="1" x14ac:dyDescent="0.65">
      <c r="A2529" s="3">
        <v>2527</v>
      </c>
      <c r="B2529" s="44" t="str">
        <f>HYPERLINK("https://search.naver.com/search.naver?query=인센디어리 영화", "인센디어리")</f>
        <v>인센디어리</v>
      </c>
      <c r="C2529" s="45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97" t="s">
        <v>3450</v>
      </c>
    </row>
    <row r="2530" spans="1:10" ht="28.9" customHeight="1" thickTop="1" thickBot="1" x14ac:dyDescent="0.65">
      <c r="A2530" s="5">
        <v>2528</v>
      </c>
      <c r="B2530" s="46" t="str">
        <f>HYPERLINK("https://search.naver.com/search.naver?query=인셉션 영화", "인셉션")</f>
        <v>인셉션</v>
      </c>
      <c r="C2530" s="47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98" t="s">
        <v>3455</v>
      </c>
    </row>
    <row r="2531" spans="1:10" ht="28.9" customHeight="1" thickTop="1" thickBot="1" x14ac:dyDescent="0.65">
      <c r="A2531" s="3">
        <v>2529</v>
      </c>
      <c r="B2531" s="44" t="str">
        <f>HYPERLINK("https://search.naver.com/search.naver?query=인스턴트 패밀리 영화", "인스턴트 패밀리")</f>
        <v>인스턴트 패밀리</v>
      </c>
      <c r="C2531" s="45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97" t="s">
        <v>3442</v>
      </c>
    </row>
    <row r="2532" spans="1:10" ht="28.9" customHeight="1" thickTop="1" thickBot="1" x14ac:dyDescent="0.65">
      <c r="A2532" s="5">
        <v>2530</v>
      </c>
      <c r="B2532" s="46" t="str">
        <f>HYPERLINK("https://search.naver.com/search.naver?query=인썸니아 영화", "인썸니아")</f>
        <v>인썸니아</v>
      </c>
      <c r="C2532" s="47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98" t="s">
        <v>3466</v>
      </c>
    </row>
    <row r="2533" spans="1:10" ht="28.9" customHeight="1" thickTop="1" thickBot="1" x14ac:dyDescent="0.65">
      <c r="A2533" s="3">
        <v>2531</v>
      </c>
      <c r="B2533" s="44" t="str">
        <f>HYPERLINK("https://search.naver.com/search.naver?query=인어가 잠든 집 영화", "인어가 잠든 집")</f>
        <v>인어가 잠든 집</v>
      </c>
      <c r="C2533" s="45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97" t="s">
        <v>3445</v>
      </c>
    </row>
    <row r="2534" spans="1:10" ht="28.9" customHeight="1" thickTop="1" thickBot="1" x14ac:dyDescent="0.65">
      <c r="A2534" s="5">
        <v>2532</v>
      </c>
      <c r="B2534" s="46" t="str">
        <f>HYPERLINK("https://search.naver.com/search.naver?query=인질 영화", "인질")</f>
        <v>인질</v>
      </c>
      <c r="C2534" s="47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98" t="s">
        <v>3438</v>
      </c>
    </row>
    <row r="2535" spans="1:10" ht="28.9" customHeight="1" thickTop="1" thickBot="1" x14ac:dyDescent="0.65">
      <c r="A2535" s="3">
        <v>2533</v>
      </c>
      <c r="B2535" s="44" t="str">
        <f>HYPERLINK("https://search.naver.com/search.naver?query=인타임 영화", "인타임")</f>
        <v>인타임</v>
      </c>
      <c r="C2535" s="45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97" t="s">
        <v>3454</v>
      </c>
    </row>
    <row r="2536" spans="1:10" ht="28.9" customHeight="1" thickTop="1" thickBot="1" x14ac:dyDescent="0.65">
      <c r="A2536" s="5">
        <v>2534</v>
      </c>
      <c r="B2536" s="46" t="str">
        <f>HYPERLINK("https://search.naver.com/search.naver?query=인터섹션 영화", "인터섹션")</f>
        <v>인터섹션</v>
      </c>
      <c r="C2536" s="47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98" t="s">
        <v>3451</v>
      </c>
    </row>
    <row r="2537" spans="1:10" ht="28.9" customHeight="1" thickTop="1" thickBot="1" x14ac:dyDescent="0.65">
      <c r="A2537" s="3">
        <v>2535</v>
      </c>
      <c r="B2537" s="44" t="str">
        <f>HYPERLINK("https://search.naver.com/search.naver?query=인터셉터 영화", "인터셉터")</f>
        <v>인터셉터</v>
      </c>
      <c r="C2537" s="45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97" t="s">
        <v>3445</v>
      </c>
    </row>
    <row r="2538" spans="1:10" ht="28.9" customHeight="1" thickTop="1" thickBot="1" x14ac:dyDescent="0.65">
      <c r="A2538" s="5">
        <v>2536</v>
      </c>
      <c r="B2538" s="46" t="str">
        <f>HYPERLINK("https://search.naver.com/search.naver?query=인터스텔라 영화", "인터스텔라")</f>
        <v>인터스텔라</v>
      </c>
      <c r="C2538" s="47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98" t="s">
        <v>3437</v>
      </c>
    </row>
    <row r="2539" spans="1:10" ht="28.9" customHeight="1" thickTop="1" thickBot="1" x14ac:dyDescent="0.65">
      <c r="A2539" s="3">
        <v>2537</v>
      </c>
      <c r="B2539" s="44" t="str">
        <f>HYPERLINK("https://search.naver.com/search.naver?query=인터프리터 영화", "인터프리터")</f>
        <v>인터프리터</v>
      </c>
      <c r="C2539" s="45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97" t="s">
        <v>3461</v>
      </c>
    </row>
    <row r="2540" spans="1:10" ht="28.9" customHeight="1" thickTop="1" thickBot="1" x14ac:dyDescent="0.65">
      <c r="A2540" s="5">
        <v>2538</v>
      </c>
      <c r="B2540" s="46" t="str">
        <f>HYPERLINK("https://search.naver.com/search.naver?query=인턴 영화", "인턴")</f>
        <v>인턴</v>
      </c>
      <c r="C2540" s="47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98" t="s">
        <v>3440</v>
      </c>
    </row>
    <row r="2541" spans="1:10" ht="28.9" customHeight="1" thickTop="1" thickBot="1" x14ac:dyDescent="0.65">
      <c r="A2541" s="3">
        <v>2539</v>
      </c>
      <c r="B2541" s="44" t="str">
        <f>HYPERLINK("https://search.naver.com/search.naver?query=인턴십 영화", "인턴십")</f>
        <v>인턴십</v>
      </c>
      <c r="C2541" s="45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97" t="s">
        <v>3451</v>
      </c>
    </row>
    <row r="2542" spans="1:10" ht="28.9" customHeight="1" thickTop="1" thickBot="1" x14ac:dyDescent="0.65">
      <c r="A2542" s="5">
        <v>2540</v>
      </c>
      <c r="B2542" s="46" t="str">
        <f>HYPERLINK("https://search.naver.com/search.naver?query=인투 더 스톰 영화", "인투 더 스톰")</f>
        <v>인투 더 스톰</v>
      </c>
      <c r="C2542" s="47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98" t="s">
        <v>3437</v>
      </c>
    </row>
    <row r="2543" spans="1:10" ht="28.9" customHeight="1" thickTop="1" thickBot="1" x14ac:dyDescent="0.65">
      <c r="A2543" s="3">
        <v>2541</v>
      </c>
      <c r="B2543" s="44" t="str">
        <f>HYPERLINK("https://search.naver.com/search.naver?query=인투 더 화이트", "인투 더 화이트")</f>
        <v>인투 더 화이트</v>
      </c>
      <c r="C2543" s="45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97" t="s">
        <v>3439</v>
      </c>
    </row>
    <row r="2544" spans="1:10" ht="28.9" customHeight="1" thickTop="1" thickBot="1" x14ac:dyDescent="0.65">
      <c r="A2544" s="5">
        <v>2542</v>
      </c>
      <c r="B2544" s="46" t="str">
        <f>HYPERLINK("https://search.naver.com/search.naver?query=인페르노 영화", "인페르노")</f>
        <v>인페르노</v>
      </c>
      <c r="C2544" s="47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98" t="s">
        <v>3441</v>
      </c>
    </row>
    <row r="2545" spans="1:10" ht="28.9" customHeight="1" thickTop="1" thickBot="1" x14ac:dyDescent="0.65">
      <c r="A2545" s="3">
        <v>2543</v>
      </c>
      <c r="B2545" s="44" t="str">
        <f>HYPERLINK("https://search.naver.com/search.naver?query=인피니트 영화", "인피니트")</f>
        <v>인피니트</v>
      </c>
      <c r="C2545" s="45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97" t="s">
        <v>3438</v>
      </c>
    </row>
    <row r="2546" spans="1:10" ht="28.9" customHeight="1" thickTop="1" thickBot="1" x14ac:dyDescent="0.65">
      <c r="A2546" s="5">
        <v>2544</v>
      </c>
      <c r="B2546" s="46" t="str">
        <f>HYPERLINK("https://search.naver.com/search.naver?query=인피니트 스톰 영화", "인피니트 스톰")</f>
        <v>인피니트 스톰</v>
      </c>
      <c r="C2546" s="47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98" t="s">
        <v>3445</v>
      </c>
    </row>
    <row r="2547" spans="1:10" ht="28.9" customHeight="1" thickTop="1" thickBot="1" x14ac:dyDescent="0.65">
      <c r="A2547" s="3">
        <v>2545</v>
      </c>
      <c r="B2547" s="44" t="str">
        <f>HYPERLINK("https://search.naver.com/search.naver?query=인헤리턴스 영화", "인헤리턴스")</f>
        <v>인헤리턴스</v>
      </c>
      <c r="C2547" s="45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97" t="s">
        <v>3436</v>
      </c>
    </row>
    <row r="2548" spans="1:10" ht="28.9" customHeight="1" thickTop="1" thickBot="1" x14ac:dyDescent="0.65">
      <c r="A2548" s="5">
        <v>2546</v>
      </c>
      <c r="B2548" s="46" t="str">
        <f>HYPERLINK("https://search.naver.com/search.naver?query=일개인적무림 영화", "일개인적무림")</f>
        <v>일개인적무림</v>
      </c>
      <c r="C2548" s="47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98" t="s">
        <v>3437</v>
      </c>
    </row>
    <row r="2549" spans="1:10" ht="28.9" customHeight="1" thickTop="1" thickBot="1" x14ac:dyDescent="0.65">
      <c r="A2549" s="3">
        <v>2547</v>
      </c>
      <c r="B2549" s="44" t="str">
        <f>HYPERLINK("https://search.naver.com/search.naver?query=일급 살인 영화", "일급 살인")</f>
        <v>일급 살인</v>
      </c>
      <c r="C2549" s="45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97" t="s">
        <v>3475</v>
      </c>
    </row>
    <row r="2550" spans="1:10" ht="28.9" customHeight="1" thickTop="1" thickBot="1" x14ac:dyDescent="0.65">
      <c r="A2550" s="5">
        <v>2548</v>
      </c>
      <c r="B2550" s="46" t="str">
        <f>HYPERLINK("https://search.naver.com/search.naver?query=일대일 영화", "일대일")</f>
        <v>일대일</v>
      </c>
      <c r="C2550" s="47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98" t="s">
        <v>3437</v>
      </c>
    </row>
    <row r="2551" spans="1:10" ht="28.9" customHeight="1" thickTop="1" thickBot="1" x14ac:dyDescent="0.65">
      <c r="A2551" s="3">
        <v>2549</v>
      </c>
      <c r="B2551" s="44" t="str">
        <f>HYPERLINK("https://search.naver.com/search.naver?query=일라이저 그레이브스 영화", "일라이저 그레이브스")</f>
        <v>일라이저 그레이브스</v>
      </c>
      <c r="C2551" s="45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97" t="s">
        <v>3437</v>
      </c>
    </row>
    <row r="2552" spans="1:10" ht="28.9" customHeight="1" thickTop="1" thickBot="1" x14ac:dyDescent="0.65">
      <c r="A2552" s="5">
        <v>2550</v>
      </c>
      <c r="B2552" s="46" t="str">
        <f>HYPERLINK("https://search.naver.com/search.naver?query=일만명의 성자들 영화", "일만명의 성자들")</f>
        <v>일만명의 성자들</v>
      </c>
      <c r="C2552" s="47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98" t="s">
        <v>3440</v>
      </c>
    </row>
    <row r="2553" spans="1:10" ht="28.9" customHeight="1" thickTop="1" thickBot="1" x14ac:dyDescent="0.65">
      <c r="A2553" s="3">
        <v>2551</v>
      </c>
      <c r="B2553" s="44" t="str">
        <f>HYPERLINK("https://search.naver.com/search.naver?query=일분만 더 영화", "일분만 더")</f>
        <v>일분만 더</v>
      </c>
      <c r="C2553" s="45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97" t="s">
        <v>3440</v>
      </c>
    </row>
    <row r="2554" spans="1:10" ht="28.9" customHeight="1" thickTop="1" thickBot="1" x14ac:dyDescent="0.65">
      <c r="A2554" s="5">
        <v>2552</v>
      </c>
      <c r="B2554" s="46" t="str">
        <f>HYPERLINK("https://search.naver.com/search.naver?query=일일시호일 영화", "일일시호일")</f>
        <v>일일시호일</v>
      </c>
      <c r="C2554" s="47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98" t="s">
        <v>3442</v>
      </c>
    </row>
    <row r="2555" spans="1:10" ht="28.9" customHeight="1" thickTop="1" thickBot="1" x14ac:dyDescent="0.65">
      <c r="A2555" s="3">
        <v>2553</v>
      </c>
      <c r="B2555" s="44" t="str">
        <f>HYPERLINK("https://search.naver.com/search.naver?query=일장춘몽 영화", "일장춘몽")</f>
        <v>일장춘몽</v>
      </c>
      <c r="C2555" s="45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97" t="s">
        <v>3445</v>
      </c>
    </row>
    <row r="2556" spans="1:10" ht="28.9" customHeight="1" thickTop="1" thickBot="1" x14ac:dyDescent="0.65">
      <c r="A2556" s="5">
        <v>2554</v>
      </c>
      <c r="B2556" s="46" t="str">
        <f>HYPERLINK("https://search.naver.com/search.naver?query=일주일간 친구 영화", "일주일간 친구")</f>
        <v>일주일간 친구</v>
      </c>
      <c r="C2556" s="47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98" t="s">
        <v>3443</v>
      </c>
    </row>
    <row r="2557" spans="1:10" ht="28.9" customHeight="1" thickTop="1" thickBot="1" x14ac:dyDescent="0.65">
      <c r="A2557" s="3">
        <v>2555</v>
      </c>
      <c r="B2557" s="44" t="str">
        <f>HYPERLINK("https://search.naver.com/search.naver?query=임금님의 사건수첩 영화", "임금님의 사건수첩")</f>
        <v>임금님의 사건수첩</v>
      </c>
      <c r="C2557" s="45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97" t="s">
        <v>3441</v>
      </c>
    </row>
    <row r="2558" spans="1:10" ht="28.9" customHeight="1" thickTop="1" thickBot="1" x14ac:dyDescent="0.65">
      <c r="A2558" s="5">
        <v>2556</v>
      </c>
      <c r="B2558" s="46" t="str">
        <f>HYPERLINK("https://search.naver.com/search.naver?query=입술에 노래를 영화", "입술에 노래를")</f>
        <v>입술에 노래를</v>
      </c>
      <c r="C2558" s="47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98" t="s">
        <v>3440</v>
      </c>
    </row>
    <row r="2559" spans="1:10" ht="28.9" customHeight="1" thickTop="1" thickBot="1" x14ac:dyDescent="0.65">
      <c r="A2559" s="3">
        <v>2557</v>
      </c>
      <c r="B2559" s="44" t="str">
        <f>HYPERLINK("https://search.naver.com/search.naver?query=잉글리쉬 티처 영화", "잉글리쉬 티처")</f>
        <v>잉글리쉬 티처</v>
      </c>
      <c r="C2559" s="45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97" t="s">
        <v>3439</v>
      </c>
    </row>
    <row r="2560" spans="1:10" ht="28.9" customHeight="1" thickTop="1" thickBot="1" x14ac:dyDescent="0.65">
      <c r="A2560" s="5">
        <v>2558</v>
      </c>
      <c r="B2560" s="46" t="str">
        <f>HYPERLINK("https://search.naver.com/search.naver?query=자백 영화", "자백")</f>
        <v>자백</v>
      </c>
      <c r="C2560" s="47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98" t="s">
        <v>3445</v>
      </c>
    </row>
    <row r="2561" spans="1:10" ht="28.9" customHeight="1" thickTop="1" thickBot="1" x14ac:dyDescent="0.65">
      <c r="A2561" s="7">
        <v>2559</v>
      </c>
      <c r="B2561" s="48" t="str">
        <f>HYPERLINK("https://search.naver.com/search.naver?query=자백의 대가 드라마", "자백의 대가")</f>
        <v>자백의 대가</v>
      </c>
      <c r="C2561" s="49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99" t="s">
        <v>3459</v>
      </c>
    </row>
    <row r="2562" spans="1:10" ht="28.9" customHeight="1" thickTop="1" thickBot="1" x14ac:dyDescent="0.65">
      <c r="A2562" s="5">
        <v>2560</v>
      </c>
      <c r="B2562" s="46" t="str">
        <f>HYPERLINK("https://search.naver.com/search.naver?query=자산어보 영화", "자산어보")</f>
        <v>자산어보</v>
      </c>
      <c r="C2562" s="47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98" t="s">
        <v>3438</v>
      </c>
    </row>
    <row r="2563" spans="1:10" ht="28.9" customHeight="1" thickTop="1" thickBot="1" x14ac:dyDescent="0.65">
      <c r="A2563" s="3">
        <v>2561</v>
      </c>
      <c r="B2563" s="44" t="str">
        <f>HYPERLINK("https://search.naver.com/search.naver?query=자전차왕 엄복동 영화", "자전차왕 엄복동")</f>
        <v>자전차왕 엄복동</v>
      </c>
      <c r="C2563" s="45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97" t="s">
        <v>3442</v>
      </c>
    </row>
    <row r="2564" spans="1:10" ht="28.9" customHeight="1" thickTop="1" thickBot="1" x14ac:dyDescent="0.65">
      <c r="A2564" s="7">
        <v>2562</v>
      </c>
      <c r="B2564" s="48" t="str">
        <f>HYPERLINK("https://search.naver.com/search.naver?query=자칼의 날 시즌1", "자칼의 날 시즌1")</f>
        <v>자칼의 날 시즌1</v>
      </c>
      <c r="C2564" s="49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99" t="s">
        <v>3448</v>
      </c>
    </row>
    <row r="2565" spans="1:10" ht="28.9" customHeight="1" thickTop="1" thickBot="1" x14ac:dyDescent="0.65">
      <c r="A2565" s="3">
        <v>2563</v>
      </c>
      <c r="B2565" s="44" t="str">
        <f>HYPERLINK("https://search.naver.com/search.naver?query=작가 미상 영화", "작가 미상")</f>
        <v>작가 미상</v>
      </c>
      <c r="C2565" s="45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97" t="s">
        <v>3436</v>
      </c>
    </row>
    <row r="2566" spans="1:10" ht="28.9" customHeight="1" thickTop="1" thickBot="1" x14ac:dyDescent="0.65">
      <c r="A2566" s="5">
        <v>2564</v>
      </c>
      <c r="B2566" s="46" t="str">
        <f>HYPERLINK("https://search.naver.com/search.naver?query=작년 겨울, 너와 이별 영화", "작년 겨울, 너와 이별")</f>
        <v>작년 겨울, 너와 이별</v>
      </c>
      <c r="C2566" s="47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98" t="s">
        <v>3442</v>
      </c>
    </row>
    <row r="2567" spans="1:10" ht="28.9" customHeight="1" thickTop="1" thickBot="1" x14ac:dyDescent="0.65">
      <c r="A2567" s="3">
        <v>2565</v>
      </c>
      <c r="B2567" s="44" t="str">
        <f>HYPERLINK("https://search.naver.com/search.naver?query=작은 아씨들 영화", "작은 아씨들")</f>
        <v>작은 아씨들</v>
      </c>
      <c r="C2567" s="45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97" t="s">
        <v>3444</v>
      </c>
    </row>
    <row r="2568" spans="1:10" ht="28.9" customHeight="1" thickTop="1" thickBot="1" x14ac:dyDescent="0.65">
      <c r="A2568" s="5">
        <v>2566</v>
      </c>
      <c r="B2568" s="46" t="str">
        <f>HYPERLINK("https://search.naver.com/search.naver?query=작은 집 영화", "작은 집")</f>
        <v>작은 집</v>
      </c>
      <c r="C2568" s="47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98" t="s">
        <v>3437</v>
      </c>
    </row>
    <row r="2569" spans="1:10" ht="28.9" customHeight="1" thickTop="1" thickBot="1" x14ac:dyDescent="0.65">
      <c r="A2569" s="3">
        <v>2567</v>
      </c>
      <c r="B2569" s="44" t="str">
        <f>HYPERLINK("https://search.naver.com/search.naver?query=작전 영화", "작전")</f>
        <v>작전</v>
      </c>
      <c r="C2569" s="45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97" t="s">
        <v>3453</v>
      </c>
    </row>
    <row r="2570" spans="1:10" ht="28.9" customHeight="1" thickTop="1" thickBot="1" x14ac:dyDescent="0.65">
      <c r="A2570" s="5">
        <v>2568</v>
      </c>
      <c r="B2570" s="46" t="str">
        <f>HYPERLINK("https://search.naver.com/search.naver?query=작전명 발키리 영화", "작전명 발키리")</f>
        <v>작전명 발키리</v>
      </c>
      <c r="C2570" s="47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98" t="s">
        <v>3450</v>
      </c>
    </row>
    <row r="2571" spans="1:10" ht="28.9" customHeight="1" thickTop="1" thickBot="1" x14ac:dyDescent="0.65">
      <c r="A2571" s="3">
        <v>2569</v>
      </c>
      <c r="B2571" s="44" t="str">
        <f>HYPERLINK("https://search.naver.com/search.naver?query=잠 영화", "잠")</f>
        <v>잠</v>
      </c>
      <c r="C2571" s="45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97" t="s">
        <v>3446</v>
      </c>
    </row>
    <row r="2572" spans="1:10" ht="28.9" customHeight="1" thickTop="1" thickBot="1" x14ac:dyDescent="0.65">
      <c r="A2572" s="5">
        <v>2570</v>
      </c>
      <c r="B2572" s="46" t="str">
        <f>HYPERLINK("https://search.naver.com/search.naver?query=잠깐만 회사 좀 관두고 올게 영화", "잠깐만 회사 좀 관두고 올게")</f>
        <v>잠깐만 회사 좀 관두고 올게</v>
      </c>
      <c r="C2572" s="47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98" t="s">
        <v>3443</v>
      </c>
    </row>
    <row r="2573" spans="1:10" ht="28.9" customHeight="1" thickTop="1" thickBot="1" x14ac:dyDescent="0.65">
      <c r="A2573" s="3">
        <v>2571</v>
      </c>
      <c r="B2573" s="44" t="str">
        <f>HYPERLINK("https://search.naver.com/search.naver?query=잠든 여인 영화", "잠든 여인")</f>
        <v>잠든 여인</v>
      </c>
      <c r="C2573" s="45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97" t="s">
        <v>3438</v>
      </c>
    </row>
    <row r="2574" spans="1:10" ht="28.9" customHeight="1" thickTop="1" thickBot="1" x14ac:dyDescent="0.65">
      <c r="A2574" s="5">
        <v>2572</v>
      </c>
      <c r="B2574" s="46" t="str">
        <f>HYPERLINK("https://search.naver.com/search.naver?query=잠수종과 나비 영화", "잠수종과 나비")</f>
        <v>잠수종과 나비</v>
      </c>
      <c r="C2574" s="47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98" t="s">
        <v>3447</v>
      </c>
    </row>
    <row r="2575" spans="1:10" ht="28.9" customHeight="1" thickTop="1" thickBot="1" x14ac:dyDescent="0.65">
      <c r="A2575" s="3">
        <v>2573</v>
      </c>
      <c r="B2575" s="44" t="str">
        <f>HYPERLINK("https://search.naver.com/search.naver?query=장르만 로맨스 영화", "장르만 로맨스")</f>
        <v>장르만 로맨스</v>
      </c>
      <c r="C2575" s="45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97" t="s">
        <v>3438</v>
      </c>
    </row>
    <row r="2576" spans="1:10" ht="28.9" customHeight="1" thickTop="1" thickBot="1" x14ac:dyDescent="0.65">
      <c r="A2576" s="5">
        <v>2574</v>
      </c>
      <c r="B2576" s="46" t="str">
        <f>HYPERLINK("https://search.naver.com/search.naver?query=장사리 잊혀진 영웅들 영화", "장사리-잊혀진 영웅들")</f>
        <v>장사리-잊혀진 영웅들</v>
      </c>
      <c r="C2576" s="47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98" t="s">
        <v>3444</v>
      </c>
    </row>
    <row r="2577" spans="1:10" ht="28.9" customHeight="1" thickTop="1" thickBot="1" x14ac:dyDescent="0.65">
      <c r="A2577" s="3">
        <v>2575</v>
      </c>
      <c r="B2577" s="44" t="str">
        <f>HYPERLINK("https://search.naver.com/search.naver?query=장산범 영화", "장산범")</f>
        <v>장산범</v>
      </c>
      <c r="C2577" s="45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97" t="s">
        <v>3443</v>
      </c>
    </row>
    <row r="2578" spans="1:10" ht="28.9" customHeight="1" thickTop="1" thickBot="1" x14ac:dyDescent="0.65">
      <c r="A2578" s="5">
        <v>2576</v>
      </c>
      <c r="B2578" s="46" t="str">
        <f>HYPERLINK("https://search.naver.com/search.naver?query=장수상회 영화", "장수상회")</f>
        <v>장수상회</v>
      </c>
      <c r="C2578" s="47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98" t="s">
        <v>3437</v>
      </c>
    </row>
    <row r="2579" spans="1:10" ht="28.9" customHeight="1" thickTop="1" thickBot="1" x14ac:dyDescent="0.65">
      <c r="A2579" s="7">
        <v>2577</v>
      </c>
      <c r="B2579" s="48" t="str">
        <f>HYPERLINK("https://search.naver.com/search.naver?query=재난 그 이후 드라마", "재난 그 이후")</f>
        <v>재난 그 이후</v>
      </c>
      <c r="C2579" s="49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99" t="s">
        <v>3445</v>
      </c>
    </row>
    <row r="2580" spans="1:10" ht="28.9" customHeight="1" thickTop="1" thickBot="1" x14ac:dyDescent="0.65">
      <c r="A2580" s="5">
        <v>2578</v>
      </c>
      <c r="B2580" s="46" t="str">
        <f>HYPERLINK("https://search.naver.com/search.naver?query=재심 영화", "재심")</f>
        <v>재심</v>
      </c>
      <c r="C2580" s="47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98" t="s">
        <v>3441</v>
      </c>
    </row>
    <row r="2581" spans="1:10" ht="28.9" customHeight="1" thickTop="1" thickBot="1" x14ac:dyDescent="0.65">
      <c r="A2581" s="3">
        <v>2579</v>
      </c>
      <c r="B2581" s="44" t="str">
        <f>HYPERLINK("https://search.naver.com/search.naver?query=재키의 링 영화", "재키의 링")</f>
        <v>재키의 링</v>
      </c>
      <c r="C2581" s="45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97" t="s">
        <v>3436</v>
      </c>
    </row>
    <row r="2582" spans="1:10" ht="28.9" customHeight="1" thickTop="1" thickBot="1" x14ac:dyDescent="0.65">
      <c r="A2582" s="5">
        <v>2580</v>
      </c>
      <c r="B2582" s="46" t="str">
        <f>HYPERLINK("https://search.naver.com/search.naver?query=잭 라이언 코드네임 쉐도우 영화", "잭 라이언 - 코드네임 쉐도우")</f>
        <v>잭 라이언 - 코드네임 쉐도우</v>
      </c>
      <c r="C2582" s="47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98" t="s">
        <v>3437</v>
      </c>
    </row>
    <row r="2583" spans="1:10" ht="28.9" customHeight="1" thickTop="1" thickBot="1" x14ac:dyDescent="0.65">
      <c r="A2583" s="3">
        <v>2581</v>
      </c>
      <c r="B2583" s="44" t="str">
        <f>HYPERLINK("https://search.naver.com/search.naver?query=잭 리처 영화", "잭 리처")</f>
        <v>잭 리처</v>
      </c>
      <c r="C2583" s="45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97" t="s">
        <v>3439</v>
      </c>
    </row>
    <row r="2584" spans="1:10" ht="28.9" customHeight="1" thickTop="1" thickBot="1" x14ac:dyDescent="0.65">
      <c r="A2584" s="5">
        <v>2582</v>
      </c>
      <c r="B2584" s="46" t="str">
        <f>HYPERLINK("https://search.naver.com/search.naver?query=잭 리처 네버 고 백 영화", "잭 리처 - 네버 고 백")</f>
        <v>잭 리처 - 네버 고 백</v>
      </c>
      <c r="C2584" s="47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98" t="s">
        <v>3441</v>
      </c>
    </row>
    <row r="2585" spans="1:10" ht="28.9" customHeight="1" thickTop="1" thickBot="1" x14ac:dyDescent="0.65">
      <c r="A2585" s="3">
        <v>2583</v>
      </c>
      <c r="B2585" s="44" t="str">
        <f>HYPERLINK("https://search.naver.com/search.naver?query=쟈니 잉글리쉬 스트라이크 어게인 영화", "쟈니 잉글리쉬 스트라이크 어게인")</f>
        <v>쟈니 잉글리쉬 스트라이크 어게인</v>
      </c>
      <c r="C2585" s="45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97" t="s">
        <v>3442</v>
      </c>
    </row>
    <row r="2586" spans="1:10" ht="28.9" customHeight="1" thickTop="1" thickBot="1" x14ac:dyDescent="0.65">
      <c r="A2586" s="5">
        <v>2584</v>
      </c>
      <c r="B2586" s="46" t="str">
        <f>HYPERLINK("https://search.naver.com/search.naver?query=저널 포 조던 영화", "저널 포 조던")</f>
        <v>저널 포 조던</v>
      </c>
      <c r="C2586" s="47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98" t="s">
        <v>3438</v>
      </c>
    </row>
    <row r="2587" spans="1:10" ht="28.9" customHeight="1" thickTop="1" thickBot="1" x14ac:dyDescent="0.65">
      <c r="A2587" s="3">
        <v>2585</v>
      </c>
      <c r="B2587" s="44" t="str">
        <f>HYPERLINK("https://search.naver.com/search.naver?query=저니스 엔드 영화", "저니스 엔드")</f>
        <v>저니스 엔드</v>
      </c>
      <c r="C2587" s="45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97" t="s">
        <v>3443</v>
      </c>
    </row>
    <row r="2588" spans="1:10" ht="28.9" customHeight="1" thickTop="1" thickBot="1" x14ac:dyDescent="0.65">
      <c r="A2588" s="5">
        <v>2586</v>
      </c>
      <c r="B2588" s="46" t="str">
        <f>HYPERLINK("https://search.naver.com/search.naver?query=저스트 라이크 헤븐 영화", "저스트 라이크 헤븐")</f>
        <v>저스트 라이크 헤븐</v>
      </c>
      <c r="C2588" s="47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98" t="s">
        <v>3461</v>
      </c>
    </row>
    <row r="2589" spans="1:10" ht="28.9" customHeight="1" thickTop="1" thickBot="1" x14ac:dyDescent="0.65">
      <c r="A2589" s="3">
        <v>2587</v>
      </c>
      <c r="B2589" s="44" t="str">
        <f>HYPERLINK("https://search.naver.com/search.naver?query=저스트 렛 고 영화", "저스트 렛 고")</f>
        <v>저스트 렛 고</v>
      </c>
      <c r="C2589" s="45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97" t="s">
        <v>3441</v>
      </c>
    </row>
    <row r="2590" spans="1:10" ht="28.9" customHeight="1" thickTop="1" thickBot="1" x14ac:dyDescent="0.65">
      <c r="A2590" s="5">
        <v>2588</v>
      </c>
      <c r="B2590" s="46" t="str">
        <f>HYPERLINK("https://search.naver.com/search.naver?query=저스트 머시 영화", "저스트 머시")</f>
        <v>저스트 머시</v>
      </c>
      <c r="C2590" s="47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98" t="s">
        <v>3444</v>
      </c>
    </row>
    <row r="2591" spans="1:10" ht="28.9" customHeight="1" thickTop="1" thickBot="1" x14ac:dyDescent="0.65">
      <c r="A2591" s="3">
        <v>2589</v>
      </c>
      <c r="B2591" s="44" t="str">
        <f>HYPERLINK("https://search.naver.com/search.naver?query=저스티스 영화", "저스티스")</f>
        <v>저스티스</v>
      </c>
      <c r="C2591" s="45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97" t="s">
        <v>3439</v>
      </c>
    </row>
    <row r="2592" spans="1:10" ht="28.9" customHeight="1" thickTop="1" thickBot="1" x14ac:dyDescent="0.65">
      <c r="A2592" s="5">
        <v>2590</v>
      </c>
      <c r="B2592" s="46" t="str">
        <f>HYPERLINK("https://search.naver.com/search.naver?query=적과의 동침1991", "적과의 동침")</f>
        <v>적과의 동침</v>
      </c>
      <c r="C2592" s="47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98" t="s">
        <v>3465</v>
      </c>
    </row>
    <row r="2593" spans="1:10" ht="28.9" customHeight="1" thickTop="1" thickBot="1" x14ac:dyDescent="0.65">
      <c r="A2593" s="3">
        <v>2591</v>
      </c>
      <c r="B2593" s="44" t="str">
        <f>HYPERLINK("https://search.naver.com/search.naver?query=전,란 영화", "전,란")</f>
        <v>전,란</v>
      </c>
      <c r="C2593" s="45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97" t="s">
        <v>3448</v>
      </c>
    </row>
    <row r="2594" spans="1:10" ht="28.9" customHeight="1" thickTop="1" thickBot="1" x14ac:dyDescent="0.65">
      <c r="A2594" s="7">
        <v>2592</v>
      </c>
      <c r="B2594" s="48" t="str">
        <f>HYPERLINK("https://search.naver.com/search.naver?query=전과자 신참 보호사 아가와 카요 드라마", "전과자- 신참 보호사 아가와 카요")</f>
        <v>전과자- 신참 보호사 아가와 카요</v>
      </c>
      <c r="C2594" s="49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99" t="s">
        <v>3438</v>
      </c>
    </row>
    <row r="2595" spans="1:10" ht="28.9" customHeight="1" thickTop="1" thickBot="1" x14ac:dyDescent="0.65">
      <c r="A2595" s="3">
        <v>2593</v>
      </c>
      <c r="B2595" s="44" t="str">
        <f>HYPERLINK("https://search.naver.com/search.naver?query=전국노래자랑 영화", "전국노래자랑")</f>
        <v>전국노래자랑</v>
      </c>
      <c r="C2595" s="45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97" t="s">
        <v>3451</v>
      </c>
    </row>
    <row r="2596" spans="1:10" ht="28.9" customHeight="1" thickTop="1" thickBot="1" x14ac:dyDescent="0.65">
      <c r="A2596" s="5">
        <v>2594</v>
      </c>
      <c r="B2596" s="46" t="str">
        <f>HYPERLINK("https://search.naver.com/search.naver?query=전망 좋은 집 영화", "전망 좋은 집")</f>
        <v>전망 좋은 집</v>
      </c>
      <c r="C2596" s="47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98" t="s">
        <v>3439</v>
      </c>
    </row>
    <row r="2597" spans="1:10" ht="28.9" customHeight="1" thickTop="1" thickBot="1" x14ac:dyDescent="0.65">
      <c r="A2597" s="3">
        <v>2595</v>
      </c>
      <c r="B2597" s="44" t="str">
        <f>HYPERLINK("https://search.naver.com/search.naver?query=전설의 주먹 영화", "전설의 주먹")</f>
        <v>전설의 주먹</v>
      </c>
      <c r="C2597" s="45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97" t="s">
        <v>3439</v>
      </c>
    </row>
    <row r="2598" spans="1:10" ht="28.9" customHeight="1" thickTop="1" thickBot="1" x14ac:dyDescent="0.65">
      <c r="A2598" s="5">
        <v>2596</v>
      </c>
      <c r="B2598" s="46" t="str">
        <f>HYPERLINK("https://search.naver.com/search.naver?query=전장의 피아니스트 영화", "전장의 피아니스트")</f>
        <v>전장의 피아니스트</v>
      </c>
      <c r="C2598" s="47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98" t="s">
        <v>3445</v>
      </c>
    </row>
    <row r="2599" spans="1:10" ht="28.9" customHeight="1" thickTop="1" thickBot="1" x14ac:dyDescent="0.65">
      <c r="A2599" s="7">
        <v>2597</v>
      </c>
      <c r="B2599" s="48" t="str">
        <f>HYPERLINK("https://search.naver.com/search.naver?query=전쟁과 평화 드라마","전쟁과평화")</f>
        <v>전쟁과평화</v>
      </c>
      <c r="C2599" s="49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99" t="s">
        <v>3441</v>
      </c>
    </row>
    <row r="2600" spans="1:10" ht="28.9" customHeight="1" thickTop="1" thickBot="1" x14ac:dyDescent="0.65">
      <c r="A2600" s="5">
        <v>2598</v>
      </c>
      <c r="B2600" s="46" t="str">
        <f>HYPERLINK("https://search.naver.com/search.naver?query=전쟁의 사상자들 영화", "전쟁의 사상자들")</f>
        <v>전쟁의 사상자들</v>
      </c>
      <c r="C2600" s="47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98" t="s">
        <v>3477</v>
      </c>
    </row>
    <row r="2601" spans="1:10" ht="28.9" customHeight="1" thickTop="1" thickBot="1" x14ac:dyDescent="0.65">
      <c r="A2601" s="3">
        <v>2599</v>
      </c>
      <c r="B2601" s="44" t="str">
        <f>HYPERLINK("https://search.naver.com/search.naver?query=전차남 영화", "전차남")</f>
        <v>전차남</v>
      </c>
      <c r="C2601" s="45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97" t="s">
        <v>3461</v>
      </c>
    </row>
    <row r="2602" spans="1:10" ht="28.9" customHeight="1" thickTop="1" thickBot="1" x14ac:dyDescent="0.65">
      <c r="A2602" s="5">
        <v>2600</v>
      </c>
      <c r="B2602" s="46" t="str">
        <f>HYPERLINK("https://search.naver.com/search.naver?query=점쟁이들 영화", "점쟁이들")</f>
        <v>점쟁이들</v>
      </c>
      <c r="C2602" s="47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98" t="s">
        <v>3439</v>
      </c>
    </row>
    <row r="2603" spans="1:10" ht="28.9" customHeight="1" thickTop="1" thickBot="1" x14ac:dyDescent="0.65">
      <c r="A2603" s="3">
        <v>2601</v>
      </c>
      <c r="B2603" s="44" t="str">
        <f>HYPERLINK("https://search.naver.com/search.naver?query=정글 영화", "정글")</f>
        <v>정글</v>
      </c>
      <c r="C2603" s="45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97" t="s">
        <v>3443</v>
      </c>
    </row>
    <row r="2604" spans="1:10" ht="28.9" customHeight="1" thickTop="1" thickBot="1" x14ac:dyDescent="0.65">
      <c r="A2604" s="5">
        <v>2602</v>
      </c>
      <c r="B2604" s="46" t="str">
        <f>HYPERLINK("https://search.naver.com/search.naver?query=정글 크루즈 영화", "정글 크루즈")</f>
        <v>정글 크루즈</v>
      </c>
      <c r="C2604" s="47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98" t="s">
        <v>3438</v>
      </c>
    </row>
    <row r="2605" spans="1:10" ht="28.9" customHeight="1" thickTop="1" thickBot="1" x14ac:dyDescent="0.65">
      <c r="A2605" s="3">
        <v>2603</v>
      </c>
      <c r="B2605" s="44" t="str">
        <f>HYPERLINK("https://search.naver.com/search.naver?query=정글북 영화", "정글북")</f>
        <v>정글북</v>
      </c>
      <c r="C2605" s="45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97" t="s">
        <v>3441</v>
      </c>
    </row>
    <row r="2606" spans="1:10" ht="28.9" customHeight="1" thickTop="1" thickBot="1" x14ac:dyDescent="0.65">
      <c r="A2606" s="5">
        <v>2604</v>
      </c>
      <c r="B2606" s="46" t="str">
        <f>HYPERLINK("https://search.naver.com/search.naver?query=정직한 후보 영화", "정직한 후보")</f>
        <v>정직한 후보</v>
      </c>
      <c r="C2606" s="47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98" t="s">
        <v>3436</v>
      </c>
    </row>
    <row r="2607" spans="1:10" ht="28.9" customHeight="1" thickTop="1" thickBot="1" x14ac:dyDescent="0.65">
      <c r="A2607" s="3">
        <v>2605</v>
      </c>
      <c r="B2607" s="44" t="str">
        <f>HYPERLINK("https://search.naver.com/search.naver?query=제3의 사랑 영화", "제3의 사랑")</f>
        <v>제3의 사랑</v>
      </c>
      <c r="C2607" s="45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97" t="s">
        <v>3437</v>
      </c>
    </row>
    <row r="2608" spans="1:10" ht="28.9" customHeight="1" thickTop="1" thickBot="1" x14ac:dyDescent="0.65">
      <c r="A2608" s="5">
        <v>2606</v>
      </c>
      <c r="B2608" s="46" t="str">
        <f>HYPERLINK("https://search.naver.com/search.naver?query=제5계급 영화", "제5계급")</f>
        <v>제5계급</v>
      </c>
      <c r="C2608" s="47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98" t="s">
        <v>3451</v>
      </c>
    </row>
    <row r="2609" spans="1:10" ht="28.9" customHeight="1" thickTop="1" thickBot="1" x14ac:dyDescent="0.65">
      <c r="A2609" s="3">
        <v>2607</v>
      </c>
      <c r="B2609" s="44" t="str">
        <f>HYPERLINK("https://search.naver.com/search.naver?query=제8요일 영화", "제8요일")</f>
        <v>제8요일</v>
      </c>
      <c r="C2609" s="45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97" t="s">
        <v>3463</v>
      </c>
    </row>
    <row r="2610" spans="1:10" ht="28.9" customHeight="1" thickTop="1" thickBot="1" x14ac:dyDescent="0.65">
      <c r="A2610" s="5">
        <v>2608</v>
      </c>
      <c r="B2610" s="46" t="str">
        <f>HYPERLINK("https://search.naver.com/search.naver?query=제8일의 밤 영화", "제8일의 밤")</f>
        <v>제8일의 밤</v>
      </c>
      <c r="C2610" s="47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98" t="s">
        <v>3438</v>
      </c>
    </row>
    <row r="2611" spans="1:10" ht="28.9" customHeight="1" thickTop="1" thickBot="1" x14ac:dyDescent="0.65">
      <c r="A2611" s="3">
        <v>2609</v>
      </c>
      <c r="B2611" s="44" t="str">
        <f>HYPERLINK("https://search.naver.com/search.naver?query=제너럴 루주의 개선 영화", "제너럴 루주의 개선")</f>
        <v>제너럴 루주의 개선</v>
      </c>
      <c r="C2611" s="45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97" t="s">
        <v>3453</v>
      </c>
    </row>
    <row r="2612" spans="1:10" ht="28.9" customHeight="1" thickTop="1" thickBot="1" x14ac:dyDescent="0.65">
      <c r="A2612" s="7">
        <v>2610</v>
      </c>
      <c r="B2612" s="48" t="str">
        <f>HYPERLINK("https://search.naver.com/search.naver?query=제너레이션 워 드라마", "제너레이션 워")</f>
        <v>제너레이션 워</v>
      </c>
      <c r="C2612" s="49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99" t="s">
        <v>3451</v>
      </c>
    </row>
    <row r="2613" spans="1:10" ht="28.9" customHeight="1" thickTop="1" thickBot="1" x14ac:dyDescent="0.65">
      <c r="A2613" s="3">
        <v>2611</v>
      </c>
      <c r="B2613" s="44" t="str">
        <f>HYPERLINK("https://search.naver.com/search.naver?query=제노바 영화", "제노바")</f>
        <v>제노바</v>
      </c>
      <c r="C2613" s="45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97" t="s">
        <v>3450</v>
      </c>
    </row>
    <row r="2614" spans="1:10" ht="28.9" customHeight="1" thickTop="1" thickBot="1" x14ac:dyDescent="0.65">
      <c r="A2614" s="5">
        <v>2612</v>
      </c>
      <c r="B2614" s="46" t="str">
        <f>HYPERLINK("https://search.naver.com/search.naver?query=제로 다크 서티 영화", "제로 다크 서티")</f>
        <v>제로 다크 서티</v>
      </c>
      <c r="C2614" s="47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98" t="s">
        <v>3439</v>
      </c>
    </row>
    <row r="2615" spans="1:10" ht="28.9" customHeight="1" thickTop="1" thickBot="1" x14ac:dyDescent="0.65">
      <c r="A2615" s="7">
        <v>2613</v>
      </c>
      <c r="B2615" s="48" t="str">
        <f>HYPERLINK("https://search.naver.com/search.naver?query=제로데이 드라마", "제로데이")</f>
        <v>제로데이</v>
      </c>
      <c r="C2615" s="49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99" t="s">
        <v>3459</v>
      </c>
    </row>
    <row r="2616" spans="1:10" ht="28.9" customHeight="1" thickTop="1" thickBot="1" x14ac:dyDescent="0.65">
      <c r="A2616" s="5">
        <v>2614</v>
      </c>
      <c r="B2616" s="46" t="str">
        <f>HYPERLINK("https://search.naver.com/search.naver?query=제로포커스 영화", "제로포커스")</f>
        <v>제로포커스</v>
      </c>
      <c r="C2616" s="47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98" t="s">
        <v>3453</v>
      </c>
    </row>
    <row r="2617" spans="1:10" ht="28.9" customHeight="1" thickTop="1" thickBot="1" x14ac:dyDescent="0.65">
      <c r="A2617" s="3">
        <v>2615</v>
      </c>
      <c r="B2617" s="44" t="str">
        <f>HYPERLINK("https://search.naver.com/search.naver?query=제리 &amp; 마지 고 라지 영화", "제리 &amp; 마지 고 라지")</f>
        <v>제리 &amp; 마지 고 라지</v>
      </c>
      <c r="C2617" s="45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97" t="s">
        <v>3445</v>
      </c>
    </row>
    <row r="2618" spans="1:10" ht="28.9" customHeight="1" thickTop="1" thickBot="1" x14ac:dyDescent="0.65">
      <c r="A2618" s="5">
        <v>2616</v>
      </c>
      <c r="B2618" s="46" t="str">
        <f>HYPERLINK("https://search.naver.com/search.naver?query=제멋대로 떨고 있어 영화", "제멋대로 떨고 있어")</f>
        <v>제멋대로 떨고 있어</v>
      </c>
      <c r="C2618" s="47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98" t="s">
        <v>3443</v>
      </c>
    </row>
    <row r="2619" spans="1:10" ht="28.9" customHeight="1" thickTop="1" thickBot="1" x14ac:dyDescent="0.65">
      <c r="A2619" s="3">
        <v>2617</v>
      </c>
      <c r="B2619" s="44" t="str">
        <f>HYPERLINK("https://search.naver.com/search.naver?query=제미니 맨 영화", "제미니 맨")</f>
        <v>제미니 맨</v>
      </c>
      <c r="C2619" s="45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97" t="s">
        <v>3444</v>
      </c>
    </row>
    <row r="2620" spans="1:10" ht="28.9" customHeight="1" thickTop="1" thickBot="1" x14ac:dyDescent="0.65">
      <c r="A2620" s="5">
        <v>2618</v>
      </c>
      <c r="B2620" s="46" t="str">
        <f>HYPERLINK("https://search.naver.com/search.naver?query=제이 켈리 영화", "제이 켈리")</f>
        <v>제이 켈리</v>
      </c>
      <c r="C2620" s="47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98" t="s">
        <v>3459</v>
      </c>
    </row>
    <row r="2621" spans="1:10" ht="28.9" customHeight="1" thickTop="1" thickBot="1" x14ac:dyDescent="0.65">
      <c r="A2621" s="3">
        <v>2619</v>
      </c>
      <c r="B2621" s="44" t="str">
        <f>HYPERLINK("https://search.naver.com/search.naver?query=제이니 존스 영화", "제이니 존스")</f>
        <v>제이니 존스</v>
      </c>
      <c r="C2621" s="45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97" t="s">
        <v>3455</v>
      </c>
    </row>
    <row r="2622" spans="1:10" ht="28.9" customHeight="1" thickTop="1" thickBot="1" x14ac:dyDescent="0.65">
      <c r="A2622" s="5">
        <v>2620</v>
      </c>
      <c r="B2622" s="46" t="str">
        <f>HYPERLINK("https://search.naver.com/search.naver?query=제이슨 본 영화", "제이슨 본")</f>
        <v>제이슨 본</v>
      </c>
      <c r="C2622" s="47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98" t="s">
        <v>3441</v>
      </c>
    </row>
    <row r="2623" spans="1:10" ht="28.9" customHeight="1" thickTop="1" thickBot="1" x14ac:dyDescent="0.65">
      <c r="A2623" s="3">
        <v>2621</v>
      </c>
      <c r="B2623" s="44" t="str">
        <f>HYPERLINK("https://search.naver.com/search.naver?query=제이콥의 거짓말 영화", "제이콥의 거짓말")</f>
        <v>제이콥의 거짓말</v>
      </c>
      <c r="C2623" s="45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97" t="s">
        <v>3456</v>
      </c>
    </row>
    <row r="2624" spans="1:10" ht="28.9" customHeight="1" thickTop="1" thickBot="1" x14ac:dyDescent="0.65">
      <c r="A2624" s="5">
        <v>2622</v>
      </c>
      <c r="B2624" s="46" t="str">
        <f>HYPERLINK("https://search.naver.com/search.naver?query=제인 에어 영화", "제인 에어")</f>
        <v>제인 에어</v>
      </c>
      <c r="C2624" s="47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98" t="s">
        <v>3454</v>
      </c>
    </row>
    <row r="2625" spans="1:10" ht="28.9" customHeight="1" thickTop="1" thickBot="1" x14ac:dyDescent="0.65">
      <c r="A2625" s="3">
        <v>2623</v>
      </c>
      <c r="B2625" s="44" t="str">
        <f>HYPERLINK("https://search.naver.com/search.naver?query=젠틀맨 영화", "젠틀맨")</f>
        <v>젠틀맨</v>
      </c>
      <c r="C2625" s="45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97" t="s">
        <v>3444</v>
      </c>
    </row>
    <row r="2626" spans="1:10" ht="28.9" customHeight="1" thickTop="1" thickBot="1" x14ac:dyDescent="0.65">
      <c r="A2626" s="7">
        <v>2624</v>
      </c>
      <c r="B2626" s="48" t="str">
        <f>HYPERLINK("https://search.naver.com/search.naver?query=젠틀맨: 더 시리즈 시즌1", "젠틀맨: 더 시리즈 시즌1")</f>
        <v>젠틀맨: 더 시리즈 시즌1</v>
      </c>
      <c r="C2626" s="49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99" t="s">
        <v>3448</v>
      </c>
    </row>
    <row r="2627" spans="1:10" ht="28.9" customHeight="1" thickTop="1" thickBot="1" x14ac:dyDescent="0.65">
      <c r="A2627" s="3">
        <v>2625</v>
      </c>
      <c r="B2627" s="44" t="str">
        <f>HYPERLINK("https://cine21.com/movie/info/?movie_id=41821", "조")</f>
        <v>조</v>
      </c>
      <c r="C2627" s="45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97" t="s">
        <v>3451</v>
      </c>
    </row>
    <row r="2628" spans="1:10" ht="28.9" customHeight="1" thickTop="1" thickBot="1" x14ac:dyDescent="0.65">
      <c r="A2628" s="5">
        <v>2626</v>
      </c>
      <c r="B2628" s="46" t="str">
        <f>HYPERLINK("https://search.naver.com/search.naver?query=조금씩, 천천히 안녕 영화", "조금씩, 천천히 안녕")</f>
        <v>조금씩, 천천히 안녕</v>
      </c>
      <c r="C2628" s="47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98" t="s">
        <v>3444</v>
      </c>
    </row>
    <row r="2629" spans="1:10" ht="28.9" customHeight="1" thickTop="1" thickBot="1" x14ac:dyDescent="0.65">
      <c r="A2629" s="3">
        <v>2627</v>
      </c>
      <c r="B2629" s="44" t="str">
        <f>HYPERLINK("https://search.naver.com/search.naver?query=조난자들 영화", "조난자들")</f>
        <v>조난자들</v>
      </c>
      <c r="C2629" s="45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97" t="s">
        <v>3451</v>
      </c>
    </row>
    <row r="2630" spans="1:10" ht="28.9" customHeight="1" thickTop="1" thickBot="1" x14ac:dyDescent="0.65">
      <c r="A2630" s="3">
        <v>2628</v>
      </c>
      <c r="B2630" s="44" t="str">
        <f>HYPERLINK("https://search.naver.com/search.naver?query=조선명탐정 사라진 놉의 딸 영화", "조선명탐정 - 사라진 놉의 딸")</f>
        <v>조선명탐정 - 사라진 놉의 딸</v>
      </c>
      <c r="C2630" s="45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97" t="s">
        <v>3437</v>
      </c>
    </row>
    <row r="2631" spans="1:10" ht="28.9" customHeight="1" thickTop="1" thickBot="1" x14ac:dyDescent="0.65">
      <c r="A2631" s="5">
        <v>2629</v>
      </c>
      <c r="B2631" s="46" t="str">
        <f>HYPERLINK("https://search.naver.com/search.naver?query=조선명탐정:각시투구꽃의 비밀 영화", "조선명탐정 각시투구꽃의 비밀")</f>
        <v>조선명탐정 각시투구꽃의 비밀</v>
      </c>
      <c r="C2631" s="47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98" t="s">
        <v>3454</v>
      </c>
    </row>
    <row r="2632" spans="1:10" ht="28.9" customHeight="1" thickTop="1" thickBot="1" x14ac:dyDescent="0.65">
      <c r="A2632" s="5">
        <v>2630</v>
      </c>
      <c r="B2632" s="46" t="str">
        <f>HYPERLINK("https://search.naver.com/search.naver?query=조선명탐정 흡혈 괴마의 비밀 영화", "조선명탐정-흡혈 괴마의 비밀")</f>
        <v>조선명탐정-흡혈 괴마의 비밀</v>
      </c>
      <c r="C2632" s="47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98" t="s">
        <v>3443</v>
      </c>
    </row>
    <row r="2633" spans="1:10" ht="28.9" customHeight="1" thickTop="1" thickBot="1" x14ac:dyDescent="0.65">
      <c r="A2633" s="3">
        <v>2631</v>
      </c>
      <c r="B2633" s="44" t="str">
        <f>HYPERLINK("https://search.naver.com/search.naver?query=조이 영화", "조이")</f>
        <v>조이</v>
      </c>
      <c r="C2633" s="45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97" t="s">
        <v>3440</v>
      </c>
    </row>
    <row r="2634" spans="1:10" ht="28.9" customHeight="1" thickTop="1" thickBot="1" x14ac:dyDescent="0.65">
      <c r="A2634" s="5">
        <v>2632</v>
      </c>
      <c r="B2634" s="46" t="str">
        <f>HYPERLINK("https://search.naver.com/search.naver?query=조제, 호랑이 그리고 물고기들 영화", "조제, 호랑이 그리고 물고기들")</f>
        <v>조제, 호랑이 그리고 물고기들</v>
      </c>
      <c r="C2634" s="47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98" t="s">
        <v>3436</v>
      </c>
    </row>
    <row r="2635" spans="1:10" ht="28.9" customHeight="1" thickTop="1" thickBot="1" x14ac:dyDescent="0.65">
      <c r="A2635" s="3">
        <v>2633</v>
      </c>
      <c r="B2635" s="44" t="str">
        <f>HYPERLINK("https://search.naver.com/search.naver?query=조조 래빗 영화", "조조 래빗")</f>
        <v>조조 래빗</v>
      </c>
      <c r="C2635" s="45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97" t="s">
        <v>3444</v>
      </c>
    </row>
    <row r="2636" spans="1:10" ht="28.9" customHeight="1" thickTop="1" thickBot="1" x14ac:dyDescent="0.65">
      <c r="A2636" s="5">
        <v>2634</v>
      </c>
      <c r="B2636" s="46" t="str">
        <f>HYPERLINK("https://search.naver.com/search.naver?query=조지타운 영화", "조지타운")</f>
        <v>조지타운</v>
      </c>
      <c r="C2636" s="47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98" t="s">
        <v>3444</v>
      </c>
    </row>
    <row r="2637" spans="1:10" ht="28.9" customHeight="1" thickTop="1" thickBot="1" x14ac:dyDescent="0.65">
      <c r="A2637" s="3">
        <v>2635</v>
      </c>
      <c r="B2637" s="44" t="str">
        <f>HYPERLINK("https://search.naver.com/search.naver?query=조커 영화", "조커")</f>
        <v>조커</v>
      </c>
      <c r="C2637" s="45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97" t="s">
        <v>3444</v>
      </c>
    </row>
    <row r="2638" spans="1:10" ht="28.9" customHeight="1" thickTop="1" thickBot="1" x14ac:dyDescent="0.65">
      <c r="A2638" s="5">
        <v>2636</v>
      </c>
      <c r="B2638" s="46" t="str">
        <f>HYPERLINK("https://search.naver.com/search.naver?query=존 라베 난징 대학살 영화", "존 라베 - 난징 대학살")</f>
        <v>존 라베 - 난징 대학살</v>
      </c>
      <c r="C2638" s="47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98" t="s">
        <v>3453</v>
      </c>
    </row>
    <row r="2639" spans="1:10" ht="28.9" customHeight="1" thickTop="1" thickBot="1" x14ac:dyDescent="0.65">
      <c r="A2639" s="3">
        <v>2637</v>
      </c>
      <c r="B2639" s="44" t="str">
        <f>HYPERLINK("https://search.naver.com/search.naver?query=존 오브 인터레스트 영화", "존 오브 인터레스트")</f>
        <v>존 오브 인터레스트</v>
      </c>
      <c r="C2639" s="45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97" t="s">
        <v>3446</v>
      </c>
    </row>
    <row r="2640" spans="1:10" ht="28.9" customHeight="1" thickTop="1" thickBot="1" x14ac:dyDescent="0.65">
      <c r="A2640" s="5">
        <v>2638</v>
      </c>
      <c r="B2640" s="46" t="str">
        <f>HYPERLINK("https://search.naver.com/search.naver?query=존 윅 영화", "존 윅")</f>
        <v>존 윅</v>
      </c>
      <c r="C2640" s="47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98" t="s">
        <v>3437</v>
      </c>
    </row>
    <row r="2641" spans="1:10" ht="28.9" customHeight="1" thickTop="1" thickBot="1" x14ac:dyDescent="0.65">
      <c r="A2641" s="3">
        <v>2639</v>
      </c>
      <c r="B2641" s="44" t="str">
        <f>HYPERLINK("https://search.naver.com/search.naver?query=존시스 영화", "존시스")</f>
        <v>존시스</v>
      </c>
      <c r="C2641" s="45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97" t="s">
        <v>3453</v>
      </c>
    </row>
    <row r="2642" spans="1:10" ht="28.9" customHeight="1" thickTop="1" thickBot="1" x14ac:dyDescent="0.65">
      <c r="A2642" s="5">
        <v>2640</v>
      </c>
      <c r="B2642" s="46" t="str">
        <f>HYPERLINK("https://search.naver.com/search.naver?query=종의 신탁 영화", "종의 신탁")</f>
        <v>종의 신탁</v>
      </c>
      <c r="C2642" s="47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98" t="s">
        <v>3439</v>
      </c>
    </row>
    <row r="2643" spans="1:10" ht="28.9" customHeight="1" thickTop="1" thickBot="1" x14ac:dyDescent="0.65">
      <c r="A2643" s="3">
        <v>2641</v>
      </c>
      <c r="B2643" s="44" t="str">
        <f>HYPERLINK("https://search.naver.com/search.naver?query=종이 달 영화", "종이 달")</f>
        <v>종이 달</v>
      </c>
      <c r="C2643" s="45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97" t="s">
        <v>3437</v>
      </c>
    </row>
    <row r="2644" spans="1:10" ht="28.9" customHeight="1" thickTop="1" thickBot="1" x14ac:dyDescent="0.65">
      <c r="A2644" s="5">
        <v>2642</v>
      </c>
      <c r="B2644" s="46" t="str">
        <f>HYPERLINK("https://search.naver.com/search.naver?query=종이꽃 영화", "종이꽃")</f>
        <v>종이꽃</v>
      </c>
      <c r="C2644" s="47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98" t="s">
        <v>3444</v>
      </c>
    </row>
    <row r="2645" spans="1:10" ht="28.9" customHeight="1" thickTop="1" thickBot="1" x14ac:dyDescent="0.65">
      <c r="A2645" s="7">
        <v>2643</v>
      </c>
      <c r="B2645" s="48" t="str">
        <f>HYPERLINK("https://search.naver.com/search.naver?query=종이의 집 시즌1", "종이의 집 시즌1")</f>
        <v>종이의 집 시즌1</v>
      </c>
      <c r="C2645" s="49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99" t="s">
        <v>3443</v>
      </c>
    </row>
    <row r="2646" spans="1:10" ht="28.9" customHeight="1" thickTop="1" thickBot="1" x14ac:dyDescent="0.65">
      <c r="A2646" s="7">
        <v>2644</v>
      </c>
      <c r="B2646" s="48" t="str">
        <f>HYPERLINK("https://search.naver.com/search.naver?query=종이의 집 시즌2", "종이의 집 시즌2")</f>
        <v>종이의 집 시즌2</v>
      </c>
      <c r="C2646" s="49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99" t="s">
        <v>3443</v>
      </c>
    </row>
    <row r="2647" spans="1:10" ht="28.9" customHeight="1" thickTop="1" thickBot="1" x14ac:dyDescent="0.65">
      <c r="A2647" s="7">
        <v>2645</v>
      </c>
      <c r="B2647" s="48" t="str">
        <f>HYPERLINK("https://search.naver.com/search.naver?query=종이의 집 시즌3", "종이의 집 시즌3")</f>
        <v>종이의 집 시즌3</v>
      </c>
      <c r="C2647" s="49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99" t="s">
        <v>3444</v>
      </c>
    </row>
    <row r="2648" spans="1:10" ht="28.9" customHeight="1" thickTop="1" thickBot="1" x14ac:dyDescent="0.65">
      <c r="A2648" s="7">
        <v>2646</v>
      </c>
      <c r="B2648" s="48" t="str">
        <f>HYPERLINK("https://search.naver.com/search.naver?query=종이의 집 시즌4", "종이의 집 시즌4")</f>
        <v>종이의 집 시즌4</v>
      </c>
      <c r="C2648" s="49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99" t="s">
        <v>3436</v>
      </c>
    </row>
    <row r="2649" spans="1:10" ht="28.9" customHeight="1" thickTop="1" thickBot="1" x14ac:dyDescent="0.65">
      <c r="A2649" s="7">
        <v>2647</v>
      </c>
      <c r="B2649" s="48" t="str">
        <f>HYPERLINK("https://search.naver.com/search.naver?query=종이의 집 시즌5", "종이의 집 시즌5")</f>
        <v>종이의 집 시즌5</v>
      </c>
      <c r="C2649" s="49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99" t="s">
        <v>3438</v>
      </c>
    </row>
    <row r="2650" spans="1:10" ht="28.9" customHeight="1" thickTop="1" thickBot="1" x14ac:dyDescent="0.65">
      <c r="A2650" s="5">
        <v>2648</v>
      </c>
      <c r="B2650" s="46" t="str">
        <f>HYPERLINK("https://search.naver.com/search.naver?query=좋은 날 영화", "좋은 날")</f>
        <v>좋은 날</v>
      </c>
      <c r="C2650" s="47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98" t="s">
        <v>3437</v>
      </c>
    </row>
    <row r="2651" spans="1:10" ht="28.9" customHeight="1" thickTop="1" thickBot="1" x14ac:dyDescent="0.65">
      <c r="A2651" s="3">
        <v>2649</v>
      </c>
      <c r="B2651" s="44" t="str">
        <f>HYPERLINK("https://search.naver.com/search.naver?query=좋은 놈, 나쁜 놈, 이상한 놈 영화", "좋은 놈, 나쁜 놈, 이상한 놈")</f>
        <v>좋은 놈, 나쁜 놈, 이상한 놈</v>
      </c>
      <c r="C2651" s="45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97" t="s">
        <v>3450</v>
      </c>
    </row>
    <row r="2652" spans="1:10" ht="28.9" customHeight="1" thickTop="1" thickBot="1" x14ac:dyDescent="0.65">
      <c r="A2652" s="5">
        <v>2650</v>
      </c>
      <c r="B2652" s="46" t="str">
        <f>HYPERLINK("https://search.naver.com/search.naver?query=주디 영화", "주디")</f>
        <v>주디</v>
      </c>
      <c r="C2652" s="47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98" t="s">
        <v>3444</v>
      </c>
    </row>
    <row r="2653" spans="1:10" ht="28.9" customHeight="1" thickTop="1" thickBot="1" x14ac:dyDescent="0.65">
      <c r="A2653" s="7">
        <v>2651</v>
      </c>
      <c r="B2653" s="48" t="str">
        <f>HYPERLINK("https://search.naver.com/search.naver?query=주재원 시즌1", "주재원")</f>
        <v>주재원</v>
      </c>
      <c r="C2653" s="49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99" t="s">
        <v>3448</v>
      </c>
    </row>
    <row r="2654" spans="1:10" ht="28.9" customHeight="1" thickTop="1" thickBot="1" x14ac:dyDescent="0.65">
      <c r="A2654" s="5">
        <v>2652</v>
      </c>
      <c r="B2654" s="46" t="str">
        <f>HYPERLINK("https://search.naver.com/search.naver?query=주키퍼스 와이프 영화", "주키퍼스 와이프")</f>
        <v>주키퍼스 와이프</v>
      </c>
      <c r="C2654" s="47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98" t="s">
        <v>3443</v>
      </c>
    </row>
    <row r="2655" spans="1:10" ht="28.9" customHeight="1" thickTop="1" thickBot="1" x14ac:dyDescent="0.65">
      <c r="A2655" s="3">
        <v>2653</v>
      </c>
      <c r="B2655" s="44" t="str">
        <f>HYPERLINK("https://search.naver.com/search.naver?query=죽은 시인의 사회 영화", "죽은 시인의 사회")</f>
        <v>죽은 시인의 사회</v>
      </c>
      <c r="C2655" s="45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97" t="s">
        <v>3477</v>
      </c>
    </row>
    <row r="2656" spans="1:10" ht="28.9" customHeight="1" thickTop="1" thickBot="1" x14ac:dyDescent="0.65">
      <c r="A2656" s="5">
        <v>2654</v>
      </c>
      <c r="B2656" s="46" t="str">
        <f>HYPERLINK("https://search.naver.com/search.naver?query=죽을 때까지 영화", "죽을 때까지")</f>
        <v>죽을 때까지</v>
      </c>
      <c r="C2656" s="47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98" t="s">
        <v>3438</v>
      </c>
    </row>
    <row r="2657" spans="1:10" ht="28.9" customHeight="1" thickTop="1" thickBot="1" x14ac:dyDescent="0.65">
      <c r="A2657" s="3">
        <v>2655</v>
      </c>
      <c r="B2657" s="44" t="str">
        <f>HYPERLINK("https://search.naver.com/search.naver?query=줄다리기2012 일본영화", "줄다리기")</f>
        <v>줄다리기</v>
      </c>
      <c r="C2657" s="45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97" t="s">
        <v>3439</v>
      </c>
    </row>
    <row r="2658" spans="1:10" ht="28.9" customHeight="1" thickTop="1" thickBot="1" x14ac:dyDescent="0.65">
      <c r="A2658" s="5">
        <v>2656</v>
      </c>
      <c r="B2658" s="46" t="str">
        <f>HYPERLINK("https://search.naver.com/search.naver?query=줄리&amp; 줄리아 영화", "줄리 &amp; 줄리아")</f>
        <v>줄리 &amp; 줄리아</v>
      </c>
      <c r="C2658" s="47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98" t="s">
        <v>3453</v>
      </c>
    </row>
    <row r="2659" spans="1:10" ht="28.9" customHeight="1" thickTop="1" thickBot="1" x14ac:dyDescent="0.65">
      <c r="A2659" s="3">
        <v>2657</v>
      </c>
      <c r="B2659" s="44" t="str">
        <f>HYPERLINK("https://search.naver.com/search.naver?query=줄리아의 눈 영화", "줄리아의 눈")</f>
        <v>줄리아의 눈</v>
      </c>
      <c r="C2659" s="45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97" t="s">
        <v>3455</v>
      </c>
    </row>
    <row r="2660" spans="1:10" ht="28.9" customHeight="1" thickTop="1" thickBot="1" x14ac:dyDescent="0.65">
      <c r="A2660" s="5">
        <v>2658</v>
      </c>
      <c r="B2660" s="46" t="str">
        <f>HYPERLINK("https://search.naver.com/search.naver?query=줄무늬 파자마를 입은 소년 영화", "줄무늬 파자마를 입은 소년")</f>
        <v>줄무늬 파자마를 입은 소년</v>
      </c>
      <c r="C2660" s="47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98" t="s">
        <v>3450</v>
      </c>
    </row>
    <row r="2661" spans="1:10" ht="28.9" customHeight="1" thickTop="1" thickBot="1" x14ac:dyDescent="0.65">
      <c r="A2661" s="7">
        <v>2659</v>
      </c>
      <c r="B2661" s="48" t="str">
        <f>HYPERLINK("https://search.naver.com/search.naver?query=중증외상센터 드라마", "중증외상센터")</f>
        <v>중증외상센터</v>
      </c>
      <c r="C2661" s="49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99" t="s">
        <v>3459</v>
      </c>
    </row>
    <row r="2662" spans="1:10" ht="28.9" customHeight="1" thickTop="1" thickBot="1" x14ac:dyDescent="0.65">
      <c r="A2662" s="5">
        <v>2660</v>
      </c>
      <c r="B2662" s="46" t="str">
        <f>HYPERLINK("https://search.naver.com/search.naver?query=쥬라기 월드 영화", "쥬라기 월드")</f>
        <v>쥬라기 월드</v>
      </c>
      <c r="C2662" s="47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98" t="s">
        <v>3440</v>
      </c>
    </row>
    <row r="2663" spans="1:10" ht="28.9" customHeight="1" thickTop="1" thickBot="1" x14ac:dyDescent="0.65">
      <c r="A2663" s="3">
        <v>2661</v>
      </c>
      <c r="B2663" s="44" t="str">
        <f>HYPERLINK("https://search.naver.com/search.naver?query=쥬라기 월드 도미니언 영화", "쥬라기 월드-도미니언")</f>
        <v>쥬라기 월드-도미니언</v>
      </c>
      <c r="C2663" s="45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97" t="s">
        <v>3445</v>
      </c>
    </row>
    <row r="2664" spans="1:10" ht="28.9" customHeight="1" thickTop="1" thickBot="1" x14ac:dyDescent="0.65">
      <c r="A2664" s="5">
        <v>2662</v>
      </c>
      <c r="B2664" s="46" t="str">
        <f>HYPERLINK("https://search.naver.com/search.naver?query=쥬라기 월드 새로운 시작 영화", "쥬라기 월드-새로운 시작")</f>
        <v>쥬라기 월드-새로운 시작</v>
      </c>
      <c r="C2664" s="47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98" t="s">
        <v>3459</v>
      </c>
    </row>
    <row r="2665" spans="1:10" ht="28.9" customHeight="1" thickTop="1" thickBot="1" x14ac:dyDescent="0.65">
      <c r="A2665" s="3">
        <v>2663</v>
      </c>
      <c r="B2665" s="44" t="str">
        <f>HYPERLINK("https://search.naver.com/search.naver?query=쥬라기 월드 폴른 킹덤 영화", "쥬라기 월드-폴른 킹덤")</f>
        <v>쥬라기 월드-폴른 킹덤</v>
      </c>
      <c r="C2665" s="45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97" t="s">
        <v>3442</v>
      </c>
    </row>
    <row r="2666" spans="1:10" ht="28.9" customHeight="1" thickTop="1" thickBot="1" x14ac:dyDescent="0.65">
      <c r="A2666" s="5">
        <v>2664</v>
      </c>
      <c r="B2666" s="46" t="str">
        <f>HYPERLINK("https://search.naver.com/search.naver?query=쥬만지 넥스트 레벨 영화", "쥬만지-넥스트 레벨")</f>
        <v>쥬만지-넥스트 레벨</v>
      </c>
      <c r="C2666" s="47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98" t="s">
        <v>3444</v>
      </c>
    </row>
    <row r="2667" spans="1:10" ht="28.9" customHeight="1" thickTop="1" thickBot="1" x14ac:dyDescent="0.65">
      <c r="A2667" s="3">
        <v>2665</v>
      </c>
      <c r="B2667" s="44" t="str">
        <f>HYPERLINK("https://search.naver.com/search.naver?query=쥬만지 새로운 세계 영화", "쥬만지-새로운 세계")</f>
        <v>쥬만지-새로운 세계</v>
      </c>
      <c r="C2667" s="45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97" t="s">
        <v>3443</v>
      </c>
    </row>
    <row r="2668" spans="1:10" ht="28.9" customHeight="1" thickTop="1" thickBot="1" x14ac:dyDescent="0.65">
      <c r="A2668" s="5">
        <v>2666</v>
      </c>
      <c r="B2668" s="46" t="str">
        <f>HYPERLINK("https://search.naver.com/search.naver?query=증인 영화", "증인")</f>
        <v>증인</v>
      </c>
      <c r="C2668" s="47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98" t="s">
        <v>3442</v>
      </c>
    </row>
    <row r="2669" spans="1:10" ht="28.9" customHeight="1" thickTop="1" thickBot="1" x14ac:dyDescent="0.65">
      <c r="A2669" s="3">
        <v>2667</v>
      </c>
      <c r="B2669" s="44" t="str">
        <f>HYPERLINK("https://search.naver.com/search.naver?query=지골로 인 뉴욕 영화", "지골로 인 뉴욕")</f>
        <v>지골로 인 뉴욕</v>
      </c>
      <c r="C2669" s="45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97" t="s">
        <v>3451</v>
      </c>
    </row>
    <row r="2670" spans="1:10" ht="28.9" customHeight="1" thickTop="1" thickBot="1" x14ac:dyDescent="0.65">
      <c r="A2670" s="5">
        <v>2668</v>
      </c>
      <c r="B2670" s="46" t="str">
        <f>HYPERLINK("https://search.naver.com/search.naver?query=지구 최후의 밤 영화", "지구 최후의 밤")</f>
        <v>지구 최후의 밤</v>
      </c>
      <c r="C2670" s="47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98" t="s">
        <v>3442</v>
      </c>
    </row>
    <row r="2671" spans="1:10" ht="28.9" customHeight="1" thickTop="1" thickBot="1" x14ac:dyDescent="0.65">
      <c r="A2671" s="3">
        <v>2669</v>
      </c>
      <c r="B2671" s="44" t="str">
        <f>HYPERLINK("https://search.naver.com/search.naver?query=영화 지금 만나러 갑니다2018", "지금 만나러 갑니다")</f>
        <v>지금 만나러 갑니다</v>
      </c>
      <c r="C2671" s="45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97" t="s">
        <v>3442</v>
      </c>
    </row>
    <row r="2672" spans="1:10" ht="28.9" customHeight="1" thickTop="1" thickBot="1" x14ac:dyDescent="0.65">
      <c r="A2672" s="5">
        <v>2670</v>
      </c>
      <c r="B2672" s="46" t="str">
        <f>HYPERLINK("https://search.naver.com/search.naver?query=지금, 만나러 갑니다 영화", "지금, 만나러 갑니다")</f>
        <v>지금, 만나러 갑니다</v>
      </c>
      <c r="C2672" s="47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98" t="s">
        <v>3462</v>
      </c>
    </row>
    <row r="2673" spans="1:10" ht="28.9" customHeight="1" thickTop="1" thickBot="1" x14ac:dyDescent="0.65">
      <c r="A2673" s="3">
        <v>2671</v>
      </c>
      <c r="B2673" s="44" t="str">
        <f>HYPERLINK("https://search.naver.com/search.naver?query=지금, 이대로가 좋아요", "지금, 이대로가 좋아요")</f>
        <v>지금, 이대로가 좋아요</v>
      </c>
      <c r="C2673" s="45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97" t="s">
        <v>3450</v>
      </c>
    </row>
    <row r="2674" spans="1:10" ht="28.9" customHeight="1" thickTop="1" thickBot="1" x14ac:dyDescent="0.65">
      <c r="A2674" s="5">
        <v>2672</v>
      </c>
      <c r="B2674" s="46" t="str">
        <f>HYPERLINK("https://search.naver.com/search.naver?query=지니어스 영화", "지니어스")</f>
        <v>지니어스</v>
      </c>
      <c r="C2674" s="47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98" t="s">
        <v>3441</v>
      </c>
    </row>
    <row r="2675" spans="1:10" ht="28.9" customHeight="1" thickTop="1" thickBot="1" x14ac:dyDescent="0.65">
      <c r="A2675" s="3">
        <v>2673</v>
      </c>
      <c r="B2675" s="44" t="str">
        <f>HYPERLINK("https://search.naver.com/search.naver?query=지미스 홀 영화", "지미스 홀")</f>
        <v>지미스 홀</v>
      </c>
      <c r="C2675" s="45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97" t="s">
        <v>3437</v>
      </c>
    </row>
    <row r="2676" spans="1:10" ht="28.9" customHeight="1" thickTop="1" thickBot="1" x14ac:dyDescent="0.65">
      <c r="A2676" s="7">
        <v>2674</v>
      </c>
      <c r="B2676" s="48" t="str">
        <f>HYPERLINK("https://search.naver.com/search.naver?query=지배종 드라마", "지배종")</f>
        <v>지배종</v>
      </c>
      <c r="C2676" s="49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99" t="s">
        <v>3448</v>
      </c>
    </row>
    <row r="2677" spans="1:10" ht="28.9" customHeight="1" thickTop="1" thickBot="1" x14ac:dyDescent="0.65">
      <c r="A2677" s="3">
        <v>2675</v>
      </c>
      <c r="B2677" s="44" t="str">
        <f>HYPERLINK("https://search.naver.com/search.naver?query=지상 최대 맥주배달 작전 영화", "지상 최대 맥주배달 작전")</f>
        <v>지상 최대 맥주배달 작전</v>
      </c>
      <c r="C2677" s="45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97" t="s">
        <v>3445</v>
      </c>
    </row>
    <row r="2678" spans="1:10" ht="28.9" customHeight="1" thickTop="1" thickBot="1" x14ac:dyDescent="0.65">
      <c r="A2678" s="5">
        <v>2676</v>
      </c>
      <c r="B2678" s="46" t="str">
        <f>HYPERLINK("https://search.naver.com/search.naver?query=지상의 별처럼 영화", "지상의 별처럼")</f>
        <v>지상의 별처럼</v>
      </c>
      <c r="C2678" s="47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98" t="s">
        <v>3447</v>
      </c>
    </row>
    <row r="2679" spans="1:10" ht="28.9" customHeight="1" thickTop="1" thickBot="1" x14ac:dyDescent="0.65">
      <c r="A2679" s="3">
        <v>2677</v>
      </c>
      <c r="B2679" s="44" t="str">
        <f>HYPERLINK("https://search.naver.com/search.naver?query=지오스톰 영화", "지오스톰")</f>
        <v>지오스톰</v>
      </c>
      <c r="C2679" s="45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97" t="s">
        <v>3443</v>
      </c>
    </row>
    <row r="2680" spans="1:10" ht="28.9" customHeight="1" thickTop="1" thickBot="1" x14ac:dyDescent="0.65">
      <c r="A2680" s="7">
        <v>2678</v>
      </c>
      <c r="B2680" s="48" t="str">
        <f>HYPERLINK("https://search.naver.com/search.naver?query=지옥 시즌1", "지옥 시즌1")</f>
        <v>지옥 시즌1</v>
      </c>
      <c r="C2680" s="49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99" t="s">
        <v>3438</v>
      </c>
    </row>
    <row r="2681" spans="1:10" ht="28.9" customHeight="1" thickTop="1" thickBot="1" x14ac:dyDescent="0.65">
      <c r="A2681" s="7">
        <v>2679</v>
      </c>
      <c r="B2681" s="48" t="str">
        <f>HYPERLINK("https://search.naver.com/search.naver?query=지옥 시즌2", "지옥 시즌2")</f>
        <v>지옥 시즌2</v>
      </c>
      <c r="C2681" s="49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99" t="s">
        <v>3448</v>
      </c>
    </row>
    <row r="2682" spans="1:10" ht="28.9" customHeight="1" thickTop="1" thickBot="1" x14ac:dyDescent="0.65">
      <c r="A2682" s="5">
        <v>2680</v>
      </c>
      <c r="B2682" s="46" t="str">
        <f>HYPERLINK("https://search.naver.com/search.naver?query=지옥의 묵시록 영화", "지옥의 묵시록")</f>
        <v>지옥의 묵시록</v>
      </c>
      <c r="C2682" s="47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98" t="s">
        <v>3480</v>
      </c>
    </row>
    <row r="2683" spans="1:10" ht="28.9" customHeight="1" thickTop="1" thickBot="1" x14ac:dyDescent="0.65">
      <c r="A2683" s="7">
        <v>2681</v>
      </c>
      <c r="B2683" s="48" t="str">
        <f>HYPERLINK("https://search.naver.com/search.naver?query=지정생존자 시즌1", "지정생존자 시즌1")</f>
        <v>지정생존자 시즌1</v>
      </c>
      <c r="C2683" s="49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99" t="s">
        <v>3441</v>
      </c>
    </row>
    <row r="2684" spans="1:10" ht="28.9" customHeight="1" thickTop="1" thickBot="1" x14ac:dyDescent="0.65">
      <c r="A2684" s="7">
        <v>2682</v>
      </c>
      <c r="B2684" s="48" t="str">
        <f>HYPERLINK("https://search.naver.com/search.naver?query=지정생존자 시즌2", "지정생존자 시즌2")</f>
        <v>지정생존자 시즌2</v>
      </c>
      <c r="C2684" s="49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99" t="s">
        <v>3443</v>
      </c>
    </row>
    <row r="2685" spans="1:10" ht="28.9" customHeight="1" thickTop="1" thickBot="1" x14ac:dyDescent="0.65">
      <c r="A2685" s="7">
        <v>2683</v>
      </c>
      <c r="B2685" s="48" t="str">
        <f>HYPERLINK("https://search.naver.com/search.naver?query=지정생존자 시즌3", "지정생존자 시즌3")</f>
        <v>지정생존자 시즌3</v>
      </c>
      <c r="C2685" s="49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99" t="s">
        <v>3444</v>
      </c>
    </row>
    <row r="2686" spans="1:10" ht="28.9" customHeight="1" thickTop="1" thickBot="1" x14ac:dyDescent="0.65">
      <c r="A2686" s="5">
        <v>2684</v>
      </c>
      <c r="B2686" s="46" t="str">
        <f>HYPERLINK("https://search.naver.com/search.naver?query=지지않는 태양 영화", "지지않는 태양")</f>
        <v>지지않는 태양</v>
      </c>
      <c r="C2686" s="47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98" t="s">
        <v>3453</v>
      </c>
    </row>
    <row r="2687" spans="1:10" ht="28.9" customHeight="1" thickTop="1" thickBot="1" x14ac:dyDescent="0.65">
      <c r="A2687" s="3">
        <v>2685</v>
      </c>
      <c r="B2687" s="44" t="str">
        <f>HYPERLINK("https://search.naver.com/search.naver?query=지푸라기라도 잡고 싶은 짐승들 영화", "지푸라기라도 잡고 싶은 짐승들")</f>
        <v>지푸라기라도 잡고 싶은 짐승들</v>
      </c>
      <c r="C2687" s="45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97" t="s">
        <v>3436</v>
      </c>
    </row>
    <row r="2688" spans="1:10" ht="28.9" customHeight="1" thickTop="1" thickBot="1" x14ac:dyDescent="0.65">
      <c r="A2688" s="5">
        <v>2686</v>
      </c>
      <c r="B2688" s="46" t="str">
        <f>HYPERLINK("https://search.naver.com/search.naver?query=지하철을 타고 영화", "지하철을 타고")</f>
        <v>지하철을 타고</v>
      </c>
      <c r="C2688" s="47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98" t="s">
        <v>3460</v>
      </c>
    </row>
    <row r="2689" spans="1:10" ht="28.9" customHeight="1" thickTop="1" thickBot="1" x14ac:dyDescent="0.65">
      <c r="A2689" s="3">
        <v>2687</v>
      </c>
      <c r="B2689" s="44" t="str">
        <f>HYPERLINK("https://search.naver.com/search.naver?query=진링의 13소녀 영화", "진링의 13소녀")</f>
        <v>진링의 13소녀</v>
      </c>
      <c r="C2689" s="45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97" t="s">
        <v>3454</v>
      </c>
    </row>
    <row r="2690" spans="1:10" ht="28.9" customHeight="1" thickTop="1" thickBot="1" x14ac:dyDescent="0.65">
      <c r="A2690" s="5">
        <v>2688</v>
      </c>
      <c r="B2690" s="46" t="str">
        <f>HYPERLINK("https://search.naver.com/search.naver?query=진저 앤 로사 영화", "진저 앤 로사")</f>
        <v>진저 앤 로사</v>
      </c>
      <c r="C2690" s="47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98" t="s">
        <v>3439</v>
      </c>
    </row>
    <row r="2691" spans="1:10" ht="28.9" customHeight="1" thickTop="1" thickBot="1" x14ac:dyDescent="0.65">
      <c r="A2691" s="3">
        <v>2689</v>
      </c>
      <c r="B2691" s="44" t="str">
        <f>HYPERLINK("https://search.naver.com/search.naver?query=진주만 영화", "진주만")</f>
        <v>진주만</v>
      </c>
      <c r="C2691" s="45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97" t="s">
        <v>3457</v>
      </c>
    </row>
    <row r="2692" spans="1:10" ht="28.9" customHeight="1" thickTop="1" thickBot="1" x14ac:dyDescent="0.65">
      <c r="A2692" s="5">
        <v>2690</v>
      </c>
      <c r="B2692" s="46" t="str">
        <f>HYPERLINK("https://search.naver.com/search.naver?query=진짜로 일어날지도 몰라 기적 영화", "진짜로 일어날지도 몰라 기적")</f>
        <v>진짜로 일어날지도 몰라 기적</v>
      </c>
      <c r="C2692" s="47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98" t="s">
        <v>3454</v>
      </c>
    </row>
    <row r="2693" spans="1:10" ht="28.9" customHeight="1" thickTop="1" thickBot="1" x14ac:dyDescent="0.65">
      <c r="A2693" s="3">
        <v>2691</v>
      </c>
      <c r="B2693" s="44" t="str">
        <f>HYPERLINK("https://search.naver.com/search.naver?query=짐작보다 따뜻하게 영화", "짐작보다 따뜻하게")</f>
        <v>짐작보다 따뜻하게</v>
      </c>
      <c r="C2693" s="45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97" t="s">
        <v>3441</v>
      </c>
    </row>
    <row r="2694" spans="1:10" ht="28.9" customHeight="1" thickTop="1" thickBot="1" x14ac:dyDescent="0.65">
      <c r="A2694" s="5">
        <v>2692</v>
      </c>
      <c r="B2694" s="46" t="str">
        <f>HYPERLINK("https://search.naver.com/search.naver?query=집 이야기 영화", "집 이야기")</f>
        <v>집 이야기</v>
      </c>
      <c r="C2694" s="47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98" t="s">
        <v>3444</v>
      </c>
    </row>
    <row r="2695" spans="1:10" ht="28.9" customHeight="1" thickTop="1" thickBot="1" x14ac:dyDescent="0.65">
      <c r="A2695" s="3">
        <v>2693</v>
      </c>
      <c r="B2695" s="44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45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97" t="s">
        <v>3442</v>
      </c>
    </row>
    <row r="2696" spans="1:10" ht="28.9" customHeight="1" thickTop="1" thickBot="1" x14ac:dyDescent="0.65">
      <c r="A2696" s="5">
        <v>2694</v>
      </c>
      <c r="B2696" s="46" t="str">
        <f>HYPERLINK("https://search.naver.com/search.naver?query=집으로 가는 길 영화", "집으로 가는 길")</f>
        <v>집으로 가는 길</v>
      </c>
      <c r="C2696" s="47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98" t="s">
        <v>3451</v>
      </c>
    </row>
    <row r="2697" spans="1:10" ht="28.9" customHeight="1" thickTop="1" thickBot="1" x14ac:dyDescent="0.65">
      <c r="A2697" s="3">
        <v>2695</v>
      </c>
      <c r="B2697" s="44" t="str">
        <f>HYPERLINK("https://namu.wiki/w/%EC%A7%91%EC%9C%BC%EB%A1%9C%20%EA%B0%80%EB%8A%94%20%EA%B8%B8(%EC%A4%91%EA%B5%AD%20%EC%98%81%ED%99%94)", "집으로 가는 길")</f>
        <v>집으로 가는 길</v>
      </c>
      <c r="C2697" s="45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97" t="s">
        <v>3458</v>
      </c>
    </row>
    <row r="2698" spans="1:10" ht="28.9" customHeight="1" thickTop="1" thickBot="1" x14ac:dyDescent="0.65">
      <c r="A2698" s="5">
        <v>2696</v>
      </c>
      <c r="B2698" s="46" t="str">
        <f>HYPERLINK("https://search.naver.com/search.naver?query=집행자 영화", "집행자")</f>
        <v>집행자</v>
      </c>
      <c r="C2698" s="47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98" t="s">
        <v>3453</v>
      </c>
    </row>
    <row r="2699" spans="1:10" ht="28.9" customHeight="1" thickTop="1" thickBot="1" x14ac:dyDescent="0.65">
      <c r="A2699" s="3">
        <v>2697</v>
      </c>
      <c r="B2699" s="44" t="str">
        <f>HYPERLINK("https://search.naver.com/search.naver?query=짓 영화", "짓")</f>
        <v>짓</v>
      </c>
      <c r="C2699" s="45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97" t="s">
        <v>3451</v>
      </c>
    </row>
    <row r="2700" spans="1:10" ht="28.9" customHeight="1" thickTop="1" thickBot="1" x14ac:dyDescent="0.65">
      <c r="A2700" s="5">
        <v>2698</v>
      </c>
      <c r="B2700" s="46" t="str">
        <f>HYPERLINK("https://search.naver.com/search.naver?query=짚의 방패 영화", "짚의 방패")</f>
        <v>짚의 방패</v>
      </c>
      <c r="C2700" s="47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98" t="s">
        <v>3451</v>
      </c>
    </row>
    <row r="2701" spans="1:10" ht="28.9" customHeight="1" thickTop="1" thickBot="1" x14ac:dyDescent="0.65">
      <c r="A2701" s="3">
        <v>2699</v>
      </c>
      <c r="B2701" s="44" t="str">
        <f>HYPERLINK("https://search.naver.com/search.naver?query=쩨쩨한 로맨스 영화", "쩨쩨한 로맨스")</f>
        <v>쩨쩨한 로맨스</v>
      </c>
      <c r="C2701" s="45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97" t="s">
        <v>3455</v>
      </c>
    </row>
    <row r="2702" spans="1:10" ht="28.9" customHeight="1" thickTop="1" thickBot="1" x14ac:dyDescent="0.65">
      <c r="A2702" s="5">
        <v>2700</v>
      </c>
      <c r="B2702" s="46" t="str">
        <f>HYPERLINK("https://search.naver.com/search.naver?query=찌라시 위험한 소문 영화", "찌라시-위험한 소문")</f>
        <v>찌라시-위험한 소문</v>
      </c>
      <c r="C2702" s="47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98" t="s">
        <v>3451</v>
      </c>
    </row>
    <row r="2703" spans="1:10" ht="28.9" customHeight="1" thickTop="1" thickBot="1" x14ac:dyDescent="0.65">
      <c r="A2703" s="3">
        <v>2701</v>
      </c>
      <c r="B2703" s="44" t="str">
        <f>HYPERLINK("https://search.naver.com/search.naver?query=차이나타운 영화", "차이나타운")</f>
        <v>차이나타운</v>
      </c>
      <c r="C2703" s="45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97" t="s">
        <v>3437</v>
      </c>
    </row>
    <row r="2704" spans="1:10" ht="28.9" customHeight="1" thickTop="1" thickBot="1" x14ac:dyDescent="0.65">
      <c r="A2704" s="5">
        <v>2702</v>
      </c>
      <c r="B2704" s="46" t="str">
        <f>HYPERLINK("https://search.naver.com/search.naver?query=차이니즈 조디악 영화", "차이니즈 조디악")</f>
        <v>차이니즈 조디악</v>
      </c>
      <c r="C2704" s="47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98" t="s">
        <v>3439</v>
      </c>
    </row>
    <row r="2705" spans="1:10" ht="28.9" customHeight="1" thickTop="1" thickBot="1" x14ac:dyDescent="0.65">
      <c r="A2705" s="3">
        <v>2703</v>
      </c>
      <c r="B2705" s="44" t="str">
        <f>HYPERLINK("https://search.naver.com/search.naver?query=차일드 인 타임 영화", "차일드 인 타임")</f>
        <v>차일드 인 타임</v>
      </c>
      <c r="C2705" s="45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97" t="s">
        <v>3443</v>
      </c>
    </row>
    <row r="2706" spans="1:10" ht="28.9" customHeight="1" thickTop="1" thickBot="1" x14ac:dyDescent="0.65">
      <c r="A2706" s="5">
        <v>2704</v>
      </c>
      <c r="B2706" s="46" t="str">
        <f>HYPERLINK("https://search.naver.com/search.naver?query=차일드44 영화", "차일드44")</f>
        <v>차일드44</v>
      </c>
      <c r="C2706" s="47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98" t="s">
        <v>3440</v>
      </c>
    </row>
    <row r="2707" spans="1:10" ht="28.9" customHeight="1" thickTop="1" thickBot="1" x14ac:dyDescent="0.65">
      <c r="A2707" s="3">
        <v>2705</v>
      </c>
      <c r="B2707" s="44" t="str">
        <f>HYPERLINK("https://search.naver.com/search.naver?query=찬실이는 복도 많지 영화", "찬실이는 복도 많지")</f>
        <v>찬실이는 복도 많지</v>
      </c>
      <c r="C2707" s="45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97" t="s">
        <v>3444</v>
      </c>
    </row>
    <row r="2708" spans="1:10" ht="28.9" customHeight="1" thickTop="1" thickBot="1" x14ac:dyDescent="0.65">
      <c r="A2708" s="5">
        <v>2706</v>
      </c>
      <c r="B2708" s="46" t="str">
        <f>HYPERLINK("https://search.naver.com/search.naver?query=찰리 윌슨의 전쟁 영화", "찰리 윌슨의 전쟁")</f>
        <v>찰리 윌슨의 전쟁</v>
      </c>
      <c r="C2708" s="47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98" t="s">
        <v>3447</v>
      </c>
    </row>
    <row r="2709" spans="1:10" ht="28.9" customHeight="1" thickTop="1" thickBot="1" x14ac:dyDescent="0.65">
      <c r="A2709" s="3">
        <v>2707</v>
      </c>
      <c r="B2709" s="44" t="str">
        <f>HYPERLINK("https://search.naver.com/search.naver?query=찰리 컨트리맨 영화", "찰리 컨트리맨")</f>
        <v>찰리 컨트리맨</v>
      </c>
      <c r="C2709" s="45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97" t="s">
        <v>3451</v>
      </c>
    </row>
    <row r="2710" spans="1:10" ht="28.9" customHeight="1" thickTop="1" thickBot="1" x14ac:dyDescent="0.65">
      <c r="A2710" s="5">
        <v>2708</v>
      </c>
      <c r="B2710" s="46" t="str">
        <f>HYPERLINK("https://search.naver.com/search.naver?query=창궐 영화", "창궐")</f>
        <v>창궐</v>
      </c>
      <c r="C2710" s="47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98" t="s">
        <v>3442</v>
      </c>
    </row>
    <row r="2711" spans="1:10" ht="28.9" customHeight="1" thickTop="1" thickBot="1" x14ac:dyDescent="0.65">
      <c r="A2711" s="3">
        <v>2709</v>
      </c>
      <c r="B2711" s="44" t="str">
        <f>HYPERLINK("https://search.naver.com/search.naver?query=창문넘어 도망친 100세 노인 영화", "창문넘어 도망친 100세 노인")</f>
        <v>창문넘어 도망친 100세 노인</v>
      </c>
      <c r="C2711" s="45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97" t="s">
        <v>3451</v>
      </c>
    </row>
    <row r="2712" spans="1:10" ht="28.9" customHeight="1" thickTop="1" thickBot="1" x14ac:dyDescent="0.65">
      <c r="A2712" s="5">
        <v>2710</v>
      </c>
      <c r="B2712" s="46" t="str">
        <f>HYPERLINK("https://search.naver.com/search.naver?query=창수 영화", "창수")</f>
        <v>창수</v>
      </c>
      <c r="C2712" s="47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98" t="s">
        <v>3451</v>
      </c>
    </row>
    <row r="2713" spans="1:10" ht="28.9" customHeight="1" thickTop="1" thickBot="1" x14ac:dyDescent="0.65">
      <c r="A2713" s="3">
        <v>2711</v>
      </c>
      <c r="B2713" s="44" t="str">
        <f>HYPERLINK("https://search.naver.com/search.naver?query=채비 영화", "채비")</f>
        <v>채비</v>
      </c>
      <c r="C2713" s="45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97" t="s">
        <v>3443</v>
      </c>
    </row>
    <row r="2714" spans="1:10" ht="28.9" customHeight="1" thickTop="1" thickBot="1" x14ac:dyDescent="0.65">
      <c r="A2714" s="5">
        <v>2712</v>
      </c>
      <c r="B2714" s="46" t="str">
        <f>HYPERLINK("https://search.naver.com/search.naver?query=책도둑 영화", "책도둑")</f>
        <v>책도둑</v>
      </c>
      <c r="C2714" s="47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98" t="s">
        <v>3451</v>
      </c>
    </row>
    <row r="2715" spans="1:10" ht="28.9" customHeight="1" thickTop="1" thickBot="1" x14ac:dyDescent="0.65">
      <c r="A2715" s="3">
        <v>2713</v>
      </c>
      <c r="B2715" s="44" t="str">
        <f>HYPERLINK("https://search.naver.com/search.naver?query=챌린저스 영화", "챌린저스")</f>
        <v>챌린저스</v>
      </c>
      <c r="C2715" s="45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97" t="s">
        <v>3448</v>
      </c>
    </row>
    <row r="2716" spans="1:10" ht="28.9" customHeight="1" thickTop="1" thickBot="1" x14ac:dyDescent="0.65">
      <c r="A2716" s="5">
        <v>2714</v>
      </c>
      <c r="B2716" s="46" t="str">
        <f>HYPERLINK("https://search.naver.com/search.naver?query=챔피언2018", "챔피언")</f>
        <v>챔피언</v>
      </c>
      <c r="C2716" s="47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98" t="s">
        <v>3442</v>
      </c>
    </row>
    <row r="2717" spans="1:10" ht="28.9" customHeight="1" thickTop="1" thickBot="1" x14ac:dyDescent="0.65">
      <c r="A2717" s="3">
        <v>2715</v>
      </c>
      <c r="B2717" s="44" t="str">
        <f>HYPERLINK("https://search.naver.com/search.naver?query=천국에 다녀온 소년 영화", "천국에 다녀온 소년")</f>
        <v>천국에 다녀온 소년</v>
      </c>
      <c r="C2717" s="45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97" t="s">
        <v>3437</v>
      </c>
    </row>
    <row r="2718" spans="1:10" ht="28.9" customHeight="1" thickTop="1" thickBot="1" x14ac:dyDescent="0.65">
      <c r="A2718" s="5">
        <v>2716</v>
      </c>
      <c r="B2718" s="46" t="str">
        <f>HYPERLINK("https://search.naver.com/search.naver?query=천국에서 너를 만나면 영화", "천국에서 너를 만나면")</f>
        <v>천국에서 너를 만나면</v>
      </c>
      <c r="C2718" s="47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98" t="s">
        <v>3447</v>
      </c>
    </row>
    <row r="2719" spans="1:10" ht="28.9" customHeight="1" thickTop="1" thickBot="1" x14ac:dyDescent="0.65">
      <c r="A2719" s="3">
        <v>2717</v>
      </c>
      <c r="B2719" s="44" t="str">
        <f>HYPERLINK("https://search.naver.com/search.naver?query=천국에서의 응원 영화", "천국에서의 응원")</f>
        <v>천국에서의 응원</v>
      </c>
      <c r="C2719" s="45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97" t="s">
        <v>3454</v>
      </c>
    </row>
    <row r="2720" spans="1:10" ht="28.9" customHeight="1" thickTop="1" thickBot="1" x14ac:dyDescent="0.65">
      <c r="A2720" s="5">
        <v>2718</v>
      </c>
      <c r="B2720" s="46" t="str">
        <f>HYPERLINK("https://search.naver.com/search.naver?query=천국은 아직 먼 곳에 영화", "천국은 아직 먼 곳에")</f>
        <v>천국은 아직 먼 곳에</v>
      </c>
      <c r="C2720" s="47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98" t="s">
        <v>3450</v>
      </c>
    </row>
    <row r="2721" spans="1:10" ht="28.9" customHeight="1" thickTop="1" thickBot="1" x14ac:dyDescent="0.65">
      <c r="A2721" s="3">
        <v>2719</v>
      </c>
      <c r="B2721" s="44" t="str">
        <f>HYPERLINK("https://search.naver.com/search.naver?query=천국의 책방-연화", "천국의 책방 - 연화")</f>
        <v>천국의 책방 - 연화</v>
      </c>
      <c r="C2721" s="45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97" t="s">
        <v>3462</v>
      </c>
    </row>
    <row r="2722" spans="1:10" ht="28.9" customHeight="1" thickTop="1" thickBot="1" x14ac:dyDescent="0.65">
      <c r="A2722" s="5">
        <v>2720</v>
      </c>
      <c r="B2722" s="46" t="str">
        <f>HYPERLINK("https://search.naver.com/search.naver?query=천군 영화", "천군")</f>
        <v>천군</v>
      </c>
      <c r="C2722" s="47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98" t="s">
        <v>3461</v>
      </c>
    </row>
    <row r="2723" spans="1:10" ht="28.9" customHeight="1" thickTop="1" thickBot="1" x14ac:dyDescent="0.65">
      <c r="A2723" s="3">
        <v>2721</v>
      </c>
      <c r="B2723" s="44" t="str">
        <f>HYPERLINK("https://search.naver.com/search.naver?query=천년을 흐르는 사랑 영화", "천년을 흐르는 사랑")</f>
        <v>천년을 흐르는 사랑</v>
      </c>
      <c r="C2723" s="45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97" t="s">
        <v>3447</v>
      </c>
    </row>
    <row r="2724" spans="1:10" ht="28.9" customHeight="1" thickTop="1" thickBot="1" x14ac:dyDescent="0.65">
      <c r="A2724" s="5">
        <v>2722</v>
      </c>
      <c r="B2724" s="46" t="str">
        <f>HYPERLINK("https://search.naver.com/search.naver?query=천문 하늘에 묻는다 영화", "천문-하늘에 묻는다")</f>
        <v>천문-하늘에 묻는다</v>
      </c>
      <c r="C2724" s="47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98" t="s">
        <v>3442</v>
      </c>
    </row>
    <row r="2725" spans="1:10" ht="28.9" customHeight="1" thickTop="1" thickBot="1" x14ac:dyDescent="0.65">
      <c r="A2725" s="3">
        <v>2723</v>
      </c>
      <c r="B2725" s="44" t="str">
        <f>HYPERLINK("https://search.naver.com/search.naver?query=천번의 굿나잇 영화", "천번의 굿나잇")</f>
        <v>천번의 굿나잇</v>
      </c>
      <c r="C2725" s="45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97" t="s">
        <v>3451</v>
      </c>
    </row>
    <row r="2726" spans="1:10" ht="28.9" customHeight="1" thickTop="1" thickBot="1" x14ac:dyDescent="0.65">
      <c r="A2726" s="5">
        <v>2724</v>
      </c>
      <c r="B2726" s="46" t="str">
        <f>HYPERLINK("https://search.naver.com/search.naver?query=천사의 사랑 영화", "천사의 사랑")</f>
        <v>천사의 사랑</v>
      </c>
      <c r="C2726" s="47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98" t="s">
        <v>3453</v>
      </c>
    </row>
    <row r="2727" spans="1:10" ht="28.9" customHeight="1" thickTop="1" thickBot="1" x14ac:dyDescent="0.65">
      <c r="A2727" s="3">
        <v>2725</v>
      </c>
      <c r="B2727" s="44" t="str">
        <f>HYPERLINK("https://search.naver.com/search.naver?query=천일의 스캔들 영화", "천일의 스캔들")</f>
        <v>천일의 스캔들</v>
      </c>
      <c r="C2727" s="45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97" t="s">
        <v>3450</v>
      </c>
    </row>
    <row r="2728" spans="1:10" ht="28.9" customHeight="1" thickTop="1" thickBot="1" x14ac:dyDescent="0.65">
      <c r="A2728" s="5">
        <v>2726</v>
      </c>
      <c r="B2728" s="46" t="str">
        <f>HYPERLINK("https://search.naver.com/search.naver?query=Don 2", "천재 사기꾼 돈-세상을 속여라")</f>
        <v>천재 사기꾼 돈-세상을 속여라</v>
      </c>
      <c r="C2728" s="47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98" t="s">
        <v>3454</v>
      </c>
    </row>
    <row r="2729" spans="1:10" ht="28.9" customHeight="1" thickTop="1" thickBot="1" x14ac:dyDescent="0.65">
      <c r="A2729" s="3">
        <v>2727</v>
      </c>
      <c r="B2729" s="44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45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97" t="s">
        <v>3441</v>
      </c>
    </row>
    <row r="2730" spans="1:10" ht="28.9" customHeight="1" thickTop="1" thickBot="1" x14ac:dyDescent="0.65">
      <c r="A2730" s="5">
        <v>2728</v>
      </c>
      <c r="B2730" s="46" t="str">
        <f>HYPERLINK("https://search.naver.com/search.naver?query=천주정 영화", "천주정")</f>
        <v>천주정</v>
      </c>
      <c r="C2730" s="47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98" t="s">
        <v>3437</v>
      </c>
    </row>
    <row r="2731" spans="1:10" ht="28.9" customHeight="1" thickTop="1" thickBot="1" x14ac:dyDescent="0.65">
      <c r="A2731" s="3">
        <v>2729</v>
      </c>
      <c r="B2731" s="44" t="str">
        <f>HYPERLINK("https://search.naver.com/search.naver?query=천하장사 마돈나 영화", "천하장사 마돈나")</f>
        <v>천하장사 마돈나</v>
      </c>
      <c r="C2731" s="45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97" t="s">
        <v>3460</v>
      </c>
    </row>
    <row r="2732" spans="1:10" ht="28.9" customHeight="1" thickTop="1" thickBot="1" x14ac:dyDescent="0.65">
      <c r="A2732" s="5">
        <v>2730</v>
      </c>
      <c r="B2732" s="46" t="str">
        <f>HYPERLINK("https://search.naver.com/search.naver?query=철도원 영화", "철도원")</f>
        <v>철도원</v>
      </c>
      <c r="C2732" s="47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98" t="s">
        <v>3456</v>
      </c>
    </row>
    <row r="2733" spans="1:10" ht="28.9" customHeight="1" thickTop="1" thickBot="1" x14ac:dyDescent="0.65">
      <c r="A2733" s="3">
        <v>2731</v>
      </c>
      <c r="B2733" s="44" t="str">
        <f>HYPERLINK("https://search.naver.com/search.naver?query=영화철로", "철로")</f>
        <v>철로</v>
      </c>
      <c r="C2733" s="45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97" t="s">
        <v>3455</v>
      </c>
    </row>
    <row r="2734" spans="1:10" ht="28.9" customHeight="1" thickTop="1" thickBot="1" x14ac:dyDescent="0.65">
      <c r="A2734" s="5">
        <v>2732</v>
      </c>
      <c r="B2734" s="46" t="str">
        <f>HYPERLINK("https://search.naver.com/search.naver?query=첫 번째 키스 1 영화", "첫 번째 키스 1")</f>
        <v>첫 번째 키스 1</v>
      </c>
      <c r="C2734" s="47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98" t="s">
        <v>3459</v>
      </c>
    </row>
    <row r="2735" spans="1:10" ht="28.9" customHeight="1" thickTop="1" thickBot="1" x14ac:dyDescent="0.65">
      <c r="A2735" s="3">
        <v>2733</v>
      </c>
      <c r="B2735" s="44" t="str">
        <f>HYPERLINK("https://search.naver.com/search.naver?query=청견하우적성음", "청견하우적성음")</f>
        <v>청견하우적성음</v>
      </c>
      <c r="C2735" s="45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97" t="s">
        <v>3437</v>
      </c>
    </row>
    <row r="2736" spans="1:10" ht="28.9" customHeight="1" thickTop="1" thickBot="1" x14ac:dyDescent="0.65">
      <c r="A2736" s="5">
        <v>2734</v>
      </c>
      <c r="B2736" s="46" t="str">
        <f>HYPERLINK("https://search.naver.com/search.naver?query=청년경찰 영화", "청년경찰")</f>
        <v>청년경찰</v>
      </c>
      <c r="C2736" s="47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98" t="s">
        <v>3443</v>
      </c>
    </row>
    <row r="2737" spans="1:10" ht="28.9" customHeight="1" thickTop="1" thickBot="1" x14ac:dyDescent="0.65">
      <c r="A2737" s="3">
        <v>2735</v>
      </c>
      <c r="B2737" s="44" t="str">
        <f>HYPERLINK("https://search.naver.com/search.naver?query=청바지 돌려입기 영화", "청바지 돌려입기")</f>
        <v>청바지 돌려입기</v>
      </c>
      <c r="C2737" s="45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97" t="s">
        <v>3461</v>
      </c>
    </row>
    <row r="2738" spans="1:10" ht="28.9" customHeight="1" thickTop="1" thickBot="1" x14ac:dyDescent="0.65">
      <c r="A2738" s="5">
        <v>2736</v>
      </c>
      <c r="B2738" s="46" t="str">
        <f>HYPERLINK("https://search.naver.com/search.naver?query=청설 영화", "청설")</f>
        <v>청설</v>
      </c>
      <c r="C2738" s="47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98" t="s">
        <v>3453</v>
      </c>
    </row>
    <row r="2739" spans="1:10" ht="28.9" customHeight="1" thickTop="1" thickBot="1" x14ac:dyDescent="0.65">
      <c r="A2739" s="3">
        <v>2737</v>
      </c>
      <c r="B2739" s="44" t="str">
        <f>HYPERLINK("https://search.naver.com/search.naver?query=청원 영화", "청원")</f>
        <v>청원</v>
      </c>
      <c r="C2739" s="45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97" t="s">
        <v>3454</v>
      </c>
    </row>
    <row r="2740" spans="1:10" ht="28.9" customHeight="1" thickTop="1" thickBot="1" x14ac:dyDescent="0.65">
      <c r="A2740" s="5">
        <v>2738</v>
      </c>
      <c r="B2740" s="46" t="str">
        <f>HYPERLINK("https://search.naver.com/search.naver?query=청춘의 증언 영화", "청춘의 증언")</f>
        <v>청춘의 증언</v>
      </c>
      <c r="C2740" s="47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98" t="s">
        <v>3440</v>
      </c>
    </row>
    <row r="2741" spans="1:10" ht="28.9" customHeight="1" thickTop="1" thickBot="1" x14ac:dyDescent="0.65">
      <c r="A2741" s="3">
        <v>2739</v>
      </c>
      <c r="B2741" s="44" t="str">
        <f>HYPERLINK("https://search.naver.com/search.naver?query=청포도 사탕 17년 전의 약속 영화", "청포도 사탕-17년 전의 약속")</f>
        <v>청포도 사탕-17년 전의 약속</v>
      </c>
      <c r="C2741" s="45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97" t="s">
        <v>3454</v>
      </c>
    </row>
    <row r="2742" spans="1:10" ht="28.9" customHeight="1" thickTop="1" thickBot="1" x14ac:dyDescent="0.65">
      <c r="A2742" s="7">
        <v>2740</v>
      </c>
      <c r="B2742" s="48" t="str">
        <f>HYPERLINK("https://search.naver.com/search.naver?query=체르노빌 드라마", "체르노빌")</f>
        <v>체르노빌</v>
      </c>
      <c r="C2742" s="49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99" t="s">
        <v>3444</v>
      </c>
    </row>
    <row r="2743" spans="1:10" ht="28.9" customHeight="1" thickTop="1" thickBot="1" x14ac:dyDescent="0.65">
      <c r="A2743" s="3">
        <v>2741</v>
      </c>
      <c r="B2743" s="44" t="str">
        <f>HYPERLINK("https://search.naver.com/search.naver?query=체인지 업 영화", "체인지 업")</f>
        <v>체인지 업</v>
      </c>
      <c r="C2743" s="45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97" t="s">
        <v>3454</v>
      </c>
    </row>
    <row r="2744" spans="1:10" ht="28.9" customHeight="1" thickTop="1" thickBot="1" x14ac:dyDescent="0.65">
      <c r="A2744" s="5">
        <v>2742</v>
      </c>
      <c r="B2744" s="46" t="str">
        <f>HYPERLINK("https://search.naver.com/search.naver?query=초이스 영화", "초이스")</f>
        <v>초이스</v>
      </c>
      <c r="C2744" s="47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98" t="s">
        <v>3441</v>
      </c>
    </row>
    <row r="2745" spans="1:10" ht="28.9" customHeight="1" thickTop="1" thickBot="1" x14ac:dyDescent="0.65">
      <c r="A2745" s="3">
        <v>2743</v>
      </c>
      <c r="B2745" s="44" t="str">
        <f>HYPERLINK("https://search.naver.com/search.naver?query=초콜릿 영화", "초콜릿")</f>
        <v>초콜릿</v>
      </c>
      <c r="C2745" s="45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97" t="s">
        <v>3458</v>
      </c>
    </row>
    <row r="2746" spans="1:10" ht="28.9" customHeight="1" thickTop="1" thickBot="1" x14ac:dyDescent="0.65">
      <c r="A2746" s="5">
        <v>2744</v>
      </c>
      <c r="B2746" s="46" t="str">
        <f>HYPERLINK("https://search.naver.com/search.naver?query=촌마게푸딩 영화", "촌마게푸딩")</f>
        <v>촌마게푸딩</v>
      </c>
      <c r="C2746" s="47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98" t="s">
        <v>3455</v>
      </c>
    </row>
    <row r="2747" spans="1:10" ht="28.9" customHeight="1" thickTop="1" thickBot="1" x14ac:dyDescent="0.65">
      <c r="A2747" s="3">
        <v>2745</v>
      </c>
      <c r="B2747" s="44" t="str">
        <f>HYPERLINK("https://search.naver.com/search.naver?query=총을 든 스님 영화", "총을 든 스님")</f>
        <v>총을 든 스님</v>
      </c>
      <c r="C2747" s="45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97" t="s">
        <v>3446</v>
      </c>
    </row>
    <row r="2748" spans="1:10" ht="28.9" customHeight="1" thickTop="1" thickBot="1" x14ac:dyDescent="0.65">
      <c r="A2748" s="5">
        <v>2746</v>
      </c>
      <c r="B2748" s="46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47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98" t="s">
        <v>3441</v>
      </c>
    </row>
    <row r="2749" spans="1:10" ht="28.9" customHeight="1" thickTop="1" thickBot="1" x14ac:dyDescent="0.65">
      <c r="A2749" s="3">
        <v>2747</v>
      </c>
      <c r="B2749" s="44" t="str">
        <f>HYPERLINK("https://search.naver.com/search.naver?query=최종 분석 영화", "최종 분석")</f>
        <v>최종 분석</v>
      </c>
      <c r="C2749" s="45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97" t="s">
        <v>3473</v>
      </c>
    </row>
    <row r="2750" spans="1:10" ht="28.9" customHeight="1" thickTop="1" thickBot="1" x14ac:dyDescent="0.65">
      <c r="A2750" s="5">
        <v>2748</v>
      </c>
      <c r="B2750" s="46" t="str">
        <f>HYPERLINK("https://search.naver.com/search.naver?query=최종병기 활 영화", "최종병기 활")</f>
        <v>최종병기 활</v>
      </c>
      <c r="C2750" s="47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98" t="s">
        <v>3454</v>
      </c>
    </row>
    <row r="2751" spans="1:10" ht="28.9" customHeight="1" thickTop="1" thickBot="1" x14ac:dyDescent="0.65">
      <c r="A2751" s="3">
        <v>2749</v>
      </c>
      <c r="B2751" s="44" t="str">
        <f>HYPERLINK("https://search.naver.com/search.naver?query=최후의 추신구라 영화", "최후의 추신구라")</f>
        <v>최후의 추신구라</v>
      </c>
      <c r="C2751" s="45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97" t="s">
        <v>3455</v>
      </c>
    </row>
    <row r="2752" spans="1:10" ht="28.9" customHeight="1" thickTop="1" thickBot="1" x14ac:dyDescent="0.65">
      <c r="A2752" s="5">
        <v>2750</v>
      </c>
      <c r="B2752" s="46" t="str">
        <f>HYPERLINK("https://search.naver.com/search.naver?query=추락의 해부 영화", "추락의 해부")</f>
        <v>추락의 해부</v>
      </c>
      <c r="C2752" s="47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98" t="s">
        <v>3446</v>
      </c>
    </row>
    <row r="2753" spans="1:10" ht="28.9" customHeight="1" thickTop="1" thickBot="1" x14ac:dyDescent="0.65">
      <c r="A2753" s="3">
        <v>2751</v>
      </c>
      <c r="B2753" s="44" t="str">
        <f>HYPERLINK("https://search.naver.com/search.naver?query=추리닝의 두사람 영화", "추리닝의 두사람")</f>
        <v>추리닝의 두사람</v>
      </c>
      <c r="C2753" s="45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97" t="s">
        <v>3450</v>
      </c>
    </row>
    <row r="2754" spans="1:10" ht="28.9" customHeight="1" thickTop="1" thickBot="1" x14ac:dyDescent="0.65">
      <c r="A2754" s="5">
        <v>2752</v>
      </c>
      <c r="B2754" s="46" t="str">
        <f>HYPERLINK("https://search.naver.com/search.naver?query=추억1973", "추억")</f>
        <v>추억</v>
      </c>
      <c r="C2754" s="47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98" t="s">
        <v>3484</v>
      </c>
    </row>
    <row r="2755" spans="1:10" ht="28.9" customHeight="1" thickTop="1" thickBot="1" x14ac:dyDescent="0.65">
      <c r="A2755" s="3">
        <v>2753</v>
      </c>
      <c r="B2755" s="44" t="str">
        <f>HYPERLINK("https://search.naver.com/search.naver?query=추적2007", "추적")</f>
        <v>추적</v>
      </c>
      <c r="C2755" s="45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97" t="s">
        <v>3450</v>
      </c>
    </row>
    <row r="2756" spans="1:10" ht="28.9" customHeight="1" thickTop="1" thickBot="1" x14ac:dyDescent="0.65">
      <c r="A2756" s="5">
        <v>2754</v>
      </c>
      <c r="B2756" s="46" t="str">
        <f>HYPERLINK("https://search.naver.com/search.naver?query=출국 영화", "출국")</f>
        <v>출국</v>
      </c>
      <c r="C2756" s="47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98" t="s">
        <v>3442</v>
      </c>
    </row>
    <row r="2757" spans="1:10" ht="28.9" customHeight="1" thickTop="1" thickBot="1" x14ac:dyDescent="0.65">
      <c r="A2757" s="3">
        <v>2755</v>
      </c>
      <c r="B2757" s="44" t="str">
        <f>HYPERLINK("https://search.naver.com/search.naver?query=충격과 공포 영화", "충격과 공포")</f>
        <v>충격과 공포</v>
      </c>
      <c r="C2757" s="45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97" t="s">
        <v>3443</v>
      </c>
    </row>
    <row r="2758" spans="1:10" ht="28.9" customHeight="1" thickTop="1" thickBot="1" x14ac:dyDescent="0.65">
      <c r="A2758" s="5">
        <v>2756</v>
      </c>
      <c r="B2758" s="46" t="str">
        <f>HYPERLINK("https://search.naver.com/search.naver?query=취화선 영화", "취화선")</f>
        <v>취화선</v>
      </c>
      <c r="C2758" s="47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98" t="s">
        <v>3466</v>
      </c>
    </row>
    <row r="2759" spans="1:10" ht="28.9" customHeight="1" thickTop="1" thickBot="1" x14ac:dyDescent="0.65">
      <c r="A2759" s="3">
        <v>2757</v>
      </c>
      <c r="B2759" s="44" t="str">
        <f>HYPERLINK("https://search.naver.com/search.naver?query=츠나구 영화", "츠나구")</f>
        <v>츠나구</v>
      </c>
      <c r="C2759" s="45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97" t="s">
        <v>3439</v>
      </c>
    </row>
    <row r="2760" spans="1:10" ht="28.9" customHeight="1" thickTop="1" thickBot="1" x14ac:dyDescent="0.65">
      <c r="A2760" s="5">
        <v>2758</v>
      </c>
      <c r="B2760" s="46" t="str">
        <f>HYPERLINK("https://search.naver.com/search.naver?query=츠레가 우울증에 걸려서 영화", "츠레가 우울증에 걸려서")</f>
        <v>츠레가 우울증에 걸려서</v>
      </c>
      <c r="C2760" s="47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98" t="s">
        <v>3454</v>
      </c>
    </row>
    <row r="2761" spans="1:10" ht="28.9" customHeight="1" thickTop="1" thickBot="1" x14ac:dyDescent="0.65">
      <c r="A2761" s="3">
        <v>2759</v>
      </c>
      <c r="B2761" s="44" t="str">
        <f>HYPERLINK("https://search.naver.com/search.naver?query=치어 댄스 영화", "치어 댄스")</f>
        <v>치어 댄스</v>
      </c>
      <c r="C2761" s="45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97" t="s">
        <v>3443</v>
      </c>
    </row>
    <row r="2762" spans="1:10" ht="28.9" customHeight="1" thickTop="1" thickBot="1" x14ac:dyDescent="0.65">
      <c r="A2762" s="5">
        <v>2760</v>
      </c>
      <c r="B2762" s="46" t="str">
        <f>HYPERLINK("https://search.naver.com/search.naver?query=치어리딩 클럽 영화", "치어리딩 클럽")</f>
        <v>치어리딩 클럽</v>
      </c>
      <c r="C2762" s="47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98" t="s">
        <v>3444</v>
      </c>
    </row>
    <row r="2763" spans="1:10" ht="28.9" customHeight="1" thickTop="1" thickBot="1" x14ac:dyDescent="0.65">
      <c r="A2763" s="3">
        <v>2761</v>
      </c>
      <c r="B2763" s="44" t="str">
        <f>HYPERLINK("https://search.naver.com/search.naver?query=치와법권 영화", "치와법권")</f>
        <v>치와법권</v>
      </c>
      <c r="C2763" s="45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97" t="s">
        <v>3440</v>
      </c>
    </row>
    <row r="2764" spans="1:10" ht="28.9" customHeight="1" thickTop="1" thickBot="1" x14ac:dyDescent="0.65">
      <c r="A2764" s="5">
        <v>2762</v>
      </c>
      <c r="B2764" s="46" t="str">
        <f>HYPERLINK("https://search.naver.com/search.naver?query=치프 플라이트 영화", "치프 플라이트")</f>
        <v>치프 플라이트</v>
      </c>
      <c r="C2764" s="47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98" t="s">
        <v>3451</v>
      </c>
    </row>
    <row r="2765" spans="1:10" ht="28.9" customHeight="1" thickTop="1" thickBot="1" x14ac:dyDescent="0.65">
      <c r="A2765" s="3">
        <v>2763</v>
      </c>
      <c r="B2765" s="44" t="str">
        <f>HYPERLINK("https://search.naver.com/search.naver?query=친구1 영화", "친구1")</f>
        <v>친구1</v>
      </c>
      <c r="C2765" s="45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97" t="s">
        <v>3457</v>
      </c>
    </row>
    <row r="2766" spans="1:10" ht="28.9" customHeight="1" thickTop="1" thickBot="1" x14ac:dyDescent="0.65">
      <c r="A2766" s="5">
        <v>2764</v>
      </c>
      <c r="B2766" s="46" t="str">
        <f>HYPERLINK("https://search.naver.com/search.naver?query=친구2 영화", "친구2")</f>
        <v>친구2</v>
      </c>
      <c r="C2766" s="47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98" t="s">
        <v>3451</v>
      </c>
    </row>
    <row r="2767" spans="1:10" ht="28.9" customHeight="1" thickTop="1" thickBot="1" x14ac:dyDescent="0.65">
      <c r="A2767" s="3">
        <v>2765</v>
      </c>
      <c r="B2767" s="44" t="str">
        <f>HYPERLINK("https://search.naver.com/search.naver?query=친애하는 우리아이 영화", "친애하는 우리아이")</f>
        <v>친애하는 우리아이</v>
      </c>
      <c r="C2767" s="45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97" t="s">
        <v>3442</v>
      </c>
    </row>
    <row r="2768" spans="1:10" ht="28.9" customHeight="1" thickTop="1" thickBot="1" x14ac:dyDescent="0.65">
      <c r="A2768" s="5">
        <v>2766</v>
      </c>
      <c r="B2768" s="46" t="str">
        <f>HYPERLINK("https://search.naver.com/search.naver?query=친정엄마 영화", "친정엄마")</f>
        <v>친정엄마</v>
      </c>
      <c r="C2768" s="47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98" t="s">
        <v>3439</v>
      </c>
    </row>
    <row r="2769" spans="1:10" ht="28.9" customHeight="1" thickTop="1" thickBot="1" x14ac:dyDescent="0.65">
      <c r="A2769" s="3">
        <v>2767</v>
      </c>
      <c r="B2769" s="44" t="str">
        <f>HYPERLINK("https://search.naver.com/search.naver?query=칠드런 액트 영화", "칠드런 액트")</f>
        <v>칠드런 액트</v>
      </c>
      <c r="C2769" s="45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97" t="s">
        <v>3443</v>
      </c>
    </row>
    <row r="2770" spans="1:10" ht="28.9" customHeight="1" thickTop="1" thickBot="1" x14ac:dyDescent="0.65">
      <c r="A2770" s="5">
        <v>2768</v>
      </c>
      <c r="B2770" s="46" t="str">
        <f>HYPERLINK("https://search.naver.com/search.naver?query=침묵 영화", "침묵")</f>
        <v>침묵</v>
      </c>
      <c r="C2770" s="47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98" t="s">
        <v>3441</v>
      </c>
    </row>
    <row r="2771" spans="1:10" ht="28.9" customHeight="1" thickTop="1" thickBot="1" x14ac:dyDescent="0.65">
      <c r="A2771" s="3">
        <v>2769</v>
      </c>
      <c r="B2771" s="44" t="str">
        <f>HYPERLINK("https://search.naver.com/search.naver?query=침묵의 목격자 영화", "침묵의 목격자")</f>
        <v>침묵의 목격자</v>
      </c>
      <c r="C2771" s="45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97" t="s">
        <v>3437</v>
      </c>
    </row>
    <row r="2772" spans="1:10" ht="28.9" customHeight="1" thickTop="1" thickBot="1" x14ac:dyDescent="0.65">
      <c r="A2772" s="5">
        <v>2770</v>
      </c>
      <c r="B2772" s="46" t="str">
        <f>HYPERLINK("https://search.naver.com/search.naver?query=침묵의 퍼레이드 영화", "침묵의 퍼레이드")</f>
        <v>침묵의 퍼레이드</v>
      </c>
      <c r="C2772" s="47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98" t="s">
        <v>3445</v>
      </c>
    </row>
    <row r="2773" spans="1:10" ht="28.9" customHeight="1" thickTop="1" thickBot="1" x14ac:dyDescent="0.65">
      <c r="A2773" s="3">
        <v>2771</v>
      </c>
      <c r="B2773" s="44" t="str">
        <f>HYPERLINK("https://search.naver.com/search.naver?query=침입자 영화", "침입자")</f>
        <v>침입자</v>
      </c>
      <c r="C2773" s="45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97" t="s">
        <v>3436</v>
      </c>
    </row>
    <row r="2774" spans="1:10" ht="28.9" customHeight="1" thickTop="1" thickBot="1" x14ac:dyDescent="0.65">
      <c r="A2774" s="5">
        <v>2772</v>
      </c>
      <c r="B2774" s="46" t="str">
        <f>HYPERLINK("https://search.naver.com/search.naver?query=카나리 블랙 영화", "카나리 블랙")</f>
        <v>카나리 블랙</v>
      </c>
      <c r="C2774" s="47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98" t="s">
        <v>3448</v>
      </c>
    </row>
    <row r="2775" spans="1:10" ht="28.9" customHeight="1" thickTop="1" thickBot="1" x14ac:dyDescent="0.65">
      <c r="A2775" s="3">
        <v>2773</v>
      </c>
      <c r="B2775" s="44" t="str">
        <f>HYPERLINK("https://search.naver.com/search.naver?query=카니발 영화", "카니발")</f>
        <v>카니발</v>
      </c>
      <c r="C2775" s="45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97" t="s">
        <v>3451</v>
      </c>
    </row>
    <row r="2776" spans="1:10" ht="28.9" customHeight="1" thickTop="1" thickBot="1" x14ac:dyDescent="0.65">
      <c r="A2776" s="5">
        <v>2774</v>
      </c>
      <c r="B2776" s="46" t="str">
        <f>HYPERLINK("https://search.naver.com/search.naver?query=카모메 식당 영화", "카모메 식당")</f>
        <v>카모메 식당</v>
      </c>
      <c r="C2776" s="47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98" t="s">
        <v>3460</v>
      </c>
    </row>
    <row r="2777" spans="1:10" ht="28.9" customHeight="1" thickTop="1" thickBot="1" x14ac:dyDescent="0.65">
      <c r="A2777" s="3">
        <v>2775</v>
      </c>
      <c r="B2777" s="44" t="str">
        <f>HYPERLINK("https://search.naver.com/search.naver?query=카센타 영화", "카센타")</f>
        <v>카센타</v>
      </c>
      <c r="C2777" s="45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97" t="s">
        <v>3444</v>
      </c>
    </row>
    <row r="2778" spans="1:10" ht="28.9" customHeight="1" thickTop="1" thickBot="1" x14ac:dyDescent="0.65">
      <c r="A2778" s="5">
        <v>2776</v>
      </c>
      <c r="B2778" s="46" t="str">
        <f>HYPERLINK("https://search.naver.com/search.naver?query=카오스 이론 영화", "카오스 이론")</f>
        <v>카오스 이론</v>
      </c>
      <c r="C2778" s="47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98" t="s">
        <v>3450</v>
      </c>
    </row>
    <row r="2779" spans="1:10" ht="28.9" customHeight="1" thickTop="1" thickBot="1" x14ac:dyDescent="0.65">
      <c r="A2779" s="3">
        <v>2777</v>
      </c>
      <c r="B2779" s="44" t="str">
        <f>HYPERLINK("https://search.naver.com/search.naver?query=카운슬러 영화", "카운슬러")</f>
        <v>카운슬러</v>
      </c>
      <c r="C2779" s="45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97" t="s">
        <v>3451</v>
      </c>
    </row>
    <row r="2780" spans="1:10" ht="28.9" customHeight="1" thickTop="1" thickBot="1" x14ac:dyDescent="0.65">
      <c r="A2780" s="5">
        <v>2778</v>
      </c>
      <c r="B2780" s="46" t="str">
        <f>HYPERLINK("https://search.naver.com/search.naver?query=카운터페이터 영화", "카운터페이터")</f>
        <v>카운터페이터</v>
      </c>
      <c r="C2780" s="47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98" t="s">
        <v>3447</v>
      </c>
    </row>
    <row r="2781" spans="1:10" ht="28.9" customHeight="1" thickTop="1" thickBot="1" x14ac:dyDescent="0.65">
      <c r="A2781" s="3">
        <v>2779</v>
      </c>
      <c r="B2781" s="44" t="str">
        <f>HYPERLINK("https://search.naver.com/search.naver?query=카운트다운 영화", "카운트다운")</f>
        <v>카운트다운</v>
      </c>
      <c r="C2781" s="45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97" t="s">
        <v>3444</v>
      </c>
    </row>
    <row r="2782" spans="1:10" ht="28.9" customHeight="1" thickTop="1" thickBot="1" x14ac:dyDescent="0.65">
      <c r="A2782" s="5">
        <v>2780</v>
      </c>
      <c r="B2782" s="46" t="str">
        <f>HYPERLINK("https://search.naver.com/search.naver?query=카인드 오브 머더 영화", "카인드 오브 머더")</f>
        <v>카인드 오브 머더</v>
      </c>
      <c r="C2782" s="47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98" t="s">
        <v>3441</v>
      </c>
    </row>
    <row r="2783" spans="1:10" ht="28.9" customHeight="1" thickTop="1" thickBot="1" x14ac:dyDescent="0.65">
      <c r="A2783" s="7">
        <v>2781</v>
      </c>
      <c r="B2783" s="48" t="str">
        <f>HYPERLINK("https://search.naver.com/search.naver?query=카지노 시즌1", "카지노 시즌1")</f>
        <v>카지노 시즌1</v>
      </c>
      <c r="C2783" s="49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99" t="s">
        <v>3445</v>
      </c>
    </row>
    <row r="2784" spans="1:10" ht="28.9" customHeight="1" thickTop="1" thickBot="1" x14ac:dyDescent="0.65">
      <c r="A2784" s="7">
        <v>2782</v>
      </c>
      <c r="B2784" s="48" t="str">
        <f>HYPERLINK("https://search.naver.com/search.naver?query=카지노 시즌2", "카지노 시즌2")</f>
        <v>카지노 시즌2</v>
      </c>
      <c r="C2784" s="49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99" t="s">
        <v>3446</v>
      </c>
    </row>
    <row r="2785" spans="1:10" ht="28.9" customHeight="1" thickTop="1" thickBot="1" x14ac:dyDescent="0.65">
      <c r="A2785" s="3">
        <v>2783</v>
      </c>
      <c r="B2785" s="44" t="str">
        <f>HYPERLINK("https://search.naver.com/search.naver?query=카터 영화", "카터")</f>
        <v>카터</v>
      </c>
      <c r="C2785" s="45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97" t="s">
        <v>3445</v>
      </c>
    </row>
    <row r="2786" spans="1:10" ht="28.9" customHeight="1" thickTop="1" thickBot="1" x14ac:dyDescent="0.65">
      <c r="A2786" s="5">
        <v>2784</v>
      </c>
      <c r="B2786" s="46" t="str">
        <f>HYPERLINK("https://search.naver.com/search.naver?query=카트 영화", "카트")</f>
        <v>카트</v>
      </c>
      <c r="C2786" s="47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98" t="s">
        <v>3437</v>
      </c>
    </row>
    <row r="2787" spans="1:10" ht="28.9" customHeight="1" thickTop="1" thickBot="1" x14ac:dyDescent="0.65">
      <c r="A2787" s="3">
        <v>2785</v>
      </c>
      <c r="B2787" s="44" t="str">
        <f>HYPERLINK("https://search.naver.com/search.naver?query=칵테일 영화", "칵테일")</f>
        <v>칵테일</v>
      </c>
      <c r="C2787" s="45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97" t="s">
        <v>3483</v>
      </c>
    </row>
    <row r="2788" spans="1:10" ht="28.9" customHeight="1" thickTop="1" thickBot="1" x14ac:dyDescent="0.65">
      <c r="A2788" s="5">
        <v>2786</v>
      </c>
      <c r="B2788" s="46" t="str">
        <f>HYPERLINK("https://search.naver.com/search.naver?query=칸다하 영화", "칸다하")</f>
        <v>칸다하</v>
      </c>
      <c r="C2788" s="47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98" t="s">
        <v>3446</v>
      </c>
    </row>
    <row r="2789" spans="1:10" ht="28.9" customHeight="1" thickTop="1" thickBot="1" x14ac:dyDescent="0.65">
      <c r="A2789" s="3">
        <v>2787</v>
      </c>
      <c r="B2789" s="44" t="str">
        <f>HYPERLINK("https://search.naver.com/search.naver?query=캐롤 영화", "캐롤")</f>
        <v>캐롤</v>
      </c>
      <c r="C2789" s="45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97" t="s">
        <v>3440</v>
      </c>
    </row>
    <row r="2790" spans="1:10" ht="28.9" customHeight="1" thickTop="1" thickBot="1" x14ac:dyDescent="0.65">
      <c r="A2790" s="5">
        <v>2788</v>
      </c>
      <c r="B2790" s="46" t="str">
        <f>HYPERLINK("https://search.naver.com/search.naver?query=캐리온 영화", "캐리온")</f>
        <v>캐리온</v>
      </c>
      <c r="C2790" s="47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98" t="s">
        <v>3448</v>
      </c>
    </row>
    <row r="2791" spans="1:10" ht="28.9" customHeight="1" thickTop="1" thickBot="1" x14ac:dyDescent="0.65">
      <c r="A2791" s="3">
        <v>2789</v>
      </c>
      <c r="B2791" s="44" t="str">
        <f>HYPERLINK("https://search.naver.com/search.naver?query=캐쉬백 영화", "캐쉬백")</f>
        <v>캐쉬백</v>
      </c>
      <c r="C2791" s="45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97" t="s">
        <v>3460</v>
      </c>
    </row>
    <row r="2792" spans="1:10" ht="28.9" customHeight="1" thickTop="1" thickBot="1" x14ac:dyDescent="0.65">
      <c r="A2792" s="5">
        <v>2790</v>
      </c>
      <c r="B2792" s="46" t="str">
        <f>HYPERLINK("https://search.naver.com/search.naver?query=캐스트 어웨이 영화", "캐스트 어웨이")</f>
        <v>캐스트 어웨이</v>
      </c>
      <c r="C2792" s="47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98" t="s">
        <v>3468</v>
      </c>
    </row>
    <row r="2793" spans="1:10" ht="28.9" customHeight="1" thickTop="1" thickBot="1" x14ac:dyDescent="0.65">
      <c r="A2793" s="3">
        <v>2791</v>
      </c>
      <c r="B2793" s="44" t="str">
        <f>HYPERLINK("https://search.naver.com/search.naver?query=캐시트럭 영화", "캐시트럭")</f>
        <v>캐시트럭</v>
      </c>
      <c r="C2793" s="45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97" t="s">
        <v>3438</v>
      </c>
    </row>
    <row r="2794" spans="1:10" ht="28.9" customHeight="1" thickTop="1" thickBot="1" x14ac:dyDescent="0.65">
      <c r="A2794" s="5">
        <v>2792</v>
      </c>
      <c r="B2794" s="46" t="str">
        <f>HYPERLINK("https://search.naver.com/search.naver?query=캐치미 영화", "캐치미")</f>
        <v>캐치미</v>
      </c>
      <c r="C2794" s="47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98" t="s">
        <v>3451</v>
      </c>
    </row>
    <row r="2795" spans="1:10" ht="28.9" customHeight="1" thickTop="1" thickBot="1" x14ac:dyDescent="0.65">
      <c r="A2795" s="3">
        <v>2793</v>
      </c>
      <c r="B2795" s="44" t="str">
        <f>HYPERLINK("https://search.naver.com/search.naver?query=캔디 영화", "캔디")</f>
        <v>캔디</v>
      </c>
      <c r="C2795" s="45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97" t="s">
        <v>3460</v>
      </c>
    </row>
    <row r="2796" spans="1:10" ht="28.9" customHeight="1" thickTop="1" thickBot="1" x14ac:dyDescent="0.65">
      <c r="A2796" s="7">
        <v>2794</v>
      </c>
      <c r="B2796" s="48" t="str">
        <f>HYPERLINK("https://search.naver.com/search.naver?query=캘리포니케이션 시즌1", "캘리포니케이션 시즌1")</f>
        <v>캘리포니케이션 시즌1</v>
      </c>
      <c r="C2796" s="49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99" t="s">
        <v>3447</v>
      </c>
    </row>
    <row r="2797" spans="1:10" ht="28.9" customHeight="1" thickTop="1" thickBot="1" x14ac:dyDescent="0.65">
      <c r="A2797" s="7">
        <v>2795</v>
      </c>
      <c r="B2797" s="48" t="str">
        <f>HYPERLINK("https://search.naver.com/search.naver?query=캘리포니케이션 시즌2", "캘리포니케이션 시즌2")</f>
        <v>캘리포니케이션 시즌2</v>
      </c>
      <c r="C2797" s="49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99" t="s">
        <v>3450</v>
      </c>
    </row>
    <row r="2798" spans="1:10" ht="28.9" customHeight="1" thickTop="1" thickBot="1" x14ac:dyDescent="0.65">
      <c r="A2798" s="7">
        <v>2796</v>
      </c>
      <c r="B2798" s="48" t="str">
        <f>HYPERLINK("https://search.naver.com/search.naver?query=캘리포니케이션 시즌3", "캘리포니케이션 시즌3")</f>
        <v>캘리포니케이션 시즌3</v>
      </c>
      <c r="C2798" s="49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99" t="s">
        <v>3453</v>
      </c>
    </row>
    <row r="2799" spans="1:10" ht="28.9" customHeight="1" thickTop="1" thickBot="1" x14ac:dyDescent="0.65">
      <c r="A2799" s="7">
        <v>2797</v>
      </c>
      <c r="B2799" s="48" t="str">
        <f>HYPERLINK("https://search.naver.com/search.naver?query=캘리포니케이션 시즌4", "캘리포니케이션 시즌4")</f>
        <v>캘리포니케이션 시즌4</v>
      </c>
      <c r="C2799" s="49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99" t="s">
        <v>3454</v>
      </c>
    </row>
    <row r="2800" spans="1:10" ht="28.9" customHeight="1" thickTop="1" thickBot="1" x14ac:dyDescent="0.65">
      <c r="A2800" s="7">
        <v>2798</v>
      </c>
      <c r="B2800" s="48" t="str">
        <f>HYPERLINK("https://search.naver.com/search.naver?query=캘리포니케이션 시즌5", "캘리포니케이션 시즌5")</f>
        <v>캘리포니케이션 시즌5</v>
      </c>
      <c r="C2800" s="49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99" t="s">
        <v>3439</v>
      </c>
    </row>
    <row r="2801" spans="1:10" ht="28.9" customHeight="1" thickTop="1" thickBot="1" x14ac:dyDescent="0.65">
      <c r="A2801" s="7">
        <v>2799</v>
      </c>
      <c r="B2801" s="48" t="str">
        <f>HYPERLINK("https://search.naver.com/search.naver?query=캘리포니케이션 시즌6", "캘리포니케이션 시즌6")</f>
        <v>캘리포니케이션 시즌6</v>
      </c>
      <c r="C2801" s="49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99" t="s">
        <v>3451</v>
      </c>
    </row>
    <row r="2802" spans="1:10" ht="28.9" customHeight="1" thickTop="1" thickBot="1" x14ac:dyDescent="0.65">
      <c r="A2802" s="7">
        <v>2800</v>
      </c>
      <c r="B2802" s="48" t="str">
        <f>HYPERLINK("https://search.naver.com/search.naver?query=캘리포니케이션 시즌7", "캘리포니케이션 시즌7")</f>
        <v>캘리포니케이션 시즌7</v>
      </c>
      <c r="C2802" s="49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99" t="s">
        <v>3437</v>
      </c>
    </row>
    <row r="2803" spans="1:10" ht="28.9" customHeight="1" thickTop="1" thickBot="1" x14ac:dyDescent="0.65">
      <c r="A2803" s="3">
        <v>2801</v>
      </c>
      <c r="B2803" s="44" t="str">
        <f>HYPERLINK("https://search.naver.com/search.naver?query=%EC%BA%98%EB%B2%84%EB%A6%AC%20%EC%98%81%ED%99%94", "캘버리")</f>
        <v>캘버리</v>
      </c>
      <c r="C2803" s="45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97" t="s">
        <v>3437</v>
      </c>
    </row>
    <row r="2804" spans="1:10" ht="28.9" customHeight="1" thickTop="1" thickBot="1" x14ac:dyDescent="0.65">
      <c r="A2804" s="5">
        <v>2802</v>
      </c>
      <c r="B2804" s="46" t="str">
        <f>HYPERLINK("https://search.naver.com/search.naver?query=캠걸스 영화", "캠걸스")</f>
        <v>캠걸스</v>
      </c>
      <c r="C2804" s="47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98" t="s">
        <v>3442</v>
      </c>
    </row>
    <row r="2805" spans="1:10" ht="28.9" customHeight="1" thickTop="1" thickBot="1" x14ac:dyDescent="0.65">
      <c r="A2805" s="3">
        <v>2803</v>
      </c>
      <c r="B2805" s="44" t="str">
        <f>HYPERLINK("https://search.naver.com/search.naver?query=캠프 엑스레이 영화", "캠프 엑스레이")</f>
        <v>캠프 엑스레이</v>
      </c>
      <c r="C2805" s="45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97" t="s">
        <v>3437</v>
      </c>
    </row>
    <row r="2806" spans="1:10" ht="28.9" customHeight="1" thickTop="1" thickBot="1" x14ac:dyDescent="0.65">
      <c r="A2806" s="5">
        <v>2804</v>
      </c>
      <c r="B2806" s="46" t="str">
        <f>HYPERLINK("https://search.naver.com/search.naver?query=캡처링 대디 영화", "캡처링 대디")</f>
        <v>캡처링 대디</v>
      </c>
      <c r="C2806" s="47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98" t="s">
        <v>3439</v>
      </c>
    </row>
    <row r="2807" spans="1:10" ht="28.9" customHeight="1" thickTop="1" thickBot="1" x14ac:dyDescent="0.65">
      <c r="A2807" s="3">
        <v>2805</v>
      </c>
      <c r="B2807" s="44" t="str">
        <f>HYPERLINK("https://search.naver.com/search.naver?query=캡틴 아메리카 윈터 솔져 영화", "캡틴 아메리카 - 윈터 솔져")</f>
        <v>캡틴 아메리카 - 윈터 솔져</v>
      </c>
      <c r="C2807" s="45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97" t="s">
        <v>3437</v>
      </c>
    </row>
    <row r="2808" spans="1:10" ht="28.9" customHeight="1" thickTop="1" thickBot="1" x14ac:dyDescent="0.65">
      <c r="A2808" s="5">
        <v>2806</v>
      </c>
      <c r="B2808" s="46" t="str">
        <f>HYPERLINK("https://search.naver.com/search.naver?query=캡틴 파일럿 영화", "캡틴 파일럿")</f>
        <v>캡틴 파일럿</v>
      </c>
      <c r="C2808" s="47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98" t="s">
        <v>3444</v>
      </c>
    </row>
    <row r="2809" spans="1:10" ht="28.9" customHeight="1" thickTop="1" thickBot="1" x14ac:dyDescent="0.65">
      <c r="A2809" s="3">
        <v>2807</v>
      </c>
      <c r="B2809" s="44" t="str">
        <f>HYPERLINK("https://search.naver.com/search.naver?query=캡틴 필립스 영화", "캡틴 필립스")</f>
        <v>캡틴 필립스</v>
      </c>
      <c r="C2809" s="45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97" t="s">
        <v>3451</v>
      </c>
    </row>
    <row r="2810" spans="1:10" ht="28.9" customHeight="1" thickTop="1" thickBot="1" x14ac:dyDescent="0.65">
      <c r="A2810" s="5">
        <v>2808</v>
      </c>
      <c r="B2810" s="46" t="str">
        <f>HYPERLINK("https://search.naver.com/search.naver?query=커런트 워 영화", "커런트 워")</f>
        <v>커런트 워</v>
      </c>
      <c r="C2810" s="47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98" t="s">
        <v>3443</v>
      </c>
    </row>
    <row r="2811" spans="1:10" ht="28.9" customHeight="1" thickTop="1" thickBot="1" x14ac:dyDescent="0.65">
      <c r="A2811" s="3">
        <v>2809</v>
      </c>
      <c r="B2811" s="44" t="str">
        <f>HYPERLINK("https://search.naver.com/search.naver?query=커뮤터 영화", "커뮤터")</f>
        <v>커뮤터</v>
      </c>
      <c r="C2811" s="45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97" t="s">
        <v>3442</v>
      </c>
    </row>
    <row r="2812" spans="1:10" ht="28.9" customHeight="1" thickTop="1" thickBot="1" x14ac:dyDescent="0.65">
      <c r="A2812" s="5">
        <v>2810</v>
      </c>
      <c r="B2812" s="46" t="str">
        <f>HYPERLINK("https://search.naver.com/search.naver?query=커터헤드 영화", "커터헤드")</f>
        <v>커터헤드</v>
      </c>
      <c r="C2812" s="47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98" t="s">
        <v>3442</v>
      </c>
    </row>
    <row r="2813" spans="1:10" ht="28.9" customHeight="1" thickTop="1" thickBot="1" x14ac:dyDescent="0.65">
      <c r="A2813" s="3">
        <v>2811</v>
      </c>
      <c r="B2813" s="44" t="str">
        <f>HYPERLINK("https://search.naver.com/search.naver?query=커플즈 영화", "커플즈")</f>
        <v>커플즈</v>
      </c>
      <c r="C2813" s="45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97" t="s">
        <v>3454</v>
      </c>
    </row>
    <row r="2814" spans="1:10" ht="28.9" customHeight="1" thickTop="1" thickBot="1" x14ac:dyDescent="0.65">
      <c r="A2814" s="5">
        <v>2812</v>
      </c>
      <c r="B2814" s="46" t="str">
        <f>HYPERLINK("https://search.naver.com/search.naver?query=커피 한잔이 섹스에 미치는 영향 영화", "커피 한잔이 섹스에 미치는 영향")</f>
        <v>커피 한잔이 섹스에 미치는 영향</v>
      </c>
      <c r="C2814" s="47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98" t="s">
        <v>3437</v>
      </c>
    </row>
    <row r="2815" spans="1:10" ht="28.9" customHeight="1" thickTop="1" thickBot="1" x14ac:dyDescent="0.65">
      <c r="A2815" s="3">
        <v>2813</v>
      </c>
      <c r="B2815" s="44" t="str">
        <f>HYPERLINK("https://search.naver.com/search.naver?query=커피가 식기 전에 영화", "커피가 식기 전에")</f>
        <v>커피가 식기 전에</v>
      </c>
      <c r="C2815" s="45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97" t="s">
        <v>3442</v>
      </c>
    </row>
    <row r="2816" spans="1:10" ht="28.9" customHeight="1" thickTop="1" thickBot="1" x14ac:dyDescent="0.65">
      <c r="A2816" s="5">
        <v>2814</v>
      </c>
      <c r="B2816" s="46" t="str">
        <f>HYPERLINK("https://search.naver.com/search.naver?query=컨빅션 영화", "컨빅션")</f>
        <v>컨빅션</v>
      </c>
      <c r="C2816" s="47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98" t="s">
        <v>3455</v>
      </c>
    </row>
    <row r="2817" spans="1:10" ht="28.9" customHeight="1" thickTop="1" thickBot="1" x14ac:dyDescent="0.65">
      <c r="A2817" s="3">
        <v>2815</v>
      </c>
      <c r="B2817" s="44" t="str">
        <f>HYPERLINK("https://search.naver.com/search.naver?query=컨스피러시 영화", "컨스피러시")</f>
        <v>컨스피러시</v>
      </c>
      <c r="C2817" s="45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97" t="s">
        <v>3470</v>
      </c>
    </row>
    <row r="2818" spans="1:10" ht="28.9" customHeight="1" thickTop="1" thickBot="1" x14ac:dyDescent="0.65">
      <c r="A2818" s="5">
        <v>2816</v>
      </c>
      <c r="B2818" s="46" t="str">
        <f>HYPERLINK("https://search.naver.com/search.naver?query=컨저링 영화", "컨저링")</f>
        <v>컨저링</v>
      </c>
      <c r="C2818" s="47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98" t="s">
        <v>3451</v>
      </c>
    </row>
    <row r="2819" spans="1:10" ht="28.9" customHeight="1" thickTop="1" thickBot="1" x14ac:dyDescent="0.65">
      <c r="A2819" s="3">
        <v>2817</v>
      </c>
      <c r="B2819" s="44" t="str">
        <f>HYPERLINK("https://search.naver.com/search.naver?query=컨저링2 영화", "컨저링2")</f>
        <v>컨저링2</v>
      </c>
      <c r="C2819" s="45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97" t="s">
        <v>3441</v>
      </c>
    </row>
    <row r="2820" spans="1:10" ht="28.9" customHeight="1" thickTop="1" thickBot="1" x14ac:dyDescent="0.65">
      <c r="A2820" s="5">
        <v>2818</v>
      </c>
      <c r="B2820" s="46" t="str">
        <f>HYPERLINK("https://search.naver.com/search.naver?query=컨저링3 악마가 시켰다 영화", "컨저링3-악마가 시켰다")</f>
        <v>컨저링3-악마가 시켰다</v>
      </c>
      <c r="C2820" s="47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98" t="s">
        <v>3438</v>
      </c>
    </row>
    <row r="2821" spans="1:10" ht="28.9" customHeight="1" thickTop="1" thickBot="1" x14ac:dyDescent="0.65">
      <c r="A2821" s="3">
        <v>2819</v>
      </c>
      <c r="B2821" s="44" t="str">
        <f>HYPERLINK("https://search.naver.com/search.naver?query=컨커션 영화", "컨커션")</f>
        <v>컨커션</v>
      </c>
      <c r="C2821" s="45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97" t="s">
        <v>3440</v>
      </c>
    </row>
    <row r="2822" spans="1:10" ht="28.9" customHeight="1" thickTop="1" thickBot="1" x14ac:dyDescent="0.65">
      <c r="A2822" s="3">
        <v>2820</v>
      </c>
      <c r="B2822" s="44" t="str">
        <f>HYPERLINK("https://search.naver.com/search.naver?query=컨택트 영화", "컨택트")</f>
        <v>컨택트</v>
      </c>
      <c r="C2822" s="45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97" t="s">
        <v>3441</v>
      </c>
    </row>
    <row r="2823" spans="1:10" ht="28.9" customHeight="1" thickTop="1" thickBot="1" x14ac:dyDescent="0.65">
      <c r="A2823" s="5">
        <v>2821</v>
      </c>
      <c r="B2823" s="46" t="str">
        <f>HYPERLINK("https://search.naver.com/search.naver?query=컨테이젼 영화", "컨테이젼")</f>
        <v>컨테이젼</v>
      </c>
      <c r="C2823" s="47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98" t="s">
        <v>3454</v>
      </c>
    </row>
    <row r="2824" spans="1:10" ht="28.9" customHeight="1" thickTop="1" thickBot="1" x14ac:dyDescent="0.65">
      <c r="A2824" s="3">
        <v>2822</v>
      </c>
      <c r="B2824" s="44" t="str">
        <f>HYPERLINK("https://search.naver.com/search.naver?query=컨텐더 영화", "컨텐더")</f>
        <v>컨텐더</v>
      </c>
      <c r="C2824" s="45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97" t="s">
        <v>3458</v>
      </c>
    </row>
    <row r="2825" spans="1:10" ht="28.9" customHeight="1" thickTop="1" thickBot="1" x14ac:dyDescent="0.65">
      <c r="A2825" s="5">
        <v>2823</v>
      </c>
      <c r="B2825" s="46" t="str">
        <f>HYPERLINK("https://search.naver.com/search.naver?query=컨피던스 맨 JP 영화", "컨피던스 맨 JP")</f>
        <v>컨피던스 맨 JP</v>
      </c>
      <c r="C2825" s="47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98" t="s">
        <v>3444</v>
      </c>
    </row>
    <row r="2826" spans="1:10" ht="28.9" customHeight="1" thickTop="1" thickBot="1" x14ac:dyDescent="0.65">
      <c r="A2826" s="3">
        <v>2824</v>
      </c>
      <c r="B2826" s="44" t="str">
        <f>HYPERLINK("https://search.naver.com/search.naver?query=컬러 아웃 오브 스페이스 영화", "컬러 아웃 오브 스페이스")</f>
        <v>컬러 아웃 오브 스페이스</v>
      </c>
      <c r="C2826" s="45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97" t="s">
        <v>3444</v>
      </c>
    </row>
    <row r="2827" spans="1:10" ht="28.9" customHeight="1" thickTop="1" thickBot="1" x14ac:dyDescent="0.65">
      <c r="A2827" s="5">
        <v>2825</v>
      </c>
      <c r="B2827" s="46" t="str">
        <f>HYPERLINK("https://search.naver.com/search.naver?query=컬러 오브 나이트 영화", "컬러 오브 나이트")</f>
        <v>컬러 오브 나이트</v>
      </c>
      <c r="C2827" s="47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98" t="s">
        <v>3467</v>
      </c>
    </row>
    <row r="2828" spans="1:10" ht="28.9" customHeight="1" thickTop="1" thickBot="1" x14ac:dyDescent="0.65">
      <c r="A2828" s="3">
        <v>2826</v>
      </c>
      <c r="B2828" s="44" t="str">
        <f>HYPERLINK("https://search.naver.com/search.naver?query=컴퍼니 유 킵 영화", "컴퍼니 유 킵")</f>
        <v>컴퍼니 유 킵</v>
      </c>
      <c r="C2828" s="45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97" t="s">
        <v>3439</v>
      </c>
    </row>
    <row r="2829" spans="1:10" ht="28.9" customHeight="1" thickTop="1" thickBot="1" x14ac:dyDescent="0.65">
      <c r="A2829" s="5">
        <v>2827</v>
      </c>
      <c r="B2829" s="46" t="str">
        <f>HYPERLINK("https://search.naver.com/search.naver?query=컴플라이언스 영화", "컴플라이언스")</f>
        <v>컴플라이언스</v>
      </c>
      <c r="C2829" s="47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98" t="s">
        <v>3439</v>
      </c>
    </row>
    <row r="2830" spans="1:10" ht="28.9" customHeight="1" thickTop="1" thickBot="1" x14ac:dyDescent="0.65">
      <c r="A2830" s="3">
        <v>2828</v>
      </c>
      <c r="B2830" s="44" t="str">
        <f>HYPERLINK("https://search.naver.com/search.naver?query=케이 팩스 영화", "케이 팩스")</f>
        <v>케이 팩스</v>
      </c>
      <c r="C2830" s="45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97" t="s">
        <v>3457</v>
      </c>
    </row>
    <row r="2831" spans="1:10" ht="28.9" customHeight="1" thickTop="1" thickBot="1" x14ac:dyDescent="0.65">
      <c r="A2831" s="5">
        <v>2829</v>
      </c>
      <c r="B2831" s="46" t="str">
        <f>HYPERLINK("https://search.naver.com/search.naver?query=케이트 맥콜 영화", "케이트 맥콜")</f>
        <v>케이트 맥콜</v>
      </c>
      <c r="C2831" s="47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98" t="s">
        <v>3451</v>
      </c>
    </row>
    <row r="2832" spans="1:10" ht="28.9" customHeight="1" thickTop="1" thickBot="1" x14ac:dyDescent="0.65">
      <c r="A2832" s="3">
        <v>2830</v>
      </c>
      <c r="B2832" s="44" t="str">
        <f>HYPERLINK("https://search.naver.com/search.naver?query=코끼리의 등 영화", "코끼리의 등")</f>
        <v>코끼리의 등</v>
      </c>
      <c r="C2832" s="45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97" t="s">
        <v>3447</v>
      </c>
    </row>
    <row r="2833" spans="1:10" ht="28.9" customHeight="1" thickTop="1" thickBot="1" x14ac:dyDescent="0.65">
      <c r="A2833" s="5">
        <v>2831</v>
      </c>
      <c r="B2833" s="46" t="str">
        <f>HYPERLINK("https://search.naver.com/search.naver?query=코다 영화", "코다")</f>
        <v>코다</v>
      </c>
      <c r="C2833" s="47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98" t="s">
        <v>3438</v>
      </c>
    </row>
    <row r="2834" spans="1:10" ht="28.9" customHeight="1" thickTop="1" thickBot="1" x14ac:dyDescent="0.65">
      <c r="A2834" s="3">
        <v>2832</v>
      </c>
      <c r="B2834" s="44" t="str">
        <f>HYPERLINK("https://search.naver.com/search.naver?query=코드 영화", "코드")</f>
        <v>코드</v>
      </c>
      <c r="C2834" s="45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97" t="s">
        <v>3453</v>
      </c>
    </row>
    <row r="2835" spans="1:10" ht="28.9" customHeight="1" thickTop="1" thickBot="1" x14ac:dyDescent="0.65">
      <c r="A2835" s="5">
        <v>2833</v>
      </c>
      <c r="B2835" s="46" t="str">
        <f>HYPERLINK("https://search.naver.com/search.naver?query=코드네임 제로니모 영화", "코드네임 제로니모")</f>
        <v>코드네임 제로니모</v>
      </c>
      <c r="C2835" s="47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98" t="s">
        <v>3439</v>
      </c>
    </row>
    <row r="2836" spans="1:10" ht="28.9" customHeight="1" thickTop="1" thickBot="1" x14ac:dyDescent="0.65">
      <c r="A2836" s="3">
        <v>2834</v>
      </c>
      <c r="B2836" s="44" t="str">
        <f>HYPERLINK("https://search.naver.com/search.naver?query=코드명 엔젤 영화", "코드명 엔젤")</f>
        <v>코드명 엔젤</v>
      </c>
      <c r="C2836" s="45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97" t="s">
        <v>3442</v>
      </c>
    </row>
    <row r="2837" spans="1:10" ht="28.9" customHeight="1" thickTop="1" thickBot="1" x14ac:dyDescent="0.65">
      <c r="A2837" s="5">
        <v>2835</v>
      </c>
      <c r="B2837" s="46" t="str">
        <f>HYPERLINK("https://search.naver.com/search.naver?query=코러스 영화", "코러스")</f>
        <v>코러스</v>
      </c>
      <c r="C2837" s="47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98" t="s">
        <v>3462</v>
      </c>
    </row>
    <row r="2838" spans="1:10" ht="28.9" customHeight="1" thickTop="1" thickBot="1" x14ac:dyDescent="0.65">
      <c r="A2838" s="3">
        <v>2836</v>
      </c>
      <c r="B2838" s="44" t="str">
        <f>HYPERLINK("https://search.naver.com/search.naver?query=코렐리의 만돌린 영화", "코렐리의 만돌린")</f>
        <v>코렐리의 만돌린</v>
      </c>
      <c r="C2838" s="45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97" t="s">
        <v>3457</v>
      </c>
    </row>
    <row r="2839" spans="1:10" ht="28.9" customHeight="1" thickTop="1" thickBot="1" x14ac:dyDescent="0.65">
      <c r="A2839" s="5">
        <v>2837</v>
      </c>
      <c r="B2839" s="46" t="str">
        <f>HYPERLINK("https://search.naver.com/search.naver?query=코리아 영화", "코리아")</f>
        <v>코리아</v>
      </c>
      <c r="C2839" s="47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98" t="s">
        <v>3439</v>
      </c>
    </row>
    <row r="2840" spans="1:10" ht="28.9" customHeight="1" thickTop="1" thickBot="1" x14ac:dyDescent="0.65">
      <c r="A2840" s="3">
        <v>2838</v>
      </c>
      <c r="B2840" s="44" t="str">
        <f>HYPERLINK("https://search.naver.com/search.naver?query=코블러 영화", "코블러")</f>
        <v>코블러</v>
      </c>
      <c r="C2840" s="45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97" t="s">
        <v>3437</v>
      </c>
    </row>
    <row r="2841" spans="1:10" ht="28.9" customHeight="1" thickTop="1" thickBot="1" x14ac:dyDescent="0.65">
      <c r="A2841" s="5">
        <v>2839</v>
      </c>
      <c r="B2841" s="46" t="str">
        <f>HYPERLINK("https://search.naver.com/search.naver?query=코뿔소의 계절 영화", "코뿔소의 계절")</f>
        <v>코뿔소의 계절</v>
      </c>
      <c r="C2841" s="47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98" t="s">
        <v>3439</v>
      </c>
    </row>
    <row r="2842" spans="1:10" ht="28.9" customHeight="1" thickTop="1" thickBot="1" x14ac:dyDescent="0.65">
      <c r="A2842" s="3">
        <v>2840</v>
      </c>
      <c r="B2842" s="44" t="str">
        <f>HYPERLINK("https://search.naver.com/search.naver?query=코어 영화", "코어")</f>
        <v>코어</v>
      </c>
      <c r="C2842" s="45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97" t="s">
        <v>3449</v>
      </c>
    </row>
    <row r="2843" spans="1:10" ht="28.9" customHeight="1" thickTop="1" thickBot="1" x14ac:dyDescent="0.65">
      <c r="A2843" s="5">
        <v>2841</v>
      </c>
      <c r="B2843" s="46" t="str">
        <f>HYPERLINK("https://search.naver.com/search.naver?query=코치 카터 영화", "코치 카터")</f>
        <v>코치 카터</v>
      </c>
      <c r="C2843" s="47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98" t="s">
        <v>3461</v>
      </c>
    </row>
    <row r="2844" spans="1:10" ht="28.9" customHeight="1" thickTop="1" thickBot="1" x14ac:dyDescent="0.65">
      <c r="A2844" s="3">
        <v>2842</v>
      </c>
      <c r="B2844" s="44" t="str">
        <f>HYPERLINK("https://search.naver.com/search.naver?query=코카인 베어 영화", "코카인 베어")</f>
        <v>코카인 베어</v>
      </c>
      <c r="C2844" s="45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97" t="s">
        <v>3446</v>
      </c>
    </row>
    <row r="2845" spans="1:10" ht="28.9" customHeight="1" thickTop="1" thickBot="1" x14ac:dyDescent="0.65">
      <c r="A2845" s="5">
        <v>2843</v>
      </c>
      <c r="B2845" s="46" t="str">
        <f>HYPERLINK("https://search.naver.com/search.naver?query=콘스탄트 가드너 영화", "콘스탄트 가드너")</f>
        <v>콘스탄트 가드너</v>
      </c>
      <c r="C2845" s="47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98" t="s">
        <v>3461</v>
      </c>
    </row>
    <row r="2846" spans="1:10" ht="28.9" customHeight="1" thickTop="1" thickBot="1" x14ac:dyDescent="0.65">
      <c r="A2846" s="3">
        <v>2844</v>
      </c>
      <c r="B2846" s="44" t="str">
        <f>HYPERLINK("https://search.naver.com/search.naver?query=콘크리트 유토피아 영화", "콘크리트 유토피아")</f>
        <v>콘크리트 유토피아</v>
      </c>
      <c r="C2846" s="45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97" t="s">
        <v>3446</v>
      </c>
    </row>
    <row r="2847" spans="1:10" ht="28.9" customHeight="1" thickTop="1" thickBot="1" x14ac:dyDescent="0.65">
      <c r="A2847" s="5">
        <v>2845</v>
      </c>
      <c r="B2847" s="46" t="str">
        <f>HYPERLINK("https://search.naver.com/search.naver?query=콘택트1997", "콘택트")</f>
        <v>콘택트</v>
      </c>
      <c r="C2847" s="47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98" t="s">
        <v>3470</v>
      </c>
    </row>
    <row r="2848" spans="1:10" ht="28.9" customHeight="1" thickTop="1" thickBot="1" x14ac:dyDescent="0.65">
      <c r="A2848" s="5">
        <v>2846</v>
      </c>
      <c r="B2848" s="46" t="str">
        <f>HYPERLINK("https://search.naver.com/search.naver?query=콘트라밴드 영화", "콘트라밴드")</f>
        <v>콘트라밴드</v>
      </c>
      <c r="C2848" s="47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98" t="s">
        <v>3439</v>
      </c>
    </row>
    <row r="2849" spans="1:10" ht="27.6" customHeight="1" thickTop="1" thickBot="1" x14ac:dyDescent="0.65">
      <c r="A2849" s="26">
        <v>2847</v>
      </c>
      <c r="B2849" s="87" t="str">
        <f>HYPERLINK("https://search.naver.com/search.naver?query=아마존의 눈물 다큐", "아마존의 눈물")</f>
        <v>아마존의 눈물</v>
      </c>
      <c r="C2849" s="57">
        <v>8.48</v>
      </c>
      <c r="D2849" s="30" t="s">
        <v>2896</v>
      </c>
      <c r="E2849" s="26" t="s">
        <v>2897</v>
      </c>
      <c r="F2849" s="26">
        <v>2010</v>
      </c>
      <c r="G2849" s="26" t="s">
        <v>2576</v>
      </c>
      <c r="H2849" s="26" t="s">
        <v>2576</v>
      </c>
      <c r="I2849" s="26" t="s">
        <v>231</v>
      </c>
      <c r="J2849" s="104" t="s">
        <v>3455</v>
      </c>
    </row>
    <row r="2850" spans="1:10" ht="28.9" customHeight="1" thickTop="1" thickBot="1" x14ac:dyDescent="0.65">
      <c r="A2850" s="5">
        <v>2848</v>
      </c>
      <c r="B2850" s="46" t="str">
        <f>HYPERLINK("https://search.naver.com/search.naver?query=콘티키 위대한 항해 영화", "콘티키-위대한 항해")</f>
        <v>콘티키-위대한 항해</v>
      </c>
      <c r="C2850" s="47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98" t="s">
        <v>3439</v>
      </c>
    </row>
    <row r="2851" spans="1:10" ht="28.9" customHeight="1" thickTop="1" thickBot="1" x14ac:dyDescent="0.65">
      <c r="A2851" s="3">
        <v>2849</v>
      </c>
      <c r="B2851" s="44" t="str">
        <f>HYPERLINK("https://search.naver.com/search.naver?query=콜 영화", "콜")</f>
        <v>콜</v>
      </c>
      <c r="C2851" s="45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97" t="s">
        <v>3436</v>
      </c>
    </row>
    <row r="2852" spans="1:10" ht="28.9" customHeight="1" thickTop="1" thickBot="1" x14ac:dyDescent="0.65">
      <c r="A2852" s="5">
        <v>2850</v>
      </c>
      <c r="B2852" s="46" t="str">
        <f>HYPERLINK("https://search.naver.com/search.naver?query=콜드 마운틴 영화", "콜드 마운틴")</f>
        <v>콜드 마운틴</v>
      </c>
      <c r="C2852" s="47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98" t="s">
        <v>3449</v>
      </c>
    </row>
    <row r="2853" spans="1:10" ht="28.9" customHeight="1" thickTop="1" thickBot="1" x14ac:dyDescent="0.65">
      <c r="A2853" s="3">
        <v>2851</v>
      </c>
      <c r="B2853" s="44" t="str">
        <f>HYPERLINK("https://search.naver.com/search.naver?query=콜드 블러드 레거시 영화", "콜드 블러드 레거시")</f>
        <v>콜드 블러드 레거시</v>
      </c>
      <c r="C2853" s="45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97" t="s">
        <v>3444</v>
      </c>
    </row>
    <row r="2854" spans="1:10" ht="28.9" customHeight="1" thickTop="1" thickBot="1" x14ac:dyDescent="0.65">
      <c r="A2854" s="5">
        <v>2852</v>
      </c>
      <c r="B2854" s="46" t="str">
        <f>HYPERLINK("https://search.naver.com/search.naver?query=콜드체이싱 영화", "콜드체이싱")</f>
        <v>콜드체이싱</v>
      </c>
      <c r="C2854" s="47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98" t="s">
        <v>3444</v>
      </c>
    </row>
    <row r="2855" spans="1:10" ht="28.9" customHeight="1" thickTop="1" thickBot="1" x14ac:dyDescent="0.65">
      <c r="A2855" s="3">
        <v>2853</v>
      </c>
      <c r="B2855" s="44" t="str">
        <f>HYPERLINK("https://search.naver.com/search.naver?query=콜디스트 게임 영화", "콜디스트 게임")</f>
        <v>콜디스트 게임</v>
      </c>
      <c r="C2855" s="45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97" t="s">
        <v>3444</v>
      </c>
    </row>
    <row r="2856" spans="1:10" ht="28.9" customHeight="1" thickTop="1" thickBot="1" x14ac:dyDescent="0.65">
      <c r="A2856" s="5">
        <v>2854</v>
      </c>
      <c r="B2856" s="46" t="str">
        <f>HYPERLINK("https://search.naver.com/search.naver?query=콜로니아 영화", "콜로니아")</f>
        <v>콜로니아</v>
      </c>
      <c r="C2856" s="47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98" t="s">
        <v>3440</v>
      </c>
    </row>
    <row r="2857" spans="1:10" ht="28.9" customHeight="1" thickTop="1" thickBot="1" x14ac:dyDescent="0.65">
      <c r="A2857" s="3">
        <v>2855</v>
      </c>
      <c r="B2857" s="44" t="str">
        <f>HYPERLINK("https://search.naver.com/search.naver?query=콜롬비아나 영화", "콜롬비아나")</f>
        <v>콜롬비아나</v>
      </c>
      <c r="C2857" s="45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97" t="s">
        <v>3454</v>
      </c>
    </row>
    <row r="2858" spans="1:10" ht="28.9" customHeight="1" thickTop="1" thickBot="1" x14ac:dyDescent="0.65">
      <c r="A2858" s="5">
        <v>2856</v>
      </c>
      <c r="B2858" s="46" t="str">
        <f>HYPERLINK("https://search.naver.com/search.naver?query=콜리니 케이스 영화", "콜리니 케이스")</f>
        <v>콜리니 케이스</v>
      </c>
      <c r="C2858" s="47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98" t="s">
        <v>3444</v>
      </c>
    </row>
    <row r="2859" spans="1:10" ht="28.9" customHeight="1" thickTop="1" thickBot="1" x14ac:dyDescent="0.65">
      <c r="A2859" s="3">
        <v>2857</v>
      </c>
      <c r="B2859" s="44" t="str">
        <f>HYPERLINK("https://search.naver.com/search.naver?query=콜보이 영화", "콜보이")</f>
        <v>콜보이</v>
      </c>
      <c r="C2859" s="45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97" t="s">
        <v>3442</v>
      </c>
    </row>
    <row r="2860" spans="1:10" ht="28.9" customHeight="1" thickTop="1" thickBot="1" x14ac:dyDescent="0.65">
      <c r="A2860" s="5">
        <v>2858</v>
      </c>
      <c r="B2860" s="46" t="str">
        <f>HYPERLINK("https://search.naver.com/search.naver?query=콜 사라진 여자들 영화", "콜-사라진 여자들")</f>
        <v>콜-사라진 여자들</v>
      </c>
      <c r="C2860" s="47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98" t="s">
        <v>3436</v>
      </c>
    </row>
    <row r="2861" spans="1:10" ht="28.9" customHeight="1" thickTop="1" thickBot="1" x14ac:dyDescent="0.65">
      <c r="A2861" s="3">
        <v>2859</v>
      </c>
      <c r="B2861" s="44" t="str">
        <f>HYPERLINK("https://search.naver.com/search.naver?query=콩 스컬 아일랜드 영화", "콩 - 스컬 아일랜드")</f>
        <v>콩 - 스컬 아일랜드</v>
      </c>
      <c r="C2861" s="45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97" t="s">
        <v>3443</v>
      </c>
    </row>
    <row r="2862" spans="1:10" ht="28.9" customHeight="1" thickTop="1" thickBot="1" x14ac:dyDescent="0.65">
      <c r="A2862" s="5">
        <v>2860</v>
      </c>
      <c r="B2862" s="46" t="str">
        <f>HYPERLINK("https://search.naver.com/search.naver?query=콰이어트 플레이스 영화", "콰이어트 플레이스")</f>
        <v>콰이어트 플레이스</v>
      </c>
      <c r="C2862" s="47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98" t="s">
        <v>3442</v>
      </c>
    </row>
    <row r="2863" spans="1:10" ht="28.9" customHeight="1" thickTop="1" thickBot="1" x14ac:dyDescent="0.65">
      <c r="A2863" s="3">
        <v>2861</v>
      </c>
      <c r="B2863" s="44" t="str">
        <f>HYPERLINK("https://search.naver.com/search.naver?query=콰이어트 플레이스 2 영화", "콰이어트 플레이스 2")</f>
        <v>콰이어트 플레이스 2</v>
      </c>
      <c r="C2863" s="45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97" t="s">
        <v>3436</v>
      </c>
    </row>
    <row r="2864" spans="1:10" ht="28.9" customHeight="1" thickTop="1" thickBot="1" x14ac:dyDescent="0.65">
      <c r="A2864" s="5">
        <v>2862</v>
      </c>
      <c r="B2864" s="46" t="str">
        <f>HYPERLINK("https://search.naver.com/search.naver?query=콰이어트맨 영화", "콰이어트맨")</f>
        <v>콰이어트맨</v>
      </c>
      <c r="C2864" s="47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98">
        <v>39813</v>
      </c>
    </row>
    <row r="2865" spans="1:10" ht="28.9" customHeight="1" thickTop="1" thickBot="1" x14ac:dyDescent="0.65">
      <c r="A2865" s="3">
        <v>2863</v>
      </c>
      <c r="B2865" s="44" t="str">
        <f>HYPERLINK("https://search.naver.com/search.naver?query=쿠르스크 영화", "쿠르스크")</f>
        <v>쿠르스크</v>
      </c>
      <c r="C2865" s="45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97" t="s">
        <v>3442</v>
      </c>
    </row>
    <row r="2866" spans="1:10" ht="28.9" customHeight="1" thickTop="1" thickBot="1" x14ac:dyDescent="0.65">
      <c r="A2866" s="5">
        <v>2864</v>
      </c>
      <c r="B2866" s="46" t="str">
        <f>HYPERLINK("https://search.naver.com/search.naver?query=쿠폰의 여왕 영화", "쿠폰의 여왕")</f>
        <v>쿠폰의 여왕</v>
      </c>
      <c r="C2866" s="47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98" t="s">
        <v>3438</v>
      </c>
    </row>
    <row r="2867" spans="1:10" ht="28.9" customHeight="1" thickTop="1" thickBot="1" x14ac:dyDescent="0.65">
      <c r="A2867" s="3">
        <v>2865</v>
      </c>
      <c r="B2867" s="44" t="str">
        <f>HYPERLINK("https://search.naver.com/search.naver?query=퀵 영화", "퀵")</f>
        <v>퀵</v>
      </c>
      <c r="C2867" s="45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97" t="s">
        <v>3454</v>
      </c>
    </row>
    <row r="2868" spans="1:10" ht="28.9" customHeight="1" thickTop="1" thickBot="1" x14ac:dyDescent="0.65">
      <c r="A2868" s="5">
        <v>2866</v>
      </c>
      <c r="B2868" s="46" t="str">
        <f>HYPERLINK("https://search.naver.com/search.naver?query=퀸 오브 데저트 영화", "퀸 오브 데저트")</f>
        <v>퀸 오브 데저트</v>
      </c>
      <c r="C2868" s="47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98" t="s">
        <v>3440</v>
      </c>
    </row>
    <row r="2869" spans="1:10" ht="28.9" customHeight="1" thickTop="1" thickBot="1" x14ac:dyDescent="0.65">
      <c r="A2869" s="7">
        <v>2867</v>
      </c>
      <c r="B2869" s="48" t="str">
        <f>HYPERLINK("https://search.naver.com/search.naver?query=퀸스겜빗 시즌1", "퀸스겜빗 시즌1")</f>
        <v>퀸스겜빗 시즌1</v>
      </c>
      <c r="C2869" s="49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99" t="s">
        <v>3436</v>
      </c>
    </row>
    <row r="2870" spans="1:10" ht="28.9" customHeight="1" thickTop="1" thickBot="1" x14ac:dyDescent="0.65">
      <c r="A2870" s="5">
        <v>2868</v>
      </c>
      <c r="B2870" s="46" t="str">
        <f>HYPERLINK("https://search.naver.com/search.naver?query=크게 될 놈 영화", "크게 될 놈")</f>
        <v>크게 될 놈</v>
      </c>
      <c r="C2870" s="47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98" t="s">
        <v>3444</v>
      </c>
    </row>
    <row r="2871" spans="1:10" ht="28.9" customHeight="1" thickTop="1" thickBot="1" x14ac:dyDescent="0.65">
      <c r="A2871" s="3">
        <v>2869</v>
      </c>
      <c r="B2871" s="44" t="str">
        <f>HYPERLINK("https://search.naver.com/search.naver?query=크라이 마초 영화", "크라이 마초")</f>
        <v>크라이 마초</v>
      </c>
      <c r="C2871" s="45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97" t="s">
        <v>3438</v>
      </c>
    </row>
    <row r="2872" spans="1:10" ht="28.9" customHeight="1" thickTop="1" thickBot="1" x14ac:dyDescent="0.65">
      <c r="A2872" s="5">
        <v>2870</v>
      </c>
      <c r="B2872" s="46" t="str">
        <f>HYPERLINK("https://search.naver.com/search.naver?query=크라이시스 영화", "크라이시스")</f>
        <v>크라이시스</v>
      </c>
      <c r="C2872" s="47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98" t="s">
        <v>3438</v>
      </c>
    </row>
    <row r="2873" spans="1:10" ht="28.9" customHeight="1" thickTop="1" thickBot="1" x14ac:dyDescent="0.65">
      <c r="A2873" s="5">
        <v>2871</v>
      </c>
      <c r="B2873" s="46" t="str">
        <f>HYPERLINK("https://search.naver.com/search.naver?query=크라임 101 영화", "크라임 101")</f>
        <v>크라임 101</v>
      </c>
      <c r="C2873" s="47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98" t="s">
        <v>2919</v>
      </c>
    </row>
    <row r="2874" spans="1:10" ht="28.9" customHeight="1" thickTop="1" thickBot="1" x14ac:dyDescent="0.65">
      <c r="A2874" s="7">
        <v>2872</v>
      </c>
      <c r="B2874" s="48" t="str">
        <f>HYPERLINK("https://search.naver.com/search.naver?query=크라임 퍼즐 드라마", "크라임 퍼즐")</f>
        <v>크라임 퍼즐</v>
      </c>
      <c r="C2874" s="49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99" t="s">
        <v>3438</v>
      </c>
    </row>
    <row r="2875" spans="1:10" ht="28.9" customHeight="1" thickTop="1" thickBot="1" x14ac:dyDescent="0.65">
      <c r="A2875" s="5">
        <v>2873</v>
      </c>
      <c r="B2875" s="46" t="str">
        <f>HYPERLINK("https://search.naver.com/search.naver?query=크래쉬 영화", "크래쉬")</f>
        <v>크래쉬</v>
      </c>
      <c r="C2875" s="47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98" t="s">
        <v>3462</v>
      </c>
    </row>
    <row r="2876" spans="1:10" ht="28.9" customHeight="1" thickTop="1" thickBot="1" x14ac:dyDescent="0.65">
      <c r="A2876" s="3">
        <v>2874</v>
      </c>
      <c r="B2876" s="44" t="str">
        <f>HYPERLINK("https://search.naver.com/search.naver?query=크래쉬 포인트 영화", "크래쉬 포인트")</f>
        <v>크래쉬 포인트</v>
      </c>
      <c r="C2876" s="45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97" t="s">
        <v>3441</v>
      </c>
    </row>
    <row r="2877" spans="1:10" ht="28.9" customHeight="1" thickTop="1" thickBot="1" x14ac:dyDescent="0.65">
      <c r="A2877" s="5">
        <v>2875</v>
      </c>
      <c r="B2877" s="46" t="str">
        <f>HYPERLINK("https://search.naver.com/search.naver?query=크레이지 리치 아시안 영화", "크레이지 리치 아시안")</f>
        <v>크레이지 리치 아시안</v>
      </c>
      <c r="C2877" s="47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98" t="s">
        <v>3442</v>
      </c>
    </row>
    <row r="2878" spans="1:10" ht="28.9" customHeight="1" thickTop="1" thickBot="1" x14ac:dyDescent="0.65">
      <c r="A2878" s="3">
        <v>2876</v>
      </c>
      <c r="B2878" s="44" t="str">
        <f>HYPERLINK("https://search.naver.com/search.naver?query=크로니클 영화", "크로니클")</f>
        <v>크로니클</v>
      </c>
      <c r="C2878" s="45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97" t="s">
        <v>3439</v>
      </c>
    </row>
    <row r="2879" spans="1:10" ht="28.9" customHeight="1" thickTop="1" thickBot="1" x14ac:dyDescent="0.65">
      <c r="A2879" s="5">
        <v>2877</v>
      </c>
      <c r="B2879" s="46" t="str">
        <f>HYPERLINK("https://search.naver.com/search.naver?query=크로스 영화", "크로스")</f>
        <v>크로스</v>
      </c>
      <c r="C2879" s="47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98" t="s">
        <v>3448</v>
      </c>
    </row>
    <row r="2880" spans="1:10" ht="28.9" customHeight="1" thickTop="1" thickBot="1" x14ac:dyDescent="0.65">
      <c r="A2880" s="3">
        <v>2878</v>
      </c>
      <c r="B2880" s="44" t="str">
        <f>HYPERLINK("https://search.naver.com/search.naver?query=크로싱 오버 영화", "크로싱 오버")</f>
        <v>크로싱 오버</v>
      </c>
      <c r="C2880" s="45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97" t="s">
        <v>3453</v>
      </c>
    </row>
    <row r="2881" spans="1:10" ht="28.9" customHeight="1" thickTop="1" thickBot="1" x14ac:dyDescent="0.65">
      <c r="A2881" s="5">
        <v>2879</v>
      </c>
      <c r="B2881" s="46" t="str">
        <f>HYPERLINK("https://search.naver.com/search.naver?query=크로즈 썸 영화", "크로즈 썸")</f>
        <v>크로즈 썸</v>
      </c>
      <c r="C2881" s="47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98" t="s">
        <v>3439</v>
      </c>
    </row>
    <row r="2882" spans="1:10" ht="28.9" customHeight="1" thickTop="1" thickBot="1" x14ac:dyDescent="0.65">
      <c r="A2882" s="3">
        <v>2880</v>
      </c>
      <c r="B2882" s="44" t="str">
        <f>HYPERLINK("https://search.naver.com/search.naver?query=크롤 영화", "크롤")</f>
        <v>크롤</v>
      </c>
      <c r="C2882" s="45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97" t="s">
        <v>3444</v>
      </c>
    </row>
    <row r="2883" spans="1:10" ht="28.9" customHeight="1" thickTop="1" thickBot="1" x14ac:dyDescent="0.65">
      <c r="A2883" s="5">
        <v>2881</v>
      </c>
      <c r="B2883" s="46" t="str">
        <f>HYPERLINK("https://search.naver.com/search.naver?query=크루엘라 영화", "크루엘라")</f>
        <v>크루엘라</v>
      </c>
      <c r="C2883" s="47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98" t="s">
        <v>3438</v>
      </c>
    </row>
    <row r="2884" spans="1:10" ht="28.9" customHeight="1" thickTop="1" thickBot="1" x14ac:dyDescent="0.65">
      <c r="A2884" s="3">
        <v>2882</v>
      </c>
      <c r="B2884" s="44" t="str">
        <f>HYPERLINK("https://search.naver.com/search.naver?query=크리드 영화", "크리드")</f>
        <v>크리드</v>
      </c>
      <c r="C2884" s="45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97" t="s">
        <v>3440</v>
      </c>
    </row>
    <row r="2885" spans="1:10" ht="28.9" customHeight="1" thickTop="1" thickBot="1" x14ac:dyDescent="0.65">
      <c r="A2885" s="5">
        <v>2883</v>
      </c>
      <c r="B2885" s="46" t="str">
        <f>HYPERLINK("https://search.naver.com/search.naver?query=크리드2 영화", "크리드2")</f>
        <v>크리드2</v>
      </c>
      <c r="C2885" s="47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98" t="s">
        <v>3442</v>
      </c>
    </row>
    <row r="2886" spans="1:10" ht="28.9" customHeight="1" thickTop="1" thickBot="1" x14ac:dyDescent="0.65">
      <c r="A2886" s="3">
        <v>2884</v>
      </c>
      <c r="B2886" s="44" t="str">
        <f>HYPERLINK("https://search.naver.com/search.naver?query=크리마스에 날아갑니다", "크리마스에 날아갑니다")</f>
        <v>크리마스에 날아갑니다</v>
      </c>
      <c r="C2886" s="45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97" t="s">
        <v>3436</v>
      </c>
    </row>
    <row r="2887" spans="1:10" ht="28.9" customHeight="1" thickTop="1" thickBot="1" x14ac:dyDescent="0.65">
      <c r="A2887" s="5">
        <v>2885</v>
      </c>
      <c r="B2887" s="46" t="str">
        <f>HYPERLINK("https://search.naver.com/search.naver?query=크리미널 영화", "크리미널")</f>
        <v>크리미널</v>
      </c>
      <c r="C2887" s="47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98" t="s">
        <v>3441</v>
      </c>
    </row>
    <row r="2888" spans="1:10" ht="28.9" customHeight="1" thickTop="1" thickBot="1" x14ac:dyDescent="0.65">
      <c r="A2888" s="3">
        <v>2886</v>
      </c>
      <c r="B2888" s="44" t="str">
        <f>HYPERLINK("https://search.naver.com/search.naver?query=크리미널 스쿼드 영화", "크리미널 스쿼드")</f>
        <v>크리미널 스쿼드</v>
      </c>
      <c r="C2888" s="45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97" t="s">
        <v>3442</v>
      </c>
    </row>
    <row r="2889" spans="1:10" ht="28.9" customHeight="1" thickTop="1" thickBot="1" x14ac:dyDescent="0.65">
      <c r="A2889" s="5">
        <v>2887</v>
      </c>
      <c r="B2889" s="46" t="str">
        <f>HYPERLINK("https://search.naver.com/search.naver?query=크리미널 액티비티즈 영화", "크리미널 액티비티즈")</f>
        <v>크리미널 액티비티즈</v>
      </c>
      <c r="C2889" s="47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98" t="s">
        <v>3440</v>
      </c>
    </row>
    <row r="2890" spans="1:10" ht="28.9" customHeight="1" thickTop="1" thickBot="1" x14ac:dyDescent="0.65">
      <c r="A2890" s="3">
        <v>2888</v>
      </c>
      <c r="B2890" s="44" t="str">
        <f>HYPERLINK("https://search.naver.com/search.naver?query=크리스마스 스위치 한 번 더 바꿔 영화", "크리스마스 스위치-한 번 더 바꿔")</f>
        <v>크리스마스 스위치-한 번 더 바꿔</v>
      </c>
      <c r="C2890" s="45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97" t="s">
        <v>3436</v>
      </c>
    </row>
    <row r="2891" spans="1:10" ht="28.9" customHeight="1" thickTop="1" thickBot="1" x14ac:dyDescent="0.65">
      <c r="A2891" s="5">
        <v>2889</v>
      </c>
      <c r="B2891" s="46" t="str">
        <f>HYPERLINK("https://search.naver.com/search.naver?query=크리스마스 인 아프리카 영화", "크리스마스 인 아프리카")</f>
        <v>크리스마스 인 아프리카</v>
      </c>
      <c r="C2891" s="47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98" t="s">
        <v>3444</v>
      </c>
    </row>
    <row r="2892" spans="1:10" ht="28.9" customHeight="1" thickTop="1" thickBot="1" x14ac:dyDescent="0.65">
      <c r="A2892" s="3">
        <v>2890</v>
      </c>
      <c r="B2892" s="44" t="str">
        <f>HYPERLINK("https://search.naver.com/search.naver?query=크리스마스에 기사가 올까요 영화", "크리스마스에 기사가 올까요")</f>
        <v>크리스마스에 기사가 올까요</v>
      </c>
      <c r="C2892" s="45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97" t="s">
        <v>3444</v>
      </c>
    </row>
    <row r="2893" spans="1:10" ht="28.9" customHeight="1" thickTop="1" thickBot="1" x14ac:dyDescent="0.65">
      <c r="A2893" s="5">
        <v>2891</v>
      </c>
      <c r="B2893" s="46" t="str">
        <f>HYPERLINK("https://search.naver.com/search.naver?query=크리피 일가족 연쇄 실종 사건 영화", "크리피 - 일가족 연쇄 실종 사건")</f>
        <v>크리피 - 일가족 연쇄 실종 사건</v>
      </c>
      <c r="C2893" s="47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98" t="s">
        <v>3441</v>
      </c>
    </row>
    <row r="2894" spans="1:10" ht="28.9" customHeight="1" thickTop="1" thickBot="1" x14ac:dyDescent="0.65">
      <c r="A2894" s="3">
        <v>2892</v>
      </c>
      <c r="B2894" s="44" t="str">
        <f>HYPERLINK("https://search.naver.com/search.naver?query=클라우드 아틀라스 영화", "클라우드 아틀라스")</f>
        <v>클라우드 아틀라스</v>
      </c>
      <c r="C2894" s="45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97" t="s">
        <v>3439</v>
      </c>
    </row>
    <row r="2895" spans="1:10" ht="28.9" customHeight="1" thickTop="1" thickBot="1" x14ac:dyDescent="0.65">
      <c r="A2895" s="5">
        <v>2893</v>
      </c>
      <c r="B2895" s="46" t="str">
        <f>HYPERLINK("https://search.naver.com/search.naver?query=클라우즈 오브 실스마리아 영화", "클라우즈 오브 실스마리아")</f>
        <v>클라우즈 오브 실스마리아</v>
      </c>
      <c r="C2895" s="47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98" t="s">
        <v>3437</v>
      </c>
    </row>
    <row r="2896" spans="1:10" ht="28.9" customHeight="1" thickTop="1" thickBot="1" x14ac:dyDescent="0.65">
      <c r="A2896" s="3">
        <v>2894</v>
      </c>
      <c r="B2896" s="44" t="str">
        <f>HYPERLINK("https://search.naver.com/search.naver?query=클라이머즈 하이 영화", "클라이머즈 하이")</f>
        <v>클라이머즈 하이</v>
      </c>
      <c r="C2896" s="45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97" t="s">
        <v>3450</v>
      </c>
    </row>
    <row r="2897" spans="1:10" ht="28.9" customHeight="1" thickTop="1" thickBot="1" x14ac:dyDescent="0.65">
      <c r="A2897" s="5">
        <v>2895</v>
      </c>
      <c r="B2897" s="46" t="str">
        <f>HYPERLINK("https://search.naver.com/search.naver?query=클래식 영화", "클래식")</f>
        <v>클래식</v>
      </c>
      <c r="C2897" s="47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98" t="s">
        <v>3449</v>
      </c>
    </row>
    <row r="2898" spans="1:10" ht="28.9" customHeight="1" thickTop="1" thickBot="1" x14ac:dyDescent="0.65">
      <c r="A2898" s="3">
        <v>2896</v>
      </c>
      <c r="B2898" s="44" t="str">
        <f>HYPERLINK("https://search.naver.com/search.naver?query=클랜 영화", "클랜")</f>
        <v>클랜</v>
      </c>
      <c r="C2898" s="45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97" t="s">
        <v>3440</v>
      </c>
    </row>
    <row r="2899" spans="1:10" ht="28.9" customHeight="1" thickTop="1" thickBot="1" x14ac:dyDescent="0.65">
      <c r="A2899" s="5">
        <v>2897</v>
      </c>
      <c r="B2899" s="46" t="str">
        <f>HYPERLINK("https://search.naver.com/search.naver?query=클레멘시 영화", "클레멘시")</f>
        <v>클레멘시</v>
      </c>
      <c r="C2899" s="47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98" t="s">
        <v>3444</v>
      </c>
    </row>
    <row r="2900" spans="1:10" ht="28.9" customHeight="1" thickTop="1" thickBot="1" x14ac:dyDescent="0.65">
      <c r="A2900" s="3">
        <v>2898</v>
      </c>
      <c r="B2900" s="44" t="str">
        <f>HYPERLINK("https://search.naver.com/search.naver?query=클로버필드 패러독스", "클로버필드 패러독스")</f>
        <v>클로버필드 패러독스</v>
      </c>
      <c r="C2900" s="45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97" t="s">
        <v>3442</v>
      </c>
    </row>
    <row r="2901" spans="1:10" ht="28.9" customHeight="1" thickTop="1" thickBot="1" x14ac:dyDescent="0.65">
      <c r="A2901" s="5">
        <v>2899</v>
      </c>
      <c r="B2901" s="46" t="str">
        <f>HYPERLINK("https://search.naver.com/search.naver?query=클로이 영화", "클로이")</f>
        <v>클로이</v>
      </c>
      <c r="C2901" s="47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98" t="s">
        <v>3453</v>
      </c>
    </row>
    <row r="2902" spans="1:10" ht="28.9" customHeight="1" thickTop="1" thickBot="1" x14ac:dyDescent="0.65">
      <c r="A2902" s="3">
        <v>2900</v>
      </c>
      <c r="B2902" s="44" t="str">
        <f>HYPERLINK("https://search.naver.com/search.naver?query=클로저 영화", "클로저")</f>
        <v>클로저</v>
      </c>
      <c r="C2902" s="45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97" t="s">
        <v>3462</v>
      </c>
    </row>
    <row r="2903" spans="1:10" ht="28.9" customHeight="1" thickTop="1" thickBot="1" x14ac:dyDescent="0.65">
      <c r="A2903" s="5">
        <v>2901</v>
      </c>
      <c r="B2903" s="46" t="str">
        <f>HYPERLINK("https://search.naver.com/search.naver?query=클로젯 영화", "클로젯")</f>
        <v>클로젯</v>
      </c>
      <c r="C2903" s="47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98" t="s">
        <v>3436</v>
      </c>
    </row>
    <row r="2904" spans="1:10" ht="28.9" customHeight="1" thickTop="1" thickBot="1" x14ac:dyDescent="0.65">
      <c r="A2904" s="3">
        <v>2902</v>
      </c>
      <c r="B2904" s="44" t="str">
        <f>HYPERLINK("https://search.naver.com/search.naver?query=클로즈 영화", "클로즈")</f>
        <v>클로즈</v>
      </c>
      <c r="C2904" s="45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97" t="s">
        <v>3444</v>
      </c>
    </row>
    <row r="2905" spans="1:10" ht="28.9" customHeight="1" thickTop="1" thickBot="1" x14ac:dyDescent="0.65">
      <c r="A2905" s="5">
        <v>2903</v>
      </c>
      <c r="B2905" s="46" t="str">
        <f>HYPERLINK("https://search.naver.com/search.naver?query=클로즈드 노트 영화", "클로즈드 노트")</f>
        <v>클로즈드 노트</v>
      </c>
      <c r="C2905" s="47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98" t="s">
        <v>3447</v>
      </c>
    </row>
    <row r="2906" spans="1:10" ht="28.9" customHeight="1" thickTop="1" thickBot="1" x14ac:dyDescent="0.65">
      <c r="A2906" s="3">
        <v>2904</v>
      </c>
      <c r="B2906" s="44" t="str">
        <f>HYPERLINK("https://search.naver.com/search.naver?query=클리너 영화", "클리너")</f>
        <v>클리너</v>
      </c>
      <c r="C2906" s="45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97" t="s">
        <v>3447</v>
      </c>
    </row>
    <row r="2907" spans="1:10" ht="28.9" customHeight="1" thickTop="1" thickBot="1" x14ac:dyDescent="0.65">
      <c r="A2907" s="5">
        <v>2905</v>
      </c>
      <c r="B2907" s="46" t="str">
        <f>HYPERLINK("https://search.naver.com/search.naver?query=클릭 영화", "클릭")</f>
        <v>클릭</v>
      </c>
      <c r="C2907" s="47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98" t="s">
        <v>3460</v>
      </c>
    </row>
    <row r="2908" spans="1:10" ht="28.9" customHeight="1" thickTop="1" thickBot="1" x14ac:dyDescent="0.65">
      <c r="A2908" s="3">
        <v>2906</v>
      </c>
      <c r="B2908" s="44" t="str">
        <f>HYPERLINK("https://search.naver.com/search.naver?query=키드내핑 프레디 하이네켄", "키드내핑 프레디 하이네켄")</f>
        <v>키드내핑 프레디 하이네켄</v>
      </c>
      <c r="C2908" s="45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97" t="s">
        <v>3440</v>
      </c>
    </row>
    <row r="2909" spans="1:10" ht="28.9" customHeight="1" thickTop="1" thickBot="1" x14ac:dyDescent="0.65">
      <c r="A2909" s="5">
        <v>2907</v>
      </c>
      <c r="B2909" s="46" t="str">
        <f>HYPERLINK("https://search.naver.com/search.naver?query=키드냅 영화", "키드냅")</f>
        <v>키드냅</v>
      </c>
      <c r="C2909" s="47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98" t="s">
        <v>3443</v>
      </c>
    </row>
    <row r="2910" spans="1:10" ht="28.9" customHeight="1" thickTop="1" thickBot="1" x14ac:dyDescent="0.65">
      <c r="A2910" s="3">
        <v>2908</v>
      </c>
      <c r="B2910" s="44" t="str">
        <f>HYPERLINK("https://search.naver.com/search.naver?query=키사라기 미키짱 영화", "키사라기 미키짱")</f>
        <v>키사라기 미키짱</v>
      </c>
      <c r="C2910" s="45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97" t="s">
        <v>3447</v>
      </c>
    </row>
    <row r="2911" spans="1:10" ht="28.9" customHeight="1" thickTop="1" thickBot="1" x14ac:dyDescent="0.65">
      <c r="A2911" s="5">
        <v>2909</v>
      </c>
      <c r="B2911" s="46" t="str">
        <f>HYPERLINK("https://search.naver.com/search.naver?query=키퍼스 영화", "키퍼스")</f>
        <v>키퍼스</v>
      </c>
      <c r="C2911" s="47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98" t="s">
        <v>3442</v>
      </c>
    </row>
    <row r="2912" spans="1:10" ht="28.9" customHeight="1" thickTop="1" thickBot="1" x14ac:dyDescent="0.65">
      <c r="A2912" s="3">
        <v>2910</v>
      </c>
      <c r="B2912" s="44" t="str">
        <f>HYPERLINK("https://search.naver.com/search.naver?query=킬 유어 달링스 영화", "킬 유어 달링스")</f>
        <v>킬 유어 달링스</v>
      </c>
      <c r="C2912" s="45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97" t="s">
        <v>3451</v>
      </c>
    </row>
    <row r="2913" spans="1:10" ht="28.9" customHeight="1" thickTop="1" thickBot="1" x14ac:dyDescent="0.65">
      <c r="A2913" s="5">
        <v>2911</v>
      </c>
      <c r="B2913" s="46" t="str">
        <f>HYPERLINK("https://search.naver.com/search.naver?query=킬러의 보디가드 영화", "킬러의 보디가드")</f>
        <v>킬러의 보디가드</v>
      </c>
      <c r="C2913" s="47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98" t="s">
        <v>3443</v>
      </c>
    </row>
    <row r="2914" spans="1:10" ht="28.9" customHeight="1" thickTop="1" thickBot="1" x14ac:dyDescent="0.65">
      <c r="A2914" s="3">
        <v>2912</v>
      </c>
      <c r="B2914" s="44" t="str">
        <f>HYPERLINK("https://search.naver.com/search.naver?query=킬러의 보디가드 2 영화", "킬러의 보디가드 2")</f>
        <v>킬러의 보디가드 2</v>
      </c>
      <c r="C2914" s="45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97" t="s">
        <v>3438</v>
      </c>
    </row>
    <row r="2915" spans="1:10" ht="28.9" customHeight="1" thickTop="1" thickBot="1" x14ac:dyDescent="0.65">
      <c r="A2915" s="5">
        <v>2913</v>
      </c>
      <c r="B2915" s="46" t="str">
        <f>HYPERLINK("https://search.naver.com/search.naver?query=킬로 투 브라보 영화", "킬로 투 브라보")</f>
        <v>킬로 투 브라보</v>
      </c>
      <c r="C2915" s="47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98" t="s">
        <v>3437</v>
      </c>
    </row>
    <row r="2916" spans="1:10" ht="28.9" customHeight="1" thickTop="1" thickBot="1" x14ac:dyDescent="0.65">
      <c r="A2916" s="7">
        <v>2914</v>
      </c>
      <c r="B2916" s="48" t="str">
        <f>HYPERLINK("https://search.naver.com/search.naver?query=킬링 이브 시즌1", "킬링 이브 시즌1")</f>
        <v>킬링 이브 시즌1</v>
      </c>
      <c r="C2916" s="49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99" t="s">
        <v>3442</v>
      </c>
    </row>
    <row r="2917" spans="1:10" ht="28.9" customHeight="1" thickTop="1" thickBot="1" x14ac:dyDescent="0.65">
      <c r="A2917" s="7">
        <v>2915</v>
      </c>
      <c r="B2917" s="48" t="str">
        <f>HYPERLINK("https://search.naver.com/search.naver?query=킬링 이브 시즌2", "킬링 이브 시즌2")</f>
        <v>킬링 이브 시즌2</v>
      </c>
      <c r="C2917" s="49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99" t="s">
        <v>3444</v>
      </c>
    </row>
    <row r="2918" spans="1:10" ht="28.9" customHeight="1" thickTop="1" thickBot="1" x14ac:dyDescent="0.65">
      <c r="A2918" s="7">
        <v>2916</v>
      </c>
      <c r="B2918" s="48" t="str">
        <f>HYPERLINK("https://search.naver.com/search.naver?query=킬링 이브 시즌3", "킬링 이브 시즌3")</f>
        <v>킬링 이브 시즌3</v>
      </c>
      <c r="C2918" s="49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99" t="s">
        <v>3436</v>
      </c>
    </row>
    <row r="2919" spans="1:10" ht="28.9" customHeight="1" thickTop="1" thickBot="1" x14ac:dyDescent="0.65">
      <c r="A2919" s="7">
        <v>2917</v>
      </c>
      <c r="B2919" s="48" t="str">
        <f>HYPERLINK("https://search.naver.com/search.naver?query=킬링 이브 시즌4", "킬링 이브 시즌4")</f>
        <v>킬링 이브 시즌4</v>
      </c>
      <c r="C2919" s="49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99" t="s">
        <v>3445</v>
      </c>
    </row>
    <row r="2920" spans="1:10" ht="28.9" customHeight="1" thickTop="1" thickBot="1" x14ac:dyDescent="0.65">
      <c r="A2920" s="3">
        <v>2918</v>
      </c>
      <c r="B2920" s="44" t="str">
        <f>HYPERLINK("https://search.naver.com/search.naver?query=킬링시즌 영화", "킬링시즌")</f>
        <v>킬링시즌</v>
      </c>
      <c r="C2920" s="45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97" t="s">
        <v>3451</v>
      </c>
    </row>
    <row r="2921" spans="1:10" ht="28.9" customHeight="1" thickTop="1" thickBot="1" x14ac:dyDescent="0.65">
      <c r="A2921" s="5">
        <v>2919</v>
      </c>
      <c r="B2921" s="46" t="str">
        <f>HYPERLINK("https://search.naver.com/search.naver?query=킹 리차드 영화", "킹 리차드")</f>
        <v>킹 리차드</v>
      </c>
      <c r="C2921" s="47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98" t="s">
        <v>3438</v>
      </c>
    </row>
    <row r="2922" spans="1:10" ht="28.9" customHeight="1" thickTop="1" thickBot="1" x14ac:dyDescent="0.65">
      <c r="A2922" s="7">
        <v>2920</v>
      </c>
      <c r="B2922" s="48" t="str">
        <f>HYPERLINK("https://search.naver.com/search.naver?query=킹덤 시즌1 2019", "킹덤 시즌1")</f>
        <v>킹덤 시즌1</v>
      </c>
      <c r="C2922" s="49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99" t="s">
        <v>3444</v>
      </c>
    </row>
    <row r="2923" spans="1:10" ht="28.9" customHeight="1" thickTop="1" thickBot="1" x14ac:dyDescent="0.65">
      <c r="A2923" s="7">
        <v>2921</v>
      </c>
      <c r="B2923" s="48" t="str">
        <f>HYPERLINK("https://search.naver.com/search.naver?query=킹덤 시즌2", "킹덤 시즌2")</f>
        <v>킹덤 시즌2</v>
      </c>
      <c r="C2923" s="49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99" t="s">
        <v>3436</v>
      </c>
    </row>
    <row r="2924" spans="1:10" ht="28.9" customHeight="1" thickTop="1" thickBot="1" x14ac:dyDescent="0.65">
      <c r="A2924" s="3">
        <v>2922</v>
      </c>
      <c r="B2924" s="44" t="str">
        <f>HYPERLINK("https://search.naver.com/search.naver?query=킹메이커2011", "킹메이커")</f>
        <v>킹메이커</v>
      </c>
      <c r="C2924" s="45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97" t="s">
        <v>3445</v>
      </c>
    </row>
    <row r="2925" spans="1:10" ht="28.9" customHeight="1" thickTop="1" thickBot="1" x14ac:dyDescent="0.65">
      <c r="A2925" s="5">
        <v>2923</v>
      </c>
      <c r="B2925" s="46" t="str">
        <f>HYPERLINK("https://search.naver.com/search.naver?query=킹메이커 영화", "킹메이커")</f>
        <v>킹메이커</v>
      </c>
      <c r="C2925" s="47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98" t="s">
        <v>3439</v>
      </c>
    </row>
    <row r="2926" spans="1:10" ht="28.9" customHeight="1" thickTop="1" thickBot="1" x14ac:dyDescent="0.65">
      <c r="A2926" s="3">
        <v>2924</v>
      </c>
      <c r="B2926" s="44" t="str">
        <f>HYPERLINK("https://search.naver.com/search.naver?query=킹스 스피치 영화", "킹스 스피치")</f>
        <v>킹스 스피치</v>
      </c>
      <c r="C2926" s="45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97" t="s">
        <v>3455</v>
      </c>
    </row>
    <row r="2927" spans="1:10" ht="28.9" customHeight="1" thickTop="1" thickBot="1" x14ac:dyDescent="0.65">
      <c r="A2927" s="5">
        <v>2925</v>
      </c>
      <c r="B2927" s="46" t="str">
        <f>HYPERLINK("https://search.naver.com/search.naver?query=킹스맨 골든 서클 영화", "킹스맨 - 골든 서클")</f>
        <v>킹스맨 - 골든 서클</v>
      </c>
      <c r="C2927" s="47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98" t="s">
        <v>3443</v>
      </c>
    </row>
    <row r="2928" spans="1:10" ht="28.9" customHeight="1" thickTop="1" thickBot="1" x14ac:dyDescent="0.65">
      <c r="A2928" s="3">
        <v>2926</v>
      </c>
      <c r="B2928" s="44" t="str">
        <f>HYPERLINK("https://search.naver.com/search.naver?query=킹스맨 퍼스트 에이전트 영화", "킹스맨-퍼스트 에이전트")</f>
        <v>킹스맨-퍼스트 에이전트</v>
      </c>
      <c r="C2928" s="45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97" t="s">
        <v>3438</v>
      </c>
    </row>
    <row r="2929" spans="1:10" ht="28.9" customHeight="1" thickTop="1" thickBot="1" x14ac:dyDescent="0.65">
      <c r="A2929" s="5">
        <v>2927</v>
      </c>
      <c r="B2929" s="46" t="str">
        <f>HYPERLINK("https://search.naver.com/search.naver?query=킹콩을 들다 영화", "킹콩을 들다")</f>
        <v>킹콩을 들다</v>
      </c>
      <c r="C2929" s="47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98" t="s">
        <v>3453</v>
      </c>
    </row>
    <row r="2930" spans="1:10" ht="28.9" customHeight="1" thickTop="1" thickBot="1" x14ac:dyDescent="0.65">
      <c r="A2930" s="3">
        <v>2928</v>
      </c>
      <c r="B2930" s="44" t="str">
        <f>HYPERLINK("https://search.naver.com/search.naver?query=타겟 넘버 원 영화", "타겟 넘버 원")</f>
        <v>타겟 넘버 원</v>
      </c>
      <c r="C2930" s="45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97" t="s">
        <v>3436</v>
      </c>
    </row>
    <row r="2931" spans="1:10" ht="28.9" customHeight="1" thickTop="1" thickBot="1" x14ac:dyDescent="0.65">
      <c r="A2931" s="5">
        <v>2929</v>
      </c>
      <c r="B2931" s="46" t="str">
        <f>HYPERLINK("https://search.naver.com/search.naver?query=타르 영화", "타르")</f>
        <v>타르</v>
      </c>
      <c r="C2931" s="47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98" t="s">
        <v>3445</v>
      </c>
    </row>
    <row r="2932" spans="1:10" ht="28.9" customHeight="1" thickTop="1" thickBot="1" x14ac:dyDescent="0.65">
      <c r="A2932" s="3">
        <v>2930</v>
      </c>
      <c r="B2932" s="44" t="str">
        <f>HYPERLINK("https://search.naver.com/search.naver?query=타오르는 여인의 초상 영화", "타오르는 여인의 초상")</f>
        <v>타오르는 여인의 초상</v>
      </c>
      <c r="C2932" s="45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97" t="s">
        <v>3444</v>
      </c>
    </row>
    <row r="2933" spans="1:10" ht="28.9" customHeight="1" thickTop="1" thickBot="1" x14ac:dyDescent="0.65">
      <c r="A2933" s="5">
        <v>2931</v>
      </c>
      <c r="B2933" s="46" t="str">
        <f>HYPERLINK("https://search.naver.com/search.naver?query=타워 영화", "타워")</f>
        <v>타워</v>
      </c>
      <c r="C2933" s="47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98" t="s">
        <v>3439</v>
      </c>
    </row>
    <row r="2934" spans="1:10" ht="28.9" customHeight="1" thickTop="1" thickBot="1" x14ac:dyDescent="0.65">
      <c r="A2934" s="3">
        <v>2932</v>
      </c>
      <c r="B2934" s="44" t="str">
        <f>HYPERLINK("https://search.naver.com/search.naver?query=타워 하이스트 영화", "타워 하이스트")</f>
        <v>타워 하이스트</v>
      </c>
      <c r="C2934" s="45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97" t="s">
        <v>3454</v>
      </c>
    </row>
    <row r="2935" spans="1:10" ht="28.9" customHeight="1" thickTop="1" thickBot="1" x14ac:dyDescent="0.65">
      <c r="A2935" s="5">
        <v>2933</v>
      </c>
      <c r="B2935" s="46" t="str">
        <f>HYPERLINK("https://search.naver.com/search.naver?query=타이타닉 영화", "타이타닉")</f>
        <v>타이타닉</v>
      </c>
      <c r="C2935" s="47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98" t="s">
        <v>3470</v>
      </c>
    </row>
    <row r="2936" spans="1:10" ht="28.9" customHeight="1" thickTop="1" thickBot="1" x14ac:dyDescent="0.65">
      <c r="A2936" s="3">
        <v>2934</v>
      </c>
      <c r="B2936" s="44" t="str">
        <f>HYPERLINK("https://search.naver.com/search.naver?query=타이페이 카페 스토리 영화", "타이페이 카페 스토리")</f>
        <v>타이페이 카페 스토리</v>
      </c>
      <c r="C2936" s="45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97" t="s">
        <v>3455</v>
      </c>
    </row>
    <row r="2937" spans="1:10" ht="28.9" customHeight="1" thickTop="1" thickBot="1" x14ac:dyDescent="0.65">
      <c r="A2937" s="5">
        <v>2935</v>
      </c>
      <c r="B2937" s="46" t="str">
        <f>HYPERLINK("https://search.naver.com/search.naver?query=타인의 삶 영화", "타인의 삶")</f>
        <v>타인의 삶</v>
      </c>
      <c r="C2937" s="47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98" t="s">
        <v>3460</v>
      </c>
    </row>
    <row r="2938" spans="1:10" ht="28.9" customHeight="1" thickTop="1" thickBot="1" x14ac:dyDescent="0.65">
      <c r="A2938" s="3">
        <v>2936</v>
      </c>
      <c r="B2938" s="44" t="str">
        <f>HYPERLINK("https://search.naver.com/search.naver?query=타인의 친절 영화", "타인의 친절")</f>
        <v>타인의 친절</v>
      </c>
      <c r="C2938" s="45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97" t="s">
        <v>3444</v>
      </c>
    </row>
    <row r="2939" spans="1:10" ht="28.9" customHeight="1" thickTop="1" thickBot="1" x14ac:dyDescent="0.65">
      <c r="A2939" s="7">
        <v>2937</v>
      </c>
      <c r="B2939" s="48" t="str">
        <f>HYPERLINK("https://search.naver.com/search.naver?query=타임2021 영국드라마", "타임")</f>
        <v>타임</v>
      </c>
      <c r="C2939" s="49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99" t="s">
        <v>3438</v>
      </c>
    </row>
    <row r="2940" spans="1:10" ht="28.9" customHeight="1" thickTop="1" thickBot="1" x14ac:dyDescent="0.65">
      <c r="A2940" s="3">
        <v>2938</v>
      </c>
      <c r="B2940" s="44" t="str">
        <f>HYPERLINK("https://search.naver.com/search.naver?query=타임 투 러브 영화", "타임 투 러브")</f>
        <v>타임 투 러브</v>
      </c>
      <c r="C2940" s="45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97" t="s">
        <v>3437</v>
      </c>
    </row>
    <row r="2941" spans="1:10" ht="28.9" customHeight="1" thickTop="1" thickBot="1" x14ac:dyDescent="0.65">
      <c r="A2941" s="5">
        <v>2939</v>
      </c>
      <c r="B2941" s="46" t="str">
        <f>HYPERLINK("https://search.naver.com/search.naver?query=타임 투게더 영화", "타임 투게더")</f>
        <v>타임 투게더</v>
      </c>
      <c r="C2941" s="47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98" t="s">
        <v>3443</v>
      </c>
    </row>
    <row r="2942" spans="1:10" ht="28.9" customHeight="1" thickTop="1" thickBot="1" x14ac:dyDescent="0.65">
      <c r="A2942" s="3">
        <v>2940</v>
      </c>
      <c r="B2942" s="44" t="str">
        <f>HYPERLINK("https://search.naver.com/search.naver?query=타임 패러독스 영화", "타임 패러독스")</f>
        <v>타임 패러독스</v>
      </c>
      <c r="C2942" s="45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97" t="s">
        <v>3437</v>
      </c>
    </row>
    <row r="2943" spans="1:10" ht="28.9" customHeight="1" thickTop="1" thickBot="1" x14ac:dyDescent="0.65">
      <c r="A2943" s="5">
        <v>2941</v>
      </c>
      <c r="B2943" s="46" t="str">
        <f>HYPERLINK("https://search.naver.com/search.naver?query=타짜 신의 손 영화", "타짜-신의 손")</f>
        <v>타짜-신의 손</v>
      </c>
      <c r="C2943" s="47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98" t="s">
        <v>3437</v>
      </c>
    </row>
    <row r="2944" spans="1:10" ht="28.9" customHeight="1" thickTop="1" thickBot="1" x14ac:dyDescent="0.65">
      <c r="A2944" s="3">
        <v>2942</v>
      </c>
      <c r="B2944" s="44" t="str">
        <f>HYPERLINK("https://search.naver.com/search.naver?query=탄생 영화", "탄생")</f>
        <v>탄생</v>
      </c>
      <c r="C2944" s="45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97" t="s">
        <v>3462</v>
      </c>
    </row>
    <row r="2945" spans="1:10" ht="28.9" customHeight="1" thickTop="1" thickBot="1" x14ac:dyDescent="0.65">
      <c r="A2945" s="5">
        <v>2943</v>
      </c>
      <c r="B2945" s="46" t="str">
        <f>HYPERLINK("https://search.naver.com/search.naver?query=탈주 영화", "탈주")</f>
        <v>탈주</v>
      </c>
      <c r="C2945" s="47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98" t="s">
        <v>3448</v>
      </c>
    </row>
    <row r="2946" spans="1:10" s="61" customFormat="1" ht="28.9" customHeight="1" thickTop="1" thickBot="1" x14ac:dyDescent="0.65">
      <c r="A2946" s="11">
        <v>2944</v>
      </c>
      <c r="B2946" s="59" t="str">
        <f>HYPERLINK("https://search.naver.com/search.naver?query=탐엣더팜 영화", "탐엣더팜")</f>
        <v>탐엣더팜</v>
      </c>
      <c r="C2946" s="60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105" t="s">
        <v>3451</v>
      </c>
    </row>
    <row r="2947" spans="1:10" ht="28.9" customHeight="1" thickTop="1" thickBot="1" x14ac:dyDescent="0.65">
      <c r="A2947" s="5">
        <v>2945</v>
      </c>
      <c r="B2947" s="46" t="str">
        <f>HYPERLINK("https://search.naver.com/search.naver?query=탐욕의 제국 영화", "탐욕의 제국")</f>
        <v>탐욕의 제국</v>
      </c>
      <c r="C2947" s="47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98" t="s">
        <v>3439</v>
      </c>
    </row>
    <row r="2948" spans="1:10" ht="28.9" customHeight="1" thickTop="1" thickBot="1" x14ac:dyDescent="0.65">
      <c r="A2948" s="3">
        <v>2946</v>
      </c>
      <c r="B2948" s="44" t="str">
        <f>HYPERLINK("https://search.naver.com/search.naver?query=탐정 더 비기닝 영화", "탐정 - 더 비기닝")</f>
        <v>탐정 - 더 비기닝</v>
      </c>
      <c r="C2948" s="45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97" t="s">
        <v>3440</v>
      </c>
    </row>
    <row r="2949" spans="1:10" ht="28.9" customHeight="1" thickTop="1" thickBot="1" x14ac:dyDescent="0.65">
      <c r="A2949" s="5">
        <v>2947</v>
      </c>
      <c r="B2949" s="46" t="str">
        <f>HYPERLINK("https://search.naver.com/search.naver?query=탐정 리턴즈 영화", "탐정-리턴즈")</f>
        <v>탐정-리턴즈</v>
      </c>
      <c r="C2949" s="47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98" t="s">
        <v>3442</v>
      </c>
    </row>
    <row r="2950" spans="1:10" ht="28.9" customHeight="1" thickTop="1" thickBot="1" x14ac:dyDescent="0.65">
      <c r="A2950" s="3">
        <v>2948</v>
      </c>
      <c r="B2950" s="44" t="str">
        <f>HYPERLINK("https://search.naver.com/search.naver?query=탑건 매버릭 영화", "탑건")</f>
        <v>탑건</v>
      </c>
      <c r="C2950" s="45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97">
        <v>32142</v>
      </c>
    </row>
    <row r="2951" spans="1:10" ht="28.9" customHeight="1" thickTop="1" thickBot="1" x14ac:dyDescent="0.65">
      <c r="A2951" s="3">
        <v>2949</v>
      </c>
      <c r="B2951" s="44" t="str">
        <f>HYPERLINK("https://search.naver.com/search.naver?query=탑건 매버릭 영화", "탑건-매버릭")</f>
        <v>탑건-매버릭</v>
      </c>
      <c r="C2951" s="45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97" t="s">
        <v>3445</v>
      </c>
    </row>
    <row r="2952" spans="1:10" ht="28.9" customHeight="1" thickTop="1" thickBot="1" x14ac:dyDescent="0.65">
      <c r="A2952" s="5">
        <v>2950</v>
      </c>
      <c r="B2952" s="46" t="str">
        <f>HYPERLINK("https://search.naver.com/search.naver?query=태극기 휘날리며 영화", "태극기 휘날리며")</f>
        <v>태극기 휘날리며</v>
      </c>
      <c r="C2952" s="47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98" t="s">
        <v>3462</v>
      </c>
    </row>
    <row r="2953" spans="1:10" ht="28.9" customHeight="1" thickTop="1" thickBot="1" x14ac:dyDescent="0.65">
      <c r="A2953" s="3">
        <v>2951</v>
      </c>
      <c r="B2953" s="44" t="str">
        <f>HYPERLINK("https://search.naver.com/search.naver?query=태양은 움직이지 않는다 영화", "태양은 움직이지 않는다")</f>
        <v>태양은 움직이지 않는다</v>
      </c>
      <c r="C2953" s="45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97" t="s">
        <v>3436</v>
      </c>
    </row>
    <row r="2954" spans="1:10" ht="28.9" customHeight="1" thickTop="1" thickBot="1" x14ac:dyDescent="0.65">
      <c r="A2954" s="5">
        <v>2952</v>
      </c>
      <c r="B2954" s="46" t="str">
        <f>HYPERLINK("https://search.naver.com/search.naver?query=태양의 노래 영화", "태양의 노래")</f>
        <v>태양의 노래</v>
      </c>
      <c r="C2954" s="47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98" t="s">
        <v>3460</v>
      </c>
    </row>
    <row r="2955" spans="1:10" ht="28.9" customHeight="1" thickTop="1" thickBot="1" x14ac:dyDescent="0.65">
      <c r="A2955" s="3">
        <v>2953</v>
      </c>
      <c r="B2955" s="44" t="str">
        <f>HYPERLINK("https://search.naver.com/search.naver?query=태양의 제국 영화", "태양의 제국")</f>
        <v>태양의 제국</v>
      </c>
      <c r="C2955" s="45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97" t="s">
        <v>3481</v>
      </c>
    </row>
    <row r="2956" spans="1:10" ht="28.9" customHeight="1" thickTop="1" thickBot="1" x14ac:dyDescent="0.65">
      <c r="A2956" s="5">
        <v>2954</v>
      </c>
      <c r="B2956" s="46" t="str">
        <f>HYPERLINK("https://search.naver.com/search.naver?query=태평륜 피안 영화", "태평륜 피안")</f>
        <v>태평륜 피안</v>
      </c>
      <c r="C2956" s="47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98" t="s">
        <v>3440</v>
      </c>
    </row>
    <row r="2957" spans="1:10" ht="28.9" customHeight="1" thickTop="1" thickBot="1" x14ac:dyDescent="0.65">
      <c r="A2957" s="3">
        <v>2955</v>
      </c>
      <c r="B2957" s="44" t="str">
        <f>HYPERLINK("https://search.naver.com/search.naver?query=태풍이 지나가고 영화", "태풍이 지나가고")</f>
        <v>태풍이 지나가고</v>
      </c>
      <c r="C2957" s="45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97" t="s">
        <v>3441</v>
      </c>
    </row>
    <row r="2958" spans="1:10" ht="28.9" customHeight="1" thickTop="1" thickBot="1" x14ac:dyDescent="0.65">
      <c r="A2958" s="5">
        <v>2956</v>
      </c>
      <c r="B2958" s="46" t="str">
        <f>HYPERLINK("https://search.naver.com/search.naver?query=택시운전사 영화", "택시운전사")</f>
        <v>택시운전사</v>
      </c>
      <c r="C2958" s="47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98" t="s">
        <v>3443</v>
      </c>
    </row>
    <row r="2959" spans="1:10" ht="28.9" customHeight="1" thickTop="1" thickBot="1" x14ac:dyDescent="0.65">
      <c r="A2959" s="3">
        <v>2957</v>
      </c>
      <c r="B2959" s="44" t="str">
        <f>HYPERLINK("https://search.naver.com/search.naver?query=터널 영화", "터널")</f>
        <v>터널</v>
      </c>
      <c r="C2959" s="45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97" t="s">
        <v>3441</v>
      </c>
    </row>
    <row r="2960" spans="1:10" ht="28.9" customHeight="1" thickTop="1" thickBot="1" x14ac:dyDescent="0.65">
      <c r="A2960" s="5">
        <v>2958</v>
      </c>
      <c r="B2960" s="46" t="str">
        <f>HYPERLINK("https://search.naver.com/search.naver?query=터미널 영화", "터미널")</f>
        <v>터미널</v>
      </c>
      <c r="C2960" s="47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98" t="s">
        <v>3462</v>
      </c>
    </row>
    <row r="2961" spans="1:10" ht="28.9" customHeight="1" thickTop="1" thickBot="1" x14ac:dyDescent="0.65">
      <c r="A2961" s="7">
        <v>2959</v>
      </c>
      <c r="B2961" s="48" t="str">
        <f>HYPERLINK("https://search.naver.com/search.naver?query=터미널 리스트: 다크 울프 시즌1", "터미널 리스트 다크 울프 시즌1")</f>
        <v>터미널 리스트 다크 울프 시즌1</v>
      </c>
      <c r="C2961" s="49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99" t="s">
        <v>3459</v>
      </c>
    </row>
    <row r="2962" spans="1:10" ht="28.9" customHeight="1" thickTop="1" thickBot="1" x14ac:dyDescent="0.65">
      <c r="A2962" s="5">
        <v>2960</v>
      </c>
      <c r="B2962" s="46" t="str">
        <f>HYPERLINK("https://search.naver.com/search.naver?query=터미네이터 제니시스 영화", "터미네이터 - 제니시스")</f>
        <v>터미네이터 - 제니시스</v>
      </c>
      <c r="C2962" s="47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98" t="s">
        <v>3440</v>
      </c>
    </row>
    <row r="2963" spans="1:10" ht="28.9" customHeight="1" thickTop="1" thickBot="1" x14ac:dyDescent="0.65">
      <c r="A2963" s="3">
        <v>2961</v>
      </c>
      <c r="B2963" s="44" t="str">
        <f>HYPERLINK("https://search.naver.com/search.naver?query=터미네이터 다크 페이트 영화", "터미네이터-다크 페이트")</f>
        <v>터미네이터-다크 페이트</v>
      </c>
      <c r="C2963" s="45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97" t="s">
        <v>3444</v>
      </c>
    </row>
    <row r="2964" spans="1:10" ht="28.9" customHeight="1" thickTop="1" thickBot="1" x14ac:dyDescent="0.65">
      <c r="A2964" s="5">
        <v>2962</v>
      </c>
      <c r="B2964" s="46" t="str">
        <f>HYPERLINK("https://search.naver.com/search.naver?query=터치 영화", "터치")</f>
        <v>터치</v>
      </c>
      <c r="C2964" s="47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98" t="s">
        <v>3461</v>
      </c>
    </row>
    <row r="2965" spans="1:10" ht="28.9" customHeight="1" thickTop="1" thickBot="1" x14ac:dyDescent="0.65">
      <c r="A2965" s="3">
        <v>2963</v>
      </c>
      <c r="B2965" s="44" t="str">
        <f>HYPERLINK("https://search.naver.com/search.naver?query=테넷 영화", "테넷")</f>
        <v>테넷</v>
      </c>
      <c r="C2965" s="45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97" t="s">
        <v>3436</v>
      </c>
    </row>
    <row r="2966" spans="1:10" ht="28.9" customHeight="1" thickTop="1" thickBot="1" x14ac:dyDescent="0.65">
      <c r="A2966" s="7">
        <v>2964</v>
      </c>
      <c r="B2966" s="48" t="str">
        <f>HYPERLINK("https://search.naver.com/search.naver?query=테드 래소 시즌1", "테드 래소 시즌1")</f>
        <v>테드 래소 시즌1</v>
      </c>
      <c r="C2966" s="49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99" t="s">
        <v>3436</v>
      </c>
    </row>
    <row r="2967" spans="1:10" ht="28.9" customHeight="1" thickTop="1" thickBot="1" x14ac:dyDescent="0.65">
      <c r="A2967" s="7">
        <v>2965</v>
      </c>
      <c r="B2967" s="48" t="str">
        <f>HYPERLINK("https://search.naver.com/search.naver?query=테드 래소 시즌2", "테드 래소 시즌2")</f>
        <v>테드 래소 시즌2</v>
      </c>
      <c r="C2967" s="49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99" t="s">
        <v>3438</v>
      </c>
    </row>
    <row r="2968" spans="1:10" ht="28.9" customHeight="1" thickTop="1" thickBot="1" x14ac:dyDescent="0.65">
      <c r="A2968" s="5">
        <v>2966</v>
      </c>
      <c r="B2968" s="46" t="str">
        <f>HYPERLINK("https://search.naver.com/search.naver?query=테레즈 라캥 영화", "테레즈 라캥")</f>
        <v>테레즈 라캥</v>
      </c>
      <c r="C2968" s="47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98" t="s">
        <v>3451</v>
      </c>
    </row>
    <row r="2969" spans="1:10" ht="28.9" customHeight="1" thickTop="1" thickBot="1" x14ac:dyDescent="0.65">
      <c r="A2969" s="3">
        <v>2967</v>
      </c>
      <c r="B2969" s="44" t="str">
        <f>HYPERLINK("https://search.naver.com/search.naver?query=테이크 쉘터 영화", "테이크 쉘터")</f>
        <v>테이크 쉘터</v>
      </c>
      <c r="C2969" s="45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97" t="s">
        <v>3454</v>
      </c>
    </row>
    <row r="2970" spans="1:10" ht="28.9" customHeight="1" thickTop="1" thickBot="1" x14ac:dyDescent="0.65">
      <c r="A2970" s="5">
        <v>2968</v>
      </c>
      <c r="B2970" s="46" t="str">
        <f>HYPERLINK("https://search.naver.com/search.naver?query=테이큰 2 영화", "테이큰 2")</f>
        <v>테이큰 2</v>
      </c>
      <c r="C2970" s="47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98" t="s">
        <v>3439</v>
      </c>
    </row>
    <row r="2971" spans="1:10" ht="28.9" customHeight="1" thickTop="1" thickBot="1" x14ac:dyDescent="0.65">
      <c r="A2971" s="3">
        <v>2969</v>
      </c>
      <c r="B2971" s="44" t="str">
        <f>HYPERLINK("https://search.naver.com/search.naver?query=테이큰 3 영화", "테이큰 3")</f>
        <v>테이큰 3</v>
      </c>
      <c r="C2971" s="45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97" t="s">
        <v>3437</v>
      </c>
    </row>
    <row r="2972" spans="1:10" ht="28.9" customHeight="1" thickTop="1" thickBot="1" x14ac:dyDescent="0.65">
      <c r="A2972" s="5">
        <v>2970</v>
      </c>
      <c r="B2972" s="46" t="str">
        <f>HYPERLINK("https://search.naver.com/search.naver?query=테일러 오브 파나마 영화", "테일러 오브 파나마")</f>
        <v>테일러 오브 파나마</v>
      </c>
      <c r="C2972" s="47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98" t="s">
        <v>3457</v>
      </c>
    </row>
    <row r="2973" spans="1:10" ht="28.9" customHeight="1" thickTop="1" thickBot="1" x14ac:dyDescent="0.65">
      <c r="A2973" s="7">
        <v>2971</v>
      </c>
      <c r="B2973" s="48" t="str">
        <f>HYPERLINK("https://search.naver.com/search.naver?query=테헤란 시즌1", "테헤란 시즌1")</f>
        <v>테헤란 시즌1</v>
      </c>
      <c r="C2973" s="49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99" t="s">
        <v>3436</v>
      </c>
    </row>
    <row r="2974" spans="1:10" ht="28.9" customHeight="1" thickTop="1" thickBot="1" x14ac:dyDescent="0.65">
      <c r="A2974" s="7">
        <v>2972</v>
      </c>
      <c r="B2974" s="48" t="str">
        <f>HYPERLINK("https://search.naver.com/search.naver?query=테헤란 시즌2", "테헤란 시즌2")</f>
        <v>테헤란 시즌2</v>
      </c>
      <c r="C2974" s="49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99" t="s">
        <v>3445</v>
      </c>
    </row>
    <row r="2975" spans="1:10" ht="28.9" customHeight="1" thickTop="1" thickBot="1" x14ac:dyDescent="0.65">
      <c r="A2975" s="7">
        <v>2973</v>
      </c>
      <c r="B2975" s="48" t="str">
        <f>HYPERLINK("https://search.naver.com/search.naver?query=테헤란 시즌3", "테헤란 시즌3")</f>
        <v>테헤란 시즌3</v>
      </c>
      <c r="C2975" s="49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99">
        <v>46081</v>
      </c>
    </row>
    <row r="2976" spans="1:10" ht="28.9" customHeight="1" thickTop="1" thickBot="1" x14ac:dyDescent="0.65">
      <c r="A2976" s="5">
        <v>2974</v>
      </c>
      <c r="B2976" s="46" t="str">
        <f>HYPERLINK("https://search.naver.com/search.naver?query=텔 잇 투 더 비즈 영화", "텔 잇 투 더 비즈")</f>
        <v>텔 잇 투 더 비즈</v>
      </c>
      <c r="C2976" s="47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98" t="s">
        <v>3442</v>
      </c>
    </row>
    <row r="2977" spans="1:10" ht="28.9" customHeight="1" thickTop="1" thickBot="1" x14ac:dyDescent="0.65">
      <c r="A2977" s="3">
        <v>2975</v>
      </c>
      <c r="B2977" s="44" t="str">
        <f>HYPERLINK("https://search.naver.com/search.naver?query=토고 영화", "토고")</f>
        <v>토고</v>
      </c>
      <c r="C2977" s="45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97" t="s">
        <v>3444</v>
      </c>
    </row>
    <row r="2978" spans="1:10" ht="28.9" customHeight="1" thickTop="1" thickBot="1" x14ac:dyDescent="0.65">
      <c r="A2978" s="5">
        <v>2976</v>
      </c>
      <c r="B2978" s="46" t="str">
        <f>HYPERLINK("https://search.naver.com/search.naver?query=토끼 드롭 영화", "토끼 드롭")</f>
        <v>토끼 드롭</v>
      </c>
      <c r="C2978" s="47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98" t="s">
        <v>3454</v>
      </c>
    </row>
    <row r="2979" spans="1:10" ht="28.9" customHeight="1" thickTop="1" thickBot="1" x14ac:dyDescent="0.65">
      <c r="A2979" s="3">
        <v>2977</v>
      </c>
      <c r="B2979" s="44" t="str">
        <f>HYPERLINK("https://search.naver.com/search.naver?query=토니 에드만 영화", "토니 에드만")</f>
        <v>토니 에드만</v>
      </c>
      <c r="C2979" s="45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97" t="s">
        <v>3441</v>
      </c>
    </row>
    <row r="2980" spans="1:10" ht="28.9" customHeight="1" thickTop="1" thickBot="1" x14ac:dyDescent="0.65">
      <c r="A2980" s="5">
        <v>2978</v>
      </c>
      <c r="B2980" s="46" t="str">
        <f>HYPERLINK("https://search.naver.com/search.naver?query=토카레브 영화", "토카레브")</f>
        <v>토카레브</v>
      </c>
      <c r="C2980" s="47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98" t="s">
        <v>3437</v>
      </c>
    </row>
    <row r="2981" spans="1:10" ht="28.9" customHeight="1" thickTop="1" thickBot="1" x14ac:dyDescent="0.65">
      <c r="A2981" s="3">
        <v>2979</v>
      </c>
      <c r="B2981" s="44" t="str">
        <f>HYPERLINK("https://search.naver.com/search.naver?query=톰 클랜시의 복수 영화", "톰 클랜시의 복수")</f>
        <v>톰 클랜시의 복수</v>
      </c>
      <c r="C2981" s="45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97" t="s">
        <v>3438</v>
      </c>
    </row>
    <row r="2982" spans="1:10" ht="28.9" customHeight="1" thickTop="1" thickBot="1" x14ac:dyDescent="0.65">
      <c r="A2982" s="7">
        <v>2980</v>
      </c>
      <c r="B2982" s="48" t="str">
        <f>HYPERLINK("https://search.naver.com/search.naver?query=톰 클랜시의 잭 라이언 시즌1", "톰 클랜시의 잭 라이언 시즌1")</f>
        <v>톰 클랜시의 잭 라이언 시즌1</v>
      </c>
      <c r="C2982" s="49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99" t="s">
        <v>3442</v>
      </c>
    </row>
    <row r="2983" spans="1:10" ht="28.9" customHeight="1" thickTop="1" thickBot="1" x14ac:dyDescent="0.65">
      <c r="A2983" s="7">
        <v>2981</v>
      </c>
      <c r="B2983" s="48" t="str">
        <f>HYPERLINK("https://search.naver.com/search.naver?query=톰 클랜시의 잭 라이언 시즌2", "톰 클랜시의 잭 라이언 시즌2")</f>
        <v>톰 클랜시의 잭 라이언 시즌2</v>
      </c>
      <c r="C2983" s="49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99" t="s">
        <v>3444</v>
      </c>
    </row>
    <row r="2984" spans="1:10" ht="28.9" customHeight="1" thickTop="1" thickBot="1" x14ac:dyDescent="0.65">
      <c r="A2984" s="7">
        <v>2982</v>
      </c>
      <c r="B2984" s="48" t="str">
        <f>HYPERLINK("https://search.naver.com/search.naver?query=톰 클랜시의 잭 라이언 시즌3", "톰 클랜시의 잭 라이언 시즌3")</f>
        <v>톰 클랜시의 잭 라이언 시즌3</v>
      </c>
      <c r="C2984" s="49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99" t="s">
        <v>3445</v>
      </c>
    </row>
    <row r="2985" spans="1:10" ht="28.9" customHeight="1" thickTop="1" thickBot="1" x14ac:dyDescent="0.65">
      <c r="A2985" s="7">
        <v>2983</v>
      </c>
      <c r="B2985" s="48" t="str">
        <f>HYPERLINK("https://search.naver.com/search.naver?query=톰 클랜시의 잭 라이언 시즌4", "톰 클랜시의 잭 라이언 시즌4")</f>
        <v>톰 클랜시의 잭 라이언 시즌4</v>
      </c>
      <c r="C2985" s="49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99" t="s">
        <v>3446</v>
      </c>
    </row>
    <row r="2986" spans="1:10" ht="28.9" customHeight="1" thickTop="1" thickBot="1" x14ac:dyDescent="0.65">
      <c r="A2986" s="5">
        <v>2984</v>
      </c>
      <c r="B2986" s="46" t="str">
        <f>HYPERLINK("https://search.naver.com/search.naver?query=톱스타 영화", "톱스타")</f>
        <v>톱스타</v>
      </c>
      <c r="C2986" s="47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98" t="s">
        <v>3451</v>
      </c>
    </row>
    <row r="2987" spans="1:10" ht="28.9" customHeight="1" thickTop="1" thickBot="1" x14ac:dyDescent="0.65">
      <c r="A2987" s="3">
        <v>2985</v>
      </c>
      <c r="B2987" s="44" t="str">
        <f>HYPERLINK("https://search.naver.com/search.naver?query=투 더 원더 영화", "투 더 원더")</f>
        <v>투 더 원더</v>
      </c>
      <c r="C2987" s="45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97" t="s">
        <v>3439</v>
      </c>
    </row>
    <row r="2988" spans="1:10" ht="28.9" customHeight="1" thickTop="1" thickBot="1" x14ac:dyDescent="0.65">
      <c r="A2988" s="5">
        <v>2986</v>
      </c>
      <c r="B2988" s="46" t="str">
        <f>HYPERLINK("https://search.naver.com/search.naver?query=투 러버스 영화", "투 러버스")</f>
        <v>투 러버스</v>
      </c>
      <c r="C2988" s="47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98" t="s">
        <v>3450</v>
      </c>
    </row>
    <row r="2989" spans="1:10" ht="28.9" customHeight="1" thickTop="1" thickBot="1" x14ac:dyDescent="0.65">
      <c r="A2989" s="3">
        <v>2987</v>
      </c>
      <c r="B2989" s="44" t="str">
        <f>HYPERLINK("https://search.naver.com/search.naver?query=투 로마 위드 러브 영화", "투 로마 위드 러브")</f>
        <v>투 로마 위드 러브</v>
      </c>
      <c r="C2989" s="45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97" t="s">
        <v>3439</v>
      </c>
    </row>
    <row r="2990" spans="1:10" ht="28.9" customHeight="1" thickTop="1" thickBot="1" x14ac:dyDescent="0.65">
      <c r="A2990" s="5">
        <v>2988</v>
      </c>
      <c r="B2990" s="46" t="str">
        <f>HYPERLINK("https://search.naver.com/search.naver?query=투 마더스 영화", "투 마더스")</f>
        <v>투 마더스</v>
      </c>
      <c r="C2990" s="47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98" t="s">
        <v>3451</v>
      </c>
    </row>
    <row r="2991" spans="1:10" ht="28.9" customHeight="1" thickTop="1" thickBot="1" x14ac:dyDescent="0.65">
      <c r="A2991" s="3">
        <v>2989</v>
      </c>
      <c r="B2991" s="44" t="str">
        <f>HYPERLINK("https://search.naver.com/search.naver?query=투 빅 투 페일 영화", "투 빅 투 페일")</f>
        <v>투 빅 투 페일</v>
      </c>
      <c r="C2991" s="45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97" t="s">
        <v>3454</v>
      </c>
    </row>
    <row r="2992" spans="1:10" ht="28.9" customHeight="1" thickTop="1" thickBot="1" x14ac:dyDescent="0.65">
      <c r="A2992" s="5">
        <v>2990</v>
      </c>
      <c r="B2992" s="46" t="str">
        <f>HYPERLINK("https://search.naver.com/search.naver?query=투 이즈 어 패밀리 영화", "투 이즈 어 패밀리")</f>
        <v>투 이즈 어 패밀리</v>
      </c>
      <c r="C2992" s="47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98" t="s">
        <v>3441</v>
      </c>
    </row>
    <row r="2993" spans="1:10" ht="28.9" customHeight="1" thickTop="1" thickBot="1" x14ac:dyDescent="0.65">
      <c r="A2993" s="3">
        <v>2991</v>
      </c>
      <c r="B2993" s="44" t="str">
        <f>HYPERLINK("https://search.naver.com/search.naver?query=투가이즈 영화", "투가이즈")</f>
        <v>투가이즈</v>
      </c>
      <c r="C2993" s="45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97" t="s">
        <v>3462</v>
      </c>
    </row>
    <row r="2994" spans="1:10" ht="28.9" customHeight="1" thickTop="1" thickBot="1" x14ac:dyDescent="0.65">
      <c r="A2994" s="5">
        <v>2992</v>
      </c>
      <c r="B2994" s="46" t="str">
        <f>HYPERLINK("https://search.naver.com/search.naver?query=투건스 영화", "투건스")</f>
        <v>투건스</v>
      </c>
      <c r="C2994" s="47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98" t="s">
        <v>3451</v>
      </c>
    </row>
    <row r="2995" spans="1:10" ht="28.9" customHeight="1" thickTop="1" thickBot="1" x14ac:dyDescent="0.65">
      <c r="A2995" s="3">
        <v>2993</v>
      </c>
      <c r="B2995" s="44" t="str">
        <f>HYPERLINK("https://search.naver.com/search.naver?query=투모로우 워 영화", "투모로우 워")</f>
        <v>투모로우 워</v>
      </c>
      <c r="C2995" s="45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97" t="s">
        <v>3438</v>
      </c>
    </row>
    <row r="2996" spans="1:10" ht="28.9" customHeight="1" thickTop="1" thickBot="1" x14ac:dyDescent="0.65">
      <c r="A2996" s="5">
        <v>2994</v>
      </c>
      <c r="B2996" s="46" t="str">
        <f>HYPERLINK("https://search.naver.com/search.naver?query=투스카니의 태양 영화", "투스카니의 태양")</f>
        <v>투스카니의 태양</v>
      </c>
      <c r="C2996" s="47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98" t="s">
        <v>3449</v>
      </c>
    </row>
    <row r="2997" spans="1:10" ht="28.9" customHeight="1" thickTop="1" thickBot="1" x14ac:dyDescent="0.65">
      <c r="A2997" s="3">
        <v>2995</v>
      </c>
      <c r="B2997" s="44" t="str">
        <f>HYPERLINK("https://search.naver.com/search.naver?query=투어드포스 기적의여정 영화", "투어드포스-기적의여정")</f>
        <v>투어드포스-기적의여정</v>
      </c>
      <c r="C2997" s="45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97" t="s">
        <v>3437</v>
      </c>
    </row>
    <row r="2998" spans="1:10" ht="28.9" customHeight="1" thickTop="1" thickBot="1" x14ac:dyDescent="0.65">
      <c r="A2998" s="5">
        <v>2996</v>
      </c>
      <c r="B2998" s="46" t="str">
        <f>HYPERLINK("https://search.naver.com/search.naver?query=툴리 영화", "툴리")</f>
        <v>툴리</v>
      </c>
      <c r="C2998" s="47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98" t="s">
        <v>3442</v>
      </c>
    </row>
    <row r="2999" spans="1:10" ht="28.9" customHeight="1" thickTop="1" thickBot="1" x14ac:dyDescent="0.65">
      <c r="A2999" s="3">
        <v>2997</v>
      </c>
      <c r="B2999" s="44" t="str">
        <f>HYPERLINK("https://search.naver.com/search.naver?query=툼레이더 영화", "툼레이더")</f>
        <v>툼레이더</v>
      </c>
      <c r="C2999" s="45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97" t="s">
        <v>3442</v>
      </c>
    </row>
    <row r="3000" spans="1:10" ht="28.9" customHeight="1" thickTop="1" thickBot="1" x14ac:dyDescent="0.65">
      <c r="A3000" s="5">
        <v>2998</v>
      </c>
      <c r="B3000" s="46" t="str">
        <f>HYPERLINK("https://search.naver.com/search.naver?query=툼스톤 영화", "툼스톤")</f>
        <v>툼스톤</v>
      </c>
      <c r="C3000" s="47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98" t="s">
        <v>3469</v>
      </c>
    </row>
    <row r="3001" spans="1:10" ht="28.9" customHeight="1" thickTop="1" thickBot="1" x14ac:dyDescent="0.65">
      <c r="A3001" s="3">
        <v>2999</v>
      </c>
      <c r="B3001" s="44" t="str">
        <f>HYPERLINK("https://search.naver.com/search.naver?query=튤립 피버 영화", "튤립 피버")</f>
        <v>튤립 피버</v>
      </c>
      <c r="C3001" s="45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97" t="s">
        <v>3443</v>
      </c>
    </row>
    <row r="3002" spans="1:10" ht="28.9" customHeight="1" thickTop="1" thickBot="1" x14ac:dyDescent="0.65">
      <c r="A3002" s="5">
        <v>3000</v>
      </c>
      <c r="B3002" s="46" t="str">
        <f>HYPERLINK("https://search.naver.com/search.naver?query=트라우마 센터 영화", "트라우마 센터")</f>
        <v>트라우마 센터</v>
      </c>
      <c r="C3002" s="47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98" t="s">
        <v>3444</v>
      </c>
    </row>
    <row r="3003" spans="1:10" ht="28.9" customHeight="1" thickTop="1" thickBot="1" x14ac:dyDescent="0.65">
      <c r="A3003" s="3">
        <v>3001</v>
      </c>
      <c r="B3003" s="44" t="str">
        <f>HYPERLINK("https://search.naver.com/search.naver?query=트라이앵글 영화", "트라이앵글")</f>
        <v>트라이앵글</v>
      </c>
      <c r="C3003" s="45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97" t="s">
        <v>3453</v>
      </c>
    </row>
    <row r="3004" spans="1:10" ht="28.9" customHeight="1" thickTop="1" thickBot="1" x14ac:dyDescent="0.65">
      <c r="A3004" s="5">
        <v>3002</v>
      </c>
      <c r="B3004" s="46" t="str">
        <f>HYPERLINK("https://search.naver.com/search.naver?query=트라이얼 오브 더 시카고 7 영화", "트라이얼 오브 더 시카고 7")</f>
        <v>트라이얼 오브 더 시카고 7</v>
      </c>
      <c r="C3004" s="47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98" t="s">
        <v>3436</v>
      </c>
    </row>
    <row r="3005" spans="1:10" ht="28.9" customHeight="1" thickTop="1" thickBot="1" x14ac:dyDescent="0.65">
      <c r="A3005" s="3">
        <v>3003</v>
      </c>
      <c r="B3005" s="44" t="str">
        <f>HYPERLINK("https://search.naver.com/search.naver?query=트래쉬 영화", "트래쉬")</f>
        <v>트래쉬</v>
      </c>
      <c r="C3005" s="45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97" t="s">
        <v>3437</v>
      </c>
    </row>
    <row r="3006" spans="1:10" ht="28.9" customHeight="1" thickTop="1" thickBot="1" x14ac:dyDescent="0.65">
      <c r="A3006" s="5">
        <v>3004</v>
      </c>
      <c r="B3006" s="46" t="str">
        <f>HYPERLINK("https://search.naver.com/search.naver?query=트래픽 영화", "트래픽")</f>
        <v>트래픽</v>
      </c>
      <c r="C3006" s="47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98" t="s">
        <v>3458</v>
      </c>
    </row>
    <row r="3007" spans="1:10" ht="28.9" customHeight="1" thickTop="1" thickBot="1" x14ac:dyDescent="0.65">
      <c r="A3007" s="3">
        <v>3005</v>
      </c>
      <c r="B3007" s="44" t="str">
        <f>HYPERLINK("https://search.naver.com/search.naver?query=트래픽 영화", "트래픽")</f>
        <v>트래픽</v>
      </c>
      <c r="C3007" s="45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97" t="s">
        <v>3442</v>
      </c>
    </row>
    <row r="3008" spans="1:10" ht="28.9" customHeight="1" thickTop="1" thickBot="1" x14ac:dyDescent="0.65">
      <c r="A3008" s="5">
        <v>3006</v>
      </c>
      <c r="B3008" s="46" t="str">
        <f>HYPERLINK("https://search.naver.com/search.naver?query=트랜센던스 영화", "트랜센던스")</f>
        <v>트랜센던스</v>
      </c>
      <c r="C3008" s="47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98" t="s">
        <v>3437</v>
      </c>
    </row>
    <row r="3009" spans="1:10" ht="28.9" customHeight="1" thickTop="1" thickBot="1" x14ac:dyDescent="0.65">
      <c r="A3009" s="3">
        <v>3007</v>
      </c>
      <c r="B3009" s="44" t="str">
        <f>HYPERLINK("https://search.naver.com/search.naver?query=트랜스 시베리아 영화", "트랜스 시베리아")</f>
        <v>트랜스 시베리아</v>
      </c>
      <c r="C3009" s="45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97" t="s">
        <v>3450</v>
      </c>
    </row>
    <row r="3010" spans="1:10" ht="28.9" customHeight="1" thickTop="1" thickBot="1" x14ac:dyDescent="0.65">
      <c r="A3010" s="7">
        <v>3008</v>
      </c>
      <c r="B3010" s="48" t="str">
        <f>HYPERLINK("https://search.naver.com/search.naver?query=트랜스플랜트 시즌1", "트랜스플랜트 시즌1")</f>
        <v>트랜스플랜트 시즌1</v>
      </c>
      <c r="C3010" s="49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99" t="s">
        <v>3436</v>
      </c>
    </row>
    <row r="3011" spans="1:10" ht="28.9" customHeight="1" thickTop="1" thickBot="1" x14ac:dyDescent="0.65">
      <c r="A3011" s="3">
        <v>3009</v>
      </c>
      <c r="B3011" s="44" t="str">
        <f>HYPERLINK("https://search.naver.com/search.naver?query=트랜짓 영화", "트랜짓")</f>
        <v>트랜짓</v>
      </c>
      <c r="C3011" s="45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97" t="s">
        <v>3442</v>
      </c>
    </row>
    <row r="3012" spans="1:10" ht="28.9" customHeight="1" thickTop="1" thickBot="1" x14ac:dyDescent="0.65">
      <c r="A3012" s="5">
        <v>3010</v>
      </c>
      <c r="B3012" s="46" t="str">
        <f>HYPERLINK("https://search.naver.com/search.naver?query=트랩 영화", "트랩")</f>
        <v>트랩</v>
      </c>
      <c r="C3012" s="47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98" t="s">
        <v>3448</v>
      </c>
    </row>
    <row r="3013" spans="1:10" ht="28.9" customHeight="1" thickTop="1" thickBot="1" x14ac:dyDescent="0.65">
      <c r="A3013" s="3">
        <v>3011</v>
      </c>
      <c r="B3013" s="44" t="str">
        <f>HYPERLINK("https://search.naver.com/search.naver?query=트럼보 영화", "트럼보")</f>
        <v>트럼보</v>
      </c>
      <c r="C3013" s="45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97" t="s">
        <v>3440</v>
      </c>
    </row>
    <row r="3014" spans="1:10" ht="28.9" customHeight="1" thickTop="1" thickBot="1" x14ac:dyDescent="0.65">
      <c r="A3014" s="7">
        <v>3012</v>
      </c>
      <c r="B3014" s="48" t="str">
        <f>HYPERLINK("https://search.naver.com/search.naver?query=트레드스톤 드라마", "트레드스톤")</f>
        <v>트레드스톤</v>
      </c>
      <c r="C3014" s="49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99" t="s">
        <v>3444</v>
      </c>
    </row>
    <row r="3015" spans="1:10" ht="28.9" customHeight="1" thickTop="1" thickBot="1" x14ac:dyDescent="0.65">
      <c r="A3015" s="3">
        <v>3013</v>
      </c>
      <c r="B3015" s="44" t="str">
        <f>HYPERLINK("https://search.naver.com/search.naver?query=트레이닝 데이 영화", "트레이닝 데이")</f>
        <v>트레이닝 데이</v>
      </c>
      <c r="C3015" s="45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97" t="s">
        <v>3457</v>
      </c>
    </row>
    <row r="3016" spans="1:10" ht="28.9" customHeight="1" thickTop="1" thickBot="1" x14ac:dyDescent="0.65">
      <c r="A3016" s="5">
        <v>3014</v>
      </c>
      <c r="B3016" s="46" t="str">
        <f>HYPERLINK("https://search.naver.com/search.naver?query=트레이터 영화", "트레이터")</f>
        <v>트레이터</v>
      </c>
      <c r="C3016" s="47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98" t="s">
        <v>3450</v>
      </c>
    </row>
    <row r="3017" spans="1:10" ht="28.9" customHeight="1" thickTop="1" thickBot="1" x14ac:dyDescent="0.65">
      <c r="A3017" s="3">
        <v>3015</v>
      </c>
      <c r="B3017" s="44" t="str">
        <f>HYPERLINK("https://search.naver.com/search.naver?query=트레이터 영화", "트레이터")</f>
        <v>트레이터</v>
      </c>
      <c r="C3017" s="45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97" t="s">
        <v>3441</v>
      </c>
    </row>
    <row r="3018" spans="1:10" ht="28.9" customHeight="1" thickTop="1" thickBot="1" x14ac:dyDescent="0.65">
      <c r="A3018" s="5">
        <v>3016</v>
      </c>
      <c r="B3018" s="46" t="str">
        <f>HYPERLINK("https://search.naver.com/search.naver?query=트로이 영화", "트로이")</f>
        <v>트로이</v>
      </c>
      <c r="C3018" s="47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98" t="s">
        <v>3462</v>
      </c>
    </row>
    <row r="3019" spans="1:10" ht="28.9" customHeight="1" thickTop="1" thickBot="1" x14ac:dyDescent="0.65">
      <c r="A3019" s="3">
        <v>3017</v>
      </c>
      <c r="B3019" s="44" t="str">
        <f>HYPERLINK("https://search.naver.com/search.naver?query=트루 스토리 영화", "트루 스토리")</f>
        <v>트루 스토리</v>
      </c>
      <c r="C3019" s="45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97" t="s">
        <v>3440</v>
      </c>
    </row>
    <row r="3020" spans="1:10" ht="28.9" customHeight="1" thickTop="1" thickBot="1" x14ac:dyDescent="0.65">
      <c r="A3020" s="5">
        <v>3018</v>
      </c>
      <c r="B3020" s="46" t="str">
        <f>HYPERLINK("https://search.naver.com/search.naver?query=트루스 영화", "트루스")</f>
        <v>트루스</v>
      </c>
      <c r="C3020" s="47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98" t="s">
        <v>3440</v>
      </c>
    </row>
    <row r="3021" spans="1:10" ht="28.9" customHeight="1" thickTop="1" thickBot="1" x14ac:dyDescent="0.65">
      <c r="A3021" s="3">
        <v>3019</v>
      </c>
      <c r="B3021" s="44" t="str">
        <f>HYPERLINK("https://search.naver.com/search.naver?query=트루스 어바웃 엠마누엘 영화", "트루스 어바웃 엠마누엘")</f>
        <v>트루스 어바웃 엠마누엘</v>
      </c>
      <c r="C3021" s="45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97" t="s">
        <v>3451</v>
      </c>
    </row>
    <row r="3022" spans="1:10" ht="28.9" customHeight="1" thickTop="1" thickBot="1" x14ac:dyDescent="0.65">
      <c r="A3022" s="5">
        <v>3020</v>
      </c>
      <c r="B3022" s="46" t="str">
        <f>HYPERLINK("https://search.naver.com/search.naver?query=트리 오브 라이프 영화", "트리 오브 라이프")</f>
        <v>트리 오브 라이프</v>
      </c>
      <c r="C3022" s="47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98" t="s">
        <v>3454</v>
      </c>
    </row>
    <row r="3023" spans="1:10" ht="28.9" customHeight="1" thickTop="1" thickBot="1" x14ac:dyDescent="0.65">
      <c r="A3023" s="7">
        <v>3021</v>
      </c>
      <c r="B3023" s="48" t="str">
        <f>HYPERLINK("https://search.naver.com/search.naver?query=트리거 드라마", "트리거")</f>
        <v>트리거</v>
      </c>
      <c r="C3023" s="49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99" t="s">
        <v>3459</v>
      </c>
    </row>
    <row r="3024" spans="1:10" ht="28.9" customHeight="1" thickTop="1" thickBot="1" x14ac:dyDescent="0.65">
      <c r="A3024" s="5">
        <v>3022</v>
      </c>
      <c r="B3024" s="46" t="str">
        <f>HYPERLINK("https://search.naver.com/search.naver?query=트리거 워닝 영화", "트리거 워닝")</f>
        <v>트리거 워닝</v>
      </c>
      <c r="C3024" s="47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98" t="s">
        <v>3448</v>
      </c>
    </row>
    <row r="3025" spans="1:10" ht="28.9" customHeight="1" thickTop="1" thickBot="1" x14ac:dyDescent="0.65">
      <c r="A3025" s="3">
        <v>3023</v>
      </c>
      <c r="B3025" s="44" t="str">
        <f>HYPERLINK("https://search.naver.com/search.naver?query=트리거 포인트 영화", "트리거 포인트")</f>
        <v>트리거 포인트</v>
      </c>
      <c r="C3025" s="45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97" t="s">
        <v>3438</v>
      </c>
    </row>
    <row r="3026" spans="1:10" ht="28.9" customHeight="1" thickTop="1" thickBot="1" x14ac:dyDescent="0.65">
      <c r="A3026" s="7">
        <v>3024</v>
      </c>
      <c r="B3026" s="48" t="str">
        <f>HYPERLINK("https://search.naver.com/search.naver?query=트리즌 드라마", "트리즌")</f>
        <v>트리즌</v>
      </c>
      <c r="C3026" s="49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99" t="s">
        <v>3445</v>
      </c>
    </row>
    <row r="3027" spans="1:10" ht="28.9" customHeight="1" thickTop="1" thickBot="1" x14ac:dyDescent="0.65">
      <c r="A3027" s="3">
        <v>3025</v>
      </c>
      <c r="B3027" s="44" t="str">
        <f>HYPERLINK("https://search.naver.com/search.naver?query=트리플 9 영화", "트리플 9")</f>
        <v>트리플 9</v>
      </c>
      <c r="C3027" s="45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97" t="s">
        <v>3441</v>
      </c>
    </row>
    <row r="3028" spans="1:10" ht="28.9" customHeight="1" thickTop="1" thickBot="1" x14ac:dyDescent="0.65">
      <c r="A3028" s="5">
        <v>3026</v>
      </c>
      <c r="B3028" s="46" t="str">
        <f>HYPERLINK("https://search.naver.com/search.naver?query=트리플 프론티어 영화", "트리플 프론티어")</f>
        <v>트리플 프론티어</v>
      </c>
      <c r="C3028" s="47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98" t="s">
        <v>3444</v>
      </c>
    </row>
    <row r="3029" spans="1:10" ht="28.9" customHeight="1" thickTop="1" thickBot="1" x14ac:dyDescent="0.65">
      <c r="A3029" s="3">
        <v>3027</v>
      </c>
      <c r="B3029" s="44" t="str">
        <f>HYPERLINK("https://search.naver.com/search.naver?query=트립 투 이탈리아 영화", "트립 투 이탈리아")</f>
        <v>트립 투 이탈리아</v>
      </c>
      <c r="C3029" s="45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97" t="s">
        <v>3437</v>
      </c>
    </row>
    <row r="3030" spans="1:10" ht="28.9" customHeight="1" thickTop="1" thickBot="1" x14ac:dyDescent="0.65">
      <c r="A3030" s="5">
        <v>3028</v>
      </c>
      <c r="B3030" s="46" t="str">
        <f>HYPERLINK("https://search.naver.com/search.naver?query=트위스터스 영화", "트위스터스")</f>
        <v>트위스터스</v>
      </c>
      <c r="C3030" s="47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98" t="s">
        <v>3448</v>
      </c>
    </row>
    <row r="3031" spans="1:10" ht="28.9" customHeight="1" thickTop="1" thickBot="1" x14ac:dyDescent="0.65">
      <c r="A3031" s="3">
        <v>3029</v>
      </c>
      <c r="B3031" s="44" t="str">
        <f>HYPERLINK("https://search.naver.com/search.naver?query=특별수사 사형수의 편지 영화", "특별수사 - 사형수의 편지")</f>
        <v>특별수사 - 사형수의 편지</v>
      </c>
      <c r="C3031" s="45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97" t="s">
        <v>3440</v>
      </c>
    </row>
    <row r="3032" spans="1:10" ht="28.9" customHeight="1" thickTop="1" thickBot="1" x14ac:dyDescent="0.65">
      <c r="A3032" s="5">
        <v>3030</v>
      </c>
      <c r="B3032" s="46" t="str">
        <f>HYPERLINK("https://search.naver.com/search.naver?query=특별시민 영화", "특별시민")</f>
        <v>특별시민</v>
      </c>
      <c r="C3032" s="47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98" t="s">
        <v>3443</v>
      </c>
    </row>
    <row r="3033" spans="1:10" ht="28.9" customHeight="1" thickTop="1" thickBot="1" x14ac:dyDescent="0.65">
      <c r="A3033" s="3">
        <v>3031</v>
      </c>
      <c r="B3033" s="44" t="str">
        <f>HYPERLINK("https://search.naver.com/search.naver?query=특별조치 영화", "특별조치")</f>
        <v>특별조치</v>
      </c>
      <c r="C3033" s="45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97" t="s">
        <v>3455</v>
      </c>
    </row>
    <row r="3034" spans="1:10" ht="28.9" customHeight="1" thickTop="1" thickBot="1" x14ac:dyDescent="0.65">
      <c r="A3034" s="5">
        <v>3032</v>
      </c>
      <c r="B3034" s="46" t="str">
        <f>HYPERLINK("https://search.naver.com/search.naver?query=특송 영화", "특송")</f>
        <v>특송</v>
      </c>
      <c r="C3034" s="47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98" t="s">
        <v>3445</v>
      </c>
    </row>
    <row r="3035" spans="1:10" ht="28.9" customHeight="1" thickTop="1" thickBot="1" x14ac:dyDescent="0.65">
      <c r="A3035" s="3">
        <v>3033</v>
      </c>
      <c r="B3035" s="44" t="str">
        <f>HYPERLINK("https://search.naver.com/search.naver?query=한국영화특수요원", "특수요원")</f>
        <v>특수요원</v>
      </c>
      <c r="C3035" s="45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97" t="s">
        <v>3436</v>
      </c>
    </row>
    <row r="3036" spans="1:10" ht="28.9" customHeight="1" thickTop="1" thickBot="1" x14ac:dyDescent="0.65">
      <c r="A3036" s="5">
        <v>3034</v>
      </c>
      <c r="B3036" s="46" t="str">
        <f>HYPERLINK("https://search.naver.com/search.naver?query=특종 량첸살인기 영화", "특종 - 량첸살인기")</f>
        <v>특종 - 량첸살인기</v>
      </c>
      <c r="C3036" s="47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98" t="s">
        <v>3440</v>
      </c>
    </row>
    <row r="3037" spans="1:10" ht="28.9" customHeight="1" thickTop="1" thickBot="1" x14ac:dyDescent="0.65">
      <c r="A3037" s="3">
        <v>3035</v>
      </c>
      <c r="B3037" s="44" t="str">
        <f>HYPERLINK("https://search.naver.com/search.naver?query=특종의 탄생 영화", "특종의 탄생")</f>
        <v>특종의 탄생</v>
      </c>
      <c r="C3037" s="45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97" t="s">
        <v>3448</v>
      </c>
    </row>
    <row r="3038" spans="1:10" ht="28.9" customHeight="1" thickTop="1" thickBot="1" x14ac:dyDescent="0.65">
      <c r="A3038" s="5">
        <v>3036</v>
      </c>
      <c r="B3038" s="46" t="str">
        <f>HYPERLINK("https://search.naver.com/search.naver?query=티모시 그린의 이상한 삶 영화", "티모시 그린의 이상한 삶")</f>
        <v>티모시 그린의 이상한 삶</v>
      </c>
      <c r="C3038" s="47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98" t="s">
        <v>3439</v>
      </c>
    </row>
    <row r="3039" spans="1:10" ht="28.9" customHeight="1" thickTop="1" thickBot="1" x14ac:dyDescent="0.65">
      <c r="A3039" s="3">
        <v>3037</v>
      </c>
      <c r="B3039" s="44" t="str">
        <f>HYPERLINK("https://search.naver.com/search.naver?query=티켓 투 파라다이스 영화", "티켓 투 파라다이스")</f>
        <v>티켓 투 파라다이스</v>
      </c>
      <c r="C3039" s="45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97" t="s">
        <v>3445</v>
      </c>
    </row>
    <row r="3040" spans="1:10" ht="28.9" customHeight="1" thickTop="1" thickBot="1" x14ac:dyDescent="0.65">
      <c r="A3040" s="5">
        <v>3038</v>
      </c>
      <c r="B3040" s="46" t="str">
        <f>HYPERLINK("https://search.naver.com/search.naver?query=티파니에서 아침을 영화", "티파니에서 아침을")</f>
        <v>티파니에서 아침을</v>
      </c>
      <c r="C3040" s="47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98" t="s">
        <v>3485</v>
      </c>
    </row>
    <row r="3041" spans="1:10" ht="28.9" customHeight="1" thickTop="1" thickBot="1" x14ac:dyDescent="0.65">
      <c r="A3041" s="3">
        <v>3039</v>
      </c>
      <c r="B3041" s="44" t="str">
        <f>HYPERLINK("https://search.naver.com/search.naver?query=팅커 테일러 솔저 스파이 영화", "팅커 테일러 솔저 스파이")</f>
        <v>팅커 테일러 솔저 스파이</v>
      </c>
      <c r="C3041" s="45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97" t="s">
        <v>3454</v>
      </c>
    </row>
    <row r="3042" spans="1:10" ht="28.9" customHeight="1" thickTop="1" thickBot="1" x14ac:dyDescent="0.65">
      <c r="A3042" s="5">
        <v>3040</v>
      </c>
      <c r="B3042" s="46" t="str">
        <f>HYPERLINK("https://search.naver.com/search.naver?query=파 앤드 어웨이 영화", "파 앤드 어웨이")</f>
        <v>파 앤드 어웨이</v>
      </c>
      <c r="C3042" s="47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98" t="s">
        <v>3473</v>
      </c>
    </row>
    <row r="3043" spans="1:10" ht="28.9" customHeight="1" thickTop="1" thickBot="1" x14ac:dyDescent="0.65">
      <c r="A3043" s="3">
        <v>3041</v>
      </c>
      <c r="B3043" s="44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45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97" t="s">
        <v>3451</v>
      </c>
    </row>
    <row r="3044" spans="1:10" ht="28.9" customHeight="1" thickTop="1" thickBot="1" x14ac:dyDescent="0.65">
      <c r="A3044" s="5">
        <v>3042</v>
      </c>
      <c r="B3044" s="46" t="str">
        <f>HYPERLINK("https://search.naver.com/search.naver?query=파고 영화", "파고")</f>
        <v>파고</v>
      </c>
      <c r="C3044" s="47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98" t="s">
        <v>3463</v>
      </c>
    </row>
    <row r="3045" spans="1:10" ht="28.9" customHeight="1" thickTop="1" thickBot="1" x14ac:dyDescent="0.65">
      <c r="A3045" s="7">
        <v>3043</v>
      </c>
      <c r="B3045" s="48" t="str">
        <f>HYPERLINK("https://search.naver.com/search.naver?query=파고 시즌1", "파고 시즌1")</f>
        <v>파고 시즌1</v>
      </c>
      <c r="C3045" s="49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99" t="s">
        <v>3437</v>
      </c>
    </row>
    <row r="3046" spans="1:10" ht="28.9" customHeight="1" thickTop="1" thickBot="1" x14ac:dyDescent="0.65">
      <c r="A3046" s="7">
        <v>3044</v>
      </c>
      <c r="B3046" s="48" t="str">
        <f>HYPERLINK("https://search.naver.com/search.naver?query=파고 시즌2", "파고 시즌2")</f>
        <v>파고 시즌2</v>
      </c>
      <c r="C3046" s="49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99" t="s">
        <v>3440</v>
      </c>
    </row>
    <row r="3047" spans="1:10" ht="28.9" customHeight="1" thickTop="1" thickBot="1" x14ac:dyDescent="0.65">
      <c r="A3047" s="7">
        <v>3045</v>
      </c>
      <c r="B3047" s="48" t="str">
        <f>HYPERLINK("https://search.naver.com/search.naver?query=파고 시즌3", "파고 시즌3")</f>
        <v>파고 시즌3</v>
      </c>
      <c r="C3047" s="49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99" t="s">
        <v>3443</v>
      </c>
    </row>
    <row r="3048" spans="1:10" ht="28.9" customHeight="1" thickTop="1" thickBot="1" x14ac:dyDescent="0.65">
      <c r="A3048" s="7">
        <v>3046</v>
      </c>
      <c r="B3048" s="48" t="str">
        <f>HYPERLINK("https://search.naver.com/search.naver?query=파고 시즌4", "파고 시즌4")</f>
        <v>파고 시즌4</v>
      </c>
      <c r="C3048" s="49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99" t="s">
        <v>3436</v>
      </c>
    </row>
    <row r="3049" spans="1:10" ht="28.9" customHeight="1" thickTop="1" thickBot="1" x14ac:dyDescent="0.65">
      <c r="A3049" s="3">
        <v>3047</v>
      </c>
      <c r="B3049" s="44" t="str">
        <f>HYPERLINK("https://search.naver.com/search.naver?query=파과 영화", "파과")</f>
        <v>파과</v>
      </c>
      <c r="C3049" s="45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97" t="s">
        <v>3459</v>
      </c>
    </row>
    <row r="3050" spans="1:10" ht="28.9" customHeight="1" thickTop="1" thickBot="1" x14ac:dyDescent="0.65">
      <c r="A3050" s="5">
        <v>3048</v>
      </c>
      <c r="B3050" s="46" t="str">
        <f>HYPERLINK("https://search.naver.com/search.naver?query=파괴된사나이 영화", "파괴된사나이")</f>
        <v>파괴된사나이</v>
      </c>
      <c r="C3050" s="47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98" t="s">
        <v>3455</v>
      </c>
    </row>
    <row r="3051" spans="1:10" ht="28.9" customHeight="1" thickTop="1" thickBot="1" x14ac:dyDescent="0.65">
      <c r="A3051" s="3">
        <v>3049</v>
      </c>
      <c r="B3051" s="44" t="str">
        <f>HYPERLINK("https://search.naver.com/search.naver?query=파괴자들 영화", "파괴자들")</f>
        <v>파괴자들</v>
      </c>
      <c r="C3051" s="45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97" t="s">
        <v>3439</v>
      </c>
    </row>
    <row r="3052" spans="1:10" ht="28.9" customHeight="1" thickTop="1" thickBot="1" x14ac:dyDescent="0.65">
      <c r="A3052" s="5">
        <v>3050</v>
      </c>
      <c r="B3052" s="46" t="str">
        <f>HYPERLINK("https://search.naver.com/search.naver?query=파더 앤 도터 영화", "파더 앤 도터")</f>
        <v>파더 앤 도터</v>
      </c>
      <c r="C3052" s="47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98" t="s">
        <v>3440</v>
      </c>
    </row>
    <row r="3053" spans="1:10" ht="28.9" customHeight="1" thickTop="1" thickBot="1" x14ac:dyDescent="0.65">
      <c r="A3053" s="3">
        <v>3051</v>
      </c>
      <c r="B3053" s="44" t="str">
        <f>HYPERLINK("https://search.naver.com/search.naver?query=파도가 지나간 자리 영화", "파도가 지나간 자리")</f>
        <v>파도가 지나간 자리</v>
      </c>
      <c r="C3053" s="45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97" t="s">
        <v>3443</v>
      </c>
    </row>
    <row r="3054" spans="1:10" ht="28.9" customHeight="1" thickTop="1" thickBot="1" x14ac:dyDescent="0.65">
      <c r="A3054" s="5">
        <v>3052</v>
      </c>
      <c r="B3054" s="46" t="str">
        <f>HYPERLINK("https://search.naver.com/search.naver?query=파라노이아 영화", "파라노이아")</f>
        <v>파라노이아</v>
      </c>
      <c r="C3054" s="47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98" t="s">
        <v>3451</v>
      </c>
    </row>
    <row r="3055" spans="1:10" ht="28.9" customHeight="1" thickTop="1" thickBot="1" x14ac:dyDescent="0.65">
      <c r="A3055" s="3">
        <v>3053</v>
      </c>
      <c r="B3055" s="44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45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97" t="s">
        <v>3437</v>
      </c>
    </row>
    <row r="3056" spans="1:10" ht="28.9" customHeight="1" thickTop="1" thickBot="1" x14ac:dyDescent="0.65">
      <c r="A3056" s="5">
        <v>3054</v>
      </c>
      <c r="B3056" s="46" t="str">
        <f>HYPERLINK("https://search.naver.com/search.naver?query=파라다이스 하이웨이 영화", "파라다이스 하이웨이")</f>
        <v>파라다이스 하이웨이</v>
      </c>
      <c r="C3056" s="47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98" t="s">
        <v>3445</v>
      </c>
    </row>
    <row r="3057" spans="1:10" ht="28.9" customHeight="1" thickTop="1" thickBot="1" x14ac:dyDescent="0.65">
      <c r="A3057" s="3">
        <v>3055</v>
      </c>
      <c r="B3057" s="44" t="str">
        <f>HYPERLINK("https://search.naver.com/search.naver?query=파리 폴리 영화", "파리 폴리")</f>
        <v>파리 폴리</v>
      </c>
      <c r="C3057" s="45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97" t="s">
        <v>3437</v>
      </c>
    </row>
    <row r="3058" spans="1:10" ht="28.9" customHeight="1" thickTop="1" thickBot="1" x14ac:dyDescent="0.65">
      <c r="A3058" s="5">
        <v>3056</v>
      </c>
      <c r="B3058" s="46" t="str">
        <f>HYPERLINK("https://search.naver.com/search.naver?query=파리로 가는 길 영화", "파리로 가는 길")</f>
        <v>파리로 가는 길</v>
      </c>
      <c r="C3058" s="47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98" t="s">
        <v>3441</v>
      </c>
    </row>
    <row r="3059" spans="1:10" ht="28.9" customHeight="1" thickTop="1" thickBot="1" x14ac:dyDescent="0.65">
      <c r="A3059" s="3">
        <v>3057</v>
      </c>
      <c r="B3059" s="44" t="str">
        <f>HYPERLINK("https://search.naver.com/search.naver?query=파묘 영화", "파묘")</f>
        <v>파묘</v>
      </c>
      <c r="C3059" s="45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97" t="s">
        <v>3448</v>
      </c>
    </row>
    <row r="3060" spans="1:10" ht="28.9" customHeight="1" thickTop="1" thickBot="1" x14ac:dyDescent="0.65">
      <c r="A3060" s="5">
        <v>3058</v>
      </c>
      <c r="B3060" s="46" t="str">
        <f>HYPERLINK("https://search.naver.com/search.naver?query=파벨만스 영화", "파벨만스")</f>
        <v>파벨만스</v>
      </c>
      <c r="C3060" s="47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98" t="s">
        <v>3445</v>
      </c>
    </row>
    <row r="3061" spans="1:10" ht="28.9" customHeight="1" thickTop="1" thickBot="1" x14ac:dyDescent="0.65">
      <c r="A3061" s="3">
        <v>3059</v>
      </c>
      <c r="B3061" s="44" t="str">
        <f>HYPERLINK("https://search.naver.com/search.naver?query=파수꾼 영화", "파수꾼")</f>
        <v>파수꾼</v>
      </c>
      <c r="C3061" s="45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97" t="s">
        <v>3454</v>
      </c>
    </row>
    <row r="3062" spans="1:10" ht="28.9" customHeight="1" thickTop="1" thickBot="1" x14ac:dyDescent="0.65">
      <c r="A3062" s="5">
        <v>3060</v>
      </c>
      <c r="B3062" s="46" t="str">
        <f>HYPERLINK("https://search.naver.com/search.naver?query=파우더(1995)", "파우더")</f>
        <v>파우더</v>
      </c>
      <c r="C3062" s="47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98" t="s">
        <v>3475</v>
      </c>
    </row>
    <row r="3063" spans="1:10" ht="28.9" customHeight="1" thickTop="1" thickBot="1" x14ac:dyDescent="0.65">
      <c r="A3063" s="3">
        <v>3061</v>
      </c>
      <c r="B3063" s="44" t="str">
        <f>HYPERLINK("https://search.naver.com/search.naver?query=파운더 영화", "파운더")</f>
        <v>파운더</v>
      </c>
      <c r="C3063" s="45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97" t="s">
        <v>3441</v>
      </c>
    </row>
    <row r="3064" spans="1:10" ht="28.9" customHeight="1" thickTop="1" thickBot="1" x14ac:dyDescent="0.65">
      <c r="A3064" s="5">
        <v>3062</v>
      </c>
      <c r="B3064" s="46" t="str">
        <f>HYPERLINK("https://search.naver.com/search.naver?query=파이널 스코어 영화", "파이널 스코어")</f>
        <v>파이널 스코어</v>
      </c>
      <c r="C3064" s="47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98" t="s">
        <v>3442</v>
      </c>
    </row>
    <row r="3065" spans="1:10" ht="28.9" customHeight="1" thickTop="1" thickBot="1" x14ac:dyDescent="0.65">
      <c r="A3065" s="3">
        <v>3063</v>
      </c>
      <c r="B3065" s="44" t="str">
        <f>HYPERLINK("https://search.naver.com/search.naver?query=파이널 크루 칸우 탈출작전 영화", "파이널 크루 - 칸우 탈출작전")</f>
        <v>파이널 크루 - 칸우 탈출작전</v>
      </c>
      <c r="C3065" s="45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97" t="s">
        <v>3441</v>
      </c>
    </row>
    <row r="3066" spans="1:10" ht="28.9" customHeight="1" thickTop="1" thickBot="1" x14ac:dyDescent="0.65">
      <c r="A3066" s="5">
        <v>3064</v>
      </c>
      <c r="B3066" s="46" t="str">
        <f>HYPERLINK("https://search.naver.com/search.naver?query=파이란 영화", "파이란")</f>
        <v>파이란</v>
      </c>
      <c r="C3066" s="47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98" t="s">
        <v>3457</v>
      </c>
    </row>
    <row r="3067" spans="1:10" ht="28.9" customHeight="1" thickTop="1" thickBot="1" x14ac:dyDescent="0.65">
      <c r="A3067" s="3">
        <v>3065</v>
      </c>
      <c r="B3067" s="44" t="str">
        <f>HYPERLINK("https://search.naver.com/search.naver?query=파이로매니악 연쇄 방화사건 영화", "파이로매니악-연쇄 방화사건")</f>
        <v>파이로매니악-연쇄 방화사건</v>
      </c>
      <c r="C3067" s="45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97" t="s">
        <v>3441</v>
      </c>
    </row>
    <row r="3068" spans="1:10" ht="28.9" customHeight="1" thickTop="1" thickBot="1" x14ac:dyDescent="0.65">
      <c r="A3068" s="5">
        <v>3066</v>
      </c>
      <c r="B3068" s="46" t="str">
        <f>HYPERLINK("https://search.naver.com/search.naver?query=파이브 피트 영화", "파이브 피트")</f>
        <v>파이브 피트</v>
      </c>
      <c r="C3068" s="47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98" t="s">
        <v>3444</v>
      </c>
    </row>
    <row r="3069" spans="1:10" ht="28.9" customHeight="1" thickTop="1" thickBot="1" x14ac:dyDescent="0.65">
      <c r="A3069" s="3">
        <v>3067</v>
      </c>
      <c r="B3069" s="44" t="str">
        <f>HYPERLINK("https://search.naver.com/search.naver?query=파이어 위드 파이어 영화", "파이어 위드 파이어")</f>
        <v>파이어 위드 파이어</v>
      </c>
      <c r="C3069" s="45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97" t="s">
        <v>3439</v>
      </c>
    </row>
    <row r="3070" spans="1:10" ht="28.9" customHeight="1" thickTop="1" thickBot="1" x14ac:dyDescent="0.65">
      <c r="A3070" s="5">
        <v>3068</v>
      </c>
      <c r="B3070" s="46" t="str">
        <f>HYPERLINK("https://search.naver.com/search.naver?query=파이어프루프-사랑의 도전 영화", "파이어프루프-사랑의 도전")</f>
        <v>파이어프루프-사랑의 도전</v>
      </c>
      <c r="C3070" s="47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98" t="s">
        <v>3450</v>
      </c>
    </row>
    <row r="3071" spans="1:10" ht="28.9" customHeight="1" thickTop="1" thickBot="1" x14ac:dyDescent="0.65">
      <c r="A3071" s="3">
        <v>3069</v>
      </c>
      <c r="B3071" s="44" t="str">
        <f>HYPERLINK("https://search.naver.com/search.naver?query=파이트 오어 플라이트 영화", "파이트 오어 플라이트")</f>
        <v>파이트 오어 플라이트</v>
      </c>
      <c r="C3071" s="45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97" t="s">
        <v>3459</v>
      </c>
    </row>
    <row r="3072" spans="1:10" ht="28.9" customHeight="1" thickTop="1" thickBot="1" x14ac:dyDescent="0.65">
      <c r="A3072" s="5">
        <v>3070</v>
      </c>
      <c r="B3072" s="46" t="str">
        <f>HYPERLINK("https://search.naver.com/search.naver?query=파이프라인 영화", "파이프라인")</f>
        <v>파이프라인</v>
      </c>
      <c r="C3072" s="47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98" t="s">
        <v>3438</v>
      </c>
    </row>
    <row r="3073" spans="1:10" ht="28.9" customHeight="1" thickTop="1" thickBot="1" x14ac:dyDescent="0.65">
      <c r="A3073" s="7">
        <v>3071</v>
      </c>
      <c r="B3073" s="48" t="str">
        <f>HYPERLINK("https://search.naver.com/search.naver?query=파인: 촌뜨기들 드라마", "파인: 촌뜨기들")</f>
        <v>파인: 촌뜨기들</v>
      </c>
      <c r="C3073" s="49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99" t="s">
        <v>3459</v>
      </c>
    </row>
    <row r="3074" spans="1:10" ht="28.9" customHeight="1" thickTop="1" thickBot="1" x14ac:dyDescent="0.65">
      <c r="A3074" s="5">
        <v>3072</v>
      </c>
      <c r="B3074" s="46" t="str">
        <f>HYPERLINK("https://search.naver.com/search.naver?query=파인딩 스티브 맥퀸 영화", "파인딩 스티브 맥퀸")</f>
        <v>파인딩 스티브 맥퀸</v>
      </c>
      <c r="C3074" s="47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98" t="s">
        <v>3444</v>
      </c>
    </row>
    <row r="3075" spans="1:10" ht="28.9" customHeight="1" thickTop="1" thickBot="1" x14ac:dyDescent="0.65">
      <c r="A3075" s="3">
        <v>3073</v>
      </c>
      <c r="B3075" s="44" t="str">
        <f>HYPERLINK("https://search.naver.com/search.naver?query=파일럿 영화", "파일럿")</f>
        <v>파일럿</v>
      </c>
      <c r="C3075" s="45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97" t="s">
        <v>3448</v>
      </c>
    </row>
    <row r="3076" spans="1:10" ht="28.9" customHeight="1" thickTop="1" thickBot="1" x14ac:dyDescent="0.65">
      <c r="A3076" s="7">
        <v>3074</v>
      </c>
      <c r="B3076" s="48" t="str">
        <f>HYPERLINK("https://search.naver.com/search.naver?query=파친코 시즌1", "파친코 시즌1")</f>
        <v>파친코 시즌1</v>
      </c>
      <c r="C3076" s="49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99" t="s">
        <v>3446</v>
      </c>
    </row>
    <row r="3077" spans="1:10" ht="28.9" customHeight="1" thickTop="1" thickBot="1" x14ac:dyDescent="0.65">
      <c r="A3077" s="7">
        <v>3075</v>
      </c>
      <c r="B3077" s="48" t="str">
        <f>HYPERLINK("https://search.naver.com/search.naver?query=파친코 시즌2", "파친코 시즌2")</f>
        <v>파친코 시즌2</v>
      </c>
      <c r="C3077" s="49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99" t="s">
        <v>3448</v>
      </c>
    </row>
    <row r="3078" spans="1:10" ht="28.9" customHeight="1" thickTop="1" thickBot="1" x14ac:dyDescent="0.65">
      <c r="A3078" s="5">
        <v>3076</v>
      </c>
      <c r="B3078" s="46" t="str">
        <f>HYPERLINK("https://search.naver.com/search.naver?query=파커 영화", "파커")</f>
        <v>파커</v>
      </c>
      <c r="C3078" s="47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98" t="s">
        <v>3451</v>
      </c>
    </row>
    <row r="3079" spans="1:10" ht="28.9" customHeight="1" thickTop="1" thickBot="1" x14ac:dyDescent="0.65">
      <c r="A3079" s="3">
        <v>3077</v>
      </c>
      <c r="B3079" s="44" t="str">
        <f>HYPERLINK("https://search.naver.com/search.naver?query=파탈 영화", "파탈")</f>
        <v>파탈</v>
      </c>
      <c r="C3079" s="45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97" t="s">
        <v>3436</v>
      </c>
    </row>
    <row r="3080" spans="1:10" ht="28.9" customHeight="1" thickTop="1" thickBot="1" x14ac:dyDescent="0.65">
      <c r="A3080" s="5">
        <v>3078</v>
      </c>
      <c r="B3080" s="46" t="str">
        <f>HYPERLINK("https://search.naver.com/search.naver?query=파티마의 기적 영화", "파티마의 기적")</f>
        <v>파티마의 기적</v>
      </c>
      <c r="C3080" s="47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98" t="s">
        <v>3436</v>
      </c>
    </row>
    <row r="3081" spans="1:10" ht="28.9" customHeight="1" thickTop="1" thickBot="1" x14ac:dyDescent="0.65">
      <c r="A3081" s="3">
        <v>3079</v>
      </c>
      <c r="B3081" s="44" t="str">
        <f>HYPERLINK("https://search.naver.com/search.naver?query=파파로티 영화", "파파로티")</f>
        <v>파파로티</v>
      </c>
      <c r="C3081" s="45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97" t="s">
        <v>3439</v>
      </c>
    </row>
    <row r="3082" spans="1:10" ht="28.9" customHeight="1" thickTop="1" thickBot="1" x14ac:dyDescent="0.65">
      <c r="A3082" s="5">
        <v>3080</v>
      </c>
      <c r="B3082" s="46" t="str">
        <f>HYPERLINK("https://search.naver.com/search.naver?query=파편 (2009) 일본영화", "파편")</f>
        <v>파편</v>
      </c>
      <c r="C3082" s="47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98" t="s">
        <v>3455</v>
      </c>
    </row>
    <row r="3083" spans="1:10" ht="28.9" customHeight="1" thickTop="1" thickBot="1" x14ac:dyDescent="0.65">
      <c r="A3083" s="3">
        <v>3081</v>
      </c>
      <c r="B3083" s="44" t="str">
        <f>HYPERLINK("https://search.naver.com/search.naver?query=판도라 영화", "판도라")</f>
        <v>판도라</v>
      </c>
      <c r="C3083" s="45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97" t="s">
        <v>3441</v>
      </c>
    </row>
    <row r="3084" spans="1:10" ht="28.9" customHeight="1" thickTop="1" thickBot="1" x14ac:dyDescent="0.65">
      <c r="A3084" s="5">
        <v>3082</v>
      </c>
      <c r="B3084" s="46" t="str">
        <f>HYPERLINK("https://search.daum.net/search?nil_suggest=btn&amp;w=tot&amp;DA=SBC&amp;q=%ED%8C%94%EB%A1%9C%EC%9A%B0+%EB%AF%B8+%EC%98%81%ED%99%94=팔로우 미 영화", "팔로우 미")</f>
        <v>팔로우 미</v>
      </c>
      <c r="C3084" s="47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98" t="s">
        <v>3436</v>
      </c>
    </row>
    <row r="3085" spans="1:10" ht="28.9" customHeight="1" thickTop="1" thickBot="1" x14ac:dyDescent="0.65">
      <c r="A3085" s="3">
        <v>3083</v>
      </c>
      <c r="B3085" s="44" t="str">
        <f>HYPERLINK("https://search.naver.com/search.naver?query=팟 제너레이션 영화", "팟 제너레이션")</f>
        <v>팟 제너레이션</v>
      </c>
      <c r="C3085" s="45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97" t="s">
        <v>3446</v>
      </c>
    </row>
    <row r="3086" spans="1:10" ht="28.9" customHeight="1" thickTop="1" thickBot="1" x14ac:dyDescent="0.65">
      <c r="A3086" s="5">
        <v>3084</v>
      </c>
      <c r="B3086" s="46" t="str">
        <f>HYPERLINK("https://search.naver.com/search.naver?query=패닉 런 영화", "패닉 런")</f>
        <v>패닉 런</v>
      </c>
      <c r="C3086" s="47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98" t="s">
        <v>3438</v>
      </c>
    </row>
    <row r="3087" spans="1:10" ht="28.9" customHeight="1" thickTop="1" thickBot="1" x14ac:dyDescent="0.65">
      <c r="A3087" s="3">
        <v>3085</v>
      </c>
      <c r="B3087" s="44" t="str">
        <f>HYPERLINK("https://search.naver.com/search.naver?query=패럴렐 월드 러브 스토리 영화", "패럴렐 월드 러브 스토리")</f>
        <v>패럴렐 월드 러브 스토리</v>
      </c>
      <c r="C3087" s="45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97" t="s">
        <v>3444</v>
      </c>
    </row>
    <row r="3088" spans="1:10" ht="28.9" customHeight="1" thickTop="1" thickBot="1" x14ac:dyDescent="0.65">
      <c r="A3088" s="5">
        <v>3086</v>
      </c>
      <c r="B3088" s="46" t="str">
        <f>HYPERLINK("https://search.naver.com/search.naver?query=패밀리 플랜 영화", "패밀리 플랜")</f>
        <v>패밀리 플랜</v>
      </c>
      <c r="C3088" s="47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98" t="s">
        <v>3446</v>
      </c>
    </row>
    <row r="3089" spans="1:10" ht="28.9" customHeight="1" thickTop="1" thickBot="1" x14ac:dyDescent="0.65">
      <c r="A3089" s="3">
        <v>3087</v>
      </c>
      <c r="B3089" s="44" t="str">
        <f>HYPERLINK("https://search.naver.com/search.naver?query=패션, 위험한 열정 영화", "패션, 위험한 열정")</f>
        <v>패션, 위험한 열정</v>
      </c>
      <c r="C3089" s="45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97" t="s">
        <v>3450</v>
      </c>
    </row>
    <row r="3090" spans="1:10" ht="28.9" customHeight="1" thickTop="1" thickBot="1" x14ac:dyDescent="0.65">
      <c r="A3090" s="5">
        <v>3088</v>
      </c>
      <c r="B3090" s="46" t="str">
        <f>HYPERLINK("https://search.naver.com/search.naver?query=패신저스 영화", "패신저스")</f>
        <v>패신저스</v>
      </c>
      <c r="C3090" s="47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98" t="s">
        <v>3441</v>
      </c>
    </row>
    <row r="3091" spans="1:10" ht="28.9" customHeight="1" thickTop="1" thickBot="1" x14ac:dyDescent="0.65">
      <c r="A3091" s="3">
        <v>3089</v>
      </c>
      <c r="B3091" s="44" t="str">
        <f>HYPERLINK("https://search.naver.com/search.naver?query=패트리어트 데이 영화", "패트리어트 데이")</f>
        <v>패트리어트 데이</v>
      </c>
      <c r="C3091" s="45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97" t="s">
        <v>3441</v>
      </c>
    </row>
    <row r="3092" spans="1:10" ht="28.9" customHeight="1" thickTop="1" thickBot="1" x14ac:dyDescent="0.65">
      <c r="A3092" s="5">
        <v>3090</v>
      </c>
      <c r="B3092" s="46" t="str">
        <f>HYPERLINK("https://search.naver.com/search.naver?query=팬텀 라스트 커맨더 영화", "팬텀 - 라스트 커맨더")</f>
        <v>팬텀 - 라스트 커맨더</v>
      </c>
      <c r="C3092" s="47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98" t="s">
        <v>3451</v>
      </c>
    </row>
    <row r="3093" spans="1:10" ht="28.9" customHeight="1" thickTop="1" thickBot="1" x14ac:dyDescent="0.65">
      <c r="A3093" s="3">
        <v>3091</v>
      </c>
      <c r="B3093" s="44" t="str">
        <f>HYPERLINK("https://search.naver.com/search.naver?query=팬텀 스레드 영화", "팬텀 스레드")</f>
        <v>팬텀 스레드</v>
      </c>
      <c r="C3093" s="45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97" t="s">
        <v>3443</v>
      </c>
    </row>
    <row r="3094" spans="1:10" ht="28.9" customHeight="1" thickTop="1" thickBot="1" x14ac:dyDescent="0.65">
      <c r="A3094" s="5">
        <v>3092</v>
      </c>
      <c r="B3094" s="46" t="str">
        <f>HYPERLINK("https://search.naver.com/search.naver?query=퍼스널 쇼퍼 영화", "퍼스널 쇼퍼")</f>
        <v>퍼스널 쇼퍼</v>
      </c>
      <c r="C3094" s="47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98" t="s">
        <v>3441</v>
      </c>
    </row>
    <row r="3095" spans="1:10" ht="28.9" customHeight="1" thickTop="1" thickBot="1" x14ac:dyDescent="0.65">
      <c r="A3095" s="3">
        <v>3093</v>
      </c>
      <c r="B3095" s="44" t="str">
        <f>HYPERLINK("https://www.kmdb.or.kr/db/kor/detail/movie/F/51526", "퍼스트 러브")</f>
        <v>퍼스트 러브</v>
      </c>
      <c r="C3095" s="45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97" t="s">
        <v>3436</v>
      </c>
    </row>
    <row r="3096" spans="1:10" ht="28.9" customHeight="1" thickTop="1" thickBot="1" x14ac:dyDescent="0.65">
      <c r="A3096" s="7">
        <v>3094</v>
      </c>
      <c r="B3096" s="48" t="str">
        <f>HYPERLINK("https://search.naver.com/search.naver?query=퍼스트 러브 하츠코이 드라마", "퍼스트 러브 하츠코이")</f>
        <v>퍼스트 러브 하츠코이</v>
      </c>
      <c r="C3096" s="49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99" t="s">
        <v>3445</v>
      </c>
    </row>
    <row r="3097" spans="1:10" ht="28.9" customHeight="1" thickTop="1" thickBot="1" x14ac:dyDescent="0.65">
      <c r="A3097" s="3">
        <v>3095</v>
      </c>
      <c r="B3097" s="44" t="str">
        <f>HYPERLINK("https://search.naver.com/search.naver?query=퍼스트 리폼드 영화", "퍼스트 리폼드")</f>
        <v>퍼스트 리폼드</v>
      </c>
      <c r="C3097" s="45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97" t="s">
        <v>3443</v>
      </c>
    </row>
    <row r="3098" spans="1:10" ht="28.9" customHeight="1" thickTop="1" thickBot="1" x14ac:dyDescent="0.65">
      <c r="A3098" s="5">
        <v>3096</v>
      </c>
      <c r="B3098" s="46" t="str">
        <f>HYPERLINK("https://search.naver.com/search.naver?query=퍼스트 킬 영화", "퍼스트 킬")</f>
        <v>퍼스트 킬</v>
      </c>
      <c r="C3098" s="47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98" t="s">
        <v>3443</v>
      </c>
    </row>
    <row r="3099" spans="1:10" ht="28.9" customHeight="1" thickTop="1" thickBot="1" x14ac:dyDescent="0.65">
      <c r="A3099" s="3">
        <v>3097</v>
      </c>
      <c r="B3099" s="44" t="str">
        <f>HYPERLINK("https://search.naver.com/search.naver?query=퍼스트맨 (2018)", "퍼스트맨")</f>
        <v>퍼스트맨</v>
      </c>
      <c r="C3099" s="45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97" t="s">
        <v>3442</v>
      </c>
    </row>
    <row r="3100" spans="1:10" ht="28.9" customHeight="1" thickTop="1" thickBot="1" x14ac:dyDescent="0.65">
      <c r="A3100" s="7">
        <v>3098</v>
      </c>
      <c r="B3100" s="48" t="str">
        <f>HYPERLINK("https://search.naver.com/search.naver?query=퍼슨 오브 인터레스트 시즌1", "퍼슨 오브 인터레스트 시즌1")</f>
        <v>퍼슨 오브 인터레스트 시즌1</v>
      </c>
      <c r="C3100" s="49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99" t="s">
        <v>3454</v>
      </c>
    </row>
    <row r="3101" spans="1:10" ht="28.9" customHeight="1" thickTop="1" thickBot="1" x14ac:dyDescent="0.65">
      <c r="A3101" s="7">
        <v>3099</v>
      </c>
      <c r="B3101" s="48" t="str">
        <f>HYPERLINK("https://search.naver.com/search.naver?query=퍼슨 오브 인터레스트 시즌2", "퍼슨 오브 인터레스트 시즌2")</f>
        <v>퍼슨 오브 인터레스트 시즌2</v>
      </c>
      <c r="C3101" s="49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99" t="s">
        <v>3439</v>
      </c>
    </row>
    <row r="3102" spans="1:10" ht="28.9" customHeight="1" thickTop="1" thickBot="1" x14ac:dyDescent="0.65">
      <c r="A3102" s="7">
        <v>3100</v>
      </c>
      <c r="B3102" s="48" t="str">
        <f>HYPERLINK("https://search.naver.com/search.naver?query=퍼슨 오브 인터레스트 시즌3", "퍼슨 오브 인터레스트 시즌3")</f>
        <v>퍼슨 오브 인터레스트 시즌3</v>
      </c>
      <c r="C3102" s="49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99" t="s">
        <v>3451</v>
      </c>
    </row>
    <row r="3103" spans="1:10" ht="28.9" customHeight="1" thickTop="1" thickBot="1" x14ac:dyDescent="0.65">
      <c r="A3103" s="7">
        <v>3101</v>
      </c>
      <c r="B3103" s="48" t="str">
        <f>HYPERLINK("https://search.naver.com/search.naver?query=퍼슨 오브 인터레스트 시즌4", "퍼슨 오브 인터레스트 시즌4")</f>
        <v>퍼슨 오브 인터레스트 시즌4</v>
      </c>
      <c r="C3103" s="49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99" t="s">
        <v>3437</v>
      </c>
    </row>
    <row r="3104" spans="1:10" ht="28.9" customHeight="1" thickTop="1" thickBot="1" x14ac:dyDescent="0.65">
      <c r="A3104" s="7">
        <v>3102</v>
      </c>
      <c r="B3104" s="48" t="str">
        <f>HYPERLINK("https://search.naver.com/search.naver?query=퍼슨 오브 인터레스트 시즌5", "퍼슨 오브 인터레스트 시즌5")</f>
        <v>퍼슨 오브 인터레스트 시즌5</v>
      </c>
      <c r="C3104" s="49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99" t="s">
        <v>3441</v>
      </c>
    </row>
    <row r="3105" spans="1:10" ht="28.9" customHeight="1" thickTop="1" thickBot="1" x14ac:dyDescent="0.65">
      <c r="A3105" s="3">
        <v>3103</v>
      </c>
      <c r="B3105" s="44" t="str">
        <f>HYPERLINK("https://search.naver.com/search.naver?query=퍼즐 (2018) 미국 영화", "퍼즐")</f>
        <v>퍼즐</v>
      </c>
      <c r="C3105" s="45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97" t="s">
        <v>3442</v>
      </c>
    </row>
    <row r="3106" spans="1:10" ht="28.9" customHeight="1" thickTop="1" thickBot="1" x14ac:dyDescent="0.65">
      <c r="A3106" s="5">
        <v>3104</v>
      </c>
      <c r="B3106" s="46" t="str">
        <f>HYPERLINK("https://search.naver.com/search.naver?query=퍼펙트 영화", "퍼펙트")</f>
        <v>퍼펙트</v>
      </c>
      <c r="C3106" s="47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98" t="s">
        <v>3451</v>
      </c>
    </row>
    <row r="3107" spans="1:10" ht="28.9" customHeight="1" thickTop="1" thickBot="1" x14ac:dyDescent="0.65">
      <c r="A3107" s="3">
        <v>3105</v>
      </c>
      <c r="B3107" s="44" t="str">
        <f>HYPERLINK("https://search.naver.com/search.naver?query=퍼펙트 게임 영화", "퍼펙트 게임")</f>
        <v>퍼펙트 게임</v>
      </c>
      <c r="C3107" s="45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97" t="s">
        <v>3454</v>
      </c>
    </row>
    <row r="3108" spans="1:10" ht="28.9" customHeight="1" thickTop="1" thickBot="1" x14ac:dyDescent="0.65">
      <c r="A3108" s="5">
        <v>3106</v>
      </c>
      <c r="B3108" s="46" t="str">
        <f>HYPERLINK("https://search.naver.com/search.naver?query=퍼펙트 겟어웨이 영화", "퍼펙트 겟어웨이")</f>
        <v>퍼펙트 겟어웨이</v>
      </c>
      <c r="C3108" s="47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98" t="s">
        <v>3453</v>
      </c>
    </row>
    <row r="3109" spans="1:10" ht="28.9" customHeight="1" thickTop="1" thickBot="1" x14ac:dyDescent="0.65">
      <c r="A3109" s="3">
        <v>3107</v>
      </c>
      <c r="B3109" s="44" t="str">
        <f>HYPERLINK("https://search.naver.com/search.naver?query=퍼펙트 데이즈 영화", "퍼펙트 데이즈")</f>
        <v>퍼펙트 데이즈</v>
      </c>
      <c r="C3109" s="45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97" t="s">
        <v>3446</v>
      </c>
    </row>
    <row r="3110" spans="1:10" ht="28.9" customHeight="1" thickTop="1" thickBot="1" x14ac:dyDescent="0.65">
      <c r="A3110" s="5">
        <v>3108</v>
      </c>
      <c r="B3110" s="46" t="str">
        <f>HYPERLINK("https://search.naver.com/search.naver?query=퍼펙트 센스 영화", "퍼펙트 센스")</f>
        <v>퍼펙트 센스</v>
      </c>
      <c r="C3110" s="47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98" t="s">
        <v>3454</v>
      </c>
    </row>
    <row r="3111" spans="1:10" ht="28.9" customHeight="1" thickTop="1" thickBot="1" x14ac:dyDescent="0.65">
      <c r="A3111" s="3">
        <v>3109</v>
      </c>
      <c r="B3111" s="44" t="str">
        <f>HYPERLINK("https://search.naver.com/search.naver?query=퍼펙트 스틸 영화", "퍼펙트 스틸")</f>
        <v>퍼펙트 스틸</v>
      </c>
      <c r="C3111" s="45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97" t="s">
        <v>3438</v>
      </c>
    </row>
    <row r="3112" spans="1:10" ht="28.9" customHeight="1" thickTop="1" thickBot="1" x14ac:dyDescent="0.65">
      <c r="A3112" s="5">
        <v>3110</v>
      </c>
      <c r="B3112" s="46" t="str">
        <f>HYPERLINK("https://search.naver.com/search.naver?query=퍼펙트 케어 영화", "퍼펙트 케어")</f>
        <v>퍼펙트 케어</v>
      </c>
      <c r="C3112" s="47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98" t="s">
        <v>3436</v>
      </c>
    </row>
    <row r="3113" spans="1:10" ht="28.9" customHeight="1" thickTop="1" thickBot="1" x14ac:dyDescent="0.65">
      <c r="A3113" s="3">
        <v>3111</v>
      </c>
      <c r="B3113" s="44" t="str">
        <f>HYPERLINK("https://search.naver.com/search.naver?query=퍼펙트 타겟 영화", "퍼펙트 타겟")</f>
        <v>퍼펙트 타겟</v>
      </c>
      <c r="C3113" s="45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97" t="s">
        <v>3444</v>
      </c>
    </row>
    <row r="3114" spans="1:10" ht="28.9" customHeight="1" thickTop="1" thickBot="1" x14ac:dyDescent="0.65">
      <c r="A3114" s="5">
        <v>3112</v>
      </c>
      <c r="B3114" s="46" t="str">
        <f>HYPERLINK("https://search.naver.com/search.naver?query=퍼펙트맨 영화", "퍼펙트맨")</f>
        <v>퍼펙트맨</v>
      </c>
      <c r="C3114" s="47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98" t="s">
        <v>3444</v>
      </c>
    </row>
    <row r="3115" spans="1:10" ht="28.9" customHeight="1" thickTop="1" thickBot="1" x14ac:dyDescent="0.65">
      <c r="A3115" s="3">
        <v>3113</v>
      </c>
      <c r="B3115" s="44" t="str">
        <f>HYPERLINK("https://search.naver.com/search.naver?query=페어 게임 영화", "페어 게임")</f>
        <v>페어 게임</v>
      </c>
      <c r="C3115" s="45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97" t="s">
        <v>3455</v>
      </c>
    </row>
    <row r="3116" spans="1:10" ht="28.9" customHeight="1" thickTop="1" thickBot="1" x14ac:dyDescent="0.65">
      <c r="A3116" s="5">
        <v>3114</v>
      </c>
      <c r="B3116" s="46" t="str">
        <f>HYPERLINK("https://search.naver.com/search.naver?query=페어러브 영화", "페어러브")</f>
        <v>페어러브</v>
      </c>
      <c r="C3116" s="47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98" t="s">
        <v>3453</v>
      </c>
    </row>
    <row r="3117" spans="1:10" ht="28.9" customHeight="1" thickTop="1" thickBot="1" x14ac:dyDescent="0.65">
      <c r="A3117" s="3">
        <v>3115</v>
      </c>
      <c r="B3117" s="44" t="str">
        <f>HYPERLINK("https://search.naver.com/search.naver?query=페어런트 트랩 영화", "페어런트 트랩")</f>
        <v>페어런트 트랩</v>
      </c>
      <c r="C3117" s="45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97" t="s">
        <v>3452</v>
      </c>
    </row>
    <row r="3118" spans="1:10" ht="28.9" customHeight="1" thickTop="1" thickBot="1" x14ac:dyDescent="0.65">
      <c r="A3118" s="5">
        <v>3116</v>
      </c>
      <c r="B3118" s="46" t="str">
        <f>HYPERLINK("https://search.naver.com/search.naver?query=페이블 영화", "페이블")</f>
        <v>페이블</v>
      </c>
      <c r="C3118" s="47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98" t="s">
        <v>3444</v>
      </c>
    </row>
    <row r="3119" spans="1:10" ht="28.9" customHeight="1" thickTop="1" thickBot="1" x14ac:dyDescent="0.65">
      <c r="A3119" s="3">
        <v>3117</v>
      </c>
      <c r="B3119" s="44" t="str">
        <f>HYPERLINK("https://search.naver.com/search.naver?query=페이스 메이커 영화", "페이스 메이커")</f>
        <v>페이스 메이커</v>
      </c>
      <c r="C3119" s="45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97" t="s">
        <v>3439</v>
      </c>
    </row>
    <row r="3120" spans="1:10" ht="28.9" customHeight="1" thickTop="1" thickBot="1" x14ac:dyDescent="0.65">
      <c r="A3120" s="5">
        <v>3118</v>
      </c>
      <c r="B3120" s="46" t="str">
        <f>HYPERLINK("https://search.naver.com/search.naver?query=페이스 블라인드 영화", "페이스 블라인드")</f>
        <v>페이스 블라인드</v>
      </c>
      <c r="C3120" s="47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98" t="s">
        <v>3454</v>
      </c>
    </row>
    <row r="3121" spans="1:10" ht="28.9" customHeight="1" thickTop="1" thickBot="1" x14ac:dyDescent="0.65">
      <c r="A3121" s="3">
        <v>3119</v>
      </c>
      <c r="B3121" s="44" t="str">
        <f>HYPERLINK("https://search.naver.com/search.naver?query=페이스 오브 러브 영화", "페이스 오브 러브")</f>
        <v>페이스 오브 러브</v>
      </c>
      <c r="C3121" s="45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97" t="s">
        <v>3451</v>
      </c>
    </row>
    <row r="3122" spans="1:10" ht="28.9" customHeight="1" thickTop="1" thickBot="1" x14ac:dyDescent="0.65">
      <c r="A3122" s="5">
        <v>3120</v>
      </c>
      <c r="B3122" s="46" t="str">
        <f>HYPERLINK("https://search.naver.com/search.naver?query=페인 앤 글로리 영화", "페인 앤 글로리")</f>
        <v>페인 앤 글로리</v>
      </c>
      <c r="C3122" s="47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98" t="s">
        <v>3444</v>
      </c>
    </row>
    <row r="3123" spans="1:10" ht="28.9" customHeight="1" thickTop="1" thickBot="1" x14ac:dyDescent="0.65">
      <c r="A3123" s="3">
        <v>3121</v>
      </c>
      <c r="B3123" s="44" t="str">
        <f>HYPERLINK("https://search.naver.com/search.naver?query=페인티드 베일 영화", "페인티드 베일")</f>
        <v>페인티드 베일</v>
      </c>
      <c r="C3123" s="45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97" t="s">
        <v>3460</v>
      </c>
    </row>
    <row r="3124" spans="1:10" ht="28.9" customHeight="1" thickTop="1" thickBot="1" x14ac:dyDescent="0.65">
      <c r="A3124" s="5">
        <v>3122</v>
      </c>
      <c r="B3124" s="46" t="str">
        <f>HYPERLINK("https://search.naver.com/search.naver?query=펠로니 영화", "펠로니")</f>
        <v>펠로니</v>
      </c>
      <c r="C3124" s="47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98" t="s">
        <v>3451</v>
      </c>
    </row>
    <row r="3125" spans="1:10" ht="28.9" customHeight="1" thickTop="1" thickBot="1" x14ac:dyDescent="0.65">
      <c r="A3125" s="3">
        <v>3123</v>
      </c>
      <c r="B3125" s="44" t="str">
        <f>HYPERLINK("https://search.naver.com/search.naver?query=펠론 영화", "펠론")</f>
        <v>펠론</v>
      </c>
      <c r="C3125" s="45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97" t="s">
        <v>3450</v>
      </c>
    </row>
    <row r="3126" spans="1:10" ht="28.9" customHeight="1" thickTop="1" thickBot="1" x14ac:dyDescent="0.65">
      <c r="A3126" s="5">
        <v>3124</v>
      </c>
      <c r="B3126" s="46" t="str">
        <f>HYPERLINK("https://search.naver.com/search.naver?query=펠리니를 찾아서 영화", "펠리니를 찾아서")</f>
        <v>펠리니를 찾아서</v>
      </c>
      <c r="C3126" s="47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98" t="s">
        <v>3443</v>
      </c>
    </row>
    <row r="3127" spans="1:10" ht="28.9" customHeight="1" thickTop="1" thickBot="1" x14ac:dyDescent="0.65">
      <c r="A3127" s="3">
        <v>3125</v>
      </c>
      <c r="B3127" s="44" t="str">
        <f>HYPERLINK("https://search.naver.com/search.naver?query=펭귄 블룸 영화", "펭귄 블룸")</f>
        <v>펭귄 블룸</v>
      </c>
      <c r="C3127" s="45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97" t="s">
        <v>3436</v>
      </c>
    </row>
    <row r="3128" spans="1:10" ht="28.9" customHeight="1" thickTop="1" thickBot="1" x14ac:dyDescent="0.65">
      <c r="A3128" s="5">
        <v>3126</v>
      </c>
      <c r="B3128" s="46" t="str">
        <f>HYPERLINK("https://search.naver.com/search.naver?query=편지 영화", "편지")</f>
        <v>편지</v>
      </c>
      <c r="C3128" s="47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98" t="s">
        <v>3470</v>
      </c>
    </row>
    <row r="3129" spans="1:10" ht="28.9" customHeight="1" thickTop="1" thickBot="1" x14ac:dyDescent="0.65">
      <c r="A3129" s="3">
        <v>3127</v>
      </c>
      <c r="B3129" s="44" t="str">
        <f>HYPERLINK("https://search.naver.com/search.naver?query=평범한 천사들 영화", "평범한 천사들")</f>
        <v>평범한 천사들</v>
      </c>
      <c r="C3129" s="45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97" t="s">
        <v>3448</v>
      </c>
    </row>
    <row r="3130" spans="1:10" ht="28.9" customHeight="1" thickTop="1" thickBot="1" x14ac:dyDescent="0.65">
      <c r="A3130" s="5">
        <v>3128</v>
      </c>
      <c r="B3130" s="46" t="str">
        <f>HYPERLINK("https://search.naver.com/search.naver?query=평양성 영화", "평양성")</f>
        <v>평양성</v>
      </c>
      <c r="C3130" s="47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98" t="s">
        <v>3455</v>
      </c>
    </row>
    <row r="3131" spans="1:10" ht="28.9" customHeight="1" thickTop="1" thickBot="1" x14ac:dyDescent="0.65">
      <c r="A3131" s="3">
        <v>3129</v>
      </c>
      <c r="B3131" s="44" t="str">
        <f>HYPERLINK("https://search.naver.com/search.naver?query=평일 오후 3시의 연인 영화", "평일 오후 3시의 연인")</f>
        <v>평일 오후 3시의 연인</v>
      </c>
      <c r="C3131" s="45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97" t="s">
        <v>3444</v>
      </c>
    </row>
    <row r="3132" spans="1:10" ht="28.9" customHeight="1" thickTop="1" thickBot="1" x14ac:dyDescent="0.65">
      <c r="A3132" s="5">
        <v>3130</v>
      </c>
      <c r="B3132" s="46" t="str">
        <f>HYPERLINK("https://search.naver.com/search.naver?query=평화로운 전사 영화", "평화로운 전사")</f>
        <v>평화로운 전사</v>
      </c>
      <c r="C3132" s="47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98" t="s">
        <v>3460</v>
      </c>
    </row>
    <row r="3133" spans="1:10" ht="28.9" customHeight="1" thickTop="1" thickBot="1" x14ac:dyDescent="0.65">
      <c r="A3133" s="7">
        <v>3131</v>
      </c>
      <c r="B3133" s="48" t="str">
        <f>HYPERLINK("https://search.naver.com/search.naver?query=포 라이프 시즌1", "포 라이프 시즌1")</f>
        <v>포 라이프 시즌1</v>
      </c>
      <c r="C3133" s="49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99" t="s">
        <v>3436</v>
      </c>
    </row>
    <row r="3134" spans="1:10" ht="28.9" customHeight="1" thickTop="1" thickBot="1" x14ac:dyDescent="0.65">
      <c r="A3134" s="7">
        <v>3132</v>
      </c>
      <c r="B3134" s="48" t="str">
        <f>HYPERLINK("https://search.naver.com/search.naver?query=포 라이프 시즌2", "포 라이프 시즌2")</f>
        <v>포 라이프 시즌2</v>
      </c>
      <c r="C3134" s="49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99" t="s">
        <v>3438</v>
      </c>
    </row>
    <row r="3135" spans="1:10" ht="28.9" customHeight="1" thickTop="1" thickBot="1" x14ac:dyDescent="0.65">
      <c r="A3135" s="3">
        <v>3133</v>
      </c>
      <c r="B3135" s="44" t="str">
        <f>HYPERLINK("https://search.naver.com/search.naver?query=포 러버즈 영화", "포 러버즈")</f>
        <v>포 러버즈</v>
      </c>
      <c r="C3135" s="45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97" t="s">
        <v>3455</v>
      </c>
    </row>
    <row r="3136" spans="1:10" ht="28.9" customHeight="1" thickTop="1" thickBot="1" x14ac:dyDescent="0.65">
      <c r="A3136" s="7">
        <v>3134</v>
      </c>
      <c r="B3136" s="48" t="str">
        <f>HYPERLINK("https://search.naver.com/search.naver?query=포 올 맨카인드 시즌1", "포 올 맨카인드 시즌1")</f>
        <v>포 올 맨카인드 시즌1</v>
      </c>
      <c r="C3136" s="49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99" t="s">
        <v>3444</v>
      </c>
    </row>
    <row r="3137" spans="1:10" ht="28.9" customHeight="1" thickTop="1" thickBot="1" x14ac:dyDescent="0.65">
      <c r="A3137" s="3">
        <v>3135</v>
      </c>
      <c r="B3137" s="44" t="str">
        <f>HYPERLINK("https://search.naver.com/search.naver?query=포가튼 러브 영화", "포가튼 러브")</f>
        <v>포가튼 러브</v>
      </c>
      <c r="C3137" s="45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97" t="s">
        <v>3446</v>
      </c>
    </row>
    <row r="3138" spans="1:10" ht="28.9" customHeight="1" thickTop="1" thickBot="1" x14ac:dyDescent="0.65">
      <c r="A3138" s="5">
        <v>3136</v>
      </c>
      <c r="B3138" s="46" t="str">
        <f>HYPERLINK("https://search.naver.com/search.naver?query=포드 V 페라리 영화", "포드 V 페라리")</f>
        <v>포드 V 페라리</v>
      </c>
      <c r="C3138" s="47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98" t="s">
        <v>3444</v>
      </c>
    </row>
    <row r="3139" spans="1:10" ht="28.9" customHeight="1" thickTop="1" thickBot="1" x14ac:dyDescent="0.65">
      <c r="A3139" s="3">
        <v>3137</v>
      </c>
      <c r="B3139" s="44" t="str">
        <f>HYPERLINK("https://search.naver.com/search.naver?query=포레스트 죽음의 숲 영화", "포레스트 - 죽음의 숲")</f>
        <v>포레스트 - 죽음의 숲</v>
      </c>
      <c r="C3139" s="45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97" t="s">
        <v>3441</v>
      </c>
    </row>
    <row r="3140" spans="1:10" ht="28.9" customHeight="1" thickTop="1" thickBot="1" x14ac:dyDescent="0.65">
      <c r="A3140" s="5">
        <v>3138</v>
      </c>
      <c r="B3140" s="46" t="str">
        <f>HYPERLINK("https://search.naver.com/search.naver?query=포레스트 검프 영화", "포레스트 검프")</f>
        <v>포레스트 검프</v>
      </c>
      <c r="C3140" s="47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98" t="s">
        <v>3467</v>
      </c>
    </row>
    <row r="3141" spans="1:10" ht="28.9" customHeight="1" thickTop="1" thickBot="1" x14ac:dyDescent="0.65">
      <c r="A3141" s="3">
        <v>3139</v>
      </c>
      <c r="B3141" s="44" t="str">
        <f>HYPERLINK("https://search.naver.com/search.naver?query=포세이돈 영화", "포세이돈")</f>
        <v>포세이돈</v>
      </c>
      <c r="C3141" s="45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97" t="s">
        <v>3460</v>
      </c>
    </row>
    <row r="3142" spans="1:10" ht="28.9" customHeight="1" thickTop="1" thickBot="1" x14ac:dyDescent="0.65">
      <c r="A3142" s="5">
        <v>3140</v>
      </c>
      <c r="B3142" s="46" t="str">
        <f>HYPERLINK("https://search.naver.com/search.naver?query=포세이큰 영화", "포세이큰")</f>
        <v>포세이큰</v>
      </c>
      <c r="C3142" s="47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98" t="s">
        <v>3440</v>
      </c>
    </row>
    <row r="3143" spans="1:10" ht="28.9" customHeight="1" thickTop="1" thickBot="1" x14ac:dyDescent="0.65">
      <c r="A3143" s="3">
        <v>3141</v>
      </c>
      <c r="B3143" s="44" t="str">
        <f>HYPERLINK("https://search.naver.com/search.naver?query=포스 마쥬어 화이트 베케이션 영화", "포스 마쥬어 - 화이트 베케이션")</f>
        <v>포스 마쥬어 - 화이트 베케이션</v>
      </c>
      <c r="C3143" s="45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97" t="s">
        <v>3437</v>
      </c>
    </row>
    <row r="3144" spans="1:10" ht="28.9" customHeight="1" thickTop="1" thickBot="1" x14ac:dyDescent="0.65">
      <c r="A3144" s="5">
        <v>3142</v>
      </c>
      <c r="B3144" s="46" t="str">
        <f>HYPERLINK("https://search.naver.com/search.naver?query=포스 오브 네이쳐 영화", "포스 오브 네이쳐")</f>
        <v>포스 오브 네이쳐</v>
      </c>
      <c r="C3144" s="47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98" t="s">
        <v>3436</v>
      </c>
    </row>
    <row r="3145" spans="1:10" ht="28.9" customHeight="1" thickTop="1" thickBot="1" x14ac:dyDescent="0.65">
      <c r="A3145" s="3">
        <v>3143</v>
      </c>
      <c r="B3145" s="44" t="str">
        <f>HYPERLINK("https://search.naver.com/search.naver?query=포이즌 로즈 영화", "포이즌 로즈")</f>
        <v>포이즌 로즈</v>
      </c>
      <c r="C3145" s="45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97" t="s">
        <v>3444</v>
      </c>
    </row>
    <row r="3146" spans="1:10" ht="28.9" customHeight="1" thickTop="1" thickBot="1" x14ac:dyDescent="0.65">
      <c r="A3146" s="5">
        <v>3144</v>
      </c>
      <c r="B3146" s="46" t="str">
        <f>HYPERLINK("https://search.naver.com/search.naver?query=포인트 브레이크 영화", "포인트 브레이크")</f>
        <v>포인트 브레이크</v>
      </c>
      <c r="C3146" s="47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98" t="s">
        <v>3440</v>
      </c>
    </row>
    <row r="3147" spans="1:10" ht="28.9" customHeight="1" thickTop="1" thickBot="1" x14ac:dyDescent="0.65">
      <c r="A3147" s="3">
        <v>3145</v>
      </c>
      <c r="B3147" s="44" t="str">
        <f>HYPERLINK("https://search.naver.com/search.naver?query=포인트 블랭크 영화", "포인트 블랭크")</f>
        <v>포인트 블랭크</v>
      </c>
      <c r="C3147" s="45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97" t="s">
        <v>3444</v>
      </c>
    </row>
    <row r="3148" spans="1:10" ht="28.9" customHeight="1" thickTop="1" thickBot="1" x14ac:dyDescent="0.65">
      <c r="A3148" s="5">
        <v>3146</v>
      </c>
      <c r="B3148" s="46" t="str">
        <f>HYPERLINK("https://search.naver.com/search.naver?query=포제서 영화", "포제서")</f>
        <v>포제서</v>
      </c>
      <c r="C3148" s="47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98" t="s">
        <v>3436</v>
      </c>
    </row>
    <row r="3149" spans="1:10" ht="28.9" customHeight="1" thickTop="1" thickBot="1" x14ac:dyDescent="0.65">
      <c r="A3149" s="3">
        <v>3147</v>
      </c>
      <c r="B3149" s="44" t="str">
        <f>HYPERLINK("https://search.naver.com/search.naver?query=포커 나이트 영화", "포커 나이트")</f>
        <v>포커 나이트</v>
      </c>
      <c r="C3149" s="45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97" t="s">
        <v>3437</v>
      </c>
    </row>
    <row r="3150" spans="1:10" ht="28.9" customHeight="1" thickTop="1" thickBot="1" x14ac:dyDescent="0.65">
      <c r="A3150" s="5">
        <v>3148</v>
      </c>
      <c r="B3150" s="46" t="str">
        <f>HYPERLINK("https://search.naver.com/search.naver?query=포커스 영화", "포커스")</f>
        <v>포커스</v>
      </c>
      <c r="C3150" s="47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98" t="s">
        <v>3440</v>
      </c>
    </row>
    <row r="3151" spans="1:10" ht="28.9" customHeight="1" thickTop="1" thickBot="1" x14ac:dyDescent="0.65">
      <c r="A3151" s="3">
        <v>3149</v>
      </c>
      <c r="B3151" s="44" t="str">
        <f>HYPERLINK("https://search.naver.com/search.naver?query=포트 블리스 영화", "포트 블리스")</f>
        <v>포트 블리스</v>
      </c>
      <c r="C3151" s="45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97" t="s">
        <v>3437</v>
      </c>
    </row>
    <row r="3152" spans="1:10" ht="28.9" customHeight="1" thickTop="1" thickBot="1" x14ac:dyDescent="0.65">
      <c r="A3152" s="5">
        <v>3150</v>
      </c>
      <c r="B3152" s="46" t="str">
        <f>HYPERLINK("https://search.naver.com/search.naver?query=포화속의 우정 영화", "포화속의 우정")</f>
        <v>포화속의 우정</v>
      </c>
      <c r="C3152" s="47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98" t="s">
        <v>3437</v>
      </c>
    </row>
    <row r="3153" spans="1:10" ht="28.9" customHeight="1" thickTop="1" thickBot="1" x14ac:dyDescent="0.65">
      <c r="A3153" s="3">
        <v>3151</v>
      </c>
      <c r="B3153" s="44" t="str">
        <f>HYPERLINK("https://search.naver.com/search.naver?query=폭격 영화", "폭격")</f>
        <v>폭격</v>
      </c>
      <c r="C3153" s="45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97" t="s">
        <v>3438</v>
      </c>
    </row>
    <row r="3154" spans="1:10" ht="28.9" customHeight="1" thickTop="1" thickBot="1" x14ac:dyDescent="0.65">
      <c r="A3154" s="5">
        <v>3152</v>
      </c>
      <c r="B3154" s="46" t="str">
        <f>HYPERLINK("https://search.naver.com/search.naver?query=폭스캐처 영화", "폭스캐처")</f>
        <v>폭스캐처</v>
      </c>
      <c r="C3154" s="47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98" t="s">
        <v>3437</v>
      </c>
    </row>
    <row r="3155" spans="1:10" ht="28.9" customHeight="1" thickTop="1" thickBot="1" x14ac:dyDescent="0.65">
      <c r="A3155" s="7">
        <v>3153</v>
      </c>
      <c r="B3155" s="48" t="str">
        <f>HYPERLINK("https://search.naver.com/search.naver?query=폭싹 속았수다 드라마", "폭싹 속았수다")</f>
        <v>폭싹 속았수다</v>
      </c>
      <c r="C3155" s="49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99" t="s">
        <v>3459</v>
      </c>
    </row>
    <row r="3156" spans="1:10" ht="28.9" customHeight="1" thickTop="1" thickBot="1" x14ac:dyDescent="0.65">
      <c r="A3156" s="5">
        <v>3154</v>
      </c>
      <c r="B3156" s="46" t="str">
        <f>HYPERLINK("https://search.naver.com/search.naver?query=폭풍의 시간 영화", "폭풍의 시간")</f>
        <v>폭풍의 시간</v>
      </c>
      <c r="C3156" s="47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98" t="s">
        <v>3442</v>
      </c>
    </row>
    <row r="3157" spans="1:10" ht="28.9" customHeight="1" thickTop="1" thickBot="1" x14ac:dyDescent="0.65">
      <c r="A3157" s="3">
        <v>3155</v>
      </c>
      <c r="B3157" s="44" t="str">
        <f>HYPERLINK("https://search.naver.com/search.naver?query=폭풍의 질주 영화", "폭풍의 질주")</f>
        <v>폭풍의 질주</v>
      </c>
      <c r="C3157" s="45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97" t="s">
        <v>3464</v>
      </c>
    </row>
    <row r="3158" spans="1:10" ht="28.9" customHeight="1" thickTop="1" thickBot="1" x14ac:dyDescent="0.65">
      <c r="A3158" s="5">
        <v>3156</v>
      </c>
      <c r="B3158" s="46" t="str">
        <f>HYPERLINK("https://search.naver.com/search.naver?query=폰조 영화", "폰조")</f>
        <v>폰조</v>
      </c>
      <c r="C3158" s="47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98" t="s">
        <v>3436</v>
      </c>
    </row>
    <row r="3159" spans="1:10" ht="28.9" customHeight="1" thickTop="1" thickBot="1" x14ac:dyDescent="0.65">
      <c r="A3159" s="3">
        <v>3157</v>
      </c>
      <c r="B3159" s="44" t="str">
        <f>HYPERLINK("https://search.naver.com/search.naver?query=폴 600미터 영화", "폴-600미터")</f>
        <v>폴-600미터</v>
      </c>
      <c r="C3159" s="45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97" t="s">
        <v>3445</v>
      </c>
    </row>
    <row r="3160" spans="1:10" ht="28.9" customHeight="1" thickTop="1" thickBot="1" x14ac:dyDescent="0.65">
      <c r="A3160" s="5">
        <v>3158</v>
      </c>
      <c r="B3160" s="46" t="str">
        <f>HYPERLINK("https://search.naver.com/search.naver?query=폴리스 영화", "폴리스")</f>
        <v>폴리스</v>
      </c>
      <c r="C3160" s="47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98" t="s">
        <v>3438</v>
      </c>
    </row>
    <row r="3161" spans="1:10" ht="28.9" customHeight="1" thickTop="1" thickBot="1" x14ac:dyDescent="0.65">
      <c r="A3161" s="3">
        <v>3159</v>
      </c>
      <c r="B3161" s="44" t="str">
        <f>HYPERLINK("https://search.naver.com/search.naver?query=폴리스 스토리 1985", "폴리스 스토리")</f>
        <v>폴리스 스토리</v>
      </c>
      <c r="C3161" s="45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97" t="s">
        <v>3479</v>
      </c>
    </row>
    <row r="3162" spans="1:10" ht="28.9" customHeight="1" thickTop="1" thickBot="1" x14ac:dyDescent="0.65">
      <c r="A3162" s="5">
        <v>3160</v>
      </c>
      <c r="B3162" s="46" t="str">
        <f>HYPERLINK("https://search.naver.com/search.naver?query=폴링 스노우 영화", "폴링 스노우")</f>
        <v>폴링 스노우</v>
      </c>
      <c r="C3162" s="47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98" t="s">
        <v>3441</v>
      </c>
    </row>
    <row r="3163" spans="1:10" ht="28.9" customHeight="1" thickTop="1" thickBot="1" x14ac:dyDescent="0.65">
      <c r="A3163" s="3">
        <v>3161</v>
      </c>
      <c r="B3163" s="44" t="str">
        <f>HYPERLINK("https://search.naver.com/search.naver?query=폴링 인 러브 영화", "폴링 인 러브")</f>
        <v>폴링 인 러브</v>
      </c>
      <c r="C3163" s="45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97">
        <v>32142</v>
      </c>
    </row>
    <row r="3164" spans="1:10" ht="28.9" customHeight="1" thickTop="1" thickBot="1" x14ac:dyDescent="0.65">
      <c r="A3164" s="5">
        <v>3162</v>
      </c>
      <c r="B3164" s="46" t="str">
        <f>HYPERLINK("https://search.naver.com/search.naver?query=표적 영화", "표적")</f>
        <v>표적</v>
      </c>
      <c r="C3164" s="47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98" t="s">
        <v>3437</v>
      </c>
    </row>
    <row r="3165" spans="1:10" ht="28.9" customHeight="1" thickTop="1" thickBot="1" x14ac:dyDescent="0.65">
      <c r="A3165" s="3">
        <v>3163</v>
      </c>
      <c r="B3165" s="44" t="str">
        <f>HYPERLINK("https://search.naver.com/search.naver?query=푸른 호수 영화", "푸른 호수")</f>
        <v>푸른 호수</v>
      </c>
      <c r="C3165" s="45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97" t="s">
        <v>3438</v>
      </c>
    </row>
    <row r="3166" spans="1:10" ht="28.9" customHeight="1" thickTop="1" thickBot="1" x14ac:dyDescent="0.65">
      <c r="A3166" s="5">
        <v>3164</v>
      </c>
      <c r="B3166" s="46" t="str">
        <f>HYPERLINK("https://search.naver.com/search.naver?query=푸른소금 영화", "푸른소금")</f>
        <v>푸른소금</v>
      </c>
      <c r="C3166" s="47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98" t="s">
        <v>3454</v>
      </c>
    </row>
    <row r="3167" spans="1:10" ht="28.9" customHeight="1" thickTop="1" thickBot="1" x14ac:dyDescent="0.65">
      <c r="A3167" s="3">
        <v>3165</v>
      </c>
      <c r="B3167" s="44" t="str">
        <f>HYPERLINK("https://search.naver.com/search.naver?query=퓨리 영화", "퓨리")</f>
        <v>퓨리</v>
      </c>
      <c r="C3167" s="45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97" t="s">
        <v>3437</v>
      </c>
    </row>
    <row r="3168" spans="1:10" ht="28.9" customHeight="1" thickTop="1" thickBot="1" x14ac:dyDescent="0.65">
      <c r="A3168" s="5">
        <v>3166</v>
      </c>
      <c r="B3168" s="46" t="str">
        <f>HYPERLINK("https://search.naver.com/search.naver?query=프라미스드 랜드 영화", "프라미스드 랜드")</f>
        <v>프라미스드 랜드</v>
      </c>
      <c r="C3168" s="47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98" t="s">
        <v>3439</v>
      </c>
    </row>
    <row r="3169" spans="1:10" ht="28.9" customHeight="1" thickTop="1" thickBot="1" x14ac:dyDescent="0.65">
      <c r="A3169" s="3">
        <v>3167</v>
      </c>
      <c r="B3169" s="44" t="str">
        <f>HYPERLINK("https://search.naver.com/search.naver?query=프라미싱 영 우먼 영화", "프라미싱 영 우먼")</f>
        <v>프라미싱 영 우먼</v>
      </c>
      <c r="C3169" s="45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97" t="s">
        <v>3436</v>
      </c>
    </row>
    <row r="3170" spans="1:10" ht="28.9" customHeight="1" thickTop="1" thickBot="1" x14ac:dyDescent="0.65">
      <c r="A3170" s="5">
        <v>3168</v>
      </c>
      <c r="B3170" s="46" t="str">
        <f>HYPERLINK("https://search.naver.com/search.naver?query=프라이멀 영화", "프라이멀")</f>
        <v>프라이멀</v>
      </c>
      <c r="C3170" s="47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98" t="s">
        <v>3444</v>
      </c>
    </row>
    <row r="3171" spans="1:10" ht="28.9" customHeight="1" thickTop="1" thickBot="1" x14ac:dyDescent="0.65">
      <c r="A3171" s="3">
        <v>3169</v>
      </c>
      <c r="B3171" s="44" t="str">
        <f>HYPERLINK("https://search.naver.com/search.naver?query=프라이멀 피어 영화", "프라이멀 피어")</f>
        <v>프라이멀 피어</v>
      </c>
      <c r="C3171" s="45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97" t="s">
        <v>3463</v>
      </c>
    </row>
    <row r="3172" spans="1:10" ht="28.9" customHeight="1" thickTop="1" thickBot="1" x14ac:dyDescent="0.65">
      <c r="A3172" s="7">
        <v>3170</v>
      </c>
      <c r="B3172" s="48" t="str">
        <f>HYPERLINK("https://search.naver.com/search.naver?query=프라임 타겟 드라마", "프라임 타겟")</f>
        <v>프라임 타겟</v>
      </c>
      <c r="C3172" s="49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99" t="s">
        <v>3448</v>
      </c>
    </row>
    <row r="3173" spans="1:10" ht="28.9" customHeight="1" thickTop="1" thickBot="1" x14ac:dyDescent="0.65">
      <c r="A3173" s="3">
        <v>3171</v>
      </c>
      <c r="B3173" s="44" t="str">
        <f>HYPERLINK("https://search.naver.com/search.naver?query=프라하의 봄 영화", "프라하의 봄")</f>
        <v>프라하의 봄</v>
      </c>
      <c r="C3173" s="45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97" t="s">
        <v>3483</v>
      </c>
    </row>
    <row r="3174" spans="1:10" ht="28.9" customHeight="1" thickTop="1" thickBot="1" x14ac:dyDescent="0.65">
      <c r="A3174" s="5">
        <v>3172</v>
      </c>
      <c r="B3174" s="46" t="str">
        <f>HYPERLINK("https://search.naver.com/search.naver?query=프란치스코 영화", "프란치스코")</f>
        <v>프란치스코</v>
      </c>
      <c r="C3174" s="47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98" t="s">
        <v>3441</v>
      </c>
    </row>
    <row r="3175" spans="1:10" ht="28.9" customHeight="1" thickTop="1" thickBot="1" x14ac:dyDescent="0.65">
      <c r="A3175" s="3">
        <v>3173</v>
      </c>
      <c r="B3175" s="44" t="str">
        <f>HYPERLINK("https://search.naver.com/search.naver?query=프랙처 영화", "프랙처")</f>
        <v>프랙처</v>
      </c>
      <c r="C3175" s="45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97" t="s">
        <v>3447</v>
      </c>
    </row>
    <row r="3176" spans="1:10" ht="28.9" customHeight="1" thickTop="1" thickBot="1" x14ac:dyDescent="0.65">
      <c r="A3176" s="5">
        <v>3174</v>
      </c>
      <c r="B3176" s="46" t="str">
        <f>HYPERLINK("https://search.naver.com/search.naver?query=프랙처드 영화", "프랙처드")</f>
        <v>프랙처드</v>
      </c>
      <c r="C3176" s="47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98" t="s">
        <v>3444</v>
      </c>
    </row>
    <row r="3177" spans="1:10" ht="28.9" customHeight="1" thickTop="1" thickBot="1" x14ac:dyDescent="0.65">
      <c r="A3177" s="3">
        <v>3175</v>
      </c>
      <c r="B3177" s="44" t="str">
        <f>HYPERLINK("https://search.naver.com/search.naver?query=프레스티지 영화", "프레스티지")</f>
        <v>프레스티지</v>
      </c>
      <c r="C3177" s="45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97" t="s">
        <v>3460</v>
      </c>
    </row>
    <row r="3178" spans="1:10" ht="28.9" customHeight="1" thickTop="1" thickBot="1" x14ac:dyDescent="0.65">
      <c r="A3178" s="5">
        <v>3176</v>
      </c>
      <c r="B3178" s="46" t="str">
        <f>HYPERLINK("https://search.naver.com/search.naver?query=프레지던트 메이커 영화", "프레지던트 메이커")</f>
        <v>프레지던트 메이커</v>
      </c>
      <c r="C3178" s="47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98" t="s">
        <v>3440</v>
      </c>
    </row>
    <row r="3179" spans="1:10" ht="28.9" customHeight="1" thickTop="1" thickBot="1" x14ac:dyDescent="0.65">
      <c r="A3179" s="3">
        <v>3177</v>
      </c>
      <c r="B3179" s="44" t="str">
        <f>HYPERLINK("https://search.naver.com/search.naver?query=프렌즈 하얀 거짓말 영화", "프렌즈-하얀 거짓말")</f>
        <v>프렌즈-하얀 거짓말</v>
      </c>
      <c r="C3179" s="45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97" t="s">
        <v>3437</v>
      </c>
    </row>
    <row r="3180" spans="1:10" ht="28.9" customHeight="1" thickTop="1" thickBot="1" x14ac:dyDescent="0.65">
      <c r="A3180" s="5">
        <v>3178</v>
      </c>
      <c r="B3180" s="46" t="str">
        <f>HYPERLINK("https://search.naver.com/search.naver?query=프렌치 수프 영화", "프렌치 수프")</f>
        <v>프렌치 수프</v>
      </c>
      <c r="C3180" s="47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98" t="s">
        <v>3446</v>
      </c>
    </row>
    <row r="3181" spans="1:10" ht="28.9" customHeight="1" thickTop="1" thickBot="1" x14ac:dyDescent="0.65">
      <c r="A3181" s="3">
        <v>3179</v>
      </c>
      <c r="B3181" s="44" t="str">
        <f>HYPERLINK("https://search.naver.com/search.naver?query=프로디지 영화", "프로디지")</f>
        <v>프로디지</v>
      </c>
      <c r="C3181" s="45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97" t="s">
        <v>3444</v>
      </c>
    </row>
    <row r="3182" spans="1:10" ht="28.9" customHeight="1" thickTop="1" thickBot="1" x14ac:dyDescent="0.65">
      <c r="A3182" s="5">
        <v>3180</v>
      </c>
      <c r="B3182" s="46" t="str">
        <f>HYPERLINK("https://search.naver.com/search.naver?query=프로스트 VS 닉슨 영화", "프로스트 VS 닉슨")</f>
        <v>프로스트 VS 닉슨</v>
      </c>
      <c r="C3182" s="47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98" t="s">
        <v>3450</v>
      </c>
    </row>
    <row r="3183" spans="1:10" ht="28.9" customHeight="1" thickTop="1" thickBot="1" x14ac:dyDescent="0.65">
      <c r="A3183" s="3">
        <v>3181</v>
      </c>
      <c r="B3183" s="44" t="str">
        <f>HYPERLINK("https://search.naver.com/search.naver?query=프로포즈 데이 영화", "프로포즈 데이")</f>
        <v>프로포즈 데이</v>
      </c>
      <c r="C3183" s="45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97" t="s">
        <v>3455</v>
      </c>
    </row>
    <row r="3184" spans="1:10" ht="28.9" customHeight="1" thickTop="1" thickBot="1" x14ac:dyDescent="0.65">
      <c r="A3184" s="5">
        <v>3182</v>
      </c>
      <c r="B3184" s="46" t="str">
        <f>HYPERLINK("https://search.naver.com/search.naver?query=프록시마 프로젝트 영화", "프록시마 프로젝트")</f>
        <v>프록시마 프로젝트</v>
      </c>
      <c r="C3184" s="47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98" t="s">
        <v>3444</v>
      </c>
    </row>
    <row r="3185" spans="1:10" ht="28.9" customHeight="1" thickTop="1" thickBot="1" x14ac:dyDescent="0.65">
      <c r="A3185" s="3">
        <v>3183</v>
      </c>
      <c r="B3185" s="44" t="str">
        <f>HYPERLINK("https://search.naver.com/search.naver?query=프루프 영화", "프루프")</f>
        <v>프루프</v>
      </c>
      <c r="C3185" s="45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97" t="s">
        <v>3461</v>
      </c>
    </row>
    <row r="3186" spans="1:10" ht="28.9" customHeight="1" thickTop="1" thickBot="1" x14ac:dyDescent="0.65">
      <c r="A3186" s="5">
        <v>3184</v>
      </c>
      <c r="B3186" s="46" t="str">
        <f>HYPERLINK("https://search.naver.com/search.naver?query=프리 가이 영화", "프리 가이")</f>
        <v>프리 가이</v>
      </c>
      <c r="C3186" s="47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98" t="s">
        <v>3438</v>
      </c>
    </row>
    <row r="3187" spans="1:10" ht="28.9" customHeight="1" thickTop="1" thickBot="1" x14ac:dyDescent="0.65">
      <c r="A3187" s="3">
        <v>3185</v>
      </c>
      <c r="B3187" s="44" t="str">
        <f>HYPERLINK("https://search.naver.com/search.naver?query=프리 스테이트 오브 존스", "프리 스테이트 오브 존스")</f>
        <v>프리 스테이트 오브 존스</v>
      </c>
      <c r="C3187" s="45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97" t="s">
        <v>3441</v>
      </c>
    </row>
    <row r="3188" spans="1:10" ht="28.9" customHeight="1" thickTop="1" thickBot="1" x14ac:dyDescent="0.65">
      <c r="A3188" s="5">
        <v>3186</v>
      </c>
      <c r="B3188" s="46" t="str">
        <f>HYPERLINK("https://search.naver.com/search.naver?query=프리다의 그해 여름 영화", "프리다의 그해 여름")</f>
        <v>프리다의 그해 여름</v>
      </c>
      <c r="C3188" s="47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98" t="s">
        <v>3443</v>
      </c>
    </row>
    <row r="3189" spans="1:10" ht="28.9" customHeight="1" thickTop="1" thickBot="1" x14ac:dyDescent="0.65">
      <c r="A3189" s="3">
        <v>3187</v>
      </c>
      <c r="B3189" s="44" t="str">
        <f>HYPERLINK("https://search.naver.com/search.naver?query=프리덤 라이터스", "프리덤 라이터스")</f>
        <v>프리덤 라이터스</v>
      </c>
      <c r="C3189" s="45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97" t="s">
        <v>3447</v>
      </c>
    </row>
    <row r="3190" spans="1:10" ht="28.9" customHeight="1" thickTop="1" thickBot="1" x14ac:dyDescent="0.65">
      <c r="A3190" s="5">
        <v>3188</v>
      </c>
      <c r="B3190" s="46" t="str">
        <f>HYPERLINK("https://search.naver.com/search.naver?query=프리미엄 러쉬 영화", "프리미엄 러쉬")</f>
        <v>프리미엄 러쉬</v>
      </c>
      <c r="C3190" s="47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98" t="s">
        <v>3439</v>
      </c>
    </row>
    <row r="3191" spans="1:10" ht="28.9" customHeight="1" thickTop="1" thickBot="1" x14ac:dyDescent="0.65">
      <c r="A3191" s="3">
        <v>3189</v>
      </c>
      <c r="B3191" s="44" t="str">
        <f>HYPERLINK("https://search.naver.com/search.naver?query=프리즈너스 영화", "프리즈너스")</f>
        <v>프리즈너스</v>
      </c>
      <c r="C3191" s="45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97" t="s">
        <v>3451</v>
      </c>
    </row>
    <row r="3192" spans="1:10" ht="28.9" customHeight="1" thickTop="1" thickBot="1" x14ac:dyDescent="0.65">
      <c r="A3192" s="5">
        <v>3190</v>
      </c>
      <c r="B3192" s="46" t="str">
        <f>HYPERLINK("https://search.naver.com/search.naver?query=프리즌 영화", "프리즌")</f>
        <v>프리즌</v>
      </c>
      <c r="C3192" s="47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98" t="s">
        <v>3441</v>
      </c>
    </row>
    <row r="3193" spans="1:10" ht="28.9" customHeight="1" thickTop="1" thickBot="1" x14ac:dyDescent="0.65">
      <c r="A3193" s="3">
        <v>3191</v>
      </c>
      <c r="B3193" s="44" t="str">
        <f>HYPERLINK("https://search.naver.com/search.naver?query=프리퀀시 영화", "프리퀀시")</f>
        <v>프리퀀시</v>
      </c>
      <c r="C3193" s="45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97" t="s">
        <v>3458</v>
      </c>
    </row>
    <row r="3194" spans="1:10" ht="28.9" customHeight="1" thickTop="1" thickBot="1" x14ac:dyDescent="0.65">
      <c r="A3194" s="7">
        <v>3192</v>
      </c>
      <c r="B3194" s="48" t="str">
        <f>HYPERLINK("https://search.naver.com/search.naver?query=프린지 시즌1", "프린지 시즌1")</f>
        <v>프린지 시즌1</v>
      </c>
      <c r="C3194" s="49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99" t="s">
        <v>3450</v>
      </c>
    </row>
    <row r="3195" spans="1:10" ht="28.9" customHeight="1" thickTop="1" thickBot="1" x14ac:dyDescent="0.65">
      <c r="A3195" s="7">
        <v>3193</v>
      </c>
      <c r="B3195" s="48" t="str">
        <f>HYPERLINK("https://search.naver.com/search.naver?query=프린지 시즌2", "프린지 시즌2")</f>
        <v>프린지 시즌2</v>
      </c>
      <c r="C3195" s="49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99" t="s">
        <v>3455</v>
      </c>
    </row>
    <row r="3196" spans="1:10" ht="28.9" customHeight="1" thickTop="1" thickBot="1" x14ac:dyDescent="0.65">
      <c r="A3196" s="7">
        <v>3194</v>
      </c>
      <c r="B3196" s="48" t="str">
        <f>HYPERLINK("https://search.naver.com/search.naver?query=프린지 시즌3", "프린지 시즌3")</f>
        <v>프린지 시즌3</v>
      </c>
      <c r="C3196" s="49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99" t="s">
        <v>3454</v>
      </c>
    </row>
    <row r="3197" spans="1:10" ht="28.9" customHeight="1" thickTop="1" thickBot="1" x14ac:dyDescent="0.65">
      <c r="A3197" s="7">
        <v>3195</v>
      </c>
      <c r="B3197" s="48" t="str">
        <f>HYPERLINK("https://search.naver.com/search.naver?query=프린지 시즌4", "프린지 시즌4")</f>
        <v>프린지 시즌4</v>
      </c>
      <c r="C3197" s="49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99" t="s">
        <v>3439</v>
      </c>
    </row>
    <row r="3198" spans="1:10" ht="28.9" customHeight="1" thickTop="1" thickBot="1" x14ac:dyDescent="0.65">
      <c r="A3198" s="7">
        <v>3196</v>
      </c>
      <c r="B3198" s="48" t="str">
        <f>HYPERLINK("https://search.naver.com/search.naver?query=프린지 시즌5", "프린지 시즌5")</f>
        <v>프린지 시즌5</v>
      </c>
      <c r="C3198" s="49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99" t="s">
        <v>3451</v>
      </c>
    </row>
    <row r="3199" spans="1:10" ht="28.9" customHeight="1" thickTop="1" thickBot="1" x14ac:dyDescent="0.65">
      <c r="A3199" s="3">
        <v>3197</v>
      </c>
      <c r="B3199" s="44" t="str">
        <f>HYPERLINK("https://search.naver.com/search.naver?query=플라워 킬링 문 영화", "플라워 킬링 문")</f>
        <v>플라워 킬링 문</v>
      </c>
      <c r="C3199" s="45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97" t="s">
        <v>3446</v>
      </c>
    </row>
    <row r="3200" spans="1:10" ht="28.9" customHeight="1" thickTop="1" thickBot="1" x14ac:dyDescent="0.65">
      <c r="A3200" s="5">
        <v>3198</v>
      </c>
      <c r="B3200" s="46" t="str">
        <f>HYPERLINK("https://search.naver.com/search.naver?query=플라이 미 투 더 문 영화", "플라이 미 투 더 문")</f>
        <v>플라이 미 투 더 문</v>
      </c>
      <c r="C3200" s="47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98" t="s">
        <v>3448</v>
      </c>
    </row>
    <row r="3201" spans="1:10" ht="28.9" customHeight="1" thickTop="1" thickBot="1" x14ac:dyDescent="0.65">
      <c r="A3201" s="3">
        <v>3199</v>
      </c>
      <c r="B3201" s="44" t="str">
        <f>HYPERLINK("https://search.naver.com/search.naver?query=플라이트 영화", "플라이트")</f>
        <v>플라이트</v>
      </c>
      <c r="C3201" s="45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97" t="s">
        <v>3439</v>
      </c>
    </row>
    <row r="3202" spans="1:10" ht="28.9" customHeight="1" thickTop="1" thickBot="1" x14ac:dyDescent="0.65">
      <c r="A3202" s="5">
        <v>3200</v>
      </c>
      <c r="B3202" s="46" t="str">
        <f>HYPERLINK("https://search.naver.com/search.naver?query=플라이트 리스크 영화", "플라이트 리스크")</f>
        <v>플라이트 리스크</v>
      </c>
      <c r="C3202" s="47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98" t="s">
        <v>3459</v>
      </c>
    </row>
    <row r="3203" spans="1:10" ht="28.9" customHeight="1" thickTop="1" thickBot="1" x14ac:dyDescent="0.65">
      <c r="A3203" s="3">
        <v>3201</v>
      </c>
      <c r="B3203" s="44" t="str">
        <f>HYPERLINK("https://search.naver.com/search.naver?query=플래닛 바이러스 영화", "플래닛 바이러스")</f>
        <v>플래닛 바이러스</v>
      </c>
      <c r="C3203" s="45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97" t="s">
        <v>3451</v>
      </c>
    </row>
    <row r="3204" spans="1:10" ht="28.9" customHeight="1" thickTop="1" thickBot="1" x14ac:dyDescent="0.65">
      <c r="A3204" s="5">
        <v>3202</v>
      </c>
      <c r="B3204" s="46" t="str">
        <f>HYPERLINK("https://search.naver.com/search.naver?query=플래툰 영화", "플래툰")</f>
        <v>플래툰</v>
      </c>
      <c r="C3204" s="47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98" t="s">
        <v>3481</v>
      </c>
    </row>
    <row r="3205" spans="1:10" ht="28.9" customHeight="1" thickTop="1" thickBot="1" x14ac:dyDescent="0.65">
      <c r="A3205" s="3">
        <v>3203</v>
      </c>
      <c r="B3205" s="44" t="str">
        <f>HYPERLINK("https://search.naver.com/search.naver?query=플래티나 데이터 영화", "플래티나 데이터")</f>
        <v>플래티나 데이터</v>
      </c>
      <c r="C3205" s="45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97" t="s">
        <v>3451</v>
      </c>
    </row>
    <row r="3206" spans="1:10" ht="28.9" customHeight="1" thickTop="1" thickBot="1" x14ac:dyDescent="0.65">
      <c r="A3206" s="5">
        <v>3204</v>
      </c>
      <c r="B3206" s="46" t="str">
        <f>HYPERLINK("https://search.naver.com/search.naver?query=플랜75 영화", "플랜75")</f>
        <v>플랜75</v>
      </c>
      <c r="C3206" s="47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98" t="s">
        <v>3445</v>
      </c>
    </row>
    <row r="3207" spans="1:10" ht="28.9" customHeight="1" thickTop="1" thickBot="1" x14ac:dyDescent="0.65">
      <c r="A3207" s="3">
        <v>3205</v>
      </c>
      <c r="B3207" s="44" t="str">
        <f>HYPERLINK("https://search.naver.com/search.naver?query=플랜맨 영화", "플랜맨")</f>
        <v>플랜맨</v>
      </c>
      <c r="C3207" s="45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97" t="s">
        <v>3451</v>
      </c>
    </row>
    <row r="3208" spans="1:10" ht="28.9" customHeight="1" thickTop="1" thickBot="1" x14ac:dyDescent="0.65">
      <c r="A3208" s="5">
        <v>3206</v>
      </c>
      <c r="B3208" s="46" t="str">
        <f>HYPERLINK("https://search.naver.com/search.naver?query=플랫라이너 영화", "플랫라이너")</f>
        <v>플랫라이너</v>
      </c>
      <c r="C3208" s="47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98" t="s">
        <v>3443</v>
      </c>
    </row>
    <row r="3209" spans="1:10" ht="28.9" customHeight="1" thickTop="1" thickBot="1" x14ac:dyDescent="0.65">
      <c r="A3209" s="3">
        <v>3207</v>
      </c>
      <c r="B3209" s="44" t="str">
        <f>HYPERLINK("https://search.naver.com/search.naver?query=플레이스 비욘드 더 파인즈 영화", "플레이스 비욘드 더 파인즈")</f>
        <v>플레이스 비욘드 더 파인즈</v>
      </c>
      <c r="C3209" s="45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97" t="s">
        <v>3439</v>
      </c>
    </row>
    <row r="3210" spans="1:10" ht="28.9" customHeight="1" thickTop="1" thickBot="1" x14ac:dyDescent="0.65">
      <c r="A3210" s="5">
        <v>3208</v>
      </c>
      <c r="B3210" s="46" t="str">
        <f>HYPERLINK("https://search.naver.com/search.naver?query=플레인 영화", "플레인")</f>
        <v>플레인</v>
      </c>
      <c r="C3210" s="47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98" t="s">
        <v>3446</v>
      </c>
    </row>
    <row r="3211" spans="1:10" ht="28.9" customHeight="1" thickTop="1" thickBot="1" x14ac:dyDescent="0.65">
      <c r="A3211" s="3">
        <v>3209</v>
      </c>
      <c r="B3211" s="44" t="str">
        <f>HYPERLINK("https://search.naver.com/search.naver?query=플로라 앤 썬 영화", "플로라 앤 썬")</f>
        <v>플로라 앤 썬</v>
      </c>
      <c r="C3211" s="45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97" t="s">
        <v>3446</v>
      </c>
    </row>
    <row r="3212" spans="1:10" ht="28.9" customHeight="1" thickTop="1" thickBot="1" x14ac:dyDescent="0.65">
      <c r="A3212" s="5">
        <v>3210</v>
      </c>
      <c r="B3212" s="46" t="str">
        <f>HYPERLINK("https://search.naver.com/search.naver?query=플로렌스 영화", "플로렌스")</f>
        <v>플로렌스</v>
      </c>
      <c r="C3212" s="47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98" t="s">
        <v>3441</v>
      </c>
    </row>
    <row r="3213" spans="1:10" ht="28.9" customHeight="1" thickTop="1" thickBot="1" x14ac:dyDescent="0.65">
      <c r="A3213" s="3">
        <v>3211</v>
      </c>
      <c r="B3213" s="44" t="str">
        <f>HYPERLINK("https://search.naver.com/search.naver?query=플로리스 영화", "플로리스")</f>
        <v>플로리스</v>
      </c>
      <c r="C3213" s="45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97" t="s">
        <v>3447</v>
      </c>
    </row>
    <row r="3214" spans="1:10" ht="28.9" customHeight="1" thickTop="1" thickBot="1" x14ac:dyDescent="0.65">
      <c r="A3214" s="5">
        <v>3212</v>
      </c>
      <c r="B3214" s="46" t="str">
        <f>HYPERLINK("https://search.naver.com/search.naver?query=플립 영화", "플립")</f>
        <v>플립</v>
      </c>
      <c r="C3214" s="47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98" t="s">
        <v>3455</v>
      </c>
    </row>
    <row r="3215" spans="1:10" ht="28.9" customHeight="1" thickTop="1" thickBot="1" x14ac:dyDescent="0.65">
      <c r="A3215" s="3">
        <v>3213</v>
      </c>
      <c r="B3215" s="44" t="str">
        <f>HYPERLINK("https://search.naver.com/search.naver?query=피그 영화", "피그")</f>
        <v>피그</v>
      </c>
      <c r="C3215" s="45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97" t="s">
        <v>3438</v>
      </c>
    </row>
    <row r="3216" spans="1:10" ht="28.9" customHeight="1" thickTop="1" thickBot="1" x14ac:dyDescent="0.65">
      <c r="A3216" s="5">
        <v>3214</v>
      </c>
      <c r="B3216" s="46" t="str">
        <f>HYPERLINK("https://search.naver.com/search.naver?query=피끓는 청춘 영화", "피끓는 청춘")</f>
        <v>피끓는 청춘</v>
      </c>
      <c r="C3216" s="47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98" t="s">
        <v>3437</v>
      </c>
    </row>
    <row r="3217" spans="1:10" ht="28.9" customHeight="1" thickTop="1" thickBot="1" x14ac:dyDescent="0.65">
      <c r="A3217" s="3">
        <v>3215</v>
      </c>
      <c r="B3217" s="44" t="str">
        <f>HYPERLINK("https://search.naver.com/search.naver?query=피넛 버터 팔콘 영화", "피넛 버터 팔콘")</f>
        <v>피넛 버터 팔콘</v>
      </c>
      <c r="C3217" s="45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97" t="s">
        <v>3444</v>
      </c>
    </row>
    <row r="3218" spans="1:10" ht="28.9" customHeight="1" thickTop="1" thickBot="1" x14ac:dyDescent="0.65">
      <c r="A3218" s="5">
        <v>3216</v>
      </c>
      <c r="B3218" s="46" t="str">
        <f>HYPERLINK("https://search.naver.com/search.naver?query=피메일 에이전트 영화", "피메일 에이전트")</f>
        <v>피메일 에이전트</v>
      </c>
      <c r="C3218" s="47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98" t="s">
        <v>3450</v>
      </c>
    </row>
    <row r="3219" spans="1:10" ht="28.9" customHeight="1" thickTop="1" thickBot="1" x14ac:dyDescent="0.65">
      <c r="A3219" s="3">
        <v>3217</v>
      </c>
      <c r="B3219" s="44" t="str">
        <f>HYPERLINK("https://search.naver.com/search.naver?query=피스트 오브 러브 영화", "피스트 오브 러브")</f>
        <v>피스트 오브 러브</v>
      </c>
      <c r="C3219" s="45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97" t="s">
        <v>3447</v>
      </c>
    </row>
    <row r="3220" spans="1:10" ht="28.9" customHeight="1" thickTop="1" thickBot="1" x14ac:dyDescent="0.65">
      <c r="A3220" s="5">
        <v>3218</v>
      </c>
      <c r="B3220" s="46" t="str">
        <f>HYPERLINK("https://search.naver.com/search.naver?query=피아니스트의 전설 영화", "피아니스트의 전설")</f>
        <v>피아니스트의 전설</v>
      </c>
      <c r="C3220" s="47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98" t="s">
        <v>3452</v>
      </c>
    </row>
    <row r="3221" spans="1:10" ht="28.9" customHeight="1" thickTop="1" thickBot="1" x14ac:dyDescent="0.65">
      <c r="A3221" s="3">
        <v>3219</v>
      </c>
      <c r="B3221" s="44" t="str">
        <f>HYPERLINK("https://search.naver.com/search.naver?query=피어 오브 레인 영화", "피어 오브 레인")</f>
        <v>피어 오브 레인</v>
      </c>
      <c r="C3221" s="45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97" t="s">
        <v>3438</v>
      </c>
    </row>
    <row r="3222" spans="1:10" ht="28.9" customHeight="1" thickTop="1" thickBot="1" x14ac:dyDescent="0.65">
      <c r="A3222" s="5">
        <v>3220</v>
      </c>
      <c r="B3222" s="46" t="str">
        <f>HYPERLINK("https://search.naver.com/search.naver?query=피에타 영화", "피에타")</f>
        <v>피에타</v>
      </c>
      <c r="C3222" s="47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98" t="s">
        <v>3439</v>
      </c>
    </row>
    <row r="3223" spans="1:10" ht="28.9" customHeight="1" thickTop="1" thickBot="1" x14ac:dyDescent="0.65">
      <c r="A3223" s="3">
        <v>3221</v>
      </c>
      <c r="B3223" s="44" t="str">
        <f>HYPERLINK("https://search.naver.com/search.naver?query=피의자 사라진 증거 영화", "피의자 - 사라진 증거")</f>
        <v>피의자 - 사라진 증거</v>
      </c>
      <c r="C3223" s="45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97" t="s">
        <v>3437</v>
      </c>
    </row>
    <row r="3224" spans="1:10" ht="28.9" customHeight="1" thickTop="1" thickBot="1" x14ac:dyDescent="0.65">
      <c r="A3224" s="5">
        <v>3222</v>
      </c>
      <c r="B3224" s="46" t="str">
        <f>HYPERLINK("https://search.naver.com/search.naver?query=피치 퍼팩트 영화", "피치 퍼팩트")</f>
        <v>피치 퍼팩트</v>
      </c>
      <c r="C3224" s="47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98" t="s">
        <v>3439</v>
      </c>
    </row>
    <row r="3225" spans="1:10" ht="28.9" customHeight="1" thickTop="1" thickBot="1" x14ac:dyDescent="0.65">
      <c r="A3225" s="7">
        <v>3223</v>
      </c>
      <c r="B3225" s="48" t="str">
        <f>HYPERLINK("https://search.naver.com/search.naver?query=피키 블라인더스 시즌1", "피키 블라인더스 시즌1")</f>
        <v>피키 블라인더스 시즌1</v>
      </c>
      <c r="C3225" s="49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99" t="s">
        <v>3451</v>
      </c>
    </row>
    <row r="3226" spans="1:10" ht="28.9" customHeight="1" thickTop="1" thickBot="1" x14ac:dyDescent="0.65">
      <c r="A3226" s="7">
        <v>3224</v>
      </c>
      <c r="B3226" s="48" t="str">
        <f>HYPERLINK("https://search.naver.com/search.naver?query=피키 블라인더스 시즌2", "피키 블라인더스 시즌2")</f>
        <v>피키 블라인더스 시즌2</v>
      </c>
      <c r="C3226" s="49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99" t="s">
        <v>3437</v>
      </c>
    </row>
    <row r="3227" spans="1:10" ht="28.9" customHeight="1" thickTop="1" thickBot="1" x14ac:dyDescent="0.65">
      <c r="A3227" s="7">
        <v>3225</v>
      </c>
      <c r="B3227" s="48" t="str">
        <f>HYPERLINK("https://search.naver.com/search.naver?query=피키 블라인더스 시즌3", "피키 블라인더스 시즌3")</f>
        <v>피키 블라인더스 시즌3</v>
      </c>
      <c r="C3227" s="49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99" t="s">
        <v>3441</v>
      </c>
    </row>
    <row r="3228" spans="1:10" ht="28.9" customHeight="1" thickTop="1" thickBot="1" x14ac:dyDescent="0.65">
      <c r="A3228" s="7">
        <v>3226</v>
      </c>
      <c r="B3228" s="48" t="str">
        <f>HYPERLINK("https://search.naver.com/search.naver?query=피키 블라인더스 시즌4", "피키 블라인더스 시즌4")</f>
        <v>피키 블라인더스 시즌4</v>
      </c>
      <c r="C3228" s="49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99" t="s">
        <v>3443</v>
      </c>
    </row>
    <row r="3229" spans="1:10" ht="28.9" customHeight="1" thickTop="1" thickBot="1" x14ac:dyDescent="0.65">
      <c r="A3229" s="7">
        <v>3227</v>
      </c>
      <c r="B3229" s="48" t="str">
        <f>HYPERLINK("https://search.naver.com/search.naver?query=피키 블라인더스 시즌5", "피키 블라인더스 시즌5")</f>
        <v>피키 블라인더스 시즌5</v>
      </c>
      <c r="C3229" s="49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99" t="s">
        <v>3444</v>
      </c>
    </row>
    <row r="3230" spans="1:10" ht="28.9" customHeight="1" thickTop="1" thickBot="1" x14ac:dyDescent="0.65">
      <c r="A3230" s="7">
        <v>3228</v>
      </c>
      <c r="B3230" s="48" t="str">
        <f>HYPERLINK("https://search.naver.com/search.naver?query=피키 블라인더스 시즌6", "피키 블라인더스 시즌6")</f>
        <v>피키 블라인더스 시즌6</v>
      </c>
      <c r="C3230" s="49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99" t="s">
        <v>3445</v>
      </c>
    </row>
    <row r="3231" spans="1:10" ht="28.9" customHeight="1" thickTop="1" thickBot="1" x14ac:dyDescent="0.65">
      <c r="A3231" s="3">
        <v>3229</v>
      </c>
      <c r="B3231" s="44" t="str">
        <f>HYPERLINK("https://search.naver.com/search.naver?query=피플 라이크 어스 영화", "피플 라이크 어스")</f>
        <v>피플 라이크 어스</v>
      </c>
      <c r="C3231" s="45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97" t="s">
        <v>3439</v>
      </c>
    </row>
    <row r="3232" spans="1:10" ht="28.9" customHeight="1" thickTop="1" thickBot="1" x14ac:dyDescent="0.65">
      <c r="A3232" s="5">
        <v>3230</v>
      </c>
      <c r="B3232" s="46" t="str">
        <f>HYPERLINK("https://search.naver.com/search.naver?query=픽포켓 영화", "픽포켓")</f>
        <v>픽포켓</v>
      </c>
      <c r="C3232" s="47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98">
        <v>41639</v>
      </c>
    </row>
    <row r="3233" spans="1:10" ht="28.9" customHeight="1" thickTop="1" thickBot="1" x14ac:dyDescent="0.65">
      <c r="A3233" s="3">
        <v>3231</v>
      </c>
      <c r="B3233" s="44" t="str">
        <f>HYPERLINK("https://search.naver.com/search.naver?query=핀치 영화", "핀치")</f>
        <v>핀치</v>
      </c>
      <c r="C3233" s="45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97" t="s">
        <v>3438</v>
      </c>
    </row>
    <row r="3234" spans="1:10" ht="28.9" customHeight="1" thickTop="1" thickBot="1" x14ac:dyDescent="0.65">
      <c r="A3234" s="5">
        <v>3232</v>
      </c>
      <c r="B3234" s="46" t="str">
        <f>HYPERLINK("https://search.naver.com/search.naver?query=필라델피아 영화", "필라델피아")</f>
        <v>필라델피아</v>
      </c>
      <c r="C3234" s="47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98" t="s">
        <v>3469</v>
      </c>
    </row>
    <row r="3235" spans="1:10" ht="28.9" customHeight="1" thickTop="1" thickBot="1" x14ac:dyDescent="0.65">
      <c r="A3235" s="3">
        <v>3233</v>
      </c>
      <c r="B3235" s="44" t="str">
        <f>HYPERLINK("https://search.naver.com/search.naver?query=필로미나의 기적 영화", "필로미나의 기적")</f>
        <v>필로미나의 기적</v>
      </c>
      <c r="C3235" s="45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97" t="s">
        <v>3451</v>
      </c>
    </row>
    <row r="3236" spans="1:10" ht="28.9" customHeight="1" thickTop="1" thickBot="1" x14ac:dyDescent="0.65">
      <c r="A3236" s="5">
        <v>3234</v>
      </c>
      <c r="B3236" s="46" t="str">
        <f>HYPERLINK("https://search.naver.com/search.naver?query=필름스타 인 리버풀 영화", "필름스타 인 리버풀")</f>
        <v>필름스타 인 리버풀</v>
      </c>
      <c r="C3236" s="47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98" t="s">
        <v>3443</v>
      </c>
    </row>
    <row r="3237" spans="1:10" ht="28.9" customHeight="1" thickTop="1" thickBot="1" x14ac:dyDescent="0.65">
      <c r="A3237" s="3">
        <v>3235</v>
      </c>
      <c r="B3237" s="44" t="str">
        <f>HYPERLINK("https://search.naver.com/search.naver?query=핑크와 그레이 영화", "핑크와 그레이")</f>
        <v>핑크와 그레이</v>
      </c>
      <c r="C3237" s="45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97" t="s">
        <v>3440</v>
      </c>
    </row>
    <row r="3238" spans="1:10" ht="28.9" customHeight="1" thickTop="1" thickBot="1" x14ac:dyDescent="0.65">
      <c r="A3238" s="5">
        <v>3236</v>
      </c>
      <c r="B3238" s="46" t="str">
        <f>HYPERLINK("https://search.naver.com/search.naver?query=하나레이 베이 영화", "하나레이 베이")</f>
        <v>하나레이 베이</v>
      </c>
      <c r="C3238" s="47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98" t="s">
        <v>3442</v>
      </c>
    </row>
    <row r="3239" spans="1:10" ht="28.9" customHeight="1" thickTop="1" thickBot="1" x14ac:dyDescent="0.65">
      <c r="A3239" s="3">
        <v>3237</v>
      </c>
      <c r="B3239" s="44" t="str">
        <f>HYPERLINK("https://search.naver.com/search.naver?query=하나와 미소시루 영화", "하나와 미소시루")</f>
        <v>하나와 미소시루</v>
      </c>
      <c r="C3239" s="45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97" t="s">
        <v>3440</v>
      </c>
    </row>
    <row r="3240" spans="1:10" ht="28.9" customHeight="1" thickTop="1" thickBot="1" x14ac:dyDescent="0.65">
      <c r="A3240" s="5">
        <v>3238</v>
      </c>
      <c r="B3240" s="46" t="str">
        <f>HYPERLINK("https://search.naver.com/search.naver?query=하나와 앨리스 영화", "하나와 앨리스")</f>
        <v>하나와 앨리스</v>
      </c>
      <c r="C3240" s="47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98" t="s">
        <v>3462</v>
      </c>
    </row>
    <row r="3241" spans="1:10" ht="28.9" customHeight="1" thickTop="1" thickBot="1" x14ac:dyDescent="0.65">
      <c r="A3241" s="3">
        <v>3239</v>
      </c>
      <c r="B3241" s="44" t="str">
        <f>HYPERLINK("https://search.naver.com/search.naver?query=하늘 높이 영화", "하늘 높이")</f>
        <v>하늘 높이</v>
      </c>
      <c r="C3241" s="45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97" t="s">
        <v>3437</v>
      </c>
    </row>
    <row r="3242" spans="1:10" ht="28.9" customHeight="1" thickTop="1" thickBot="1" x14ac:dyDescent="0.65">
      <c r="A3242" s="5">
        <v>3240</v>
      </c>
      <c r="B3242" s="46" t="str">
        <f>HYPERLINK("https://search.naver.com/search.naver?query=하늘과 땅 영화", "하늘과 땅")</f>
        <v>하늘과 땅</v>
      </c>
      <c r="C3242" s="47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98" t="s">
        <v>3469</v>
      </c>
    </row>
    <row r="3243" spans="1:10" ht="28.9" customHeight="1" thickTop="1" thickBot="1" x14ac:dyDescent="0.65">
      <c r="A3243" s="3">
        <v>3241</v>
      </c>
      <c r="B3243" s="44" t="str">
        <f>HYPERLINK("https://search.naver.com/search.naver?query=하늘에서 온 엽서 영화", "하늘에서 온 엽서")</f>
        <v>하늘에서 온 엽서</v>
      </c>
      <c r="C3243" s="45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97" t="s">
        <v>3473</v>
      </c>
    </row>
    <row r="3244" spans="1:10" ht="28.9" customHeight="1" thickTop="1" thickBot="1" x14ac:dyDescent="0.65">
      <c r="A3244" s="5">
        <v>3242</v>
      </c>
      <c r="B3244" s="46" t="str">
        <f>HYPERLINK("https://search.naver.com/search.naver?query=하늘을 걷는 남자 영화", "하늘을 걷는 남자")</f>
        <v>하늘을 걷는 남자</v>
      </c>
      <c r="C3244" s="47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98" t="s">
        <v>3440</v>
      </c>
    </row>
    <row r="3245" spans="1:10" ht="28.9" customHeight="1" thickTop="1" thickBot="1" x14ac:dyDescent="0.65">
      <c r="A3245" s="3">
        <v>3243</v>
      </c>
      <c r="B3245" s="44" t="str">
        <f>HYPERLINK("https://search.naver.com/search.naver?query=하늘이 보내준 딸 영화", "하늘이 보내준 딸")</f>
        <v>하늘이 보내준 딸</v>
      </c>
      <c r="C3245" s="45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97" t="s">
        <v>3439</v>
      </c>
    </row>
    <row r="3246" spans="1:10" ht="28.9" customHeight="1" thickTop="1" thickBot="1" x14ac:dyDescent="0.65">
      <c r="A3246" s="5">
        <v>3244</v>
      </c>
      <c r="B3246" s="46" t="str">
        <f>HYPERLINK("https://search.naver.com/search.naver?query=하드 레인 영화", "하드 레인")</f>
        <v>하드 레인</v>
      </c>
      <c r="C3246" s="47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98" t="s">
        <v>3452</v>
      </c>
    </row>
    <row r="3247" spans="1:10" ht="28.9" customHeight="1" thickTop="1" thickBot="1" x14ac:dyDescent="0.65">
      <c r="A3247" s="3">
        <v>3245</v>
      </c>
      <c r="B3247" s="44" t="str">
        <f>HYPERLINK("https://search.naver.com/search.naver?query=하드데이 영화", "하드데이")</f>
        <v>하드데이</v>
      </c>
      <c r="C3247" s="45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97" t="s">
        <v>3437</v>
      </c>
    </row>
    <row r="3248" spans="1:10" ht="28.9" customHeight="1" thickTop="1" thickBot="1" x14ac:dyDescent="0.65">
      <c r="A3248" s="5">
        <v>3246</v>
      </c>
      <c r="B3248" s="46" t="str">
        <f>HYPERLINK("https://search.naver.com/search.naver?query=하모니움 영화", "하모니움")</f>
        <v>하모니움</v>
      </c>
      <c r="C3248" s="47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98" t="s">
        <v>3441</v>
      </c>
    </row>
    <row r="3249" spans="1:10" ht="28.9" customHeight="1" thickTop="1" thickBot="1" x14ac:dyDescent="0.65">
      <c r="A3249" s="3">
        <v>3247</v>
      </c>
      <c r="B3249" s="44" t="str">
        <f>HYPERLINK("https://search.naver.com/search.naver?query=하비의 마지막 로맨스 영화", "하비의 마지막 로맨스")</f>
        <v>하비의 마지막 로맨스</v>
      </c>
      <c r="C3249" s="45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97" t="s">
        <v>3450</v>
      </c>
    </row>
    <row r="3250" spans="1:10" ht="28.9" customHeight="1" thickTop="1" thickBot="1" x14ac:dyDescent="0.65">
      <c r="A3250" s="5">
        <v>3248</v>
      </c>
      <c r="B3250" s="46" t="str">
        <f>HYPERLINK("https://search.naver.com/search.naver?query=하와이언 레시피 영화", "하와이언 레시피")</f>
        <v>하와이언 레시피</v>
      </c>
      <c r="C3250" s="47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98" t="s">
        <v>3453</v>
      </c>
    </row>
    <row r="3251" spans="1:10" ht="28.9" customHeight="1" thickTop="1" thickBot="1" x14ac:dyDescent="0.65">
      <c r="A3251" s="3">
        <v>3249</v>
      </c>
      <c r="B3251" s="44" t="str">
        <f>HYPERLINK("https://search.naver.com/search.naver?query=하우 투 비 싱글 영화", "하우 투 비 싱글")</f>
        <v>하우 투 비 싱글</v>
      </c>
      <c r="C3251" s="45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97" t="s">
        <v>3441</v>
      </c>
    </row>
    <row r="3252" spans="1:10" ht="28.9" customHeight="1" thickTop="1" thickBot="1" x14ac:dyDescent="0.65">
      <c r="A3252" s="5">
        <v>3250</v>
      </c>
      <c r="B3252" s="46" t="str">
        <f>HYPERLINK("https://search.naver.com/search.naver?query=하우스 오브 구찌 영화", "하우스 오브 구찌")</f>
        <v>하우스 오브 구찌</v>
      </c>
      <c r="C3252" s="47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98" t="s">
        <v>3438</v>
      </c>
    </row>
    <row r="3253" spans="1:10" ht="28.9" customHeight="1" thickTop="1" thickBot="1" x14ac:dyDescent="0.65">
      <c r="A3253" s="3">
        <v>3251</v>
      </c>
      <c r="B3253" s="44" t="str">
        <f>HYPERLINK("https://search.naver.com/search.naver?query=하우스 오브 다이너마이트 영화", "하우스 오브 다이너마이트")</f>
        <v>하우스 오브 다이너마이트</v>
      </c>
      <c r="C3253" s="45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97" t="s">
        <v>3459</v>
      </c>
    </row>
    <row r="3254" spans="1:10" ht="28.9" customHeight="1" thickTop="1" thickBot="1" x14ac:dyDescent="0.65">
      <c r="A3254" s="7">
        <v>3252</v>
      </c>
      <c r="B3254" s="48" t="str">
        <f>HYPERLINK("https://search.naver.com/search.naver?query=하우스 오브 드래곤 시즌1", "하우스 오브 드래곤 시즌1")</f>
        <v>하우스 오브 드래곤 시즌1</v>
      </c>
      <c r="C3254" s="49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99" t="s">
        <v>3445</v>
      </c>
    </row>
    <row r="3255" spans="1:10" ht="28.9" customHeight="1" thickTop="1" thickBot="1" x14ac:dyDescent="0.65">
      <c r="A3255" s="7">
        <v>3253</v>
      </c>
      <c r="B3255" s="48" t="str">
        <f>HYPERLINK("https://search.naver.com/search.naver?query=하우스 오브 아울 드라마", "하우스 오브 아울")</f>
        <v>하우스 오브 아울</v>
      </c>
      <c r="C3255" s="49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99" t="s">
        <v>3448</v>
      </c>
    </row>
    <row r="3256" spans="1:10" ht="28.9" customHeight="1" thickTop="1" thickBot="1" x14ac:dyDescent="0.65">
      <c r="A3256" s="7">
        <v>3254</v>
      </c>
      <c r="B3256" s="48" t="str">
        <f>HYPERLINK("https://search.naver.com/search.naver?query=하우스 오브 카드 시즌1", "하우스 오브 카드 시즌1")</f>
        <v>하우스 오브 카드 시즌1</v>
      </c>
      <c r="C3256" s="49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99" t="s">
        <v>3451</v>
      </c>
    </row>
    <row r="3257" spans="1:10" ht="28.9" customHeight="1" thickTop="1" thickBot="1" x14ac:dyDescent="0.65">
      <c r="A3257" s="7">
        <v>3255</v>
      </c>
      <c r="B3257" s="48" t="str">
        <f>HYPERLINK("https://search.naver.com/search.naver?query=하우스 오브 카드 시즌2", "하우스 오브 카드 시즌2")</f>
        <v>하우스 오브 카드 시즌2</v>
      </c>
      <c r="C3257" s="49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99" t="s">
        <v>3437</v>
      </c>
    </row>
    <row r="3258" spans="1:10" ht="28.9" customHeight="1" thickTop="1" thickBot="1" x14ac:dyDescent="0.65">
      <c r="A3258" s="7">
        <v>3256</v>
      </c>
      <c r="B3258" s="48" t="str">
        <f>HYPERLINK("https://search.naver.com/search.naver?query=하우스 오브 카드 시즌3", "하우스 오브 카드 시즌3")</f>
        <v>하우스 오브 카드 시즌3</v>
      </c>
      <c r="C3258" s="49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99" t="s">
        <v>3440</v>
      </c>
    </row>
    <row r="3259" spans="1:10" ht="28.9" customHeight="1" thickTop="1" thickBot="1" x14ac:dyDescent="0.65">
      <c r="A3259" s="7">
        <v>3257</v>
      </c>
      <c r="B3259" s="48" t="str">
        <f>HYPERLINK("https://search.naver.com/search.naver?query=하우스 오브 카드 시즌4", "하우스 오브 카드 시즌4")</f>
        <v>하우스 오브 카드 시즌4</v>
      </c>
      <c r="C3259" s="49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99" t="s">
        <v>3441</v>
      </c>
    </row>
    <row r="3260" spans="1:10" ht="28.9" customHeight="1" thickTop="1" thickBot="1" x14ac:dyDescent="0.65">
      <c r="A3260" s="7">
        <v>3258</v>
      </c>
      <c r="B3260" s="48" t="str">
        <f>HYPERLINK("https://search.naver.com/search.naver?query=하우스 오브 카드 시즌5", "하우스 오브 카드 시즌5")</f>
        <v>하우스 오브 카드 시즌5</v>
      </c>
      <c r="C3260" s="49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99" t="s">
        <v>3443</v>
      </c>
    </row>
    <row r="3261" spans="1:10" ht="28.9" customHeight="1" thickTop="1" thickBot="1" x14ac:dyDescent="0.65">
      <c r="A3261" s="7">
        <v>3259</v>
      </c>
      <c r="B3261" s="48" t="str">
        <f>HYPERLINK("https://search.naver.com/search.naver?query=하우스 오브 카드 시즌6", "하우스 오브 카드 시즌6")</f>
        <v>하우스 오브 카드 시즌6</v>
      </c>
      <c r="C3261" s="49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99" t="s">
        <v>3442</v>
      </c>
    </row>
    <row r="3262" spans="1:10" ht="28.9" customHeight="1" thickTop="1" thickBot="1" x14ac:dyDescent="0.65">
      <c r="A3262" s="5">
        <v>3260</v>
      </c>
      <c r="B3262" s="46" t="str">
        <f>HYPERLINK("https://search.naver.com/search.naver?query=하우스 오브 투모로우 영화", "하우스 오브 투모로우")</f>
        <v>하우스 오브 투모로우</v>
      </c>
      <c r="C3262" s="47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98" t="s">
        <v>3443</v>
      </c>
    </row>
    <row r="3263" spans="1:10" ht="28.9" customHeight="1" thickTop="1" thickBot="1" x14ac:dyDescent="0.65">
      <c r="A3263" s="5">
        <v>3261</v>
      </c>
      <c r="B3263" s="46" t="str">
        <f>HYPERLINK("https://search.naver.com/search.naver?query=하우스메이드 영화", "하우스메이드")</f>
        <v>하우스메이드</v>
      </c>
      <c r="C3263" s="47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98">
        <v>46096</v>
      </c>
    </row>
    <row r="3264" spans="1:10" ht="28.9" customHeight="1" thickTop="1" thickBot="1" x14ac:dyDescent="0.65">
      <c r="A3264" s="3">
        <v>3262</v>
      </c>
      <c r="B3264" s="44" t="str">
        <f>HYPERLINK("https://search.naver.com/search.naver?query=하울링 영화", "하울링")</f>
        <v>하울링</v>
      </c>
      <c r="C3264" s="45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97" t="s">
        <v>3439</v>
      </c>
    </row>
    <row r="3265" spans="1:10" ht="28.9" customHeight="1" thickTop="1" thickBot="1" x14ac:dyDescent="0.65">
      <c r="A3265" s="5">
        <v>3263</v>
      </c>
      <c r="B3265" s="46" t="str">
        <f>HYPERLINK("https://search.naver.com/search.naver?query=하이 스트렁 영화", "하이 스트렁")</f>
        <v>하이 스트렁</v>
      </c>
      <c r="C3265" s="47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98" t="s">
        <v>3441</v>
      </c>
    </row>
    <row r="3266" spans="1:10" ht="28.9" customHeight="1" thickTop="1" thickBot="1" x14ac:dyDescent="0.65">
      <c r="A3266" s="3">
        <v>3264</v>
      </c>
      <c r="B3266" s="44" t="str">
        <f>HYPERLINK("https://search.naver.com/search.naver?query=하이 크라임 영화", "하이 크라임")</f>
        <v>하이 크라임</v>
      </c>
      <c r="C3266" s="45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97" t="s">
        <v>3466</v>
      </c>
    </row>
    <row r="3267" spans="1:10" ht="28.9" customHeight="1" thickTop="1" thickBot="1" x14ac:dyDescent="0.65">
      <c r="A3267" s="5">
        <v>3265</v>
      </c>
      <c r="B3267" s="46" t="str">
        <f>HYPERLINK("https://search.naver.com/search.naver?query=하이, 젝시 영화", "하이, 젝시")</f>
        <v>하이, 젝시</v>
      </c>
      <c r="C3267" s="47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98" t="s">
        <v>3436</v>
      </c>
    </row>
    <row r="3268" spans="1:10" ht="28.9" customHeight="1" thickTop="1" thickBot="1" x14ac:dyDescent="0.65">
      <c r="A3268" s="3">
        <v>3266</v>
      </c>
      <c r="B3268" s="44" t="str">
        <f>HYPERLINK("https://search.naver.com/search.naver?query=하이웨이맨 2019 영화", "하이웨이맨")</f>
        <v>하이웨이맨</v>
      </c>
      <c r="C3268" s="45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97" t="s">
        <v>3444</v>
      </c>
    </row>
    <row r="3269" spans="1:10" ht="28.9" customHeight="1" thickTop="1" thickBot="1" x14ac:dyDescent="0.65">
      <c r="A3269" s="5">
        <v>3267</v>
      </c>
      <c r="B3269" s="46" t="str">
        <f>HYPERLINK("https://search.naver.com/search.naver?query=한국영화 하이재킹", "하이재킹")</f>
        <v>하이재킹</v>
      </c>
      <c r="C3269" s="47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98">
        <v>45657</v>
      </c>
    </row>
    <row r="3270" spans="1:10" ht="28.9" customHeight="1" thickTop="1" thickBot="1" x14ac:dyDescent="0.65">
      <c r="A3270" s="7">
        <v>3268</v>
      </c>
      <c r="B3270" s="48" t="str">
        <f>HYPERLINK("https://search.naver.com/search.naver?query=하이재킹 시즌1", "하이재킹 시즌1")</f>
        <v>하이재킹 시즌1</v>
      </c>
      <c r="C3270" s="49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99" t="s">
        <v>3446</v>
      </c>
    </row>
    <row r="3271" spans="1:10" ht="28.9" customHeight="1" thickTop="1" thickBot="1" x14ac:dyDescent="0.65">
      <c r="A3271" s="5">
        <v>3269</v>
      </c>
      <c r="B3271" s="46" t="str">
        <f>HYPERLINK("https://search.naver.com/search.naver?query=하이힐 영화", "하이힐")</f>
        <v>하이힐</v>
      </c>
      <c r="C3271" s="47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98" t="s">
        <v>3451</v>
      </c>
    </row>
    <row r="3272" spans="1:10" ht="28.9" customHeight="1" thickTop="1" thickBot="1" x14ac:dyDescent="0.65">
      <c r="A3272" s="3">
        <v>3270</v>
      </c>
      <c r="B3272" s="44" t="str">
        <f>HYPERLINK("https://search.naver.com/search.naver?query=하이힐을 신고 달리는 여자 영화", "하이힐을 신고 달리는 여자")</f>
        <v>하이힐을 신고 달리는 여자</v>
      </c>
      <c r="C3272" s="45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97" t="s">
        <v>3439</v>
      </c>
    </row>
    <row r="3273" spans="1:10" ht="28.9" customHeight="1" thickTop="1" thickBot="1" x14ac:dyDescent="0.65">
      <c r="A3273" s="5">
        <v>3271</v>
      </c>
      <c r="B3273" s="46" t="str">
        <f>HYPERLINK("https://search.naver.com/search.naver?query=하치 이야기 영화", "하치 이야기")</f>
        <v>하치 이야기</v>
      </c>
      <c r="C3273" s="47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98" t="s">
        <v>3453</v>
      </c>
    </row>
    <row r="3274" spans="1:10" ht="28.9" customHeight="1" thickTop="1" thickBot="1" x14ac:dyDescent="0.65">
      <c r="A3274" s="3">
        <v>3272</v>
      </c>
      <c r="B3274" s="44" t="str">
        <f>HYPERLINK("https://search.naver.com/search.naver?query=하코다테 커피 영화", "하코다테 커피")</f>
        <v>하코다테 커피</v>
      </c>
      <c r="C3274" s="45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97" t="s">
        <v>3441</v>
      </c>
    </row>
    <row r="3275" spans="1:10" ht="28.9" customHeight="1" thickTop="1" thickBot="1" x14ac:dyDescent="0.65">
      <c r="A3275" s="5">
        <v>3273</v>
      </c>
      <c r="B3275" s="46" t="str">
        <f>HYPERLINK("https://search.naver.com/search.naver?query=하트 브레이커 영화", "하트 브레이커")</f>
        <v>하트 브레이커</v>
      </c>
      <c r="C3275" s="47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98" t="s">
        <v>3455</v>
      </c>
    </row>
    <row r="3276" spans="1:10" ht="28.9" customHeight="1" thickTop="1" thickBot="1" x14ac:dyDescent="0.65">
      <c r="A3276" s="3">
        <v>3274</v>
      </c>
      <c r="B3276" s="44" t="str">
        <f>HYPERLINK("https://search.naver.com/search.naver?query=하트 오브 더 씨 영화", "하트 오브 더 씨")</f>
        <v>하트 오브 더 씨</v>
      </c>
      <c r="C3276" s="45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97" t="s">
        <v>3440</v>
      </c>
    </row>
    <row r="3277" spans="1:10" ht="28.9" customHeight="1" thickTop="1" thickBot="1" x14ac:dyDescent="0.65">
      <c r="A3277" s="5">
        <v>3275</v>
      </c>
      <c r="B3277" s="46" t="str">
        <f>HYPERLINK("https://search.naver.com/search.naver?query=하트 오브 스톤 영화", "하트 오브 스톤")</f>
        <v>하트 오브 스톤</v>
      </c>
      <c r="C3277" s="47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98" t="s">
        <v>3446</v>
      </c>
    </row>
    <row r="3278" spans="1:10" ht="28.9" customHeight="1" thickTop="1" thickBot="1" x14ac:dyDescent="0.65">
      <c r="A3278" s="3">
        <v>3276</v>
      </c>
      <c r="B3278" s="44" t="str">
        <f>HYPERLINK("https://search.naver.com/search.naver?query=하트 인 아틀란티스 영화", "하트 인 아틀란티스")</f>
        <v>하트 인 아틀란티스</v>
      </c>
      <c r="C3278" s="45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97" t="s">
        <v>3457</v>
      </c>
    </row>
    <row r="3279" spans="1:10" ht="28.9" customHeight="1" thickTop="1" thickBot="1" x14ac:dyDescent="0.65">
      <c r="A3279" s="5">
        <v>3277</v>
      </c>
      <c r="B3279" s="46" t="str">
        <f>HYPERLINK("https://search.naver.com/search.naver?query=한 남자 영화", "한 남자")</f>
        <v>한 남자</v>
      </c>
      <c r="C3279" s="47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98" t="s">
        <v>3445</v>
      </c>
    </row>
    <row r="3280" spans="1:10" ht="28.9" customHeight="1" thickTop="1" thickBot="1" x14ac:dyDescent="0.65">
      <c r="A3280" s="3">
        <v>3278</v>
      </c>
      <c r="B3280" s="44" t="str">
        <f>HYPERLINK("https://search.naver.com/search.naver?query=한 번 더 해피엔딩 영화", "한 번 더 해피엔딩")</f>
        <v>한 번 더 해피엔딩</v>
      </c>
      <c r="C3280" s="45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97" t="s">
        <v>3437</v>
      </c>
    </row>
    <row r="3281" spans="1:10" ht="28.9" customHeight="1" thickTop="1" thickBot="1" x14ac:dyDescent="0.65">
      <c r="A3281" s="5">
        <v>3279</v>
      </c>
      <c r="B3281" s="46" t="str">
        <f>HYPERLINK("https://search.naver.com/search.naver?query=한 여름의 방정식 영화", "한 여름의 방정식")</f>
        <v>한 여름의 방정식</v>
      </c>
      <c r="C3281" s="47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98" t="s">
        <v>3451</v>
      </c>
    </row>
    <row r="3282" spans="1:10" ht="28.9" customHeight="1" thickTop="1" thickBot="1" x14ac:dyDescent="0.65">
      <c r="A3282" s="3">
        <v>3280</v>
      </c>
      <c r="B3282" s="44" t="str">
        <f>HYPERLINK("https://search.naver.com/search.naver?query=한공주 영화", "한공주")</f>
        <v>한공주</v>
      </c>
      <c r="C3282" s="45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97" t="s">
        <v>3451</v>
      </c>
    </row>
    <row r="3283" spans="1:10" ht="28.9" customHeight="1" thickTop="1" thickBot="1" x14ac:dyDescent="0.65">
      <c r="A3283" s="5">
        <v>3281</v>
      </c>
      <c r="B3283" s="46" t="str">
        <f>HYPERLINK("https://search.naver.com/search.naver?query=한나 아렌트 영화", "한나 아렌트")</f>
        <v>한나 아렌트</v>
      </c>
      <c r="C3283" s="47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98" t="s">
        <v>3439</v>
      </c>
    </row>
    <row r="3284" spans="1:10" ht="28.9" customHeight="1" thickTop="1" thickBot="1" x14ac:dyDescent="0.65">
      <c r="A3284" s="3">
        <v>3282</v>
      </c>
      <c r="B3284" s="44" t="str">
        <f>HYPERLINK("https://search.naver.com/search.naver?query=한산 용의 출현 영화", "한산-용의 출현")</f>
        <v>한산-용의 출현</v>
      </c>
      <c r="C3284" s="45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97" t="s">
        <v>3445</v>
      </c>
    </row>
    <row r="3285" spans="1:10" ht="28.9" customHeight="1" thickTop="1" thickBot="1" x14ac:dyDescent="0.65">
      <c r="A3285" s="7">
        <v>3283</v>
      </c>
      <c r="B3285" s="48" t="str">
        <f>HYPERLINK("https://search.naver.com/search.naver?query=한자와 나오키 시즌1", "한자와 나오키 시즌1")</f>
        <v>한자와 나오키 시즌1</v>
      </c>
      <c r="C3285" s="49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99" t="s">
        <v>3451</v>
      </c>
    </row>
    <row r="3286" spans="1:10" ht="28.9" customHeight="1" thickTop="1" thickBot="1" x14ac:dyDescent="0.65">
      <c r="A3286" s="7">
        <v>3284</v>
      </c>
      <c r="B3286" s="48" t="str">
        <f>HYPERLINK("https://search.naver.com/search.naver?query=한자와 나오키 시즌2", "한자와 나오키 시즌2")</f>
        <v>한자와 나오키 시즌2</v>
      </c>
      <c r="C3286" s="49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99" t="s">
        <v>3436</v>
      </c>
    </row>
    <row r="3287" spans="1:10" ht="28.9" customHeight="1" thickTop="1" thickBot="1" x14ac:dyDescent="0.65">
      <c r="A3287" s="5">
        <v>3285</v>
      </c>
      <c r="B3287" s="46" t="str">
        <f>HYPERLINK("https://search.naver.com/search.naver?query=한장의 엽서 영화", "한장의 엽서")</f>
        <v>한장의 엽서</v>
      </c>
      <c r="C3287" s="47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98" t="s">
        <v>3455</v>
      </c>
    </row>
    <row r="3288" spans="1:10" ht="28.9" customHeight="1" thickTop="1" thickBot="1" x14ac:dyDescent="0.65">
      <c r="A3288" s="3">
        <v>3286</v>
      </c>
      <c r="B3288" s="44" t="str">
        <f>HYPERLINK("https://search.naver.com/search.naver?query=한큐전차 편도 15분의 기적 영화", "한큐전차 편도 15분의 기적")</f>
        <v>한큐전차 편도 15분의 기적</v>
      </c>
      <c r="C3288" s="45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97" t="s">
        <v>3454</v>
      </c>
    </row>
    <row r="3289" spans="1:10" ht="28.9" customHeight="1" thickTop="1" thickBot="1" x14ac:dyDescent="0.65">
      <c r="A3289" s="5">
        <v>3287</v>
      </c>
      <c r="B3289" s="46" t="str">
        <f>HYPERLINK("https://search.naver.com/search.naver?query=할로우 맨 영화", "할로우 맨")</f>
        <v>할로우 맨</v>
      </c>
      <c r="C3289" s="47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98" t="s">
        <v>3458</v>
      </c>
    </row>
    <row r="3290" spans="1:10" ht="28.9" customHeight="1" thickTop="1" thickBot="1" x14ac:dyDescent="0.65">
      <c r="A3290" s="3">
        <v>3288</v>
      </c>
      <c r="B3290" s="44" t="str">
        <f>HYPERLINK("https://search.naver.com/search.naver?query=할머니는 일학년 영화", "할머니는 일학년")</f>
        <v>할머니는 일학년</v>
      </c>
      <c r="C3290" s="45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97" t="s">
        <v>3439</v>
      </c>
    </row>
    <row r="3291" spans="1:10" ht="28.9" customHeight="1" thickTop="1" thickBot="1" x14ac:dyDescent="0.65">
      <c r="A3291" s="5">
        <v>3289</v>
      </c>
      <c r="B3291" s="46" t="str">
        <f>HYPERLINK("https://search.naver.com/search.naver?query=함정 영화", "함정")</f>
        <v>함정</v>
      </c>
      <c r="C3291" s="47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98" t="s">
        <v>3440</v>
      </c>
    </row>
    <row r="3292" spans="1:10" ht="28.9" customHeight="1" thickTop="1" thickBot="1" x14ac:dyDescent="0.65">
      <c r="A3292" s="3">
        <v>3290</v>
      </c>
      <c r="B3292" s="44" t="str">
        <f>HYPERLINK("https://search.naver.com/search.naver?query=해결사 영화", "해결사")</f>
        <v>해결사</v>
      </c>
      <c r="C3292" s="45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97" t="s">
        <v>3455</v>
      </c>
    </row>
    <row r="3293" spans="1:10" ht="28.9" customHeight="1" thickTop="1" thickBot="1" x14ac:dyDescent="0.65">
      <c r="A3293" s="5">
        <v>3291</v>
      </c>
      <c r="B3293" s="46" t="str">
        <f>HYPERLINK("https://search.daum.net/search?nil_suggest=btn&amp;w=tot&amp;DA=SBC&amp;q=%ED%95%B4%EB%A6%AC+%EB%B8%8C%EB%9D%BC%EC%9A%B4+%EC%98%81%ED%99%94", "해리 브라운")</f>
        <v>해리 브라운</v>
      </c>
      <c r="C3293" s="47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98" t="s">
        <v>3453</v>
      </c>
    </row>
    <row r="3294" spans="1:10" ht="28.9" customHeight="1" thickTop="1" thickBot="1" x14ac:dyDescent="0.65">
      <c r="A3294" s="3">
        <v>3292</v>
      </c>
      <c r="B3294" s="44" t="str">
        <f>HYPERLINK("https://search.naver.com/search.naver?query=해무 영화", "해무")</f>
        <v>해무</v>
      </c>
      <c r="C3294" s="45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97" t="s">
        <v>3437</v>
      </c>
    </row>
    <row r="3295" spans="1:10" ht="28.9" customHeight="1" thickTop="1" thickBot="1" x14ac:dyDescent="0.65">
      <c r="A3295" s="5">
        <v>3293</v>
      </c>
      <c r="B3295" s="46" t="str">
        <f>HYPERLINK("https://search.naver.com/search.naver?query=해바라기 영화", "해바라기")</f>
        <v>해바라기</v>
      </c>
      <c r="C3295" s="47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98" t="s">
        <v>3460</v>
      </c>
    </row>
    <row r="3296" spans="1:10" ht="28.9" customHeight="1" thickTop="1" thickBot="1" x14ac:dyDescent="0.65">
      <c r="A3296" s="3">
        <v>3294</v>
      </c>
      <c r="B3296" s="44" t="str">
        <f>HYPERLINK("https://search.naver.com/search.naver?query=해방 영화", "해방")</f>
        <v>해방</v>
      </c>
      <c r="C3296" s="45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97" t="s">
        <v>3445</v>
      </c>
    </row>
    <row r="3297" spans="1:10" ht="28.9" customHeight="1" thickTop="1" thickBot="1" x14ac:dyDescent="0.65">
      <c r="A3297" s="5">
        <v>3295</v>
      </c>
      <c r="B3297" s="46" t="str">
        <f>HYPERLINK("https://search.naver.com/search.naver?query=해빙 영화", "해빙")</f>
        <v>해빙</v>
      </c>
      <c r="C3297" s="47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98" t="s">
        <v>3443</v>
      </c>
    </row>
    <row r="3298" spans="1:10" ht="28.9" customHeight="1" thickTop="1" thickBot="1" x14ac:dyDescent="0.65">
      <c r="A3298" s="3">
        <v>3296</v>
      </c>
      <c r="B3298" s="44" t="str">
        <f>HYPERLINK("https://search.naver.com/search.naver?query=해어화 영화", "해어화")</f>
        <v>해어화</v>
      </c>
      <c r="C3298" s="45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97" t="s">
        <v>3440</v>
      </c>
    </row>
    <row r="3299" spans="1:10" ht="28.9" customHeight="1" thickTop="1" thickBot="1" x14ac:dyDescent="0.65">
      <c r="A3299" s="5">
        <v>3297</v>
      </c>
      <c r="B3299" s="46" t="str">
        <f>HYPERLINK("https://search.naver.com/search.naver?query=해적 바다로 간 산적 영화", "해적 - 바다로 간 산적")</f>
        <v>해적 - 바다로 간 산적</v>
      </c>
      <c r="C3299" s="47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98" t="s">
        <v>3437</v>
      </c>
    </row>
    <row r="3300" spans="1:10" ht="28.9" customHeight="1" thickTop="1" thickBot="1" x14ac:dyDescent="0.65">
      <c r="A3300" s="3">
        <v>3298</v>
      </c>
      <c r="B3300" s="44" t="str">
        <f>HYPERLINK("https://search.naver.com/search.naver?query=해적 도깨비 깃발 영화", "해적 도깨비 깃발")</f>
        <v>해적 도깨비 깃발</v>
      </c>
      <c r="C3300" s="45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97" t="s">
        <v>3445</v>
      </c>
    </row>
    <row r="3301" spans="1:10" ht="28.9" customHeight="1" thickTop="1" thickBot="1" x14ac:dyDescent="0.65">
      <c r="A3301" s="5">
        <v>3299</v>
      </c>
      <c r="B3301" s="46" t="str">
        <f>HYPERLINK("https://search.naver.com/search.naver?query=해치지않아 영화", "해치지않아")</f>
        <v>해치지않아</v>
      </c>
      <c r="C3301" s="47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98" t="s">
        <v>3444</v>
      </c>
    </row>
    <row r="3302" spans="1:10" ht="28.9" customHeight="1" thickTop="1" thickBot="1" x14ac:dyDescent="0.65">
      <c r="A3302" s="3">
        <v>3300</v>
      </c>
      <c r="B3302" s="44" t="str">
        <f>HYPERLINK("https://search.naver.com/search.naver?query=해피 뉴 이어 영화", "해피 뉴 이어")</f>
        <v>해피 뉴 이어</v>
      </c>
      <c r="C3302" s="45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97" t="s">
        <v>3438</v>
      </c>
    </row>
    <row r="3303" spans="1:10" ht="28.9" customHeight="1" thickTop="1" thickBot="1" x14ac:dyDescent="0.65">
      <c r="A3303" s="5">
        <v>3301</v>
      </c>
      <c r="B3303" s="46" t="str">
        <f>HYPERLINK("https://search.naver.com/search.naver?query=해피 데스데이1", "해피 데스데이")</f>
        <v>해피 데스데이</v>
      </c>
      <c r="C3303" s="47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98" t="s">
        <v>3443</v>
      </c>
    </row>
    <row r="3304" spans="1:10" ht="28.9" customHeight="1" thickTop="1" thickBot="1" x14ac:dyDescent="0.65">
      <c r="A3304" s="3">
        <v>3302</v>
      </c>
      <c r="B3304" s="44" t="str">
        <f>HYPERLINK("https://search.naver.com/search.naver?query=해피 디 데이 영화", "해피 디 데이")</f>
        <v>해피 디 데이</v>
      </c>
      <c r="C3304" s="45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97" t="s">
        <v>3436</v>
      </c>
    </row>
    <row r="3305" spans="1:10" ht="28.9" customHeight="1" thickTop="1" thickBot="1" x14ac:dyDescent="0.65">
      <c r="A3305" s="5">
        <v>3303</v>
      </c>
      <c r="B3305" s="46" t="str">
        <f>HYPERLINK("https://search.naver.com/search.naver?query=해피 아워 영화", "해피 아워")</f>
        <v>해피 아워</v>
      </c>
      <c r="C3305" s="47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98" t="s">
        <v>3440</v>
      </c>
    </row>
    <row r="3306" spans="1:10" ht="28.9" customHeight="1" thickTop="1" thickBot="1" x14ac:dyDescent="0.65">
      <c r="A3306" s="3">
        <v>3304</v>
      </c>
      <c r="B3306" s="44" t="str">
        <f>HYPERLINK("https://search.naver.com/search.naver?query=해피 어게인 영화", "해피 어게인")</f>
        <v>해피 어게인</v>
      </c>
      <c r="C3306" s="45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97" t="s">
        <v>3442</v>
      </c>
    </row>
    <row r="3307" spans="1:10" ht="28.9" customHeight="1" thickTop="1" thickBot="1" x14ac:dyDescent="0.65">
      <c r="A3307" s="5">
        <v>3305</v>
      </c>
      <c r="B3307" s="46" t="str">
        <f>HYPERLINK("https://search.naver.com/search.naver?query=해피 엔드 영화", "해피 엔드")</f>
        <v>해피 엔드</v>
      </c>
      <c r="C3307" s="47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98" t="s">
        <v>3456</v>
      </c>
    </row>
    <row r="3308" spans="1:10" ht="28.9" customHeight="1" thickTop="1" thickBot="1" x14ac:dyDescent="0.65">
      <c r="A3308" s="3">
        <v>3306</v>
      </c>
      <c r="B3308" s="44" t="str">
        <f>HYPERLINK("https://search.naver.com/search.naver?query=해피 플라이트 영화", "해피 플라이트")</f>
        <v>해피 플라이트</v>
      </c>
      <c r="C3308" s="45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97" t="s">
        <v>3450</v>
      </c>
    </row>
    <row r="3309" spans="1:10" ht="28.9" customHeight="1" thickTop="1" thickBot="1" x14ac:dyDescent="0.65">
      <c r="A3309" s="5">
        <v>3307</v>
      </c>
      <c r="B3309" s="46" t="str">
        <f>HYPERLINK("https://search.naver.com/search.naver?query=해피 해피 브레드 영화", "해피 해피 브레드")</f>
        <v>해피 해피 브레드</v>
      </c>
      <c r="C3309" s="47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98" t="s">
        <v>3439</v>
      </c>
    </row>
    <row r="3310" spans="1:10" ht="28.9" customHeight="1" thickTop="1" thickBot="1" x14ac:dyDescent="0.65">
      <c r="A3310" s="3">
        <v>3308</v>
      </c>
      <c r="B3310" s="44" t="str">
        <f>HYPERLINK("https://search.naver.com/search.naver?query=해피엔딩 프로젝트 영화", "해피엔딩 프로젝트")</f>
        <v>해피엔딩 프로젝트</v>
      </c>
      <c r="C3310" s="45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97" t="s">
        <v>3439</v>
      </c>
    </row>
    <row r="3311" spans="1:10" ht="28.9" customHeight="1" thickTop="1" thickBot="1" x14ac:dyDescent="0.65">
      <c r="A3311" s="5">
        <v>3309</v>
      </c>
      <c r="B3311" s="46" t="str">
        <f>HYPERLINK("https://search.naver.com/search.naver?query=핵소 고지 영화", "핵소 고지")</f>
        <v>핵소 고지</v>
      </c>
      <c r="C3311" s="47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98" t="s">
        <v>3441</v>
      </c>
    </row>
    <row r="3312" spans="1:10" ht="28.9" customHeight="1" thickTop="1" thickBot="1" x14ac:dyDescent="0.65">
      <c r="A3312" s="3">
        <v>3310</v>
      </c>
      <c r="B3312" s="44" t="str">
        <f>HYPERLINK("https://search.naver.com/search.naver?query=핸즈 오브 스톤 영화", "핸즈 오브 스톤")</f>
        <v>핸즈 오브 스톤</v>
      </c>
      <c r="C3312" s="45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97" t="s">
        <v>3441</v>
      </c>
    </row>
    <row r="3313" spans="1:10" ht="28.9" customHeight="1" thickTop="1" thickBot="1" x14ac:dyDescent="0.65">
      <c r="A3313" s="5">
        <v>3311</v>
      </c>
      <c r="B3313" s="46" t="str">
        <f>HYPERLINK("https://search.naver.com/search.naver?query=행복 영화", "행복")</f>
        <v>행복</v>
      </c>
      <c r="C3313" s="47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98" t="s">
        <v>3447</v>
      </c>
    </row>
    <row r="3314" spans="1:10" ht="28.9" customHeight="1" thickTop="1" thickBot="1" x14ac:dyDescent="0.65">
      <c r="A3314" s="3">
        <v>3312</v>
      </c>
      <c r="B3314" s="44" t="str">
        <f>HYPERLINK("https://search.naver.com/search.naver?query=행복 목욕탕 영화", "행복 목욕탕")</f>
        <v>행복 목욕탕</v>
      </c>
      <c r="C3314" s="45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97" t="s">
        <v>3443</v>
      </c>
    </row>
    <row r="3315" spans="1:10" ht="28.9" customHeight="1" thickTop="1" thickBot="1" x14ac:dyDescent="0.65">
      <c r="A3315" s="5">
        <v>3313</v>
      </c>
      <c r="B3315" s="46" t="str">
        <f>HYPERLINK("https://search.naver.com/search.naver?query=행복까지 30일 영화", "행복까지 30일")</f>
        <v>행복까지 30일</v>
      </c>
      <c r="C3315" s="47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98" t="s">
        <v>3440</v>
      </c>
    </row>
    <row r="3316" spans="1:10" ht="28.9" customHeight="1" thickTop="1" thickBot="1" x14ac:dyDescent="0.65">
      <c r="A3316" s="3">
        <v>3314</v>
      </c>
      <c r="B3316" s="44" t="str">
        <f>HYPERLINK("https://search.naver.com/search.naver?query=행복의 나라 영화", "행복의 나라")</f>
        <v>행복의 나라</v>
      </c>
      <c r="C3316" s="45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97" t="s">
        <v>3448</v>
      </c>
    </row>
    <row r="3317" spans="1:10" ht="28.9" customHeight="1" thickTop="1" thickBot="1" x14ac:dyDescent="0.65">
      <c r="A3317" s="5">
        <v>3315</v>
      </c>
      <c r="B3317" s="46" t="str">
        <f>HYPERLINK("https://search.daum.net/search?nil_suggest=btn&amp;w=tot&amp;DA=SBC&amp;q=%ED%96%89%EB%B3%B5%EC%9D%98+%ED%96%A5%EA%B8%B0+%EC%98%81%ED%99%94", "행복의 향기")</f>
        <v>행복의 향기</v>
      </c>
      <c r="C3317" s="47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98" t="s">
        <v>3450</v>
      </c>
    </row>
    <row r="3318" spans="1:10" ht="28.9" customHeight="1" thickTop="1" thickBot="1" x14ac:dyDescent="0.65">
      <c r="A3318" s="3">
        <v>3316</v>
      </c>
      <c r="B3318" s="44" t="str">
        <f>HYPERLINK("https://search.naver.com/search.naver?query=행복한 사전 영화", "행복한 사전")</f>
        <v>행복한 사전</v>
      </c>
      <c r="C3318" s="45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97" t="s">
        <v>3437</v>
      </c>
    </row>
    <row r="3319" spans="1:10" ht="28.9" customHeight="1" thickTop="1" thickBot="1" x14ac:dyDescent="0.65">
      <c r="A3319" s="5">
        <v>3317</v>
      </c>
      <c r="B3319" s="46" t="str">
        <f>HYPERLINK("https://search.naver.com/search.naver?query=행복한 장의사 영화", "행복한 장의사")</f>
        <v>행복한 장의사</v>
      </c>
      <c r="C3319" s="47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98" t="s">
        <v>3456</v>
      </c>
    </row>
    <row r="3320" spans="1:10" ht="28.9" customHeight="1" thickTop="1" thickBot="1" x14ac:dyDescent="0.65">
      <c r="A3320" s="3">
        <v>3318</v>
      </c>
      <c r="B3320" s="44" t="str">
        <f>HYPERLINK("https://search.naver.com/search.naver?query=허리케인 하이스트 영화", "허리케인 하이스트")</f>
        <v>허리케인 하이스트</v>
      </c>
      <c r="C3320" s="45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97" t="s">
        <v>3442</v>
      </c>
    </row>
    <row r="3321" spans="1:10" ht="28.9" customHeight="1" thickTop="1" thickBot="1" x14ac:dyDescent="0.65">
      <c r="A3321" s="5">
        <v>3319</v>
      </c>
      <c r="B3321" s="46" t="str">
        <f>HYPERLINK("https://search.naver.com/search.naver?query=허삼관 영화", "허삼관")</f>
        <v>허삼관</v>
      </c>
      <c r="C3321" s="47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98" t="s">
        <v>3437</v>
      </c>
    </row>
    <row r="3322" spans="1:10" ht="28.9" customHeight="1" thickTop="1" thickBot="1" x14ac:dyDescent="0.65">
      <c r="A3322" s="3">
        <v>3320</v>
      </c>
      <c r="B3322" s="44" t="str">
        <f>HYPERLINK("https://search.naver.com/search.naver?query=허슬러 영화", "허슬러")</f>
        <v>허슬러</v>
      </c>
      <c r="C3322" s="45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97" t="s">
        <v>3444</v>
      </c>
    </row>
    <row r="3323" spans="1:10" ht="28.9" customHeight="1" thickTop="1" thickBot="1" x14ac:dyDescent="0.65">
      <c r="A3323" s="5">
        <v>3321</v>
      </c>
      <c r="B3323" s="46" t="str">
        <f>HYPERLINK("https://search.naver.com/search.naver?query=허큘리스 영화", "허큘리스")</f>
        <v>허큘리스</v>
      </c>
      <c r="C3323" s="47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98" t="s">
        <v>3437</v>
      </c>
    </row>
    <row r="3324" spans="1:10" ht="28.9" customHeight="1" thickTop="1" thickBot="1" x14ac:dyDescent="0.65">
      <c r="A3324" s="3">
        <v>3322</v>
      </c>
      <c r="B3324" s="44" t="str">
        <f>HYPERLINK("https://search.naver.com/search.naver?query=헌터 영화", "헌터")</f>
        <v>헌터</v>
      </c>
      <c r="C3324" s="45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97" t="s">
        <v>3454</v>
      </c>
    </row>
    <row r="3325" spans="1:10" ht="28.9" customHeight="1" thickTop="1" thickBot="1" x14ac:dyDescent="0.65">
      <c r="A3325" s="5">
        <v>3323</v>
      </c>
      <c r="B3325" s="46" t="str">
        <f>HYPERLINK("https://search.naver.com/search.naver?query=헌터 킬러 영화", "헌터 킬러")</f>
        <v>헌터 킬러</v>
      </c>
      <c r="C3325" s="47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98" t="s">
        <v>3442</v>
      </c>
    </row>
    <row r="3326" spans="1:10" ht="28.9" customHeight="1" thickTop="1" thickBot="1" x14ac:dyDescent="0.65">
      <c r="A3326" s="3">
        <v>3324</v>
      </c>
      <c r="B3326" s="44" t="str">
        <f>HYPERLINK("https://search.naver.com/search.naver?query=헌터 헌터 영화", "헌터 헌터")</f>
        <v>헌터 헌터</v>
      </c>
      <c r="C3326" s="45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97" t="s">
        <v>3436</v>
      </c>
    </row>
    <row r="3327" spans="1:10" ht="28.9" customHeight="1" thickTop="1" thickBot="1" x14ac:dyDescent="0.65">
      <c r="A3327" s="5">
        <v>3325</v>
      </c>
      <c r="B3327" s="46" t="str">
        <f>HYPERLINK("https://search.naver.com/search.naver?query=헌트 영화", "헌트")</f>
        <v>헌트</v>
      </c>
      <c r="C3327" s="47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98" t="s">
        <v>3445</v>
      </c>
    </row>
    <row r="3328" spans="1:10" ht="28.9" customHeight="1" thickTop="1" thickBot="1" x14ac:dyDescent="0.65">
      <c r="A3328" s="3">
        <v>3326</v>
      </c>
      <c r="B3328" s="44" t="str">
        <f>HYPERLINK("https://search.naver.com/search.naver?query=헤드헌터 영화", "헤드헌터")</f>
        <v>헤드헌터</v>
      </c>
      <c r="C3328" s="45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97" t="s">
        <v>3454</v>
      </c>
    </row>
    <row r="3329" spans="1:10" ht="28.9" customHeight="1" thickTop="1" thickBot="1" x14ac:dyDescent="0.65">
      <c r="A3329" s="5">
        <v>3327</v>
      </c>
      <c r="B3329" s="46" t="str">
        <f>HYPERLINK("https://search.naver.com/search.naver?query=헤라클레스 레전드 비긴즈 영화", "헤라클레스-레전드 비긴즈")</f>
        <v>헤라클레스-레전드 비긴즈</v>
      </c>
      <c r="C3329" s="47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98" t="s">
        <v>3437</v>
      </c>
    </row>
    <row r="3330" spans="1:10" ht="28.9" customHeight="1" thickTop="1" thickBot="1" x14ac:dyDescent="0.65">
      <c r="A3330" s="3">
        <v>3328</v>
      </c>
      <c r="B3330" s="44" t="str">
        <f>HYPERLINK("https://search.naver.com/search.naver?query=헤밍웨이 &amp; 겔혼 영화", "헤밍웨이 &amp; 겔혼")</f>
        <v>헤밍웨이 &amp; 겔혼</v>
      </c>
      <c r="C3330" s="45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97" t="s">
        <v>3439</v>
      </c>
    </row>
    <row r="3331" spans="1:10" ht="28.9" customHeight="1" thickTop="1" thickBot="1" x14ac:dyDescent="0.65">
      <c r="A3331" s="5">
        <v>3329</v>
      </c>
      <c r="B3331" s="46" t="str">
        <f>HYPERLINK("https://search.naver.com/search.naver?query=헤밍웨이 인 하바나 영화", "헤밍웨이 인 하바나")</f>
        <v>헤밍웨이 인 하바나</v>
      </c>
      <c r="C3331" s="47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98" t="s">
        <v>3440</v>
      </c>
    </row>
    <row r="3332" spans="1:10" ht="28.9" customHeight="1" thickTop="1" thickBot="1" x14ac:dyDescent="0.65">
      <c r="A3332" s="3">
        <v>3330</v>
      </c>
      <c r="B3332" s="44" t="str">
        <f>HYPERLINK("https://search.naver.com/search.naver?query=헤어질 결심 영화", "헤어질 결심")</f>
        <v>헤어질 결심</v>
      </c>
      <c r="C3332" s="45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97" t="s">
        <v>3445</v>
      </c>
    </row>
    <row r="3333" spans="1:10" ht="28.9" customHeight="1" thickTop="1" thickBot="1" x14ac:dyDescent="0.65">
      <c r="A3333" s="5">
        <v>3331</v>
      </c>
      <c r="B3333" s="46" t="str">
        <f>HYPERLINK("https://search.naver.com/search.naver?query=헤이와이어 영화", "헤이와이어")</f>
        <v>헤이와이어</v>
      </c>
      <c r="C3333" s="47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98" t="s">
        <v>3454</v>
      </c>
    </row>
    <row r="3334" spans="1:10" ht="28.9" customHeight="1" thickTop="1" thickBot="1" x14ac:dyDescent="0.65">
      <c r="A3334" s="3">
        <v>3332</v>
      </c>
      <c r="B3334" s="44" t="str">
        <f>HYPERLINK("https://search.naver.com/search.naver?query=헨리스 크라임 영화", "헨리스 크라임")</f>
        <v>헨리스 크라임</v>
      </c>
      <c r="C3334" s="45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97" t="s">
        <v>3455</v>
      </c>
    </row>
    <row r="3335" spans="1:10" ht="28.9" customHeight="1" thickTop="1" thickBot="1" x14ac:dyDescent="0.65">
      <c r="A3335" s="5">
        <v>3333</v>
      </c>
      <c r="B3335" s="46" t="str">
        <f>HYPERLINK("https://search.naver.com/search.naver?query=헬머니 영화", "헬머니")</f>
        <v>헬머니</v>
      </c>
      <c r="C3335" s="47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98" t="s">
        <v>3437</v>
      </c>
    </row>
    <row r="3336" spans="1:10" ht="28.9" customHeight="1" thickTop="1" thickBot="1" x14ac:dyDescent="0.65">
      <c r="A3336" s="3">
        <v>3334</v>
      </c>
      <c r="B3336" s="44" t="str">
        <f>HYPERLINK("https://search.naver.com/search.naver?query=헬프 영화", "헬프")</f>
        <v>헬프</v>
      </c>
      <c r="C3336" s="45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97" t="s">
        <v>3454</v>
      </c>
    </row>
    <row r="3337" spans="1:10" ht="28.9" customHeight="1" thickTop="1" thickBot="1" x14ac:dyDescent="0.65">
      <c r="A3337" s="5">
        <v>3335</v>
      </c>
      <c r="B3337" s="46" t="str">
        <f>HYPERLINK("https://search.naver.com/search.naver?query=협상 영화", "협상")</f>
        <v>협상</v>
      </c>
      <c r="C3337" s="47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98" t="s">
        <v>3442</v>
      </c>
    </row>
    <row r="3338" spans="1:10" ht="28.9" customHeight="1" thickTop="1" thickBot="1" x14ac:dyDescent="0.65">
      <c r="A3338" s="3">
        <v>3336</v>
      </c>
      <c r="B3338" s="44" t="str">
        <f>HYPERLINK("https://search.naver.com/search.naver?query=형 영화", "형")</f>
        <v>형</v>
      </c>
      <c r="C3338" s="45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97" t="s">
        <v>3441</v>
      </c>
    </row>
    <row r="3339" spans="1:10" ht="28.9" customHeight="1" thickTop="1" thickBot="1" x14ac:dyDescent="0.65">
      <c r="A3339" s="7">
        <v>3337</v>
      </c>
      <c r="B3339" s="48" t="str">
        <f>HYPERLINK("https://search.naver.com/search.naver?query=형사록 시즌1", "형사록 시즌1")</f>
        <v>형사록 시즌1</v>
      </c>
      <c r="C3339" s="49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99" t="s">
        <v>3445</v>
      </c>
    </row>
    <row r="3340" spans="1:10" ht="28.9" customHeight="1" thickTop="1" thickBot="1" x14ac:dyDescent="0.65">
      <c r="A3340" s="7">
        <v>3338</v>
      </c>
      <c r="B3340" s="48" t="str">
        <f>HYPERLINK("https://search.naver.com/search.naver?query=형사록 시즌2", "형사록 시즌2")</f>
        <v>형사록 시즌2</v>
      </c>
      <c r="C3340" s="49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99" t="s">
        <v>3446</v>
      </c>
    </row>
    <row r="3341" spans="1:10" ht="28.9" customHeight="1" thickTop="1" thickBot="1" x14ac:dyDescent="0.65">
      <c r="A3341" s="5">
        <v>3339</v>
      </c>
      <c r="B3341" s="46" t="str">
        <f>HYPERLINK("https://search.naver.com/search.naver?query=호라이즌 라인 영화", "호라이즌 라인")</f>
        <v>호라이즌 라인</v>
      </c>
      <c r="C3341" s="47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98" t="s">
        <v>3436</v>
      </c>
    </row>
    <row r="3342" spans="1:10" ht="28.9" customHeight="1" thickTop="1" thickBot="1" x14ac:dyDescent="0.65">
      <c r="A3342" s="3">
        <v>3340</v>
      </c>
      <c r="B3342" s="44" t="str">
        <f>HYPERLINK("https://search.naver.com/search.naver?query=호로비츠를 위하여 영화", "호로비츠를 위하여")</f>
        <v>호로비츠를 위하여</v>
      </c>
      <c r="C3342" s="45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97" t="s">
        <v>3460</v>
      </c>
    </row>
    <row r="3343" spans="1:10" ht="28.9" customHeight="1" thickTop="1" thickBot="1" x14ac:dyDescent="0.65">
      <c r="A3343" s="5">
        <v>3341</v>
      </c>
      <c r="B3343" s="46" t="str">
        <f>HYPERLINK("https://search.naver.com/search.naver?query=호미사이드 영화", "호미사이드")</f>
        <v>호미사이드</v>
      </c>
      <c r="C3343" s="47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98" t="s">
        <v>3465</v>
      </c>
    </row>
    <row r="3344" spans="1:10" ht="28.9" customHeight="1" thickTop="1" thickBot="1" x14ac:dyDescent="0.65">
      <c r="A3344" s="3">
        <v>3342</v>
      </c>
      <c r="B3344" s="44" t="str">
        <f>HYPERLINK("https://search.naver.com/search.naver?query=호박과 마요네즈 영화", "호박과 마요네즈")</f>
        <v>호박과 마요네즈</v>
      </c>
      <c r="C3344" s="45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97" t="s">
        <v>3443</v>
      </c>
    </row>
    <row r="3345" spans="1:10" ht="28.9" customHeight="1" thickTop="1" thickBot="1" x14ac:dyDescent="0.65">
      <c r="A3345" s="5">
        <v>3343</v>
      </c>
      <c r="B3345" s="46" t="str">
        <f>HYPERLINK("https://search.naver.com/search.naver?query=호스걸 영화", "호스걸")</f>
        <v>호스걸</v>
      </c>
      <c r="C3345" s="47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98" t="s">
        <v>3436</v>
      </c>
    </row>
    <row r="3346" spans="1:10" ht="28.9" customHeight="1" thickTop="1" thickBot="1" x14ac:dyDescent="0.65">
      <c r="A3346" s="7">
        <v>3344</v>
      </c>
      <c r="B3346" s="48" t="str">
        <f>HYPERLINK("https://search.naver.com/search.naver?query=호스티지 시즌1", "호스티지 시즌1")</f>
        <v>호스티지 시즌1</v>
      </c>
      <c r="C3346" s="49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99" t="s">
        <v>3459</v>
      </c>
    </row>
    <row r="3347" spans="1:10" ht="28.9" customHeight="1" thickTop="1" thickBot="1" x14ac:dyDescent="0.65">
      <c r="A3347" s="5">
        <v>3345</v>
      </c>
      <c r="B3347" s="46" t="str">
        <f>HYPERLINK("https://search.naver.com/search.naver?query=호우시절 영화", "호우시절")</f>
        <v>호우시절</v>
      </c>
      <c r="C3347" s="47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98" t="s">
        <v>3453</v>
      </c>
    </row>
    <row r="3348" spans="1:10" ht="28.9" customHeight="1" thickTop="1" thickBot="1" x14ac:dyDescent="0.65">
      <c r="A3348" s="3">
        <v>3346</v>
      </c>
      <c r="B3348" s="44" t="str">
        <f>HYPERLINK("https://search.naver.com/search.naver?query=호텔 르완다 영화", "호텔 르완다")</f>
        <v>호텔 르완다</v>
      </c>
      <c r="C3348" s="45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97" t="s">
        <v>3462</v>
      </c>
    </row>
    <row r="3349" spans="1:10" ht="28.9" customHeight="1" thickTop="1" thickBot="1" x14ac:dyDescent="0.65">
      <c r="A3349" s="5">
        <v>3347</v>
      </c>
      <c r="B3349" s="46" t="str">
        <f>HYPERLINK("https://search.naver.com/search.naver?query=호텔 뭄바이 영화", "호텔 뭄바이")</f>
        <v>호텔 뭄바이</v>
      </c>
      <c r="C3349" s="47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98" t="s">
        <v>3442</v>
      </c>
    </row>
    <row r="3350" spans="1:10" ht="28.9" customHeight="1" thickTop="1" thickBot="1" x14ac:dyDescent="0.65">
      <c r="A3350" s="3">
        <v>3348</v>
      </c>
      <c r="B3350" s="44" t="str">
        <f>HYPERLINK("https://search.naver.com/search.naver?query=호프 스프링즈 영화", "호프 스프링즈")</f>
        <v>호프 스프링즈</v>
      </c>
      <c r="C3350" s="45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97" t="s">
        <v>3439</v>
      </c>
    </row>
    <row r="3351" spans="1:10" ht="28.9" customHeight="1" thickTop="1" thickBot="1" x14ac:dyDescent="0.65">
      <c r="A3351" s="5">
        <v>3349</v>
      </c>
      <c r="B3351" s="46" t="str">
        <f>HYPERLINK("https://search.naver.com/search.naver?query=혹성탈출 반격의 서막 영화", "혹성탈출 - 반격의 서막")</f>
        <v>혹성탈출 - 반격의 서막</v>
      </c>
      <c r="C3351" s="47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98" t="s">
        <v>3437</v>
      </c>
    </row>
    <row r="3352" spans="1:10" ht="28.9" customHeight="1" thickTop="1" thickBot="1" x14ac:dyDescent="0.65">
      <c r="A3352" s="3">
        <v>3350</v>
      </c>
      <c r="B3352" s="44" t="str">
        <f>HYPERLINK("https://search.naver.com/search.naver?query=혹성탈출 종의 전쟁 영화", "혹성탈출 - 종의 전쟁")</f>
        <v>혹성탈출 - 종의 전쟁</v>
      </c>
      <c r="C3352" s="45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97" t="s">
        <v>3443</v>
      </c>
    </row>
    <row r="3353" spans="1:10" ht="28.9" customHeight="1" thickTop="1" thickBot="1" x14ac:dyDescent="0.65">
      <c r="A3353" s="5">
        <v>3351</v>
      </c>
      <c r="B3353" s="46" t="str">
        <f>HYPERLINK("https://search.naver.com/search.naver?query=혹성탈출 진화의 시작 영화", "혹성탈출 진화의 시작")</f>
        <v>혹성탈출 진화의 시작</v>
      </c>
      <c r="C3353" s="47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98" t="s">
        <v>3454</v>
      </c>
    </row>
    <row r="3354" spans="1:10" ht="28.9" customHeight="1" thickTop="1" thickBot="1" x14ac:dyDescent="0.65">
      <c r="A3354" s="7">
        <v>3352</v>
      </c>
      <c r="B3354" s="48" t="str">
        <f>HYPERLINK("https://search.naver.com/search.naver?query=혼돈의 세상에서 드라마", "혼돈의 세상에서")</f>
        <v>혼돈의 세상에서</v>
      </c>
      <c r="C3354" s="49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99" t="s">
        <v>3448</v>
      </c>
    </row>
    <row r="3355" spans="1:10" ht="28.9" customHeight="1" thickTop="1" thickBot="1" x14ac:dyDescent="0.65">
      <c r="A3355" s="5">
        <v>3353</v>
      </c>
      <c r="B3355" s="46" t="str">
        <f>HYPERLINK("https://search.naver.com/search.naver?query=홀랜드 오퍼스 영화", "홀랜드 오퍼스")</f>
        <v>홀랜드 오퍼스</v>
      </c>
      <c r="C3355" s="47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98" t="s">
        <v>3475</v>
      </c>
    </row>
    <row r="3356" spans="1:10" ht="28.9" customHeight="1" thickTop="1" thickBot="1" x14ac:dyDescent="0.65">
      <c r="A3356" s="3">
        <v>3354</v>
      </c>
      <c r="B3356" s="44" t="str">
        <f>HYPERLINK("https://search.naver.com/search.naver?query=홀리데이2018", "홀리데이")</f>
        <v>홀리데이</v>
      </c>
      <c r="C3356" s="45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97" t="s">
        <v>3460</v>
      </c>
    </row>
    <row r="3357" spans="1:10" ht="28.9" customHeight="1" thickTop="1" thickBot="1" x14ac:dyDescent="0.65">
      <c r="A3357" s="5">
        <v>3355</v>
      </c>
      <c r="B3357" s="46" t="str">
        <f>HYPERLINK("https://search.naver.com/search.naver?query=홈 팀 영화", "홈 팀")</f>
        <v>홈 팀</v>
      </c>
      <c r="C3357" s="47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98" t="s">
        <v>3445</v>
      </c>
    </row>
    <row r="3358" spans="1:10" ht="28.9" customHeight="1" thickTop="1" thickBot="1" x14ac:dyDescent="0.65">
      <c r="A3358" s="7">
        <v>3356</v>
      </c>
      <c r="B3358" s="48" t="str">
        <f>HYPERLINK("https://search.naver.com/search.naver?query=홈랜드 시즌1", "홈랜드 시즌1")</f>
        <v>홈랜드 시즌1</v>
      </c>
      <c r="C3358" s="49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99" t="s">
        <v>3454</v>
      </c>
    </row>
    <row r="3359" spans="1:10" ht="28.9" customHeight="1" thickTop="1" thickBot="1" x14ac:dyDescent="0.65">
      <c r="A3359" s="7">
        <v>3357</v>
      </c>
      <c r="B3359" s="48" t="str">
        <f>HYPERLINK("https://search.naver.com/search.naver?query=홈랜드 시즌2", "홈랜드 시즌2")</f>
        <v>홈랜드 시즌2</v>
      </c>
      <c r="C3359" s="49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99" t="s">
        <v>3439</v>
      </c>
    </row>
    <row r="3360" spans="1:10" ht="28.9" customHeight="1" thickTop="1" thickBot="1" x14ac:dyDescent="0.65">
      <c r="A3360" s="7">
        <v>3358</v>
      </c>
      <c r="B3360" s="48" t="str">
        <f>HYPERLINK("https://search.naver.com/search.naver?query=홈랜드 시즌3", "홈랜드 시즌3")</f>
        <v>홈랜드 시즌3</v>
      </c>
      <c r="C3360" s="49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99" t="s">
        <v>3451</v>
      </c>
    </row>
    <row r="3361" spans="1:10" ht="28.9" customHeight="1" thickTop="1" thickBot="1" x14ac:dyDescent="0.65">
      <c r="A3361" s="7">
        <v>3359</v>
      </c>
      <c r="B3361" s="48" t="str">
        <f>HYPERLINK("https://search.naver.com/search.naver?query=홈랜드 시즌4", "홈랜드 시즌4")</f>
        <v>홈랜드 시즌4</v>
      </c>
      <c r="C3361" s="49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99" t="s">
        <v>3437</v>
      </c>
    </row>
    <row r="3362" spans="1:10" ht="28.9" customHeight="1" thickTop="1" thickBot="1" x14ac:dyDescent="0.65">
      <c r="A3362" s="7">
        <v>3360</v>
      </c>
      <c r="B3362" s="48" t="str">
        <f>HYPERLINK("https://search.naver.com/search.naver?query=홈랜드 시즌5", "홈랜드 시즌5")</f>
        <v>홈랜드 시즌5</v>
      </c>
      <c r="C3362" s="49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99" t="s">
        <v>3440</v>
      </c>
    </row>
    <row r="3363" spans="1:10" ht="28.9" customHeight="1" thickTop="1" thickBot="1" x14ac:dyDescent="0.65">
      <c r="A3363" s="7">
        <v>3361</v>
      </c>
      <c r="B3363" s="48" t="str">
        <f>HYPERLINK("https://search.naver.com/search.naver?query=홈랜드 시즌6", "홈랜드 시즌6")</f>
        <v>홈랜드 시즌6</v>
      </c>
      <c r="C3363" s="49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99" t="s">
        <v>3443</v>
      </c>
    </row>
    <row r="3364" spans="1:10" ht="28.9" customHeight="1" thickTop="1" thickBot="1" x14ac:dyDescent="0.65">
      <c r="A3364" s="7">
        <v>3362</v>
      </c>
      <c r="B3364" s="48" t="str">
        <f>HYPERLINK("https://search.naver.com/search.naver?query=홈랜드 시즌7", "홈랜드 시즌7")</f>
        <v>홈랜드 시즌7</v>
      </c>
      <c r="C3364" s="49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99" t="s">
        <v>3442</v>
      </c>
    </row>
    <row r="3365" spans="1:10" ht="28.9" customHeight="1" thickTop="1" thickBot="1" x14ac:dyDescent="0.65">
      <c r="A3365" s="7">
        <v>3363</v>
      </c>
      <c r="B3365" s="48" t="str">
        <f>HYPERLINK("https://search.naver.com/search.naver?query=홈랜드 시즌8", "홈랜드 시즌8")</f>
        <v>홈랜드 시즌8</v>
      </c>
      <c r="C3365" s="49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99" t="s">
        <v>3436</v>
      </c>
    </row>
    <row r="3366" spans="1:10" ht="28.9" customHeight="1" thickTop="1" thickBot="1" x14ac:dyDescent="0.65">
      <c r="A3366" s="3">
        <v>3364</v>
      </c>
      <c r="B3366" s="44" t="str">
        <f>HYPERLINK("https://search.naver.com/search.naver?query=홈프론트 영화", "홈프론트")</f>
        <v>홈프론트</v>
      </c>
      <c r="C3366" s="45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97" t="s">
        <v>3451</v>
      </c>
    </row>
    <row r="3367" spans="1:10" ht="28.9" customHeight="1" thickTop="1" thickBot="1" x14ac:dyDescent="0.65">
      <c r="A3367" s="5">
        <v>3365</v>
      </c>
      <c r="B3367" s="46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47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98" t="s">
        <v>3442</v>
      </c>
    </row>
    <row r="3368" spans="1:10" ht="28.9" customHeight="1" thickTop="1" thickBot="1" x14ac:dyDescent="0.65">
      <c r="A3368" s="3">
        <v>3366</v>
      </c>
      <c r="B3368" s="44" t="str">
        <f>HYPERLINK("https://search.naver.com/search.naver?query=화양연화 영화", "화양연화")</f>
        <v>화양연화</v>
      </c>
      <c r="C3368" s="45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97" t="s">
        <v>3458</v>
      </c>
    </row>
    <row r="3369" spans="1:10" ht="28.9" customHeight="1" thickTop="1" thickBot="1" x14ac:dyDescent="0.65">
      <c r="A3369" s="5">
        <v>3367</v>
      </c>
      <c r="B3369" s="46" t="str">
        <f>HYPERLINK("https://search.naver.com/search.naver?query=화이:괴물을 삼킨 아이 영화", "화이 - 괴물을 삼킨 아이")</f>
        <v>화이 - 괴물을 삼킨 아이</v>
      </c>
      <c r="C3369" s="47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98" t="s">
        <v>3451</v>
      </c>
    </row>
    <row r="3370" spans="1:10" ht="28.9" customHeight="1" thickTop="1" thickBot="1" x14ac:dyDescent="0.65">
      <c r="A3370" s="3">
        <v>3368</v>
      </c>
      <c r="B3370" s="44" t="str">
        <f>HYPERLINK("https://search.naver.com/search.naver?query=화이트 갓 영화", "화이트 갓")</f>
        <v>화이트 갓</v>
      </c>
      <c r="C3370" s="45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97" t="s">
        <v>3437</v>
      </c>
    </row>
    <row r="3371" spans="1:10" ht="28.9" customHeight="1" thickTop="1" thickBot="1" x14ac:dyDescent="0.65">
      <c r="A3371" s="5">
        <v>3369</v>
      </c>
      <c r="B3371" s="46" t="str">
        <f>HYPERLINK("https://search.naver.com/search.naver?query=화이트 라이언 찰리 영화", "화이트 라이언 찰리")</f>
        <v>화이트 라이언 찰리</v>
      </c>
      <c r="C3371" s="47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98" t="s">
        <v>3442</v>
      </c>
    </row>
    <row r="3372" spans="1:10" ht="28.9" customHeight="1" thickTop="1" thickBot="1" x14ac:dyDescent="0.65">
      <c r="A3372" s="3">
        <v>3370</v>
      </c>
      <c r="B3372" s="44" t="str">
        <f>HYPERLINK("https://search.naver.com/search.naver?query=화이트 릴리 영화", "화이트 릴리")</f>
        <v>화이트 릴리</v>
      </c>
      <c r="C3372" s="45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97" t="s">
        <v>3441</v>
      </c>
    </row>
    <row r="3373" spans="1:10" ht="28.9" customHeight="1" thickTop="1" thickBot="1" x14ac:dyDescent="0.65">
      <c r="A3373" s="5">
        <v>3371</v>
      </c>
      <c r="B3373" s="46" t="str">
        <f>HYPERLINK("https://search.naver.com/search.naver?query=화이트 스완 영화", "화이트 스완")</f>
        <v>화이트 스완</v>
      </c>
      <c r="C3373" s="47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98" t="s">
        <v>3451</v>
      </c>
    </row>
    <row r="3374" spans="1:10" ht="28.9" customHeight="1" thickTop="1" thickBot="1" x14ac:dyDescent="0.65">
      <c r="A3374" s="3">
        <v>3372</v>
      </c>
      <c r="B3374" s="44" t="str">
        <f>HYPERLINK("https://search.naver.com/search.naver?query=화이트 스콜 영화", "화이트 스콜")</f>
        <v>화이트 스콜</v>
      </c>
      <c r="C3374" s="45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97" t="s">
        <v>3463</v>
      </c>
    </row>
    <row r="3375" spans="1:10" ht="28.9" customHeight="1" thickTop="1" thickBot="1" x14ac:dyDescent="0.65">
      <c r="A3375" s="5">
        <v>3373</v>
      </c>
      <c r="B3375" s="46" t="str">
        <f>HYPERLINK("https://search.naver.com/search.naver?query=화이트 크로우 영화", "화이트 크로우")</f>
        <v>화이트 크로우</v>
      </c>
      <c r="C3375" s="47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98" t="s">
        <v>3442</v>
      </c>
    </row>
    <row r="3376" spans="1:10" ht="28.9" customHeight="1" thickTop="1" thickBot="1" x14ac:dyDescent="0.65">
      <c r="A3376" s="3">
        <v>3374</v>
      </c>
      <c r="B3376" s="44" t="str">
        <f>HYPERLINK("https://search.naver.com/search.naver?query=화이트 하우스 다운 영화", "화이트 하우스 다운")</f>
        <v>화이트 하우스 다운</v>
      </c>
      <c r="C3376" s="45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97" t="s">
        <v>3451</v>
      </c>
    </row>
    <row r="3377" spans="1:10" ht="28.9" customHeight="1" thickTop="1" thickBot="1" x14ac:dyDescent="0.65">
      <c r="A3377" s="5">
        <v>3375</v>
      </c>
      <c r="B3377" s="46" t="str">
        <f>HYPERLINK("https://search.naver.com/search.naver?query=화장 영화", "화장")</f>
        <v>화장</v>
      </c>
      <c r="C3377" s="47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98" t="s">
        <v>3437</v>
      </c>
    </row>
    <row r="3378" spans="1:10" ht="28.9" customHeight="1" thickTop="1" thickBot="1" x14ac:dyDescent="0.65">
      <c r="A3378" s="3">
        <v>3376</v>
      </c>
      <c r="B3378" s="44" t="str">
        <f>HYPERLINK("https://search.naver.com/search.naver?query=화장실의 피에타 영화", "화장실의 피에타")</f>
        <v>화장실의 피에타</v>
      </c>
      <c r="C3378" s="45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97" t="s">
        <v>3440</v>
      </c>
    </row>
    <row r="3379" spans="1:10" ht="28.9" customHeight="1" thickTop="1" thickBot="1" x14ac:dyDescent="0.65">
      <c r="A3379" s="5">
        <v>3377</v>
      </c>
      <c r="B3379" s="46" t="str">
        <f>HYPERLINK("https://search.naver.com/search.naver?query=화차 영화", "화차")</f>
        <v>화차</v>
      </c>
      <c r="C3379" s="47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98" t="s">
        <v>3439</v>
      </c>
    </row>
    <row r="3380" spans="1:10" ht="28.9" customHeight="1" thickTop="1" thickBot="1" x14ac:dyDescent="0.65">
      <c r="A3380" s="3">
        <v>3378</v>
      </c>
      <c r="B3380" s="44" t="str">
        <f>HYPERLINK("https://search.naver.com/search.naver?query=환상의 그대 영화", "환상의 그대")</f>
        <v>환상의 그대</v>
      </c>
      <c r="C3380" s="45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97" t="s">
        <v>3454</v>
      </c>
    </row>
    <row r="3381" spans="1:10" ht="28.9" customHeight="1" thickTop="1" thickBot="1" x14ac:dyDescent="0.65">
      <c r="A3381" s="5">
        <v>3379</v>
      </c>
      <c r="B3381" s="46" t="str">
        <f>HYPERLINK("https://search.naver.com/search.naver?query=일본영화환생", "환생")</f>
        <v>환생</v>
      </c>
      <c r="C3381" s="47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98" t="s">
        <v>3460</v>
      </c>
    </row>
    <row r="3382" spans="1:10" ht="28.9" customHeight="1" thickTop="1" thickBot="1" x14ac:dyDescent="0.65">
      <c r="A3382" s="3">
        <v>3380</v>
      </c>
      <c r="B3382" s="44" t="str">
        <f>HYPERLINK("https://search.daum.net/search?nil_suggest=btn&amp;w=tot&amp;DA=SBC&amp;q=%ED%99%A9%EA%B8%88+%EC%97%B0%EB%AA%BB+%EC%98%81%ED%99%94", "황금 연못")</f>
        <v>황금 연못</v>
      </c>
      <c r="C3382" s="45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97" t="s">
        <v>3486</v>
      </c>
    </row>
    <row r="3383" spans="1:10" ht="28.9" customHeight="1" thickTop="1" thickBot="1" x14ac:dyDescent="0.65">
      <c r="A3383" s="5">
        <v>3381</v>
      </c>
      <c r="B3383" s="46" t="str">
        <f>HYPERLINK("https://search.naver.com/search.naver?query=황금시대 영화", "황금시대")</f>
        <v>황금시대</v>
      </c>
      <c r="C3383" s="47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98" t="s">
        <v>3437</v>
      </c>
    </row>
    <row r="3384" spans="1:10" ht="28.9" customHeight="1" thickTop="1" thickBot="1" x14ac:dyDescent="0.65">
      <c r="A3384" s="3">
        <v>3382</v>
      </c>
      <c r="B3384" s="44" t="str">
        <f>HYPERLINK("https://search.naver.com/search.naver?query=황제를 위하여 영화", "황제를 위하여")</f>
        <v>황제를 위하여</v>
      </c>
      <c r="C3384" s="45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97" t="s">
        <v>3437</v>
      </c>
    </row>
    <row r="3385" spans="1:10" ht="28.9" customHeight="1" thickTop="1" thickBot="1" x14ac:dyDescent="0.65">
      <c r="A3385" s="5">
        <v>3383</v>
      </c>
      <c r="B3385" s="46" t="str">
        <f>HYPERLINK("https://search.naver.com/search.naver?query=황해 영화", "황해")</f>
        <v>황해</v>
      </c>
      <c r="C3385" s="47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98" t="s">
        <v>3455</v>
      </c>
    </row>
    <row r="3386" spans="1:10" ht="28.9" customHeight="1" thickTop="1" thickBot="1" x14ac:dyDescent="0.65">
      <c r="A3386" s="3">
        <v>3384</v>
      </c>
      <c r="B3386" s="44" t="str">
        <f>HYPERLINK("https://search.naver.com/search.naver?query=회사원 영화", "회사원")</f>
        <v>회사원</v>
      </c>
      <c r="C3386" s="45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97" t="s">
        <v>3439</v>
      </c>
    </row>
    <row r="3387" spans="1:10" ht="28.9" customHeight="1" thickTop="1" thickBot="1" x14ac:dyDescent="0.65">
      <c r="A3387" s="5">
        <v>3385</v>
      </c>
      <c r="B3387" s="46" t="str">
        <f>HYPERLINK("https://search.naver.com/search.naver?query=후궁 제왕의 첩 영화", "후궁-제왕의 첩")</f>
        <v>후궁-제왕의 첩</v>
      </c>
      <c r="C3387" s="47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98" t="s">
        <v>3439</v>
      </c>
    </row>
    <row r="3388" spans="1:10" ht="28.9" customHeight="1" thickTop="1" thickBot="1" x14ac:dyDescent="0.65">
      <c r="A3388" s="3">
        <v>3386</v>
      </c>
      <c r="B3388" s="44" t="str">
        <f>HYPERLINK("https://search.naver.com/search.naver?query=후처업의 여자 영화", "후처업의 여자")</f>
        <v>후처업의 여자</v>
      </c>
      <c r="C3388" s="45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97" t="s">
        <v>3441</v>
      </c>
    </row>
    <row r="3389" spans="1:10" ht="28.9" customHeight="1" thickTop="1" thickBot="1" x14ac:dyDescent="0.65">
      <c r="A3389" s="5">
        <v>3387</v>
      </c>
      <c r="B3389" s="46" t="str">
        <f>HYPERLINK("https://search.naver.com/search.naver?query=영화후쿠오카", "후쿠오카")</f>
        <v>후쿠오카</v>
      </c>
      <c r="C3389" s="47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98" t="s">
        <v>3436</v>
      </c>
    </row>
    <row r="3390" spans="1:10" ht="28.9" customHeight="1" thickTop="1" thickBot="1" x14ac:dyDescent="0.65">
      <c r="A3390" s="3">
        <v>3388</v>
      </c>
      <c r="B3390" s="44" t="str">
        <f>HYPERLINK("https://search.naver.com/search.naver?query=휴가 영화", "휴가")</f>
        <v>휴가</v>
      </c>
      <c r="C3390" s="45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97" t="s">
        <v>3450</v>
      </c>
    </row>
    <row r="3391" spans="1:10" ht="28.9" customHeight="1" thickTop="1" thickBot="1" x14ac:dyDescent="0.65">
      <c r="A3391" s="5">
        <v>3389</v>
      </c>
      <c r="B3391" s="46" t="str">
        <f>HYPERLINK("https://search.naver.com/search.naver?query=휴고 영화", "휴고")</f>
        <v>휴고</v>
      </c>
      <c r="C3391" s="47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98" t="s">
        <v>3454</v>
      </c>
    </row>
    <row r="3392" spans="1:10" ht="28.9" customHeight="1" thickTop="1" thickBot="1" x14ac:dyDescent="0.65">
      <c r="A3392" s="3">
        <v>3390</v>
      </c>
      <c r="B3392" s="44" t="str">
        <f>HYPERLINK("https://search.naver.com/search.naver?query=휴먼 스테인 영화", "휴먼 스테인")</f>
        <v>휴먼 스테인</v>
      </c>
      <c r="C3392" s="45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97" t="s">
        <v>3449</v>
      </c>
    </row>
    <row r="3393" spans="1:10" ht="28.9" customHeight="1" thickTop="1" thickBot="1" x14ac:dyDescent="0.65">
      <c r="A3393" s="7">
        <v>3391</v>
      </c>
      <c r="B3393" s="48" t="str">
        <f>HYPERLINK("https://search.naver.com/search.naver?query=휴먼스 시즌1", "휴먼스 시즌1")</f>
        <v>휴먼스 시즌1</v>
      </c>
      <c r="C3393" s="49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99" t="s">
        <v>3440</v>
      </c>
    </row>
    <row r="3394" spans="1:10" ht="28.9" customHeight="1" thickTop="1" thickBot="1" x14ac:dyDescent="0.65">
      <c r="A3394" s="7">
        <v>3392</v>
      </c>
      <c r="B3394" s="48" t="str">
        <f>HYPERLINK("https://search.naver.com/search.naver?query=휴먼스 시즌2", "휴먼스 시즌2")</f>
        <v>휴먼스 시즌2</v>
      </c>
      <c r="C3394" s="49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99" t="s">
        <v>3441</v>
      </c>
    </row>
    <row r="3395" spans="1:10" ht="28.9" customHeight="1" thickTop="1" thickBot="1" x14ac:dyDescent="0.65">
      <c r="A3395" s="7">
        <v>3393</v>
      </c>
      <c r="B3395" s="48" t="str">
        <f>HYPERLINK("https://search.naver.com/search.naver?query=휴먼스 시즌3", "휴먼스 시즌3")</f>
        <v>휴먼스 시즌3</v>
      </c>
      <c r="C3395" s="49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99" t="s">
        <v>3442</v>
      </c>
    </row>
    <row r="3396" spans="1:10" ht="28.9" customHeight="1" thickTop="1" thickBot="1" x14ac:dyDescent="0.65">
      <c r="A3396" s="5">
        <v>3394</v>
      </c>
      <c r="B3396" s="46" t="str">
        <f>HYPERLINK("https://search.naver.com/search.naver?query=휴민트 영화", "휴민트")</f>
        <v>휴민트</v>
      </c>
      <c r="C3396" s="47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98" t="s">
        <v>3405</v>
      </c>
    </row>
    <row r="3397" spans="1:10" ht="28.9" customHeight="1" thickTop="1" thickBot="1" x14ac:dyDescent="0.65">
      <c r="A3397" s="3">
        <v>3395</v>
      </c>
      <c r="B3397" s="44" t="str">
        <f>HYPERLINK("https://search.naver.com/search.naver?query=흉악 어느 사형수의 고발 영화", "흉악-어느 사형수의 고발")</f>
        <v>흉악-어느 사형수의 고발</v>
      </c>
      <c r="C3397" s="45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97" t="s">
        <v>3437</v>
      </c>
    </row>
    <row r="3398" spans="1:10" ht="28.9" customHeight="1" thickTop="1" thickBot="1" x14ac:dyDescent="0.65">
      <c r="A3398" s="5">
        <v>3396</v>
      </c>
      <c r="B3398" s="46" t="str">
        <f>HYPERLINK("https://search.naver.com/search.naver?query=흔적 없는 삶 영화", "흔적 없는 삶")</f>
        <v>흔적 없는 삶</v>
      </c>
      <c r="C3398" s="47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98" t="s">
        <v>3442</v>
      </c>
    </row>
    <row r="3399" spans="1:10" ht="28.9" customHeight="1" thickTop="1" thickBot="1" x14ac:dyDescent="0.65">
      <c r="A3399" s="3">
        <v>3397</v>
      </c>
      <c r="B3399" s="44" t="str">
        <f>HYPERLINK("https://search.naver.com/search.naver?query=흥부 글로 세상을 바꾼 자 영화", "흥부 - 글로 세상을 바꾼 자")</f>
        <v>흥부 - 글로 세상을 바꾼 자</v>
      </c>
      <c r="C3399" s="45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97" t="s">
        <v>3443</v>
      </c>
    </row>
    <row r="3400" spans="1:10" ht="28.9" customHeight="1" thickTop="1" thickBot="1" x14ac:dyDescent="0.65">
      <c r="A3400" s="5">
        <v>3398</v>
      </c>
      <c r="B3400" s="46" t="str">
        <f>HYPERLINK("https://search.naver.com/search.naver?query=희생부활자 영화", "희생부활자")</f>
        <v>희생부활자</v>
      </c>
      <c r="C3400" s="47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98" t="s">
        <v>3443</v>
      </c>
    </row>
    <row r="3401" spans="1:10" ht="28.9" customHeight="1" thickTop="1" thickBot="1" x14ac:dyDescent="0.65">
      <c r="A3401" s="3">
        <v>3399</v>
      </c>
      <c r="B3401" s="44" t="str">
        <f>HYPERLINK("https://search.naver.com/search.naver?query=히든 서스펙트 영화", "히든 서스펙트")</f>
        <v>히든 서스펙트</v>
      </c>
      <c r="C3401" s="45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97" t="s">
        <v>3451</v>
      </c>
    </row>
    <row r="3402" spans="1:10" ht="28.9" customHeight="1" thickTop="1" thickBot="1" x14ac:dyDescent="0.65">
      <c r="A3402" s="5">
        <v>3400</v>
      </c>
      <c r="B3402" s="46" t="str">
        <f>HYPERLINK("https://search.naver.com/search.naver?query=히든 아이덴티티 영화", "히든 아이덴티티")</f>
        <v>히든 아이덴티티</v>
      </c>
      <c r="C3402" s="47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98" t="s">
        <v>3443</v>
      </c>
    </row>
    <row r="3403" spans="1:10" ht="28.9" customHeight="1" thickTop="1" thickBot="1" x14ac:dyDescent="0.65">
      <c r="A3403" s="3">
        <v>3401</v>
      </c>
      <c r="B3403" s="44" t="str">
        <f>HYPERLINK("https://search.naver.com/search.naver?query=영화히든페이스", "히든 페이스")</f>
        <v>히든 페이스</v>
      </c>
      <c r="C3403" s="45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97" t="s">
        <v>3448</v>
      </c>
    </row>
    <row r="3404" spans="1:10" ht="28.9" customHeight="1" thickTop="1" thickBot="1" x14ac:dyDescent="0.65">
      <c r="A3404" s="5">
        <v>3402</v>
      </c>
      <c r="B3404" s="46" t="str">
        <f>HYPERLINK("https://search.naver.com/search.naver?query=히든페이스 2011", "히든 페이스")</f>
        <v>히든 페이스</v>
      </c>
      <c r="C3404" s="47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98" t="s">
        <v>3454</v>
      </c>
    </row>
    <row r="3405" spans="1:10" ht="28.9" customHeight="1" thickTop="1" thickBot="1" x14ac:dyDescent="0.65">
      <c r="A3405" s="3">
        <v>3403</v>
      </c>
      <c r="B3405" s="44" t="str">
        <f>HYPERLINK("https://search.naver.com/search.naver?query=히든 피겨스 영화", "히든 피겨스")</f>
        <v>히든 피겨스</v>
      </c>
      <c r="C3405" s="45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97" t="s">
        <v>3441</v>
      </c>
    </row>
    <row r="3406" spans="1:10" ht="28.9" customHeight="1" thickTop="1" thickBot="1" x14ac:dyDescent="0.65">
      <c r="A3406" s="5">
        <v>3404</v>
      </c>
      <c r="B3406" s="46" t="str">
        <f>HYPERLINK("https://search.naver.com/search.naver?query=히든카드 영화", "히든카드")</f>
        <v>히든카드</v>
      </c>
      <c r="C3406" s="47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98" t="s">
        <v>3451</v>
      </c>
    </row>
    <row r="3407" spans="1:10" ht="28.9" customHeight="1" thickTop="1" thickBot="1" x14ac:dyDescent="0.65">
      <c r="A3407" s="3">
        <v>3405</v>
      </c>
      <c r="B3407" s="44" t="str">
        <f>HYPERLINK("https://search.naver.com/search.naver?query=히마와리와 나의 7일 영화", "히마와리와 나의 7일")</f>
        <v>히마와리와 나의 7일</v>
      </c>
      <c r="C3407" s="45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97" t="s">
        <v>3451</v>
      </c>
    </row>
    <row r="3408" spans="1:10" ht="28.9" customHeight="1" thickTop="1" thickBot="1" x14ac:dyDescent="0.65">
      <c r="A3408" s="5">
        <v>3406</v>
      </c>
      <c r="B3408" s="46" t="str">
        <f>HYPERLINK("https://search.naver.com/search.naver?query=히말라야 영화", "히말라야")</f>
        <v>히말라야</v>
      </c>
      <c r="C3408" s="47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98" t="s">
        <v>3440</v>
      </c>
    </row>
    <row r="3409" spans="1:10" ht="28.9" customHeight="1" thickTop="1" thickBot="1" x14ac:dyDescent="0.65">
      <c r="A3409" s="3">
        <v>3407</v>
      </c>
      <c r="B3409" s="44" t="str">
        <f>HYPERLINK("https://search.naver.com/search.naver?query=히셔 영화", "히셔")</f>
        <v>히셔</v>
      </c>
      <c r="C3409" s="45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97" t="s">
        <v>3455</v>
      </c>
    </row>
    <row r="3410" spans="1:10" ht="28.9" customHeight="1" thickTop="1" thickBot="1" x14ac:dyDescent="0.65">
      <c r="A3410" s="5">
        <v>3408</v>
      </c>
      <c r="B3410" s="46" t="str">
        <f>HYPERLINK("https://search.naver.com/search.naver?query=히스테리아 영화", "히스테리아")</f>
        <v>히스테리아</v>
      </c>
      <c r="C3410" s="47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98" t="s">
        <v>3454</v>
      </c>
    </row>
    <row r="3411" spans="1:10" ht="28.9" customHeight="1" thickTop="1" thickBot="1" x14ac:dyDescent="0.65">
      <c r="A3411" s="3">
        <v>3409</v>
      </c>
      <c r="B3411" s="44" t="str">
        <f>HYPERLINK("https://search.naver.com/search.naver?query=히어 컴스 더 붐 영화", "히어 컴스 더 붐")</f>
        <v>히어 컴스 더 붐</v>
      </c>
      <c r="C3411" s="45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97" t="s">
        <v>3439</v>
      </c>
    </row>
    <row r="3412" spans="1:10" ht="28.9" customHeight="1" thickTop="1" thickBot="1" x14ac:dyDescent="0.65">
      <c r="A3412" s="5">
        <v>3410</v>
      </c>
      <c r="B3412" s="46" t="str">
        <f>HYPERLINK("https://search.naver.com/search.naver?query=히어애프터 영화", "히어애프터")</f>
        <v>히어애프터</v>
      </c>
      <c r="C3412" s="47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98" t="s">
        <v>3455</v>
      </c>
    </row>
    <row r="3413" spans="1:10" ht="28.9" customHeight="1" thickTop="1" thickBot="1" x14ac:dyDescent="0.65">
      <c r="A3413" s="3">
        <v>3411</v>
      </c>
      <c r="B3413" s="44" t="str">
        <f>HYPERLINK("https://search.naver.com/search.naver?query=히트 영화", "히트")</f>
        <v>히트</v>
      </c>
      <c r="C3413" s="45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97" t="s">
        <v>3475</v>
      </c>
    </row>
    <row r="3414" spans="1:10" ht="28.9" customHeight="1" thickTop="1" thickBot="1" x14ac:dyDescent="0.65">
      <c r="A3414" s="5">
        <v>3412</v>
      </c>
      <c r="B3414" s="46" t="str">
        <f>HYPERLINK("https://search.naver.com/search.naver?query=히트맨 영화", "히트맨")</f>
        <v>히트맨</v>
      </c>
      <c r="C3414" s="63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98" t="s">
        <v>3436</v>
      </c>
    </row>
    <row r="3415" spans="1:10" ht="28.9" customHeight="1" thickTop="1" thickBot="1" x14ac:dyDescent="0.65">
      <c r="A3415" s="3">
        <v>3413</v>
      </c>
      <c r="B3415" s="59" t="str">
        <f>HYPERLINK("https://search.naver.com/search.naver?query=히트맨2007", "히트맨")</f>
        <v>히트맨</v>
      </c>
      <c r="C3415" s="64">
        <v>8.1</v>
      </c>
      <c r="D3415" s="35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97" t="s">
        <v>3447</v>
      </c>
    </row>
    <row r="3416" spans="1:10" ht="28.9" customHeight="1" thickTop="1" thickBot="1" x14ac:dyDescent="0.65">
      <c r="A3416" s="5">
        <v>3414</v>
      </c>
      <c r="B3416" s="46" t="str">
        <f>HYPERLINK("https://search.naver.com/search.naver?query=히트스트로크 영화", "히트스트로크")</f>
        <v>히트스트로크</v>
      </c>
      <c r="C3416" s="65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98" t="s">
        <v>3451</v>
      </c>
    </row>
    <row r="3417" spans="1:10" ht="28.9" customHeight="1" thickTop="1" thickBot="1" x14ac:dyDescent="0.65">
      <c r="A3417" s="39">
        <v>3415</v>
      </c>
      <c r="B3417" s="66" t="str">
        <f>HYPERLINK("https://search.naver.com/search.naver?query=히틀러와 제3제국의 종말.", "히틀러와 제3제국의 종말")</f>
        <v>히틀러와 제3제국의 종말</v>
      </c>
      <c r="C3417" s="67">
        <v>8.14</v>
      </c>
      <c r="D3417" s="34" t="s">
        <v>3425</v>
      </c>
      <c r="E3417" s="39" t="s">
        <v>101</v>
      </c>
      <c r="F3417" s="39">
        <v>2004</v>
      </c>
      <c r="G3417" s="39" t="s">
        <v>12</v>
      </c>
      <c r="H3417" s="39" t="s">
        <v>17</v>
      </c>
      <c r="I3417" s="39" t="s">
        <v>298</v>
      </c>
      <c r="J3417" s="106" t="s">
        <v>3462</v>
      </c>
    </row>
    <row r="3418" spans="1:10" ht="28.9" customHeight="1" thickTop="1" x14ac:dyDescent="0.6">
      <c r="A3418" s="15">
        <v>3416</v>
      </c>
      <c r="B3418" s="68" t="str">
        <f>HYPERLINK("https://search.naver.com/search.naver?query=힐빌리의 노래 영화", "힐빌리의 노래")</f>
        <v>힐빌리의 노래</v>
      </c>
      <c r="C3418" s="63">
        <v>9.33</v>
      </c>
      <c r="D3418" s="28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107" t="s">
        <v>3436</v>
      </c>
    </row>
    <row r="3419" spans="1:10" ht="28.9" customHeight="1" x14ac:dyDescent="0.6">
      <c r="A3419" s="16">
        <v>3417</v>
      </c>
      <c r="B3419" s="69" t="str">
        <f>HYPERLINK("https://search.naver.com/search.naver?query=힙노틱 영화", "힙노틱")</f>
        <v>힙노틱</v>
      </c>
      <c r="C3419" s="70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108" t="s">
        <v>3446</v>
      </c>
    </row>
    <row r="3420" spans="1:10" ht="31.8" customHeight="1" x14ac:dyDescent="0.6">
      <c r="A3420" s="27">
        <v>3418</v>
      </c>
      <c r="B3420" s="89" t="str">
        <f>HYPERLINK("https://search.naver.com/search.naver?query=포 올 맨카인드 시즌2", "포 올 맨카인드 시즌2")</f>
        <v>포 올 맨카인드 시즌2</v>
      </c>
      <c r="C3420" s="71"/>
      <c r="D3420" s="33" t="s">
        <v>2514</v>
      </c>
      <c r="E3420" s="27" t="s">
        <v>20</v>
      </c>
      <c r="F3420" s="27">
        <v>2021</v>
      </c>
      <c r="G3420" s="27" t="s">
        <v>17</v>
      </c>
      <c r="H3420" s="27" t="s">
        <v>520</v>
      </c>
      <c r="I3420" s="27" t="s">
        <v>2515</v>
      </c>
      <c r="J3420" s="109" t="s">
        <v>3438</v>
      </c>
    </row>
    <row r="3421" spans="1:10" ht="27.3" customHeight="1" x14ac:dyDescent="0.6">
      <c r="A3421" s="26">
        <v>3419</v>
      </c>
      <c r="B3421" s="90" t="str">
        <f>HYPERLINK("https://search.naver.com/search.naver?query=KBS대기획 인간, 신세계로 부터 다큐", "KBS대기획 인간, 신세계로 부터")</f>
        <v>KBS대기획 인간, 신세계로 부터</v>
      </c>
      <c r="C3421" s="57"/>
      <c r="D3421" s="37" t="s">
        <v>3521</v>
      </c>
      <c r="E3421" s="26" t="s">
        <v>2897</v>
      </c>
      <c r="F3421" s="26">
        <v>2023</v>
      </c>
      <c r="G3421" s="26" t="s">
        <v>2576</v>
      </c>
      <c r="H3421" s="26" t="s">
        <v>2576</v>
      </c>
      <c r="I3421" s="26" t="s">
        <v>3522</v>
      </c>
      <c r="J3421" s="104" t="s">
        <v>3446</v>
      </c>
    </row>
    <row r="3422" spans="1:10" s="58" customFormat="1" ht="27.6" customHeight="1" x14ac:dyDescent="0.6">
      <c r="A3422" s="25">
        <v>3420</v>
      </c>
      <c r="B3422" s="91" t="str">
        <f>HYPERLINK("https://search.naver.com/search.naver?query=남편의 그것이 들어가지 않아 드라마", "남편의 그것이 들어가지 않아")</f>
        <v>남편의 그것이 들어가지 않아</v>
      </c>
      <c r="C3422" s="72"/>
      <c r="D3422" s="32" t="s">
        <v>3524</v>
      </c>
      <c r="E3422" s="25" t="s">
        <v>16</v>
      </c>
      <c r="F3422" s="25">
        <v>2019</v>
      </c>
      <c r="G3422" s="25" t="s">
        <v>17</v>
      </c>
      <c r="H3422" s="25" t="s">
        <v>3428</v>
      </c>
      <c r="I3422" s="25" t="s">
        <v>2515</v>
      </c>
      <c r="J3422" s="110" t="s">
        <v>3444</v>
      </c>
    </row>
    <row r="3423" spans="1:10" ht="34.35" customHeight="1" thickBot="1" x14ac:dyDescent="0.65">
      <c r="A3423" s="25">
        <v>3421</v>
      </c>
      <c r="B3423" s="92" t="str">
        <f>HYPERLINK("https://search.naver.com/search.naver?query=라팔마 드라마", "라팔마")</f>
        <v>라팔마</v>
      </c>
      <c r="C3423" s="72"/>
      <c r="D3423" s="29" t="s">
        <v>3429</v>
      </c>
      <c r="E3423" s="25" t="s">
        <v>3430</v>
      </c>
      <c r="F3423" s="25">
        <v>2024</v>
      </c>
      <c r="G3423" s="25" t="s">
        <v>17</v>
      </c>
      <c r="H3423" s="25" t="s">
        <v>3431</v>
      </c>
      <c r="I3423" s="25" t="s">
        <v>2577</v>
      </c>
      <c r="J3423" s="110" t="s">
        <v>3448</v>
      </c>
    </row>
    <row r="3424" spans="1:10" ht="28.9" customHeight="1" thickTop="1" x14ac:dyDescent="0.6">
      <c r="A3424" s="15">
        <v>3422</v>
      </c>
      <c r="B3424" s="93" t="str">
        <f>HYPERLINK("https://search.naver.com/search.naver?query=프로젝트+헤일메리+영화", "프로젝트 헤일메리")</f>
        <v>프로젝트 헤일메리</v>
      </c>
      <c r="C3424" s="63">
        <v>9.2100000000000009</v>
      </c>
      <c r="D3424" s="28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107" t="s">
        <v>3433</v>
      </c>
    </row>
    <row r="3425" spans="1:14" s="58" customFormat="1" ht="34.35" customHeight="1" x14ac:dyDescent="0.6">
      <c r="A3425" s="73">
        <v>3423</v>
      </c>
      <c r="B3425" s="94" t="str">
        <f>HYPERLINK("https://search.naver.com/search.naver?query=여행과+나날+영화", "여행과 나날")</f>
        <v>여행과 나날</v>
      </c>
      <c r="C3425" s="74">
        <v>7.84</v>
      </c>
      <c r="D3425" s="75" t="s">
        <v>3434</v>
      </c>
      <c r="E3425" s="73" t="s">
        <v>16</v>
      </c>
      <c r="F3425" s="73">
        <v>2025</v>
      </c>
      <c r="G3425" s="73" t="s">
        <v>12</v>
      </c>
      <c r="H3425" s="73" t="s">
        <v>17</v>
      </c>
      <c r="I3425" s="73" t="s">
        <v>119</v>
      </c>
      <c r="J3425" s="111" t="s">
        <v>3435</v>
      </c>
      <c r="K3425" s="76"/>
      <c r="L3425" s="76"/>
      <c r="M3425" s="76"/>
      <c r="N3425" s="76"/>
    </row>
    <row r="3426" spans="1:14" ht="27.3" customHeight="1" x14ac:dyDescent="0.6">
      <c r="A3426" s="26">
        <v>3424</v>
      </c>
      <c r="B3426" s="90" t="str">
        <f>HYPERLINK("https://search.naver.com/search.naver?query=KBS 대기획 트랜스휴먼+다큐", "KBS 대기획 트랜스휴먼")</f>
        <v>KBS 대기획 트랜스휴먼</v>
      </c>
      <c r="C3426" s="57"/>
      <c r="D3426" s="37" t="s">
        <v>3520</v>
      </c>
      <c r="E3426" s="26" t="s">
        <v>3495</v>
      </c>
      <c r="F3426" s="26">
        <v>2025</v>
      </c>
      <c r="G3426" s="26" t="s">
        <v>3518</v>
      </c>
      <c r="H3426" s="26" t="s">
        <v>3518</v>
      </c>
      <c r="I3426" s="26" t="s">
        <v>3519</v>
      </c>
      <c r="J3426" s="104">
        <v>45991</v>
      </c>
    </row>
    <row r="3427" spans="1:14" ht="34.35" customHeight="1" x14ac:dyDescent="0.6">
      <c r="A3427" s="25">
        <v>3425</v>
      </c>
      <c r="B3427" s="92" t="str">
        <f>HYPERLINK("https://search.naver.com/search.naver?query=버진리버 시즌7", "버진 리버 시즌7")</f>
        <v>버진 리버 시즌7</v>
      </c>
      <c r="C3427" s="72"/>
      <c r="D3427" s="32" t="s">
        <v>3535</v>
      </c>
      <c r="E3427" s="25" t="s">
        <v>3531</v>
      </c>
      <c r="F3427" s="25">
        <v>2026</v>
      </c>
      <c r="G3427" s="25" t="s">
        <v>3532</v>
      </c>
      <c r="H3427" s="25" t="s">
        <v>3533</v>
      </c>
      <c r="I3427" s="25" t="s">
        <v>3534</v>
      </c>
      <c r="J3427" s="110">
        <v>46139</v>
      </c>
    </row>
    <row r="3428" spans="1:14" s="58" customFormat="1" ht="34.35" customHeight="1" x14ac:dyDescent="0.6">
      <c r="A3428" s="73">
        <v>3426</v>
      </c>
      <c r="B3428" s="94" t="str">
        <f>HYPERLINK("https://search.naver.com/search.naver?query=왕과 사는 남자 영화", "왕과 사는 남자")</f>
        <v>왕과 사는 남자</v>
      </c>
      <c r="C3428" s="74">
        <v>8.8699999999999992</v>
      </c>
      <c r="D3428" s="75" t="s">
        <v>3537</v>
      </c>
      <c r="E3428" s="73" t="s">
        <v>3536</v>
      </c>
      <c r="F3428" s="73">
        <v>2026</v>
      </c>
      <c r="G3428" s="73" t="s">
        <v>3489</v>
      </c>
      <c r="H3428" s="73" t="s">
        <v>3490</v>
      </c>
      <c r="I3428" s="73" t="s">
        <v>3538</v>
      </c>
      <c r="J3428" s="111">
        <v>46144</v>
      </c>
      <c r="K3428" s="76"/>
      <c r="L3428" s="76"/>
      <c r="M3428" s="76"/>
      <c r="N3428" s="76"/>
    </row>
    <row r="3429" spans="1:14" ht="34.35" customHeight="1" x14ac:dyDescent="0.6">
      <c r="A3429" s="25">
        <v>3427</v>
      </c>
      <c r="B3429" s="92" t="str">
        <f>HYPERLINK("https://search.naver.com/search.naver?query=더 매디슨 시즌1", "더 매디슨 시즌1")</f>
        <v>더 매디슨 시즌1</v>
      </c>
      <c r="C3429" s="72"/>
      <c r="D3429" s="32" t="s">
        <v>3540</v>
      </c>
      <c r="E3429" s="25" t="s">
        <v>3488</v>
      </c>
      <c r="F3429" s="25">
        <v>2026</v>
      </c>
      <c r="G3429" s="25" t="s">
        <v>3490</v>
      </c>
      <c r="H3429" s="25" t="s">
        <v>3490</v>
      </c>
      <c r="I3429" s="25" t="s">
        <v>3539</v>
      </c>
      <c r="J3429" s="110">
        <v>46160</v>
      </c>
    </row>
    <row r="3430" spans="1:14" ht="34.35" customHeight="1" x14ac:dyDescent="0.6">
      <c r="A3430" s="25">
        <v>3428</v>
      </c>
      <c r="B3430" s="92" t="str">
        <f>HYPERLINK("https://www.themoviedb.org/tv/289560-cia?language=ko-KR=CIA 시즌1", "CIA 시즌1")</f>
        <v>CIA 시즌1</v>
      </c>
      <c r="C3430" s="72"/>
      <c r="D3430" s="32" t="s">
        <v>3543</v>
      </c>
      <c r="E3430" s="25" t="s">
        <v>3488</v>
      </c>
      <c r="F3430" s="25">
        <v>2026</v>
      </c>
      <c r="G3430" s="25" t="s">
        <v>3490</v>
      </c>
      <c r="H3430" s="25" t="s">
        <v>3542</v>
      </c>
      <c r="I3430" s="25" t="s">
        <v>3541</v>
      </c>
      <c r="J3430" s="110">
        <v>46192</v>
      </c>
    </row>
    <row r="3431" spans="1:14" ht="34.35" customHeight="1" x14ac:dyDescent="0.6">
      <c r="A3431" s="25">
        <v>3429</v>
      </c>
      <c r="B3431" s="92" t="str">
        <f>HYPERLINK("https://www.themoviedb.org/tv/120911-the-terminal-list=터미널 리스트 시즌 1", "터미널 리스트 시즌 1")</f>
        <v>터미널 리스트 시즌 1</v>
      </c>
      <c r="C3431" s="72"/>
      <c r="D3431" s="32" t="s">
        <v>3544</v>
      </c>
      <c r="E3431" s="25" t="s">
        <v>3488</v>
      </c>
      <c r="F3431" s="25">
        <v>2022</v>
      </c>
      <c r="G3431" s="25" t="s">
        <v>3490</v>
      </c>
      <c r="H3431" s="25" t="s">
        <v>3542</v>
      </c>
      <c r="I3431" s="25" t="s">
        <v>3545</v>
      </c>
      <c r="J3431" s="110">
        <v>46195</v>
      </c>
    </row>
    <row r="3432" spans="1:14" ht="34.35" customHeight="1" x14ac:dyDescent="0.6">
      <c r="A3432" s="25">
        <v>3430</v>
      </c>
      <c r="B3432" s="92" t="str">
        <f>HYPERLINK("https://search.naver.com/search.naver?query=나이트 에이전트 시즌2", "나이트 에이전트 시즌 2")</f>
        <v>나이트 에이전트 시즌 2</v>
      </c>
      <c r="C3432" s="72"/>
      <c r="D3432" s="32" t="s">
        <v>3547</v>
      </c>
      <c r="E3432" s="25" t="s">
        <v>3488</v>
      </c>
      <c r="F3432" s="25">
        <v>2025</v>
      </c>
      <c r="G3432" s="25" t="s">
        <v>3490</v>
      </c>
      <c r="H3432" s="25" t="s">
        <v>3546</v>
      </c>
      <c r="I3432" s="25" t="s">
        <v>3534</v>
      </c>
      <c r="J3432" s="110">
        <v>46198</v>
      </c>
    </row>
    <row r="3433" spans="1:14" ht="34.35" customHeight="1" x14ac:dyDescent="0.6">
      <c r="A3433" s="25">
        <v>3431</v>
      </c>
      <c r="B3433" s="92" t="str">
        <f>HYPERLINK("https://search.naver.com/search.naver?query=나이트 에이전트 시즌3", "나이트 에이전트 시즌 3")</f>
        <v>나이트 에이전트 시즌 3</v>
      </c>
      <c r="C3433" s="72"/>
      <c r="D3433" s="32" t="s">
        <v>3547</v>
      </c>
      <c r="E3433" s="25" t="s">
        <v>3488</v>
      </c>
      <c r="F3433" s="25">
        <v>2026</v>
      </c>
      <c r="G3433" s="25" t="s">
        <v>3490</v>
      </c>
      <c r="H3433" s="25" t="s">
        <v>3546</v>
      </c>
      <c r="I3433" s="25" t="s">
        <v>3534</v>
      </c>
      <c r="J3433" s="110">
        <v>46200</v>
      </c>
    </row>
    <row r="3434" spans="1:14" ht="34.35" customHeight="1" x14ac:dyDescent="0.6">
      <c r="A3434" s="25">
        <v>3432</v>
      </c>
      <c r="B3434" s="92" t="str">
        <f>HYPERLINK("https://search.naver.com/search.naver?query=마셜스 시즌1", "마셜스 시즌1")</f>
        <v>마셜스 시즌1</v>
      </c>
      <c r="C3434" s="72"/>
      <c r="D3434" s="32" t="s">
        <v>3549</v>
      </c>
      <c r="E3434" s="25" t="s">
        <v>3488</v>
      </c>
      <c r="F3434" s="25">
        <v>2026</v>
      </c>
      <c r="G3434" s="25" t="s">
        <v>3490</v>
      </c>
      <c r="H3434" s="25" t="s">
        <v>3546</v>
      </c>
      <c r="I3434" s="25" t="s">
        <v>3548</v>
      </c>
      <c r="J3434" s="110">
        <v>46211</v>
      </c>
    </row>
    <row r="3435" spans="1:14" ht="34.35" customHeight="1" x14ac:dyDescent="0.6">
      <c r="A3435" s="25">
        <v>3433</v>
      </c>
      <c r="B3435" s="92" t="str">
        <f>HYPERLINK("https://www.themoviedb.org/tv/302074-r-j-decker", "R.J. 데커 시즌1")</f>
        <v>R.J. 데커 시즌1</v>
      </c>
      <c r="C3435" s="72"/>
      <c r="D3435" s="32" t="s">
        <v>3551</v>
      </c>
      <c r="E3435" s="25" t="s">
        <v>3488</v>
      </c>
      <c r="F3435" s="25">
        <v>2026</v>
      </c>
      <c r="G3435" s="25" t="s">
        <v>3490</v>
      </c>
      <c r="H3435" s="25" t="s">
        <v>3552</v>
      </c>
      <c r="I3435" s="25" t="s">
        <v>3550</v>
      </c>
      <c r="J3435" s="110">
        <v>46212</v>
      </c>
    </row>
    <row r="3436" spans="1:14" ht="34.35" customHeight="1" x14ac:dyDescent="0.6">
      <c r="A3436" s="25">
        <v>3434</v>
      </c>
      <c r="B3436" s="92" t="str">
        <f>HYPERLINK("https://search.naver.com/search.naver?query=더 피트 시즌1", "더 피트 시즌1")</f>
        <v>더 피트 시즌1</v>
      </c>
      <c r="C3436" s="72"/>
      <c r="D3436" s="32" t="s">
        <v>3554</v>
      </c>
      <c r="E3436" s="25" t="s">
        <v>3488</v>
      </c>
      <c r="F3436" s="25">
        <v>2025</v>
      </c>
      <c r="G3436" s="25" t="s">
        <v>3490</v>
      </c>
      <c r="H3436" s="25" t="s">
        <v>3555</v>
      </c>
      <c r="I3436" s="25" t="s">
        <v>3553</v>
      </c>
      <c r="J3436" s="110">
        <v>46215</v>
      </c>
    </row>
    <row r="3437" spans="1:14" ht="34.200000000000003" customHeight="1" x14ac:dyDescent="0.6">
      <c r="A3437" s="25">
        <v>3435</v>
      </c>
      <c r="B3437" s="92" t="str">
        <f>HYPERLINK("https://search.naver.com/search.naver?query=더 피트 시즌2", "더 피트 시즌2")</f>
        <v>더 피트 시즌2</v>
      </c>
      <c r="C3437" s="72"/>
      <c r="D3437" s="32" t="s">
        <v>3554</v>
      </c>
      <c r="E3437" s="25" t="s">
        <v>3488</v>
      </c>
      <c r="F3437" s="25">
        <v>2026</v>
      </c>
      <c r="G3437" s="25" t="s">
        <v>3490</v>
      </c>
      <c r="H3437" s="25" t="s">
        <v>3555</v>
      </c>
      <c r="I3437" s="25" t="s">
        <v>3556</v>
      </c>
      <c r="J3437" s="110">
        <v>46217</v>
      </c>
    </row>
    <row r="3438" spans="1:14" ht="34.200000000000003" customHeight="1" x14ac:dyDescent="0.6">
      <c r="A3438" s="25">
        <v>3436</v>
      </c>
      <c r="B3438" s="92" t="str">
        <f>HYPERLINK("https://www.themoviedb.org/tv/240740-scarpetta2", "스카페타 시즌1")</f>
        <v>스카페타 시즌1</v>
      </c>
      <c r="C3438" s="72"/>
      <c r="D3438" s="32" t="s">
        <v>3557</v>
      </c>
      <c r="E3438" s="25" t="s">
        <v>3488</v>
      </c>
      <c r="F3438" s="25">
        <v>2026</v>
      </c>
      <c r="G3438" s="25" t="s">
        <v>3490</v>
      </c>
      <c r="H3438" s="25" t="s">
        <v>3558</v>
      </c>
      <c r="I3438" s="25" t="s">
        <v>3545</v>
      </c>
      <c r="J3438" s="110">
        <v>46219</v>
      </c>
    </row>
    <row r="3439" spans="1:14" s="58" customFormat="1" ht="34.35" customHeight="1" x14ac:dyDescent="0.6">
      <c r="A3439" s="73">
        <v>3437</v>
      </c>
      <c r="B3439" s="94" t="str">
        <f>HYPERLINK("https://search.naver.com/search.naver?query=악마는 프라다를 입는다 2", "악마는 프라다를 입는다 2")</f>
        <v>악마는 프라다를 입는다 2</v>
      </c>
      <c r="C3439" s="74">
        <v>8.9700000000000006</v>
      </c>
      <c r="D3439" s="75" t="s">
        <v>3559</v>
      </c>
      <c r="E3439" s="73" t="s">
        <v>3488</v>
      </c>
      <c r="F3439" s="73">
        <v>2026</v>
      </c>
      <c r="G3439" s="73" t="s">
        <v>12</v>
      </c>
      <c r="H3439" s="73" t="s">
        <v>17</v>
      </c>
      <c r="I3439" s="73" t="s">
        <v>3560</v>
      </c>
      <c r="J3439" s="111">
        <v>46220</v>
      </c>
      <c r="K3439" s="76"/>
      <c r="L3439" s="76"/>
      <c r="M3439" s="76"/>
      <c r="N3439" s="76"/>
    </row>
    <row r="3440" spans="1:14" ht="34.200000000000003" customHeight="1" x14ac:dyDescent="0.6">
      <c r="A3440" s="25">
        <v>3438</v>
      </c>
      <c r="B3440" s="92" t="str">
        <f>HYPERLINK("https://www.themoviedb.org/tv/285404-maximum-pleasure-guaranteed", "도파민 최대 보장 시즌1")</f>
        <v>도파민 최대 보장 시즌1</v>
      </c>
      <c r="C3440" s="72"/>
      <c r="D3440" s="32" t="s">
        <v>3561</v>
      </c>
      <c r="E3440" s="25" t="s">
        <v>3488</v>
      </c>
      <c r="F3440" s="25">
        <v>2026</v>
      </c>
      <c r="G3440" s="25" t="s">
        <v>3490</v>
      </c>
      <c r="H3440" s="25" t="s">
        <v>3562</v>
      </c>
      <c r="I3440" s="25" t="s">
        <v>3534</v>
      </c>
      <c r="J3440" s="110">
        <v>46221</v>
      </c>
    </row>
    <row r="3441" spans="1:10" ht="34.200000000000003" customHeight="1" x14ac:dyDescent="0.6">
      <c r="A3441" s="25">
        <v>3439</v>
      </c>
      <c r="B3441" s="92" t="str">
        <f>HYPERLINK("https://search.naver.com/search.naver?query=도쿄바이스 시즌1", "도쿄바이스 시즌1")</f>
        <v>도쿄바이스 시즌1</v>
      </c>
      <c r="C3441" s="72"/>
      <c r="D3441" s="32" t="s">
        <v>3564</v>
      </c>
      <c r="E3441" s="25" t="s">
        <v>3488</v>
      </c>
      <c r="F3441" s="25">
        <v>2022</v>
      </c>
      <c r="G3441" s="25" t="s">
        <v>3490</v>
      </c>
      <c r="H3441" s="25" t="s">
        <v>3563</v>
      </c>
      <c r="I3441" s="25" t="s">
        <v>3545</v>
      </c>
      <c r="J3441" s="110">
        <v>46222</v>
      </c>
    </row>
    <row r="3442" spans="1:10" ht="34.200000000000003" customHeight="1" x14ac:dyDescent="0.6">
      <c r="A3442" s="25">
        <v>3440</v>
      </c>
      <c r="B3442" s="92" t="str">
        <f>HYPERLINK("https://search.naver.com/search.naver?query=도쿄바이스 시즌2", "도쿄바이스 시즌2")</f>
        <v>도쿄바이스 시즌2</v>
      </c>
      <c r="C3442" s="72"/>
      <c r="D3442" s="32" t="s">
        <v>3564</v>
      </c>
      <c r="E3442" s="25" t="s">
        <v>3488</v>
      </c>
      <c r="F3442" s="25">
        <v>2024</v>
      </c>
      <c r="G3442" s="25" t="s">
        <v>3490</v>
      </c>
      <c r="H3442" s="25" t="s">
        <v>3563</v>
      </c>
      <c r="I3442" s="25" t="s">
        <v>3534</v>
      </c>
      <c r="J3442" s="110">
        <v>46224</v>
      </c>
    </row>
    <row r="3443" spans="1:10" ht="34.200000000000003" customHeight="1" x14ac:dyDescent="0.6">
      <c r="A3443" s="25">
        <v>3441</v>
      </c>
      <c r="B3443" s="92" t="str">
        <f>HYPERLINK("https://www.themoviedb.org/tv/299167-dutton-ranch=더턴 랜치 시즌1", "더턴 랜치 시즌1")</f>
        <v>더턴 랜치 시즌1</v>
      </c>
      <c r="C3443" s="72"/>
      <c r="D3443" s="32" t="s">
        <v>3566</v>
      </c>
      <c r="E3443" s="25" t="s">
        <v>3488</v>
      </c>
      <c r="F3443" s="25">
        <v>2026</v>
      </c>
      <c r="G3443" s="25" t="s">
        <v>3490</v>
      </c>
      <c r="H3443" s="25" t="s">
        <v>3565</v>
      </c>
      <c r="I3443" s="25" t="s">
        <v>3550</v>
      </c>
      <c r="J3443" s="110">
        <v>46228</v>
      </c>
    </row>
    <row r="3444" spans="1:10" ht="34.200000000000003" customHeight="1" x14ac:dyDescent="0.6">
      <c r="A3444" s="25">
        <v>3442</v>
      </c>
      <c r="B3444" s="92" t="str">
        <f>HYPERLINK("https://search.naver.com/search.naver?query=김부장", "김부장")</f>
        <v>김부장</v>
      </c>
      <c r="C3444" s="72"/>
      <c r="D3444" s="32" t="s">
        <v>3571</v>
      </c>
      <c r="E3444" s="25" t="s">
        <v>3495</v>
      </c>
      <c r="F3444" s="25">
        <v>2026</v>
      </c>
      <c r="G3444" s="25" t="s">
        <v>3490</v>
      </c>
      <c r="H3444" s="25" t="s">
        <v>3570</v>
      </c>
      <c r="I3444" s="25" t="s">
        <v>3534</v>
      </c>
      <c r="J3444" s="110">
        <v>46230</v>
      </c>
    </row>
    <row r="3445" spans="1:10" ht="34.200000000000003" customHeight="1" x14ac:dyDescent="0.6">
      <c r="A3445" s="25">
        <v>3443</v>
      </c>
      <c r="B3445" s="92" t="str">
        <f>HYPERLINK("https://search.naver.com/search.naver?query=나이트 매니저 시즌2", "나이트 매니저 시즌2")</f>
        <v>나이트 매니저 시즌2</v>
      </c>
      <c r="C3445" s="72"/>
      <c r="D3445" s="32" t="s">
        <v>3572</v>
      </c>
      <c r="E3445" s="25" t="s">
        <v>3525</v>
      </c>
      <c r="F3445" s="25">
        <v>2026</v>
      </c>
      <c r="G3445" s="25" t="s">
        <v>3490</v>
      </c>
      <c r="H3445" s="25" t="s">
        <v>3573</v>
      </c>
      <c r="I3445" s="25" t="s">
        <v>3539</v>
      </c>
      <c r="J3445" s="110">
        <v>46232</v>
      </c>
    </row>
    <row r="3446" spans="1:10" ht="34.200000000000003" customHeight="1" x14ac:dyDescent="0.6">
      <c r="A3446" s="25">
        <v>3444</v>
      </c>
      <c r="B3446" s="92" t="str">
        <f>HYPERLINK("https://search.naver.com/search.naver?query=트래커 시즌1", "트래커 시즌1")</f>
        <v>트래커 시즌1</v>
      </c>
      <c r="C3446" s="72"/>
      <c r="D3446" s="32" t="s">
        <v>3576</v>
      </c>
      <c r="E3446" s="25" t="s">
        <v>3488</v>
      </c>
      <c r="F3446" s="25">
        <v>2024</v>
      </c>
      <c r="G3446" s="25" t="s">
        <v>3490</v>
      </c>
      <c r="H3446" s="25" t="s">
        <v>3575</v>
      </c>
      <c r="I3446" s="25" t="s">
        <v>3548</v>
      </c>
      <c r="J3446" s="110">
        <v>46234</v>
      </c>
    </row>
    <row r="3447" spans="1:10" ht="34.200000000000003" customHeight="1" x14ac:dyDescent="0.6">
      <c r="A3447" s="25">
        <v>3445</v>
      </c>
      <c r="B3447" s="92" t="str">
        <f>HYPERLINK("https://search.naver.com/search.naver?query=케이프 피어", "케이프 피어 시즌1")</f>
        <v>케이프 피어 시즌1</v>
      </c>
      <c r="C3447" s="72"/>
      <c r="D3447" s="32" t="s">
        <v>3578</v>
      </c>
      <c r="E3447" s="25" t="s">
        <v>3488</v>
      </c>
      <c r="F3447" s="25">
        <v>2026</v>
      </c>
      <c r="G3447" s="25" t="s">
        <v>3490</v>
      </c>
      <c r="H3447" s="25" t="s">
        <v>3579</v>
      </c>
      <c r="I3447" s="25" t="s">
        <v>3534</v>
      </c>
      <c r="J3447" s="110">
        <v>46234</v>
      </c>
    </row>
    <row r="3448" spans="1:10" ht="34.200000000000003" customHeight="1" x14ac:dyDescent="0.6">
      <c r="A3448" s="25">
        <v>3446</v>
      </c>
      <c r="B3448" s="92" t="str">
        <f>HYPERLINK("https://search.naver.com/search.naver?query=트래커 시즌2", "트래커 시즌2")</f>
        <v>트래커 시즌2</v>
      </c>
      <c r="C3448" s="72"/>
      <c r="D3448" s="32" t="s">
        <v>3577</v>
      </c>
      <c r="E3448" s="25" t="s">
        <v>3488</v>
      </c>
      <c r="F3448" s="25">
        <v>2025</v>
      </c>
      <c r="G3448" s="25" t="s">
        <v>3490</v>
      </c>
      <c r="H3448" s="25" t="s">
        <v>3575</v>
      </c>
      <c r="I3448" s="25" t="s">
        <v>3574</v>
      </c>
      <c r="J3448" s="110">
        <v>46236</v>
      </c>
    </row>
    <row r="3449" spans="1:10" ht="34.200000000000003" customHeight="1" x14ac:dyDescent="0.6">
      <c r="A3449" s="25">
        <v>3447</v>
      </c>
      <c r="B3449" s="92" t="str">
        <f>HYPERLINK("https://search.naver.com/search.naver?query=트래커 시즌3", "트래커 시즌3")</f>
        <v>트래커 시즌3</v>
      </c>
      <c r="C3449" s="72"/>
      <c r="D3449" s="32" t="s">
        <v>3577</v>
      </c>
      <c r="E3449" s="25" t="s">
        <v>3488</v>
      </c>
      <c r="F3449" s="25">
        <v>2025</v>
      </c>
      <c r="G3449" s="25" t="s">
        <v>3490</v>
      </c>
      <c r="H3449" s="25" t="s">
        <v>3575</v>
      </c>
      <c r="I3449" s="25" t="s">
        <v>3580</v>
      </c>
      <c r="J3449" s="110">
        <v>46237</v>
      </c>
    </row>
    <row r="3450" spans="1:10" ht="34.200000000000003" customHeight="1" x14ac:dyDescent="0.6">
      <c r="A3450" s="25">
        <v>3448</v>
      </c>
      <c r="B3450" s="92" t="str">
        <f>HYPERLINK("https://search.naver.com/search.naver?query=화이트 칼라 시즌1", "화이트 칼라 시즌1")</f>
        <v>화이트 칼라 시즌1</v>
      </c>
      <c r="C3450" s="72"/>
      <c r="D3450" s="32" t="s">
        <v>3583</v>
      </c>
      <c r="E3450" s="25" t="s">
        <v>3488</v>
      </c>
      <c r="F3450" s="25">
        <v>2010</v>
      </c>
      <c r="G3450" s="25" t="s">
        <v>3490</v>
      </c>
      <c r="H3450" s="25" t="s">
        <v>3581</v>
      </c>
      <c r="I3450" s="25" t="s">
        <v>3582</v>
      </c>
      <c r="J3450" s="110">
        <v>46239</v>
      </c>
    </row>
    <row r="3451" spans="1:10" ht="34.200000000000003" customHeight="1" x14ac:dyDescent="0.6">
      <c r="A3451" s="25">
        <v>3449</v>
      </c>
      <c r="B3451" s="92" t="str">
        <f>HYPERLINK("https://search.naver.com/search.naver?query=화이트 칼라 시즌2", "화이트 칼라 시즌2")</f>
        <v>화이트 칼라 시즌2</v>
      </c>
      <c r="C3451" s="72"/>
      <c r="D3451" s="32" t="s">
        <v>3583</v>
      </c>
      <c r="E3451" s="25" t="s">
        <v>3488</v>
      </c>
      <c r="F3451" s="25">
        <v>2011</v>
      </c>
      <c r="G3451" s="25" t="s">
        <v>3490</v>
      </c>
      <c r="H3451" s="25" t="s">
        <v>3581</v>
      </c>
      <c r="I3451" s="25" t="s">
        <v>3556</v>
      </c>
      <c r="J3451" s="110">
        <v>46240</v>
      </c>
    </row>
    <row r="3452" spans="1:10" ht="34.200000000000003" customHeight="1" x14ac:dyDescent="0.6">
      <c r="A3452" s="25">
        <v>3450</v>
      </c>
      <c r="B3452" s="92" t="str">
        <f>HYPERLINK("https://search.naver.com/search.naver?query=화이트 칼라 시즌3", "화이트 칼라 시즌3")</f>
        <v>화이트 칼라 시즌3</v>
      </c>
      <c r="C3452" s="72"/>
      <c r="D3452" s="32" t="s">
        <v>3583</v>
      </c>
      <c r="E3452" s="25" t="s">
        <v>3488</v>
      </c>
      <c r="F3452" s="25">
        <v>2012</v>
      </c>
      <c r="G3452" s="25" t="s">
        <v>3490</v>
      </c>
      <c r="H3452" s="25" t="s">
        <v>3581</v>
      </c>
      <c r="I3452" s="25" t="s">
        <v>3556</v>
      </c>
      <c r="J3452" s="110">
        <v>46242</v>
      </c>
    </row>
    <row r="3453" spans="1:10" ht="34.200000000000003" customHeight="1" x14ac:dyDescent="0.6">
      <c r="A3453" s="25">
        <v>3451</v>
      </c>
      <c r="B3453" s="92" t="str">
        <f>HYPERLINK("https://search.naver.com/search.naver?query=화이트 칼라 시즌4", "화이트 칼라 시즌4")</f>
        <v>화이트 칼라 시즌4</v>
      </c>
      <c r="C3453" s="72"/>
      <c r="D3453" s="32" t="s">
        <v>3583</v>
      </c>
      <c r="E3453" s="25" t="s">
        <v>3488</v>
      </c>
      <c r="F3453" s="25">
        <v>2013</v>
      </c>
      <c r="G3453" s="25" t="s">
        <v>3490</v>
      </c>
      <c r="H3453" s="25" t="s">
        <v>3581</v>
      </c>
      <c r="I3453" s="25" t="s">
        <v>3556</v>
      </c>
      <c r="J3453" s="110">
        <v>46243</v>
      </c>
    </row>
    <row r="3454" spans="1:10" ht="34.200000000000003" customHeight="1" x14ac:dyDescent="0.6">
      <c r="A3454" s="25">
        <v>3452</v>
      </c>
      <c r="B3454" s="92" t="str">
        <f>HYPERLINK("https://search.naver.com/search.naver?query=화이트 칼라 시즌5", "화이트 칼라 시즌5")</f>
        <v>화이트 칼라 시즌5</v>
      </c>
      <c r="C3454" s="72"/>
      <c r="D3454" s="32" t="s">
        <v>3583</v>
      </c>
      <c r="E3454" s="25" t="s">
        <v>3488</v>
      </c>
      <c r="F3454" s="25">
        <v>2014</v>
      </c>
      <c r="G3454" s="25" t="s">
        <v>3490</v>
      </c>
      <c r="H3454" s="25" t="s">
        <v>3581</v>
      </c>
      <c r="I3454" s="25" t="s">
        <v>3548</v>
      </c>
      <c r="J3454" s="110">
        <v>46244</v>
      </c>
    </row>
    <row r="3455" spans="1:10" ht="34.200000000000003" customHeight="1" x14ac:dyDescent="0.6">
      <c r="A3455" s="25">
        <v>3453</v>
      </c>
      <c r="B3455" s="92" t="str">
        <f>HYPERLINK("https://search.naver.com/search.naver?query=화이트 칼라 시즌6", "화이트 칼라 시즌6")</f>
        <v>화이트 칼라 시즌6</v>
      </c>
      <c r="C3455" s="72"/>
      <c r="D3455" s="32" t="s">
        <v>3583</v>
      </c>
      <c r="E3455" s="25" t="s">
        <v>3488</v>
      </c>
      <c r="F3455" s="25">
        <v>2014</v>
      </c>
      <c r="G3455" s="25" t="s">
        <v>3490</v>
      </c>
      <c r="H3455" s="25" t="s">
        <v>3581</v>
      </c>
      <c r="I3455" s="25" t="s">
        <v>3584</v>
      </c>
      <c r="J3455" s="110">
        <v>46245</v>
      </c>
    </row>
    <row r="3456" spans="1:10" ht="34.200000000000003" customHeight="1" x14ac:dyDescent="0.6">
      <c r="A3456" s="25">
        <v>3454</v>
      </c>
      <c r="B3456" s="92" t="str">
        <f>HYPERLINK("https://search.naver.com/search.naver?query=아이 윌 파인드 유", "아이 윌 파인드 유")</f>
        <v>아이 윌 파인드 유</v>
      </c>
      <c r="C3456" s="72"/>
      <c r="D3456" s="32" t="s">
        <v>3586</v>
      </c>
      <c r="E3456" s="25" t="s">
        <v>3488</v>
      </c>
      <c r="F3456" s="25">
        <v>2026</v>
      </c>
      <c r="G3456" s="25" t="s">
        <v>3490</v>
      </c>
      <c r="H3456" s="25" t="s">
        <v>3585</v>
      </c>
      <c r="I3456" s="25" t="s">
        <v>3545</v>
      </c>
      <c r="J3456" s="110">
        <v>46246</v>
      </c>
    </row>
    <row r="3457" spans="1:14" ht="34.200000000000003" customHeight="1" x14ac:dyDescent="0.6">
      <c r="A3457" s="25">
        <v>3455</v>
      </c>
      <c r="B3457" s="92" t="str">
        <f>HYPERLINK("https://search.naver.com/search.naver?query=디 아메리칸즈 시즌1", "디 아메리칸즈 시즌1")</f>
        <v>디 아메리칸즈 시즌1</v>
      </c>
      <c r="C3457" s="72"/>
      <c r="D3457" s="32" t="s">
        <v>3587</v>
      </c>
      <c r="E3457" s="25" t="s">
        <v>3488</v>
      </c>
      <c r="F3457" s="25">
        <v>2013</v>
      </c>
      <c r="G3457" s="25" t="s">
        <v>3490</v>
      </c>
      <c r="H3457" s="25" t="s">
        <v>3588</v>
      </c>
      <c r="I3457" s="25" t="s">
        <v>3548</v>
      </c>
      <c r="J3457" s="110">
        <v>46249</v>
      </c>
    </row>
    <row r="3458" spans="1:14" ht="34.200000000000003" customHeight="1" x14ac:dyDescent="0.6">
      <c r="A3458" s="25">
        <v>3456</v>
      </c>
      <c r="B3458" s="92" t="str">
        <f>HYPERLINK("https://search.naver.com/search.naver?query=디 아메리칸즈 시즌2", "디 아메리칸즈 시즌2")</f>
        <v>디 아메리칸즈 시즌2</v>
      </c>
      <c r="C3458" s="72"/>
      <c r="D3458" s="32" t="s">
        <v>3587</v>
      </c>
      <c r="E3458" s="25" t="s">
        <v>3488</v>
      </c>
      <c r="F3458" s="25">
        <v>2014</v>
      </c>
      <c r="G3458" s="25" t="s">
        <v>3490</v>
      </c>
      <c r="H3458" s="25" t="s">
        <v>3588</v>
      </c>
      <c r="I3458" s="25" t="s">
        <v>3548</v>
      </c>
      <c r="J3458" s="110">
        <v>46250</v>
      </c>
    </row>
    <row r="3459" spans="1:14" ht="34.200000000000003" customHeight="1" x14ac:dyDescent="0.6">
      <c r="A3459" s="25">
        <v>3457</v>
      </c>
      <c r="B3459" s="92" t="str">
        <f>HYPERLINK("https://search.naver.com/search.naver?query=디 아메리칸즈 시즌3", "디 아메리칸즈 시즌3")</f>
        <v>디 아메리칸즈 시즌3</v>
      </c>
      <c r="C3459" s="72"/>
      <c r="D3459" s="32" t="s">
        <v>3587</v>
      </c>
      <c r="E3459" s="25" t="s">
        <v>3488</v>
      </c>
      <c r="F3459" s="25">
        <v>2015</v>
      </c>
      <c r="G3459" s="25" t="s">
        <v>3490</v>
      </c>
      <c r="H3459" s="25" t="s">
        <v>3588</v>
      </c>
      <c r="I3459" s="25" t="s">
        <v>3548</v>
      </c>
      <c r="J3459" s="110">
        <v>46251</v>
      </c>
    </row>
    <row r="3460" spans="1:14" ht="34.200000000000003" customHeight="1" x14ac:dyDescent="0.6">
      <c r="A3460" s="25">
        <v>3458</v>
      </c>
      <c r="B3460" s="92" t="str">
        <f>HYPERLINK("https://search.naver.com/search.naver?query=디 아메리칸즈 시즌4", "디 아메리칸즈 시즌4")</f>
        <v>디 아메리칸즈 시즌4</v>
      </c>
      <c r="C3460" s="72"/>
      <c r="D3460" s="32" t="s">
        <v>3587</v>
      </c>
      <c r="E3460" s="25" t="s">
        <v>3488</v>
      </c>
      <c r="F3460" s="25">
        <v>2016</v>
      </c>
      <c r="G3460" s="25" t="s">
        <v>3490</v>
      </c>
      <c r="H3460" s="25" t="s">
        <v>3588</v>
      </c>
      <c r="I3460" s="25" t="s">
        <v>3548</v>
      </c>
      <c r="J3460" s="110">
        <v>46252</v>
      </c>
    </row>
    <row r="3461" spans="1:14" ht="34.200000000000003" customHeight="1" x14ac:dyDescent="0.6">
      <c r="A3461" s="25">
        <v>3459</v>
      </c>
      <c r="B3461" s="92" t="str">
        <f>HYPERLINK("https://search.naver.com/search.naver?query=디 아메리칸즈 시즌5", "디 아메리칸즈 시즌5")</f>
        <v>디 아메리칸즈 시즌5</v>
      </c>
      <c r="C3461" s="72"/>
      <c r="D3461" s="32" t="s">
        <v>3587</v>
      </c>
      <c r="E3461" s="25" t="s">
        <v>3488</v>
      </c>
      <c r="F3461" s="25">
        <v>2017</v>
      </c>
      <c r="G3461" s="25" t="s">
        <v>3490</v>
      </c>
      <c r="H3461" s="25" t="s">
        <v>3588</v>
      </c>
      <c r="I3461" s="25" t="s">
        <v>3548</v>
      </c>
      <c r="J3461" s="110">
        <v>46253</v>
      </c>
    </row>
    <row r="3462" spans="1:14" ht="34.200000000000003" customHeight="1" x14ac:dyDescent="0.6">
      <c r="A3462" s="25">
        <v>3460</v>
      </c>
      <c r="B3462" s="92" t="str">
        <f>HYPERLINK("https://search.naver.com/search.naver?query=디 아메리칸즈 시즌6", "디 아메리칸즈 시즌6")</f>
        <v>디 아메리칸즈 시즌6</v>
      </c>
      <c r="C3462" s="72"/>
      <c r="D3462" s="32" t="s">
        <v>3587</v>
      </c>
      <c r="E3462" s="25" t="s">
        <v>3488</v>
      </c>
      <c r="F3462" s="25">
        <v>2018</v>
      </c>
      <c r="G3462" s="25" t="s">
        <v>3490</v>
      </c>
      <c r="H3462" s="25" t="s">
        <v>3588</v>
      </c>
      <c r="I3462" s="25" t="s">
        <v>3534</v>
      </c>
      <c r="J3462" s="110">
        <v>46254</v>
      </c>
    </row>
    <row r="3463" spans="1:14" ht="34.200000000000003" customHeight="1" x14ac:dyDescent="0.6">
      <c r="A3463" s="25">
        <v>3461</v>
      </c>
      <c r="B3463" s="92" t="str">
        <f>HYPERLINK("https://search.naver.com/search.naver?query=안야 테일러 럭키 시즌1", "럭키 시즌1")</f>
        <v>럭키 시즌1</v>
      </c>
      <c r="C3463" s="72"/>
      <c r="D3463" s="32" t="s">
        <v>3590</v>
      </c>
      <c r="E3463" s="25" t="s">
        <v>3488</v>
      </c>
      <c r="F3463" s="25">
        <v>2026</v>
      </c>
      <c r="G3463" s="25" t="s">
        <v>3490</v>
      </c>
      <c r="H3463" s="25" t="s">
        <v>3490</v>
      </c>
      <c r="I3463" s="25" t="s">
        <v>3589</v>
      </c>
      <c r="J3463" s="110">
        <v>46254</v>
      </c>
    </row>
    <row r="3464" spans="1:14" s="58" customFormat="1" ht="34.35" customHeight="1" x14ac:dyDescent="0.6">
      <c r="A3464" s="73">
        <v>3462</v>
      </c>
      <c r="B3464" s="94" t="str">
        <f>HYPERLINK("https://search.naver.com/search.naver?query=영화 뮤티니", "뮤티니")</f>
        <v>뮤티니</v>
      </c>
      <c r="C3464" s="74"/>
      <c r="D3464" s="75" t="s">
        <v>3591</v>
      </c>
      <c r="E3464" s="73" t="s">
        <v>3488</v>
      </c>
      <c r="F3464" s="73">
        <v>2026</v>
      </c>
      <c r="G3464" s="73" t="s">
        <v>12</v>
      </c>
      <c r="H3464" s="73" t="s">
        <v>3592</v>
      </c>
      <c r="I3464" s="73" t="s">
        <v>3498</v>
      </c>
      <c r="J3464" s="111">
        <v>46255</v>
      </c>
      <c r="K3464" s="76"/>
      <c r="L3464" s="76"/>
      <c r="M3464" s="76"/>
      <c r="N3464" s="76"/>
    </row>
    <row r="3465" spans="1:14" s="58" customFormat="1" ht="34.35" customHeight="1" x14ac:dyDescent="0.6">
      <c r="A3465" s="73">
        <v>3463</v>
      </c>
      <c r="B3465" s="94" t="str">
        <f>HYPERLINK("https://search.naver.com/search.naver?query=딥 워터", "딥 워터")</f>
        <v>딥 워터</v>
      </c>
      <c r="C3465" s="74">
        <v>6.6</v>
      </c>
      <c r="D3465" s="75" t="s">
        <v>3594</v>
      </c>
      <c r="E3465" s="73" t="s">
        <v>3488</v>
      </c>
      <c r="F3465" s="73">
        <v>2026</v>
      </c>
      <c r="G3465" s="73" t="s">
        <v>12</v>
      </c>
      <c r="H3465" s="73" t="s">
        <v>3546</v>
      </c>
      <c r="I3465" s="73" t="s">
        <v>3593</v>
      </c>
      <c r="J3465" s="111">
        <v>46258</v>
      </c>
      <c r="K3465" s="76"/>
      <c r="L3465" s="76"/>
      <c r="M3465" s="76"/>
      <c r="N3465" s="76"/>
    </row>
    <row r="3466" spans="1:14" ht="34.200000000000003" customHeight="1" x14ac:dyDescent="0.6">
      <c r="A3466" s="25">
        <v>3464</v>
      </c>
      <c r="B3466" s="92" t="str">
        <f>HYPERLINK("https://search.naver.com/search.naver?query=하이포텐셜 시즌1", "하이포텐셜 시즌1")</f>
        <v>하이포텐셜 시즌1</v>
      </c>
      <c r="C3466" s="72"/>
      <c r="D3466" s="32" t="s">
        <v>3595</v>
      </c>
      <c r="E3466" s="25" t="s">
        <v>3488</v>
      </c>
      <c r="F3466" s="25">
        <v>2024</v>
      </c>
      <c r="G3466" s="25" t="s">
        <v>3490</v>
      </c>
      <c r="H3466" s="25" t="s">
        <v>3596</v>
      </c>
      <c r="I3466" s="25" t="s">
        <v>3548</v>
      </c>
      <c r="J3466" s="110">
        <v>46259</v>
      </c>
    </row>
    <row r="3467" spans="1:14" s="58" customFormat="1" ht="34.35" customHeight="1" x14ac:dyDescent="0.6">
      <c r="A3467" s="73">
        <v>3465</v>
      </c>
      <c r="B3467" s="94" t="str">
        <f>HYPERLINK("https://search.naver.com/search.naver?query=파이널 피스 영화", "파이널 피스")</f>
        <v>파이널 피스</v>
      </c>
      <c r="C3467" s="74">
        <v>7.89</v>
      </c>
      <c r="D3467" s="75" t="s">
        <v>3598</v>
      </c>
      <c r="E3467" s="73" t="s">
        <v>3500</v>
      </c>
      <c r="F3467" s="73">
        <v>2026</v>
      </c>
      <c r="G3467" s="73" t="s">
        <v>3489</v>
      </c>
      <c r="H3467" s="73" t="s">
        <v>3599</v>
      </c>
      <c r="I3467" s="73" t="s">
        <v>3597</v>
      </c>
      <c r="J3467" s="111">
        <v>46261</v>
      </c>
      <c r="K3467" s="76"/>
      <c r="L3467" s="76"/>
      <c r="M3467" s="76"/>
      <c r="N3467" s="76"/>
    </row>
    <row r="3468" spans="1:14" ht="34.200000000000003" customHeight="1" x14ac:dyDescent="0.6">
      <c r="A3468" s="25">
        <v>3466</v>
      </c>
      <c r="B3468" s="92" t="str">
        <f>HYPERLINK("https://search.naver.com/search.naver?query=하이포텐셜 시즌2", "하이포텐셜 시즌2")</f>
        <v>하이포텐셜 시즌2</v>
      </c>
      <c r="C3468" s="72"/>
      <c r="D3468" s="32" t="s">
        <v>3595</v>
      </c>
      <c r="E3468" s="25" t="s">
        <v>3488</v>
      </c>
      <c r="F3468" s="25">
        <v>2025</v>
      </c>
      <c r="G3468" s="25" t="s">
        <v>3490</v>
      </c>
      <c r="H3468" s="25" t="s">
        <v>3596</v>
      </c>
      <c r="I3468" s="25" t="s">
        <v>3600</v>
      </c>
      <c r="J3468" s="110">
        <v>46262</v>
      </c>
    </row>
    <row r="3469" spans="1:14" s="58" customFormat="1" ht="34.35" customHeight="1" x14ac:dyDescent="0.6">
      <c r="A3469" s="73">
        <v>3467</v>
      </c>
      <c r="B3469" s="94" t="str">
        <f>HYPERLINK("https://search.naver.com/search.naver?query=위스퍼맨 영화", "위스퍼맨")</f>
        <v>위스퍼맨</v>
      </c>
      <c r="C3469" s="74">
        <v>5.47</v>
      </c>
      <c r="D3469" s="75" t="s">
        <v>3601</v>
      </c>
      <c r="E3469" s="73" t="s">
        <v>3488</v>
      </c>
      <c r="F3469" s="73">
        <v>2026</v>
      </c>
      <c r="G3469" s="73" t="s">
        <v>3489</v>
      </c>
      <c r="H3469" s="73" t="s">
        <v>3546</v>
      </c>
      <c r="I3469" s="73" t="s">
        <v>3602</v>
      </c>
      <c r="J3469" s="111">
        <v>46263</v>
      </c>
      <c r="K3469" s="76"/>
      <c r="L3469" s="76"/>
      <c r="M3469" s="76"/>
      <c r="N3469" s="76"/>
    </row>
    <row r="3470" spans="1:14" ht="34.200000000000003" customHeight="1" x14ac:dyDescent="0.6">
      <c r="A3470" s="25">
        <v>3468</v>
      </c>
      <c r="B3470" s="92" t="str">
        <f>HYPERLINK("https://search.naver.com/search.naver?query=스틸 영드", "스틸")</f>
        <v>스틸</v>
      </c>
      <c r="C3470" s="72">
        <v>7.4</v>
      </c>
      <c r="D3470" s="32" t="s">
        <v>3603</v>
      </c>
      <c r="E3470" s="25" t="s">
        <v>3525</v>
      </c>
      <c r="F3470" s="25">
        <v>2026</v>
      </c>
      <c r="G3470" s="25" t="s">
        <v>3490</v>
      </c>
      <c r="H3470" s="25" t="s">
        <v>3558</v>
      </c>
      <c r="I3470" s="25" t="s">
        <v>3539</v>
      </c>
      <c r="J3470" s="110">
        <v>46263</v>
      </c>
    </row>
    <row r="3471" spans="1:14" ht="34.200000000000003" customHeight="1" x14ac:dyDescent="0.6">
      <c r="A3471" s="25">
        <v>3469</v>
      </c>
      <c r="B3471" s="92" t="str">
        <f>HYPERLINK("https://search.naver.com/search.naver?query=넷플릭스 내 안의 괴물", "내 안의 괴물")</f>
        <v>내 안의 괴물</v>
      </c>
      <c r="C3471" s="72"/>
      <c r="D3471" s="32" t="s">
        <v>3604</v>
      </c>
      <c r="E3471" s="25" t="s">
        <v>3488</v>
      </c>
      <c r="F3471" s="25">
        <v>2025</v>
      </c>
      <c r="G3471" s="25" t="s">
        <v>3490</v>
      </c>
      <c r="H3471" s="25" t="s">
        <v>3546</v>
      </c>
      <c r="I3471" s="25" t="s">
        <v>3545</v>
      </c>
      <c r="J3471" s="110">
        <v>46264</v>
      </c>
    </row>
    <row r="3472" spans="1:14" s="58" customFormat="1" ht="34.35" customHeight="1" x14ac:dyDescent="0.6">
      <c r="A3472" s="73">
        <v>3470</v>
      </c>
      <c r="B3472" s="94" t="str">
        <f>HYPERLINK("https://search.naver.com/search.naver?query=영화 인 더 그레이", "인 더 그레이 ")</f>
        <v xml:space="preserve">인 더 그레이 </v>
      </c>
      <c r="C3472" s="74">
        <v>7.14</v>
      </c>
      <c r="D3472" s="75" t="s">
        <v>3605</v>
      </c>
      <c r="E3472" s="73" t="s">
        <v>3488</v>
      </c>
      <c r="F3472" s="73">
        <v>2026</v>
      </c>
      <c r="G3472" s="73" t="s">
        <v>3489</v>
      </c>
      <c r="H3472" s="73" t="s">
        <v>3606</v>
      </c>
      <c r="I3472" s="73" t="s">
        <v>3607</v>
      </c>
      <c r="J3472" s="111">
        <v>46265</v>
      </c>
      <c r="K3472" s="76"/>
      <c r="L3472" s="76"/>
      <c r="M3472" s="76"/>
      <c r="N3472" s="76"/>
    </row>
    <row r="3473" spans="1:14" ht="34.200000000000003" customHeight="1" x14ac:dyDescent="0.6">
      <c r="A3473" s="25">
        <v>3471</v>
      </c>
      <c r="B3473" s="92" t="str">
        <f>HYPERLINK("https://search.naver.com/search.naver?query=레드 아이  드라마", "레드 아이 시즌1")</f>
        <v>레드 아이 시즌1</v>
      </c>
      <c r="C3473" s="72"/>
      <c r="D3473" s="32" t="s">
        <v>3609</v>
      </c>
      <c r="E3473" s="25" t="s">
        <v>3525</v>
      </c>
      <c r="F3473" s="25">
        <v>2024</v>
      </c>
      <c r="G3473" s="25" t="s">
        <v>3490</v>
      </c>
      <c r="H3473" s="25" t="s">
        <v>3608</v>
      </c>
      <c r="I3473" s="25" t="s">
        <v>3539</v>
      </c>
      <c r="J3473" s="110">
        <v>46266</v>
      </c>
    </row>
    <row r="3474" spans="1:14" ht="34.200000000000003" customHeight="1" x14ac:dyDescent="0.6">
      <c r="A3474" s="25">
        <v>3472</v>
      </c>
      <c r="B3474" s="92" t="str">
        <f>HYPERLINK("https://search.naver.com/search.naver?query=그가 나에게 말하지 않은 것 시즌1", "그가 나에게 말하지 않은 것 시즌1")</f>
        <v>그가 나에게 말하지 않은 것 시즌1</v>
      </c>
      <c r="C3474" s="72"/>
      <c r="D3474" s="32" t="s">
        <v>3612</v>
      </c>
      <c r="E3474" s="25" t="s">
        <v>3488</v>
      </c>
      <c r="F3474" s="25">
        <v>2023</v>
      </c>
      <c r="G3474" s="25" t="s">
        <v>3490</v>
      </c>
      <c r="H3474" s="25" t="s">
        <v>3610</v>
      </c>
      <c r="I3474" s="25" t="s">
        <v>3611</v>
      </c>
      <c r="J3474" s="110">
        <v>46268</v>
      </c>
    </row>
    <row r="3475" spans="1:14" ht="34.200000000000003" customHeight="1" x14ac:dyDescent="0.6">
      <c r="A3475" s="25">
        <v>3473</v>
      </c>
      <c r="B3475" s="92" t="str">
        <f>HYPERLINK("https://search.naver.com/search.naver?query=그가 나에게 말하지 않은 것 시즌2", "그가 나에게 말하지 않은 것 시즌2")</f>
        <v>그가 나에게 말하지 않은 것 시즌2</v>
      </c>
      <c r="C3475" s="72"/>
      <c r="D3475" s="32" t="s">
        <v>3612</v>
      </c>
      <c r="E3475" s="25" t="s">
        <v>3488</v>
      </c>
      <c r="F3475" s="25">
        <v>2026</v>
      </c>
      <c r="G3475" s="25" t="s">
        <v>3490</v>
      </c>
      <c r="H3475" s="25" t="s">
        <v>3610</v>
      </c>
      <c r="I3475" s="25" t="s">
        <v>3545</v>
      </c>
      <c r="J3475" s="110">
        <v>46268</v>
      </c>
    </row>
    <row r="3476" spans="1:14" s="58" customFormat="1" ht="34.35" customHeight="1" x14ac:dyDescent="0.6">
      <c r="A3476" s="73">
        <v>3474</v>
      </c>
      <c r="B3476" s="94" t="str">
        <f>HYPERLINK("https://www.themoviedb.org/movie/1386315", "더 러너")</f>
        <v>더 러너</v>
      </c>
      <c r="C3476" s="74"/>
      <c r="D3476" s="75" t="s">
        <v>3615</v>
      </c>
      <c r="E3476" s="73" t="s">
        <v>3525</v>
      </c>
      <c r="F3476" s="73">
        <v>2026</v>
      </c>
      <c r="G3476" s="73" t="s">
        <v>3489</v>
      </c>
      <c r="H3476" s="73" t="s">
        <v>3546</v>
      </c>
      <c r="I3476" s="73" t="s">
        <v>3569</v>
      </c>
      <c r="J3476" s="111">
        <v>46268</v>
      </c>
      <c r="K3476" s="76"/>
      <c r="L3476" s="76"/>
      <c r="M3476" s="76"/>
      <c r="N3476" s="76"/>
    </row>
    <row r="3477" spans="1:14" s="58" customFormat="1" ht="34.35" customHeight="1" x14ac:dyDescent="0.6">
      <c r="A3477" s="73">
        <v>3475</v>
      </c>
      <c r="B3477" s="94" t="str">
        <f>HYPERLINK("https://search.naver.com/search.naver?query=언피니시드", "언피니시드 ")</f>
        <v xml:space="preserve">언피니시드 </v>
      </c>
      <c r="C3477" s="74">
        <v>7.23</v>
      </c>
      <c r="D3477" s="75" t="s">
        <v>3616</v>
      </c>
      <c r="E3477" s="73" t="s">
        <v>3488</v>
      </c>
      <c r="F3477" s="73">
        <v>2010</v>
      </c>
      <c r="G3477" s="73" t="s">
        <v>3489</v>
      </c>
      <c r="H3477" s="73" t="s">
        <v>3490</v>
      </c>
      <c r="I3477" s="73" t="s">
        <v>3496</v>
      </c>
      <c r="J3477" s="111">
        <v>46269</v>
      </c>
      <c r="K3477" s="76"/>
      <c r="L3477" s="76"/>
      <c r="M3477" s="76"/>
      <c r="N3477" s="76"/>
    </row>
    <row r="3478" spans="1:14" s="58" customFormat="1" ht="34.35" customHeight="1" x14ac:dyDescent="0.6">
      <c r="A3478" s="73">
        <v>3476</v>
      </c>
      <c r="B3478" s="94" t="str">
        <f>HYPERLINK("https://search.naver.com/search.naver?query=메이데이 애플 ", "메이데이 ")</f>
        <v xml:space="preserve">메이데이 </v>
      </c>
      <c r="C3478" s="74"/>
      <c r="D3478" s="75" t="s">
        <v>3617</v>
      </c>
      <c r="E3478" s="73" t="s">
        <v>3488</v>
      </c>
      <c r="F3478" s="73">
        <v>2026</v>
      </c>
      <c r="G3478" s="73" t="s">
        <v>3489</v>
      </c>
      <c r="H3478" s="73" t="s">
        <v>3618</v>
      </c>
      <c r="I3478" s="73" t="s">
        <v>3527</v>
      </c>
      <c r="J3478" s="111">
        <v>46269</v>
      </c>
      <c r="K3478" s="76"/>
      <c r="L3478" s="76"/>
      <c r="M3478" s="76"/>
      <c r="N3478" s="76"/>
    </row>
    <row r="3479" spans="1:14" ht="34.200000000000003" customHeight="1" x14ac:dyDescent="0.6">
      <c r="A3479" s="25">
        <v>3477</v>
      </c>
      <c r="B3479" s="92" t="str">
        <f>HYPERLINK("https://search.naver.com/search.naver?query=젠틀맨: 더 시리즈 시즌2", "젠틀맨: 더 시리즈 시즌2")</f>
        <v>젠틀맨: 더 시리즈 시즌2</v>
      </c>
      <c r="C3479" s="72"/>
      <c r="D3479" s="32" t="s">
        <v>3620</v>
      </c>
      <c r="E3479" s="25" t="s">
        <v>3525</v>
      </c>
      <c r="F3479" s="25">
        <v>2026</v>
      </c>
      <c r="G3479" s="25" t="s">
        <v>3490</v>
      </c>
      <c r="H3479" s="25" t="s">
        <v>3619</v>
      </c>
      <c r="I3479" s="25" t="s">
        <v>3545</v>
      </c>
      <c r="J3479" s="110">
        <v>46270</v>
      </c>
    </row>
    <row r="3480" spans="1:14" s="58" customFormat="1" ht="34.35" customHeight="1" x14ac:dyDescent="0.6">
      <c r="A3480" s="73">
        <v>3478</v>
      </c>
      <c r="B3480" s="94" t="str">
        <f>HYPERLINK("https://search.naver.com/search.naver?query=디스클로저데이 영화", "디스클로저데이")</f>
        <v>디스클로저데이</v>
      </c>
      <c r="C3480" s="74">
        <v>5.7</v>
      </c>
      <c r="D3480" s="75" t="s">
        <v>3621</v>
      </c>
      <c r="E3480" s="73" t="s">
        <v>3488</v>
      </c>
      <c r="F3480" s="73">
        <v>2026</v>
      </c>
      <c r="G3480" s="73" t="s">
        <v>3489</v>
      </c>
      <c r="H3480" s="73" t="s">
        <v>3622</v>
      </c>
      <c r="I3480" s="73" t="s">
        <v>3623</v>
      </c>
      <c r="J3480" s="111">
        <v>46271</v>
      </c>
      <c r="K3480" s="76"/>
      <c r="L3480" s="76"/>
      <c r="M3480" s="76"/>
      <c r="N3480" s="76"/>
    </row>
    <row r="3481" spans="1:14" ht="34.200000000000003" customHeight="1" x14ac:dyDescent="0.6">
      <c r="A3481" s="25">
        <v>3479</v>
      </c>
      <c r="B3481" s="92" t="str">
        <f>HYPERLINK("https://search.naver.com/search.naver?query=메이어 오브 킹스타운 시즌3", "메이어 오브 킹스타운 시즌3")</f>
        <v>메이어 오브 킹스타운 시즌3</v>
      </c>
      <c r="C3481" s="72"/>
      <c r="D3481" s="32" t="s">
        <v>3625</v>
      </c>
      <c r="E3481" s="25" t="s">
        <v>3488</v>
      </c>
      <c r="F3481" s="25">
        <v>2024</v>
      </c>
      <c r="G3481" s="25" t="s">
        <v>3490</v>
      </c>
      <c r="H3481" s="25" t="s">
        <v>3624</v>
      </c>
      <c r="I3481" s="25" t="s">
        <v>3534</v>
      </c>
      <c r="J3481" s="110">
        <v>46272</v>
      </c>
    </row>
    <row r="3482" spans="1:14" ht="34.200000000000003" customHeight="1" x14ac:dyDescent="0.6">
      <c r="A3482" s="25">
        <v>3480</v>
      </c>
      <c r="B3482" s="92" t="str">
        <f>HYPERLINK("https://search.naver.com/search.naver?query=메이어 오브 킹스타운 시즌4", "메이어 오브 킹스타운 시즌4")</f>
        <v>메이어 오브 킹스타운 시즌4</v>
      </c>
      <c r="C3482" s="72"/>
      <c r="D3482" s="32" t="s">
        <v>3625</v>
      </c>
      <c r="E3482" s="25" t="s">
        <v>3488</v>
      </c>
      <c r="F3482" s="25">
        <v>2025</v>
      </c>
      <c r="G3482" s="25" t="s">
        <v>3490</v>
      </c>
      <c r="H3482" s="25" t="s">
        <v>3624</v>
      </c>
      <c r="I3482" s="25" t="s">
        <v>3534</v>
      </c>
      <c r="J3482" s="110">
        <v>46274</v>
      </c>
    </row>
    <row r="3483" spans="1:14" s="58" customFormat="1" ht="34.35" customHeight="1" x14ac:dyDescent="0.6">
      <c r="A3483" s="73">
        <v>3481</v>
      </c>
      <c r="B3483" s="94" t="str">
        <f>HYPERLINK("https://search.naver.com/search.naver?query=버티칼 리미트 영화", "버티칼 리미트")</f>
        <v>버티칼 리미트</v>
      </c>
      <c r="C3483" s="74">
        <v>7.96</v>
      </c>
      <c r="D3483" s="75" t="s">
        <v>3626</v>
      </c>
      <c r="E3483" s="73" t="s">
        <v>3628</v>
      </c>
      <c r="F3483" s="73">
        <v>2000</v>
      </c>
      <c r="G3483" s="73" t="s">
        <v>3489</v>
      </c>
      <c r="H3483" s="73" t="s">
        <v>3627</v>
      </c>
      <c r="I3483" s="73" t="s">
        <v>3597</v>
      </c>
      <c r="J3483" s="111">
        <v>46275</v>
      </c>
      <c r="K3483" s="76"/>
      <c r="L3483" s="76"/>
      <c r="M3483" s="76"/>
      <c r="N3483" s="76"/>
    </row>
    <row r="3484" spans="1:14" ht="34.200000000000003" customHeight="1" x14ac:dyDescent="0.6">
      <c r="A3484" s="25">
        <v>3482</v>
      </c>
      <c r="B3484" s="92" t="str">
        <f>HYPERLINK("https://search.naver.com/search.naver?query=스트레인저 넷플릭스", "스트레인저")</f>
        <v>스트레인저</v>
      </c>
      <c r="C3484" s="72"/>
      <c r="D3484" s="32" t="s">
        <v>3630</v>
      </c>
      <c r="E3484" s="25" t="s">
        <v>3525</v>
      </c>
      <c r="F3484" s="25">
        <v>2020</v>
      </c>
      <c r="G3484" s="25" t="s">
        <v>3490</v>
      </c>
      <c r="H3484" s="25" t="s">
        <v>3629</v>
      </c>
      <c r="I3484" s="25" t="s">
        <v>3545</v>
      </c>
      <c r="J3484" s="110">
        <v>46276</v>
      </c>
    </row>
    <row r="3485" spans="1:14" s="58" customFormat="1" ht="34.35" customHeight="1" x14ac:dyDescent="0.6">
      <c r="A3485" s="73">
        <v>3483</v>
      </c>
      <c r="B3485" s="94" t="str">
        <f>HYPERLINK("https://search.naver.com/search.naver?query=기차의 꿈 영화", "기차의 꿈")</f>
        <v>기차의 꿈</v>
      </c>
      <c r="C3485" s="74">
        <v>9.2899999999999991</v>
      </c>
      <c r="D3485" s="75" t="s">
        <v>3632</v>
      </c>
      <c r="E3485" s="73" t="s">
        <v>3488</v>
      </c>
      <c r="F3485" s="73">
        <v>2025</v>
      </c>
      <c r="G3485" s="73" t="s">
        <v>3489</v>
      </c>
      <c r="H3485" s="73" t="s">
        <v>3490</v>
      </c>
      <c r="I3485" s="73" t="s">
        <v>3631</v>
      </c>
      <c r="J3485" s="111">
        <v>46277</v>
      </c>
      <c r="K3485" s="76"/>
      <c r="L3485" s="76"/>
      <c r="M3485" s="76"/>
      <c r="N3485" s="76"/>
    </row>
    <row r="3486" spans="1:14" s="58" customFormat="1" ht="34.35" customHeight="1" x14ac:dyDescent="0.6">
      <c r="A3486" s="73">
        <v>3484</v>
      </c>
      <c r="B3486" s="94" t="str">
        <f>HYPERLINK("https://search.naver.com/search.naver?query=워페어 영화", "워페어")</f>
        <v>워페어</v>
      </c>
      <c r="C3486" s="74">
        <v>8.9</v>
      </c>
      <c r="D3486" s="75" t="s">
        <v>3634</v>
      </c>
      <c r="E3486" s="73" t="s">
        <v>3488</v>
      </c>
      <c r="F3486" s="73">
        <v>2026</v>
      </c>
      <c r="G3486" s="73" t="s">
        <v>3489</v>
      </c>
      <c r="H3486" s="73" t="s">
        <v>3637</v>
      </c>
      <c r="I3486" s="73" t="s">
        <v>3633</v>
      </c>
      <c r="J3486" s="111">
        <v>46277</v>
      </c>
      <c r="K3486" s="76"/>
      <c r="L3486" s="76"/>
      <c r="M3486" s="76"/>
      <c r="N3486" s="76"/>
    </row>
    <row r="3487" spans="1:14" s="58" customFormat="1" ht="34.35" customHeight="1" x14ac:dyDescent="0.6">
      <c r="A3487" s="73">
        <v>3485</v>
      </c>
      <c r="B3487" s="94" t="str">
        <f>HYPERLINK("https://search.naver.com/search.naver?query=질투의 남자 영화", "질투의 남자")</f>
        <v>질투의 남자</v>
      </c>
      <c r="C3487" s="74"/>
      <c r="D3487" s="75" t="s">
        <v>3635</v>
      </c>
      <c r="E3487" s="73" t="s">
        <v>3488</v>
      </c>
      <c r="F3487" s="73">
        <v>2024</v>
      </c>
      <c r="G3487" s="73" t="s">
        <v>3489</v>
      </c>
      <c r="H3487" s="73" t="s">
        <v>3636</v>
      </c>
      <c r="I3487" s="73" t="s">
        <v>3633</v>
      </c>
      <c r="J3487" s="111">
        <v>46278</v>
      </c>
      <c r="K3487" s="76"/>
      <c r="L3487" s="76"/>
      <c r="M3487" s="76"/>
      <c r="N3487" s="76"/>
    </row>
    <row r="3488" spans="1:14" s="58" customFormat="1" ht="34.35" customHeight="1" x14ac:dyDescent="0.6">
      <c r="A3488" s="73">
        <v>3486</v>
      </c>
      <c r="B3488" s="94" t="str">
        <f>HYPERLINK("https://search.naver.com/search.naver?query=노웨어 영화", "노웨어")</f>
        <v>노웨어</v>
      </c>
      <c r="C3488" s="74">
        <v>8.6</v>
      </c>
      <c r="D3488" s="75" t="s">
        <v>3639</v>
      </c>
      <c r="E3488" s="73" t="s">
        <v>3638</v>
      </c>
      <c r="F3488" s="73">
        <v>2023</v>
      </c>
      <c r="G3488" s="73" t="s">
        <v>3489</v>
      </c>
      <c r="H3488" s="73" t="s">
        <v>3546</v>
      </c>
      <c r="I3488" s="73" t="s">
        <v>3491</v>
      </c>
      <c r="J3488" s="111">
        <v>46278</v>
      </c>
      <c r="K3488" s="76"/>
      <c r="L3488" s="76"/>
      <c r="M3488" s="76"/>
      <c r="N3488" s="76"/>
    </row>
    <row r="3489" spans="1:14" s="58" customFormat="1" ht="34.35" customHeight="1" x14ac:dyDescent="0.6">
      <c r="A3489" s="73">
        <v>3487</v>
      </c>
      <c r="B3489" s="94" t="str">
        <f>HYPERLINK("https://search.naver.com/search.naver?query=퓨즈 2025", "퓨즈")</f>
        <v>퓨즈</v>
      </c>
      <c r="C3489" s="74"/>
      <c r="D3489" s="75" t="s">
        <v>3640</v>
      </c>
      <c r="E3489" s="73" t="s">
        <v>3525</v>
      </c>
      <c r="F3489" s="73">
        <v>2025</v>
      </c>
      <c r="G3489" s="73" t="s">
        <v>3489</v>
      </c>
      <c r="H3489" s="73" t="s">
        <v>3592</v>
      </c>
      <c r="I3489" s="73" t="s">
        <v>3641</v>
      </c>
      <c r="J3489" s="111">
        <v>46278</v>
      </c>
      <c r="K3489" s="76"/>
      <c r="L3489" s="76"/>
      <c r="M3489" s="76"/>
      <c r="N3489" s="76"/>
    </row>
    <row r="3490" spans="1:14" ht="34.200000000000003" customHeight="1" x14ac:dyDescent="0.6">
      <c r="A3490" s="25">
        <v>3488</v>
      </c>
      <c r="B3490" s="92" t="str">
        <f>HYPERLINK("https://search.naver.com/search.naver?query=죄인 시즌1", "죄인 (The Sinner) 시즌1")</f>
        <v>죄인 (The Sinner) 시즌1</v>
      </c>
      <c r="C3490" s="72"/>
      <c r="D3490" s="32" t="s">
        <v>3642</v>
      </c>
      <c r="E3490" s="25" t="s">
        <v>3488</v>
      </c>
      <c r="F3490" s="25">
        <v>2017</v>
      </c>
      <c r="G3490" s="25" t="s">
        <v>3490</v>
      </c>
      <c r="H3490" s="25" t="s">
        <v>3643</v>
      </c>
      <c r="I3490" s="25" t="s">
        <v>3545</v>
      </c>
      <c r="J3490" s="110">
        <v>46279.541666666664</v>
      </c>
    </row>
    <row r="3491" spans="1:14" ht="34.200000000000003" customHeight="1" x14ac:dyDescent="0.6">
      <c r="A3491" s="25">
        <v>3489</v>
      </c>
      <c r="B3491" s="92" t="str">
        <f>HYPERLINK("https://search.naver.com/search.naver?query=죄인 시즌2", "죄인 (The Sinner) 시즌2")</f>
        <v>죄인 (The Sinner) 시즌2</v>
      </c>
      <c r="C3491" s="72"/>
      <c r="D3491" s="32" t="s">
        <v>3644</v>
      </c>
      <c r="E3491" s="25" t="s">
        <v>3488</v>
      </c>
      <c r="F3491" s="25">
        <v>2018</v>
      </c>
      <c r="G3491" s="25" t="s">
        <v>3490</v>
      </c>
      <c r="H3491" s="25" t="s">
        <v>3643</v>
      </c>
      <c r="I3491" s="25" t="s">
        <v>3545</v>
      </c>
      <c r="J3491" s="110">
        <v>46279.958333333336</v>
      </c>
    </row>
    <row r="3492" spans="1:14" ht="34.200000000000003" customHeight="1" x14ac:dyDescent="0.6">
      <c r="A3492" s="25">
        <v>3490</v>
      </c>
      <c r="B3492" s="92" t="str">
        <f>HYPERLINK("https://search.naver.com/search.naver?query=죄인 시즌4", "죄인 (The Sinner) 시즌4")</f>
        <v>죄인 (The Sinner) 시즌4</v>
      </c>
      <c r="C3492" s="72"/>
      <c r="D3492" s="32" t="s">
        <v>3645</v>
      </c>
      <c r="E3492" s="25" t="s">
        <v>3488</v>
      </c>
      <c r="F3492" s="25">
        <v>2021</v>
      </c>
      <c r="G3492" s="25" t="s">
        <v>3490</v>
      </c>
      <c r="H3492" s="25" t="s">
        <v>3643</v>
      </c>
      <c r="I3492" s="25" t="s">
        <v>3545</v>
      </c>
      <c r="J3492" s="110">
        <v>46280</v>
      </c>
    </row>
    <row r="3493" spans="1:14" s="58" customFormat="1" ht="34.35" customHeight="1" x14ac:dyDescent="0.6">
      <c r="A3493" s="25">
        <v>3491</v>
      </c>
      <c r="B3493" s="94" t="str">
        <f>HYPERLINK("https://search.naver.com/search.naver?query=데드 오브 윈터 영화", "데드 오브 윈터 (Dead of Winter) ")</f>
        <v xml:space="preserve">데드 오브 윈터 (Dead of Winter) </v>
      </c>
      <c r="C3493" s="74">
        <v>8.44</v>
      </c>
      <c r="D3493" s="75" t="s">
        <v>3646</v>
      </c>
      <c r="E3493" s="73" t="s">
        <v>3488</v>
      </c>
      <c r="F3493" s="73">
        <v>2025</v>
      </c>
      <c r="G3493" s="73" t="s">
        <v>3489</v>
      </c>
      <c r="H3493" s="73" t="s">
        <v>3592</v>
      </c>
      <c r="I3493" s="73" t="s">
        <v>3641</v>
      </c>
      <c r="J3493" s="111">
        <v>46281</v>
      </c>
      <c r="K3493" s="76"/>
      <c r="L3493" s="76"/>
      <c r="M3493" s="76"/>
      <c r="N3493" s="76"/>
    </row>
    <row r="3494" spans="1:14" ht="34.200000000000003" customHeight="1" x14ac:dyDescent="0.6">
      <c r="A3494" s="25">
        <v>3492</v>
      </c>
      <c r="B3494" s="92" t="str">
        <f>HYPERLINK("https://search.naver.com/search.naver?query=리처 시즌4", "리처 시즌4")</f>
        <v>리처 시즌4</v>
      </c>
      <c r="C3494" s="72"/>
      <c r="D3494" s="32" t="s">
        <v>3648</v>
      </c>
      <c r="E3494" s="25" t="s">
        <v>3488</v>
      </c>
      <c r="F3494" s="25">
        <v>2026</v>
      </c>
      <c r="G3494" s="25" t="s">
        <v>3490</v>
      </c>
      <c r="H3494" s="25" t="s">
        <v>3647</v>
      </c>
      <c r="I3494" s="25" t="s">
        <v>3545</v>
      </c>
      <c r="J3494" s="110">
        <v>46282</v>
      </c>
    </row>
    <row r="3495" spans="1:14" ht="34.200000000000003" customHeight="1" x14ac:dyDescent="0.6">
      <c r="A3495" s="25">
        <v>3493</v>
      </c>
      <c r="B3495" s="92" t="str">
        <f>HYPERLINK("https://search.naver.com/search.naver?where=m&amp;sm=mtb_etc&amp;mra=bjkw&amp;x_csa=%7B%22pkid%22%3A%2257%22%2C%22os%22%3A%226045562%22%7D&amp;pkid=57&amp;os=6045562&amp;query=%EB%8D%94%20%EB%B8%8C%EB%A0%88%EC%9D%B4%EB%B8%8C", "더 브레이브 (The Brave) 시즌1")</f>
        <v>더 브레이브 (The Brave) 시즌1</v>
      </c>
      <c r="C3495" s="72"/>
      <c r="D3495" s="32" t="s">
        <v>3649</v>
      </c>
      <c r="E3495" s="25" t="s">
        <v>3488</v>
      </c>
      <c r="F3495" s="25">
        <v>2017</v>
      </c>
      <c r="G3495" s="25" t="s">
        <v>3490</v>
      </c>
      <c r="H3495" s="25" t="s">
        <v>3650</v>
      </c>
      <c r="I3495" s="25" t="s">
        <v>3548</v>
      </c>
      <c r="J3495" s="110">
        <v>46287</v>
      </c>
    </row>
    <row r="3496" spans="1:14" ht="34.200000000000003" customHeight="1" x14ac:dyDescent="0.6">
      <c r="A3496" s="25">
        <v>3494</v>
      </c>
      <c r="B3496" s="92" t="str">
        <f>HYPERLINK("https://search.naver.com/search.naver?query=라이어니스 특수 작전팀 시즌3", "라이어니스 특수 작전팀 시즌3")</f>
        <v>라이어니스 특수 작전팀 시즌3</v>
      </c>
      <c r="C3496" s="72"/>
      <c r="D3496" s="32" t="s">
        <v>3656</v>
      </c>
      <c r="E3496" s="25" t="s">
        <v>3488</v>
      </c>
      <c r="F3496" s="25">
        <v>2026</v>
      </c>
      <c r="G3496" s="25" t="s">
        <v>3490</v>
      </c>
      <c r="H3496" s="25" t="s">
        <v>3655</v>
      </c>
      <c r="I3496" s="25" t="s">
        <v>3545</v>
      </c>
      <c r="J3496" s="110">
        <v>46288</v>
      </c>
    </row>
    <row r="3503" spans="1:14" ht="28.9" customHeight="1" x14ac:dyDescent="0.6">
      <c r="B3503" s="77" t="s">
        <v>3651</v>
      </c>
      <c r="D3503" s="43" t="s">
        <v>3652</v>
      </c>
      <c r="E3503" s="43" t="s">
        <v>20</v>
      </c>
      <c r="F3503" s="43">
        <v>2026</v>
      </c>
      <c r="G3503" s="43" t="s">
        <v>17</v>
      </c>
      <c r="H3503" s="78" t="s">
        <v>3653</v>
      </c>
      <c r="I3503" s="43" t="s">
        <v>3654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2026-09-23T07:51:18Z</dcterms:modified>
</cp:coreProperties>
</file>