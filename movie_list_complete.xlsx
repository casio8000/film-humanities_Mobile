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550FD846-891D-4B4C-99F6-5CE42937611D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3" i="1" l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<sst xmlns="http://schemas.openxmlformats.org/spreadsheetml/2006/main" count="23965" uniqueCount="4000">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</sst>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19"/>
    <xf numFmtId="0" fontId="3" fillId="0" borderId="19"/>
  </cellStyleXfs>
  <cellXfs count="146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27" fillId="2" borderId="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3" totalsRowShown="0" headerRowDxfId="14" dataDxfId="12" headerRowBorderDxfId="13" tableBorderDxfId="11">
  <autoFilter ref="A2:K3433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3"/>
  <sheetViews>
    <sheetView showGridLines="0" tabSelected="1" workbookViewId="0">
      <pane ySplit="2" topLeftCell="A3430" activePane="bottomLeft" state="frozen"/>
      <selection pane="bottomLeft" activeCell="C3440" sqref="C3440"/>
    </sheetView>
  </sheetViews>
  <sheetFormatPr defaultColWidth="9" defaultRowHeight="28.9" customHeight="1" x14ac:dyDescent="0.6"/>
  <cols>
    <col min="1" max="1" width="7" style="118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45" t="s">
        <v>3974</v>
      </c>
      <c r="B1" s="75"/>
      <c r="C1" s="76"/>
      <c r="D1" s="2"/>
      <c r="E1" s="123" t="s">
        <v>3490</v>
      </c>
      <c r="F1" s="124" t="s">
        <v>3491</v>
      </c>
      <c r="G1" s="125" t="s">
        <v>3969</v>
      </c>
      <c r="H1" s="120"/>
      <c r="I1" s="93"/>
      <c r="J1" s="121"/>
      <c r="K1" s="122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0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19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39">
        <v>774</v>
      </c>
      <c r="B776" s="140" t="str">
        <f>HYPERLINK("https://search.naver.com/search.naver?query=디피", "디피")</f>
        <v>디피</v>
      </c>
      <c r="C776" s="141"/>
      <c r="D776" s="142" t="s">
        <v>172</v>
      </c>
      <c r="E776" s="139" t="s">
        <v>11</v>
      </c>
      <c r="F776" s="139">
        <v>2021</v>
      </c>
      <c r="G776" s="139" t="s">
        <v>17</v>
      </c>
      <c r="H776" s="139" t="s">
        <v>968</v>
      </c>
      <c r="I776" s="139" t="s">
        <v>173</v>
      </c>
      <c r="J776" s="143" t="s">
        <v>3439</v>
      </c>
      <c r="K776" s="144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2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27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26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27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26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28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28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28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28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28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26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27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28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27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28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28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28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28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28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28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26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28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26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27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26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27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26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27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26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27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26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27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26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28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28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28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28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28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28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28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28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27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26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27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26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27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26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27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26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27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26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27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26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27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26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27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26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27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26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27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26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27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26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27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26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27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26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27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26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27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26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27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26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27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26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27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26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28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26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27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26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27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26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27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26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27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26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27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26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27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26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27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26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27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26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27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26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28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28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27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26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27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26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27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26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27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26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27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26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27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28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28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28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28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28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28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26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27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26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27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26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28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26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27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26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27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26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27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26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27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26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27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26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27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26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27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26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27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26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27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26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27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26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27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26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27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26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27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26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27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26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27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26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27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26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27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26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27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26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27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26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27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26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27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26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27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26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28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26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28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26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27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26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27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26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29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26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27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26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27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26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28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26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27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26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28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27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26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27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28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27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26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28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26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27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26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27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26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27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26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27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26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27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26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27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26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27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26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27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26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27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26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27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28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28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26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27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26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27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26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27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26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27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26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27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26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1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1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1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3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4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35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36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37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38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6">
      <c r="A3426" s="44">
        <v>3424</v>
      </c>
      <c r="B3426" s="134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x14ac:dyDescent="0.6">
      <c r="A3427" s="43">
        <v>3425</v>
      </c>
      <c r="B3427" s="136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s="93" customFormat="1" ht="34.35" customHeight="1" x14ac:dyDescent="0.6">
      <c r="A3428" s="109">
        <v>3426</v>
      </c>
      <c r="B3428" s="138" t="str">
        <f>HYPERLINK("https://search.naver.com/search.naver?query=왕과 사는 남자 영화", "왕과 사는 남자")</f>
        <v>왕과 사는 남자</v>
      </c>
      <c r="C3428" s="110">
        <v>8.8699999999999992</v>
      </c>
      <c r="D3428" s="111" t="s">
        <v>3989</v>
      </c>
      <c r="E3428" s="109" t="s">
        <v>3988</v>
      </c>
      <c r="F3428" s="109">
        <v>2026</v>
      </c>
      <c r="G3428" s="109" t="s">
        <v>3490</v>
      </c>
      <c r="H3428" s="109" t="s">
        <v>3491</v>
      </c>
      <c r="I3428" s="109" t="s">
        <v>3990</v>
      </c>
      <c r="J3428" s="113">
        <v>46144</v>
      </c>
      <c r="K3428" s="112"/>
      <c r="L3428" s="114"/>
      <c r="M3428" s="114"/>
      <c r="N3428" s="114"/>
      <c r="O3428" s="114"/>
    </row>
    <row r="3429" spans="1:15" ht="34.35" customHeight="1" x14ac:dyDescent="0.6">
      <c r="A3429" s="43">
        <v>3427</v>
      </c>
      <c r="B3429" s="136" t="str">
        <f>HYPERLINK("https://search.naver.com/search.naver?query=더 매디슨 시즌1", "더 매디슨 시즌1")</f>
        <v>더 매디슨 시즌1</v>
      </c>
      <c r="C3429" s="108"/>
      <c r="D3429" s="50" t="s">
        <v>3992</v>
      </c>
      <c r="E3429" s="43" t="s">
        <v>3489</v>
      </c>
      <c r="F3429" s="43">
        <v>2026</v>
      </c>
      <c r="G3429" s="43" t="s">
        <v>3491</v>
      </c>
      <c r="H3429" s="43" t="s">
        <v>3491</v>
      </c>
      <c r="I3429" s="43" t="s">
        <v>3991</v>
      </c>
      <c r="J3429" s="69">
        <v>46160</v>
      </c>
      <c r="K3429" s="61"/>
    </row>
    <row r="3430" spans="1:15" ht="34.35" customHeight="1" x14ac:dyDescent="0.6">
      <c r="A3430" s="43">
        <v>3428</v>
      </c>
      <c r="B3430" s="136" t="str">
        <f>HYPERLINK("https://www.themoviedb.org/tv/289560-cia?language=ko-KR=CIA 시즌1", "CIA 시즌1")</f>
        <v>CIA 시즌1</v>
      </c>
      <c r="C3430" s="108"/>
      <c r="D3430" s="50" t="s">
        <v>3995</v>
      </c>
      <c r="E3430" s="43" t="s">
        <v>3489</v>
      </c>
      <c r="F3430" s="43">
        <v>2026</v>
      </c>
      <c r="G3430" s="43" t="s">
        <v>3491</v>
      </c>
      <c r="H3430" s="43" t="s">
        <v>3994</v>
      </c>
      <c r="I3430" s="43" t="s">
        <v>3993</v>
      </c>
      <c r="J3430" s="69">
        <v>46192</v>
      </c>
      <c r="K3430" s="61"/>
    </row>
    <row r="3431" spans="1:15" ht="34.35" customHeight="1" x14ac:dyDescent="0.6">
      <c r="A3431" s="43">
        <v>3429</v>
      </c>
      <c r="B3431" s="136" t="str">
        <f>HYPERLINK("https://www.themoviedb.org/tv/120911-the-terminal-list=터미널 리스트 시즌 1", "터미널 리스트 시즌 1")</f>
        <v>터미널 리스트 시즌 1</v>
      </c>
      <c r="C3431" s="108"/>
      <c r="D3431" s="50" t="s">
        <v>3996</v>
      </c>
      <c r="E3431" s="43" t="s">
        <v>3489</v>
      </c>
      <c r="F3431" s="43">
        <v>2022</v>
      </c>
      <c r="G3431" s="43" t="s">
        <v>3491</v>
      </c>
      <c r="H3431" s="43" t="s">
        <v>3994</v>
      </c>
      <c r="I3431" s="43" t="s">
        <v>3997</v>
      </c>
      <c r="J3431" s="69">
        <v>46195</v>
      </c>
      <c r="K3431" s="61"/>
    </row>
    <row r="3432" spans="1:15" ht="34.35" customHeight="1" x14ac:dyDescent="0.6">
      <c r="A3432" s="43">
        <v>3430</v>
      </c>
      <c r="B3432" s="136" t="str">
        <f>HYPERLINK("https://search.naver.com/search.naver?query=나이트 에이전트 시즌2", "나이트 에이전트 시즌 2")</f>
        <v>나이트 에이전트 시즌 2</v>
      </c>
      <c r="C3432" s="108"/>
      <c r="D3432" s="50" t="s">
        <v>3999</v>
      </c>
      <c r="E3432" s="43" t="s">
        <v>3489</v>
      </c>
      <c r="F3432" s="43">
        <v>2025</v>
      </c>
      <c r="G3432" s="43" t="s">
        <v>3491</v>
      </c>
      <c r="H3432" s="43" t="s">
        <v>3998</v>
      </c>
      <c r="I3432" s="43" t="s">
        <v>3986</v>
      </c>
      <c r="J3432" s="69">
        <v>46198</v>
      </c>
      <c r="K3432" s="61"/>
    </row>
    <row r="3433" spans="1:15" ht="34.35" customHeight="1" x14ac:dyDescent="0.6">
      <c r="A3433" s="43">
        <v>3431</v>
      </c>
      <c r="B3433" s="136" t="str">
        <f>HYPERLINK("https://search.naver.com/search.naver?query=나이트 에이전트 시즌3", "나이트 에이전트 시즌 3")</f>
        <v>나이트 에이전트 시즌 3</v>
      </c>
      <c r="C3433" s="108"/>
      <c r="D3433" s="50" t="s">
        <v>3999</v>
      </c>
      <c r="E3433" s="43" t="s">
        <v>3489</v>
      </c>
      <c r="F3433" s="43">
        <v>2026</v>
      </c>
      <c r="G3433" s="43" t="s">
        <v>3491</v>
      </c>
      <c r="H3433" s="43" t="s">
        <v>3998</v>
      </c>
      <c r="I3433" s="43" t="s">
        <v>3986</v>
      </c>
      <c r="J3433" s="69">
        <v>46200</v>
      </c>
      <c r="K3433" s="61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2026-06-27T05:13:33Z</dcterms:modified>
</cp:coreProperties>
</file>