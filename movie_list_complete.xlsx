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A5EB8928-D8A3-4A80-853E-A7424097775E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502" i="1" l="1"/>
  <c r="B3501" i="1"/>
  <c r="B3500" i="1"/>
  <c r="B3499" i="1"/>
  <c r="B3498" i="1"/>
  <c r="B3497" i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<sst xmlns="http://schemas.openxmlformats.org/spreadsheetml/2006/main" count="20884" uniqueCount="3666">
  <si>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</si>
  <si>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</si>
  <si>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</si>
  <si>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</si>
  <si>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</si>
  <si>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</si>
  <si>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</si>
  <si>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</si>
  <si>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</si>
  <si>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</si>
  <si>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</si>
  <si>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</si>
  <si>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</si>
  <si>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</si>
  <si>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</si>
  <si>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</si>
  <si>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</si>
  <si>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</si>
  <si>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</si>
  <si>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</si>
  <si>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</si>
  <si>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</si>
  <si>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</si>
  <si>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</si>
  <si>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</si>
  <si>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</si>
  <si>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</si>
  <si>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</si>
  <si>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</si>
  <si>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</si>
  <si>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</si>
  <si>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</si>
  <si>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</si>
  <si>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</si>
  <si>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</si>
  <si>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</si>
  <si>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</si>
  <si>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</si>
  <si>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</si>
  <si>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</si>
  <si>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</si>
  <si>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</si>
  <si>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</si>
  <si>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</si>
  <si>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</si>
  <si>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</si>
  <si>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</si>
  <si>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</si>
  <si>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</si>
  <si>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</si>
  <si>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</si>
  <si>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</si>
  <si>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</si>
  <si>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</si>
  <si>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</si>
  <si>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</si>
  <si>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</si>
  <si>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</si>
  <si>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</si>
  <si>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</si>
  <si>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</si>
  <si>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</si>
  <si>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</si>
  <si>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</si>
  <si>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</si>
  <si>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</si>
  <si>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</si>
  <si>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</si>
  <si>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</si>
  <si>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</si>
  <si>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</si>
  <si>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</si>
  <si>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</si>
  <si>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</si>
  <si>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</si>
  <si>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</si>
  <si>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</si>
  <si>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</si>
  <si>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</si>
  <si>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</si>
  <si>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</si>
  <si>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</si>
  <si>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</si>
  <si>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</si>
  <si>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</si>
  <si>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</si>
  <si>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</si>
  <si>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</si>
  <si>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</si>
  <si>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</si>
  <si>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</si>
  <si>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</si>
  <si>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</si>
  <si>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</si>
  <si>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</si>
  <si>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</si>
  <si>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</si>
  <si>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</si>
  <si>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</si>
  <si>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</si>
  <si>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</si>
  <si>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</si>
  <si>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</si>
  <si>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</si>
  <si>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</si>
  <si>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</si>
  <si>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</si>
  <si>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</si>
  <si>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</si>
  <si>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</si>
  <si>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</si>
  <si>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</si>
  <si>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</si>
  <si>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</si>
  <si>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</si>
  <si>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</si>
  <si>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</si>
  <si>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</si>
  <si>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</si>
  <si>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</si>
  <si>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</si>
  <si>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</si>
  <si>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</si>
  <si>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</si>
  <si>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</si>
  <si>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</si>
  <si>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</si>
  <si>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</si>
  <si>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</si>
  <si>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</si>
  <si>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</si>
  <si>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</si>
  <si>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</si>
  <si>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</si>
  <si>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</si>
  <si>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</si>
  <si>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</si>
  <si>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</si>
  <si>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</si>
  <si>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</si>
  <si>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</si>
  <si>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</si>
  <si>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</si>
  <si>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</si>
  <si>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</si>
  <si>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</si>
  <si>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</si>
  <si>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</si>
  <si>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</si>
  <si>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</si>
  <si>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</si>
  <si>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</si>
  <si>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</si>
  <si>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</si>
  <si>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</si>
  <si>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</si>
  <si>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</si>
  <si>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</si>
  <si>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</si>
  <si>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</si>
  <si>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</si>
  <si>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</si>
  <si>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</si>
  <si>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</si>
  <si>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</si>
  <si>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</si>
  <si>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</si>
  <si>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</si>
  <si>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</si>
  <si>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</si>
  <si>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</si>
  <si>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</si>
  <si>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</si>
  <si>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</si>
  <si>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</si>
  <si>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</si>
  <si>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</si>
  <si>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</si>
  <si>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</si>
  <si>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</si>
  <si>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</si>
  <si>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</si>
  <si>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</si>
  <si>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</si>
  <si>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</si>
  <si>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</si>
  <si>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</si>
  <si>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</si>
  <si>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</si>
  <si>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</si>
  <si>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</si>
  <si>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</si>
  <si>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</si>
  <si>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</si>
  <si>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</si>
  <si>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</si>
  <si>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</si>
  <si>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</si>
  <si>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</si>
  <si>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</si>
  <si>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</si>
  <si>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</si>
  <si>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</si>
  <si>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</si>
  <si>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</si>
  <si>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</si>
  <si>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</si>
  <si>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</si>
  <si>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</si>
  <si>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</si>
  <si>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</si>
  <si>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</si>
  <si>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</si>
  <si>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</si>
  <si>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</si>
  <si>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</si>
  <si>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</si>
  <si>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</si>
  <si>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</si>
  <si>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</si>
  <si>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</si>
  <si>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</si>
  <si>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</si>
  <si>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</si>
  <si>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</si>
  <si>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</si>
  <si>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</si>
  <si>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</si>
  <si>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</si>
  <si>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</si>
  <si>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</si>
  <si>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</si>
  <si>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</si>
  <si>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</si>
  <si>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</si>
  <si>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</si>
  <si>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</si>
  <si>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</si>
  <si>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</si>
  <si>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</si>
  <si>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</si>
  <si>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</si>
  <si>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</si>
  <si>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</si>
  <si>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</si>
  <si>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</si>
  <si>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</si>
  <si>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</si>
  <si>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</si>
  <si>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</si>
  <si>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</si>
  <si>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</si>
  <si>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</si>
  <si>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</si>
  <si>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</si>
  <si>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</si>
  <si>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</si>
  <si>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</si>
  <si>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</si>
  <si>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</si>
  <si>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</si>
  <si>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</si>
  <si>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</si>
  <si>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</si>
  <si>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</si>
  <si>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</si>
  <si>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</si>
  <si>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</si>
  <si>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</si>
  <si>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</si>
  <si>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</si>
  <si>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</si>
  <si>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</si>
  <si>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</si>
  <si>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</si>
  <si>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</si>
  <si>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</si>
  <si>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</si>
  <si>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</si>
  <si>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</si>
  <si>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</si>
  <si>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</si>
  <si>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</si>
  <si>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</si>
  <si>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</si>
  <si>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</si>
  <si>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</si>
  <si>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</si>
  <si>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</si>
  <si>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</si>
  <si>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</si>
  <si>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</si>
  <si>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</si>
  <si>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</si>
  <si>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</si>
  <si>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</si>
  <si>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</si>
  <si>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</si>
  <si>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</si>
  <si>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</si>
  <si>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</si>
  <si>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</si>
  <si>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</si>
  <si>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</si>
  <si>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</si>
  <si>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</si>
  <si>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</si>
  <si>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</si>
  <si>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</si>
  <si>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</si>
  <si>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</si>
  <si>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</si>
  <si>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</si>
  <si>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</si>
  <si>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</si>
  <si>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</si>
  <si>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</si>
  <si>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</si>
  <si>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</si>
  <si>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</si>
  <si>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</si>
  <si>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</si>
  <si>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</si>
  <si>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</si>
  <si>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</si>
  <si>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</si>
  <si>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</si>
  <si>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</si>
  <si>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</si>
  <si>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</si>
  <si>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</si>
  <si>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</si>
  <si>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</si>
  <si>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</si>
  <si>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</si>
  <si>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</si>
  <si>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</si>
  <si>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</si>
  <si>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</si>
  <si>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</si>
  <si>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</si>
  <si>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</si>
  <si>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</si>
  <si>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</si>
  <si>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</si>
  <si>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</si>
  <si>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</si>
  <si>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</si>
  <si>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</si>
  <si>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</si>
  <si>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</si>
  <si>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</si>
  <si>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</si>
  <si>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</si>
  <si>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</si>
  <si>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</si>
  <si>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</si>
  <si>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</si>
  <si>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</si>
  <si>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</si>
  <si>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</si>
  <si>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</si>
  <si>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</si>
  <si>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</si>
  <si>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</si>
  <si>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</si>
  <si>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</si>
  <si>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</si>
  <si>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</si>
  <si>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</si>
  <si>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</si>
  <si>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</si>
  <si>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</si>
  <si>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</si>
  <si>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</si>
  <si>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</si>
  <si>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</si>
  <si>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</si>
  <si>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</si>
  <si>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</si>
  <si>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</si>
  <si>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</si>
  <si>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</si>
  <si>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</si>
  <si>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</si>
  <si>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</si>
  <si>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</si>
  <si>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</si>
  <si>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</si>
  <si>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</si>
  <si>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</si>
  <si>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</si>
  <si>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</si>
  <si>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</si>
  <si>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</si>
  <si>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</si>
  <si>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</si>
  <si>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</si>
  <si>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</si>
  <si>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</si>
  <si>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</si>
  <si>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</si>
  <si>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</si>
  <si>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</si>
  <si>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</si>
  <si>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</si>
  <si>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</si>
  <si>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</si>
  <si>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</si>
  <si>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</si>
  <si>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</si>
  <si>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</si>
  <si>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</si>
  <si>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</si>
  <si>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</si>
  <si>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</si>
  <si>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</si>
  <si>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</si>
  <si>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</si>
  <si>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</si>
  <si>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</si>
  <si>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</si>
  <si>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</si>
  <si>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</si>
  <si>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</si>
  <si>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</si>
  <si>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</si>
  <si>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</si>
  <si>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</si>
  <si>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</si>
  <si>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</si>
  <si>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</si>
  <si>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</si>
  <si>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</si>
  <si>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</si>
  <si>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</si>
  <si>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</si>
  <si>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</si>
  <si>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</si>
  <si>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</si>
  <si>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</si>
  <si>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</si>
  <si>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</si>
  <si>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</si>
  <si>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</si>
  <si>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</si>
  <si>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</si>
  <si>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</si>
  <si>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</si>
  <si>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</si>
  <si>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</si>
  <si>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</si>
  <si>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</si>
  <si>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</si>
  <si>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</si>
  <si>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</si>
  <si>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</si>
  <si>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</si>
  <si>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</si>
  <si>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</si>
  <si>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</si>
  <si>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</si>
  <si>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</si>
  <si>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</si>
  <si>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</si>
  <si>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</si>
  <si>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</si>
  <si>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</si>
  <si>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</si>
  <si>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</si>
  <si>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</si>
  <si>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</si>
  <si>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</si>
  <si>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</si>
  <si>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</si>
  <si>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</si>
  <si>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</si>
  <si>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</si>
  <si>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</si>
  <si>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</si>
  <si>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</si>
  <si>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</si>
  <si>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</si>
  <si>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</si>
  <si>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</si>
  <si>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</si>
  <si>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</si>
  <si>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</si>
  <si>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</si>
  <si>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</si>
  <si>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</si>
  <si>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</si>
  <si>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</si>
  <si>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</si>
  <si>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</si>
  <si>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</si>
  <si>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</si>
  <si>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</si>
  <si>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</si>
  <si>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</si>
  <si>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</si>
  <si>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</si>
  <si>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</si>
  <si>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</si>
  <si>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</si>
  <si>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</si>
  <si>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</si>
  <si>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</si>
  <si>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</si>
  <si>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</si>
  <si>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</si>
  <si>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</si>
  <si>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</si>
  <si>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</si>
  <si>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</si>
  <si>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</si>
  <si>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</si>
  <si>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</si>
  <si>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</si>
  <si>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</si>
  <si>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</si>
  <si>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</si>
  <si>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</si>
  <si>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</si>
  <si>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</si>
  <si>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</si>
  <si>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</si>
  <si>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</si>
  <si>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</si>
  <si>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</si>
  <si>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</si>
  <si>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</si>
  <si>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</si>
  <si>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</si>
  <si>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</si>
  <si>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</si>
  <si>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</si>
  <si>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</si>
  <si>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</si>
  <si>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</si>
  <si>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</si>
  <si>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</si>
  <si>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</si>
  <si>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</si>
  <si>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</si>
  <si>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</si>
  <si>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</si>
  <si>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</si>
  <si>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</si>
  <si>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</si>
  <si>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</si>
  <si>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</si>
  <si>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</si>
  <si>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</si>
  <si>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</si>
  <si>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</si>
  <si>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</si>
  <si>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</si>
  <si>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</si>
  <si>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</si>
  <si>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</si>
  <si>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</si>
  <si>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</si>
  <si>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</si>
  <si>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</si>
  <si>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</si>
  <si>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</si>
  <si>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</si>
  <si>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</si>
  <si>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</si>
  <si>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</si>
  <si>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</si>
  <si>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</si>
  <si>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</si>
  <si>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</si>
  <si>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</si>
  <si>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</si>
  <si>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</si>
  <si>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</si>
  <si>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</si>
  <si>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</si>
  <si>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</si>
  <si>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</si>
  <si>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</si>
  <si>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</si>
  <si>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</si>
  <si>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</si>
  <si>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</si>
  <si>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</si>
  <si>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</si>
  <si>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</si>
  <si>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</si>
  <si>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</si>
  <si>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</si>
  <si>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</si>
  <si>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</si>
  <si>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</si>
  <si>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</si>
  <si>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</si>
  <si>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</si>
  <si>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</si>
  <si>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</si>
  <si>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</si>
  <si>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</si>
  <si>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</si>
  <si>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</si>
  <si>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</si>
  <si>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</si>
  <si>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</si>
  <si>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</si>
  <si>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</si>
  <si>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</si>
  <si>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</si>
  <si>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</si>
  <si>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</si>
  <si>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</si>
  <si>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</si>
  <si>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</si>
  <si>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</si>
  <si>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</si>
  <si>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</si>
  <si>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</si>
  <si>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</si>
  <si>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</si>
  <si>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</si>
  <si>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</si>
  <si>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</si>
  <si>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</si>
  <si>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</si>
  <si>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</si>
  <si>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</si>
  <si>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</si>
  <si>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</si>
  <si>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</si>
  <si>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</si>
  <si>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</si>
  <si>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</si>
  <si>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</si>
  <si>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</si>
  <si>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</si>
  <si>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</si>
  <si>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</si>
  <si>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</si>
  <si>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</si>
  <si>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</si>
  <si>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</si>
  <si>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</si>
  <si>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</si>
  <si>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</si>
  <si>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</si>
  <si>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</si>
  <si>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</si>
  <si>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</si>
  <si>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</si>
  <si>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</si>
  <si>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</si>
  <si>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</si>
  <si>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</si>
  <si>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</si>
  <si>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</si>
  <si>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</si>
  <si>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</si>
  <si>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</si>
  <si>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</si>
  <si>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</si>
  <si>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</si>
  <si>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</si>
  <si>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</si>
  <si>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</si>
  <si>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</si>
  <si>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</si>
  <si>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</si>
  <si>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</si>
  <si>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</si>
  <si>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</si>
  <si>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</si>
  <si>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</si>
  <si>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</si>
  <si>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</si>
  <si>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</si>
  <si>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</si>
  <si>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</si>
  <si>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</si>
  <si>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</si>
  <si>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</si>
  <si>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</si>
  <si>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</si>
  <si>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</si>
  <si>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</si>
  <si>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</si>
  <si>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</si>
  <si>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</si>
  <si>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</si>
  <si>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</si>
  <si>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</si>
  <si>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</si>
  <si>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</si>
  <si>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</si>
  <si>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</si>
  <si>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</si>
  <si>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</si>
  <si>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</si>
  <si>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</si>
  <si>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</si>
  <si>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</si>
  <si>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</si>
  <si>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</si>
  <si>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</si>
  <si>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</si>
  <si>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</si>
  <si>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</si>
  <si>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</si>
  <si>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</si>
  <si>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</si>
  <si>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</si>
  <si>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</si>
  <si>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</si>
  <si>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</si>
  <si>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</si>
  <si>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</si>
  <si>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</si>
  <si>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</si>
  <si>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</si>
  <si>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</si>
  <si>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</si>
  <si>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</si>
  <si>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</si>
  <si>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</si>
  <si>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</si>
  <si>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</si>
  <si>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</si>
  <si>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</si>
  <si>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</si>
  <si>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</si>
  <si>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</si>
  <si>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</si>
  <si>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</si>
  <si>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</si>
  <si>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</si>
  <si>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</si>
  <si>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</si>
  <si>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</si>
  <si>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</si>
  <si>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</si>
  <si>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</si>
  <si>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</si>
  <si>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</si>
  <si>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</si>
  <si>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</si>
  <si>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</si>
  <si>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</si>
  <si>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</si>
  <si>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</si>
  <si>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</si>
  <si>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</si>
  <si>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</si>
  <si>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</si>
  <si>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</si>
  <si>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</si>
  <si>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</si>
  <si>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</si>
  <si>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</si>
  <si>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</si>
  <si>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</si>
  <si>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</si>
  <si>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</si>
  <si>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</si>
  <si>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</si>
  <si>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</si>
  <si>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</si>
  <si>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</si>
  <si>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</si>
  <si>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</si>
  <si>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</si>
  <si>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</si>
  <si>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</si>
  <si>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</si>
  <si>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</si>
  <si>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</si>
  <si>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</si>
  <si>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</si>
  <si>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</si>
  <si>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</si>
  <si>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</si>
  <si>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</si>
  <si>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</si>
  <si>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</si>
  <si>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</si>
  <si>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</si>
  <si>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</si>
  <si>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</si>
  <si>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</si>
  <si>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</si>
  <si>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</si>
  <si>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</si>
  <si>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</si>
  <si>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</si>
  <si>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</si>
  <si>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</si>
  <si>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</si>
  <si>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</si>
  <si>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</si>
  <si>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</si>
  <si>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</si>
  <si>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</si>
  <si>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</si>
  <si>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</si>
  <si>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</si>
  <si>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</si>
  <si>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</si>
  <si>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</si>
  <si>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</si>
  <si>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</si>
  <si>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</si>
  <si>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</si>
  <si>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</si>
  <si>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</si>
  <si>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</si>
  <si>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</si>
  <si>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</si>
  <si>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</si>
  <si>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</si>
  <si>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</si>
  <si>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</si>
  <si>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</si>
  <si>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</si>
  <si>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</si>
  <si>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</si>
  <si>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</si>
  <si>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</si>
  <si>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</si>
  <si>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</si>
  <si>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</si>
  <si>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</si>
  <si>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</si>
  <si>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</si>
  <si>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</si>
  <si>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</si>
  <si>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</si>
  <si>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</si>
  <si>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</si>
  <si>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</si>
  <si>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</si>
  <si>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</si>
  <si>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</si>
  <si>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</si>
  <si>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</si>
  <si>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</si>
  <si>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</si>
  <si>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</si>
  <si>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</si>
  <si>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</si>
  <si>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</si>
  <si>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</si>
  <si>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</si>
  <si>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</si>
  <si>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</si>
  <si>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</si>
  <si>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</si>
  <si>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</si>
  <si>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</si>
  <si>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</si>
  <si>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</si>
  <si>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</si>
  <si>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</si>
  <si>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</si>
  <si>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</si>
  <si>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</si>
  <si>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</si>
  <si>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</si>
  <si>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</si>
  <si>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</si>
  <si>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</si>
  <si>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</si>
  <si>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</si>
  <si>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</si>
  <si>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</si>
  <si>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</si>
  <si>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</si>
  <si>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</si>
  <si>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</si>
  <si>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</si>
  <si>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</si>
  <si>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</si>
  <si>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</si>
  <si>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</si>
  <si>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</si>
  <si>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</si>
  <si>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</si>
  <si>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</si>
  <si>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</si>
  <si>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</si>
  <si>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</si>
  <si>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</si>
  <si>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</si>
  <si>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</si>
  <si>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</si>
  <si>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</si>
  <si>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</si>
  <si>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</si>
  <si>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</si>
  <si>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</si>
  <si>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</si>
  <si>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</si>
  <si>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</si>
  <si>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</si>
  <si>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</si>
  <si>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</si>
  <si>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</si>
  <si>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</si>
  <si>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</si>
  <si>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</si>
  <si>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</si>
  <si>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</si>
  <si>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</si>
  <si>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</si>
  <si>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</si>
  <si>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</si>
  <si>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</si>
  <si>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</si>
  <si>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</si>
  <si>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</si>
  <si>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</si>
  <si>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</si>
  <si>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</si>
  <si>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</si>
  <si>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</si>
  <si>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</si>
  <si>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</si>
  <si>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</si>
  <si>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</si>
  <si>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</si>
  <si>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</si>
  <si>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</si>
  <si>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</si>
  <si>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</si>
  <si>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</si>
  <si>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</si>
  <si>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</si>
  <si>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</si>
  <si>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</si>
  <si>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</si>
  <si>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</si>
  <si>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</si>
  <si>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</si>
  <si>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</si>
  <si>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</si>
  <si>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</si>
  <si>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</si>
  <si>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</si>
  <si>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</si>
  <si>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</si>
  <si>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</si>
  <si>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</si>
  <si>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</si>
  <si>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</si>
  <si>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</si>
  <si>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</si>
  <si>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</si>
  <si>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</si>
  <si>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</si>
  <si>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</si>
  <si>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</si>
  <si>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</si>
  <si>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</si>
  <si>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</si>
  <si>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</si>
  <si>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</si>
  <si>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</si>
  <si>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</si>
  <si>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</si>
  <si>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</si>
  <si>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</si>
  <si>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</si>
  <si>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</si>
  <si>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</si>
  <si>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</si>
  <si>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</si>
  <si>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</si>
  <si>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</si>
  <si>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</si>
  <si>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</si>
  <si>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</si>
  <si>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</si>
  <si>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</si>
  <si>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</si>
  <si>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</si>
  <si>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</si>
  <si>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</si>
  <si>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</si>
  <si>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</si>
  <si>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</si>
  <si>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</si>
  <si>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</si>
  <si>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</si>
  <si>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</si>
  <si>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</si>
  <si>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</si>
  <si>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</si>
  <si>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</si>
  <si>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</si>
  <si>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</si>
  <si>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</si>
  <si>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</si>
  <si>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</si>
  <si>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</si>
  <si>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</si>
  <si>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</si>
  <si>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</si>
  <si>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</si>
  <si>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</si>
  <si>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</si>
  <si>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</si>
  <si>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</si>
  <si>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</si>
  <si>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</si>
  <si>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</si>
  <si>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</si>
  <si>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</si>
  <si>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</si>
  <si>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</si>
  <si>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</si>
  <si>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</si>
  <si>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</si>
  <si>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</si>
  <si>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</si>
  <si>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</si>
  <si>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</si>
  <si>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</si>
  <si>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</si>
  <si>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</si>
  <si>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</si>
  <si>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</si>
  <si>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</si>
  <si>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</si>
  <si>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</si>
  <si>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</si>
  <si>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</si>
  <si>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</si>
  <si>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</si>
  <si>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</si>
  <si>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</si>
  <si>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</si>
  <si>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</si>
  <si>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</si>
  <si>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</si>
  <si>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</si>
  <si>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</si>
  <si>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</si>
  <si>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</si>
  <si>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</si>
  <si>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</si>
  <si>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</si>
  <si>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</si>
  <si>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</si>
  <si>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</si>
  <si>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</si>
  <si>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</si>
  <si>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</si>
  <si>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</si>
  <si>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</si>
  <si>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</si>
  <si>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</si>
  <si>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</si>
  <si>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</si>
  <si>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</si>
  <si>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</si>
  <si>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</si>
  <si>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</si>
  <si>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</si>
  <si>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</si>
  <si>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</si>
  <si>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</si>
  <si>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</si>
  <si>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</si>
  <si>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</si>
  <si>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</si>
  <si>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</si>
  <si>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</si>
  <si>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</si>
  <si>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</si>
  <si>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</si>
  <si>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</si>
  <si>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</si>
  <si>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</si>
  <si>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</si>
  <si>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</si>
  <si>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</si>
  <si>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</si>
  <si>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</si>
  <si>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</si>
  <si>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</si>
  <si>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</si>
  <si>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</si>
  <si>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</si>
  <si>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</si>
  <si>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</si>
  <si>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</si>
  <si>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</si>
  <si>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</si>
  <si>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</si>
  <si>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</si>
  <si>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</si>
  <si>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</si>
  <si>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</si>
  <si>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</si>
  <si>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</si>
  <si>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</si>
  <si>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</si>
  <si>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</si>
  <si>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</si>
  <si>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</si>
  <si>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</si>
  <si>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</si>
  <si>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</si>
  <si>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</si>
  <si>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</si>
  <si>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</si>
  <si>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</si>
  <si>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</si>
  <si>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</si>
  <si>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</si>
  <si>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</si>
  <si>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</si>
  <si>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</si>
  <si>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</si>
  <si>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</si>
  <si>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</si>
  <si>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</si>
  <si>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</si>
  <si>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</si>
  <si>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</si>
  <si>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</si>
  <si>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</si>
  <si>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</si>
  <si>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</si>
  <si>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</si>
  <si>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</si>
  <si>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</si>
  <si>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</si>
  <si>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</si>
  <si>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</si>
  <si>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</si>
  <si>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</si>
  <si>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</si>
  <si>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</si>
  <si>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</si>
  <si>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</si>
  <si>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</si>
  <si>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</si>
  <si>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</si>
  <si>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</si>
  <si>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</si>
  <si>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</si>
  <si>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</si>
  <si>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</si>
  <si>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</si>
  <si>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</si>
  <si>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</si>
  <si>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</si>
  <si>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</si>
  <si>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</si>
  <si>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</si>
  <si>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</si>
  <si>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</si>
  <si>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</si>
  <si>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</si>
  <si>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</si>
  <si>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</si>
  <si>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</si>
  <si>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</si>
  <si>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</si>
  <si>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</si>
  <si>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</si>
  <si>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</si>
  <si>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</si>
  <si>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</si>
  <si>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</si>
  <si>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</si>
  <si>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</si>
  <si>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</si>
  <si>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</si>
  <si>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</si>
  <si>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</si>
  <si>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</si>
  <si>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</si>
  <si>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</si>
  <si>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</si>
  <si>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</si>
  <si>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</si>
  <si>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</si>
  <si>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</si>
  <si>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</si>
  <si>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</si>
  <si>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</si>
  <si>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</si>
  <si>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</si>
  <si>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</si>
  <si>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</si>
  <si>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</si>
  <si>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</si>
  <si>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</si>
  <si>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</si>
  <si>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</si>
  <si>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</si>
  <si>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</si>
  <si>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</si>
  <si>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</si>
  <si>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</si>
  <si>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</si>
  <si>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</si>
  <si>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</si>
  <si>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</si>
  <si>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</si>
  <si>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</si>
  <si>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</si>
  <si>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</si>
  <si>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</si>
  <si>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</si>
  <si>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</si>
  <si>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</si>
  <si>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</si>
  <si>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</si>
  <si>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</si>
  <si>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</si>
  <si>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</si>
  <si>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</si>
  <si>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</si>
  <si>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</si>
  <si>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</si>
  <si>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</si>
  <si>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</si>
  <si>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</si>
  <si>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</si>
  <si>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</si>
  <si>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</si>
  <si>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</si>
  <si>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</si>
  <si>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</si>
  <si>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</si>
  <si>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</si>
  <si>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</si>
  <si>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</si>
  <si>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</si>
  <si>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</si>
  <si>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</si>
  <si>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</si>
  <si>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</si>
  <si>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</si>
  <si>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</si>
  <si>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</si>
  <si>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</si>
  <si>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</si>
  <si>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</si>
  <si>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</si>
  <si>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</si>
  <si>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</si>
  <si>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</si>
  <si>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</si>
  <si>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</si>
  <si>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</si>
  <si>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</si>
  <si>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</si>
  <si>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</si>
  <si>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</si>
  <si>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</si>
  <si>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</si>
  <si>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</si>
  <si>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</si>
  <si>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</si>
  <si>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</si>
  <si>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</si>
  <si>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</si>
  <si>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</si>
  <si>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</si>
  <si>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</si>
  <si>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</si>
  <si>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</si>
  <si>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</si>
  <si>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</si>
  <si>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</si>
  <si>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</si>
  <si>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</si>
  <si>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</si>
  <si>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</si>
  <si>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</si>
  <si>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</si>
  <si>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</si>
  <si>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</si>
  <si>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</si>
  <si>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</si>
  <si>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</si>
  <si>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</si>
  <si>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</si>
  <si>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</si>
  <si>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</si>
  <si>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</si>
  <si>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</si>
  <si>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</si>
  <si>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</si>
  <si>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</si>
  <si>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</si>
  <si>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</si>
  <si>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</si>
  <si>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</si>
  <si>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</si>
  <si>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</si>
  <si>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</si>
  <si>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</si>
  <si>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</si>
  <si>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</si>
  <si>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</si>
  <si>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</si>
  <si>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</si>
  <si>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</si>
  <si>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</si>
  <si>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</si>
  <si>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</si>
  <si>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</si>
  <si>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</si>
  <si>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</si>
  <si>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</si>
  <si>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</si>
  <si>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</si>
  <si>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</si>
  <si>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</si>
  <si>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</si>
  <si>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</si>
  <si>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</si>
  <si>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</si>
  <si>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</si>
  <si>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</si>
  <si>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</si>
  <si>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</si>
  <si>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</si>
  <si>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</si>
  <si>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</si>
  <si>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</si>
  <si>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</si>
  <si>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</si>
  <si>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</si>
  <si>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</si>
  <si>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</si>
  <si>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</si>
  <si>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</si>
  <si>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</si>
  <si>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</si>
  <si>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</si>
  <si>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</si>
  <si>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</si>
  <si>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</si>
  <si>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</si>
  <si>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</si>
  <si>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</si>
  <si>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</si>
  <si>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</si>
  <si>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</si>
  <si>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</si>
  <si>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</si>
  <si>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</si>
  <si>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</si>
  <si>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</si>
  <si>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</si>
  <si>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</si>
  <si>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</si>
  <si>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</si>
  <si>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</si>
  <si>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</si>
  <si>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</si>
  <si>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</si>
  <si>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</si>
  <si>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</si>
  <si>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</si>
  <si>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</si>
  <si>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</si>
  <si>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</si>
  <si>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</si>
  <si>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</si>
  <si>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</si>
  <si>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</si>
  <si>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</si>
  <si>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</si>
  <si>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</si>
  <si>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</si>
  <si>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</si>
  <si>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</si>
  <si>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</si>
  <si>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</si>
  <si>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</si>
  <si>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</si>
  <si>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</si>
  <si>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</si>
  <si>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</si>
  <si>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</si>
  <si>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</si>
  <si>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</si>
  <si>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</si>
  <si>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</si>
  <si>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</si>
  <si>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</si>
  <si>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</si>
  <si>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</si>
  <si>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</si>
  <si>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</si>
  <si>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</si>
  <si>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</si>
  <si>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</si>
  <si>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</si>
  <si>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</si>
  <si>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</si>
  <si>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</si>
  <si>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</si>
  <si>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</si>
  <si>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</si>
  <si>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</si>
  <si>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</si>
  <si>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</si>
  <si>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</si>
  <si>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</si>
  <si>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</si>
  <si>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</si>
  <si>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</si>
  <si>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</si>
  <si>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</si>
  <si>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</si>
  <si>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</si>
  <si>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</si>
  <si>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</si>
  <si>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</si>
  <si>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</si>
  <si>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</si>
  <si>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</si>
  <si>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</si>
  <si>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</si>
  <si>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</si>
  <si>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</si>
  <si>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</si>
  <si>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</si>
  <si>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</si>
  <si>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</si>
  <si>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</si>
  <si>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</si>
  <si>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</si>
  <si>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</si>
  <si>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</si>
  <si>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</si>
  <si>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</si>
  <si>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</si>
  <si>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</si>
  <si>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</si>
  <si>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</si>
  <si>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</si>
  <si>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</si>
  <si>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</si>
  <si>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</si>
  <si>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</si>
  <si>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</si>
  <si>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</si>
  <si>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</si>
  <si>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</si>
  <si>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</si>
  <si>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</si>
  <si>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</si>
  <si>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</si>
  <si>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</si>
  <si>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</si>
  <si>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</si>
  <si>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</si>
  <si>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</si>
  <si>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</si>
  <si>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</si>
  <si>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</si>
  <si>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</si>
  <si>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</si>
  <si>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</si>
  <si>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</si>
  <si>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</si>
  <si>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</si>
  <si>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</si>
  <si>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</si>
  <si>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</si>
  <si>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</si>
  <si>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</si>
  <si>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</si>
  <si>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</si>
  <si>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</si>
  <si>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</si>
  <si>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</si>
  <si>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</si>
  <si>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</si>
  <si>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</si>
  <si>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</si>
  <si>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</si>
  <si>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</si>
  <si>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</si>
  <si>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</si>
  <si>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</si>
  <si>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</si>
  <si>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</si>
  <si>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</si>
  <si>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</si>
  <si>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</si>
  <si>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</si>
  <si>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</si>
  <si>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</si>
  <si>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</si>
  <si>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</si>
  <si>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</si>
  <si>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</si>
  <si>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</si>
  <si>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</si>
  <si>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</si>
  <si>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</si>
  <si>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</si>
  <si>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</si>
  <si>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</si>
  <si>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</si>
  <si>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</si>
  <si>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</si>
  <si>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</si>
  <si>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</si>
  <si>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</si>
  <si>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</si>
  <si>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</si>
  <si>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</si>
  <si>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</si>
  <si>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</si>
  <si>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</si>
  <si>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</si>
  <si>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</si>
  <si>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</si>
  <si>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</si>
  <si>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</si>
  <si>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</si>
  <si>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</si>
  <si>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</si>
  <si>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</si>
  <si>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</si>
  <si>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</si>
  <si>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</si>
  <si>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</si>
  <si>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</si>
  <si>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</si>
  <si>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</si>
  <si>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</si>
  <si>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</si>
  <si>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</si>
  <si>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</si>
  <si>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</si>
  <si>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</si>
  <si>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</si>
  <si>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</si>
  <si>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</si>
  <si>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</si>
  <si>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</si>
  <si>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</si>
  <si>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</si>
  <si>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</si>
  <si>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</si>
  <si>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</si>
  <si>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</si>
  <si>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</si>
  <si>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</si>
  <si>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</si>
  <si>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</si>
  <si>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</si>
  <si>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</si>
  <si>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</si>
  <si>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</si>
  <si>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</si>
  <si>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</si>
  <si>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</si>
  <si>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</si>
  <si>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</si>
  <si>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</si>
  <si>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</si>
  <si>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</si>
  <si>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</si>
  <si>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</si>
  <si>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</si>
  <si>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</si>
  <si>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</si>
  <si>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</si>
  <si>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</si>
  <si>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</si>
  <si>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</si>
  <si>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</si>
  <si>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</si>
  <si>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</si>
  <si>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</si>
  <si>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</si>
  <si>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</si>
  <si>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</si>
  <si>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</si>
  <si>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</si>
  <si>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</si>
  <si>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</si>
  <si>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</si>
  <si>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</si>
  <si>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</si>
  <si>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</si>
  <si>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</si>
  <si>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</si>
  <si>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</si>
  <si>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</si>
  <si>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</si>
  <si>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</si>
  <si>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</si>
  <si>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</si>
  <si>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</si>
  <si>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</si>
  <si>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</si>
  <si>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</si>
  <si>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</si>
  <si>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</si>
  <si>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</si>
  <si>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</si>
  <si>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</si>
  <si>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</si>
  <si>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</si>
  <si>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</si>
  <si>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</si>
  <si>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</si>
  <si>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</si>
  <si>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</si>
  <si>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</si>
  <si>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</si>
  <si>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</si>
  <si>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</si>
  <si>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</si>
  <si>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</si>
  <si>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</si>
  <si>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</si>
  <si>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</si>
  <si>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</si>
  <si>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</si>
  <si>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</si>
  <si>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</si>
  <si>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</si>
  <si>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</si>
  <si>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</si>
  <si>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</si>
  <si>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</si>
  <si>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</si>
  <si>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</si>
  <si>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</si>
  <si>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</si>
  <si>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</si>
  <si>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</si>
  <si>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</si>
  <si>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</si>
  <si>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</si>
  <si>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</si>
  <si>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</si>
  <si>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</si>
  <si>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</si>
  <si>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</si>
  <si>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</si>
  <si>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</si>
  <si>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</si>
  <si>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</si>
  <si>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</si>
  <si>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</si>
  <si>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</si>
  <si>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</si>
  <si>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</si>
  <si>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</si>
  <si>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</si>
  <si>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</si>
  <si>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</si>
  <si>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</si>
  <si>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</si>
  <si>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</si>
  <si>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</si>
  <si>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</si>
  <si>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</si>
  <si>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</si>
  <si>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</si>
  <si>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</si>
  <si>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</si>
  <si>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</si>
  <si>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</si>
  <si>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</si>
  <si>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</si>
  <si>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</si>
  <si>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</si>
  <si>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</si>
  <si>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</si>
  <si>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</si>
  <si>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</si>
  <si>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</si>
  <si>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</si>
  <si>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</si>
  <si>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</si>
  <si>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</si>
  <si>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</si>
  <si>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</si>
  <si>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</si>
  <si>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</si>
  <si>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</si>
  <si>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</si>
  <si>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</si>
  <si>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</si>
  <si>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</si>
  <si>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</si>
  <si>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</si>
  <si>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</si>
  <si>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</si>
  <si>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</si>
  <si>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</si>
  <si>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</si>
  <si>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</si>
  <si>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</si>
  <si>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</si>
  <si>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</si>
  <si>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</si>
  <si>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</si>
  <si>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</si>
  <si>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</si>
  <si>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</si>
  <si>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</si>
  <si>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</si>
  <si>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</si>
  <si>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</si>
  <si>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</si>
  <si>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</si>
  <si>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</si>
  <si>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</si>
  <si>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</si>
  <si>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</si>
  <si>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</si>
  <si>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</si>
  <si>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</si>
  <si>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</si>
  <si>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</si>
  <si>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</si>
  <si>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</si>
  <si>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</si>
  <si>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</si>
  <si>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</si>
  <si>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</si>
  <si>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</si>
  <si>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</si>
  <si>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</si>
  <si>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</si>
  <si>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</si>
  <si>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</si>
  <si>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</si>
  <si>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</si>
  <si>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</si>
  <si>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</si>
  <si>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</si>
  <si>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</si>
  <si>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</si>
  <si>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</si>
  <si>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</si>
  <si>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</si>
  <si>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</si>
  <si>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</si>
  <si>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</si>
  <si>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</si>
  <si>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</si>
  <si>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</si>
  <si>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</si>
  <si>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</si>
  <si>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</si>
  <si>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</si>
  <si>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</si>
  <si>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</si>
  <si>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</si>
  <si>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</si>
  <si>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</si>
  <si>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</si>
  <si>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</si>
  <si>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</si>
  <si>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</si>
  <si>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</si>
  <si>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</si>
  <si>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</si>
  <si>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</si>
  <si>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</si>
  <si>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</si>
  <si>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</si>
  <si>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</si>
  <si>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</si>
  <si>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</si>
  <si>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</si>
  <si>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</si>
  <si>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</si>
  <si>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</si>
  <si>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</si>
  <si>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</si>
  <si>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</si>
  <si>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</si>
  <si>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</si>
  <si>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</si>
  <si>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</si>
  <si>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</si>
  <si>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</si>
  <si>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</si>
  <si>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</si>
  <si>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</si>
  <si>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</si>
  <si>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</si>
  <si>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</si>
  <si>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</si>
  <si>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</si>
  <si>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</si>
  <si>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</si>
  <si>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</si>
  <si>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</si>
  <si>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</si>
  <si>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</si>
  <si>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</si>
  <si>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</si>
  <si>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</si>
  <si>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</si>
  <si>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</si>
  <si>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</si>
  <si>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</si>
  <si>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</si>
  <si>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</si>
  <si>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</si>
  <si>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</si>
  <si>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</si>
  <si>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</si>
  <si>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</si>
  <si>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</si>
  <si>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</si>
  <si>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</si>
  <si>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</si>
  <si>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</si>
  <si>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</si>
  <si>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</si>
  <si>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</si>
  <si>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</si>
  <si>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</si>
  <si>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</si>
  <si>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</si>
  <si>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</si>
  <si>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</si>
  <si>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</si>
  <si>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</si>
  <si>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</si>
  <si>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</si>
  <si>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</si>
  <si>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</si>
  <si>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</si>
  <si>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</si>
  <si>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</si>
  <si>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</si>
  <si>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</si>
  <si>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</si>
  <si>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</si>
  <si>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</si>
  <si>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</si>
  <si>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</si>
  <si>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</si>
  <si>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</si>
  <si>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</si>
  <si>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</si>
  <si>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</si>
  <si>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</si>
  <si>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</si>
  <si>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</si>
  <si>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</si>
  <si>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</si>
  <si>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</si>
  <si>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</si>
  <si>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</si>
  <si>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</si>
  <si>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</si>
  <si>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</si>
  <si>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</si>
  <si>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</si>
  <si>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</si>
  <si>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</si>
  <si>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</si>
  <si>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</si>
  <si>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</si>
  <si>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</si>
  <si>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</si>
  <si>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</si>
  <si>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</si>
  <si>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</si>
  <si>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</si>
  <si>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</si>
  <si>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</si>
  <si>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</si>
  <si>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</si>
  <si>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</si>
  <si>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</si>
  <si>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</si>
  <si>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</si>
  <si>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</si>
  <si>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</si>
  <si>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</si>
  <si>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</si>
  <si>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</si>
  <si>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</si>
  <si>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</si>
  <si>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</si>
  <si>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</si>
  <si>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</si>
  <si>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</si>
  <si>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</si>
  <si>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</si>
  <si>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</si>
  <si>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</si>
  <si>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</si>
  <si>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</si>
  <si>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</si>
  <si>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</si>
  <si>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</si>
  <si>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</si>
  <si>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</si>
  <si>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</si>
  <si>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</si>
  <si>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</si>
  <si>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</si>
  <si>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</si>
  <si>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</si>
  <si>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</si>
  <si>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</si>
  <si>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</si>
  <si>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</si>
  <si>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</si>
  <si>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</si>
  <si>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</si>
  <si>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</si>
  <si>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</si>
  <si>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</si>
  <si>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</si>
  <si>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</si>
  <si>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</si>
  <si>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</si>
  <si>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</si>
  <si>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</si>
  <si>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</si>
  <si>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</si>
  <si>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</si>
  <si>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</si>
  <si>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</si>
  <si>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</si>
  <si>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</si>
  <si>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</si>
  <si>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</si>
  <si>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</si>
  <si>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</si>
  <si>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</si>
  <si>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</si>
  <si>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</si>
  <si>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</si>
  <si>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</si>
  <si>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</si>
  <si>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</si>
  <si>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</si>
  <si>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</si>
  <si>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</si>
  <si>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</si>
  <si>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</si>
  <si>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</si>
  <si>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</si>
  <si>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</si>
  <si>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</si>
  <si>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</si>
  <si>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</si>
  <si>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</si>
  <si>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</si>
  <si>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</si>
  <si>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</si>
  <si>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</si>
  <si>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</si>
  <si>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</si>
  <si>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</si>
  <si>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</si>
  <si>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</si>
  <si>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</si>
  <si>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</si>
  <si>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</si>
  <si>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</si>
  <si>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</si>
  <si>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</si>
  <si>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</si>
  <si>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</si>
  <si>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</si>
  <si>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</si>
  <si>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</si>
  <si>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</si>
  <si>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</si>
  <si>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</si>
  <si>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</si>
  <si>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</si>
  <si>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</si>
  <si>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</si>
  <si>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</si>
  <si>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</si>
  <si>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</si>
  <si>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</si>
  <si>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</si>
  <si>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</si>
  <si>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</si>
  <si>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</si>
  <si>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</si>
  <si>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</si>
  <si>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</si>
  <si>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</si>
  <si>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</si>
  <si>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</si>
  <si>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</si>
  <si>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</si>
  <si>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</si>
  <si>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</si>
  <si>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</si>
  <si>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</si>
  <si>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</si>
  <si>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</si>
  <si>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</si>
  <si>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</si>
  <si>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</si>
  <si>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</si>
  <si>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</si>
  <si>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</si>
  <si>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</si>
  <si>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</si>
  <si>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</si>
  <si>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</si>
  <si>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</si>
  <si>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</si>
  <si>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</si>
  <si>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</si>
  <si>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</si>
  <si>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</si>
  <si>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</si>
  <si>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</si>
  <si>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</si>
  <si>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</si>
  <si>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</si>
  <si>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</si>
  <si>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</si>
  <si>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</si>
  <si>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</si>
  <si>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</si>
  <si>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</si>
  <si>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</si>
  <si>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</si>
  <si>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</si>
  <si>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</si>
  <si>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</si>
  <si>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</si>
  <si>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</si>
  <si>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</si>
  <si>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</si>
  <si>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</si>
  <si>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</si>
  <si>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</si>
  <si>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</si>
  <si>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</si>
  <si>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</si>
  <si>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</si>
  <si>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</si>
  <si>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</si>
  <si>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</si>
  <si>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</si>
  <si>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</si>
  <si>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</si>
  <si>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</si>
  <si>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</si>
  <si>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</si>
  <si>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</si>
  <si>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</si>
  <si>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</si>
  <si>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</si>
  <si>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</si>
  <si>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</si>
  <si>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</si>
  <si>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</si>
  <si>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</si>
  <si>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</si>
  <si>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</si>
  <si>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</si>
  <si>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</si>
  <si>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</si>
  <si>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</si>
  <si>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</si>
  <si>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</si>
  <si>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</si>
  <si>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</si>
  <si>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</si>
  <si>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</si>
  <si>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</si>
  <si>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</si>
  <si>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</si>
  <si>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</si>
  <si>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</si>
  <si>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</si>
  <si>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</si>
  <si>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</si>
  <si>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</si>
  <si>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</si>
  <si>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</si>
  <si>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</si>
  <si>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</si>
  <si>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</si>
  <si>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</si>
  <si>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</si>
  <si>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</si>
  <si>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</si>
  <si>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</si>
  <si>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</si>
  <si>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</si>
  <si>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</si>
  <si>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</si>
  <si>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</si>
  <si>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</si>
  <si>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</si>
  <si>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</si>
  <si>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</si>
  <si>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</si>
  <si>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</si>
  <si>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</si>
  <si>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</si>
  <si>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</si>
  <si>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</si>
  <si>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</si>
  <si>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</si>
  <si>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</si>
  <si>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</si>
  <si>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</si>
  <si>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</si>
  <si>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</si>
  <si>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</si>
  <si>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</si>
  <si>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</si>
  <si>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</si>
  <si>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</si>
  <si>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</si>
  <si>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</si>
  <si>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</si>
  <si>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</si>
  <si>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</si>
  <si>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</si>
  <si>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</si>
  <si>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</si>
  <si>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</si>
  <si>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</si>
  <si>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</si>
  <si>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</si>
  <si>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</si>
  <si>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</si>
  <si>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</si>
  <si>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</si>
  <si>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</si>
  <si>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</si>
  <si>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</si>
  <si>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</si>
  <si>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</si>
  <si>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</si>
  <si>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</si>
  <si>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</si>
  <si>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</si>
  <si>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</si>
  <si>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</si>
  <si>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</si>
  <si>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</si>
  <si>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</si>
  <si>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</si>
  <si>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</si>
  <si>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</si>
  <si>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</si>
  <si>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</si>
  <si>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</si>
  <si>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</si>
  <si>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</si>
  <si>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</si>
  <si>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</si>
  <si>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</si>
  <si>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</si>
  <si>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</si>
  <si>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</si>
  <si>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</si>
  <si>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</si>
  <si>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</si>
  <si>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</si>
  <si>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</si>
  <si>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</si>
  <si>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</si>
  <si>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</si>
  <si>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</si>
  <si>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</si>
  <si>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</si>
  <si>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</si>
  <si>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</si>
  <si>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</si>
  <si>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</si>
  <si>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</si>
  <si>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</si>
  <si>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</si>
  <si>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</si>
  <si>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</si>
  <si>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</si>
  <si>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</si>
  <si>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</si>
  <si>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</si>
  <si>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</si>
  <si>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</si>
  <si>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</si>
  <si>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</si>
  <si>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</si>
  <si>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</si>
  <si>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</si>
  <si>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</si>
  <si>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</si>
  <si>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</si>
  <si>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</si>
  <si>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</si>
  <si>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</si>
  <si>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</si>
  <si>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</si>
  <si>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</si>
  <si>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</si>
  <si>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</si>
  <si>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</si>
  <si>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</si>
  <si>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</si>
  <si>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</si>
  <si>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</si>
  <si>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</si>
  <si>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</si>
  <si>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</si>
  <si>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</si>
  <si>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</si>
  <si>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</si>
  <si>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</si>
  <si>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</si>
  <si>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</si>
  <si>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</si>
  <si>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</si>
  <si>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</si>
  <si>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</si>
  <si>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</si>
  <si>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</si>
  <si>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</si>
  <si>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</si>
  <si>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</si>
  <si>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</si>
  <si>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</si>
  <si>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</si>
  <si>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</si>
  <si>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</si>
  <si>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</si>
  <si>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</si>
  <si>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</si>
  <si>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</si>
  <si>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</si>
  <si>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</si>
  <si>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</si>
  <si>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</si>
  <si>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</si>
  <si>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</si>
  <si>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</si>
  <si>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</si>
  <si>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</si>
  <si>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</si>
  <si>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</si>
  <si>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</si>
  <si>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</si>
  <si>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</si>
  <si>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</si>
  <si>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</si>
  <si>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</si>
  <si>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</si>
  <si>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</si>
  <si>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</si>
  <si>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</si>
  <si>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</si>
  <si>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</si>
  <si>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</si>
  <si>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</si>
  <si>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</si>
  <si>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</si>
  <si>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</si>
  <si>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</si>
  <si>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</si>
  <si>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</si>
  <si>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</si>
  <si>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</si>
  <si>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</si>
  <si>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</si>
  <si>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</si>
  <si>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</si>
  <si>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</si>
  <si>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</si>
  <si>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</si>
  <si>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</si>
  <si>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</si>
  <si>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</si>
  <si>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</si>
  <si>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</si>
  <si>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</si>
  <si>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</si>
  <si>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</si>
  <si>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</si>
  <si>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</si>
  <si>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</si>
  <si>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</si>
  <si>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</si>
  <si>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</si>
  <si>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</si>
  <si>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</si>
  <si>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</si>
  <si>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</si>
  <si>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</si>
  <si>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</si>
  <si>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</si>
  <si>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</si>
  <si>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</si>
  <si>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</si>
  <si>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</si>
  <si>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</si>
  <si>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</si>
  <si>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</si>
  <si>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</si>
  <si>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</si>
  <si>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</si>
  <si>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</si>
  <si>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</si>
  <si>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</si>
  <si>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</si>
  <si>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</si>
  <si>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</si>
  <si>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</si>
  <si>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</si>
  <si>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</si>
  <si>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</si>
  <si>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</si>
  <si>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</si>
  <si>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</si>
  <si>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</si>
  <si>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</si>
  <si>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</si>
  <si>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</si>
  <si>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</si>
  <si>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</si>
  <si>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</si>
  <si>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</si>
  <si>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</si>
  <si>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</si>
  <si>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</si>
  <si>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</si>
  <si>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</si>
  <si>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</si>
  <si>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</si>
  <si>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</si>
  <si>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</si>
  <si>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</si>
  <si>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</si>
  <si>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</si>
  <si>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</si>
  <si>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</si>
  <si>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</si>
  <si>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</si>
  <si>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</si>
  <si>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</si>
  <si>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</si>
  <si>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</si>
  <si>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</si>
  <si>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</si>
  <si>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</si>
  <si>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</si>
  <si>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</si>
  <si>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</si>
  <si>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</si>
  <si>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</si>
  <si>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</si>
  <si>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</si>
  <si>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</si>
  <si>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</si>
  <si>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</si>
  <si>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</si>
  <si>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</si>
  <si>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</si>
  <si>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</si>
  <si>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</si>
  <si>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</si>
  <si>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</si>
  <si>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</si>
  <si>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</si>
  <si>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</si>
  <si>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</si>
  <si>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</si>
  <si>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</si>
  <si>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</si>
  <si>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</si>
  <si>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</si>
  <si>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</si>
  <si>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</si>
  <si>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</si>
  <si>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</si>
  <si>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</si>
  <si>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</si>
  <si>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</si>
  <si>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</si>
  <si>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</si>
  <si>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</si>
  <si>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</si>
  <si>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</si>
  <si>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</si>
  <si>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</si>
  <si>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</si>
  <si>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</si>
  <si>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</si>
  <si>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</si>
  <si>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</si>
  <si>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</si>
  <si>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</si>
  <si>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</si>
  <si>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</si>
  <si>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</si>
  <si>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</si>
  <si>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</si>
  <si>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</si>
  <si>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</si>
  <si>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</si>
  <si>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</si>
  <si>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</si>
  <si>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</si>
  <si>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</si>
  <si>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</si>
  <si>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</si>
  <si>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</si>
  <si>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</si>
  <si>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</si>
  <si>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</si>
  <si>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</si>
  <si>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</si>
  <si>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</si>
  <si>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</si>
  <si>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</si>
  <si>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</si>
  <si>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</si>
  <si>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</si>
  <si>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</si>
  <si>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</si>
  <si>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</si>
  <si>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</si>
  <si>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</si>
  <si>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</si>
  <si>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</si>
  <si>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</si>
  <si>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</si>
  <si>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</si>
  <si>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</si>
  <si>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</si>
  <si>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</si>
  <si>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</si>
  <si>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</si>
  <si>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</si>
  <si>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</si>
  <si>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</si>
  <si>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</si>
  <si>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</si>
  <si>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</si>
  <si>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</si>
  <si>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</si>
  <si>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</si>
  <si>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</si>
  <si>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</si>
  <si>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</si>
  <si>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</si>
  <si>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</si>
  <si>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</si>
  <si>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</si>
  <si>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</si>
  <si>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</si>
  <si>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</si>
  <si>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</si>
  <si>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</si>
  <si>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</si>
  <si>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</si>
  <si>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</si>
  <si>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</si>
  <si>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</si>
  <si>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</si>
  <si>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</si>
  <si>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</si>
  <si>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</si>
  <si>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</si>
  <si>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</si>
  <si>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</si>
  <si>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</si>
  <si>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</si>
  <si>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</si>
  <si>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</si>
  <si>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</si>
  <si>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</si>
  <si>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</si>
  <si>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</si>
  <si>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</si>
  <si>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</si>
  <si>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</si>
  <si>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</si>
  <si>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</si>
  <si>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</si>
  <si>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</si>
  <si>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</si>
  <si>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</si>
  <si>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</si>
  <si>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</si>
  <si>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</si>
  <si>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</si>
  <si>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</si>
  <si>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</si>
  <si>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</si>
  <si>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</si>
  <si>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</si>
  <si>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</si>
  <si>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</si>
  <si>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</si>
  <si>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</si>
  <si>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</si>
  <si>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</si>
  <si>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</si>
  <si>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</si>
  <si>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</si>
  <si>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</si>
  <si>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</si>
  <si>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</si>
  <si>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</si>
  <si>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</si>
  <si>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</si>
  <si>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</si>
  <si>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</si>
  <si>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</si>
  <si>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</si>
  <si>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</si>
  <si>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</si>
  <si>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</si>
  <si>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</si>
  <si>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</si>
  <si>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</si>
  <si>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</si>
  <si>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</si>
  <si>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</si>
  <si>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</si>
  <si>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</si>
  <si>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</si>
  <si>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</si>
  <si>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</si>
  <si>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</si>
  <si>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</si>
  <si>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</si>
  <si>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</si>
  <si>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</si>
  <si>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</si>
  <si>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</si>
  <si>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</si>
  <si>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</si>
  <si>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</si>
  <si>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</si>
  <si>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</si>
  <si>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</si>
  <si>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</si>
  <si>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</si>
  <si>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</si>
  <si>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</si>
  <si>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</si>
  <si>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</si>
  <si>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</si>
  <si>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</si>
  <si>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</si>
  <si>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</si>
  <si>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</si>
  <si>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</si>
  <si>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</si>
  <si>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</si>
  <si>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</si>
  <si>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</si>
  <si>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</si>
  <si>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</si>
  <si>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</si>
  <si>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</si>
  <si>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</si>
  <si>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</si>
  <si>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</si>
  <si>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</si>
  <si>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</si>
  <si>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</si>
  <si>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</si>
  <si>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</si>
  <si>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</si>
  <si>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</si>
  <si>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</si>
  <si>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</si>
  <si>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</si>
  <si>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</si>
  <si>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</si>
  <si>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</si>
  <si>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</si>
  <si>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</si>
  <si>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</si>
  <si>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</si>
  <si>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</si>
  <si>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</si>
  <si>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</si>
  <si>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</si>
  <si>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</si>
  <si>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</si>
  <si>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</si>
  <si>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</si>
  <si>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</si>
  <si>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</si>
  <si>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</si>
  <si>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</si>
  <si>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</si>
  <si>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</si>
  <si>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</si>
  <si>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</si>
  <si>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</si>
  <si>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</si>
  <si>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</si>
  <si>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</si>
  <si>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</si>
  <si>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</si>
  <si>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</si>
  <si>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</si>
  <si>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</si>
  <si>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</si>
  <si>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</si>
  <si>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</si>
  <si>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</si>
  <si>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</si>
  <si>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</si>
  <si>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</si>
  <si>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</si>
  <si>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</si>
  <si>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</si>
  <si>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</si>
  <si>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</si>
  <si>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</si>
  <si>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</si>
  <si>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</si>
  <si>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</si>
  <si>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</si>
  <si>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</si>
  <si>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</si>
  <si>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</si>
  <si>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</si>
  <si>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</si>
  <si>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</si>
  <si>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</si>
  <si>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</si>
  <si>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</si>
  <si>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</si>
  <si>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</si>
  <si>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</si>
  <si>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</si>
  <si>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</si>
  <si>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</si>
  <si>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</si>
  <si>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</si>
  <si>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</si>
  <si>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</si>
  <si>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</si>
  <si>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</si>
  <si>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</si>
  <si>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</si>
  <si>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</si>
  <si>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</si>
  <si>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</si>
  <si>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</si>
  <si>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</si>
  <si>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</si>
  <si>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</si>
  <si>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</si>
  <si>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</si>
  <si>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</si>
  <si>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</si>
  <si>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</si>
  <si>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</si>
  <si>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</si>
  <si>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</si>
  <si>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</si>
  <si>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</si>
  <si>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</si>
  <si>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</si>
  <si>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</si>
  <si>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</si>
  <si>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</si>
  <si>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</si>
  <si>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</si>
  <si>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</si>
  <si>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</si>
  <si>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</si>
  <si>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</si>
  <si>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</si>
  <si>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</si>
  <si>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</si>
  <si>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</si>
  <si>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</si>
  <si>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</si>
  <si>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</si>
  <si>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</si>
  <si>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</si>
  <si>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</si>
  <si>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</si>
  <si>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</si>
  <si>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</si>
  <si>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</si>
  <si>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</si>
  <si>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</si>
  <si>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</si>
  <si>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</si>
  <si>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</si>
  <si>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</si>
  <si>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</si>
  <si>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</si>
  <si>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</si>
  <si>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</si>
  <si>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</si>
  <si>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</si>
  <si>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</si>
  <si>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</si>
  <si>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</si>
  <si>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</si>
  <si>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</si>
  <si>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</si>
  <si>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</si>
  <si>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</si>
  <si>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</si>
  <si>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</si>
  <si>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</si>
  <si>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</si>
  <si>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</si>
  <si>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</si>
  <si>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</si>
  <si>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</si>
  <si>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</si>
  <si>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</si>
  <si>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</si>
  <si>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</si>
  <si>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</si>
  <si>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</si>
  <si>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</si>
  <si>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</si>
  <si>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</si>
  <si>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</si>
  <si>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</si>
  <si>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</si>
  <si>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</si>
  <si>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</si>
  <si>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</si>
  <si>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</si>
  <si>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</si>
  <si>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</si>
  <si>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</si>
  <si>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</si>
  <si>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</si>
  <si>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</si>
  <si>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</si>
  <si>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</si>
  <si>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</si>
  <si>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</si>
  <si>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</si>
  <si>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</si>
  <si>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</si>
  <si>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</si>
  <si>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</si>
  <si>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</si>
  <si>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</si>
  <si>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</si>
  <si>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</si>
  <si>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</si>
  <si>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</si>
  <si>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</si>
  <si>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</si>
  <si>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</si>
  <si>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</si>
  <si>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</si>
  <si>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</si>
  <si>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</si>
  <si>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</si>
  <si>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</si>
  <si>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</si>
  <si>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</si>
  <si>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</si>
  <si>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</si>
  <si>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</si>
  <si>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</si>
  <si>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</si>
  <si>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</si>
  <si>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</si>
  <si>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</si>
  <si>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</si>
  <si>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</si>
  <si>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</si>
  <si>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</si>
  <si>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</si>
  <si>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</si>
  <si>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</si>
  <si>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</si>
  <si>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</si>
  <si>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</si>
  <si>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</si>
  <si>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</si>
  <si>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</si>
  <si>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</si>
  <si>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</si>
  <si>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</si>
  <si>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</si>
  <si>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</si>
  <si>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</si>
  <si>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</si>
  <si>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</si>
  <si>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</si>
  <si>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</si>
  <si>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</si>
  <si>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</si>
  <si>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</si>
  <si>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</si>
  <si>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</si>
  <si>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</si>
  <si>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</si>
  <si>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</si>
  <si>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</si>
  <si>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</si>
  <si>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</si>
  <si>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</si>
  <si>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</si>
  <si>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</si>
  <si>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</si>
  <si>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</si>
  <si>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</si>
  <si>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</si>
  <si>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</si>
  <si>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</si>
  <si>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</si>
  <si>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</si>
  <si>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</si>
  <si>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</si>
  <si>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</si>
  <si>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</si>
  <si>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</si>
  <si>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</si>
  <si>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</si>
  <si>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</si>
  <si>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</si>
  <si>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</si>
  <si>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</si>
  <si>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</si>
  <si>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</si>
  <si>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</si>
  <si>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</si>
  <si>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</si>
  <si>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</si>
  <si>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</si>
  <si>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</si>
  <si>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</si>
  <si>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</si>
  <si>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</si>
  <si>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</si>
  <si>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</si>
  <si>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</si>
  <si>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</si>
  <si>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</si>
  <si>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</si>
  <si>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</si>
  <si>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</si>
  <si>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</si>
  <si>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</si>
  <si>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</si>
  <si>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</si>
  <si>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</si>
  <si>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</si>
  <si>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</si>
  <si>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</si>
  <si>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</si>
  <si>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</si>
  <si>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</si>
  <si>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</si>
  <si>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</si>
  <si>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</si>
  <si>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</si>
  <si>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</si>
  <si>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</si>
  <si>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</si>
  <si>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</si>
  <si>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</si>
  <si>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</si>
  <si>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</si>
  <si>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</si>
  <si>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</si>
  <si>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</si>
  <si>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</si>
  <si>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</si>
  <si>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</si>
  <si>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</si>
  <si>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</si>
  <si>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</si>
  <si>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</si>
  <si>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</si>
  <si>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</si>
  <si>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</si>
  <si>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</si>
  <si>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</si>
  <si>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</si>
  <si>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</si>
  <si>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</si>
  <si>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</si>
  <si>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</si>
  <si>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</si>
  <si>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</si>
  <si>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</si>
  <si>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</si>
  <si>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</si>
  <si>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</si>
  <si>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</si>
  <si>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</si>
  <si>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</si>
  <si>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</si>
  <si>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</si>
  <si>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</si>
  <si>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</si>
  <si>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</si>
  <si>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</si>
  <si>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</si>
  <si>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</si>
  <si>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</si>
  <si>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</si>
  <si>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</si>
  <si>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</si>
  <si>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</si>
  <si>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</si>
  <si>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</si>
  <si>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</si>
  <si>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</si>
  <si>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</si>
  <si>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</si>
  <si>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</si>
  <si>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</si>
  <si>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</si>
  <si>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</si>
  <si>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</si>
  <si>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</si>
  <si>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</si>
  <si>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</si>
  <si>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</si>
  <si>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</si>
  <si>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</si>
  <si>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</si>
  <si>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</si>
  <si>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</si>
  <si>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</si>
  <si>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</si>
  <si>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</si>
  <si>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</si>
  <si>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</si>
  <si>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</si>
  <si>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</si>
  <si>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</si>
  <si>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</si>
  <si>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</si>
  <si>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</si>
  <si>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</si>
  <si>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</si>
  <si>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</si>
  <si>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</si>
  <si>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</si>
  <si>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</si>
  <si>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</si>
  <si>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</si>
  <si>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</si>
  <si>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</si>
  <si>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</si>
  <si>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</si>
  <si>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</si>
  <si>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</si>
  <si>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</si>
  <si>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</si>
  <si>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</si>
  <si>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</si>
  <si>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</si>
  <si>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</si>
  <si>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</si>
  <si>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</si>
  <si>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</si>
  <si>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</si>
  <si>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</si>
  <si>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</si>
  <si>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</si>
  <si>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</si>
  <si>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</si>
  <si>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</si>
  <si>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</si>
  <si>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</si>
  <si>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</si>
  <si>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</si>
  <si>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</si>
  <si>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</si>
  <si>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</si>
  <si>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</si>
  <si>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</si>
  <si>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</si>
  <si>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</si>
  <si>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</si>
  <si>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</si>
  <si>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</si>
  <si>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</si>
  <si>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</si>
  <si>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</si>
  <si>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</si>
  <si>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</si>
  <si>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</si>
  <si>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</si>
  <si>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</si>
  <si>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</si>
  <si>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</si>
  <si>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</si>
  <si>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</si>
  <si>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</si>
  <si>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</si>
  <si>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</si>
  <si>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</si>
  <si>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</si>
  <si>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</si>
  <si>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</si>
  <si>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</si>
  <si>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</si>
  <si>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</si>
  <si>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</si>
  <si>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</si>
  <si>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</si>
  <si>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</si>
  <si>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</si>
  <si>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</si>
  <si>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</si>
  <si>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</si>
  <si>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</si>
  <si>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</si>
  <si>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</si>
  <si>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</si>
  <si>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</si>
  <si>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</si>
  <si>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</si>
  <si>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</si>
  <si>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</si>
  <si>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</si>
  <si>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</si>
  <si>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</si>
  <si>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</si>
  <si>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</si>
  <si>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</si>
  <si>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</si>
  <si>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</si>
  <si>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</si>
  <si>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</si>
  <si>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</si>
  <si>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</si>
  <si>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</si>
  <si>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</si>
  <si>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</si>
  <si>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</si>
  <si>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</si>
  <si>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</si>
  <si>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</si>
  <si>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</si>
  <si>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</si>
  <si>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</si>
  <si>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</si>
  <si>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</si>
  <si>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</si>
  <si>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</si>
  <si>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</si>
  <si>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</si>
  <si>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</si>
  <si>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</si>
  <si>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</si>
  <si>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</si>
  <si>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</si>
  <si>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</si>
  <si>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</si>
  <si>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</si>
  <si>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</si>
  <si>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</si>
  <si>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</si>
  <si>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</si>
  <si>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</si>
  <si>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</si>
  <si>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</si>
  <si>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</si>
  <si>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</si>
  <si>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</si>
  <si>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</si>
  <si>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</si>
  <si>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</si>
  <si>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</si>
  <si>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</si>
  <si>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</si>
  <si>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</si>
  <si>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</si>
  <si>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</si>
  <si>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</si>
  <si>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</si>
  <si>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</si>
  <si>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</si>
  <si>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</si>
  <si>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</si>
  <si>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</si>
  <si>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</si>
  <si>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</si>
  <si>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</si>
  <si>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</si>
  <si>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</si>
  <si>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</si>
  <si>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</si>
  <si>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</si>
  <si>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</si>
  <si>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</si>
  <si>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</si>
  <si>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</si>
  <si>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</si>
  <si>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</si>
  <si>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</si>
  <si>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</si>
  <si>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</si>
  <si>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</si>
  <si>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</si>
  <si>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</si>
  <si>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</si>
  <si>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</si>
  <si>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</si>
  <si>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</si>
  <si>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</si>
  <si>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</si>
  <si>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</si>
  <si>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</si>
  <si>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</si>
  <si>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</si>
  <si>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</si>
  <si>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</si>
  <si>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</si>
  <si>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</si>
  <si>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</si>
  <si>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</si>
  <si>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</si>
  <si>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</si>
  <si>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</si>
  <si>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</si>
  <si>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</si>
  <si>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</si>
  <si>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</si>
  <si>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</si>
  <si>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</si>
  <si>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</si>
  <si>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</si>
  <si>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</si>
  <si>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</si>
  <si>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</si>
  <si>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</si>
  <si>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</si>
  <si>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</si>
  <si>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</si>
  <si>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</si>
  <si>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</si>
  <si>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</si>
  <si>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</si>
  <si>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</si>
  <si>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</si>
  <si>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</si>
  <si>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</si>
  <si>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</si>
  <si>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</si>
  <si>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</si>
  <si>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</si>
  <si>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</si>
  <si>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</si>
  <si>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</si>
  <si>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</si>
  <si>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</si>
  <si>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</si>
  <si>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</si>
  <si>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</si>
  <si>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</si>
  <si>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</si>
  <si>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</si>
  <si>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</si>
  <si>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</si>
  <si>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</si>
  <si>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</si>
  <si>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</si>
  <si>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</si>
  <si>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</si>
  <si>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</si>
  <si>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</si>
  <si>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</si>
  <si>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</si>
  <si>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</si>
  <si>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</si>
  <si>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</si>
  <si>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</si>
  <si>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</si>
  <si>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</si>
  <si>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</si>
  <si>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</si>
  <si>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</si>
  <si>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</si>
  <si>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</si>
  <si>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</si>
  <si>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</si>
  <si>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</si>
  <si>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</si>
  <si>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</si>
  <si>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</si>
  <si>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</si>
  <si>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</si>
  <si>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</si>
  <si>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</si>
  <si>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</si>
  <si>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</si>
  <si>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</si>
  <si>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</si>
  <si>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</si>
  <si>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</si>
  <si>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</si>
  <si>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</si>
  <si>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</si>
  <si>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</si>
  <si>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</si>
  <si>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</si>
  <si>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</si>
  <si>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</si>
  <si>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</si>
  <si>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</si>
  <si>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</si>
  <si>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</si>
  <si>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</si>
  <si>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</si>
  <si>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</si>
  <si>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</si>
  <si>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</si>
  <si>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</si>
  <si>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</si>
  <si>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</si>
  <si>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</si>
  <si>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</si>
  <si>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</si>
  <si>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</si>
  <si>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</si>
  <si>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</si>
  <si>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</si>
  <si>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</si>
  <si>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</si>
  <si>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</si>
  <si>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</si>
  <si>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</si>
  <si>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</si>
  <si>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</si>
  <si>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</si>
  <si>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</si>
  <si>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</si>
  <si>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</si>
  <si>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</si>
  <si>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</si>
  <si>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</si>
  <si>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</si>
  <si>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</si>
  <si>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</si>
  <si>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</si>
  <si>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</si>
  <si>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</si>
  <si>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</si>
  <si>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</si>
  <si>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</si>
  <si>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</si>
  <si>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</si>
  <si>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</si>
  <si>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</si>
  <si>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</si>
  <si>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</si>
  <si>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</si>
  <si>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</si>
  <si>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</si>
  <si>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</si>
  <si>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</si>
  <si>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</si>
  <si>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</si>
  <si>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</si>
  <si>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</si>
  <si>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</si>
  <si>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</si>
  <si>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</si>
  <si>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</si>
  <si>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</si>
  <si>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</si>
  <si>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</si>
  <si>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</si>
  <si>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</si>
  <si>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</si>
  <si>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</si>
  <si>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</si>
  <si>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</si>
  <si>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</si>
  <si>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</si>
  <si>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</si>
  <si>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</si>
  <si>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</si>
  <si>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</si>
  <si>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</si>
  <si>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</si>
  <si>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</si>
  <si>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</si>
  <si>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</si>
  <si>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</si>
  <si>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</si>
  <si>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</si>
  <si>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</si>
  <si>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</si>
  <si>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</si>
  <si>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</si>
  <si>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</si>
  <si>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</si>
  <si>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</si>
  <si>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</si>
  <si>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</si>
  <si>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</si>
  <si>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</si>
  <si>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</si>
  <si>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</si>
  <si>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</si>
  <si>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</si>
  <si>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</si>
  <si>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</si>
  <si>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</si>
  <si>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</si>
  <si>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</si>
  <si>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</si>
  <si>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</si>
  <si>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</si>
  <si>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</si>
  <si>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</si>
  <si>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</si>
  <si>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</si>
  <si>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</si>
  <si>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</si>
  <si>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</si>
  <si>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</si>
  <si>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</si>
  <si>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</si>
  <si>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</si>
  <si>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</si>
  <si>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</si>
  <si>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</si>
  <si>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</si>
  <si>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</si>
  <si>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</si>
  <si>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</si>
  <si>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</si>
  <si>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</si>
  <si>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</si>
  <si>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</si>
  <si>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</si>
  <si>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</si>
  <si>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</si>
  <si>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</si>
  <si>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</si>
  <si>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</si>
  <si>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</si>
  <si>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</si>
  <si>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</si>
  <si>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</si>
  <si>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</si>
  <si>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</si>
  <si>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</si>
  <si>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</si>
  <si>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</si>
  <si>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</si>
  <si>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</si>
  <si>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</si>
  <si>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</si>
  <si>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</si>
  <si>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</si>
  <si>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</si>
  <si>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</si>
  <si>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</si>
  <si>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</si>
  <si>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</si>
  <si>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</si>
  <si>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</si>
  <si>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</si>
  <si>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</si>
  <si>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</si>
  <si>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</si>
  <si>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</si>
  <si>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</si>
  <si>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</si>
  <si>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</si>
  <si>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</si>
  <si>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</si>
  <si>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</si>
  <si>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</si>
  <si>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</si>
  <si>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</si>
  <si>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</si>
  <si>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</si>
  <si>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</si>
  <si>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</si>
  <si>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</si>
  <si>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</si>
  <si>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</si>
  <si>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</si>
  <si>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</si>
  <si>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</si>
  <si>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</si>
  <si>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</si>
  <si>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</si>
  <si>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</si>
  <si>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</si>
  <si>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</si>
  <si>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</si>
  <si>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</si>
  <si>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</si>
  <si>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</si>
  <si>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</si>
  <si>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</si>
  <si>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</si>
  <si>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</si>
  <si>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</si>
  <si>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</si>
  <si>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</si>
  <si>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</si>
  <si>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</si>
  <si>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</si>
  <si>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</si>
  <si>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</si>
  <si>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</si>
  <si>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</si>
  <si>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</si>
  <si>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</si>
  <si>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</si>
  <si>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</si>
  <si>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</si>
  <si>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</si>
  <si>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</si>
  <si>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</si>
  <si>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</si>
  <si>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</si>
  <si>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</si>
  <si>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</si>
  <si>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</si>
  <si>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</si>
  <si>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</si>
  <si>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</si>
  <si>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</si>
  <si>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</si>
  <si>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</si>
  <si>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</si>
  <si>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</si>
  <si>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</si>
  <si>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</si>
  <si>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</si>
  <si>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</si>
  <si>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</si>
  <si>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</si>
  <si>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</si>
  <si>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</si>
  <si>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</si>
  <si>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</si>
  <si>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</si>
  <si>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</si>
  <si>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</si>
  <si>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</si>
  <si>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</si>
  <si>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</si>
  <si>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</si>
  <si>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</si>
  <si>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</si>
  <si>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</si>
  <si>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</si>
  <si>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</si>
  <si>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</si>
  <si>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</si>
  <si>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</si>
  <si>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</si>
  <si>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</si>
  <si>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</si>
  <si>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</si>
  <si>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</si>
  <si>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</si>
  <si>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</si>
  <si>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</si>
  <si>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</si>
  <si>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</si>
  <si>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</si>
  <si>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</si>
  <si>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</si>
  <si>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</si>
  <si>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</si>
  <si>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</si>
  <si>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</si>
  <si>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</si>
  <si>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</si>
  <si>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</si>
  <si>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</si>
  <si>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</si>
  <si>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</si>
  <si>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</si>
  <si>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</si>
  <si>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</si>
  <si>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</si>
  <si>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</si>
  <si>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</si>
  <si>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</si>
  <si>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</si>
  <si>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</si>
  <si>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</si>
  <si>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</si>
  <si>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</si>
  <si>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</si>
  <si>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</si>
  <si>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</si>
  <si>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</si>
  <si>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</si>
  <si>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</si>
  <si>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</si>
  <si>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</si>
  <si>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</si>
  <si>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</si>
  <si>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</si>
  <si>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</si>
  <si>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</si>
  <si>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</si>
  <si>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</si>
  <si>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</si>
  <si>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</si>
  <si>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</si>
  <si>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</si>
  <si>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</si>
  <si>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</si>
  <si>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</si>
  <si>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</si>
  <si>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</si>
  <si>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</si>
  <si>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</si>
  <si>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</si>
  <si>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</si>
  <si>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</si>
  <si>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</si>
  <si>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</si>
  <si>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</si>
  <si>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</si>
  <si>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</si>
  <si>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</si>
  <si>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</si>
  <si>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</si>
  <si>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</si>
  <si>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</si>
  <si>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</si>
  <si>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</si>
  <si>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</si>
  <si>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</si>
  <si>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</si>
  <si>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</si>
  <si>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</si>
  <si>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</si>
  <si>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</si>
  <si>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</si>
  <si>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</si>
  <si>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</si>
  <si>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</si>
  <si>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</si>
  <si>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</si>
  <si>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</si>
  <si>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</si>
  <si>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</si>
  <si>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</si>
  <si>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</si>
  <si>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</si>
  <si>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</si>
  <si>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</si>
  <si>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</si>
  <si>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</si>
  <si>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</si>
  <si>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</si>
  <si>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</si>
  <si>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</si>
  <si>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</si>
  <si>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</si>
  <si>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</si>
  <si>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</si>
  <si>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</si>
  <si>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</si>
  <si>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</si>
  <si>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</si>
  <si>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</si>
  <si>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</si>
  <si>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</si>
  <si>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</si>
  <si>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</si>
  <si>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</si>
  <si>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</si>
  <si>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</si>
  <si>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</si>
  <si>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</si>
  <si>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</si>
  <si>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</si>
  <si>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</si>
  <si>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</si>
  <si>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</si>
  <si>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</si>
  <si>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</si>
  <si>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</si>
  <si>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</si>
  <si>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</si>
  <si>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</si>
  <si>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</si>
  <si>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</si>
  <si>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</si>
  <si>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</si>
  <si>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</si>
  <si>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</si>
  <si>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</si>
  <si>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</si>
  <si>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</si>
  <si>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</si>
  <si>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</si>
  <si>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</si>
  <si>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</si>
  <si>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</si>
  <si>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</si>
  <si>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</si>
  <si>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</si>
  <si>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</si>
  <si>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</si>
  <si>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</si>
  <si>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</si>
  <si>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</si>
  <si>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</si>
  <si>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</si>
  <si>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</si>
  <si>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</si>
  <si>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</si>
  <si>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</si>
  <si>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</si>
  <si>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</si>
  <si>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</si>
  <si>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</si>
  <si>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</si>
  <si>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</si>
  <si>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</si>
  <si>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</si>
  <si>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</si>
  <si>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</si>
  <si>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</si>
  <si>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</si>
  <si>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</si>
  <si>
    <t>감독: 앤트완 퓨콰
출연: 제이크 질런홀, 크리스티나 비달 미첼, 이선 호크, 라일리 키오</t>
    <phoneticPr fontId="2" type="noConversion"/>
  </si>
  <si>
    <t>90분</t>
    <phoneticPr fontId="2" type="noConversion"/>
  </si>
  <si>
    <t>범죄 스릴러, 액션, 드라마</t>
    <phoneticPr fontId="2" type="noConversion"/>
  </si>
  <si>
    <t xml:space="preserve">감독: 다미안 시프론
출연: 샤일린 우들리,  벤 멘델손,  조반 아데포,  랄프 이네슨 </t>
    <phoneticPr fontId="2" type="noConversion"/>
  </si>
  <si>
    <t>120분</t>
    <phoneticPr fontId="2" type="noConversion"/>
  </si>
  <si>
    <t>드라마, SF, 가족</t>
    <phoneticPr fontId="2" type="noConversion"/>
  </si>
  <si>
    <t>감독: 고레에다 히로카즈
출연: 아야세 하루카, 다이고, 쿠와키 리무</t>
    <phoneticPr fontId="2" type="noConversion"/>
  </si>
  <si>
    <t>범죄, 미스터리, 심리 스릴러, 드라마</t>
    <phoneticPr fontId="2" type="noConversion"/>
  </si>
  <si>
    <t>감독: 리즈 메리웨더
출연: 에미 로섬, 롤라 페티크루, 스쿠트 맥네어리, 퀸시 타일러 번스틴</t>
    <phoneticPr fontId="2" type="noConversion"/>
  </si>
  <si>
    <t>감독: 킴 파란트
출연: 레이튼 미스터, 크리스티나 울프</t>
    <phoneticPr fontId="2" type="noConversion"/>
  </si>
  <si>
    <t>미스터리, 스릴러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</si>
</sst>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9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4" fillId="6" borderId="18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/>
    </xf>
    <xf numFmtId="0" fontId="5" fillId="0" borderId="19" xfId="0" applyFont="1" applyBorder="1"/>
    <xf numFmtId="176" fontId="14" fillId="0" borderId="19" xfId="0" applyNumberFormat="1" applyFont="1" applyBorder="1" applyAlignment="1">
      <alignment horizont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502" totalsRowShown="0" headerRowDxfId="13" dataDxfId="11" headerRowBorderDxfId="12" tableBorderDxfId="10">
  <autoFilter ref="A2:J3502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3"/>
  <sheetViews>
    <sheetView showGridLines="0" tabSelected="1" workbookViewId="0">
      <pane ySplit="2" topLeftCell="A3493" activePane="bottomLeft" state="frozen"/>
      <selection pane="bottomLeft" activeCell="C3505" sqref="C3505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3.59765625" style="112" customWidth="1"/>
    <col min="11" max="16384" width="9" style="43"/>
  </cols>
  <sheetData>
    <row r="1" spans="1:14" ht="28.9" customHeight="1" x14ac:dyDescent="0.6">
      <c r="A1" s="117" t="s">
        <v>3523</v>
      </c>
      <c r="B1" s="117"/>
      <c r="C1" s="117"/>
      <c r="D1" s="117"/>
      <c r="E1" s="117"/>
      <c r="F1" s="117"/>
      <c r="G1" s="118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113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3652</v>
      </c>
      <c r="E3496" s="25" t="s">
        <v>3488</v>
      </c>
      <c r="F3496" s="25">
        <v>2026</v>
      </c>
      <c r="G3496" s="25" t="s">
        <v>3490</v>
      </c>
      <c r="H3496" s="25" t="s">
        <v>3651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3653</v>
      </c>
      <c r="E3497" s="25" t="s">
        <v>3495</v>
      </c>
      <c r="F3497" s="25">
        <v>2026</v>
      </c>
      <c r="G3497" s="25" t="s">
        <v>3490</v>
      </c>
      <c r="H3497" s="25" t="s">
        <v>3654</v>
      </c>
      <c r="I3497" s="25" t="s">
        <v>3539</v>
      </c>
      <c r="J3497" s="110">
        <v>46290</v>
      </c>
    </row>
    <row r="3498" spans="1:14" s="58" customFormat="1" ht="34.35" customHeight="1" x14ac:dyDescent="0.6">
      <c r="A3498" s="113">
        <v>3496</v>
      </c>
      <c r="B3498" s="94" t="str">
        <f>HYPERLINK("https://search.naver.com/search.naver?query=더 길티", "더 길티 (The Guilty)")</f>
        <v>더 길티 (The Guilty)</v>
      </c>
      <c r="C3498" s="74"/>
      <c r="D3498" s="75" t="s">
        <v>3655</v>
      </c>
      <c r="E3498" s="73" t="s">
        <v>3488</v>
      </c>
      <c r="F3498" s="73">
        <v>2021</v>
      </c>
      <c r="G3498" s="73" t="s">
        <v>3489</v>
      </c>
      <c r="H3498" s="73" t="s">
        <v>3546</v>
      </c>
      <c r="I3498" s="73" t="s">
        <v>3656</v>
      </c>
      <c r="J3498" s="111">
        <v>46296</v>
      </c>
      <c r="K3498" s="76"/>
      <c r="L3498" s="76"/>
      <c r="M3498" s="76"/>
      <c r="N3498" s="76"/>
    </row>
    <row r="3499" spans="1:14" s="58" customFormat="1" ht="34.35" customHeight="1" x14ac:dyDescent="0.6">
      <c r="A3499" s="113">
        <v>3497</v>
      </c>
      <c r="B3499" s="94" t="str">
        <f>HYPERLINK("https://search.naver.com/search.naver?query=투 캐치 어 킬러", "투 캐치 어 킬러 (To Catch a Killer)")</f>
        <v>투 캐치 어 킬러 (To Catch a Killer)</v>
      </c>
      <c r="C3499" s="74"/>
      <c r="D3499" s="75" t="s">
        <v>3658</v>
      </c>
      <c r="E3499" s="73" t="s">
        <v>3488</v>
      </c>
      <c r="F3499" s="73">
        <v>2023</v>
      </c>
      <c r="G3499" s="73" t="s">
        <v>3489</v>
      </c>
      <c r="H3499" s="73" t="s">
        <v>3657</v>
      </c>
      <c r="I3499" s="73" t="s">
        <v>3560</v>
      </c>
      <c r="J3499" s="111">
        <v>46296</v>
      </c>
      <c r="K3499" s="76"/>
      <c r="L3499" s="76"/>
      <c r="M3499" s="76"/>
      <c r="N3499" s="76"/>
    </row>
    <row r="3500" spans="1:14" s="58" customFormat="1" ht="34.200000000000003" customHeight="1" x14ac:dyDescent="0.6">
      <c r="A3500" s="113">
        <v>3498</v>
      </c>
      <c r="B3500" s="94" t="str">
        <f>HYPERLINK("https://search.naver.com/search.naver?query=상자 속의 양", "상자 속의 양 (heep in the Box)")</f>
        <v>상자 속의 양 (heep in the Box)</v>
      </c>
      <c r="C3500" s="74"/>
      <c r="D3500" s="75" t="s">
        <v>3661</v>
      </c>
      <c r="E3500" s="73" t="s">
        <v>3500</v>
      </c>
      <c r="F3500" s="73">
        <v>2026</v>
      </c>
      <c r="G3500" s="73" t="s">
        <v>3489</v>
      </c>
      <c r="H3500" s="73" t="s">
        <v>3660</v>
      </c>
      <c r="I3500" s="73" t="s">
        <v>3659</v>
      </c>
      <c r="J3500" s="111">
        <v>46296</v>
      </c>
      <c r="K3500" s="76"/>
      <c r="L3500" s="76"/>
      <c r="M3500" s="76"/>
      <c r="N3500" s="76"/>
    </row>
    <row r="3501" spans="1:14" ht="34.200000000000003" customHeight="1" x14ac:dyDescent="0.6">
      <c r="A3501" s="25">
        <v>3499</v>
      </c>
      <c r="B3501" s="92" t="str">
        <f>HYPERLINK("https://search.naver.com/search.naver?query=퓨리어스 시즌1", "퓨리어스 (Furious) 시즌1")</f>
        <v>퓨리어스 (Furious) 시즌1</v>
      </c>
      <c r="C3501" s="72"/>
      <c r="D3501" s="32" t="s">
        <v>3663</v>
      </c>
      <c r="E3501" s="25" t="s">
        <v>3488</v>
      </c>
      <c r="F3501" s="25">
        <v>2026</v>
      </c>
      <c r="G3501" s="25" t="s">
        <v>3490</v>
      </c>
      <c r="H3501" s="25" t="s">
        <v>3662</v>
      </c>
      <c r="I3501" s="25" t="s">
        <v>3545</v>
      </c>
      <c r="J3501" s="110">
        <v>46299</v>
      </c>
    </row>
    <row r="3502" spans="1:14" s="58" customFormat="1" ht="34.200000000000003" customHeight="1" x14ac:dyDescent="0.6">
      <c r="A3502" s="113">
        <v>3500</v>
      </c>
      <c r="B3502" s="94" t="str">
        <f>HYPERLINK("https://search.naver.com/search.naver?query=위크엔드어웨이", "위크엔드어웨이 (The Weekend Away)")</f>
        <v>위크엔드어웨이 (The Weekend Away)</v>
      </c>
      <c r="C3502" s="74"/>
      <c r="D3502" s="75" t="s">
        <v>3664</v>
      </c>
      <c r="E3502" s="73" t="s">
        <v>3488</v>
      </c>
      <c r="F3502" s="73">
        <v>2022</v>
      </c>
      <c r="G3502" s="73" t="s">
        <v>3489</v>
      </c>
      <c r="H3502" s="73" t="s">
        <v>3665</v>
      </c>
      <c r="I3502" s="73" t="s">
        <v>3656</v>
      </c>
      <c r="J3502" s="111">
        <v>46300</v>
      </c>
      <c r="K3502" s="76"/>
      <c r="L3502" s="76"/>
      <c r="M3502" s="76"/>
      <c r="N3502" s="76"/>
    </row>
    <row r="3503" spans="1:14" s="115" customFormat="1" ht="28.9" customHeight="1" x14ac:dyDescent="0.6">
      <c r="A3503" s="114"/>
      <c r="B3503" s="77"/>
      <c r="H3503" s="114"/>
      <c r="J3503" s="116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2026-10-04T14:59:16Z</dcterms:modified>
</cp:coreProperties>
</file>