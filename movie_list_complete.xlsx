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8B54A4F3-3013-4F76-A0E0-EF0B49087240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07" i="1" l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<sst xmlns="http://schemas.openxmlformats.org/spreadsheetml/2006/main" count="20909" uniqueCount="3677">
  <si>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</si>
  <si>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</si>
  <si>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</si>
  <si>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</si>
  <si>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</si>
  <si>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</si>
  <si>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</si>
  <si>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</si>
  <si>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</si>
  <si>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</si>
  <si>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</si>
  <si>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</si>
  <si>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</si>
  <si>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</si>
  <si>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</si>
  <si>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</si>
  <si>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</si>
  <si>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</si>
  <si>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</si>
  <si>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</si>
  <si>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</si>
  <si>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</si>
  <si>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</si>
  <si>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</si>
  <si>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</si>
  <si>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</si>
  <si>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</si>
  <si>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</si>
  <si>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</si>
  <si>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</si>
  <si>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</si>
  <si>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</si>
  <si>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</si>
  <si>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</si>
  <si>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</si>
  <si>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</si>
  <si>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</si>
  <si>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</si>
  <si>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</si>
  <si>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</si>
  <si>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</si>
  <si>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</si>
  <si>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</si>
  <si>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</si>
  <si>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</si>
  <si>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</si>
  <si>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</si>
  <si>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</si>
  <si>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</si>
  <si>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</si>
  <si>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</si>
  <si>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</si>
  <si>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</si>
  <si>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</si>
  <si>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</si>
  <si>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</si>
  <si>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</si>
  <si>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</si>
  <si>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</si>
  <si>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</si>
  <si>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</si>
  <si>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</si>
  <si>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</si>
  <si>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</si>
  <si>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</si>
  <si>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</si>
  <si>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</si>
  <si>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</si>
  <si>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</si>
  <si>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</si>
  <si>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</si>
  <si>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</si>
  <si>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</si>
  <si>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</si>
  <si>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</si>
  <si>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</si>
  <si>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</si>
  <si>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</si>
  <si>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</si>
  <si>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</si>
  <si>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</si>
  <si>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</si>
  <si>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</si>
  <si>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</si>
  <si>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</si>
  <si>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</si>
  <si>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</si>
  <si>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</si>
  <si>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</si>
  <si>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</si>
  <si>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</si>
  <si>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</si>
  <si>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</si>
  <si>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</si>
  <si>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</si>
  <si>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</si>
  <si>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</si>
  <si>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</si>
  <si>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</si>
  <si>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</si>
  <si>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</si>
  <si>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</si>
  <si>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</si>
  <si>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</si>
  <si>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</si>
  <si>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</si>
  <si>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</si>
  <si>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</si>
  <si>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</si>
  <si>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</si>
  <si>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</si>
  <si>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</si>
  <si>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</si>
  <si>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</si>
  <si>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</si>
  <si>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</si>
  <si>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</si>
  <si>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</si>
  <si>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</si>
  <si>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</si>
  <si>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</si>
  <si>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</si>
  <si>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</si>
  <si>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</si>
  <si>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</si>
  <si>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</si>
  <si>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</si>
  <si>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</si>
  <si>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</si>
  <si>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</si>
  <si>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</si>
  <si>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</si>
  <si>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</si>
  <si>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</si>
  <si>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</si>
  <si>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</si>
  <si>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</si>
  <si>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</si>
  <si>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</si>
  <si>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</si>
  <si>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</si>
  <si>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</si>
  <si>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</si>
  <si>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</si>
  <si>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</si>
  <si>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</si>
  <si>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</si>
  <si>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</si>
  <si>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</si>
  <si>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</si>
  <si>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</si>
  <si>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</si>
  <si>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</si>
  <si>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</si>
  <si>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</si>
  <si>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</si>
  <si>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</si>
  <si>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</si>
  <si>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</si>
  <si>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</si>
  <si>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</si>
  <si>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</si>
  <si>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</si>
  <si>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</si>
  <si>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</si>
  <si>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</si>
  <si>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</si>
  <si>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</si>
  <si>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</si>
  <si>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</si>
  <si>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</si>
  <si>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</si>
  <si>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</si>
  <si>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</si>
  <si>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</si>
  <si>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</si>
  <si>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</si>
  <si>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</si>
  <si>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</si>
  <si>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</si>
  <si>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</si>
  <si>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</si>
  <si>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</si>
  <si>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</si>
  <si>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</si>
  <si>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</si>
  <si>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</si>
  <si>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</si>
  <si>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</si>
  <si>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</si>
  <si>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</si>
  <si>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</si>
  <si>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</si>
  <si>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</si>
  <si>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</si>
  <si>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</si>
  <si>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</si>
  <si>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</si>
  <si>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</si>
  <si>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</si>
  <si>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</si>
  <si>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</si>
  <si>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</si>
  <si>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</si>
  <si>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</si>
  <si>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</si>
  <si>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</si>
  <si>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</si>
  <si>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</si>
  <si>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</si>
  <si>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</si>
  <si>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</si>
  <si>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</si>
  <si>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</si>
  <si>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</si>
  <si>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</si>
  <si>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</si>
  <si>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</si>
  <si>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</si>
  <si>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</si>
  <si>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</si>
  <si>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</si>
  <si>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</si>
  <si>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</si>
  <si>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</si>
  <si>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</si>
  <si>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</si>
  <si>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</si>
  <si>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</si>
  <si>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</si>
  <si>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</si>
  <si>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</si>
  <si>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</si>
  <si>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</si>
  <si>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</si>
  <si>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</si>
  <si>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</si>
  <si>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</si>
  <si>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</si>
  <si>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</si>
  <si>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</si>
  <si>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</si>
  <si>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</si>
  <si>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</si>
  <si>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</si>
  <si>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</si>
  <si>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</si>
  <si>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</si>
  <si>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</si>
  <si>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</si>
  <si>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</si>
  <si>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</si>
  <si>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</si>
  <si>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</si>
  <si>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</si>
  <si>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</si>
  <si>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</si>
  <si>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</si>
  <si>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</si>
  <si>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</si>
  <si>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</si>
  <si>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</si>
  <si>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</si>
  <si>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</si>
  <si>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</si>
  <si>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</si>
  <si>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</si>
  <si>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</si>
  <si>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</si>
  <si>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</si>
  <si>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</si>
  <si>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</si>
  <si>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</si>
  <si>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</si>
  <si>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</si>
  <si>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</si>
  <si>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</si>
  <si>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</si>
  <si>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</si>
  <si>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</si>
  <si>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</si>
  <si>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</si>
  <si>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</si>
  <si>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</si>
  <si>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</si>
  <si>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</si>
  <si>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</si>
  <si>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</si>
  <si>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</si>
  <si>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</si>
  <si>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</si>
  <si>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</si>
  <si>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</si>
  <si>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</si>
  <si>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</si>
  <si>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</si>
  <si>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</si>
  <si>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</si>
  <si>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</si>
  <si>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</si>
  <si>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</si>
  <si>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</si>
  <si>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</si>
  <si>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</si>
  <si>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</si>
  <si>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</si>
  <si>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</si>
  <si>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</si>
  <si>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</si>
  <si>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</si>
  <si>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</si>
  <si>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</si>
  <si>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</si>
  <si>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</si>
  <si>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</si>
  <si>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</si>
  <si>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</si>
  <si>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</si>
  <si>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</si>
  <si>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</si>
  <si>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</si>
  <si>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</si>
  <si>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</si>
  <si>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</si>
  <si>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</si>
  <si>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</si>
  <si>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</si>
  <si>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</si>
  <si>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</si>
  <si>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</si>
  <si>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</si>
  <si>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</si>
  <si>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</si>
  <si>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</si>
  <si>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</si>
  <si>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</si>
  <si>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</si>
  <si>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</si>
  <si>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</si>
  <si>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</si>
  <si>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</si>
  <si>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</si>
  <si>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</si>
  <si>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</si>
  <si>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</si>
  <si>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</si>
  <si>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</si>
  <si>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</si>
  <si>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</si>
  <si>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</si>
  <si>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</si>
  <si>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</si>
  <si>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</si>
  <si>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</si>
  <si>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</si>
  <si>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</si>
  <si>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</si>
  <si>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</si>
  <si>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</si>
  <si>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</si>
  <si>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</si>
  <si>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</si>
  <si>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</si>
  <si>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</si>
  <si>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</si>
  <si>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</si>
  <si>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</si>
  <si>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</si>
  <si>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</si>
  <si>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</si>
  <si>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</si>
  <si>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</si>
  <si>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</si>
  <si>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</si>
  <si>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</si>
  <si>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</si>
  <si>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</si>
  <si>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</si>
  <si>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</si>
  <si>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</si>
  <si>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</si>
  <si>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</si>
  <si>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</si>
  <si>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</si>
  <si>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</si>
  <si>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</si>
  <si>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</si>
  <si>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</si>
  <si>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</si>
  <si>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</si>
  <si>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</si>
  <si>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</si>
  <si>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</si>
  <si>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</si>
  <si>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</si>
  <si>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</si>
  <si>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</si>
  <si>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</si>
  <si>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</si>
  <si>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</si>
  <si>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</si>
  <si>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</si>
  <si>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</si>
  <si>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</si>
  <si>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</si>
  <si>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</si>
  <si>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</si>
  <si>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</si>
  <si>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</si>
  <si>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</si>
  <si>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</si>
  <si>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</si>
  <si>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</si>
  <si>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</si>
  <si>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</si>
  <si>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</si>
  <si>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</si>
  <si>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</si>
  <si>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</si>
  <si>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</si>
  <si>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</si>
  <si>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</si>
  <si>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</si>
  <si>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</si>
  <si>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</si>
  <si>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</si>
  <si>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</si>
  <si>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</si>
  <si>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</si>
  <si>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</si>
  <si>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</si>
  <si>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</si>
  <si>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</si>
  <si>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</si>
  <si>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</si>
  <si>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</si>
  <si>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</si>
  <si>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</si>
  <si>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</si>
  <si>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</si>
  <si>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</si>
  <si>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</si>
  <si>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</si>
  <si>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</si>
  <si>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</si>
  <si>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</si>
  <si>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</si>
  <si>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</si>
  <si>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</si>
  <si>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</si>
  <si>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</si>
  <si>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</si>
  <si>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</si>
  <si>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</si>
  <si>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</si>
  <si>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</si>
  <si>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</si>
  <si>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</si>
  <si>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</si>
  <si>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</si>
  <si>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</si>
  <si>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</si>
  <si>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</si>
  <si>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</si>
  <si>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</si>
  <si>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</si>
  <si>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</si>
  <si>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</si>
  <si>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</si>
  <si>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</si>
  <si>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</si>
  <si>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</si>
  <si>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</si>
  <si>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</si>
  <si>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</si>
  <si>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</si>
  <si>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</si>
  <si>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</si>
  <si>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</si>
  <si>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</si>
  <si>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</si>
  <si>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</si>
  <si>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</si>
  <si>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</si>
  <si>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</si>
  <si>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</si>
  <si>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</si>
  <si>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</si>
  <si>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</si>
  <si>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</si>
  <si>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</si>
  <si>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</si>
  <si>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</si>
  <si>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</si>
  <si>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</si>
  <si>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</si>
  <si>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</si>
  <si>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</si>
  <si>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</si>
  <si>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</si>
  <si>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</si>
  <si>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</si>
  <si>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</si>
  <si>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</si>
  <si>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</si>
  <si>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</si>
  <si>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</si>
  <si>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</si>
  <si>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</si>
  <si>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</si>
  <si>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</si>
  <si>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</si>
  <si>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</si>
  <si>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</si>
  <si>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</si>
  <si>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</si>
  <si>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</si>
  <si>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</si>
  <si>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</si>
  <si>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</si>
  <si>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</si>
  <si>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</si>
  <si>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</si>
  <si>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</si>
  <si>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</si>
  <si>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</si>
  <si>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</si>
  <si>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</si>
  <si>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</si>
  <si>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</si>
  <si>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</si>
  <si>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</si>
  <si>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</si>
  <si>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</si>
  <si>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</si>
  <si>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</si>
  <si>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</si>
  <si>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</si>
  <si>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</si>
  <si>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</si>
  <si>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</si>
  <si>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</si>
  <si>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</si>
  <si>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</si>
  <si>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</si>
  <si>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</si>
  <si>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</si>
  <si>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</si>
  <si>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</si>
  <si>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</si>
  <si>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</si>
  <si>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</si>
  <si>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</si>
  <si>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</si>
  <si>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</si>
  <si>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</si>
  <si>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</si>
  <si>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</si>
  <si>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</si>
  <si>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</si>
  <si>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</si>
  <si>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</si>
  <si>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</si>
  <si>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</si>
  <si>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</si>
  <si>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</si>
  <si>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</si>
  <si>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</si>
  <si>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</si>
  <si>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</si>
  <si>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</si>
  <si>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</si>
  <si>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</si>
  <si>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</si>
  <si>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</si>
  <si>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</si>
  <si>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</si>
  <si>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</si>
  <si>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</si>
  <si>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</si>
  <si>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</si>
  <si>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</si>
  <si>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</si>
  <si>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</si>
  <si>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</si>
  <si>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</si>
  <si>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</si>
  <si>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</si>
  <si>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</si>
  <si>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</si>
  <si>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</si>
  <si>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</si>
  <si>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</si>
  <si>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</si>
  <si>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</si>
  <si>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</si>
  <si>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</si>
  <si>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</si>
  <si>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</si>
  <si>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</si>
  <si>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</si>
  <si>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</si>
  <si>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</si>
  <si>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</si>
  <si>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</si>
  <si>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</si>
  <si>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</si>
  <si>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</si>
  <si>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</si>
  <si>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</si>
  <si>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</si>
  <si>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</si>
  <si>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</si>
  <si>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</si>
  <si>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</si>
  <si>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</si>
  <si>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</si>
  <si>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</si>
  <si>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</si>
  <si>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</si>
  <si>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</si>
  <si>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</si>
  <si>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</si>
  <si>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</si>
  <si>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</si>
  <si>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</si>
  <si>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</si>
  <si>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</si>
  <si>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</si>
  <si>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</si>
  <si>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</si>
  <si>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</si>
  <si>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</si>
  <si>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</si>
  <si>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</si>
  <si>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</si>
  <si>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</si>
  <si>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</si>
  <si>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</si>
  <si>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</si>
  <si>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</si>
  <si>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</si>
  <si>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</si>
  <si>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</si>
  <si>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</si>
  <si>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</si>
  <si>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</si>
  <si>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</si>
  <si>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</si>
  <si>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</si>
  <si>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</si>
  <si>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</si>
  <si>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</si>
  <si>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</si>
  <si>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</si>
  <si>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</si>
  <si>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</si>
  <si>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</si>
  <si>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</si>
  <si>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</si>
  <si>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</si>
  <si>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</si>
  <si>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</si>
  <si>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</si>
  <si>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</si>
  <si>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</si>
  <si>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</si>
  <si>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</si>
  <si>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</si>
  <si>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</si>
  <si>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</si>
  <si>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</si>
  <si>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</si>
  <si>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</si>
  <si>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</si>
  <si>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</si>
  <si>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</si>
  <si>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</si>
  <si>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</si>
  <si>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</si>
  <si>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</si>
  <si>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</si>
  <si>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</si>
  <si>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</si>
  <si>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</si>
  <si>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</si>
  <si>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</si>
  <si>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</si>
  <si>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</si>
  <si>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</si>
  <si>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</si>
  <si>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</si>
  <si>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</si>
  <si>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</si>
  <si>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</si>
  <si>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</si>
  <si>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</si>
  <si>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</si>
  <si>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</si>
  <si>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</si>
  <si>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</si>
  <si>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</si>
  <si>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</si>
  <si>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</si>
  <si>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</si>
  <si>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</si>
  <si>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</si>
  <si>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</si>
  <si>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</si>
  <si>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</si>
  <si>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</si>
  <si>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</si>
  <si>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</si>
  <si>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</si>
  <si>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</si>
  <si>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</si>
  <si>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</si>
  <si>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</si>
  <si>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</si>
  <si>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</si>
  <si>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</si>
  <si>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</si>
  <si>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</si>
  <si>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</si>
  <si>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</si>
  <si>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</si>
  <si>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</si>
  <si>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</si>
  <si>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</si>
  <si>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</si>
  <si>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</si>
  <si>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</si>
  <si>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</si>
  <si>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</si>
  <si>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</si>
  <si>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</si>
  <si>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</si>
  <si>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</si>
  <si>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</si>
  <si>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</si>
  <si>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</si>
  <si>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</si>
  <si>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</si>
  <si>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</si>
  <si>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</si>
  <si>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</si>
  <si>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</si>
  <si>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</si>
  <si>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</si>
  <si>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</si>
  <si>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</si>
  <si>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</si>
  <si>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</si>
  <si>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</si>
  <si>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</si>
  <si>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</si>
  <si>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</si>
  <si>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</si>
  <si>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</si>
  <si>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</si>
  <si>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</si>
  <si>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</si>
  <si>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</si>
  <si>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</si>
  <si>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</si>
  <si>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</si>
  <si>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</si>
  <si>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</si>
  <si>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</si>
  <si>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</si>
  <si>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</si>
  <si>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</si>
  <si>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</si>
  <si>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</si>
  <si>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</si>
  <si>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</si>
  <si>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</si>
  <si>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</si>
  <si>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</si>
  <si>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</si>
  <si>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</si>
  <si>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</si>
  <si>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</si>
  <si>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</si>
  <si>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</si>
  <si>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</si>
  <si>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</si>
  <si>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</si>
  <si>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</si>
  <si>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</si>
  <si>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</si>
  <si>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</si>
  <si>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</si>
  <si>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</si>
  <si>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</si>
  <si>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</si>
  <si>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</si>
  <si>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</si>
  <si>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</si>
  <si>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</si>
  <si>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</si>
  <si>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</si>
  <si>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</si>
  <si>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</si>
  <si>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</si>
  <si>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</si>
  <si>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</si>
  <si>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</si>
  <si>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</si>
  <si>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</si>
  <si>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</si>
  <si>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</si>
  <si>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</si>
  <si>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</si>
  <si>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</si>
  <si>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</si>
  <si>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</si>
  <si>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</si>
  <si>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</si>
  <si>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</si>
  <si>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</si>
  <si>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</si>
  <si>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</si>
  <si>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</si>
  <si>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</si>
  <si>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</si>
  <si>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</si>
  <si>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</si>
  <si>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</si>
  <si>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</si>
  <si>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</si>
  <si>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</si>
  <si>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</si>
  <si>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</si>
  <si>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</si>
  <si>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</si>
  <si>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</si>
  <si>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</si>
  <si>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</si>
  <si>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</si>
  <si>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</si>
  <si>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</si>
  <si>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</si>
  <si>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</si>
  <si>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</si>
  <si>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</si>
  <si>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</si>
  <si>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</si>
  <si>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</si>
  <si>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</si>
  <si>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</si>
  <si>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</si>
  <si>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</si>
  <si>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</si>
  <si>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</si>
  <si>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</si>
  <si>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</si>
  <si>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</si>
  <si>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</si>
  <si>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</si>
  <si>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</si>
  <si>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</si>
  <si>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</si>
  <si>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</si>
  <si>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</si>
  <si>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</si>
  <si>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</si>
  <si>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</si>
  <si>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</si>
  <si>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</si>
  <si>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</si>
  <si>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</si>
  <si>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</si>
  <si>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</si>
  <si>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</si>
  <si>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</si>
  <si>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</si>
  <si>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</si>
  <si>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</si>
  <si>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</si>
  <si>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</si>
  <si>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</si>
  <si>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</si>
  <si>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</si>
  <si>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</si>
  <si>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</si>
  <si>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</si>
  <si>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</si>
  <si>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</si>
  <si>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</si>
  <si>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</si>
  <si>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</si>
  <si>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</si>
  <si>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</si>
  <si>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</si>
  <si>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</si>
  <si>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</si>
  <si>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</si>
  <si>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</si>
  <si>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</si>
  <si>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</si>
  <si>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</si>
  <si>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</si>
  <si>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</si>
  <si>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</si>
  <si>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</si>
  <si>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</si>
  <si>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</si>
  <si>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</si>
  <si>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</si>
  <si>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</si>
  <si>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</si>
  <si>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</si>
  <si>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</si>
  <si>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</si>
  <si>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</si>
  <si>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</si>
  <si>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</si>
  <si>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</si>
  <si>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</si>
  <si>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</si>
  <si>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</si>
  <si>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</si>
  <si>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</si>
  <si>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</si>
  <si>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</si>
  <si>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</si>
  <si>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</si>
  <si>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</si>
  <si>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</si>
  <si>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</si>
  <si>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</si>
  <si>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</si>
  <si>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</si>
  <si>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</si>
  <si>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</si>
  <si>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</si>
  <si>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</si>
  <si>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</si>
  <si>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</si>
  <si>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</si>
  <si>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</si>
  <si>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</si>
  <si>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</si>
  <si>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</si>
  <si>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</si>
  <si>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</si>
  <si>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</si>
  <si>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</si>
  <si>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</si>
  <si>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</si>
  <si>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</si>
  <si>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</si>
  <si>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</si>
  <si>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</si>
  <si>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</si>
  <si>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</si>
  <si>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</si>
  <si>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</si>
  <si>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</si>
  <si>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</si>
  <si>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</si>
  <si>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</si>
  <si>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</si>
  <si>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</si>
  <si>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</si>
  <si>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</si>
  <si>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</si>
  <si>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</si>
  <si>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</si>
  <si>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</si>
  <si>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</si>
  <si>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</si>
  <si>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</si>
  <si>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</si>
  <si>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</si>
  <si>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</si>
  <si>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</si>
  <si>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</si>
  <si>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</si>
  <si>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</si>
  <si>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</si>
  <si>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</si>
  <si>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</si>
  <si>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</si>
  <si>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</si>
  <si>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</si>
  <si>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</si>
  <si>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</si>
  <si>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</si>
  <si>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</si>
  <si>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</si>
  <si>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</si>
  <si>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</si>
  <si>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</si>
  <si>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</si>
  <si>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</si>
  <si>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</si>
  <si>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</si>
  <si>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</si>
  <si>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</si>
  <si>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</si>
  <si>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</si>
  <si>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</si>
  <si>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</si>
  <si>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</si>
  <si>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</si>
  <si>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</si>
  <si>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</si>
  <si>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</si>
  <si>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</si>
  <si>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</si>
  <si>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</si>
  <si>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</si>
  <si>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</si>
  <si>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</si>
  <si>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</si>
  <si>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</si>
  <si>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</si>
  <si>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</si>
  <si>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</si>
  <si>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</si>
  <si>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</si>
  <si>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</si>
  <si>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</si>
  <si>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</si>
  <si>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</si>
  <si>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</si>
  <si>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</si>
  <si>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</si>
  <si>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</si>
  <si>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</si>
  <si>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</si>
  <si>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</si>
  <si>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</si>
  <si>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</si>
  <si>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</si>
  <si>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</si>
  <si>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</si>
  <si>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</si>
  <si>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</si>
  <si>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</si>
  <si>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</si>
  <si>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</si>
  <si>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</si>
  <si>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</si>
  <si>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</si>
  <si>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</si>
  <si>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</si>
  <si>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</si>
  <si>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</si>
  <si>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</si>
  <si>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</si>
  <si>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</si>
  <si>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</si>
  <si>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</si>
  <si>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</si>
  <si>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</si>
  <si>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</si>
  <si>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</si>
  <si>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</si>
  <si>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</si>
  <si>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</si>
  <si>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</si>
  <si>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</si>
  <si>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</si>
  <si>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</si>
  <si>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</si>
  <si>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</si>
  <si>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</si>
  <si>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</si>
  <si>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</si>
  <si>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</si>
  <si>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</si>
  <si>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</si>
  <si>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</si>
  <si>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</si>
  <si>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</si>
  <si>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</si>
  <si>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</si>
  <si>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</si>
  <si>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</si>
  <si>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</si>
  <si>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</si>
  <si>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</si>
  <si>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</si>
  <si>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</si>
  <si>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</si>
  <si>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</si>
  <si>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</si>
  <si>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</si>
  <si>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</si>
  <si>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</si>
  <si>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</si>
  <si>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</si>
  <si>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</si>
  <si>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</si>
  <si>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</si>
  <si>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</si>
  <si>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</si>
  <si>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</si>
  <si>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</si>
  <si>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</si>
  <si>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</si>
  <si>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</si>
  <si>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</si>
  <si>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</si>
  <si>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</si>
  <si>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</si>
  <si>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</si>
  <si>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</si>
  <si>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</si>
  <si>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</si>
  <si>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</si>
  <si>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</si>
  <si>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</si>
  <si>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</si>
  <si>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</si>
  <si>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</si>
  <si>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</si>
  <si>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</si>
  <si>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</si>
  <si>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</si>
  <si>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</si>
  <si>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</si>
  <si>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</si>
  <si>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</si>
  <si>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</si>
  <si>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</si>
  <si>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</si>
  <si>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</si>
  <si>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</si>
  <si>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</si>
  <si>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</si>
  <si>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</si>
  <si>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</si>
  <si>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</si>
  <si>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</si>
  <si>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</si>
  <si>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</si>
  <si>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</si>
  <si>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</si>
  <si>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</si>
  <si>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</si>
  <si>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</si>
  <si>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</si>
  <si>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</si>
  <si>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</si>
  <si>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</si>
  <si>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</si>
  <si>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</si>
  <si>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</si>
  <si>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</si>
  <si>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</si>
  <si>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</si>
  <si>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</si>
  <si>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</si>
  <si>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</si>
  <si>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</si>
  <si>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</si>
  <si>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</si>
  <si>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</si>
  <si>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</si>
  <si>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</si>
  <si>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</si>
  <si>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</si>
  <si>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</si>
  <si>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</si>
  <si>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</si>
  <si>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</si>
  <si>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</si>
  <si>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</si>
  <si>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</si>
  <si>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</si>
  <si>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</si>
  <si>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</si>
  <si>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</si>
  <si>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</si>
  <si>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</si>
  <si>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</si>
  <si>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</si>
  <si>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</si>
  <si>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</si>
  <si>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</si>
  <si>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</si>
  <si>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</si>
  <si>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</si>
  <si>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</si>
  <si>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</si>
  <si>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</si>
  <si>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</si>
  <si>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</si>
  <si>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</si>
  <si>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</si>
  <si>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</si>
  <si>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</si>
  <si>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</si>
  <si>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</si>
  <si>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</si>
  <si>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</si>
  <si>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</si>
  <si>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</si>
  <si>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</si>
  <si>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</si>
  <si>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</si>
  <si>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</si>
  <si>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</si>
  <si>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</si>
  <si>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</si>
  <si>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</si>
  <si>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</si>
  <si>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</si>
  <si>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</si>
  <si>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</si>
  <si>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</si>
  <si>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</si>
  <si>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</si>
  <si>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</si>
  <si>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</si>
  <si>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</si>
  <si>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</si>
  <si>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</si>
  <si>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</si>
  <si>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</si>
  <si>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</si>
  <si>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</si>
  <si>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</si>
  <si>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</si>
  <si>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</si>
  <si>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</si>
  <si>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</si>
  <si>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</si>
  <si>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</si>
  <si>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</si>
  <si>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</si>
  <si>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</si>
  <si>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</si>
  <si>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</si>
  <si>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</si>
  <si>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</si>
  <si>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</si>
  <si>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</si>
  <si>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</si>
  <si>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</si>
  <si>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</si>
  <si>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</si>
  <si>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</si>
  <si>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</si>
  <si>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</si>
  <si>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</si>
  <si>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</si>
  <si>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</si>
  <si>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</si>
  <si>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</si>
  <si>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</si>
  <si>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</si>
  <si>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</si>
  <si>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</si>
  <si>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</si>
  <si>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</si>
  <si>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</si>
  <si>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</si>
  <si>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</si>
  <si>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</si>
  <si>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</si>
  <si>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</si>
  <si>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</si>
  <si>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</si>
  <si>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</si>
  <si>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</si>
  <si>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</si>
  <si>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</si>
  <si>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</si>
  <si>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</si>
  <si>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</si>
  <si>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</si>
  <si>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</si>
  <si>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</si>
  <si>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</si>
  <si>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</si>
  <si>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</si>
  <si>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</si>
  <si>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</si>
  <si>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</si>
  <si>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</si>
  <si>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</si>
  <si>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</si>
  <si>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</si>
  <si>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</si>
  <si>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</si>
  <si>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</si>
  <si>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</si>
  <si>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</si>
  <si>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</si>
  <si>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</si>
  <si>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</si>
  <si>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</si>
  <si>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</si>
  <si>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</si>
  <si>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</si>
  <si>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</si>
  <si>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</si>
  <si>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</si>
  <si>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</si>
  <si>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</si>
  <si>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</si>
  <si>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</si>
  <si>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</si>
  <si>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</si>
  <si>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</si>
  <si>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</si>
  <si>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</si>
  <si>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</si>
  <si>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</si>
  <si>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</si>
  <si>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</si>
  <si>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</si>
  <si>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</si>
  <si>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</si>
  <si>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</si>
  <si>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</si>
  <si>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</si>
  <si>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</si>
  <si>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</si>
  <si>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</si>
  <si>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</si>
  <si>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</si>
  <si>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</si>
  <si>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</si>
  <si>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</si>
  <si>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</si>
  <si>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</si>
  <si>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</si>
  <si>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</si>
  <si>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</si>
  <si>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</si>
  <si>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</si>
  <si>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</si>
  <si>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</si>
  <si>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</si>
  <si>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</si>
  <si>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</si>
  <si>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</si>
  <si>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</si>
  <si>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</si>
  <si>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</si>
  <si>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</si>
  <si>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</si>
  <si>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</si>
  <si>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</si>
  <si>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</si>
  <si>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</si>
  <si>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</si>
  <si>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</si>
  <si>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</si>
  <si>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</si>
  <si>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</si>
  <si>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</si>
  <si>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</si>
  <si>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</si>
  <si>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</si>
  <si>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</si>
  <si>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</si>
  <si>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</si>
  <si>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</si>
  <si>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</si>
  <si>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</si>
  <si>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</si>
  <si>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</si>
  <si>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</si>
  <si>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</si>
  <si>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</si>
  <si>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</si>
  <si>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</si>
  <si>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</si>
  <si>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</si>
  <si>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</si>
  <si>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</si>
  <si>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</si>
  <si>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</si>
  <si>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</si>
  <si>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</si>
  <si>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</si>
  <si>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</si>
  <si>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</si>
  <si>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</si>
  <si>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</si>
  <si>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</si>
  <si>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</si>
  <si>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</si>
  <si>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</si>
  <si>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</si>
  <si>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</si>
  <si>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</si>
  <si>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</si>
  <si>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</si>
  <si>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</si>
  <si>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</si>
  <si>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</si>
  <si>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</si>
  <si>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</si>
  <si>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</si>
  <si>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</si>
  <si>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</si>
  <si>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</si>
  <si>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</si>
  <si>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</si>
  <si>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</si>
  <si>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</si>
  <si>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</si>
  <si>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</si>
  <si>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</si>
  <si>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</si>
  <si>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</si>
  <si>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</si>
  <si>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</si>
  <si>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</si>
  <si>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</si>
  <si>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</si>
  <si>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</si>
  <si>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</si>
  <si>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</si>
  <si>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</si>
  <si>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</si>
  <si>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</si>
  <si>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</si>
  <si>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</si>
  <si>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</si>
  <si>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</si>
  <si>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</si>
  <si>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</si>
  <si>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</si>
  <si>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</si>
  <si>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</si>
  <si>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</si>
  <si>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</si>
  <si>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</si>
  <si>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</si>
  <si>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</si>
  <si>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</si>
  <si>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</si>
  <si>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</si>
  <si>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</si>
  <si>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</si>
  <si>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</si>
  <si>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</si>
  <si>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</si>
  <si>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</si>
  <si>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</si>
  <si>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</si>
  <si>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</si>
  <si>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</si>
  <si>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</si>
  <si>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</si>
  <si>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</si>
  <si>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</si>
  <si>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</si>
  <si>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</si>
  <si>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</si>
  <si>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</si>
  <si>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</si>
  <si>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</si>
  <si>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</si>
  <si>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</si>
  <si>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</si>
  <si>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</si>
  <si>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</si>
  <si>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</si>
  <si>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</si>
  <si>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</si>
  <si>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</si>
  <si>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</si>
  <si>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</si>
  <si>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</si>
  <si>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</si>
  <si>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</si>
  <si>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</si>
  <si>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</si>
  <si>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</si>
  <si>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</si>
  <si>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</si>
  <si>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</si>
  <si>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</si>
  <si>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</si>
  <si>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</si>
  <si>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</si>
  <si>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</si>
  <si>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</si>
  <si>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</si>
  <si>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</si>
  <si>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</si>
  <si>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</si>
  <si>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</si>
  <si>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</si>
  <si>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</si>
  <si>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</si>
  <si>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</si>
  <si>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</si>
  <si>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</si>
  <si>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</si>
  <si>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</si>
  <si>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</si>
  <si>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</si>
  <si>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</si>
  <si>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</si>
  <si>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</si>
  <si>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</si>
  <si>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</si>
  <si>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</si>
  <si>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</si>
  <si>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</si>
  <si>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</si>
  <si>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</si>
  <si>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</si>
  <si>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</si>
  <si>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</si>
  <si>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</si>
  <si>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</si>
  <si>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</si>
  <si>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</si>
  <si>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</si>
  <si>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</si>
  <si>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</si>
  <si>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</si>
  <si>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</si>
  <si>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</si>
  <si>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</si>
  <si>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</si>
  <si>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</si>
  <si>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</si>
  <si>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</si>
  <si>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</si>
  <si>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</si>
  <si>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</si>
  <si>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</si>
  <si>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</si>
  <si>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</si>
  <si>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</si>
  <si>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</si>
  <si>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</si>
  <si>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</si>
  <si>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</si>
  <si>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</si>
  <si>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</si>
  <si>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</si>
  <si>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</si>
  <si>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</si>
  <si>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</si>
  <si>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</si>
  <si>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</si>
  <si>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</si>
  <si>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</si>
  <si>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</si>
  <si>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</si>
  <si>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</si>
  <si>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</si>
  <si>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</si>
  <si>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</si>
  <si>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</si>
  <si>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</si>
  <si>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</si>
  <si>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</si>
  <si>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</si>
  <si>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</si>
  <si>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</si>
  <si>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</si>
  <si>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</si>
  <si>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</si>
  <si>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</si>
  <si>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</si>
  <si>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</si>
  <si>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</si>
  <si>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</si>
  <si>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</si>
  <si>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</si>
  <si>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</si>
  <si>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</si>
  <si>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</si>
  <si>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</si>
  <si>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</si>
  <si>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</si>
  <si>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</si>
  <si>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</si>
  <si>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</si>
  <si>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</si>
  <si>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</si>
  <si>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</si>
  <si>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</si>
  <si>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</si>
  <si>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</si>
  <si>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</si>
  <si>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</si>
  <si>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</si>
  <si>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</si>
  <si>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</si>
  <si>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</si>
  <si>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</si>
  <si>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</si>
  <si>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</si>
  <si>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</si>
  <si>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</si>
  <si>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</si>
  <si>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</si>
  <si>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</si>
  <si>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</si>
  <si>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</si>
  <si>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</si>
  <si>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</si>
  <si>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</si>
  <si>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</si>
  <si>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</si>
  <si>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</si>
  <si>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</si>
  <si>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</si>
  <si>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</si>
  <si>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</si>
  <si>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</si>
  <si>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</si>
  <si>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</si>
  <si>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</si>
  <si>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</si>
  <si>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</si>
  <si>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</si>
  <si>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</si>
  <si>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</si>
  <si>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</si>
  <si>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</si>
  <si>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</si>
  <si>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</si>
  <si>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</si>
  <si>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</si>
  <si>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</si>
  <si>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</si>
  <si>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</si>
  <si>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</si>
  <si>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</si>
  <si>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</si>
  <si>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</si>
  <si>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</si>
  <si>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</si>
  <si>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</si>
  <si>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</si>
  <si>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</si>
  <si>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</si>
  <si>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</si>
  <si>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</si>
  <si>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</si>
  <si>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</si>
  <si>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</si>
  <si>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</si>
  <si>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</si>
  <si>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</si>
  <si>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</si>
  <si>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</si>
  <si>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</si>
  <si>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</si>
  <si>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</si>
  <si>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</si>
  <si>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</si>
  <si>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</si>
  <si>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</si>
  <si>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</si>
  <si>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</si>
  <si>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</si>
  <si>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</si>
  <si>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</si>
  <si>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</si>
  <si>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</si>
  <si>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</si>
  <si>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</si>
  <si>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</si>
  <si>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</si>
  <si>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</si>
  <si>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</si>
  <si>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</si>
  <si>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</si>
  <si>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</si>
  <si>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</si>
  <si>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</si>
  <si>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</si>
  <si>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</si>
  <si>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</si>
  <si>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</si>
  <si>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</si>
  <si>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</si>
  <si>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</si>
  <si>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</si>
  <si>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</si>
  <si>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</si>
  <si>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</si>
  <si>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</si>
  <si>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</si>
  <si>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</si>
  <si>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</si>
  <si>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</si>
  <si>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</si>
  <si>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</si>
  <si>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</si>
  <si>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</si>
  <si>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</si>
  <si>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</si>
  <si>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</si>
  <si>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</si>
  <si>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</si>
  <si>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</si>
  <si>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</si>
  <si>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</si>
  <si>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</si>
  <si>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</si>
  <si>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</si>
  <si>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</si>
  <si>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</si>
  <si>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</si>
  <si>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</si>
  <si>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</si>
  <si>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</si>
  <si>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</si>
  <si>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</si>
  <si>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</si>
  <si>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</si>
  <si>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</si>
  <si>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</si>
  <si>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</si>
  <si>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</si>
  <si>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</si>
  <si>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</si>
  <si>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</si>
  <si>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</si>
  <si>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</si>
  <si>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</si>
  <si>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</si>
  <si>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</si>
  <si>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</si>
  <si>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</si>
  <si>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</si>
  <si>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</si>
  <si>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</si>
  <si>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</si>
  <si>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</si>
  <si>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</si>
  <si>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</si>
  <si>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</si>
  <si>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</si>
  <si>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</si>
  <si>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</si>
  <si>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</si>
  <si>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</si>
  <si>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</si>
  <si>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</si>
  <si>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</si>
  <si>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</si>
  <si>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</si>
  <si>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</si>
  <si>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</si>
  <si>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</si>
  <si>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</si>
  <si>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</si>
  <si>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</si>
  <si>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</si>
  <si>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</si>
  <si>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</si>
  <si>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</si>
  <si>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</si>
  <si>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</si>
  <si>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</si>
  <si>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</si>
  <si>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</si>
  <si>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</si>
  <si>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</si>
  <si>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</si>
  <si>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</si>
  <si>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</si>
  <si>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</si>
  <si>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</si>
  <si>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</si>
  <si>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</si>
  <si>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</si>
  <si>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</si>
  <si>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</si>
  <si>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</si>
  <si>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</si>
  <si>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</si>
  <si>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</si>
  <si>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</si>
  <si>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</si>
  <si>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</si>
  <si>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</si>
  <si>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</si>
  <si>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</si>
  <si>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</si>
  <si>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</si>
  <si>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</si>
  <si>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</si>
  <si>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</si>
  <si>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</si>
  <si>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</si>
  <si>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</si>
  <si>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</si>
  <si>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</si>
  <si>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</si>
  <si>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</si>
  <si>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</si>
  <si>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</si>
  <si>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</si>
  <si>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</si>
  <si>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</si>
  <si>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</si>
  <si>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</si>
  <si>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</si>
  <si>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</si>
  <si>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</si>
  <si>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</si>
  <si>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</si>
  <si>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</si>
  <si>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</si>
  <si>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</si>
  <si>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</si>
  <si>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</si>
  <si>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</si>
  <si>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</si>
  <si>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</si>
  <si>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</si>
  <si>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</si>
  <si>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</si>
  <si>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</si>
  <si>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</si>
  <si>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</si>
  <si>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</si>
  <si>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</si>
  <si>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</si>
  <si>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</si>
  <si>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</si>
  <si>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</si>
  <si>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</si>
  <si>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</si>
  <si>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</si>
  <si>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</si>
  <si>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</si>
  <si>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</si>
  <si>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</si>
  <si>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</si>
  <si>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</si>
  <si>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</si>
  <si>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</si>
  <si>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</si>
  <si>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</si>
  <si>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</si>
  <si>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</si>
  <si>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</si>
  <si>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</si>
  <si>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</si>
  <si>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</si>
  <si>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</si>
  <si>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</si>
  <si>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</si>
  <si>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</si>
  <si>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</si>
  <si>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</si>
  <si>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</si>
  <si>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</si>
  <si>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</si>
  <si>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</si>
  <si>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</si>
  <si>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</si>
  <si>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</si>
  <si>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</si>
  <si>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</si>
  <si>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</si>
  <si>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</si>
  <si>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</si>
  <si>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</si>
  <si>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</si>
  <si>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</si>
  <si>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</si>
  <si>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</si>
  <si>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</si>
  <si>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</si>
  <si>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</si>
  <si>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</si>
  <si>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</si>
  <si>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</si>
  <si>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</si>
  <si>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</si>
  <si>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</si>
  <si>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</si>
  <si>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</si>
  <si>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</si>
  <si>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</si>
  <si>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</si>
  <si>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</si>
  <si>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</si>
  <si>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</si>
  <si>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</si>
  <si>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</si>
  <si>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</si>
  <si>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</si>
  <si>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</si>
  <si>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</si>
  <si>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</si>
  <si>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</si>
  <si>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</si>
  <si>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</si>
  <si>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</si>
  <si>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</si>
  <si>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</si>
  <si>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</si>
  <si>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</si>
  <si>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</si>
  <si>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</si>
  <si>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</si>
  <si>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</si>
  <si>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</si>
  <si>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</si>
  <si>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</si>
  <si>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</si>
  <si>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</si>
  <si>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</si>
  <si>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</si>
  <si>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</si>
  <si>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</si>
  <si>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</si>
  <si>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</si>
  <si>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</si>
  <si>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</si>
  <si>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</si>
  <si>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</si>
  <si>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</si>
  <si>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</si>
  <si>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</si>
  <si>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</si>
  <si>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</si>
  <si>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</si>
  <si>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</si>
  <si>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</si>
  <si>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</si>
  <si>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</si>
  <si>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</si>
  <si>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</si>
  <si>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</si>
  <si>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</si>
  <si>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</si>
  <si>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</si>
  <si>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</si>
  <si>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</si>
  <si>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</si>
  <si>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</si>
  <si>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</si>
  <si>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</si>
  <si>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</si>
  <si>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</si>
  <si>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</si>
  <si>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</si>
  <si>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</si>
  <si>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</si>
  <si>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</si>
  <si>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</si>
  <si>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</si>
  <si>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</si>
  <si>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</si>
  <si>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</si>
  <si>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</si>
  <si>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</si>
  <si>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</si>
  <si>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</si>
  <si>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</si>
  <si>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</si>
  <si>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</si>
  <si>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</si>
  <si>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</si>
  <si>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</si>
  <si>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</si>
  <si>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</si>
  <si>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</si>
  <si>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</si>
  <si>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</si>
  <si>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</si>
  <si>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</si>
  <si>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</si>
  <si>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</si>
  <si>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</si>
  <si>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</si>
  <si>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</si>
  <si>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</si>
  <si>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</si>
  <si>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</si>
  <si>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</si>
  <si>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</si>
  <si>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</si>
  <si>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</si>
  <si>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</si>
  <si>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</si>
  <si>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</si>
  <si>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</si>
  <si>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</si>
  <si>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</si>
  <si>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</si>
  <si>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</si>
  <si>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</si>
  <si>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</si>
  <si>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</si>
  <si>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</si>
  <si>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</si>
  <si>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</si>
  <si>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</si>
  <si>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</si>
  <si>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</si>
  <si>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</si>
  <si>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</si>
  <si>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</si>
  <si>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</si>
  <si>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</si>
  <si>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</si>
  <si>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</si>
  <si>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</si>
  <si>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</si>
  <si>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</si>
  <si>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</si>
  <si>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</si>
  <si>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</si>
  <si>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</si>
  <si>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</si>
  <si>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</si>
  <si>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</si>
  <si>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</si>
  <si>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</si>
  <si>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</si>
  <si>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</si>
  <si>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</si>
  <si>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</si>
  <si>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</si>
  <si>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</si>
  <si>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</si>
  <si>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</si>
  <si>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</si>
  <si>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</si>
  <si>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</si>
  <si>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</si>
  <si>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</si>
  <si>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</si>
  <si>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</si>
  <si>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</si>
  <si>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</si>
  <si>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</si>
  <si>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</si>
  <si>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</si>
  <si>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</si>
  <si>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</si>
  <si>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</si>
  <si>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</si>
  <si>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</si>
  <si>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</si>
  <si>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</si>
  <si>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</si>
  <si>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</si>
  <si>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</si>
  <si>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</si>
  <si>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</si>
  <si>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</si>
  <si>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</si>
  <si>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</si>
  <si>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</si>
  <si>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</si>
  <si>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</si>
  <si>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</si>
  <si>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</si>
  <si>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</si>
  <si>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</si>
  <si>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</si>
  <si>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</si>
  <si>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</si>
  <si>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</si>
  <si>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</si>
  <si>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</si>
  <si>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</si>
  <si>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</si>
  <si>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</si>
  <si>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</si>
  <si>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</si>
  <si>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</si>
  <si>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</si>
  <si>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</si>
  <si>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</si>
  <si>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</si>
  <si>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</si>
  <si>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</si>
  <si>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</si>
  <si>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</si>
  <si>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</si>
  <si>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</si>
  <si>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</si>
  <si>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</si>
  <si>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</si>
  <si>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</si>
  <si>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</si>
  <si>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</si>
  <si>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</si>
  <si>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</si>
  <si>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</si>
  <si>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</si>
  <si>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</si>
  <si>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</si>
  <si>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</si>
  <si>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</si>
  <si>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</si>
  <si>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</si>
  <si>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</si>
  <si>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</si>
  <si>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</si>
  <si>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</si>
  <si>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</si>
  <si>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</si>
  <si>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</si>
  <si>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</si>
  <si>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</si>
  <si>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</si>
  <si>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</si>
  <si>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</si>
  <si>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</si>
  <si>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</si>
  <si>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</si>
  <si>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</si>
  <si>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</si>
  <si>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</si>
  <si>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</si>
  <si>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</si>
  <si>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</si>
  <si>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</si>
  <si>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</si>
  <si>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</si>
  <si>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</si>
  <si>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</si>
  <si>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</si>
  <si>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</si>
  <si>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</si>
  <si>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</si>
  <si>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</si>
  <si>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</si>
  <si>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</si>
  <si>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</si>
  <si>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</si>
  <si>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</si>
  <si>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</si>
  <si>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</si>
  <si>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</si>
  <si>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</si>
  <si>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</si>
  <si>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</si>
  <si>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</si>
  <si>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</si>
  <si>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</si>
  <si>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</si>
  <si>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</si>
  <si>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</si>
  <si>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</si>
  <si>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</si>
  <si>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</si>
  <si>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</si>
  <si>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</si>
  <si>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</si>
  <si>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</si>
  <si>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</si>
  <si>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</si>
  <si>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</si>
  <si>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</si>
  <si>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</si>
  <si>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</si>
  <si>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</si>
  <si>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</si>
  <si>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</si>
  <si>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</si>
  <si>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</si>
  <si>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</si>
  <si>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</si>
  <si>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</si>
  <si>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</si>
  <si>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</si>
  <si>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</si>
  <si>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</si>
  <si>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</si>
  <si>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</si>
  <si>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</si>
  <si>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</si>
  <si>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</si>
  <si>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</si>
  <si>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</si>
  <si>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</si>
  <si>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</si>
  <si>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</si>
  <si>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</si>
  <si>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</si>
  <si>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</si>
  <si>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</si>
  <si>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</si>
  <si>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</si>
  <si>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</si>
  <si>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</si>
  <si>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</si>
  <si>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</si>
  <si>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</si>
  <si>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</si>
  <si>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</si>
  <si>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</si>
  <si>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</si>
  <si>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</si>
  <si>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</si>
  <si>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</si>
  <si>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</si>
  <si>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</si>
  <si>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</si>
  <si>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</si>
  <si>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</si>
  <si>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</si>
  <si>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</si>
  <si>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</si>
  <si>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</si>
  <si>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</si>
  <si>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</si>
  <si>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</si>
  <si>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</si>
  <si>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</si>
  <si>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</si>
  <si>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</si>
  <si>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</si>
  <si>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</si>
  <si>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</si>
  <si>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</si>
  <si>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</si>
  <si>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</si>
  <si>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</si>
  <si>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</si>
  <si>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</si>
  <si>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</si>
  <si>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</si>
  <si>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</si>
  <si>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</si>
  <si>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</si>
  <si>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</si>
  <si>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</si>
  <si>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</si>
  <si>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</si>
  <si>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</si>
  <si>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</si>
  <si>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</si>
  <si>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</si>
  <si>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</si>
  <si>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</si>
  <si>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</si>
  <si>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</si>
  <si>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</si>
  <si>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</si>
  <si>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</si>
  <si>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</si>
  <si>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</si>
  <si>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</si>
  <si>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</si>
  <si>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</si>
  <si>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</si>
  <si>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</si>
  <si>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</si>
  <si>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</si>
  <si>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</si>
  <si>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</si>
  <si>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</si>
  <si>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</si>
  <si>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</si>
  <si>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</si>
  <si>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</si>
  <si>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</si>
  <si>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</si>
  <si>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</si>
  <si>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</si>
  <si>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</si>
  <si>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</si>
  <si>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</si>
  <si>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</si>
  <si>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</si>
  <si>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</si>
  <si>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</si>
  <si>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</si>
  <si>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</si>
  <si>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</si>
  <si>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</si>
  <si>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</si>
  <si>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</si>
  <si>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</si>
  <si>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</si>
  <si>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</si>
  <si>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</si>
  <si>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</si>
  <si>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</si>
  <si>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</si>
  <si>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</si>
  <si>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</si>
  <si>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</si>
  <si>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</si>
  <si>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</si>
  <si>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</si>
  <si>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</si>
  <si>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</si>
  <si>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</si>
  <si>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</si>
  <si>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</si>
  <si>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</si>
  <si>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</si>
  <si>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</si>
  <si>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</si>
  <si>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</si>
  <si>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</si>
  <si>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</si>
  <si>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</si>
  <si>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</si>
  <si>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</si>
  <si>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</si>
  <si>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</si>
  <si>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</si>
  <si>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</si>
  <si>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</si>
  <si>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</si>
  <si>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</si>
  <si>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</si>
  <si>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</si>
  <si>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</si>
  <si>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</si>
  <si>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</si>
  <si>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</si>
  <si>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</si>
  <si>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</si>
  <si>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</si>
  <si>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</si>
  <si>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</si>
  <si>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</si>
  <si>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</si>
  <si>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</si>
  <si>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</si>
  <si>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</si>
  <si>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</si>
  <si>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</si>
  <si>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</si>
  <si>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</si>
  <si>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</si>
  <si>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</si>
  <si>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</si>
  <si>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</si>
  <si>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</si>
  <si>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</si>
  <si>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</si>
  <si>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</si>
  <si>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</si>
  <si>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</si>
  <si>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</si>
  <si>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</si>
  <si>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</si>
  <si>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</si>
  <si>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</si>
  <si>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</si>
  <si>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</si>
  <si>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</si>
  <si>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</si>
  <si>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</si>
  <si>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</si>
  <si>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</si>
  <si>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</si>
  <si>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</si>
  <si>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</si>
  <si>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</si>
  <si>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</si>
  <si>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</si>
  <si>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</si>
  <si>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</si>
  <si>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</si>
  <si>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</si>
  <si>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</si>
  <si>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</si>
  <si>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</si>
  <si>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</si>
  <si>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</si>
  <si>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</si>
  <si>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</si>
  <si>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</si>
  <si>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</si>
  <si>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</si>
  <si>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</si>
  <si>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</si>
  <si>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</si>
  <si>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</si>
  <si>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</si>
  <si>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</si>
  <si>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</si>
  <si>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</si>
  <si>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</si>
  <si>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</si>
  <si>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</si>
  <si>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</si>
  <si>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</si>
  <si>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</si>
  <si>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</si>
  <si>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</si>
  <si>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</si>
  <si>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</si>
  <si>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</si>
  <si>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</si>
  <si>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</si>
  <si>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</si>
  <si>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</si>
  <si>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</si>
  <si>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</si>
  <si>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</si>
  <si>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</si>
  <si>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</si>
  <si>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</si>
  <si>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</si>
  <si>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</si>
  <si>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</si>
  <si>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</si>
  <si>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</si>
  <si>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</si>
  <si>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</si>
  <si>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</si>
  <si>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</si>
  <si>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</si>
  <si>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</si>
  <si>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</si>
  <si>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</si>
  <si>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</si>
  <si>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</si>
  <si>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</si>
  <si>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</si>
  <si>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</si>
  <si>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</si>
  <si>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</si>
  <si>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</si>
  <si>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</si>
  <si>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</si>
  <si>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</si>
  <si>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</si>
  <si>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</si>
  <si>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</si>
  <si>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</si>
  <si>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</si>
  <si>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</si>
  <si>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</si>
  <si>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</si>
  <si>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</si>
  <si>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</si>
  <si>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</si>
  <si>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</si>
  <si>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</si>
  <si>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</si>
  <si>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</si>
  <si>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</si>
  <si>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</si>
  <si>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</si>
  <si>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</si>
  <si>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</si>
  <si>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</si>
  <si>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</si>
  <si>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</si>
  <si>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</si>
  <si>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</si>
  <si>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</si>
  <si>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</si>
  <si>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</si>
  <si>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</si>
  <si>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</si>
  <si>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</si>
  <si>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</si>
  <si>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</si>
  <si>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</si>
  <si>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</si>
  <si>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</si>
  <si>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</si>
  <si>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</si>
  <si>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</si>
  <si>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</si>
  <si>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</si>
  <si>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</si>
  <si>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</si>
  <si>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</si>
  <si>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</si>
  <si>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</si>
  <si>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</si>
  <si>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</si>
  <si>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</si>
  <si>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</si>
  <si>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</si>
  <si>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</si>
  <si>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</si>
  <si>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</si>
  <si>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</si>
  <si>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</si>
  <si>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</si>
  <si>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</si>
  <si>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</si>
  <si>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</si>
  <si>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</si>
  <si>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</si>
  <si>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</si>
  <si>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</si>
  <si>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</si>
  <si>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</si>
  <si>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</si>
  <si>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</si>
  <si>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</si>
  <si>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</si>
  <si>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</si>
  <si>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</si>
  <si>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</si>
  <si>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</si>
  <si>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</si>
  <si>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</si>
  <si>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</si>
  <si>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</si>
  <si>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</si>
  <si>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</si>
  <si>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</si>
  <si>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</si>
  <si>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</si>
  <si>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</si>
  <si>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</si>
  <si>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</si>
  <si>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</si>
  <si>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</si>
  <si>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</si>
  <si>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</si>
  <si>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</si>
  <si>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</si>
  <si>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</si>
  <si>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</si>
  <si>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</si>
  <si>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</si>
  <si>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</si>
  <si>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</si>
  <si>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</si>
  <si>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</si>
  <si>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</si>
  <si>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</si>
  <si>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</si>
  <si>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</si>
  <si>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</si>
  <si>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</si>
  <si>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</si>
  <si>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</si>
  <si>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</si>
  <si>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</si>
  <si>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</si>
  <si>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</si>
  <si>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</si>
  <si>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</si>
  <si>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</si>
  <si>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</si>
  <si>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</si>
  <si>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</si>
  <si>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</si>
  <si>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</si>
  <si>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</si>
  <si>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</si>
  <si>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</si>
  <si>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</si>
  <si>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</si>
  <si>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</si>
  <si>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</si>
  <si>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</si>
  <si>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</si>
  <si>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</si>
  <si>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</si>
  <si>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</si>
  <si>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</si>
  <si>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</si>
  <si>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</si>
  <si>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</si>
  <si>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</si>
  <si>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</si>
  <si>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</si>
  <si>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</si>
  <si>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</si>
  <si>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</si>
  <si>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</si>
  <si>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</si>
  <si>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</si>
  <si>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</si>
  <si>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</si>
  <si>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</si>
  <si>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</si>
  <si>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</si>
  <si>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</si>
  <si>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</si>
  <si>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</si>
  <si>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</si>
  <si>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</si>
  <si>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</si>
  <si>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</si>
  <si>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</si>
  <si>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</si>
  <si>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</si>
  <si>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</si>
  <si>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</si>
  <si>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</si>
  <si>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</si>
  <si>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</si>
  <si>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</si>
  <si>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</si>
  <si>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</si>
  <si>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</si>
  <si>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</si>
  <si>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</si>
  <si>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</si>
  <si>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</si>
  <si>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</si>
  <si>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</si>
  <si>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</si>
  <si>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</si>
  <si>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</si>
  <si>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</si>
  <si>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</si>
  <si>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</si>
  <si>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</si>
  <si>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</si>
  <si>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</si>
  <si>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</si>
  <si>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</si>
  <si>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</si>
  <si>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</si>
  <si>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</si>
  <si>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</si>
  <si>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</si>
  <si>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</si>
  <si>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</si>
  <si>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</si>
  <si>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</si>
  <si>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</si>
  <si>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</si>
  <si>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</si>
  <si>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</si>
  <si>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</si>
  <si>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</si>
  <si>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</si>
  <si>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</si>
  <si>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</si>
  <si>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</si>
  <si>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</si>
  <si>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</si>
  <si>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</si>
  <si>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</si>
  <si>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</si>
  <si>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</si>
  <si>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</si>
  <si>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</si>
  <si>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</si>
  <si>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</si>
  <si>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</si>
  <si>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</si>
  <si>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</si>
  <si>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</si>
  <si>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</si>
  <si>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</si>
  <si>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</si>
  <si>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</si>
  <si>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</si>
  <si>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</si>
  <si>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</si>
  <si>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</si>
  <si>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</si>
  <si>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</si>
  <si>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</si>
  <si>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</si>
  <si>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</si>
  <si>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</si>
  <si>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</si>
  <si>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</si>
  <si>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</si>
  <si>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</si>
  <si>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</si>
  <si>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</si>
  <si>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</si>
  <si>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</si>
  <si>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</si>
  <si>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</si>
  <si>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</si>
  <si>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</si>
  <si>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</si>
  <si>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</si>
  <si>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</si>
  <si>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</si>
  <si>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</si>
  <si>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</si>
  <si>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</si>
  <si>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</si>
  <si>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</si>
  <si>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</si>
  <si>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</si>
  <si>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</si>
  <si>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</si>
  <si>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</si>
  <si>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</si>
  <si>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</si>
  <si>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</si>
  <si>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</si>
  <si>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</si>
  <si>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</si>
  <si>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</si>
  <si>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</si>
  <si>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</si>
  <si>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</si>
  <si>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</si>
  <si>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</si>
  <si>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</si>
  <si>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</si>
  <si>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</si>
  <si>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</si>
  <si>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</si>
  <si>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</si>
  <si>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</si>
  <si>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</si>
  <si>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</si>
  <si>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</si>
  <si>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</si>
  <si>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</si>
  <si>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</si>
  <si>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</si>
  <si>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</si>
  <si>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</si>
  <si>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</si>
  <si>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</si>
  <si>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</si>
  <si>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</si>
  <si>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</si>
  <si>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</si>
  <si>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</si>
  <si>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</si>
  <si>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</si>
  <si>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</si>
  <si>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</si>
  <si>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</si>
  <si>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</si>
  <si>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</si>
  <si>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</si>
  <si>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</si>
  <si>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</si>
  <si>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</si>
  <si>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</si>
  <si>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</si>
  <si>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</si>
  <si>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</si>
  <si>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</si>
  <si>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</si>
  <si>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</si>
  <si>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</si>
  <si>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</si>
  <si>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</si>
  <si>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</si>
  <si>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</si>
  <si>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</si>
  <si>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</si>
  <si>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</si>
  <si>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</si>
  <si>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</si>
  <si>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</si>
  <si>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</si>
  <si>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</si>
  <si>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</si>
  <si>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</si>
  <si>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</si>
  <si>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</si>
  <si>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</si>
  <si>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</si>
  <si>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</si>
  <si>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</si>
  <si>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</si>
  <si>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</si>
  <si>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</si>
  <si>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</si>
  <si>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</si>
  <si>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</si>
  <si>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</si>
  <si>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</si>
  <si>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</si>
  <si>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</si>
  <si>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</si>
  <si>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</si>
  <si>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</si>
  <si>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</si>
  <si>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</si>
  <si>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</si>
  <si>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</si>
  <si>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</si>
  <si>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</si>
  <si>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</si>
  <si>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</si>
  <si>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</si>
  <si>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</si>
  <si>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</si>
  <si>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</si>
  <si>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</si>
  <si>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</si>
  <si>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</si>
  <si>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</si>
  <si>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</si>
  <si>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</si>
  <si>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</si>
  <si>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</si>
  <si>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</si>
  <si>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</si>
  <si>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</si>
  <si>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</si>
  <si>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</si>
  <si>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</si>
  <si>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</si>
  <si>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</si>
  <si>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</si>
  <si>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</si>
  <si>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</si>
  <si>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</si>
  <si>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</si>
  <si>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</si>
  <si>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</si>
  <si>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</si>
  <si>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</si>
  <si>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</si>
  <si>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</si>
  <si>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</si>
  <si>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</si>
  <si>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</si>
  <si>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</si>
  <si>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</si>
  <si>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</si>
  <si>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</si>
  <si>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</si>
  <si>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</si>
  <si>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</si>
  <si>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</si>
  <si>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</si>
  <si>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</si>
  <si>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</si>
  <si>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</si>
  <si>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</si>
  <si>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</si>
  <si>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</si>
  <si>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</si>
  <si>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</si>
  <si>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</si>
  <si>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</si>
  <si>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</si>
  <si>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</si>
  <si>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</si>
  <si>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</si>
  <si>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</si>
  <si>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</si>
  <si>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</si>
  <si>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</si>
  <si>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</si>
  <si>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</si>
  <si>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</si>
  <si>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</si>
  <si>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</si>
  <si>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</si>
  <si>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</si>
  <si>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</si>
  <si>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</si>
  <si>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</si>
  <si>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</si>
  <si>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</si>
  <si>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</si>
  <si>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</si>
  <si>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</si>
  <si>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</si>
  <si>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</si>
  <si>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</si>
  <si>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</si>
  <si>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</si>
  <si>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</si>
  <si>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</si>
  <si>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</si>
  <si>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</si>
  <si>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</si>
  <si>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</si>
  <si>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</si>
  <si>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</si>
  <si>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</si>
  <si>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</si>
  <si>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</si>
  <si>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</si>
  <si>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</si>
  <si>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</si>
  <si>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</si>
  <si>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</si>
  <si>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</si>
  <si>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</si>
  <si>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</si>
  <si>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</si>
  <si>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</si>
  <si>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</si>
  <si>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</si>
  <si>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</si>
  <si>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</si>
  <si>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</si>
  <si>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</si>
  <si>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</si>
  <si>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</si>
  <si>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</si>
  <si>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</si>
  <si>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</si>
  <si>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</si>
  <si>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</si>
  <si>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</si>
  <si>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</si>
  <si>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</si>
  <si>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</si>
  <si>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</si>
  <si>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</si>
  <si>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</si>
  <si>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</si>
  <si>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</si>
  <si>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</si>
  <si>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</si>
  <si>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</si>
  <si>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</si>
  <si>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</si>
  <si>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</si>
  <si>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</si>
  <si>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</si>
  <si>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</si>
  <si>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</si>
  <si>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</si>
  <si>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</si>
  <si>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</si>
  <si>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</si>
  <si>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</si>
  <si>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</si>
  <si>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</si>
  <si>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</si>
  <si>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</si>
  <si>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</si>
  <si>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</si>
  <si>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</si>
  <si>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</si>
  <si>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</si>
  <si>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</si>
  <si>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</si>
  <si>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</si>
  <si>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</si>
  <si>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</si>
  <si>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</si>
  <si>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</si>
  <si>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</si>
  <si>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</si>
  <si>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</si>
  <si>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</si>
  <si>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</si>
  <si>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</si>
  <si>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</si>
  <si>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</si>
  <si>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</si>
  <si>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</si>
  <si>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</si>
  <si>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</si>
  <si>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</si>
  <si>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</si>
  <si>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</si>
  <si>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</si>
  <si>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</si>
  <si>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</si>
  <si>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</si>
  <si>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</si>
  <si>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</si>
  <si>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</si>
  <si>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</si>
  <si>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</si>
  <si>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</si>
  <si>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</si>
  <si>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</si>
  <si>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</si>
  <si>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</si>
  <si>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</si>
  <si>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</si>
  <si>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</si>
  <si>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</si>
  <si>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</si>
  <si>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</si>
  <si>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</si>
  <si>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</si>
  <si>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</si>
  <si>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</si>
  <si>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</si>
  <si>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</si>
  <si>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</si>
  <si>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</si>
  <si>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</si>
  <si>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</si>
  <si>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</si>
  <si>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</si>
  <si>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</si>
  <si>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</si>
  <si>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</si>
  <si>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</si>
  <si>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</si>
  <si>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</si>
  <si>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</si>
  <si>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</si>
  <si>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</si>
  <si>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</si>
  <si>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</si>
  <si>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</si>
  <si>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</si>
  <si>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</si>
  <si>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</si>
  <si>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</si>
  <si>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</si>
  <si>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</si>
  <si>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</si>
  <si>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</si>
  <si>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</si>
  <si>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</si>
  <si>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</si>
  <si>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</si>
  <si>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</si>
  <si>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</si>
  <si>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</si>
  <si>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</si>
  <si>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</si>
  <si>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</si>
  <si>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</si>
  <si>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</si>
  <si>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</si>
  <si>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</si>
  <si>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</si>
  <si>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</si>
  <si>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</si>
  <si>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</si>
  <si>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</si>
  <si>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</si>
  <si>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</si>
  <si>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</si>
  <si>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</si>
  <si>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</si>
  <si>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</si>
  <si>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</si>
  <si>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</si>
  <si>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</si>
  <si>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</si>
  <si>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</si>
  <si>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</si>
  <si>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</si>
  <si>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</si>
  <si>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</si>
  <si>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</si>
  <si>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</si>
  <si>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</si>
  <si>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</si>
  <si>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</si>
  <si>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</si>
  <si>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</si>
  <si>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</si>
  <si>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</si>
  <si>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</si>
  <si>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</si>
  <si>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</si>
  <si>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</si>
  <si>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</si>
  <si>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</si>
  <si>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</si>
  <si>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</si>
  <si>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</si>
  <si>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</si>
  <si>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</si>
  <si>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</si>
  <si>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</si>
  <si>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</si>
  <si>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</si>
  <si>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</si>
  <si>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</si>
  <si>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</si>
  <si>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</si>
  <si>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</si>
  <si>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</si>
  <si>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</si>
  <si>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</si>
  <si>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</si>
  <si>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</si>
  <si>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</si>
  <si>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</si>
  <si>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</si>
  <si>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</si>
  <si>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</si>
  <si>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</si>
  <si>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</si>
  <si>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</si>
  <si>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</si>
  <si>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</si>
  <si>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</si>
  <si>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</si>
  <si>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</si>
  <si>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</si>
  <si>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</si>
  <si>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</si>
  <si>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</si>
  <si>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</si>
  <si>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</si>
  <si>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</si>
  <si>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</si>
  <si>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</si>
  <si>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</si>
  <si>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</si>
  <si>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</si>
  <si>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</si>
  <si>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</si>
  <si>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</si>
  <si>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</si>
  <si>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</si>
  <si>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</si>
  <si>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</si>
  <si>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</si>
  <si>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</si>
  <si>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</si>
  <si>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</si>
  <si>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</si>
  <si>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</si>
  <si>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</si>
  <si>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</si>
  <si>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</si>
  <si>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</si>
  <si>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</si>
  <si>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</si>
  <si>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</si>
  <si>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</si>
  <si>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</si>
  <si>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</si>
  <si>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</si>
  <si>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</si>
  <si>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</si>
  <si>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</si>
  <si>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</si>
  <si>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</si>
  <si>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</si>
  <si>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</si>
  <si>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</si>
  <si>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</si>
  <si>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</si>
  <si>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</si>
  <si>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</si>
  <si>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</si>
  <si>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</si>
  <si>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</si>
  <si>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</si>
  <si>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</si>
  <si>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</si>
  <si>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</si>
  <si>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</si>
  <si>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</si>
  <si>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</si>
  <si>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</si>
  <si>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</si>
  <si>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</si>
  <si>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</si>
  <si>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</si>
  <si>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</si>
  <si>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</si>
  <si>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</si>
  <si>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</si>
  <si>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</si>
  <si>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</si>
  <si>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</si>
  <si>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</si>
  <si>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</si>
  <si>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</si>
  <si>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</si>
  <si>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</si>
  <si>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</si>
  <si>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</si>
  <si>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</si>
  <si>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</si>
  <si>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</si>
  <si>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</si>
  <si>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</si>
  <si>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</si>
  <si>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</si>
  <si>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</si>
  <si>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</si>
  <si>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</si>
  <si>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</si>
  <si>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</si>
  <si>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</si>
  <si>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</si>
  <si>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</si>
  <si>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</si>
  <si>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</si>
  <si>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</si>
  <si>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</si>
  <si>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</si>
  <si>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</si>
  <si>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</si>
  <si>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</si>
  <si>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</si>
  <si>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</si>
  <si>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</si>
  <si>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</si>
  <si>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</si>
  <si>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</si>
  <si>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</si>
  <si>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</si>
  <si>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</si>
  <si>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</si>
  <si>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</si>
  <si>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</si>
  <si>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</si>
  <si>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</si>
  <si>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</si>
  <si>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</si>
  <si>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</si>
  <si>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</si>
  <si>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</si>
  <si>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</si>
  <si>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</si>
  <si>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</si>
  <si>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</si>
  <si>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</si>
  <si>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</si>
  <si>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</si>
  <si>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</si>
  <si>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</si>
  <si>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</si>
  <si>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</si>
  <si>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</si>
  <si>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</si>
  <si>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</si>
  <si>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</si>
  <si>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</si>
  <si>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</si>
  <si>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</si>
  <si>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</si>
  <si>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</si>
  <si>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</si>
  <si>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</si>
  <si>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</si>
  <si>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</si>
  <si>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</si>
  <si>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</si>
  <si>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</si>
  <si>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</si>
  <si>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</si>
  <si>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</si>
  <si>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</si>
  <si>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</si>
  <si>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</si>
  <si>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</si>
  <si>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</si>
  <si>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</si>
  <si>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</si>
  <si>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</si>
  <si>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</si>
  <si>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</si>
  <si>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</si>
  <si>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</si>
  <si>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</si>
  <si>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</si>
  <si>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</si>
  <si>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</si>
  <si>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</si>
  <si>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</si>
  <si>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</si>
  <si>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</si>
  <si>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</si>
  <si>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</si>
  <si>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</si>
  <si>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</si>
  <si>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</si>
  <si>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</si>
  <si>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</si>
  <si>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</si>
  <si>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</si>
  <si>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</si>
  <si>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</si>
  <si>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</si>
  <si>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</si>
  <si>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</si>
  <si>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</si>
  <si>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</si>
  <si>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</si>
  <si>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</si>
  <si>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</si>
  <si>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</si>
  <si>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</si>
  <si>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</si>
  <si>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</si>
  <si>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</si>
  <si>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</si>
  <si>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</si>
  <si>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</si>
  <si>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</si>
  <si>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</si>
  <si>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</si>
  <si>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</si>
  <si>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</si>
  <si>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</si>
  <si>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</si>
  <si>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</si>
  <si>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</si>
  <si>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</si>
  <si>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</si>
  <si>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</si>
  <si>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</si>
  <si>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</si>
  <si>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</si>
  <si>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</si>
  <si>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</si>
  <si>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</si>
  <si>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</si>
  <si>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</si>
  <si>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</si>
  <si>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</si>
  <si>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</si>
  <si>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</si>
  <si>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</si>
  <si>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</si>
  <si>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</si>
  <si>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</si>
  <si>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</si>
  <si>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</si>
  <si>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</si>
  <si>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</si>
  <si>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</si>
  <si>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</si>
  <si>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</si>
  <si>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</si>
  <si>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</si>
  <si>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</si>
  <si>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</si>
  <si>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</si>
  <si>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</si>
  <si>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</si>
  <si>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</si>
  <si>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</si>
  <si>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</si>
  <si>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</si>
  <si>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</si>
  <si>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</si>
  <si>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</si>
  <si>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</si>
  <si>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</si>
  <si>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</si>
  <si>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</si>
  <si>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</si>
  <si>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</si>
  <si>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</si>
  <si>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</si>
  <si>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</si>
  <si>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</si>
  <si>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</si>
  <si>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</si>
  <si>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</si>
  <si>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</si>
  <si>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</si>
  <si>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</si>
  <si>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</si>
  <si>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</si>
  <si>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</si>
  <si>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</si>
  <si>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</si>
  <si>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</si>
  <si>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</si>
  <si>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</si>
  <si>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</si>
  <si>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</si>
  <si>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</si>
  <si>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</si>
  <si>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</si>
  <si>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</si>
  <si>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</si>
  <si>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</si>
  <si>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</si>
  <si>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</si>
  <si>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</si>
  <si>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</si>
  <si>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</si>
  <si>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</si>
  <si>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</si>
  <si>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</si>
  <si>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</si>
  <si>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</si>
  <si>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</si>
  <si>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</si>
  <si>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</si>
  <si>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</si>
  <si>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</si>
  <si>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</si>
  <si>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</si>
  <si>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</si>
  <si>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</si>
  <si>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</si>
  <si>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</si>
  <si>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</si>
  <si>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</si>
  <si>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</si>
  <si>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</si>
  <si>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</si>
  <si>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</si>
  <si>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</si>
  <si>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</si>
  <si>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</si>
  <si>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</si>
  <si>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</si>
  <si>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</si>
  <si>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</si>
  <si>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</si>
  <si>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</si>
  <si>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</si>
  <si>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</si>
  <si>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</si>
  <si>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</si>
  <si>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</si>
  <si>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</si>
  <si>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</si>
  <si>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</si>
  <si>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</si>
  <si>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</si>
  <si>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</si>
  <si>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</si>
  <si>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</si>
  <si>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</si>
  <si>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</si>
  <si>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</si>
  <si>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</si>
  <si>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</si>
  <si>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</si>
  <si>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</si>
  <si>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</si>
  <si>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</si>
  <si>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</si>
  <si>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</si>
  <si>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</si>
  <si>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</si>
  <si>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</si>
  <si>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</si>
  <si>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</si>
  <si>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</si>
  <si>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</si>
  <si>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</si>
  <si>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</si>
  <si>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</si>
  <si>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</si>
  <si>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</si>
  <si>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</si>
  <si>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</si>
  <si>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</si>
  <si>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</si>
  <si>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</si>
  <si>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</si>
  <si>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</si>
  <si>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</si>
  <si>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</si>
  <si>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</si>
  <si>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</si>
  <si>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</si>
  <si>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</si>
  <si>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</si>
  <si>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</si>
  <si>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</si>
  <si>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</si>
  <si>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</si>
  <si>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</si>
  <si>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</si>
  <si>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</si>
  <si>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</si>
  <si>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</si>
  <si>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</si>
  <si>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</si>
  <si>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</si>
  <si>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</si>
  <si>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</si>
  <si>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</si>
  <si>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</si>
  <si>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</si>
  <si>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</si>
  <si>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</si>
  <si>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</si>
  <si>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</si>
  <si>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</si>
  <si>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</si>
  <si>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</si>
  <si>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</si>
  <si>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</si>
  <si>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</si>
  <si>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</si>
  <si>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</si>
  <si>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</si>
  <si>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</si>
  <si>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</si>
  <si>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</si>
  <si>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</si>
  <si>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</si>
  <si>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</si>
  <si>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</si>
  <si>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</si>
  <si>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</si>
  <si>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</si>
  <si>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</si>
  <si>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</si>
  <si>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</si>
  <si>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</si>
  <si>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</si>
  <si>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</si>
  <si>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</si>
  <si>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</si>
  <si>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</si>
  <si>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</si>
  <si>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</si>
  <si>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</si>
  <si>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</si>
  <si>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</si>
  <si>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</si>
  <si>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</si>
  <si>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</si>
  <si>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</si>
  <si>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</si>
  <si>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</si>
  <si>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</si>
  <si>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</si>
  <si>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</si>
  <si>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</si>
  <si>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</si>
  <si>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</si>
  <si>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</si>
  <si>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</si>
  <si>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</si>
  <si>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</si>
  <si>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</si>
  <si>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</si>
  <si>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</si>
  <si>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</si>
  <si>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</si>
  <si>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</si>
  <si>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</si>
  <si>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</si>
  <si>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</si>
  <si>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</si>
  <si>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</si>
  <si>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</si>
  <si>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</si>
  <si>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</si>
  <si>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</si>
  <si>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</si>
  <si>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</si>
  <si>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</si>
  <si>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</si>
  <si>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</si>
  <si>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</si>
  <si>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</si>
  <si>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</si>
  <si>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</si>
  <si>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</si>
  <si>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</si>
  <si>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</si>
  <si>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</si>
  <si>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</si>
  <si>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</si>
  <si>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</si>
  <si>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</si>
  <si>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</si>
  <si>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</si>
  <si>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</si>
  <si>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</si>
  <si>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</si>
  <si>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</si>
  <si>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</si>
  <si>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</si>
  <si>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</si>
  <si>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</si>
  <si>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</si>
  <si>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</si>
  <si>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</si>
  <si>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</si>
  <si>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</si>
  <si>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</si>
  <si>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</si>
  <si>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</si>
  <si>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</si>
  <si>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</si>
  <si>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</si>
  <si>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</si>
  <si>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</si>
  <si>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</si>
  <si>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</si>
  <si>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</si>
  <si>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</si>
  <si>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</si>
  <si>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</si>
  <si>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</si>
  <si>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</si>
  <si>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</si>
  <si>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</si>
  <si>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</si>
  <si>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</si>
  <si>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</si>
  <si>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</si>
  <si>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</si>
  <si>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</si>
  <si>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</si>
  <si>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</si>
  <si>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</si>
  <si>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</si>
  <si>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</si>
  <si>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</si>
  <si>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</si>
  <si>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</si>
  <si>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</si>
  <si>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</si>
  <si>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</si>
  <si>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</si>
  <si>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</si>
  <si>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</si>
  <si>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</si>
  <si>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</si>
  <si>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</si>
  <si>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</si>
  <si>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</si>
  <si>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</si>
  <si>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</si>
  <si>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</si>
  <si>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</si>
  <si>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</si>
  <si>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</si>
  <si>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</si>
  <si>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</si>
  <si>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</si>
  <si>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</si>
  <si>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</si>
  <si>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</si>
  <si>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</si>
  <si>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</si>
  <si>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</si>
  <si>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</si>
  <si>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</si>
  <si>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</si>
  <si>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</si>
  <si>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</si>
  <si>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</si>
  <si>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</si>
  <si>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</si>
  <si>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</si>
  <si>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</si>
  <si>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</si>
  <si>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</si>
  <si>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</si>
  <si>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</si>
  <si>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</si>
  <si>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</si>
  <si>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</si>
  <si>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</si>
  <si>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</si>
  <si>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</si>
  <si>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</si>
  <si>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</si>
  <si>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</si>
  <si>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</si>
  <si>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</si>
  <si>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</si>
  <si>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</si>
  <si>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</si>
  <si>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</si>
  <si>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</si>
  <si>
    <t>120분</t>
    <phoneticPr fontId="2" type="noConversion"/>
  </si>
  <si>
    <t>드라마, SF, 가족</t>
    <phoneticPr fontId="2" type="noConversion"/>
  </si>
  <si>
    <t>감독: 고레에다 히로카즈
출연: 아야세 하루카, 다이고, 쿠와키 리무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</si>
  <si>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</si>
  <si>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</si>
  <si>
    <t>감독: 킴 파란트
출연: 레이튼 미스터, 크리스티나 울프</t>
    <phoneticPr fontId="2" type="noConversion"/>
  </si>
  <si>
    <t>미스터리, 스릴러</t>
    <phoneticPr fontId="2" type="noConversion"/>
  </si>
  <si>
    <t>감독: 클레어 스캔런
출연: 릴리 라인하트, 톰 베이트먼, 레이첼 마시, 자부키 영화이트</t>
    <phoneticPr fontId="2" type="noConversion"/>
  </si>
  <si>
    <t>드라마, 로맨틱 코미디</t>
    <phoneticPr fontId="2" type="noConversion"/>
  </si>
  <si>
    <t>액션·범죄·미스터리·드라마</t>
    <phoneticPr fontId="2" type="noConversion"/>
  </si>
  <si>
    <t>감독: 샘 힐(Sam Hill)과 게리 플레더(Gary Fleder)
출연: 마리아 스텐, 그레이스턴 홀트, 재스퍼 존스</t>
    <phoneticPr fontId="2" type="noConversion"/>
  </si>
  <si>
    <t>감독: 피터 &amp; 마이클 스피어리그
출연: 해리엇 슬레이터, 아세마 토마스, 톰 브리트니</t>
    <phoneticPr fontId="2" type="noConversion"/>
  </si>
  <si>
    <t>모험, 드라마, 스릴러, 액션</t>
    <phoneticPr fontId="2" type="noConversion"/>
  </si>
  <si>
    <t>범죄, 드라마, 스릴러</t>
    <phoneticPr fontId="2" type="noConversion"/>
  </si>
  <si>
    <t>감독: 가이 리치, 로렌스 고흐
출연: 톰 하디, 피어스 브로스넌, 헬렌 미렌, 패디 콘시딘</t>
    <phoneticPr fontId="2" type="noConversion"/>
  </si>
  <si>
    <t>SF, 스릴러</t>
    <phoneticPr fontId="2" type="noConversion"/>
  </si>
  <si>
    <t>09부작</t>
    <phoneticPr fontId="2" type="noConversion"/>
  </si>
  <si>
    <t>연출: 제이콥 버브루겐 외
출연: 조엘 에저튼, 제니퍼 코넬리, 지미 심슨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</si>
</sst>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7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 wrapText="1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507" totalsRowShown="0" headerRowDxfId="13" dataDxfId="11" headerRowBorderDxfId="12" tableBorderDxfId="10">
  <autoFilter ref="A2:J3507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7"/>
  <sheetViews>
    <sheetView showGridLines="0" tabSelected="1" workbookViewId="0">
      <pane ySplit="2" topLeftCell="A3501" activePane="bottomLeft" state="frozen"/>
      <selection pane="bottomLeft" activeCell="D3508" sqref="D3508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5" t="s">
        <v>3523</v>
      </c>
      <c r="B1" s="115"/>
      <c r="C1" s="115"/>
      <c r="D1" s="115"/>
      <c r="E1" s="115"/>
      <c r="F1" s="115"/>
      <c r="G1" s="116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3652</v>
      </c>
      <c r="E3496" s="25" t="s">
        <v>3488</v>
      </c>
      <c r="F3496" s="25">
        <v>2026</v>
      </c>
      <c r="G3496" s="25" t="s">
        <v>3490</v>
      </c>
      <c r="H3496" s="25" t="s">
        <v>3651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3653</v>
      </c>
      <c r="E3497" s="25" t="s">
        <v>3495</v>
      </c>
      <c r="F3497" s="25">
        <v>2026</v>
      </c>
      <c r="G3497" s="25" t="s">
        <v>3490</v>
      </c>
      <c r="H3497" s="25" t="s">
        <v>3654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3655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3656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3658</v>
      </c>
      <c r="E3499" s="73" t="s">
        <v>3488</v>
      </c>
      <c r="F3499" s="73">
        <v>2023</v>
      </c>
      <c r="G3499" s="73" t="s">
        <v>3489</v>
      </c>
      <c r="H3499" s="73" t="s">
        <v>3657</v>
      </c>
      <c r="I3499" s="73" t="s">
        <v>3560</v>
      </c>
      <c r="J3499" s="111">
        <v>46296</v>
      </c>
      <c r="K3499" s="76"/>
      <c r="L3499" s="76"/>
      <c r="M3499" s="76"/>
      <c r="N3499" s="76"/>
    </row>
    <row r="3500" spans="1:14" s="58" customFormat="1" ht="34.200000000000003" customHeight="1" x14ac:dyDescent="0.6">
      <c r="A3500" s="113">
        <v>3498</v>
      </c>
      <c r="B3500" s="94" t="str">
        <f>HYPERLINK("https://search.naver.com/search.naver?query=상자 속의 양", "상자 속의 양 (heep in the Box)")</f>
        <v>상자 속의 양 (heep in the Box)</v>
      </c>
      <c r="C3500" s="74"/>
      <c r="D3500" s="75" t="s">
        <v>3661</v>
      </c>
      <c r="E3500" s="73" t="s">
        <v>3500</v>
      </c>
      <c r="F3500" s="73">
        <v>2026</v>
      </c>
      <c r="G3500" s="73" t="s">
        <v>3489</v>
      </c>
      <c r="H3500" s="73" t="s">
        <v>3660</v>
      </c>
      <c r="I3500" s="73" t="s">
        <v>3659</v>
      </c>
      <c r="J3500" s="111">
        <v>46296</v>
      </c>
      <c r="K3500" s="76"/>
      <c r="L3500" s="76"/>
      <c r="M3500" s="76"/>
      <c r="N3500" s="76"/>
    </row>
    <row r="3501" spans="1:14" ht="34.200000000000003" customHeight="1" x14ac:dyDescent="0.6">
      <c r="A3501" s="25">
        <v>3499</v>
      </c>
      <c r="B3501" s="92" t="str">
        <f>HYPERLINK("https://search.naver.com/search.naver?query=퓨리어스 시즌1", "퓨리어스 (Furious) 시즌1")</f>
        <v>퓨리어스 (Furious) 시즌1</v>
      </c>
      <c r="C3501" s="72"/>
      <c r="D3501" s="32" t="s">
        <v>3663</v>
      </c>
      <c r="E3501" s="25" t="s">
        <v>3488</v>
      </c>
      <c r="F3501" s="25">
        <v>2026</v>
      </c>
      <c r="G3501" s="25" t="s">
        <v>3490</v>
      </c>
      <c r="H3501" s="25" t="s">
        <v>3662</v>
      </c>
      <c r="I3501" s="25" t="s">
        <v>3545</v>
      </c>
      <c r="J3501" s="110">
        <v>46299</v>
      </c>
    </row>
    <row r="3502" spans="1:14" s="58" customFormat="1" ht="34.200000000000003" customHeight="1" x14ac:dyDescent="0.6">
      <c r="A3502" s="113">
        <v>3500</v>
      </c>
      <c r="B3502" s="94" t="str">
        <f>HYPERLINK("https://search.naver.com/search.naver?query=위크엔드어웨이", "위크엔드어웨이 (The Weekend Away)")</f>
        <v>위크엔드어웨이 (The Weekend Away)</v>
      </c>
      <c r="C3502" s="74"/>
      <c r="D3502" s="75" t="s">
        <v>3664</v>
      </c>
      <c r="E3502" s="73" t="s">
        <v>3488</v>
      </c>
      <c r="F3502" s="73">
        <v>2022</v>
      </c>
      <c r="G3502" s="73" t="s">
        <v>3489</v>
      </c>
      <c r="H3502" s="73" t="s">
        <v>3665</v>
      </c>
      <c r="I3502" s="73" t="s">
        <v>3656</v>
      </c>
      <c r="J3502" s="111">
        <v>46300</v>
      </c>
      <c r="K3502" s="76"/>
      <c r="L3502" s="76"/>
      <c r="M3502" s="76"/>
      <c r="N3502" s="76"/>
    </row>
    <row r="3503" spans="1:14" s="58" customFormat="1" ht="33.9" customHeight="1" x14ac:dyDescent="0.6">
      <c r="A3503" s="113">
        <v>3501</v>
      </c>
      <c r="B3503" s="94" t="str">
        <f>HYPERLINK("https://search.naver.com/search.naver?query=영화 사랑의 가설", "사랑의 가설 (The Love Hypothesis) ")</f>
        <v xml:space="preserve">사랑의 가설 (The Love Hypothesis) </v>
      </c>
      <c r="C3503" s="74"/>
      <c r="D3503" s="75" t="s">
        <v>3666</v>
      </c>
      <c r="E3503" s="73" t="s">
        <v>3488</v>
      </c>
      <c r="F3503" s="73">
        <v>2026</v>
      </c>
      <c r="G3503" s="73" t="s">
        <v>3489</v>
      </c>
      <c r="H3503" s="73" t="s">
        <v>3667</v>
      </c>
      <c r="I3503" s="73" t="s">
        <v>3527</v>
      </c>
      <c r="J3503" s="111">
        <v>46301</v>
      </c>
      <c r="K3503" s="76"/>
      <c r="L3503" s="76"/>
      <c r="M3503" s="76"/>
      <c r="N3503" s="76"/>
    </row>
    <row r="3504" spans="1:14" ht="34.200000000000003" customHeight="1" x14ac:dyDescent="0.6">
      <c r="A3504" s="25">
        <v>3502</v>
      </c>
      <c r="B3504" s="92" t="str">
        <f>HYPERLINK("https://search.naver.com/search.naver?query=니글리 시즌1", "니글리 (Neagley) 시즌1 ")</f>
        <v xml:space="preserve">니글리 (Neagley) 시즌1 </v>
      </c>
      <c r="C3504" s="72"/>
      <c r="D3504" s="32" t="s">
        <v>3669</v>
      </c>
      <c r="E3504" s="25" t="s">
        <v>3488</v>
      </c>
      <c r="F3504" s="25">
        <v>2026</v>
      </c>
      <c r="G3504" s="25" t="s">
        <v>3490</v>
      </c>
      <c r="H3504" s="25" t="s">
        <v>3668</v>
      </c>
      <c r="I3504" s="25" t="s">
        <v>3545</v>
      </c>
      <c r="J3504" s="110">
        <v>46303</v>
      </c>
    </row>
    <row r="3505" spans="1:14" s="58" customFormat="1" ht="33.9" customHeight="1" x14ac:dyDescent="0.6">
      <c r="A3505" s="113">
        <v>3503</v>
      </c>
      <c r="B3505" s="94" t="str">
        <f>HYPERLINK("https://search.naver.com/search.naver?query=폴2: 데드포인트", "폴2: 데드포인트 ")</f>
        <v xml:space="preserve">폴2: 데드포인트 </v>
      </c>
      <c r="C3505" s="74"/>
      <c r="D3505" s="75" t="s">
        <v>3670</v>
      </c>
      <c r="E3505" s="73" t="s">
        <v>3488</v>
      </c>
      <c r="F3505" s="73">
        <v>2026</v>
      </c>
      <c r="G3505" s="73" t="s">
        <v>3489</v>
      </c>
      <c r="H3505" s="114" t="s">
        <v>3671</v>
      </c>
      <c r="I3505" s="73" t="s">
        <v>3607</v>
      </c>
      <c r="J3505" s="111">
        <v>46304</v>
      </c>
      <c r="K3505" s="76"/>
      <c r="L3505" s="76"/>
      <c r="M3505" s="76"/>
      <c r="N3505" s="76"/>
    </row>
    <row r="3506" spans="1:14" ht="34.200000000000003" customHeight="1" x14ac:dyDescent="0.6">
      <c r="A3506" s="25">
        <v>3504</v>
      </c>
      <c r="B3506" s="92" t="str">
        <f>HYPERLINK("https://search.naver.com/search.naver?query=몹랜드 시즌1", "몹랜드(Mobland) 시즌1")</f>
        <v>몹랜드(Mobland) 시즌1</v>
      </c>
      <c r="C3506" s="72"/>
      <c r="D3506" s="32" t="s">
        <v>3673</v>
      </c>
      <c r="E3506" s="25" t="s">
        <v>3525</v>
      </c>
      <c r="F3506" s="25">
        <v>2025</v>
      </c>
      <c r="G3506" s="25" t="s">
        <v>3490</v>
      </c>
      <c r="H3506" s="25" t="s">
        <v>3672</v>
      </c>
      <c r="I3506" s="25" t="s">
        <v>3534</v>
      </c>
      <c r="J3506" s="110">
        <v>46305</v>
      </c>
    </row>
    <row r="3507" spans="1:14" ht="34.200000000000003" customHeight="1" x14ac:dyDescent="0.6">
      <c r="A3507" s="25">
        <v>3505</v>
      </c>
      <c r="B3507" s="92" t="str">
        <f>HYPERLINK("https://search.naver.com/search.naver?query=30일의 밤 시즌1", "30일의 밤 (Dark Matter) 시즌1")</f>
        <v>30일의 밤 (Dark Matter) 시즌1</v>
      </c>
      <c r="C3507" s="72"/>
      <c r="D3507" s="32" t="s">
        <v>3676</v>
      </c>
      <c r="E3507" s="25" t="s">
        <v>3488</v>
      </c>
      <c r="F3507" s="25">
        <v>2024</v>
      </c>
      <c r="G3507" s="25" t="s">
        <v>3490</v>
      </c>
      <c r="H3507" s="25" t="s">
        <v>3674</v>
      </c>
      <c r="I3507" s="25" t="s">
        <v>3675</v>
      </c>
      <c r="J3507" s="110">
        <v>46307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2026-10-12T12:24:05Z</dcterms:modified>
</cp:coreProperties>
</file>