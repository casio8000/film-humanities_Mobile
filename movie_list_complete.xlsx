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9CBB442F-20BF-47F4-B845-E3C853295AD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12" i="1" l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<sst xmlns="http://schemas.openxmlformats.org/spreadsheetml/2006/main" count="20934" uniqueCount="3691">
  <si>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</si>
  <si>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</si>
  <si>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</si>
  <si>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</si>
  <si>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</si>
  <si>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</si>
  <si>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</si>
  <si>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</si>
  <si>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</si>
  <si>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</si>
  <si>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</si>
  <si>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</si>
  <si>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</si>
  <si>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</si>
  <si>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</si>
  <si>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</si>
  <si>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</si>
  <si>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</si>
  <si>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</si>
  <si>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</si>
  <si>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</si>
  <si>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</si>
  <si>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</si>
  <si>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</si>
  <si>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</si>
  <si>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</si>
  <si>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</si>
  <si>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</si>
  <si>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</si>
  <si>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</si>
  <si>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</si>
  <si>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</si>
  <si>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</si>
  <si>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</si>
  <si>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</si>
  <si>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</si>
  <si>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</si>
  <si>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</si>
  <si>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</si>
  <si>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</si>
  <si>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</si>
  <si>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</si>
  <si>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</si>
  <si>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</si>
  <si>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</si>
  <si>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</si>
  <si>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</si>
  <si>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</si>
  <si>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</si>
  <si>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</si>
  <si>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</si>
  <si>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</si>
  <si>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</si>
  <si>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</si>
  <si>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</si>
  <si>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</si>
  <si>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</si>
  <si>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</si>
  <si>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</si>
  <si>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</si>
  <si>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</si>
  <si>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</si>
  <si>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</si>
  <si>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</si>
  <si>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</si>
  <si>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</si>
  <si>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</si>
  <si>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</si>
  <si>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</si>
  <si>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</si>
  <si>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</si>
  <si>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</si>
  <si>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</si>
  <si>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</si>
  <si>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</si>
  <si>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</si>
  <si>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</si>
  <si>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</si>
  <si>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</si>
  <si>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</si>
  <si>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</si>
  <si>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</si>
  <si>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</si>
  <si>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</si>
  <si>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</si>
  <si>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</si>
  <si>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</si>
  <si>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</si>
  <si>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</si>
  <si>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</si>
  <si>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</si>
  <si>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</si>
  <si>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</si>
  <si>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</si>
  <si>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</si>
  <si>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</si>
  <si>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</si>
  <si>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</si>
  <si>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</si>
  <si>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</si>
  <si>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</si>
  <si>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</si>
  <si>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</si>
  <si>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</si>
  <si>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</si>
  <si>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</si>
  <si>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</si>
  <si>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</si>
  <si>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</si>
  <si>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</si>
  <si>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</si>
  <si>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</si>
  <si>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</si>
  <si>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</si>
  <si>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</si>
  <si>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</si>
  <si>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</si>
  <si>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</si>
  <si>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</si>
  <si>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</si>
  <si>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</si>
  <si>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</si>
  <si>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</si>
  <si>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</si>
  <si>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</si>
  <si>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</si>
  <si>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</si>
  <si>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</si>
  <si>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</si>
  <si>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</si>
  <si>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</si>
  <si>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</si>
  <si>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</si>
  <si>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</si>
  <si>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</si>
  <si>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</si>
  <si>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</si>
  <si>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</si>
  <si>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</si>
  <si>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</si>
  <si>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</si>
  <si>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</si>
  <si>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</si>
  <si>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</si>
  <si>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</si>
  <si>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</si>
  <si>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</si>
  <si>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</si>
  <si>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</si>
  <si>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</si>
  <si>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</si>
  <si>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</si>
  <si>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</si>
  <si>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</si>
  <si>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</si>
  <si>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</si>
  <si>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</si>
  <si>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</si>
  <si>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</si>
  <si>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</si>
  <si>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</si>
  <si>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</si>
  <si>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</si>
  <si>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</si>
  <si>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</si>
  <si>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</si>
  <si>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</si>
  <si>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</si>
  <si>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</si>
  <si>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</si>
  <si>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</si>
  <si>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</si>
  <si>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</si>
  <si>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</si>
  <si>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</si>
  <si>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</si>
  <si>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</si>
  <si>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</si>
  <si>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</si>
  <si>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</si>
  <si>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</si>
  <si>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</si>
  <si>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</si>
  <si>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</si>
  <si>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</si>
  <si>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</si>
  <si>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</si>
  <si>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</si>
  <si>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</si>
  <si>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</si>
  <si>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</si>
  <si>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</si>
  <si>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</si>
  <si>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</si>
  <si>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</si>
  <si>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</si>
  <si>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</si>
  <si>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</si>
  <si>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</si>
  <si>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</si>
  <si>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</si>
  <si>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</si>
  <si>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</si>
  <si>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</si>
  <si>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</si>
  <si>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</si>
  <si>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</si>
  <si>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</si>
  <si>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</si>
  <si>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</si>
  <si>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</si>
  <si>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</si>
  <si>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</si>
  <si>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</si>
  <si>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</si>
  <si>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</si>
  <si>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</si>
  <si>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</si>
  <si>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</si>
  <si>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</si>
  <si>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</si>
  <si>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</si>
  <si>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</si>
  <si>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</si>
  <si>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</si>
  <si>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</si>
  <si>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</si>
  <si>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</si>
  <si>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</si>
  <si>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</si>
  <si>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</si>
  <si>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</si>
  <si>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</si>
  <si>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</si>
  <si>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</si>
  <si>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</si>
  <si>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</si>
  <si>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</si>
  <si>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</si>
  <si>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</si>
  <si>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</si>
  <si>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</si>
  <si>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</si>
  <si>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</si>
  <si>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</si>
  <si>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</si>
  <si>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</si>
  <si>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</si>
  <si>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</si>
  <si>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</si>
  <si>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</si>
  <si>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</si>
  <si>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</si>
  <si>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</si>
  <si>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</si>
  <si>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</si>
  <si>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</si>
  <si>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</si>
  <si>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</si>
  <si>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</si>
  <si>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</si>
  <si>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</si>
  <si>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</si>
  <si>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</si>
  <si>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</si>
  <si>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</si>
  <si>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</si>
  <si>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</si>
  <si>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</si>
  <si>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</si>
  <si>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</si>
  <si>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</si>
  <si>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</si>
  <si>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</si>
  <si>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</si>
  <si>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</si>
  <si>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</si>
  <si>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</si>
  <si>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</si>
  <si>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</si>
  <si>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</si>
  <si>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</si>
  <si>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</si>
  <si>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</si>
  <si>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</si>
  <si>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</si>
  <si>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</si>
  <si>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</si>
  <si>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</si>
  <si>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</si>
  <si>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</si>
  <si>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</si>
  <si>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</si>
  <si>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</si>
  <si>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</si>
  <si>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</si>
  <si>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</si>
  <si>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</si>
  <si>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</si>
  <si>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</si>
  <si>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</si>
  <si>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</si>
  <si>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</si>
  <si>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</si>
  <si>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</si>
  <si>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</si>
  <si>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</si>
  <si>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</si>
  <si>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</si>
  <si>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</si>
  <si>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</si>
  <si>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</si>
  <si>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</si>
  <si>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</si>
  <si>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</si>
  <si>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</si>
  <si>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</si>
  <si>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</si>
  <si>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</si>
  <si>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</si>
  <si>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</si>
  <si>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</si>
  <si>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</si>
  <si>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</si>
  <si>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</si>
  <si>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</si>
  <si>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</si>
  <si>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</si>
  <si>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</si>
  <si>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</si>
  <si>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</si>
  <si>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</si>
  <si>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</si>
  <si>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</si>
  <si>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</si>
  <si>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</si>
  <si>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</si>
  <si>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</si>
  <si>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</si>
  <si>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</si>
  <si>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</si>
  <si>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</si>
  <si>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</si>
  <si>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</si>
  <si>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</si>
  <si>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</si>
  <si>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</si>
  <si>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</si>
  <si>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</si>
  <si>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</si>
  <si>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</si>
  <si>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</si>
  <si>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</si>
  <si>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</si>
  <si>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</si>
  <si>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</si>
  <si>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</si>
  <si>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</si>
  <si>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</si>
  <si>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</si>
  <si>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</si>
  <si>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</si>
  <si>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</si>
  <si>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</si>
  <si>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</si>
  <si>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</si>
  <si>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</si>
  <si>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</si>
  <si>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</si>
  <si>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</si>
  <si>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</si>
  <si>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</si>
  <si>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</si>
  <si>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</si>
  <si>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</si>
  <si>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</si>
  <si>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</si>
  <si>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</si>
  <si>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</si>
  <si>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</si>
  <si>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</si>
  <si>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</si>
  <si>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</si>
  <si>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</si>
  <si>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</si>
  <si>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</si>
  <si>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</si>
  <si>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</si>
  <si>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</si>
  <si>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</si>
  <si>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</si>
  <si>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</si>
  <si>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</si>
  <si>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</si>
  <si>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</si>
  <si>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</si>
  <si>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</si>
  <si>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</si>
  <si>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</si>
  <si>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</si>
  <si>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</si>
  <si>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</si>
  <si>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</si>
  <si>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</si>
  <si>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</si>
  <si>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</si>
  <si>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</si>
  <si>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</si>
  <si>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</si>
  <si>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</si>
  <si>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</si>
  <si>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</si>
  <si>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</si>
  <si>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</si>
  <si>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</si>
  <si>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</si>
  <si>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</si>
  <si>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</si>
  <si>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</si>
  <si>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</si>
  <si>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</si>
  <si>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</si>
  <si>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</si>
  <si>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</si>
  <si>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</si>
  <si>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</si>
  <si>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</si>
  <si>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</si>
  <si>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</si>
  <si>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</si>
  <si>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</si>
  <si>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</si>
  <si>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</si>
  <si>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</si>
  <si>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</si>
  <si>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</si>
  <si>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</si>
  <si>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</si>
  <si>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</si>
  <si>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</si>
  <si>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</si>
  <si>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</si>
  <si>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</si>
  <si>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</si>
  <si>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</si>
  <si>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</si>
  <si>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</si>
  <si>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</si>
  <si>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</si>
  <si>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</si>
  <si>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</si>
  <si>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</si>
  <si>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</si>
  <si>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</si>
  <si>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</si>
  <si>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</si>
  <si>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</si>
  <si>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</si>
  <si>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</si>
  <si>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</si>
  <si>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</si>
  <si>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</si>
  <si>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</si>
  <si>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</si>
  <si>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</si>
  <si>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</si>
  <si>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</si>
  <si>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</si>
  <si>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</si>
  <si>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</si>
  <si>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</si>
  <si>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</si>
  <si>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</si>
  <si>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</si>
  <si>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</si>
  <si>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</si>
  <si>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</si>
  <si>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</si>
  <si>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</si>
  <si>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</si>
  <si>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</si>
  <si>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</si>
  <si>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</si>
  <si>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</si>
  <si>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</si>
  <si>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</si>
  <si>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</si>
  <si>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</si>
  <si>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</si>
  <si>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</si>
  <si>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</si>
  <si>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</si>
  <si>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</si>
  <si>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</si>
  <si>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</si>
  <si>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</si>
  <si>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</si>
  <si>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</si>
  <si>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</si>
  <si>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</si>
  <si>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</si>
  <si>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</si>
  <si>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</si>
  <si>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</si>
  <si>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</si>
  <si>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</si>
  <si>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</si>
  <si>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</si>
  <si>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</si>
  <si>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</si>
  <si>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</si>
  <si>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</si>
  <si>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</si>
  <si>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</si>
  <si>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</si>
  <si>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</si>
  <si>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</si>
  <si>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</si>
  <si>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</si>
  <si>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</si>
  <si>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</si>
  <si>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</si>
  <si>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</si>
  <si>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</si>
  <si>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</si>
  <si>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</si>
  <si>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</si>
  <si>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</si>
  <si>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</si>
  <si>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</si>
  <si>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</si>
  <si>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</si>
  <si>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</si>
  <si>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</si>
  <si>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</si>
  <si>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</si>
  <si>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</si>
  <si>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</si>
  <si>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</si>
  <si>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</si>
  <si>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</si>
  <si>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</si>
  <si>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</si>
  <si>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</si>
  <si>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</si>
  <si>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</si>
  <si>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</si>
  <si>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</si>
  <si>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</si>
  <si>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</si>
  <si>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</si>
  <si>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</si>
  <si>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</si>
  <si>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</si>
  <si>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</si>
  <si>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</si>
  <si>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</si>
  <si>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</si>
  <si>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</si>
  <si>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</si>
  <si>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</si>
  <si>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</si>
  <si>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</si>
  <si>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</si>
  <si>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</si>
  <si>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</si>
  <si>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</si>
  <si>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</si>
  <si>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</si>
  <si>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</si>
  <si>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</si>
  <si>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</si>
  <si>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</si>
  <si>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</si>
  <si>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</si>
  <si>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</si>
  <si>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</si>
  <si>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</si>
  <si>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</si>
  <si>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</si>
  <si>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</si>
  <si>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</si>
  <si>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</si>
  <si>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</si>
  <si>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</si>
  <si>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</si>
  <si>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</si>
  <si>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</si>
  <si>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</si>
  <si>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</si>
  <si>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</si>
  <si>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</si>
  <si>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</si>
  <si>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</si>
  <si>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</si>
  <si>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</si>
  <si>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</si>
  <si>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</si>
  <si>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</si>
  <si>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</si>
  <si>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</si>
  <si>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</si>
  <si>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</si>
  <si>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</si>
  <si>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</si>
  <si>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</si>
  <si>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</si>
  <si>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</si>
  <si>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</si>
  <si>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</si>
  <si>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</si>
  <si>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</si>
  <si>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</si>
  <si>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</si>
  <si>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</si>
  <si>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</si>
  <si>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</si>
  <si>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</si>
  <si>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</si>
  <si>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</si>
  <si>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</si>
  <si>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</si>
  <si>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</si>
  <si>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</si>
  <si>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</si>
  <si>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</si>
  <si>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</si>
  <si>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</si>
  <si>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</si>
  <si>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</si>
  <si>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</si>
  <si>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</si>
  <si>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</si>
  <si>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</si>
  <si>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</si>
  <si>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</si>
  <si>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</si>
  <si>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</si>
  <si>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</si>
  <si>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</si>
  <si>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</si>
  <si>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</si>
  <si>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</si>
  <si>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</si>
  <si>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</si>
  <si>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</si>
  <si>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</si>
  <si>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</si>
  <si>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</si>
  <si>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</si>
  <si>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</si>
  <si>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</si>
  <si>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</si>
  <si>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</si>
  <si>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</si>
  <si>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</si>
  <si>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</si>
  <si>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</si>
  <si>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</si>
  <si>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</si>
  <si>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</si>
  <si>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</si>
  <si>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</si>
  <si>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</si>
  <si>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</si>
  <si>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</si>
  <si>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</si>
  <si>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</si>
  <si>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</si>
  <si>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</si>
  <si>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</si>
  <si>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</si>
  <si>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</si>
  <si>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</si>
  <si>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</si>
  <si>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</si>
  <si>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</si>
  <si>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</si>
  <si>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</si>
  <si>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</si>
  <si>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</si>
  <si>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</si>
  <si>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</si>
  <si>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</si>
  <si>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</si>
  <si>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</si>
  <si>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</si>
  <si>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</si>
  <si>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</si>
  <si>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</si>
  <si>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</si>
  <si>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</si>
  <si>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</si>
  <si>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</si>
  <si>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</si>
  <si>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</si>
  <si>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</si>
  <si>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</si>
  <si>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</si>
  <si>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</si>
  <si>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</si>
  <si>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</si>
  <si>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</si>
  <si>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</si>
  <si>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</si>
  <si>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</si>
  <si>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</si>
  <si>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</si>
  <si>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</si>
  <si>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</si>
  <si>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</si>
  <si>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</si>
  <si>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</si>
  <si>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</si>
  <si>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</si>
  <si>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</si>
  <si>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</si>
  <si>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</si>
  <si>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</si>
  <si>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</si>
  <si>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</si>
  <si>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</si>
  <si>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</si>
  <si>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</si>
  <si>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</si>
  <si>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</si>
  <si>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</si>
  <si>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</si>
  <si>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</si>
  <si>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</si>
  <si>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</si>
  <si>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</si>
  <si>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</si>
  <si>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</si>
  <si>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</si>
  <si>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</si>
  <si>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</si>
  <si>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</si>
  <si>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</si>
  <si>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</si>
  <si>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</si>
  <si>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</si>
  <si>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</si>
  <si>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</si>
  <si>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</si>
  <si>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</si>
  <si>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</si>
  <si>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</si>
  <si>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</si>
  <si>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</si>
  <si>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</si>
  <si>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</si>
  <si>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</si>
  <si>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</si>
  <si>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</si>
  <si>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</si>
  <si>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</si>
  <si>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</si>
  <si>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</si>
  <si>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</si>
  <si>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</si>
  <si>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</si>
  <si>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</si>
  <si>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</si>
  <si>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</si>
  <si>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</si>
  <si>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</si>
  <si>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</si>
  <si>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</si>
  <si>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</si>
  <si>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</si>
  <si>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</si>
  <si>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</si>
  <si>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</si>
  <si>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</si>
  <si>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</si>
  <si>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</si>
  <si>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</si>
  <si>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</si>
  <si>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</si>
  <si>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</si>
  <si>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</si>
  <si>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</si>
  <si>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</si>
  <si>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</si>
  <si>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</si>
  <si>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</si>
  <si>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</si>
  <si>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</si>
  <si>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</si>
  <si>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</si>
  <si>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</si>
  <si>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</si>
  <si>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</si>
  <si>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</si>
  <si>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</si>
  <si>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</si>
  <si>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</si>
  <si>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</si>
  <si>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</si>
  <si>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</si>
  <si>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</si>
  <si>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</si>
  <si>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</si>
  <si>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</si>
  <si>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</si>
  <si>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</si>
  <si>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</si>
  <si>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</si>
  <si>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</si>
  <si>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</si>
  <si>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</si>
  <si>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</si>
  <si>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</si>
  <si>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</si>
  <si>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</si>
  <si>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</si>
  <si>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</si>
  <si>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</si>
  <si>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</si>
  <si>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</si>
  <si>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</si>
  <si>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</si>
  <si>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</si>
  <si>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</si>
  <si>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</si>
  <si>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</si>
  <si>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</si>
  <si>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</si>
  <si>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</si>
  <si>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</si>
  <si>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</si>
  <si>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</si>
  <si>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</si>
  <si>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</si>
  <si>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</si>
  <si>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</si>
  <si>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</si>
  <si>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</si>
  <si>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</si>
  <si>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</si>
  <si>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</si>
  <si>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</si>
  <si>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</si>
  <si>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</si>
  <si>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</si>
  <si>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</si>
  <si>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</si>
  <si>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</si>
  <si>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</si>
  <si>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</si>
  <si>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</si>
  <si>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</si>
  <si>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</si>
  <si>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</si>
  <si>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</si>
  <si>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</si>
  <si>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</si>
  <si>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</si>
  <si>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</si>
  <si>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</si>
  <si>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</si>
  <si>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</si>
  <si>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</si>
  <si>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</si>
  <si>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</si>
  <si>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</si>
  <si>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</si>
  <si>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</si>
  <si>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</si>
  <si>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</si>
  <si>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</si>
  <si>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</si>
  <si>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</si>
  <si>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</si>
  <si>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</si>
  <si>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</si>
  <si>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</si>
  <si>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</si>
  <si>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</si>
  <si>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</si>
  <si>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</si>
  <si>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</si>
  <si>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</si>
  <si>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</si>
  <si>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</si>
  <si>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</si>
  <si>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</si>
  <si>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</si>
  <si>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</si>
  <si>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</si>
  <si>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</si>
  <si>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</si>
  <si>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</si>
  <si>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</si>
  <si>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</si>
  <si>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</si>
  <si>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</si>
  <si>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</si>
  <si>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</si>
  <si>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</si>
  <si>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</si>
  <si>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</si>
  <si>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</si>
  <si>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</si>
  <si>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</si>
  <si>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</si>
  <si>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</si>
  <si>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</si>
  <si>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</si>
  <si>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</si>
  <si>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</si>
  <si>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</si>
  <si>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</si>
  <si>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</si>
  <si>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</si>
  <si>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</si>
  <si>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</si>
  <si>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</si>
  <si>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</si>
  <si>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</si>
  <si>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</si>
  <si>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</si>
  <si>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</si>
  <si>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</si>
  <si>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</si>
  <si>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</si>
  <si>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</si>
  <si>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</si>
  <si>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</si>
  <si>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</si>
  <si>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</si>
  <si>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</si>
  <si>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</si>
  <si>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</si>
  <si>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</si>
  <si>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</si>
  <si>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</si>
  <si>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</si>
  <si>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</si>
  <si>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</si>
  <si>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</si>
  <si>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</si>
  <si>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</si>
  <si>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</si>
  <si>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</si>
  <si>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</si>
  <si>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</si>
  <si>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</si>
  <si>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</si>
  <si>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</si>
  <si>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</si>
  <si>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</si>
  <si>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</si>
  <si>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</si>
  <si>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</si>
  <si>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</si>
  <si>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</si>
  <si>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</si>
  <si>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</si>
  <si>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</si>
  <si>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</si>
  <si>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</si>
  <si>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</si>
  <si>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</si>
  <si>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</si>
  <si>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</si>
  <si>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</si>
  <si>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</si>
  <si>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</si>
  <si>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</si>
  <si>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</si>
  <si>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</si>
  <si>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</si>
  <si>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</si>
  <si>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</si>
  <si>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</si>
  <si>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</si>
  <si>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</si>
  <si>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</si>
  <si>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</si>
  <si>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</si>
  <si>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</si>
  <si>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</si>
  <si>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</si>
  <si>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</si>
  <si>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</si>
  <si>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</si>
  <si>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</si>
  <si>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</si>
  <si>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</si>
  <si>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</si>
  <si>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</si>
  <si>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</si>
  <si>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</si>
  <si>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</si>
  <si>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</si>
  <si>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</si>
  <si>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</si>
  <si>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</si>
  <si>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</si>
  <si>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</si>
  <si>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</si>
  <si>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</si>
  <si>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</si>
  <si>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</si>
  <si>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</si>
  <si>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</si>
  <si>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</si>
  <si>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</si>
  <si>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</si>
  <si>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</si>
  <si>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</si>
  <si>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</si>
  <si>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</si>
  <si>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</si>
  <si>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</si>
  <si>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</si>
  <si>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</si>
  <si>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</si>
  <si>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</si>
  <si>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</si>
  <si>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</si>
  <si>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</si>
  <si>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</si>
  <si>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</si>
  <si>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</si>
  <si>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</si>
  <si>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</si>
  <si>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</si>
  <si>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</si>
  <si>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</si>
  <si>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</si>
  <si>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</si>
  <si>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</si>
  <si>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</si>
  <si>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</si>
  <si>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</si>
  <si>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</si>
  <si>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</si>
  <si>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</si>
  <si>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</si>
  <si>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</si>
  <si>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</si>
  <si>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</si>
  <si>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</si>
  <si>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</si>
  <si>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</si>
  <si>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</si>
  <si>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</si>
  <si>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</si>
  <si>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</si>
  <si>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</si>
  <si>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</si>
  <si>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</si>
  <si>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</si>
  <si>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</si>
  <si>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</si>
  <si>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</si>
  <si>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</si>
  <si>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</si>
  <si>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</si>
  <si>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</si>
  <si>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</si>
  <si>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</si>
  <si>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</si>
  <si>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</si>
  <si>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</si>
  <si>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</si>
  <si>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</si>
  <si>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</si>
  <si>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</si>
  <si>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</si>
  <si>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</si>
  <si>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</si>
  <si>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</si>
  <si>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</si>
  <si>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</si>
  <si>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</si>
  <si>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</si>
  <si>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</si>
  <si>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</si>
  <si>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</si>
  <si>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</si>
  <si>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</si>
  <si>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</si>
  <si>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</si>
  <si>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</si>
  <si>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</si>
  <si>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</si>
  <si>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</si>
  <si>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</si>
  <si>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</si>
  <si>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</si>
  <si>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</si>
  <si>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</si>
  <si>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</si>
  <si>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</si>
  <si>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</si>
  <si>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</si>
  <si>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</si>
  <si>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</si>
  <si>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</si>
  <si>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</si>
  <si>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</si>
  <si>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</si>
  <si>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</si>
  <si>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</si>
  <si>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</si>
  <si>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</si>
  <si>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</si>
  <si>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</si>
  <si>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</si>
  <si>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</si>
  <si>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</si>
  <si>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</si>
  <si>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</si>
  <si>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</si>
  <si>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</si>
  <si>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</si>
  <si>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</si>
  <si>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</si>
  <si>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</si>
  <si>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</si>
  <si>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</si>
  <si>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</si>
  <si>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</si>
  <si>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</si>
  <si>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</si>
  <si>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</si>
  <si>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</si>
  <si>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</si>
  <si>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</si>
  <si>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</si>
  <si>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</si>
  <si>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</si>
  <si>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</si>
  <si>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</si>
  <si>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</si>
  <si>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</si>
  <si>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</si>
  <si>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</si>
  <si>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</si>
  <si>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</si>
  <si>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</si>
  <si>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</si>
  <si>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</si>
  <si>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</si>
  <si>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</si>
  <si>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</si>
  <si>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</si>
  <si>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</si>
  <si>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</si>
  <si>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</si>
  <si>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</si>
  <si>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</si>
  <si>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</si>
  <si>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</si>
  <si>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</si>
  <si>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</si>
  <si>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</si>
  <si>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</si>
  <si>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</si>
  <si>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</si>
  <si>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</si>
  <si>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</si>
  <si>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</si>
  <si>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</si>
  <si>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</si>
  <si>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</si>
  <si>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</si>
  <si>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</si>
  <si>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</si>
  <si>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</si>
  <si>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</si>
  <si>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</si>
  <si>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</si>
  <si>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</si>
  <si>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</si>
  <si>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</si>
  <si>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</si>
  <si>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</si>
  <si>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</si>
  <si>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</si>
  <si>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</si>
  <si>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</si>
  <si>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</si>
  <si>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</si>
  <si>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</si>
  <si>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</si>
  <si>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</si>
  <si>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</si>
  <si>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</si>
  <si>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</si>
  <si>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</si>
  <si>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</si>
  <si>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</si>
  <si>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</si>
  <si>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</si>
  <si>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</si>
  <si>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</si>
  <si>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</si>
  <si>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</si>
  <si>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</si>
  <si>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</si>
  <si>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</si>
  <si>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</si>
  <si>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</si>
  <si>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</si>
  <si>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</si>
  <si>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</si>
  <si>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</si>
  <si>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</si>
  <si>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</si>
  <si>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</si>
  <si>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</si>
  <si>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</si>
  <si>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</si>
  <si>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</si>
  <si>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</si>
  <si>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</si>
  <si>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</si>
  <si>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</si>
  <si>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</si>
  <si>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</si>
  <si>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</si>
  <si>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</si>
  <si>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</si>
  <si>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</si>
  <si>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</si>
  <si>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</si>
  <si>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</si>
  <si>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</si>
  <si>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</si>
  <si>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</si>
  <si>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</si>
  <si>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</si>
  <si>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</si>
  <si>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</si>
  <si>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</si>
  <si>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</si>
  <si>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</si>
  <si>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</si>
  <si>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</si>
  <si>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</si>
  <si>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</si>
  <si>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</si>
  <si>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</si>
  <si>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</si>
  <si>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</si>
  <si>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</si>
  <si>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</si>
  <si>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</si>
  <si>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</si>
  <si>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</si>
  <si>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</si>
  <si>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</si>
  <si>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</si>
  <si>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</si>
  <si>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</si>
  <si>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</si>
  <si>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</si>
  <si>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</si>
  <si>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</si>
  <si>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</si>
  <si>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</si>
  <si>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</si>
  <si>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</si>
  <si>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</si>
  <si>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</si>
  <si>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</si>
  <si>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</si>
  <si>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</si>
  <si>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</si>
  <si>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</si>
  <si>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</si>
  <si>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</si>
  <si>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</si>
  <si>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</si>
  <si>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</si>
  <si>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</si>
  <si>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</si>
  <si>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</si>
  <si>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</si>
  <si>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</si>
  <si>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</si>
  <si>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</si>
  <si>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</si>
  <si>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</si>
  <si>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</si>
  <si>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</si>
  <si>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</si>
  <si>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</si>
  <si>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</si>
  <si>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</si>
  <si>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</si>
  <si>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</si>
  <si>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</si>
  <si>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</si>
  <si>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</si>
  <si>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</si>
  <si>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</si>
  <si>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</si>
  <si>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</si>
  <si>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</si>
  <si>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</si>
  <si>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</si>
  <si>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</si>
  <si>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</si>
  <si>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</si>
  <si>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</si>
  <si>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</si>
  <si>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</si>
  <si>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</si>
  <si>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</si>
  <si>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</si>
  <si>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</si>
  <si>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</si>
  <si>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</si>
  <si>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</si>
  <si>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</si>
  <si>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</si>
  <si>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</si>
  <si>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</si>
  <si>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</si>
  <si>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</si>
  <si>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</si>
  <si>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</si>
  <si>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</si>
  <si>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</si>
  <si>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</si>
  <si>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</si>
  <si>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</si>
  <si>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</si>
  <si>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</si>
  <si>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</si>
  <si>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</si>
  <si>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</si>
  <si>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</si>
  <si>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</si>
  <si>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</si>
  <si>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</si>
  <si>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</si>
  <si>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</si>
  <si>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</si>
  <si>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</si>
  <si>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</si>
  <si>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</si>
  <si>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</si>
  <si>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</si>
  <si>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</si>
  <si>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</si>
  <si>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</si>
  <si>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</si>
  <si>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</si>
  <si>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</si>
  <si>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</si>
  <si>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</si>
  <si>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</si>
  <si>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</si>
  <si>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</si>
  <si>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</si>
  <si>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</si>
  <si>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</si>
  <si>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</si>
  <si>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</si>
  <si>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</si>
  <si>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</si>
  <si>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</si>
  <si>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</si>
  <si>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</si>
  <si>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</si>
  <si>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</si>
  <si>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</si>
  <si>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</si>
  <si>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</si>
  <si>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</si>
  <si>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</si>
  <si>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</si>
  <si>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</si>
  <si>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</si>
  <si>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</si>
  <si>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</si>
  <si>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</si>
  <si>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</si>
  <si>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</si>
  <si>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</si>
  <si>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</si>
  <si>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</si>
  <si>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</si>
  <si>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</si>
  <si>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</si>
  <si>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</si>
  <si>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</si>
  <si>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</si>
  <si>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</si>
  <si>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</si>
  <si>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</si>
  <si>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</si>
  <si>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</si>
  <si>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</si>
  <si>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</si>
  <si>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</si>
  <si>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</si>
  <si>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</si>
  <si>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</si>
  <si>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</si>
  <si>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</si>
  <si>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</si>
  <si>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</si>
  <si>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</si>
  <si>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</si>
  <si>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</si>
  <si>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</si>
  <si>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</si>
  <si>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</si>
  <si>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</si>
  <si>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</si>
  <si>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</si>
  <si>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</si>
  <si>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</si>
  <si>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</si>
  <si>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</si>
  <si>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</si>
  <si>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</si>
  <si>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</si>
  <si>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</si>
  <si>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</si>
  <si>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</si>
  <si>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</si>
  <si>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</si>
  <si>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</si>
  <si>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</si>
  <si>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</si>
  <si>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</si>
  <si>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</si>
  <si>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</si>
  <si>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</si>
  <si>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</si>
  <si>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</si>
  <si>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</si>
  <si>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</si>
  <si>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</si>
  <si>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</si>
  <si>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</si>
  <si>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</si>
  <si>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</si>
  <si>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</si>
  <si>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</si>
  <si>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</si>
  <si>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</si>
  <si>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</si>
  <si>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</si>
  <si>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</si>
  <si>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</si>
  <si>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</si>
  <si>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</si>
  <si>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</si>
  <si>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</si>
  <si>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</si>
  <si>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</si>
  <si>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</si>
  <si>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</si>
  <si>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</si>
  <si>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</si>
  <si>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</si>
  <si>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</si>
  <si>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</si>
  <si>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</si>
  <si>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</si>
  <si>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</si>
  <si>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</si>
  <si>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</si>
  <si>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</si>
  <si>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</si>
  <si>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</si>
  <si>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</si>
  <si>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</si>
  <si>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</si>
  <si>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</si>
  <si>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</si>
  <si>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</si>
  <si>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</si>
  <si>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</si>
  <si>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</si>
  <si>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</si>
  <si>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</si>
  <si>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</si>
  <si>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</si>
  <si>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</si>
  <si>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</si>
  <si>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</si>
  <si>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</si>
  <si>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</si>
  <si>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</si>
  <si>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</si>
  <si>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</si>
  <si>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</si>
  <si>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</si>
  <si>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</si>
  <si>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</si>
  <si>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</si>
  <si>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</si>
  <si>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</si>
  <si>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</si>
  <si>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</si>
  <si>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</si>
  <si>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</si>
  <si>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</si>
  <si>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</si>
  <si>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</si>
  <si>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</si>
  <si>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</si>
  <si>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</si>
  <si>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</si>
  <si>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</si>
  <si>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</si>
  <si>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</si>
  <si>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</si>
  <si>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</si>
  <si>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</si>
  <si>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</si>
  <si>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</si>
  <si>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</si>
  <si>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</si>
  <si>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</si>
  <si>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</si>
  <si>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</si>
  <si>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</si>
  <si>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</si>
  <si>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</si>
  <si>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</si>
  <si>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</si>
  <si>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</si>
  <si>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</si>
  <si>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</si>
  <si>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</si>
  <si>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</si>
  <si>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</si>
  <si>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</si>
  <si>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</si>
  <si>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</si>
  <si>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</si>
  <si>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</si>
  <si>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</si>
  <si>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</si>
  <si>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</si>
  <si>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</si>
  <si>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</si>
  <si>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</si>
  <si>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</si>
  <si>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</si>
  <si>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</si>
  <si>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</si>
  <si>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</si>
  <si>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</si>
  <si>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</si>
  <si>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</si>
  <si>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</si>
  <si>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</si>
  <si>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</si>
  <si>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</si>
  <si>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</si>
  <si>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</si>
  <si>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</si>
  <si>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</si>
  <si>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</si>
  <si>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</si>
  <si>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</si>
  <si>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</si>
  <si>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</si>
  <si>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</si>
  <si>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</si>
  <si>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</si>
  <si>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</si>
  <si>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</si>
  <si>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</si>
  <si>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</si>
  <si>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</si>
  <si>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</si>
  <si>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</si>
  <si>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</si>
  <si>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</si>
  <si>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</si>
  <si>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</si>
  <si>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</si>
  <si>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</si>
  <si>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</si>
  <si>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</si>
  <si>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</si>
  <si>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</si>
  <si>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</si>
  <si>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</si>
  <si>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</si>
  <si>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</si>
  <si>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</si>
  <si>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</si>
  <si>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</si>
  <si>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</si>
  <si>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</si>
  <si>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</si>
  <si>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</si>
  <si>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</si>
  <si>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</si>
  <si>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</si>
  <si>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</si>
  <si>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</si>
  <si>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</si>
  <si>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</si>
  <si>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</si>
  <si>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</si>
  <si>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</si>
  <si>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</si>
  <si>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</si>
  <si>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</si>
  <si>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</si>
  <si>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</si>
  <si>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</si>
  <si>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</si>
  <si>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</si>
  <si>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</si>
  <si>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</si>
  <si>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</si>
  <si>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</si>
  <si>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</si>
  <si>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</si>
  <si>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</si>
  <si>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</si>
  <si>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</si>
  <si>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</si>
  <si>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</si>
  <si>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</si>
  <si>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</si>
  <si>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</si>
  <si>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</si>
  <si>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</si>
  <si>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</si>
  <si>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</si>
  <si>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</si>
  <si>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</si>
  <si>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</si>
  <si>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</si>
  <si>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</si>
  <si>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</si>
  <si>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</si>
  <si>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</si>
  <si>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</si>
  <si>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</si>
  <si>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</si>
  <si>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</si>
  <si>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</si>
  <si>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</si>
  <si>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</si>
  <si>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</si>
  <si>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</si>
  <si>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</si>
  <si>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</si>
  <si>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</si>
  <si>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</si>
  <si>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</si>
  <si>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</si>
  <si>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</si>
  <si>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</si>
  <si>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</si>
  <si>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</si>
  <si>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</si>
  <si>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</si>
  <si>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</si>
  <si>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</si>
  <si>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</si>
  <si>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</si>
  <si>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</si>
  <si>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</si>
  <si>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</si>
  <si>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</si>
  <si>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</si>
  <si>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</si>
  <si>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</si>
  <si>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</si>
  <si>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</si>
  <si>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</si>
  <si>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</si>
  <si>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</si>
  <si>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</si>
  <si>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</si>
  <si>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</si>
  <si>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</si>
  <si>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</si>
  <si>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</si>
  <si>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</si>
  <si>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</si>
  <si>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</si>
  <si>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</si>
  <si>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</si>
  <si>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</si>
  <si>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</si>
  <si>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</si>
  <si>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</si>
  <si>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</si>
  <si>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</si>
  <si>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</si>
  <si>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</si>
  <si>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</si>
  <si>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</si>
  <si>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</si>
  <si>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</si>
  <si>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</si>
  <si>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</si>
  <si>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</si>
  <si>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</si>
  <si>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</si>
  <si>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</si>
  <si>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</si>
  <si>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</si>
  <si>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</si>
  <si>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</si>
  <si>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</si>
  <si>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</si>
  <si>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</si>
  <si>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</si>
  <si>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</si>
  <si>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</si>
  <si>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</si>
  <si>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</si>
  <si>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</si>
  <si>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</si>
  <si>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</si>
  <si>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</si>
  <si>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</si>
  <si>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</si>
  <si>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</si>
  <si>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</si>
  <si>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</si>
  <si>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</si>
  <si>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</si>
  <si>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</si>
  <si>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</si>
  <si>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</si>
  <si>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</si>
  <si>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</si>
  <si>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</si>
  <si>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</si>
  <si>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</si>
  <si>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</si>
  <si>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</si>
  <si>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</si>
  <si>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</si>
  <si>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</si>
  <si>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</si>
  <si>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</si>
  <si>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</si>
  <si>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</si>
  <si>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</si>
  <si>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</si>
  <si>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</si>
  <si>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</si>
  <si>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</si>
  <si>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</si>
  <si>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</si>
  <si>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</si>
  <si>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</si>
  <si>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</si>
  <si>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</si>
  <si>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</si>
  <si>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</si>
  <si>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</si>
  <si>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</si>
  <si>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</si>
  <si>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</si>
  <si>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</si>
  <si>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</si>
  <si>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</si>
  <si>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</si>
  <si>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</si>
  <si>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</si>
  <si>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</si>
  <si>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</si>
  <si>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</si>
  <si>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</si>
  <si>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</si>
  <si>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</si>
  <si>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</si>
  <si>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</si>
  <si>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</si>
  <si>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</si>
  <si>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</si>
  <si>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</si>
  <si>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</si>
  <si>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</si>
  <si>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</si>
  <si>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</si>
  <si>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</si>
  <si>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</si>
  <si>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</si>
  <si>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</si>
  <si>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</si>
  <si>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</si>
  <si>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</si>
  <si>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</si>
  <si>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</si>
  <si>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</si>
  <si>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</si>
  <si>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</si>
  <si>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</si>
  <si>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</si>
  <si>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</si>
  <si>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</si>
  <si>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</si>
  <si>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</si>
  <si>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</si>
  <si>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</si>
  <si>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</si>
  <si>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</si>
  <si>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</si>
  <si>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</si>
  <si>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</si>
  <si>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</si>
  <si>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</si>
  <si>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</si>
  <si>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</si>
  <si>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</si>
  <si>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</si>
  <si>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</si>
  <si>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</si>
  <si>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</si>
  <si>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</si>
  <si>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</si>
  <si>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</si>
  <si>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</si>
  <si>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</si>
  <si>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</si>
  <si>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</si>
  <si>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</si>
  <si>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</si>
  <si>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</si>
  <si>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</si>
  <si>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</si>
  <si>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</si>
  <si>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</si>
  <si>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</si>
  <si>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</si>
  <si>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</si>
  <si>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</si>
  <si>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</si>
  <si>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</si>
  <si>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</si>
  <si>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</si>
  <si>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</si>
  <si>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</si>
  <si>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</si>
  <si>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</si>
  <si>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</si>
  <si>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</si>
  <si>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</si>
  <si>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</si>
  <si>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</si>
  <si>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</si>
  <si>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</si>
  <si>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</si>
  <si>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</si>
  <si>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</si>
  <si>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</si>
  <si>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</si>
  <si>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</si>
  <si>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</si>
  <si>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</si>
  <si>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</si>
  <si>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</si>
  <si>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</si>
  <si>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</si>
  <si>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</si>
  <si>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</si>
  <si>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</si>
  <si>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</si>
  <si>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</si>
  <si>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</si>
  <si>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</si>
  <si>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</si>
  <si>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</si>
  <si>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</si>
  <si>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</si>
  <si>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</si>
  <si>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</si>
  <si>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</si>
  <si>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</si>
  <si>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</si>
  <si>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</si>
  <si>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</si>
  <si>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</si>
  <si>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</si>
  <si>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</si>
  <si>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</si>
  <si>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</si>
  <si>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</si>
  <si>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</si>
  <si>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</si>
  <si>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</si>
  <si>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</si>
  <si>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</si>
  <si>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</si>
  <si>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</si>
  <si>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</si>
  <si>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</si>
  <si>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</si>
  <si>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</si>
  <si>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</si>
  <si>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</si>
  <si>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</si>
  <si>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</si>
  <si>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</si>
  <si>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</si>
  <si>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</si>
  <si>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</si>
  <si>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</si>
  <si>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</si>
  <si>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</si>
  <si>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</si>
  <si>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</si>
  <si>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</si>
  <si>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</si>
  <si>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</si>
  <si>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</si>
  <si>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</si>
  <si>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</si>
  <si>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</si>
  <si>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</si>
  <si>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</si>
  <si>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</si>
  <si>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</si>
  <si>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</si>
  <si>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</si>
  <si>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</si>
  <si>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</si>
  <si>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</si>
  <si>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</si>
  <si>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</si>
  <si>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</si>
  <si>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</si>
  <si>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</si>
  <si>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</si>
  <si>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</si>
  <si>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</si>
  <si>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</si>
  <si>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</si>
  <si>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</si>
  <si>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</si>
  <si>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</si>
  <si>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</si>
  <si>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</si>
  <si>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</si>
  <si>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</si>
  <si>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</si>
  <si>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</si>
  <si>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</si>
  <si>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</si>
  <si>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</si>
  <si>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</si>
  <si>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</si>
  <si>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</si>
  <si>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</si>
  <si>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</si>
  <si>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</si>
  <si>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</si>
  <si>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</si>
  <si>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</si>
  <si>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</si>
  <si>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</si>
  <si>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</si>
  <si>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</si>
  <si>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</si>
  <si>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</si>
  <si>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</si>
  <si>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</si>
  <si>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</si>
  <si>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</si>
  <si>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</si>
  <si>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</si>
  <si>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</si>
  <si>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</si>
  <si>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</si>
  <si>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</si>
  <si>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</si>
  <si>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</si>
  <si>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</si>
  <si>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</si>
  <si>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</si>
  <si>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</si>
  <si>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</si>
  <si>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</si>
  <si>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</si>
  <si>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</si>
  <si>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</si>
  <si>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</si>
  <si>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</si>
  <si>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</si>
  <si>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</si>
  <si>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</si>
  <si>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</si>
  <si>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</si>
  <si>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</si>
  <si>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</si>
  <si>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</si>
  <si>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</si>
  <si>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</si>
  <si>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</si>
  <si>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</si>
  <si>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</si>
  <si>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</si>
  <si>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</si>
  <si>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</si>
  <si>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</si>
  <si>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</si>
  <si>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</si>
  <si>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</si>
  <si>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</si>
  <si>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</si>
  <si>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</si>
  <si>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</si>
  <si>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</si>
  <si>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</si>
  <si>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</si>
  <si>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</si>
  <si>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</si>
  <si>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</si>
  <si>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</si>
  <si>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</si>
  <si>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</si>
  <si>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</si>
  <si>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</si>
  <si>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</si>
  <si>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</si>
  <si>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</si>
  <si>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</si>
  <si>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</si>
  <si>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</si>
  <si>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</si>
  <si>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</si>
  <si>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</si>
  <si>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</si>
  <si>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</si>
  <si>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</si>
  <si>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</si>
  <si>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</si>
  <si>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</si>
  <si>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</si>
  <si>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</si>
  <si>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</si>
  <si>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</si>
  <si>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</si>
  <si>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</si>
  <si>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</si>
  <si>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</si>
  <si>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</si>
  <si>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</si>
  <si>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</si>
  <si>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</si>
  <si>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</si>
  <si>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</si>
  <si>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</si>
  <si>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</si>
  <si>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</si>
  <si>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</si>
  <si>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</si>
  <si>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</si>
  <si>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</si>
  <si>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</si>
  <si>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</si>
  <si>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</si>
  <si>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</si>
  <si>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</si>
  <si>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</si>
  <si>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</si>
  <si>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</si>
  <si>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</si>
  <si>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</si>
  <si>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</si>
  <si>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</si>
  <si>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</si>
  <si>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</si>
  <si>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</si>
  <si>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</si>
  <si>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</si>
  <si>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</si>
  <si>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</si>
  <si>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</si>
  <si>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</si>
  <si>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</si>
  <si>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</si>
  <si>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</si>
  <si>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</si>
  <si>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</si>
  <si>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</si>
  <si>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</si>
  <si>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</si>
  <si>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</si>
  <si>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</si>
  <si>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</si>
  <si>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</si>
  <si>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</si>
  <si>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</si>
  <si>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</si>
  <si>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</si>
  <si>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</si>
  <si>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</si>
  <si>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</si>
  <si>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</si>
  <si>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</si>
  <si>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</si>
  <si>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</si>
  <si>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</si>
  <si>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</si>
  <si>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</si>
  <si>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</si>
  <si>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</si>
  <si>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</si>
  <si>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</si>
  <si>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</si>
  <si>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</si>
  <si>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</si>
  <si>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</si>
  <si>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</si>
  <si>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</si>
  <si>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</si>
  <si>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</si>
  <si>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</si>
  <si>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</si>
  <si>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</si>
  <si>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</si>
  <si>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</si>
  <si>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</si>
  <si>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</si>
  <si>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</si>
  <si>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</si>
  <si>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</si>
  <si>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</si>
  <si>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</si>
  <si>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</si>
  <si>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</si>
  <si>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</si>
  <si>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</si>
  <si>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</si>
  <si>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</si>
  <si>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</si>
  <si>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</si>
  <si>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</si>
  <si>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</si>
  <si>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</si>
  <si>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</si>
  <si>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</si>
  <si>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</si>
  <si>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</si>
  <si>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</si>
  <si>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</si>
  <si>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</si>
  <si>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</si>
  <si>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</si>
  <si>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</si>
  <si>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</si>
  <si>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</si>
  <si>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</si>
  <si>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</si>
  <si>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</si>
  <si>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</si>
  <si>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</si>
  <si>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</si>
  <si>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</si>
  <si>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</si>
  <si>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</si>
  <si>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</si>
  <si>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</si>
  <si>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</si>
  <si>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</si>
  <si>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</si>
  <si>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</si>
  <si>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</si>
  <si>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</si>
  <si>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</si>
  <si>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</si>
  <si>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</si>
  <si>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</si>
  <si>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</si>
  <si>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</si>
  <si>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</si>
  <si>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</si>
  <si>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</si>
  <si>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</si>
  <si>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</si>
  <si>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</si>
  <si>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</si>
  <si>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</si>
  <si>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</si>
  <si>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</si>
  <si>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</si>
  <si>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</si>
  <si>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</si>
  <si>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</si>
  <si>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</si>
  <si>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</si>
  <si>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</si>
  <si>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</si>
  <si>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</si>
  <si>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</si>
  <si>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</si>
  <si>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</si>
  <si>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</si>
  <si>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</si>
  <si>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</si>
  <si>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</si>
  <si>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</si>
  <si>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</si>
  <si>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</si>
  <si>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</si>
  <si>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</si>
  <si>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</si>
  <si>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</si>
  <si>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</si>
  <si>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</si>
  <si>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</si>
  <si>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</si>
  <si>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</si>
  <si>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</si>
  <si>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</si>
  <si>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</si>
  <si>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</si>
  <si>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</si>
  <si>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</si>
  <si>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</si>
  <si>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</si>
  <si>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</si>
  <si>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</si>
  <si>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</si>
  <si>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</si>
  <si>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</si>
  <si>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</si>
  <si>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</si>
  <si>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</si>
  <si>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</si>
  <si>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</si>
  <si>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</si>
  <si>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</si>
  <si>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</si>
  <si>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</si>
  <si>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</si>
  <si>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</si>
  <si>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</si>
  <si>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</si>
  <si>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</si>
  <si>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</si>
  <si>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</si>
  <si>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</si>
  <si>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</si>
  <si>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</si>
  <si>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</si>
  <si>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</si>
  <si>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</si>
  <si>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</si>
  <si>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</si>
  <si>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</si>
  <si>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</si>
  <si>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</si>
  <si>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</si>
  <si>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</si>
  <si>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</si>
  <si>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</si>
  <si>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</si>
  <si>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</si>
  <si>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</si>
  <si>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</si>
  <si>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</si>
  <si>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</si>
  <si>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</si>
  <si>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</si>
  <si>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</si>
  <si>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</si>
  <si>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</si>
  <si>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</si>
  <si>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</si>
  <si>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</si>
  <si>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</si>
  <si>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</si>
  <si>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</si>
  <si>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</si>
  <si>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</si>
  <si>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</si>
  <si>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</si>
  <si>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</si>
  <si>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</si>
  <si>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</si>
  <si>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</si>
  <si>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</si>
  <si>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</si>
  <si>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</si>
  <si>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</si>
  <si>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</si>
  <si>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</si>
  <si>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</si>
  <si>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</si>
  <si>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</si>
  <si>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</si>
  <si>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</si>
  <si>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</si>
  <si>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</si>
  <si>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</si>
  <si>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</si>
  <si>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</si>
  <si>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</si>
  <si>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</si>
  <si>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</si>
  <si>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</si>
  <si>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</si>
  <si>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</si>
  <si>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</si>
  <si>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</si>
  <si>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</si>
  <si>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</si>
  <si>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</si>
  <si>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</si>
  <si>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</si>
  <si>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</si>
  <si>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</si>
  <si>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</si>
  <si>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</si>
  <si>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</si>
  <si>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</si>
  <si>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</si>
  <si>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</si>
  <si>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</si>
  <si>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</si>
  <si>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</si>
  <si>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</si>
  <si>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</si>
  <si>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</si>
  <si>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</si>
  <si>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</si>
  <si>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</si>
  <si>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</si>
  <si>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</si>
  <si>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</si>
  <si>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</si>
  <si>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</si>
  <si>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</si>
  <si>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</si>
  <si>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</si>
  <si>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</si>
  <si>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</si>
  <si>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</si>
  <si>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</si>
  <si>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</si>
  <si>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</si>
  <si>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</si>
  <si>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</si>
  <si>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</si>
  <si>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</si>
  <si>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</si>
  <si>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</si>
  <si>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</si>
  <si>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</si>
  <si>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</si>
  <si>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</si>
  <si>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</si>
  <si>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</si>
  <si>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</si>
  <si>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</si>
  <si>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</si>
  <si>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</si>
  <si>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</si>
  <si>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</si>
  <si>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</si>
  <si>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</si>
  <si>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</si>
  <si>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</si>
  <si>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</si>
  <si>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</si>
  <si>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</si>
  <si>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</si>
  <si>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</si>
  <si>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</si>
  <si>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</si>
  <si>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</si>
  <si>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</si>
  <si>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</si>
  <si>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</si>
  <si>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</si>
  <si>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</si>
  <si>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</si>
  <si>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</si>
  <si>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</si>
  <si>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</si>
  <si>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</si>
  <si>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</si>
  <si>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</si>
  <si>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</si>
  <si>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</si>
  <si>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</si>
  <si>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</si>
  <si>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</si>
  <si>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</si>
  <si>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</si>
  <si>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</si>
  <si>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</si>
  <si>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</si>
  <si>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</si>
  <si>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</si>
  <si>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</si>
  <si>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</si>
  <si>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</si>
  <si>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</si>
  <si>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</si>
  <si>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</si>
  <si>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</si>
  <si>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</si>
  <si>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</si>
  <si>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</si>
  <si>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</si>
  <si>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</si>
  <si>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</si>
  <si>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</si>
  <si>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</si>
  <si>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</si>
  <si>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</si>
  <si>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</si>
  <si>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</si>
  <si>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</si>
  <si>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</si>
  <si>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</si>
  <si>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</si>
  <si>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</si>
  <si>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</si>
  <si>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</si>
  <si>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</si>
  <si>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</si>
  <si>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</si>
  <si>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</si>
  <si>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</si>
  <si>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</si>
  <si>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</si>
  <si>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</si>
  <si>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</si>
  <si>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</si>
  <si>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</si>
  <si>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</si>
  <si>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</si>
  <si>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</si>
  <si>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</si>
  <si>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</si>
  <si>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</si>
  <si>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</si>
  <si>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</si>
  <si>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</si>
  <si>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</si>
  <si>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</si>
  <si>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</si>
  <si>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</si>
  <si>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</si>
  <si>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</si>
  <si>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</si>
  <si>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</si>
  <si>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</si>
  <si>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</si>
  <si>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</si>
  <si>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</si>
  <si>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</si>
  <si>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</si>
  <si>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</si>
  <si>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</si>
  <si>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</si>
  <si>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</si>
  <si>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</si>
  <si>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</si>
  <si>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</si>
  <si>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</si>
  <si>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</si>
  <si>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</si>
  <si>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</si>
  <si>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</si>
  <si>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</si>
  <si>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</si>
  <si>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</si>
  <si>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</si>
  <si>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</si>
  <si>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</si>
  <si>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</si>
  <si>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</si>
  <si>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</si>
  <si>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</si>
  <si>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</si>
  <si>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</si>
  <si>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</si>
  <si>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</si>
  <si>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</si>
  <si>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</si>
  <si>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</si>
  <si>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</si>
  <si>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</si>
  <si>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</si>
  <si>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</si>
  <si>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</si>
  <si>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</si>
  <si>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</si>
  <si>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</si>
  <si>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</si>
  <si>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</si>
  <si>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</si>
  <si>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</si>
  <si>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</si>
  <si>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</si>
  <si>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</si>
  <si>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</si>
  <si>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</si>
  <si>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</si>
  <si>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</si>
  <si>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</si>
  <si>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</si>
  <si>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</si>
  <si>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</si>
  <si>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</si>
  <si>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</si>
  <si>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</si>
  <si>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</si>
  <si>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</si>
  <si>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</si>
  <si>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</si>
  <si>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</si>
  <si>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</si>
  <si>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</si>
  <si>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</si>
  <si>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</si>
  <si>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</si>
  <si>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</si>
  <si>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</si>
  <si>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</si>
  <si>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</si>
  <si>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</si>
  <si>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</si>
  <si>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</si>
  <si>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</si>
  <si>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</si>
  <si>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</si>
  <si>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</si>
  <si>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</si>
  <si>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</si>
  <si>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</si>
  <si>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</si>
  <si>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</si>
  <si>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</si>
  <si>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</si>
  <si>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</si>
  <si>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</si>
  <si>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</si>
  <si>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</si>
  <si>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</si>
  <si>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</si>
  <si>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</si>
  <si>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</si>
  <si>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</si>
  <si>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</si>
  <si>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</si>
  <si>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</si>
  <si>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</si>
  <si>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</si>
  <si>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</si>
  <si>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</si>
  <si>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</si>
  <si>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</si>
  <si>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</si>
  <si>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</si>
  <si>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</si>
  <si>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</si>
  <si>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</si>
  <si>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</si>
  <si>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</si>
  <si>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</si>
  <si>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</si>
  <si>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</si>
  <si>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</si>
  <si>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</si>
  <si>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</si>
  <si>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</si>
  <si>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</si>
  <si>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</si>
  <si>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</si>
  <si>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</si>
  <si>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</si>
  <si>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</si>
  <si>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</si>
  <si>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</si>
  <si>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</si>
  <si>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</si>
  <si>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</si>
  <si>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</si>
  <si>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</si>
  <si>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</si>
  <si>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</si>
  <si>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</si>
  <si>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</si>
  <si>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</si>
  <si>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</si>
  <si>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</si>
  <si>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</si>
  <si>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</si>
  <si>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</si>
  <si>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</si>
  <si>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</si>
  <si>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</si>
  <si>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</si>
  <si>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</si>
  <si>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</si>
  <si>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</si>
  <si>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</si>
  <si>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</si>
  <si>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</si>
  <si>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</si>
  <si>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</si>
  <si>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</si>
  <si>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</si>
  <si>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</si>
  <si>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</si>
  <si>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</si>
  <si>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</si>
  <si>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</si>
  <si>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</si>
  <si>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</si>
  <si>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</si>
  <si>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</si>
  <si>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</si>
  <si>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</si>
  <si>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</si>
  <si>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</si>
  <si>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</si>
  <si>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</si>
  <si>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</si>
  <si>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</si>
  <si>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</si>
  <si>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</si>
  <si>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</si>
  <si>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</si>
  <si>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</si>
  <si>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</si>
  <si>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</si>
  <si>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</si>
  <si>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</si>
  <si>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</si>
  <si>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</si>
  <si>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</si>
  <si>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</si>
  <si>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</si>
  <si>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</si>
  <si>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</si>
  <si>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</si>
  <si>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</si>
  <si>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</si>
  <si>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</si>
  <si>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</si>
  <si>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</si>
  <si>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</si>
  <si>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</si>
  <si>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</si>
  <si>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</si>
  <si>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</si>
  <si>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</si>
  <si>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</si>
  <si>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</si>
  <si>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</si>
  <si>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</si>
  <si>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</si>
  <si>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</si>
  <si>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</si>
  <si>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</si>
  <si>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</si>
  <si>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</si>
  <si>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</si>
  <si>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</si>
  <si>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</si>
  <si>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</si>
  <si>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</si>
  <si>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</si>
  <si>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</si>
  <si>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</si>
  <si>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</si>
  <si>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</si>
  <si>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</si>
  <si>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</si>
  <si>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</si>
  <si>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</si>
  <si>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</si>
  <si>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</si>
  <si>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</si>
  <si>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</si>
  <si>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</si>
  <si>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</si>
  <si>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</si>
  <si>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</si>
  <si>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</si>
  <si>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</si>
  <si>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</si>
  <si>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</si>
  <si>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</si>
  <si>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</si>
  <si>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</si>
  <si>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</si>
  <si>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</si>
  <si>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</si>
  <si>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</si>
  <si>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</si>
  <si>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</si>
  <si>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</si>
  <si>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</si>
  <si>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</si>
  <si>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</si>
  <si>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</si>
  <si>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</si>
  <si>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</si>
  <si>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</si>
  <si>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</si>
  <si>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</si>
  <si>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</si>
  <si>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</si>
  <si>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</si>
  <si>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</si>
  <si>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</si>
  <si>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</si>
  <si>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</si>
  <si>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</si>
  <si>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</si>
  <si>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</si>
  <si>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</si>
  <si>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</si>
  <si>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</si>
  <si>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</si>
  <si>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</si>
  <si>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</si>
  <si>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</si>
  <si>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</si>
  <si>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</si>
  <si>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</si>
  <si>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</si>
  <si>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</si>
  <si>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</si>
  <si>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</si>
  <si>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</si>
  <si>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</si>
  <si>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</si>
  <si>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</si>
  <si>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</si>
  <si>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</si>
  <si>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</si>
  <si>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</si>
  <si>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</si>
  <si>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</si>
  <si>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</si>
  <si>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</si>
  <si>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</si>
  <si>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</si>
  <si>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</si>
  <si>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</si>
  <si>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</si>
  <si>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</si>
  <si>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</si>
  <si>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</si>
  <si>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</si>
  <si>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</si>
  <si>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</si>
  <si>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</si>
  <si>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</si>
  <si>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</si>
  <si>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</si>
  <si>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</si>
  <si>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</si>
  <si>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</si>
  <si>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</si>
  <si>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</si>
  <si>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</si>
  <si>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</si>
  <si>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</si>
  <si>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</si>
  <si>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</si>
  <si>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</si>
  <si>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</si>
  <si>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</si>
  <si>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</si>
  <si>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</si>
  <si>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</si>
  <si>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</si>
  <si>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</si>
  <si>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</si>
  <si>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</si>
  <si>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</si>
  <si>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</si>
  <si>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</si>
  <si>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</si>
  <si>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</si>
  <si>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</si>
  <si>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</si>
  <si>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</si>
  <si>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</si>
  <si>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</si>
  <si>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</si>
  <si>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</si>
  <si>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</si>
  <si>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</si>
  <si>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</si>
  <si>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</si>
  <si>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</si>
  <si>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</si>
  <si>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</si>
  <si>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</si>
  <si>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</si>
  <si>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</si>
  <si>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</si>
  <si>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</si>
  <si>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</si>
  <si>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</si>
  <si>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</si>
  <si>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</si>
  <si>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</si>
  <si>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</si>
  <si>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</si>
  <si>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</si>
  <si>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</si>
  <si>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</si>
  <si>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</si>
  <si>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</si>
  <si>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</si>
  <si>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</si>
  <si>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</si>
  <si>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</si>
  <si>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</si>
  <si>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</si>
  <si>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</si>
  <si>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</si>
  <si>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</si>
  <si>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</si>
  <si>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</si>
  <si>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</si>
  <si>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</si>
  <si>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</si>
  <si>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</si>
  <si>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</si>
  <si>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</si>
  <si>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</si>
  <si>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</si>
  <si>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</si>
  <si>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</si>
  <si>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</si>
  <si>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</si>
  <si>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</si>
  <si>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</si>
  <si>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</si>
  <si>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</si>
  <si>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</si>
  <si>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</si>
  <si>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</si>
  <si>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</si>
  <si>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</si>
  <si>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</si>
  <si>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</si>
  <si>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</si>
  <si>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</si>
  <si>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</si>
  <si>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</si>
  <si>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</si>
  <si>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</si>
  <si>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</si>
  <si>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</si>
  <si>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</si>
  <si>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</si>
  <si>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</si>
  <si>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</si>
  <si>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</si>
  <si>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</si>
  <si>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</si>
  <si>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</si>
  <si>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</si>
  <si>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</si>
  <si>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</si>
  <si>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</si>
  <si>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</si>
  <si>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</si>
  <si>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</si>
  <si>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</si>
  <si>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</si>
  <si>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</si>
  <si>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</si>
  <si>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</si>
  <si>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</si>
  <si>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</si>
  <si>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</si>
  <si>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</si>
  <si>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</si>
  <si>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</si>
  <si>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</si>
  <si>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</si>
  <si>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</si>
  <si>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</si>
  <si>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</si>
  <si>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</si>
  <si>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</si>
  <si>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</si>
  <si>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</si>
  <si>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</si>
  <si>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</si>
  <si>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</si>
  <si>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</si>
  <si>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</si>
  <si>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</si>
  <si>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</si>
  <si>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</si>
  <si>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</si>
  <si>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</si>
  <si>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</si>
  <si>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</si>
  <si>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</si>
  <si>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</si>
  <si>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</si>
  <si>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</si>
  <si>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</si>
  <si>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</si>
  <si>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</si>
  <si>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</si>
  <si>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</si>
  <si>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</si>
  <si>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</si>
  <si>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</si>
  <si>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</si>
  <si>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</si>
  <si>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</si>
  <si>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</si>
  <si>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</si>
  <si>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</si>
  <si>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</si>
  <si>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</si>
  <si>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</si>
  <si>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</si>
  <si>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</si>
  <si>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</si>
  <si>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</si>
  <si>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</si>
  <si>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</si>
  <si>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</si>
  <si>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</si>
  <si>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</si>
  <si>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</si>
  <si>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</si>
  <si>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</si>
  <si>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</si>
  <si>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</si>
  <si>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</si>
  <si>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</si>
  <si>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</si>
  <si>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</si>
  <si>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</si>
  <si>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</si>
  <si>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</si>
  <si>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</si>
  <si>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</si>
  <si>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</si>
  <si>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</si>
  <si>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</si>
  <si>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</si>
  <si>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</si>
  <si>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</si>
  <si>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</si>
  <si>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</si>
  <si>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</si>
  <si>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</si>
  <si>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</si>
  <si>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</si>
  <si>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</si>
  <si>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</si>
  <si>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</si>
  <si>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</si>
  <si>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</si>
  <si>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</si>
  <si>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</si>
  <si>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</si>
  <si>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</si>
  <si>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</si>
  <si>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</si>
  <si>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</si>
  <si>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</si>
  <si>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</si>
  <si>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</si>
  <si>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</si>
  <si>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</si>
  <si>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</si>
  <si>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</si>
  <si>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</si>
  <si>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</si>
  <si>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</si>
  <si>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</si>
  <si>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</si>
  <si>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</si>
  <si>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</si>
  <si>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</si>
  <si>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</si>
  <si>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</si>
  <si>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</si>
  <si>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</si>
  <si>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</si>
  <si>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</si>
  <si>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</si>
  <si>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</si>
  <si>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</si>
  <si>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</si>
  <si>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</si>
  <si>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</si>
  <si>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</si>
  <si>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</si>
  <si>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</si>
  <si>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</si>
  <si>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</si>
  <si>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</si>
  <si>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</si>
  <si>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</si>
  <si>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</si>
  <si>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</si>
  <si>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</si>
  <si>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</si>
  <si>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</si>
  <si>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</si>
  <si>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</si>
  <si>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</si>
  <si>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</si>
  <si>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</si>
  <si>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</si>
  <si>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</si>
  <si>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</si>
  <si>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</si>
  <si>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</si>
  <si>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</si>
  <si>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</si>
  <si>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</si>
  <si>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</si>
  <si>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</si>
  <si>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</si>
  <si>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</si>
  <si>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</si>
  <si>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</si>
  <si>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</si>
  <si>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</si>
  <si>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</si>
  <si>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</si>
  <si>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</si>
  <si>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</si>
  <si>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</si>
  <si>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</si>
  <si>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</si>
  <si>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</si>
  <si>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</si>
  <si>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</si>
  <si>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</si>
  <si>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</si>
  <si>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</si>
  <si>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</si>
  <si>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</si>
  <si>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</si>
  <si>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</si>
  <si>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</si>
  <si>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</si>
  <si>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</si>
  <si>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</si>
  <si>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</si>
  <si>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</si>
  <si>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</si>
  <si>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</si>
  <si>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</si>
  <si>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</si>
  <si>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</si>
  <si>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</si>
  <si>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</si>
  <si>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</si>
  <si>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</si>
  <si>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</si>
  <si>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</si>
  <si>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</si>
  <si>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</si>
  <si>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</si>
  <si>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</si>
  <si>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</si>
  <si>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</si>
  <si>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</si>
  <si>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</si>
  <si>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</si>
  <si>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</si>
  <si>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</si>
  <si>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</si>
  <si>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</si>
  <si>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</si>
  <si>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</si>
  <si>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</si>
  <si>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</si>
  <si>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</si>
  <si>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</si>
  <si>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</si>
  <si>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</si>
  <si>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</si>
  <si>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</si>
  <si>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</si>
  <si>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</si>
  <si>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</si>
  <si>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</si>
  <si>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</si>
  <si>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</si>
  <si>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</si>
  <si>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</si>
  <si>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</si>
  <si>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</si>
  <si>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</si>
  <si>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</si>
  <si>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</si>
  <si>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</si>
  <si>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</si>
  <si>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</si>
  <si>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</si>
  <si>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</si>
  <si>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</si>
  <si>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</si>
  <si>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</si>
  <si>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</si>
  <si>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</si>
  <si>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</si>
  <si>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</si>
  <si>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</si>
  <si>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</si>
  <si>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</si>
  <si>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</si>
  <si>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</si>
  <si>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</si>
  <si>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</si>
  <si>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</si>
  <si>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</si>
  <si>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</si>
  <si>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</si>
  <si>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</si>
  <si>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</si>
  <si>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</si>
  <si>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</si>
  <si>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</si>
  <si>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</si>
  <si>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</si>
  <si>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</si>
  <si>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</si>
  <si>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</si>
  <si>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</si>
  <si>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</si>
  <si>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</si>
  <si>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</si>
  <si>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</si>
  <si>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</si>
  <si>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</si>
  <si>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</si>
  <si>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</si>
  <si>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</si>
  <si>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</si>
  <si>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</si>
  <si>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</si>
  <si>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</si>
  <si>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</si>
  <si>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</si>
  <si>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</si>
  <si>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</si>
  <si>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</si>
  <si>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</si>
  <si>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</si>
  <si>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</si>
  <si>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</si>
  <si>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</si>
  <si>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</si>
  <si>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</si>
  <si>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</si>
  <si>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</si>
  <si>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</si>
  <si>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</si>
  <si>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</si>
  <si>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</si>
  <si>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</si>
  <si>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</si>
  <si>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</si>
  <si>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</si>
  <si>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</si>
  <si>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</si>
  <si>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</si>
  <si>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</si>
  <si>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</si>
  <si>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</si>
  <si>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</si>
  <si>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</si>
  <si>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</si>
  <si>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</si>
  <si>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</si>
  <si>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</si>
  <si>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</si>
  <si>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</si>
  <si>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</si>
  <si>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</si>
  <si>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</si>
  <si>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</si>
  <si>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</si>
  <si>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</si>
  <si>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</si>
  <si>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</si>
  <si>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</si>
  <si>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</si>
  <si>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</si>
  <si>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</si>
  <si>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</si>
  <si>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</si>
  <si>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</si>
  <si>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</si>
  <si>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</si>
  <si>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</si>
  <si>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</si>
  <si>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</si>
  <si>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</si>
  <si>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</si>
  <si>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</si>
  <si>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</si>
  <si>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</si>
  <si>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</si>
  <si>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</si>
  <si>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</si>
  <si>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</si>
  <si>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</si>
  <si>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</si>
  <si>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</si>
  <si>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</si>
  <si>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</si>
  <si>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</si>
  <si>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</si>
  <si>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</si>
  <si>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</si>
  <si>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</si>
  <si>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</si>
  <si>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</si>
  <si>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</si>
  <si>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</si>
  <si>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</si>
  <si>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</si>
  <si>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</si>
  <si>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</si>
  <si>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</si>
  <si>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</si>
  <si>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</si>
  <si>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</si>
  <si>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</si>
  <si>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</si>
  <si>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</si>
  <si>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</si>
  <si>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</si>
  <si>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</si>
  <si>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</si>
  <si>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</si>
  <si>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</si>
  <si>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</si>
  <si>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</si>
  <si>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</si>
  <si>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</si>
  <si>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</si>
  <si>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</si>
  <si>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</si>
  <si>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</si>
  <si>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</si>
  <si>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</si>
  <si>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</si>
  <si>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</si>
  <si>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</si>
  <si>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</si>
  <si>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</si>
  <si>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</si>
  <si>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</si>
  <si>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</si>
  <si>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</si>
  <si>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</si>
  <si>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</si>
  <si>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</si>
  <si>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</si>
  <si>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</si>
  <si>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</si>
  <si>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</si>
  <si>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</si>
  <si>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</si>
  <si>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</si>
  <si>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</si>
  <si>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</si>
  <si>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</si>
  <si>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</si>
  <si>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</si>
  <si>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</si>
  <si>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</si>
  <si>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</si>
  <si>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</si>
  <si>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</si>
  <si>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</si>
  <si>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</si>
  <si>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</si>
  <si>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</si>
  <si>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</si>
  <si>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</si>
  <si>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</si>
  <si>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</si>
  <si>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</si>
  <si>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</si>
  <si>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</si>
  <si>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</si>
  <si>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</si>
  <si>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</si>
  <si>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</si>
  <si>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</si>
  <si>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</si>
  <si>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</si>
  <si>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</si>
  <si>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</si>
  <si>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</si>
  <si>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</si>
  <si>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</si>
  <si>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</si>
  <si>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</si>
  <si>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</si>
  <si>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</si>
  <si>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</si>
  <si>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</si>
  <si>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</si>
  <si>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</si>
  <si>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</si>
  <si>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</si>
  <si>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</si>
  <si>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</si>
  <si>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</si>
  <si>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</si>
  <si>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</si>
  <si>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</si>
  <si>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</si>
  <si>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</si>
  <si>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</si>
  <si>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</si>
  <si>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</si>
  <si>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</si>
  <si>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</si>
  <si>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</si>
  <si>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</si>
  <si>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</si>
  <si>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</si>
  <si>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</si>
  <si>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</si>
  <si>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</si>
  <si>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</si>
  <si>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</si>
  <si>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</si>
  <si>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</si>
  <si>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</si>
  <si>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</si>
  <si>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</si>
  <si>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</si>
  <si>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</si>
  <si>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</si>
  <si>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</si>
  <si>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</si>
  <si>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</si>
  <si>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</si>
  <si>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</si>
  <si>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</si>
  <si>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</si>
  <si>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</si>
  <si>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</si>
  <si>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</si>
  <si>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</si>
  <si>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</si>
  <si>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</si>
  <si>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</si>
  <si>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</si>
  <si>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</si>
  <si>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</si>
  <si>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</si>
  <si>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</si>
  <si>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</si>
  <si>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</si>
  <si>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</si>
  <si>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</si>
  <si>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</si>
  <si>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</si>
  <si>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</si>
  <si>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</si>
  <si>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</si>
  <si>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</si>
  <si>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</si>
  <si>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</si>
  <si>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</si>
  <si>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</si>
  <si>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</si>
  <si>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</si>
  <si>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</si>
  <si>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</si>
  <si>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</si>
  <si>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</si>
  <si>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</si>
  <si>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</si>
  <si>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</si>
  <si>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</si>
  <si>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</si>
  <si>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</si>
  <si>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</si>
  <si>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</si>
  <si>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</si>
  <si>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</si>
  <si>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</si>
  <si>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</si>
  <si>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</si>
  <si>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</si>
  <si>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</si>
  <si>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</si>
  <si>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</si>
  <si>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</si>
  <si>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</si>
  <si>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</si>
  <si>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</si>
  <si>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</si>
  <si>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</si>
  <si>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</si>
  <si>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</si>
  <si>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</si>
  <si>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</si>
  <si>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</si>
  <si>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</si>
  <si>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</si>
  <si>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</si>
  <si>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</si>
  <si>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</si>
  <si>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</si>
  <si>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</si>
  <si>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</si>
  <si>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</si>
  <si>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</si>
  <si>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</si>
  <si>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</si>
  <si>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</si>
  <si>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</si>
  <si>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</si>
  <si>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</si>
  <si>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</si>
  <si>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</si>
  <si>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</si>
  <si>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</si>
  <si>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</si>
  <si>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</si>
  <si>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</si>
  <si>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</si>
  <si>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</si>
  <si>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</si>
  <si>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</si>
  <si>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</si>
  <si>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</si>
  <si>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</si>
  <si>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</si>
  <si>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</si>
  <si>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</si>
  <si>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</si>
  <si>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</si>
  <si>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</si>
  <si>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</si>
  <si>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</si>
  <si>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</si>
  <si>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</si>
  <si>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</si>
  <si>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</si>
  <si>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</si>
  <si>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</si>
  <si>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</si>
  <si>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</si>
  <si>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</si>
  <si>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</si>
  <si>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</si>
  <si>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</si>
  <si>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</si>
  <si>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</si>
  <si>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</si>
  <si>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</si>
  <si>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</si>
  <si>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</si>
  <si>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</si>
  <si>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</si>
  <si>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</si>
  <si>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</si>
  <si>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</si>
  <si>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</si>
  <si>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</si>
  <si>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</si>
  <si>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</si>
  <si>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</si>
  <si>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</si>
  <si>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</si>
  <si>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</si>
  <si>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</si>
  <si>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</si>
  <si>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</si>
  <si>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</si>
  <si>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</si>
  <si>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</si>
  <si>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</si>
  <si>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</si>
  <si>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</si>
  <si>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</si>
  <si>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</si>
  <si>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</si>
  <si>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</si>
  <si>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</si>
  <si>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</si>
  <si>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</si>
  <si>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</si>
  <si>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</si>
  <si>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</si>
  <si>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</si>
  <si>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</si>
  <si>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</si>
  <si>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</si>
  <si>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</si>
  <si>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</si>
  <si>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</si>
  <si>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</si>
  <si>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</si>
  <si>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</si>
  <si>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</si>
  <si>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</si>
  <si>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</si>
  <si>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</si>
  <si>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</si>
  <si>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</si>
  <si>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</si>
  <si>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</si>
  <si>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</si>
  <si>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</si>
  <si>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</si>
  <si>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</si>
  <si>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</si>
  <si>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</si>
  <si>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</si>
  <si>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</si>
  <si>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</si>
  <si>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</si>
  <si>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</si>
  <si>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</si>
  <si>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</si>
  <si>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</si>
  <si>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</si>
  <si>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</si>
  <si>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</si>
  <si>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</si>
  <si>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</si>
  <si>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</si>
  <si>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</si>
  <si>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</si>
  <si>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</si>
  <si>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</si>
  <si>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</si>
  <si>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</si>
  <si>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</si>
  <si>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</si>
  <si>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</si>
  <si>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</si>
  <si>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</si>
  <si>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</si>
  <si>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</si>
  <si>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</si>
  <si>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</si>
  <si>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</si>
  <si>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</si>
  <si>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</si>
  <si>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</si>
  <si>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</si>
  <si>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</si>
  <si>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</si>
  <si>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</si>
  <si>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</si>
  <si>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</si>
  <si>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</si>
  <si>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</si>
  <si>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</si>
  <si>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</si>
  <si>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</si>
  <si>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</si>
  <si>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</si>
  <si>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</si>
  <si>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</si>
  <si>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</si>
  <si>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</si>
  <si>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</si>
  <si>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</si>
  <si>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</si>
  <si>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</si>
  <si>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</si>
  <si>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</si>
  <si>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</si>
  <si>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</si>
  <si>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</si>
  <si>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</si>
  <si>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</si>
  <si>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</si>
  <si>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</si>
  <si>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</si>
  <si>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</si>
  <si>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</si>
  <si>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</si>
  <si>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</si>
  <si>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</si>
  <si>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</si>
  <si>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</si>
  <si>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</si>
  <si>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</si>
  <si>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</si>
  <si>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</si>
  <si>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</si>
  <si>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</si>
  <si>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</si>
  <si>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</si>
  <si>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</si>
  <si>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</si>
  <si>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</si>
  <si>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</si>
  <si>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</si>
  <si>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</si>
  <si>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</si>
  <si>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</si>
  <si>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</si>
  <si>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</si>
  <si>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</si>
  <si>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</si>
  <si>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</si>
  <si>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</si>
  <si>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</si>
  <si>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</si>
  <si>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</si>
  <si>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</si>
  <si>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</si>
  <si>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</si>
  <si>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</si>
  <si>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</si>
  <si>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</si>
  <si>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</si>
  <si>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</si>
  <si>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</si>
  <si>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</si>
  <si>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</si>
  <si>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</si>
  <si>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</si>
  <si>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</si>
  <si>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</si>
  <si>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</si>
  <si>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</si>
  <si>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</si>
  <si>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</si>
  <si>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</si>
  <si>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</si>
  <si>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</si>
  <si>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</si>
  <si>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</si>
  <si>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</si>
  <si>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</si>
  <si>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</si>
  <si>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</si>
  <si>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</si>
  <si>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</si>
  <si>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</si>
  <si>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</si>
  <si>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</si>
  <si>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</si>
  <si>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</si>
  <si>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</si>
  <si>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</si>
  <si>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</si>
  <si>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</si>
  <si>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</si>
  <si>
    <t>감독: 피터 &amp; 마이클 스피어리그
출연: 해리엇 슬레이터, 아세마 토마스, 톰 브리트니</t>
    <phoneticPr fontId="2" type="noConversion"/>
  </si>
  <si>
    <t>모험, 드라마, 스릴러, 액션</t>
    <phoneticPr fontId="2" type="noConversion"/>
  </si>
  <si>
    <t>범죄, 드라마, 스릴러</t>
    <phoneticPr fontId="2" type="noConversion"/>
  </si>
  <si>
    <t>감독: 가이 리치, 로렌스 고흐
출연: 톰 하디, 피어스 브로스넌, 헬렌 미렌, 패디 콘시딘</t>
    <phoneticPr fontId="2" type="noConversion"/>
  </si>
  <si>
    <t>SF, 스릴러</t>
    <phoneticPr fontId="2" type="noConversion"/>
  </si>
  <si>
    <t>09부작</t>
    <phoneticPr fontId="2" type="noConversion"/>
  </si>
  <si>
    <t>연출: 제이콥 버브루겐 외
출연: 조엘 에저튼, 제니퍼 코넬리, 지미 심슨 외</t>
    <phoneticPr fontId="2" type="noConversion"/>
  </si>
  <si>
    <t>SF, 액션, 스릴러, 크리처</t>
    <phoneticPr fontId="2" type="noConversion"/>
  </si>
  <si>
    <t xml:space="preserve">감독: 나홍진
출연: 황정민, 조인성, 정호연, 테일러 러셀, 카메론 브리튼, </t>
    <phoneticPr fontId="2" type="noConversion"/>
  </si>
  <si>
    <t>156분</t>
    <phoneticPr fontId="2" type="noConversion"/>
  </si>
  <si>
    <t>정치·외교·스릴러</t>
    <phoneticPr fontId="2" type="noConversion"/>
  </si>
  <si>
    <t>제작: 데보라 칸
출연: 케리 러셀, 루퍼스 스웰, 데이비드 자시, 알리 안, 아토 에산도, 앨리슨 제니</t>
    <phoneticPr fontId="2" type="noConversion"/>
  </si>
  <si>
    <t>드라마, 역사</t>
    <phoneticPr fontId="2" type="noConversion"/>
  </si>
  <si>
    <t>제작: 이상일
출연: 요시자와 료, 요코하마 류세이, 타카하타 미츠키, 테라지마 시노부, 모리 나나, 쿠로카와 소야, 와타나베 켄</t>
    <phoneticPr fontId="2" type="noConversion"/>
  </si>
  <si>
    <t>175분</t>
    <phoneticPr fontId="2" type="noConversion"/>
  </si>
  <si>
    <t>감독: 타일러 페리
출연: 나오미 베이커, 제이 리브스, 탬벌라 페리</t>
    <phoneticPr fontId="2" type="noConversion"/>
  </si>
  <si>
    <t>로맨스, 드라마</t>
    <phoneticPr fontId="2" type="noConversion"/>
  </si>
  <si>
    <t>108분</t>
    <phoneticPr fontId="2" type="noConversion"/>
  </si>
  <si>
    <t>감독: 김도영
출연: 최민식, 한소희 外</t>
    <phoneticPr fontId="2" type="noConversion"/>
  </si>
  <si>
    <t>드라마, 오피스</t>
    <phoneticPr fontId="2" type="noConversion"/>
  </si>
  <si>
    <t>132분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</si>
</sst>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12" totalsRowShown="0" headerRowDxfId="13" dataDxfId="11" headerRowBorderDxfId="12" tableBorderDxfId="10">
  <autoFilter ref="A2:J3512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12"/>
  <sheetViews>
    <sheetView showGridLines="0" tabSelected="1" workbookViewId="0">
      <pane ySplit="2" topLeftCell="A3501" activePane="bottomLeft" state="frozen"/>
      <selection pane="bottomLeft" activeCell="D3514" sqref="D3514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5" t="s">
        <v>3523</v>
      </c>
      <c r="B1" s="115"/>
      <c r="C1" s="115"/>
      <c r="D1" s="115"/>
      <c r="E1" s="115"/>
      <c r="F1" s="115"/>
      <c r="G1" s="116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  <row r="3505" spans="1:14" s="58" customFormat="1" ht="33.9" customHeight="1" x14ac:dyDescent="0.6">
      <c r="A3505" s="113">
        <v>3503</v>
      </c>
      <c r="B3505" s="94" t="str">
        <f>HYPERLINK("https://search.naver.com/search.naver?query=폴2: 데드포인트", "폴2: 데드포인트 ")</f>
        <v xml:space="preserve">폴2: 데드포인트 </v>
      </c>
      <c r="C3505" s="74"/>
      <c r="D3505" s="75" t="s">
        <v>3670</v>
      </c>
      <c r="E3505" s="73" t="s">
        <v>3488</v>
      </c>
      <c r="F3505" s="73">
        <v>2026</v>
      </c>
      <c r="G3505" s="73" t="s">
        <v>3489</v>
      </c>
      <c r="H3505" s="114" t="s">
        <v>3671</v>
      </c>
      <c r="I3505" s="73" t="s">
        <v>3607</v>
      </c>
      <c r="J3505" s="111">
        <v>46304</v>
      </c>
      <c r="K3505" s="76"/>
      <c r="L3505" s="76"/>
      <c r="M3505" s="76"/>
      <c r="N3505" s="76"/>
    </row>
    <row r="3506" spans="1:14" ht="34.200000000000003" customHeight="1" x14ac:dyDescent="0.6">
      <c r="A3506" s="25">
        <v>3504</v>
      </c>
      <c r="B3506" s="92" t="str">
        <f>HYPERLINK("https://search.naver.com/search.naver?query=몹랜드 시즌1", "몹랜드(Mobland) 시즌1")</f>
        <v>몹랜드(Mobland) 시즌1</v>
      </c>
      <c r="C3506" s="72"/>
      <c r="D3506" s="32" t="s">
        <v>3673</v>
      </c>
      <c r="E3506" s="25" t="s">
        <v>3525</v>
      </c>
      <c r="F3506" s="25">
        <v>2025</v>
      </c>
      <c r="G3506" s="25" t="s">
        <v>3490</v>
      </c>
      <c r="H3506" s="25" t="s">
        <v>3672</v>
      </c>
      <c r="I3506" s="25" t="s">
        <v>3534</v>
      </c>
      <c r="J3506" s="110">
        <v>46305</v>
      </c>
    </row>
    <row r="3507" spans="1:14" ht="34.200000000000003" customHeight="1" x14ac:dyDescent="0.6">
      <c r="A3507" s="25">
        <v>3505</v>
      </c>
      <c r="B3507" s="92" t="str">
        <f>HYPERLINK("https://search.naver.com/search.naver?query=30일의 밤 시즌1", "30일의 밤 (Dark Matter) 시즌1")</f>
        <v>30일의 밤 (Dark Matter) 시즌1</v>
      </c>
      <c r="C3507" s="72"/>
      <c r="D3507" s="32" t="s">
        <v>3676</v>
      </c>
      <c r="E3507" s="25" t="s">
        <v>3488</v>
      </c>
      <c r="F3507" s="25">
        <v>2024</v>
      </c>
      <c r="G3507" s="25" t="s">
        <v>3490</v>
      </c>
      <c r="H3507" s="25" t="s">
        <v>3674</v>
      </c>
      <c r="I3507" s="25" t="s">
        <v>3675</v>
      </c>
      <c r="J3507" s="110">
        <v>46307</v>
      </c>
    </row>
    <row r="3508" spans="1:14" s="58" customFormat="1" ht="33.9" customHeight="1" x14ac:dyDescent="0.6">
      <c r="A3508" s="113">
        <v>3506</v>
      </c>
      <c r="B3508" s="94" t="str">
        <f>HYPERLINK("https://search.naver.com/search.naver?query=호프 영화", "호프 (Hope)")</f>
        <v>호프 (Hope)</v>
      </c>
      <c r="C3508" s="74"/>
      <c r="D3508" s="75" t="s">
        <v>3678</v>
      </c>
      <c r="E3508" s="73" t="s">
        <v>3495</v>
      </c>
      <c r="F3508" s="73">
        <v>2026</v>
      </c>
      <c r="G3508" s="73" t="s">
        <v>3489</v>
      </c>
      <c r="H3508" s="114" t="s">
        <v>3677</v>
      </c>
      <c r="I3508" s="73" t="s">
        <v>3679</v>
      </c>
      <c r="J3508" s="111">
        <v>46308</v>
      </c>
      <c r="K3508" s="76"/>
      <c r="L3508" s="76"/>
      <c r="M3508" s="76"/>
      <c r="N3508" s="76"/>
    </row>
    <row r="3509" spans="1:14" ht="34.200000000000003" customHeight="1" x14ac:dyDescent="0.6">
      <c r="A3509" s="25">
        <v>3507</v>
      </c>
      <c r="B3509" s="92" t="str">
        <f>HYPERLINK("https://search.naver.com/search.naver?query=외교관 시즌4", "외교관(The Diplomat) 시즌4")</f>
        <v>외교관(The Diplomat) 시즌4</v>
      </c>
      <c r="C3509" s="72"/>
      <c r="D3509" s="32" t="s">
        <v>3681</v>
      </c>
      <c r="E3509" s="25" t="s">
        <v>3488</v>
      </c>
      <c r="F3509" s="25">
        <v>2026</v>
      </c>
      <c r="G3509" s="25" t="s">
        <v>3490</v>
      </c>
      <c r="H3509" s="25" t="s">
        <v>3680</v>
      </c>
      <c r="I3509" s="25" t="s">
        <v>3545</v>
      </c>
      <c r="J3509" s="110">
        <v>46312</v>
      </c>
    </row>
    <row r="3510" spans="1:14" s="58" customFormat="1" ht="33.9" customHeight="1" x14ac:dyDescent="0.6">
      <c r="A3510" s="113">
        <v>3508</v>
      </c>
      <c r="B3510" s="94" t="str">
        <f>HYPERLINK("https://search.naver.com/search.naver?query=국보 영화", "국보(国宝)")</f>
        <v>국보(国宝)</v>
      </c>
      <c r="C3510" s="74">
        <v>8.6999999999999993</v>
      </c>
      <c r="D3510" s="75" t="s">
        <v>3683</v>
      </c>
      <c r="E3510" s="73" t="s">
        <v>3500</v>
      </c>
      <c r="F3510" s="73">
        <v>2025</v>
      </c>
      <c r="G3510" s="73" t="s">
        <v>3489</v>
      </c>
      <c r="H3510" s="114" t="s">
        <v>3682</v>
      </c>
      <c r="I3510" s="73" t="s">
        <v>3684</v>
      </c>
      <c r="J3510" s="111">
        <v>46313</v>
      </c>
      <c r="K3510" s="76"/>
      <c r="L3510" s="76"/>
      <c r="M3510" s="76"/>
      <c r="N3510" s="76"/>
    </row>
    <row r="3511" spans="1:14" s="58" customFormat="1" ht="33.9" customHeight="1" x14ac:dyDescent="0.6">
      <c r="A3511" s="113">
        <v>3509</v>
      </c>
      <c r="B3511" s="94" t="str">
        <f>HYPERLINK("https://search.naver.com/search.naver?query=두잉 라이프 영화", "두잉 라이프 (Doing Life)")</f>
        <v>두잉 라이프 (Doing Life)</v>
      </c>
      <c r="C3511" s="74"/>
      <c r="D3511" s="75" t="s">
        <v>3685</v>
      </c>
      <c r="E3511" s="73" t="s">
        <v>3488</v>
      </c>
      <c r="F3511" s="73">
        <v>2026</v>
      </c>
      <c r="G3511" s="73" t="s">
        <v>3489</v>
      </c>
      <c r="H3511" s="114" t="s">
        <v>3686</v>
      </c>
      <c r="I3511" s="73" t="s">
        <v>3687</v>
      </c>
      <c r="J3511" s="111">
        <v>46314</v>
      </c>
      <c r="K3511" s="76"/>
      <c r="L3511" s="76"/>
      <c r="M3511" s="76"/>
      <c r="N3511" s="76"/>
    </row>
    <row r="3512" spans="1:14" s="58" customFormat="1" ht="33.9" customHeight="1" x14ac:dyDescent="0.6">
      <c r="A3512" s="113">
        <v>3510</v>
      </c>
      <c r="B3512" s="94" t="str">
        <f>HYPERLINK("https://search.naver.com/search.naver?query=인턴 영화", "인턴")</f>
        <v>인턴</v>
      </c>
      <c r="C3512" s="74">
        <v>7.9</v>
      </c>
      <c r="D3512" s="75" t="s">
        <v>3688</v>
      </c>
      <c r="E3512" s="73" t="s">
        <v>3495</v>
      </c>
      <c r="F3512" s="73">
        <v>2026</v>
      </c>
      <c r="G3512" s="73" t="s">
        <v>3489</v>
      </c>
      <c r="H3512" s="114" t="s">
        <v>3689</v>
      </c>
      <c r="I3512" s="73" t="s">
        <v>3690</v>
      </c>
      <c r="J3512" s="111">
        <v>46315</v>
      </c>
      <c r="K3512" s="76"/>
      <c r="L3512" s="76"/>
      <c r="M3512" s="76"/>
      <c r="N3512" s="76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2026-10-20T00:40:58Z</dcterms:modified>
</cp:coreProperties>
</file>