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9205D14-37C0-418B-A5DC-76DF263F924B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5" i="1" l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<sst xmlns="http://schemas.openxmlformats.org/spreadsheetml/2006/main" count="20799" uniqueCount="3633">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</sst>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5" totalsRowShown="0" headerRowDxfId="13" dataDxfId="11" headerRowBorderDxfId="12" tableBorderDxfId="10">
  <autoFilter ref="A2:J348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5"/>
  <sheetViews>
    <sheetView showGridLines="0" tabSelected="1" workbookViewId="0">
      <pane ySplit="2" topLeftCell="A3473" activePane="bottomLeft" state="frozen"/>
      <selection pane="bottomLeft" activeCell="D3487" sqref="D3487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  <row r="3482" spans="1:14" ht="34.200000000000003" customHeight="1" x14ac:dyDescent="0.6">
      <c r="A3482" s="32">
        <v>3480</v>
      </c>
      <c r="B3482" s="110" t="str">
        <f>HYPERLINK("https://search.naver.com/search.naver?query=메이어 오브 킹스타운 시즌4", "메이어 오브 킹스타운 시즌4")</f>
        <v>메이어 오브 킹스타운 시즌4</v>
      </c>
      <c r="C3482" s="87"/>
      <c r="D3482" s="39" t="s">
        <v>3625</v>
      </c>
      <c r="E3482" s="32" t="s">
        <v>3488</v>
      </c>
      <c r="F3482" s="32">
        <v>2025</v>
      </c>
      <c r="G3482" s="32" t="s">
        <v>3490</v>
      </c>
      <c r="H3482" s="32" t="s">
        <v>3624</v>
      </c>
      <c r="I3482" s="32" t="s">
        <v>3534</v>
      </c>
      <c r="J3482" s="52">
        <v>46274</v>
      </c>
    </row>
    <row r="3483" spans="1:14" s="72" customFormat="1" ht="34.35" customHeight="1" x14ac:dyDescent="0.6">
      <c r="A3483" s="88">
        <v>3481</v>
      </c>
      <c r="B3483" s="112" t="str">
        <f>HYPERLINK("https://search.naver.com/search.naver?query=버티칼 리미트 영화", "버티칼 리미트")</f>
        <v>버티칼 리미트</v>
      </c>
      <c r="C3483" s="89">
        <v>7.96</v>
      </c>
      <c r="D3483" s="90" t="s">
        <v>3626</v>
      </c>
      <c r="E3483" s="88" t="s">
        <v>3628</v>
      </c>
      <c r="F3483" s="88">
        <v>2000</v>
      </c>
      <c r="G3483" s="88" t="s">
        <v>3489</v>
      </c>
      <c r="H3483" s="88" t="s">
        <v>3627</v>
      </c>
      <c r="I3483" s="88" t="s">
        <v>3597</v>
      </c>
      <c r="J3483" s="91">
        <v>46275</v>
      </c>
      <c r="K3483" s="92"/>
      <c r="L3483" s="92"/>
      <c r="M3483" s="92"/>
      <c r="N3483" s="92"/>
    </row>
    <row r="3484" spans="1:14" ht="34.200000000000003" customHeight="1" x14ac:dyDescent="0.6">
      <c r="A3484" s="32">
        <v>3482</v>
      </c>
      <c r="B3484" s="110" t="str">
        <f>HYPERLINK("https://search.naver.com/search.naver?query=스트레인저 넷플릭스", "스트레인저")</f>
        <v>스트레인저</v>
      </c>
      <c r="C3484" s="87"/>
      <c r="D3484" s="39" t="s">
        <v>3630</v>
      </c>
      <c r="E3484" s="32" t="s">
        <v>3525</v>
      </c>
      <c r="F3484" s="32">
        <v>2020</v>
      </c>
      <c r="G3484" s="32" t="s">
        <v>3490</v>
      </c>
      <c r="H3484" s="32" t="s">
        <v>3629</v>
      </c>
      <c r="I3484" s="32" t="s">
        <v>3545</v>
      </c>
      <c r="J3484" s="52">
        <v>46276</v>
      </c>
    </row>
    <row r="3485" spans="1:14" s="72" customFormat="1" ht="34.35" customHeight="1" x14ac:dyDescent="0.6">
      <c r="A3485" s="88">
        <v>3483</v>
      </c>
      <c r="B3485" s="112" t="str">
        <f>HYPERLINK("https://search.naver.com/search.naver?query=기차의 꿈 영화", "기차의 꿈")</f>
        <v>기차의 꿈</v>
      </c>
      <c r="C3485" s="89">
        <v>9.2899999999999991</v>
      </c>
      <c r="D3485" s="90" t="s">
        <v>3632</v>
      </c>
      <c r="E3485" s="88" t="s">
        <v>3488</v>
      </c>
      <c r="F3485" s="88">
        <v>2025</v>
      </c>
      <c r="G3485" s="88" t="s">
        <v>3489</v>
      </c>
      <c r="H3485" s="88" t="s">
        <v>3490</v>
      </c>
      <c r="I3485" s="88" t="s">
        <v>3631</v>
      </c>
      <c r="J3485" s="91">
        <v>46277</v>
      </c>
      <c r="K3485" s="92"/>
      <c r="L3485" s="92"/>
      <c r="M3485" s="92"/>
      <c r="N3485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2026-09-12T11:51:31Z</dcterms:modified>
</cp:coreProperties>
</file>