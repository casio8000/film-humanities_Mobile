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0A780BD0-BFC6-4685-AFD2-2D6752F8BE1A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89" i="1" l="1"/>
  <c r="B3488" i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3476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<sst xmlns="http://schemas.openxmlformats.org/spreadsheetml/2006/main" count="20819" uniqueCount="3642">
  <si>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</si>
  <si>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</si>
  <si>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</si>
  <si>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</si>
  <si>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</si>
  <si>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</si>
  <si>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</si>
  <si>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</si>
  <si>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</si>
  <si>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</si>
  <si>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</si>
  <si>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</si>
  <si>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</si>
  <si>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</si>
  <si>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</si>
  <si>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</si>
  <si>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</si>
  <si>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</si>
  <si>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</si>
  <si>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</si>
  <si>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</si>
  <si>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</si>
  <si>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</si>
  <si>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</si>
  <si>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</si>
  <si>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</si>
  <si>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</si>
  <si>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</si>
  <si>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</si>
  <si>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</si>
  <si>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</si>
  <si>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</si>
  <si>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</si>
  <si>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</si>
  <si>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</si>
  <si>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</si>
  <si>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</si>
  <si>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</si>
  <si>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</si>
  <si>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</si>
  <si>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</si>
  <si>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</si>
  <si>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</si>
  <si>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</si>
  <si>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</si>
  <si>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</si>
  <si>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</si>
  <si>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</si>
  <si>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</si>
  <si>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</si>
  <si>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</si>
  <si>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</si>
  <si>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</si>
  <si>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</si>
  <si>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</si>
  <si>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</si>
  <si>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</si>
  <si>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</si>
  <si>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</si>
  <si>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</si>
  <si>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</si>
  <si>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</si>
  <si>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</si>
  <si>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</si>
  <si>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</si>
  <si>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</si>
  <si>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</si>
  <si>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</si>
  <si>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</si>
  <si>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</si>
  <si>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</si>
  <si>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</si>
  <si>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</si>
  <si>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</si>
  <si>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</si>
  <si>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</si>
  <si>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</si>
  <si>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</si>
  <si>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</si>
  <si>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</si>
  <si>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</si>
  <si>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</si>
  <si>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</si>
  <si>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</si>
  <si>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</si>
  <si>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</si>
  <si>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</si>
  <si>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</si>
  <si>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</si>
  <si>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</si>
  <si>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</si>
  <si>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</si>
  <si>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</si>
  <si>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</si>
  <si>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</si>
  <si>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</si>
  <si>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</si>
  <si>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</si>
  <si>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</si>
  <si>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</si>
  <si>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</si>
  <si>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</si>
  <si>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</si>
  <si>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</si>
  <si>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</si>
  <si>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</si>
  <si>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</si>
  <si>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</si>
  <si>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</si>
  <si>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</si>
  <si>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</si>
  <si>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</si>
  <si>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</si>
  <si>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</si>
  <si>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</si>
  <si>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</si>
  <si>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</si>
  <si>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</si>
  <si>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</si>
  <si>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</si>
  <si>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</si>
  <si>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</si>
  <si>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</si>
  <si>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</si>
  <si>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</si>
  <si>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</si>
  <si>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</si>
  <si>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</si>
  <si>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</si>
  <si>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</si>
  <si>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</si>
  <si>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</si>
  <si>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</si>
  <si>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</si>
  <si>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</si>
  <si>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</si>
  <si>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</si>
  <si>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</si>
  <si>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</si>
  <si>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</si>
  <si>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</si>
  <si>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</si>
  <si>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</si>
  <si>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</si>
  <si>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</si>
  <si>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</si>
  <si>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</si>
  <si>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</si>
  <si>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</si>
  <si>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</si>
  <si>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</si>
  <si>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</si>
  <si>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</si>
  <si>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</si>
  <si>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</si>
  <si>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</si>
  <si>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</si>
  <si>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</si>
  <si>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</si>
  <si>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</si>
  <si>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</si>
  <si>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</si>
  <si>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</si>
  <si>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</si>
  <si>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</si>
  <si>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</si>
  <si>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</si>
  <si>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</si>
  <si>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</si>
  <si>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</si>
  <si>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</si>
  <si>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</si>
  <si>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</si>
  <si>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</si>
  <si>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</si>
  <si>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</si>
  <si>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</si>
  <si>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</si>
  <si>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</si>
  <si>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</si>
  <si>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</si>
  <si>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</si>
  <si>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</si>
  <si>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</si>
  <si>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</si>
  <si>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</si>
  <si>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</si>
  <si>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</si>
  <si>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</si>
  <si>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</si>
  <si>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</si>
  <si>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</si>
  <si>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</si>
  <si>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</si>
  <si>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</si>
  <si>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</si>
  <si>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</si>
  <si>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</si>
  <si>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</si>
  <si>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</si>
  <si>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</si>
  <si>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</si>
  <si>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</si>
  <si>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</si>
  <si>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</si>
  <si>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</si>
  <si>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</si>
  <si>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</si>
  <si>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</si>
  <si>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</si>
  <si>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</si>
  <si>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</si>
  <si>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</si>
  <si>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</si>
  <si>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</si>
  <si>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</si>
  <si>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</si>
  <si>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</si>
  <si>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</si>
  <si>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</si>
  <si>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</si>
  <si>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</si>
  <si>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</si>
  <si>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</si>
  <si>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</si>
  <si>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</si>
  <si>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</si>
  <si>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</si>
  <si>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</si>
  <si>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</si>
  <si>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</si>
  <si>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</si>
  <si>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</si>
  <si>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</si>
  <si>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</si>
  <si>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</si>
  <si>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</si>
  <si>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</si>
  <si>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</si>
  <si>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</si>
  <si>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</si>
  <si>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</si>
  <si>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</si>
  <si>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</si>
  <si>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</si>
  <si>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</si>
  <si>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</si>
  <si>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</si>
  <si>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</si>
  <si>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</si>
  <si>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</si>
  <si>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</si>
  <si>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</si>
  <si>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</si>
  <si>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</si>
  <si>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</si>
  <si>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</si>
  <si>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</si>
  <si>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</si>
  <si>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</si>
  <si>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</si>
  <si>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</si>
  <si>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</si>
  <si>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</si>
  <si>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</si>
  <si>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</si>
  <si>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</si>
  <si>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</si>
  <si>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</si>
  <si>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</si>
  <si>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</si>
  <si>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</si>
  <si>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</si>
  <si>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</si>
  <si>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</si>
  <si>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</si>
  <si>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</si>
  <si>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</si>
  <si>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</si>
  <si>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</si>
  <si>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</si>
  <si>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</si>
  <si>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</si>
  <si>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</si>
  <si>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</si>
  <si>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</si>
  <si>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</si>
  <si>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</si>
  <si>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</si>
  <si>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</si>
  <si>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</si>
  <si>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</si>
  <si>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</si>
  <si>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</si>
  <si>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</si>
  <si>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</si>
  <si>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</si>
  <si>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</si>
  <si>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</si>
  <si>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</si>
  <si>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</si>
  <si>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</si>
  <si>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</si>
  <si>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</si>
  <si>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</si>
  <si>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</si>
  <si>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</si>
  <si>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</si>
  <si>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</si>
  <si>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</si>
  <si>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</si>
  <si>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</si>
  <si>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</si>
  <si>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</si>
  <si>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</si>
  <si>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</si>
  <si>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</si>
  <si>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</si>
  <si>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</si>
  <si>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</si>
  <si>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</si>
  <si>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</si>
  <si>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</si>
  <si>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</si>
  <si>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</si>
  <si>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</si>
  <si>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</si>
  <si>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</si>
  <si>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</si>
  <si>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</si>
  <si>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</si>
  <si>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</si>
  <si>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</si>
  <si>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</si>
  <si>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</si>
  <si>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</si>
  <si>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</si>
  <si>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</si>
  <si>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</si>
  <si>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</si>
  <si>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</si>
  <si>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</si>
  <si>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</si>
  <si>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</si>
  <si>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</si>
  <si>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</si>
  <si>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</si>
  <si>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</si>
  <si>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</si>
  <si>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</si>
  <si>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</si>
  <si>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</si>
  <si>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</si>
  <si>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</si>
  <si>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</si>
  <si>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</si>
  <si>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</si>
  <si>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</si>
  <si>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</si>
  <si>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</si>
  <si>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</si>
  <si>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</si>
  <si>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</si>
  <si>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</si>
  <si>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</si>
  <si>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</si>
  <si>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</si>
  <si>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</si>
  <si>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</si>
  <si>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</si>
  <si>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</si>
  <si>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</si>
  <si>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</si>
  <si>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</si>
  <si>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</si>
  <si>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</si>
  <si>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</si>
  <si>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</si>
  <si>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</si>
  <si>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</si>
  <si>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</si>
  <si>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</si>
  <si>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</si>
  <si>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</si>
  <si>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</si>
  <si>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</si>
  <si>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</si>
  <si>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</si>
  <si>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</si>
  <si>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</si>
  <si>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</si>
  <si>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</si>
  <si>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</si>
  <si>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</si>
  <si>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</si>
  <si>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</si>
  <si>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</si>
  <si>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</si>
  <si>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</si>
  <si>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</si>
  <si>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</si>
  <si>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</si>
  <si>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</si>
  <si>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</si>
  <si>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</si>
  <si>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</si>
  <si>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</si>
  <si>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</si>
  <si>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</si>
  <si>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</si>
  <si>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</si>
  <si>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</si>
  <si>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</si>
  <si>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</si>
  <si>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</si>
  <si>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</si>
  <si>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</si>
  <si>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</si>
  <si>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</si>
  <si>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</si>
  <si>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</si>
  <si>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</si>
  <si>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</si>
  <si>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</si>
  <si>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</si>
  <si>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</si>
  <si>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</si>
  <si>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</si>
  <si>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</si>
  <si>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</si>
  <si>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</si>
  <si>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</si>
  <si>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</si>
  <si>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</si>
  <si>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</si>
  <si>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</si>
  <si>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</si>
  <si>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</si>
  <si>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</si>
  <si>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</si>
  <si>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</si>
  <si>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</si>
  <si>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</si>
  <si>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</si>
  <si>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</si>
  <si>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</si>
  <si>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</si>
  <si>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</si>
  <si>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</si>
  <si>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</si>
  <si>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</si>
  <si>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</si>
  <si>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</si>
  <si>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</si>
  <si>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</si>
  <si>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</si>
  <si>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</si>
  <si>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</si>
  <si>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</si>
  <si>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</si>
  <si>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</si>
  <si>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</si>
  <si>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</si>
  <si>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</si>
  <si>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</si>
  <si>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</si>
  <si>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</si>
  <si>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</si>
  <si>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</si>
  <si>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</si>
  <si>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</si>
  <si>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</si>
  <si>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</si>
  <si>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</si>
  <si>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</si>
  <si>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</si>
  <si>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</si>
  <si>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</si>
  <si>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</si>
  <si>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</si>
  <si>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</si>
  <si>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</si>
  <si>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</si>
  <si>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</si>
  <si>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</si>
  <si>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</si>
  <si>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</si>
  <si>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</si>
  <si>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</si>
  <si>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</si>
  <si>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</si>
  <si>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</si>
  <si>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</si>
  <si>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</si>
  <si>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</si>
  <si>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</si>
  <si>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</si>
  <si>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</si>
  <si>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</si>
  <si>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</si>
  <si>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</si>
  <si>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</si>
  <si>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</si>
  <si>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</si>
  <si>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</si>
  <si>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</si>
  <si>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</si>
  <si>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</si>
  <si>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</si>
  <si>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</si>
  <si>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</si>
  <si>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</si>
  <si>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</si>
  <si>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</si>
  <si>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</si>
  <si>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</si>
  <si>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</si>
  <si>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</si>
  <si>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</si>
  <si>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</si>
  <si>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</si>
  <si>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</si>
  <si>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</si>
  <si>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</si>
  <si>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</si>
  <si>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</si>
  <si>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</si>
  <si>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</si>
  <si>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</si>
  <si>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</si>
  <si>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</si>
  <si>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</si>
  <si>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</si>
  <si>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</si>
  <si>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</si>
  <si>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</si>
  <si>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</si>
  <si>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</si>
  <si>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</si>
  <si>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</si>
  <si>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</si>
  <si>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</si>
  <si>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</si>
  <si>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</si>
  <si>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</si>
  <si>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</si>
  <si>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</si>
  <si>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</si>
  <si>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</si>
  <si>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</si>
  <si>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</si>
  <si>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</si>
  <si>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</si>
  <si>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</si>
  <si>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</si>
  <si>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</si>
  <si>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</si>
  <si>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</si>
  <si>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</si>
  <si>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</si>
  <si>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</si>
  <si>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</si>
  <si>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</si>
  <si>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</si>
  <si>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</si>
  <si>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</si>
  <si>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</si>
  <si>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</si>
  <si>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</si>
  <si>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</si>
  <si>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</si>
  <si>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</si>
  <si>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</si>
  <si>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</si>
  <si>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</si>
  <si>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</si>
  <si>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</si>
  <si>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</si>
  <si>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</si>
  <si>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</si>
  <si>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</si>
  <si>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</si>
  <si>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</si>
  <si>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</si>
  <si>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</si>
  <si>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</si>
  <si>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</si>
  <si>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</si>
  <si>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</si>
  <si>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</si>
  <si>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</si>
  <si>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</si>
  <si>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</si>
  <si>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</si>
  <si>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</si>
  <si>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</si>
  <si>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</si>
  <si>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</si>
  <si>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</si>
  <si>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</si>
  <si>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</si>
  <si>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</si>
  <si>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</si>
  <si>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</si>
  <si>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</si>
  <si>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</si>
  <si>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</si>
  <si>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</si>
  <si>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</si>
  <si>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</si>
  <si>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</si>
  <si>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</si>
  <si>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</si>
  <si>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</si>
  <si>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</si>
  <si>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</si>
  <si>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</si>
  <si>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</si>
  <si>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</si>
  <si>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</si>
  <si>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</si>
  <si>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</si>
  <si>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</si>
  <si>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</si>
  <si>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</si>
  <si>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</si>
  <si>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</si>
  <si>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</si>
  <si>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</si>
  <si>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</si>
  <si>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</si>
  <si>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</si>
  <si>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</si>
  <si>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</si>
  <si>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</si>
  <si>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</si>
  <si>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</si>
  <si>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</si>
  <si>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</si>
  <si>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</si>
  <si>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</si>
  <si>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</si>
  <si>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</si>
  <si>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</si>
  <si>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</si>
  <si>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</si>
  <si>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</si>
  <si>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</si>
  <si>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</si>
  <si>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</si>
  <si>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</si>
  <si>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</si>
  <si>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</si>
  <si>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</si>
  <si>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</si>
  <si>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</si>
  <si>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</si>
  <si>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</si>
  <si>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</si>
  <si>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</si>
  <si>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</si>
  <si>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</si>
  <si>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</si>
  <si>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</si>
  <si>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</si>
  <si>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</si>
  <si>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</si>
  <si>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</si>
  <si>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</si>
  <si>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</si>
  <si>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</si>
  <si>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</si>
  <si>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</si>
  <si>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</si>
  <si>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</si>
  <si>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</si>
  <si>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</si>
  <si>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</si>
  <si>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</si>
  <si>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</si>
  <si>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</si>
  <si>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</si>
  <si>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</si>
  <si>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</si>
  <si>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</si>
  <si>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</si>
  <si>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</si>
  <si>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</si>
  <si>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</si>
  <si>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</si>
  <si>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</si>
  <si>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</si>
  <si>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</si>
  <si>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</si>
  <si>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</si>
  <si>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</si>
  <si>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</si>
  <si>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</si>
  <si>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</si>
  <si>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</si>
  <si>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</si>
  <si>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</si>
  <si>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</si>
  <si>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</si>
  <si>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</si>
  <si>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</si>
  <si>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</si>
  <si>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</si>
  <si>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</si>
  <si>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</si>
  <si>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</si>
  <si>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</si>
  <si>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</si>
  <si>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</si>
  <si>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</si>
  <si>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</si>
  <si>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</si>
  <si>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</si>
  <si>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</si>
  <si>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</si>
  <si>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</si>
  <si>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</si>
  <si>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</si>
  <si>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</si>
  <si>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</si>
  <si>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</si>
  <si>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</si>
  <si>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</si>
  <si>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</si>
  <si>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</si>
  <si>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</si>
  <si>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</si>
  <si>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</si>
  <si>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</si>
  <si>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</si>
  <si>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</si>
  <si>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</si>
  <si>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</si>
  <si>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</si>
  <si>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</si>
  <si>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</si>
  <si>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</si>
  <si>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</si>
  <si>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</si>
  <si>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</si>
  <si>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</si>
  <si>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</si>
  <si>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</si>
  <si>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</si>
  <si>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</si>
  <si>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</si>
  <si>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</si>
  <si>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</si>
  <si>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</si>
  <si>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</si>
  <si>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</si>
  <si>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</si>
  <si>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</si>
  <si>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</si>
  <si>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</si>
  <si>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</si>
  <si>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</si>
  <si>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</si>
  <si>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</si>
  <si>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</si>
  <si>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</si>
  <si>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</si>
  <si>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</si>
  <si>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</si>
  <si>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</si>
  <si>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</si>
  <si>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</si>
  <si>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</si>
  <si>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</si>
  <si>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</si>
  <si>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</si>
  <si>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</si>
  <si>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</si>
  <si>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</si>
  <si>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</si>
  <si>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</si>
  <si>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</si>
  <si>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</si>
  <si>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</si>
  <si>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</si>
  <si>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</si>
  <si>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</si>
  <si>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</si>
  <si>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</si>
  <si>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</si>
  <si>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</si>
  <si>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</si>
  <si>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</si>
  <si>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</si>
  <si>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</si>
  <si>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</si>
  <si>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</si>
  <si>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</si>
  <si>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</si>
  <si>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</si>
  <si>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</si>
  <si>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</si>
  <si>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</si>
  <si>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</si>
  <si>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</si>
  <si>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</si>
  <si>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</si>
  <si>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</si>
  <si>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</si>
  <si>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</si>
  <si>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</si>
  <si>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</si>
  <si>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</si>
  <si>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</si>
  <si>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</si>
  <si>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</si>
  <si>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</si>
  <si>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</si>
  <si>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</si>
  <si>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</si>
  <si>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</si>
  <si>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</si>
  <si>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</si>
  <si>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</si>
  <si>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</si>
  <si>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</si>
  <si>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</si>
  <si>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</si>
  <si>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</si>
  <si>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</si>
  <si>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</si>
  <si>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</si>
  <si>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</si>
  <si>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</si>
  <si>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</si>
  <si>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</si>
  <si>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</si>
  <si>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</si>
  <si>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</si>
  <si>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</si>
  <si>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</si>
  <si>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</si>
  <si>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</si>
  <si>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</si>
  <si>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</si>
  <si>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</si>
  <si>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</si>
  <si>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</si>
  <si>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</si>
  <si>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</si>
  <si>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</si>
  <si>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</si>
  <si>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</si>
  <si>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</si>
  <si>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</si>
  <si>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</si>
  <si>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</si>
  <si>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</si>
  <si>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</si>
  <si>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</si>
  <si>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</si>
  <si>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</si>
  <si>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</si>
  <si>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</si>
  <si>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</si>
  <si>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</si>
  <si>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</si>
  <si>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</si>
  <si>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</si>
  <si>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</si>
  <si>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</si>
  <si>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</si>
  <si>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</si>
  <si>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</si>
  <si>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</si>
  <si>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</si>
  <si>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</si>
  <si>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</si>
  <si>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</si>
  <si>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</si>
  <si>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</si>
  <si>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</si>
  <si>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</si>
  <si>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</si>
  <si>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</si>
  <si>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</si>
  <si>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</si>
  <si>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</si>
  <si>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</si>
  <si>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</si>
  <si>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</si>
  <si>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</si>
  <si>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</si>
  <si>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</si>
  <si>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</si>
  <si>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</si>
  <si>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</si>
  <si>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</si>
  <si>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</si>
  <si>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</si>
  <si>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</si>
  <si>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</si>
  <si>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</si>
  <si>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</si>
  <si>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</si>
  <si>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</si>
  <si>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</si>
  <si>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</si>
  <si>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</si>
  <si>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</si>
  <si>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</si>
  <si>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</si>
  <si>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</si>
  <si>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</si>
  <si>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</si>
  <si>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</si>
  <si>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</si>
  <si>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</si>
  <si>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</si>
  <si>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</si>
  <si>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</si>
  <si>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</si>
  <si>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</si>
  <si>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</si>
  <si>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</si>
  <si>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</si>
  <si>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</si>
  <si>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</si>
  <si>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</si>
  <si>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</si>
  <si>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</si>
  <si>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</si>
  <si>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</si>
  <si>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</si>
  <si>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</si>
  <si>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</si>
  <si>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</si>
  <si>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</si>
  <si>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</si>
  <si>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</si>
  <si>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</si>
  <si>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</si>
  <si>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</si>
  <si>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</si>
  <si>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</si>
  <si>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</si>
  <si>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</si>
  <si>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</si>
  <si>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</si>
  <si>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</si>
  <si>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</si>
  <si>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</si>
  <si>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</si>
  <si>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</si>
  <si>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</si>
  <si>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</si>
  <si>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</si>
  <si>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</si>
  <si>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</si>
  <si>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</si>
  <si>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</si>
  <si>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</si>
  <si>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</si>
  <si>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</si>
  <si>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</si>
  <si>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</si>
  <si>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</si>
  <si>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</si>
  <si>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</si>
  <si>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</si>
  <si>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</si>
  <si>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</si>
  <si>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</si>
  <si>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</si>
  <si>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</si>
  <si>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</si>
  <si>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</si>
  <si>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</si>
  <si>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</si>
  <si>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</si>
  <si>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</si>
  <si>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</si>
  <si>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</si>
  <si>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</si>
  <si>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</si>
  <si>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</si>
  <si>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</si>
  <si>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</si>
  <si>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</si>
  <si>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</si>
  <si>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</si>
  <si>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</si>
  <si>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</si>
  <si>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</si>
  <si>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</si>
  <si>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</si>
  <si>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</si>
  <si>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</si>
  <si>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</si>
  <si>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</si>
  <si>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</si>
  <si>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</si>
  <si>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</si>
  <si>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</si>
  <si>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</si>
  <si>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</si>
  <si>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</si>
  <si>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</si>
  <si>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</si>
  <si>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</si>
  <si>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</si>
  <si>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</si>
  <si>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</si>
  <si>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</si>
  <si>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</si>
  <si>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</si>
  <si>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</si>
  <si>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</si>
  <si>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</si>
  <si>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</si>
  <si>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</si>
  <si>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</si>
  <si>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</si>
  <si>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</si>
  <si>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</si>
  <si>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</si>
  <si>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</si>
  <si>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</si>
  <si>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</si>
  <si>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</si>
  <si>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</si>
  <si>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</si>
  <si>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</si>
  <si>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</si>
  <si>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</si>
  <si>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</si>
  <si>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</si>
  <si>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</si>
  <si>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</si>
  <si>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</si>
  <si>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</si>
  <si>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</si>
  <si>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</si>
  <si>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</si>
  <si>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</si>
  <si>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</si>
  <si>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</si>
  <si>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</si>
  <si>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</si>
  <si>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</si>
  <si>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</si>
  <si>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</si>
  <si>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</si>
  <si>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</si>
  <si>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</si>
  <si>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</si>
  <si>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</si>
  <si>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</si>
  <si>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</si>
  <si>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</si>
  <si>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</si>
  <si>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</si>
  <si>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</si>
  <si>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</si>
  <si>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</si>
  <si>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</si>
  <si>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</si>
  <si>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</si>
  <si>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</si>
  <si>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</si>
  <si>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</si>
  <si>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</si>
  <si>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</si>
  <si>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</si>
  <si>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</si>
  <si>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</si>
  <si>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</si>
  <si>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</si>
  <si>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</si>
  <si>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</si>
  <si>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</si>
  <si>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</si>
  <si>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</si>
  <si>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</si>
  <si>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</si>
  <si>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</si>
  <si>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</si>
  <si>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</si>
  <si>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</si>
  <si>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</si>
  <si>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</si>
  <si>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</si>
  <si>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</si>
  <si>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</si>
  <si>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</si>
  <si>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</si>
  <si>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</si>
  <si>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</si>
  <si>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</si>
  <si>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</si>
  <si>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</si>
  <si>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</si>
  <si>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</si>
  <si>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</si>
  <si>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</si>
  <si>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</si>
  <si>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</si>
  <si>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</si>
  <si>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</si>
  <si>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</si>
  <si>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</si>
  <si>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</si>
  <si>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</si>
  <si>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</si>
  <si>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</si>
  <si>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</si>
  <si>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</si>
  <si>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</si>
  <si>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</si>
  <si>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</si>
  <si>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</si>
  <si>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</si>
  <si>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</si>
  <si>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</si>
  <si>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</si>
  <si>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</si>
  <si>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</si>
  <si>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</si>
  <si>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</si>
  <si>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</si>
  <si>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</si>
  <si>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</si>
  <si>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</si>
  <si>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</si>
  <si>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</si>
  <si>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</si>
  <si>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</si>
  <si>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</si>
  <si>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</si>
  <si>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</si>
  <si>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</si>
  <si>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</si>
  <si>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</si>
  <si>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</si>
  <si>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</si>
  <si>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</si>
  <si>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</si>
  <si>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</si>
  <si>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</si>
  <si>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</si>
  <si>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</si>
  <si>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</si>
  <si>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</si>
  <si>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</si>
  <si>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</si>
  <si>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</si>
  <si>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</si>
  <si>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</si>
  <si>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</si>
  <si>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</si>
  <si>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</si>
  <si>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</si>
  <si>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</si>
  <si>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</si>
  <si>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</si>
  <si>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</si>
  <si>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</si>
  <si>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</si>
  <si>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</si>
  <si>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</si>
  <si>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</si>
  <si>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</si>
  <si>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</si>
  <si>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</si>
  <si>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</si>
  <si>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</si>
  <si>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</si>
  <si>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</si>
  <si>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</si>
  <si>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</si>
  <si>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</si>
  <si>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</si>
  <si>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</si>
  <si>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</si>
  <si>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</si>
  <si>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</si>
  <si>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</si>
  <si>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</si>
  <si>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</si>
  <si>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</si>
  <si>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</si>
  <si>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</si>
  <si>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</si>
  <si>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</si>
  <si>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</si>
  <si>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</si>
  <si>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</si>
  <si>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</si>
  <si>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</si>
  <si>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</si>
  <si>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</si>
  <si>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</si>
  <si>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</si>
  <si>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</si>
  <si>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</si>
  <si>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</si>
  <si>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</si>
  <si>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</si>
  <si>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</si>
  <si>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</si>
  <si>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</si>
  <si>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</si>
  <si>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</si>
  <si>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</si>
  <si>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</si>
  <si>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</si>
  <si>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</si>
  <si>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</si>
  <si>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</si>
  <si>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</si>
  <si>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</si>
  <si>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</si>
  <si>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</si>
  <si>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</si>
  <si>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</si>
  <si>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</si>
  <si>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</si>
  <si>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</si>
  <si>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</si>
  <si>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</si>
  <si>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</si>
  <si>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</si>
  <si>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</si>
  <si>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</si>
  <si>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</si>
  <si>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</si>
  <si>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</si>
  <si>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</si>
  <si>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</si>
  <si>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</si>
  <si>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</si>
  <si>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</si>
  <si>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</si>
  <si>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</si>
  <si>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</si>
  <si>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</si>
  <si>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</si>
  <si>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</si>
  <si>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</si>
  <si>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</si>
  <si>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</si>
  <si>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</si>
  <si>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</si>
  <si>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</si>
  <si>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</si>
  <si>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</si>
  <si>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</si>
  <si>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</si>
  <si>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</si>
  <si>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</si>
  <si>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</si>
  <si>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</si>
  <si>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</si>
  <si>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</si>
  <si>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</si>
  <si>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</si>
  <si>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</si>
  <si>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</si>
  <si>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</si>
  <si>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</si>
  <si>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</si>
  <si>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</si>
  <si>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</si>
  <si>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</si>
  <si>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</si>
  <si>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</si>
  <si>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</si>
  <si>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</si>
  <si>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</si>
  <si>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</si>
  <si>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</si>
  <si>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</si>
  <si>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</si>
  <si>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</si>
  <si>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</si>
  <si>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</si>
  <si>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</si>
  <si>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</si>
  <si>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</si>
  <si>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</si>
  <si>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</si>
  <si>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</si>
  <si>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</si>
  <si>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</si>
  <si>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</si>
  <si>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</si>
  <si>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</si>
  <si>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</si>
  <si>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</si>
  <si>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</si>
  <si>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</si>
  <si>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</si>
  <si>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</si>
  <si>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</si>
  <si>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</si>
  <si>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</si>
  <si>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</si>
  <si>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</si>
  <si>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</si>
  <si>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</si>
  <si>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</si>
  <si>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</si>
  <si>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</si>
  <si>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</si>
  <si>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</si>
  <si>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</si>
  <si>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</si>
  <si>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</si>
  <si>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</si>
  <si>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</si>
  <si>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</si>
  <si>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</si>
  <si>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</si>
  <si>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</si>
  <si>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</si>
  <si>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</si>
  <si>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</si>
  <si>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</si>
  <si>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</si>
  <si>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</si>
  <si>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</si>
  <si>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</si>
  <si>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</si>
  <si>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</si>
  <si>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</si>
  <si>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</si>
  <si>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</si>
  <si>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</si>
  <si>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</si>
  <si>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</si>
  <si>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</si>
  <si>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</si>
  <si>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</si>
  <si>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</si>
  <si>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</si>
  <si>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</si>
  <si>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</si>
  <si>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</si>
  <si>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</si>
  <si>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</si>
  <si>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</si>
  <si>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</si>
  <si>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</si>
  <si>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</si>
  <si>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</si>
  <si>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</si>
  <si>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</si>
  <si>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</si>
  <si>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</si>
  <si>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</si>
  <si>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</si>
  <si>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</si>
  <si>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</si>
  <si>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</si>
  <si>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</si>
  <si>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</si>
  <si>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</si>
  <si>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</si>
  <si>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</si>
  <si>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</si>
  <si>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</si>
  <si>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</si>
  <si>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</si>
  <si>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</si>
  <si>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</si>
  <si>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</si>
  <si>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</si>
  <si>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</si>
  <si>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</si>
  <si>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</si>
  <si>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</si>
  <si>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</si>
  <si>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</si>
  <si>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</si>
  <si>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</si>
  <si>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</si>
  <si>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</si>
  <si>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</si>
  <si>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</si>
  <si>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</si>
  <si>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</si>
  <si>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</si>
  <si>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</si>
  <si>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</si>
  <si>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</si>
  <si>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</si>
  <si>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</si>
  <si>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</si>
  <si>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</si>
  <si>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</si>
  <si>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</si>
  <si>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</si>
  <si>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</si>
  <si>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</si>
  <si>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</si>
  <si>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</si>
  <si>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</si>
  <si>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</si>
  <si>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</si>
  <si>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</si>
  <si>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</si>
  <si>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</si>
  <si>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</si>
  <si>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</si>
  <si>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</si>
  <si>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</si>
  <si>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</si>
  <si>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</si>
  <si>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</si>
  <si>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</si>
  <si>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</si>
  <si>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</si>
  <si>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</si>
  <si>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</si>
  <si>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</si>
  <si>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</si>
  <si>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</si>
  <si>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</si>
  <si>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</si>
  <si>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</si>
  <si>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</si>
  <si>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</si>
  <si>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</si>
  <si>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</si>
  <si>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</si>
  <si>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</si>
  <si>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</si>
  <si>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</si>
  <si>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</si>
  <si>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</si>
  <si>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</si>
  <si>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</si>
  <si>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</si>
  <si>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</si>
  <si>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</si>
  <si>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</si>
  <si>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</si>
  <si>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</si>
  <si>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</si>
  <si>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</si>
  <si>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</si>
  <si>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</si>
  <si>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</si>
  <si>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</si>
  <si>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</si>
  <si>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</si>
  <si>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</si>
  <si>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</si>
  <si>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</si>
  <si>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</si>
  <si>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</si>
  <si>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</si>
  <si>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</si>
  <si>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</si>
  <si>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</si>
  <si>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</si>
  <si>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</si>
  <si>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</si>
  <si>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</si>
  <si>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</si>
  <si>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</si>
  <si>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</si>
  <si>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</si>
  <si>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</si>
  <si>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</si>
  <si>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</si>
  <si>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</si>
  <si>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</si>
  <si>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</si>
  <si>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</si>
  <si>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</si>
  <si>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</si>
  <si>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</si>
  <si>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</si>
  <si>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</si>
  <si>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</si>
  <si>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</si>
  <si>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</si>
  <si>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</si>
  <si>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</si>
  <si>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</si>
  <si>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</si>
  <si>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</si>
  <si>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</si>
  <si>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</si>
  <si>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</si>
  <si>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</si>
  <si>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</si>
  <si>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</si>
  <si>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</si>
  <si>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</si>
  <si>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</si>
  <si>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</si>
  <si>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</si>
  <si>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</si>
  <si>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</si>
  <si>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</si>
  <si>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</si>
  <si>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</si>
  <si>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</si>
  <si>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</si>
  <si>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</si>
  <si>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</si>
  <si>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</si>
  <si>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</si>
  <si>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</si>
  <si>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</si>
  <si>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</si>
  <si>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</si>
  <si>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</si>
  <si>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</si>
  <si>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</si>
  <si>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</si>
  <si>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</si>
  <si>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</si>
  <si>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</si>
  <si>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</si>
  <si>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</si>
  <si>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</si>
  <si>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</si>
  <si>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</si>
  <si>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</si>
  <si>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</si>
  <si>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</si>
  <si>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</si>
  <si>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</si>
  <si>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</si>
  <si>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</si>
  <si>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</si>
  <si>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</si>
  <si>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</si>
  <si>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</si>
  <si>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</si>
  <si>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</si>
  <si>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</si>
  <si>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</si>
  <si>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</si>
  <si>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</si>
  <si>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</si>
  <si>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</si>
  <si>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</si>
  <si>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</si>
  <si>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</si>
  <si>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</si>
  <si>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</si>
  <si>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</si>
  <si>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</si>
  <si>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</si>
  <si>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</si>
  <si>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</si>
  <si>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</si>
  <si>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</si>
  <si>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</si>
  <si>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</si>
  <si>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</si>
  <si>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</si>
  <si>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</si>
  <si>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</si>
  <si>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</si>
  <si>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</si>
  <si>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</si>
  <si>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</si>
  <si>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</si>
  <si>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</si>
  <si>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</si>
  <si>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</si>
  <si>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</si>
  <si>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</si>
  <si>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</si>
  <si>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</si>
  <si>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</si>
  <si>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</si>
  <si>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</si>
  <si>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</si>
  <si>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</si>
  <si>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</si>
  <si>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</si>
  <si>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</si>
  <si>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</si>
  <si>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</si>
  <si>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</si>
  <si>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</si>
  <si>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</si>
  <si>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</si>
  <si>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</si>
  <si>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</si>
  <si>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</si>
  <si>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</si>
  <si>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</si>
  <si>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</si>
  <si>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</si>
  <si>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</si>
  <si>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</si>
  <si>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</si>
  <si>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</si>
  <si>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</si>
  <si>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</si>
  <si>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</si>
  <si>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</si>
  <si>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</si>
  <si>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</si>
  <si>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</si>
  <si>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</si>
  <si>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</si>
  <si>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</si>
  <si>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</si>
  <si>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</si>
  <si>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</si>
  <si>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</si>
  <si>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</si>
  <si>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</si>
  <si>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</si>
  <si>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</si>
  <si>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</si>
  <si>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</si>
  <si>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</si>
  <si>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</si>
  <si>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</si>
  <si>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</si>
  <si>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</si>
  <si>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</si>
  <si>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</si>
  <si>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</si>
  <si>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</si>
  <si>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</si>
  <si>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</si>
  <si>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</si>
  <si>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</si>
  <si>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</si>
  <si>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</si>
  <si>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</si>
  <si>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</si>
  <si>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</si>
  <si>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</si>
  <si>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</si>
  <si>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</si>
  <si>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</si>
  <si>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</si>
  <si>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</si>
  <si>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</si>
  <si>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</si>
  <si>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</si>
  <si>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</si>
  <si>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</si>
  <si>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</si>
  <si>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</si>
  <si>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</si>
  <si>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</si>
  <si>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</si>
  <si>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</si>
  <si>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</si>
  <si>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</si>
  <si>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</si>
  <si>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</si>
  <si>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</si>
  <si>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</si>
  <si>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</si>
  <si>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</si>
  <si>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</si>
  <si>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</si>
  <si>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</si>
  <si>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</si>
  <si>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</si>
  <si>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</si>
  <si>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</si>
  <si>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</si>
  <si>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</si>
  <si>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</si>
  <si>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</si>
  <si>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</si>
  <si>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</si>
  <si>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</si>
  <si>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</si>
  <si>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</si>
  <si>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</si>
  <si>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</si>
  <si>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</si>
  <si>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</si>
  <si>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</si>
  <si>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</si>
  <si>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</si>
  <si>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</si>
  <si>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</si>
  <si>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</si>
  <si>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</si>
  <si>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</si>
  <si>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</si>
  <si>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</si>
  <si>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</si>
  <si>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</si>
  <si>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</si>
  <si>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</si>
  <si>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</si>
  <si>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</si>
  <si>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</si>
  <si>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</si>
  <si>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</si>
  <si>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</si>
  <si>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</si>
  <si>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</si>
  <si>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</si>
  <si>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</si>
  <si>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</si>
  <si>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</si>
  <si>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</si>
  <si>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</si>
  <si>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</si>
  <si>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</si>
  <si>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</si>
  <si>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</si>
  <si>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</si>
  <si>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</si>
  <si>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</si>
  <si>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</si>
  <si>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</si>
  <si>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</si>
  <si>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</si>
  <si>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</si>
  <si>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</si>
  <si>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</si>
  <si>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</si>
  <si>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</si>
  <si>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</si>
  <si>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</si>
  <si>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</si>
  <si>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</si>
  <si>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</si>
  <si>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</si>
  <si>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</si>
  <si>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</si>
  <si>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</si>
  <si>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</si>
  <si>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</si>
  <si>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</si>
  <si>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</si>
  <si>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</si>
  <si>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</si>
  <si>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</si>
  <si>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</si>
  <si>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</si>
  <si>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</si>
  <si>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</si>
  <si>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</si>
  <si>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</si>
  <si>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</si>
  <si>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</si>
  <si>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</si>
  <si>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</si>
  <si>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</si>
  <si>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</si>
  <si>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</si>
  <si>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</si>
  <si>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</si>
  <si>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</si>
  <si>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</si>
  <si>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</si>
  <si>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</si>
  <si>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</si>
  <si>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</si>
  <si>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</si>
  <si>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</si>
  <si>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</si>
  <si>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</si>
  <si>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</si>
  <si>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</si>
  <si>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</si>
  <si>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</si>
  <si>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</si>
  <si>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</si>
  <si>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</si>
  <si>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</si>
  <si>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</si>
  <si>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</si>
  <si>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</si>
  <si>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</si>
  <si>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</si>
  <si>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</si>
  <si>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</si>
  <si>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</si>
  <si>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</si>
  <si>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</si>
  <si>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</si>
  <si>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</si>
  <si>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</si>
  <si>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</si>
  <si>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</si>
  <si>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</si>
  <si>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</si>
  <si>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</si>
  <si>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</si>
  <si>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</si>
  <si>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</si>
  <si>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</si>
  <si>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</si>
  <si>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</si>
  <si>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</si>
  <si>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</si>
  <si>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</si>
  <si>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</si>
  <si>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</si>
  <si>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</si>
  <si>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</si>
  <si>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</si>
  <si>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</si>
  <si>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</si>
  <si>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</si>
  <si>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</si>
  <si>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</si>
  <si>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</si>
  <si>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</si>
  <si>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</si>
  <si>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</si>
  <si>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</si>
  <si>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</si>
  <si>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</si>
  <si>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</si>
  <si>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</si>
  <si>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</si>
  <si>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</si>
  <si>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</si>
  <si>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</si>
  <si>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</si>
  <si>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</si>
  <si>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</si>
  <si>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</si>
  <si>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</si>
  <si>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</si>
  <si>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</si>
  <si>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</si>
  <si>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</si>
  <si>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</si>
  <si>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</si>
  <si>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</si>
  <si>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</si>
  <si>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</si>
  <si>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</si>
  <si>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</si>
  <si>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</si>
  <si>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</si>
  <si>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</si>
  <si>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</si>
  <si>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</si>
  <si>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</si>
  <si>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</si>
  <si>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</si>
  <si>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</si>
  <si>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</si>
  <si>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</si>
  <si>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</si>
  <si>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</si>
  <si>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</si>
  <si>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</si>
  <si>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</si>
  <si>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</si>
  <si>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</si>
  <si>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</si>
  <si>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</si>
  <si>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</si>
  <si>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</si>
  <si>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</si>
  <si>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</si>
  <si>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</si>
  <si>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</si>
  <si>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</si>
  <si>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</si>
  <si>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</si>
  <si>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</si>
  <si>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</si>
  <si>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</si>
  <si>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</si>
  <si>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</si>
  <si>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</si>
  <si>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</si>
  <si>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</si>
  <si>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</si>
  <si>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</si>
  <si>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</si>
  <si>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</si>
  <si>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</si>
  <si>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</si>
  <si>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</si>
  <si>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</si>
  <si>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</si>
  <si>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</si>
  <si>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</si>
  <si>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</si>
  <si>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</si>
  <si>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</si>
  <si>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</si>
  <si>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</si>
  <si>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</si>
  <si>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</si>
  <si>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</si>
  <si>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</si>
  <si>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</si>
  <si>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</si>
  <si>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</si>
  <si>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</si>
  <si>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</si>
  <si>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</si>
  <si>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</si>
  <si>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</si>
  <si>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</si>
  <si>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</si>
  <si>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</si>
  <si>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</si>
  <si>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</si>
  <si>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</si>
  <si>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</si>
  <si>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</si>
  <si>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</si>
  <si>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</si>
  <si>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</si>
  <si>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</si>
  <si>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</si>
  <si>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</si>
  <si>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</si>
  <si>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</si>
  <si>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</si>
  <si>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</si>
  <si>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</si>
  <si>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</si>
  <si>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</si>
  <si>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</si>
  <si>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</si>
  <si>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</si>
  <si>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</si>
  <si>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</si>
  <si>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</si>
  <si>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</si>
  <si>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</si>
  <si>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</si>
  <si>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</si>
  <si>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</si>
  <si>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</si>
  <si>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</si>
  <si>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</si>
  <si>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</si>
  <si>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</si>
  <si>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</si>
  <si>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</si>
  <si>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</si>
  <si>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</si>
  <si>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</si>
  <si>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</si>
  <si>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</si>
  <si>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</si>
  <si>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</si>
  <si>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</si>
  <si>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</si>
  <si>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</si>
  <si>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</si>
  <si>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</si>
  <si>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</si>
  <si>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</si>
  <si>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</si>
  <si>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</si>
  <si>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</si>
  <si>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</si>
  <si>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</si>
  <si>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</si>
  <si>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</si>
  <si>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</si>
  <si>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</si>
  <si>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</si>
  <si>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</si>
  <si>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</si>
  <si>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</si>
  <si>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</si>
  <si>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</si>
  <si>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</si>
  <si>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</si>
  <si>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</si>
  <si>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</si>
  <si>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</si>
  <si>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</si>
  <si>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</si>
  <si>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</si>
  <si>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</si>
  <si>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</si>
  <si>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</si>
  <si>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</si>
  <si>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</si>
  <si>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</si>
  <si>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</si>
  <si>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</si>
  <si>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</si>
  <si>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</si>
  <si>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</si>
  <si>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</si>
  <si>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</si>
  <si>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</si>
  <si>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</si>
  <si>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</si>
  <si>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</si>
  <si>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</si>
  <si>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</si>
  <si>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</si>
  <si>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</si>
  <si>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</si>
  <si>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</si>
  <si>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</si>
  <si>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</si>
  <si>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</si>
  <si>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</si>
  <si>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</si>
  <si>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</si>
  <si>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</si>
  <si>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</si>
  <si>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</si>
  <si>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</si>
  <si>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</si>
  <si>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</si>
  <si>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</si>
  <si>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</si>
  <si>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</si>
  <si>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</si>
  <si>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</si>
  <si>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</si>
  <si>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</si>
  <si>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</si>
  <si>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</si>
  <si>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</si>
  <si>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</si>
  <si>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</si>
  <si>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</si>
  <si>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</si>
  <si>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</si>
  <si>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</si>
  <si>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</si>
  <si>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</si>
  <si>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</si>
  <si>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</si>
  <si>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</si>
  <si>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</si>
  <si>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</si>
  <si>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</si>
  <si>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</si>
  <si>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</si>
  <si>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</si>
  <si>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</si>
  <si>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</si>
  <si>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</si>
  <si>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</si>
  <si>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</si>
  <si>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</si>
  <si>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</si>
  <si>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</si>
  <si>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</si>
  <si>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</si>
  <si>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</si>
  <si>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</si>
  <si>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</si>
  <si>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</si>
  <si>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</si>
  <si>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</si>
  <si>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</si>
  <si>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</si>
  <si>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</si>
  <si>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</si>
  <si>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</si>
  <si>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</si>
  <si>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</si>
  <si>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</si>
  <si>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</si>
  <si>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</si>
  <si>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</si>
  <si>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</si>
  <si>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</si>
  <si>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</si>
  <si>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</si>
  <si>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</si>
  <si>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</si>
  <si>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</si>
  <si>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</si>
  <si>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</si>
  <si>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</si>
  <si>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</si>
  <si>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</si>
  <si>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</si>
  <si>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</si>
  <si>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</si>
  <si>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</si>
  <si>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</si>
  <si>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</si>
  <si>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</si>
  <si>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</si>
  <si>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</si>
  <si>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</si>
  <si>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</si>
  <si>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</si>
  <si>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</si>
  <si>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</si>
  <si>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</si>
  <si>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</si>
  <si>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</si>
  <si>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</si>
  <si>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</si>
  <si>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</si>
  <si>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</si>
  <si>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</si>
  <si>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</si>
  <si>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</si>
  <si>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</si>
  <si>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</si>
  <si>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</si>
  <si>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</si>
  <si>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</si>
  <si>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</si>
  <si>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</si>
  <si>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</si>
  <si>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</si>
  <si>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</si>
  <si>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</si>
  <si>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</si>
  <si>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</si>
  <si>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</si>
  <si>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</si>
  <si>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</si>
  <si>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</si>
  <si>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</si>
  <si>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</si>
  <si>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</si>
  <si>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</si>
  <si>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</si>
  <si>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</si>
  <si>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</si>
  <si>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</si>
  <si>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</si>
  <si>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</si>
  <si>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</si>
  <si>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</si>
  <si>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</si>
  <si>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</si>
  <si>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</si>
  <si>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</si>
  <si>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</si>
  <si>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</si>
  <si>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</si>
  <si>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</si>
  <si>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</si>
  <si>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</si>
  <si>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</si>
  <si>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</si>
  <si>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</si>
  <si>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</si>
  <si>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</si>
  <si>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</si>
  <si>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</si>
  <si>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</si>
  <si>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</si>
  <si>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</si>
  <si>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</si>
  <si>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</si>
  <si>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</si>
  <si>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</si>
  <si>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</si>
  <si>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</si>
  <si>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</si>
  <si>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</si>
  <si>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</si>
  <si>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</si>
  <si>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</si>
  <si>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</si>
  <si>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</si>
  <si>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</si>
  <si>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</si>
  <si>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</si>
  <si>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</si>
  <si>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</si>
  <si>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</si>
  <si>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</si>
  <si>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</si>
  <si>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</si>
  <si>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</si>
  <si>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</si>
  <si>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</si>
  <si>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</si>
  <si>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</si>
  <si>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</si>
  <si>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</si>
  <si>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</si>
  <si>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</si>
  <si>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</si>
  <si>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</si>
  <si>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</si>
  <si>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</si>
  <si>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</si>
  <si>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</si>
  <si>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</si>
  <si>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</si>
  <si>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</si>
  <si>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</si>
  <si>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</si>
  <si>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</si>
  <si>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</si>
  <si>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</si>
  <si>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</si>
  <si>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</si>
  <si>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</si>
  <si>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</si>
  <si>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</si>
  <si>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</si>
  <si>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</si>
  <si>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</si>
  <si>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</si>
  <si>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</si>
  <si>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</si>
  <si>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</si>
  <si>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</si>
  <si>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</si>
  <si>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</si>
  <si>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</si>
  <si>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</si>
  <si>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</si>
  <si>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</si>
  <si>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</si>
  <si>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</si>
  <si>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</si>
  <si>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</si>
  <si>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</si>
  <si>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</si>
  <si>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</si>
  <si>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</si>
  <si>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</si>
  <si>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</si>
  <si>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</si>
  <si>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</si>
  <si>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</si>
  <si>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</si>
  <si>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</si>
  <si>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</si>
  <si>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</si>
  <si>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</si>
  <si>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</si>
  <si>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</si>
  <si>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</si>
  <si>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</si>
  <si>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</si>
  <si>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</si>
  <si>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</si>
  <si>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</si>
  <si>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</si>
  <si>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</si>
  <si>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</si>
  <si>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</si>
  <si>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</si>
  <si>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</si>
  <si>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</si>
  <si>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</si>
  <si>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</si>
  <si>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</si>
  <si>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</si>
  <si>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</si>
  <si>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</si>
  <si>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</si>
  <si>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</si>
  <si>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</si>
  <si>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</si>
  <si>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</si>
  <si>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</si>
  <si>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</si>
  <si>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</si>
  <si>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</si>
  <si>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</si>
  <si>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</si>
  <si>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</si>
  <si>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</si>
  <si>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</si>
  <si>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</si>
  <si>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</si>
  <si>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</si>
  <si>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</si>
  <si>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</si>
  <si>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</si>
  <si>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</si>
  <si>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</si>
  <si>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</si>
  <si>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</si>
  <si>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</si>
  <si>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</si>
  <si>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</si>
  <si>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</si>
  <si>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</si>
  <si>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</si>
  <si>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</si>
  <si>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</si>
  <si>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</si>
  <si>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</si>
  <si>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</si>
  <si>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</si>
  <si>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</si>
  <si>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</si>
  <si>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</si>
  <si>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</si>
  <si>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</si>
  <si>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</si>
  <si>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</si>
  <si>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</si>
  <si>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</si>
  <si>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</si>
  <si>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</si>
  <si>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</si>
  <si>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</si>
  <si>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</si>
  <si>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</si>
  <si>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</si>
  <si>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</si>
  <si>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</si>
  <si>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</si>
  <si>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</si>
  <si>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</si>
  <si>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</si>
  <si>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</si>
  <si>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</si>
  <si>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</si>
  <si>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</si>
  <si>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</si>
  <si>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</si>
  <si>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</si>
  <si>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</si>
  <si>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</si>
  <si>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</si>
  <si>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</si>
  <si>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</si>
  <si>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</si>
  <si>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</si>
  <si>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</si>
  <si>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</si>
  <si>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</si>
  <si>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</si>
  <si>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</si>
  <si>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</si>
  <si>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</si>
  <si>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</si>
  <si>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</si>
  <si>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</si>
  <si>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</si>
  <si>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</si>
  <si>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</si>
  <si>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</si>
  <si>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</si>
  <si>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</si>
  <si>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</si>
  <si>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</si>
  <si>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</si>
  <si>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</si>
  <si>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</si>
  <si>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</si>
  <si>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</si>
  <si>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</si>
  <si>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</si>
  <si>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</si>
  <si>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</si>
  <si>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</si>
  <si>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</si>
  <si>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</si>
  <si>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</si>
  <si>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</si>
  <si>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</si>
  <si>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</si>
  <si>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</si>
  <si>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</si>
  <si>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</si>
  <si>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</si>
  <si>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</si>
  <si>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</si>
  <si>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</si>
  <si>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</si>
  <si>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</si>
  <si>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</si>
  <si>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</si>
  <si>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</si>
  <si>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</si>
  <si>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</si>
  <si>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</si>
  <si>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</si>
  <si>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</si>
  <si>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</si>
  <si>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</si>
  <si>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</si>
  <si>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</si>
  <si>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</si>
  <si>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</si>
  <si>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</si>
  <si>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</si>
  <si>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</si>
  <si>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</si>
  <si>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</si>
  <si>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</si>
  <si>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</si>
  <si>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</si>
  <si>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</si>
  <si>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</si>
  <si>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</si>
  <si>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</si>
  <si>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</si>
  <si>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</si>
  <si>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</si>
  <si>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</si>
  <si>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</si>
  <si>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</si>
  <si>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</si>
  <si>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</si>
  <si>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</si>
  <si>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</si>
  <si>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</si>
  <si>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</si>
  <si>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</si>
  <si>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</si>
  <si>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</si>
  <si>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</si>
  <si>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</si>
  <si>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</si>
  <si>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</si>
  <si>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</si>
  <si>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</si>
  <si>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</si>
  <si>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</si>
  <si>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</si>
  <si>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</si>
  <si>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</si>
  <si>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</si>
  <si>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</si>
  <si>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</si>
  <si>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</si>
  <si>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</si>
  <si>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</si>
  <si>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</si>
  <si>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</si>
  <si>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</si>
  <si>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</si>
  <si>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</si>
  <si>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</si>
  <si>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</si>
  <si>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</si>
  <si>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</si>
  <si>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</si>
  <si>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</si>
  <si>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</si>
  <si>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</si>
  <si>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</si>
  <si>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</si>
  <si>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</si>
  <si>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</si>
  <si>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</si>
  <si>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</si>
  <si>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</si>
  <si>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</si>
  <si>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</si>
  <si>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</si>
  <si>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</si>
  <si>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</si>
  <si>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</si>
  <si>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</si>
  <si>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</si>
  <si>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</si>
  <si>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</si>
  <si>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</si>
  <si>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</si>
  <si>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</si>
  <si>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</si>
  <si>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</si>
  <si>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</si>
  <si>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</si>
  <si>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</si>
  <si>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</si>
  <si>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</si>
  <si>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</si>
  <si>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</si>
  <si>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</si>
  <si>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</si>
  <si>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</si>
  <si>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</si>
  <si>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</si>
  <si>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</si>
  <si>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</si>
  <si>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</si>
  <si>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</si>
  <si>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</si>
  <si>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</si>
  <si>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</si>
  <si>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</si>
  <si>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</si>
  <si>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</si>
  <si>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</si>
  <si>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</si>
  <si>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</si>
  <si>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</si>
  <si>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</si>
  <si>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</si>
  <si>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</si>
  <si>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</si>
  <si>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</si>
  <si>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</si>
  <si>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</si>
  <si>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</si>
  <si>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</si>
  <si>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</si>
  <si>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</si>
  <si>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</si>
  <si>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</si>
  <si>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</si>
  <si>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</si>
  <si>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</si>
  <si>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</si>
  <si>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</si>
  <si>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</si>
  <si>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</si>
  <si>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</si>
  <si>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</si>
  <si>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</si>
  <si>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</si>
  <si>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</si>
  <si>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</si>
  <si>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</si>
  <si>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</si>
  <si>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</si>
  <si>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</si>
  <si>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</si>
  <si>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</si>
  <si>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</si>
  <si>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</si>
  <si>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</si>
  <si>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</si>
  <si>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</si>
  <si>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</si>
  <si>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</si>
  <si>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</si>
  <si>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</si>
  <si>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</si>
  <si>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</si>
  <si>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</si>
  <si>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</si>
  <si>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</si>
  <si>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</si>
  <si>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</si>
  <si>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</si>
  <si>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</si>
  <si>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</si>
  <si>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</si>
  <si>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</si>
  <si>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</si>
  <si>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</si>
  <si>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</si>
  <si>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</si>
  <si>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</si>
  <si>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</si>
  <si>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</si>
  <si>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</si>
  <si>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</si>
  <si>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</si>
  <si>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</si>
  <si>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</si>
  <si>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</si>
  <si>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</si>
  <si>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</si>
  <si>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</si>
  <si>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</si>
  <si>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</si>
  <si>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</si>
  <si>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</si>
  <si>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</si>
  <si>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</si>
  <si>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</si>
  <si>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</si>
  <si>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</si>
  <si>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</si>
  <si>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</si>
  <si>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</si>
  <si>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</si>
  <si>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</si>
  <si>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</si>
  <si>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</si>
  <si>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</si>
  <si>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</si>
  <si>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</si>
  <si>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</si>
  <si>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</si>
  <si>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</si>
  <si>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</si>
  <si>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</si>
  <si>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</si>
  <si>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</si>
  <si>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</si>
  <si>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</si>
  <si>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</si>
  <si>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</si>
  <si>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</si>
  <si>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</si>
  <si>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</si>
  <si>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</si>
  <si>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</si>
  <si>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</si>
  <si>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</si>
  <si>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</si>
  <si>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</si>
  <si>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</si>
  <si>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</si>
  <si>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</si>
  <si>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</si>
  <si>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</si>
  <si>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</si>
  <si>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</si>
  <si>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</si>
  <si>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</si>
  <si>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</si>
  <si>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</si>
  <si>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</si>
  <si>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</si>
  <si>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</si>
  <si>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</si>
  <si>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</si>
  <si>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</si>
  <si>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</si>
  <si>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</si>
  <si>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</si>
  <si>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</si>
  <si>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</si>
  <si>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</si>
  <si>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</si>
  <si>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</si>
  <si>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</si>
  <si>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</si>
  <si>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</si>
  <si>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</si>
  <si>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</si>
  <si>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</si>
  <si>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</si>
  <si>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</si>
  <si>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</si>
  <si>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</si>
  <si>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</si>
  <si>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</si>
  <si>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</si>
  <si>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</si>
  <si>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</si>
  <si>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</si>
  <si>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</si>
  <si>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</si>
  <si>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</si>
  <si>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</si>
  <si>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</si>
  <si>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</si>
  <si>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</si>
  <si>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</si>
  <si>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</si>
  <si>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</si>
  <si>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</si>
  <si>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</si>
  <si>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</si>
  <si>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</si>
  <si>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</si>
  <si>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</si>
  <si>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</si>
  <si>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</si>
  <si>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</si>
  <si>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</si>
  <si>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</si>
  <si>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</si>
  <si>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</si>
  <si>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</si>
  <si>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</si>
  <si>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</si>
  <si>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</si>
  <si>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</si>
  <si>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</si>
  <si>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</si>
  <si>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</si>
  <si>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</si>
  <si>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</si>
  <si>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</si>
  <si>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</si>
  <si>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</si>
  <si>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</si>
  <si>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</si>
  <si>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</si>
  <si>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</si>
  <si>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</si>
  <si>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</si>
  <si>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</si>
  <si>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</si>
  <si>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</si>
  <si>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</si>
  <si>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</si>
  <si>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</si>
  <si>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</si>
  <si>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</si>
  <si>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</si>
  <si>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</si>
  <si>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</si>
  <si>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</si>
  <si>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</si>
  <si>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</si>
  <si>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</si>
  <si>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</si>
  <si>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</si>
  <si>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</si>
  <si>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</si>
  <si>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</si>
  <si>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</si>
  <si>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</si>
  <si>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</si>
  <si>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</si>
  <si>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</si>
  <si>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</si>
  <si>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</si>
  <si>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</si>
  <si>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</si>
  <si>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</si>
  <si>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</si>
  <si>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</si>
  <si>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</si>
  <si>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</si>
  <si>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</si>
  <si>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</si>
  <si>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</si>
  <si>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</si>
  <si>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</si>
  <si>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</si>
  <si>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</si>
  <si>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</si>
  <si>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</si>
  <si>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</si>
  <si>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</si>
  <si>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</si>
  <si>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</si>
  <si>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</si>
  <si>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</si>
  <si>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</si>
  <si>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</si>
  <si>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</si>
  <si>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</si>
  <si>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</si>
  <si>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</si>
  <si>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</si>
  <si>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</si>
  <si>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</si>
  <si>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</si>
  <si>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</si>
  <si>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</si>
  <si>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</si>
  <si>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</si>
  <si>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</si>
  <si>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</si>
  <si>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</si>
  <si>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</si>
  <si>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</si>
  <si>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</si>
  <si>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</si>
  <si>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</si>
  <si>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</si>
  <si>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</si>
  <si>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</si>
  <si>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</si>
  <si>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</si>
  <si>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</si>
  <si>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</si>
  <si>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</si>
  <si>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</si>
  <si>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</si>
  <si>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</si>
  <si>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</si>
  <si>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</si>
  <si>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</si>
  <si>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</si>
  <si>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</si>
  <si>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</si>
  <si>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</si>
  <si>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</si>
  <si>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</si>
  <si>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</si>
  <si>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</si>
  <si>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</si>
  <si>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</si>
  <si>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</si>
  <si>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</si>
  <si>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</si>
  <si>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</si>
  <si>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</si>
  <si>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</si>
  <si>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</si>
  <si>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</si>
  <si>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</si>
  <si>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</si>
  <si>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</si>
  <si>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</si>
  <si>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</si>
  <si>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</si>
  <si>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</si>
  <si>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</si>
  <si>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</si>
  <si>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</si>
  <si>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</si>
  <si>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</si>
  <si>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</si>
  <si>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</si>
  <si>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</si>
  <si>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</si>
  <si>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</si>
  <si>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</si>
  <si>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</si>
  <si>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</si>
  <si>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</si>
  <si>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</si>
  <si>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</si>
  <si>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</si>
  <si>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</si>
  <si>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</si>
  <si>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</si>
  <si>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</si>
  <si>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</si>
  <si>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</si>
  <si>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</si>
  <si>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</si>
  <si>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</si>
  <si>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</si>
  <si>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</si>
  <si>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</si>
  <si>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</si>
  <si>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</si>
  <si>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</si>
  <si>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</si>
  <si>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</si>
  <si>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</si>
  <si>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</si>
  <si>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</si>
  <si>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</si>
  <si>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</si>
  <si>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</si>
  <si>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</si>
  <si>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</si>
  <si>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</si>
  <si>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</si>
  <si>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</si>
  <si>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</si>
  <si>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</si>
  <si>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</si>
  <si>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</si>
  <si>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</si>
  <si>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</si>
  <si>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</si>
  <si>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</si>
  <si>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</si>
  <si>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</si>
  <si>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</si>
  <si>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</si>
  <si>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</si>
  <si>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</si>
  <si>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</si>
  <si>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</si>
  <si>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</si>
  <si>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</si>
  <si>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</si>
  <si>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</si>
  <si>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</si>
  <si>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</si>
  <si>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</si>
  <si>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</si>
  <si>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</si>
  <si>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</si>
  <si>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</si>
  <si>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</si>
  <si>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</si>
  <si>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</si>
  <si>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</si>
  <si>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</si>
  <si>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</si>
  <si>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</si>
  <si>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</si>
  <si>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</si>
  <si>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</si>
  <si>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</si>
  <si>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</si>
  <si>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</si>
  <si>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</si>
  <si>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</si>
  <si>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</si>
  <si>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</si>
  <si>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</si>
  <si>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</si>
  <si>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</si>
  <si>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</si>
  <si>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</si>
  <si>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</si>
  <si>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</si>
  <si>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</si>
  <si>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</si>
  <si>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</si>
  <si>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</si>
  <si>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</si>
  <si>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</si>
  <si>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</si>
  <si>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</si>
  <si>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</si>
  <si>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</si>
  <si>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</si>
  <si>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</si>
  <si>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</si>
  <si>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</si>
  <si>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</si>
  <si>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</si>
  <si>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</si>
  <si>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</si>
  <si>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</si>
  <si>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</si>
  <si>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</si>
  <si>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</si>
  <si>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</si>
  <si>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</si>
  <si>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</si>
  <si>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</si>
  <si>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</si>
  <si>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</si>
  <si>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</si>
  <si>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</si>
  <si>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</si>
  <si>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</si>
  <si>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</si>
  <si>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</si>
  <si>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</si>
  <si>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</si>
  <si>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</si>
  <si>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</si>
  <si>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</si>
  <si>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</si>
  <si>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</si>
  <si>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</si>
  <si>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</si>
  <si>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</si>
  <si>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</si>
  <si>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</si>
  <si>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</si>
  <si>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</si>
  <si>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</si>
  <si>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</si>
  <si>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</si>
  <si>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</si>
  <si>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</si>
  <si>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</si>
  <si>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</si>
  <si>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</si>
  <si>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</si>
  <si>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</si>
  <si>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</si>
  <si>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</si>
  <si>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</si>
  <si>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</si>
  <si>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</si>
  <si>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</si>
  <si>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</si>
  <si>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</si>
  <si>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</si>
  <si>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</si>
  <si>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</si>
  <si>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</si>
  <si>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</si>
  <si>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</si>
  <si>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</si>
  <si>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</si>
  <si>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</si>
  <si>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</si>
  <si>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</si>
  <si>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</si>
  <si>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</si>
  <si>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</si>
  <si>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</si>
  <si>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</si>
  <si>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</si>
  <si>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</si>
  <si>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</si>
  <si>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</si>
  <si>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</si>
  <si>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</si>
  <si>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</si>
  <si>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</si>
  <si>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</si>
  <si>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</si>
  <si>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</si>
  <si>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</si>
  <si>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</si>
  <si>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</si>
  <si>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</si>
  <si>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</si>
  <si>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</si>
  <si>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</si>
  <si>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</si>
  <si>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</si>
  <si>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</si>
  <si>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</si>
  <si>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</si>
  <si>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</si>
  <si>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</si>
  <si>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</si>
  <si>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</si>
  <si>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</si>
  <si>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</si>
  <si>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</si>
  <si>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</si>
  <si>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</si>
  <si>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</si>
  <si>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</si>
  <si>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</si>
  <si>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</si>
  <si>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</si>
  <si>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</si>
  <si>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</si>
  <si>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</si>
  <si>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</si>
  <si>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</si>
  <si>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</si>
  <si>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</si>
  <si>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</si>
  <si>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</si>
  <si>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</si>
  <si>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</si>
  <si>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</si>
  <si>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</si>
  <si>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</si>
  <si>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</si>
  <si>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</si>
  <si>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</si>
  <si>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</si>
  <si>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</si>
  <si>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</si>
  <si>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</si>
  <si>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</si>
  <si>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</si>
  <si>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</si>
  <si>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</si>
  <si>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</si>
  <si>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</si>
  <si>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</si>
  <si>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</si>
  <si>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</si>
  <si>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</si>
  <si>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</si>
  <si>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</si>
  <si>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</si>
  <si>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</si>
  <si>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</si>
  <si>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</si>
  <si>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</si>
  <si>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</si>
  <si>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</si>
  <si>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</si>
  <si>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</si>
  <si>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</si>
  <si>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</si>
  <si>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</si>
  <si>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</si>
  <si>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</si>
  <si>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</si>
  <si>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</si>
  <si>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</si>
  <si>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</si>
  <si>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</si>
  <si>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</si>
  <si>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</si>
  <si>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</si>
  <si>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</si>
  <si>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</si>
  <si>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</si>
  <si>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</si>
  <si>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</si>
  <si>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</si>
  <si>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</si>
  <si>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</si>
  <si>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</si>
  <si>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</si>
  <si>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</si>
  <si>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</si>
  <si>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</si>
  <si>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</si>
  <si>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</si>
  <si>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</si>
  <si>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</si>
  <si>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</si>
  <si>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</si>
  <si>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</si>
  <si>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</si>
  <si>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</si>
  <si>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</si>
  <si>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</si>
  <si>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</si>
  <si>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</si>
  <si>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</si>
  <si>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</si>
  <si>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</si>
  <si>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</si>
  <si>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</si>
  <si>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</si>
  <si>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</si>
  <si>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</si>
  <si>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</si>
  <si>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</si>
  <si>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</si>
  <si>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</si>
  <si>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</si>
  <si>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</si>
  <si>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</si>
  <si>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</si>
  <si>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</si>
  <si>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</si>
  <si>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</si>
  <si>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</si>
  <si>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</si>
  <si>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</si>
  <si>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</si>
  <si>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</si>
  <si>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</si>
  <si>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</si>
  <si>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</si>
  <si>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</si>
  <si>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</si>
  <si>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</si>
  <si>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</si>
  <si>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</si>
  <si>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</si>
  <si>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</si>
  <si>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</si>
  <si>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</si>
  <si>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</si>
  <si>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</si>
  <si>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</si>
  <si>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</si>
  <si>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</si>
  <si>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</si>
  <si>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</si>
  <si>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</si>
  <si>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</si>
  <si>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</si>
  <si>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</si>
  <si>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</si>
  <si>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</si>
  <si>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</si>
  <si>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</si>
  <si>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</si>
  <si>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</si>
  <si>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</si>
  <si>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</si>
  <si>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</si>
  <si>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</si>
  <si>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</si>
  <si>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</si>
  <si>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</si>
  <si>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</si>
  <si>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</si>
  <si>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</si>
  <si>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</si>
  <si>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</si>
  <si>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</si>
  <si>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</si>
  <si>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</si>
  <si>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</si>
  <si>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</si>
  <si>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</si>
  <si>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</si>
  <si>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</si>
  <si>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</si>
  <si>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</si>
  <si>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</si>
  <si>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</si>
  <si>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</si>
  <si>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</si>
  <si>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</si>
  <si>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</si>
  <si>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</si>
  <si>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</si>
  <si>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</si>
  <si>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</si>
  <si>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</si>
  <si>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</si>
  <si>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</si>
  <si>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</si>
  <si>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</si>
  <si>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</si>
  <si>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</si>
  <si>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</si>
  <si>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</si>
  <si>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</si>
  <si>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</si>
  <si>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</si>
  <si>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</si>
  <si>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</si>
  <si>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</si>
  <si>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</si>
  <si>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</si>
  <si>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</si>
  <si>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</si>
  <si>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</si>
  <si>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</si>
  <si>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</si>
  <si>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</si>
  <si>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</si>
  <si>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</si>
  <si>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</si>
  <si>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</si>
  <si>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</si>
  <si>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</si>
  <si>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</si>
  <si>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</si>
  <si>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</si>
  <si>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</si>
  <si>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</si>
  <si>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</si>
  <si>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</si>
  <si>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</si>
  <si>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</si>
  <si>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</si>
  <si>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</si>
  <si>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</si>
  <si>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</si>
  <si>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</si>
  <si>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</si>
  <si>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</si>
  <si>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</si>
  <si>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</si>
  <si>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</si>
  <si>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</si>
  <si>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</si>
  <si>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</si>
  <si>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</si>
  <si>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</si>
  <si>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</si>
  <si>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</si>
  <si>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</si>
  <si>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</si>
  <si>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</si>
  <si>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</si>
  <si>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</si>
  <si>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</si>
  <si>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</si>
  <si>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</si>
  <si>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</si>
  <si>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</si>
  <si>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</si>
  <si>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</si>
  <si>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</si>
  <si>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</si>
  <si>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</si>
  <si>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</si>
  <si>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</si>
  <si>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</si>
  <si>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</si>
  <si>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</si>
  <si>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</si>
  <si>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</si>
  <si>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</si>
  <si>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</si>
  <si>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</si>
  <si>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</si>
  <si>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</si>
  <si>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</si>
  <si>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</si>
  <si>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</si>
  <si>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</si>
  <si>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</si>
  <si>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</si>
  <si>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</si>
  <si>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</si>
  <si>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</si>
  <si>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</si>
  <si>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</si>
  <si>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</si>
  <si>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</si>
  <si>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</si>
  <si>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</si>
  <si>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</si>
  <si>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</si>
  <si>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</si>
  <si>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</si>
  <si>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</si>
  <si>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</si>
  <si>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</si>
  <si>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</si>
  <si>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</si>
  <si>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</si>
  <si>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</si>
  <si>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</si>
  <si>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</si>
  <si>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</si>
  <si>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</si>
  <si>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</si>
  <si>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</si>
  <si>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</si>
  <si>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</si>
  <si>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</si>
  <si>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</si>
  <si>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</si>
  <si>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</si>
  <si>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</si>
  <si>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</si>
  <si>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</si>
  <si>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</si>
  <si>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</si>
  <si>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</si>
  <si>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</si>
  <si>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</si>
  <si>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</si>
  <si>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</si>
  <si>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</si>
  <si>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</si>
  <si>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</si>
  <si>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</si>
  <si>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</si>
  <si>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</si>
  <si>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</si>
  <si>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</si>
  <si>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</si>
  <si>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</si>
  <si>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</si>
  <si>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</si>
  <si>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</si>
  <si>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</si>
  <si>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</si>
  <si>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</si>
  <si>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</si>
  <si>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</si>
  <si>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</si>
  <si>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</si>
  <si>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</si>
  <si>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</si>
  <si>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</si>
  <si>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</si>
  <si>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</si>
  <si>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</si>
  <si>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</si>
  <si>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</si>
  <si>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</si>
  <si>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</si>
  <si>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</si>
  <si>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</si>
  <si>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</si>
  <si>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</si>
  <si>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</si>
  <si>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</si>
  <si>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</si>
  <si>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</si>
  <si>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</si>
  <si>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</si>
  <si>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</si>
  <si>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</si>
  <si>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</si>
  <si>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</si>
  <si>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</si>
  <si>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</si>
  <si>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</si>
  <si>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</si>
  <si>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</si>
  <si>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</si>
  <si>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</si>
  <si>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</si>
  <si>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</si>
  <si>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</si>
  <si>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</si>
  <si>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</si>
  <si>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</si>
  <si>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</si>
  <si>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</si>
  <si>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</si>
  <si>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</si>
  <si>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</si>
  <si>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</si>
  <si>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</si>
  <si>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</si>
  <si>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</si>
  <si>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</si>
  <si>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</si>
  <si>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</si>
  <si>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</si>
  <si>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</si>
  <si>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</si>
  <si>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</si>
  <si>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</si>
  <si>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</si>
  <si>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</si>
  <si>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</si>
  <si>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</si>
  <si>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</si>
  <si>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</si>
  <si>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</si>
  <si>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</si>
  <si>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</si>
  <si>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</si>
  <si>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</si>
  <si>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</si>
  <si>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</si>
  <si>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</si>
  <si>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</si>
  <si>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</si>
  <si>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</si>
  <si>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</si>
  <si>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</si>
  <si>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</si>
  <si>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</si>
  <si>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</si>
  <si>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</si>
  <si>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</si>
  <si>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</si>
  <si>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</si>
  <si>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</si>
  <si>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</si>
  <si>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</si>
  <si>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</si>
  <si>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</si>
  <si>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</si>
  <si>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</si>
  <si>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</si>
  <si>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</si>
  <si>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</si>
  <si>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</si>
  <si>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</si>
  <si>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</si>
  <si>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</si>
  <si>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</si>
  <si>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</si>
  <si>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</si>
  <si>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</si>
  <si>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</si>
  <si>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</si>
  <si>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</si>
  <si>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</si>
  <si>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</si>
  <si>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</si>
  <si>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</si>
  <si>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</si>
  <si>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</si>
  <si>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</si>
  <si>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</si>
  <si>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</si>
  <si>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</si>
  <si>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</si>
  <si>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</si>
  <si>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</si>
  <si>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</si>
  <si>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</si>
  <si>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</si>
  <si>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</si>
  <si>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</si>
  <si>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</si>
  <si>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</si>
  <si>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</si>
  <si>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</si>
  <si>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</si>
  <si>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</si>
  <si>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</si>
  <si>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</si>
  <si>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</si>
  <si>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</si>
  <si>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</si>
  <si>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</si>
  <si>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</si>
  <si>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</si>
  <si>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</si>
  <si>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</si>
  <si>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</si>
  <si>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</si>
  <si>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</si>
  <si>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</si>
  <si>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</si>
  <si>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</si>
  <si>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</si>
  <si>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</si>
  <si>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</si>
  <si>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</si>
  <si>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</si>
  <si>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</si>
  <si>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</si>
  <si>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</si>
  <si>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</si>
  <si>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</si>
  <si>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</si>
  <si>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</si>
  <si>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</si>
  <si>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</si>
  <si>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</si>
  <si>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</si>
  <si>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</si>
  <si>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</si>
  <si>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</si>
  <si>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</si>
  <si>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</si>
  <si>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</si>
  <si>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</si>
  <si>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</si>
  <si>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</si>
  <si>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</si>
  <si>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</si>
  <si>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</si>
  <si>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</si>
  <si>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</si>
  <si>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</si>
  <si>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</si>
  <si>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</si>
  <si>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</si>
  <si>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</si>
  <si>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</si>
  <si>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</si>
  <si>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</si>
  <si>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</si>
  <si>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</si>
  <si>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</si>
  <si>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</si>
  <si>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</si>
  <si>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</si>
  <si>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</si>
  <si>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</si>
  <si>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</si>
  <si>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</si>
  <si>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</si>
  <si>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</si>
  <si>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</si>
  <si>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</si>
  <si>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</si>
  <si>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</si>
  <si>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</si>
  <si>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</si>
  <si>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</si>
  <si>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</si>
  <si>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</si>
  <si>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</si>
  <si>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</si>
  <si>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</si>
  <si>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</si>
  <si>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</si>
  <si>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</si>
  <si>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</si>
  <si>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</si>
  <si>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</si>
  <si>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</si>
  <si>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</si>
  <si>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</si>
  <si>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</si>
  <si>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</si>
  <si>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</si>
  <si>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</si>
  <si>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</si>
  <si>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</si>
  <si>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</si>
  <si>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</si>
  <si>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</si>
  <si>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</si>
  <si>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</si>
  <si>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</si>
  <si>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</si>
  <si>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</si>
  <si>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</si>
  <si>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</si>
  <si>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</si>
  <si>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</si>
  <si>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</si>
  <si>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</si>
  <si>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</si>
  <si>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</si>
  <si>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</si>
  <si>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</si>
  <si>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</si>
  <si>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</si>
  <si>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</si>
  <si>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</si>
  <si>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</si>
  <si>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</si>
  <si>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</si>
  <si>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</si>
  <si>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</si>
  <si>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</si>
  <si>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</si>
  <si>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</si>
  <si>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</si>
  <si>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</si>
  <si>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</si>
  <si>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</si>
  <si>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</si>
  <si>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</si>
  <si>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</si>
  <si>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</si>
  <si>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</si>
  <si>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</si>
  <si>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</si>
  <si>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</si>
  <si>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</si>
  <si>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</si>
  <si>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</si>
  <si>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</si>
  <si>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</si>
  <si>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</si>
  <si>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</si>
  <si>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</si>
  <si>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</si>
  <si>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</si>
  <si>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</si>
  <si>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</si>
  <si>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</si>
  <si>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</si>
  <si>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</si>
  <si>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</si>
  <si>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</si>
  <si>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</si>
  <si>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</si>
  <si>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</si>
  <si>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</si>
  <si>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</si>
  <si>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</si>
  <si>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</si>
  <si>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</si>
  <si>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</si>
  <si>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</si>
  <si>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</si>
  <si>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</si>
  <si>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</si>
  <si>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</si>
  <si>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</si>
  <si>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</si>
  <si>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</si>
  <si>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</si>
  <si>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</si>
  <si>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</si>
  <si>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</si>
  <si>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</si>
  <si>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</si>
  <si>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</si>
  <si>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</si>
  <si>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</si>
  <si>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</si>
  <si>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</si>
  <si>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</si>
  <si>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</si>
  <si>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</si>
  <si>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</si>
  <si>
    <t>감독: 데이비드 맥켄지
출연: 아론 테일러-존슨, 테오 제임스, 구구 음바타-로, 샘 워싱턴</t>
    <phoneticPr fontId="2" type="noConversion"/>
  </si>
  <si>
    <t>98분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</si>
</sst>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5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3" fillId="10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89" totalsRowShown="0" headerRowDxfId="13" dataDxfId="11" headerRowBorderDxfId="12" tableBorderDxfId="10">
  <autoFilter ref="A2:J3489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89"/>
  <sheetViews>
    <sheetView showGridLines="0" tabSelected="1" workbookViewId="0">
      <pane ySplit="2" topLeftCell="A3481" activePane="bottomLeft" state="frozen"/>
      <selection pane="bottomLeft" activeCell="B3492" sqref="B3492"/>
    </sheetView>
  </sheetViews>
  <sheetFormatPr defaultColWidth="9" defaultRowHeight="28.9" customHeight="1" x14ac:dyDescent="0.6"/>
  <cols>
    <col min="1" max="1" width="7" style="95" customWidth="1"/>
    <col min="2" max="2" width="36.19921875" style="93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5" customWidth="1"/>
    <col min="9" max="9" width="11.19921875" style="57" customWidth="1"/>
    <col min="10" max="10" width="10.69921875" style="94" bestFit="1" customWidth="1"/>
    <col min="11" max="16384" width="9" style="57"/>
  </cols>
  <sheetData>
    <row r="1" spans="1:14" ht="28.9" customHeight="1" x14ac:dyDescent="0.6">
      <c r="A1" s="113" t="s">
        <v>3523</v>
      </c>
      <c r="B1" s="113"/>
      <c r="C1" s="113"/>
      <c r="D1" s="113"/>
      <c r="E1" s="113"/>
      <c r="F1" s="113"/>
      <c r="G1" s="114"/>
      <c r="H1" s="97" t="s">
        <v>3489</v>
      </c>
      <c r="I1" s="98" t="s">
        <v>3490</v>
      </c>
      <c r="J1" s="99" t="s">
        <v>3518</v>
      </c>
      <c r="K1" s="72"/>
      <c r="L1" s="72"/>
      <c r="M1" s="72"/>
      <c r="N1" s="72"/>
    </row>
    <row r="2" spans="1:14" s="1" customFormat="1" ht="28.9" customHeight="1" thickBot="1" x14ac:dyDescent="0.75">
      <c r="A2" s="2" t="s">
        <v>0</v>
      </c>
      <c r="B2" s="104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6" t="str">
        <f>HYPERLINK("https://search.naver.com/search.naver?query=영화 고스트라이트", "고스트라이트")</f>
        <v>고스트라이트</v>
      </c>
      <c r="C160" s="76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7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ht="28.9" customHeight="1" thickTop="1" thickBot="1" x14ac:dyDescent="0.65">
      <c r="A776" s="3">
        <v>774</v>
      </c>
      <c r="B776" s="58" t="str">
        <f>HYPERLINK("https://search.naver.com/search.naver?query=어메이징 메리 영화", "어메이징 메리")</f>
        <v>어메이징 메리</v>
      </c>
      <c r="C776" s="59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19">
        <v>43100</v>
      </c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6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1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0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1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0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2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2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2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2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2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0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1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2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1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2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2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2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2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2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2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0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2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0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1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0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1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0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1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0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1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0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1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0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2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2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2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2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2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2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2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2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1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0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1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0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1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0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1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0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1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0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1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0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1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0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1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0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1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0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1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0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1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0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1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0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1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0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1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0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1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0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1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0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1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0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1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0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2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0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1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0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1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0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1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0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1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0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1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0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1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0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1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0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1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0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1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0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2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2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1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0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1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0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1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0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1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0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1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0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1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2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2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2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2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2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2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0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1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0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1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0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2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0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1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0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1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0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1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0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1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0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1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0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1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0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1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0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1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0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1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0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1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0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1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0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1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0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1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0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0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1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0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1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0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1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0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1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0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1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0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1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0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1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0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1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0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2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0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2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0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1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0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1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0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3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0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1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0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1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0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2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0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1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0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2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1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0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1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2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1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0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2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0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1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0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1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0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1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0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1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0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1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0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1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0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1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0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1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0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1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0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1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2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2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0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1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0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1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0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1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0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1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0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1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0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2" customFormat="1" ht="28.9" customHeight="1" thickTop="1" thickBot="1" x14ac:dyDescent="0.65">
      <c r="A2316" s="33">
        <v>2314</v>
      </c>
      <c r="B2316" s="105" t="str">
        <f>HYPERLINK("https://search.naver.com/search.naver?query=와인을 향한 열정 영화", "와인을 향한 열정")</f>
        <v>와인을 향한 열정</v>
      </c>
      <c r="C2316" s="71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2" customFormat="1" ht="28.9" customHeight="1" thickTop="1" thickBot="1" x14ac:dyDescent="0.65">
      <c r="A2516" s="33">
        <v>2514</v>
      </c>
      <c r="B2516" s="105" t="str">
        <f>HYPERLINK("https://search.naver.com/search.naver?query=일곱 개의 대륙, 하나의 지구 다큐", "일곱 개의 대륙, 하나의 지구")</f>
        <v>일곱 개의 대륙, 하나의 지구</v>
      </c>
      <c r="C2516" s="71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시즌1", "젠틀맨: 더 시리즈 시즌1")</f>
        <v>젠틀맨: 더 시리즈 시즌1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5" t="str">
        <f>HYPERLINK("https://search.naver.com/search.naver?query=아마존의 눈물 다큐", "아마존의 눈물")</f>
        <v>아마존의 눈물</v>
      </c>
      <c r="C2849" s="71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5" customFormat="1" ht="28.9" customHeight="1" thickTop="1" thickBot="1" x14ac:dyDescent="0.65">
      <c r="A2946" s="11">
        <v>2944</v>
      </c>
      <c r="B2946" s="73" t="str">
        <f>HYPERLINK("https://search.naver.com/search.naver?query=탐엣더팜 영화", "탐엣더팜")</f>
        <v>탐엣더팜</v>
      </c>
      <c r="C2946" s="74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8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3" t="str">
        <f>HYPERLINK("https://search.naver.com/search.naver?query=히트맨2007", "히트맨")</f>
        <v>히트맨</v>
      </c>
      <c r="C3415" s="79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0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1" t="str">
        <f>HYPERLINK("https://search.naver.com/search.naver?query=히틀러와 제3제국의 종말.", "히틀러와 제3제국의 종말")</f>
        <v>히틀러와 제3제국의 종말</v>
      </c>
      <c r="C3417" s="82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3" t="str">
        <f>HYPERLINK("https://search.naver.com/search.naver?query=힐빌리의 노래 영화", "힐빌리의 노래")</f>
        <v>힐빌리의 노래</v>
      </c>
      <c r="C3418" s="78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4" t="str">
        <f>HYPERLINK("https://search.naver.com/search.naver?query=힙노틱 영화", "힙노틱")</f>
        <v>힙노틱</v>
      </c>
      <c r="C3419" s="85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7" t="str">
        <f>HYPERLINK("https://search.naver.com/search.naver?query=포 올 맨카인드 시즌2", "포 올 맨카인드 시즌2")</f>
        <v>포 올 맨카인드 시즌2</v>
      </c>
      <c r="C3420" s="86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8" t="str">
        <f>HYPERLINK("https://search.naver.com/search.naver?query=KBS대기획 인간, 신세계로 부터 다큐", "KBS대기획 인간, 신세계로 부터")</f>
        <v>KBS대기획 인간, 신세계로 부터</v>
      </c>
      <c r="C3421" s="71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2" customFormat="1" ht="27.6" customHeight="1" x14ac:dyDescent="0.6">
      <c r="A3422" s="32">
        <v>3420</v>
      </c>
      <c r="B3422" s="109" t="str">
        <f>HYPERLINK("https://search.naver.com/search.naver?query=남편의 그것이 들어가지 않아 드라마", "남편의 그것이 들어가지 않아")</f>
        <v>남편의 그것이 들어가지 않아</v>
      </c>
      <c r="C3422" s="87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0" t="str">
        <f>HYPERLINK("https://search.naver.com/search.naver?query=라팔마 드라마", "라팔마")</f>
        <v>라팔마</v>
      </c>
      <c r="C3423" s="87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1" t="str">
        <f>HYPERLINK("https://search.naver.com/search.naver?query=프로젝트+헤일메리+영화", "프로젝트 헤일메리")</f>
        <v>프로젝트 헤일메리</v>
      </c>
      <c r="C3424" s="78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2" customFormat="1" ht="34.35" customHeight="1" x14ac:dyDescent="0.6">
      <c r="A3425" s="88">
        <v>3423</v>
      </c>
      <c r="B3425" s="112" t="str">
        <f>HYPERLINK("https://search.naver.com/search.naver?query=여행과+나날+영화", "여행과 나날")</f>
        <v>여행과 나날</v>
      </c>
      <c r="C3425" s="89">
        <v>7.84</v>
      </c>
      <c r="D3425" s="90" t="s">
        <v>3434</v>
      </c>
      <c r="E3425" s="88" t="s">
        <v>16</v>
      </c>
      <c r="F3425" s="88">
        <v>2025</v>
      </c>
      <c r="G3425" s="88" t="s">
        <v>12</v>
      </c>
      <c r="H3425" s="88" t="s">
        <v>17</v>
      </c>
      <c r="I3425" s="88" t="s">
        <v>119</v>
      </c>
      <c r="J3425" s="91" t="s">
        <v>3435</v>
      </c>
      <c r="K3425" s="92"/>
      <c r="L3425" s="92"/>
      <c r="M3425" s="92"/>
      <c r="N3425" s="92"/>
    </row>
    <row r="3426" spans="1:14" ht="27.3" customHeight="1" x14ac:dyDescent="0.6">
      <c r="A3426" s="33">
        <v>3424</v>
      </c>
      <c r="B3426" s="108" t="str">
        <f>HYPERLINK("https://search.naver.com/search.naver?query=KBS 대기획 트랜스휴먼+다큐", "KBS 대기획 트랜스휴먼")</f>
        <v>KBS 대기획 트랜스휴먼</v>
      </c>
      <c r="C3426" s="71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0" t="str">
        <f>HYPERLINK("https://search.naver.com/search.naver?query=버진리버 시즌7", "버진 리버 시즌7")</f>
        <v>버진 리버 시즌7</v>
      </c>
      <c r="C3427" s="87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2" customFormat="1" ht="34.35" customHeight="1" x14ac:dyDescent="0.6">
      <c r="A3428" s="88">
        <v>3426</v>
      </c>
      <c r="B3428" s="112" t="str">
        <f>HYPERLINK("https://search.naver.com/search.naver?query=왕과 사는 남자 영화", "왕과 사는 남자")</f>
        <v>왕과 사는 남자</v>
      </c>
      <c r="C3428" s="89">
        <v>8.8699999999999992</v>
      </c>
      <c r="D3428" s="90" t="s">
        <v>3537</v>
      </c>
      <c r="E3428" s="88" t="s">
        <v>3536</v>
      </c>
      <c r="F3428" s="88">
        <v>2026</v>
      </c>
      <c r="G3428" s="88" t="s">
        <v>3489</v>
      </c>
      <c r="H3428" s="88" t="s">
        <v>3490</v>
      </c>
      <c r="I3428" s="88" t="s">
        <v>3538</v>
      </c>
      <c r="J3428" s="91">
        <v>46144</v>
      </c>
      <c r="K3428" s="92"/>
      <c r="L3428" s="92"/>
      <c r="M3428" s="92"/>
      <c r="N3428" s="92"/>
    </row>
    <row r="3429" spans="1:14" ht="34.35" customHeight="1" x14ac:dyDescent="0.6">
      <c r="A3429" s="32">
        <v>3427</v>
      </c>
      <c r="B3429" s="110" t="str">
        <f>HYPERLINK("https://search.naver.com/search.naver?query=더 매디슨 시즌1", "더 매디슨 시즌1")</f>
        <v>더 매디슨 시즌1</v>
      </c>
      <c r="C3429" s="87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0" t="str">
        <f>HYPERLINK("https://www.themoviedb.org/tv/289560-cia?language=ko-KR=CIA 시즌1", "CIA 시즌1")</f>
        <v>CIA 시즌1</v>
      </c>
      <c r="C3430" s="87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0" t="str">
        <f>HYPERLINK("https://www.themoviedb.org/tv/120911-the-terminal-list=터미널 리스트 시즌 1", "터미널 리스트 시즌 1")</f>
        <v>터미널 리스트 시즌 1</v>
      </c>
      <c r="C3431" s="87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0" t="str">
        <f>HYPERLINK("https://search.naver.com/search.naver?query=나이트 에이전트 시즌2", "나이트 에이전트 시즌 2")</f>
        <v>나이트 에이전트 시즌 2</v>
      </c>
      <c r="C3432" s="87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0" t="str">
        <f>HYPERLINK("https://search.naver.com/search.naver?query=나이트 에이전트 시즌3", "나이트 에이전트 시즌 3")</f>
        <v>나이트 에이전트 시즌 3</v>
      </c>
      <c r="C3433" s="87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0" t="str">
        <f>HYPERLINK("https://search.naver.com/search.naver?query=마셜스 시즌1", "마셜스 시즌1")</f>
        <v>마셜스 시즌1</v>
      </c>
      <c r="C3434" s="87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0" t="str">
        <f>HYPERLINK("https://www.themoviedb.org/tv/302074-r-j-decker", "R.J. 데커 시즌1")</f>
        <v>R.J. 데커 시즌1</v>
      </c>
      <c r="C3435" s="87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0" t="str">
        <f>HYPERLINK("https://search.naver.com/search.naver?query=더 피트 시즌1", "더 피트 시즌1")</f>
        <v>더 피트 시즌1</v>
      </c>
      <c r="C3436" s="87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0" t="str">
        <f>HYPERLINK("https://search.naver.com/search.naver?query=더 피트 시즌2", "더 피트 시즌2")</f>
        <v>더 피트 시즌2</v>
      </c>
      <c r="C3437" s="87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0" t="str">
        <f>HYPERLINK("https://www.themoviedb.org/tv/240740-scarpetta2", "스카페타 시즌1")</f>
        <v>스카페타 시즌1</v>
      </c>
      <c r="C3438" s="87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2" customFormat="1" ht="34.35" customHeight="1" x14ac:dyDescent="0.6">
      <c r="A3439" s="88">
        <v>3437</v>
      </c>
      <c r="B3439" s="112" t="str">
        <f>HYPERLINK("https://search.naver.com/search.naver?query=악마는 프라다를 입는다 2", "악마는 프라다를 입는다 2")</f>
        <v>악마는 프라다를 입는다 2</v>
      </c>
      <c r="C3439" s="89">
        <v>8.9700000000000006</v>
      </c>
      <c r="D3439" s="90" t="s">
        <v>3559</v>
      </c>
      <c r="E3439" s="88" t="s">
        <v>3488</v>
      </c>
      <c r="F3439" s="88">
        <v>2026</v>
      </c>
      <c r="G3439" s="88" t="s">
        <v>12</v>
      </c>
      <c r="H3439" s="88" t="s">
        <v>17</v>
      </c>
      <c r="I3439" s="88" t="s">
        <v>3560</v>
      </c>
      <c r="J3439" s="91">
        <v>46220</v>
      </c>
      <c r="K3439" s="92"/>
      <c r="L3439" s="92"/>
      <c r="M3439" s="92"/>
      <c r="N3439" s="92"/>
    </row>
    <row r="3440" spans="1:14" ht="34.200000000000003" customHeight="1" x14ac:dyDescent="0.6">
      <c r="A3440" s="32">
        <v>3438</v>
      </c>
      <c r="B3440" s="110" t="str">
        <f>HYPERLINK("https://www.themoviedb.org/tv/285404-maximum-pleasure-guaranteed", "도파민 최대 보장 시즌1")</f>
        <v>도파민 최대 보장 시즌1</v>
      </c>
      <c r="C3440" s="87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0" t="str">
        <f>HYPERLINK("https://search.naver.com/search.naver?query=도쿄바이스 시즌1", "도쿄바이스 시즌1")</f>
        <v>도쿄바이스 시즌1</v>
      </c>
      <c r="C3441" s="87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0" t="str">
        <f>HYPERLINK("https://search.naver.com/search.naver?query=도쿄바이스 시즌2", "도쿄바이스 시즌2")</f>
        <v>도쿄바이스 시즌2</v>
      </c>
      <c r="C3442" s="87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0" t="str">
        <f>HYPERLINK("https://www.themoviedb.org/tv/299167-dutton-ranch=더턴 랜치 시즌1", "더턴 랜치 시즌1")</f>
        <v>더턴 랜치 시즌1</v>
      </c>
      <c r="C3443" s="87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0" t="str">
        <f>HYPERLINK("https://search.naver.com/search.naver?query=김부장", "김부장")</f>
        <v>김부장</v>
      </c>
      <c r="C3444" s="87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0" t="str">
        <f>HYPERLINK("https://search.naver.com/search.naver?query=나이트 매니저 시즌2", "나이트 매니저 시즌2")</f>
        <v>나이트 매니저 시즌2</v>
      </c>
      <c r="C3445" s="87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0" t="str">
        <f>HYPERLINK("https://search.naver.com/search.naver?query=트래커 시즌1", "트래커 시즌1")</f>
        <v>트래커 시즌1</v>
      </c>
      <c r="C3446" s="87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0" t="str">
        <f>HYPERLINK("https://search.naver.com/search.naver?query=케이프 피어", "케이프 피어 시즌1")</f>
        <v>케이프 피어 시즌1</v>
      </c>
      <c r="C3447" s="87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0" t="str">
        <f>HYPERLINK("https://search.naver.com/search.naver?query=트래커 시즌2", "트래커 시즌2")</f>
        <v>트래커 시즌2</v>
      </c>
      <c r="C3448" s="87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0" t="str">
        <f>HYPERLINK("https://search.naver.com/search.naver?query=트래커 시즌3", "트래커 시즌3")</f>
        <v>트래커 시즌3</v>
      </c>
      <c r="C3449" s="87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0" t="str">
        <f>HYPERLINK("https://search.naver.com/search.naver?query=화이트 칼라 시즌1", "화이트 칼라 시즌1")</f>
        <v>화이트 칼라 시즌1</v>
      </c>
      <c r="C3450" s="87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0" t="str">
        <f>HYPERLINK("https://search.naver.com/search.naver?query=화이트 칼라 시즌2", "화이트 칼라 시즌2")</f>
        <v>화이트 칼라 시즌2</v>
      </c>
      <c r="C3451" s="87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0" t="str">
        <f>HYPERLINK("https://search.naver.com/search.naver?query=화이트 칼라 시즌3", "화이트 칼라 시즌3")</f>
        <v>화이트 칼라 시즌3</v>
      </c>
      <c r="C3452" s="87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0" t="str">
        <f>HYPERLINK("https://search.naver.com/search.naver?query=화이트 칼라 시즌4", "화이트 칼라 시즌4")</f>
        <v>화이트 칼라 시즌4</v>
      </c>
      <c r="C3453" s="87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0" t="str">
        <f>HYPERLINK("https://search.naver.com/search.naver?query=화이트 칼라 시즌5", "화이트 칼라 시즌5")</f>
        <v>화이트 칼라 시즌5</v>
      </c>
      <c r="C3454" s="87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0" t="str">
        <f>HYPERLINK("https://search.naver.com/search.naver?query=화이트 칼라 시즌6", "화이트 칼라 시즌6")</f>
        <v>화이트 칼라 시즌6</v>
      </c>
      <c r="C3455" s="87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0" t="str">
        <f>HYPERLINK("https://search.naver.com/search.naver?query=아이 윌 파인드 유", "아이 윌 파인드 유")</f>
        <v>아이 윌 파인드 유</v>
      </c>
      <c r="C3456" s="87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0" t="str">
        <f>HYPERLINK("https://search.naver.com/search.naver?query=디 아메리칸즈 시즌1", "디 아메리칸즈 시즌1")</f>
        <v>디 아메리칸즈 시즌1</v>
      </c>
      <c r="C3457" s="87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0" t="str">
        <f>HYPERLINK("https://search.naver.com/search.naver?query=디 아메리칸즈 시즌2", "디 아메리칸즈 시즌2")</f>
        <v>디 아메리칸즈 시즌2</v>
      </c>
      <c r="C3458" s="87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0" t="str">
        <f>HYPERLINK("https://search.naver.com/search.naver?query=디 아메리칸즈 시즌3", "디 아메리칸즈 시즌3")</f>
        <v>디 아메리칸즈 시즌3</v>
      </c>
      <c r="C3459" s="87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0" t="str">
        <f>HYPERLINK("https://search.naver.com/search.naver?query=디 아메리칸즈 시즌4", "디 아메리칸즈 시즌4")</f>
        <v>디 아메리칸즈 시즌4</v>
      </c>
      <c r="C3460" s="87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0" t="str">
        <f>HYPERLINK("https://search.naver.com/search.naver?query=디 아메리칸즈 시즌5", "디 아메리칸즈 시즌5")</f>
        <v>디 아메리칸즈 시즌5</v>
      </c>
      <c r="C3461" s="87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0" t="str">
        <f>HYPERLINK("https://search.naver.com/search.naver?query=디 아메리칸즈 시즌6", "디 아메리칸즈 시즌6")</f>
        <v>디 아메리칸즈 시즌6</v>
      </c>
      <c r="C3462" s="87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0" t="str">
        <f>HYPERLINK("https://search.naver.com/search.naver?query=안야 테일러 럭키 시즌1", "럭키 시즌1")</f>
        <v>럭키 시즌1</v>
      </c>
      <c r="C3463" s="87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2" customFormat="1" ht="34.35" customHeight="1" x14ac:dyDescent="0.6">
      <c r="A3464" s="88">
        <v>3462</v>
      </c>
      <c r="B3464" s="112" t="str">
        <f>HYPERLINK("https://search.naver.com/search.naver?query=영화 뮤티니", "뮤티니")</f>
        <v>뮤티니</v>
      </c>
      <c r="C3464" s="89"/>
      <c r="D3464" s="90" t="s">
        <v>3591</v>
      </c>
      <c r="E3464" s="88" t="s">
        <v>3488</v>
      </c>
      <c r="F3464" s="88">
        <v>2026</v>
      </c>
      <c r="G3464" s="88" t="s">
        <v>12</v>
      </c>
      <c r="H3464" s="88" t="s">
        <v>3592</v>
      </c>
      <c r="I3464" s="88" t="s">
        <v>3498</v>
      </c>
      <c r="J3464" s="91">
        <v>46255</v>
      </c>
      <c r="K3464" s="92"/>
      <c r="L3464" s="92"/>
      <c r="M3464" s="92"/>
      <c r="N3464" s="92"/>
    </row>
    <row r="3465" spans="1:14" s="72" customFormat="1" ht="34.35" customHeight="1" x14ac:dyDescent="0.6">
      <c r="A3465" s="88">
        <v>3463</v>
      </c>
      <c r="B3465" s="112" t="str">
        <f>HYPERLINK("https://search.naver.com/search.naver?query=딥 워터", "딥 워터")</f>
        <v>딥 워터</v>
      </c>
      <c r="C3465" s="89">
        <v>6.6</v>
      </c>
      <c r="D3465" s="90" t="s">
        <v>3594</v>
      </c>
      <c r="E3465" s="88" t="s">
        <v>3488</v>
      </c>
      <c r="F3465" s="88">
        <v>2026</v>
      </c>
      <c r="G3465" s="88" t="s">
        <v>12</v>
      </c>
      <c r="H3465" s="88" t="s">
        <v>3546</v>
      </c>
      <c r="I3465" s="88" t="s">
        <v>3593</v>
      </c>
      <c r="J3465" s="91">
        <v>46258</v>
      </c>
      <c r="K3465" s="92"/>
      <c r="L3465" s="92"/>
      <c r="M3465" s="92"/>
      <c r="N3465" s="92"/>
    </row>
    <row r="3466" spans="1:14" ht="34.200000000000003" customHeight="1" x14ac:dyDescent="0.6">
      <c r="A3466" s="32">
        <v>3464</v>
      </c>
      <c r="B3466" s="110" t="str">
        <f>HYPERLINK("https://search.naver.com/search.naver?query=하이포텐셜 시즌1", "하이포텐셜 시즌1")</f>
        <v>하이포텐셜 시즌1</v>
      </c>
      <c r="C3466" s="87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2" customFormat="1" ht="34.35" customHeight="1" x14ac:dyDescent="0.6">
      <c r="A3467" s="88">
        <v>3465</v>
      </c>
      <c r="B3467" s="112" t="str">
        <f>HYPERLINK("https://search.naver.com/search.naver?query=파이널 피스 영화", "파이널 피스")</f>
        <v>파이널 피스</v>
      </c>
      <c r="C3467" s="89">
        <v>7.89</v>
      </c>
      <c r="D3467" s="90" t="s">
        <v>3598</v>
      </c>
      <c r="E3467" s="88" t="s">
        <v>3500</v>
      </c>
      <c r="F3467" s="88">
        <v>2026</v>
      </c>
      <c r="G3467" s="88" t="s">
        <v>3489</v>
      </c>
      <c r="H3467" s="88" t="s">
        <v>3599</v>
      </c>
      <c r="I3467" s="88" t="s">
        <v>3597</v>
      </c>
      <c r="J3467" s="91">
        <v>46261</v>
      </c>
      <c r="K3467" s="92"/>
      <c r="L3467" s="92"/>
      <c r="M3467" s="92"/>
      <c r="N3467" s="92"/>
    </row>
    <row r="3468" spans="1:14" ht="34.200000000000003" customHeight="1" x14ac:dyDescent="0.6">
      <c r="A3468" s="32">
        <v>3466</v>
      </c>
      <c r="B3468" s="110" t="str">
        <f>HYPERLINK("https://search.naver.com/search.naver?query=하이포텐셜 시즌2", "하이포텐셜 시즌2")</f>
        <v>하이포텐셜 시즌2</v>
      </c>
      <c r="C3468" s="87"/>
      <c r="D3468" s="39" t="s">
        <v>3595</v>
      </c>
      <c r="E3468" s="32" t="s">
        <v>3488</v>
      </c>
      <c r="F3468" s="32">
        <v>2025</v>
      </c>
      <c r="G3468" s="32" t="s">
        <v>3490</v>
      </c>
      <c r="H3468" s="32" t="s">
        <v>3596</v>
      </c>
      <c r="I3468" s="32" t="s">
        <v>3600</v>
      </c>
      <c r="J3468" s="52">
        <v>46262</v>
      </c>
    </row>
    <row r="3469" spans="1:14" s="72" customFormat="1" ht="34.35" customHeight="1" x14ac:dyDescent="0.6">
      <c r="A3469" s="88">
        <v>3467</v>
      </c>
      <c r="B3469" s="112" t="str">
        <f>HYPERLINK("https://search.naver.com/search.naver?query=위스퍼맨 영화", "위스퍼맨")</f>
        <v>위스퍼맨</v>
      </c>
      <c r="C3469" s="89">
        <v>5.47</v>
      </c>
      <c r="D3469" s="90" t="s">
        <v>3601</v>
      </c>
      <c r="E3469" s="88" t="s">
        <v>3488</v>
      </c>
      <c r="F3469" s="88">
        <v>2026</v>
      </c>
      <c r="G3469" s="88" t="s">
        <v>3489</v>
      </c>
      <c r="H3469" s="88" t="s">
        <v>3546</v>
      </c>
      <c r="I3469" s="88" t="s">
        <v>3602</v>
      </c>
      <c r="J3469" s="91">
        <v>46263</v>
      </c>
      <c r="K3469" s="92"/>
      <c r="L3469" s="92"/>
      <c r="M3469" s="92"/>
      <c r="N3469" s="92"/>
    </row>
    <row r="3470" spans="1:14" ht="34.200000000000003" customHeight="1" x14ac:dyDescent="0.6">
      <c r="A3470" s="32">
        <v>3468</v>
      </c>
      <c r="B3470" s="110" t="str">
        <f>HYPERLINK("https://search.naver.com/search.naver?query=스틸 영드", "스틸")</f>
        <v>스틸</v>
      </c>
      <c r="C3470" s="87">
        <v>7.4</v>
      </c>
      <c r="D3470" s="39" t="s">
        <v>3603</v>
      </c>
      <c r="E3470" s="32" t="s">
        <v>3525</v>
      </c>
      <c r="F3470" s="32">
        <v>2026</v>
      </c>
      <c r="G3470" s="32" t="s">
        <v>3490</v>
      </c>
      <c r="H3470" s="32" t="s">
        <v>3558</v>
      </c>
      <c r="I3470" s="32" t="s">
        <v>3539</v>
      </c>
      <c r="J3470" s="52">
        <v>46263</v>
      </c>
    </row>
    <row r="3471" spans="1:14" ht="34.200000000000003" customHeight="1" x14ac:dyDescent="0.6">
      <c r="A3471" s="32">
        <v>3469</v>
      </c>
      <c r="B3471" s="110" t="str">
        <f>HYPERLINK("https://search.naver.com/search.naver?query=넷플릭스 내 안의 괴물", "내 안의 괴물")</f>
        <v>내 안의 괴물</v>
      </c>
      <c r="C3471" s="87"/>
      <c r="D3471" s="39" t="s">
        <v>3604</v>
      </c>
      <c r="E3471" s="32" t="s">
        <v>3488</v>
      </c>
      <c r="F3471" s="32">
        <v>2025</v>
      </c>
      <c r="G3471" s="32" t="s">
        <v>3490</v>
      </c>
      <c r="H3471" s="32" t="s">
        <v>3546</v>
      </c>
      <c r="I3471" s="32" t="s">
        <v>3545</v>
      </c>
      <c r="J3471" s="52">
        <v>46264</v>
      </c>
    </row>
    <row r="3472" spans="1:14" s="72" customFormat="1" ht="34.35" customHeight="1" x14ac:dyDescent="0.6">
      <c r="A3472" s="88">
        <v>3470</v>
      </c>
      <c r="B3472" s="112" t="str">
        <f>HYPERLINK("https://search.naver.com/search.naver?query=영화 인 더 그레이", "인 더 그레이 ")</f>
        <v xml:space="preserve">인 더 그레이 </v>
      </c>
      <c r="C3472" s="89"/>
      <c r="D3472" s="90" t="s">
        <v>3605</v>
      </c>
      <c r="E3472" s="88" t="s">
        <v>3488</v>
      </c>
      <c r="F3472" s="88">
        <v>2026</v>
      </c>
      <c r="G3472" s="88" t="s">
        <v>3489</v>
      </c>
      <c r="H3472" s="88" t="s">
        <v>3606</v>
      </c>
      <c r="I3472" s="88" t="s">
        <v>3607</v>
      </c>
      <c r="J3472" s="91">
        <v>46265</v>
      </c>
      <c r="K3472" s="92"/>
      <c r="L3472" s="92"/>
      <c r="M3472" s="92"/>
      <c r="N3472" s="92"/>
    </row>
    <row r="3473" spans="1:14" ht="34.200000000000003" customHeight="1" x14ac:dyDescent="0.6">
      <c r="A3473" s="32">
        <v>3471</v>
      </c>
      <c r="B3473" s="110" t="str">
        <f>HYPERLINK("https://search.naver.com/search.naver?query=레드 아이  드라마", "레드 아이 시즌1")</f>
        <v>레드 아이 시즌1</v>
      </c>
      <c r="C3473" s="87"/>
      <c r="D3473" s="39" t="s">
        <v>3609</v>
      </c>
      <c r="E3473" s="32" t="s">
        <v>3525</v>
      </c>
      <c r="F3473" s="32">
        <v>2024</v>
      </c>
      <c r="G3473" s="32" t="s">
        <v>3490</v>
      </c>
      <c r="H3473" s="32" t="s">
        <v>3608</v>
      </c>
      <c r="I3473" s="32" t="s">
        <v>3539</v>
      </c>
      <c r="J3473" s="52">
        <v>46266</v>
      </c>
    </row>
    <row r="3474" spans="1:14" ht="34.200000000000003" customHeight="1" x14ac:dyDescent="0.6">
      <c r="A3474" s="32">
        <v>3472</v>
      </c>
      <c r="B3474" s="110" t="str">
        <f>HYPERLINK("https://search.naver.com/search.naver?query=그가 나에게 말하지 않은 것 시즌1", "그가 나에게 말하지 않은 것 시즌1")</f>
        <v>그가 나에게 말하지 않은 것 시즌1</v>
      </c>
      <c r="C3474" s="87"/>
      <c r="D3474" s="39" t="s">
        <v>3612</v>
      </c>
      <c r="E3474" s="32" t="s">
        <v>3488</v>
      </c>
      <c r="F3474" s="32">
        <v>2023</v>
      </c>
      <c r="G3474" s="32" t="s">
        <v>3490</v>
      </c>
      <c r="H3474" s="32" t="s">
        <v>3610</v>
      </c>
      <c r="I3474" s="32" t="s">
        <v>3611</v>
      </c>
      <c r="J3474" s="52">
        <v>46268</v>
      </c>
    </row>
    <row r="3475" spans="1:14" ht="34.200000000000003" customHeight="1" x14ac:dyDescent="0.6">
      <c r="A3475" s="32">
        <v>3473</v>
      </c>
      <c r="B3475" s="110" t="str">
        <f>HYPERLINK("https://search.naver.com/search.naver?query=그가 나에게 말하지 않은 것 시즌2", "그가 나에게 말하지 않은 것 시즌2")</f>
        <v>그가 나에게 말하지 않은 것 시즌2</v>
      </c>
      <c r="C3475" s="87"/>
      <c r="D3475" s="39" t="s">
        <v>3612</v>
      </c>
      <c r="E3475" s="32" t="s">
        <v>3488</v>
      </c>
      <c r="F3475" s="32">
        <v>2026</v>
      </c>
      <c r="G3475" s="32" t="s">
        <v>3490</v>
      </c>
      <c r="H3475" s="32" t="s">
        <v>3610</v>
      </c>
      <c r="I3475" s="32" t="s">
        <v>3545</v>
      </c>
      <c r="J3475" s="52">
        <v>46268</v>
      </c>
    </row>
    <row r="3476" spans="1:14" s="72" customFormat="1" ht="34.35" customHeight="1" x14ac:dyDescent="0.6">
      <c r="A3476" s="88">
        <v>3474</v>
      </c>
      <c r="B3476" s="112" t="str">
        <f>HYPERLINK("https://www.themoviedb.org/movie/1386315", "더 러너")</f>
        <v>더 러너</v>
      </c>
      <c r="C3476" s="89"/>
      <c r="D3476" s="90" t="s">
        <v>3615</v>
      </c>
      <c r="E3476" s="88" t="s">
        <v>3525</v>
      </c>
      <c r="F3476" s="88">
        <v>2026</v>
      </c>
      <c r="G3476" s="88" t="s">
        <v>3489</v>
      </c>
      <c r="H3476" s="88" t="s">
        <v>3546</v>
      </c>
      <c r="I3476" s="88" t="s">
        <v>3569</v>
      </c>
      <c r="J3476" s="91">
        <v>46268</v>
      </c>
      <c r="K3476" s="92"/>
      <c r="L3476" s="92"/>
      <c r="M3476" s="92"/>
      <c r="N3476" s="92"/>
    </row>
    <row r="3477" spans="1:14" s="72" customFormat="1" ht="34.35" customHeight="1" x14ac:dyDescent="0.6">
      <c r="A3477" s="88">
        <v>3475</v>
      </c>
      <c r="B3477" s="112" t="str">
        <f>HYPERLINK("https://search.naver.com/search.naver?query=언피니시드", "언피니시드 ")</f>
        <v xml:space="preserve">언피니시드 </v>
      </c>
      <c r="C3477" s="89">
        <v>7.23</v>
      </c>
      <c r="D3477" s="90" t="s">
        <v>3616</v>
      </c>
      <c r="E3477" s="88" t="s">
        <v>3488</v>
      </c>
      <c r="F3477" s="88">
        <v>2010</v>
      </c>
      <c r="G3477" s="88" t="s">
        <v>3489</v>
      </c>
      <c r="H3477" s="88" t="s">
        <v>3490</v>
      </c>
      <c r="I3477" s="88" t="s">
        <v>3496</v>
      </c>
      <c r="J3477" s="91">
        <v>46269</v>
      </c>
      <c r="K3477" s="92"/>
      <c r="L3477" s="92"/>
      <c r="M3477" s="92"/>
      <c r="N3477" s="92"/>
    </row>
    <row r="3478" spans="1:14" s="72" customFormat="1" ht="34.35" customHeight="1" x14ac:dyDescent="0.6">
      <c r="A3478" s="88">
        <v>3476</v>
      </c>
      <c r="B3478" s="112" t="str">
        <f>HYPERLINK("https://search.naver.com/search.naver?query=메이데이 애플 ", "메이데이 ")</f>
        <v xml:space="preserve">메이데이 </v>
      </c>
      <c r="C3478" s="89"/>
      <c r="D3478" s="90" t="s">
        <v>3617</v>
      </c>
      <c r="E3478" s="88" t="s">
        <v>3488</v>
      </c>
      <c r="F3478" s="88">
        <v>2026</v>
      </c>
      <c r="G3478" s="88" t="s">
        <v>3489</v>
      </c>
      <c r="H3478" s="88" t="s">
        <v>3618</v>
      </c>
      <c r="I3478" s="88" t="s">
        <v>3527</v>
      </c>
      <c r="J3478" s="91">
        <v>46269</v>
      </c>
      <c r="K3478" s="92"/>
      <c r="L3478" s="92"/>
      <c r="M3478" s="92"/>
      <c r="N3478" s="92"/>
    </row>
    <row r="3479" spans="1:14" ht="34.200000000000003" customHeight="1" x14ac:dyDescent="0.6">
      <c r="A3479" s="32">
        <v>3477</v>
      </c>
      <c r="B3479" s="110" t="str">
        <f>HYPERLINK("https://search.naver.com/search.naver?query=젠틀맨: 더 시리즈 시즌2", "젠틀맨: 더 시리즈 시즌2")</f>
        <v>젠틀맨: 더 시리즈 시즌2</v>
      </c>
      <c r="C3479" s="87"/>
      <c r="D3479" s="39" t="s">
        <v>3620</v>
      </c>
      <c r="E3479" s="32" t="s">
        <v>3525</v>
      </c>
      <c r="F3479" s="32">
        <v>2026</v>
      </c>
      <c r="G3479" s="32" t="s">
        <v>3490</v>
      </c>
      <c r="H3479" s="32" t="s">
        <v>3619</v>
      </c>
      <c r="I3479" s="32" t="s">
        <v>3545</v>
      </c>
      <c r="J3479" s="52">
        <v>46270</v>
      </c>
    </row>
    <row r="3480" spans="1:14" s="72" customFormat="1" ht="34.35" customHeight="1" x14ac:dyDescent="0.6">
      <c r="A3480" s="88">
        <v>3478</v>
      </c>
      <c r="B3480" s="112" t="str">
        <f>HYPERLINK("https://search.naver.com/search.naver?query=디스클로저데이 영화", "디스클로저데이")</f>
        <v>디스클로저데이</v>
      </c>
      <c r="C3480" s="89">
        <v>5.7</v>
      </c>
      <c r="D3480" s="90" t="s">
        <v>3621</v>
      </c>
      <c r="E3480" s="88" t="s">
        <v>3488</v>
      </c>
      <c r="F3480" s="88">
        <v>2026</v>
      </c>
      <c r="G3480" s="88" t="s">
        <v>3489</v>
      </c>
      <c r="H3480" s="88" t="s">
        <v>3622</v>
      </c>
      <c r="I3480" s="88" t="s">
        <v>3623</v>
      </c>
      <c r="J3480" s="91">
        <v>46271</v>
      </c>
      <c r="K3480" s="92"/>
      <c r="L3480" s="92"/>
      <c r="M3480" s="92"/>
      <c r="N3480" s="92"/>
    </row>
    <row r="3481" spans="1:14" ht="34.200000000000003" customHeight="1" x14ac:dyDescent="0.6">
      <c r="A3481" s="32">
        <v>3479</v>
      </c>
      <c r="B3481" s="110" t="str">
        <f>HYPERLINK("https://search.naver.com/search.naver?query=메이어 오브 킹스타운 시즌3", "메이어 오브 킹스타운 시즌3")</f>
        <v>메이어 오브 킹스타운 시즌3</v>
      </c>
      <c r="C3481" s="87"/>
      <c r="D3481" s="39" t="s">
        <v>3625</v>
      </c>
      <c r="E3481" s="32" t="s">
        <v>3488</v>
      </c>
      <c r="F3481" s="32">
        <v>2024</v>
      </c>
      <c r="G3481" s="32" t="s">
        <v>3490</v>
      </c>
      <c r="H3481" s="32" t="s">
        <v>3624</v>
      </c>
      <c r="I3481" s="32" t="s">
        <v>3534</v>
      </c>
      <c r="J3481" s="52">
        <v>46272</v>
      </c>
    </row>
    <row r="3482" spans="1:14" ht="34.200000000000003" customHeight="1" x14ac:dyDescent="0.6">
      <c r="A3482" s="32">
        <v>3480</v>
      </c>
      <c r="B3482" s="110" t="str">
        <f>HYPERLINK("https://search.naver.com/search.naver?query=메이어 오브 킹스타운 시즌4", "메이어 오브 킹스타운 시즌4")</f>
        <v>메이어 오브 킹스타운 시즌4</v>
      </c>
      <c r="C3482" s="87"/>
      <c r="D3482" s="39" t="s">
        <v>3625</v>
      </c>
      <c r="E3482" s="32" t="s">
        <v>3488</v>
      </c>
      <c r="F3482" s="32">
        <v>2025</v>
      </c>
      <c r="G3482" s="32" t="s">
        <v>3490</v>
      </c>
      <c r="H3482" s="32" t="s">
        <v>3624</v>
      </c>
      <c r="I3482" s="32" t="s">
        <v>3534</v>
      </c>
      <c r="J3482" s="52">
        <v>46274</v>
      </c>
    </row>
    <row r="3483" spans="1:14" s="72" customFormat="1" ht="34.35" customHeight="1" x14ac:dyDescent="0.6">
      <c r="A3483" s="88">
        <v>3481</v>
      </c>
      <c r="B3483" s="112" t="str">
        <f>HYPERLINK("https://search.naver.com/search.naver?query=버티칼 리미트 영화", "버티칼 리미트")</f>
        <v>버티칼 리미트</v>
      </c>
      <c r="C3483" s="89">
        <v>7.96</v>
      </c>
      <c r="D3483" s="90" t="s">
        <v>3626</v>
      </c>
      <c r="E3483" s="88" t="s">
        <v>3628</v>
      </c>
      <c r="F3483" s="88">
        <v>2000</v>
      </c>
      <c r="G3483" s="88" t="s">
        <v>3489</v>
      </c>
      <c r="H3483" s="88" t="s">
        <v>3627</v>
      </c>
      <c r="I3483" s="88" t="s">
        <v>3597</v>
      </c>
      <c r="J3483" s="91">
        <v>46275</v>
      </c>
      <c r="K3483" s="92"/>
      <c r="L3483" s="92"/>
      <c r="M3483" s="92"/>
      <c r="N3483" s="92"/>
    </row>
    <row r="3484" spans="1:14" ht="34.200000000000003" customHeight="1" x14ac:dyDescent="0.6">
      <c r="A3484" s="32">
        <v>3482</v>
      </c>
      <c r="B3484" s="110" t="str">
        <f>HYPERLINK("https://search.naver.com/search.naver?query=스트레인저 넷플릭스", "스트레인저")</f>
        <v>스트레인저</v>
      </c>
      <c r="C3484" s="87"/>
      <c r="D3484" s="39" t="s">
        <v>3630</v>
      </c>
      <c r="E3484" s="32" t="s">
        <v>3525</v>
      </c>
      <c r="F3484" s="32">
        <v>2020</v>
      </c>
      <c r="G3484" s="32" t="s">
        <v>3490</v>
      </c>
      <c r="H3484" s="32" t="s">
        <v>3629</v>
      </c>
      <c r="I3484" s="32" t="s">
        <v>3545</v>
      </c>
      <c r="J3484" s="52">
        <v>46276</v>
      </c>
    </row>
    <row r="3485" spans="1:14" s="72" customFormat="1" ht="34.35" customHeight="1" x14ac:dyDescent="0.6">
      <c r="A3485" s="88">
        <v>3483</v>
      </c>
      <c r="B3485" s="112" t="str">
        <f>HYPERLINK("https://search.naver.com/search.naver?query=기차의 꿈 영화", "기차의 꿈")</f>
        <v>기차의 꿈</v>
      </c>
      <c r="C3485" s="89">
        <v>9.2899999999999991</v>
      </c>
      <c r="D3485" s="90" t="s">
        <v>3632</v>
      </c>
      <c r="E3485" s="88" t="s">
        <v>3488</v>
      </c>
      <c r="F3485" s="88">
        <v>2025</v>
      </c>
      <c r="G3485" s="88" t="s">
        <v>3489</v>
      </c>
      <c r="H3485" s="88" t="s">
        <v>3490</v>
      </c>
      <c r="I3485" s="88" t="s">
        <v>3631</v>
      </c>
      <c r="J3485" s="91">
        <v>46277</v>
      </c>
      <c r="K3485" s="92"/>
      <c r="L3485" s="92"/>
      <c r="M3485" s="92"/>
      <c r="N3485" s="92"/>
    </row>
    <row r="3486" spans="1:14" s="72" customFormat="1" ht="34.35" customHeight="1" x14ac:dyDescent="0.6">
      <c r="A3486" s="88">
        <v>3484</v>
      </c>
      <c r="B3486" s="112" t="str">
        <f>HYPERLINK("https://search.naver.com/search.naver?query=워페어 영화", "워페어")</f>
        <v>워페어</v>
      </c>
      <c r="C3486" s="89">
        <v>8.9</v>
      </c>
      <c r="D3486" s="90" t="s">
        <v>3634</v>
      </c>
      <c r="E3486" s="88" t="s">
        <v>3488</v>
      </c>
      <c r="F3486" s="88">
        <v>2026</v>
      </c>
      <c r="G3486" s="88" t="s">
        <v>3489</v>
      </c>
      <c r="H3486" s="88" t="s">
        <v>3637</v>
      </c>
      <c r="I3486" s="88" t="s">
        <v>3633</v>
      </c>
      <c r="J3486" s="91">
        <v>46277</v>
      </c>
      <c r="K3486" s="92"/>
      <c r="L3486" s="92"/>
      <c r="M3486" s="92"/>
      <c r="N3486" s="92"/>
    </row>
    <row r="3487" spans="1:14" s="72" customFormat="1" ht="34.35" customHeight="1" x14ac:dyDescent="0.6">
      <c r="A3487" s="88">
        <v>3485</v>
      </c>
      <c r="B3487" s="112" t="str">
        <f>HYPERLINK("https://search.naver.com/search.naver?query=질투의 남자 영화", "질투의 남자")</f>
        <v>질투의 남자</v>
      </c>
      <c r="C3487" s="89"/>
      <c r="D3487" s="90" t="s">
        <v>3635</v>
      </c>
      <c r="E3487" s="88" t="s">
        <v>3488</v>
      </c>
      <c r="F3487" s="88">
        <v>2024</v>
      </c>
      <c r="G3487" s="88" t="s">
        <v>3489</v>
      </c>
      <c r="H3487" s="88" t="s">
        <v>3636</v>
      </c>
      <c r="I3487" s="88" t="s">
        <v>3633</v>
      </c>
      <c r="J3487" s="91">
        <v>46278</v>
      </c>
      <c r="K3487" s="92"/>
      <c r="L3487" s="92"/>
      <c r="M3487" s="92"/>
      <c r="N3487" s="92"/>
    </row>
    <row r="3488" spans="1:14" s="72" customFormat="1" ht="34.35" customHeight="1" x14ac:dyDescent="0.6">
      <c r="A3488" s="88">
        <v>3486</v>
      </c>
      <c r="B3488" s="112" t="str">
        <f>HYPERLINK("https://search.naver.com/search.naver?query=노웨어 영화", "노웨어")</f>
        <v>노웨어</v>
      </c>
      <c r="C3488" s="89">
        <v>8.6</v>
      </c>
      <c r="D3488" s="90" t="s">
        <v>3639</v>
      </c>
      <c r="E3488" s="88" t="s">
        <v>3638</v>
      </c>
      <c r="F3488" s="88">
        <v>2023</v>
      </c>
      <c r="G3488" s="88" t="s">
        <v>3489</v>
      </c>
      <c r="H3488" s="88" t="s">
        <v>3546</v>
      </c>
      <c r="I3488" s="88" t="s">
        <v>3491</v>
      </c>
      <c r="J3488" s="91">
        <v>46278</v>
      </c>
      <c r="K3488" s="92"/>
      <c r="L3488" s="92"/>
      <c r="M3488" s="92"/>
      <c r="N3488" s="92"/>
    </row>
    <row r="3489" spans="1:14" s="72" customFormat="1" ht="34.35" customHeight="1" x14ac:dyDescent="0.6">
      <c r="A3489" s="88">
        <v>3487</v>
      </c>
      <c r="B3489" s="112" t="str">
        <f>HYPERLINK("https://search.naver.com/search.naver?query=퓨즈 2025", "퓨즈")</f>
        <v>퓨즈</v>
      </c>
      <c r="C3489" s="89"/>
      <c r="D3489" s="90" t="s">
        <v>3640</v>
      </c>
      <c r="E3489" s="88" t="s">
        <v>3525</v>
      </c>
      <c r="F3489" s="88">
        <v>2025</v>
      </c>
      <c r="G3489" s="88" t="s">
        <v>3489</v>
      </c>
      <c r="H3489" s="88" t="s">
        <v>3592</v>
      </c>
      <c r="I3489" s="88" t="s">
        <v>3641</v>
      </c>
      <c r="J3489" s="91">
        <v>46278</v>
      </c>
      <c r="K3489" s="92"/>
      <c r="L3489" s="92"/>
      <c r="M3489" s="92"/>
      <c r="N3489" s="92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2026-09-13T08:36:15Z</dcterms:modified>
</cp:coreProperties>
</file>