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CCA2AD0-EC64-44C9-A2B3-9B15289B8EA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0" i="1" l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<sst xmlns="http://schemas.openxmlformats.org/spreadsheetml/2006/main" count="20824" uniqueCount="3644">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</sst>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0" totalsRowShown="0" headerRowDxfId="13" dataDxfId="11" headerRowBorderDxfId="12" tableBorderDxfId="10">
  <autoFilter ref="A2:J349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0"/>
  <sheetViews>
    <sheetView showGridLines="0" tabSelected="1" workbookViewId="0">
      <pane ySplit="2" topLeftCell="A3481" activePane="bottomLeft" state="frozen"/>
      <selection pane="bottomLeft" activeCell="D3494" sqref="D3494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>
        <v>6.6</v>
      </c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  <row r="3486" spans="1:14" s="72" customFormat="1" ht="34.35" customHeight="1" x14ac:dyDescent="0.6">
      <c r="A3486" s="88">
        <v>3484</v>
      </c>
      <c r="B3486" s="112" t="str">
        <f>HYPERLINK("https://search.naver.com/search.naver?query=워페어 영화", "워페어")</f>
        <v>워페어</v>
      </c>
      <c r="C3486" s="89">
        <v>8.9</v>
      </c>
      <c r="D3486" s="90" t="s">
        <v>3634</v>
      </c>
      <c r="E3486" s="88" t="s">
        <v>3488</v>
      </c>
      <c r="F3486" s="88">
        <v>2026</v>
      </c>
      <c r="G3486" s="88" t="s">
        <v>3489</v>
      </c>
      <c r="H3486" s="88" t="s">
        <v>3637</v>
      </c>
      <c r="I3486" s="88" t="s">
        <v>3633</v>
      </c>
      <c r="J3486" s="91">
        <v>46277</v>
      </c>
      <c r="K3486" s="92"/>
      <c r="L3486" s="92"/>
      <c r="M3486" s="92"/>
      <c r="N3486" s="92"/>
    </row>
    <row r="3487" spans="1:14" s="72" customFormat="1" ht="34.35" customHeight="1" x14ac:dyDescent="0.6">
      <c r="A3487" s="88">
        <v>3485</v>
      </c>
      <c r="B3487" s="112" t="str">
        <f>HYPERLINK("https://search.naver.com/search.naver?query=질투의 남자 영화", "질투의 남자")</f>
        <v>질투의 남자</v>
      </c>
      <c r="C3487" s="89"/>
      <c r="D3487" s="90" t="s">
        <v>3635</v>
      </c>
      <c r="E3487" s="88" t="s">
        <v>3488</v>
      </c>
      <c r="F3487" s="88">
        <v>2024</v>
      </c>
      <c r="G3487" s="88" t="s">
        <v>3489</v>
      </c>
      <c r="H3487" s="88" t="s">
        <v>3636</v>
      </c>
      <c r="I3487" s="88" t="s">
        <v>3633</v>
      </c>
      <c r="J3487" s="91">
        <v>46278</v>
      </c>
      <c r="K3487" s="92"/>
      <c r="L3487" s="92"/>
      <c r="M3487" s="92"/>
      <c r="N3487" s="92"/>
    </row>
    <row r="3488" spans="1:14" s="72" customFormat="1" ht="34.35" customHeight="1" x14ac:dyDescent="0.6">
      <c r="A3488" s="88">
        <v>3486</v>
      </c>
      <c r="B3488" s="112" t="str">
        <f>HYPERLINK("https://search.naver.com/search.naver?query=노웨어 영화", "노웨어")</f>
        <v>노웨어</v>
      </c>
      <c r="C3488" s="89">
        <v>8.6</v>
      </c>
      <c r="D3488" s="90" t="s">
        <v>3639</v>
      </c>
      <c r="E3488" s="88" t="s">
        <v>3638</v>
      </c>
      <c r="F3488" s="88">
        <v>2023</v>
      </c>
      <c r="G3488" s="88" t="s">
        <v>3489</v>
      </c>
      <c r="H3488" s="88" t="s">
        <v>3546</v>
      </c>
      <c r="I3488" s="88" t="s">
        <v>3491</v>
      </c>
      <c r="J3488" s="91">
        <v>46278</v>
      </c>
      <c r="K3488" s="92"/>
      <c r="L3488" s="92"/>
      <c r="M3488" s="92"/>
      <c r="N3488" s="92"/>
    </row>
    <row r="3489" spans="1:14" s="72" customFormat="1" ht="34.35" customHeight="1" x14ac:dyDescent="0.6">
      <c r="A3489" s="88">
        <v>3487</v>
      </c>
      <c r="B3489" s="112" t="str">
        <f>HYPERLINK("https://search.naver.com/search.naver?query=퓨즈 2025", "퓨즈")</f>
        <v>퓨즈</v>
      </c>
      <c r="C3489" s="89"/>
      <c r="D3489" s="90" t="s">
        <v>3640</v>
      </c>
      <c r="E3489" s="88" t="s">
        <v>3525</v>
      </c>
      <c r="F3489" s="88">
        <v>2025</v>
      </c>
      <c r="G3489" s="88" t="s">
        <v>3489</v>
      </c>
      <c r="H3489" s="88" t="s">
        <v>3592</v>
      </c>
      <c r="I3489" s="88" t="s">
        <v>3641</v>
      </c>
      <c r="J3489" s="91">
        <v>46278</v>
      </c>
      <c r="K3489" s="92"/>
      <c r="L3489" s="92"/>
      <c r="M3489" s="92"/>
      <c r="N3489" s="92"/>
    </row>
    <row r="3490" spans="1:14" ht="34.200000000000003" customHeight="1" x14ac:dyDescent="0.6">
      <c r="A3490" s="32">
        <v>3488</v>
      </c>
      <c r="B3490" s="110" t="str">
        <f>HYPERLINK("https://search.naver.com/search.naver?query=죄인 시즌1", "죄인 (The Sinner) 시즌1")</f>
        <v>죄인 (The Sinner) 시즌1</v>
      </c>
      <c r="C3490" s="87"/>
      <c r="D3490" s="39" t="s">
        <v>3642</v>
      </c>
      <c r="E3490" s="32" t="s">
        <v>3488</v>
      </c>
      <c r="F3490" s="32">
        <v>2017</v>
      </c>
      <c r="G3490" s="32" t="s">
        <v>3490</v>
      </c>
      <c r="H3490" s="32" t="s">
        <v>3643</v>
      </c>
      <c r="I3490" s="32" t="s">
        <v>3545</v>
      </c>
      <c r="J3490" s="52">
        <v>46279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2026-09-14T06:01:33Z</dcterms:modified>
</cp:coreProperties>
</file>