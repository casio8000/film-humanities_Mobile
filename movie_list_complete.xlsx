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A88FF958-B7AB-41FA-8C9E-700B670748ED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84" i="1" l="1"/>
  <c r="B3483" i="1"/>
  <c r="B3482" i="1"/>
  <c r="B3481" i="1"/>
  <c r="B3480" i="1"/>
  <c r="B2626" i="1"/>
  <c r="B3479" i="1"/>
  <c r="B3478" i="1"/>
  <c r="B3477" i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<sst xmlns="http://schemas.openxmlformats.org/spreadsheetml/2006/main" count="20794" uniqueCount="3631">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</sst>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84" totalsRowShown="0" headerRowDxfId="13" dataDxfId="11" headerRowBorderDxfId="12" tableBorderDxfId="10">
  <autoFilter ref="A2:J3484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84"/>
  <sheetViews>
    <sheetView showGridLines="0" tabSelected="1" workbookViewId="0">
      <pane ySplit="2" topLeftCell="A3473" activePane="bottomLeft" state="frozen"/>
      <selection pane="bottomLeft" activeCell="D3487" sqref="D3487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시즌1", "젠틀맨: 더 시리즈 시즌1")</f>
        <v>젠틀맨: 더 시리즈 시즌1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/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>
        <v>5.47</v>
      </c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  <row r="3477" spans="1:14" s="72" customFormat="1" ht="34.35" customHeight="1" x14ac:dyDescent="0.6">
      <c r="A3477" s="88">
        <v>3475</v>
      </c>
      <c r="B3477" s="112" t="str">
        <f>HYPERLINK("https://search.naver.com/search.naver?query=언피니시드", "언피니시드 ")</f>
        <v xml:space="preserve">언피니시드 </v>
      </c>
      <c r="C3477" s="89">
        <v>7.23</v>
      </c>
      <c r="D3477" s="90" t="s">
        <v>3616</v>
      </c>
      <c r="E3477" s="88" t="s">
        <v>3488</v>
      </c>
      <c r="F3477" s="88">
        <v>2010</v>
      </c>
      <c r="G3477" s="88" t="s">
        <v>3489</v>
      </c>
      <c r="H3477" s="88" t="s">
        <v>3490</v>
      </c>
      <c r="I3477" s="88" t="s">
        <v>3496</v>
      </c>
      <c r="J3477" s="91">
        <v>46269</v>
      </c>
      <c r="K3477" s="92"/>
      <c r="L3477" s="92"/>
      <c r="M3477" s="92"/>
      <c r="N3477" s="92"/>
    </row>
    <row r="3478" spans="1:14" s="72" customFormat="1" ht="34.35" customHeight="1" x14ac:dyDescent="0.6">
      <c r="A3478" s="88">
        <v>3476</v>
      </c>
      <c r="B3478" s="112" t="str">
        <f>HYPERLINK("https://search.naver.com/search.naver?query=메이데이 애플 ", "메이데이 ")</f>
        <v xml:space="preserve">메이데이 </v>
      </c>
      <c r="C3478" s="89"/>
      <c r="D3478" s="90" t="s">
        <v>3617</v>
      </c>
      <c r="E3478" s="88" t="s">
        <v>3488</v>
      </c>
      <c r="F3478" s="88">
        <v>2026</v>
      </c>
      <c r="G3478" s="88" t="s">
        <v>3489</v>
      </c>
      <c r="H3478" s="88" t="s">
        <v>3618</v>
      </c>
      <c r="I3478" s="88" t="s">
        <v>3527</v>
      </c>
      <c r="J3478" s="91">
        <v>46269</v>
      </c>
      <c r="K3478" s="92"/>
      <c r="L3478" s="92"/>
      <c r="M3478" s="92"/>
      <c r="N3478" s="92"/>
    </row>
    <row r="3479" spans="1:14" ht="34.200000000000003" customHeight="1" x14ac:dyDescent="0.6">
      <c r="A3479" s="32">
        <v>3477</v>
      </c>
      <c r="B3479" s="110" t="str">
        <f>HYPERLINK("https://search.naver.com/search.naver?query=젠틀맨: 더 시리즈 시즌2", "젠틀맨: 더 시리즈 시즌2")</f>
        <v>젠틀맨: 더 시리즈 시즌2</v>
      </c>
      <c r="C3479" s="87"/>
      <c r="D3479" s="39" t="s">
        <v>3620</v>
      </c>
      <c r="E3479" s="32" t="s">
        <v>3525</v>
      </c>
      <c r="F3479" s="32">
        <v>2026</v>
      </c>
      <c r="G3479" s="32" t="s">
        <v>3490</v>
      </c>
      <c r="H3479" s="32" t="s">
        <v>3619</v>
      </c>
      <c r="I3479" s="32" t="s">
        <v>3545</v>
      </c>
      <c r="J3479" s="52">
        <v>46270</v>
      </c>
    </row>
    <row r="3480" spans="1:14" s="72" customFormat="1" ht="34.35" customHeight="1" x14ac:dyDescent="0.6">
      <c r="A3480" s="88">
        <v>3478</v>
      </c>
      <c r="B3480" s="112" t="str">
        <f>HYPERLINK("https://search.naver.com/search.naver?query=디스클로저데이 영화", "디스클로저데이")</f>
        <v>디스클로저데이</v>
      </c>
      <c r="C3480" s="89">
        <v>5.7</v>
      </c>
      <c r="D3480" s="90" t="s">
        <v>3621</v>
      </c>
      <c r="E3480" s="88" t="s">
        <v>3488</v>
      </c>
      <c r="F3480" s="88">
        <v>2026</v>
      </c>
      <c r="G3480" s="88" t="s">
        <v>3489</v>
      </c>
      <c r="H3480" s="88" t="s">
        <v>3622</v>
      </c>
      <c r="I3480" s="88" t="s">
        <v>3623</v>
      </c>
      <c r="J3480" s="91">
        <v>46271</v>
      </c>
      <c r="K3480" s="92"/>
      <c r="L3480" s="92"/>
      <c r="M3480" s="92"/>
      <c r="N3480" s="92"/>
    </row>
    <row r="3481" spans="1:14" ht="34.200000000000003" customHeight="1" x14ac:dyDescent="0.6">
      <c r="A3481" s="32">
        <v>3479</v>
      </c>
      <c r="B3481" s="110" t="str">
        <f>HYPERLINK("https://search.naver.com/search.naver?query=메이어 오브 킹스타운 시즌3", "메이어 오브 킹스타운 시즌3")</f>
        <v>메이어 오브 킹스타운 시즌3</v>
      </c>
      <c r="C3481" s="87"/>
      <c r="D3481" s="39" t="s">
        <v>3625</v>
      </c>
      <c r="E3481" s="32" t="s">
        <v>3488</v>
      </c>
      <c r="F3481" s="32">
        <v>2024</v>
      </c>
      <c r="G3481" s="32" t="s">
        <v>3490</v>
      </c>
      <c r="H3481" s="32" t="s">
        <v>3624</v>
      </c>
      <c r="I3481" s="32" t="s">
        <v>3534</v>
      </c>
      <c r="J3481" s="52">
        <v>46272</v>
      </c>
    </row>
    <row r="3482" spans="1:14" ht="34.200000000000003" customHeight="1" x14ac:dyDescent="0.6">
      <c r="A3482" s="32">
        <v>3480</v>
      </c>
      <c r="B3482" s="110" t="str">
        <f>HYPERLINK("https://search.naver.com/search.naver?query=메이어 오브 킹스타운 시즌4", "메이어 오브 킹스타운 시즌4")</f>
        <v>메이어 오브 킹스타운 시즌4</v>
      </c>
      <c r="C3482" s="87"/>
      <c r="D3482" s="39" t="s">
        <v>3625</v>
      </c>
      <c r="E3482" s="32" t="s">
        <v>3488</v>
      </c>
      <c r="F3482" s="32">
        <v>2025</v>
      </c>
      <c r="G3482" s="32" t="s">
        <v>3490</v>
      </c>
      <c r="H3482" s="32" t="s">
        <v>3624</v>
      </c>
      <c r="I3482" s="32" t="s">
        <v>3534</v>
      </c>
      <c r="J3482" s="52">
        <v>46274</v>
      </c>
    </row>
    <row r="3483" spans="1:14" s="72" customFormat="1" ht="34.35" customHeight="1" x14ac:dyDescent="0.6">
      <c r="A3483" s="88">
        <v>3481</v>
      </c>
      <c r="B3483" s="112" t="str">
        <f>HYPERLINK("https://search.naver.com/search.naver?query=버티칼 리미트 영화", "버티칼 리미트")</f>
        <v>버티칼 리미트</v>
      </c>
      <c r="C3483" s="89">
        <v>7.96</v>
      </c>
      <c r="D3483" s="90" t="s">
        <v>3626</v>
      </c>
      <c r="E3483" s="88" t="s">
        <v>3628</v>
      </c>
      <c r="F3483" s="88">
        <v>2000</v>
      </c>
      <c r="G3483" s="88" t="s">
        <v>3489</v>
      </c>
      <c r="H3483" s="88" t="s">
        <v>3627</v>
      </c>
      <c r="I3483" s="88" t="s">
        <v>3597</v>
      </c>
      <c r="J3483" s="91">
        <v>46275</v>
      </c>
      <c r="K3483" s="92"/>
      <c r="L3483" s="92"/>
      <c r="M3483" s="92"/>
      <c r="N3483" s="92"/>
    </row>
    <row r="3484" spans="1:14" ht="34.200000000000003" customHeight="1" x14ac:dyDescent="0.6">
      <c r="A3484" s="32">
        <v>3482</v>
      </c>
      <c r="B3484" s="110" t="str">
        <f>HYPERLINK("https://search.naver.com/search.naver?query=스트레인저 넷플릭스", "스트레인저")</f>
        <v>스트레인저</v>
      </c>
      <c r="C3484" s="87"/>
      <c r="D3484" s="39" t="s">
        <v>3630</v>
      </c>
      <c r="E3484" s="32" t="s">
        <v>3525</v>
      </c>
      <c r="F3484" s="32">
        <v>2020</v>
      </c>
      <c r="G3484" s="32" t="s">
        <v>3490</v>
      </c>
      <c r="H3484" s="32" t="s">
        <v>3629</v>
      </c>
      <c r="I3484" s="32" t="s">
        <v>3545</v>
      </c>
      <c r="J3484" s="52">
        <v>46276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2026-09-11T13:10:14Z</dcterms:modified>
</cp:coreProperties>
</file>