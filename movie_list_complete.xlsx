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50ECEAD6-2711-4D94-B57B-3D791440998D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73" i="1" l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<sst xmlns="http://schemas.openxmlformats.org/spreadsheetml/2006/main" count="20734" uniqueCount="3610">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</sst>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73" totalsRowShown="0" headerRowDxfId="13" dataDxfId="11" headerRowBorderDxfId="12" tableBorderDxfId="10">
  <autoFilter ref="A2:J3473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73"/>
  <sheetViews>
    <sheetView showGridLines="0" tabSelected="1" workbookViewId="0">
      <pane ySplit="2" topLeftCell="A3464" activePane="bottomLeft" state="frozen"/>
      <selection pane="bottomLeft" activeCell="E3477" sqref="E3477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1" t="str">
        <f>HYPERLINK("https://search.naver.com/search.naver?query=디 아메리칸즈 시즌2", "디 아메리칸즈 시즌2")</f>
        <v>디 아메리칸즈 시즌2</v>
      </c>
      <c r="C3458" s="88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1" t="str">
        <f>HYPERLINK("https://search.naver.com/search.naver?query=디 아메리칸즈 시즌3", "디 아메리칸즈 시즌3")</f>
        <v>디 아메리칸즈 시즌3</v>
      </c>
      <c r="C3459" s="88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1" t="str">
        <f>HYPERLINK("https://search.naver.com/search.naver?query=디 아메리칸즈 시즌4", "디 아메리칸즈 시즌4")</f>
        <v>디 아메리칸즈 시즌4</v>
      </c>
      <c r="C3460" s="88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1" t="str">
        <f>HYPERLINK("https://search.naver.com/search.naver?query=디 아메리칸즈 시즌5", "디 아메리칸즈 시즌5")</f>
        <v>디 아메리칸즈 시즌5</v>
      </c>
      <c r="C3461" s="88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1" t="str">
        <f>HYPERLINK("https://search.naver.com/search.naver?query=디 아메리칸즈 시즌6", "디 아메리칸즈 시즌6")</f>
        <v>디 아메리칸즈 시즌6</v>
      </c>
      <c r="C3462" s="88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1" t="str">
        <f>HYPERLINK("https://search.naver.com/search.naver?query=안야 테일러 럭키 시즌1", "럭키 시즌1")</f>
        <v>럭키 시즌1</v>
      </c>
      <c r="C3463" s="88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3" customFormat="1" ht="34.35" customHeight="1" x14ac:dyDescent="0.6">
      <c r="A3464" s="89">
        <v>3462</v>
      </c>
      <c r="B3464" s="113" t="str">
        <f>HYPERLINK("https://search.naver.com/search.naver?query=영화 뮤티니", "뮤티니")</f>
        <v>뮤티니</v>
      </c>
      <c r="C3464" s="90"/>
      <c r="D3464" s="91" t="s">
        <v>3591</v>
      </c>
      <c r="E3464" s="89" t="s">
        <v>3488</v>
      </c>
      <c r="F3464" s="89">
        <v>2026</v>
      </c>
      <c r="G3464" s="89" t="s">
        <v>12</v>
      </c>
      <c r="H3464" s="89" t="s">
        <v>3592</v>
      </c>
      <c r="I3464" s="89" t="s">
        <v>3498</v>
      </c>
      <c r="J3464" s="92">
        <v>46255</v>
      </c>
      <c r="K3464" s="93"/>
      <c r="L3464" s="93"/>
      <c r="M3464" s="93"/>
      <c r="N3464" s="93"/>
    </row>
    <row r="3465" spans="1:14" s="73" customFormat="1" ht="34.35" customHeight="1" x14ac:dyDescent="0.6">
      <c r="A3465" s="89">
        <v>3463</v>
      </c>
      <c r="B3465" s="113" t="str">
        <f>HYPERLINK("https://search.naver.com/search.naver?query=딥 워터", "딥 워터")</f>
        <v>딥 워터</v>
      </c>
      <c r="C3465" s="90"/>
      <c r="D3465" s="91" t="s">
        <v>3594</v>
      </c>
      <c r="E3465" s="89" t="s">
        <v>3488</v>
      </c>
      <c r="F3465" s="89">
        <v>2026</v>
      </c>
      <c r="G3465" s="89" t="s">
        <v>12</v>
      </c>
      <c r="H3465" s="89" t="s">
        <v>3546</v>
      </c>
      <c r="I3465" s="89" t="s">
        <v>3593</v>
      </c>
      <c r="J3465" s="92">
        <v>46258</v>
      </c>
      <c r="K3465" s="93"/>
      <c r="L3465" s="93"/>
      <c r="M3465" s="93"/>
      <c r="N3465" s="93"/>
    </row>
    <row r="3466" spans="1:14" ht="34.200000000000003" customHeight="1" x14ac:dyDescent="0.6">
      <c r="A3466" s="32">
        <v>3464</v>
      </c>
      <c r="B3466" s="111" t="str">
        <f>HYPERLINK("https://search.naver.com/search.naver?query=하이포텐셜 시즌1", "하이포텐셜 시즌1")</f>
        <v>하이포텐셜 시즌1</v>
      </c>
      <c r="C3466" s="88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3" customFormat="1" ht="34.35" customHeight="1" x14ac:dyDescent="0.6">
      <c r="A3467" s="89">
        <v>3465</v>
      </c>
      <c r="B3467" s="113" t="str">
        <f>HYPERLINK("https://search.naver.com/search.naver?query=파이널 피스 영화", "파이널 피스")</f>
        <v>파이널 피스</v>
      </c>
      <c r="C3467" s="90">
        <v>7.89</v>
      </c>
      <c r="D3467" s="91" t="s">
        <v>3598</v>
      </c>
      <c r="E3467" s="89" t="s">
        <v>3500</v>
      </c>
      <c r="F3467" s="89">
        <v>2026</v>
      </c>
      <c r="G3467" s="89" t="s">
        <v>3489</v>
      </c>
      <c r="H3467" s="89" t="s">
        <v>3599</v>
      </c>
      <c r="I3467" s="89" t="s">
        <v>3597</v>
      </c>
      <c r="J3467" s="92">
        <v>46261</v>
      </c>
      <c r="K3467" s="93"/>
      <c r="L3467" s="93"/>
      <c r="M3467" s="93"/>
      <c r="N3467" s="93"/>
    </row>
    <row r="3468" spans="1:14" ht="34.200000000000003" customHeight="1" x14ac:dyDescent="0.6">
      <c r="A3468" s="32">
        <v>3466</v>
      </c>
      <c r="B3468" s="111" t="str">
        <f>HYPERLINK("https://search.naver.com/search.naver?query=하이포텐셜 시즌2", "하이포텐셜 시즌2")</f>
        <v>하이포텐셜 시즌2</v>
      </c>
      <c r="C3468" s="88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3" customFormat="1" ht="34.35" customHeight="1" x14ac:dyDescent="0.6">
      <c r="A3469" s="89">
        <v>3467</v>
      </c>
      <c r="B3469" s="113" t="str">
        <f>HYPERLINK("https://search.naver.com/search.naver?query=위스퍼맨 영화", "위스퍼맨")</f>
        <v>위스퍼맨</v>
      </c>
      <c r="C3469" s="90"/>
      <c r="D3469" s="91" t="s">
        <v>3601</v>
      </c>
      <c r="E3469" s="89" t="s">
        <v>3488</v>
      </c>
      <c r="F3469" s="89">
        <v>2026</v>
      </c>
      <c r="G3469" s="89" t="s">
        <v>3489</v>
      </c>
      <c r="H3469" s="89" t="s">
        <v>3546</v>
      </c>
      <c r="I3469" s="89" t="s">
        <v>3602</v>
      </c>
      <c r="J3469" s="92">
        <v>46263</v>
      </c>
      <c r="K3469" s="93"/>
      <c r="L3469" s="93"/>
      <c r="M3469" s="93"/>
      <c r="N3469" s="93"/>
    </row>
    <row r="3470" spans="1:14" ht="34.200000000000003" customHeight="1" x14ac:dyDescent="0.6">
      <c r="A3470" s="32">
        <v>3468</v>
      </c>
      <c r="B3470" s="111" t="str">
        <f>HYPERLINK("https://search.naver.com/search.naver?query=스틸 영드", "스틸")</f>
        <v>스틸</v>
      </c>
      <c r="C3470" s="88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1" t="str">
        <f>HYPERLINK("https://search.naver.com/search.naver?query=넷플릭스 내 안의 괴물", "내 안의 괴물")</f>
        <v>내 안의 괴물</v>
      </c>
      <c r="C3471" s="88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3" customFormat="1" ht="34.35" customHeight="1" x14ac:dyDescent="0.6">
      <c r="A3472" s="89">
        <v>3470</v>
      </c>
      <c r="B3472" s="113" t="str">
        <f>HYPERLINK("https://search.naver.com/search.naver?query=영화 인 더 그레이", "인 더 그레이 ")</f>
        <v xml:space="preserve">인 더 그레이 </v>
      </c>
      <c r="C3472" s="90"/>
      <c r="D3472" s="91" t="s">
        <v>3605</v>
      </c>
      <c r="E3472" s="89" t="s">
        <v>3488</v>
      </c>
      <c r="F3472" s="89">
        <v>2026</v>
      </c>
      <c r="G3472" s="89" t="s">
        <v>3489</v>
      </c>
      <c r="H3472" s="89" t="s">
        <v>3606</v>
      </c>
      <c r="I3472" s="89" t="s">
        <v>3607</v>
      </c>
      <c r="J3472" s="92">
        <v>46265</v>
      </c>
      <c r="K3472" s="93"/>
      <c r="L3472" s="93"/>
      <c r="M3472" s="93"/>
      <c r="N3472" s="93"/>
    </row>
    <row r="3473" spans="1:10" ht="34.200000000000003" customHeight="1" x14ac:dyDescent="0.6">
      <c r="A3473" s="32">
        <v>3471</v>
      </c>
      <c r="B3473" s="111" t="str">
        <f>HYPERLINK("https://search.naver.com/search.naver?query=레드 아이  드라마", "레드 아이 시즌1")</f>
        <v>레드 아이 시즌1</v>
      </c>
      <c r="C3473" s="88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2026-09-01T01:15:16Z</dcterms:modified>
</cp:coreProperties>
</file>