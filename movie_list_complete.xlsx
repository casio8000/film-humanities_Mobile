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iberal\Desktop\film-humanities_Mobile\"/>
    </mc:Choice>
  </mc:AlternateContent>
  <xr:revisionPtr revIDLastSave="0" documentId="13_ncr:1_{C8F84BB0-8C48-4C84-8777-2082105600FD}" xr6:coauthVersionLast="47" xr6:coauthVersionMax="47" xr10:uidLastSave="{00000000-0000-0000-0000-000000000000}"/>
  <bookViews>
    <workbookView xWindow="-96" yWindow="-96" windowWidth="30912" windowHeight="16872" xr2:uid="{00000000-000D-0000-FFFF-FFFF00000000}"/>
  </bookViews>
  <sheets>
    <sheet name="영화D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13" i="1" l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76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2626" i="1"/>
  <c r="B3479" i="1"/>
  <c r="B3478" i="1"/>
  <c r="B3477" i="1"/>
  <c r="B7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7" i="1"/>
  <c r="B3448" i="1"/>
  <c r="B3446" i="1"/>
  <c r="B3445" i="1"/>
  <c r="B3444" i="1"/>
  <c r="B2142" i="1"/>
  <c r="B3443" i="1"/>
  <c r="B3442" i="1"/>
  <c r="B3441" i="1"/>
  <c r="B3440" i="1"/>
  <c r="B3439" i="1"/>
  <c r="B3438" i="1"/>
  <c r="B3437" i="1"/>
  <c r="B3436" i="1"/>
  <c r="B3433" i="1"/>
  <c r="B3435" i="1"/>
  <c r="B3434" i="1"/>
  <c r="B3432" i="1"/>
  <c r="B3427" i="1"/>
  <c r="B3431" i="1"/>
  <c r="B3430" i="1"/>
  <c r="B3429" i="1"/>
  <c r="B3428" i="1"/>
  <c r="B3354" i="1"/>
  <c r="B3270" i="1"/>
  <c r="B3255" i="1"/>
  <c r="B3172" i="1"/>
  <c r="B3155" i="1"/>
  <c r="B3096" i="1"/>
  <c r="B3073" i="1"/>
  <c r="B3026" i="1"/>
  <c r="B3023" i="1"/>
  <c r="B3014" i="1"/>
  <c r="B2961" i="1"/>
  <c r="B2939" i="1"/>
  <c r="B2922" i="1"/>
  <c r="B2874" i="1"/>
  <c r="B2869" i="1"/>
  <c r="B2676" i="1"/>
  <c r="B2661" i="1"/>
  <c r="B2653" i="1"/>
  <c r="B2615" i="1"/>
  <c r="B2612" i="1"/>
  <c r="B2599" i="1"/>
  <c r="B2594" i="1"/>
  <c r="B2579" i="1"/>
  <c r="B2561" i="1"/>
  <c r="B2522" i="1"/>
  <c r="B2524" i="1"/>
  <c r="B2525" i="1"/>
  <c r="B2492" i="1"/>
  <c r="B2514" i="1"/>
  <c r="B2380" i="1"/>
  <c r="B2309" i="1"/>
  <c r="B2305" i="1"/>
  <c r="B2213" i="1"/>
  <c r="B2094" i="1"/>
  <c r="B1913" i="1"/>
  <c r="B1844" i="1"/>
  <c r="B1772" i="1"/>
  <c r="B1771" i="1"/>
  <c r="B1770" i="1"/>
  <c r="B1769" i="1"/>
  <c r="B1768" i="1"/>
  <c r="B1767" i="1"/>
  <c r="B1766" i="1"/>
  <c r="B1765" i="1"/>
  <c r="B1764" i="1"/>
  <c r="B1754" i="1"/>
  <c r="B1643" i="1"/>
  <c r="B1528" i="1"/>
  <c r="B1463" i="1"/>
  <c r="B1370" i="1"/>
  <c r="B1219" i="1"/>
  <c r="B1157" i="1"/>
  <c r="B1154" i="1"/>
  <c r="B833" i="1"/>
  <c r="B626" i="1"/>
  <c r="B594" i="1"/>
  <c r="B552" i="1"/>
  <c r="B550" i="1"/>
  <c r="B429" i="1"/>
  <c r="B410" i="1"/>
  <c r="B385" i="1"/>
  <c r="B356" i="1"/>
  <c r="B349" i="1"/>
  <c r="B206" i="1"/>
  <c r="B267" i="1"/>
  <c r="B276" i="1"/>
  <c r="B188" i="1"/>
  <c r="B1676" i="1"/>
  <c r="B92" i="1"/>
  <c r="B87" i="1"/>
  <c r="B79" i="1"/>
  <c r="B78" i="1"/>
  <c r="B3263" i="1"/>
  <c r="B2217" i="1"/>
  <c r="B2873" i="1"/>
  <c r="B160" i="1"/>
  <c r="B3396" i="1"/>
  <c r="B3426" i="1"/>
  <c r="B854" i="1"/>
  <c r="B3161" i="1"/>
  <c r="B3268" i="1"/>
  <c r="B3269" i="1"/>
  <c r="B1626" i="1"/>
  <c r="B1591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67" i="1"/>
  <c r="B3266" i="1"/>
  <c r="B3265" i="1"/>
  <c r="B3264" i="1"/>
  <c r="B3262" i="1"/>
  <c r="B3261" i="1"/>
  <c r="B3260" i="1"/>
  <c r="B3259" i="1"/>
  <c r="B3258" i="1"/>
  <c r="B3257" i="1"/>
  <c r="B3256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1" i="1"/>
  <c r="B3170" i="1"/>
  <c r="B3169" i="1"/>
  <c r="B3168" i="1"/>
  <c r="B3167" i="1"/>
  <c r="B3166" i="1"/>
  <c r="B3165" i="1"/>
  <c r="B3164" i="1"/>
  <c r="B3163" i="1"/>
  <c r="B3162" i="1"/>
  <c r="B3160" i="1"/>
  <c r="B3159" i="1"/>
  <c r="B3158" i="1"/>
  <c r="B3157" i="1"/>
  <c r="B3156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5" i="1"/>
  <c r="B3024" i="1"/>
  <c r="B3022" i="1"/>
  <c r="B3021" i="1"/>
  <c r="B3020" i="1"/>
  <c r="B3019" i="1"/>
  <c r="B3018" i="1"/>
  <c r="B3017" i="1"/>
  <c r="B3016" i="1"/>
  <c r="B3015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2" i="1"/>
  <c r="B2871" i="1"/>
  <c r="B2870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0" i="1"/>
  <c r="B2659" i="1"/>
  <c r="B2658" i="1"/>
  <c r="B2657" i="1"/>
  <c r="B2656" i="1"/>
  <c r="B2655" i="1"/>
  <c r="B2654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5" i="1"/>
  <c r="B2624" i="1"/>
  <c r="B2623" i="1"/>
  <c r="B2622" i="1"/>
  <c r="B2621" i="1"/>
  <c r="B2620" i="1"/>
  <c r="B2619" i="1"/>
  <c r="B2618" i="1"/>
  <c r="B2617" i="1"/>
  <c r="B2616" i="1"/>
  <c r="B2614" i="1"/>
  <c r="B2613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8" i="1"/>
  <c r="B2597" i="1"/>
  <c r="B2596" i="1"/>
  <c r="B2595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3" i="1"/>
  <c r="B2521" i="1"/>
  <c r="B2520" i="1"/>
  <c r="B2519" i="1"/>
  <c r="B2518" i="1"/>
  <c r="B2517" i="1"/>
  <c r="B2516" i="1"/>
  <c r="B2515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8" i="1"/>
  <c r="B2307" i="1"/>
  <c r="B2306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6" i="1"/>
  <c r="B2215" i="1"/>
  <c r="B2214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63" i="1"/>
  <c r="B1762" i="1"/>
  <c r="B1761" i="1"/>
  <c r="B1760" i="1"/>
  <c r="B1759" i="1"/>
  <c r="B1758" i="1"/>
  <c r="B1757" i="1"/>
  <c r="B1756" i="1"/>
  <c r="B1755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6" i="1"/>
  <c r="B1155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1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5" i="1"/>
  <c r="B354" i="1"/>
  <c r="B353" i="1"/>
  <c r="B352" i="1"/>
  <c r="B351" i="1"/>
  <c r="B350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5" i="1"/>
  <c r="B274" i="1"/>
  <c r="B273" i="1"/>
  <c r="B272" i="1"/>
  <c r="B271" i="1"/>
  <c r="B270" i="1"/>
  <c r="B269" i="1"/>
  <c r="B268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1" i="1"/>
  <c r="B90" i="1"/>
  <c r="B89" i="1"/>
  <c r="B88" i="1"/>
  <c r="B86" i="1"/>
  <c r="B85" i="1"/>
  <c r="B84" i="1"/>
  <c r="B83" i="1"/>
  <c r="B82" i="1"/>
  <c r="B81" i="1"/>
  <c r="B80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<sst xmlns="http://schemas.openxmlformats.org/spreadsheetml/2006/main" count="20939" uniqueCount="3693">
  <si>
    <t>NO</t>
  </si>
  <si>
    <t>한글제목</t>
  </si>
  <si>
    <t>평점</t>
  </si>
  <si>
    <t>감독/주연</t>
  </si>
  <si>
    <t>국가</t>
  </si>
  <si>
    <t>개봉연도</t>
  </si>
  <si>
    <t>카테고리</t>
  </si>
  <si>
    <t>장르</t>
  </si>
  <si>
    <t>러닝타임/화수</t>
  </si>
  <si>
    <t>감상일</t>
  </si>
  <si>
    <t>감독: Cho Il
주연: 유아인, 박신혜, 이현욱</t>
  </si>
  <si>
    <t>대한민국</t>
  </si>
  <si>
    <t>영화</t>
  </si>
  <si>
    <t>드라마, 스릴러</t>
  </si>
  <si>
    <t>98분</t>
  </si>
  <si>
    <t>감독: 安藤桃子
주연: 안도 사쿠라, 織本順吉, 坂田利夫</t>
  </si>
  <si>
    <t>일본</t>
  </si>
  <si>
    <t>드라마</t>
  </si>
  <si>
    <t>196분</t>
  </si>
  <si>
    <t>감독: 캐리 조지 후쿠나가
주연: 다니엘 크레이그, 레아 세이두, 라미 말렉</t>
  </si>
  <si>
    <t>미국</t>
  </si>
  <si>
    <t>액션, 스릴러</t>
  </si>
  <si>
    <t>163분</t>
  </si>
  <si>
    <t>감독: 샘 멘데스
주연: 다니엘 크레이그, 주디 덴치, 하비에르 바르뎀</t>
  </si>
  <si>
    <t>영국</t>
  </si>
  <si>
    <t>143분</t>
  </si>
  <si>
    <t>감독: 샘 멘데스
주연: 다니엘 크레이그, 크리스토프 발츠, 레아 세이두</t>
  </si>
  <si>
    <t>액션, 모험, 범죄, 스릴러</t>
  </si>
  <si>
    <t>148분</t>
  </si>
  <si>
    <t>감독: Marcel Barrena
주연: Dani Rovira, Alexandra Jiménez, Karra Elejalde</t>
  </si>
  <si>
    <t>스페인</t>
  </si>
  <si>
    <t>108분</t>
  </si>
  <si>
    <t>감독: Nicolai Fuglsig
주연: 크리스 헴스워스, 마이클 섀넌, 마이클 페냐</t>
  </si>
  <si>
    <t>액션, 드라마, 전쟁</t>
  </si>
  <si>
    <t>130분</t>
  </si>
  <si>
    <t>감독: Mike Green
주연: Lauren Lofberg, Taylor Wiese, Brendan Donoghue</t>
  </si>
  <si>
    <t>오스트레일리아</t>
  </si>
  <si>
    <t>85분</t>
  </si>
  <si>
    <t>감독: Harald Zwart
주연: Thomas Gullestad, 조나단 리스 마이어스, Marie Blokhus</t>
  </si>
  <si>
    <t>노르웨이</t>
  </si>
  <si>
    <t>드라마, 전쟁</t>
  </si>
  <si>
    <t>135분</t>
  </si>
  <si>
    <t>감독: Matt Eskandari
주연: 노라 제인 눈, Alexandra Park, Diane Farr</t>
  </si>
  <si>
    <t>스릴러</t>
  </si>
  <si>
    <t>감독: 마이클 베이
주연: 존 크래신스키, 제임스 뱃지 데일, Dominic Fumusa</t>
  </si>
  <si>
    <t>144분</t>
  </si>
  <si>
    <t>감독: 클린트 이스트우드
주연: Ray Corasani, Spencer Stone, Anthony Sadler</t>
  </si>
  <si>
    <t>115분</t>
  </si>
  <si>
    <t>감독: 테일러 쉐리던
주연: 샘 엘리엇, Tim McGraw, Faith Hill</t>
  </si>
  <si>
    <t>드라마, 서부</t>
  </si>
  <si>
    <t>10화</t>
  </si>
  <si>
    <t>감독: 샘 멘데스
주연: 조지 맥케이, 딘-찰스 채프먼, 마크 스트롱</t>
  </si>
  <si>
    <t>드라마, 전쟁, 액션</t>
  </si>
  <si>
    <t>119분</t>
  </si>
  <si>
    <t>감독: 테일러 쉐리던
주연: 헬렌 미렌, 해리슨 포드, 브랜든 스클레나</t>
  </si>
  <si>
    <t>8화</t>
  </si>
  <si>
    <t>감독: Сергей Мокрицкий
주연: 율리아 페레실드, Евгений Цыганов, Нателла Абелева-Таганова</t>
  </si>
  <si>
    <t>러시아</t>
  </si>
  <si>
    <t>123분</t>
  </si>
  <si>
    <t>감독: Elmo Nüganen
주연: Kaspar Velberg, Kristjan Üksküla, Maiken Pius</t>
  </si>
  <si>
    <t>에스토니아</t>
  </si>
  <si>
    <t>96분</t>
  </si>
  <si>
    <t>감독: 강제규
주연: 하정우, 임시완, 배성우</t>
  </si>
  <si>
    <t>감독: 장준환
주연: 김윤석, 하정우, 유해진</t>
  </si>
  <si>
    <t>129분</t>
  </si>
  <si>
    <t>감독: 세스 맥팔레인
주연: 마크 월버그, 밀라 쿠니스, 세스 맥팔레인</t>
  </si>
  <si>
    <t>코미디, 판타지</t>
  </si>
  <si>
    <t>감독: 세스 맥팔레인
주연: 마크 월버그, 세스 맥팔레인, 아만다 사이프리드</t>
  </si>
  <si>
    <t>코미디</t>
  </si>
  <si>
    <t>감독: 홍기선
주연: 김상경, 김옥빈, 최무성</t>
  </si>
  <si>
    <t>101분</t>
  </si>
  <si>
    <t>감독: 윤제균
주연: 임창정, 하지원</t>
  </si>
  <si>
    <t>코미디, 드라마</t>
  </si>
  <si>
    <t>113분</t>
  </si>
  <si>
    <t>감독: 신연식
주연: 송강호, 박정민, 장윤주</t>
  </si>
  <si>
    <t>107분</t>
  </si>
  <si>
    <t>감독: 알레한드로 곤살레스 이냐리투
주연: 숀 펜, 나오미 왓츠, 베니시오 델 토로</t>
  </si>
  <si>
    <t>범죄, 드라마</t>
  </si>
  <si>
    <t>126분</t>
  </si>
  <si>
    <t>감독: Brian Kirk
주연: 채드윅 보스만, 시에나 밀러, J.K. 시몬스</t>
  </si>
  <si>
    <t>액션, 범죄</t>
  </si>
  <si>
    <t>99분</t>
  </si>
  <si>
    <t>감독: 폴 그린그래스
주연: Jonas Strand Gravli, 앤더스 다니엘슨 리, Jon Øigarden</t>
  </si>
  <si>
    <t>133분</t>
  </si>
  <si>
    <t>감독: 이리에 유
주연: 후지와라 타츠야, 이토 히데아키, 카호</t>
  </si>
  <si>
    <t>드라마, 범죄</t>
  </si>
  <si>
    <t>120분</t>
  </si>
  <si>
    <t>감독: M. 나이트 샤말란
주연: 안야 테일러조이, 제임스 맥어보이, 헤일리 루 리처드슨</t>
  </si>
  <si>
    <t>공포, 스릴러</t>
  </si>
  <si>
    <t>117분</t>
  </si>
  <si>
    <t>감독: Brian Smrz
주연: 에단 호크, 许晴, 폴 앤더슨</t>
  </si>
  <si>
    <t>홍콩</t>
  </si>
  <si>
    <t>액션</t>
  </si>
  <si>
    <t>93분</t>
  </si>
  <si>
    <t>감독: Anne Fletcher
주연: 캐서린 헤이글, 제임스 마스던, 말린 애커만</t>
  </si>
  <si>
    <t>멜로/로맨스, 코미디</t>
  </si>
  <si>
    <t>110분</t>
  </si>
  <si>
    <t>감독: Noam Murro
주연: Sullivan Stapleton, 에바 그린, 레나 헤디</t>
  </si>
  <si>
    <t>액션, 판타지</t>
  </si>
  <si>
    <t>102분</t>
  </si>
  <si>
    <t>감독: Sherry Hormann
주연: Antonia Campbell-Hughes, Thure Lindhardt, Trine Dyrholm</t>
  </si>
  <si>
    <t>독일</t>
  </si>
  <si>
    <t>111분</t>
  </si>
  <si>
    <t>감독: 제임스 맨골드
주연: 러셀 크로우, 크리스찬 베일, 피터 폰다</t>
  </si>
  <si>
    <t>액션, 범죄, 서부</t>
  </si>
  <si>
    <t>122분</t>
  </si>
  <si>
    <t>감독: 사이먼 킨버그
주연: 제시카 차스테인, 루피타 뇽오, 페넬로페 크루스</t>
  </si>
  <si>
    <t>감독: Brian Helgeland
주연: 채드윅 보스만, 해리슨 포드, 니콜 비하리</t>
  </si>
  <si>
    <t>128분</t>
  </si>
  <si>
    <t>감독: 앤드류 헤이
주연: 샬롯 램플링, 톰 코트니, 제럴딘 제임스</t>
  </si>
  <si>
    <t>드라마, 멜로/로맨스</t>
  </si>
  <si>
    <t>95분</t>
  </si>
  <si>
    <t>감독: Carl Rinsch
주연: 키아누 리브스, 사나다 히로유키, 시바사키 코우</t>
  </si>
  <si>
    <t>액션, 모험, 판타지</t>
  </si>
  <si>
    <t>감독: Johannes Roberts
주연: 소피 넬리스, Corinne Foxx, Brianne Tju</t>
  </si>
  <si>
    <t>90분</t>
  </si>
  <si>
    <t>감독: 座古明史
주연: 박로미, 곤도 다카시, 松田賢二</t>
  </si>
  <si>
    <t>감독: Roni Ezra
주연: 필루 아스베크, 라르스 미켈센, Gustav Dyekjær Giese</t>
  </si>
  <si>
    <t>덴마크</t>
  </si>
  <si>
    <t>89분</t>
  </si>
  <si>
    <t>감독: 이와이 슌지
주연: 마츠 다카코, 田辺誠一, 藤井かほり</t>
  </si>
  <si>
    <t>멜로/로맨스</t>
  </si>
  <si>
    <t>67분</t>
  </si>
  <si>
    <t>감독: Victor Levin
주연: 안톤 옐친, Bérénice Marlohe, 올리비아 썰비</t>
  </si>
  <si>
    <t>97분</t>
  </si>
  <si>
    <t>감독: 마크 웹
주연: 조셉 고든레빗, 주이 디샤넬, Geoffrey Arend</t>
  </si>
  <si>
    <t>드라마, 멜로/로맨스, 코미디</t>
  </si>
  <si>
    <t>감독: James Foley
주연: 다코타 존슨, 제이미 도넌, Eric Johnson</t>
  </si>
  <si>
    <t>105분</t>
  </si>
  <si>
    <t>감독: Jonathan Levine
주연: 조셉 고든레빗, 세스 로건, 안나 켄드릭</t>
  </si>
  <si>
    <t>드라마, 코미디</t>
  </si>
  <si>
    <t>100분</t>
  </si>
  <si>
    <t>감독: 니콜라스 스톨러
주연: 제이슨 시걸, 에밀리 블런트, 리스 이판</t>
  </si>
  <si>
    <t>코미디, 멜로/로맨스</t>
  </si>
  <si>
    <t>124분</t>
  </si>
  <si>
    <t>감독: Vanessa Parise
주연: Benjamin Hollingsworth, Carly McKillip, Britt McKillip</t>
  </si>
  <si>
    <t>중국</t>
  </si>
  <si>
    <t>109분</t>
  </si>
  <si>
    <t>감독: Rick Bieber
주연: 에이든 퀸, 앤디 맥도웰, Ryan Merriman</t>
  </si>
  <si>
    <t>감독: 마이클 베이
주연: 라이언 레이놀즈, 멜라니 로랑, 마누엘 가르시아 룰포</t>
  </si>
  <si>
    <t>감독: 瀬々敬久
주연: 사토 코이치, 아야노 고, 에이쿠라 나나</t>
  </si>
  <si>
    <t>미스터리</t>
  </si>
  <si>
    <t>121분</t>
  </si>
  <si>
    <t>미스터리, 스릴러</t>
  </si>
  <si>
    <t>감독: 타일러 페리
주연: 케리 워싱턴, 샘 워터스턴, 수잔 서랜든</t>
  </si>
  <si>
    <t>감독: Yann Demange
주연: 잭 오코넬, 숀 해리스, 폴 앤더슨</t>
  </si>
  <si>
    <t>감독: Patrick Vollrath
주연: 조셉 고든레빗, Omid Memar, Aylin Tezel</t>
  </si>
  <si>
    <t>92분</t>
  </si>
  <si>
    <t>감독: 추창민
주연: 류승룡, 장동건, 송새벽</t>
  </si>
  <si>
    <t>감독: 이환경
주연: 류승룡, 박신혜, 갈소원</t>
  </si>
  <si>
    <t>127분</t>
  </si>
  <si>
    <t>감독: 라이 루소영
주연: 조이 도이치, Kian Lawley, 할스톤 세이지</t>
  </si>
  <si>
    <t>드라마, 미스터리</t>
  </si>
  <si>
    <t>감독: 瀬々敬久
주연: 사토 타케루, 츠치야 타오, 薬師丸ひろ子</t>
  </si>
  <si>
    <t>멜로/로맨스, 드라마</t>
  </si>
  <si>
    <t>감독: 조엘 슈마허
주연: 니콜라스 케이지, 호아킨 피닉스, 제임스 갠돌피니</t>
  </si>
  <si>
    <t>감독: 成島出
주연: 이노우에 마오, 나가사쿠 히로미, 코이케 에이코</t>
  </si>
  <si>
    <t>147분</t>
  </si>
  <si>
    <t>감독: Michael Polish
주연: 케이트 보스워스, 헤이든 크리스텐슨, Hudson Meek</t>
  </si>
  <si>
    <t>감독: 마이클 무어
주연: 마이클 무어, 알렉산드리아 오카시오-코르테즈, 버니 샌더스</t>
  </si>
  <si>
    <t>다큐멘터리</t>
  </si>
  <si>
    <t>감독: Brad Falchuk, 톰 마이너
주연: 롭 로, 지나 토레스, 로넌 루빈스타인</t>
  </si>
  <si>
    <t>드라마, 액션</t>
  </si>
  <si>
    <t>14화</t>
  </si>
  <si>
    <t>18화</t>
  </si>
  <si>
    <t>감독: Tim Fehlbaum
주연: 피터 사스가드, 존 마가로, Ben Chaplin</t>
  </si>
  <si>
    <t>감독: 스티븐 스필버그
주연: 헤일리 조엘 오스먼트, 주드 로, Frances O'Connor</t>
  </si>
  <si>
    <t>SF, 드라마</t>
  </si>
  <si>
    <t>감독: Konstantin Buslov
주연: 유리 보리소프, Ольга Лерман, Артур Смольянинов</t>
  </si>
  <si>
    <t>전쟁, 드라마</t>
  </si>
  <si>
    <t>104분</t>
  </si>
  <si>
    <t>감독: Matthew Hope
주연: 실비아 획스, 윌리엄 피츠너, 겐가 아킨너베</t>
  </si>
  <si>
    <t>감독: 김보통, 한준희
주연: 정해인, 구교환, 김성균</t>
  </si>
  <si>
    <t>6화</t>
  </si>
  <si>
    <t>감독: Roger Donaldson
주연: 케빈 코스트너, 브루스 그린우드, Steven Culp</t>
  </si>
  <si>
    <t>145분</t>
  </si>
  <si>
    <t>감독: David Hackl
주연: 스콧 이스트우드, 멜 깁슨, 타이리스 깁슨</t>
  </si>
  <si>
    <t>감독: 吉田健
주연: 니노미야 카즈나리, 加藤ローサ, 와타나베 잇케이</t>
  </si>
  <si>
    <t>감독: 김지운
주연: 이선균, 박희순, 서지혜</t>
  </si>
  <si>
    <t>드라마, SF, 스릴러</t>
  </si>
  <si>
    <t>감독: 조셉 코신스키
주연: 브래드 피트, 댐슨 이드리스, 하비에르 바르뎀</t>
  </si>
  <si>
    <t>드라마, 액션, 스포츠</t>
  </si>
  <si>
    <t>155분</t>
  </si>
  <si>
    <t>감독: René Balcer
주연: 딜런 맥더멋, 샨텔 반샌튼, Roxy Sternberg</t>
  </si>
  <si>
    <t>감독: 이언희
주연: 임수정, 김래원, 윤찬</t>
  </si>
  <si>
    <t>감독: 클린트 이스트우드
주연: 레오나르도 디카프리오, 아미 해머, 나오미 왓츠</t>
  </si>
  <si>
    <t>137분</t>
  </si>
  <si>
    <t>감독: Natalia Leite
주연: Clifton Collins Jr., 프랜체스카 이스트우드, Leah McKendrick</t>
  </si>
  <si>
    <t>감독: Ken Scott
주연: Patrick Huard, Julie Le Breton, Antoine Bertrand</t>
  </si>
  <si>
    <t>캐나다</t>
  </si>
  <si>
    <t>103분</t>
  </si>
  <si>
    <t>감독: Greg Marcks
주연: 레이첼 리 쿡, 벤 포스터, 클라크 그렉</t>
  </si>
  <si>
    <t>감독: 김병우
주연: 하정우, 이선균, 제니퍼 엘</t>
  </si>
  <si>
    <t>감독: Eduardo Sánchez, 티모 차얀토, 가렛 에반스, Gregg Hale, Simon Barrett, Jason Eisener, 애덤 윈가드
주연: Lawrence Michael Levine, Kelsy Abbott, L.C. Holt</t>
  </si>
  <si>
    <t>감독: 패트리시아 리건
주연: 안토니오 반데라스, 호드리구 산토루, 케이트 델카스티요</t>
  </si>
  <si>
    <t>감독: Mario Van Peebles
주연: 니콜라스 케이지, 톰 시즈모어, Matt Lanter</t>
  </si>
  <si>
    <t>액션, 전쟁</t>
  </si>
  <si>
    <t>감독: 박훈정
주연: 장동건, 김명민, 박희순</t>
  </si>
  <si>
    <t>범죄, 액션</t>
  </si>
  <si>
    <t>감독: 제임스 건
주연: 크리스 프랫, 조 샐다나, 데이브 바티스타</t>
  </si>
  <si>
    <t>액션, SF, 코미디</t>
  </si>
  <si>
    <t>감독: 양윤호
주연: 김강우, 김규리, 이수경</t>
  </si>
  <si>
    <t>감독: 정용기
주연: 정준호, 김민정, 성동일</t>
  </si>
  <si>
    <t>감독: 나딘 라바키
주연: Zain Al Rafeea, Yordanos Shifera, Boluwatife Treasure Bankole</t>
  </si>
  <si>
    <t>레바논</t>
  </si>
  <si>
    <t>감독: 장윤현
주연: 김소연, 주진모, 박희순</t>
  </si>
  <si>
    <t>감독: 김대승
주연: 김지수, 유지태, 엄지원</t>
  </si>
  <si>
    <t>114분</t>
  </si>
  <si>
    <t>감독: 西谷弘
주연: 후쿠야마 마사하루, 石田ゆり子, 이세야 유스케</t>
  </si>
  <si>
    <t>감독: 압델라티프 케시시
주연: 레아 세이두, 아델 에그자르코풀로스, Salim Kéchiouche</t>
  </si>
  <si>
    <t>프랑스</t>
  </si>
  <si>
    <t>179분</t>
  </si>
  <si>
    <t>감독: 김한결
주연: 김래원, 공효진, 강기영</t>
  </si>
  <si>
    <t>감독: Olivia Newman
주연: 데이지 에드거존스, Taylor John Smith, 해리스 디킨슨</t>
  </si>
  <si>
    <t>125분</t>
  </si>
  <si>
    <t>감독: 야마다 요지
주연: 하시즈메 이사오, 吉行和子, 西村雅彥</t>
  </si>
  <si>
    <t>감독: Yang Yong-hi
주연: 안도 사쿠라, 이우라 아라타, 大森立嗣</t>
  </si>
  <si>
    <t>감독: 吉田康弘
주연: 아리무라 카스미, 쿠니무라 준, 미야우치 히토미</t>
  </si>
  <si>
    <t>감독: 김태용
주연: 문소리, 고두심, 엄태웅</t>
  </si>
  <si>
    <t>감독: Kim Hyoung-jun
주연: 박희순, 박시연, 주상욱</t>
  </si>
  <si>
    <t>코미디, 스릴러</t>
  </si>
  <si>
    <t>118분</t>
  </si>
  <si>
    <t>감독: 우민호
주연: 김명민, 염정아, 정겨운</t>
  </si>
  <si>
    <t>액션, 코미디</t>
  </si>
  <si>
    <t>감독: 矢崎仁司
주연: 안도 마사노부, 永夏子, 松田リマ</t>
  </si>
  <si>
    <t>감독: 김성수
주연: 장혁, 수애, Park Min-ha</t>
  </si>
  <si>
    <t>드라마, 재난</t>
  </si>
  <si>
    <t>감독: 김병서, 조의석
주연: 설경구, 정우성, 한효주</t>
  </si>
  <si>
    <t>감독: Bobcat Goldthwait
주연: Joel Murray, Tara Lynne Barr, Melinda Page Hamilton</t>
  </si>
  <si>
    <t>코미디, 범죄</t>
  </si>
  <si>
    <t>감독: 존 슬래터리
주연: 필립 세이모어 호프만, 리처드 젠킨스, 크리스티나 헨드릭스</t>
  </si>
  <si>
    <t>88분</t>
  </si>
  <si>
    <t>감독: 유하
주연: 이민호, 김래원, 정진영</t>
  </si>
  <si>
    <t>감독: Yoon Young-bin
주연: 장혁, 유오성, 한선화</t>
  </si>
  <si>
    <t>감독: 육상효
주연: 김인권, 유다인, 조정석</t>
  </si>
  <si>
    <t>감독: 양우석
주연: 정우성, 곽도원, 김갑수</t>
  </si>
  <si>
    <t>액션, 드라마</t>
  </si>
  <si>
    <t>142분</t>
  </si>
  <si>
    <t>감독: 양우석
주연: 정우성, 곽도원, 유연석</t>
  </si>
  <si>
    <t>감독: 멜라니 로랑
주연: 벤 포스터, 엘르 패닝, Beau Bridges</t>
  </si>
  <si>
    <t>91분</t>
  </si>
  <si>
    <t>감독: 가렛 에반스, Matt Flannery
주연: 쇼페 디리수, 미셸 페얼리, Orli Shuka</t>
  </si>
  <si>
    <t>9화</t>
  </si>
  <si>
    <t>감독: 루벤 플레셔
주연: 조쉬 브롤린, 라이언 고슬링, 숀 펜</t>
  </si>
  <si>
    <t>감독: Eléonore Pourriat
주연: Vincent Elbaz, Marie-Sophie Ferdane, Pierre Bénézit</t>
  </si>
  <si>
    <t>감독: 장진
주연: 정재영, 정준호, 류승룡</t>
  </si>
  <si>
    <t>감독: Petra Biondina Volpe
주연: Marie Leuenberger, Maximilian Simonischek, Marta Zoffoli</t>
  </si>
  <si>
    <t>스위스</t>
  </si>
  <si>
    <t>감독: 페데 알바레즈
주연: 클레어 포이, Sverrir Gudnason, 라키스 스탠필드</t>
  </si>
  <si>
    <t>감독: Lee Yeon-woo
주연: 김윤석, 정경호, 견미리</t>
  </si>
  <si>
    <t>범죄, 코미디</t>
  </si>
  <si>
    <t>감독: Barbara Wong
주연: Tian Yuan, 羅子溢, 鄭詩君</t>
  </si>
  <si>
    <t>공포</t>
  </si>
  <si>
    <t>감독: Kazuhito Nakae
주연: 나가사와 마사미, 타카하시 잇세이, 吉田鋼太郎</t>
  </si>
  <si>
    <t>감독: 이용주
주연: 엄태웅, 한가인, 이제훈</t>
  </si>
  <si>
    <t>감독: 롭 레터먼
주연: 잭 블랙, 제이슨 시걸, 에밀리 블런트</t>
  </si>
  <si>
    <t>코미디, 모험</t>
  </si>
  <si>
    <t>감독: 정다원
주연: 라미란, 이성경, 윤상현</t>
  </si>
  <si>
    <t>감독: Choi Jae-hoon
주연: 장혁, 김현수, 조 타슬림</t>
  </si>
  <si>
    <t>액션, 사극</t>
  </si>
  <si>
    <t>감독: 이일형
주연: 황정민, 강동원, 이성민</t>
  </si>
  <si>
    <t>감독: Albert Pyun
주연: Whitney Able, Kevin Sorbo, 랄프 묄러</t>
  </si>
  <si>
    <t>감독: 권혁재
주연: 송혜교, 전여빈, 이진욱</t>
  </si>
  <si>
    <t>공포, 미스터리</t>
  </si>
  <si>
    <t>감독: 장재현
주연: 김윤석, 강동원, 박소담</t>
  </si>
  <si>
    <t>감독: 原田眞人
주연: 기무라 타쿠야, 니노미야 카즈나리, 요시타카 유리코</t>
  </si>
  <si>
    <t>감독: 롭 마셜
주연: 장쯔이, 공리, 양자경</t>
  </si>
  <si>
    <t>감독: Clay Staub
주연: Milo Ventimiglia, 숀 애슈모어, Javier Botet</t>
  </si>
  <si>
    <t>감독: Rob Imbs
주연: Brian Bernys, Jake Albarella, Andrea Andolina</t>
  </si>
  <si>
    <t>감독: 루퍼트 와이어트
주연: 마크 월버그, 존 굿맨, 브리 라슨</t>
  </si>
  <si>
    <t>감독: Adrian Grünberg
주연: 멜 깁슨, Kevin Hernandez, Daniel Giménez Cacho</t>
  </si>
  <si>
    <t>감독: 조던 필
주연: 다니엘 칼루야, 앨리슨 윌리엄스, 캐서린 키너</t>
  </si>
  <si>
    <t>감독: Mikael Håfström
주연: Jonas Karlsson, David Dencik, Alba August</t>
  </si>
  <si>
    <t>감독: 아이라 잭스
주연: 피어스 브로스넌, 크리스 쿠퍼, 패트리샤 클락슨</t>
  </si>
  <si>
    <t>감독: 노아 바움백
주연: 애덤 드라이버, 스칼렛 요한슨, 로라 던</t>
  </si>
  <si>
    <t>감독: 御法川修
주연: 시바사키 코우, 마키 요코, 테라지마 시노부</t>
  </si>
  <si>
    <t>감독: Lee Kyu-man
주연: 최우식, 조진웅, 이현욱</t>
  </si>
  <si>
    <t>범죄</t>
  </si>
  <si>
    <t>112분</t>
  </si>
  <si>
    <t>감독: Richard Lyford
주연: Roger Bassett, Eystein Berger, Barbara Berjer</t>
  </si>
  <si>
    <t>131분</t>
  </si>
  <si>
    <t>감독: Alex Merkin
주연: 돌프 룬드그렌, 데니스 리처즈, Chuck Liddell</t>
  </si>
  <si>
    <t>감독: 瀬々敬久
주연: 오카다 마사키, 에이쿠라 나나, 마츠자카 토리</t>
  </si>
  <si>
    <t>감독: 송해성
주연: 박해일, 공효진, 진지희</t>
  </si>
  <si>
    <t>감독: Seo Eun-young
주연: 박하선, 하윤경, 감소현</t>
  </si>
  <si>
    <t>감독: 울루 그로스바드
주연: 로버트 드 니로, 로버트 듀발, Charles Durning</t>
  </si>
  <si>
    <t>106분</t>
  </si>
  <si>
    <t>감독: 김준권
주연: 권남희, 김홍파, 이승준</t>
  </si>
  <si>
    <t>감독: Ratno Timoer
주연: Peggy Manoch, Pangky Suwito, W.D. Mochtar</t>
  </si>
  <si>
    <t>감독: 켈리 오설리반
주연: 키스 컵피러</t>
  </si>
  <si>
    <t>2026-03-21</t>
  </si>
  <si>
    <t>감독: 三木康一郎
주연: 후쿠시 소타, 타카하타 미츠키, 타케우치 유코</t>
  </si>
  <si>
    <t>감독: 오기가미 나오코
주연: 이치카와 미카코, 草村礼子, 미츠이시 켄</t>
  </si>
  <si>
    <t>감독: 岩合光昭
주연: 立川志の輔, 시바사키 코우, 에모토 타스쿠</t>
  </si>
  <si>
    <t>감독: 박은교, Choi Hang-yong
주연: 배두나, 공유, 이준</t>
  </si>
  <si>
    <t>감독: 잭 브래프
주연: 모건 프리먼, 마이클 케인, 알란 아킨</t>
  </si>
  <si>
    <t>감독: 장훈
주연: 신하균, 고수, 이제훈</t>
  </si>
  <si>
    <t>감독: 나홍진
주연: 곽도원, 황정민, 천우희</t>
  </si>
  <si>
    <t>156분</t>
  </si>
  <si>
    <t>감독: 정범식
주연: 위하준, 박지현, 오아연</t>
  </si>
  <si>
    <t>94분</t>
  </si>
  <si>
    <t>감독: Stephen Gaghan
주연: 매튜 매커너히, 브라이스 댈러스 하워드, 에드가 라미레즈</t>
  </si>
  <si>
    <t>감독: Noh Dong-seok
주연: 강동원, 김의성, 유재명</t>
  </si>
  <si>
    <t>감독: 中村義洋
주연: 사카이 마사토, 타케우치 유코, 요시오카 히데타카</t>
  </si>
  <si>
    <t>스리러</t>
  </si>
  <si>
    <t>139분</t>
  </si>
  <si>
    <t>감독: 細川徹
주연: 杏, 黒島結菜, 사카구치 켄타로</t>
  </si>
  <si>
    <t>감독: Simon Curtis
주연: 도널 글리슨, 마고 로비, 윌 틸스턴</t>
  </si>
  <si>
    <t>감독: 박찬욱
주연: 이영애, 이병헌, 송강호</t>
  </si>
  <si>
    <t>감독: 김홍선
주연: 임창정, 최다니엘, 조윤희</t>
  </si>
  <si>
    <t>감독: 𠮷田恵輔
주연: 古田新太, 마츠자카 토리, 타바타 토모코</t>
  </si>
  <si>
    <t>감독: Gook Dong-seok
주연: 손예진, 김갑수, 임형준</t>
  </si>
  <si>
    <t>감독: 존 G. 아빌드센
주연: 랄프 마치오, Pat Morita, 엘리자베스 슈</t>
  </si>
  <si>
    <t>감독: 윤종빈
주연: 황정민, 이성민, 조진웅</t>
  </si>
  <si>
    <t>감독: Laura Bispuri
주연: Dominique Sanda, 알바 로르바케르, Maya Sansa</t>
  </si>
  <si>
    <t>감독: 김성훈
주연: 현빈, 유해진, 김주혁</t>
  </si>
  <si>
    <t>감독: 이석훈
주연: 현빈, 유해진, 임윤아</t>
  </si>
  <si>
    <t>감독: 강형철
주연: 차태현, 박보영, Wang Seok-hyeon</t>
  </si>
  <si>
    <t>감독: Kwon Chil-in
주연: 엄정화, 문소리, 조민수</t>
  </si>
  <si>
    <t>감독: 한재림
주연: 송강호, 이정재, 백윤식</t>
  </si>
  <si>
    <t>사극, 드라마</t>
  </si>
  <si>
    <t>감독: Kim Joo-ho
주연: 조진웅, 손현주, 박희순</t>
  </si>
  <si>
    <t>감독: 김현석
주연: 김주혁, 봉태규, 이요원</t>
  </si>
  <si>
    <t>감독: 최성은
주연: 소지섭, 허준호, 공명</t>
  </si>
  <si>
    <t>7화</t>
  </si>
  <si>
    <t>감독: 추창민
주연: 이병헌, 류승룡, 한효주</t>
  </si>
  <si>
    <t>감독: 마이크 화이트
주연: 벤 스틸러, 오스틴 에이브럼스, 제나 피셔</t>
  </si>
  <si>
    <t>감독: 봉준호
주연: 송강호, 변희봉, 박해일</t>
  </si>
  <si>
    <t>드라마, SF</t>
  </si>
  <si>
    <t>감독: Rako Prijanto
주연: Marsha Timothy, Alex Abbad, Anantya Rezky Kirana</t>
  </si>
  <si>
    <t>감독: 임순례
주연: 황정민, 현빈, 강기영</t>
  </si>
  <si>
    <t>감독: Kim McVicar
주연: Alina Abbe, Zoe Danielle Harris, Jordi Medina</t>
  </si>
  <si>
    <t>감독: 이준익
주연: 차승원, 황정민, 백성현</t>
  </si>
  <si>
    <t>사극, 액션</t>
  </si>
  <si>
    <t>감독: 롭 레터먼
주연: 잭 블랙, 딜런 미네트, 오데야 러쉬</t>
  </si>
  <si>
    <t>감독: Katt Shea
주연: 그랜트 거스틴, Scott Wolf, 케일라 잰더</t>
  </si>
  <si>
    <t>감독: 김용화
주연: 하정우, 성동일, 김지석</t>
  </si>
  <si>
    <t>드라마, 스포츠</t>
  </si>
  <si>
    <t>감독: Kim Jong-hyun
주연: 수애, 오달수, 오연서</t>
  </si>
  <si>
    <t>감독: 최국희
주연: 김혜수, 유아인, 허준호</t>
  </si>
  <si>
    <t>감독: Nate Parker
주연: Nate Parker, 아미 해머, 아자 나오미 킹</t>
  </si>
  <si>
    <t>감독: 안판석
주연: 차승원, 심혜진, Jo Yi-Jin</t>
  </si>
  <si>
    <t>감독: Kim Bong-han
주연: 곽도원, 김대명, 김상호</t>
  </si>
  <si>
    <t>감독: 윤제균
주연: 황정민, 김윤진, 오달수</t>
  </si>
  <si>
    <t>감독: 윤종빈
주연: 하정우, 강동원, 이경영</t>
  </si>
  <si>
    <t>주연: 오카다 준이치, 에구치 요스케, 나카타니 미키</t>
  </si>
  <si>
    <t>드라마, 사극</t>
  </si>
  <si>
    <t>50화</t>
  </si>
  <si>
    <t>감독: 장률
주연: 박해일, 문소리, 정진영</t>
  </si>
  <si>
    <t>감독: 류승완
주연: 황정민, 소지섭, 송중기</t>
  </si>
  <si>
    <t>132분</t>
  </si>
  <si>
    <t>감독: 빌 콘돈
주연: 헬렌 미렌, 이안 맥켈런, 러셀 토비</t>
  </si>
  <si>
    <t>감독: Wolfgang Becker
주연: 다니엘 브륄, Katrin Sass, Чулпан Хаматова</t>
  </si>
  <si>
    <t>감독: Michelle King, 로버트 킹
주연: 줄리아나 마걸리스, 크리스틴 바란스키, 맷 주크리</t>
  </si>
  <si>
    <t>드라마, 법정</t>
  </si>
  <si>
    <t>23화</t>
  </si>
  <si>
    <t>22화</t>
  </si>
  <si>
    <t>감독: Mike Barker
주연: 헬렌 헌트, 스칼렛 요한슨, 톰 윌킨슨</t>
  </si>
  <si>
    <t>감독: 변성현
주연: 설경구, 홍경, 류승범</t>
  </si>
  <si>
    <t>136분</t>
  </si>
  <si>
    <t>감독: Gauri Shinde
주연: Sridevi, Adil Hussain, Mehdi Nebbou</t>
  </si>
  <si>
    <t>인도</t>
  </si>
  <si>
    <t>감독: Heath Jones
주연: Annika Marks, Sharon Lawrence, Chase Mowen</t>
  </si>
  <si>
    <t>감독: Андрей Смирнов
주연: Anya Smirnov</t>
  </si>
  <si>
    <t>감독: 김태곤
주연: 김혜수, 마동석, 김현수</t>
  </si>
  <si>
    <t>감독: 케이트 윈슬렛
주연: 헬렌 미렌, 토니 콜렛, 조니 플린</t>
  </si>
  <si>
    <t>116분</t>
  </si>
  <si>
    <t>감독: 조쉬 사프디, 베니 사프디
주연: 로버트 패틴슨, 베니 사프디, Buddy Duress</t>
  </si>
  <si>
    <t>감독: 홍창표
주연: 심은경, 이승기, 김상경</t>
  </si>
  <si>
    <t>사극, 코미디</t>
  </si>
  <si>
    <t>감독: 게리 마셜
주연: 리처드 기어, 줄리아 로버츠, Ralph Bellamy</t>
  </si>
  <si>
    <t>감독: 조정래
주연: Kang Ha-na, 최리, Seo Mi-ji</t>
  </si>
  <si>
    <t>감독: Jamie Alvey
주연: Jamie Alvey, Deaton Gabbard, Waylon O’Bryan</t>
  </si>
  <si>
    <t>감독: 霍建起
주연: 滕汝骏, 류엽, 陈好</t>
  </si>
  <si>
    <t>감독: 九把刀
주연: 가진동, 진연희, 학소문</t>
  </si>
  <si>
    <t>대만</t>
  </si>
  <si>
    <t>감독: 기타노 다케시
주연: 真木蔵人, 大島弘子, 河原さぶ</t>
  </si>
  <si>
    <t>감독: Marc Lawrence
주연: 드류 배리모어, 휴 그랜트, 브래드 개릿</t>
  </si>
  <si>
    <t>감독: 최성현
주연: 이병헌, 윤여정, 박정민</t>
  </si>
  <si>
    <t>감독: 呉美保
주연: 아야노 고, 이케와키 치즈루, 스다 마사키</t>
  </si>
  <si>
    <t>감독: 토비아스 린홀름
주연: 제시카 차스테인, 에디 레드메인, Nnamdi Asomugha</t>
  </si>
  <si>
    <t>감독: 스파이크 존즈
주연: 호아킨 피닉스, 스칼렛 요한슨, Lynn Adrianna</t>
  </si>
  <si>
    <t>감독: 마리아 슈라더
주연: 캐리 멀리건, 조이 카잔, 패트리샤 클락슨</t>
  </si>
  <si>
    <t>감독: Park Eun-hyung
주연: 윤진서, 오민석, 이봉규</t>
  </si>
  <si>
    <t>감독: 배형준
주연: 김하늘, 강동원, 이천희</t>
  </si>
  <si>
    <t>감독: Joyce E. Bernal
주연: Vilma Santos, Angel Locsin, Xian Lim</t>
  </si>
  <si>
    <t>멜로/로맨스, 성인</t>
  </si>
  <si>
    <t>감독: 페드로 알모도바르
주연: Leonor Watling, Rosario Flores, Javier Cámara</t>
  </si>
  <si>
    <t>감독: 廣木隆一
주연: 타키우치 쿠미, 미츠이시 켄, 고라 겐고</t>
  </si>
  <si>
    <t>감독: Yun Jun-hyung
주연: 주원, 유해진, 이유영</t>
  </si>
  <si>
    <t>감독: Jo Seok-hyun
주연: 유호정, 박성웅, 오정세</t>
  </si>
  <si>
    <t>감독: 추창민
주연: 이순재, 송재호, 윤소정</t>
  </si>
  <si>
    <t>감독: 안젤리나 졸리
주연: Sareum Srey Moch, Phoeung Kompheak, Sveng Socheata</t>
  </si>
  <si>
    <t>캄보디아</t>
  </si>
  <si>
    <t>감독: 오기가미 나오코
주연: 이쿠타 토마, 키리타니 켄타, 柿原りんか</t>
  </si>
  <si>
    <t>감독: 임상수
주연: 백윤식, 한석규, 송재호</t>
  </si>
  <si>
    <t>감독: 알폰소 쿠아론
주연: 산드라 블록, 조지 클루니, 에드 해리스</t>
  </si>
  <si>
    <t>감독: 클린트 이스트우드
주연: 클린트 이스트우드, Christopher Carley, Bee Vang</t>
  </si>
  <si>
    <t>감독: 웨스 앤더슨
주연: 랄프 파인즈, F. 머레이 에이브러햄, 마티유 아말릭</t>
  </si>
  <si>
    <t>감독: 돈 맥켈러
주연: 브렌던 글리슨, Taylor Kitsch, Gordon Pinsent</t>
  </si>
  <si>
    <t>감독: Eugenio Mira
주연: 일라이저 우드, 존 쿠삭, Tamsin Egerton</t>
  </si>
  <si>
    <t>감독: John Whitesell
주연: 마틴 로런스, Brandon T. Jackson, Jessica Lucas</t>
  </si>
  <si>
    <t>감독: 조 루소, 안소니 루소
주연: 라이언 고슬링, 크리스 에반스, 아나 데 아르마스</t>
  </si>
  <si>
    <t>감독: Olivier Dahan
주연: 니콜 키드먼, Milo Ventimiglia, 파즈 베가</t>
  </si>
  <si>
    <t>감독: 덴젤 워싱턴
주연: Denzel Whitaker, 덴젤 워싱턴, Nate Parker</t>
  </si>
  <si>
    <t>감독: 장이머우
주연: 맷 데이먼, 경첨, 윌렘 대포</t>
  </si>
  <si>
    <t>감독: Shana Feste
주연: 피어스 브로스넌, 수잔 서랜든, 캐리 멀리건</t>
  </si>
  <si>
    <t>감독: 에런 슈나이더
주연: 톰 행크스, 스티븐 그레이엄, 롭 모건</t>
  </si>
  <si>
    <t>감독: Nicolas Pesce
주연: 안드레아 라이즈보로, Demián Bichir, 존 조</t>
  </si>
  <si>
    <t>감독: 피터 시걸
주연: 로버트 드 니로, 실베스터 스탤론, 알란 아킨</t>
  </si>
  <si>
    <t>감독: Phil Joanou
주연: 드웨인 존슨, Xzibit, L. Scott Caldwell</t>
  </si>
  <si>
    <t>감독: Ingrid Escajeda, Carlo Bernard
주연: 소피아 베르가라, 알베르토 게라, Christian Tappán</t>
  </si>
  <si>
    <t>감독: Brett Haley
주연: Blythe Danner, 마틴 스타, 준 스큅</t>
  </si>
  <si>
    <t>감독: 프랭크 다라본트
주연: 톰 행크스, 데이비드 모스, 보니 헌트</t>
  </si>
  <si>
    <t>드라마, 판타지</t>
  </si>
  <si>
    <t>188분</t>
  </si>
  <si>
    <t>감독: 피터 패럴리
주연: 비고 모텐슨, 마허샬라 알리, 린다 카델리니</t>
  </si>
  <si>
    <t>감독: Ric Roman Waugh
주연: 제라드 버틀러, 모레나 바카린, 데이비드 덴맨</t>
  </si>
  <si>
    <t>액션, 재난</t>
  </si>
  <si>
    <t>감독: Ric Roman Waugh
주연: 제라드 버틀러, 모레나 바카린, 로먼 그리핀 데이비스</t>
  </si>
  <si>
    <t>감독: Park Dae-min
주연: 황정민, 류덕환, 엄지원</t>
  </si>
  <si>
    <t>감독: 김기덕
주연: 류승범, 이원근, 김영민</t>
  </si>
  <si>
    <t>감독: 드니 빌뇌브
주연: 루브나 아자발, Mélissa Désormeaux-Poulin, Maxim Gaudette</t>
  </si>
  <si>
    <t>감독: 真壁幸紀</t>
  </si>
  <si>
    <t>감독: Cris D'amato
주연: Lívia Inhudes, Micael Borges, Mariana Rios</t>
  </si>
  <si>
    <t>감독: 곽경택
주연: 김윤석, 유해진, 이정은</t>
  </si>
  <si>
    <t>감독: 이병헌
주연: 류승룡, 이하늬, 진선규</t>
  </si>
  <si>
    <t>코미디, 액션</t>
  </si>
  <si>
    <t>감독: 리들리 스콧
주연: 러셀 크로우, 호아킨 피닉스, 코니 닐센</t>
  </si>
  <si>
    <t>154분</t>
  </si>
  <si>
    <t>감독: 리들리 스콧
주연: 폴 메스칼, 덴젤 워싱턴, 페드로 파스칼</t>
  </si>
  <si>
    <t>감독: Tim Hunter
주연: 니콜라스 케이지, 로빈 터니, Marc Blucas</t>
  </si>
  <si>
    <t>감독: 강우석
주연: 정재영, 유선, 강신일</t>
  </si>
  <si>
    <t>감독: 세바스티안 렐리오
주연: 줄리앤 무어, 존 터투로, 마이클 세라</t>
  </si>
  <si>
    <t>감독: Rolf Schübel
주연: Erika Marozsán, Joachim Król, Ben Becker</t>
  </si>
  <si>
    <t>감독: 瀬木直貴
주연: 佐藤寛太, 藤本泉, 芹澤興人</t>
  </si>
  <si>
    <t>감독: Alireza Khatami</t>
  </si>
  <si>
    <t>감독: 댁스 셰파드
주연: 마이클 페냐, 댁스 셰파드, Jessica McNamee</t>
  </si>
  <si>
    <t>감독: 도이 노부히로
주연: 아베 히로시, 아라가키 유이, 黒木メイサ</t>
  </si>
  <si>
    <t>감독: Lee Min-jae
주연: 정재영, 김남길, 엄지원</t>
  </si>
  <si>
    <t>감독: 로스 더퍼, 맷 더퍼
주연: 위노나 라이더, 데이비드 하버, 밀리 바비 브라운</t>
  </si>
  <si>
    <t>드라마, SF, 호러</t>
  </si>
  <si>
    <t>주연: 짐 래시</t>
  </si>
  <si>
    <t>감독: 봉준호
주연: 송강호, 이선균, 조여정</t>
  </si>
  <si>
    <t>감독: 김홍선
주연: 김우빈, 이현우, 김영철</t>
  </si>
  <si>
    <t>감독: 장항준
주연: 강하늘, 김무열, 문성근</t>
  </si>
  <si>
    <t>감독: 민병훈
주연: 오유진, Seo Jang-won</t>
  </si>
  <si>
    <t>감독: 兼重淳
주연: 마츠자카 토리, 스다 마사키, 요코하마 류세이</t>
  </si>
  <si>
    <t>감독: Sean McNamara
주연: 데니스 퀘이드, 헤더 그레이엄, Jesse Metcalfe</t>
  </si>
  <si>
    <t>감독: 中村義洋
주연: 아베 사다오, 칸노 미호, 이케우치 히로유키</t>
  </si>
  <si>
    <t>감독: Demetrius Navarro
주연: Ethan Bortnick, Jonathan Bennett, 레이시 셔베어</t>
  </si>
  <si>
    <t>감독: 기타노 다케시
주연: 기타노 다케시, Yusuke Sekiguchi, 岸本加世子</t>
  </si>
  <si>
    <t>감독: Иван Петухов
주연: 우마 서먼, Andrew Bowen, Edie McClurg</t>
  </si>
  <si>
    <t>감독: 마크 웹
주연: 크리스 에반스, 맥케나 그레이스, 린지 덩컨</t>
  </si>
  <si>
    <t>감독: Phillip Noyce
주연: 해리슨 포드, 윌렘 대포, 조아킹 드 알메이다</t>
  </si>
  <si>
    <t>141분</t>
  </si>
  <si>
    <t>감독: 변성현
주연: 전도연, 설경구, 김시아</t>
  </si>
  <si>
    <t>감독: Song Il-gon
주연: 이소연, 장현성</t>
  </si>
  <si>
    <t>80분</t>
  </si>
  <si>
    <t>감독: 新城毅彦
주연: 나가사와 마사미, 오카다 마사키, 하루</t>
  </si>
  <si>
    <t>감독: 도이 노부히로
주연: 스다 마사키, 아리무라 카스미, 키요하라 카야</t>
  </si>
  <si>
    <t>감독: 石川寛
주연: 미야자키 아오이, 쿠츠나 시오리, 안도 사쿠라</t>
  </si>
  <si>
    <t>감독: Ryu Jang-ha
주연: 최민식, 장신영, 김호정</t>
  </si>
  <si>
    <t>감독: 피터 첼섬
주연: 사이먼 페그, 로저먼드 파이크, 토니 콜렛</t>
  </si>
  <si>
    <t>감독: Jang Chang-won
주연: 현빈, 유지태, 배성우</t>
  </si>
  <si>
    <t>감독: 니시카와 미와
주연: 마츠 다카코, 아베 사다오, 다나카 레나</t>
  </si>
  <si>
    <t>감독: 김성훈
주연: 이선균, 조진웅, 정만식</t>
  </si>
  <si>
    <t>감독: Michael Carney
주연: 그렉 키니어, 자이먼 혼수, 르네 젤위거</t>
  </si>
  <si>
    <t>감독: 켄 로치
주연: Dave Johns, 헤일리 스콰이어스, Briana Shann</t>
  </si>
  <si>
    <t>감독: Rowan Athale
주연: 에이미 라이언, 닉 로빈슨, 마가렛 퀄리</t>
  </si>
  <si>
    <t>감독: Lee Tae-gyeom
주연: 유다인, 오정세, 박지홍</t>
  </si>
  <si>
    <t>감독: 三木孝浩
주연: 후쿠시 소타, 고마츠 나나, 히가시데 마사히로</t>
  </si>
  <si>
    <t>감독: 中川龍太郎
주연: 마츠모토 호노카, 渡辺大知, 徳永えり</t>
  </si>
  <si>
    <t>감독: 데이비드 프랭클
주연: 윌 스미스, 에드워드 노튼, 케이트 윈슬렛</t>
  </si>
  <si>
    <t>감독: 장규성
주연: 주지훈, 백윤식, 변희봉</t>
  </si>
  <si>
    <t>코미디, 사극</t>
  </si>
  <si>
    <t>감독: 조철현
주연: 송강호, 박해일, 전미선</t>
  </si>
  <si>
    <t>감독: 저드 아패토우
주연: 에이미 슈머, 빌 헤이더, 브리 라슨</t>
  </si>
  <si>
    <t>감독: 최익환
주연: 장현성, 안승균, 이일화</t>
  </si>
  <si>
    <t>감독: Susanna Fogel
주연: 밀라 쿠니스, 케이트 맥키넌, 저스틴 서로</t>
  </si>
  <si>
    <t>감독: Kim Seung-woo
주연: 이영애, 유재명, 박해준</t>
  </si>
  <si>
    <t>감독: 데이비드 핀처
주연: 벤 애플렉, 로저먼드 파이크, 닐 패트릭 해리스</t>
  </si>
  <si>
    <t>149분</t>
  </si>
  <si>
    <t>감독: 平川雄一朗
주연: 후지와라 타츠야, 아리무라 카스미, 石田ゆり子</t>
  </si>
  <si>
    <t>감독: 廣木隆一
주연: 야마다 료스케, 오노 마치코, 니시다 토시유키</t>
  </si>
  <si>
    <t>감독: J. Mackye Gruber, Eric Bress
주연: 애쉬튼 커쳐, 에이미 스마트, Melora Walters</t>
  </si>
  <si>
    <t>SF, 스릴러</t>
  </si>
  <si>
    <t>감독: 정재은
주연: 나카야마 미호, 김재욱, 이시바시 안나</t>
  </si>
  <si>
    <t>멜로, 로맨스</t>
  </si>
  <si>
    <t>감독: 아딜 엘 아르비, 빌랄 팔라흐
주연: 윌 스미스, 마틴 로런스, 바네사 허진스</t>
  </si>
  <si>
    <t>감독: 한정훈
주연: 김무열, 양익준, 주진모</t>
  </si>
  <si>
    <t>16화</t>
  </si>
  <si>
    <t>감독: 니콜라스 스톨러
주연: 세스 로건, 잭 에프론, 로즈 번</t>
  </si>
  <si>
    <t>감독: 제랄딘 나카슈
주연: 레일라 베크티, 제랄딘 나카슈, Patrick Timsit</t>
  </si>
  <si>
    <t>감독: 존 M. 추
주연: 제시 아이젠버그, 마크 러팔로, 우디 해럴슨</t>
  </si>
  <si>
    <t>범죄, 스릴러</t>
  </si>
  <si>
    <t>감독: Ol Parker
주연: 다코타 패닝, 제레미 어바인, 카야 스코델라리오</t>
  </si>
  <si>
    <t>감독: 루벤 플레셔
주연: 제시 아이젠버그, 도미닉 세사, 아리아나 그린블랫</t>
  </si>
  <si>
    <t>감독: 변성현
주연: 김아중, 지성, 신소율</t>
  </si>
  <si>
    <t>감독: 이해준
주연: 설경구, 박해일, 윤제문</t>
  </si>
  <si>
    <t>감독: Brian Gilbert
주연: 샐리 필드, 알프레드 몰리나, Sheila Rosenthal</t>
  </si>
  <si>
    <t>감독: Marcos Bernstein
주연: João Guilherme Ávila, José de Abreu, Caco Ciocler</t>
  </si>
  <si>
    <t>브라질</t>
  </si>
  <si>
    <t>감독: Timothy Wade
주연: Chris Schmuttermaier, Stephen Bergin, Brian Bolton</t>
  </si>
  <si>
    <t>그리스</t>
  </si>
  <si>
    <t>감독: 彭秀慧
주연: 周秀娜, 鄭欣宜, 蔡瀚億</t>
  </si>
  <si>
    <t>감독: 国本雅広, 三宅喜重
주연: 이토 히데아키, 木村佳乃, 相武紗季</t>
  </si>
  <si>
    <t>감독: Nisha Ganatra
주연: 다코타 존슨, 트레이시 엘리스 로스, 아이스 큐브</t>
  </si>
  <si>
    <t>감독: Sam Garbarski
주연: 모리츠 블라이프트로이, 패트리샤 아퀘트, 대니 푸디</t>
  </si>
  <si>
    <t>벨기에</t>
  </si>
  <si>
    <t>감독: 신동일
주연: 장현성, Hong So-hee, 박희순</t>
  </si>
  <si>
    <t>감독: 육상효
주연: 신하균, 이광수, 이솜</t>
  </si>
  <si>
    <t>감독: 라이언 존슨
주연: 다니엘 크레이그, 크리스 에반스, 아나 데 아르마스</t>
  </si>
  <si>
    <t>범죄, 미스터리</t>
  </si>
  <si>
    <t>감독: 엘리자베스 차이 바서렐리, 지미 친
주연: 아네트 베닝, 조디 포스터, 리스 이판</t>
  </si>
  <si>
    <t>감독: 숀 라이언
주연: 게이브리얼 배소, 폴라 에번스아킹볼라, Louis Herthum</t>
  </si>
  <si>
    <t>드라마, 액션, 스릴러</t>
  </si>
  <si>
    <t>감독: George C. Wolfe
주연: 다이앤 레인, 리처드 기어, 크리스토퍼 멜로니</t>
  </si>
  <si>
    <t>감독: 댄 길로이
주연: 제이크 질렌할, 리즈 아메드, 르네 루소</t>
  </si>
  <si>
    <t>감독: 제임스 베닝</t>
  </si>
  <si>
    <t>SF</t>
  </si>
  <si>
    <t>감독: David Raymond
주연: 헨리 카빌, 벤 킹슬리, 알렉산드라 다다리오</t>
  </si>
  <si>
    <t>감독: 기예르모 델 토로
주연: 브래들리 쿠퍼, 케이트 블란쳇, 토니 콜렛</t>
  </si>
  <si>
    <t>150분</t>
  </si>
  <si>
    <t>감독: 제임스 그레이
주연: 마리옹 꼬띠아르, 호아킨 피닉스, 제레미 레너</t>
  </si>
  <si>
    <t>가족</t>
  </si>
  <si>
    <t>감독: 윤종빈
주연: 김다미, 손석구, 김성균</t>
  </si>
  <si>
    <t>11화</t>
  </si>
  <si>
    <t>감독: 애드리안 라인
주연: 미키 루크, 킴 베이싱어, Margaret Whitton</t>
  </si>
  <si>
    <t>감독: 알렉상드르 아자
주연: 제이미 도넌, 사라 가돈, 아론 폴</t>
  </si>
  <si>
    <t>감독: 케네스 브래너
주연: 케네스 브래너, 톰 베이트먼, 아네트 베닝</t>
  </si>
  <si>
    <t>감독: Teddy Newton
주연: Wayne Dyer</t>
  </si>
  <si>
    <t>감독: 리들리 스콧
주연: 호아킨 피닉스, 바네사 커비, 타하르 라힘</t>
  </si>
  <si>
    <t>158분</t>
  </si>
  <si>
    <t>감독: 박훈정
주연: 엄태구, 전여빈, 차승원</t>
  </si>
  <si>
    <t>감독: 미겔 아르테타
주연: 스티브 카렐, 제니퍼 가너, Ed Oxenbould</t>
  </si>
  <si>
    <t>81분</t>
  </si>
  <si>
    <t>감독: Lee Cheol-ha
주연: 강예원, 이상윤, 최진호</t>
  </si>
  <si>
    <t>감독: 이윤기
주연: 전도연, 공유, 박병은</t>
  </si>
  <si>
    <t>감독: 沖田修一
주연: 사카이 마사토, 나마세 카츠히사, きたろう</t>
  </si>
  <si>
    <t>감독: 야마다 요지
주연: 요시나가 사유리, 아오이 유우, 笑福亭鶴瓶</t>
  </si>
  <si>
    <t>감독: 우민호
주연: 이병헌, 이성민, 곽도원</t>
  </si>
  <si>
    <t>감독: 제임스 아이보리
주연: 안소니 홉킨스, 엠마 톰슨, 제임스 폭스</t>
  </si>
  <si>
    <t>134분</t>
  </si>
  <si>
    <t>감독: Kim Sang Rae, Battulga Suvid
주연: 박광현, Sarantuya Sambuu, Oh Soo-jeong</t>
  </si>
  <si>
    <t>감독: 藤井道人
주연: 고마츠 나나, 사카구치 켄타로, 야마다 유키</t>
  </si>
  <si>
    <t>감독: 한동욱
주연: 황정민, 한혜진, 남일우</t>
  </si>
  <si>
    <t>감독: 福田純
주연: 藤田まこと, 藤岡琢也, 小林千登勢</t>
  </si>
  <si>
    <t>감독: 임순례
주연: 김윤석, 오연수, 한예리</t>
  </si>
  <si>
    <t>감독: 황동혁
주연: 이병헌, 김윤석, 박해일</t>
  </si>
  <si>
    <t>140분</t>
  </si>
  <si>
    <t>감독: 조 존스턴
주연: 맥스 밍겔라, JJ Feild, 톰 갤로프</t>
  </si>
  <si>
    <t>74분</t>
  </si>
  <si>
    <t>감독: 𠮷田恵輔
주연: 濱田岳, 佐津川愛美, 森田剛</t>
  </si>
  <si>
    <t>감독: Peter Harness
주연: 누미 라파스, 조너선 뱅크스, 제임스 다시</t>
  </si>
  <si>
    <t>감독: 우디 앨런
주연: 스칼렛 요한슨, 레베카 홀, 하비에르 바르뎀</t>
  </si>
  <si>
    <t>감독: 이재한
주연: 정우성, 손예진, 백종학</t>
  </si>
  <si>
    <t>감독: Irina Lord
주연: Andra Stancescu</t>
  </si>
  <si>
    <t>아일랜드</t>
  </si>
  <si>
    <t>감독: 박진표
주연: 하지원, 김명민, 남능미</t>
  </si>
  <si>
    <t>감독: 민규동
주연: 엄정화, 황정민, 천호진</t>
  </si>
  <si>
    <t>감독: 민규동
주연: 이선균, 임수정, 류승룡</t>
  </si>
  <si>
    <t>감독: 빌리 밥 손튼
주연: 케빈 베이컨, 티피 헤드런, Shawnee Smith</t>
  </si>
  <si>
    <t>감독: 찰스 마틴 스미스
주연: Luke Treadaway, Kristina Tonteri-Young, 팔두트 샤르마</t>
  </si>
  <si>
    <t>감독: 로저 스포티스우드
주연: Luke Treadaway, 루타 게드민터스, 조앤 프로갯</t>
  </si>
  <si>
    <t>감독: Robert Markowitz
주연: 로니 앤더슨, 폴 소비노, 아만다 위스</t>
  </si>
  <si>
    <t>감독: Karan Johar
주연: 샤 룩 칸, 카졸, Arjan Aujla</t>
  </si>
  <si>
    <t>165분</t>
  </si>
  <si>
    <t>감독: Percival M. Intalan
주연: Janella Salvador, Elmo Magalona, Kiko Estrada</t>
  </si>
  <si>
    <t>감독: Robert Lorenz
주연: 클린트 이스트우드, 에이미 아담스, 저스틴 팀버레이크</t>
  </si>
  <si>
    <t>감독: 新城毅彦
주연: 이노우에 마오, 오카다 마사키, 杉本哲太</t>
  </si>
  <si>
    <t>감독: 조성규
주연: 김태우, 예지원, Seo Bum-suk</t>
  </si>
  <si>
    <t>감독: 페드로 알모도바르
주연: 안토니오 반데라스, 엘레나 아나야, 마리사 파레데스</t>
  </si>
  <si>
    <t>감독: 정병길
주연: 정재영, 박시후, 정해균</t>
  </si>
  <si>
    <t>감독: Rowan Joffé
주연: 니콜 키드먼, 콜린 퍼스, 마크 스트롱</t>
  </si>
  <si>
    <t>감독: 테일러 쉐리던
주연: 안젤리나 졸리, Finn Little, 존 번설</t>
  </si>
  <si>
    <t>감독: Park Ji-wan
주연: 김혜수, 이정은, 노정의</t>
  </si>
  <si>
    <t>감독: Bent H. Barfod, Kjeld Simonsen</t>
  </si>
  <si>
    <t>감독: Shari Springer Berman, Robert Pulcini
주연: 스칼렛 요한슨, 로라 리니, 알리샤 키스</t>
  </si>
  <si>
    <t>감독: 薛晓路
주연: 雷佳音, 탕웨이, 齐溪</t>
  </si>
  <si>
    <t>감독: 우민호
주연: 이병헌, 조승우, 백윤식</t>
  </si>
  <si>
    <t>감독: Marianne Wibberley, Cormac Wibberley
주연: Lisette Olivera, 캐서린 제타존스, Zuri Reed</t>
  </si>
  <si>
    <t>드라마, 액션, 모험</t>
  </si>
  <si>
    <t>감독: 강효진
주연: 정진영, 박성웅, 라미란</t>
  </si>
  <si>
    <t>감독: 장피에르 다르덴, 뤽 다르덴
주연: 마리옹 꼬띠아르, Fabrizio Rongione, Catherine Salée</t>
  </si>
  <si>
    <t>감독: 서유민
주연: 서예지, 김강우, 성혁</t>
  </si>
  <si>
    <t>감독: 堤幸彦
주연: 와타나베 켄, 樋口可南子, 坂口憲二</t>
  </si>
  <si>
    <t>감독: 中江功
주연: 다케노우치 유타카, 진혜림, 산타마리아 유스케</t>
  </si>
  <si>
    <t>감독: 박진표
주연: 전도연, 황정민, 나문희</t>
  </si>
  <si>
    <t>감독: Jenny Harder
주연: Mona Marshall, Darren Street, Kate Barton</t>
  </si>
  <si>
    <t>감독: Lee Seok-geun
주연: 박보영, 김영광, 강기영</t>
  </si>
  <si>
    <t>감독: 츠키카와 쇼
주연: 하마베 미나미, 키타무라 타쿠미, 오구리 슌</t>
  </si>
  <si>
    <t>감독: Tyler Spindel
주연: 데이비드 스페이드, 로렌 랩커스, 닉 스워드슨</t>
  </si>
  <si>
    <t>멜로</t>
  </si>
  <si>
    <t>감독: 모홍진
주연: 심은경, 김성오, 윤제문</t>
  </si>
  <si>
    <t>감독: Kasper Barfoed
주연: 존 쿠삭, 말린 애커만, 한나 머레이</t>
  </si>
  <si>
    <t>감독: Mark Romanek
주연: 캐리 멀리건, 키이라 나이틀리, 앤드류 가필드</t>
  </si>
  <si>
    <t>감독: Joung Yong-ju
주연: 엄태웅, 정려원, 유선</t>
  </si>
  <si>
    <t>감독: 蔵方政俊
주연: 伊藤淳史, 쿠츠나 시오리, 타구치 토모로오</t>
  </si>
  <si>
    <t>감독: 마이클 앱티드
주연: 조디 포스터, 리암 니슨, Natasha Richardson</t>
  </si>
  <si>
    <t>감독: Luca Castello
주연: Julieta Tramanzoli, Gastón Frías, Anahí Politi</t>
  </si>
  <si>
    <t>감독: Тимур Бекмамбетов
주연: 크리스 프랫, 레베카 퍼거슨, 칼리 레이스</t>
  </si>
  <si>
    <t>감독: 최국희
주연: 조진웅, 유재명, 염정아</t>
  </si>
  <si>
    <t>감독: Udayan Prasad
주연: 윌리엄 허트, 마리아 벨로, 크리스틴 스튜어트</t>
  </si>
  <si>
    <t>감독: 김한민
주연: 김윤석, 백윤식, 정재영</t>
  </si>
  <si>
    <t>사극, 전쟁</t>
  </si>
  <si>
    <t>153분</t>
  </si>
  <si>
    <t>감독: 클로이 자오
주연: 프랜시스 맥도맨드, 데이비드 스트러세언, Linda May</t>
  </si>
  <si>
    <t>감독: Илья Найшуллер
주연: 밥 오덴커크, Алексей Серебряков, 코니 닐센</t>
  </si>
  <si>
    <t>감독: 티모 차얀토
주연: 밥 오덴커크, 코니 닐센, 존 오르티스</t>
  </si>
  <si>
    <t>감독: Peter Flinth
주연: Malin Crépin, Richard Ulfsäter, Björn Kjellman</t>
  </si>
  <si>
    <t>스웨덴</t>
  </si>
  <si>
    <t>감독: Roger Donaldson
주연: 피어스 브로스넌, 루크 브레이시, 올가 쿠릴렌코</t>
  </si>
  <si>
    <t>감독: Stephen Bradley
주연: Deirdre O'Kane, Sarah Greene, Gloria Cramer Curtis</t>
  </si>
  <si>
    <t>감독: Matt Williams
주연: 나탈리 포트만, 애슐리 저드, 스토커드 채닝</t>
  </si>
  <si>
    <t>감독: Niki Caro
주연: 샤를리즈 테론, 프랜시스 맥도맨드, 우디 해럴슨</t>
  </si>
  <si>
    <t>감독: 로버트 에거스
주연: 알렉산더 스카스가드, 니콜 키드먼, 클레스 방</t>
  </si>
  <si>
    <t>감독: Philipp Stölzl
주연: Benno Fürmann, Florian Lukas, Johanna Wokalek</t>
  </si>
  <si>
    <t>감독: 대런 아로노프스키
주연: 러셀 크로우, 제니퍼 코넬리, 레이 윈스턴</t>
  </si>
  <si>
    <t>138분</t>
  </si>
  <si>
    <t>감독: Alexandre Coffre
주연: 타하르 라힘, Victor Cabal, Amélie Glenn</t>
  </si>
  <si>
    <t>감독: 스티브 맥퀸
주연: 치웨텔 에지오포, 마이클 패스벤더, 루피타 뇽오</t>
  </si>
  <si>
    <t>감독: 조엘 코엔, 에단 코엔
주연: 하비에르 바르뎀, 토미 리 존스, 조쉬 브롤린</t>
  </si>
  <si>
    <t>감독: 일라이 로스
주연: 키아누 리브스, 로렌사 이소, 아나 데 아르마스</t>
  </si>
  <si>
    <t>감독: Thomas Jahn
주연: 틸 슈바이거, 얀 요제프 리퍼스, Thierry van Werveke</t>
  </si>
  <si>
    <t>87분</t>
  </si>
  <si>
    <t>감독: Richard Eyre
주연: 주디 덴치, 케이트 블란쳇, 빌 나이</t>
  </si>
  <si>
    <t>감독: 닉 카사베츠
주연: 라이언 고슬링, 레이첼 맥아담스, 지나 롤랜즈</t>
  </si>
  <si>
    <t>감독: 로저 미첼
주연: 줄리아 로버츠, 휴 그랜트, 지나 맥키</t>
  </si>
  <si>
    <t>감독: 톰 포드
주연: 에이미 아담스, 제이크 질렌할, 마이클 섀넌</t>
  </si>
  <si>
    <t>감독: Jaume Collet-Serra
주연: 리암 니슨, 줄리앤 무어, 스쿠트 맥네리</t>
  </si>
  <si>
    <t>감독: 올리비에 아사야스
주연: 기욤 카네, 쥘리에트 비노쉬, 뱅상 마케뉴</t>
  </si>
  <si>
    <t>감독: 타키모토 토모유키
주연: 이쿠타 토마, 松雪泰子, 에구치 요스케</t>
  </si>
  <si>
    <t>감독: 아스가르 파르하디
주연: 페넬로페 크루스, 하비에르 바르뎀, Ricardo Darín</t>
  </si>
  <si>
    <t>감독: Lee Won-sik
주연: 성유리, 이주승, Jaewan Lee</t>
  </si>
  <si>
    <t>감독: 小沼雄一
주연: 渡辺奈緒子, 미츠이시 켄, 佐津川愛美</t>
  </si>
  <si>
    <t>감독: Ayelet Menahemi
주연: Mili Avital, Baoqi Chen, ענת וקסמן</t>
  </si>
  <si>
    <t>이스라엘</t>
  </si>
  <si>
    <t>감독: Sopsits Árpád
주연: Hajduk Károly, Jászberényi Gábor, Anger Zsolt</t>
  </si>
  <si>
    <t>헝가리</t>
  </si>
  <si>
    <t>감독: 도이 노부히로
주연: 츠마부키 사토시, 나가사와 마사미, 아소 쿠미코</t>
  </si>
  <si>
    <t>감독: Brett Haley
주연: 엘르 패닝, 저스티스 스미스, 알렉산드라 쉽</t>
  </si>
  <si>
    <t>감독: 根岸吉太郎
주연: 이세야 유스케, 사토 코이치, 吹石一恵</t>
  </si>
  <si>
    <t>감독: David Schulner
주연: 라이언 이골드, Janet Montgomery, 조코 심즈</t>
  </si>
  <si>
    <t>드라마, 의학</t>
  </si>
  <si>
    <t>13화</t>
  </si>
  <si>
    <t>감독: Drake Doremus
주연: 니콜라스 홀트, 라이아 코스타, 대니 휴스턴</t>
  </si>
  <si>
    <t>감독: 폴 그린그래스
주연: 톰 행크스, 헬레나 쳉겔, Michael Angelo Covino</t>
  </si>
  <si>
    <t>감독: 애런 소킨
주연: 제프 다니엘스, 에밀리 모티머, 존 갤러거 주니어</t>
  </si>
  <si>
    <t>감독: 줄리 델피
주연: 줄리 델피, 아담 골드버그, 다니엘 브륄</t>
  </si>
  <si>
    <t>감독: Yvan Attal, 브렛 래트너, Randall Balsmeyer, Allen Hughes, 강문, Joshua Marston, 세자르 카푸르, 파티 아킨, 미라 네어, 이와이 슌지, 나탈리 포트만
주연: 나탈리 포트만, 헤이든 크리스텐슨, 브래들리 쿠퍼</t>
  </si>
  <si>
    <t>감독: 조앤 첸
주연: 리처드 기어, 위노나 라이더, Anthony LaPaglia</t>
  </si>
  <si>
    <t>감독: 게리 마셜
주연: 힐러리 스웽크, 로버트 드 니로, 미셸 파이퍼</t>
  </si>
  <si>
    <t>감독: 케빈 코스트너
주연: 케빈 코스트너, 메리 맥도널, 그레이엄 그린</t>
  </si>
  <si>
    <t>서부, 드라마</t>
  </si>
  <si>
    <t>181분</t>
  </si>
  <si>
    <t>감독: 제레미 솔니에
주연: 제프리 라이트, 알렉산더 스카스가드, 제임스 뱃지 데일</t>
  </si>
  <si>
    <t>감독: Moon Hee-yoong
주연: Park Min-sang, 박상면, Choon Ja</t>
  </si>
  <si>
    <t>감독: 김지훈
주연: 설경구, 천우희, 문소리</t>
  </si>
  <si>
    <t>감독: Scott Waugh
주연: 아론 폴, 도미닉 쿠퍼, 이모전 푸츠</t>
  </si>
  <si>
    <t>감독: Jin Mo-young
주연: Cho Byeong-man, Kang Gye-yeol</t>
  </si>
  <si>
    <t>86분</t>
  </si>
  <si>
    <t>감독: 홍원찬
주연: 황정민, 이정재, 박정민</t>
  </si>
  <si>
    <t>감독: 新城毅彦
주연: 타마키 히로시, 미야자키 아오이, 黒木メイサ</t>
  </si>
  <si>
    <t>감독: Scott McGehee, David Siegel
주연: 리처드 기어, 쥘리에트 비노쉬, Flora Cross</t>
  </si>
  <si>
    <t>감독: 수잔 비에르
주연: 피어스 브로스넌, Trine Dyrholm, 몰뤼 에겔린</t>
  </si>
  <si>
    <t>감독: 존 패트릭 샌리
주연: 메릴 스트립, 필립 세이모어 호프만, 에이미 아담스</t>
  </si>
  <si>
    <t>감독: 알렉산더 페인
주연: 맷 데이먼, 크리스토프 발츠, 홍 차우</t>
  </si>
  <si>
    <t>감독: Michael Engler
주연: 휴 보네빌, 로라 카마이클, 짐 카터</t>
  </si>
  <si>
    <t>감독: 짐 래시, 냇 팩슨
주연: 줄리아 루이스 드레이퍼스, 윌 페럴, 잭 우즈</t>
  </si>
  <si>
    <t>감독: Jeremy Sims
주연: Michael Caton, 재키 위버, Emma Hamilton</t>
  </si>
  <si>
    <t>감독: 닐 버거
주연: 쉐일린 우들리, 테오 제임스, 조이 크래비츠</t>
  </si>
  <si>
    <t>SF, 액션</t>
  </si>
  <si>
    <t>감독: Maximilian Erlenwein
주연: Louisa Krause, Sophie Lowe, Stella Uhrig</t>
  </si>
  <si>
    <t>감독: Oliver Hirschbiegel
주연: 나오미 왓츠, Naveen Andrews, Charles Edwards</t>
  </si>
  <si>
    <t>감독: John Moore
주연: 브루스 윌리스, 제이 코트니, Sebastian Koch</t>
  </si>
  <si>
    <t>감독: 폴 슈레이더
주연: 니콜라스 케이지, 안톤 옐친, Alexander Karim</t>
  </si>
  <si>
    <t>감독: 크리스토퍼 놀란
주연: 크리스찬 베일, 게리 올드만, 톰 하디</t>
  </si>
  <si>
    <t>164분</t>
  </si>
  <si>
    <t>감독: 토드 헤인즈
주연: 마크 러팔로, 앤 해서웨이, 팀 로빈스</t>
  </si>
  <si>
    <t>감독: David Hunt
주연: Chris Cleveland, 매튜 앨런, Mark Hayter</t>
  </si>
  <si>
    <t>감독: 질스 파겟-브레너
주연: 샤를리즈 테론, 니콜라스 홀트, 클로이 그레이스 모레츠</t>
  </si>
  <si>
    <t>감독: Nikolaj Arcel
주연: 이드리스 엘바, 매튜 매커너히, Tom Taylor</t>
  </si>
  <si>
    <t>감독: 조 라이트
주연: 게리 올드만, 스테판 딜런, 릴리 제임스</t>
  </si>
  <si>
    <t>감독: 마이크 플래너건
주연: 이완 맥그리거, 레베카 퍼거슨, Kyliegh Curran</t>
  </si>
  <si>
    <t>152분</t>
  </si>
  <si>
    <t>감독: Mike Bartlett
주연: Suranne Jones, 버티 카벨, Clare-Hope Ashitey</t>
  </si>
  <si>
    <t>5화</t>
  </si>
  <si>
    <t>감독: Jon Gunn
주연: 미라 소비노, 배리 페퍼, 콜 하우저</t>
  </si>
  <si>
    <t>감독: 자비에 돌란
주연: 가스파르 울리엘, 나탈리 베이, 뱅상 카셀</t>
  </si>
  <si>
    <t>감독: 장 마크 발레
주연: 매튜 매커너히, 제니퍼 가너, 자레드 레토</t>
  </si>
  <si>
    <t>감독: Birgitte Stærmose
주연: Danica Ćurčić, 구스타프 스카르스고르드, Astrid Grarup Elbo</t>
  </si>
  <si>
    <t>감독: 廣木隆一
주연: 오오이즈미 요, 아리무라 카스미, 메구로 렌</t>
  </si>
  <si>
    <t>감독: Son Jae-gon
주연: 박용우, 최강희, 조은지</t>
  </si>
  <si>
    <t>감독: Kang Dae-gyu
주연: 성동일, 박소이, 김희원</t>
  </si>
  <si>
    <t>감독: Nitesh Tiwari
주연: 아미르 칸, Fatima Sana Shaikh, Sanya Malhotra</t>
  </si>
  <si>
    <t>161분</t>
  </si>
  <si>
    <t>감독: 홍지영
주연: 김윤석, 변요한, 채서진</t>
  </si>
  <si>
    <t>주연: Andy Stanley</t>
  </si>
  <si>
    <t>감독: 라세 할스트룀
주연: 아만다 사이프리드, 채닝 테이텀, 리처드 젠킨스</t>
  </si>
  <si>
    <t>감독: Gabriele Muccino
주연: 제라드 버틀러, 제시카 비엘, 우마 서먼</t>
  </si>
  <si>
    <t>감독: Philippe Claudel
주연: 크리스틴 스콧 토머스, Elsa Zylberstein, Serge Hazanavicius</t>
  </si>
  <si>
    <t>감독: Paul McGuigan
주연: 조쉬 하트넷, 로즈 번, 매튜 릴라드</t>
  </si>
  <si>
    <t>감독: 댄 포글먼
주연: 알 파치노, 아네트 베닝, 크리스토퍼 플러머</t>
  </si>
  <si>
    <t>감독: 톰 후퍼
주연: 에디 레드메인, 알리시아 비칸데르, 마티아스 스후나르츠</t>
  </si>
  <si>
    <t>감독: 양야체
주연: 혜영홍, 吳可熙, 文淇</t>
  </si>
  <si>
    <t>감독: 정윤철
주연: 이정재, 여진구, 김무열</t>
  </si>
  <si>
    <t>감독: Lee Han-jong
주연: 박성웅, 양현민, 류경수</t>
  </si>
  <si>
    <t>감독: Seok Min-u
주연: 오달수, 윤제문, 이경영</t>
  </si>
  <si>
    <t>감독: 프랜시스 포드 코폴라
주연: 말론 브란도, 알 파치노, 제임스 칸</t>
  </si>
  <si>
    <t>175분</t>
  </si>
  <si>
    <t>감독: 프랜시스 포드 코폴라
주연: 알 파치노, 로버트 듀발, 다이앤 키튼</t>
  </si>
  <si>
    <t>200분</t>
  </si>
  <si>
    <t>감독: 프랜시스 포드 코폴라
주연: 알 파치노, 다이앤 키튼, 탈리아 샤이어</t>
  </si>
  <si>
    <t>162분</t>
  </si>
  <si>
    <t>감독: 왕정
주연: 주윤발, 황효명, 홍금보</t>
  </si>
  <si>
    <t>감독: Li Jun
주연: 이정재, 종한량, 郎月婷</t>
  </si>
  <si>
    <t>감독: Lee Won-tae
주연: 조진웅, 이성민, 김무열</t>
  </si>
  <si>
    <t>감독: Lee Won-tae
주연: 조진웅, 송승헌, 정만식</t>
  </si>
  <si>
    <t>감독: Stephanie Laing
주연: 구구 음바타로, 미힐 하위스만, 스티브 쿠건</t>
  </si>
  <si>
    <t>감독: 萧锋
주연: 류엽, 브루스 윌리스, 에이드리언 브로디</t>
  </si>
  <si>
    <t>전쟁</t>
  </si>
  <si>
    <t>감독: 로만 폴란스키
주연: 조디 포스터, 케이트 윈슬렛, 크리스토프 발츠</t>
  </si>
  <si>
    <t>79분</t>
  </si>
  <si>
    <t>감독: 박훈정
주연: 최민식, 정만식, 김상호</t>
  </si>
  <si>
    <t>감독: 김병우
주연: 김다미, 박해수, 권은성</t>
  </si>
  <si>
    <t>재난</t>
  </si>
  <si>
    <t>감독: Peter Hedges
주연: 스티브 카렐, 쥘리에트 비노쉬, Dane Cook</t>
  </si>
  <si>
    <t>감독: 이석훈
주연: 엄정화, 황정민, 이한위</t>
  </si>
  <si>
    <t>감독: Kriv Stenders
주연: 트래비스 피멀, 루크 브레이시, 대니얼 웨버</t>
  </si>
  <si>
    <t>감독: 안국진
주연: 손석구, 김동휘, 김성철</t>
  </si>
  <si>
    <t>감독: Michael Pavone
주연: Chase Ellison, 에드 해리스, 몰리 파커</t>
  </si>
  <si>
    <t>감독: Pierre Morel
주연: 숀 펜, 자스민 트린카, 하비에르 바르뎀</t>
  </si>
  <si>
    <t>감독: Michael Morrissey
주연: Lexi Johnson, 추쿠디 이우지, Kaye Tuckerman</t>
  </si>
  <si>
    <t>감독: 데이비드 핀처
주연: 마이클 더글라스, 숀 펜, Deborah Kara Unger</t>
  </si>
  <si>
    <t>감독: 존 크로울리
주연: 안셀 엘고트, 오크스 페글리, 니콜 키드먼</t>
  </si>
  <si>
    <t>감독: 조 카나한
주연: 리암 니슨, 더멋 멀로니, 프랭크 그릴로</t>
  </si>
  <si>
    <t>감독: Vijay Krishna Acharya
주연: 아미르 칸, 아비셱 바찬, Katrina Kaif</t>
  </si>
  <si>
    <t>171분</t>
  </si>
  <si>
    <t>감독: 김은숙, 안길호
주연: 송혜교, 이도현, 임지연</t>
  </si>
  <si>
    <t>감독: Phillip Noyce
주연: 제프 브리지스, 메릴 스트립, 브렌튼 스웨이츠</t>
  </si>
  <si>
    <t>감독: 조엘 에저튼
주연: 조엘 에저튼, 레베카 홀, 제이슨 베이트먼</t>
  </si>
  <si>
    <t>감독: David Farr
주연: 톰 히들스턴, 휴 로리, 디에고 칼바</t>
  </si>
  <si>
    <t>감독: 라이언 머피
주연: 마크 러팔로, 맷 보머, Taylor Kitsch</t>
  </si>
  <si>
    <t>감독: Todd A. Kessler
주연: 벤 멘델슨, 쥘리에트 비노쉬, 메이지 윌리엄스</t>
  </si>
  <si>
    <t>감독: 기타무라 류헤이
주연: 루비 로즈, 장 르노, 악셀 헨니</t>
  </si>
  <si>
    <t>감독: Michaël R. Roskam
주연: 톰 하디, 누미 라파스, 제임스 갠돌피니</t>
  </si>
  <si>
    <t>감독: Simon Stone
주연: 캐리 멀리건, 랄프 파인즈, 릴리 제임스</t>
  </si>
  <si>
    <t>감독: Augustine Frizzell
주연: 쉐일린 우들리, 펠리시티 존스, 칼럼 터너</t>
  </si>
  <si>
    <t>감독: 요르고스 란티모스
주연: 콜린 파렐, 레이첼 와이즈, 올리비아 콜먼</t>
  </si>
  <si>
    <t>감독: Austin Stark
주연: 니콜라스 케이지, 사라 폴슨, 코니 닐센</t>
  </si>
  <si>
    <t>감독: 아자젤 제이컵스
주연: 데브라 윙거, 트레이시 레츠, 에이단 길런</t>
  </si>
  <si>
    <t>감독: Scott Hicks
주연: 잭 에프론, 테일러 쉴링, Blythe Danner</t>
  </si>
  <si>
    <t>감독: 대런 아로노프스키
주연: 미키 루크, 마리사 토메이, 에반 레이첼 우드</t>
  </si>
  <si>
    <t>감독: Jonathan Teplitzky
주연: 콜린 퍼스, 니콜 키드먼, 스텔란 스카스가드</t>
  </si>
  <si>
    <t>감독: Howard J. Ford
주연: Brittany Ashworth, Nathan Welsh, Anaïs Parello</t>
  </si>
  <si>
    <t>감독: 瀬々敬久
주연: Ayano Moriguchi, 佐々木心音, 山田愛奈</t>
  </si>
  <si>
    <t>감독: 마이클 베이
주연: 숀 코너리, 니콜라스 케이지, 에드 해리스</t>
  </si>
  <si>
    <t>감독: George Tillman Jr.
주연: 브릿 로버트슨, 스콧 이스트우드, 앨런 알다</t>
  </si>
  <si>
    <t>감독: 알렉시 홀리
주연: 네이선 필리언, Melissa O'Neil, Eric Winter</t>
  </si>
  <si>
    <t>드라마, 범죄, 액션</t>
  </si>
  <si>
    <t>20화</t>
  </si>
  <si>
    <t>감독: Terence Paul Winter, 알렉시 홀리
주연: 니시 내쉬, 펠릭스 솔리스, James Lesure</t>
  </si>
  <si>
    <t>감독: Christian Volckman
주연: 올가 쿠릴렌코, Kevin Janssens, Francis Chapman</t>
  </si>
  <si>
    <t>감독: 스티븐 달드리
주연: 랄프 파인즈, 케이트 윈슬렛, David Kross</t>
  </si>
  <si>
    <t>감독: Matthew Leutwyler
주연: 윌리엄 허트, 엠버 허드, Zach Gilford</t>
  </si>
  <si>
    <t>감독: Isaac Florentine
주연: 안토니오 반데라스, 칼 어번, 파즈 베가</t>
  </si>
  <si>
    <t>감독: Jean-Baptiste Léonetti
주연: 마이클 더글라스, 제레미 어바인, Hanna Mangan Lawrence</t>
  </si>
  <si>
    <t>감독: 존 리 행콕
주연: 덴젤 워싱턴, 라미 말렉, 자레드 레토</t>
  </si>
  <si>
    <t>감독: 스콧 Z. 번스
주연: 애덤 드라이버, 아네트 베닝, 존 햄</t>
  </si>
  <si>
    <t>감독: Andrew Traucki
주연: Damian Walshe-Howling, Zoe Naylor, Adrienne Pickering</t>
  </si>
  <si>
    <t>감독: 조 카나한
주연: 맷 데이먼, 벤 애플렉, 테야나 테일러</t>
  </si>
  <si>
    <t>감독: 제임스 마쉬
주연: 콜린 퍼스, 레이첼 와이즈, 데이비드 슐리스</t>
  </si>
  <si>
    <t>감독: 로린 스카파리아
주연: 수잔 서랜든, 로즈 번, J.K. 시몬스</t>
  </si>
  <si>
    <t>감독: Jay Carson
주연: 제니퍼 애니스턴, 리즈 위더스푼, 빌리 크루덥</t>
  </si>
  <si>
    <t>감독: 김용화
주연: 설경구, 도경수, 김희애</t>
  </si>
  <si>
    <t>감독: 크리스 웨이츠
주연: 크리스틴 스튜어트, 로버트 패틴슨, 테일러 로트너</t>
  </si>
  <si>
    <t>감독: 믹 잭슨
주연: 케빈 코스트너, 휘트니 휴스턴, Gary Kemp</t>
  </si>
  <si>
    <t>감독: David Grovic
주연: 존 쿠삭, Rebecca Da Costa, 로버트 드 니로</t>
  </si>
  <si>
    <t>감독: Samir Mehanović</t>
  </si>
  <si>
    <t>감독: Nick Clarke Powell
주연: Jaye Griffiths</t>
  </si>
  <si>
    <t>감독: Nick Stagliano
주연: 안소니 홉킨스, 앤슨 마운트, 에비 코니쉬</t>
  </si>
  <si>
    <t>감독: Robin Bissell
주연: 타라지 P. 헨슨, 샘 록웰, 바부 시사이</t>
  </si>
  <si>
    <t>감독: 스티븐 나이트
주연: 엘리자베스 모스, 윰나 마르완, 달리 벤살라</t>
  </si>
  <si>
    <t>감독: Rob Cohen
주연: 제니퍼 로페즈, 라이언 거즈먼, Ian Nelson</t>
  </si>
  <si>
    <t>감독: M. 나이트 샤말란
주연: 올리비아 드종, Ed Oxenbould, Deanna Dunagan</t>
  </si>
  <si>
    <t>감독: James Ponsoldt
주연: 엠마 왓슨, 톰 행크스, 존 보예가</t>
  </si>
  <si>
    <t>감독: Stephan Rick
주연: 발 킬머, Patrick John Flueger, Louisa Krause</t>
  </si>
  <si>
    <t>감독: Dean Kapsalis
주연: Azura Skye, Bryce Pinkham, Ashley Bell</t>
  </si>
  <si>
    <t>감독: 브라이언 클루먼, Lee Sternthal
주연: 브래들리 쿠퍼, 조 샐다나, 제레미 아이언스</t>
  </si>
  <si>
    <t>감독: Thaddeus O'Sullivan
주연: 브렌던 글리슨, 에드리언 스카보로, 이언 글렌</t>
  </si>
  <si>
    <t>감독: Zackary Adler
주연: 올가 쿠릴렌코, 게리 올드만, 더멋 멀로니</t>
  </si>
  <si>
    <t>감독: Abi Morgan
주연: Nicola Walker, Annabel Scholey, Stephen Mangan</t>
  </si>
  <si>
    <t>감독: Drew Heriot
주연: Bob Proctor, Joe Vitale, John Assaraf</t>
  </si>
  <si>
    <t>감독: Yuval Adler
주연: 누미 라파스, 조엘 킨나만, 크리스 메시나</t>
  </si>
  <si>
    <t>감독: Andy Tennant
주연: 케이티 홈즈, 조시 루커스, 제리 오코널</t>
  </si>
  <si>
    <t>감독: 플로리앙 젤레
주연: 휴 잭맨, Zen McGrath, 바네사 커비</t>
  </si>
  <si>
    <t>감독: Rod Lurie
주연: 스콧 이스트우드, 케일럽 랜드리 존스, 올랜도 블룸</t>
  </si>
  <si>
    <t>감독: Evan Spiliotopoulos
주연: 제프리 딘 모건, Cricket Brown, 윌리엄 새들러</t>
  </si>
  <si>
    <t>감독: Björn Runge
주연: 글렌 클로즈, 조너선 프라이스, 크리스찬 슬레이터</t>
  </si>
  <si>
    <t>감독: 마틴 스콜세지
주연: 레오나르도 디카프리오, 조나 힐, 마고 로비</t>
  </si>
  <si>
    <t>180분</t>
  </si>
  <si>
    <t>감독: Jeremy Garelick
주연: 케빈 하트, 조시 게드, 케일리 쿼코</t>
  </si>
  <si>
    <t>감독: Gavin O'Connor
주연: 벤 애플렉, Al Madrigal, Michaela Watkins</t>
  </si>
  <si>
    <t>감독: 피터 위어
주연: 에드 해리스, 짐 스터지스, 시얼샤 로넌</t>
  </si>
  <si>
    <t>감독: Bruce Macdonald
주연: 스콧 이스트우드, Cheryl Ladd, Patrick Lyster</t>
  </si>
  <si>
    <t>감독: 줄리안 파리노
주연: 마크 월버그, 할리 베리, J.K. 시몬스</t>
  </si>
  <si>
    <t>감독: 안톤 후쿠아
주연: 덴젤 워싱턴, 마튼 초카스, 클로이 그레이스 모레츠</t>
  </si>
  <si>
    <t>감독: 안톤 후쿠아
주연: 덴젤 워싱턴, 페드로 파스칼, Ashton Sanders</t>
  </si>
  <si>
    <t>감독: 안톤 후쿠아
주연: 덴젤 워싱턴, 다코타 패닝, Eugenio Mastrandrea</t>
  </si>
  <si>
    <t>감독: Gary Fleder
주연: Rob Brown, 데니스 퀘이드, Darrin Henson</t>
  </si>
  <si>
    <t>감독: 후안 안토니오 바요나
주연: 나오미 왓츠, 이완 맥그리거, 톰 홀랜드</t>
  </si>
  <si>
    <t>감독: David Dobkin
주연: 로버트 다우니 주니어, 로버트 듀발, 베라 파미가</t>
  </si>
  <si>
    <t>감독: 폴 슈레이더
주연: 오스카 아이작, 티파니 해디쉬, 타이 셰리던</t>
  </si>
  <si>
    <t>감독: 스콧 데릭슨
주연: 마일스 텔러, 안야 테일러조이, 시고니 위버</t>
  </si>
  <si>
    <t>감독: Ben Chanan
주연: 홀리데이 그레인저, 론 펄먼, 벤 마일스</t>
  </si>
  <si>
    <t>감독: David Soren
주연: 케빈 하트, 토머스 미들디치, 에드 헬름스</t>
  </si>
  <si>
    <t>감독: Joachim Fest, Christian Herrendoerfer
주연: Gert Westphal, 아돌프 히틀러, Ernest Bevin</t>
  </si>
  <si>
    <t>감독: 가이 리치
주연: 제이크 질렌할, Dar Salim, Sean Sagar</t>
  </si>
  <si>
    <t>감독: 타릭 살레
주연: 크리스 파인, 키퍼 서덜랜드, 벤 포스터</t>
  </si>
  <si>
    <t>감독: 존 웰스
주연: 벤 애플렉, 토미 리 존스, 크리스 쿠퍼</t>
  </si>
  <si>
    <t>감독: Gary Smith
주연: 바브라 스트라이샌드, Carlos Marín, 데이비드 밀러</t>
  </si>
  <si>
    <t>감독: Brad Anderson
주연: 할리 베리, 아비게일 브레스린, 모리스 체스트넛</t>
  </si>
  <si>
    <t>감독: 크리스 샌더스
주연: 해리슨 포드, 댄 스티븐스, 콜린 우델</t>
  </si>
  <si>
    <t>모험</t>
  </si>
  <si>
    <t>감독: Jason Stone
주연: 수잔 서랜든, Gil Bellows, 앨런 버스틴</t>
  </si>
  <si>
    <t>감독: John Andreas Andersen
주연: Kristoffer Joner, Ane Dahl Torp, Jonas Hoff Oftebro</t>
  </si>
  <si>
    <t>감독: 스티븐 프리어스
주연: 헬렌 미렌, 마이클 쉰, 제임스 크롬웰</t>
  </si>
  <si>
    <t>감독: Peter Morgan
주연: 이멜다 스턴튼, 조너선 프라이스, 레슬리 맨빌</t>
  </si>
  <si>
    <t>감독: Craig Graham
주연: Claudia Karvan, 리처드 록스버그</t>
  </si>
  <si>
    <t>4화</t>
  </si>
  <si>
    <t>감독: Lone Scherfig
주연: Max Irons, 샘 클라플린, Douglas Booth</t>
  </si>
  <si>
    <t>칠레</t>
  </si>
  <si>
    <t>감독: Andrea Berloff
주연: 멜리사 매카시, 티파니 해디쉬, 엘리자베스 모스</t>
  </si>
  <si>
    <t>감독: 베르너 헤어조크
주연: 브랜던 플라워스, Dave Keuning, Mark Stoermer</t>
  </si>
  <si>
    <t>감독: 요르고스 란티모스
주연: 콜린 파렐, 니콜 키드먼, 배리 키오건</t>
  </si>
  <si>
    <t>감독: Kenneth Kainz
주연: Rebecca Emilie Sattrup, Peter Plaugborg, Jakob Oftebro</t>
  </si>
  <si>
    <t>감독: 김상만
주연: 유지태, 이세야 유스케, 차예련</t>
  </si>
  <si>
    <t>감독: 김병우
주연: 하정우, 김대명, 이경영</t>
  </si>
  <si>
    <t>감독: Alex Brewer, Benjamin Brewer
주연: 니콜라스 케이지, 일라이저 우드, Sky Ferreira</t>
  </si>
  <si>
    <t>감독: Terry Loane
주연: 루스 브래들리, Pippa Haywood, Dean Andrews</t>
  </si>
  <si>
    <t>감독: Julie Bertuccelli
주연: 샤를로트 갱스부르, Morgan Davies, 마튼 초카스</t>
  </si>
  <si>
    <t>감독: Fred Durst
주연: 존 트래볼타, Devon Sawa, Ana Golja</t>
  </si>
  <si>
    <t>감독: 플로리앙 젤레
주연: 안소니 홉킨스, 올리비아 콜먼, 마크 게이티스</t>
  </si>
  <si>
    <t>감독: 크레이그 길레스피
주연: 크리스 파인, 케이시 애플렉, 벤 포스터</t>
  </si>
  <si>
    <t>주연: Madisen Beaty, Dan Lauria, Ry Feder Pruett</t>
  </si>
  <si>
    <t>감독: Christopher Cantwell
주연: 아론 폴, 메리 엘리자베스 윈스테드, 스쿠트 맥네리</t>
  </si>
  <si>
    <t>감독: Mark Baldo
주연: John Schneider, 헨리 윙클러, Eric Christian Olsen</t>
  </si>
  <si>
    <t>감독: 제임스 디모너코
주연: 프랭크 그릴로, 카먼 이조고, Zach Gilford</t>
  </si>
  <si>
    <t>감독: 요르고스 란티모스
주연: 엠마 스톤, 올리비아 콜먼, 레이첼 와이즈</t>
  </si>
  <si>
    <t>감독: Klaus Härö
주연: Märt Avandi, Ursula Ratasepp, Hendrik Toompere</t>
  </si>
  <si>
    <t>핀란드</t>
  </si>
  <si>
    <t>감독: 곽경택, Kim Tae-hun
주연: 김명민, 민호, 김성철</t>
  </si>
  <si>
    <t>네덜란드</t>
  </si>
  <si>
    <t>감독: 마틴 캠벨
주연: 피어스 브로스넌, 성룡, Rory Fleck-Byrne</t>
  </si>
  <si>
    <t>감독: 스티븐 스필버그
주연: 메릴 스트립, 톰 행크스, 사라 폴슨</t>
  </si>
  <si>
    <t>감독: Philip Martin
주연: 존 트래볼타, 크리스토퍼 플러머, 타이 셰리던</t>
  </si>
  <si>
    <t>감독: Kim Bong-joo
주연: 손현주, 엄지원, 배성우</t>
  </si>
  <si>
    <t>감독: Scott Walker
주연: 니콜라스 케이지, 바네사 허진스, 존 쿠삭</t>
  </si>
  <si>
    <t>감독: 마틴 캠벨
주연: 매기 큐, 사무엘 L. 잭슨, 마이클 키튼</t>
  </si>
  <si>
    <t>감독: Farhad Safinia
주연: 멜 깁슨, 숀 펜, 나탈리 도머</t>
  </si>
  <si>
    <t>감독: Keoni Waxman
주연: 마이클 제이 화이트, Luke Goss, Randy Couture</t>
  </si>
  <si>
    <t>감독: Chris Addison
주연: 레벨 윌슨, 앤 해서웨이, 알렉스 샤프</t>
  </si>
  <si>
    <t>감독: 토미 리 존스
주연: 힐러리 스웽크, 토미 리 존스, 그레이스 거머</t>
  </si>
  <si>
    <t>서부</t>
  </si>
  <si>
    <t>감독: Rob W. King
주연: 니콜라스 케이지, Sarah Lind, Jakob Davies</t>
  </si>
  <si>
    <t>감독: Lindsay Branham</t>
  </si>
  <si>
    <t>감독: Luke Greenfield
주연: 에밀 허쉬, 엘리샤 커스버트, 티모시 올리펀트</t>
  </si>
  <si>
    <t>판타지</t>
  </si>
  <si>
    <t>감독: 리처드 켈리
주연: 카메론 디아즈, 제임스 마스던, Frank Langella</t>
  </si>
  <si>
    <t>감독: Michael Brandt
주연: 리처드 기어, 토퍼 그레이스, 마틴 쉰</t>
  </si>
  <si>
    <t>감독: Bruno Mattei, Claudio Fragasso
주연: Miles O'Keeffe, Donald Pleasence, Bo Svenson</t>
  </si>
  <si>
    <t>감독: David Michôd
주연: 티모시 샬라메, 조엘 에저튼, 숀 해리스</t>
  </si>
  <si>
    <t>사극</t>
  </si>
  <si>
    <t>감독: Jeon Hyung-jun
주연: 윤상현, 황찬성, 이광수</t>
  </si>
  <si>
    <t>감독: 허진호
주연: 손예진, 박해일, 라미란</t>
  </si>
  <si>
    <t>감독: 더그 라이만
주연: 에런 테일러존슨, 존 시나, Laith Nakli</t>
  </si>
  <si>
    <t>감독: 크리스토퍼 놀란
주연: 핀 화이트헤드, 톰 하디, 마크 라이런스</t>
  </si>
  <si>
    <t>감독: Liz Feldman
주연: 크리스티나 애플게이트, 린다 카델리니, 제임스 마스던</t>
  </si>
  <si>
    <t>감독: Nic Alderton
주연: Sam Callis, Thais Botinas, Barnaby Kay</t>
  </si>
  <si>
    <t>감독: 장 마크 발레
주연: 제이크 질렌할, 나오미 왓츠, 크리스 쿠퍼</t>
  </si>
  <si>
    <t>감독: 루이 말
주연: 제레미 아이언스, 쥘리에트 비노쉬, 미란다 리처드슨</t>
  </si>
  <si>
    <t>감독: Terry McDonough
주연: 사무엘 L. 잭슨, 뱅상 카셀, Gianni Capaldi</t>
  </si>
  <si>
    <t>감독: 제임스 완
주연: 케빈 베이컨, 개렛 헤들런드, Kelly Preston</t>
  </si>
  <si>
    <t>감독: 일라이 로스
주연: 브루스 윌리스, 빈센트 도노프리오, 딘 노리스</t>
  </si>
  <si>
    <t>감독: Shuo Yuan, Ke Wang
주연: Hong Shuang, Yuan Shuai, Bai Yunfeng</t>
  </si>
  <si>
    <t>감독: 폴 토마스 앤더슨
주연: 다니엘 데이루이스, 폴 다노, Kevin J. O'Connor</t>
  </si>
  <si>
    <t>감독: Rob Cohen
주연: 실베스터 스탤론, Amy Brenneman, 비고 모텐슨</t>
  </si>
  <si>
    <t>감독: 앨런 파커
주연: 케빈 스페이시, 케이트 윈슬렛, 로라 리니</t>
  </si>
  <si>
    <t>감독: 데이비드 크로넨버그
주연: 키이라 나이틀리, 비고 모텐슨, 마이클 패스벤더</t>
  </si>
  <si>
    <t>감독: 토니 스콧
주연: 덴젤 워싱턴, 폴라 패튼, 발 킬머</t>
  </si>
  <si>
    <t>감독: James Manos Jr.
주연: 마이클 C. 홀, Jennifer Carpenter, Geoff Pierson</t>
  </si>
  <si>
    <t>드라마, 범죄, 스릴러</t>
  </si>
  <si>
    <t>12화</t>
  </si>
  <si>
    <t>감독: Clyde Phillips
주연: 마이클 C. 홀, Jack Alcott, Julia Jones</t>
  </si>
  <si>
    <t>감독: 요아킴 트리에
주연: Eili Harboe, Kaya Wilkins, Henrik Rafaelsen</t>
  </si>
  <si>
    <t>감독: 황동혁
주연: 공유, 정유미, 김현수</t>
  </si>
  <si>
    <t>감독: Park Jung-bae
주연: 이제훈, 조우진, 신혜선</t>
  </si>
  <si>
    <t>감독: 채닝 테이텀, Reid Carolin
주연: 채닝 테이텀, Aavi Haas, Ryder McLaughlin</t>
  </si>
  <si>
    <t>감독: 크리스 콜럼버스
주연: 로건 러먼, Brandon T. Jackson, 알렉산드라 다다리오</t>
  </si>
  <si>
    <t>감독: 최동훈
주연: 김윤석, 김혜수, 이정재</t>
  </si>
  <si>
    <t>감독: 舛田利雄, 후카사쿠 킨지, 리처드 플라이셔
주연: 마틴 발삼, 山村聰, Jason Robards</t>
  </si>
  <si>
    <t>감독: 홍상수
주연: 김민희, 서영화, 송선미</t>
  </si>
  <si>
    <t>77분</t>
  </si>
  <si>
    <t>감독: 아오야마 신지
주연: 스다 마사키, 木下美咲, 篠原友希子</t>
  </si>
  <si>
    <t>감독: Lee Kwon
주연: 공효진, 김예원, 김성오</t>
  </si>
  <si>
    <t>감독: 大根仁
주연: 아야노 고, 토요카와 에츠시, 키타무라 카즈키</t>
  </si>
  <si>
    <t>감독: 구로사와 기요시
주연: 카가와 테루유키, 코이즈미 쿄코, 이노와키 카이</t>
  </si>
  <si>
    <t>감독: 松岡錠司
주연: 오다기리 조, 키키 키린, 内田也哉子</t>
  </si>
  <si>
    <t>감독: 덱스터 플레처
주연: 태런 에저턴, 휴 잭맨, 크리스토퍼 워컨</t>
  </si>
  <si>
    <t>감독: 이해영
주연: 조진웅, 류준열, 김주혁</t>
  </si>
  <si>
    <t>감독: 박누리
주연: 류준열, 유지태, 조우진</t>
  </si>
  <si>
    <t>감독: 아담 맥케이
주연: 레오나르도 디카프리오, 제니퍼 로렌스, 메릴 스트립</t>
  </si>
  <si>
    <t>감독: Kim Yong-Han
주연: 유선, 남보라, Dong Ho</t>
  </si>
  <si>
    <t>감독: 임상수
주연: 김강우, 백윤식, 윤여정</t>
  </si>
  <si>
    <t>감독: Taylor Hackford
주연: 캐시 베이츠, 제니퍼 제이슨 리, Judy Parfitt</t>
  </si>
  <si>
    <t>감독: Kim Jeong-sik
주연: 김대명, 송윤아, 김의성</t>
  </si>
  <si>
    <t>감독: 박경수, 김용완
주연: 설경구, 김희애, 김미숙</t>
  </si>
  <si>
    <t>감독: 찰스 마틴 스미스
주연: Winter The Dolphin, Nathan Gamble, Cozi Zuehlsdorff</t>
  </si>
  <si>
    <t>감독: Richard Shepard
주연: 주드 로, Demián Bichir, 리처드 E. 그랜트</t>
  </si>
  <si>
    <t>감독: 김정권
주연: 김하늘, 유지태, 하지원</t>
  </si>
  <si>
    <t>감독: Kim Kyung-hyung
주연: 김하늘, 권상우, 김지우</t>
  </si>
  <si>
    <t>감독: 야마다 요지
주연: 하시즈메 이사오, 吉行和子, 츠마부키 사토시</t>
  </si>
  <si>
    <t>146분</t>
  </si>
  <si>
    <t>감독: Im Jin-soon
주연: 마동석, 김새론, 장광</t>
  </si>
  <si>
    <t>감독: Park Hong-soo
주연: 최승현, 한예리, 윤제문</t>
  </si>
  <si>
    <t>감독: 이종석
주연: 박지현, 최시원, 성동일</t>
  </si>
  <si>
    <t>감독: Charles Walters
주연: 셜리 맥클레인, Laurence Harvey, Jack Hawkins</t>
  </si>
  <si>
    <t>감독: 페르난도 메이렐레스
주연: 조너선 프라이스, 안소니 홉킨스, 후안 미누힌</t>
  </si>
  <si>
    <t>감독: Sofia Gutman
주연: Amlan C. Larcher, Guillaume Gaudfrin, Nadege Batou</t>
  </si>
  <si>
    <t>감독: Gina Kim
주연: 베라 파미가, 하정우, 데이비드 맥기니스</t>
  </si>
  <si>
    <t>감독: 토드 필립스
주연: 로버트 다우니 주니어, 잭 갤리퍼내키스, 미셸 모나한</t>
  </si>
  <si>
    <t>감독: 드니 빌뇌브
주연: 티모시 샬라메, 레베카 퍼거슨, 오스카 아이작</t>
  </si>
  <si>
    <t>감독: Robert Connolly
주연: 에릭 배너, Genevieve O'Reilly, Keir O'Donnell</t>
  </si>
  <si>
    <t>감독: 니콜라스 빈딩 레픈
주연: 라이언 고슬링, 캐리 멀리건, 브라이언 크랜스턴</t>
  </si>
  <si>
    <t>감독: 하마구치 류스케
주연: 니시지마 히데토시, 미우라 토코, 오카다 마사키</t>
  </si>
  <si>
    <t>감독: Patrick Lussier
주연: 니콜라스 케이지, 엠버 허드, 윌리엄 피츠너</t>
  </si>
  <si>
    <t>감독: Shaz Bennett
주연: Martin L. Washington Jr., Maya Washington, Matt Dallas</t>
  </si>
  <si>
    <t>감독: 이반 라이트만
주연: 케빈 코스트너, 제니퍼 가너, 데니스 리어리</t>
  </si>
  <si>
    <t>감독: Jocelyn Moorhouse
주연: 케이트 윈슬렛, 리암 헴스워스, 캐럴라인 구돌</t>
  </si>
  <si>
    <t>감독: 앤드류 니콜
주연: 에단 호크, 재뉴어리 존스, 조이 크래비츠</t>
  </si>
  <si>
    <t>감독: 크리스토퍼 랜던
주연: 메간 파히, 브랜든 스클레나, Reed Diamond</t>
  </si>
  <si>
    <t>감독: Morgan O'Neill, Ben Nott
주연: 샘 워싱턴, Myles Pollard, 세이비어 새뮤얼</t>
  </si>
  <si>
    <t>감독: 짐 셰리던
주연: 다니엘 크레이그, 나오미 왓츠, 레이첼 와이즈</t>
  </si>
  <si>
    <t>감독: Euros Lyn
주연: 토니 콜렛, Owen Teale, 데미안 루이스</t>
  </si>
  <si>
    <t>감독: Kim Bong-han, 신승환
주연: 김창옥</t>
  </si>
  <si>
    <t>감독: Marc Lawrence
주연: 휴 그랜트, 사라 제시카 파커, 샘 엘리엇</t>
  </si>
  <si>
    <t>감독: 닉 카사베츠
주연: 카메론 디아즈, 레슬리 맨, 케이트 업튼</t>
  </si>
  <si>
    <t>감독: 알레한드로 아메나바르
주연: 니콜 키드먼, Alakina Mann, James Bentley</t>
  </si>
  <si>
    <t>감독: Patrick Brice
주연: 애덤 스콧, 테일러 쉴링, 제이슨 슈워츠먼</t>
  </si>
  <si>
    <t>감독: 에반 골드버그, 세스 로건
주연: 제임스 프랭코, 세스 로건, 리지 캐플런</t>
  </si>
  <si>
    <t>감독: 조슬예
주연: 신민아, 이유영, 이규형</t>
  </si>
  <si>
    <t>84분</t>
  </si>
  <si>
    <t>감독: 세바스티안 렐리오
주연: 레이첼 와이즈, 레이첼 맥아담스, 알렉산드로 니볼라</t>
  </si>
  <si>
    <t>감독: 알렉산더 페인
주연: 조지 클루니, 쉐일린 우들리, Amara Miller</t>
  </si>
  <si>
    <t>감독: 맥지
주연: 리즈 위더스푼, 크리스 파인, 톰 하디</t>
  </si>
  <si>
    <t>감독: 저드 아패토우
주연: 폴 러드, 레슬리 맨, 존 리스고</t>
  </si>
  <si>
    <t>감독: Henry Alex Rubin
주연: 제이슨 베이트먼, 호프 데이비스, 프랭크 그릴로</t>
  </si>
  <si>
    <t>감독: Charlie McDowell
주연: 제이슨 시걸, 루니 마라, 로버트 레드포드</t>
  </si>
  <si>
    <t>감독: 알폰소 쿠아론
주연: 케이트 블란쳇, 케빈 클라인, 사샤 바론 코헨</t>
  </si>
  <si>
    <t>감독: D.J. Caruso
주연: 샤이아 라보프, Sarah Roemer, 캐리 앤 모스</t>
  </si>
  <si>
    <t>감독: 레니 할린
주연: Holly Goss, Matt Stokoe, Luke Albright</t>
  </si>
  <si>
    <t>감독: 패디 콘시딘
주연: 피터 뮬런, 올리비아 콜먼, 에디 마산</t>
  </si>
  <si>
    <t>감독: Willis Ikedum
주연: Daniel K. Daniel, Liz Benson</t>
  </si>
  <si>
    <t>감독: 캐스린 비글로
주연: 존 보예가, 윌 폴터, 안소니 마키</t>
  </si>
  <si>
    <t>감독: 에드워드 즈윅
주연: 다니엘 크레이그, 리에브 슈라이버, 제이미 벨</t>
  </si>
  <si>
    <t>감독: 마틴 스콜세지
주연: 레오나르도 디카프리오, 맷 데이먼, 잭 니콜슨</t>
  </si>
  <si>
    <t>151분</t>
  </si>
  <si>
    <t>감독: Ken Scott
주연: 빈스 본, 코비 스멀더스, 크리스 프랫</t>
  </si>
  <si>
    <t>감독: John Pogue
주연: Tania Raymonde, 나다니엘 부졸릭, Emerson Brooks</t>
  </si>
  <si>
    <t>감독: Darin Scott
주연: Danielle Savre, Rob Mayes, 마이클 비치</t>
  </si>
  <si>
    <t>감독: 애드리안 라인
주연: 벤 애플렉, 아나 데 아르마스, 트레이시 레츠</t>
  </si>
  <si>
    <t>감독: 미미 레더
주연: 로버트 듀발, 테아 레오니, 일라이저 우드</t>
  </si>
  <si>
    <t>감독: 피터 버그
주연: 마크 월버그, 커트 러셀, 존 말코비치</t>
  </si>
  <si>
    <t>감독: 沖田修一
주연: 야쿠쇼 코지, 오구리 슌, 고라 겐고</t>
  </si>
  <si>
    <t>감독: Stuart Blumberg
주연: 마크 러팔로, 기네스 팰트로, 팀 로빈스</t>
  </si>
  <si>
    <t>감독: Shawn Christensen
주연: Shawn Christensen, Fatima Ptacek, 에미 로섬</t>
  </si>
  <si>
    <t>감독: 木村大作
주연: 오카다 준이치, 니시지마 히데토시, 쿠로키 하루</t>
  </si>
  <si>
    <t>감독: Kim Tae-yun
주연: 박철민, 윤유선, 김규리</t>
  </si>
  <si>
    <t>감독: Nam Taek-soo
주연: 이홍기, 백진희, 마동석</t>
  </si>
  <si>
    <t>감독: Martin Sundland, Lars Gudmestad
주연: Anders Baasmo Christiansen, 잉리 볼쇠 베르달, Alma Günther</t>
  </si>
  <si>
    <t>감독: Michael Tollin
주연: 쿠바 구딩 주니어, 에드 해리스, 알프레 우더드</t>
  </si>
  <si>
    <t>감독: 데이미언 셔젤
주연: 라이언 고슬링, 엠마 스톤, 존 레전드</t>
  </si>
  <si>
    <t>감독: Olivier Dahan
주연: 마리옹 꼬띠아르, 실비 테스튀, Pascal Greggory</t>
  </si>
  <si>
    <t>감독: 구로사와 아키라
주연: 미후네 토시로, 쿄 마치코, 시무라 타카시</t>
  </si>
  <si>
    <t>감독: 마이크 피기스
주연: 니콜라스 케이지, 엘리자베스 슈, 줄리언 샌즈</t>
  </si>
  <si>
    <t>감독: Tom Vaughan
주연: 카메론 디아즈, 애쉬튼 커쳐, 롭 코드리</t>
  </si>
  <si>
    <t>감독: Massy Tadjedin
주연: 키이라 나이틀리, 샘 워싱턴, 에바 멘데스</t>
  </si>
  <si>
    <t>감독: 리들리 스콧
주연: 맷 데이먼, 애덤 드라이버, 조디 코머</t>
  </si>
  <si>
    <t>감독: Michael Cimpher, Charles Ortleb</t>
  </si>
  <si>
    <t>감독: 滝田洋二郎
주연: 니노미야 카즈나리, 니시지마 히데토시, 아야노 고</t>
  </si>
  <si>
    <t>감독: Michael Peterson</t>
  </si>
  <si>
    <t>감독: 마이클 만
주연: 다니엘 데이루이스, 매들린 스토우, 조디 메이</t>
  </si>
  <si>
    <t>감독: 토마스 빈터베리
주연: 마티아스 스후나르츠, 레아 세이두, 페터 지모니셰크</t>
  </si>
  <si>
    <t>감독: Jon Turteltaub
주연: 로버트 드 니로, 모건 프리먼, 마이클 더글라스</t>
  </si>
  <si>
    <t>감독: 알렉스 파킨슨
주연: 우디 해럴슨, 시무 리우, 핀 콜</t>
  </si>
  <si>
    <t>감독: Julie Anne Robinson
주연: 마일리 사이러스, 그렉 키니어, Bobby Coleman</t>
  </si>
  <si>
    <t>감독: Hank Steinberg, Steven Kane
주연: 에릭 데인, 애덤 볼드윈, 찰스 파넬</t>
  </si>
  <si>
    <t>감독: 김지운
주연: 아놀드 슈왈제네거, 조니 녹스빌, 제이미 알렉산더</t>
  </si>
  <si>
    <t>감독: James Krisel, Colin Krisel
주연: 잭 에이버리, 사마라 위빙, 칼리 체이킨</t>
  </si>
  <si>
    <t>감독: Geoffrey Haley
주연: 위노나 라이더, 웨스 벤틀리, 레이 로마노</t>
  </si>
  <si>
    <t>감독: 폴 피그
주연: 에밀리아 클라크, 헨리 골딩, 양자경</t>
  </si>
  <si>
    <t>감독: Larry Levene
주연: Folco Felzani</t>
  </si>
  <si>
    <t>감독: Todd Robinson
주연: 세바스찬 스탠, 크리스토퍼 플러머, 윌리엄 허트</t>
  </si>
  <si>
    <t>감독: Jon Bokenkamp, Richard D'Ovidio
주연: 제이슨 클라크, 헤일리 베넷, 도미닉 쿠퍼</t>
  </si>
  <si>
    <t>감독: Pan Nalin
주연: Bhavin Rabari, Richa Meena, Bhavesh Shrimali</t>
  </si>
  <si>
    <t>감독: 웨인 왕
주연: 퀸 라티파, LL 쿨 J, Timothy Hutton</t>
  </si>
  <si>
    <t>감독: Ramin Bahrani
주연: 앤드류 가필드, 마이클 섀넌, 로라 던</t>
  </si>
  <si>
    <t>감독: Brian Goodman
주연: 제라드 버틀러, 제이미 알렉산더, Russell Hornsby</t>
  </si>
  <si>
    <t>감독: Narcisse Blood
주연: Pete Standing Alone</t>
  </si>
  <si>
    <t>감독: Steven C. Miller
주연: 에런 엑하트, 코트니 이튼, Ben McKenzie</t>
  </si>
  <si>
    <t>감독: 테일러 쉐리던
주연: 조 샐다나, Laysla De Oliveira, Dave Annable</t>
  </si>
  <si>
    <t>감독: Garth Davis
주연: 데브 파텔, 루니 마라, 데이비드 웬햄</t>
  </si>
  <si>
    <t>감독: 스티븐 스필버그
주연: 톰 행크스, 톰 시즈모어, 에드워드 번즈</t>
  </si>
  <si>
    <t>169분</t>
  </si>
  <si>
    <t>감독: Drake Doremus
주연: 안톤 옐친, 펠리시티 존스, 제니퍼 로렌스</t>
  </si>
  <si>
    <t>감독: 안톤 코르빈
주연: 로버트 패틴슨, 데인 드한, 조엘 에저튼</t>
  </si>
  <si>
    <t>감독: 다니엘 에스피노사
주연: 제이크 질렌할, 라이언 레이놀즈, 레베카 퍼거슨</t>
  </si>
  <si>
    <t>감독: Mike Bartlett
주연: 앨리슨 스테드먼, Adrian Lester, 빅토리아 해밀턴</t>
  </si>
  <si>
    <t>감독: Josh Janowicz
주연: Drew Van Acker, Addison Timlin, 제임스 다시</t>
  </si>
  <si>
    <t>감독: Adam Brooks
주연: 소피아 카슨, 카일 앨런, Sebastian de Souza</t>
  </si>
  <si>
    <t>감독: Irwin Winkler
주연: 케빈 클라인, 헤이든 크리스텐슨, 크리스틴 스콧 토머스</t>
  </si>
  <si>
    <t>감독: 윌리엄 A. 웰먼
주연: Tab Hunter, Etchika Choureau, Marcel Dalio</t>
  </si>
  <si>
    <t>감독: 미이케 다카시
주연: 사쿠라이 쇼, 히로세 스즈, 후쿠시 소타</t>
  </si>
  <si>
    <t>감독: Adrian Grünberg
주연: 실베스터 스탤론, 파즈 베가, Sergio Peris-Mencheta</t>
  </si>
  <si>
    <t>감독: Lynn Shelton
주연: 키이라 나이틀리, 클로이 그레이스 모레츠, 샘 록웰</t>
  </si>
  <si>
    <t>감독: 존 카메론 미첼
주연: 니콜 키드먼, 에런 엑하트, 다이앤 위스트</t>
  </si>
  <si>
    <t>감독: 글렌 피카라, John Requa
주연: 키퍼 서덜랜드, Meta Golding, Enid Graham</t>
  </si>
  <si>
    <t>감독: Steve Franks
주연: James Roday Rodriguez, Dulé Hill, Timothy Omundson</t>
  </si>
  <si>
    <t>감독: 로빈 라이트
주연: 로빈 라이트, Demián Bichir, Sarah Dawn Pledge</t>
  </si>
  <si>
    <t>감독: 윌리엄 유뱅크
주연: 리암 헴스워스, 러셀 크로우, 루크 헴스워스</t>
  </si>
  <si>
    <t>감독: 테일러 쉐리던, 크리스천 월레스
주연: 빌리 밥 손튼, 데미 무어, 앤디 가르시아</t>
  </si>
  <si>
    <t>감독: 론 하워드
주연: 멜 깁슨, 르네 루소, 게리 시나이즈</t>
  </si>
  <si>
    <t>감독: 브래드 페이턴
주연: 드웨인 존슨, 나오미 해리스, 말린 애커만</t>
  </si>
  <si>
    <t>감독: Jason Cabell
주연: 니콜라스 케이지, 레슬리 비브, Peter Facinelli</t>
  </si>
  <si>
    <t>감독: 윌리엄 H. 메이시
주연: 빌리 크루덥, 안톤 옐친, Felicity Huffman</t>
  </si>
  <si>
    <t>감독: 에드워드 즈윅
주연: 제이크 질렌할, 앤 해서웨이, 올리버 플랫</t>
  </si>
  <si>
    <t>감독: 후카다 코지
주연: 키무라 후미노, 永山絢斗, 砂田アトム</t>
  </si>
  <si>
    <t>감독: Shainee Gabel
주연: 존 트래볼타, 스칼렛 요한슨, 가브리엘 막트</t>
  </si>
  <si>
    <t>감독: 
주연: 폴 앤서니 켈리, 세라 피전, 나오미 왓츠, 그레이스 거머, 알렉산드로 니볼라</t>
  </si>
  <si>
    <t>로맨스, 드라마</t>
  </si>
  <si>
    <t>2026-04-11</t>
  </si>
  <si>
    <t>감독: 리처드 커티스
주연: 휴 그랜트, 앨런 릭먼, 엠마 톰슨</t>
  </si>
  <si>
    <t>감독: Lisa Langseth
주연: Ida Engvoll, Björn Mosten, Carla Sehn</t>
  </si>
  <si>
    <t>로맨틱 코미디</t>
  </si>
  <si>
    <t>감독: Phil Grabsky, Ben Harding
주연: Tim Marlow</t>
  </si>
  <si>
    <t>감독: 古田丈司, 永岡智佳
주연: 야마시타 다이키, 모리쿠보 쇼타로, 테라시마 타쿠마</t>
  </si>
  <si>
    <t>감독: Lize Vosloo
주연: Rehane Abrahams, Elsabé Daneel, Celeste Loots</t>
  </si>
  <si>
    <t>감독: Alexandre Castagnetti
주연: 뤼디빈 사니에, Nicolas Bedos, Jonathan Cohen</t>
  </si>
  <si>
    <t>코</t>
  </si>
  <si>
    <t>감독: John Duigan
주연: 샤를리즈 테론, 페넬로페 크루스, Stuart Townsend</t>
  </si>
  <si>
    <t>감독: Roselyne Bosch
주연: 장 르노, Lukas Pelissier, Hugo Dessioux</t>
  </si>
  <si>
    <t>감독: Joel Hopkins
주연: 엠마 톰슨, 피어스 브로스넌, 실리아 임리</t>
  </si>
  <si>
    <t>감독: Christian Ditter
주연: 릴리 콜린스, 샘 클라플린, Christian Cooke</t>
  </si>
  <si>
    <t>감독: Hallie Meyers-Shyer
주연: 리즈 위더스푼, 냇 울프, Jon Rudnitsky</t>
  </si>
  <si>
    <t>감독: 피터 잭슨
주연: 시얼샤 로넌, 마크 월버그, 레이첼 와이즈</t>
  </si>
  <si>
    <t>감독: 제프 니콜스
주연: 조엘 에저튼, 루스 네가, 마이클 섀넌</t>
  </si>
  <si>
    <t>감독: Jen McGowan
주연: 허마이어니 코필드, Jay Paulson, Sean O'Bryan</t>
  </si>
  <si>
    <t>감독: 론 하워드
주연: 크리스 헴스워스, 다니엘 브륄, 올리비아 와일드</t>
  </si>
  <si>
    <t>감독: Paul McGuigan
주연: 조쉬 하트넷, 모건 프리먼, 벤 킹슬리</t>
  </si>
  <si>
    <t>감독: 아니쉬 채겐티
주연: 사라 폴슨, 키에라 앨런, Pat Healy</t>
  </si>
  <si>
    <t>감독: Jaume Collet-Serra
주연: 리암 니슨, 조엘 킨나만, 에드 해리스</t>
  </si>
  <si>
    <t>감독: Jo Dong-oh
주연: 신하균, 이태리, 김상호</t>
  </si>
  <si>
    <t>감독: William Monahan
주연: 콜린 파렐, 키이라 나이틀리, 데이비드 슐리스</t>
  </si>
  <si>
    <t>감독: Matthew Warchus
주연: 조지 맥케이, 벤 슈네처, 프레디 폭스</t>
  </si>
  <si>
    <t>감독: Babak Najafi
주연: 제라드 버틀러, 에런 엑하트, 안젤라 바셋</t>
  </si>
  <si>
    <t>감독: Ben Palmer
주연: 사이먼 페그, 레이크 벨, 로리 키니어</t>
  </si>
  <si>
    <t>감독: Gary Fleder
주연: 존 쿠삭, 진 해크먼, 더스틴 호프만</t>
  </si>
  <si>
    <t>감독: Ritesh Batra
주연: 이르판 칸, Nimrat Kaur, Nawazuddin Siddiqui</t>
  </si>
  <si>
    <t>감독: Bruce Robinson
주연: 조니 뎁, 엠버 허드, 에런 엑하트</t>
  </si>
  <si>
    <t>감독: Adrian Bol
주연: 스콧 애드킨스, Honor Kneafsey, Martin McDougall</t>
  </si>
  <si>
    <t>감독: Dean Parisot
주연: 브루스 윌리스, 존 말코비치, 메리루이즈 파커</t>
  </si>
  <si>
    <t>감독: Rawson Marshall Thurber
주연: 드웨인 존슨, 라이언 레이놀즈, 갤 가돗</t>
  </si>
  <si>
    <t>감독: Alain Darborg
주연: Johannes Bah Kuhnke, Nanna Blondell, Anastasios Soulis</t>
  </si>
  <si>
    <t>감독: 브렛 래트너
주연: 에드워드 노튼, 안소니 홉킨스, 랄프 파인즈</t>
  </si>
  <si>
    <t>감독: Nikolai Müllerschön
주연: 마티아스 슈바이크회퍼, 틸 슈바이거, 레나 헤디</t>
  </si>
  <si>
    <t>감독: 프랜시스 로렌스
주연: 제니퍼 로렌스, 조엘 에저튼, 마티아스 스후나르츠</t>
  </si>
  <si>
    <t>감독: 로드리고 코르테스
주연: 킬리언 머피, 시고니 위버, 로버트 드 니로</t>
  </si>
  <si>
    <t>감독: Anthony Hemingway
주연: 브라이언 크랜스턴, 데이빗 오예로워, 쿠바 구딩 주니어</t>
  </si>
  <si>
    <t>감독: 맷 베티넬리올핀, Tyler Gillett
주연: 사마라 위빙, Mark O'Brien, 애덤 브로디</t>
  </si>
  <si>
    <t>감독: 스티븐 스필버그
주연: 타이 셰리던, 올리비아 쿡, 벤 멘델슨</t>
  </si>
  <si>
    <t>감독: 리사 조이
주연: 휴 잭맨, 레베카 퍼거슨, 탠디 뉴턴</t>
  </si>
  <si>
    <t>감독: Antoine Blossier
주연: Maleaume Paquin, Daniel Auteuil, Virginie Ledoyen</t>
  </si>
  <si>
    <t>감독: 알레한드로 곤살레스 이냐리투
주연: 레오나르도 디카프리오, 톰 하디, 도널 글리슨</t>
  </si>
  <si>
    <t>감독: 벤 휘틀리
주연: 릴리 제임스, 아미 해머, 크리스틴 스콧 토머스</t>
  </si>
  <si>
    <t>감독: Danishka Esterhazy
주연: Katie Douglas, Celina Martin, 피터 아우터브리지</t>
  </si>
  <si>
    <t>감독: 베르너 헤어조크
주연: 크리스찬 베일, 스티브 잔, 토비 허스</t>
  </si>
  <si>
    <t>감독: Alex Ranarivelo
주연: George Kosturos, 존 보이트, 윌리엄 피츠너</t>
  </si>
  <si>
    <t>감독: 뤽 베송
주연: 장 르노, 나탈리 포트만</t>
  </si>
  <si>
    <t>프랑스, 미국</t>
  </si>
  <si>
    <t>감독: Taylor Hackford
주연: 제이미 폭스, 케리 워싱턴, 레지나 킹</t>
  </si>
  <si>
    <t>감독: 스티븐 스필버그
주연: 해리슨 포드, 캐런 앨런, 폴 프리먼</t>
  </si>
  <si>
    <t>감독: Lucia Aniello
주연: 스칼렛 요한슨, 질리언 벨, 조이 크래비츠</t>
  </si>
  <si>
    <t>감독: 로드리고 가르시아
주연: 이완 맥그리거, 에단 호크, 마리벨 베르두</t>
  </si>
  <si>
    <t>감독: 제이슨 라이트만
주연: 케이트 윈슬렛, 조쉬 브롤린, Gattlin Griffith</t>
  </si>
  <si>
    <t>감독: Stephen Hopkins
주연: 스테판 제임스, 제이슨 수데이키스, 엘리 고레</t>
  </si>
  <si>
    <t>감독: 진목승
주연: 견자단, 사정봉, 친란</t>
  </si>
  <si>
    <t>감독: Alejandro Agresti
주연: 키아누 리브스, 산드라 블록, 크리스토퍼 플러머</t>
  </si>
  <si>
    <t>감독: Paolo Virzì
주연: 헬렌 미렌, 도널드 서덜랜드, Christian McKay</t>
  </si>
  <si>
    <t>이탈리아</t>
  </si>
  <si>
    <t>감독: Terry George
주연: 호아킨 피닉스, 제니퍼 코넬리, 엘르 패닝</t>
  </si>
  <si>
    <t>감독: Brian Helgeland
주연: 톰 하디, 에밀리 브라우닝, 크리스토퍼 에클스턴</t>
  </si>
  <si>
    <t>감독: 大友啓史
주연: 기무라 타쿠야, 아야세 하루카, 이토 히데아키</t>
  </si>
  <si>
    <t>감독: 데이빗 예이츠
주연: 알렉산더 스카스가드, 크리스토프 발츠, 사무엘 L. 잭슨</t>
  </si>
  <si>
    <t>감독: Jonathan Jakubowicz
주연: 제시 아이젠버그, 에드 해리스, 클레망스 포에지</t>
  </si>
  <si>
    <t>감독: Gary Winick
주연: 아만다 사이프리드, Christopher Egan, 가엘 가르시아 베르날</t>
  </si>
  <si>
    <t>감독: Nimród Antal
주연: 리암 니슨, Lilly Aspell, 잭 챔피언</t>
  </si>
  <si>
    <t>감독: Vic Armstrong
주연: 니콜라스 케이지, 채드 마이클 머리, 리 톰슨</t>
  </si>
  <si>
    <t>감독: Gavin Hood
주연: 리즈 위더스푼, 제이크 질렌할, 메릴 스트립</t>
  </si>
  <si>
    <t>감독: 클레르 드니
주연: 쥘리에트 비노쉬, Xavier Beauvois, Philippe Katerine</t>
  </si>
  <si>
    <t>감독: Luke Greenfield
주연: 제이크 존슨, 데이먼 웨이언스 주니어, Rob Riggle</t>
  </si>
  <si>
    <t>감독: Thomas Bezucha
주연: 다이앤 레인, 케빈 코스트너, Kayli Carter</t>
  </si>
  <si>
    <t>감독: 스티븐 소더버그
주연: 채닝 테이텀, 애덤 드라이버, 다니엘 크레이그</t>
  </si>
  <si>
    <t>감독: Kim Hee-jin
주연: 송중기, 최성은, Waël Sersoub</t>
  </si>
  <si>
    <t>감독: 장피에르 다르덴, 뤽 다르덴
주연: Arta Dobroshi, 제레미 레니에, Fabrizio Rongione</t>
  </si>
  <si>
    <t>감독: Andreas Baum
주연: Stan Laurel, Oliver Hardy, Frank Glaubrecht</t>
  </si>
  <si>
    <t>감독: タナダユキ
주연: 타카하시 잇세이, 아오이 유우, きたろう</t>
  </si>
  <si>
    <t>감독: 톰 행크스
주연: 톰 행크스, 줄리아 로버츠, 브라이언 크랜스턴</t>
  </si>
  <si>
    <t>감독: 낸시 마이어스
주연: 카메론 디아즈, 케이트 윈슬렛, 주드 로</t>
  </si>
  <si>
    <t>감독: Andrzej Bartkowiak
주연: 이연걸, 알리야, Isaiah Washington</t>
  </si>
  <si>
    <t>감독: Liz Garbus</t>
  </si>
  <si>
    <t>감독: 로버트 레드포드
주연: 메릴 스트립, 톰 크루즈, 로버트 레드포드</t>
  </si>
  <si>
    <t>감독: 데이빗 맥킨지
주연: 제프 브리지스, 크리스 파인, 벤 포스터</t>
  </si>
  <si>
    <t>감독: Fabio García
주연: Álvaro Gabriel Adechine, Ana Carolina Muriel, Manuel Zuluaga</t>
  </si>
  <si>
    <t>감독: Li Yu
주연: 판빙빙, 양가휘, 金燕玲</t>
  </si>
  <si>
    <t>감독: 前田哲
주연: 마츠야마 켄이치, 나가사와 마사미, 스즈카 오지</t>
  </si>
  <si>
    <t>감독: Aaron Nee, Adam Nee
주연: 산드라 블록, 채닝 테이텀, 다니엘 래드클리프</t>
  </si>
  <si>
    <t>감독: 웨스 앤더슨
주연: 진 해크먼, 안젤리카 휴스턴, 벤 스틸러</t>
  </si>
  <si>
    <t>감독: 우디 앨런
주연: 미아 패로, 제프 다니엘스, 데니 에일로</t>
  </si>
  <si>
    <t>감독: 스티븐 나이트
주연: 톰 하디, 루스 윌슨, 앤드류 스콧</t>
  </si>
  <si>
    <t>감독: Meredith Averill, 에런 일라이 콜라이트
주연: 다비 스탠치필드, 에밀리아 존스, 잭슨 로버트 스콧</t>
  </si>
  <si>
    <t>드라마, 판타지, 호러</t>
  </si>
  <si>
    <t>감독: Erik Van Looy
주연: 칼 어번, 제임스 마스던, 웬트워스 밀러</t>
  </si>
  <si>
    <t>감독: David Yarovesky
주연: 빌 스카스가드, 안소니 홉킨스, Ashley Cartwright</t>
  </si>
  <si>
    <t>감독: 고어 버빈스키
주연: 조니 뎁, 아미 해머, 톰 윌킨슨</t>
  </si>
  <si>
    <t>감독: 피터 버그
주연: 마크 월버그, Taylor Kitsch, 에밀 허쉬</t>
  </si>
  <si>
    <t>감독: Susannah Grant
주연: 로라 던, 리암 헴스워스, 다이애나 실버스</t>
  </si>
  <si>
    <t>감독: Julian Gilbey
주연: Melissa George, Ed Speleers, Eamonn Walker</t>
  </si>
  <si>
    <t>감독: Niki Stein
주연: Ulrich Tukur, Benjamin Sadler, Aglaia Szyszkowitz</t>
  </si>
  <si>
    <t>감독: Raymond De Felitta
주연: 마이클 피트, Nina Arianda, 앤디 가르시아</t>
  </si>
  <si>
    <t>감독: Jonathan Levine
주연: 샤를리즈 테론, 세스 로건, 오셰이 잭슨 주니어</t>
  </si>
  <si>
    <t>감독: David Anspaugh
주연: 숀 애스틴, 존 파브로, 네드 비티</t>
  </si>
  <si>
    <t>감독: Jonathan Dayton, Valerie Faris
주연: 폴 다노, 조이 카잔, 크리스 메시나</t>
  </si>
  <si>
    <t>감독: 뤽 베송
주연: 스칼렛 요한슨, 모건 프리먼, 최민식</t>
  </si>
  <si>
    <t>감독: Julien Leclercq
주연: 장클로드 반담, 사미 부아질라, Sveva Alviti</t>
  </si>
  <si>
    <t>감독: 윌리엄 프리드킨
주연: 토미 리 존스, 사무엘 L. 잭슨, 가이 피어스</t>
  </si>
  <si>
    <t>감독: 레니 에이브러햄슨
주연: 브리 라슨, 제이컵 트람블레이, 조앤 앨런</t>
  </si>
  <si>
    <t>감독: 페드로 알모도바르
주연: 줄리앤 무어, 틸다 스윈튼, 존 터투로</t>
  </si>
  <si>
    <t>감독: Ellen Kuras
주연: 케이트 윈슬렛, 앤디 샘버그, 알렉산더 스카스가드</t>
  </si>
  <si>
    <t>감독: 알레한드로 아메나바르
주연: 에단 호크, 엠마 왓슨, 데이비드 슐리스</t>
  </si>
  <si>
    <t>감독: Hicham Hajji
주연: Gary Dourdan, 세린다 스완, 앤디 가르시아</t>
  </si>
  <si>
    <t>감독: 리드 모라노
주연: 블레이크 라이블리, 주드 로, 스털링 K. 브라운</t>
  </si>
  <si>
    <t>감독: D.J. Caruso
주연: 애비게일 카우언, Tom Lewis, 에릭 데인</t>
  </si>
  <si>
    <t>감독: 이일형
주연: 이성민, 남주혁, 박근형</t>
  </si>
  <si>
    <t>감독: 아톰 에고이안
주연: 크리스토퍼 플러머, 브루노 간츠, Jürgen Prochnow</t>
  </si>
  <si>
    <t>감독: Allen Coulter
주연: 로버트 패틴슨, Emilie de Ravin, 피어스 브로스넌</t>
  </si>
  <si>
    <t>감독: Boaz Yakin
주연: 덴젤 워싱턴, Will Patton, Wood Harris</t>
  </si>
  <si>
    <t>감독: 닐 버거
주연: 브래들리 쿠퍼, 로버트 드 니로, 에비 코니쉬</t>
  </si>
  <si>
    <t>감독: George P. Cosmatos
주연: 피터 웰러, 리처드 크레나, Amanda Pays</t>
  </si>
  <si>
    <t>감독: Josh Radnor
주연: Josh Radnor, 엘리자베스 올슨, 리처드 젠킨스</t>
  </si>
  <si>
    <t>감독: 오승욱
주연: 전도연, 지창욱, 임지연</t>
  </si>
  <si>
    <t>감독: Sam Esmail
주연: 줄리아 로버츠, 에단 호크, 마허샬라 알리</t>
  </si>
  <si>
    <t>감독: 마크 웹
주연: 칼럼 터너, 제프 브리지스, 케이트 베킨세일</t>
  </si>
  <si>
    <t>감독: Oliver Hermanus
주연: 빌 나이, 에이미 루 우드, 알렉스 샤프</t>
  </si>
  <si>
    <t>감독: 빌 어거스트
주연: 제레미 아이언스, 멜라니 로랑, 잭 휴스턴</t>
  </si>
  <si>
    <t>감독: Liesl Tommy
주연: 제니퍼 허드슨, 포레스트 휘태커, 말런 웨이언스</t>
  </si>
  <si>
    <t>감독: Ana Rocha de Sousa
주연: Lúcia Moniz, Ruben Garcia, Maisie Sly</t>
  </si>
  <si>
    <t>감독: 클린트 이스트우드
주연: 폴 월터 하우저, 존 햄, 캐시 베이츠</t>
  </si>
  <si>
    <t>감독: 닉 샌토라
주연: 앨런 리치슨, Maria Sten, Sonya Cassidy</t>
  </si>
  <si>
    <t>드라마, 액션, 범죄</t>
  </si>
  <si>
    <t>감독: 제이 로치
주연: 케빈 스페이시, 밥 밸러밴, 에드 베글리 주니어</t>
  </si>
  <si>
    <t>감독: 조나단 플레이크
주연: 노아 와일, 가브리엘 앤워, 밥 뉴하트</t>
  </si>
  <si>
    <t>감독: Fouad Mikati
주연: 로저먼드 파이크, Shiloh Fernandez, 닉 놀티</t>
  </si>
  <si>
    <t>감독: Alejandro Monteverde
주연: Jakob Salvati, 에밀리 왓슨, 케리히로유키 다가와</t>
  </si>
  <si>
    <t>감독: 토드 필드
주연: 케이트 윈슬렛, 패트릭 윌슨, 제니퍼 코넬리</t>
  </si>
  <si>
    <t>감독: 임순례
주연: 김태리, 문소리, 류준열</t>
  </si>
  <si>
    <t>감독: 森淳一
주연: 하시모토 아이, 三浦貴大, 마츠오카 마유</t>
  </si>
  <si>
    <t>감독: Brian A. Miller
주연: 프랭크 그릴로, 브루스 윌리스, Johnathon Schaech</t>
  </si>
  <si>
    <t>감독: F. 게리 게리
주연: 케빈 하트, 구구 음바타로, 샘 워싱턴</t>
  </si>
  <si>
    <t>감독: David Heinz
주연: Joe Purdy, Amber Rubarth, Krisha Fairchild</t>
  </si>
  <si>
    <t>감독: 안소니 밍겔라
주연: 맷 데이먼, 기네스 팰트로, 주드 로</t>
  </si>
  <si>
    <t>감독: 앤드류 헤이
주연: 찰리 플러머, Amy Seimetz, 트래비스 피멀</t>
  </si>
  <si>
    <t>감독: 이와이 슌지
주연: 쿠로키 하루, 아야노 고, Cocco</t>
  </si>
  <si>
    <t>감독: Brad Furman
주연: 매튜 매커너히, 라이언 필립, 윌리엄 H. 메이시</t>
  </si>
  <si>
    <t>감독: 박훈정
주연: 김다미, 조민수, 박희순</t>
  </si>
  <si>
    <t>감독: 박훈정
주연: 신시아, 박은빈, 서은수</t>
  </si>
  <si>
    <t>감독: Kate Brooke
주연: 테레사 파머, 매튜 구드, Edward Bluemel</t>
  </si>
  <si>
    <t>감독: Claude Berri
주연: Yves Montand, 제라르 드파르디외, Daniel Auteuil</t>
  </si>
  <si>
    <t>감독: Claude Berri
주연: Yves Montand, Daniel Auteuil, 엠마누엘 베아르</t>
  </si>
  <si>
    <t>감독: Barbara Hall
주연: 테아 레오니, Tim Daly, 젤코 이바넥</t>
  </si>
  <si>
    <t>드라마, 정치</t>
  </si>
  <si>
    <t>감독: 닐 조던
주연: 클로이 그레이스 모레츠, 이자벨 위페르, 마이카 먼로</t>
  </si>
  <si>
    <t>감독: 봉준호
주연: 김혜자, 원빈, 진구</t>
  </si>
  <si>
    <t>감독: 오모리 타츠시
주연: 나가사와 마사미,오쿠다이라 다이켄,카호,아베 사다오, 나카노 타이가 외</t>
  </si>
  <si>
    <t>드라마,범죄</t>
  </si>
  <si>
    <t>감독: 대런 아로노프스키
주연: 제니퍼 로렌스, 하비에르 바르뎀, 에드 해리스</t>
  </si>
  <si>
    <t>감독: Craig David Wallace
주연: Lora Burke, Tessa Kozma, Kristen MacCulloch</t>
  </si>
  <si>
    <t>감독: 로드리고 가르시아
주연: 나오미 왓츠, 아네트 베닝, 케리 워싱턴</t>
  </si>
  <si>
    <t>감독: Marie Noëlle
주연: Karolina Gruszka, Arieh Worthalter, Charles Berling</t>
  </si>
  <si>
    <t>폴란드</t>
  </si>
  <si>
    <t>감독: D.W. 그리피스, Christy Cabanne
주연: Robert Harron, W. Chrystie Miller, Dorothy Gish</t>
  </si>
  <si>
    <t>감독: Simon Curtis
주연: 미셸 윌리엄스, 케네스 브래너, 에디 레드메인</t>
  </si>
  <si>
    <t>감독: 리들리 스콧
주연: 맷 데이먼, 제시카 차스테인, 크리스틴 위그</t>
  </si>
  <si>
    <t>감독: Kim Yong-hoon
주연: 고현정, 나나, 이한별</t>
  </si>
  <si>
    <t>감독: 조의석
주연: 이병헌, 강동원, 김우빈</t>
  </si>
  <si>
    <t>감독: 폴 토마스 앤더슨
주연: 호아킨 피닉스, 필립 세이모어 호프만, 에이미 아담스</t>
  </si>
  <si>
    <t>감독: 피터 위어
주연: 러셀 크로우, 폴 베타니, 제임스 다시</t>
  </si>
  <si>
    <t>감독: John Orloff
주연: 오스틴 버틀러, 칼럼 터너, 앤서니 보일</t>
  </si>
  <si>
    <t>감독: 우민호
주연: 송강호, 조정석, 배두나</t>
  </si>
  <si>
    <t>감독: David Donnelly
주연: 파보 예르비, Arvo Pärt, Pekka Kuusisto</t>
  </si>
  <si>
    <t>감독: Yoon Seok-ho
주연: 마시마 히데카즈, 真田麻垂美, 長谷川朝晴</t>
  </si>
  <si>
    <t>감독: 나가이 타츠유키
주연: 미나세 이노리, 우치야마 고키, 아마미야 소라</t>
  </si>
  <si>
    <t>감독: Philippe Falardeau
주연: 마가렛 퀄리, 시고니 위버, Douglas Booth</t>
  </si>
  <si>
    <t>감독: 김성훈
주연: 김래원, 지대한, 조안</t>
  </si>
  <si>
    <t>감독: 왕가위
주연: Norah Jones, 주드 로, 데이비드 스트러세언</t>
  </si>
  <si>
    <t>감독: Christian Carion
주연: 제임스 맥어보이, 클레어 포이, Tom Cullen</t>
  </si>
  <si>
    <t>감독: 피터 시걸
주연: 데이브 바티스타, 클로에 콜맨, Parisa Fitz-Henley</t>
  </si>
  <si>
    <t>감독: 닉 카사베츠
주연: 카메론 디아즈, 아비게일 브레스린, Sofia Vassilieva</t>
  </si>
  <si>
    <t>감독: 황동혁
주연: 다니엘 헤니, 김영철, 최정원</t>
  </si>
  <si>
    <t>감독: 스티븐 스필버그
주연: 톰 크루즈, 사만다 모튼, 콜린 파렐</t>
  </si>
  <si>
    <t>감독: 노아 바움백
주연: 애덤 샌들러, 벤 스틸러, 더스틴 호프만</t>
  </si>
  <si>
    <t>감독: 토니 길로이
주연: 조지 클루니, 톰 윌킨슨, 틸다 스윈튼</t>
  </si>
  <si>
    <t>감독: Fabio Guaglione, Fabio Resinaro
주연: 아미 해머, 애너벨 월리스, Tom Cullen</t>
  </si>
  <si>
    <t>감독: Jorge Dorado
주연: 마크 스트롱, 타이사 파미가, 브라이언 콕스</t>
  </si>
  <si>
    <t>감독: Mauro Borrelli
주연: 마틴 로런스, 멜리사 록스버그, 존 말코비치</t>
  </si>
  <si>
    <t>감독: 레니 할린
주연: Kathryn Morris, Jonny Lee Miller, LL 쿨 J</t>
  </si>
  <si>
    <t>감독: 피터 버그
주연: 마크 월버그, 로렌 코핸, 이코 우웨이스</t>
  </si>
  <si>
    <t>감독: Oliver Daly
주연: Robby Rasmussen, 알렉사 데미, Geoffrey Gilbert</t>
  </si>
  <si>
    <t>감독: Yaron Zilberman
주연: 크리스토퍼 워컨, 필립 세이모어 호프만, 마크 이바니어</t>
  </si>
  <si>
    <t>감독: Dee Rees
주연: 앤 해서웨이, 벤 애플렉, 로지 페레즈</t>
  </si>
  <si>
    <t>감독: 유위강
주연: 구숙정, 양가휘, 周嘉玲</t>
  </si>
  <si>
    <t>감독: Terry Loane
주연: Ross White, Lauren Coe, Jonny Everett</t>
  </si>
  <si>
    <t>감독: Matej Kládek, Vanda Raýmanová, Martin Snopek, Katarína Kerekesová, Karol Holubčík, Maroš Končok, Vladimír Král, Martina Králová-Matlovičová, Michal Struss</t>
  </si>
  <si>
    <t>감독: J.C  챈더
주연: 케빈 스페이시, 재커리 퀸토, 폴 베타니</t>
  </si>
  <si>
    <t>감독: 안재석
주연: 조한선, 박효주, 윤경호</t>
  </si>
  <si>
    <t>감독: Peter Landesman
주연: 리암 니슨, 다이앤 레인, 마이카 먼로</t>
  </si>
  <si>
    <t>감독: Robert Lorenz
주연: 리암 니슨, Jacob Perez, 캐서린 위닉</t>
  </si>
  <si>
    <t>감독: Richard Shepard
주연: 피어스 브로스넌, 그렉 키니어, 호프 데이비스</t>
  </si>
  <si>
    <t>감독: Anthony C. Hall
주연: 비비카 A. 폭스, Faizon Love, Cory Gunz</t>
  </si>
  <si>
    <t>감독: 김태용
주연: 현빈, 탕웨이, Jun Kim</t>
  </si>
  <si>
    <t>감독: 크리스 콜럼버스
주연: 다니엘 래드클리프, 루퍼트 그린트, 엠마 왓슨</t>
  </si>
  <si>
    <t>감독: 데이비드 프랭클
주연: 오웬 윌슨, 제니퍼 애니스턴, 에릭 데인</t>
  </si>
  <si>
    <t>감독: 엄유나
주연: 유해진, 윤계상, 김홍파</t>
  </si>
  <si>
    <t>감독: 정재은
주연: Chung Gu-yon</t>
  </si>
  <si>
    <t>감독: Brian Taylor
주연: 니콜라스 케이지, 셀마 블레어, Anne Winters</t>
  </si>
  <si>
    <t>83분</t>
  </si>
  <si>
    <t>감독: Phyllida Lloyd
주연: 메릴 스트립, 아만다 사이프리드, 피어스 브로스넌</t>
  </si>
  <si>
    <t>감독: Ol Parker
주연: 릴리 제임스, 아만다 사이프리드, 메릴 스트립</t>
  </si>
  <si>
    <t>감독: Jeff Rake
주연: 멜리사 록스버그, Josh Dallas, J.R. Ramirez</t>
  </si>
  <si>
    <t>감독: 멜라니 로랑
주연: 루 드 라주, 멜라니 로랑, Benjamin Voisin</t>
  </si>
  <si>
    <t>감독: 조지 밀러
주연: 톰 하디, 샤를리즈 테론, 니콜라스 홀트</t>
  </si>
  <si>
    <t>감독: 클린트 이스트우드
주연: 메릴 스트립, 클린트 이스트우드, Annie Corley</t>
  </si>
  <si>
    <t>감독: 鈴木雅之
주연: 기무라 타쿠야, 나가사와 마사미, 마츠 다카코</t>
  </si>
  <si>
    <t>감독: 스티븐 소더버그
주연: 채닝 테이텀, 매튜 매커너히, Alex Pettyfer</t>
  </si>
  <si>
    <t>감독: 롭 라이너
주연: 모건 프리먼, 버지니아 매드슨, Madeline Carroll</t>
  </si>
  <si>
    <t>감독: 우디 앨런
주연: 조나단 리스 마이어스, 스칼렛 요한슨, 에밀리 모티머</t>
  </si>
  <si>
    <t>감독: Jennie Snyder Urman
주연: 캐시 베이츠, Skye P. Marshall, Jason Ritter</t>
  </si>
  <si>
    <t>감독: 라나 워쇼스키
주연: 키아누 리브스, 캐리 앤 모스, 야히아 압둘 마틴 2세</t>
  </si>
  <si>
    <t>감독: Detlev Buck
주연: Lina Larissa Strahl, Lisa-Marie Koroll, Louis Held</t>
  </si>
  <si>
    <t>감독: Boaz Yakin
주연: 토마스 헤이든 처치, Josh Wiggins, Lauren Graham</t>
  </si>
  <si>
    <t>감독: Austin Hoyt, Sarah Holt
주연: David Ogden Stiers, Stephen E. Ambrose, Leon Beck</t>
  </si>
  <si>
    <t>감독: Niki Caro
주연: 케빈 코스트너, 마리아 벨로, 엘시 피셔</t>
  </si>
  <si>
    <t>감독: 알버트 듀퐁텔
주연: Nahuel Pérez Biscayart, 알버트 듀퐁텔, Laurent Lafitte</t>
  </si>
  <si>
    <t>감독: 가이 리치
주연: 헨리 카빌, 아미 해머, 알리시아 비칸데르</t>
  </si>
  <si>
    <t>감독: Ty Roberts
주연: 루크 윌슨, Vinessa Shaw, 웨인 나이트</t>
  </si>
  <si>
    <t>감독: Asger Leth
주연: 샘 워싱턴, 엘리자베스 뱅크스, 제이미 벨</t>
  </si>
  <si>
    <t>감독: 케네스 로너건
주연: 케이시 애플렉, 루카스 헤지스, 미셸 윌리엄스</t>
  </si>
  <si>
    <t>감독: 조나단 드미
주연: 덴젤 워싱턴, 메릴 스트립, 리에브 슈라이버</t>
  </si>
  <si>
    <t>감독: Brian DeCubellis
주연: 에이드리언 브로디, 이본 스트러호브스키, 캠벨 스콧</t>
  </si>
  <si>
    <t>감독: Andrew Sodroski, Jim Clemente
주연: 캐머런 브리턴, 칼라 구지노, 잭 휴스턴</t>
  </si>
  <si>
    <t>감독: 데이비드 고든 그린
주연: 알 파치노, 홀리 헌터, 하모니 코린</t>
  </si>
  <si>
    <t>감독: 마틴 캠벨
주연: 안젤리나 졸리, 클라이브 오웬, Teri Polo</t>
  </si>
  <si>
    <t>감독: William Dear
주연: David Dundara, Kim Miyori, John Neville</t>
  </si>
  <si>
    <t>감독: 조디 포스터
주연: 조지 클루니, 줄리아 로버츠, 잭 오코넬</t>
  </si>
  <si>
    <t>감독: 베넷 밀러
주연: 브래드 피트, 조나 힐, 필립 세이모어 호프만</t>
  </si>
  <si>
    <t>감독: 에드워드 노튼
주연: 에드워드 노튼, 브루스 윌리스, 구구 음바타로</t>
  </si>
  <si>
    <t>감독: 제프 니콜스
주연: 매튜 매커너히, 리즈 위더스푼, 타이 셰리던</t>
  </si>
  <si>
    <t>감독: 마크 포스터
주연: 제라드 버틀러, 미셸 모나한, Kathy Baker</t>
  </si>
  <si>
    <t>감독: 셀린 송
주연: 다코타 존슨, 크리스 에반스, 페드로 파스칼</t>
  </si>
  <si>
    <t>감독: 유약영
주연: 정백연, 주동우, 田壮壮</t>
  </si>
  <si>
    <t>감독: 셰인 블랙
주연: 러셀 크로우, 라이언 고슬링, 앵거리 라이스</t>
  </si>
  <si>
    <t>감독: 니시카와 미와
주연: 야쿠쇼 코지, 나카노 타이가, 나가사와 마사미</t>
  </si>
  <si>
    <t>감독: Charles MacArthur, Ben Hecht
주연: Jimmy Savo, Nikita Balieff, Cecilia Loftus</t>
  </si>
  <si>
    <t>감독: 이윤기
주연: 전도연, 하정우, 김혜옥</t>
  </si>
  <si>
    <t>감독: Jon Turteltaub
주연: 제이슨 스타뎀, 리빙빙, 레인 윌슨</t>
  </si>
  <si>
    <t>감독: Gabriela Cowperthwaite
주연: 케이트 마라, 라몬 로드리게즈, 톰 펠튼</t>
  </si>
  <si>
    <t>감독: 지미 친, 엘리자베스 차이 바서렐리
주연: Conrad Anker, 지미 친, Renan Öztürk</t>
  </si>
  <si>
    <t>감독: Michael Goi
주연: 게리 올드만, 에밀리 모티머, 마누엘 가르시아 룰포</t>
  </si>
  <si>
    <t>감독: Kat Coiro
주연: 제니퍼 로페즈, 오웬 윌슨, Maluma</t>
  </si>
  <si>
    <t>감독: 크리스토퍼 놀란
주연: 가이 피어스, 캐리 앤 모스, 조 판톨리아노</t>
  </si>
  <si>
    <t>감독: 마틴 캠벨
주연: 리암 니슨, 가이 피어스, Taj Atwal</t>
  </si>
  <si>
    <t>감독: Michael Petroni
주연: Mehdi Dehbi, 미셸 모나한, 존 오르티스</t>
  </si>
  <si>
    <t>감독: Corey Pearson
주연: Paul O'Brien, Aji Santosa, Verdi Solaiman</t>
  </si>
  <si>
    <t>감독: 브래드 인겔스비
주연: 케이트 윈슬렛, 진 스마트, 줄리앤 니콜슨</t>
  </si>
  <si>
    <t>감독: 토드 헤인즈
주연: 나탈리 포트만, 줄리앤 무어, 찰스 멜튼</t>
  </si>
  <si>
    <t>감독: 우민호
주연: 현빈, 정우성, 우도환</t>
  </si>
  <si>
    <t>감독: Hugh Dillon, 테일러 쉐리던
주연: 제레미 레너, Hugh Dillon, Tobi Bamtefa</t>
  </si>
  <si>
    <t>감독: Scott McGehee, David Siegel
주연: 줄리앤 무어, 스티브 쿠건, 알렉산더 스카스가드</t>
  </si>
  <si>
    <t>감독: 佐藤祐市
주연: 타카하타 미츠키, 니시지마 히데토시, 近藤正臣</t>
  </si>
  <si>
    <t>감독: 제이슨 라이트만
주연: 애덤 샌들러, 제니퍼 가너, 로즈메리 디윗</t>
  </si>
  <si>
    <t>감독: 브루노 헬러
주연: 사이먼 베이커, 로빈 터니, 팀 강</t>
  </si>
  <si>
    <t>드라마, 범죄, 미스터리</t>
  </si>
  <si>
    <t>감독: 박희곤
주연: 조승우, 지성, 김성균</t>
  </si>
  <si>
    <t>감독: 김한민
주연: 최민식, 류승룡, 조진웅</t>
  </si>
  <si>
    <t>감독: Christos Massalas
주연: Anna Brook, Jonathan Pembroke</t>
  </si>
  <si>
    <t>감독: 류승완
주연: 김윤석, 조인성, 허준호</t>
  </si>
  <si>
    <t>감독: 마이크 뉴웰
주연: 줄리아 로버츠, 커스틴 던스트, 줄리아 스타일스</t>
  </si>
  <si>
    <t>감독: Ivan Silvestrini
주연: 카트리나 보든, Nixon Hodges, Crew Hodges</t>
  </si>
  <si>
    <t>감독: 조지 클루니
주연: 조지 클루니, 맷 데이먼, 빌 머레이</t>
  </si>
  <si>
    <t>감독: 데이비드 코엡
주연: 조니 뎁, 기네스 팰트로, 이완 맥그리거</t>
  </si>
  <si>
    <t>감독: Amy J. Berg
주연: 다이앤 레인, 엘리자베스 뱅크스, 다코타 패닝</t>
  </si>
  <si>
    <t>감독: 야마시타 노부히로
주연: 마에다 아츠코, 康すおん, 伊東清矢</t>
  </si>
  <si>
    <t>78분</t>
  </si>
  <si>
    <t>감독: Вадим Перельман
주연: 제니퍼 코넬리, 벤 킹슬리, 론 엘다드</t>
  </si>
  <si>
    <t>감독: 케빈 맥도널드
주연: 타하르 라힘, 조디 포스터, 베네딕트 컴버배치</t>
  </si>
  <si>
    <t>감독: Stephen S. Campanelli
주연: 올가 쿠릴렌코, 모건 프리먼, James Purefoy</t>
  </si>
  <si>
    <t>남아공</t>
  </si>
  <si>
    <t>감독: Lee Jae-gon, Kim Jin-woo
주연: 정우, 박희순, 윤진서</t>
  </si>
  <si>
    <t>감독: F. 게리 게리
주연: 제이미 폭스, 제라드 버틀러, Colm Meaney</t>
  </si>
  <si>
    <t>감독: Park In-je
주연: 황정민, 진구, 김보연</t>
  </si>
  <si>
    <t>감독: J.C  챈더
주연: 오스카 아이작, 제시카 차스테인, 데이빗 오예로워</t>
  </si>
  <si>
    <t>감독: 안톤 코르빈
주연: 필립 세이모어 호프만, 윌렘 대포, 로빈 라이트</t>
  </si>
  <si>
    <t>감독: Aisling Walsh
주연: 샐리 호킨스, 에단 호크, 가브리엘 로즈</t>
  </si>
  <si>
    <t>감독: 전규환
주연: Oh Seong-tae, Joo Yoo-Rang, 박승배</t>
  </si>
  <si>
    <t>감독: 程偉豪
주연: 莊凱勛, 許瑋甯, 커자옌</t>
  </si>
  <si>
    <t>감독: Rubén Mendoza
주연: María Luisa Fuentes Burgos</t>
  </si>
  <si>
    <t>감독: 애런 소킨
주연: 제시카 차스테인, 이드리스 엘바, 케빈 코스트너</t>
  </si>
  <si>
    <t>감독: Chung Keun-sup
주연: 엄정화, 김상경, 송영창</t>
  </si>
  <si>
    <t>감독: 熊切和嘉
주연: 아야노 고, 村上虹郎, 마에다 아츠코</t>
  </si>
  <si>
    <t>감독: 김주환
주연: 김우빈, 김성균, 이현걸</t>
  </si>
  <si>
    <t>감독: 오승욱
주연: 전도연, 김남길, 박성웅</t>
  </si>
  <si>
    <t>감독: 김성수
주연: 니시지마 히데토시, 김효진, 마키 요코</t>
  </si>
  <si>
    <t>감독: Malu Janssen
주연: Julien Croiset, Astrid van Eck, 하나 판륀테런</t>
  </si>
  <si>
    <t>감독: 윤지련
주연: 이제훈, 탕준상, 홍승희</t>
  </si>
  <si>
    <t>감독: Park In-je, 강풀
주연: 류승룡, 한효주, 조인성</t>
  </si>
  <si>
    <t>드라마, 액션, 판타지</t>
  </si>
  <si>
    <t>감독: Warren P. Sonoda
주연: Hector Echavarria, Steven Yaffee, Rashad Evans</t>
  </si>
  <si>
    <t>감독: 데이비드 E. 켈리
주연: 제이크 질렌할, 루스 네가, 빌 캠프</t>
  </si>
  <si>
    <t>감독: Sandra Weintraub
주연: 존 색슨, 로버트 클루즈</t>
  </si>
  <si>
    <t>감독: Jim Mickle
주연: Boyd Holbrook, 클레오파트라 콜먼, 마이클 C. 홀</t>
  </si>
  <si>
    <t>감독: 배리 젠킨스
주연: Trevante Rhodes, 안드레 홀랜드, 자넬 모네</t>
  </si>
  <si>
    <t>감독: 얀 코마사
주연: Bartosz Bielenia, Aleksandra Konieczna, Eliza Rycembel</t>
  </si>
  <si>
    <t>감독: 롤란트 에머리히
주연: 할리 베리, 패트릭 윌슨, 존 브래들리</t>
  </si>
  <si>
    <t>감독: 市井昌秀
주연: 호시노 겐, 카호, 平泉成</t>
  </si>
  <si>
    <t>감독: Huh Jong-ho
주연: 김명민, 김인권, 이혜리</t>
  </si>
  <si>
    <t>감독: 바즈 루어만
주연: 이완 맥그리거, 니콜 키드먼, 존 레귀자모</t>
  </si>
  <si>
    <t>감독: 스티븐 스필버그
주연: 에릭 배너, 다니엘 크레이그, 키어런 하인즈</t>
  </si>
  <si>
    <t>감독: Christian Schwochow
주연: 조지 맥케이, Jannis Niewöhner, 제레미 아이언스</t>
  </si>
  <si>
    <t>감독: Jim Kohlberg
주연: J.K. 시몬스, Lou Taylor Pucci, 줄리아 오먼드</t>
  </si>
  <si>
    <t>감독: 코스타 가브라스
주연: 제시카 랭, 아르민 뮐러슈탈, Donald Moffat</t>
  </si>
  <si>
    <t>감독: Niki Caro
주연: 유역비, 견자단, 공리</t>
  </si>
  <si>
    <t>감독: 馬楚成
주연: 조미, 진곤, 호군</t>
  </si>
  <si>
    <t>감독: Thea Sharrock
주연: 에밀리아 클라크, 샘 클라플린, 자넷 맥티어</t>
  </si>
  <si>
    <t>감독: Edward Hart
주연: 올웬 파우에레, Ned Kelly, Edward Hart</t>
  </si>
  <si>
    <t>감독: Andrew Levitas
주연: 조니 뎁, 미나미, 사나다 히로유키</t>
  </si>
  <si>
    <t>감독: 엘리자베스 뱅크스
주연: 크리스틴 스튜어트, 나오미 스콧, Ella Balinska</t>
  </si>
  <si>
    <t>감독: 조지 클루니
주연: 조지 클루니, 펠리시티 존스, 데이빗 오예로워</t>
  </si>
  <si>
    <t>감독: 竹下昌男
주연: 原田泰造, 山本未來, 長塚京三</t>
  </si>
  <si>
    <t>감독: Scott Speer
주연: 벨라 손, 패트릭 슈워제네거, Rob Riggle</t>
  </si>
  <si>
    <t>감독: 제프 니콜스
주연: 마이클 섀넌, 제이든 리버허, 조엘 에저튼</t>
  </si>
  <si>
    <t>감독: 랜들 에멧
주연: 메간 폭스, 브루스 윌리스, 에밀 허쉬</t>
  </si>
  <si>
    <t>감독: 우디 앨런
주연: 오웬 윌슨, 레이첼 맥아담스, 캐시 베이츠</t>
  </si>
  <si>
    <t>감독: 아리 애스터
주연: 플로렌스 퓨, 잭 레이너, 윌리엄 잭슨 하퍼</t>
  </si>
  <si>
    <t>감독: 롤란트 에머리히
주연: 에드 스크레인, 패트릭 윌슨, 우디 해럴슨</t>
  </si>
  <si>
    <t>감독: Eric Lartigau
주연: Louane Emera, 카랭 비아르, François Damiens</t>
  </si>
  <si>
    <t>감독: Sean McNamara
주연: 에린 모리아티, Danika Yarosh, 헬렌 헌트</t>
  </si>
  <si>
    <t>감독: 패트리시아 리건
주연: 제니퍼 가너, Kylie Rogers, Martin Henderson</t>
  </si>
  <si>
    <t>감독: 小中和哉
주연: 카호, 사노 카즈마, 秋本奈緒美</t>
  </si>
  <si>
    <t>감독: 김윤석
주연: 염정아, 김소진, 김혜준</t>
  </si>
  <si>
    <t>감독: 롤랑 조페
주연: 로버트 드니로, 제레미 아이언스</t>
  </si>
  <si>
    <t>터키</t>
  </si>
  <si>
    <t>감독: 브라이언 드 팔마
주연: 톰 크루즈, 존 보이트, 엠마누엘 베아르</t>
  </si>
  <si>
    <t>감독: 크리스토퍼 맥쿼리
주연: 톰 크루즈, 제레미 레너, 사이먼 페그</t>
  </si>
  <si>
    <t>감독: 오우삼
주연: 톰 크루즈, 두그레이 스콧, 탠디 뉴턴</t>
  </si>
  <si>
    <t>감독: J.J. 에이브럼스
주연: 톰 크루즈, 필립 세이모어 호프만, 빙 레임스</t>
  </si>
  <si>
    <t>감독: 브래드 버드
주연: 톰 크루즈, 폴라 패튼, 사이먼 페그</t>
  </si>
  <si>
    <t>감독: 크리스토퍼 맥쿼리
주연: 톰 크루즈, 헤일리 앳웰, 빙 레임스</t>
  </si>
  <si>
    <t>160분</t>
  </si>
  <si>
    <t>감독: 크리스토퍼 맥쿼리
주연: 톰 크루즈, 헨리 카빌, 빙 레임스</t>
  </si>
  <si>
    <t>감독: 김형주
주연: 김영광, 이선빈</t>
  </si>
  <si>
    <t>감독: Valerie Faris, Jonathan Dayton
주연: 그렉 키니어, 토니 콜렛, 스티브 카렐</t>
  </si>
  <si>
    <t>감독: 캐서린 하드윅
주연: 드류 배리모어, 토니 콜렛, 도미닉 쿠퍼</t>
  </si>
  <si>
    <t>감독: Bharat Nalluri
주연: 프랜시스 맥도맨드, 에이미 아담스, 리 페이스</t>
  </si>
  <si>
    <t>감독: Mike Binder
주연: 조앤 앨런, 케빈 코스트너, Erika Christensen</t>
  </si>
  <si>
    <t>감독: Shintaro Shimosawa
주연: 조시 더멜, 안소니 홉킨스, 알 파치노</t>
  </si>
  <si>
    <t>감독: 자코 반 도르말
주연: 자레드 레토, 사라 폴리, 다이앤 크루거</t>
  </si>
  <si>
    <t>감독: 데이비드 로워리
주연: 로버트 레드포드, 케이시 애플렉, 씨씨 스페이식</t>
  </si>
  <si>
    <t>감독: Kim Tae-yun
주연: 이성민, 김서형, 배정남</t>
  </si>
  <si>
    <t>감독: 빌 콘돈
주연: 이안 맥켈런, 로라 리니, 마일로 파커</t>
  </si>
  <si>
    <t>감독: 노아 바움백
주연: 그레타 거윅, 롤라 커크, Matthew Shear</t>
  </si>
  <si>
    <t>감독: 클린트 이스트우드
주연: 숀 펜, 팀 로빈스, 케빈 베이컨</t>
  </si>
  <si>
    <t>감독: Chris Noonan
주연: 르네 젤위거, 이완 맥그리거, 에밀리 왓슨</t>
  </si>
  <si>
    <t>감독: 레니 할린
주연: 피어스 브로스넌, 팀 로스, Nick Cannon</t>
  </si>
  <si>
    <t>감독: Anthony Fabian
주연: 레슬리 맨빌, 이자벨 위페르, 램버트 윌슨</t>
  </si>
  <si>
    <t>감독: 강효진
주연: 엄정화, 송승헌, 김상호</t>
  </si>
  <si>
    <t>감독: 이지원
주연: 한지민, 김시아, 이희준</t>
  </si>
  <si>
    <t>감독: Will Merrick, Nicholas D. Johnson
주연: 스톰 리드, 조아킹 드 알메이다, 켄 렁</t>
  </si>
  <si>
    <t>감독: 이언희
주연: 엄지원, 공효진, 김희원</t>
  </si>
  <si>
    <t>감독: 켄 로치
주연: Kris Hitchen, Debbie Honeywood, Rhys Mcgowan</t>
  </si>
  <si>
    <t>감독: 요시카와 에이지
주연: 기무라 타쿠야, 사와무라 잇키, 타카오카 사키</t>
  </si>
  <si>
    <t>2화</t>
  </si>
  <si>
    <t>감독: Lee An-kyu
주연: 김혜수, 이선균, 이희준</t>
  </si>
  <si>
    <t>감독: 곽경택
주연: Kim Jun-ku, 오달수, 조민준</t>
  </si>
  <si>
    <t>감독: 알렉스 커츠먼
주연: 톰 크루즈, 애너벨 월리스, 소피아 부텔라</t>
  </si>
  <si>
    <t>감독: Arnaud des Pallières
주연: 매즈 미켈슨, Mélusine Mayance, Delphine Chuillot</t>
  </si>
  <si>
    <t>감독: 장-피에르 주네
주연: 대니 분, Dominique Pinon, André Dussollier</t>
  </si>
  <si>
    <t>감독: Peter Edlund
주연: Peter McNally, Ian Edlund</t>
  </si>
  <si>
    <t>감독: 존 매든
주연: 콜린 퍼스, 매튜 맥패디언, 켈리 맥도널드</t>
  </si>
  <si>
    <t>감독: Alex Kendrick
주연: Alex Kendrick, Shannen Fields, Bill Butler</t>
  </si>
  <si>
    <t>감독: 데이비드 핀처
주연: 다니엘 크레이그, 루니 마라, 크리스토퍼 플러머</t>
  </si>
  <si>
    <t>감독: 류승완
주연: 김혜수, 염정아, 조인성</t>
  </si>
  <si>
    <t>감독: 이창동
주연: 전도연, 송강호, 조영진</t>
  </si>
  <si>
    <t>감독: 김지운
주연: 송강호, 공유, 한지민</t>
  </si>
  <si>
    <t>감독: 三島有紀子
주연: 나카타니 미키, 三浦貴大, 카타기리 하이리</t>
  </si>
  <si>
    <t>감독: Choi Ji-yeong
주연: 한예리, 박지영, 홍종현</t>
  </si>
  <si>
    <t>감독: 고레에다 히로카즈
주연: 아야세 하루카, 나가사와 마사미, 카호</t>
  </si>
  <si>
    <t>감독: Christopher Murphey
주연: 데이나 딜레이니, Jeri Ryan, Geoffrey Arend</t>
  </si>
  <si>
    <t>감독: 이성한
주연: 정우, 황정음, 양재영</t>
  </si>
  <si>
    <t>감독: 시오타 아키히코
주연: 桝田幸希, 永岡佑, Takahiro Katô</t>
  </si>
  <si>
    <t>감독: 빅터 플레밍
주연: 비비안 리, 클라크 게이블, 올리비아 드 하빌랜드</t>
  </si>
  <si>
    <t>238분</t>
  </si>
  <si>
    <t>감독: 치웨텔 에지오포
주연: Maxwell Simba, 치웨텔 에지오포, 아이사 마이가</t>
  </si>
  <si>
    <t>감독: 大友啓史
주연: 사토 타케루, 타케이 에미, 킷카와 코지</t>
  </si>
  <si>
    <t>감독: 大友啓史
주연: 사토 타케루, 타케이 에미, 맛켄유</t>
  </si>
  <si>
    <t>감독: 大友啓史
주연: 사토 타케루, 타케이 에미, 아오키 무네타카</t>
  </si>
  <si>
    <t>감독: Jeremiah Hammerling
주연: Ali Kazmi, Zain Iqbal</t>
  </si>
  <si>
    <t>감독: 아녜스 바르다, JR
주연: 아녜스 바르다, JR, Patricia Mercier</t>
  </si>
  <si>
    <t>감독: 얀 코마사
주연: Józef Pawłowski, Zofia Wichłacz, Anna Próchniak</t>
  </si>
  <si>
    <t>감독: 알레한드로 곤살레스 이냐리투
주연: 브래드 피트, 키쿠치 린코, Adriana Barraza</t>
  </si>
  <si>
    <t>감독: 김정권
주연: 차태현, 하지원, 박희순</t>
  </si>
  <si>
    <t>감독: 카네코 슈스케
주연: 成宮寛貴, 우치다 유키, 白石美帆</t>
  </si>
  <si>
    <t>감독: Emilio Estevez
주연: 안소니 홉킨스, 윌리엄 H. 메이시, 해리 벨라폰테</t>
  </si>
  <si>
    <t>감독: Russell Mulcahy
주연: 시고니 위버, 헨리 처니, Ryan Kelley</t>
  </si>
  <si>
    <t>감독: James Watkins
주연: 이드리스 엘바, 리차드 매든, 샤를로트 르 봉</t>
  </si>
  <si>
    <t>감독: Shana Feste
주연: 베라 파미가, 크리스토퍼 플러머, Lewis MacDougall</t>
  </si>
  <si>
    <t>감독: 안젤리나 졸리
주연: 안젤리나 졸리, 브래드 피트, 멜라니 로랑</t>
  </si>
  <si>
    <t>감독: 아담 맥케이
주연: 크리스찬 베일, 에이미 아담스, 스티브 카렐</t>
  </si>
  <si>
    <t>감독: Kerem Sanga
주연: 그레이스 밴 패튼, 조반 아데포, 루카스 하스</t>
  </si>
  <si>
    <t>감독: Michael Hirst
주연: Alex Høgh Andersen, Jordan Patrick Smith, Marco Ilsø</t>
  </si>
  <si>
    <t>주연: George Blagden</t>
  </si>
  <si>
    <t>감독: Peter Findlay, Rebecca Snow
주연: 피터 아우터브리지</t>
  </si>
  <si>
    <t>감독: James Velasquez
주연: Clodagh Moriarty, Kristine Kenina, Megan O'Malley</t>
  </si>
  <si>
    <t>감독: 大根仁
주연: 사토 타케루, 카미키 류노스케, 고마츠 나나</t>
  </si>
  <si>
    <t>감독: 숀 레비
주연: 벤 스틸러, 로빈 윌리엄스, 오웬 윌슨</t>
  </si>
  <si>
    <t>감독: 小泉堯史
주연: 寺尾聰, 후카츠 에리, 浅丘ルリ子</t>
  </si>
  <si>
    <t>감독: Kavery Kaul
주연: Lord Kitchener, Calypso Rose, Mighty Duke</t>
  </si>
  <si>
    <t>감독: 연상호
주연: 강동원, 이정현, 이레</t>
  </si>
  <si>
    <t>감독: 김홍선
주연: 백윤식, 성동일, 배종옥</t>
  </si>
  <si>
    <t>감독: 岩田ユキ
주연: 야마다 타카유키, 코니시 마나미, 마키 요코</t>
  </si>
  <si>
    <t>감독: 렌 와이즈먼
주연: 아나 데 아르마스, 키아누 리브스, 이언 맥셰인</t>
  </si>
  <si>
    <t>감독: 뤽 베송
주연: 데인 드한, 카라 델레바인, 클라이브 오웬</t>
  </si>
  <si>
    <t>감독: 게리 마셜
주연: 애쉬튼 커쳐, 제이미 폭스, 제니퍼 가너</t>
  </si>
  <si>
    <t>감독: Trent Cooper
주연: 케빈 스페이시, 카밀라 벨, 헤더 그레이엄</t>
  </si>
  <si>
    <t>감독: 김창주
주연: 조우진, 이재인, 지창욱</t>
  </si>
  <si>
    <t>감독: 제이 로치
주연: 샤를리즈 테론, 마고 로비, 니콜 키드먼</t>
  </si>
  <si>
    <t>감독: Ritesh Batra
주연: 로버트 레드포드, 제인 폰다, 마티아스 스후나르츠</t>
  </si>
  <si>
    <t>감독: 육상효
주연: 김인권, 김정태, 신현빈</t>
  </si>
  <si>
    <t>감독: 益子昌一
주연: 寺尾聰, 다케노우치 유타카, 伊東四朗</t>
  </si>
  <si>
    <t>감독: Scott Moore, Jon Lucas
주연: 밀라 쿠니스, 크리스틴 벨, 캐스린 한</t>
  </si>
  <si>
    <t>감독: 나타읏 푼피리야
주연: ชุติมณฑน์ จึงเจริญสุขยิ่ง, ชานน สันตินธรกุล, อิษยา ฮอสุวรรณ</t>
  </si>
  <si>
    <t>태국</t>
  </si>
  <si>
    <t>감독: Chris Brinker
주연: 맷 딜런, 윌렘 대포, 닐 맥도너</t>
  </si>
  <si>
    <t>감독: 클린트 이스트우드
주연: 니콜라스 홀트, 토니 콜렛, J.K. 시몬스</t>
  </si>
  <si>
    <t>감독: Hong Seung-wan
주연: 문소리, 박형식, 백수장</t>
  </si>
  <si>
    <t>감독: Seth Gordon
주연: 제이미 폭스, 카메론 디아즈, McKenna Roberts</t>
  </si>
  <si>
    <t>감독: David Aponte
주연: Jorge Alberti, Ricardo Álvarez, Jorge Antares</t>
  </si>
  <si>
    <t>감독: 김병서, 이해준
주연: 이병헌, 하정우, 마동석</t>
  </si>
  <si>
    <t>감독: タナダユキ
주연: 아오이 유우, 齋藤隆成, 모리야마 미라이</t>
  </si>
  <si>
    <t>감독: Jacob Cheung
주연: 판빙빙, 황효명, 조문탁</t>
  </si>
  <si>
    <t>감독: Rupert Sanders
주연: 크리스틴 스튜어트, 크리스 헴스워스, 샤를리즈 테론</t>
  </si>
  <si>
    <t>감독: 中村義洋
주연: 이노우에 마오, 아야노 고, 렌부츠 미사코</t>
  </si>
  <si>
    <t>감독: Per Fly
주연: 테오 제임스, 재클린 비셋, 벤 킹슬리</t>
  </si>
  <si>
    <t>감독: 롤란트 에머리히
주연: 채닝 테이텀, 제이미 폭스, 메기 질렌할</t>
  </si>
  <si>
    <t>감독: Taylor Hackford
주연: Mikhail Baryshnikov, Gregory Hines, 예르지 스콜리모프스키</t>
  </si>
  <si>
    <t>감독: Park Shin-woo
주연: 손예진, 한석규, 고수</t>
  </si>
  <si>
    <t>감독: 애덤 맥도널드
주연: Missy Peregrym, Jeff Roop, Eric Balfour</t>
  </si>
  <si>
    <t>감독: Brian A. Miller
주연: 라이언 거즈먼, 실베스터 스탤론, 매슈 모딘</t>
  </si>
  <si>
    <t>감독: Chris Foggin
주연: 로리 키니어, Jo Hartley, Joel Fry</t>
  </si>
  <si>
    <t>감독: Chris Foggin
주연: 로리 키니어, Jo Hartley, Chrissy Metz</t>
  </si>
  <si>
    <t>감독: 이창동
주연: 유아인, 스티븐 연, 전종서</t>
  </si>
  <si>
    <t>감독: Guillermo Arriaga
주연: 샤를리즈 테론, 킴 베이싱어, 제니퍼 로렌스</t>
  </si>
  <si>
    <t>감독: 수잔 비에르
주연: 산드라 블록, Trevante Rhodes, 존 말코비치</t>
  </si>
  <si>
    <t>감독: 알레한드로 곤살레스 이냐리투
주연: 마이클 키튼, 엠마 스톤, 잭 갤리퍼내키스</t>
  </si>
  <si>
    <t>감독: Andrew Heckler
주연: 개렛 헤들런드, 안드레아 라이즈보로, 포레스트 휘태커</t>
  </si>
  <si>
    <t>감독: Scott Mann
주연: 제프리 딘 모건, 로버트 드 니로, 케이트 보스워스</t>
  </si>
  <si>
    <t>감독: Sue Tenney
주연: 알렉산드라 브레킨리지, Martin Henderson, Colin Lawrence</t>
  </si>
  <si>
    <t>감독: 롭 라이너
주연: 잭 니콜슨, 모건 프리먼, Sean Hayes</t>
  </si>
  <si>
    <t>감독: Steph Cha, Ken Woodruff
주연: 다니엘 대 킴, 레이나 하디스티, 김지훈</t>
  </si>
  <si>
    <t>감독: 리 대니얼스
주연: 포레스트 휘태커, 오프라 윈프리, 데이빗 오예로워</t>
  </si>
  <si>
    <t>감독: 에단 코엔, 조엘 코엔
주연: 조지 클루니, 프랜시스 맥도맨드, 브래드 피트</t>
  </si>
  <si>
    <t>감독: Robert Oliver
주연: Grace Yelland, Robert Stafford, Ethan Davies</t>
  </si>
  <si>
    <t>감독: 타키모토 토모유키
주연: 토요카와 에츠시, 이시바시 료, 사사노 타카시</t>
  </si>
  <si>
    <t>감독: 강윤성
주연: 마동석, 윤계상, 조재윤</t>
  </si>
  <si>
    <t>감독: 이상용
주연: 마동석, 손석구, 최귀화</t>
  </si>
  <si>
    <t>감독: 이상용
주연: 마동석, 이준혁, 아오키 무네타카</t>
  </si>
  <si>
    <t>감독: 허명행
주연: 마동석, 김무열, 박지환</t>
  </si>
  <si>
    <t>감독: 윤종빈
주연: 최민식, 하정우, 곽도원</t>
  </si>
  <si>
    <t>감독: Peter Nowalk
주연: 비올라 데이비스, Billy Brown, Jack Falahee</t>
  </si>
  <si>
    <t>15화</t>
  </si>
  <si>
    <t>감독: 豊島圭介
주연: 安達祐実, 후치카미 야스시, 小篠恵奈</t>
  </si>
  <si>
    <t>감독: 栗村実
주연: 히로스에 료코, 이나가키 고로, 安藤聖</t>
  </si>
  <si>
    <t>감독: 로버트 레드포드
주연: 맷 데이먼, 윌 스미스, 샤를리즈 테론</t>
  </si>
  <si>
    <t>감독: 폴 버호벤
주연: 비르지니 에피라, 샬롯 램플링, Daphné Patakia</t>
  </si>
  <si>
    <t>감독: 루벤 플레셔
주연: 톰 하디, 미셸 윌리엄스, 리즈 아메드</t>
  </si>
  <si>
    <t>감독: 조엘 슈마허
주연: 케이트 블란쳇, Gerard McSorley, 키어런 하인즈</t>
  </si>
  <si>
    <t>감독: 크쥐시토프 키에슬로프스키
주연: 이렌느 야곱, Halina Gryglaszewska, Philippe Volter</t>
  </si>
  <si>
    <t>감독: 류승완
주연: 하정우, 한석규, 류승범</t>
  </si>
  <si>
    <t>감독: Naomi Foner
주연: 다코타 패닝, 엘리자베스 올슨, Boyd Holbrook</t>
  </si>
  <si>
    <t>감독: 존 매든
주연: 빌 나이, 매기 스미스, 톰 윌킨슨</t>
  </si>
  <si>
    <t>감독: 존 매든
주연: 데브 파텔, 주디 덴치, 리처드 기어</t>
  </si>
  <si>
    <t>감독: 주세페 토르나토레
주연: 제프리 러쉬, 짐 스터지스, 실비아 획스</t>
  </si>
  <si>
    <t>감독: Lee Jung-ho
주연: 엄정화, 류승룡, 이도경</t>
  </si>
  <si>
    <t>감독: Paula van der Oest
주연: 클레스 방, 올가 쿠릴렌코, 브라이언 콕스</t>
  </si>
  <si>
    <t>감독: 라세 할스트룀
주연: 조시 게드, K.J. 아파, 브릿 로버트슨</t>
  </si>
  <si>
    <t>감독: Alessio Di Giambattista
주연: Cody Brotter, Zachary Mooren, Mitch Eakins</t>
  </si>
  <si>
    <t>감독: 빈스 길리건, 피터 굴드
주연: 밥 오덴커크, 조너선 뱅크스, 레이 시혼</t>
  </si>
  <si>
    <t>감독: Ariel Levine
주연: Josh Fadem, Hayley Holmes, Julian Bonfiglio</t>
  </si>
  <si>
    <t>감독: Angelika Zbikowski, Kevin Dreyfuss
주연: Sean Giambrone, Kyle S. More</t>
  </si>
  <si>
    <t>감독: 류승완
주연: 황정민, 유아인, 유해진</t>
  </si>
  <si>
    <t>감독: 류승완
주연: 황정민, 정해인</t>
  </si>
  <si>
    <t>감독: Jonathan Milott, Cary Murnion
주연: 룰루 윌슨, 케빈 제임스, 조엘 맥헤일</t>
  </si>
  <si>
    <t>감독: 데이비드 핀처
주연: 브래드 피트, 케이트 블란쳇, 타라지 P. 헨슨</t>
  </si>
  <si>
    <t>166분</t>
  </si>
  <si>
    <t>감독: 石井裕也
주연: 츠마부키 사토시, 카메나시 카즈야, 勝地涼</t>
  </si>
  <si>
    <t>감독: 폴 와이츠
주연: 줄리앤 무어, 와타나베 켄, Sebastian Koch</t>
  </si>
  <si>
    <t>감독: RJ Bentler
주연: Stuart Murdoch, Stuart David, Isobel Campbell</t>
  </si>
  <si>
    <t>감독: Alejandro Monteverde
주연: Eduardo Verástegui, Tammy Blanchard, Manny Perez</t>
  </si>
  <si>
    <t>감독: 댄 길로이
주연: 르네 루소, 제이크 질렌할, 자웨 애쉬튼</t>
  </si>
  <si>
    <t>감독: Nick Ormerod, Declan Donnellan
주연: 로버트 패틴슨, 우마 서먼, 크리스티나 리치</t>
  </si>
  <si>
    <t>감독: 이준익
주연: 박정민, 김고은, 장항선</t>
  </si>
  <si>
    <t>감독: 양우석
주연: 송강호, 김영애, 오달수</t>
  </si>
  <si>
    <t>감독: Kim Seong-je
주연: 송중기, 이희준, 권해효</t>
  </si>
  <si>
    <t>감독: Gregory Nava
주연: 제니퍼 로페즈, 마틴 쉰, 안토니오 반데라스</t>
  </si>
  <si>
    <t>감독: Jed Mercurio
주연: 리차드 매든, 킬리 호스, Sophie Rundle</t>
  </si>
  <si>
    <t>감독: 에릭 오버마이어
주연: 타이터스 웰리버, 제이미 헥터, 아미 아퀴노</t>
  </si>
  <si>
    <t>감독: Matt Ruskin
주연: 키이라 나이틀리, 캐리 쿤, 크리스 쿠퍼</t>
  </si>
  <si>
    <t>감독: 조엘 에저튼
주연: 루카스 헤지스, 니콜 키드먼, 러셀 크로우</t>
  </si>
  <si>
    <t>감독: Ma Jin-won
주연: 이하나, 송승헌, 손은서</t>
  </si>
  <si>
    <t>감독: Kim Gok, Kim Sun
주연: 변요한, 김무열, 김희원</t>
  </si>
  <si>
    <t>감독: 닐 버거
주연: 타이 셰리던, 릴리로즈 뎁, 핀 화이트헤드</t>
  </si>
  <si>
    <t>감독: Todor Chapkanov
주연: 스콧 애드킨스, Teodora Duhovnikova, Alon Aboutboul</t>
  </si>
  <si>
    <t>감독: 리처드 링클레이터
주연: Ellar Coltrane, 패트리샤 아퀘트, 에단 호크</t>
  </si>
  <si>
    <t>감독: Kim Bong-han
주연: 손현주, 장혁, 라미란</t>
  </si>
  <si>
    <t>감독: 허진호
주연: 설경구, 장동건, 김희애</t>
  </si>
  <si>
    <t>감독: 브라이언 싱어
주연: 라미 말렉, Gwilym Lee, 벤 하디</t>
  </si>
  <si>
    <t>감독: Hadas Rosen</t>
  </si>
  <si>
    <t>감독: 정우성
주연: 정우성, 김남길, 김준한</t>
  </si>
  <si>
    <t>감독: 이마무라 쇼헤이
주연: 오가타 켄, 小川眞由美, 倍賞美津子</t>
  </si>
  <si>
    <t>감독: 가렛 에반스
주연: 댄 스티븐스, 마이클 쉰, 루시 보인턴</t>
  </si>
  <si>
    <t>감독: 폴 그린그래스
주연: 맷 데이먼, 프란카 포텐테, 브라이언 콕스</t>
  </si>
  <si>
    <t>감독: Robert Budreau
주연: 에단 호크, 카먼 이조고, Callum Keith Rennie</t>
  </si>
  <si>
    <t>감독: 믹 잭슨
주연: 토미 리 존스, Anne Heche, 개비 호프만</t>
  </si>
  <si>
    <t>감독: 이돈구
주연: 손현주, 박혁권, 손숙</t>
  </si>
  <si>
    <t>감독: 허진호
주연: 유지태, 이영애, Baek Seong-hee</t>
  </si>
  <si>
    <t>감독: 木村大作
주연: 마츠야마 켄이치, 아오이 유우, 이케마츠 소스케</t>
  </si>
  <si>
    <t>감독: 원신연
주연: 류준열, 유해진, 조우진</t>
  </si>
  <si>
    <t>감독: Park Dae-min
주연: 유승호, 조재현, 고창석</t>
  </si>
  <si>
    <t>감독: Jang Yoo-jung
주연: 마동석, 이동휘, 이하늬</t>
  </si>
  <si>
    <t>감독: 정지영
주연: 안성기, 박원상, 나영희</t>
  </si>
  <si>
    <t>감독: 제이슨 베이트먼
주연: 제이슨 베이트먼, 니콜 키드먼, 크리스토퍼 워컨</t>
  </si>
  <si>
    <t>감독: 연상호
주연: 공유, 김수안, 정유미</t>
  </si>
  <si>
    <t>감독: 빔 벤더스
주연: Compay Segundo, Eliades Ochoa, Ry Cooder</t>
  </si>
  <si>
    <t>감독: 猪股隆一
주연: 아야세 하루카, 히로스에 료코, 혼다 츠바사</t>
  </si>
  <si>
    <t>감독: Ken Jacobs</t>
  </si>
  <si>
    <t>감독: 폴 피그
주연: 안나 켄드릭, 블레이크 라이블리, 헨리 골딩</t>
  </si>
  <si>
    <t>감독: 데니스 간젤
주연: 제이슨 스타뎀, 제시카 알바, 토미 리 존스</t>
  </si>
  <si>
    <t>감독: Analeine Cal y Mayor
주연: 샘 클라플린, 베로니카 에체기, Antonia Clarke</t>
  </si>
  <si>
    <t>멕시코</t>
  </si>
  <si>
    <t>감독: 강동원, 장영우
주연: 전지현, 강동원, 이미숙</t>
  </si>
  <si>
    <t>감독: 유키사다 이사오
주연: 와타나베 켄, 요시나가 사유리, 토요카와 에츠시</t>
  </si>
  <si>
    <t>170분</t>
  </si>
  <si>
    <t>감독: 사카모토 준지
주연: 요시나가 사유리, 柴田恭兵, 나카무라 토오루</t>
  </si>
  <si>
    <t>감독: Guy-Marc Hinant, Dominique Lohlé</t>
  </si>
  <si>
    <t>감독: 론 하워드
주연: 커트 러셀, 윌리엄 볼드윈, 로버트 드 니로</t>
  </si>
  <si>
    <t>감독: Gonzalo López-Gallego
주연: Joe Anderson, Alisha Bailey, Jessamine-Bliss Bell</t>
  </si>
  <si>
    <t>감독: 저스틴 린
주연: 빈 디젤, 폴 워커, 드웨인 존슨</t>
  </si>
  <si>
    <t>감독: 제임스 완
주연: 빈 디젤, 폴 워커, 드웨인 존슨</t>
  </si>
  <si>
    <t>감독: F. 게리 게리
주연: 빈 디젤, 제이슨 스타뎀, 드웨인 존슨</t>
  </si>
  <si>
    <t>감독: 저스틴 린
주연: 빈 디젤, 미셸 로드리게즈, 타이리스 깁슨</t>
  </si>
  <si>
    <t>감독: 데이비드 레이치
주연: 드웨인 존슨, 제이슨 스타뎀, 이드리스 엘바</t>
  </si>
  <si>
    <t>감독: 白石晃士
주연: 마츠자카 토리, 사와지리 에리카, 맛켄유</t>
  </si>
  <si>
    <t>감독: Bernhard Baran
주연: Mike Portnoy, Neal Morse, Steve Morse</t>
  </si>
  <si>
    <t>감독: 前田司郎
주연: 코이즈미 쿄코, 니카이도 후미, 고라 겐고</t>
  </si>
  <si>
    <t>감독: 장이머우
주연: 공리, 강문, 滕汝骏</t>
  </si>
  <si>
    <t>감독: Matt Kane
주연: 리처드 카인드, Christen Harper, Susan Blackwell</t>
  </si>
  <si>
    <t>감독: 윤재호
주연: 이나영, 장동윤, 오광록</t>
  </si>
  <si>
    <t>감독: Philippe Falardeau
주연: 리즈 위더스푼, 코리 스톨, Arnold Oceng</t>
  </si>
  <si>
    <t>감독: Andrew Renzi
주연: 리처드 기어, 다코타 패닝, 테오 제임스</t>
  </si>
  <si>
    <t>감독: 기타노 다케시
주연: 기타노 다케시, 오마 엡스, 真木蔵人</t>
  </si>
  <si>
    <t>감독: 짐 셰리던
주연: 토비 맥과이어, 제이크 질렌할, 나탈리 포트만</t>
  </si>
  <si>
    <t>감독: Алексей Нужный
주연: Константин Хабенский, Андрей Смоляков, Ирина Горбачёва</t>
  </si>
  <si>
    <t>감독: 닐 조던
주연: 조디 포스터, 테렌스 하워드, Nicky Katt</t>
  </si>
  <si>
    <t>감독: 멜 깁슨
주연: 멜 깁슨, 캐서린 맥코맥, 소피 마르소</t>
  </si>
  <si>
    <t>177분</t>
  </si>
  <si>
    <t>감독: Lin Oeding
주연: 제이슨 모모아, 스티븐 랭, 가렛 딜라헌트</t>
  </si>
  <si>
    <t>감독: Monika Mitchell
주연: Alyssa Milano, Sam Page, Malachi Weir</t>
  </si>
  <si>
    <t>감독: 조나단 모스토우
주연: 커트 러셀, J.T. 월쉬, 캐슬린 퀸란</t>
  </si>
  <si>
    <t>감독: 록샌 도슨
주연: Chrissy Metz, 조시 루커스, 토퍼 그레이스</t>
  </si>
  <si>
    <t>감독: 빈스 길리건
주연: 브라이언 크랜스턴, 아론 폴, 애나 건</t>
  </si>
  <si>
    <t>감독: 안소니 밍겔라
주연: 주드 로, 쥘리에트 비노쉬, 베라 파미가</t>
  </si>
  <si>
    <t>감독: Toby Haynes
주연: 베네딕트 컴버배치, 로리 키니어, John Heffernan</t>
  </si>
  <si>
    <t>감독: 고레에다 히로카즈
주연: 송강호, 강동원, 배두나</t>
  </si>
  <si>
    <t>감독: Ashmy Johnson
주연: Taraash Mehrotra, Kamaljeet Sembhi, Anurag Mehra</t>
  </si>
  <si>
    <t>감독: 짐 자무쉬
주연: 빌 머레이, 샤론 스톤, 제시카 랭</t>
  </si>
  <si>
    <t>감독: Tom Shadyac
주연: 짐 캐리, 모건 프리먼, 제니퍼 애니스턴</t>
  </si>
  <si>
    <t>감독: 존 크로울리
주연: 시얼샤 로넌, 도널 글리슨, 에모리 코헨</t>
  </si>
  <si>
    <t>감독: Richard Loncraine
주연: 모건 프리먼, 다이앤 키튼, 캐리 프레스턴</t>
  </si>
  <si>
    <t>감독: 안톤 후쿠아
주연: 리처드 기어, 돈 치들, 에단 호크</t>
  </si>
  <si>
    <t>감독: Uli Edel
주연: 스티븐 랭, 제니퍼 제이슨 리, 버트 영</t>
  </si>
  <si>
    <t>감독: 샤론 머과이어
주연: 르네 젤위거, 콜린 퍼스, 패트릭 뎀시</t>
  </si>
  <si>
    <t>감독: Billy Ray
주연: 크리스 쿠퍼, 라이언 필립, 로라 리니</t>
  </si>
  <si>
    <t>감독: 라이언 존슨
주연: 조셉 고든레빗, Nora Zehetner, Matt O'Leary</t>
  </si>
  <si>
    <t>감독: 제임스 맥테이그
주연: 나탈리 포트만, 휴고 위빙, 스티븐 레이</t>
  </si>
  <si>
    <t>감독: Tamar van den Dop
주연: Joren Seldeslachts, 할리나 레인, Katelijne Verbeke</t>
  </si>
  <si>
    <t>드라마, 로맨스</t>
  </si>
  <si>
    <t>감독: Li Yang
주연: 黄璐, Yang Youan, Zhang Yuling</t>
  </si>
  <si>
    <t>감독: Xavier Palud
주연: Jacques Gamblin, 램버트 윌슨, Raphaëlle Agogué</t>
  </si>
  <si>
    <t>감독: 존 리 행콕
주연: 산드라 블록, Tim McGraw, Quinton Aaron</t>
  </si>
  <si>
    <t>감독: Martin Gero
주연: 제이미 알렉산더, Sullivan Stapleton, Audrey Esparza</t>
  </si>
  <si>
    <t>21화</t>
  </si>
  <si>
    <t>감독: 산제이 릴라 반살리
주연: Amitabh Bachchan, Rani Mukerji, Ayesha Kapoor</t>
  </si>
  <si>
    <t>감독: 장자크 아르노
주연: 마크 스트롱, 안토니오 반데라스, 프리다 핀토</t>
  </si>
  <si>
    <t>감독: Joe Barton
주연: 키이라 나이틀리, 벤 위쇼, 사라 랭커셔</t>
  </si>
  <si>
    <t>감독: Scott Cooper
주연: 조니 뎁, 조엘 에저튼, 줄리앤 니콜슨</t>
  </si>
  <si>
    <t>감독: Charlie Brooker</t>
  </si>
  <si>
    <t>3화</t>
  </si>
  <si>
    <t>감독: 스티븐 소더버그
주연: 케이트 블란쳇, 마이클 패스벤더, 톰 버크</t>
  </si>
  <si>
    <t>감독: 데니스 러헤인
주연: 태런 에저턴, 폴 월터 하우저, Sepideh Moafi</t>
  </si>
  <si>
    <t>감독: Ashley Avis
주연: 케이트 윈슬렛, 맥켄지 포이, 이언 글렌</t>
  </si>
  <si>
    <t>감독: Sophia Banks
주연: 미셸 모나한, 제이슨 클라크, 제이 코트니</t>
  </si>
  <si>
    <t>감독: 대런 아로노프스키
주연: 나탈리 포트만, 밀라 쿠니스, 뱅상 카셀</t>
  </si>
  <si>
    <t>감독: 케빈 맥도널드
주연: 주드 로, Karl Davies, 조디 휘태커</t>
  </si>
  <si>
    <t>감독: Pasha Patriki
주연: 장클로드 반담, 돌프 룬드그렌, Patrick Kilpatrick</t>
  </si>
  <si>
    <t>감독: Andrew Traucki
주연: Jessica McNamee, Luke Mitchell, Amali Golden</t>
  </si>
  <si>
    <t>감독: 케이트 쇼트랜드
주연: 스칼렛 요한슨, 플로렌스 퓨, 레이첼 와이즈</t>
  </si>
  <si>
    <t>감독: Diederik Van Rooijen
주연: Monic Hendrickx, Niels Gomperts, Sigrid ten Napel</t>
  </si>
  <si>
    <t>감독: Adam Berg
주연: 누미 라파스, Jakob Oftebro, Dar Salim</t>
  </si>
  <si>
    <t>감독: 리들리 스콧
주연: 조쉬 하트넷, 에릭 배너, 이완 맥그리거</t>
  </si>
  <si>
    <t>감독: 마크 윌리엄스
주연: 리암 니슨, 에미 레이버램프먼, Taylor John Smith</t>
  </si>
  <si>
    <t>감독: Jon Bokenkamp
주연: 제임스 스페이더, 디에고 클래튼호프, Hisham Tawfiq</t>
  </si>
  <si>
    <t>감독: John Eisendrath, Jon Bokenkamp
주연: 라이언 이골드, 팜케 얀센, 에디 가테지</t>
  </si>
  <si>
    <t>19화</t>
  </si>
  <si>
    <t>감독: 정지영
주연: 조진웅, 이하늬, 이경영</t>
  </si>
  <si>
    <t>감독: Jesse V. Johnson
주연: 에런 엑하트, 올가 쿠릴렌코, Alex Pettyfer</t>
  </si>
  <si>
    <t>감독: 로저 미첼
주연: 수잔 서랜든, 케이트 윈슬렛, 미아 바시코프스카</t>
  </si>
  <si>
    <t>감독: 폴 버호벤
주연: 카리서 판 하우턴, Sebastian Koch, Thom Hoffman</t>
  </si>
  <si>
    <t>감독: Daniel Alfredson
주연: 안소니 홉킨스, 줄리아 스타일스, 알렉산더 루드위그</t>
  </si>
  <si>
    <t>감독: Louis Henderson</t>
  </si>
  <si>
    <t>감독: 스콧 데릭슨
주연: 메이슨 테임즈, 매들린 맥그로, 에단 호크</t>
  </si>
  <si>
    <t>감독: Frank Coraci
주연: 애덤 샌들러, 드류 배리모어, 케빈 닐런</t>
  </si>
  <si>
    <t>감독: 에드워드 즈윅
주연: 레오나르도 디카프리오, 자이먼 혼수, 제니퍼 코넬리</t>
  </si>
  <si>
    <t>감독: John Barr
주연: 톰 베렌저, Kristen Hager, Paul Ben-Victor</t>
  </si>
  <si>
    <t>감독: Sam Curtain
주연: Craig Ingham, James Mason, Kristen Condon</t>
  </si>
  <si>
    <t>감독: Jean-François Richet
주연: 멜 깁슨, 에린 모리아티, 윌리엄 H. 메이시</t>
  </si>
  <si>
    <t>감독: 드니 빌뇌브
주연: 라이언 고슬링, 해리슨 포드, 아나 데 아르마스</t>
  </si>
  <si>
    <t>감독: Danielle Krudy, Bridget Savage Cole
주연: Morgan Saylor, Sophie Lowe, 마고 마틴데일</t>
  </si>
  <si>
    <t>감독: 제레미 솔니에
주연: 메이콘 블레어, Devin Ratray, Amy Hargreaves</t>
  </si>
  <si>
    <t>감독: Julio Quintana
주연: Jimmy Gonzáles, 데니스 퀘이드, Anthony Gonzalez</t>
  </si>
  <si>
    <t>감독: 데릭 시엔프랜스
주연: 라이언 고슬링, 미셸 윌리엄스, 존 도먼</t>
  </si>
  <si>
    <t>주연: 정용화, 이정신, 강민혁</t>
  </si>
  <si>
    <t>감독: 우디 앨런
주연: 케이트 블란쳇, 샐리 호킨스, 알렉 볼드윈</t>
  </si>
  <si>
    <t>감독: 앨런 릭먼
주연: 케이트 윈슬렛, 마티아스 스후나르츠, 앨런 릭먼</t>
  </si>
  <si>
    <t>감독: Jérémie Guez
주연: Roland Møller, Veerle Baetens, Lola Le Lann</t>
  </si>
  <si>
    <t>감독: Ben Younger
주연: 마일스 텔러, 에런 엑하트, Katey Sagal</t>
  </si>
  <si>
    <t>감독: Elliott Lester
주연: 제이슨 스타뎀, 패디 콘시딘, 에이단 길런</t>
  </si>
  <si>
    <t>감독: 소피아 코폴라
주연: Katie Chang, 엠마 왓슨, 타이사 파미가</t>
  </si>
  <si>
    <t>감독: 루카 구아다니노
주연: 틸다 스윈튼, 마티아스 스후나르츠, 랄프 파인즈</t>
  </si>
  <si>
    <t>감독: 김성훈
주연: 하정우, 주지훈, 임형국</t>
  </si>
  <si>
    <t>감독: 마이크 밀스
주연: 이완 맥그리거, 크리스토퍼 플러머, 멜라니 로랑</t>
  </si>
  <si>
    <t>감독: 존 카니
주연: 마크 러팔로, 키이라 나이틀리, 애덤 리바인</t>
  </si>
  <si>
    <t>감독: Slatan Dudow
주연: Henry Lorenzen, Hans Henninger, Adolf Fischer</t>
  </si>
  <si>
    <t>감독: 이솔희
주연: 김서형, 양재성, 안소요</t>
  </si>
  <si>
    <t>감독: 알프레드 히치콕
주연: 제임스 스튜어트, Doris Day, Brenda De Banzie</t>
  </si>
  <si>
    <t>감독: 마이크 리
주연: Brenda Blethyn, 마리애나 장-바티스트, 티모시 스폴</t>
  </si>
  <si>
    <t>감독: Gary David Goldberg
주연: 다이앤 레인, 존 쿠삭, Elizabeth Perkins</t>
  </si>
  <si>
    <t>감독: 류훈
주연: 유지태, 윤진서, 임예진</t>
  </si>
  <si>
    <t>감독: Richard Fee, 할런 코벤
주연: Michelle Keegan, 아딜 아크타르, 리차드 아미티지</t>
  </si>
  <si>
    <t>감독: Andrea Di Stefano
주연: 조엘 킨나만, 로저먼드 파이크, 커먼</t>
  </si>
  <si>
    <t>감독: 조디 포스터
주연: 멜 깁슨, 조디 포스터, 제니퍼 로렌스</t>
  </si>
  <si>
    <t>감독: 한재림
주연: 송강호, 이병헌, 전도연</t>
  </si>
  <si>
    <t>감독: Lee Jung-ho
주연: 이성민, 유재명, 전혜진</t>
  </si>
  <si>
    <t>감독: Michael Pearce
주연: 제시 버클리, 조니 플린, Trystan Gravelle</t>
  </si>
  <si>
    <t>감독: 캐리 조지 후쿠나가
주연: Abraham Attah, 이드리스 엘바, Emmanuel Nii Adom Quaye</t>
  </si>
  <si>
    <t>감독: Cho Jin-mo
주연: 강하늘, 천우희, 강소라</t>
  </si>
  <si>
    <t>감독: 根岸吉太郎
주연: 아사노 타다노부, 마츠 다카코, 室井滋</t>
  </si>
  <si>
    <t>감독: 알레한드로 곤살레스 이냐리투
주연: 하비에르 바르뎀, Maricel Álvarez, Hanaa Bouchaib</t>
  </si>
  <si>
    <t>감독: 애런 소킨
주연: 니콜 키드먼, 하비에르 바르뎀, J.K. 시몬스</t>
  </si>
  <si>
    <t>감독: 대니 보일
주연: 레오나르도 디카프리오, Virginie Ledoyen, 기욤 카네</t>
  </si>
  <si>
    <t>감독: Denis Imbert
주연: Vincent Elbaz, Shanna Keil, Marie Gillain</t>
  </si>
  <si>
    <t>감독: Fredi M. Murer
주연: Fabrizio Borsani, Teo Gheorghiu, Julika Jenkins</t>
  </si>
  <si>
    <t>감독: 리처드 링클레이터
주연: 에단 호크, 줄리 델피, Seamus Davey-Fitzpatrick</t>
  </si>
  <si>
    <t>감독: 리처드 링클레이터
주연: 에단 호크, 줄리 델피, Andrea Eckert</t>
  </si>
  <si>
    <t>감독: 리처드 링클레이터
주연: 에단 호크, 줄리 델피, Vernon Dobtcheff</t>
  </si>
  <si>
    <t>감독: 크리스 에반스
주연: 크리스 에반스, 앨리스 이브, Emma Fitzpatrick</t>
  </si>
  <si>
    <t>감독: Jack Heller
주연: 케빈 듀랜드, 루카스 하스, Bianca Kajlich</t>
  </si>
  <si>
    <t>감독: Jalmari Helander
주연: 사무엘 L. 잭슨, Onni Tommila, 레이 스티븐슨</t>
  </si>
  <si>
    <t>감독: 데이비드 E. 켈리
주연: 니콜 키드먼, 리즈 위더스푼, 쉐일린 우들리</t>
  </si>
  <si>
    <t>감독: Ken Kwapis
주연: 드류 배리모어, 존 크래신스키, 크리스틴 벨</t>
  </si>
  <si>
    <t>감독: 팀 버튼
주연: 에이미 아담스, 크리스토프 발츠, 대니 휴스턴</t>
  </si>
  <si>
    <t>감독: Justin Zackham
주연: 로버트 드 니로, 다이앤 키튼, Ben Barnes</t>
  </si>
  <si>
    <t>감독: 아담 맥케이
주연: 스티브 카렐, 크리스찬 베일, 라이언 고슬링</t>
  </si>
  <si>
    <t>감독: 마이클 쇼월터
주연: 쿠마일 난지아니, 조이 카잔, 홀리 헌터</t>
  </si>
  <si>
    <t>감독: 박범수
주연: 이혜리, 박세완, 이정하</t>
  </si>
  <si>
    <t>감독: 스티븐 프리어스
주연: 주디 덴치, 알리 파잘, Tim Pigott-Smith</t>
  </si>
  <si>
    <t>감독: Gina Kim
주연: Gina Kim</t>
  </si>
  <si>
    <t>감독: 필립 바란티니
주연: Craig Fairbrass, Robert Glenister, Nicholas Aaron</t>
  </si>
  <si>
    <t>감독: 이안
주연: 조 앨윈, 크리스틴 스튜어트, 크리스 터커</t>
  </si>
  <si>
    <t>감독: Valerie Faris, Jonathan Dayton
주연: 엠마 스톤, 스티브 카렐, 안드레아 라이즈보로</t>
  </si>
  <si>
    <t>감독: Andrew Ross Sorkin, 브라이언 코펠만
주연: 폴 지아마티, 매기 시프, 데이비드 코스터빌</t>
  </si>
  <si>
    <t>감독: 폴 와이츠
주연: 로버트 드 니로, 폴 다노, 줄리앤 무어</t>
  </si>
  <si>
    <t>감독: Sabrina Ratté</t>
  </si>
  <si>
    <t>감독: Michael Noer
주연: 찰리 허냄, 라미 말렉, Christopher Fairbank</t>
  </si>
  <si>
    <t>감독: 한준희
주연: 공효진, 류준열, 조정석</t>
  </si>
  <si>
    <t>감독: Mikhaël Hers
주연: Vincent Lacoste, Isaure Multrier, 스테이시 마르탱</t>
  </si>
  <si>
    <t>감독: 三谷幸喜, Takafumi Kimura
주연: 사카이 마사토, 오오이즈미 요, 草刈正雄</t>
  </si>
  <si>
    <t>감독: Lee Woo-chul
주연: 안성기, 조진웅, 한예리</t>
  </si>
  <si>
    <t>감독: 윤성현
주연: 이제훈, 안재홍, 최우식</t>
  </si>
  <si>
    <t>감독: 이준익
주연: 유아인, 송강호, 이효제</t>
  </si>
  <si>
    <t>감독: 질스 파겟-브레너
주연: 크리스틴 스콧 토머스, Mélusine Mayance, Niels Arestrup</t>
  </si>
  <si>
    <t>감독: Peter Facinelli
주연: Anne Heche, 토머스 제인, Jason Patric</t>
  </si>
  <si>
    <t>감독: Lee Chang-hee
주연: 김상경, 김강우, 김희애</t>
  </si>
  <si>
    <t>감독: Liz Garbus
주연: 에이미 라이언, 토마신 맥켄지, 롤라 커크</t>
  </si>
  <si>
    <t>감독: Hans Petter Moland
주연: 스텔란 스카스가드, 브루노 간츠, Pål Sverre Hagen</t>
  </si>
  <si>
    <t>감독: 도리스 되리
주연: Elmar Wepper, 하넬로레 엘스너, 나디아 울</t>
  </si>
  <si>
    <t>감독: Sarah McCarthy
주연: Veronika Vlasova, Darya Kasyanova, Nadezhda Rossinskaya</t>
  </si>
  <si>
    <t>감독: Aleem Khan
주연: 조애나 스캔런, Nathalie Richard, Nasser Memarzia</t>
  </si>
  <si>
    <t>감독: Gary Yates
주연: 얼리샤 윗, 브렌던 하인스, Andrea del Campo</t>
  </si>
  <si>
    <t>감독: 소피아 코폴라
주연: 빌 머레이, 스칼렛 요한슨, 조반니 리비시</t>
  </si>
  <si>
    <t>감독: Andy Tennant
주연: 매튜 매커너히, 케이트 허드슨, 도널드 서덜랜드</t>
  </si>
  <si>
    <t>감독: 제임스 마쉬
주연: 에디 레드메인, 펠리시티 존스, 찰리 콕스</t>
  </si>
  <si>
    <t>감독: 압바스 키아로스타미
주연: 高梨臨, 奥野匡, 카세 료</t>
  </si>
  <si>
    <t>감독: 낸시 마이어스
주연: 메릴 스트립, 알렉 볼드윈, 스티브 마틴</t>
  </si>
  <si>
    <t>감독: Juan Olarte, Valérian Desterne, Lucile Palomino, Juan Pablo De La Rosa Zalamea, Céline Collin, Rebecca Black, Carlos Osmar Salazar Tornero</t>
  </si>
  <si>
    <t>감독: 추창민
주연: 설경구, 송윤아, 이기우</t>
  </si>
  <si>
    <t>감독: Cédric Klapisch
주연: 쥘리에트 비노쉬, 로맹 뒤리스, Fabrice Luchini</t>
  </si>
  <si>
    <t>감독: 압바스 키아로스타미
주연: 쥘리에트 비노쉬, William Shimell, Jean-Claude Carrière</t>
  </si>
  <si>
    <t>감독: 해롤드 래미스
주연: 빌 머레이, 앤디 맥도웰, 크리스 엘리엇</t>
  </si>
  <si>
    <t>감독: John Maybury
주연: 키이라 나이틀리, 시에나 밀러, 매튜 리스</t>
  </si>
  <si>
    <t>감독: 鶴橋康夫
주연: 토요카와 에츠시, 테라지마 시노부, 하세가와 쿄코</t>
  </si>
  <si>
    <t>감독: Frédéric Beigbeder
주연: Louise Bourgoin, Gaspard Proust, JoeyStarr</t>
  </si>
  <si>
    <t>감독: 클로드 를루치
주연: 장 뒤자르댕, Elsa Zylberstein, 크리스토퍼 램버트</t>
  </si>
  <si>
    <t>감독: 울루 그로스바드
주연: 미셸 파이퍼, Treat Williams, Jonathan Jackson</t>
  </si>
  <si>
    <t>감독: Fernando González Molina
주연: Mario Casas, Adriana Ugarte, Macarena García</t>
  </si>
  <si>
    <t>감독: Pernille Fischer Christensen
주연: 미카엘 페르스브란트, Trine Dyrholm, Birgitte Hjort Sørensen</t>
  </si>
  <si>
    <t>감독: 낸시 마이어스
주연: 잭 니콜슨, 다이앤 키튼, 키아누 리브스</t>
  </si>
  <si>
    <t>감독: 에우헤니오 데르베스
주연: 에우헤니오 데르베스, Loreto Peralta, Jessica Lindsey</t>
  </si>
  <si>
    <t>감독: 김기덕
주연: Han Yeo-reum, 곽지민, 이얼</t>
  </si>
  <si>
    <t>감독: 라세 할스트룀
주연: 이완 맥그리거, 에밀리 블런트, 크리스틴 스콧 토머스</t>
  </si>
  <si>
    <t>감독: 장재현
주연: 이정재, 박정민, 이재인</t>
  </si>
  <si>
    <t>감독: 데이비드 에이어
주연: 아놀드 슈왈제네거, 샘 워싱턴, 올리비아 윌리엄스</t>
  </si>
  <si>
    <t>감독: 이재한
주연: 나카야마 미호, 니시지마 히데토시, 石田ゆり子</t>
  </si>
  <si>
    <t>감독: Richard Tanne
주연: Parker Sawyers, 티카 섬프터, Vanessa Bell Calloway</t>
  </si>
  <si>
    <t>감독: 안톤 후쿠아
주연: 제이크 질렌할, 레이첼 맥아담스, 포레스트 휘태커</t>
  </si>
  <si>
    <t>감독: Alejandro Monteverde
주연: 짐 커비즐, 미라 소비노, 빌 캠프</t>
  </si>
  <si>
    <t>감독: 라즐로 네메스
주연: Röhrig Géza, Molnár Levente, 우르스 레힌</t>
  </si>
  <si>
    <t>감독: 스티븐 소더버그
주연: 루니 마라, 주드 로, 캐서린 제타존스</t>
  </si>
  <si>
    <t>감독: 알렉산더 페인
주연: 폴 지아마티, 토마스 헤이든 처치, 버지니아 매드슨</t>
  </si>
  <si>
    <t>감독: Molly Smith Metzler
주연: 줄리앤 무어, 메간 파히, 밀리 앨콕</t>
  </si>
  <si>
    <t>감독: Kwon Ho-young
주연: 김강우, 김범, 이솜</t>
  </si>
  <si>
    <t>감독: Hiroki Kazama, Mai Takano
주연: 카와구치 하루나, 메구로 렌, 시노하라 료코</t>
  </si>
  <si>
    <t>감독: Christophe Gans
주연: 라다 미첼, 숀 빈, Jodelle Ferland</t>
  </si>
  <si>
    <t>감독: 김주환
주연: 박서준, 안성기, 우도환</t>
  </si>
  <si>
    <t>감독: Tanya Wexler
주연: 조이 도이치, 주디 그리어, 저메인 파울러</t>
  </si>
  <si>
    <t>감독: 片山修
주연: 오구리 슌, 나가사와 마사미, 사사키 구라노스케</t>
  </si>
  <si>
    <t>감독: Maradona Dias Dos Santos, Chris Roland
주연: Paulo Americano, Raúl Rosário, David O'Hara</t>
  </si>
  <si>
    <t>감독: Mark Rydell
주연: 멜 깁슨, 씨씨 스페이식, 스콧 글렌</t>
  </si>
  <si>
    <t>감독: Tóth Barnabás
주연: Hajduk Károly, Szőke Abigél, Nagy Mari</t>
  </si>
  <si>
    <t>감독: 스콧 데릭슨
주연: 에단 호크, 줄리엣 라이런스, 빈센트 도노프리오</t>
  </si>
  <si>
    <t>감독: Rohan Sippy, Rahul Prakash
주연: Konkona Sen Sharma, Surya Sharma, Shiv Panditt</t>
  </si>
  <si>
    <t>감독: 봉준호
주연: 송강호, 김상경, 김뢰하</t>
  </si>
  <si>
    <t>감독: Son Yong-ho
주연: 김상경, 김성균, 박성웅</t>
  </si>
  <si>
    <t>감독: Cho Young-jun
주연: 조여정, 정성일, 황지아</t>
  </si>
  <si>
    <t>감독: Lee Chang-hee, Kim Da-min
주연: 최우식, 손석구, 이희준</t>
  </si>
  <si>
    <t>감독: 원신연
주연: 설경구, 김남길, 김설현</t>
  </si>
  <si>
    <t>감독: 이종필
주연: 고아성, 이솜, 박혜수</t>
  </si>
  <si>
    <t>감독: 데이비드 베니오프, D. B. 와이스
주연: 조반 아데포, 로절린드 차오, 리엄 커닝엄</t>
  </si>
  <si>
    <t>감독: 변혁
주연: 박해일, 수애, 윤제문</t>
  </si>
  <si>
    <t>감독: 트란 안 홍
주연: 마츠야마 켄이치, 키쿠치 린코, 미즈하라 키코</t>
  </si>
  <si>
    <t>감독: 이원석
주연: 한석규, 고수, 박신혜</t>
  </si>
  <si>
    <t>감독: David Dobkin
주연: 성룡, 오웬 윌슨, Fann Wong</t>
  </si>
  <si>
    <t>감독: Eric Barbier
주연: 피에르 니네이, 샤를로트 갱스부르, Didier Bourdon</t>
  </si>
  <si>
    <t>감독: 이안
주연: 양조위, 탕웨이, 조앤 첸</t>
  </si>
  <si>
    <t>157분</t>
  </si>
  <si>
    <t>감독: 브래드 페이턴
주연: 드웨인 존슨, 알렉산드라 다다리오, 칼라 구지노</t>
  </si>
  <si>
    <t>감독: 김미지
주연: 최현진, 장준휘</t>
  </si>
  <si>
    <t>감독: Brian Falk
주연: 톰 펠튼, 가렛 딜라헌트, 제이크 아벨</t>
  </si>
  <si>
    <t>감독: Alister Grierson
주연: 리처드 록스버그, 요안 그리피드, Rhys Wakefield</t>
  </si>
  <si>
    <t>감독: Scott Hicks
주연: 제프리 러쉬, 노아 테일러, 아르민 뮐러슈탈</t>
  </si>
  <si>
    <t>감독: 벤자민 카론
주연: 줄리앤 무어, 세바스찬 스탠, 저스티스 스미스</t>
  </si>
  <si>
    <t>감독: Ric Roman Waugh
주연: 니콜라이 코스테르발다우, 오마리 하드윅, 존 번설</t>
  </si>
  <si>
    <t>감독: 제임스 마쉬
주연: 안드레아 라이즈보로, 클라이브 오웬, 질리언 앤더슨</t>
  </si>
  <si>
    <t>감독: Mike Clattenburg
주연: John Paul Tremblay, Robb Wells, Mike Smith</t>
  </si>
  <si>
    <t>감독: 제임스 맥테이그
주연: 밀라 요보비치, 피어스 브로스넌, 딜런 맥더멋</t>
  </si>
  <si>
    <t>감독: 矢口史靖
주연: 코히나타 후미요, 후카츠 에리, 泉澤祐希</t>
  </si>
  <si>
    <t>감독: 조지 클루니
주연: 맷 데이먼, 줄리앤 무어, 노아 주프</t>
  </si>
  <si>
    <t>감독: Tony Basgallop
주연: Lauren Ambrose, 토비 케블, 넬 타이거 프리</t>
  </si>
  <si>
    <t>감독: Ingo Becker
주연: 에드워드 버거, 펠릭스 카머러, 알브레히트 슈흐</t>
  </si>
  <si>
    <t>감독: Chun Sung-il
주연: 설경구, 여진구, 정성화</t>
  </si>
  <si>
    <t>감독: 빔 벤더스
주연: 제임스 맥어보이, 알리시아 비칸데르, Celyn Jones</t>
  </si>
  <si>
    <t>감독: 코랄리 파르자
주연: 데미 무어, 마가렛 퀄리, 데니스 퀘이드</t>
  </si>
  <si>
    <t>감독: Michael Sucsy
주연: 레이첼 맥아담스, 채닝 테이텀, 샘 닐</t>
  </si>
  <si>
    <t>감독: 김성수
주연: 황정민, 정우성, 이성민</t>
  </si>
  <si>
    <t>감독: 아니쉬 채겐티
주연: 존 조, Michelle La, 데브라 메싱</t>
  </si>
  <si>
    <t>감독: 이누도 잇신
주연: 아이바 마사키, 에이쿠라 나나, 이쿠타 토마</t>
  </si>
  <si>
    <t>감독: 웨스 크레이븐
주연: 빌 풀먼, Cathy Tyson, Zakes Mokae</t>
  </si>
  <si>
    <t>감독: Sarah Gavron
주연: 캐리 멀리건, 헬레나 본햄 카터, 브렌던 글리슨</t>
  </si>
  <si>
    <t>감독: 제시 암스트롱
주연: 제레미 스트롱, 키어런 컬킨, 사라 스누크</t>
  </si>
  <si>
    <t>감독: 이동하, 양유민
주연: 김현주, 박희순, 박병은</t>
  </si>
  <si>
    <t>감독: 堀江貴大
주연: 쿠로키 하루, 에모토 타스쿠, 카네코 다이치</t>
  </si>
  <si>
    <t>감독: Park Chang-Jin
주연: 신은경, 오인혜, 이기영</t>
  </si>
  <si>
    <t>감독: 봉준호
주연: 크리스 에반스, 송강호, 에드 해리스</t>
  </si>
  <si>
    <t>감독: 클린트 이스트우드
주연: 톰 행크스, 에런 엑하트, 애나 건</t>
  </si>
  <si>
    <t>감독: Lee Ji-seung
주연: 박효주, 최일화, 류준열</t>
  </si>
  <si>
    <t>감독: 토마스 빈터베리
주연: 캐리 멀리건, 마티아스 스후나르츠, 마이클 쉰</t>
  </si>
  <si>
    <t>감독: Huh Jong-ho
주연: 이선균, 장현성, 김고은</t>
  </si>
  <si>
    <t>감독: Kim Min-ho
주연: 마동석, 송지효, 김성오</t>
  </si>
  <si>
    <t>감독: 장완정
주연: 유청운, 탕웨이, 秦海璐</t>
  </si>
  <si>
    <t>감독: 고레에다 히로카즈
주연: 후쿠야마 마사하루, 야쿠쇼 코지, 히로세 스즈</t>
  </si>
  <si>
    <t>감독: Rajkumar Hirani
주연: 아미르 칸, R. Madhavan, Sharman Joshi</t>
  </si>
  <si>
    <t>감독: 에드워드 즈윅
주연: 토비 맥과이어, 피터 사스가드, 리에브 슈라이버</t>
  </si>
  <si>
    <t>감독: 수잔 비에르
주연: 브래들리 쿠퍼, 제니퍼 로렌스, 리스 이판</t>
  </si>
  <si>
    <t>감독: 스티븐 나이트
주연: 매튜 매커너히, 앤 해서웨이, 제이슨 클라크</t>
  </si>
  <si>
    <t>감독: 피터 첼섬
주연: 존 쿠삭, 케이트 베킨세일, 제러미 피번</t>
  </si>
  <si>
    <t>감독: Richard J. Lewis
주연: 폴 지아마티, 더스틴 호프만, 로저먼드 파이크</t>
  </si>
  <si>
    <t>감독: 민규동
주연: 배종옥, 김갑수, 김지영</t>
  </si>
  <si>
    <t>감독: 永井聡
주연: 사토 타케루, 미야자키 아오이, 濱田岳</t>
  </si>
  <si>
    <t>감독: 미미 레더
주연: 펠리시티 존스, 아미 해머, 저스틴 서로</t>
  </si>
  <si>
    <t>감독: 로린 스카파리아
주연: 스티브 카렐, 키이라 나이틀리, 코니 브리튼</t>
  </si>
  <si>
    <t>감독: 姜秀瓊
주연: 나가사쿠 히로미, 사사키 노조미, 桜田ひより</t>
  </si>
  <si>
    <t>감독: Eliza Schroeder
주연: 실리아 임리, Bill Paterson, Shannon Tarbet</t>
  </si>
  <si>
    <t>감독: Ben Lewin
주연: 존 호크스, 헬렌 헌트, 윌리엄 H. 메이시</t>
  </si>
  <si>
    <t>감독: Brian Baugh
주연: Randy Wayne, Deja Kreutzberg, Joshua Weigel</t>
  </si>
  <si>
    <t>감독: 존 리 행콕
주연: 엠마 톰슨, 톰 행크스, 콜린 파렐</t>
  </si>
  <si>
    <t>감독: Alexey Kozlov
주연: Мария Мельникова, Андрей Миронов-Удалов, Гела Месхи</t>
  </si>
  <si>
    <t>감독: 라세 할스트룀
주연: 줄리앤 허프, 조시 더멜, 코비 스멀더스</t>
  </si>
  <si>
    <t>감독: 다니엘 에스피노사
주연: 덴젤 워싱턴, 라이언 레이놀즈, 베라 파미가</t>
  </si>
  <si>
    <t>감독: Theodore Melfi
주연: 빌 머레이, 멜리사 매카시, 제이든 리버허</t>
  </si>
  <si>
    <t>감독: Burr Steers
주연: 잭 에프론, 찰리 타핸, 아만다 크루</t>
  </si>
  <si>
    <t>감독: 이승원
주연: 문소리, 김선영, 장윤주</t>
  </si>
  <si>
    <t>감독: Anna Muylaert
주연: Regina Casé, Camila Márdila, Karine Teles</t>
  </si>
  <si>
    <t>감독: 피터 시걸
주연: 제니퍼 로페즈, 바네사 허진스, Leah Remini</t>
  </si>
  <si>
    <t>감독: Tim McCanlies
주연: 마이클 케인, 로버트 듀발, 헤일리 조엘 오스먼트</t>
  </si>
  <si>
    <t>감독: Randall Wallace
주연: 다이앤 레인, 존 말코비치, 스콧 글렌</t>
  </si>
  <si>
    <t>감독: 原田眞人
주연: 오카다 준이치, 아리무라 카스미, 야쿠쇼 코지</t>
  </si>
  <si>
    <t>감독: Stacy Rukeyser
주연: 세라 샤히, 마이크 보걸, Adam Demos</t>
  </si>
  <si>
    <t>감독: Rawson Marshall Thurber
주연: 드웨인 존슨, 케빈 하트, 에이미 라이언</t>
  </si>
  <si>
    <t>감독: 클라크 존슨
주연: 마이클 더글라스, 키퍼 서덜랜드, 에바 롱고리아</t>
  </si>
  <si>
    <t>감독: 타셈 싱
주연: 라이언 레이놀즈, 벤 킹슬리, 내털리 마르티네스</t>
  </si>
  <si>
    <t>감독: Douglas Mackinnon
주연: 베네딕트 컴버배치, 마틴 프리먼, 우나 스텁스</t>
  </si>
  <si>
    <t>감독: 가이 리치
주연: 로버트 다우니 주니어, 주드 로, 누미 라파스</t>
  </si>
  <si>
    <t>감독: 기예르모 델 토로
주연: 샐리 호킨스, 마이클 섀넌, 리처드 젠킨스</t>
  </si>
  <si>
    <t>감독: 스티브 맥퀸
주연: 마이클 패스벤더, 캐리 멀리건, 제임스 뱃지 데일</t>
  </si>
  <si>
    <t>감독: Luis Prieto
주연: 캐머런 모너핸, Lilly Krug, 프랭크 그릴로</t>
  </si>
  <si>
    <t>감독: 존 파브로
주연: 존 파브로, 존 레귀자모, 바비 카나베일</t>
  </si>
  <si>
    <t>감독: Lee Myung-woo
주연: 임시완, 이선빈, 이시우</t>
  </si>
  <si>
    <t>감독: 홍종찬, Kim Min-suk
주연: 김혜수, 김무열, 이성민</t>
  </si>
  <si>
    <t>감독: 스티븐 그레이엄, 잭 쏜</t>
  </si>
  <si>
    <t>감독: 三木孝浩
주연: 미야자키 아오이, 고라 겐고, 키리타니 켄타</t>
  </si>
  <si>
    <t>감독: 홍의정
주연: 유아인, 유재명, 문승아</t>
  </si>
  <si>
    <t>감독: 곽경택
주연: 주원, 곽도원, 유재명</t>
  </si>
  <si>
    <t>감독: Kim Seong-je
주연: 윤계상, 유해진, 김옥빈</t>
  </si>
  <si>
    <t>감독: 던칸 존스
주연: 제이크 질렌할, 미셸 모나한, 베라 파미가</t>
  </si>
  <si>
    <t>감독: Sean McNamara
주연: 안나소피아 로브, 헬렌 헌트, 데니스 퀘이드</t>
  </si>
  <si>
    <t>감독: 이준익
주연: 설경구, 엄지원, 이레</t>
  </si>
  <si>
    <t>감독: 豊島圭介
주연: 永山絢斗, 가쿠 겐토, 하루</t>
  </si>
  <si>
    <t>감독: Marc Rothemund
주연: 율리아 옌치, Fabian Hinrichs, Alexander Held</t>
  </si>
  <si>
    <t>감독: Meryem Benm'Barek-Aloïsi
주연: Maha Alemi, 루브나 아자발, Sarah Perles</t>
  </si>
  <si>
    <t>감독: 스티븐 소더버그
주연: 조지 클루니, 나타샤 맥켈혼, 비올라 데이비스</t>
  </si>
  <si>
    <t>감독: 成島出
주연: 후지노 료코, 이타가키 미즈키, 石井杏奈</t>
  </si>
  <si>
    <t>감독: 조 라이트
주연: 로버트 다우니 주니어, 제이미 폭스, 캐서린 키너</t>
  </si>
  <si>
    <t>감독: 브라이언 코펠만, 데이빗 레비엔
주연: 마이클 더글라스, 수잔 서랜든, 대니 드비토</t>
  </si>
  <si>
    <t>감독: Kate Barker-Froyland
주연: 앤 해서웨이, 조니 플린, 메리 스틴버겐</t>
  </si>
  <si>
    <t>감독: 장완정
주연: 장만옥, 양자경, 邬君梅</t>
  </si>
  <si>
    <t>감독: Rachel Kondo, 저스틴 마크스
주연: 사나다 히로유키, 코스모 자비스, 안나 사와이</t>
  </si>
  <si>
    <t>감독: 스티븐 소더버그
주연: 마이클 더글라스, 맷 데이먼, 댄 애크로이드</t>
  </si>
  <si>
    <t>감독: 프랭크 다라본트
주연: 팀 로빈스, 모건 프리먼, 밥 건턴</t>
  </si>
  <si>
    <t>감독: 데스틴 대니얼 크레턴
주연: 브리 라슨, 존 갤러거 주니어, 케이틀린 디버</t>
  </si>
  <si>
    <t>감독: 윤종빈
주연: 하정우, 황정민, 박해수</t>
  </si>
  <si>
    <t>감독: 스테파노 솔리마
주연: 피에르프란체스코 파비노, Claudio Amendola, Alessandro Borghi</t>
  </si>
  <si>
    <t>감독: 황동혁
주연: 심은경, 나문희, 이진욱</t>
  </si>
  <si>
    <t>감독: Kim Min-sub
주연: 송창의, 송영규, 이현균</t>
  </si>
  <si>
    <t>감독: 질 를루슈
주연: 마티유 아말릭, 기욤 카네, Benoît Poelvoorde</t>
  </si>
  <si>
    <t>감독: Lee Eun-hee
주연: 도경수, 김소현, Yeon Jun-seok</t>
  </si>
  <si>
    <t>감독: Britt Napier
주연: Kaylee DeFer, 엘리자베스 룀, Christian Campbell</t>
  </si>
  <si>
    <t>감독: Ric Roman Waugh
주연: 제이슨 스타뎀, 보디 래 브레스나크, Michael Shaeffer</t>
  </si>
  <si>
    <t>감독: 라세 할스트룀
주연: 케빈 스페이시, 줄리앤 무어, 케이트 블란쳇</t>
  </si>
  <si>
    <t>감독: Aaron Korsh
주연: 가브리엘 막트, 릭 호프먼, 사라 라퍼티</t>
  </si>
  <si>
    <t>주연: 오다 유지, 中島裕翔, 스즈키 호나미</t>
  </si>
  <si>
    <t>감독: 이병헌
주연: 천우희, 전여빈, 한지은</t>
  </si>
  <si>
    <t>감독: Harry Macqueen
주연: 콜린 퍼스, 스탠리 투치, Peter MacQueen</t>
  </si>
  <si>
    <t>감독: Cellin Gluck
주연: 카라사와 토시아키, Borys Szyc, Agnieszka Grochowska</t>
  </si>
  <si>
    <t>감독: Claudio Fäh
주연: Chad Michael Collins, Danay García, Joe Lando</t>
  </si>
  <si>
    <t>감독: Fred Olen Ray
주연: 스티븐 시걸, Tim Abell, Rob Szatkowski</t>
  </si>
  <si>
    <t>감독: Don Michael Paul
주연: Chad Michael Collins, 빌리 제인, Nick Gomez</t>
  </si>
  <si>
    <t>감독: J.M. Berrios
주연: Scott Pryor, Darrin Henson, 에릭 로버츠</t>
  </si>
  <si>
    <t>감독: Kaare Andrews
주연: Chad Michael Collins, 秋元才加, Ryan Robbins</t>
  </si>
  <si>
    <t>감독: 올리버 스톤
주연: 조셉 고든레빗, 쉐일린 우들리, 멜리사 레오</t>
  </si>
  <si>
    <t>감독: 토마스 알프레드손
주연: 마이클 패스벤더, 레베카 퍼거슨, 샤를로트 갱스부르</t>
  </si>
  <si>
    <t>감독: 찰스 마틴 스미스
주연: 배리 페퍼, Annabella Piugattuk, 제임스 크롬웰</t>
  </si>
  <si>
    <t>감독: Ric Roman Waugh
주연: 드웨인 존슨, 배리 페퍼, 수잔 서랜든</t>
  </si>
  <si>
    <t>감독: Samuel Thivierge
주연: Samuel Thivierge, Samy Naceri, Gilbert Sicotte</t>
  </si>
  <si>
    <t>감독: James Ponsoldt
주연: 메리 엘리자베스 윈스테드, 아론 폴, 옥타비아 스펜서</t>
  </si>
  <si>
    <t>감독: David Gelb
주연: 小野二郎, Masuhiro Yamamoto, Yoshikazu Ono</t>
  </si>
  <si>
    <t>감독: Aaron Rahsaan Thomas, 숀 라이언
주연: 셰마 무어, Jay Harrington, David Lim</t>
  </si>
  <si>
    <t>감독: Michael Jacobs
주연: 다이앤 키튼, 리처드 기어, 수잔 서랜든</t>
  </si>
  <si>
    <t>감독: 矢崎仁司
주연: 나카타니 미키, 오모리 나오, 이케와키 치즈루</t>
  </si>
  <si>
    <t>감독: Saul Dibb
주연: 미셸 윌리엄스, 크리스틴 스콧 토머스, 마티아스 스후나르츠</t>
  </si>
  <si>
    <t>감독: 조슈아 마이클 스턴
주연: 케빈 코스트너, Madeline Carroll, 폴라 패튼</t>
  </si>
  <si>
    <t>감독: 강형철
주연: 도경수, Jared Grimes, 박혜수</t>
  </si>
  <si>
    <t>감독: Alex Tavakoli
주연: Scarlett Hefner, Gavin Stenhouse, 릭 코스넷</t>
  </si>
  <si>
    <t>82분</t>
  </si>
  <si>
    <t>감독: Rawson Marshall Thurber
주연: 드웨인 존슨, 니브 캠벨, 친 한</t>
  </si>
  <si>
    <t>감독: Manjari Makijany
주연: Rachel Sanchita Gupta, Amy Maghera, Waheeda Rehman</t>
  </si>
  <si>
    <t>감독: Shawn Ku
주연: 니콜라스 케이지, Noah Le Gros, 카롤리나 비드라</t>
  </si>
  <si>
    <t>감독: 우디 앨런
주연: 스칼렛 요한슨, 우디 앨런, 휴 잭맨</t>
  </si>
  <si>
    <t>감독: 리처드 링클레이터
주연: 잭 블랙, 조앤 쿠삭, 마이크 화이트</t>
  </si>
  <si>
    <t>감독: Tyler Gillett, 맷 베티넬리올핀
주연: 멜리사 바레라, 제나 오르테가, 메이슨 구딩</t>
  </si>
  <si>
    <t>감독: 레니 할린
주연: 성룡, 조니 녹스빌, 판빙빙</t>
  </si>
  <si>
    <t>감독: 브래들리 쿠퍼
주연: 레이디 가가, 브래들리 쿠퍼, 샘 엘리엇</t>
  </si>
  <si>
    <t>감독: 션 베이커
주연: Dree Hemingway, Besedka Johnson, Stella Maeve</t>
  </si>
  <si>
    <t>감독: J.J. 에이브럼스
주연: 해리슨 포드, 마크 해밀, 캐리 피셔</t>
  </si>
  <si>
    <t>감독: D.J. Caruso
주연: Chandler Canterbury, Annalise Basso, 라다 미첼</t>
  </si>
  <si>
    <t>감독: Amole Gupte
주연: Partho A. Gupte, Amole Gupte, Divya Dutta</t>
  </si>
  <si>
    <t>감독: 조쉬 분
주연: 그렉 키니어, 제니퍼 코넬리, 릴리 콜린스</t>
  </si>
  <si>
    <t>감독: Thomas Risch</t>
  </si>
  <si>
    <t>감독: 케빈 맥도널드
주연: 러셀 크로우, 벤 애플렉, 레이첼 맥아담스</t>
  </si>
  <si>
    <t>감독: Kilian Riedhof
주연: 폴라 비어, Jannis Niewöhner, 카챠 리만</t>
  </si>
  <si>
    <t>감독: Anne Fletcher
주연: 채닝 테이텀, 제나 디완, Damaine Radcliff</t>
  </si>
  <si>
    <t>감독: 존 M. 추
주연: 샤니 빈슨, Rick Malambri, Adam Sevani</t>
  </si>
  <si>
    <t>감독: Trish Sie
주연: Briana Evigan, 라이언 거즈먼, Chaton Anderson</t>
  </si>
  <si>
    <t>감독: Scott Speer
주연: Kathryn McCormick, 라이언 거즈먼, Misha Gabriel</t>
  </si>
  <si>
    <t>감독: 박찬욱
주연: 미아 바시코프스카, 니콜 키드먼, 매튜 구드</t>
  </si>
  <si>
    <t>감독: Robert Budreau
주연: 에단 호크, 누미 라파스, 마크 스트롱</t>
  </si>
  <si>
    <t>감독: John Curran
주연: 로버트 드 니로, 에드워드 노튼, 밀라 요보비치</t>
  </si>
  <si>
    <t>감독: Simon West
주연: 니콜라스 케이지, Sami Gayle, 조시 루커스</t>
  </si>
  <si>
    <t>감독: Shawn Seet
주연: 제프리 러쉬, 제이 코트니, Erik Thomson</t>
  </si>
  <si>
    <t>감독: Kimberly Peirce
주연: 라이언 필립, 에비 코니쉬, 조셉 고든레빗</t>
  </si>
  <si>
    <t>감독: Simon West
주연: 도미닉 쿠퍼, 젬마 찬, 코니 닐센</t>
  </si>
  <si>
    <t>감독: Kim Farrant
주연: 니콜 키드먼, 조셉 파인즈, 휴고 위빙</t>
  </si>
  <si>
    <t>감독: 佐藤祐市
주연: 타케우치 유코, 阿南健治, 엔도 켄이치</t>
  </si>
  <si>
    <t>감독: 데이비드 고든 그린
주연: 제이크 질렌할, 타티아나 마슬라니, 미란다 리처드슨</t>
  </si>
  <si>
    <t>감독: 대니 보일
주연: 마이클 패스벤더, 케이트 윈슬렛, 세스 로건</t>
  </si>
  <si>
    <t>감독: 알렉스 기브니
주연: Bob Belleville, Chrisann Brennan, Nolan Bushnell</t>
  </si>
  <si>
    <t>감독: Philippe Martinez, Ross W. Clarkson
주연: 스티븐 시걸, Byron Gibson, Ron Smoorenburg</t>
  </si>
  <si>
    <t>감독: 숀 레비
주연: 휴 잭맨, Dakota Goyo, 에반젤린 릴리</t>
  </si>
  <si>
    <t>감독: Uberto Pasolini
주연: 에디 마산, 조앤 프로갯, Karen Drury</t>
  </si>
  <si>
    <t>감독: Wash Westmoreland, Richard Glatzer
주연: 줄리앤 무어, 케이트 보스워스, 셰인 맥레이</t>
  </si>
  <si>
    <t>감독: 톰 맥카시
주연: 맷 데이먼, 카미유 코탱, 아비게일 브레스린</t>
  </si>
  <si>
    <t>감독: 토니 스콧
주연: 로버트 레드포드, 브래드 피트, 캐서린 맥코맥</t>
  </si>
  <si>
    <t>감독: 폴 피그
주연: 멜리사 매카시, 로즈 번, 제이슨 스타뎀</t>
  </si>
  <si>
    <t>감독: 스티븐 스필버그
주연: 톰 행크스, 마크 라이런스, 에이미 라이언</t>
  </si>
  <si>
    <t>감독: 마이클 슈어
주연: 테드 댄슨, 마리 엘리자베스 엘리스, 라일라 리치크리크 에스트라다</t>
  </si>
  <si>
    <t>감독: Salla Sorri, Eva-Maria Koskinen
주연: Alma Pöysti, Linda Zilliacus, Vivian Taht</t>
  </si>
  <si>
    <t>감독: 구로사와 기요시
주연: 아오이 유우, 타카하시 잇세이, 히가시데 마사히로</t>
  </si>
  <si>
    <t>감독: 피터 첼섬
주연: 에이사 버터필드, 브릿 로버트슨, 칼라 구지노</t>
  </si>
  <si>
    <t>감독: Клим Шипенко
주연: Владимир Вдовиченков, Павел Деревянко, Александр Самойленко</t>
  </si>
  <si>
    <t>감독: 클린트 이스트우드
주연: 클린트 이스트우드, 토미 리 존스, 도널드 서덜랜드</t>
  </si>
  <si>
    <t>감독: 파블로 라라인
주연: 크리스틴 스튜어트, 티모시 스폴, Jack Nielen</t>
  </si>
  <si>
    <t>감독: 피터 버그
주연: 마크 월버그, 윈스턴 듀크, 알란 아킨</t>
  </si>
  <si>
    <t>감독: 톰 맥카시
주연: 마크 러팔로, 마이클 키튼, 레이첼 맥아담스</t>
  </si>
  <si>
    <t>감독: Bharat Nalluri
주연: 피터 퍼스, 키트 해링턴, 엘예스 가벨</t>
  </si>
  <si>
    <t>감독: Simon Kaijser
주연: 가이 피어스, 피어스 브로스넌, 미니 드라이버</t>
  </si>
  <si>
    <t>감독: Christian Tafdrup
주연: Morten Burian, Sidsel Siem Koch, 페드야 반 휴엣</t>
  </si>
  <si>
    <t>감독: 대니 보일
주연: 데브 파텔, 프리다 핀토, Madhur Mittal</t>
  </si>
  <si>
    <t>감독: Julian Stevens, 그레이엄 요스트
주연: 게리 올드만, 잭 로던, 크리스틴 스콧 토머스</t>
  </si>
  <si>
    <t>감독: Kim Yeong-tak
주연: 차태현, 남상미, 오달수</t>
  </si>
  <si>
    <t>감독: 레슬리 헤드랜드
주연: 제이슨 수데이키스, 앨리슨 브리, 애덤 스콧</t>
  </si>
  <si>
    <t>감독: 원태연
주연: 권상우, 이보영, 이범수</t>
  </si>
  <si>
    <t>감독: 김형주
주연: 이병헌, 유아인, 고창석</t>
  </si>
  <si>
    <t>감독: Robert Schwentke
주연: 에릭 배너, 레이첼 맥아담스, 미셸 놀덴</t>
  </si>
  <si>
    <t>감독: 호소다 마모루
주연: 仲里依紗, 石田卓也, 板倉光隆</t>
  </si>
  <si>
    <t>애니메이션</t>
  </si>
  <si>
    <t>감독: 김은희, 김원석
주연: 이제훈, 김혜수, 조진웅</t>
  </si>
  <si>
    <t>감독: Choi Jung-yol
주연: 마동석, 박정민, 정해인</t>
  </si>
  <si>
    <t>감독: 김현석
주연: 엄태웅, 이민정, 최다니엘</t>
  </si>
  <si>
    <t>감독: Stephen Gaghan
주연: 조지 클루니, 맷 데이먼, 제프리 라이트</t>
  </si>
  <si>
    <t>감독: 쥐스틴 트리에
주연: 비르지니 에피라, 아델 에그자르코풀로스, 가스파르 울리엘</t>
  </si>
  <si>
    <t>감독: 알렉스 가랜드
주연: 커스틴 던스트, 바그네르 모라, 케일리 스패니</t>
  </si>
  <si>
    <t>감독: 이장호
주연: Woo-sik Chung, 홍성춘, Ho Lee</t>
  </si>
  <si>
    <t>감독: 자크 오디아르
주연: 존 C. 라일리, 호아킨 피닉스, 제이크 질렌할</t>
  </si>
  <si>
    <t>감독: Jason Moore
주연: 에이미 폴러, 티나 페이, 마야 루돌프</t>
  </si>
  <si>
    <t>감독: 이현승
주연: 전지현, 이정재, 김무생</t>
  </si>
  <si>
    <t>감독: David Foenkinos, Stéphane Foenkinos
주연: 오드리 토투, François Damiens, Mélanie Bernier</t>
  </si>
  <si>
    <t>감독: Igor Akhmedov
주연: Артем Богучарский, Олег Фомин, Mikhail Gheorghiu</t>
  </si>
  <si>
    <t>감독: 薛晓路
주연: 탕웨이, 吴秀波, Hai Qing</t>
  </si>
  <si>
    <t>감독: Bill Purple
주연: 제이슨 수데이키스, 메이지 윌리엄스, 제시카 비엘</t>
  </si>
  <si>
    <t>감독: Wu Seon-ho
주연: 이범수, 류승범, 김옥빈</t>
  </si>
  <si>
    <t>감독: Menhaj Huda
주연: 코트니 B. 밴스, Keesha Sharp, 키스 데이비드</t>
  </si>
  <si>
    <t>감독: 드니 빌뇌브
주연: 에밀리 블런트, 베니시오 델 토로, 조쉬 브롤린</t>
  </si>
  <si>
    <t>감독: 스테파노 솔리마
주연: 베니시오 델 토로, 조쉬 브롤린, 이사벨라 메르세드</t>
  </si>
  <si>
    <t>감독: Ilona Sagar</t>
  </si>
  <si>
    <t>감독: Advait Chandan
주연: Zaira Wasim, 아미르 칸, Meher Vij</t>
  </si>
  <si>
    <t>감독: Lydia Dean Pilcher
주연: Sarah Megan Thomas, Stana Katic, Radhika Apte</t>
  </si>
  <si>
    <t>감독: Billy Ray
주연: 치웨텔 에지오포, 니콜 키드먼, 줄리아 로버츠</t>
  </si>
  <si>
    <t>감독: David Weil, 조시 애플바움
주연: 리차드 매든, 프리양카 초프라, 애슐리 커밍스</t>
  </si>
  <si>
    <t>감독: Gil Kenan
주연: 시얼샤 로넌, Harry Treadaway, 빌 머레이</t>
  </si>
  <si>
    <t>감독: Scott Waugh
주연: 조쉬 하트넷, 미라 소비노, Sarah Dumont</t>
  </si>
  <si>
    <t>감독: 리처드 도너
주연: 브루스 윌리스, Yasiin Bey, 데이비드 모스</t>
  </si>
  <si>
    <t>감독: Stephen Deutsch
주연: 헨리 처니, Michelle Merring, Ingrid Boulting</t>
  </si>
  <si>
    <t>감독: Xavier Beauvois
주연: 램버트 윌슨, Michael Lonsdale, Olivier Rabourdin</t>
  </si>
  <si>
    <t>감독: 우치다 에이지
주연: 시부카와 키요히코, 戸次重幸, 内田慈</t>
  </si>
  <si>
    <t>감독: Zoltan Spirandelli
주연: Michael Gwisdek, 다니엘 브륄, Traugott Buhre</t>
  </si>
  <si>
    <t>감독: 김용화
주연: 하정우, 차태현, 주지훈</t>
  </si>
  <si>
    <t>감독: 김용화
주연: 하정우, 주지훈, 김향기</t>
  </si>
  <si>
    <t>감독: 김유진
주연: 정재영, 한다감, 허준호</t>
  </si>
  <si>
    <t>감독: 론 하워드
주연: 러셀 크로우, 르네 젤위거, 폴 지아마티</t>
  </si>
  <si>
    <t>감독: 藤井道人
주연: 심은경, 마츠자카 토리, 혼다 츠바사</t>
  </si>
  <si>
    <t>감독: 藤井道人
주연: 요네쿠라 료코, 아야노 고, 요코하마 류세이</t>
  </si>
  <si>
    <t>감독: Rosalind Ross
주연: 마크 월버그, 멜 깁슨, 재키 위버</t>
  </si>
  <si>
    <t>감독: 熊切和嘉, 谷口正晃, 冨永昌敬, 関根光才, 西海謙一郎, 야마시타 노부히로
주연: 이시하라 사토미, 미야사코 히로유키, 미사키 아야메</t>
  </si>
  <si>
    <t>감독: Harold Cronk
주연: Jesse Metcalfe, 로빈 기븐스, Melissa Joan Hart</t>
  </si>
  <si>
    <t>감독: Michael Mason
주연: David A.R. White, John Corbett, Jennifer Bini Taylor</t>
  </si>
  <si>
    <t>감독: Jon Gunn
주연: Tracy Melchior, 미라 소비노, 숀 애스틴</t>
  </si>
  <si>
    <t>감독: T.C. Christensen
주연: Nathan Stevens, Jasen Wade, Caitlin E.J. Meyer</t>
  </si>
  <si>
    <t>감독: Francis Lee
주연: 조쉬 오코너, Alec Secăreanu, Gemma Jones</t>
  </si>
  <si>
    <t>감독: Quoc Dang Tran
주연: Fleur Geffrier, 야마시타 토모히사, Tom Wozniczka</t>
  </si>
  <si>
    <t>감독: Kurt Kuersteiner
주연: Douglass Smith, Dr. Kent Hovind, Harry S. Robins</t>
  </si>
  <si>
    <t>감독: 深川栄洋
주연: 후지와라 타츠야, 미야자키 아오이, 카나메 준</t>
  </si>
  <si>
    <t>감독: Cho Beom-gu
주연: 정우성, 이범수, 안성기</t>
  </si>
  <si>
    <t>감독: Khan Lee
주연: 권상우, 김희원, 김성균</t>
  </si>
  <si>
    <t>감독: JinMu Kim
주연: 김인권, 홍경인, 최규환</t>
  </si>
  <si>
    <t>감독: Peng Sanyuan
주연: 유덕화, 정백연, 倪景阳</t>
  </si>
  <si>
    <t>감독: 모리타 요시미쓰
주연: 야쿠쇼 코지, 黒木瞳, 寺尾聰</t>
  </si>
  <si>
    <t>감독: 강우석
주연: 설경구, 안성기, 허준호</t>
  </si>
  <si>
    <t>감독: 데이비드 O. 러셀
주연: 브래들리 쿠퍼, 제니퍼 로렌스, 로버트 드 니로</t>
  </si>
  <si>
    <t>감독: 瀬々敬久
주연: 스다 마사키, 고마츠 나나, 사이토 타쿠미</t>
  </si>
  <si>
    <t>감독: 론 하워드
주연: 케이트 블란쳇, 토미 리 존스, 에반 레이첼 우드</t>
  </si>
  <si>
    <t>감독: Tiller Russell
주연: 제이슨 클라크, 닉 로빈슨, Daniel David Stewart</t>
  </si>
  <si>
    <t>감독: Peter Moffat
주연: 맥신 피크, Rupert Penry-Jones, Neil Stuke</t>
  </si>
  <si>
    <t>감독: Vera Olsson, Ilkka Hynninen
주연: Ville Haapasalo</t>
  </si>
  <si>
    <t>감독: Kivu Ruhorahoza</t>
  </si>
  <si>
    <t>감독: 松岡錠司
주연: 코바야시 카오루, 타카오카 사키, 타베 미카코</t>
  </si>
  <si>
    <t>감독: 松岡錠司
주연: 코바야시 카오루, 카와이 아오바, 사토 코이치</t>
  </si>
  <si>
    <t>감독: 김상만
주연: 수애, 유지태, 마동석</t>
  </si>
  <si>
    <t>감독: Yoon Jae-geun
주연: 김윤진, 박해일, 강해인</t>
  </si>
  <si>
    <t>감독: 파티 아킨
주연: 다이앤 크루거, Denis Moschitto, Numan Acar</t>
  </si>
  <si>
    <t>감독: 허안화
주연: 유덕화, 엽덕한, 秦海璐</t>
  </si>
  <si>
    <t>감독: 톰 포드
주연: 콜린 퍼스, 줄리앤 무어, 니콜라스 홀트</t>
  </si>
  <si>
    <t>감독: Lee Zoo-young
주연: 이병헌, 공효진, 안소희</t>
  </si>
  <si>
    <t>감독: Justin Benson, Aaron Moorhead
주연: 안소니 마키, 제이미 도넌, Katie Aselton</t>
  </si>
  <si>
    <t>감독: 김지훈
주연: 차승원, 김성균, 이광수</t>
  </si>
  <si>
    <t>감독: 곽재용
주연: 아야세 하루카, 코이데 케이스케, 阿井莉沙</t>
  </si>
  <si>
    <t>감독: M. 나이트 샤말란
주연: 멜 깁슨, 호아킨 피닉스, Rory Culkin</t>
  </si>
  <si>
    <t>감독: 유하
주연: 조인성, 주진모, 송지효</t>
  </si>
  <si>
    <t>감독: 강형철
주연: 유호정, 심은경, 진희경</t>
  </si>
  <si>
    <t>감독: 폴 해기스
주연: 리암 니슨, 밀라 쿠니스, 에이드리언 브로디</t>
  </si>
  <si>
    <t>감독: Jon Amiel
주연: 조디 포스터, 리처드 기어, 빌 풀먼</t>
  </si>
  <si>
    <t>감독: Jaakko Manninen, Hannu Aukia
주연: Milla Puolakanaho, Corsica Wilson, Miska Kajanus</t>
  </si>
  <si>
    <t>감독: 김현석
주연: 정우, 한효주, 김윤석</t>
  </si>
  <si>
    <t>감독: 부츠 라일리
주연: 라키스 스탠필드, 테사 톰슨, 저메인 파울러</t>
  </si>
  <si>
    <t>감독: 폴 해기스
주연: 러셀 크로우, 엘리자베스 뱅크스, 브라이언 데너히</t>
  </si>
  <si>
    <t>감독: 마틴 맥도나
주연: 프랜시스 맥도맨드, 우디 해럴슨, 샘 록웰</t>
  </si>
  <si>
    <t>감독: Антон Мегердичев
주연: 블라디미르 마쉬코프, Иван Колесников, Виктория Толстоганова</t>
  </si>
  <si>
    <t>감독: 맥지
주연: 케빈 코스트너, 엠버 허드, 헤일리 스타인펠드</t>
  </si>
  <si>
    <t>감독: 구스 반 산트
주연: 매튜 매커너히, 나오미 왓츠, 와타나베 켄</t>
  </si>
  <si>
    <t>감독: Ralph A. Villani
주연: Tim Large, Jeremy King, Robb Maus</t>
  </si>
  <si>
    <t>감독: Kourosh Ataee, Azadeh Moussavi
주연: 페이만 모아디, 샤하브 호세이니, 레일라 하타미</t>
  </si>
  <si>
    <t>이란</t>
  </si>
  <si>
    <t>감독: 게리 로스
주연: 토비 맥과이어, David McCullough, 제프 브리지스</t>
  </si>
  <si>
    <t>감독: 테렌스 말릭
주연: 짐 커비즐, 닉 놀티, 숀 펜</t>
  </si>
  <si>
    <t>감독: Benjamin Cavell
주연: David Boreanaz, Neil Brown Jr., A.J. Buckley</t>
  </si>
  <si>
    <t>감독: 박찬욱
주연: 김민희, 김태리, 하정우</t>
  </si>
  <si>
    <t>감독: 데이비드 E. 켈리, 멀리사 제임스 깁슨
주연: 시에나 밀러, 루퍼트 프렌드, 미셸 도커리</t>
  </si>
  <si>
    <t>감독: 김태식
주연: 박광정, 정보석, 조은지</t>
  </si>
  <si>
    <t>감독: 앤드류 니콜
주연: 클라이브 오웬, 아만다 사이프리드, Colm Feore</t>
  </si>
  <si>
    <t>감독: Lee Toland Krieger
주연: 블레이크 라이블리, 미힐 하위스만, 해리슨 포드</t>
  </si>
  <si>
    <t>감독: 벤 애플렉
주연: 벤 애플렉, 브라이언 크랜스턴, 알란 아킨</t>
  </si>
  <si>
    <t>감독: 야마자키 다카시
주연: 스다 마사키, 에모토 타스쿠, 하마베 미나미</t>
  </si>
  <si>
    <t>감독: 미미 레더
주연: 케빈 스페이시, 헬렌 헌트, 앤지 디킨슨</t>
  </si>
  <si>
    <t>감독: 坂本和隆
주연: 야마자키 켄토, 츠치야 타오</t>
  </si>
  <si>
    <t>드라마, SF, 액션</t>
  </si>
  <si>
    <t>감독: 제임스 그레이
주연: Banks Repeta, 앤 해서웨이, 제레미 스트롱</t>
  </si>
  <si>
    <t>감독: 西谷弘
주연: 오다 유지, 아마미 유키, 토다 에리카</t>
  </si>
  <si>
    <t>감독: 안톤 코르빈
주연: 조지 클루니, Violante Placido, Thekla Reuten</t>
  </si>
  <si>
    <t>감독: 리들리 스콧
주연: 덴젤 워싱턴, 러셀 크로우, 조쉬 브롤린</t>
  </si>
  <si>
    <t>감독: 더그 라이만
주연: 톰 크루즈, 도널 글리슨, Sarah Wright</t>
  </si>
  <si>
    <t>감독: 샘 멘데스
주연: 케빈 스페이시, 아네트 베닝, 소라 버치</t>
  </si>
  <si>
    <t>감독: 클린트 이스트우드
주연: 브래들리 쿠퍼, 시에나 밀러, 카일 갤너</t>
  </si>
  <si>
    <t>감독: Jake Scott
주연: 시에나 밀러, 크리스티나 헨드릭스, 아론 폴</t>
  </si>
  <si>
    <t>감독: Tommy O'Haver
주연: 엘리엇 페이지, 캐서린 키너, Hayley McFarland</t>
  </si>
  <si>
    <t>감독: Michael Polish
주연: 미도우 윌리암스, 알 파치노, 토마스 크레치만</t>
  </si>
  <si>
    <t>감독: 이완 맥그리거
주연: 이완 맥그리거, 제니퍼 코넬리, 다코타 패닝</t>
  </si>
  <si>
    <t>감독: 데이비드 O. 러셀
주연: 크리스찬 베일, 브래들리 쿠퍼, 에이미 아담스</t>
  </si>
  <si>
    <t>감독: 미라 네어
주연: 힐러리 스웽크, 리처드 기어, Aaron Abrams</t>
  </si>
  <si>
    <t>감독: William Tannen
주연: Alanna Ubach, Alan Blumenfeld, Kristen Johnston</t>
  </si>
  <si>
    <t>감독: 미하엘 하네케
주연: 장루이 트랭티냥, 엠마누엘 리바, 이자벨 위페르</t>
  </si>
  <si>
    <t>감독: 스티븐 스필버그
주연: 모건 프리먼, Nigel Hawthorne, 안소니 홉킨스</t>
  </si>
  <si>
    <t>감독: タナダユキ
주연: 우에노 주리, 릴리 프랭키, 藤竜也</t>
  </si>
  <si>
    <t>감독: 클린트 이스트우드
주연: 라이언 필립, Jesse Bradford, 애덤 비치</t>
  </si>
  <si>
    <t>감독: Nicholas Jarecki
주연: 리처드 기어, 수잔 서랜든, 팀 로스</t>
  </si>
  <si>
    <t>감독: 폴 와이츠
주연: 케빈 하트, Melody Hurd, 알프레 우더드</t>
  </si>
  <si>
    <t>감독: Kim Hyung-hyup
주연: 윤제문, 정소민, 이일화</t>
  </si>
  <si>
    <t>감독: Andaç Haznedaroğlu
주연: Engin Altan Düzyatan, Belçim Bilgin, Gülizar Nisa Uray</t>
  </si>
  <si>
    <t>감독: 하마구치 류스케
주연: 히가시데 마사히로, 카라타 에리카, 세토 코지</t>
  </si>
  <si>
    <t>감독: Simon Cellan Jones
주연: 마크 월버그, 시무 리우, 줄리엣 라이런스</t>
  </si>
  <si>
    <t>감독: 김성수
주연: 정우성, 황정민, 주지훈</t>
  </si>
  <si>
    <t>감독: 로널드 D. 무어
주연: 커트리나 밸프, Sam Heughan, Sophie Skelton</t>
  </si>
  <si>
    <t>주연: Mark Banks, Loyiso Gola, Barry Hilton</t>
  </si>
  <si>
    <t>감독: 기타노 다케시
주연: 기타노 다케시, 니시다 토시유키, 미츠이시 켄</t>
  </si>
  <si>
    <t>감독: 데이빗 맥킨지
주연: 크리스 파인, 에런 테일러존슨, 플로렌스 퓨</t>
  </si>
  <si>
    <t>감독: 볼프강 페터젠
주연: 더스틴 호프만, 르네 루소, 모건 프리먼</t>
  </si>
  <si>
    <t>감독: Martin Zandvliet
주연: 자레드 레토, 아사노 타다노부, 시이나 킷페이</t>
  </si>
  <si>
    <t>감독: Mikael Håfström
주연: 안소니 마키, 댐슨 이드리스, 엔조 칠렌티</t>
  </si>
  <si>
    <t>감독: Carl Franklin
주연: 덴젤 워싱턴, 에바 멘데스, Sanaa Lathan</t>
  </si>
  <si>
    <t>감독: Tony Grounds</t>
  </si>
  <si>
    <t>감독: Jesse Peretz
주연: 폴 러드, 엘리자베스 뱅크스, 주이 디샤넬</t>
  </si>
  <si>
    <t>감독: 스티븐 달드리
주연: 줄리앤 무어, 니콜 키드먼, 메릴 스트립</t>
  </si>
  <si>
    <t>감독: Kim Hyun-tak
주연: 김향기, 류현경, 염혜란</t>
  </si>
  <si>
    <t>감독: 岡本伸吾, 福田亮介
주연: 니카이도 후미, 채종협, 나카가와 타이시</t>
  </si>
  <si>
    <t>감독: Marc Abraham
주연: 톰 히들스턴, 엘리자베스 올슨, Wayne Péré</t>
  </si>
  <si>
    <t>감독: Adam Randall
주연: 헬렌 헌트, Jon Tenney, 오웬 티그</t>
  </si>
  <si>
    <t>감독: Luisella Boidi
주연: 틸다 스윈튼, 루카 구아다니노, 알바 로르바케르</t>
  </si>
  <si>
    <t>감독: Grant Sputore
주연: Clara Rugaard, 로즈 번, 힐러리 스웽크</t>
  </si>
  <si>
    <t>감독: 마이크 카힐
주연: 마이클 피트, 브릿 말링, 아스트리드 베르제프리스베</t>
  </si>
  <si>
    <t>감독: Gavin Hood
주연: 헬렌 미렌, 아론 폴, 앨런 릭먼</t>
  </si>
  <si>
    <t>감독: 김현석
주연: 나문희, 이제훈, 성유빈</t>
  </si>
  <si>
    <t>감독: Andrew Erwin, 존 어윈
주연: J. Michael Finley, 데니스 퀘이드, Cloris Leachman</t>
  </si>
  <si>
    <t>감독: Abby Kohn, Marc Silverstein
주연: 에이미 슈머, 미셸 윌리엄스, Tom Hopper</t>
  </si>
  <si>
    <t>감독: 크레이그 길레스피
주연: 마고 로비, 세바스찬 스탠, 앨리슨 제니</t>
  </si>
  <si>
    <t>감독: 제임스 맨골드
주연: 존 쿠삭, 레이 리오타, 아만다 피트</t>
  </si>
  <si>
    <t>감독: 마틴 스콜세지
주연: 로버트 드 니로, 알 파치노, 조 페시</t>
  </si>
  <si>
    <t>209분</t>
  </si>
  <si>
    <t>감독: 조너선 헨즐리
주연: 리암 니슨, 엠버 미드선더, Marcus Thomas</t>
  </si>
  <si>
    <t>감독: 조너선 헨즐리
주연: 리암 니슨, 판빙빙, Marcus Thomas</t>
  </si>
  <si>
    <t>감독: Prince k kashyap
주연: Aritaa Paul</t>
  </si>
  <si>
    <t>감독: 스탠리 큐브릭
주연: 톰 크루즈, 니콜 키드먼, 시드니 폴락</t>
  </si>
  <si>
    <t>159분</t>
  </si>
  <si>
    <t>감독: Can Ulkay
주연: İsmail Hacıoğlu, 김설, Çetin Tekindor</t>
  </si>
  <si>
    <t>감독: Julia Hart
주연: 레이첼 브로스나한, 마샤 스테파니 블레이크, Arinzé Kene</t>
  </si>
  <si>
    <t>감독: 니시카와 미와
주연: 모토키 마사히로, 竹原ピストル, Kenshin Fujita</t>
  </si>
  <si>
    <t>감독: James Lapine
주연: 비올라 데이비스, 헤이든 파네티어, 카타리나 산디노 모레노</t>
  </si>
  <si>
    <t>감독: 제임스 완
주연: 제이슨 모모아, 엠버 허드, 윌렘 대포</t>
  </si>
  <si>
    <t>감독: 기타노 다케시
주연: 기타노 다케시, 樋口可南子, 柳憂怜</t>
  </si>
  <si>
    <t>감독: Simon Curtis
주연: 케빈 코스트너, Milo Ventimiglia, 아만다 사이프리드</t>
  </si>
  <si>
    <t>감독: 미셸 하자나비시우스
주연: 장 뒤자르댕, 베레니스 베조, 존 굿맨</t>
  </si>
  <si>
    <t>감독: Joe Penna
주연: 매즈 미켈슨, Maria Thelma Smáradóttir, Tintrinai Thikhasuk</t>
  </si>
  <si>
    <t>아이슬란드</t>
  </si>
  <si>
    <t>감독: 정병길
주연: 김옥빈, 신하균, 성준</t>
  </si>
  <si>
    <t>감독: 시드니 루멧
주연: 필립 세이모어 호프만, 에단 호크, 알버트 피니</t>
  </si>
  <si>
    <t>감독: 데이비드 프랭클
주연: 메릴 스트립, 앤 해서웨이, 에밀리 블런트</t>
  </si>
  <si>
    <t>감독: 김지운
주연: 이병헌, 최민식, 전국환</t>
  </si>
  <si>
    <t>감독: 하마구치 류스케
주연: Hitoshi Omika, Ryo Nishikawa, Ryuji Kosaka</t>
  </si>
  <si>
    <t>감독: Wayne Blair
주연: 에이드리언 브로디, 셀마 헤이엑, Gabriella Wright</t>
  </si>
  <si>
    <t>감독: 백운학
주연: 손현주, 마동석, 박서준</t>
  </si>
  <si>
    <t>감독: Gil Austin
주연: Gil Austin, Ron Weisberg, Leslie Anne Chastain</t>
  </si>
  <si>
    <t>감독: Lee Won-tae
주연: 마동석, 김무열, 김성규</t>
  </si>
  <si>
    <t>감독: 이정범
주연: 이선균, 전소니, 박해준</t>
  </si>
  <si>
    <t>감독: Donato Carrisi
주연: Toni Servillo, 장 르노, Alessio Boni</t>
  </si>
  <si>
    <t>감독: 테오 앙겔로풀로스
주연: Michalis Zeke, Τάνια Παλαιολόγου, Στράτος Τζώρτζογλου</t>
  </si>
  <si>
    <t>감독: 뤽 베송
주연: 사샤 루스, 헬렌 미렌, 루크 에반스</t>
  </si>
  <si>
    <t>감독: Ibon Cormenzana
주연: Javier Rey, Patricia López Arnaiz, Blanca Apilánez</t>
  </si>
  <si>
    <t>감독: 大島里美, 坪井敏雄
주연: 아시다 마나, 니시지마 히데토시, 아라키 유코</t>
  </si>
  <si>
    <t>감독: Gail Mancuso
주연: Marg Helgenberger, 베티 길핀, 헨리</t>
  </si>
  <si>
    <t>감독: Anthony Lefresne, Curtis Crawford
주연: Cassie Scerbo, Alex Paxton-Beesley, Scott Gibson</t>
  </si>
  <si>
    <t>감독: 조쉬 분
주연: 쉐일린 우들리, 안셀 엘고트, 냇 울프</t>
  </si>
  <si>
    <t>감독: 萩原健太郎
주연: 맛켄유, 키타무라 타쿠미, 久保田紗友</t>
  </si>
  <si>
    <t>감독: Kim Kwang-sik
주연: 조인성, 남주혁, 박성웅</t>
  </si>
  <si>
    <t>감독: 콜린 트레보로
주연: 오브리 플라자, 마크 듀플래스, 제이크 존슨</t>
  </si>
  <si>
    <t>감독: Gerard Bush, Christopher Renz
주연: 자넬 모네, 에릭 랭, 제나 말론</t>
  </si>
  <si>
    <t>감독: Guy Burt
주연: Otto Farrant, 스테판 딜런, Vicky McClure</t>
  </si>
  <si>
    <t>감독: Kim Dong-won
주연: 비, 유준상, 신세경</t>
  </si>
  <si>
    <t>감독: Albert Hughes
주연: 코디 스밋맥피, Jóhannes Haukur Jóhannesson, Marcin Kowalczyk</t>
  </si>
  <si>
    <t>감독: 최동훈
주연: 전지현, 하정우, 이정재</t>
  </si>
  <si>
    <t>감독: 김태균
주연: 김윤석, 주지훈, 문정희</t>
  </si>
  <si>
    <t>감독: 페이턴 리드
주연: 폴 러드, 마이클 더글라스, 에반젤린 릴리</t>
  </si>
  <si>
    <t>감독: 더그 엘린
주연: 케빈 코넬리, 애드리언 그레니어, 케빈 딜런</t>
  </si>
  <si>
    <t>감독: Andy Tennant
주연: 조디 포스터, 주윤발, 바이 링</t>
  </si>
  <si>
    <t>감독: Pamela Romanowsky
주연: 제임스 프랭코, 엠버 허드, 에드 해리스</t>
  </si>
  <si>
    <t>감독: 제임스 그레이
주연: 브래드 피트, 토미 리 존스, 리브 타일러</t>
  </si>
  <si>
    <t>감독: Theja Iddamalgoda
주연: Hemal Ranasinghe, Ishanka Jahanvi, Bimal Jayakody</t>
  </si>
  <si>
    <t>감독: Allison Burnett
주연: 브릿 로버트슨, Molly Hagan, Andy Buckley</t>
  </si>
  <si>
    <t>감독: Jess Varley
주연: 케이트 마라, 로렌스 피시번, 가브리엘 루나</t>
  </si>
  <si>
    <t>감독: 지아장커
주연: 姜武, 왕보강, Zhao Tao</t>
  </si>
  <si>
    <t>감독: 遊川和彦
주연: 아베 히로시, 아마미 유키, 칸노 미호</t>
  </si>
  <si>
    <t>감독: Jenny Gage
주연: Josephine Langford, 히어로 파인스 티핀, Shane Paul McGhie</t>
  </si>
  <si>
    <t>감독: 루카 구아다니노
주연: 줄리아 로버츠, 아요 에데비리, 앤드류 가필드</t>
  </si>
  <si>
    <t>감독: Agnieszka Wojtowicz-Vosloo
주연: 크리스티나 리치, 리암 니슨, 저스틴 롱</t>
  </si>
  <si>
    <t>감독: Christian Walsh
주연: Adrian Anchondo, Dylan Wayne Lawrence</t>
  </si>
  <si>
    <t>감독: Elliott Lester
주연: 아놀드 슈왈제네거, 스쿠트 맥네리, 매기 그레이스</t>
  </si>
  <si>
    <t>감독: Brett Donowho
주연: 브루스 윌리스, 콜 하우저, 숀 애슈모어</t>
  </si>
  <si>
    <t>감독: Mike McCoy, Scott Waugh
주연: Roselyn Sánchez, Jason Cottle, Alex Veadov</t>
  </si>
  <si>
    <t>감독: Eric Freiser
주연: Bruce Payne, Ashley Laurence, Paul Francis</t>
  </si>
  <si>
    <t>감독: 페이턴 리드
주연: 폴 러드, 에반젤린 릴리, 마이클 더글라스</t>
  </si>
  <si>
    <t>감독: 덴젤 워싱턴
주연: 덴젤 워싱턴, Derek Luke, Malcolm David Kelley</t>
  </si>
  <si>
    <t>감독: 로드리고 가르시아
주연: 글렌 클로즈, 미아 바시코프스카, 에런 테일러존슨</t>
  </si>
  <si>
    <t>감독: Laurits Munch-Petersen
주연: Thomas Bo Larsen, Paw Henriksen, Helle Fagralid</t>
  </si>
  <si>
    <t>감독: 마이클 베이
주연: 제이크 질렌할, 야히아 압둘 마틴 2세, 에이사 곤살레스</t>
  </si>
  <si>
    <t>감독: Hans Petter Moland
주연: 리암 니슨, 론 펄먼, Yolonda Ross</t>
  </si>
  <si>
    <t>감독: Phil Alden Robinson
주연: 로빈 윌리엄스, 밀라 쿠니스, 피터 딘클리지</t>
  </si>
  <si>
    <t>감독: Choi Yun-tae
주연: 이주영, 이준혁, 염혜란</t>
  </si>
  <si>
    <t>감독: 황병국
주연: 강하늘, 유해진, 박해준</t>
  </si>
  <si>
    <t>감독: Na Hyun
주연: 설경구, 박해수, 이케우치 히로유키</t>
  </si>
  <si>
    <t>감독: 藤井道人
주연: 아야노 고, 舘ひろし, 오노 마치코</t>
  </si>
  <si>
    <t>감독: Nikolaj Arcel
주연: 매즈 미켈슨, 아만다 콜린, Simon Bennebjerg</t>
  </si>
  <si>
    <t>감독: 조나단 드미
주연: 조디 포스터, 안소니 홉킨스, 스콧 글렌</t>
  </si>
  <si>
    <t>감독: 데이비드 에이어
주연: 제이슨 스타뎀, 에미 레이버램프먼, 조쉬 허처슨</t>
  </si>
  <si>
    <t>감독: 요시다 다이하치
주연: 錦戸亮, 키무라 후미노, 마츠다 류헤이</t>
  </si>
  <si>
    <t>감독: Sylvia Schedelbauer</t>
  </si>
  <si>
    <t>감독: 찰스 마틴 스미스
주연: 브라이스 댈러스 하워드, 조너 하우어-킹, 알렉산드라 쉽</t>
  </si>
  <si>
    <t>감독: Nicole Kassell
주연: 케이트 허드슨, 가엘 가르시아 베르날, Romany Malco</t>
  </si>
  <si>
    <t>감독: 마리엘 헬러
주연: 매튜 리스, 톰 행크스, 크리스 쿠퍼</t>
  </si>
  <si>
    <t>감독: Ken Kwapis
주연: 로버트 레드포드, 닉 놀티, 엠마 톰슨</t>
  </si>
  <si>
    <t>감독: 페르난도 레온 데 아라노아
주연: 베니시오 델 토로, 팀 로빈스, 올가 쿠릴렌코</t>
  </si>
  <si>
    <t>감독: Matthew Heineman
주연: 로저먼드 파이크, 제이미 도넌, 톰 홀랜더</t>
  </si>
  <si>
    <t>감독: 존 웰스
주연: 메릴 스트립, 줄리아 로버츠, 줄리앤 니콜슨</t>
  </si>
  <si>
    <t>감독: Kirsten Sheridan
주연: 프레디 하이모어, 케리 러셀, 조나단 리스 마이어스</t>
  </si>
  <si>
    <t>감독: Robert Luketic
주연: 캐서린 헤이글, 제라드 버틀러, Eric Winter</t>
  </si>
  <si>
    <t>감독: 마이크 카힐
주연: 브릿 말링, William Mapother, Matthew-Lee Erlbach</t>
  </si>
  <si>
    <t>감독: 고레에다 히로카즈
주연: 릴리 프랭키, 안도 사쿠라, 마츠오카 마유</t>
  </si>
  <si>
    <t>감독: Im Meari
주연: 박보영, 서인국, 이수혁</t>
  </si>
  <si>
    <t>감독: 하이파 알만수르
주연: Sanaa Lathan, Ricky Whittle, 어니 허드슨</t>
  </si>
  <si>
    <t>감독: Benoît Philippon
주연: 루퍼트 프렌드, 클레망스 포에지, Matt Ward</t>
  </si>
  <si>
    <t>감독: 리들리 스콧
주연: 러셀 크로우, 알버트 피니, 마리옹 꼬띠아르</t>
  </si>
  <si>
    <t>감독: 이윤기
주연: 김남길, 천우희, 정선경</t>
  </si>
  <si>
    <t>감독: 마크 윌리엄스
주연: 리암 니슨, 케이트 월시, 제이 코트니</t>
  </si>
  <si>
    <t>감독: 로건 마셜그린
주연: 에단 호크, Elaine Hendrix, Diane Gaeta</t>
  </si>
  <si>
    <t>감독: Scott Coffey
주연: 엠마 로버츠, 에반 피터스, 존 쿠삭</t>
  </si>
  <si>
    <t>감독: J.J. 에이브럼스
주연: 크리스 파인, 재커리 퀸토, 조 샐다나</t>
  </si>
  <si>
    <t>감독: 사카모토 준지
주연: 미야자키 아오이, 에구치 요스케, 츠마부키 사토시</t>
  </si>
  <si>
    <t>감독: Baltasar Kormákur
주연: 쉐일린 우들리, 샘 클라플린, Jeffrey Thomas</t>
  </si>
  <si>
    <t>감독: Lisa Azuelos
주연: 소피 마르소, 프랑수아 클루제, Lisa Azuelos</t>
  </si>
  <si>
    <t>감독: 야마다 요지
주연: 요시나가 사유리, 니노미야 카즈나리, 쿠로키 하루</t>
  </si>
  <si>
    <t>감독: 마크 웹
주연: 앤드류 가필드, 엠마 스톤, 리스 이판</t>
  </si>
  <si>
    <t>감독: 마크 웹
주연: 앤드류 가필드, 엠마 스톤, 제이미 폭스</t>
  </si>
  <si>
    <t>감독: 조나단 드미
주연: 메릴 스트립, 케빈 클라인, 메이미 거머</t>
  </si>
  <si>
    <t>감독: 리처드 커티스
주연: 도널 글리슨, 레이첼 맥아담스, 빌 나이</t>
  </si>
  <si>
    <t>감독: Michael Cuesta
주연: 딜런 오브라이언, 마이클 키튼, Taylor Kitsch</t>
  </si>
  <si>
    <t>감독: 사라 폴리
주연: Gordon Pinsent, 줄리 크리스티, Michael Murphy</t>
  </si>
  <si>
    <t>감독: 박찬욱
주연: 이병헌, 손예진, 박희순</t>
  </si>
  <si>
    <t>감독: Gavin O'Connor
주연: 벤 애플렉, 신시아 아다이-로빈슨, 안나 켄드릭</t>
  </si>
  <si>
    <t>감독: 조 라이트
주연: 제임스 맥어보이, 키이라 나이틀리, 시얼샤 로넌</t>
  </si>
  <si>
    <t>감독: 주세페 토르나토레
주연: 크세니야 라포포르트, Michele Placido, Claudia Gerini</t>
  </si>
  <si>
    <t>감독: Jo Tae-ho
주연: Kim Hee-jeong, 윤다현, 상우</t>
  </si>
  <si>
    <t>감독: 윌리엄 유뱅크
주연: 크리스틴 스튜어트, 뱅상 카셀, 마무두 아티</t>
  </si>
  <si>
    <t>감독: 아사토 마리
주연: 고라 겐고, 西川可奈子, Kenichi Abe</t>
  </si>
  <si>
    <t>감독: 三木孝浩
주연: 치넨 유리, 나카가와 타이시, 고마츠 나나</t>
  </si>
  <si>
    <t>감독: 데이비드 E. 켈리
주연: 니콜 키드먼, 휴 그랜트, 에드가 라미레즈</t>
  </si>
  <si>
    <t>감독: 안젤리나 졸리
주연: 잭 오코넬, Alex Russell, 도널 글리슨</t>
  </si>
  <si>
    <t>감독: 스티븐 소더버그
주연: 클레어 포이, Joshua Leonard, Jay Pharoah</t>
  </si>
  <si>
    <t>감독: Gregor Jordan
주연: 사무엘 L. 잭슨, 캐리 앤 모스, 마이클 쉰</t>
  </si>
  <si>
    <t>감독: 루벤 플레셔
주연: 톰 홀랜드, 마크 월버그, 소피아 앨리</t>
  </si>
  <si>
    <t>감독: 베니 사프디, 조쉬 사프디
주연: 애덤 샌들러, 라키스 스탠필드, 줄리아 폭스</t>
  </si>
  <si>
    <t>감독: Olivier Nakache, Éric Toledano
주연: 프랑수아 클루제, 오마르 시, Anne Le Ny</t>
  </si>
  <si>
    <t>감독: 애드리안 라인
주연: 리처드 기어, 다이앤 레인, 올리버 마르티네스</t>
  </si>
  <si>
    <t>감독: 노라 핑샤이트
주연: 산드라 블록, 비올라 데이비스, 빈센트 도노프리오</t>
  </si>
  <si>
    <t>감독: Stephen Susco
주연: 콜린 우델, 베티 게이브리얼, Rebecca Rittenhouse</t>
  </si>
  <si>
    <t>감독: 라세 할스트룀
주연: 로버트 레드포드, 제니퍼 로페즈, 모건 프리먼</t>
  </si>
  <si>
    <t>감독: Derrick Borte
주연: 러셀 크로우, Caren Pistorius, Gabriel Bateman</t>
  </si>
  <si>
    <t>감독: Matthieu Delaporte
주연: 마티외 카소비츠, Bernard Murat, Marie-Josée Croze</t>
  </si>
  <si>
    <t>감독: 로버트 저메키스
주연: 브래드 피트, 마리옹 꼬띠아르, 자레드 해리스</t>
  </si>
  <si>
    <t>감독: Liu Xinyi
주연: Sang Weilin, 淳于珊珊</t>
  </si>
  <si>
    <t>감독: Peter Flinth
주연: 니콜라이 코스테르발다우, Joe Cole, 찰스 댄스</t>
  </si>
  <si>
    <t>감독: 呉美保
주연: 미야자키 아오이, 大竹しのぶ, 키리타니 켄타</t>
  </si>
  <si>
    <t>감독: 白羽弥仁
주연: 木南晴夏, 藤本泉, 河合美智子</t>
  </si>
  <si>
    <t>감독: 스티븐 달드리
주연: 톰 행크스, 산드라 블록, 토머스 혼</t>
  </si>
  <si>
    <t>감독: Laurent Tirard
주연: 장 뒤자르댕, 비르지니 에피라, 세드릭 칸</t>
  </si>
  <si>
    <t>감독: Leigh Whannell
주연: 로건 마셜그린, 베티 게이브리얼, Harrison Gilbertson</t>
  </si>
  <si>
    <t>감독: 닐 버거
주연: 케빈 하트, 브라이언 크랜스턴, 니콜 키드먼</t>
  </si>
  <si>
    <t>감독: Dieter Berner
주연: Noah Saavedra, Maresi Riegner, Valerie Pachner</t>
  </si>
  <si>
    <t>오스트리아</t>
  </si>
  <si>
    <t>감독: 드니 빌뇌브
주연: 제이크 질렌할, 멜라니 로랑, 사라 가돈</t>
  </si>
  <si>
    <t>감독: Harry Bradbeer
주연: 밀리 바비 브라운, 헨리 카빌, 샘 클라플린</t>
  </si>
  <si>
    <t>감독: Harry Bradbeer
주연: 밀리 바비 브라운, 헨리 카빌, 데이비드 슐리스</t>
  </si>
  <si>
    <t>감독: 카일 라이드아웃
주연: 마이클 에크런드, 사라 캐닝, 찰리 캐릭, 조디 발포어</t>
  </si>
  <si>
    <t>감독: 대런 스타
주연: 릴리 콜린스, 필리핀 르루아볼리외, 애슐리 박</t>
  </si>
  <si>
    <t>감독: Tom Shadyac
주연: 스티브 카렐, 모건 프리먼, Lauren Graham</t>
  </si>
  <si>
    <t>감독: Andy Tennant
주연: 드류 배리모어, 안젤리카 휴스턴, 두그레이 스콧</t>
  </si>
  <si>
    <t>감독: Baltasar Kormákur
주연: 제이슨 클라크, 조쉬 브롤린, 제이크 질렌할</t>
  </si>
  <si>
    <t>감독: 佐藤信介
주연: 아베 히로시, 카자마 슌스케, Сергей Куваев</t>
  </si>
  <si>
    <t>감독: Santiago Diaz, Pablo Martin Farina
주연: Pablo Escobar</t>
  </si>
  <si>
    <t>감독: 벤 애플렉
주연: 맷 데이먼, 제이슨 베이트먼, 벤 애플렉</t>
  </si>
  <si>
    <t>감독: 리들리 스콧
주연: 마이클 패스벤더, 캐서린 워터스톤, 빌리 크루덥</t>
  </si>
  <si>
    <t>감독: 테이트 테일러
주연: 제시카 차스테인, 존 말코비치, 커먼</t>
  </si>
  <si>
    <t>감독: Michael Pearce
주연: 줄리앤 무어, 시드니 스위니, 도널 글리슨</t>
  </si>
  <si>
    <t>감독: Mark Boal
주연: 루크 에반스, 미힐 하위스만, Jessica Collins</t>
  </si>
  <si>
    <t>감독: Martin Bourboulon
주연: 로맹 뒤리스, 에마 매키, 피에르 들라동샹</t>
  </si>
  <si>
    <t>감독: Paul T. Scheuring
주연: 에이드리언 브로디, Cam Gigandet, 포레스트 휘태커</t>
  </si>
  <si>
    <t>감독: Peter Facinelli
주연: Milo Gibson, Jordan Danger, Adam Huber</t>
  </si>
  <si>
    <t>감독: Gavin Hood
주연: 에이사 버터필드, 헤일리 스타인펠드, 해리슨 포드</t>
  </si>
  <si>
    <t>감독: 饶晓志
주연: 유덕화, 万茜, 程怡</t>
  </si>
  <si>
    <t>감독: Shana Feste
주연: Alex Pettyfer, Gabriella Wilde, 브루스 그린우드</t>
  </si>
  <si>
    <t>감독: Kim Farrant
주연: 누미 라파스, 이본 스트러호브스키, 루크 에반스</t>
  </si>
  <si>
    <t>감독: Ric Roman Waugh
주연: 제라드 버틀러, 모건 프리먼, 제이다 핀켓 스미스</t>
  </si>
  <si>
    <t>감독: Jack Heller
주연: 캐서린 워터스톤, 스콧 이스트우드, Sara Paxton</t>
  </si>
  <si>
    <t>감독: Juan José Campanella
주연: Ricardo Darín, 솔레다드 빌라밀, Pablo Rago</t>
  </si>
  <si>
    <t>아르헨티나</t>
  </si>
  <si>
    <t>감독: 폴 해기스
주연: 토미 리 존스, 샤를리즈 테론, 수잔 서랜든</t>
  </si>
  <si>
    <t>감독: 이자벨 코이젯트
주연: 페넬로페 크루스, 벤 킹슬리, 패트리샤 클락슨</t>
  </si>
  <si>
    <t>감독: Robert Legato
주연: 일라이자 두슈쿠, 로버트 패트릭, 체이스 크로포드</t>
  </si>
  <si>
    <t>감독: 폴 버호벤
주연: 이자벨 위페르, Laurent Lafitte, 안 콩시니</t>
  </si>
  <si>
    <t>감독: Robert Doherty
주연: Jonny Lee Miller, 루시 리우, 존 마이클 힐</t>
  </si>
  <si>
    <t>24화</t>
  </si>
  <si>
    <t>감독: Stella Hopkins
주연: 안소니 홉킨스, Lisa Pepper, Aaron Tucker</t>
  </si>
  <si>
    <t>감독: 닐 블롬캠프
주연: 맷 데이먼, 조디 포스터, Sharlto Copley</t>
  </si>
  <si>
    <t>감독: Calum Chalmers
주연: Georgia Groome, 숀 틸, Hannah Emmett</t>
  </si>
  <si>
    <t>루마니아</t>
  </si>
  <si>
    <t>감독: 바즈 루어만
주연: 오스틴 버틀러, 톰 행크스, 올리비아 드종</t>
  </si>
  <si>
    <t>감독: Kôhei Ninomiya, Takashi Kitano
주연: 나가사와 마사미, 眞栄田郷敦, 스즈키 료헤이</t>
  </si>
  <si>
    <t>감독: 더그 라이만
주연: 톰 크루즈, 에밀리 블런트, 브렌던 글리슨</t>
  </si>
  <si>
    <t>감독: Renat Davletyarov
주연: Пётр Фёдоров, Анастасия Микульчина, Евгения Малахова</t>
  </si>
  <si>
    <t>감독: Ralph S. Hirshorn</t>
  </si>
  <si>
    <t>감독: 다마다 신야
주연: 오다기리 조, 마츠 다카코, 타카이시 아카리</t>
  </si>
  <si>
    <t>감독: Yoon Seok-ho
주연: 김지영, 배수빈, 윤지민</t>
  </si>
  <si>
    <t>감독: 우니 르콩트
주연: 김새론, Park Do-yeon, 고아성</t>
  </si>
  <si>
    <t>감독: JQ Lee
주연: 현빈, 정재영, 조정석</t>
  </si>
  <si>
    <t>감독: 김홍선
주연: 정해인, 김지훈, 이원종</t>
  </si>
  <si>
    <t>감독: 橋本直樹
주연: 新津ちせ, Yoshi Oida, 사카이 마키</t>
  </si>
  <si>
    <t>감독: 정가영
주연: 손석구, 전종서, 공민정</t>
  </si>
  <si>
    <t>감독: 김해곤
주연: 장진영, 김승우, 김상호</t>
  </si>
  <si>
    <t>감독: 정소동
주연: 진혜림, 견자단, 여명</t>
  </si>
  <si>
    <t>감독: Dominik Graf
주연: Hannah Herzsprung, Florian Stetter, Henriette Confurius</t>
  </si>
  <si>
    <t>감독: Kim Hak-soon
주연: 김무열, 진구, 이현우</t>
  </si>
  <si>
    <t>감독: 中江裕司
주연: 沢田研二, 마츠 다카코, 니시다 나오미</t>
  </si>
  <si>
    <t>감독: 内田けんじ
주연: 사카이 마사토, 카가와 테루유키, 히로스에 료코</t>
  </si>
  <si>
    <t>감독: Francesco Amato
주연: Vittoria Puccini, 베네데타 포르카롤리, Edoardo Leo</t>
  </si>
  <si>
    <t>감독: Jeong Gi-hoon
주연: 박보영, 정재영, 배성우</t>
  </si>
  <si>
    <t>감독: 연상호
주연: 류승룡, 심은경, 박정민</t>
  </si>
  <si>
    <t>감독: 엽위신
주연: 견자단, 임달화, 熊黛林</t>
  </si>
  <si>
    <t>감독: 구예도
주연: 두우항, 황혁, 원표</t>
  </si>
  <si>
    <t>감독: 엽위신
주연: 견자단, 장진, 熊黛林</t>
  </si>
  <si>
    <t>감독: 엽위신
주연: 견자단, 吴樾, 吳建豪</t>
  </si>
  <si>
    <t>감독: 제이슨 라이트만
주연: 샤를리즈 테론, 패튼 오즈월트, 패트릭 윌슨</t>
  </si>
  <si>
    <t>감독: Rachid Bouchareb
주연: Jamel Debbouze, Samy Naceri, 로슈디 젬</t>
  </si>
  <si>
    <t>감독: Tom Vaughan
주연: 피어스 브로스넌, 제시카 알바, 셀마 헤이엑</t>
  </si>
  <si>
    <t>감독: 오우삼
주연: 적룡, 주윤발, 장국영</t>
  </si>
  <si>
    <t>감독: 오우삼
주연: 적룡, 장국영, 석천</t>
  </si>
  <si>
    <t>감독: 서극
주연: 주윤발, 매염방, 양가휘</t>
  </si>
  <si>
    <t>감독: 장훈
주연: 소지섭, 강지환, 홍수현</t>
  </si>
  <si>
    <t>감독: Ritesh Batra
주연: 짐 브로드벤트, 샬롯 램플링, 해리엇 월터</t>
  </si>
  <si>
    <t>감독: Ryan Cultrera
주연: Kat Walker Shea, B.K. Dawson, Amber Steigelfest</t>
  </si>
  <si>
    <t>감독: 대니 보일
주연: 히메쉬 파텔, 릴리 제임스, 소피아 디 마티노</t>
  </si>
  <si>
    <t>감독: 자크 오디아르
주연: 타하르 라힘, 닐스 아르스트럽, 레다 카텝</t>
  </si>
  <si>
    <t>감독: 테일러 쉐리던, John Linson
주연: 루크 그라임스, 켈리 라일리, 웨스 벤틀리</t>
  </si>
  <si>
    <t>감독: Tria Thalman, David Royle
주연: 빌 풀먼</t>
  </si>
  <si>
    <t>주연: Bart Thomasson</t>
  </si>
  <si>
    <t>감독: Patrick DeLuca, Chris Richardson
주연: 케빈 코스트너</t>
  </si>
  <si>
    <t>감독: 平柳敦子
주연: 테라지마 시노부, Soseki Yamatoya, 柳生みゆ</t>
  </si>
  <si>
    <t>감독: Dan Mazer
주연: 로버트 드 니로, 잭 에프론, 오브리 플라자</t>
  </si>
  <si>
    <t>감독: 西田征史
주연: 무카이 오사무, 카타기리 하이리, 야마모토 미즈키</t>
  </si>
  <si>
    <t>감독: Jung Se-kyo
주연: 나문희, 이희준, 최원영</t>
  </si>
  <si>
    <t>감독: 藤井道人
주연: 오카다 마사키, 쿠츠나 시오리, 사노 시로</t>
  </si>
  <si>
    <t>감독: Jun Robles Lana
주연: Maricel Soriano, Gabby Concepcion, Jericho Rosales</t>
  </si>
  <si>
    <t>감독: 渡瀬暁彦
주연: 카미카와 타카야, 工藤阿須加, 谷村美月</t>
  </si>
  <si>
    <t>감독: 방은진
주연: 엄정화, 문성근, 권오중</t>
  </si>
  <si>
    <t>감독: 올리비에 마르샬
주연: Daniel Auteuil, 제라르 드파르디외, André Dussollier</t>
  </si>
  <si>
    <t>감독: 케네스 브래너
주연: 케네스 브래너, 톰 베이트먼, 미셸 파이퍼</t>
  </si>
  <si>
    <t>감독: 앤드루 데이비스
주연: 제니퍼 엘, 콜린 퍼스, Susannah Harker</t>
  </si>
  <si>
    <t>감독: 조 라이트
주연: 키이라 나이틀리, 매튜 맥패디언, Brenda Blethyn</t>
  </si>
  <si>
    <t>감독: Julius Avery
주연: 조반 아데포, 와이엇 러셀, 필루 아스베크</t>
  </si>
  <si>
    <t>감독: Hannes Holm
주연: Rolf Lassgård, Bahar Pars, Filip Berg</t>
  </si>
  <si>
    <t>감독: 조셉 코신스키
주연: 톰 크루즈, 모건 프리먼, 올가 쿠릴렌코</t>
  </si>
  <si>
    <t>감독: 이한
주연: 임시완, 고아성, 이희준</t>
  </si>
  <si>
    <t>감독: Boon-lip Quah
주연: 肖央, 譚卓, 조앤 첸</t>
  </si>
  <si>
    <t>감독: 게리 로스
주연: 산드라 블록, 케이트 블란쳇, 앤 해서웨이</t>
  </si>
  <si>
    <t>감독: 라이언 쿠글러
주연: 마이클 B. 조던, Melonie Díaz, 옥타비아 스펜서</t>
  </si>
  <si>
    <t>감독: 冨樫森
주연: 濱田ここね, 우에토 아야, 이나가키 고로</t>
  </si>
  <si>
    <t>감독: Kim Jeong-jung
주연: 이민기, 이케와키 치즈루, 정유미</t>
  </si>
  <si>
    <t>감독: 빌 더뷰크, 마크 윌리엄스
주연: 제이슨 베이트먼, 로라 리니, 소피아 허블리츠</t>
  </si>
  <si>
    <t>감독: 波多野貴文
주연: 하루, 니시지마 히데토시, 오카야마 아마네</t>
  </si>
  <si>
    <t>감독: Song Il-gon
주연: 소지섭, 한효주, 강신일</t>
  </si>
  <si>
    <t>감독: Amma Asante
주연: 데이빗 오예로워, 로저먼드 파이크, 톰 펠튼</t>
  </si>
  <si>
    <t>감독: 황동혁
주연: 이정재, 임시완, 위하준</t>
  </si>
  <si>
    <t>감독: Stephen Lambert, Tim Harcourt</t>
  </si>
  <si>
    <t>감독: Lee Cheol-ha
주연: 엄정화, 박성웅, 이상윤</t>
  </si>
  <si>
    <t>감독: 마크 포스터
주연: 톰 행크스, 마리아나 트레비노, 캐머런 브리턴</t>
  </si>
  <si>
    <t>감독: Joseph Ruben
주연: Hera Hilmar, 미힐 하위스만, 조쉬 하트넷</t>
  </si>
  <si>
    <t>감독: Laurie Nunn
주연: 에이사 버터필드, 질리언 앤더슨, 슈티 가트와</t>
  </si>
  <si>
    <t>감독: Ina Kessebohm, Nadine Neumann</t>
  </si>
  <si>
    <t>감독: 林超賢
주연: 장역, 황징위, Hai Qing</t>
  </si>
  <si>
    <t>감독: 크리스 웨이츠
주연: 오스카 아이작, 벤 킹슬리, 멜라니 로랑</t>
  </si>
  <si>
    <t>감독: 크리스토퍼 놀란
주연: 킬리언 머피, 에밀리 블런트, 맷 데이먼</t>
  </si>
  <si>
    <t>감독: Gavin Hood
주연: 키이라 나이틀리, 맷 스미스, 랄프 파인즈</t>
  </si>
  <si>
    <t>감독: Claire McCarthy
주연: 데이지 리들리, 나오미 왓츠, 클라이브 오웬</t>
  </si>
  <si>
    <t>감독: Kim Seong-joon
주연: 김소이, 태인호</t>
  </si>
  <si>
    <t>감독: 봉준호
주연: 안서현, 틸다 스윈튼, 폴 다노</t>
  </si>
  <si>
    <t>감독: 조 존스턴
주연: 제이크 질렌할, 크리스 쿠퍼, Chris Owen</t>
  </si>
  <si>
    <t>감독: 소피아 코폴라
주연: 빌 머레이, 라시다 존스, 말런 웨이언스</t>
  </si>
  <si>
    <t>감독: 조셉 코신스키
주연: 조쉬 브롤린, 마일스 텔러, 제프 브리지스</t>
  </si>
  <si>
    <t>감독: Andrew Jarecki
주연: 라이언 고슬링, 커스틴 던스트, Frank Langella</t>
  </si>
  <si>
    <t>감독: 리들리 스콧
주연: 미셸 윌리엄스, 마크 월버그, 크리스토퍼 플러머</t>
  </si>
  <si>
    <t>감독: 야누스 메츠
주연: 크리스 파인, 탠디 뉴턴, 조너선 프라이스</t>
  </si>
  <si>
    <t>감독: Marc Meyers
주연: 제시카 로테, Harry Shum Jr., Michael Masini</t>
  </si>
  <si>
    <t>감독: Megan Gallagher
주연: 사라 스누크, 제이크 레이시, 소피아 릴리스</t>
  </si>
  <si>
    <t>감독: M. 나이트 샤말란
주연: 가엘 가르시아 베르날, 비키 크립스, 루퍼스 스웰</t>
  </si>
  <si>
    <t>주연: Sheng Wei, Ai Ye</t>
  </si>
  <si>
    <t>감독: 지나 프린스바이스우드
주연: 샤를리즈 테론, 키키 레인, 응오타인번</t>
  </si>
  <si>
    <t>감독: 조나단 E. 스타인버그, Robert Levine
주연: 제프 브리지스, 존 리스고, 알리아 쇼캣</t>
  </si>
  <si>
    <t>감독: Chae Doo-byeong
주연: 신하균, 박희순, 오만석</t>
  </si>
  <si>
    <t>감독: 로만 폴란스키
주연: Barney Clark, 벤 킹슬리, Jamie Foreman</t>
  </si>
  <si>
    <t>감독: An Tae-jin
주연: 류준열, 유해진, 최무성</t>
  </si>
  <si>
    <t>감독: 야마자키 다카시
주연: 堀北真希, 요시오카 히데타카, 츠츠미 신이치</t>
  </si>
  <si>
    <t>감독: Marc Cherry
주연: 앨리슨 톨먼, 라나 파리야, 닉 프로스트</t>
  </si>
  <si>
    <t>감독: 장 마크 발레
주연: 리즈 위더스푼, 로라 던, Keene McRae</t>
  </si>
  <si>
    <t>감독: Tom Harper
주연: 제시 버클리, 줄리 월터스, 소피 오코네도</t>
  </si>
  <si>
    <t>감독: 존 패트릭 샌리
주연: 에밀리 블런트, 제이미 도넌, 존 햄</t>
  </si>
  <si>
    <t>감독: Simon West
주연: 제이슨 스타뎀, 마이클 안가라노, Dominik Garcia</t>
  </si>
  <si>
    <t>감독: 폴 다노
주연: 제이크 질렌할, 캐리 멀리건, Ed Oxenbould</t>
  </si>
  <si>
    <t>감독: 이한
주연: 유아인, 김윤석, 박수영</t>
  </si>
  <si>
    <t>감독: JQ Lee
주연: 유해진, 조진웅, 이서진</t>
  </si>
  <si>
    <t>감독: Park Hun-soo
주연: 김영호, 김혜선, 김산호</t>
  </si>
  <si>
    <t>감독: 제나 라미아
주연: 니콜 키드먼, 이브 휴슨, 리에브 슈라이버</t>
  </si>
  <si>
    <t>감독: Elizabeth Chomko
주연: 힐러리 스웽크, 마이클 섀넌, 로버트 포스터</t>
  </si>
  <si>
    <t>감독: Akiva Schaffer
주연: 벤 스틸러, 빈스 본, 조나 힐</t>
  </si>
  <si>
    <t>감독: 톰 티크베어
주연: 톰 행크스, 사리타 슈드후리, 시세 바베트 크누센</t>
  </si>
  <si>
    <t>감독: 데이비드 베니오프, D. B. 와이스
주연: 피터 딘클리지, 키트 해링턴, 니콜라이 코스테르발다우</t>
  </si>
  <si>
    <t>감독: Debora Cahn
주연: 케리 러셀, 루퍼스 스웰, 데이빗 기아시</t>
  </si>
  <si>
    <t>감독: Alex Kendrick
주연: Ken Bevel, Alex Kendrick, Kevin Downes</t>
  </si>
  <si>
    <t>감독: 정의신
주연: 마키 요코, 이노우에 마오, 오오이즈미 요</t>
  </si>
  <si>
    <t>감독: 클린트 이스트우드
주연: 클린트 이스트우드, 진 해크먼, 모건 프리먼</t>
  </si>
  <si>
    <t>감독: 원신연
주연: 공유, 박희순, 조성하</t>
  </si>
  <si>
    <t>감독: 西谷弘
주연: 후쿠야마 마사하루, 시바사키 코우, 키타무라 카즈키</t>
  </si>
  <si>
    <t>감독: Ionuț Teianu
주연: Erico Salomone, Estelle Chapon, Bruno de Stabenrath</t>
  </si>
  <si>
    <t>감독: 롭 윌리엄스
주연: Kunal Nayyar, 조지나 캠벨, Elizabeth Henstridge</t>
  </si>
  <si>
    <t>감독: 이마무라 쇼헤이
주연: 야쿠쇼 코지, 清水美沙, 에모토 아키라</t>
  </si>
  <si>
    <t>감독: 本広克行
주연: 산타마리아 유스케, 코니시 마나미, トータス松本</t>
  </si>
  <si>
    <t>감독: 矢口史靖
주연: 소메타니 쇼타, 나가사와 마사미, 이토 히데아키</t>
  </si>
  <si>
    <t>감독: Nahnatchka Khan
주연: 앨리 웡, 랜들 박, James Saito</t>
  </si>
  <si>
    <t>감독: Hany Abu-Assad
주연: 이드리스 엘바, 케이트 윈슬렛, 더멋 멀로니</t>
  </si>
  <si>
    <t>감독: 니시카와 미와
주연: 나가야마 에이타, 笑福亭鶴瓶, 八千草薫</t>
  </si>
  <si>
    <t>감독: Hwang Soo-ah
주연: 박희순, 강혜정, 승리</t>
  </si>
  <si>
    <t>감독: Yume Ukai</t>
  </si>
  <si>
    <t>감독: Nigel Cole
주연: 애쉬튼 커쳐, 아만다 피트, 캐스린 한</t>
  </si>
  <si>
    <t>감독: Justin Baldoni
주연: 블레이크 라이블리, Justin Baldoni, 제니 슬레이트</t>
  </si>
  <si>
    <t>감독: Tong Ka-Fai
주연: 蔡凡熙, 하람두, 姚愛寗</t>
  </si>
  <si>
    <t>감독: 카메론 크로우
주연: 맷 데이먼, 스칼렛 요한슨, 토마스 헤이든 처치</t>
  </si>
  <si>
    <t>감독: 장진
주연: 조진웅, 김성균, 김영애</t>
  </si>
  <si>
    <t>감독: 사라 폴리
주연: 미셸 윌리엄스, 세스 로건, 루크 커비</t>
  </si>
  <si>
    <t>감독: 송해성
주연: 이나영, 강동원, 윤여정</t>
  </si>
  <si>
    <t>감독: 三木孝浩
주연: 이쿠타 토마, 요시타카 유리코, 高岡蒼佑</t>
  </si>
  <si>
    <t>감독: 마이크 밀스
주연: 아네트 베닝, 엘르 패닝, 그레타 거윅</t>
  </si>
  <si>
    <t>감독: Stephen Herek
주연: Johnny Berchtold, 롭 로, Kimberly Williams-Paisley</t>
  </si>
  <si>
    <t>감독: Yvan Attal
주연: Yvan Attal, 샤를로트 갱스부르, Eric Ruf</t>
  </si>
  <si>
    <t>감독: Simon Curtis
주연: 헬렌 미렌, 라이언 레이놀즈, 타티아나 마슬라니</t>
  </si>
  <si>
    <t>감독: James Watkins
주연: 다니엘 래드클리프, 키어런 하인즈, 자넷 맥티어</t>
  </si>
  <si>
    <t>감독: 조 라이트
주연: 에이미 아담스, 게리 올드만, 안소니 마키</t>
  </si>
  <si>
    <t>감독: Simon Stone
주연: 키이라 나이틀리, 가이 피어스, 데이비드 아잘라</t>
  </si>
  <si>
    <t>감독: 羽住英一郎
주연: 이토 히데아키, 加藤あい, 佐藤隆太</t>
  </si>
  <si>
    <t>감독: 이수진
주연: 한석규, 설경구, 천우희</t>
  </si>
  <si>
    <t>감독: 이한
주연: 김희애, 고아성, 김유정</t>
  </si>
  <si>
    <t>감독: 榊英雄
주연: 林遼威, 高橋克典, 哀川翔</t>
  </si>
  <si>
    <t>감독: 이시카와 케이
주연: 츠마부키 사토시, 미츠시마 히카리, 코이데 케이스케</t>
  </si>
  <si>
    <t>감독: 크리스티안 페촐트
주연: 폴라 비어, 프란츠 로고프스키, Maryam Zaree</t>
  </si>
  <si>
    <t>감독: Ichiki Masae, Yoshi Ishizuka
주연: 하라다 토모요, 사이토 타쿠미, 야마구치 사야카</t>
  </si>
  <si>
    <t>감독: 라이 루소영
주연: 야라 샤히디, 찰스 멜튼, Hill Harper</t>
  </si>
  <si>
    <t>감독: Antonin Baudry
주연: 프랑수아 시빌, 오마르 시, 마티외 카소비츠</t>
  </si>
  <si>
    <t>감독: 장자크 아르노
주연: 풍소봉, 窦骁, Ankhnyam Ragchaa</t>
  </si>
  <si>
    <t>감독: 존 왓츠
주연: 조지 클루니, 브래드 피트, 오스틴 에이브럼스</t>
  </si>
  <si>
    <t>감독: Alex Kendrick
주연: Karen Abercrombie, Priscilla C. Shirer, T.C. Stallings</t>
  </si>
  <si>
    <t>감독: David Michôd
주연: 브래드 피트, Anthony Michael Hall, 에모리 코헨</t>
  </si>
  <si>
    <t>감독: Tim Hill
주연: 로버트 드 니로, 우마 서먼, Rob Riggle</t>
  </si>
  <si>
    <t>감독: Gavin O'Connor
주연: 조엘 에저튼, 톰 하디, 닉 놀티</t>
  </si>
  <si>
    <t>감독: Sara Colangelo
주연: 마이클 키튼, 에이미 라이언, 스탠리 투치</t>
  </si>
  <si>
    <t>감독: Steven Brill
주연: 엘리자베스 뱅크스, 제임스 마스던, 질리언 제이컵스</t>
  </si>
  <si>
    <t>감독: Adam Shankman
주연: 맨디 무어, Shane West, 피터 코요테</t>
  </si>
  <si>
    <t>감독: 데이비드 에이어
주연: 제이슨 스타뎀, 제이슨 플레밍, Merab Ninidze</t>
  </si>
  <si>
    <t>감독: 러셀 크로우
주연: 러셀 크로우, 올가 쿠릴렌코, Yılmaz Erdoğan</t>
  </si>
  <si>
    <t>감독: 矢口史靖
주연: 츠마부키 사토시, 타마키 히로시, 타케나카 나오토</t>
  </si>
  <si>
    <t>감독: 스티븐 스필버그
주연: 제레미 어바인, 피터 뮬런, 에밀리 왓슨</t>
  </si>
  <si>
    <t>감독: 폴 토마스 앤더슨
주연: 레오나르도 디카프리오, 숀 펜, 체이스 인피니티</t>
  </si>
  <si>
    <t>감독: Jean-François Richet
주연: 뱅상 카셀, 프랑수아 클루제, 알리스 이사즈</t>
  </si>
  <si>
    <t>감독: Stephen Chbosky
주연: 제이컵 트람블레이, 줄리아 로버츠, 오웬 윌슨</t>
  </si>
  <si>
    <t>감독: 패티 젠킨스
주연: 갤 가돗, 크리스 파인, 코니 닐센</t>
  </si>
  <si>
    <t>감독: Peter Werner
주연: 줄리 앤 에머리, Jennifer Esposito, Camryn Manheim</t>
  </si>
  <si>
    <t>감독: Angela Robinson
주연: 루크 에반스, 레베카 홀, 벨라 히스코트</t>
  </si>
  <si>
    <t>감독: Jo Won-hee
주연: 마동석, 김영광, 이유영</t>
  </si>
  <si>
    <t>감독: Kwon Chil-in
주연: 이민정, 이정진, 이광수</t>
  </si>
  <si>
    <t>감독: Lone Scherfig
주연: 앤 해서웨이, 짐 스터지스, 톰 마이슨</t>
  </si>
  <si>
    <t>감독: Yang Kyung-mo
주연: 임시완, 진구, 박병은</t>
  </si>
  <si>
    <t>감독: James Nunn
주연: 스콧 애드킨스, 애슐리 그린, 라이언 필립</t>
  </si>
  <si>
    <t>감독: 존 카니
주연: Glen Hansard, Markéta Irglová, Hugh Walsh</t>
  </si>
  <si>
    <t>감독: 세르조 레오네
주연: 로버트 드 니로, 제임스 우즈, 엘리자베스 맥거번</t>
  </si>
  <si>
    <t>229분</t>
  </si>
  <si>
    <t>감독: Michael McGowan
주연: 캠벨 스콧, 조슈아 잭슨, Liane Balaban</t>
  </si>
  <si>
    <t>감독: 데이비드 프랭클
주연: 제임스 코든, 알렉산드라 로치, 줄리 월터스</t>
  </si>
  <si>
    <t>감독: Daniel Barnz
주연: 비올라 데이비스, 메기 질렌할, 빙 레임스</t>
  </si>
  <si>
    <t>감독: 조너선 리브스만
주연: 에런 엑하트, 라몬 로드리게즈, Will Rothhaar</t>
  </si>
  <si>
    <t>감독: 마크 포스터
주연: 브래드 피트, Mireille Enos, דניאלה קרטס‎</t>
  </si>
  <si>
    <t>감독: 올리버 스톤
주연: 마이클 더글라스, 샤이아 라보프, 조쉬 브롤린</t>
  </si>
  <si>
    <t>감독: Tommy Wirkola
주연: 누미 라파스, 글렌 클로즈, 윌렘 대포</t>
  </si>
  <si>
    <t>감독: Hadi El Bagoury
주연: Maged El Kedwany, Amr Youssef, أحمد مالك</t>
  </si>
  <si>
    <t>감독: Stephen Chbosky
주연: 로건 러먼, 엠마 왓슨, 에즈라 밀러</t>
  </si>
  <si>
    <t>감독: 고어 버빈스키
주연: 니콜라스 케이지, 마이클 케인, 호프 데이비스</t>
  </si>
  <si>
    <t>감독: Kwon Hyung-jin
주연: 송윤아, 김향기, 김명국</t>
  </si>
  <si>
    <t>감독: Kristian Levring
주연: 매즈 미켈슨, 에바 그린, 제프리 딘 모건</t>
  </si>
  <si>
    <t>감독: 조나단 놀란, 리사 조이
주연: 에반 레이첼 우드, 탠디 뉴턴, 제프리 라이트</t>
  </si>
  <si>
    <t>감독: Amma Asante
주연: 아만들라 스텐버그, 조지 맥케이, 에비 코니쉬</t>
  </si>
  <si>
    <t>감독: 자움 발라구에로
주연: 프레디 하이모어, 아스트리드 베르제프리스베, Jose Coronado</t>
  </si>
  <si>
    <t>감독: 松尾スズキ
주연: 우치다 유키, 宮藤官九郎, 아오이 유우</t>
  </si>
  <si>
    <t>감독: Jake Scott
주연: 크리스틴 스튜어트, 제임스 갠돌피니, 멜리사 레오</t>
  </si>
  <si>
    <t>감독: Rawson Marshall Thurber
주연: 제니퍼 애니스턴, 제이슨 수데이키스, 엠마 로버츠</t>
  </si>
  <si>
    <t>감독: Austen Taylor Pease
주연: Tudor Toca, Natalie Urelle, Iwan Noble</t>
  </si>
  <si>
    <t>감독: 바즈 루어만
주연: 레오나르도 디카프리오, 토비 맥과이어, 캐리 멀리건</t>
  </si>
  <si>
    <t>감독: 롤란트 에머리히
주연: 제이미 캠벨 바우어, 리스 이판, 데이비드 슐리스</t>
  </si>
  <si>
    <t>감독: 마이클 그레이시
주연: 휴 잭맨, 잭 에프론, 미셸 윌리엄스</t>
  </si>
  <si>
    <t>감독: Margaret Betts
주연: 토미 리 존스, 제이미 폭스, 저니 스몰렛</t>
  </si>
  <si>
    <t>감독: 스티브 맥퀸
주연: 비올라 데이비스, 미셸 로드리게즈, 엘리자베스 데비키</t>
  </si>
  <si>
    <t>감독: 글렌 피카라, John Requa
주연: 티나 페이, 마고 로비, 빌리 밥 손튼</t>
  </si>
  <si>
    <t>감독: 잭 브래프
주연: 잭 브래프, 케이트 허드슨, 조이 킹</t>
  </si>
  <si>
    <t>감독: Max Joseph
주연: 잭 에프론, 웨스 벤틀리, Emily Ratajkowski</t>
  </si>
  <si>
    <t>감독: 노아 바움백
주연: 벤 스틸러, 나오미 왓츠, 애덤 드라이버</t>
  </si>
  <si>
    <t>감독: Kim Farrant
주연: 레이튼 미스터, Christina Wolfe, Ziad Bakri</t>
  </si>
  <si>
    <t>감독: Gordon Parry
주연: Alastair Sim, Ronald Shiner, Claire Bloom</t>
  </si>
  <si>
    <t>감독: 데이미언 셔젤
주연: 마일스 텔러, J.K. 시몬스, 폴 라이저</t>
  </si>
  <si>
    <t>감독: 스티븐 프리어스
주연: 글렌 클로즈, 존 말코비치, 미셸 파이퍼</t>
  </si>
  <si>
    <t>감독: 션 더킨
주연: 주드 로, 캐리 쿤, Charlie Shotwell</t>
  </si>
  <si>
    <t>감독: 뤽 베송
주연: 로버트 드 니로, 미셸 파이퍼, 토미 리 존스</t>
  </si>
  <si>
    <t>감독: 테일러 쉐리던
주연: 제레미 레너, 엘리자베스 올슨, 길 버밍햄</t>
  </si>
  <si>
    <t>감독: 아키바 골즈먼
주연: 콜린 파렐, 제시카 브라운 핀들리, 러셀 크로우</t>
  </si>
  <si>
    <t>감독: Richard Sandler</t>
  </si>
  <si>
    <t>감독: 로만 폴란스키
주연: 이완 맥그리거, 피어스 브로스넌, 킴 캐트럴</t>
  </si>
  <si>
    <t>감독: 熊澤尚人
주연: 요시타카 유리코, 마츠자카 토리, 마츠야마 켄이치</t>
  </si>
  <si>
    <t>감독: 신수원
주연: 문근영, 김태훈, 서태화</t>
  </si>
  <si>
    <t>감독: 파올로 소렌티노
주연: 마이클 케인, 하비 카이텔, 레이첼 와이즈</t>
  </si>
  <si>
    <t>감독: George C. Wolfe
주연: 힐러리 스웽크, 에미 로섬, 조시 더멜</t>
  </si>
  <si>
    <t xml:space="preserve">감독: </t>
  </si>
  <si>
    <t>10부작</t>
  </si>
  <si>
    <t>감독: 표민수
주연: 손현주, 김명민, 김도훈</t>
  </si>
  <si>
    <t>감독: 브라이언 싱어
주연: Stephen Baldwin, 가브리엘 번, 베니시오 델 토로</t>
  </si>
  <si>
    <t>감독: Yoon Jae-geun
주연: 윤계상, 박용우, 임지연</t>
  </si>
  <si>
    <t>감독: Mark O'Rowe
주연: 킬리언 머피, Eva Birthistle, Catherine Walker</t>
  </si>
  <si>
    <t>감독: 박규태
주연: 고경표, 이이경, 음문석</t>
  </si>
  <si>
    <t>감독: Lim Dae-hyung
주연: 김희애, 나카무라 유코, 김소혜</t>
  </si>
  <si>
    <t>감독: 정지우
주연: 박해일, 김무열, 김고은</t>
  </si>
  <si>
    <t>감독: 장철수
주연: 김수현, 박기웅, 이현우</t>
  </si>
  <si>
    <t>감독: Yoon Jae-goo
주연: 임수정, 유연석, 이경영</t>
  </si>
  <si>
    <t>감독: 김대우
주연: 한석규, 김민정, 이범수</t>
  </si>
  <si>
    <t>감독: 로버트 레드포드
주연: 제임스 맥어보이, 로빈 라이트, 에반 레이첼 우드</t>
  </si>
  <si>
    <t>감독: Kim Jin-young
주연: 박하선, 윤상현, 임정은</t>
  </si>
  <si>
    <t>감독: 조너선 헨즐리
주연: 토머스 제인, 존 트래볼타, Will Patton</t>
  </si>
  <si>
    <t>감독: 손영성
주연: 하정우, 박희순, 장혁</t>
  </si>
  <si>
    <t>감독: D.J. Caruso
주연: 샤이아 라보프, 미셸 모나한, 로사리오 도슨</t>
  </si>
  <si>
    <t>감독: 댄 길로이
주연: 덴젤 워싱턴, 콜린 파렐, 카먼 이조고</t>
  </si>
  <si>
    <t>감독: Nicole Holofcener
주연: 줄리아 루이스 드레이퍼스, 제임스 갠돌피니, 캐서린 키너</t>
  </si>
  <si>
    <t>감독: 우디 앨런
주연: 호아킨 피닉스, 엠마 스톤, Jamie Blackley</t>
  </si>
  <si>
    <t>감독: 白石和彌
주연: 아오이 유우, 아베 사다오, 마츠자카 토리</t>
  </si>
  <si>
    <t>감독: 모튼 틸덤
주연: 베네딕트 컴버배치, 키이라 나이틀리, 매튜 구드</t>
  </si>
  <si>
    <t>감독: Dana Brown
주연: Marc Márquez, Robbie Maddison, Carlin Dunne</t>
  </si>
  <si>
    <t>감독: 石井裕也
주연: 츠마부키 사토시, 하라다 미에코, 이케마츠 소스케</t>
  </si>
  <si>
    <t>감독: Jalil Lespert
주연: 피에르 니네이, Guillaume Gallienne, Nikolai Kinski</t>
  </si>
  <si>
    <t>감독: Park Dong-hun
주연: 최민식, 김동휘, 박해준</t>
  </si>
  <si>
    <t>감독: John Erick Dowdle
주연: 오웬 윌슨, 레이크 벨, 스털링 제린스</t>
  </si>
  <si>
    <t>감독: Adam Robitel
주연: 테일러 러셀, 로건 밀러, 제이 엘리스</t>
  </si>
  <si>
    <t>감독: Adam Robitel
주연: 테일러 러셀, 로건 밀러, Indya Moore</t>
  </si>
  <si>
    <t>감독: Francis Annan
주연: 다니엘 래드클리프, 대니얼 웨버, 이안 하트</t>
  </si>
  <si>
    <t>감독: Mikael Håfström
주연: 실베스터 스탤론, 아놀드 슈왈제네거, 짐 커비즐</t>
  </si>
  <si>
    <t>감독: Jared Cohn
주연: Kelly McCart, Katrina Grey, Jared Cohn</t>
  </si>
  <si>
    <t>감독: 데이비드 크로넨버그
주연: 비고 모텐슨, 나오미 왓츠, 뱅상 카셀</t>
  </si>
  <si>
    <t>감독: 잘 배트매글리즈
주연: 브릿 말링, 알렉산더 스카스가드, 엘리엇 페이지</t>
  </si>
  <si>
    <t>감독: S.J. Chiro
주연: 톰 스커릿, 미라 소비노, Annie Gonzalez</t>
  </si>
  <si>
    <t>감독: Rick Roberts
주연: Mhairi Calvey, Chris Wilson, Laura Jean Marsh</t>
  </si>
  <si>
    <t>감독: Jennifer Fox
주연: 로라 던, Isabelle Nélisse, 엘리자베스 데비키</t>
  </si>
  <si>
    <t>감독: Simon Cellan Jones, Michaela Fereday
주연: 엠마 톰슨, Anne Reid, 로리 키니어</t>
  </si>
  <si>
    <t>감독: 클린트 이스트우드
주연: 와타나베 켄, 니노미야 카즈나리, 이하라 츠요시</t>
  </si>
  <si>
    <t>감독: Kim Hwi
주연: 김윤진, 김성균, 김새론</t>
  </si>
  <si>
    <t>감독: 이환경
주연: 정우, 오달수, 김희원</t>
  </si>
  <si>
    <t>감독: Peter Sullivan
주연: Emmanuelle Vaugier, Brian Krause, Cristine Prosperi</t>
  </si>
  <si>
    <t>감독: 曽利文彦
주연: 아야세 하루카, 쿠보즈카 요스케, 오오사와 타카오</t>
  </si>
  <si>
    <t>감독: Szász Attila
주연: Gera Marina, Csányi Sándor, Döbrösi Laura</t>
  </si>
  <si>
    <t>감독: 클로이 자오
주연: 젬마 찬, 리차드 매든, 안젤리나 졸리</t>
  </si>
  <si>
    <t>감독: Song Yeon-hwa
주연: 한석규, 채원빈, 한예리</t>
  </si>
  <si>
    <t>감독: R. J. Cutler
주연: 클로이 그레이스 모레츠, Jamie Blackley, Liana Liberato</t>
  </si>
  <si>
    <t>감독: Gil Junger
주연: 제니퍼 러브 휴잇, Paul Nicholls, 톰 윌킨슨</t>
  </si>
  <si>
    <t>감독: Phil Volken
주연: 에이온 바일리, Bethany Joy Lenz, Mauricio Alemañy</t>
  </si>
  <si>
    <t>감독: Nir Paniry
주연: Sasha Roiz, Jenny Mollen, Dominic Bogart</t>
  </si>
  <si>
    <t>감독: Steven C. Miller
주연: 브루스 윌리스, 지나 카라노, Kellan Lutz</t>
  </si>
  <si>
    <t>감독: Simon West
주연: 실베스터 스탤론, 제이슨 스타뎀, 이연걸</t>
  </si>
  <si>
    <t>감독: 폴 와이츠
주연: 데니스 퀘이드, 토퍼 그레이스, 스칼렛 요한슨</t>
  </si>
  <si>
    <t>감독: Luke Sullivan
주연: Sarah Houbolt, Robin Queree, Aldo Fedato</t>
  </si>
  <si>
    <t>감독: Robert Lorenz
주연: 리암 니슨, 케리 콘돈, 키어런 하인즈</t>
  </si>
  <si>
    <t>감독: Eugene Jarecki
주연: Eugene Jarecki, 조 바이든, 조지 H. W. 부시</t>
  </si>
  <si>
    <t>감독: 토머스 스터버
주연: 프란츠 로고프스키, 산드라 휠러, 페터 쿠르트</t>
  </si>
  <si>
    <t>감독: 수잔 비에르
주연: 미카엘 페르스브란트, Trine Dyrholm, Ulrich Thomsen</t>
  </si>
  <si>
    <t>감독: Brin Hill
주연: 조이 카잔, Michael Stahl-David, 니키 리드</t>
  </si>
  <si>
    <t>감독: Kim Ji-hye, 허진호
주연: 전도연, 류준열, 박병은</t>
  </si>
  <si>
    <t>감독: 김대우
주연: 송승헌, 임지연, 조여정</t>
  </si>
  <si>
    <t>감독: 영국 BBC</t>
  </si>
  <si>
    <t>다큐</t>
  </si>
  <si>
    <t>4부작</t>
  </si>
  <si>
    <t>감독: 제임스 맨골드
주연: 해리슨 포드, 피비 월러브리지, 매즈 미켈슨</t>
  </si>
  <si>
    <t>감독: 롤란트 에머리히
주연: 리암 헴스워스, 제프 골드블룸, Jessie T. Usher</t>
  </si>
  <si>
    <t>감독: Oliver Hirschbiegel
주연: 니콜 키드먼, 다니엘 크레이그, Jackson Bond</t>
  </si>
  <si>
    <t>감독: 오리올 파울로
주연: Mario Casas, Ana Wagener, Jose Coronado</t>
  </si>
  <si>
    <t>감독: Leigh Whannell
주연: 엘리자베스 모스, 알디스 호지, 스톰 리드</t>
  </si>
  <si>
    <t>감독: Ericson Core
주연: 마크 월버그, 그렉 키니어, 엘리자베스 뱅크스</t>
  </si>
  <si>
    <t>감독: Laurent Tuel
주연: 장 르노, 가스파르 울리엘, Vahina Giocante</t>
  </si>
  <si>
    <t>감독: 스파이크 리
주연: 덴젤 워싱턴, 클라이브 오웬, 조디 포스터</t>
  </si>
  <si>
    <t>감독: 스티븐 모팻
주연: 데이비드 테넌트, 스탠리 투치, Dolly Wells</t>
  </si>
  <si>
    <t>감독: 장이머우
주연: 葛优, 공리, 牛犇</t>
  </si>
  <si>
    <t>감독: Liu Jiangjiang
주연: 朱一龙, 杨恩又, Wang Ge</t>
  </si>
  <si>
    <t>감독: 로베르토 베니니
주연: 로베르토 베니니, 니콜레타 브라스키, 조르지오 깐따리니</t>
  </si>
  <si>
    <t>감독: 샤론 머과이어
주연: 이완 맥그리거, 미셸 윌리엄스, 매튜 맥패디언</t>
  </si>
  <si>
    <t>감독: 크리스토퍼 놀란
주연: 레오나르도 디카프리오, 조셉 고든레빗, 와타나베 켄</t>
  </si>
  <si>
    <t>감독: Sean Anders
주연: 마크 월버그, 로즈 번, Allyn Rachel</t>
  </si>
  <si>
    <t>감독: 크리스토퍼 놀란
주연: 알 파치노, 로빈 윌리엄스, 힐러리 스웽크</t>
  </si>
  <si>
    <t>감독: 堤幸彦
주연: 시노하라 료코, 니시지마 히데토시, 稲垣来泉</t>
  </si>
  <si>
    <t>감독: 필감성
주연: 황정민, 김재범, 이유미</t>
  </si>
  <si>
    <t>감독: 앤드류 니콜
주연: 저스틴 팀버레이크, 아만다 사이프리드, 킬리언 머피</t>
  </si>
  <si>
    <t>감독: David Marconi
주연: 로슈디 젬, 제이미 알렉산더, 프랭크 그릴로</t>
  </si>
  <si>
    <t>감독: Matthew Reilly
주연: 엘사 파타키, 루크 브레이시, Aaron Glenane</t>
  </si>
  <si>
    <t>감독: 크리스토퍼 놀란
주연: 매튜 매커너히, 앤 해서웨이, 마이클 케인</t>
  </si>
  <si>
    <t>감독: 시드니 폴락
주연: 니콜 키드먼, 숀 펜, 캐서린 키너</t>
  </si>
  <si>
    <t>감독: 낸시 마이어스
주연: 로버트 드 니로, 앤 해서웨이, 르네 루소</t>
  </si>
  <si>
    <t>감독: 숀 레비
주연: 빈스 본, 오웬 윌슨, 로즈 번</t>
  </si>
  <si>
    <t>감독: Steven Quale
주연: 리차드 아미티지, Sarah Wayne Callies, 맷 월쉬</t>
  </si>
  <si>
    <t>감독: Petter Næss
주연: Stig Henrik Hoff, Lachlan Nieboer, 루퍼트 그린트</t>
  </si>
  <si>
    <t>감독: 론 하워드
주연: 톰 행크스, 펠리시티 존스, 오마르 시</t>
  </si>
  <si>
    <t>감독: 안톤 후쿠아
주연: 마크 월버그, 치웨텔 에지오포, 소피 쿡슨</t>
  </si>
  <si>
    <t>감독: 마우고시카 슈모프스카
주연: 나오미 왓츠, 빌리 하울, 데니스 오헤어</t>
  </si>
  <si>
    <t>감독: Vaughn Stein
주연: 릴리 콜린스, 사이먼 페그, 코니 닐센</t>
  </si>
  <si>
    <t>감독: 진덕삼
주연: 견자단, 양채니, 왕보강</t>
  </si>
  <si>
    <t>감독: Marc Rocco
주연: 크리스찬 슬레이터, 케빈 베이컨, 게리 올드만</t>
  </si>
  <si>
    <t>감독: 김기덕
주연: 마동석, 김영민, 이이경</t>
  </si>
  <si>
    <t>감독: Shari Springer Berman, Robert Pulcini
주연: 에단 호크, 에이사 버터필드, 에밀리 모티머</t>
  </si>
  <si>
    <t>감독: Simon Wincer
주연: Chantal Contouri, Robert Bruning, 시그리드 쏜톤 분</t>
  </si>
  <si>
    <t>감독: Anant Balani
주연: Rahul Bose, Nandita Das, Vinit Kumar</t>
  </si>
  <si>
    <t>감독: 박찬욱
주연: 유해진, 김옥빈, 박정민</t>
  </si>
  <si>
    <t>감독: 村上正典
주연: 카와구치 하루나, 야마자키 켄토, 松尾太陽</t>
  </si>
  <si>
    <t>감독: Moon Hyun-sung
주연: 이선균, 안재홍, 김희원</t>
  </si>
  <si>
    <t>감독: 三木孝浩
주연: 아라가키 유이, 키무라 후미노, 키리타니 켄타</t>
  </si>
  <si>
    <t>감독: 크레이그 지스크
주연: 줄리앤 무어, 마이클 안가라노, 그렉 키니어</t>
  </si>
  <si>
    <t>감독: Yoon Jong-seok
주연: 소지섭, 김윤진, 나나</t>
  </si>
  <si>
    <t>감독: 권종관, 이정효
주연: 전도연, 김고은, 박해수</t>
  </si>
  <si>
    <t>감독: 이준익
주연: 설경구, 변요한, 이정은</t>
  </si>
  <si>
    <t>감독: Kim Yoo-sung
주연: 비, 강소라, 이범수</t>
  </si>
  <si>
    <t>감독: 로넌 베넷
주연: 에디 레드메인, 라샤나 린치, Eleanor Matsuura</t>
  </si>
  <si>
    <t>감독: 플로리안 헨켈 폰 도너스마르크
주연: Tom Schilling, Sebastian Koch, 폴라 비어</t>
  </si>
  <si>
    <t>189분</t>
  </si>
  <si>
    <t>감독: 타키모토 토모유키
주연: 岩田剛典, 야마모토 미즈키, 사이토 타쿠미</t>
  </si>
  <si>
    <t>감독: 그레타 거윅
주연: 시얼샤 로넌, 엠마 왓슨, 플로렌스 퓨</t>
  </si>
  <si>
    <t>감독: William F. Claxton
주연: Melissa Gilbert, Michael Landon, Karen Grassle</t>
  </si>
  <si>
    <t>감독: Franklin J. Schaffner
주연: 찰턴 헤스턴, Roddy McDowall, 킴 헌터</t>
  </si>
  <si>
    <t>감독: 브라이언 싱어
주연: 톰 크루즈, 케네스 브래너, 빌 나이</t>
  </si>
  <si>
    <t>감독: 팀 버튼
주연: 조니 뎁, 크리스티나 리치, 미란다 리처드슨</t>
  </si>
  <si>
    <t>감독: Olga Land
주연: Ольга Фадеева, Елена Захарова, Себастьян Сисак</t>
  </si>
  <si>
    <t>감독: Matt Angel, Suzanne Coote
주연: 케이트 시걸, Jason O'Mara, Dulé Hill</t>
  </si>
  <si>
    <t>감독: Julian Schnabel
주연: 마티유 아말릭, Emmanuelle Seigner, Marie-Josée Croze</t>
  </si>
  <si>
    <t>감독: 조은지
주연: 류승룡, 오나라, 김희원</t>
  </si>
  <si>
    <t>감독: 허정
주연: 염정아, 박혁권, 허진</t>
  </si>
  <si>
    <t>감독: 강제규
주연: 박근형, 윤여정, 조진웅</t>
  </si>
  <si>
    <t>감독: 칼톤 쿠즈, John Ridley
주연: 베라 파미가, Cherry Jones, Cornelius Smith, Jr.</t>
  </si>
  <si>
    <t>감독: Kim Tae-yun
주연: 정우, 강하늘, 김해숙</t>
  </si>
  <si>
    <t>감독: 할리 베리
주연: 할리 베리, 아단 칸토, Sheila Atim</t>
  </si>
  <si>
    <t>감독: 케네스 브래너
주연: 크리스 파인, 키이라 나이틀리, 케빈 코스트너</t>
  </si>
  <si>
    <t>감독: 크리스토퍼 맥쿼리
주연: 톰 크루즈, 로저먼드 파이크, 리처드 젠킨스</t>
  </si>
  <si>
    <t>감독: 에드워드 즈윅
주연: 톰 크루즈, 코비 스멀더스, Danika Yarosh</t>
  </si>
  <si>
    <t>감독: David Kerr
주연: 로완 앳킨슨, 올가 쿠릴렌코, 벤 밀러</t>
  </si>
  <si>
    <t>감독: 덴젤 워싱턴
주연: 마이클 B. 조던, Chanté Adams, Jalon Christian</t>
  </si>
  <si>
    <t>감독: Saul Dibb
주연: 에이사 버터필드, 샘 클라플린, 폴 베타니</t>
  </si>
  <si>
    <t>감독: Mark Waters
주연: 리즈 위더스푼, 마크 러팔로, Donal Logue</t>
  </si>
  <si>
    <t>감독: Christopher S. Clark, Patrick Henry Parker
주연: Henry Ian Cusick, 브렌다 바카로, Sam Sorbo</t>
  </si>
  <si>
    <t>감독: 데스틴 대니얼 크레턴
주연: 마이클 B. 조던, 브리 라슨, 제이미 폭스</t>
  </si>
  <si>
    <t>감독: Lauren Montgomery
주연: 케빈 콘로이, Tim Daly, Susan Eisenberg</t>
  </si>
  <si>
    <t>감독: Joseph Ruben
주연: 줄리아 로버츠, Patrick Bergin, Kevin Anderson</t>
  </si>
  <si>
    <t>감독: 김상만
주연: 강동원, 박정민, 차승원</t>
  </si>
  <si>
    <t>감독: 岡下慶仁, 岸善幸
주연: 아리무라 카스미, 이시바시 시즈카, 大東駿介</t>
  </si>
  <si>
    <t>감독: 이종필
주연: 김인권, 류현경, 김수미</t>
  </si>
  <si>
    <t>감독: 이수성
주연: Ha Na-kyeong, Kwak Hyun-hwa, Oh Seong-tae</t>
  </si>
  <si>
    <t>감독: 강우석
주연: 황정민, 유준상, 윤제문</t>
  </si>
  <si>
    <t>감독: Jimmy Keyrouz
주연: Tarek Yaacoub, رولا بقسماتي, Mounir Maasri</t>
  </si>
  <si>
    <t>감독: Robert Walak, Faith Penhale
주연: 폴 다노, 릴리 제임스, 제임스 모튼</t>
  </si>
  <si>
    <t>감독: 브라이언 드 팔마
주연: 마이클 J. 폭스, 숀 펜, Don Harvey</t>
  </si>
  <si>
    <t>감독: 武内英樹
주연: 伊東美咲, 伊藤淳史, 白石美帆</t>
  </si>
  <si>
    <t>감독: 신정원
주연: 김수로, 강예원, 이제훈</t>
  </si>
  <si>
    <t>감독: Greg McLean
주연: 다니엘 래드클리프, Alex Russell, 토마스 크레치만</t>
  </si>
  <si>
    <t>감독: Jaume Collet-Serra
주연: 드웨인 존슨, 에밀리 블런트, 에드가 라미레즈</t>
  </si>
  <si>
    <t>감독: Wolfgang Reitherman
주연: Bruce Reitherman, Phil Harris, Sebastian Cabot</t>
  </si>
  <si>
    <t>감독: Jang Yoo-jung
주연: 라미란, 김무열, 나문희</t>
  </si>
  <si>
    <t>감독: Belal Haidar</t>
  </si>
  <si>
    <t>감독: 빌 콘돈
주연: 베네딕트 컴버배치, 다니엘 브륄, 안소니 마키</t>
  </si>
  <si>
    <t>감독: 자코 반 도르말
주연: Daniel Auteuil, Pascal Duquenne, 미우미우</t>
  </si>
  <si>
    <t>감독: Kim Tae-hyoung
주연: 이성민, 남다름, 박해준</t>
  </si>
  <si>
    <t>감독: 中村義洋
주연: 타케우치 유코, 아베 히로시, 사카이 마사토</t>
  </si>
  <si>
    <t>감독: Philipp Kadelbach
주연: Volker Bruch, Tom Schilling, Katharina Schüttler</t>
  </si>
  <si>
    <t>감독: 마이클 윈터바텀
주연: 콜린 퍼스, Perla Haney-Jardine, 호프 데이비스</t>
  </si>
  <si>
    <t>감독: 캐스린 비글로
주연: 제시카 차스테인, 제이슨 클라크, 카일 챈들러</t>
  </si>
  <si>
    <t>감독: Eric Newman, Noah Oppenheim
주연: 로버트 드 니로, 제시 플레먼스, 리지 캐플런</t>
  </si>
  <si>
    <t>감독: 이누도 잇신
주연: 히로스에 료코, 나카타니 미키, 기무라 다에</t>
  </si>
  <si>
    <t>감독: 데이비드 프랭클
주연: 브라이언 크랜스턴, 아네트 베닝, 레인 윌슨</t>
  </si>
  <si>
    <t>감독: 大九明子
주연: 마츠오카 마유, 渡辺大知, 이시바시 안나</t>
  </si>
  <si>
    <t>감독: 이안
주연: 윌 스미스, 메리 엘리자베스 윈스테드, 클라이브 오웬</t>
  </si>
  <si>
    <t>감독: 노아 바움백
주연: 조지 클루니, 애덤 샌들러, 로라 던</t>
  </si>
  <si>
    <t>감독: David M. Rosenthal
주연: 아비게일 브레스린, 알렉산드로 니볼라, 엘리자베스 슈</t>
  </si>
  <si>
    <t>감독: 폴 그린그래스
주연: 맷 데이먼, 토미 리 존스, 알리시아 비칸데르</t>
  </si>
  <si>
    <t>감독: Peter Kassovitz
주연: 로빈 윌리엄스, 리에브 슈라이버, Hannah Taylor-Gordon</t>
  </si>
  <si>
    <t>감독: 캐리 조지 후쿠나가
주연: 미아 바시코프스카, 마이클 패스벤더, 제이미 벨</t>
  </si>
  <si>
    <t>감독: 가이 리치
주연: 매튜 매커너히, 찰리 허냄, 미셸 도커리</t>
  </si>
  <si>
    <t>감독: 가이 리치
주연: 테오 제임스, 카야 스코델라리오, 다니엘 잉스</t>
  </si>
  <si>
    <t>감독: 데이비드 고든 그린
주연: 니콜라스 케이지, 타이 셰리던, Ronnie Gene Blevins</t>
  </si>
  <si>
    <t>감독: 中野量太
주연: 아오이 유우, 타케우치 유코, 松原智恵子</t>
  </si>
  <si>
    <t>감독: Noh Young-seok
주연: 전석호, 오태경, 최무성</t>
  </si>
  <si>
    <t>감독: 김석윤
주연: 김명민, 오달수, 이연희</t>
  </si>
  <si>
    <t>감독: 김석윤
주연: 김명민, 오달수, 한지민</t>
  </si>
  <si>
    <t>감독: 김석윤
주연: 김명민, 오달수, 김지원</t>
  </si>
  <si>
    <t>감독: 데이비드 O. 러셀
주연: 제니퍼 로렌스, 로버트 드 니로, 브래들리 쿠퍼</t>
  </si>
  <si>
    <t>감독: 타무라 코타로
주연: 나카가와 타이시, 키요하라 카야, 미야모토 유메</t>
  </si>
  <si>
    <t>감독: 타이카 와이티티
주연: 로먼 그리핀 데이비스, 토마신 맥켄지, 스칼렛 요한슨</t>
  </si>
  <si>
    <t>감독: 크리스토프 발츠
주연: 크리스토프 발츠, 아네트 베닝, 바네사 레드그레이브</t>
  </si>
  <si>
    <t>감독: 토드 필립스
주연: 호아킨 피닉스, 로버트 드 니로, 재지 비츠</t>
  </si>
  <si>
    <t>감독: Florian Gallenberger
주연: Ulrich Tukur, Dagmar Manzel, 스티브 부세미</t>
  </si>
  <si>
    <t>감독: 조나단 글레이저
주연: 크리스티안 프리에델, 산드라 휠러, Johann Karthaus</t>
  </si>
  <si>
    <t>감독: 채드 스타헬스키
주연: 키아누 리브스, 미카엘 니크비스트, 알피 앨런</t>
  </si>
  <si>
    <t>감독: 수오 마사유키
주연: 草刈民代, 야쿠쇼 코지, 아사노 타다노부</t>
  </si>
  <si>
    <t>감독: 요시다 다이하치
주연: 미야자와 리에, 이케마츠 소스케, 田辺誠一</t>
  </si>
  <si>
    <t>감독: Koh Hoon
주연: 안성기, 유진, 김혜성</t>
  </si>
  <si>
    <t>감독: Álex Pina
주연: 우르술라 코르베로, Itziar Ituño, 알바로 모르테</t>
  </si>
  <si>
    <t>주연: 우르술라 코르베로, 알바로 모르테, Itziar Ituño</t>
  </si>
  <si>
    <t>감독: Kwon Hyuk-chan
주연: 소지섭, 김지원, 이종혁</t>
  </si>
  <si>
    <t>감독: 김지운
주연: 송강호, 이병헌, 정우성</t>
  </si>
  <si>
    <t>감독: Rupert Goold
주연: 르네 젤위거, 제시 버클리, 핀 위트록</t>
  </si>
  <si>
    <t>감독: 룰루 왕
주연: 니콜 키드먼, Sarayu Blue, 유지영</t>
  </si>
  <si>
    <t>감독: Niki Caro
주연: 제시카 차스테인, 다니엘 브륄, Johan Heldenbergh</t>
  </si>
  <si>
    <t>감독: 피터 위어
주연: 로빈 윌리엄스, Robert Sean Leonard, 에단 호크</t>
  </si>
  <si>
    <t>감독: SK Dale
주연: 메간 폭스, Eoin Macken, 어멜 아민</t>
  </si>
  <si>
    <t>감독: 水田伸生
주연: 이노우에 마오, 마츠자카 케이코, 타마야마 테츠지</t>
  </si>
  <si>
    <t>감독: Nora Ephron
주연: 메릴 스트립, 에이미 아담스, 스탠리 투치</t>
  </si>
  <si>
    <t>감독: Guillem Morales
주연: Belén Rueda, Lluís Homar, Pablo Derqui</t>
  </si>
  <si>
    <t>감독: Mark Herman
주연: 에이사 버터필드, 베라 파미가, 데이비드 슐리스</t>
  </si>
  <si>
    <t>감독: Lee Do-yoon
주연: 주지훈, 추영우, 하영</t>
  </si>
  <si>
    <t>감독: 콜린 트레보로
주연: 크리스 프랫, 브라이스 댈러스 하워드, 이르판 칸</t>
  </si>
  <si>
    <t>감독: 콜린 트레보로
주연: 크리스 프랫, 브라이스 댈러스 하워드, 로라 던</t>
  </si>
  <si>
    <t>감독: 가랫 에드워즈
주연: 스칼렛 요한슨, 마허샬라 알리, 조나단 베일리</t>
  </si>
  <si>
    <t>감독: 후안 안토니오 바요나
주연: 크리스 프랫, 브라이스 댈러스 하워드, 레이프 스폴</t>
  </si>
  <si>
    <t>감독: Jake Kasdan
주연: 드웨인 존슨, 케빈 하트, 잭 블랙</t>
  </si>
  <si>
    <t>감독: Garth Davis
주연: 루니 마라, 호아킨 피닉스, 치웨텔 에지오포</t>
  </si>
  <si>
    <t>감독: 존 터투로
주연: 존 터투로, 우디 앨런, Vanessa Paradis</t>
  </si>
  <si>
    <t>감독: 비간
주연: 탕웨이, 황각, 장애가</t>
  </si>
  <si>
    <t>감독: Lee Jang-hoon
주연: 소지섭, 손예진, Kim Ji-hwan</t>
  </si>
  <si>
    <t>감독: 도이 노부히로
주연: 타케우치 유코, 나카무라 시도, 武井証</t>
  </si>
  <si>
    <t>감독: Boo Ji-young
주연: 공효진, 신민아, 추귀정</t>
  </si>
  <si>
    <t>감독: Michael Grandage
주연: 콜린 퍼스, 주드 로, 니콜 키드먼</t>
  </si>
  <si>
    <t>감독: 켄 로치
주연: Barry Ward, 시몬 커비, Jim Norton</t>
  </si>
  <si>
    <t>감독: 이수연
주연: 주지훈, 한효주, 이희준</t>
  </si>
  <si>
    <t>감독: 피터 패럴리
주연: 잭 에프론, 러셀 크로우, 카일 앨런</t>
  </si>
  <si>
    <t>감독: 아미르 칸
주연: Darsheel Safary, 아미르 칸, Tisca Chopra</t>
  </si>
  <si>
    <t>감독: 딘 데블린
주연: 제라드 버틀러, 알렉산드라 마리아 라라, 짐 스터지스</t>
  </si>
  <si>
    <t>감독: 연상호, 최규석
주연: 김성철, 김현주, 김신록</t>
  </si>
  <si>
    <t>드라마, 판타지, 스릴러</t>
  </si>
  <si>
    <t>감독: 프랜시스 포드 코폴라
주연: 마틴 쉰, 말론 브란도, Frederic Forrest</t>
  </si>
  <si>
    <t>감독: David Guggenheim
주연: 키퍼 서덜랜드, 매기 큐, 칼 펜</t>
  </si>
  <si>
    <t>감독: Tae-heui Kim
주연: 지진희, 허준호, 이준혁</t>
  </si>
  <si>
    <t>감독: 若松節朗
주연: 와타나베 켄, 스즈키 쿄카, 쿠사부에 미츠코</t>
  </si>
  <si>
    <t>202분</t>
  </si>
  <si>
    <t>감독: Kim Yong-hoon
주연: 전도연, 정우성, 배성우</t>
  </si>
  <si>
    <t>감독: 篠原哲雄
주연: 츠츠미 신이치, 오오사와 타카오, 岡本綾</t>
  </si>
  <si>
    <t>감독: 장이머우
주연: 크리스찬 베일, 예니, 佟大为</t>
  </si>
  <si>
    <t>감독: 샐리 포터
주연: 엘르 패닝, Alice Englert, 크리스티나 헨드릭스</t>
  </si>
  <si>
    <t>감독: 마이클 베이
주연: 벤 애플렉, 케이트 베킨세일, 조쉬 하트넷</t>
  </si>
  <si>
    <t>183분</t>
  </si>
  <si>
    <t>감독: 고레에다 히로카즈
주연: 前田航基, 前田旺志郎, 大塚寧々</t>
  </si>
  <si>
    <t>감독: Lee Sang-min
주연: 이선, Im Hak-soon</t>
  </si>
  <si>
    <t>감독: Park Je-bum
주연: 이유영, 강신일, 공민정</t>
  </si>
  <si>
    <t>감독: 李闘士男
주연: 에이쿠라 나나, 야스다 켄, 오타니 료헤이</t>
  </si>
  <si>
    <t>감독: 방은진
주연: 전도연, 고수, Kang Ji-woo</t>
  </si>
  <si>
    <t>감독: 장이머우
주연: 장쯔이, Zheng Hao, Yulian Zhao</t>
  </si>
  <si>
    <t>감독: Jin Ho Choi
주연: 조재현, 윤계상, 박인환</t>
  </si>
  <si>
    <t>감독: 한종훈
주연: 김희정, 서태화, 서은아</t>
  </si>
  <si>
    <t>감독: 미이케 다카시
주연: 마츠시마 나나코, 후지와라 타츠야, 오오사와 타카오</t>
  </si>
  <si>
    <t>감독: Kim Joung-hoon
주연: 이선균, 최강희, 오정세</t>
  </si>
  <si>
    <t>감독: Kim Kwang-sik
주연: 김강우, 정진영, 고창석</t>
  </si>
  <si>
    <t>감독: 로만 폴란스키
주연: 잭 니콜슨, 페이 더너웨이, 존 휴스턴</t>
  </si>
  <si>
    <t>감독: 성룡
주연: 성룡, 姚星彤, 권상우</t>
  </si>
  <si>
    <t>감독: 줄리안 파리노
주연: 베네딕트 컴버배치, 켈리 맥도널드, 스티븐 캠벨 무어</t>
  </si>
  <si>
    <t>감독: 다니엘 에스피노사
주연: 톰 하디, 게리 올드만, 누미 라파스</t>
  </si>
  <si>
    <t>감독: 김초희
주연: 강말금, 윤여정, 김영민</t>
  </si>
  <si>
    <t>감독: 마이크 니콜스
주연: 톰 행크스, 줄리아 로버츠, 필립 세이모어 호프만</t>
  </si>
  <si>
    <t>감독: Fredrik Bond
주연: 샤이아 라보프, 에반 레이첼 우드, 매즈 미켈슨</t>
  </si>
  <si>
    <t>감독: 김성훈
주연: 현빈, 장동건, 조우진</t>
  </si>
  <si>
    <t>감독: Felix Herngren
주연: Robert Gustafsson, Iwar Wiklander, David Wiberg</t>
  </si>
  <si>
    <t>감독: Lee Deok-hui
주연: 임창정, 안내상, 정성화</t>
  </si>
  <si>
    <t>감독: Cho Young-jun
주연: 고두심, 김성균, 유선</t>
  </si>
  <si>
    <t>감독: Brian Percival
주연: 제프리 러쉬, 소피 넬리스, 에밀리 왓슨</t>
  </si>
  <si>
    <t>감독: 루카 구아다니노
주연: 젠데이아, 마이크 파이스트, 조쉬 오코너</t>
  </si>
  <si>
    <t>감독: 김용완
주연: 마동석, 권율, 한예리</t>
  </si>
  <si>
    <t>감독: Randall Wallace
주연: 그렉 키니어, 켈리 라일리, Connor Corum</t>
  </si>
  <si>
    <t>감독: 新城毅彦
주연: 오오사와 타카오, 伊東美咲, 川島海荷</t>
  </si>
  <si>
    <t>감독: Makoto Kumazawa
주연: 아베 히로시, 미야우치 히토미, 美村里江</t>
  </si>
  <si>
    <t>감독: 長澤雅彦
주연: 加藤ローサ, 徳井義実, 河原さぶ</t>
  </si>
  <si>
    <t>감독: 篠原哲雄
주연: 타케우치 유코, 타마야마 테츠지, 香里奈</t>
  </si>
  <si>
    <t>감독: Min Joon-ki
주연: 박중훈, 김승우, 황정민</t>
  </si>
  <si>
    <t>감독: 대런 아로노프스키
주연: 휴 잭맨, 레이첼 와이즈, 앨런 버스틴</t>
  </si>
  <si>
    <t>감독: 허진호
주연: 최민식, 한석규, 신구</t>
  </si>
  <si>
    <t>감독: Erik Poppe
주연: 쥘리에트 비노쉬, 니콜라이 코스테르발다우, Lauryn Canny</t>
  </si>
  <si>
    <t>감독: 寒竹ゆり
주연: 사사키 노조미, 타니하라 쇼스케, 山本ひかる</t>
  </si>
  <si>
    <t>감독: Justin Chadwick
주연: 나탈리 포트만, 스칼렛 요한슨, 에릭 배너</t>
  </si>
  <si>
    <t>감독: Farhan Akhtar
주연: 샤 룩 칸, 프리양카 초프라, Boman Irani</t>
  </si>
  <si>
    <t>감독: 小林義則
주연: 타마키 히로시, 堂本光一, 카츠무라 마사노부</t>
  </si>
  <si>
    <t>감독: 이해준, 이해영
주연: 류덕환, 백윤식, 박영서</t>
  </si>
  <si>
    <t>감독: 降旗康男
주연: 타카쿠라 켄, 히로스에 료코, 요시오카 히데타카</t>
  </si>
  <si>
    <t>감독: 錦織良成
주연: 나카이 키이치, 高島礼子, 本仮屋ユイカ</t>
  </si>
  <si>
    <t>감독: 츠카하라 아유코
주연: 마츠 다카코, 마츠무라 호쿠토, 요시오카 리호</t>
  </si>
  <si>
    <t>감독: Vincent Fang
주연: 徐若瑄, 柯有倫, 释小龙</t>
  </si>
  <si>
    <t>감독: 김주환
주연: 박서준, 강하늘, 성동일</t>
  </si>
  <si>
    <t>감독: Ken Kwapis
주연: Amber Tamblyn, 알렉시스 블레델, 아메리카 페레라</t>
  </si>
  <si>
    <t>감독: Cheng Fenfen
주연: 펑위옌, 진의함, 진연희</t>
  </si>
  <si>
    <t>감독: 산제이 릴라 반살리
주연: 리틱 로샨, 아이쉬와라 라이, Shernaz Patel</t>
  </si>
  <si>
    <t>감독: James Kent
주연: 알리시아 비칸데르, 키트 해링턴, 태런 에저턴</t>
  </si>
  <si>
    <t>감독: Kim Hee-jung
주연: 박진희, 박지윤, 김정난</t>
  </si>
  <si>
    <t>감독: 크레이그 메이진
주연: 자레드 해리스, 스텔란 스카스가드, 에밀리 왓슨</t>
  </si>
  <si>
    <t>감독: David Dobkin
주연: 제이슨 베이트먼, 라이언 레이놀즈, 레슬리 맨</t>
  </si>
  <si>
    <t>감독: Ross Katz
주연: 벤자민 워커, 테레사 파머, 매기 그레이스</t>
  </si>
  <si>
    <t>감독: 라세 할스트룀
주연: 쥘리에트 비노쉬, 주디 덴치, 알프레드 몰리나</t>
  </si>
  <si>
    <t>감독: 나카무라 요시히로
주연: 니시키도 료, 토모사카 리에</t>
  </si>
  <si>
    <t>감독: Pawo Choyning Dorji
주연: Tandin Wangchuk, Tandin Sonam, Deki Lhamo</t>
  </si>
  <si>
    <t>부탄</t>
  </si>
  <si>
    <t>감독: Adrienne Acevedo Lovette
주연: Ella Jane New, Adrienne Acevedo Lovette</t>
  </si>
  <si>
    <t>감독: Phil Joanou
주연: 리처드 기어, 킴 베이싱어, 우마 서먼</t>
  </si>
  <si>
    <t>감독: 김한민
주연: 박해일, 문채원, 김무열</t>
  </si>
  <si>
    <t>감독: 杉田成道
주연: 야쿠쇼 코지, 사토 코이치, 미야우치 히토미</t>
  </si>
  <si>
    <t>감독: 쥐스틴 트리에
주연: 산드라 휠러, 스완 아를로, Milo Machado-Graner</t>
  </si>
  <si>
    <t>감독: 中村義洋
주연: 사카이 마사토, 鮎川誠, 미즈노 미키</t>
  </si>
  <si>
    <t>감독: 시드니 폴락
주연: 바브라 스트라이샌드, 로버트 레드포드, Bradford Dillman</t>
  </si>
  <si>
    <t>감독: 조지프 L. 맹키위츠
주연: 로렌스 올리비에, 마이클 케인</t>
  </si>
  <si>
    <t>감독: 노규엽
주연: 이범수, 연우진, 박혁권</t>
  </si>
  <si>
    <t>감독: 롭 라이너
주연: 우디 해럴슨, 제임스 마스던, 롭 라이너</t>
  </si>
  <si>
    <t>감독: 임권택
주연: 최민식, 김여진, 안성기</t>
  </si>
  <si>
    <t>감독: 平川雄一朗
주연: 마츠자카 토리, 키키 키린, 佐藤隆太</t>
  </si>
  <si>
    <t>감독: 佐々部清
주연: 미야자키 아오이, 사카이 마사토, 후키코시 미츠루</t>
  </si>
  <si>
    <t>감독: 가와이 하야토
주연: 히로세 스즈, 나카죠 아야미, 아마미 유키</t>
  </si>
  <si>
    <t>감독: Zara Hayes
주연: 다이앤 키튼, 재키 위버, Celia Weston</t>
  </si>
  <si>
    <t>감독: 신재호
주연: 임창정, 최다니엘</t>
  </si>
  <si>
    <t>감독: 中島悟
주연: 무카이 오사무, 타케우치 유코, 키리타니 미레이</t>
  </si>
  <si>
    <t>감독: 곽경택
주연: 유오성, 장동건</t>
  </si>
  <si>
    <t>감독: 곽경택
주연: 유오성, 주진모, 김우빈</t>
  </si>
  <si>
    <t>감독: 三島有紀子
주연: 아사노 타다노부, 다나카 레나, 테라지마 시노부</t>
  </si>
  <si>
    <t>감독: 유성엽
주연: 김해숙, 박진희, 조영진</t>
  </si>
  <si>
    <t>감독: Richard Eyre
주연: 엠마 톰슨, 스탠리 투치, 핀 화이트헤드</t>
  </si>
  <si>
    <t>감독: 마틴 스콜세지
주연: 앤드류 가필드, 애덤 드라이버, 리암 니슨</t>
  </si>
  <si>
    <t>감독: Xing Fei
주연: 손홍뢰, 곽부성, 余男</t>
  </si>
  <si>
    <t>감독: Sohn Won-pyung
주연: 김무열, 송지효, 예수정</t>
  </si>
  <si>
    <t>감독: Pierre Morel
주연: 케이트 베킨세일, 루퍼트 프렌드, Saffron Burrows</t>
  </si>
  <si>
    <t>감독: Carolina Moraes-Liu
주연: Gilberto Gil, Daniela Mercury, Armandinho</t>
  </si>
  <si>
    <t>감독: 오기가미 나오코
주연: 小林聡美, 카타기리 하이리, もたいまさこ</t>
  </si>
  <si>
    <t>감독: Ha Yoon-jae
주연: 박용우, 조은지, 현봉식</t>
  </si>
  <si>
    <t>감독: Marcos Siega
주연: 라이언 레이놀즈, 에밀리 모티머, Stuart Townsend</t>
  </si>
  <si>
    <t>감독: 리들리 스콧
주연: 마이클 패스벤더, 페넬로페 크루스, 카메론 디아즈</t>
  </si>
  <si>
    <t>감독: Stefan Ruzowitzky
주연: Karl Markovics, 아우구스트 딜, Devid Striesow</t>
  </si>
  <si>
    <t>감독: Justin Dec
주연: 엘리자베스 레일, Jordan Calloway, Talitha Eliana Bateman</t>
  </si>
  <si>
    <t>감독: Andy Goddard
주연: 패트릭 윌슨, 제시카 비엘, 헤일리 베넷</t>
  </si>
  <si>
    <t>감독: 강윤성
주연: 최민식, 손석구, 이동휘</t>
  </si>
  <si>
    <t>감독: 정병길
주연: 주원, 이성재, 정소리</t>
  </si>
  <si>
    <t>감독: Boo Ji-young
주연: 염정아, 문정희, 김영애</t>
  </si>
  <si>
    <t>감독: Roger Donaldson
주연: 톰 크루즈, 브라이언 브라운, 엘리자베스 슈</t>
  </si>
  <si>
    <t>감독: Ric Roman Waugh
주연: 제라드 버틀러, 나비드 네가반, 트래비스 피멀</t>
  </si>
  <si>
    <t>감독: 토드 헤인즈
주연: 케이트 블란쳇, 루니 마라, 카일 챈들러</t>
  </si>
  <si>
    <t>감독: Jaume Collet-Serra
주연: 태런 에저턴, 제이슨 베이트먼, 소피아 카슨</t>
  </si>
  <si>
    <t>감독: Sean Ellis
주연: Sean Biggerstaff, Emilia Fox, Shaun Evans</t>
  </si>
  <si>
    <t>감독: Nicolas Roeg
주연: 올리버 리드, Amanda Donohoe, Georgina Hale</t>
  </si>
  <si>
    <t>감독: 가이 리치
주연: 제이슨 스타뎀, 홀트 매캘러니, Rocci Williams</t>
  </si>
  <si>
    <t>감독: Lee Hyeon-jong
주연: 김아중, 주원, 주진모</t>
  </si>
  <si>
    <t>감독: Neil Armfield
주연: 에비 코니쉬, 히스 레저, 제프리 러쉬</t>
  </si>
  <si>
    <t>감독: Tom Kapinos
주연: 데이비드 듀코브니, 나타샤 맥켈혼, Evan Handler</t>
  </si>
  <si>
    <t>감독: John Michael McDonagh
주연: 브렌던 글리슨, 크리스 오다우드, 켈리 라일리</t>
  </si>
  <si>
    <t>감독: Daniel Goldhaber
주연: 매들린 브루어, Patch Darragh, Melora Walters</t>
  </si>
  <si>
    <t>감독: Peter Sattler
주연: 크리스틴 스튜어트, 페이만 모아디, Lane Garrison</t>
  </si>
  <si>
    <t>감독: 中野量太
주연: 와타나베 마키코, 柳英里紗, Nanoka Matsubara</t>
  </si>
  <si>
    <t>감독: 조 루소, 안소니 루소
주연: 크리스 에반스, 사무엘 L. 잭슨, 스칼렛 요한슨</t>
  </si>
  <si>
    <t>감독: 폴 그린그래스
주연: 톰 행크스, Barkhad Abdi, Barkhad Abdirahman</t>
  </si>
  <si>
    <t>감독: Alfonso Gomez-Rejon
주연: 베네딕트 컴버배치, 마이클 섀넌, 니콜라스 홀트</t>
  </si>
  <si>
    <t>감독: Jaume Collet-Serra
주연: 리암 니슨, 패트릭 윌슨, 샘 닐</t>
  </si>
  <si>
    <t>감독: Rasmus Kloster Bro
주연: Christine Sønderris, Krešimir Mikić, Samson Semere</t>
  </si>
  <si>
    <t>감독: Peter Billingsley
주연: 빈스 본, 제이슨 베이트먼, 존 파브로</t>
  </si>
  <si>
    <t>감독: Stacie Passon
주연: 로빈 웨이거트, 매기 시프, Johnathan Tchaikovsky</t>
  </si>
  <si>
    <t>감독: 츠카하라 아유코
주연: 아리무라 카스미, 이토 켄타로, 하루</t>
  </si>
  <si>
    <t>감독: 토니 골드윈
주연: 힐러리 스웽크, 샘 록웰, 미니 드라이버</t>
  </si>
  <si>
    <t>감독: 리처드 도너
주연: 멜 깁슨, 줄리아 로버츠, 패트릭 스튜어트</t>
  </si>
  <si>
    <t>감독: 제임스 완
주연: 베라 파미가, 패트릭 윌슨, 릴리 테일러</t>
  </si>
  <si>
    <t>감독: 제임스 완
주연: 베라 파미가, 패트릭 윌슨, Madison Wolfe</t>
  </si>
  <si>
    <t>감독: 마이클 차브스
주연: 베라 파미가, 패트릭 윌슨, 스털링 제린스</t>
  </si>
  <si>
    <t>감독: Peter Landesman
주연: 윌 스미스, 알렉 볼드윈, 앨버트 브룩스</t>
  </si>
  <si>
    <t>감독: 드니 빌뇌브
주연: 에이미 아담스, 제레미 레너, 포레스트 휘태커</t>
  </si>
  <si>
    <t>감독: 스티븐 소더버그
주연: 마리옹 꼬띠아르, 맷 데이먼, 로렌스 피시번</t>
  </si>
  <si>
    <t>감독: Rod Lurie
주연: 조앤 앨런, 게리 올드만, 제프 브리지스</t>
  </si>
  <si>
    <t>감독: 田中亮
주연: 나가사와 마사미, 히가시데 마사히로, 코히나타 후미요</t>
  </si>
  <si>
    <t>감독: Richard Stanley
주연: 니콜라스 케이지, 조엘리 리처드슨, Madeleine Arthur</t>
  </si>
  <si>
    <t>감독: Richard Rush
주연: 브루스 윌리스, 제인 마치, Rubén Blades</t>
  </si>
  <si>
    <t>감독: 로버트 레드포드
주연: 로버트 레드포드, 샤이아 라보프, 닉 놀티</t>
  </si>
  <si>
    <t>감독: Craig Zobel
주연: 앤 도드, Dreama Walker, Pat Healy</t>
  </si>
  <si>
    <t>감독: 이안 소프틀리
주연: 제프 브리지스, 케빈 스페이시, Mary McCormack</t>
  </si>
  <si>
    <t>감독: Karen Moncrieff
주연: 케이트 베킨세일, 닉 놀티, 제임스 크롬웰</t>
  </si>
  <si>
    <t>감독: 井坂聡
주연: 야쿠쇼 코지, 今井美樹, 塩谷瞬</t>
  </si>
  <si>
    <t>감독: 션 헤이더
주연: 에밀리아 존스, 말리 매틀린, 트로이 코처</t>
  </si>
  <si>
    <t>감독: 론 하워드
주연: 톰 행크스, 오드리 토투, 이안 맥켈런</t>
  </si>
  <si>
    <t>감독: 존 스톡웰, Paulette Victor Lifton
주연: Cam Gigandet, 캐슬린 로버트슨, 윌리엄 피츠너</t>
  </si>
  <si>
    <t>감독: 아리엘 브로멘
주연: Marwan Kenzari, 토비 케블, Hannah Ware</t>
  </si>
  <si>
    <t>감독: Christophe Barratier
주연: Gérard Jugnot, François Berléand, 카드 므라드</t>
  </si>
  <si>
    <t>감독: 존 매든
주연: 니콜라스 케이지, 페넬로페 크루스, 존 허트</t>
  </si>
  <si>
    <t>감독: Moon Hyun-sung
주연: 하지원, 배두나, 한예리</t>
  </si>
  <si>
    <t>감독: 톰 맥카시
주연: 애덤 샌들러, Method Man, 더스틴 호프만</t>
  </si>
  <si>
    <t>감독: 바흐만 고바디
주연: Behrouz Vossoughi, 모니카 벨루치, Caner Cindoruk</t>
  </si>
  <si>
    <t>감독: Jon Amiel
주연: 에런 엑하트, 힐러리 스웽크, 델로이 린도</t>
  </si>
  <si>
    <t>감독: Thomas Carter
주연: 사무엘 L. 잭슨, Rob Brown, Robert Ri'chard</t>
  </si>
  <si>
    <t>감독: 엘리자베스 뱅크스
주연: 케리 러셀, 올든 에런라이크, 오셰이 잭슨 주니어</t>
  </si>
  <si>
    <t>감독: 페르난도 메이렐레스
주연: 랄프 파인즈, 레이첼 와이즈, 대니 휴스턴</t>
  </si>
  <si>
    <t>감독: 엄태화
주연: 이병헌, 박서준, 박보영</t>
  </si>
  <si>
    <t>감독: 로버트 저메키스
주연: 조디 포스터, 매튜 매커너히, 제임스 우즈</t>
  </si>
  <si>
    <t>감독: Baltasar Kormákur
주연: 마크 월버그, 케이트 베킨세일, 벤 포스터</t>
  </si>
  <si>
    <t>감독: 김진만, 김현철
주연: 나레이션 김남길</t>
  </si>
  <si>
    <t>한국</t>
  </si>
  <si>
    <t>감독: 요아킴 뢴닝, 에스펜 산드베르그
주연: Pål Sverre Hagen, Anders Baasmo Christiansen, Tobias Santelmann</t>
  </si>
  <si>
    <t>감독: Timothy Woodward Jr.
주연: Lin Shaye, 토빈 벨, Chester Rushing</t>
  </si>
  <si>
    <t>감독: 안소니 밍겔라
주연: 주드 로, 니콜 키드먼, 르네 젤위거</t>
  </si>
  <si>
    <t>감독: Frédéric Petitjean
주연: 장 르노, Sarah Lind, 데이빗 기아시</t>
  </si>
  <si>
    <t>감독: Hans Petter Moland
주연: 리암 니슨, 톰 베이트먼, Tom Jackson</t>
  </si>
  <si>
    <t>감독: Łukasz Kośmicki
주연: 빌 풀먼, Lotte Verbeek, James Bloor</t>
  </si>
  <si>
    <t>감독: Florian Gallenberger
주연: 엠마 왓슨, 다니엘 브륄, 미카엘 니크비스트</t>
  </si>
  <si>
    <t>감독: Olivier Megaton
주연: 조 샐다나, 클리프 커티스, Callum Blue</t>
  </si>
  <si>
    <t>감독: Marco Kreuzpaintner
주연: Elyas M'Barek, Heiner Lauterbach, 알렉산드라 마리아 라라</t>
  </si>
  <si>
    <t>감독: 三浦大輔
주연: 마츠자카 토리, 真飛聖, 冨手麻妙</t>
  </si>
  <si>
    <t>감독: Adam Wilson
주연: Isabele De Rosa, Makenna Guyler, Scott Whatley</t>
  </si>
  <si>
    <t>감독: Jordan Vogt-Roberts
주연: 톰 히들스턴, 사무엘 L. 잭슨, 존 굿맨</t>
  </si>
  <si>
    <t>감독: 존 크래신스키
주연: 에밀리 블런트, 존 크래신스키, 밀리센트 시먼즈</t>
  </si>
  <si>
    <t>감독: Aron Gaudet, Gita Pullapilly
주연: 크리스틴 벨, 커비, 빈스 본</t>
  </si>
  <si>
    <t>감독: Cho Beom-gu
주연: 이민기, 강예원, 김인권</t>
  </si>
  <si>
    <t>감독: 베르너 헤어조크
주연: 니콜 키드먼, 제임스 프랭코, 데미안 루이스</t>
  </si>
  <si>
    <t>감독: Scott Frank, Allan Scott
주연: 안야 테일러조이, Chloe Pirrie</t>
  </si>
  <si>
    <t>감독: Kang Ji-eun
주연: 김해숙, 손호준, 남보라</t>
  </si>
  <si>
    <t>감독: 클린트 이스트우드
주연: 클린트 이스트우드, Eduardo Minett, Natalia Traven</t>
  </si>
  <si>
    <t>감독: Nicholas Jarecki
주연: 게리 올드만, 아미 해머, 에반젤린 릴리</t>
  </si>
  <si>
    <t>감독: 바트 레이튼
주연: 크리스 헴스워스, 마크 러팔로, 닉 놀테, 할리 베리</t>
  </si>
  <si>
    <t>2026-03-19</t>
  </si>
  <si>
    <t>감독: Meen
주연: 윤계상, 고아성, 윤경호</t>
  </si>
  <si>
    <t>감독: 폴 해기스
주연: 돈 치들, 산드라 블록, 브랜든 프레이저</t>
  </si>
  <si>
    <t>감독: Jim Wynorski
주연: Treat Williams, Hannes Jaenicke, Gary Hudson</t>
  </si>
  <si>
    <t>감독: 존 M. 추
주연: 콘스탄스 우, 헨리 골딩, 양자경</t>
  </si>
  <si>
    <t>감독: 조시 트랭크
주연: 데인 드한, Alex Russell, 마이클 B. 조던</t>
  </si>
  <si>
    <t>감독: 켐프 파워스, 저스틴 톰슨, 조아킴 도스 샌토스
주연: 셔믹 무어, 헤일리 스타인펠드, 브라이언 타이리 헨리</t>
  </si>
  <si>
    <t>감독: Wayne Kramer
주연: 해리슨 포드, 레이 리오타, 앨리스 이브</t>
  </si>
  <si>
    <t>감독: 伊藤匡史
주연: 아베 히로시, 이시하라 사토미, 村上ショージ</t>
  </si>
  <si>
    <t>감독: 알렉상드르 아자
주연: 카야 스코델라리오, 배리 페퍼, 모르비드 클라크</t>
  </si>
  <si>
    <t>감독: 크레이그 길레스피
주연: 엠마 스톤, 엠마 톰슨, Joel Fry</t>
  </si>
  <si>
    <t>감독: 라이언 쿠글러
주연: 마이클 B. 조던, 실베스터 스탤론, 테사 톰슨</t>
  </si>
  <si>
    <t>감독: Steven Caple Jr.
주연: 마이클 B. 조던, 실베스터 스탤론, 테사 톰슨</t>
  </si>
  <si>
    <t>감독: Martin Wood
주연: 캣 그레이엄, 알렉산더 루드위그, 버지니아 매드슨</t>
  </si>
  <si>
    <t>감독: 아리엘 브로멘
주연: 케빈 코스트너, 게리 올드만, 토미 리 존스</t>
  </si>
  <si>
    <t>감독: Christian Gudegast
주연: 제라드 버틀러, 파블로 쉬라이버, 오셰이 잭슨 주니어</t>
  </si>
  <si>
    <t>감독: 재키 얼 헤일리
주연: 댄 스티븐스, 존 트래볼타, 마이클 피트</t>
  </si>
  <si>
    <t>감독: Brian Herzlinger
주연: Jackie Seiden, Ashley Wood, Houston Rhines</t>
  </si>
  <si>
    <t>감독: Ernie Barbarash
주연: 크리스틴 데이비스, 롭 로, Fezile Mpela</t>
  </si>
  <si>
    <t>감독: Justin G. Dyck
주연: Kaitlyn Leeb, Nick Hounslow, Josh Dean</t>
  </si>
  <si>
    <t>감독: Pete Jacelone
주연: Heather Drew, Edward X. Young, Daylan Ludemann</t>
  </si>
  <si>
    <t>감독: 릴리 워쇼스키, 라나 워쇼스키, 톰 티크베어
주연: 톰 행크스, 할리 베리, 짐 브로드벤트</t>
  </si>
  <si>
    <t>172분</t>
  </si>
  <si>
    <t>감독: 올리비에 아사야스
주연: 쥘리에트 비노쉬, 크리스틴 스튜어트, 클로이 그레이스 모레츠</t>
  </si>
  <si>
    <t>감독: 原田眞人
주연: 츠츠미 신이치, 사카이 마사토, 오노 마치코</t>
  </si>
  <si>
    <t>감독: 곽재용
주연: 손예진, 조승우, 조인성</t>
  </si>
  <si>
    <t>감독: Michael Chapman
주연: 대릴 해나, Pamela Reed, James Remar</t>
  </si>
  <si>
    <t>감독: Chinonye Chukwu
주연: 알프레 우더드, Richard Schiff, 알디스 호지</t>
  </si>
  <si>
    <t>감독: 줄리어스 오나
주연: 구구 음바타로, 다니엘 브륄, 크리스 오다우드</t>
  </si>
  <si>
    <t>감독: 아톰 에고이안
주연: 아만다 사이프리드, 줄리앤 무어, 리암 니슨</t>
  </si>
  <si>
    <t>감독: 마이크 니콜스
주연: 주드 로, 나탈리 포트만, 줄리아 로버츠</t>
  </si>
  <si>
    <t>감독: Kim Kwang-bin
주연: 하정우, 김남길, 허율</t>
  </si>
  <si>
    <t>감독: Vicky Jewson
주연: 누미 라파스, 소피 넬리스, 인디라 바마</t>
  </si>
  <si>
    <t>감독: 유키사다 이사오
주연: 사와지리 에리카, 이세야 유스케, 타케우치 유코</t>
  </si>
  <si>
    <t>감독: Les Mayfield
주연: 세드릭 더 엔터테이너, Nicollette Sheridan, 니시 내쉬</t>
  </si>
  <si>
    <t>감독: Frank Coraci
주연: 애덤 샌들러, 케이트 베킨세일, 크리스토퍼 워컨</t>
  </si>
  <si>
    <t>감독: Daniel Alfredson
주연: 안소니 홉킨스, 짐 스터지스, 샘 워싱턴</t>
  </si>
  <si>
    <t>감독: Luis Prieto
주연: 할리 베리, Sage Correa, Chris McGinn</t>
  </si>
  <si>
    <t>감독: 佐藤祐市
주연: 오구리 슌, 산타마리아 유스케, 코이데 케이스케</t>
  </si>
  <si>
    <t>감독: Nuala O'Connor
주연: Nuala O’Connor, Mary Black, 에이단 길런</t>
  </si>
  <si>
    <t>감독: John Krokidas
주연: 다니엘 래드클리프, 데인 드한, 마이클 C. 홀</t>
  </si>
  <si>
    <t>감독: 패트릭 휴스
주연: 라이언 레이놀즈, 사무엘 L. 잭슨, 게리 올드만</t>
  </si>
  <si>
    <t>감독: 패트릭 휴스
주연: 라이언 레이놀즈, 사무엘 L. 잭슨, 셀마 헤이엑</t>
  </si>
  <si>
    <t>감독: Paul Katis
주연: Mark Stanley, 맬러카이 커비, Ali Cook</t>
  </si>
  <si>
    <t>감독: 피비 월러브리지
주연: 산드라 오, 조디 코머, 피오나 쇼</t>
  </si>
  <si>
    <t>감독: Mark Steven Johnson
주연: 로버트 드 니로, 존 트래볼타, Milo Ventimiglia</t>
  </si>
  <si>
    <t>감독: Reinaldo Marcus Green
주연: 윌 스미스, 안저뉴 엘리스 테일러, Saniyya Sidney</t>
  </si>
  <si>
    <t>감독: 김은희, 김성훈
주연: 주지훈, 류승룡, 배두나</t>
  </si>
  <si>
    <t>감독: Park Chan-uk
주연: 이다희, 장성규, Sangyeon</t>
  </si>
  <si>
    <t>감독: 변성현
주연: 설경구, 이선균, 유재명</t>
  </si>
  <si>
    <t>감독: 조지 클루니
주연: 라이언 고슬링, 조지 클루니, 필립 세이모어 호프만</t>
  </si>
  <si>
    <t>감독: 톰 후퍼
주연: 콜린 퍼스, 제프리 러쉬, 헬레나 본햄 카터</t>
  </si>
  <si>
    <t>감독: 매튜 본
주연: 태런 에저턴, 콜린 퍼스, 줄리앤 무어</t>
  </si>
  <si>
    <t>감독: 매튜 본
주연: 랄프 파인즈, 젬마 아터턴, 리스 이판</t>
  </si>
  <si>
    <t>감독: 박건용
주연: 이범수, 조안, 최희서</t>
  </si>
  <si>
    <t>감독: Daniel Roby
주연: Antoine Olivier Pilon, 조쉬 하트넷, Stephen McHattie</t>
  </si>
  <si>
    <t>감독: 토드 필드
주연: 케이트 블란쳇, 니나 호스, 노에미 메를랑</t>
  </si>
  <si>
    <t>감독: 셀린 시아마
주연: 노에미 메를랑, 아델 에넬, Luàna Bajrami</t>
  </si>
  <si>
    <t>감독: 김지훈
주연: 설경구, 손예진, 김상경</t>
  </si>
  <si>
    <t>감독: 브렛 래트너
주연: 벤 스틸러, 에디 머피, 케이시 애플렉</t>
  </si>
  <si>
    <t>감독: 제임스 카메론
주연: 레오나르도 디카프리오, 케이트 윈슬렛, 빌리 제인</t>
  </si>
  <si>
    <t>194분</t>
  </si>
  <si>
    <t>감독: 蕭雅全
주연: 계륜미, 林辰唏, 張翰</t>
  </si>
  <si>
    <t>감독: 플로리안 헨켈 폰 도너스마르크
주연: 마르티나 게덱, Ulrich Mühe, Sebastian Koch</t>
  </si>
  <si>
    <t>감독: Lone Scherfig
주연: 조이 카잔, 안드레아 라이즈보로, 타하르 라힘</t>
  </si>
  <si>
    <t>감독: Jimmy McGovern
주연: 벨라 램지, Siobhan Finneran, 조디 휘태커</t>
  </si>
  <si>
    <t>감독: Alireza Raisian
주연: 레일라 하타미, 샤하브 호세이니, فرهاد اصلانی</t>
  </si>
  <si>
    <t>감독: 마크 윌리엄스
주연: 제라드 버틀러, 그레첸 몰, Maxwell Jenkins</t>
  </si>
  <si>
    <t>감독: Minha Park</t>
  </si>
  <si>
    <t>감독: 강형철
주연: 최승현, 신세경, 곽도원</t>
  </si>
  <si>
    <t>감독: 조나단 글레이저
주연: 니콜 키드먼, Cameron Bright, 대니 휴스턴</t>
  </si>
  <si>
    <t>감독: 이종필
주연: 이제훈, 구교환, 홍사빈</t>
  </si>
  <si>
    <t>감독: 자비에 돌란
주연: 자비에 돌란, Pierre-Yves Cardinal, Lise Roy</t>
  </si>
  <si>
    <t>감독: Hong Li-gyeong</t>
  </si>
  <si>
    <t>감독: Kim Joung-hoon
주연: 권상우, 성동일, 이승준</t>
  </si>
  <si>
    <t>감독: 이언희
주연: 권상우, 성동일, 이광수</t>
  </si>
  <si>
    <t>감독: 조셉 코신스키
주연: 톰 크루즈, 발 킬머, 마일스 텔러</t>
  </si>
  <si>
    <t>감독: 강제규
주연: 장동건, 원빈, 이은주</t>
  </si>
  <si>
    <t>감독: 羽住英一郎
주연: 후지와라 타츠야, 타케우치 료마, 한효주</t>
  </si>
  <si>
    <t>감독: 小泉徳宏
주연: YUI, 쓰카모토 다카시, 키시타니 고로</t>
  </si>
  <si>
    <t>감독: 스티븐 스필버그
주연: 크리스찬 베일, 존 말코비치, 미란다 리처드슨</t>
  </si>
  <si>
    <t>감독: 오우삼
주연: 장쯔이, 금성무, 송혜교</t>
  </si>
  <si>
    <t>감독: Sargon Saadi</t>
  </si>
  <si>
    <t>감독: 장훈
주연: 송강호, 토마스 크레치만, 유해진</t>
  </si>
  <si>
    <t>감독: 김성훈
주연: 하정우, 배두나, 오달수</t>
  </si>
  <si>
    <t>감독: 스티븐 스필버그
주연: 톰 행크스, 캐서린 제타존스, 스탠리 투치</t>
  </si>
  <si>
    <t>감독: Jack Carr, David DiGilio
주연: Taylor Kitsch, Tom Hopper</t>
  </si>
  <si>
    <t>감독: 알렌 테일러
주연: 에밀리아 클라크, 제이 코트니, 아놀드 슈왈제네거</t>
  </si>
  <si>
    <t>감독: 팀 밀러
주연: 린다 해밀턴, 아놀드 슈왈제네거, 맥켄지 데이비스</t>
  </si>
  <si>
    <t>감독: 오슨 웰스
주연: 찰턴 헤스턴, 자넷 리, 오슨 웰스</t>
  </si>
  <si>
    <t>감독: 크리스토퍼 놀란
주연: 존 데이비드 워싱턴, 로버트 패틴슨, 엘리자베스 데비키</t>
  </si>
  <si>
    <t>감독: 제이슨 수데이키스, Bill Lawrence
주연: 제이슨 수데이키스, 해나 워딩엄, 제레미 스위프트</t>
  </si>
  <si>
    <t>감독: Charlie Stratton
주연: 엘리자베스 올슨, 톰 펠튼, 제시카 랭</t>
  </si>
  <si>
    <t>감독: 제프 니콜스
주연: 마이클 섀넌, 제시카 차스테인, 쉐어 위햄</t>
  </si>
  <si>
    <t>감독: Olivier Megaton
주연: 리암 니슨, 매기 그레이스, 팜케 얀센</t>
  </si>
  <si>
    <t>감독: Olivier Megaton
주연: 리암 니슨, 포레스트 휘태커, 매기 그레이스</t>
  </si>
  <si>
    <t>감독: 존 부어만
주연: 피어스 브로스넌, 제프리 러쉬, 제이미 리 커티스</t>
  </si>
  <si>
    <t>감독: דנה עדן, משה זונדר
주연: ניב סולטן, 숀 토브, Shervin Alenabi</t>
  </si>
  <si>
    <t>감독: Annabel Jankel
주연: 안나 패퀸, 홀리데이 그레인저, Emun Elliott</t>
  </si>
  <si>
    <t>감독: Ericson Core
주연: 윌렘 대포, 줄리앤 니콜슨, Christopher Heyerdahl</t>
  </si>
  <si>
    <t>감독: 사부
주연: 마츠야마 켄이치, 아시다 마나, 香里奈</t>
  </si>
  <si>
    <t>감독: 마렌 아데
주연: 산드라 휠러, 페터 지모니셰크, Michael Wittenborn</t>
  </si>
  <si>
    <t>감독: Paco Cabezas
주연: 니콜라스 케이지, Aubrey Shea, Rachel Nichols</t>
  </si>
  <si>
    <t>감독: 스테파노 솔리마
주연: 마이클 B. 조던, 제이미 벨, 가이 피어스</t>
  </si>
  <si>
    <t>감독: Graham Roland, 칼톤 쿠즈
주연: 존 크래신스키, 웬들 피어스, 에비 코니쉬</t>
  </si>
  <si>
    <t>감독: 박중훈
주연: 엄태웅, 소이현, 김민준</t>
  </si>
  <si>
    <t>감독: 테렌스 말릭
주연: 벤 애플렉, 올가 쿠릴렌코, 레이첼 맥아담스</t>
  </si>
  <si>
    <t>감독: 제임스 그레이
주연: 호아킨 피닉스, 기네스 팰트로, Vinessa Shaw</t>
  </si>
  <si>
    <t>감독: 우디 앨런
주연: 우디 앨런, 로베르토 베니니, 페넬로페 크루스</t>
  </si>
  <si>
    <t>감독: Anne Zohra Berrached
주연: Karina Plachetka, Sabine Wolf, Florian Weber</t>
  </si>
  <si>
    <t>감독: 커티스 핸슨
주연: 제임스 우즈, John Heard, 윌리엄 허트</t>
  </si>
  <si>
    <t>감독: Hugo Gélin
주연: 오마르 시, Gloria Colston, 클레망스 포에지</t>
  </si>
  <si>
    <t>감독: Park Hun-soo
주연: 차태현, 박중훈, 한다감</t>
  </si>
  <si>
    <t>감독: Baltasar Kormákur
주연: 덴젤 워싱턴, 마크 월버그, 폴라 패튼</t>
  </si>
  <si>
    <t>감독: 크리스 매케이
주연: 크리스 프랫, 이본 스트러호브스키, J.K. 시몬스</t>
  </si>
  <si>
    <t>감독: Audrey Wells
주연: 다이앤 레인, 린지 덩컨, Vincent Riotta</t>
  </si>
  <si>
    <t>감독: Laurent Tuel
주연: Clovis Cornillac, Bouli Lanners, Ary Abittan</t>
  </si>
  <si>
    <t>감독: 제이슨 라이트만
주연: 샤를리즈 테론, 맥켄지 데이비스, 론 리빙스턴</t>
  </si>
  <si>
    <t>감독: 로아르 우테우
주연: 알리시아 비칸데르, 도미닉 웨스트, 월튼 고긴스</t>
  </si>
  <si>
    <t>감독: George P. Cosmatos
주연: 커트 러셀, 발 킬머, 마이클 빈</t>
  </si>
  <si>
    <t>감독: Justin Chadwick
주연: 알리시아 비칸데르, 데인 드한, 크리스토프 발츠</t>
  </si>
  <si>
    <t>감독: Matt Eskandari
주연: 니키 웰런, 브루스 윌리스, Steve Guttenberg</t>
  </si>
  <si>
    <t>감독: 크리스토퍼 스미스
주연: Melissa George, 리암 헴스워스, Emma Lung</t>
  </si>
  <si>
    <t>감독: 애런 소킨
주연: 에디 레드메인, 사샤 바론 코헨, 마크 라이런스</t>
  </si>
  <si>
    <t>감독: 스티븐 달드리
주연: Rickson Tevez, Eduardo Luís, Gabriel Weinstein</t>
  </si>
  <si>
    <t>감독: 스티븐 소더버그
주연: 마이클 더글라스, 베니시오 델 토로, 캐서린 제타존스</t>
  </si>
  <si>
    <t>감독: Sadhvi Siddhali Shree
주연: 돌프 룬드그렌, Jeannie Mai, Kristen Renton</t>
  </si>
  <si>
    <t>감독: Wally Pfister
주연: 조니 뎁, 레베카 홀, 폴 베타니</t>
  </si>
  <si>
    <t>감독: Brad Anderson
주연: 우디 해럴슨, 에밀리 모티머, 케이트 마라</t>
  </si>
  <si>
    <t>감독: Joseph Kay
주연: Hamza Haq, Laurence Leboeuf, Ayisha Issa</t>
  </si>
  <si>
    <t>감독: 크리스티안 페촐트
주연: 프란츠 로고프스키, 폴라 비어, Godehard Giese</t>
  </si>
  <si>
    <t>감독: M. 나이트 샤말란
주연: 조쉬 하트넷, 아리엘 도노휴, 살레카</t>
  </si>
  <si>
    <t>감독: 제이 로치
주연: 브라이언 크랜스턴, 아데웰 아킨누오예 아바제, 루이 C.K.</t>
  </si>
  <si>
    <t>감독: 팀 크링
주연: 제레미 어바인, 브라이언 J. 스미스, 오마 멧월리</t>
  </si>
  <si>
    <t>감독: 안톤 후쿠아
주연: 덴젤 워싱턴, 에단 호크, 스콧 글렌</t>
  </si>
  <si>
    <t>감독: Jeffrey Nachmanoff
주연: 돈 치들, 가이 피어스, 닐 맥도너</t>
  </si>
  <si>
    <t>감독: 수잔나 화이트
주연: 이완 맥그리거, 스텔란 스카스가드, 데미안 루이스</t>
  </si>
  <si>
    <t>감독: 볼프강 페터젠
주연: 브래드 피트, 올랜도 블룸, 에릭 배너</t>
  </si>
  <si>
    <t>감독: Rupert Goold
주연: 조나 힐, 제임스 프랭코, 펠리시티 존스</t>
  </si>
  <si>
    <t>감독: 제임스 밴더빌트
주연: 케이트 블란쳇, 로버트 레드포드, 데니스 퀘이드</t>
  </si>
  <si>
    <t>감독: Francesca Gregorini
주연: 카야 스코델라리오, 제시카 비엘, 알프레드 몰리나</t>
  </si>
  <si>
    <t>감독: 테렌스 말릭
주연: 브래드 피트, 제시카 차스테인, Hunter McCracken</t>
  </si>
  <si>
    <t>감독: 권오승
주연: 박윤호, 김남길, 김영광</t>
  </si>
  <si>
    <t>감독: Mouly Surya
주연: 제시카 알바, Anthony Michael Hall, 톤 벨</t>
  </si>
  <si>
    <t>감독: Brad Turner
주연: 배리 페퍼, Laura Vandervoort, Colm Feore</t>
  </si>
  <si>
    <t>감독: Matt Charman
주연: 찰리 콕스, 올가 쿠릴렌코, 오나 채플린</t>
  </si>
  <si>
    <t>감독: 존 힐코트
주연: 케이시 애플렉, 치웨텔 에지오포, 안소니 마키</t>
  </si>
  <si>
    <t>감독: J.C  챈더
주연: 벤 애플렉, 오스카 아이작, 찰리 허냄</t>
  </si>
  <si>
    <t>감독: 마이클 윈터바텀
주연: 스티브 쿠건, Rob Brydon, Rosie Fellner</t>
  </si>
  <si>
    <t>감독: 정이삭
주연: 데이지 에드거존스, 글렌 파월, 안소니 라모스</t>
  </si>
  <si>
    <t>감독: 권종관
주연: 김명민, 김향기, 오민석</t>
  </si>
  <si>
    <t>감독: Park In-je
주연: 최민식, 곽도원, 심은경</t>
  </si>
  <si>
    <t>감독: Tom Vaughan
주연: 브랜든 프레이저, 해리슨 포드, 케리 러셀</t>
  </si>
  <si>
    <t>감독: Park Dae-min
주연: 박소담, 김의성, 송새벽</t>
  </si>
  <si>
    <t>감독: Sin Jae-myeong
주연: 이재윤, 공정환, 김강일</t>
  </si>
  <si>
    <t>감독: 노덕
주연: 조정석, 이하나, 이미숙</t>
  </si>
  <si>
    <t>감독: Philip Martin
주연: 질리언 앤더슨, 빌리 파이퍼, 루퍼스 스웰</t>
  </si>
  <si>
    <t>감독: Peter Hedges
주연: 제니퍼 가너, 조엘 에저튼, CJ Adams</t>
  </si>
  <si>
    <t>감독: Ol Parker
주연: 줄리아 로버츠, 조지 클루니, 케이틀린 디버</t>
  </si>
  <si>
    <t>감독: 블레이크 에드워즈
주연: 오드리 헵번, George Peppard, Patricia Neal</t>
  </si>
  <si>
    <t>감독: 토마스 알프레드손
주연: 게리 올드만, 콜린 퍼스, 톰 하디</t>
  </si>
  <si>
    <t>감독: 론 하워드
주연: 톰 크루즈, 니콜 키드먼, Thomas Gibson</t>
  </si>
  <si>
    <t>감독: Bernard Rose
주연: David Garrett, 조엘리 리처드슨, 자레드 해리스</t>
  </si>
  <si>
    <t>감독: 조엘 코엔
주연: 프랜시스 맥도맨드, 윌리엄 H. 메이시, 스티브 부세미</t>
  </si>
  <si>
    <t>감독: 노아 홀리
주연: 주노 템플, 제니퍼 제이슨 리, 데이비드 리스달</t>
  </si>
  <si>
    <t>감독: 민규동
주연: 이혜영, 김성철, 연우진</t>
  </si>
  <si>
    <t>감독: Ralph Ince
주연: Lucille Lee Stewart, Huntley Gordon, John S. Robertson</t>
  </si>
  <si>
    <t>감독: Michael Dudok de Wit</t>
  </si>
  <si>
    <t>감독: 데릭 시엔프랜스
주연: 마이클 패스벤더, 알리시아 비칸데르, 레이첼 와이즈</t>
  </si>
  <si>
    <t>감독: Robert Luketic
주연: 리암 헴스워스, 해리슨 포드, 게리 올드만</t>
  </si>
  <si>
    <t>감독: Andrea Di Stefano
주연: 베니시오 델 토로, 조쉬 허처슨, 브래디 코베</t>
  </si>
  <si>
    <t>콜롬비아</t>
  </si>
  <si>
    <t>감독: Anna Gutto
주연: 쥘리에트 비노쉬, 프랭크 그릴로, 모건 프리먼</t>
  </si>
  <si>
    <t>감독: Marc Fitoussi
주연: 이자벨 위페르, Jean-Pierre Darroussin, 미카엘 니크비스트</t>
  </si>
  <si>
    <t>감독: Edward H. Griffith
주연: Ann Harding, Fredric March, Carmelita Geraghty</t>
  </si>
  <si>
    <t>감독: 장재현
주연: 최민식, 김고은, 유해진</t>
  </si>
  <si>
    <t>감독: 스티븐 스필버그
주연: 미셸 윌리엄스, 폴 다노, 세스 로건</t>
  </si>
  <si>
    <t>감독: 윤성현
주연: 이제훈, 서준영, 박정민</t>
  </si>
  <si>
    <t>감독: Victor Salva
주연: 메리 스틴버겐, Sean Patrick Flanery, 랜스 헨릭슨</t>
  </si>
  <si>
    <t>감독: 존 리 행콕
주연: 마이클 키튼, 닉 오퍼먼, 존 캐럴 린치</t>
  </si>
  <si>
    <t>감독: Scott Mann
주연: 데이브 바티스타, 피어스 브로스넌, 레이 스티븐슨</t>
  </si>
  <si>
    <t>감독: Николай Лебедев
주연: Данила Козловский, 블라디미르 마쉬코프, Agnė Grudytė</t>
  </si>
  <si>
    <t>감독: 송해성
주연: 최민식, 장백지, 손병호</t>
  </si>
  <si>
    <t>감독: Erik Skjoldbjærg
주연: Trond Nilssen, Per Frisch, Liv Bernhoft Osa</t>
  </si>
  <si>
    <t>감독: Justin Baldoni
주연: 헤일리 루 리처드슨, 콜 스프라우스, 모이세스 아리아스</t>
  </si>
  <si>
    <t>감독: David Barrett
주연: 조시 더멜, 브루스 윌리스, 로사리오 도슨</t>
  </si>
  <si>
    <t>감독: Alex Kendrick
주연: Kirk Cameron, Erin Bethea, Ken Bevel</t>
  </si>
  <si>
    <t>감독: James Madigan
주연: 조쉬 하트넷, 차리트라 찬드란, 케이티 색코프</t>
  </si>
  <si>
    <t>감독: 유하
주연: 서인국, 이수혁, 음문석</t>
  </si>
  <si>
    <t>감독: 강윤성
주연: 류승룡, 양세종, 임수정</t>
  </si>
  <si>
    <t>감독: Mark Steven Johnson
주연: 트래비스 피멀, 포레스트 휘태커, 레이첼 테일러</t>
  </si>
  <si>
    <t>감독: 김한결
주연: 조정석, 이주명, 한선화</t>
  </si>
  <si>
    <t>감독: 허수진
주연: 윤여정, 소지 아라이, 진 하</t>
  </si>
  <si>
    <t>감독: Taylor Hackford
주연: 제이슨 스타뎀, 제니퍼 로페즈, 마이클 치클리스</t>
  </si>
  <si>
    <t>감독: 애드리안 라인
주연: 마이클 더글라스, 글렌 클로즈, 앤 아처</t>
  </si>
  <si>
    <t>감독: Marco Pontecorvo
주연: 하비 카이텔, 소냐 브라가, Goran Višnjić</t>
  </si>
  <si>
    <t>포르투갈</t>
  </si>
  <si>
    <t>감독: 윤종찬
주연: 이제훈, 한석규, 강소라</t>
  </si>
  <si>
    <t>감독: 安藤桃子
주연: 미츠시마 히카리, 中村映里子, 미츠이시 켄</t>
  </si>
  <si>
    <t>감독: Park Jung-woo
주연: 김남길, 김주현, 김명민</t>
  </si>
  <si>
    <t>감독: Will Wernick
주연: Keegan Allen, Holland Roden, Denzel Whitaker</t>
  </si>
  <si>
    <t>감독: Sophie Barthes
주연: 에밀리아 클라크, 치웨텔 에지오포, Rosalie Craig</t>
  </si>
  <si>
    <t>감독: Phillip Noyce
주연: 나오미 왓츠, Colton Gobbo, Sierra Maltby</t>
  </si>
  <si>
    <t>감독: 森義隆
주연: 玉森裕太, 요시오카 리호, 소메타니 쇼타</t>
  </si>
  <si>
    <t>감독: Simon Cellan Jones
주연: 마크 월버그, 미셸 모나한, 매기 큐</t>
  </si>
  <si>
    <t>감독: Madhur Bhandarkar
주연: 프리양카 초프라, Kangana Ranaut, Mugdha Godse</t>
  </si>
  <si>
    <t>감독: 모튼 틸덤
주연: 제니퍼 로렌스, 크리스 프랫, 마이클 쉰</t>
  </si>
  <si>
    <t>감독: 피터 버그
주연: 마크 월버그, 존 굿맨, J.K. 시몬스</t>
  </si>
  <si>
    <t>감독: Todd Robinson
주연: 에드 해리스, 데이비드 듀코브니, 랜스 헨릭슨</t>
  </si>
  <si>
    <t>감독: 폴 토마스 앤더슨
주연: 다니엘 데이루이스, 비키 크립스, 레슬리 맨빌</t>
  </si>
  <si>
    <t>감독: 올리비에 아사야스
주연: 크리스틴 스튜어트, 라르스 아이딩거, Sigrid Bouaziz</t>
  </si>
  <si>
    <t>감독: Paul Soriano
주연: Bea Alonzo, Aga Muhlach, Edward Barber</t>
  </si>
  <si>
    <t>감독: 坂本和隆
주연: 미츠시마 히카리, 사토 타케루, 八木莉可子</t>
  </si>
  <si>
    <t>감독: 폴 슈레이더
주연: 에단 호크, 아만다 사이프리드, 세드릭 더 엔터테이너</t>
  </si>
  <si>
    <t>감독: Steven C. Miller
주연: 브루스 윌리스, 헤이든 크리스텐슨, Ty Joseph Shelton</t>
  </si>
  <si>
    <t>감독: 데이미언 셔젤
주연: 라이언 고슬링, 클레어 포이, 제이슨 클라크</t>
  </si>
  <si>
    <t>감독: 조나단 놀란
주연: 짐 커비즐, Michael Emerson, 케빈 채프먼</t>
  </si>
  <si>
    <t>감독: Marc Turtletaub
주연: 켈리 맥도널드, 이르판 칸, 데이비드 덴맨</t>
  </si>
  <si>
    <t>감독: Chris R. Notarile
주연: Roberto Lombardi, Samantha Ruston, Kasey Williams</t>
  </si>
  <si>
    <t>감독: 박희곤
주연: 조승우, 양동근, 최정원</t>
  </si>
  <si>
    <t>감독: 데이빗 토히
주연: 스티브 잔, 밀라 요보비치, 티모시 올리펀트</t>
  </si>
  <si>
    <t>감독: 빔 벤더스
주연: 야쿠쇼 코지, 에모토 토키오, Arisa Nakano</t>
  </si>
  <si>
    <t>감독: 데이빗 맥킨지
주연: 이완 맥그리거, 에바 그린, 이완 브렘너</t>
  </si>
  <si>
    <t>감독: Chase Palmer
주연: 존 보예가, 올리비아 쿡, 빌 스카스가드</t>
  </si>
  <si>
    <t>감독: J Blakeson
주연: 로저먼드 파이크, 피터 딘클리지, 에이사 곤살레스</t>
  </si>
  <si>
    <t>감독: Sheldon Lettich
주연: 다니엘 베른하르트, 로버트 잉글런드, Brian Thompson</t>
  </si>
  <si>
    <t>감독: Yong Soo
주연: 설경구, 조진웅, 허준호</t>
  </si>
  <si>
    <t>감독: 더그 라이만
주연: 나오미 왓츠, 숀 펜, 샘 셰퍼드</t>
  </si>
  <si>
    <t>감독: 신연식
주연: 안성기, 이하나, 권혁풍</t>
  </si>
  <si>
    <t>감독: 낸시 마이어스
주연: 린제이 로한, 데니스 퀘이드, Natasha Richardson</t>
  </si>
  <si>
    <t>감독: 江口カン
주연: 오카다 준이치, 키무라 후미노, 사토 코이치</t>
  </si>
  <si>
    <t>감독: Kim Dal-joong
주연: 김명민, 고아라, 안성기</t>
  </si>
  <si>
    <t>감독: Otto Preminger
주연: 로버트 미첨, 진 시몬스, Mona Freeman</t>
  </si>
  <si>
    <t>감독: Arie Posin
주연: 아네트 베닝, 에드 해리스, 로빈 윌리엄스</t>
  </si>
  <si>
    <t>감독: 페드로 알모도바르
주연: 안토니오 반데라스, Asier Etxeandia, Leonardo Sbaraglia</t>
  </si>
  <si>
    <t>감독: John Curran
주연: 에드워드 노튼, 나오미 왓츠, 리에브 슈라이버</t>
  </si>
  <si>
    <t>감독: Matthew Saville
주연: 조엘 에저튼, 제이 코트니, Melissa George</t>
  </si>
  <si>
    <t>감독: Ric Roman Waugh
주연: 스티븐 도프, 발 킬머, Harold Perrineau</t>
  </si>
  <si>
    <t>감독: Taron Lexton
주연: Ksenia Solo, 마리아 벨로, Beth Riesgraf</t>
  </si>
  <si>
    <t>감독: Glendyn Ivin
주연: 나오미 왓츠, 앤드류 링컨, Griffin Murray-Johnston</t>
  </si>
  <si>
    <t>감독: 이정국
주연: 최진실, 박신양, 최용민</t>
  </si>
  <si>
    <t>감독: Jon Gunn
주연: 힐러리 스웽크, 앨런 리치슨, Emily Mitchell</t>
  </si>
  <si>
    <t>감독: 이준익
주연: 정진영, 이문식, 류승룡</t>
  </si>
  <si>
    <t>감독: 西谷弘
주연: 우에토 아야, 사이토 타쿠미, 伊藤歩</t>
  </si>
  <si>
    <t>감독: Victor Salva
주연: Scott Mechlowicz, 닉 놀티, 에이미 스마트</t>
  </si>
  <si>
    <t>감독: Hank Steinberg
주연: 니컬러스 피넉, 인디라 바마, 조이 브라이언트</t>
  </si>
  <si>
    <t>주연: Julie Van den Steen, Dina Tersago, Marc Coucke</t>
  </si>
  <si>
    <t>감독: Basil Dearden
주연: 스튜어트 그레인저, Joan Greenwood, Flora Robson</t>
  </si>
  <si>
    <t>감독: 로널드 D. 무어, Ben Nedivi
주연: 조엘 킨나만, 토비 케블, 에디 가테지</t>
  </si>
  <si>
    <t>감독: Aliza Brugger
주연: Ana Nicole Chavez, Dan Cathcart</t>
  </si>
  <si>
    <t>감독: 제임스 맨골드
주연: 맷 데이먼, 크리스찬 베일, 존 번설</t>
  </si>
  <si>
    <t>감독: Jason Zada
주연: 나탈리 도머, Eoin Macken, Stephanie Vogt</t>
  </si>
  <si>
    <t>감독: 로버트 저메키스
주연: 톰 행크스, 로빈 라이트, 게리 시나이즈</t>
  </si>
  <si>
    <t>감독: 볼프강 페터젠
주연: 조시 루커스, 커트 러셀, Jacinda Barrett</t>
  </si>
  <si>
    <t>감독: Jon Cassar
주연: 데미 무어, 키퍼 서덜랜드, 도널드 서덜랜드</t>
  </si>
  <si>
    <t>감독: 루벤 외스틀룬드
주연: Johannes Bah Kuhnke, Lisa Loven Kongsli, Clara Wettergren</t>
  </si>
  <si>
    <t>감독: Michael Polish
주연: 멜 깁슨, 에밀 허쉬, 케이트 보스워스</t>
  </si>
  <si>
    <t>감독: 조지 갤로, Francesco Cinquemani
주연: 존 트래볼타, 모건 프리먼, 피터 스토메어</t>
  </si>
  <si>
    <t>감독: Ericson Core
주연: 에드가 라미레즈, 루크 브레이시, 테레사 파머</t>
  </si>
  <si>
    <t>감독: 조 린치
주연: 안소니 마키, 프랭크 그릴로, 마시아 그레이 하든</t>
  </si>
  <si>
    <t>감독: Alexander Kulikov, Mikhail Raskhodnikov
주연: Alexander Kulikov, Андрей Смоляков, Юрий Цурило</t>
  </si>
  <si>
    <t>감독: Greg Francis
주연: Beau Mirchoff, 론 펄먼, 지안카를로 에스포지토</t>
  </si>
  <si>
    <t>감독: 글렌 피카라, John Requa
주연: 윌 스미스, 마고 로비, 애드리안 마르티네즈</t>
  </si>
  <si>
    <t>감독: Claudia Myers
주연: 미셸 모나한, 엠마누엘 크리퀴, 파블로 쉬라이버</t>
  </si>
  <si>
    <t>감독: Phil Flora</t>
  </si>
  <si>
    <t>감독: Ole Bornedal
주연: Bertram Bisgaard Enevoldsen, Ester Birch, Ella Nilsson</t>
  </si>
  <si>
    <t>감독: 베넷 밀러
주연: 스티브 카렐, 채닝 테이텀, 마크 러팔로</t>
  </si>
  <si>
    <t>감독: 임상춘, 김원석
주연: IU, 박보검, 문소리</t>
  </si>
  <si>
    <t>감독: Christophe Beaucourt
주연: Charles Sereis, Jérémie Haïk, Taga Addams</t>
  </si>
  <si>
    <t>감독: 토니 스콧
주연: 톰 크루즈, 로버트 듀발, 니콜 키드먼</t>
  </si>
  <si>
    <t>감독: Gillian Harrill</t>
  </si>
  <si>
    <t>감독: Charlotte Peters
주연: Sara Stewart, Adrian Lukis, Alex Kingston</t>
  </si>
  <si>
    <t>감독: 안느 퐁텐
주연: 오마르 시, 비르지니 에피라, Grégory Gadebois</t>
  </si>
  <si>
    <t>감독: 성룡
주연: 성룡, 임청하, 장만옥</t>
  </si>
  <si>
    <t>감독: Shamim Sarif
주연: 레베카 퍼거슨, Sam Reid, 찰스 댄스</t>
  </si>
  <si>
    <t>감독: 울루 그로스바드
주연: 로버트 드 니로, 메릴 스트립, 하비 카이텔</t>
  </si>
  <si>
    <t>감독: Chang
주연: 류승룡, 이진욱, 유준상</t>
  </si>
  <si>
    <t>감독: 저스틴 전
주연: 저스틴 전, 알리시아 비칸데르, Mark O'Brien</t>
  </si>
  <si>
    <t>감독: 이현승
주연: 송강호, 신세경, 천정명</t>
  </si>
  <si>
    <t>감독: 데이비드 에이어
주연: 브래드 피트, 샤이아 라보프, 로건 러먼</t>
  </si>
  <si>
    <t>감독: 구스 반 산트
주연: 맷 데이먼, 프랜시스 맥도맨드, 존 크래신스키</t>
  </si>
  <si>
    <t>감독: 에메랄드 페넬
주연: 캐리 멀리건, Bo Burnham, 앨리슨 브리</t>
  </si>
  <si>
    <t>감독: Nick Powell
주연: 니콜라스 케이지, 팜케 얀센, 케빈 듀랜드</t>
  </si>
  <si>
    <t>감독: 그레고리 호블릿
주연: 리처드 기어, 로라 리니, 에드워드 노튼</t>
  </si>
  <si>
    <t>감독: Steve Thompson
주연: 레오 우달, 퀸테사 스윈델, 시세 바베트 크누센</t>
  </si>
  <si>
    <t>감독: Lester Dimaranan, Paolo Emmanuel Magsino
주연: 파올로 구마바오, Sara Sandeva, Elena Kozlova</t>
  </si>
  <si>
    <t>체코</t>
  </si>
  <si>
    <t>감독: 마노엘 데 올리베이라
주연: Teresa Menezes, Diogo Dória, Mário Barroso</t>
  </si>
  <si>
    <t>감독: 그레고리 호블릿
주연: 안소니 홉킨스, 라이언 고슬링, 데이비드 스트러세언</t>
  </si>
  <si>
    <t>감독: Brad Anderson
주연: 샘 워싱턴, 릴리 레이브, Lucy Capri</t>
  </si>
  <si>
    <t>감독: 크리스토퍼 놀란
주연: 휴 잭맨, 크리스찬 베일, 마이클 케인</t>
  </si>
  <si>
    <t>감독: 데이비드 고든 그린
주연: 산드라 블록, 안소니 마키, 빌리 밥 손튼</t>
  </si>
  <si>
    <t>감독: Anson Williams
주연: Tim Matheson, Ann Jillian, Robert Costanzo</t>
  </si>
  <si>
    <t>감독: 트란 안 홍
주연: 브누아 마지멜, 쥘리에트 비노쉬, Patrick d'Assumçao</t>
  </si>
  <si>
    <t>감독: Nicholas McCarthy
주연: 테일러 쉴링, 잭슨 로버트 스콧, Colm Feore</t>
  </si>
  <si>
    <t>감독: 론 하워드
주연: Frank Langella, 마이클 쉰, 케빈 베이컨</t>
  </si>
  <si>
    <t>감독: Anand Tucker
주연: 에이미 아담스, 매튜 구드, 애덤 스콧</t>
  </si>
  <si>
    <t>감독: 알리스 위노쿠르
주연: 에바 그린, 맷 딜런, Zélie Boulant-Lemesle</t>
  </si>
  <si>
    <t>감독: 존 매든
주연: 기네스 팰트로, 안소니 홉킨스, 제이크 질렌할</t>
  </si>
  <si>
    <t>감독: 숀 레비
주연: 라이언 레이놀즈, 조디 코머, 릴 렐 하워리</t>
  </si>
  <si>
    <t>감독: 게리 로스
주연: 매튜 매커너히, 구구 음바타로, 마허샬라 알리</t>
  </si>
  <si>
    <t>감독: 카를라 시몬
주연: Laia Artigas, Paula Robles, Bruna Cusí</t>
  </si>
  <si>
    <t>감독: Richard LaGravenese
주연: 힐러리 스웽크, 패트릭 뎀시, 스콧 글렌</t>
  </si>
  <si>
    <t>감독: 데이비드 코엡
주연: 조셉 고든레빗, 마이클 섀넌, 다니아 라미레스</t>
  </si>
  <si>
    <t>감독: 드니 빌뇌브
주연: 휴 잭맨, 제이크 질렌할, 비올라 데이비스</t>
  </si>
  <si>
    <t>감독: Kyle Patrick Alvarez
주연: 빌리 크루덥, 마이클 안가라노, 에즈라 밀러</t>
  </si>
  <si>
    <t>감독: 그레고리 호블릿
주연: 데니스 퀘이드, 짐 커비즐, Shawn Doyle</t>
  </si>
  <si>
    <t>감독: 알렉스 커츠먼, 로베르토 오르시
주연: 안나 토브, 조슈아 잭슨, Jasika Nicole</t>
  </si>
  <si>
    <t>감독: 마틴 스콜세지
주연: 레오나르도 디카프리오, 로버트 드 니로, 릴리 글래드스톤</t>
  </si>
  <si>
    <t>206분</t>
  </si>
  <si>
    <t>감독: Greg Berlanti
주연: 스칼렛 요한슨, 채닝 테이텀, 우디 해럴슨</t>
  </si>
  <si>
    <t>감독: 로버트 저메키스
주연: 덴젤 워싱턴, 돈 치들, 켈리 라일리</t>
  </si>
  <si>
    <t>감독: 멜 깁슨
주연: 마크 월버그, 미셸 도커리, 토퍼 그레이스</t>
  </si>
  <si>
    <t>감독: Michael Wech</t>
  </si>
  <si>
    <t>감독: 올리버 스톤
주연: 찰리 쉰, 윌렘 대포, 톰 베렌저</t>
  </si>
  <si>
    <t>감독: 大友啓史
주연: 니노미야 카즈나리, 토요카와 에츠시, 스즈키 호나미</t>
  </si>
  <si>
    <t>감독: 하야카와 치에
주연: 바이쇼 치에코, 이소무라 하야토, Stefanie Arianne</t>
  </si>
  <si>
    <t>감독: Sung Si-hup
주연: 정재영, 한지민, 김지영</t>
  </si>
  <si>
    <t>감독: 조엘 슈마허
주연: 키퍼 서덜랜드, 줄리아 로버츠, 케빈 베이컨</t>
  </si>
  <si>
    <t>감독: 데릭 시엔프랜스
주연: 라이언 고슬링, 브래들리 쿠퍼, 에바 멘데스</t>
  </si>
  <si>
    <t>감독: Jean-François Richet
주연: 제라드 버틀러, 마이크 콜터, 토니 골드윈</t>
  </si>
  <si>
    <t>감독: 존 카니
주연: 이브 휴슨, 오렌 킨란, 조셉 고든레빗</t>
  </si>
  <si>
    <t>감독: 스티븐 프리어스
주연: 메릴 스트립, 휴 그랜트, 사이먼 헬버그</t>
  </si>
  <si>
    <t>감독: Michael Radford
주연: 데미 무어, 마이클 케인, 램버트 윌슨</t>
  </si>
  <si>
    <t>감독: 롭 라이너
주연: Madeline Carroll, Callan McAuliffe, 리베카 데 모네이</t>
  </si>
  <si>
    <t>감독: 마이클 사노스키
주연: 니콜라스 케이지, 알렉스 울프, Adam Arkin</t>
  </si>
  <si>
    <t>감독: Lee Yeon-woo
주연: 박보영, 이종석, 이세영</t>
  </si>
  <si>
    <t>감독: Tyler Nilson, Michael Schwartz
주연: 샤이아 라보프, 재커리 곳세이건, 다코타 존슨</t>
  </si>
  <si>
    <t>감독: Jean-Paul Salomé
주연: 소피 마르소, Julie Depardieu, Marie Gillain</t>
  </si>
  <si>
    <t>감독: 로버트 벤턴
주연: 모건 프리먼, 그렉 키니어, 라다 미첼</t>
  </si>
  <si>
    <t>감독: 주세페 토르나토레
주연: 팀 로스, 프루이트 테일러 빈스, 멜라니 티에리</t>
  </si>
  <si>
    <t>감독: Castille Landon
주연: 매디슨 아이스먼, 이즈리얼 브루사드, Eugenie Bondurant</t>
  </si>
  <si>
    <t>감독: 김기덕
주연: 조민수, 이정진, 우기홍</t>
  </si>
  <si>
    <t>감독: Paula van der Oest
주연: Ariane Schluter, Sallie Harmsen, 페드야 반 휴엣</t>
  </si>
  <si>
    <t>감독: Jason Moore
주연: 안나 켄드릭, 안나 캠프, 브리트니 스노우</t>
  </si>
  <si>
    <t>감독: 스티븐 나이트
주연: 킬리언 머피, 폴 앤더슨, Sophie Rundle</t>
  </si>
  <si>
    <t>감독: Harvey Lilley, Kate Beetham
주연: Mark Frost, 스티븐 나이트, Carl Chinn</t>
  </si>
  <si>
    <t>감독: 알렉스 커츠먼
주연: 크리스 파인, 엘리자베스 뱅크스, 올리비아 와일드</t>
  </si>
  <si>
    <t>감독: Miguel Sapochnik
주연: 톰 행크스, 케일럽 랜드리 존스, Oscar Avila</t>
  </si>
  <si>
    <t>감독: 조나단 드미
주연: 톰 행크스, 덴젤 워싱턴, Jason Robards</t>
  </si>
  <si>
    <t>감독: 스티븐 프리어스
주연: 주디 덴치, 스티브 쿠건, Sophie Kennedy Clark</t>
  </si>
  <si>
    <t>감독: Paul McGuigan
주연: 아네트 베닝, 제이미 벨, 줄리 월터스</t>
  </si>
  <si>
    <t>감독: 유키사다 이사오
주연: 中島裕翔, 스다 마사키, 카호</t>
  </si>
  <si>
    <t>감독: 松永大司
주연: 요시다 요, 佐野玲於, 村上虹郎</t>
  </si>
  <si>
    <t>감독: 阿久根知昭
주연: 히로스에 료코, 타키토 켄이치, 原田貴和子</t>
  </si>
  <si>
    <t>감독: 이와이 슌지
주연: 스즈키 안, 아오이 유우, 郭智博</t>
  </si>
  <si>
    <t>감독: Claudia Llosa
주연: 제니퍼 코넬리, 킬리언 머피, 멜라니 로랑</t>
  </si>
  <si>
    <t>감독: Thomas Allen Harris</t>
  </si>
  <si>
    <t>감독: 리처드 도너
주연: 로렌 브라코, John Heard, 애덤 볼드윈</t>
  </si>
  <si>
    <t>감독: 로버트 저메키스
주연: 조셉 고든레빗, 벤 킹슬리, 샤를로트 르 봉</t>
  </si>
  <si>
    <t>감독: Michael Lindley
주연: Danny Webb, Aidan O'Hare, Finian Duff Lennon</t>
  </si>
  <si>
    <t>감독: Mikael Salomon
주연: 모건 프리먼, 크리스찬 슬레이터, 미니 드라이버</t>
  </si>
  <si>
    <t>감독: Philipp Stölzl
주연: 에런 엑하트, Liana Liberato, 올가 쿠릴렌코</t>
  </si>
  <si>
    <t>감독: David Baril, Daniel Faubert, Marcella Grimaux
주연: Serge Fiori, Denis Farmer, Monique Fauteux</t>
  </si>
  <si>
    <t>감독: Joel Hopkins
주연: 더스틴 호프만, 엠마 톰슨, Eileen Atkins</t>
  </si>
  <si>
    <t>감독: 真田敦
주연: 오카다 마사키, 바이쇼 치에코, 長谷川潤</t>
  </si>
  <si>
    <t>감독: Christian Ditter
주연: 다코타 존슨, 레벨 윌슨, 레슬리 맨</t>
  </si>
  <si>
    <t>감독: 리들리 스콧
주연: 레이디 가가, 애덤 드라이버, 알 파치노</t>
  </si>
  <si>
    <t>감독: 캐스린 비글로
주연: 이드리스 엘바, 레베카 퍼거슨, 게이브리얼 배소</t>
  </si>
  <si>
    <t>감독: 조지 R. R. 마틴, Ryan Condal
주연: 맷 스미스, 이완 미첼, 미즈노 소노야</t>
  </si>
  <si>
    <t>감독: デビッド・S・シン
주연: 타나카 민, 맛켄유, 萬田久子</t>
  </si>
  <si>
    <t>감독: Beau Willimon
주연: 로빈 라이트, 마이클 켈리, Constance Zimmer</t>
  </si>
  <si>
    <t>감독: Peter Livolsi
주연: 에이사 버터필드, 알렉스 울프, 닉 오퍼먼</t>
  </si>
  <si>
    <t>감독: 폴 페이그
주연: 시드니 스위니, 아만다 사이프리드, 브렌든 스클레너</t>
  </si>
  <si>
    <t>감독: 유하
주연: 송강호, 이나영, 이성민</t>
  </si>
  <si>
    <t>감독: Michael Damian
주연: Keenan Kampa, 니콜라스 갈리친, 미즈노 소노야</t>
  </si>
  <si>
    <t>감독: Carl Franklin
주연: 애슐리 저드, 모건 프리먼, 짐 커비즐</t>
  </si>
  <si>
    <t>감독: Scott Moore, Jon Lucas
주연: 애덤 드바인, 알렉산드라 쉽, 로즈 번</t>
  </si>
  <si>
    <t>감독: 존 리 행콕
주연: 케빈 코스트너, 우디 해럴슨, 캐시 베이츠</t>
  </si>
  <si>
    <t>감독: Tom Belarbi--Jean
주연: Nassim El Matich, Junior Fequiere, Nil Aragnouet</t>
  </si>
  <si>
    <t>감독: George Kay, Jim Field Smith
주연: 이드리스 엘바, 크리스틴 애덤스, 알브레히트 슈흐</t>
  </si>
  <si>
    <t>감독: Gezus Zaire
주연: Shayna Baszler, Martibel Payano, Jamine Benitez</t>
  </si>
  <si>
    <t>감독: Douglas McGrath
주연: 사라 제시카 파커, 피어스 브로스넌, 그렉 키니어</t>
  </si>
  <si>
    <t>감독: 라세 할스트룀
주연: 리처드 기어, 조앤 앨런, Sarah Roemer</t>
  </si>
  <si>
    <t>감독: 西尾孔志</t>
  </si>
  <si>
    <t>감독: Matthew Longfellow
주연: Tom Petty, Mike Campbell, Benmont Tench</t>
  </si>
  <si>
    <t>감독: 론 하워드
주연: 크리스 헴스워스, 벤자민 워커, 킬리언 머피</t>
  </si>
  <si>
    <t>감독: Tom Harper
주연: 갤 가돗, 제이미 도넌, 알리아 바트</t>
  </si>
  <si>
    <t>감독: Scott Hicks
주연: 안소니 홉킨스, 안톤 옐친, 호프 데이비스</t>
  </si>
  <si>
    <t>감독: Marc Lawrence
주연: 휴 그랜트, 마리사 토메이, 벨라 히스코트</t>
  </si>
  <si>
    <t>감독: 西谷弘
주연: 후쿠야마 마사하루, 요시타카 유리코, 키타무라 카즈키</t>
  </si>
  <si>
    <t>감독: 이수진
주연: 천우희, 정인선, Kim So-young</t>
  </si>
  <si>
    <t>감독: Margarethe von Trotta
주연: 바르바라 수코바, Axel Milberg, 자넷 맥티어</t>
  </si>
  <si>
    <t>감독: 김한민
주연: 박해일, 변요한, 안성기</t>
  </si>
  <si>
    <t>감독: 池井戸潤
주연: 사카이 마사토, 우에토 아야, 오이카와 미츠히로</t>
  </si>
  <si>
    <t>감독: 신도 가네토
주연: 토요카와 에츠시, 무사카 나오마사, 大竹しのぶ</t>
  </si>
  <si>
    <t>감독: 三宅喜重
주연: 나카타니 미키, 토다 에리카, 宮本信子</t>
  </si>
  <si>
    <t>감독: 폴 버호벤
주연: 케빈 베이컨, 엘리자베스 슈, 조쉬 브롤린</t>
  </si>
  <si>
    <t>감독: Jin Kwang-kyo
주연: Kim Jin-goo, Shin Chae-yeon, Kim Gyung-Ae</t>
  </si>
  <si>
    <t>감독: Kwon Hyung-jin
주연: 마동석, Kim Min-kyung, 조한선</t>
  </si>
  <si>
    <t>감독: Ian Olds</t>
  </si>
  <si>
    <t>감독: Daniel Barber
주연: 마이클 케인, 에밀리 모티머, 이언 글렌</t>
  </si>
  <si>
    <t>감독: 심성보
주연: 김윤석, 박유천, 한예리</t>
  </si>
  <si>
    <t>감독: 강석범
주연: 김래원, 김해숙, 허이재</t>
  </si>
  <si>
    <t>감독: 안톤 후쿠아
주연: 윌 스미스, 벤 포스터, Charmaine Bingwa</t>
  </si>
  <si>
    <t>감독: Lee Soo-youn
주연: 조진웅, Mun Jung Hyun, 신구</t>
  </si>
  <si>
    <t>감독: Eleanor Scoones
주연: Philippa Perry</t>
  </si>
  <si>
    <t>감독: Harold Cronk
주연: Derek Brandon, 크리스토퍼 로이드, Francesca Derosa</t>
  </si>
  <si>
    <t>감독: Kim Joung-hoon
주연: 강하늘, 한효주, 이광수</t>
  </si>
  <si>
    <t>감독: Son Jae-gon
주연: 안재홍, 강소라, 박영규</t>
  </si>
  <si>
    <t>감독: 곽재용
주연: 이동욱, 원진아, 한지민</t>
  </si>
  <si>
    <t>감독: 크리스토퍼 랜던
주연: 제시카 로테, 이즈리얼 브루사드, Charles Aitken</t>
  </si>
  <si>
    <t>감독: Ken Marino
주연: 니나 도브레브, 바네사 허진스, 애덤 팰리</t>
  </si>
  <si>
    <t>감독: 하마구치 류스케
주연: 田中幸恵, 菊池葉月, 三原麻衣子</t>
  </si>
  <si>
    <t>317분</t>
  </si>
  <si>
    <t>감독: Kurt Voelker
주연: J.K. 시몬스, Josh Wiggins, 줄리 델피</t>
  </si>
  <si>
    <t>감독: Christina Olofson
주연: Harriet Andersson, Stefan Norrthon, Robert Jelinek</t>
  </si>
  <si>
    <t>감독: 矢口史靖
주연: 田辺誠一, 時任三郎, 아야세 하루카</t>
  </si>
  <si>
    <t>감독: 三島有紀子
주연: 하라다 토모요, 오오이즈미 요, 平岡祐太</t>
  </si>
  <si>
    <t>감독: Michael McGowan
주연: 제임스 크롬웰, 준비에브 뷔조, 캠벨 스콧</t>
  </si>
  <si>
    <t>감독: 멜 깁슨
주연: 앤드류 가필드, 샘 워싱턴, 빈스 본</t>
  </si>
  <si>
    <t>감독: Jonathan Jakubowicz
주연: 에드가 라미레즈, 로버트 드 니로, 어셔</t>
  </si>
  <si>
    <t>감독: 허진호
주연: 황정민, 임수정, 김기천</t>
  </si>
  <si>
    <t>감독: 中野量太
주연: 미야자와 리에, 스기사키 하나, 오다기리 조</t>
  </si>
  <si>
    <t>감독: M. Manikandan
주연: J Vignesh, Ramesh Thilaganathan, Aishwarya Rajesh</t>
  </si>
  <si>
    <t>감독: 추창민
주연: 조정석, 이선균, 유재명</t>
  </si>
  <si>
    <t>감독: 三原光尋
주연: 나카타니 미키, 藤竜也, 다나카 케이</t>
  </si>
  <si>
    <t>감독: Ron Meyer</t>
  </si>
  <si>
    <t>감독: Jang Moon-il
주연: 오현경, 임창정, 김창완</t>
  </si>
  <si>
    <t>감독: Rob Cohen
주연: 토비 케블, 매기 그레이스, Ryan Kwanten</t>
  </si>
  <si>
    <t>감독: 하정우
주연: 하정우, 하지원, 남다름</t>
  </si>
  <si>
    <t>감독: 브렛 래트너
주연: 드웨인 존슨, 이언 맥셰인, 존 허트</t>
  </si>
  <si>
    <t>감독: Daniel Nettheim
주연: 윌렘 대포, Frances O'Connor, 샘 닐</t>
  </si>
  <si>
    <t>감독: Donovan Marsh
주연: 제라드 버틀러, 게리 올드만, Toby Stephens</t>
  </si>
  <si>
    <t>감독: Shawn Linden
주연: Camille Sullivan, 섬머 H. 하웰, Devon Sawa</t>
  </si>
  <si>
    <t>감독: Robert Raska Ly</t>
  </si>
  <si>
    <t>감독: 모튼 틸덤
주연: 악셀 헨니, Synnøve Macody Lund, 니콜라이 코스테르발다우</t>
  </si>
  <si>
    <t>감독: 레니 할린
주연: Kellan Lutz, 리암 맥킨타이어, Gaia Weiss</t>
  </si>
  <si>
    <t>감독: 필립 카우프만
주연: 니콜 키드먼, 클라이브 오웬, 데이비드 스트러세언</t>
  </si>
  <si>
    <t>감독: Bob Yari
주연: 조반니 리비시, 조엘리 리처드슨, Adrian Sparks</t>
  </si>
  <si>
    <t>감독: 박찬욱
주연: 탕웨이, 박해일, 이정현</t>
  </si>
  <si>
    <t>감독: 스티븐 소더버그
주연: 지나 카라노, 마이클 패스벤더, 채닝 테이텀</t>
  </si>
  <si>
    <t>감독: Malcolm Venville
주연: 키아누 리브스, 베라 파미가, 제임스 칸</t>
  </si>
  <si>
    <t>감독: Ronald J. Tomaino, Jr.
주연: Barbara Bentley, Ronald J. Tomaino, Jr., Jeanette Ferri</t>
  </si>
  <si>
    <t>감독: 테이트 테일러
주연: 엠마 스톤, 비올라 데이비스, 브라이스 댈러스 하워드</t>
  </si>
  <si>
    <t>감독: 이종석
주연: 손예진, 현빈, 김상호</t>
  </si>
  <si>
    <t>감독: Sophie Goodhart
주연: 닉 크롤, 애덤 스콧, 제니 슬레이트</t>
  </si>
  <si>
    <t>감독: Im Chang-se
주연: 이성민, 경수진, 이학주</t>
  </si>
  <si>
    <t>감독: Mikael Marcimain
주연: 앨리슨 윌리엄스, Alexander Dreymon, 키스 데이비드</t>
  </si>
  <si>
    <t>감독: Kwon Hyung-jin
주연: 엄정화, 신의재, 박용우</t>
  </si>
  <si>
    <t>감독: 데이비드 매밋
주연: 조 맨테그나, 윌리엄 H. 메이시, Vincent Guastaferro</t>
  </si>
  <si>
    <t>감독: 冨永昌敬
주연: 臼田あさ美, 나카노 타이가, 오다기리 조</t>
  </si>
  <si>
    <t>감독: Jeff Baena
주연: 앨리슨 브리, 데비 라이언, 존 레이놀즈</t>
  </si>
  <si>
    <t>감독: Matt Charman
주연: Suranne Jones, 줄리 델피, Corey Mylchreest</t>
  </si>
  <si>
    <t>감독: Terry George
주연: 돈 치들, 소피 오코네도, 닉 놀티</t>
  </si>
  <si>
    <t>감독: Anthony Maras
주연: 데브 파텔, 아미 해머, نازنین بنیادی</t>
  </si>
  <si>
    <t>감독: 데이비드 프랭클
주연: 메릴 스트립, 토미 리 존스, 스티브 카렐</t>
  </si>
  <si>
    <t>감독: 맷 리브스
주연: 앤디 서키스, 제이슨 클라크, 토비 케블</t>
  </si>
  <si>
    <t>감독: 맷 리브스
주연: 앤디 서키스, 우디 해럴슨, 케린 코너벌</t>
  </si>
  <si>
    <t>감독: 루퍼트 와이어트
주연: 앤디 서키스, 제임스 프랭코, 프리다 핀토</t>
  </si>
  <si>
    <t>감독: Stephen Belber
주연: 콜먼 도밍고, 마샤 스테파니 블레이크, Deon Cole</t>
  </si>
  <si>
    <t>감독: Stephen Herek
주연: 리처드 드라이퍼스, Glenne Headly, Jay Thomas</t>
  </si>
  <si>
    <t>감독: Charles Kinnane, Daniel Kinnane
주연: 케빈 제임스, 테일러 로트너, 롭 슈나이더</t>
  </si>
  <si>
    <t>감독: 하워드 고든, Alex Gansa
주연: 클레어 데인즈, 맨디 파틴킨, Maury Sterling</t>
  </si>
  <si>
    <t>감독: عبد الرحمن ظاهر
주연: عبد الرحمن ظاهر, Mahmoud Rizk, Ola Yaseen (علا ياسين)</t>
  </si>
  <si>
    <t>감독: 張國立
주연: 陈宝国, 马少骅, 冯恩鹤</t>
  </si>
  <si>
    <t>주연: سمر سامي, نادين تحسين بيك, Mohammad Hadaki</t>
  </si>
  <si>
    <t>감독: Yali He</t>
  </si>
  <si>
    <t>감독: Gary Fleder
주연: 제이슨 스타뎀, 제임스 프랭코, Izabela Vidovic</t>
  </si>
  <si>
    <t>감독: 왕가위
주연: 장만옥, 양조위, 萧炳林</t>
  </si>
  <si>
    <t>감독: 장준환
주연: 김윤석, 여진구, 조진웅</t>
  </si>
  <si>
    <t>감독: 코르넬 문드럭초
주연: Psotta Zsófia, Luke, Body</t>
  </si>
  <si>
    <t>감독: Gilles de Maistre
주연: Daniah De Villiers, 멜라니 로랑, Langley Kirkwood</t>
  </si>
  <si>
    <t>감독: Tristan Ofield
주연: Siddhii Lagrutta, David McCaffrey</t>
  </si>
  <si>
    <t>감독: Robert Crombie, Sofya Skya
주연: 크리스찬 슬레이터, Sofya Skya, 콜 하우저</t>
  </si>
  <si>
    <t>감독: 리들리 스콧
주연: 제프 브리지스, 캐럴라인 구돌, 존 세비지</t>
  </si>
  <si>
    <t>감독: 랄프 파인즈
주연: Oleg Ivenko, 아델 에그자르코풀로스, Чулпан Хаматова</t>
  </si>
  <si>
    <t>감독: Juraj Herz
주연: Rudolf Hrušínský, Vlasta Chramostová, Jana Stehnová</t>
  </si>
  <si>
    <t>감독: 松永大司
주연: 노다 요지로, 스기사키 하나, 릴리 프랭키</t>
  </si>
  <si>
    <t>감독: 변영주
주연: 김민희, 이선균, 조성하</t>
  </si>
  <si>
    <t>감독: 우디 앨런
주연: 안토니오 반데라스, 조쉬 브롤린, 안소니 홉킨스</t>
  </si>
  <si>
    <t>감독: 시미즈 다카시
주연: 優香, 시이나 킷페이, 杉本哲太</t>
  </si>
  <si>
    <t>감독: Mark Rydell
주연: 캐서린 헵번, 헨리 폰다, 제인 폰다</t>
  </si>
  <si>
    <t>감독: 허안화
주연: 탕웨이, 풍소봉, Zhiwen Wang</t>
  </si>
  <si>
    <t>178분</t>
  </si>
  <si>
    <t>감독: Mark Dindal
주연: 데이비드 스페이드, 존 굿맨, Eartha Kitt</t>
  </si>
  <si>
    <t>감독: 나홍진
주연: 하정우, 김윤석, 조성하</t>
  </si>
  <si>
    <t>감독: Andrew Martin
주연: Martin Beach, Lucio Aguilar, Boris Bosilkov</t>
  </si>
  <si>
    <t>감독: 김대승
주연: 조여정, 김동욱, 김민준</t>
  </si>
  <si>
    <t>감독: 鶴橋康夫
주연: 大竹しのぶ, 토요카와 에츠시, 笑福亭鶴瓶</t>
  </si>
  <si>
    <t>감독: 장률
주연: 권해효, 윤제문, 박소담</t>
  </si>
  <si>
    <t>감독: 마틴 스콜세지
주연: 에이사 버터필드, 벤 킹슬리, 클로이 그레이스 모레츠</t>
  </si>
  <si>
    <t>감독: 로버트 벤턴
주연: 안소니 홉킨스, 니콜 키드먼, 에드 해리스</t>
  </si>
  <si>
    <t>감독: Jonathan Brackley, Sam Vincent
주연: 캐서린 파킨슨, 젬마 찬, Colin Morgan</t>
  </si>
  <si>
    <t>감독: Justin Willman
주연: Justin Willman</t>
  </si>
  <si>
    <t>감독: 류승완
주연: 조인성, 박정민, 박해준, 신세경</t>
  </si>
  <si>
    <t>2026-04-02</t>
  </si>
  <si>
    <t>감독: 白石和彌
주연: 야마다 타카유키, 이케와키 치즈루, 릴리 프랭키</t>
  </si>
  <si>
    <t>감독: 데브라 그래닉
주연: 토마신 맥켄지, 벤 포스터, Jeff Kober</t>
  </si>
  <si>
    <t>감독: Cho Keun-hyun
주연: 정우, 김주혁, 정진영</t>
  </si>
  <si>
    <t>감독: Kristof Hoornaert
주연: Gilles De Schryver, Johan Leysen, Kris Cuppens</t>
  </si>
  <si>
    <t>감독: David A. Armstrong
주연: Sean Faris, 포레스트 휘태커, 니키 리드</t>
  </si>
  <si>
    <t>감독: Salvo Cuccia
주연: Filippo Luna, Barbara Tabita, Paolo Briguglia</t>
  </si>
  <si>
    <t>감독: 김대우
주연: 송승헌, 조여정, 박지현</t>
  </si>
  <si>
    <t>감독: Andrés Baiz
주연: Quim Gutiérrez, Martina García, Clara Lago</t>
  </si>
  <si>
    <t>감독: Theodore Melfi
주연: 타라지 P. 헨슨, 옥타비아 스펜서, 자넬 모네</t>
  </si>
  <si>
    <t>감독: Brad Furman
주연: 저스틴 팀버레이크, 벤 애플렉, 젬마 아터턴</t>
  </si>
  <si>
    <t>감독: 平松恵美子
주연: 사카이 마사토, 나카타니 미키, 단 레이</t>
  </si>
  <si>
    <t>감독: 이석훈
주연: 황정민, 정우, 조성하</t>
  </si>
  <si>
    <t>감독: Ed Atkins</t>
  </si>
  <si>
    <t>감독: Tanya Wexler
주연: 메기 질렌할, Hugh Dancy, 조너선 프라이스</t>
  </si>
  <si>
    <t>감독: Frank Coraci
주연: 케빈 제임스, 셀마 헤이엑, 헨리 윙클러</t>
  </si>
  <si>
    <t>감독: 클린트 이스트우드
주연: 맷 데이먼, 세실 드 프랑스, 브라이스 댈러스 하워드</t>
  </si>
  <si>
    <t>감독: 마이클 만
주연: 알 파치노, 로버트 드 니로, 발 킬머</t>
  </si>
  <si>
    <t>감독: Xavier Gens
주연: 티모시 올리펀트, 두그레이 스콧, 올가 쿠릴렌코</t>
  </si>
  <si>
    <t>감독: Evelyn Purcell
주연: 스티븐 도프, Svetlana Metkina, 메이지 윌리엄스</t>
  </si>
  <si>
    <t>감독: Oliver Hirschbiegel
주연: 브루노 간츠, 알렉산드라 마리아 라라, Corinna Harfouch</t>
  </si>
  <si>
    <t>감독: 론 하워드
주연: 에이미 아담스, 글렌 클로즈, 게이브리얼 배소</t>
  </si>
  <si>
    <t>감독: 로버트 로드리게즈
주연: 벤 애플렉, 앨리스 브라가, 윌리엄 피츠너</t>
  </si>
  <si>
    <t>로맨스</t>
  </si>
  <si>
    <t>감독: 
주연: 잉리 볼쇠 베르달, 안네르스 보스모, 알마 귄테르</t>
  </si>
  <si>
    <t>기타</t>
  </si>
  <si>
    <t>재난, 드라마</t>
  </si>
  <si>
    <t>감독: 필 로드, 크리스 밀러
주연: 라이언 고슬링, 산드라 휠러</t>
  </si>
  <si>
    <t>2026-04-16</t>
  </si>
  <si>
    <t>감독: 미야케 쇼
주연: 심은경, 카와이 유미, 츠츠미 신이치</t>
  </si>
  <si>
    <t>2026-04-17</t>
  </si>
  <si>
    <t>2020-12-31</t>
  </si>
  <si>
    <t>2014-12-31</t>
  </si>
  <si>
    <t>2021-12-31</t>
  </si>
  <si>
    <t>2012-12-31</t>
  </si>
  <si>
    <t>2015-12-31</t>
  </si>
  <si>
    <t>2016-12-31</t>
  </si>
  <si>
    <t>2018-12-31</t>
  </si>
  <si>
    <t>2017-12-31</t>
  </si>
  <si>
    <t>2019-12-31</t>
  </si>
  <si>
    <t>2022-12-31</t>
  </si>
  <si>
    <t>2023-12-31</t>
  </si>
  <si>
    <t>2007-12-31</t>
  </si>
  <si>
    <t>2024-12-31</t>
  </si>
  <si>
    <t>2003-12-31</t>
  </si>
  <si>
    <t>2008-12-31</t>
  </si>
  <si>
    <t>2013-12-31</t>
  </si>
  <si>
    <t>1998-12-31</t>
  </si>
  <si>
    <t>2009-12-31</t>
  </si>
  <si>
    <t>2011-12-31</t>
  </si>
  <si>
    <t>2010-12-31</t>
  </si>
  <si>
    <t>1999-12-31</t>
  </si>
  <si>
    <t>2001-12-31</t>
  </si>
  <si>
    <t>2000-12-31</t>
  </si>
  <si>
    <t>2025-12-31</t>
  </si>
  <si>
    <t>2006-12-31</t>
  </si>
  <si>
    <t>2005-12-31</t>
  </si>
  <si>
    <t>2004-12-31</t>
  </si>
  <si>
    <t>1996-12-31</t>
  </si>
  <si>
    <t>1990-12-31</t>
  </si>
  <si>
    <t>1991-12-31</t>
  </si>
  <si>
    <t>2002-12-31</t>
  </si>
  <si>
    <t>1994-12-31</t>
  </si>
  <si>
    <t>1986-12-31</t>
  </si>
  <si>
    <t>1993-12-31</t>
  </si>
  <si>
    <t>1997-12-31</t>
  </si>
  <si>
    <t>1972-12-31</t>
  </si>
  <si>
    <t>1974-12-31</t>
  </si>
  <si>
    <t>1992-12-31</t>
  </si>
  <si>
    <t>1970-12-31</t>
  </si>
  <si>
    <t>1995-12-31</t>
  </si>
  <si>
    <t>1950-12-31</t>
  </si>
  <si>
    <t>1989-12-31</t>
  </si>
  <si>
    <t>1939-12-31</t>
  </si>
  <si>
    <t>1985-12-31</t>
  </si>
  <si>
    <t>1979-12-31</t>
  </si>
  <si>
    <t>1987-12-31</t>
  </si>
  <si>
    <t>1984-12-31</t>
  </si>
  <si>
    <t>1988-12-31</t>
  </si>
  <si>
    <t>1973-12-31</t>
  </si>
  <si>
    <t>1961-12-31</t>
  </si>
  <si>
    <t>1981-12-31</t>
  </si>
  <si>
    <t>감독: 토니 스콧
주연: 톰 크루즈, 켈리 맥길리스</t>
    <phoneticPr fontId="2" type="noConversion"/>
  </si>
  <si>
    <t>미국</t>
    <phoneticPr fontId="2" type="noConversion"/>
  </si>
  <si>
    <t>영화</t>
    <phoneticPr fontId="2" type="noConversion"/>
  </si>
  <si>
    <t>드라마</t>
    <phoneticPr fontId="2" type="noConversion"/>
  </si>
  <si>
    <t>109분</t>
    <phoneticPr fontId="2" type="noConversion"/>
  </si>
  <si>
    <t>104분</t>
    <phoneticPr fontId="2" type="noConversion"/>
  </si>
  <si>
    <t>감독: 장이머우, 톈좡좡
주연: 판빙빙, 여명, 오존</t>
    <phoneticPr fontId="2" type="noConversion"/>
  </si>
  <si>
    <t xml:space="preserve">감독: 이상일
주연: 와타나베 켄, 에모토 아키라, 사토 코이치 </t>
    <phoneticPr fontId="2" type="noConversion"/>
  </si>
  <si>
    <t>대한민국</t>
    <phoneticPr fontId="2" type="noConversion"/>
  </si>
  <si>
    <t>114분</t>
    <phoneticPr fontId="2" type="noConversion"/>
  </si>
  <si>
    <t>감독: 전계수
주연: 천우희, 유태오, 정재광</t>
    <phoneticPr fontId="2" type="noConversion"/>
  </si>
  <si>
    <t>95분</t>
    <phoneticPr fontId="2" type="noConversion"/>
  </si>
  <si>
    <t>감독: 프랭크 A.카펠로
주연: 크리스찬 슬레이터, 윌리암 H.머시, 엘리샤 커스버트</t>
    <phoneticPr fontId="2" type="noConversion"/>
  </si>
  <si>
    <t>일본</t>
    <phoneticPr fontId="2" type="noConversion"/>
  </si>
  <si>
    <t>111분</t>
    <phoneticPr fontId="2" type="noConversion"/>
  </si>
  <si>
    <t>감독: 오가타 아키라
주연: 키치세 미치코, 아베 히로시</t>
    <phoneticPr fontId="2" type="noConversion"/>
  </si>
  <si>
    <r>
      <t>감독: 小泉堯史
주연: 야쿠쇼 코지, 오카다 준이치, 堀北</t>
    </r>
    <r>
      <rPr>
        <sz val="9"/>
        <rFont val="맑은 고딕"/>
        <family val="2"/>
        <scheme val="minor"/>
      </rPr>
      <t>真</t>
    </r>
    <r>
      <rPr>
        <sz val="9"/>
        <rFont val="맑은 고딕"/>
        <family val="3"/>
        <charset val="129"/>
        <scheme val="minor"/>
      </rPr>
      <t>希</t>
    </r>
  </si>
  <si>
    <r>
      <t>감독: 根岸吉太</t>
    </r>
    <r>
      <rPr>
        <sz val="9"/>
        <rFont val="맑은 고딕"/>
        <family val="2"/>
        <scheme val="minor"/>
      </rPr>
      <t xml:space="preserve">郎
</t>
    </r>
    <r>
      <rPr>
        <sz val="9"/>
        <rFont val="맑은 고딕"/>
        <family val="3"/>
        <charset val="129"/>
        <scheme val="minor"/>
      </rPr>
      <t>주연: 타케우치 유코, 이세야 유스케, 古田新太</t>
    </r>
  </si>
  <si>
    <r>
      <t>감독: 니나가와 미카
주연: 츠치야 안나, 시이나 킷페이, 成宮</t>
    </r>
    <r>
      <rPr>
        <sz val="9"/>
        <rFont val="맑은 고딕"/>
        <family val="2"/>
        <scheme val="minor"/>
      </rPr>
      <t>寛</t>
    </r>
    <r>
      <rPr>
        <sz val="9"/>
        <rFont val="맑은 고딕"/>
        <family val="3"/>
        <charset val="129"/>
        <scheme val="minor"/>
      </rPr>
      <t>貴</t>
    </r>
  </si>
  <si>
    <r>
      <t>감독: 本</t>
    </r>
    <r>
      <rPr>
        <sz val="9"/>
        <rFont val="맑은 고딕"/>
        <family val="2"/>
        <scheme val="minor"/>
      </rPr>
      <t>広</t>
    </r>
    <r>
      <rPr>
        <sz val="9"/>
        <rFont val="맑은 고딕"/>
        <family val="3"/>
        <charset val="129"/>
        <scheme val="minor"/>
      </rPr>
      <t xml:space="preserve">克行
주연: 안도 마사노부, 스즈키 쿄카, </t>
    </r>
    <r>
      <rPr>
        <sz val="9"/>
        <rFont val="맑은 고딕"/>
        <family val="2"/>
        <scheme val="minor"/>
      </rPr>
      <t>内</t>
    </r>
    <r>
      <rPr>
        <sz val="9"/>
        <rFont val="맑은 고딕"/>
        <family val="3"/>
        <charset val="129"/>
        <scheme val="minor"/>
      </rPr>
      <t>山理名</t>
    </r>
  </si>
  <si>
    <r>
      <t>감독: 장이머우
주연: 李雪健, 成泰</t>
    </r>
    <r>
      <rPr>
        <sz val="9"/>
        <rFont val="맑은 고딕"/>
        <family val="2"/>
        <scheme val="minor"/>
      </rPr>
      <t>燊</t>
    </r>
    <r>
      <rPr>
        <sz val="9"/>
        <rFont val="맑은 고딕"/>
        <family val="3"/>
        <charset val="129"/>
        <scheme val="minor"/>
      </rPr>
      <t>, 주동우</t>
    </r>
  </si>
  <si>
    <r>
      <t>감독: Oto Ueda
주연: 小林</t>
    </r>
    <r>
      <rPr>
        <sz val="9"/>
        <rFont val="맑은 고딕"/>
        <family val="2"/>
        <scheme val="minor"/>
      </rPr>
      <t>聡</t>
    </r>
    <r>
      <rPr>
        <sz val="9"/>
        <rFont val="맑은 고딕"/>
        <family val="3"/>
        <charset val="129"/>
        <scheme val="minor"/>
      </rPr>
      <t>美, 이치카와 미카코, 미츠이시 켄</t>
    </r>
  </si>
  <si>
    <r>
      <t xml:space="preserve">감독: </t>
    </r>
    <r>
      <rPr>
        <sz val="9"/>
        <rFont val="맑은 고딕"/>
        <family val="2"/>
        <scheme val="minor"/>
      </rPr>
      <t>杨</t>
    </r>
    <r>
      <rPr>
        <sz val="9"/>
        <rFont val="맑은 고딕"/>
        <family val="3"/>
        <charset val="129"/>
        <scheme val="minor"/>
      </rPr>
      <t xml:space="preserve">子
주연: </t>
    </r>
    <r>
      <rPr>
        <sz val="9"/>
        <rFont val="맑은 고딕"/>
        <family val="2"/>
        <scheme val="minor"/>
      </rPr>
      <t>郎</t>
    </r>
    <r>
      <rPr>
        <sz val="9"/>
        <rFont val="맑은 고딕"/>
        <family val="3"/>
        <charset val="129"/>
        <scheme val="minor"/>
      </rPr>
      <t>月婷, 王</t>
    </r>
    <r>
      <rPr>
        <sz val="9"/>
        <rFont val="맑은 고딕"/>
        <family val="2"/>
        <scheme val="minor"/>
      </rPr>
      <t>杍</t>
    </r>
    <r>
      <rPr>
        <sz val="9"/>
        <rFont val="맑은 고딕"/>
        <family val="3"/>
        <charset val="129"/>
        <scheme val="minor"/>
      </rPr>
      <t>逸, 余</t>
    </r>
    <r>
      <rPr>
        <sz val="9"/>
        <rFont val="맑은 고딕"/>
        <family val="2"/>
        <scheme val="minor"/>
      </rPr>
      <t>皑</t>
    </r>
    <r>
      <rPr>
        <sz val="9"/>
        <rFont val="맑은 고딕"/>
        <family val="3"/>
        <charset val="129"/>
        <scheme val="minor"/>
      </rPr>
      <t>磊</t>
    </r>
  </si>
  <si>
    <r>
      <t>감독: 北川</t>
    </r>
    <r>
      <rPr>
        <sz val="9"/>
        <rFont val="맑은 고딕"/>
        <family val="2"/>
        <scheme val="minor"/>
      </rPr>
      <t>悦</t>
    </r>
    <r>
      <rPr>
        <sz val="9"/>
        <rFont val="맑은 고딕"/>
        <family val="3"/>
        <charset val="129"/>
        <scheme val="minor"/>
      </rPr>
      <t>吏子
주연: 무카이 오사무, 나카야마 미호, 키리타니 미레이</t>
    </r>
  </si>
  <si>
    <t>코미디</t>
    <phoneticPr fontId="2" type="noConversion"/>
  </si>
  <si>
    <t>88분</t>
    <phoneticPr fontId="2" type="noConversion"/>
  </si>
  <si>
    <t>감독: 마이클 코렌트
주연: 피터 파시넬리, 제이미 알렉산더, 마이클 매디슨, 조 판토리아노, 빈센트 갈로</t>
    <phoneticPr fontId="2" type="noConversion"/>
  </si>
  <si>
    <t>범죄</t>
    <phoneticPr fontId="2" type="noConversion"/>
  </si>
  <si>
    <t>100분</t>
    <phoneticPr fontId="2" type="noConversion"/>
  </si>
  <si>
    <t>125분</t>
    <phoneticPr fontId="2" type="noConversion"/>
  </si>
  <si>
    <t>99분</t>
    <phoneticPr fontId="2" type="noConversion"/>
  </si>
  <si>
    <t>다큐</t>
    <phoneticPr fontId="2" type="noConversion"/>
  </si>
  <si>
    <t>3부작</t>
    <phoneticPr fontId="2" type="noConversion"/>
  </si>
  <si>
    <t>제작: KBS
내레이션: 한효주</t>
    <phoneticPr fontId="2" type="noConversion"/>
  </si>
  <si>
    <t>제작: KBS</t>
    <phoneticPr fontId="2" type="noConversion"/>
  </si>
  <si>
    <t>4부작</t>
    <phoneticPr fontId="2" type="noConversion"/>
  </si>
  <si>
    <r>
      <rPr>
        <b/>
        <sz val="14"/>
        <color rgb="FFC9A84C"/>
        <rFont val="Segoe UI Emoji"/>
        <family val="2"/>
      </rPr>
      <t>🎬</t>
    </r>
    <r>
      <rPr>
        <b/>
        <sz val="14"/>
        <color rgb="FFC9A84C"/>
        <rFont val="Arial"/>
        <family val="2"/>
      </rPr>
      <t xml:space="preserve">  </t>
    </r>
    <r>
      <rPr>
        <b/>
        <sz val="14"/>
        <color rgb="FFC9A84C"/>
        <rFont val="맑은 고딕"/>
        <family val="3"/>
        <charset val="129"/>
      </rPr>
      <t>영화</t>
    </r>
    <r>
      <rPr>
        <b/>
        <sz val="14"/>
        <color rgb="FFC9A84C"/>
        <rFont val="Arial"/>
        <family val="2"/>
      </rPr>
      <t xml:space="preserve"> DB — </t>
    </r>
    <r>
      <rPr>
        <b/>
        <sz val="14"/>
        <color rgb="FFC9A84C"/>
        <rFont val="맑은 고딕"/>
        <family val="3"/>
        <charset val="129"/>
      </rPr>
      <t>수정</t>
    </r>
    <r>
      <rPr>
        <b/>
        <sz val="14"/>
        <color rgb="FFC9A84C"/>
        <rFont val="Arial"/>
        <family val="2"/>
      </rPr>
      <t xml:space="preserve"> </t>
    </r>
    <r>
      <rPr>
        <b/>
        <sz val="14"/>
        <color rgb="FFC9A84C"/>
        <rFont val="맑은 고딕"/>
        <family val="3"/>
        <charset val="129"/>
      </rPr>
      <t>완료본</t>
    </r>
    <phoneticPr fontId="2" type="noConversion"/>
  </si>
  <si>
    <t>제작: 넷플릭스
주연: 이시바시 나츠미, 나카무라 아오이</t>
    <phoneticPr fontId="2" type="noConversion"/>
  </si>
  <si>
    <t>영국</t>
    <phoneticPr fontId="2" type="noConversion"/>
  </si>
  <si>
    <t xml:space="preserve">감독: 초노 히로시
주연: 다케노우치 유타카, 마츠유키 야스코, 사카구치 켄타로, 쿠로시마 유이나
</t>
    <phoneticPr fontId="2" type="noConversion"/>
  </si>
  <si>
    <t>110분</t>
    <phoneticPr fontId="2" type="noConversion"/>
  </si>
  <si>
    <t>오스트레일리아</t>
    <phoneticPr fontId="2" type="noConversion"/>
  </si>
  <si>
    <t>75분</t>
    <phoneticPr fontId="2" type="noConversion"/>
  </si>
  <si>
    <t>감독: 데이빗 로치, 워릭 로스</t>
    <phoneticPr fontId="2" type="noConversion"/>
  </si>
  <si>
    <t>미국</t>
    <phoneticPr fontId="2" type="noConversion"/>
  </si>
  <si>
    <t>드라마</t>
    <phoneticPr fontId="2" type="noConversion"/>
  </si>
  <si>
    <t>로멘스</t>
    <phoneticPr fontId="2" type="noConversion"/>
  </si>
  <si>
    <t>10부작</t>
    <phoneticPr fontId="2" type="noConversion"/>
  </si>
  <si>
    <t>제작: 넷플릭스
주연: 알렉산드라 브레킨리지, 마틴 헨더슨, 팀 매서슨</t>
    <phoneticPr fontId="2" type="noConversion"/>
  </si>
  <si>
    <t>한국</t>
    <phoneticPr fontId="2" type="noConversion"/>
  </si>
  <si>
    <t>감독: 장항준
주연: 유해진, 박지훈, 유지태, 전미도, 김민</t>
    <phoneticPr fontId="2" type="noConversion"/>
  </si>
  <si>
    <t>117분</t>
    <phoneticPr fontId="2" type="noConversion"/>
  </si>
  <si>
    <t>6부작</t>
    <phoneticPr fontId="2" type="noConversion"/>
  </si>
  <si>
    <t>제작: 테일러 셰리던
주연: 	미셸 파이퍼, 커트 러셀, 패트릭 J. 애덤스, 엘 채프먼, 매슈 폭스</t>
    <phoneticPr fontId="2" type="noConversion"/>
  </si>
  <si>
    <t>12부작</t>
    <phoneticPr fontId="2" type="noConversion"/>
  </si>
  <si>
    <t>범죄, 드라마</t>
    <phoneticPr fontId="2" type="noConversion"/>
  </si>
  <si>
    <t>제작: 딕 울프(Dick Wolf)
주연: 톰 엘리스, Nick Gehlfuss, Natalee Linez, Necar Zadegan</t>
    <phoneticPr fontId="2" type="noConversion"/>
  </si>
  <si>
    <t>제작: 	앤트완 퓨콰, 엘런 쿠라스
주연: 	크리스 프랫, 테일러 키치, 콘스턴스 우, 진 트리플혼</t>
    <phoneticPr fontId="2" type="noConversion"/>
  </si>
  <si>
    <t>8부작</t>
    <phoneticPr fontId="2" type="noConversion"/>
  </si>
  <si>
    <t>스릴러</t>
    <phoneticPr fontId="2" type="noConversion"/>
  </si>
  <si>
    <t xml:space="preserve">감독: 아담 아킨 / 가이 퍼랜드
주연: 가브리엘 바쏘 / 루시안 뷰캐넌 / 홍 차우 </t>
    <phoneticPr fontId="2" type="noConversion"/>
  </si>
  <si>
    <t>13부작</t>
    <phoneticPr fontId="2" type="noConversion"/>
  </si>
  <si>
    <t>감독: 
주연: 루크 그림즈, 로건 마샬 그린, 아리엘 케벨, 애쉬 산토스</t>
    <phoneticPr fontId="2" type="noConversion"/>
  </si>
  <si>
    <t>9부작</t>
    <phoneticPr fontId="2" type="noConversion"/>
  </si>
  <si>
    <t>감독: 
주연: 스콧 스피드먼, Jaina Lee Ortiz, 케빈 랭킨, Adelaide Clemens, Bevin Bru</t>
    <phoneticPr fontId="2" type="noConversion"/>
  </si>
  <si>
    <t>드라마, 코미디, 범죄</t>
    <phoneticPr fontId="2" type="noConversion"/>
  </si>
  <si>
    <t>15부작</t>
    <phoneticPr fontId="2" type="noConversion"/>
  </si>
  <si>
    <t>감독: R. 스콧 젬밀, 노아 와일리 외
주연: 노아 와일리, 트레이시 이파처, 패트릭 볼, 캐서린 라나사 외</t>
    <phoneticPr fontId="2" type="noConversion"/>
  </si>
  <si>
    <t xml:space="preserve">	
의학 드라마</t>
    <phoneticPr fontId="2" type="noConversion"/>
  </si>
  <si>
    <t>16부작</t>
    <phoneticPr fontId="2" type="noConversion"/>
  </si>
  <si>
    <t>감독: 데이빗 고든 그린, 샬롯 브랜스트롬, 엘렌 쿠라스
주연: 니콜 키드먼, 제이미 리 커티스, 바비 카나베일, 사이먼 베이커</t>
    <phoneticPr fontId="2" type="noConversion"/>
  </si>
  <si>
    <t>드라마, 범죄, 미스터리</t>
    <phoneticPr fontId="2" type="noConversion"/>
  </si>
  <si>
    <t>감독: 데이빗 프랭클
주연: 메릴 스트립, 앤 헤서웨이, 에밀리 블런트, 스탠리 투치</t>
    <phoneticPr fontId="2" type="noConversion"/>
  </si>
  <si>
    <t>119분</t>
    <phoneticPr fontId="2" type="noConversion"/>
  </si>
  <si>
    <t>감독: 데이빗 고든 그린
주연: 타티아나 마슬라니, 제이크 존슨, 돌리 데 레온, 제시 호지스</t>
    <phoneticPr fontId="2" type="noConversion"/>
  </si>
  <si>
    <t>스릴러, 범죄</t>
    <phoneticPr fontId="2" type="noConversion"/>
  </si>
  <si>
    <t>범죄, 드라마, 느와르</t>
    <phoneticPr fontId="2" type="noConversion"/>
  </si>
  <si>
    <t>감독: 앨런 포울, 마이클 만, 데스틴 대니얼 크레턴
주연: 안셀 엘고트, 와타나베 켄 외</t>
    <phoneticPr fontId="2" type="noConversion"/>
  </si>
  <si>
    <t>서부, 드라마</t>
    <phoneticPr fontId="2" type="noConversion"/>
  </si>
  <si>
    <t>감독: 크리스티나 A. 보로스
주연: 켈리 라일리, 콜 하우저 외</t>
    <phoneticPr fontId="2" type="noConversion"/>
  </si>
  <si>
    <t>감독: 자움 콜렛 세라
주연: 블레이크 라이블리, 오스카르 하에나다, 앙헬로 호수에 로사노 코르소, 조지프 살라스</t>
    <phoneticPr fontId="2" type="noConversion"/>
  </si>
  <si>
    <t>스릴러, 재난, 공포, 드라마</t>
    <phoneticPr fontId="2" type="noConversion"/>
  </si>
  <si>
    <t>86분</t>
    <phoneticPr fontId="2" type="noConversion"/>
  </si>
  <si>
    <t>액션, 범죄, 스릴러</t>
    <phoneticPr fontId="2" type="noConversion"/>
  </si>
  <si>
    <t>제작: 스튜디오S, 판타지오
주연: 소지섭, 최대훈, 윤경호, 주상욱, 손나은 外</t>
    <phoneticPr fontId="2" type="noConversion"/>
  </si>
  <si>
    <t>감독: 조지 뱅크스-데이비스(Georgi Banks-Davies)
주연: 톰 히들스턴, 올리비아 콜먼, 알리스테어 페트리, 노아 주프 외</t>
    <phoneticPr fontId="2" type="noConversion"/>
  </si>
  <si>
    <t>액션, 드라마, 서스펜스</t>
    <phoneticPr fontId="2" type="noConversion"/>
  </si>
  <si>
    <t>20부작</t>
    <phoneticPr fontId="2" type="noConversion"/>
  </si>
  <si>
    <t>드라마, 스릴러, 수사물, 범죄</t>
    <phoneticPr fontId="2" type="noConversion"/>
  </si>
  <si>
    <t>감독: 켄 올린
주연: 저스틴 하틀리, 피오나 르네, 애비 맥이너니</t>
    <phoneticPr fontId="2" type="noConversion"/>
  </si>
  <si>
    <t>감독: 켄 올린, 베사니 루니
주연: 저스틴 하틀리, 피오나 르네, 애비 맥이너니</t>
    <phoneticPr fontId="2" type="noConversion"/>
  </si>
  <si>
    <t>감독: 아만다 마살리스 , 존 S. 베어드 , S.J. 클락슨 , 리드 모라노외
주연: 하비에르 바르뎀 , 에이미 아담스 , 패트릭 윌슨 , 조 앤더스 , 릴리 콜리아스</t>
    <phoneticPr fontId="2" type="noConversion"/>
  </si>
  <si>
    <t>드라마, 스릴러</t>
    <phoneticPr fontId="2" type="noConversion"/>
  </si>
  <si>
    <t>22부작</t>
    <phoneticPr fontId="2" type="noConversion"/>
  </si>
  <si>
    <t>범죄/드라마/코미디/TV드라마</t>
    <phoneticPr fontId="2" type="noConversion"/>
  </si>
  <si>
    <t>14부작</t>
    <phoneticPr fontId="2" type="noConversion"/>
  </si>
  <si>
    <t>제작: 제프 이스틴
주연: 맷 보머, 티파니 티센, 팀 디케이, 윌리 가슨, 나탈리 모랄레스</t>
    <phoneticPr fontId="2" type="noConversion"/>
  </si>
  <si>
    <t>06부작</t>
    <phoneticPr fontId="2" type="noConversion"/>
  </si>
  <si>
    <t>범죄, 미스터리, 액션, 스릴러, 드라마</t>
    <phoneticPr fontId="2" type="noConversion"/>
  </si>
  <si>
    <t>제작: 로버트 헐
주연: 샘 워딩턴,브릿 로어, 마일로 벤티밀리아, 에린 리처즈, 조너선 터커 외</t>
    <phoneticPr fontId="2" type="noConversion"/>
  </si>
  <si>
    <t>제작: 개빈 오코너
주연: 매튜 리즈,  케리 러셀,  노아 엠머리히,  맥시밀리아노 헤르난데즈 외</t>
    <phoneticPr fontId="2" type="noConversion"/>
  </si>
  <si>
    <t>첩보, 드라마</t>
    <phoneticPr fontId="2" type="noConversion"/>
  </si>
  <si>
    <t>07부작</t>
    <phoneticPr fontId="2" type="noConversion"/>
  </si>
  <si>
    <t>제작: 메레디스 L. 디틀로우, 마리사 스테이플리
주연: 안야 테일러 조이, 아네트 베닝, 티머시 올리펀트, 안저뉴 엘리스테일러</t>
    <phoneticPr fontId="2" type="noConversion"/>
  </si>
  <si>
    <t>제작: 장 프롱사와 리셰
주연: 제이슨 스타뎀, 애너벨 월리스, 제이슨 웡, 롤랜드 뫼엘러</t>
    <phoneticPr fontId="2" type="noConversion"/>
  </si>
  <si>
    <t>액션, 스릴러</t>
    <phoneticPr fontId="2" type="noConversion"/>
  </si>
  <si>
    <t>107분</t>
    <phoneticPr fontId="2" type="noConversion"/>
  </si>
  <si>
    <t>감독: 레니 할린
주연: 에런 엑하트, 앵거스 샘슨, 벤 킹슬리, 루시 배럿, 몰리 벨 라이트 외</t>
    <phoneticPr fontId="2" type="noConversion"/>
  </si>
  <si>
    <t>감독: 드류 고다드
주연: 케이틀린 올슨, 다니엘 순자타 외</t>
    <phoneticPr fontId="2" type="noConversion"/>
  </si>
  <si>
    <t>수사물, 범죄</t>
    <phoneticPr fontId="2" type="noConversion"/>
  </si>
  <si>
    <t>124분</t>
    <phoneticPr fontId="2" type="noConversion"/>
  </si>
  <si>
    <t>감독: 쿠마자와 나오토
주연: 사카구치 켄타로, 와타나베 켄 외</t>
    <phoneticPr fontId="2" type="noConversion"/>
  </si>
  <si>
    <t>미스테리</t>
    <phoneticPr fontId="2" type="noConversion"/>
  </si>
  <si>
    <t>18부작</t>
    <phoneticPr fontId="2" type="noConversion"/>
  </si>
  <si>
    <t>연출: 제임스 애시크로프트
주연: 로버트 드니로, 애덤 스콧, 미셸 모나한, 해미시 링클레이터, 오언 티그 외</t>
    <phoneticPr fontId="2" type="noConversion"/>
  </si>
  <si>
    <t>113분</t>
    <phoneticPr fontId="2" type="noConversion"/>
  </si>
  <si>
    <t>감독: 샘 밀러, 헤티 맥도널드
주연: 소피 터너, 제이컵 포춘 로이드(제이콥 포춘 로이드), 아치 마데크웨 외</t>
    <phoneticPr fontId="2" type="noConversion"/>
  </si>
  <si>
    <t>제작: 숀 포겔
주연: 클레어 데인즈, 매튜 리스, 브리타니 스노우, 나탈리 모랄레스 外</t>
    <phoneticPr fontId="2" type="noConversion"/>
  </si>
  <si>
    <t>감독: 가이 리치
주연: 클헨리 카빌, 제이크 질렌할, 에이사 곤살레스, 로저먼드 파이크 외</t>
    <phoneticPr fontId="2" type="noConversion"/>
  </si>
  <si>
    <t>액션, 범죄, 하이스트, 코미디</t>
    <phoneticPr fontId="2" type="noConversion"/>
  </si>
  <si>
    <t>97분</t>
    <phoneticPr fontId="2" type="noConversion"/>
  </si>
  <si>
    <t>드라마,범죄,미스터리</t>
    <phoneticPr fontId="2" type="noConversion"/>
  </si>
  <si>
    <t>제작: Oli Russell,  피터 A. 다울링
주연: 징 루시,  리처드 아미티지,  레슬리 샤프,  댄 리,  젬마 무어,  조나단 아리스</t>
    <phoneticPr fontId="2" type="noConversion"/>
  </si>
  <si>
    <t>미스터리</t>
    <phoneticPr fontId="2" type="noConversion"/>
  </si>
  <si>
    <t>7부작</t>
    <phoneticPr fontId="2" type="noConversion"/>
  </si>
  <si>
    <t>제작: 리스 위더스푼, 로렌 노이스타터, 제니퍼 가너, 로라 데이브, 조시 싱어 외
주연: 제니퍼 가너, 앵거리 라이스 외</t>
    <phoneticPr fontId="2" type="noConversion"/>
  </si>
  <si>
    <t>101분</t>
    <phoneticPr fontId="2" type="noConversion"/>
  </si>
  <si>
    <t>감독: 마크 웹
주연: 크리스 에번스, 매케나 그레이스, 린지 덩컨, 제니 슬레이트, 옥타비아 스펜서</t>
    <phoneticPr fontId="2" type="noConversion"/>
  </si>
  <si>
    <t>감독: 케빈 맥도널드
주연: 갤 가돗, 데미안 루이스,  Rory Wilmot,  프레드 에녹</t>
    <phoneticPr fontId="2" type="noConversion"/>
  </si>
  <si>
    <t>감독: 존 매든
주연: 헬렌 미렌, 샘 워딩턴, 제시카 차스테인, 예스페르 크리스텐센, 마르톤 초카시</t>
    <phoneticPr fontId="2" type="noConversion"/>
  </si>
  <si>
    <t>감독: 존 프란시스 데일리 , 조나단 골드스틴
주연: 라이언 레이놀즈 , 케네스 브래너 , 마르친 도로친스키 , 마리아 바카로바</t>
    <phoneticPr fontId="2" type="noConversion"/>
  </si>
  <si>
    <t>액션 · 코미디</t>
    <phoneticPr fontId="2" type="noConversion"/>
  </si>
  <si>
    <t>범죄 · 액션 · 드라마 · 블랙코미디</t>
    <phoneticPr fontId="2" type="noConversion"/>
  </si>
  <si>
    <t>감독: 가이 리치
출연: 테오 제임스, 카야 스코델라리오, 레이 윈스턴, 다니엘 잉스, 비니 존스</t>
    <phoneticPr fontId="2" type="noConversion"/>
  </si>
  <si>
    <t>감독: 스티븐 스필버그
출연: 에밀리 블런트, 조시 오코너, 콜린 퍼스, 이브 휴슨, 콜먼 도밍고</t>
    <phoneticPr fontId="2" type="noConversion"/>
  </si>
  <si>
    <t>SF</t>
    <phoneticPr fontId="2" type="noConversion"/>
  </si>
  <si>
    <t>145분</t>
    <phoneticPr fontId="2" type="noConversion"/>
  </si>
  <si>
    <t>범죄, 스릴러</t>
    <phoneticPr fontId="2" type="noConversion"/>
  </si>
  <si>
    <t>감독: 테일러 쉐리던, 휴 딜런
출연: 제레미 레너, 테일러 핸들리, 휴 딜론, 하미쉬 알랜-헤들리, 토비 밤페타,외</t>
    <phoneticPr fontId="2" type="noConversion"/>
  </si>
  <si>
    <t>감독: 마틴 캠벨
출연: 크리스 오도넬, 로빈 튜니, 빌 팩스턴, 스콧 글렌</t>
    <phoneticPr fontId="2" type="noConversion"/>
  </si>
  <si>
    <t>모험</t>
    <phoneticPr fontId="2" type="noConversion"/>
  </si>
  <si>
    <t>미국, 독일</t>
    <phoneticPr fontId="2" type="noConversion"/>
  </si>
  <si>
    <t>미스터리, 범죄</t>
    <phoneticPr fontId="2" type="noConversion"/>
  </si>
  <si>
    <t>감독: 할런 코벤
출연: 리처드 아미티지, 셔본 피너런 및 제니퍼 손더스, 크리에이터: 할런 코벤</t>
    <phoneticPr fontId="2" type="noConversion"/>
  </si>
  <si>
    <t>103분</t>
    <phoneticPr fontId="2" type="noConversion"/>
  </si>
  <si>
    <t>감독: 클린트 벤틀리
출연: 조엘 에저턴, 펄리시티 존스 및 윌리엄 H. 메이시</t>
    <phoneticPr fontId="2" type="noConversion"/>
  </si>
  <si>
    <t>96분</t>
    <phoneticPr fontId="2" type="noConversion"/>
  </si>
  <si>
    <t>감독: 알렉스 가랜드
출연: 윌 폴터, 조셉 퀸, 찰스 멜튼, 킷 코너, 드파라오 운아타이</t>
    <phoneticPr fontId="2" type="noConversion"/>
  </si>
  <si>
    <t>감독: 필립 라코테
출연: 조셉 고든 레빗, 셰일린 우들리, 리차드 매든</t>
    <phoneticPr fontId="2" type="noConversion"/>
  </si>
  <si>
    <t>범죄 , 로맨스 , 드라마</t>
    <phoneticPr fontId="2" type="noConversion"/>
  </si>
  <si>
    <t>액션</t>
    <phoneticPr fontId="2" type="noConversion"/>
  </si>
  <si>
    <t>스페인</t>
    <phoneticPr fontId="2" type="noConversion"/>
  </si>
  <si>
    <t>감독: 알베르트 핀토
출연: 아나 카스티요, 타마르 노바스, 토니 코르비요, 마리암 토레스, 이리나 브라보</t>
    <phoneticPr fontId="2" type="noConversion"/>
  </si>
  <si>
    <t>감독: 데이비드 맥켄지
출연: 아론 테일러-존슨, 테오 제임스, 구구 음바타-로, 샘 워싱턴</t>
    <phoneticPr fontId="2" type="noConversion"/>
  </si>
  <si>
    <t>98분</t>
    <phoneticPr fontId="2" type="noConversion"/>
  </si>
  <si>
    <t>감독: 데이비드 맥켄지
출연: 제시카 비엘 (코라 태너) 빌 풀먼 (해리 암브로스)</t>
    <phoneticPr fontId="2" type="noConversion"/>
  </si>
  <si>
    <t>범죄, 수사, 미스터리, 심리 스릴러</t>
    <phoneticPr fontId="2" type="noConversion"/>
  </si>
  <si>
    <t>감독: 안토니오 캄포스
출연: 빌 풀먼 / 제시카 헤트 / 돈 노우드 / 캐리 쿤 / 한나 그로스</t>
    <phoneticPr fontId="2" type="noConversion"/>
  </si>
  <si>
    <t xml:space="preserve">감독: 데릭 사이먼즈
출연: 빌 풀먼, 제시카 비엘, 캐리 쿤, </t>
    <phoneticPr fontId="2" type="noConversion"/>
  </si>
  <si>
    <t>감독: 브라이언 커크
출연: 엠마 톰슨, 주디 그리어, 마크 멘차카, 로렐 마스든, 브라이언 F. 오번</t>
    <phoneticPr fontId="2" type="noConversion"/>
  </si>
  <si>
    <t>액션, 스릴러, 범죄, 추리</t>
    <phoneticPr fontId="2" type="noConversion"/>
  </si>
  <si>
    <t>감독: 닉 산토라
출연: 앨런 리치슨, 맬컴 굿윈, 윌라 피츠제럴드 外</t>
    <phoneticPr fontId="2" type="noConversion"/>
  </si>
  <si>
    <t>감독: 딘 게오르기스
출연: 앤 헤이시,  마이크 보겔,  테이트 엘링턴,  드미트리어스 그로세, 나타샤 카람</t>
    <phoneticPr fontId="2" type="noConversion"/>
  </si>
  <si>
    <t>액션, 드라마, 밀리터리</t>
    <phoneticPr fontId="2" type="noConversion"/>
  </si>
  <si>
    <t>스릴러, 스파이, 드라마</t>
    <phoneticPr fontId="2" type="noConversion"/>
  </si>
  <si>
    <t>감독: 	테일러 쉐리던
출연: 조 샐다나, 레이슬라 드 올리베이라, 데이브어네이블,모건 프리먼,니콜 키드먼</t>
    <phoneticPr fontId="2" type="noConversion"/>
  </si>
  <si>
    <t>감독: 우민호
출연: 현빈, 정우성, 우도환, 서은수, 원지안, 정성일, 노재원, 장혜진, 허정도, 차희</t>
    <phoneticPr fontId="2" type="noConversion"/>
  </si>
  <si>
    <t>범죄, 정치, 액션, 느와르, 스릴러</t>
    <phoneticPr fontId="2" type="noConversion"/>
  </si>
  <si>
    <t>감독: 앤트완 퓨콰
출연: 제이크 질런홀, 크리스티나 비달 미첼, 이선 호크, 라일리 키오</t>
    <phoneticPr fontId="2" type="noConversion"/>
  </si>
  <si>
    <t>90분</t>
    <phoneticPr fontId="2" type="noConversion"/>
  </si>
  <si>
    <t>범죄 스릴러, 액션, 드라마</t>
    <phoneticPr fontId="2" type="noConversion"/>
  </si>
  <si>
    <t xml:space="preserve">감독: 다미안 시프론
출연: 샤일린 우들리,  벤 멘델손,  조반 아데포,  랄프 이네슨 </t>
    <phoneticPr fontId="2" type="noConversion"/>
  </si>
  <si>
    <t>120분</t>
    <phoneticPr fontId="2" type="noConversion"/>
  </si>
  <si>
    <t>드라마, SF, 가족</t>
    <phoneticPr fontId="2" type="noConversion"/>
  </si>
  <si>
    <t>감독: 고레에다 히로카즈
출연: 아야세 하루카, 다이고, 쿠와키 리무</t>
    <phoneticPr fontId="2" type="noConversion"/>
  </si>
  <si>
    <t>범죄, 미스터리, 심리 스릴러, 드라마</t>
    <phoneticPr fontId="2" type="noConversion"/>
  </si>
  <si>
    <t>감독: 리즈 메리웨더
출연: 에미 로섬, 롤라 페티크루, 스쿠트 맥네어리, 퀸시 타일러 번스틴</t>
    <phoneticPr fontId="2" type="noConversion"/>
  </si>
  <si>
    <t>감독: 킴 파란트
출연: 레이튼 미스터, 크리스티나 울프</t>
    <phoneticPr fontId="2" type="noConversion"/>
  </si>
  <si>
    <t>미스터리, 스릴러</t>
    <phoneticPr fontId="2" type="noConversion"/>
  </si>
  <si>
    <t>감독: 클레어 스캔런
출연: 릴리 라인하트, 톰 베이트먼, 레이첼 마시, 자부키 영화이트</t>
    <phoneticPr fontId="2" type="noConversion"/>
  </si>
  <si>
    <t>드라마, 로맨틱 코미디</t>
    <phoneticPr fontId="2" type="noConversion"/>
  </si>
  <si>
    <t>액션·범죄·미스터리·드라마</t>
    <phoneticPr fontId="2" type="noConversion"/>
  </si>
  <si>
    <t>감독: 샘 힐(Sam Hill)과 게리 플레더(Gary Fleder)
출연: 마리아 스텐, 그레이스턴 홀트, 재스퍼 존스</t>
    <phoneticPr fontId="2" type="noConversion"/>
  </si>
  <si>
    <t>감독: 피터 &amp; 마이클 스피어리그
출연: 해리엇 슬레이터, 아세마 토마스, 톰 브리트니</t>
    <phoneticPr fontId="2" type="noConversion"/>
  </si>
  <si>
    <t>모험, 드라마, 스릴러, 액션</t>
    <phoneticPr fontId="2" type="noConversion"/>
  </si>
  <si>
    <t>범죄, 드라마, 스릴러</t>
    <phoneticPr fontId="2" type="noConversion"/>
  </si>
  <si>
    <t>감독: 가이 리치, 로렌스 고흐
출연: 톰 하디, 피어스 브로스넌, 헬렌 미렌, 패디 콘시딘</t>
    <phoneticPr fontId="2" type="noConversion"/>
  </si>
  <si>
    <t>SF, 스릴러</t>
    <phoneticPr fontId="2" type="noConversion"/>
  </si>
  <si>
    <t>09부작</t>
    <phoneticPr fontId="2" type="noConversion"/>
  </si>
  <si>
    <t>연출: 제이콥 버브루겐 외
출연: 조엘 에저튼, 제니퍼 코넬리, 지미 심슨 외</t>
    <phoneticPr fontId="2" type="noConversion"/>
  </si>
  <si>
    <t>SF, 액션, 스릴러, 크리처</t>
    <phoneticPr fontId="2" type="noConversion"/>
  </si>
  <si>
    <t xml:space="preserve">감독: 나홍진
출연: 황정민, 조인성, 정호연, 테일러 러셀, 카메론 브리튼, </t>
    <phoneticPr fontId="2" type="noConversion"/>
  </si>
  <si>
    <t>156분</t>
    <phoneticPr fontId="2" type="noConversion"/>
  </si>
  <si>
    <t>정치·외교·스릴러</t>
    <phoneticPr fontId="2" type="noConversion"/>
  </si>
  <si>
    <t>제작: 데보라 칸
출연: 케리 러셀, 루퍼스 스웰, 데이비드 자시, 알리 안, 아토 에산도, 앨리슨 제니</t>
    <phoneticPr fontId="2" type="noConversion"/>
  </si>
  <si>
    <t>드라마, 역사</t>
    <phoneticPr fontId="2" type="noConversion"/>
  </si>
  <si>
    <t>제작: 이상일
출연: 요시자와 료, 요코하마 류세이, 타카하타 미츠키, 테라지마 시노부, 모리 나나, 쿠로카와 소야, 와타나베 켄</t>
    <phoneticPr fontId="2" type="noConversion"/>
  </si>
  <si>
    <t>175분</t>
    <phoneticPr fontId="2" type="noConversion"/>
  </si>
  <si>
    <t>감독: 타일러 페리
출연: 나오미 베이커, 제이 리브스, 탬벌라 페리</t>
    <phoneticPr fontId="2" type="noConversion"/>
  </si>
  <si>
    <t>로맨스, 드라마</t>
    <phoneticPr fontId="2" type="noConversion"/>
  </si>
  <si>
    <t>108분</t>
    <phoneticPr fontId="2" type="noConversion"/>
  </si>
  <si>
    <t>감독: 김도영
출연: 최민식, 한소희 外</t>
    <phoneticPr fontId="2" type="noConversion"/>
  </si>
  <si>
    <t>드라마, 오피스</t>
    <phoneticPr fontId="2" type="noConversion"/>
  </si>
  <si>
    <t>132분</t>
    <phoneticPr fontId="2" type="noConversion"/>
  </si>
  <si>
    <t>액션 첩보 스릴러 드라마</t>
    <phoneticPr fontId="2" type="noConversion"/>
  </si>
  <si>
    <t>감독: 
출연: 크리스 프랫, 톰 호퍼, 콘스탄스 우, 가브리엘 루나, 루크 헴스워스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</si>
</sst>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&quot;-&quot;m&quot;-&quot;d;@"/>
  </numFmts>
  <fonts count="27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9"/>
      <color rgb="FF333333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  <scheme val="major"/>
    </font>
    <font>
      <b/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9"/>
      <color rgb="FF333333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2"/>
      <scheme val="minor"/>
    </font>
    <font>
      <sz val="9"/>
      <color rgb="FF0070C0"/>
      <name val="맑은 고딕"/>
      <family val="3"/>
      <charset val="129"/>
      <scheme val="minor"/>
    </font>
    <font>
      <b/>
      <sz val="9"/>
      <color rgb="FF333333"/>
      <name val="맑은 고딕"/>
      <family val="3"/>
      <charset val="129"/>
      <scheme val="minor"/>
    </font>
    <font>
      <b/>
      <sz val="9"/>
      <color rgb="FF333333"/>
      <name val="맑은 고딕"/>
      <family val="3"/>
      <charset val="129"/>
    </font>
    <font>
      <sz val="9"/>
      <color theme="10"/>
      <name val="맑은 고딕"/>
      <family val="3"/>
      <charset val="129"/>
      <scheme val="minor"/>
    </font>
    <font>
      <sz val="9"/>
      <color theme="10"/>
      <name val="맑은 고딕"/>
      <family val="3"/>
      <charset val="129"/>
    </font>
    <font>
      <b/>
      <sz val="14"/>
      <color rgb="FFC9A84C"/>
      <name val="Arial"/>
      <family val="2"/>
    </font>
    <font>
      <b/>
      <sz val="14"/>
      <color rgb="FFC9A84C"/>
      <name val="Segoe UI Emoji"/>
      <family val="2"/>
    </font>
    <font>
      <b/>
      <sz val="14"/>
      <color rgb="FFC9A84C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theme="4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  <scheme val="major"/>
    </font>
    <font>
      <sz val="9"/>
      <color theme="4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C3D5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/>
      <top style="thick">
        <color rgb="FFCCCCCC"/>
      </top>
      <bottom style="thick">
        <color rgb="FFCCCCCC"/>
      </bottom>
      <diagonal/>
    </border>
    <border>
      <left/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/>
      <right/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/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/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n">
        <color indexed="64"/>
      </bottom>
      <diagonal/>
    </border>
    <border>
      <left/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/>
      <diagonal/>
    </border>
    <border>
      <left style="thick">
        <color rgb="FFCCCCCC"/>
      </left>
      <right style="thick">
        <color rgb="FFCCCCCC"/>
      </right>
      <top/>
      <bottom style="thick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rgb="FFCCCCCC"/>
      </right>
      <top style="thick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19"/>
    <xf numFmtId="0" fontId="3" fillId="0" borderId="19"/>
  </cellStyleXfs>
  <cellXfs count="117">
    <xf numFmtId="0" fontId="0" fillId="0" borderId="0" xfId="0" applyBorder="1"/>
    <xf numFmtId="0" fontId="7" fillId="0" borderId="0" xfId="0" applyFont="1" applyBorder="1"/>
    <xf numFmtId="0" fontId="6" fillId="3" borderId="1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vertical="top" wrapText="1"/>
    </xf>
    <xf numFmtId="0" fontId="4" fillId="5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vertical="top" wrapText="1"/>
    </xf>
    <xf numFmtId="0" fontId="4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5" fillId="6" borderId="4" xfId="0" applyFont="1" applyFill="1" applyBorder="1" applyAlignment="1">
      <alignment vertical="top" wrapText="1"/>
    </xf>
    <xf numFmtId="0" fontId="4" fillId="4" borderId="4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vertical="top" wrapText="1"/>
    </xf>
    <xf numFmtId="0" fontId="9" fillId="4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vertical="top" wrapText="1"/>
    </xf>
    <xf numFmtId="0" fontId="9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vertical="top" wrapText="1"/>
    </xf>
    <xf numFmtId="0" fontId="9" fillId="7" borderId="3" xfId="0" applyFont="1" applyFill="1" applyBorder="1" applyAlignment="1">
      <alignment vertical="top" wrapText="1"/>
    </xf>
    <xf numFmtId="0" fontId="9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vertical="center" wrapText="1"/>
    </xf>
    <xf numFmtId="0" fontId="4" fillId="7" borderId="18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vertical="top" wrapText="1"/>
    </xf>
    <xf numFmtId="0" fontId="5" fillId="7" borderId="18" xfId="0" applyFont="1" applyFill="1" applyBorder="1" applyAlignment="1">
      <alignment vertical="center" wrapText="1"/>
    </xf>
    <xf numFmtId="0" fontId="13" fillId="10" borderId="18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vertical="center" wrapText="1"/>
    </xf>
    <xf numFmtId="0" fontId="13" fillId="7" borderId="18" xfId="0" applyFont="1" applyFill="1" applyBorder="1" applyAlignment="1">
      <alignment vertical="center" wrapText="1"/>
    </xf>
    <xf numFmtId="0" fontId="13" fillId="7" borderId="16" xfId="0" applyFont="1" applyFill="1" applyBorder="1" applyAlignment="1">
      <alignment vertical="top" wrapText="1"/>
    </xf>
    <xf numFmtId="0" fontId="5" fillId="6" borderId="7" xfId="0" applyFont="1" applyFill="1" applyBorder="1" applyAlignment="1">
      <alignment vertical="top" wrapText="1"/>
    </xf>
    <xf numFmtId="0" fontId="5" fillId="6" borderId="11" xfId="0" applyFont="1" applyFill="1" applyBorder="1" applyAlignment="1">
      <alignment vertical="top" wrapText="1"/>
    </xf>
    <xf numFmtId="0" fontId="5" fillId="8" borderId="4" xfId="0" applyFont="1" applyFill="1" applyBorder="1" applyAlignment="1">
      <alignment vertical="top" wrapText="1"/>
    </xf>
    <xf numFmtId="0" fontId="13" fillId="10" borderId="18" xfId="0" applyFont="1" applyFill="1" applyBorder="1" applyAlignment="1">
      <alignment vertical="top" wrapText="1"/>
    </xf>
    <xf numFmtId="0" fontId="10" fillId="6" borderId="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0" borderId="0" xfId="0" applyFont="1" applyBorder="1"/>
    <xf numFmtId="0" fontId="15" fillId="4" borderId="8" xfId="0" applyFont="1" applyFill="1" applyBorder="1" applyAlignment="1">
      <alignment horizontal="left" vertical="center"/>
    </xf>
    <xf numFmtId="2" fontId="16" fillId="4" borderId="3" xfId="0" applyNumberFormat="1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left" vertical="center"/>
    </xf>
    <xf numFmtId="2" fontId="16" fillId="5" borderId="3" xfId="0" applyNumberFormat="1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left" vertical="center"/>
    </xf>
    <xf numFmtId="2" fontId="16" fillId="7" borderId="3" xfId="0" applyNumberFormat="1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left" vertical="center"/>
    </xf>
    <xf numFmtId="2" fontId="16" fillId="5" borderId="5" xfId="0" applyNumberFormat="1" applyFont="1" applyFill="1" applyBorder="1" applyAlignment="1">
      <alignment horizontal="center" vertical="center"/>
    </xf>
    <xf numFmtId="2" fontId="16" fillId="9" borderId="3" xfId="0" applyNumberFormat="1" applyFont="1" applyFill="1" applyBorder="1" applyAlignment="1">
      <alignment horizontal="center" vertical="center"/>
    </xf>
    <xf numFmtId="2" fontId="9" fillId="5" borderId="3" xfId="0" applyNumberFormat="1" applyFont="1" applyFill="1" applyBorder="1" applyAlignment="1">
      <alignment horizontal="center" vertical="center"/>
    </xf>
    <xf numFmtId="0" fontId="9" fillId="0" borderId="0" xfId="0" applyFont="1" applyBorder="1"/>
    <xf numFmtId="2" fontId="9" fillId="4" borderId="3" xfId="0" applyNumberFormat="1" applyFont="1" applyFill="1" applyBorder="1" applyAlignment="1">
      <alignment horizontal="center" vertical="center"/>
    </xf>
    <xf numFmtId="2" fontId="9" fillId="7" borderId="3" xfId="0" applyNumberFormat="1" applyFont="1" applyFill="1" applyBorder="1" applyAlignment="1">
      <alignment horizontal="center" vertical="center"/>
    </xf>
    <xf numFmtId="2" fontId="16" fillId="10" borderId="18" xfId="0" applyNumberFormat="1" applyFont="1" applyFill="1" applyBorder="1" applyAlignment="1">
      <alignment horizontal="center" vertical="center"/>
    </xf>
    <xf numFmtId="0" fontId="5" fillId="6" borderId="0" xfId="0" applyFont="1" applyFill="1" applyBorder="1"/>
    <xf numFmtId="0" fontId="15" fillId="4" borderId="19" xfId="0" applyFont="1" applyFill="1" applyBorder="1" applyAlignment="1">
      <alignment horizontal="left" vertical="center"/>
    </xf>
    <xf numFmtId="2" fontId="16" fillId="4" borderId="5" xfId="0" applyNumberFormat="1" applyFont="1" applyFill="1" applyBorder="1" applyAlignment="1">
      <alignment horizontal="center" vertical="center"/>
    </xf>
    <xf numFmtId="0" fontId="5" fillId="10" borderId="0" xfId="0" applyFont="1" applyFill="1" applyBorder="1"/>
    <xf numFmtId="2" fontId="17" fillId="6" borderId="3" xfId="0" applyNumberFormat="1" applyFont="1" applyFill="1" applyBorder="1" applyAlignment="1">
      <alignment horizontal="center" vertical="center"/>
    </xf>
    <xf numFmtId="2" fontId="16" fillId="5" borderId="13" xfId="0" applyNumberFormat="1" applyFont="1" applyFill="1" applyBorder="1" applyAlignment="1">
      <alignment horizontal="center" vertical="center"/>
    </xf>
    <xf numFmtId="2" fontId="16" fillId="4" borderId="12" xfId="0" applyNumberFormat="1" applyFont="1" applyFill="1" applyBorder="1" applyAlignment="1">
      <alignment horizontal="center" vertical="center"/>
    </xf>
    <xf numFmtId="2" fontId="16" fillId="5" borderId="14" xfId="0" applyNumberFormat="1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left" vertical="center"/>
    </xf>
    <xf numFmtId="2" fontId="16" fillId="4" borderId="9" xfId="0" applyNumberFormat="1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left" vertical="center"/>
    </xf>
    <xf numFmtId="0" fontId="15" fillId="4" borderId="18" xfId="0" applyFont="1" applyFill="1" applyBorder="1" applyAlignment="1">
      <alignment horizontal="left" vertical="center"/>
    </xf>
    <xf numFmtId="2" fontId="16" fillId="4" borderId="15" xfId="0" applyNumberFormat="1" applyFont="1" applyFill="1" applyBorder="1" applyAlignment="1">
      <alignment horizontal="center" vertical="center"/>
    </xf>
    <xf numFmtId="2" fontId="16" fillId="7" borderId="16" xfId="0" applyNumberFormat="1" applyFont="1" applyFill="1" applyBorder="1" applyAlignment="1">
      <alignment horizontal="center" vertical="center"/>
    </xf>
    <xf numFmtId="2" fontId="16" fillId="7" borderId="18" xfId="0" applyNumberFormat="1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2" fontId="17" fillId="6" borderId="16" xfId="0" applyNumberFormat="1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vertical="center" wrapText="1"/>
    </xf>
    <xf numFmtId="0" fontId="11" fillId="0" borderId="19" xfId="0" applyFont="1"/>
    <xf numFmtId="0" fontId="13" fillId="0" borderId="19" xfId="0" applyFont="1"/>
    <xf numFmtId="0" fontId="5" fillId="0" borderId="0" xfId="0" applyFont="1" applyBorder="1" applyAlignment="1">
      <alignment horizontal="center"/>
    </xf>
    <xf numFmtId="0" fontId="19" fillId="6" borderId="8" xfId="0" applyFont="1" applyFill="1" applyBorder="1" applyAlignment="1">
      <alignment vertical="center"/>
    </xf>
    <xf numFmtId="0" fontId="23" fillId="8" borderId="18" xfId="0" applyFont="1" applyFill="1" applyBorder="1" applyAlignment="1">
      <alignment horizontal="center" vertical="center"/>
    </xf>
    <xf numFmtId="0" fontId="23" fillId="7" borderId="18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left" vertical="center"/>
    </xf>
    <xf numFmtId="0" fontId="24" fillId="4" borderId="8" xfId="0" applyFont="1" applyFill="1" applyBorder="1" applyAlignment="1">
      <alignment horizontal="left" vertical="center"/>
    </xf>
    <xf numFmtId="0" fontId="24" fillId="7" borderId="8" xfId="0" applyFont="1" applyFill="1" applyBorder="1" applyAlignment="1">
      <alignment horizontal="left" vertical="center"/>
    </xf>
    <xf numFmtId="0" fontId="24" fillId="0" borderId="19" xfId="1" applyFont="1" applyBorder="1" applyAlignment="1">
      <alignment vertical="center"/>
    </xf>
    <xf numFmtId="0" fontId="25" fillId="3" borderId="1" xfId="0" applyFont="1" applyFill="1" applyBorder="1" applyAlignment="1">
      <alignment horizontal="center" vertical="top"/>
    </xf>
    <xf numFmtId="0" fontId="18" fillId="10" borderId="18" xfId="1" applyFont="1" applyFill="1" applyBorder="1" applyAlignment="1">
      <alignment vertical="center"/>
    </xf>
    <xf numFmtId="0" fontId="24" fillId="7" borderId="8" xfId="1" applyFont="1" applyFill="1" applyBorder="1" applyAlignment="1">
      <alignment horizontal="left" vertical="center"/>
    </xf>
    <xf numFmtId="0" fontId="24" fillId="7" borderId="19" xfId="1" applyFont="1" applyFill="1" applyBorder="1" applyAlignment="1">
      <alignment vertical="center"/>
    </xf>
    <xf numFmtId="0" fontId="24" fillId="10" borderId="18" xfId="1" applyFont="1" applyFill="1" applyBorder="1" applyAlignment="1">
      <alignment vertical="center"/>
    </xf>
    <xf numFmtId="0" fontId="24" fillId="7" borderId="18" xfId="1" applyFont="1" applyFill="1" applyBorder="1" applyAlignment="1">
      <alignment vertical="center"/>
    </xf>
    <xf numFmtId="0" fontId="24" fillId="7" borderId="18" xfId="1" applyFont="1" applyFill="1" applyBorder="1" applyAlignment="1">
      <alignment horizontal="left" vertical="center"/>
    </xf>
    <xf numFmtId="0" fontId="24" fillId="5" borderId="17" xfId="0" applyFont="1" applyFill="1" applyBorder="1" applyAlignment="1">
      <alignment horizontal="left" vertical="center"/>
    </xf>
    <xf numFmtId="0" fontId="26" fillId="6" borderId="16" xfId="0" applyFont="1" applyFill="1" applyBorder="1" applyAlignment="1">
      <alignment vertical="center"/>
    </xf>
    <xf numFmtId="176" fontId="23" fillId="10" borderId="18" xfId="0" applyNumberFormat="1" applyFont="1" applyFill="1" applyBorder="1" applyAlignment="1">
      <alignment horizontal="center" vertical="center"/>
    </xf>
    <xf numFmtId="176" fontId="8" fillId="3" borderId="2" xfId="0" applyNumberFormat="1" applyFont="1" applyFill="1" applyBorder="1" applyAlignment="1">
      <alignment horizontal="center" vertical="top"/>
    </xf>
    <xf numFmtId="176" fontId="9" fillId="4" borderId="3" xfId="0" applyNumberFormat="1" applyFont="1" applyFill="1" applyBorder="1" applyAlignment="1">
      <alignment horizontal="center" vertical="center"/>
    </xf>
    <xf numFmtId="176" fontId="9" fillId="5" borderId="3" xfId="0" applyNumberFormat="1" applyFont="1" applyFill="1" applyBorder="1" applyAlignment="1">
      <alignment horizontal="center" vertical="center"/>
    </xf>
    <xf numFmtId="176" fontId="9" fillId="7" borderId="3" xfId="0" applyNumberFormat="1" applyFont="1" applyFill="1" applyBorder="1" applyAlignment="1">
      <alignment horizontal="center" vertical="center"/>
    </xf>
    <xf numFmtId="176" fontId="12" fillId="6" borderId="3" xfId="0" applyNumberFormat="1" applyFont="1" applyFill="1" applyBorder="1" applyAlignment="1">
      <alignment horizontal="center" vertical="center"/>
    </xf>
    <xf numFmtId="176" fontId="12" fillId="7" borderId="3" xfId="0" applyNumberFormat="1" applyFont="1" applyFill="1" applyBorder="1" applyAlignment="1">
      <alignment horizontal="center" vertical="center"/>
    </xf>
    <xf numFmtId="176" fontId="9" fillId="5" borderId="5" xfId="0" applyNumberFormat="1" applyFont="1" applyFill="1" applyBorder="1" applyAlignment="1">
      <alignment horizontal="center" vertical="center"/>
    </xf>
    <xf numFmtId="176" fontId="14" fillId="6" borderId="3" xfId="1" applyNumberFormat="1" applyFont="1" applyFill="1" applyBorder="1" applyAlignment="1">
      <alignment horizontal="center" vertical="center"/>
    </xf>
    <xf numFmtId="176" fontId="12" fillId="10" borderId="18" xfId="0" applyNumberFormat="1" applyFont="1" applyFill="1" applyBorder="1" applyAlignment="1">
      <alignment horizontal="center" vertical="center"/>
    </xf>
    <xf numFmtId="176" fontId="9" fillId="4" borderId="5" xfId="0" applyNumberFormat="1" applyFont="1" applyFill="1" applyBorder="1" applyAlignment="1">
      <alignment horizontal="center" vertical="center"/>
    </xf>
    <xf numFmtId="176" fontId="9" fillId="4" borderId="8" xfId="0" applyNumberFormat="1" applyFont="1" applyFill="1" applyBorder="1" applyAlignment="1">
      <alignment horizontal="center" vertical="center"/>
    </xf>
    <xf numFmtId="176" fontId="9" fillId="5" borderId="13" xfId="0" applyNumberFormat="1" applyFont="1" applyFill="1" applyBorder="1" applyAlignment="1">
      <alignment horizontal="center" vertical="center"/>
    </xf>
    <xf numFmtId="176" fontId="9" fillId="4" borderId="15" xfId="0" applyNumberFormat="1" applyFont="1" applyFill="1" applyBorder="1" applyAlignment="1">
      <alignment horizontal="center" vertical="center"/>
    </xf>
    <xf numFmtId="176" fontId="12" fillId="7" borderId="16" xfId="0" applyNumberFormat="1" applyFont="1" applyFill="1" applyBorder="1" applyAlignment="1">
      <alignment horizontal="center" vertical="center"/>
    </xf>
    <xf numFmtId="176" fontId="12" fillId="7" borderId="18" xfId="0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left" vertical="center"/>
    </xf>
    <xf numFmtId="0" fontId="20" fillId="2" borderId="20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14">
    <dxf>
      <font>
        <strike val="0"/>
        <outline val="0"/>
        <shadow val="0"/>
        <vertAlign val="baseline"/>
        <sz val="9"/>
        <color auto="1"/>
      </font>
      <numFmt numFmtId="176" formatCode="yy&quot;-&quot;m&quot;-&quot;d;@"/>
      <alignment horizontal="center"/>
      <border>
        <left/>
        <right style="thick">
          <color rgb="FFCCCCCC"/>
        </right>
        <top style="thick">
          <color rgb="FFCCCCCC"/>
        </top>
        <bottom style="thick">
          <color rgb="FFCCCCCC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333333"/>
        <name val="맑은 고딕"/>
        <family val="3"/>
        <charset val="129"/>
        <scheme val="minor"/>
      </font>
      <fill>
        <patternFill patternType="solid">
          <fgColor indexed="64"/>
          <bgColor rgb="FFFFFFFF"/>
        </patternFill>
      </fill>
      <alignment horizontal="center" vertical="center"/>
      <border outline="0">
        <left/>
        <right style="thick">
          <color rgb="FFCCCCCC"/>
        </right>
        <top style="thick">
          <color rgb="FFCCCCCC"/>
        </top>
        <bottom style="thick">
          <color rgb="FFCCCCCC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333333"/>
        <name val="맑은 고딕"/>
        <family val="3"/>
        <charset val="129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indent="0" justifyLastLine="0" shrinkToFit="0" readingOrder="0"/>
      <border outline="0">
        <left/>
        <right/>
        <top style="thick">
          <color rgb="FFCCCCCC"/>
        </top>
        <bottom style="thick">
          <color rgb="FFCCCCCC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333333"/>
        <name val="맑은 고딕"/>
        <family val="3"/>
        <charset val="129"/>
        <scheme val="minor"/>
      </font>
      <fill>
        <patternFill patternType="solid">
          <fgColor indexed="64"/>
          <bgColor rgb="FFFFFFFF"/>
        </patternFill>
      </fill>
      <alignment horizontal="center" vertical="center"/>
      <border outline="0">
        <left/>
        <right/>
        <top style="thick">
          <color rgb="FFCCCCCC"/>
        </top>
        <bottom style="thick">
          <color rgb="FFCCCCCC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333333"/>
        <name val="맑은 고딕"/>
        <family val="3"/>
        <charset val="129"/>
        <scheme val="minor"/>
      </font>
      <fill>
        <patternFill patternType="solid">
          <fgColor indexed="64"/>
          <bgColor rgb="FFFFFFFF"/>
        </patternFill>
      </fill>
      <alignment horizontal="center" vertical="center"/>
      <border outline="0">
        <left/>
        <right/>
        <top style="thick">
          <color rgb="FFCCCCCC"/>
        </top>
        <bottom style="thick">
          <color rgb="FFCCCCCC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333333"/>
        <name val="맑은 고딕"/>
        <family val="3"/>
        <charset val="129"/>
        <scheme val="minor"/>
      </font>
      <fill>
        <patternFill patternType="solid">
          <fgColor indexed="64"/>
          <bgColor rgb="FFFFFFFF"/>
        </patternFill>
      </fill>
      <alignment horizontal="center" vertical="center"/>
      <border outline="0">
        <left style="thick">
          <color rgb="FFCCCCCC"/>
        </left>
        <right/>
        <top style="thick">
          <color rgb="FFCCCCCC"/>
        </top>
        <bottom style="thick">
          <color rgb="FFCCCCCC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맑은 고딕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wrapText="1"/>
      <border outline="0">
        <left style="thick">
          <color rgb="FFCCCCCC"/>
        </left>
        <right/>
        <top style="thick">
          <color rgb="FFCCCCCC"/>
        </top>
        <bottom style="thick">
          <color rgb="FFCCCCCC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333333"/>
        <name val="맑은 고딕"/>
        <family val="3"/>
        <charset val="129"/>
        <scheme val="minor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/>
      <border outline="0">
        <left/>
        <right style="thick">
          <color rgb="FFCCCCCC"/>
        </right>
        <top style="thick">
          <color rgb="FFCCCCCC"/>
        </top>
        <bottom style="thick">
          <color rgb="FFCCCCCC"/>
        </bottom>
      </border>
    </dxf>
    <dxf>
      <font>
        <b val="0"/>
        <strike val="0"/>
        <condense val="0"/>
        <extend val="0"/>
        <outline val="0"/>
        <shadow val="0"/>
        <u val="none"/>
        <vertAlign val="baseline"/>
        <sz val="9"/>
        <color rgb="FF333333"/>
        <name val="맑은 고딕"/>
        <family val="3"/>
        <charset val="129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indent="0" justifyLastLine="0" shrinkToFit="0" readingOrder="0"/>
      <border outline="0">
        <left/>
        <right style="thick">
          <color rgb="FFCCCCCC"/>
        </right>
        <top style="thick">
          <color rgb="FFCCCCCC"/>
        </top>
        <bottom style="thick">
          <color rgb="FFCCCCCC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333333"/>
        <name val="맑은 고딕"/>
        <family val="3"/>
        <charset val="129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outline="0">
        <left style="thick">
          <color rgb="FFCCCCCC"/>
        </left>
        <right/>
        <top style="thick">
          <color rgb="FFCCCCCC"/>
        </top>
        <bottom style="thick">
          <color rgb="FFCCCCCC"/>
        </bottom>
      </border>
    </dxf>
    <dxf>
      <border outline="0">
        <top style="thin">
          <color rgb="FFCCCCCC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333333"/>
        <name val="맑은 고딕"/>
        <family val="3"/>
        <charset val="129"/>
        <scheme val="minor"/>
      </font>
      <fill>
        <patternFill patternType="solid">
          <fgColor indexed="64"/>
          <bgColor rgb="FFFFFFFF"/>
        </patternFill>
      </fill>
      <alignment horizontal="center" vertical="center"/>
    </dxf>
    <dxf>
      <border outline="0">
        <bottom style="thin">
          <color rgb="FFCCCCCC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major"/>
      </font>
      <fill>
        <patternFill patternType="solid">
          <fgColor indexed="64"/>
          <bgColor rgb="FF1C3D5A"/>
        </patternFill>
      </fill>
      <alignment horizontal="center" vertical="top"/>
      <border outline="0">
        <left style="thin">
          <color rgb="FFCCCCCC"/>
        </left>
        <right style="thin">
          <color rgb="FFCCCCCC"/>
        </right>
        <top/>
        <bottom/>
      </border>
    </dxf>
  </dxfs>
  <tableStyles count="3" defaultTableStyle="TableStyleMedium9" defaultPivotStyle="PivotStyleLight16">
    <tableStyle name="표 스타일 1" pivot="0" count="0" xr9:uid="{00000000-0011-0000-FFFF-FFFF00000000}"/>
    <tableStyle name="표 스타일 2" pivot="0" count="0" xr9:uid="{00000000-0011-0000-FFFF-FFFF01000000}"/>
    <tableStyle name="피벗 테이블 스타일 1" table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4" displayName="표4" ref="A2:J3513" totalsRowShown="0" headerRowDxfId="13" dataDxfId="11" headerRowBorderDxfId="12" tableBorderDxfId="10">
  <autoFilter ref="A2:J3513" xr:uid="{00000000-0009-0000-0100-000001000000}"/>
  <sortState xmlns:xlrd2="http://schemas.microsoft.com/office/spreadsheetml/2017/richdata2" ref="A3:J3431">
    <sortCondition ref="A2:A3431"/>
  </sortState>
  <tableColumns count="10">
    <tableColumn id="1" xr3:uid="{00000000-0010-0000-0000-000001000000}" name="NO" dataDxfId="9"/>
    <tableColumn id="2" xr3:uid="{00000000-0010-0000-0000-000002000000}" name="한글제목" dataDxfId="8"/>
    <tableColumn id="3" xr3:uid="{00000000-0010-0000-0000-000003000000}" name="평점" dataDxfId="7"/>
    <tableColumn id="4" xr3:uid="{00000000-0010-0000-0000-000004000000}" name="감독/주연" dataDxfId="6"/>
    <tableColumn id="5" xr3:uid="{00000000-0010-0000-0000-000005000000}" name="국가" dataDxfId="5"/>
    <tableColumn id="6" xr3:uid="{00000000-0010-0000-0000-000006000000}" name="개봉연도" dataDxfId="4"/>
    <tableColumn id="7" xr3:uid="{00000000-0010-0000-0000-000007000000}" name="카테고리" dataDxfId="3"/>
    <tableColumn id="8" xr3:uid="{00000000-0010-0000-0000-000008000000}" name="장르" dataDxfId="2"/>
    <tableColumn id="9" xr3:uid="{00000000-0010-0000-0000-000009000000}" name="러닝타임/화수" dataDxfId="1"/>
    <tableColumn id="10" xr3:uid="{00000000-0010-0000-0000-00000A000000}" name="감상일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log.naver.com/PostView.naver?blogId=cine212722&amp;logNo=223992909905&amp;redirect=Dlog&amp;widgetTypeCall=true&amp;topReferer=https%3A%2F%2Fsearch.daum.net%2Fsearch%3Fw%3Dtot%26DA%3DJU5%26q%3D%25EC%25BA%2598%25EB%25B2%2584%25EB%25A6%25AC%2B2014%2B%25EC%2598%2581%25ED%2599%2594&amp;trackingCode=external&amp;directAccess=false" TargetMode="External"/><Relationship Id="rId1" Type="http://schemas.openxmlformats.org/officeDocument/2006/relationships/hyperlink" Target="https://blog.naver.com/PostView.naver?blogId=zzzasd2&amp;logNo=220646557277&amp;redirect=Dlog&amp;widgetTypeCall=true&amp;topReferer=https%3A%2F%2Fsearch.naver.com%2Fsearch.naver%3Fquery%3D%25EB%258D%2594%2520%25EB%25A1%25B1%25EA%25B8%25B0%25EC%258A%25A4%25ED%258A%25B8%2520%25EB%259D%25BC%25EC%259D%25B4%25EB%2593%259C%2520%25EC%2598%2581%25ED%2599%2594&amp;trackingCode=nx&amp;directAccess=false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13"/>
  <sheetViews>
    <sheetView showGridLines="0" tabSelected="1" workbookViewId="0">
      <pane ySplit="2" topLeftCell="A3501" activePane="bottomLeft" state="frozen"/>
      <selection pane="bottomLeft" activeCell="D3516" sqref="D3516"/>
    </sheetView>
  </sheetViews>
  <sheetFormatPr defaultColWidth="9" defaultRowHeight="28.9" customHeight="1" x14ac:dyDescent="0.6"/>
  <cols>
    <col min="1" max="1" width="7" style="78" customWidth="1"/>
    <col min="2" max="2" width="36.19921875" style="77" bestFit="1" customWidth="1"/>
    <col min="3" max="3" width="9" style="43" customWidth="1"/>
    <col min="4" max="4" width="56.25" style="43" customWidth="1"/>
    <col min="5" max="5" width="11.59765625" style="43" bestFit="1" customWidth="1"/>
    <col min="6" max="6" width="9.75" style="43" customWidth="1"/>
    <col min="7" max="7" width="9.69921875" style="43" customWidth="1"/>
    <col min="8" max="8" width="27.34765625" style="78" customWidth="1"/>
    <col min="9" max="9" width="11.19921875" style="43" customWidth="1"/>
    <col min="10" max="10" width="13.59765625" style="112" customWidth="1"/>
    <col min="11" max="16384" width="9" style="43"/>
  </cols>
  <sheetData>
    <row r="1" spans="1:14" ht="28.9" customHeight="1" x14ac:dyDescent="0.6">
      <c r="A1" s="115" t="s">
        <v>3523</v>
      </c>
      <c r="B1" s="115"/>
      <c r="C1" s="115"/>
      <c r="D1" s="115"/>
      <c r="E1" s="115"/>
      <c r="F1" s="115"/>
      <c r="G1" s="116"/>
      <c r="H1" s="80" t="s">
        <v>3489</v>
      </c>
      <c r="I1" s="81" t="s">
        <v>3490</v>
      </c>
      <c r="J1" s="95" t="s">
        <v>3518</v>
      </c>
      <c r="K1" s="58"/>
      <c r="L1" s="58"/>
      <c r="M1" s="58"/>
      <c r="N1" s="58"/>
    </row>
    <row r="2" spans="1:14" s="1" customFormat="1" ht="28.9" customHeight="1" thickBot="1" x14ac:dyDescent="0.75">
      <c r="A2" s="2" t="s">
        <v>0</v>
      </c>
      <c r="B2" s="86" t="s">
        <v>1</v>
      </c>
      <c r="C2" s="2" t="s">
        <v>2</v>
      </c>
      <c r="D2" s="9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96" t="s">
        <v>9</v>
      </c>
    </row>
    <row r="3" spans="1:14" ht="28.9" customHeight="1" thickTop="1" thickBot="1" x14ac:dyDescent="0.65">
      <c r="A3" s="3">
        <v>1</v>
      </c>
      <c r="B3" s="44" t="str">
        <f>HYPERLINK("https://search.naver.com/search.naver?query=살아있다 영화", "#살아있다")</f>
        <v>#살아있다</v>
      </c>
      <c r="C3" s="45">
        <v>7.16</v>
      </c>
      <c r="D3" s="4" t="s">
        <v>10</v>
      </c>
      <c r="E3" s="3" t="s">
        <v>11</v>
      </c>
      <c r="F3" s="3">
        <v>2020</v>
      </c>
      <c r="G3" s="3" t="s">
        <v>12</v>
      </c>
      <c r="H3" s="3" t="s">
        <v>13</v>
      </c>
      <c r="I3" s="3" t="s">
        <v>14</v>
      </c>
      <c r="J3" s="97" t="s">
        <v>3436</v>
      </c>
    </row>
    <row r="4" spans="1:14" ht="28.9" customHeight="1" thickTop="1" thickBot="1" x14ac:dyDescent="0.65">
      <c r="A4" s="5">
        <v>2</v>
      </c>
      <c r="B4" s="46" t="str">
        <f>HYPERLINK("https://search.naver.com/search.naver?query=0.5미리 영화", "0.5미리")</f>
        <v>0.5미리</v>
      </c>
      <c r="C4" s="47">
        <v>6.4</v>
      </c>
      <c r="D4" s="6" t="s">
        <v>15</v>
      </c>
      <c r="E4" s="5" t="s">
        <v>16</v>
      </c>
      <c r="F4" s="5">
        <v>2014</v>
      </c>
      <c r="G4" s="5" t="s">
        <v>12</v>
      </c>
      <c r="H4" s="5" t="s">
        <v>17</v>
      </c>
      <c r="I4" s="5" t="s">
        <v>18</v>
      </c>
      <c r="J4" s="98" t="s">
        <v>3437</v>
      </c>
    </row>
    <row r="5" spans="1:14" ht="28.9" customHeight="1" thickTop="1" thickBot="1" x14ac:dyDescent="0.65">
      <c r="A5" s="3">
        <v>3</v>
      </c>
      <c r="B5" s="44" t="str">
        <f>HYPERLINK("https://search.naver.com/search.naver?query=007 노 타임 투 다이 영화", "007 노 타임 투 다이")</f>
        <v>007 노 타임 투 다이</v>
      </c>
      <c r="C5" s="45">
        <v>7.15</v>
      </c>
      <c r="D5" s="4" t="s">
        <v>19</v>
      </c>
      <c r="E5" s="3" t="s">
        <v>20</v>
      </c>
      <c r="F5" s="3">
        <v>2021</v>
      </c>
      <c r="G5" s="3" t="s">
        <v>12</v>
      </c>
      <c r="H5" s="3" t="s">
        <v>21</v>
      </c>
      <c r="I5" s="3" t="s">
        <v>22</v>
      </c>
      <c r="J5" s="97" t="s">
        <v>3438</v>
      </c>
    </row>
    <row r="6" spans="1:14" ht="28.9" customHeight="1" thickTop="1" thickBot="1" x14ac:dyDescent="0.65">
      <c r="A6" s="5">
        <v>4</v>
      </c>
      <c r="B6" s="46" t="str">
        <f>HYPERLINK("https://search.naver.com/search.naver?query=007 스카이폴 영화", "007 스카이폴")</f>
        <v>007 스카이폴</v>
      </c>
      <c r="C6" s="47">
        <v>8.2200000000000006</v>
      </c>
      <c r="D6" s="6" t="s">
        <v>23</v>
      </c>
      <c r="E6" s="5" t="s">
        <v>24</v>
      </c>
      <c r="F6" s="5">
        <v>2012</v>
      </c>
      <c r="G6" s="5" t="s">
        <v>12</v>
      </c>
      <c r="H6" s="5" t="s">
        <v>21</v>
      </c>
      <c r="I6" s="5" t="s">
        <v>25</v>
      </c>
      <c r="J6" s="98" t="s">
        <v>3439</v>
      </c>
    </row>
    <row r="7" spans="1:14" ht="28.9" customHeight="1" thickTop="1" thickBot="1" x14ac:dyDescent="0.65">
      <c r="A7" s="3">
        <v>5</v>
      </c>
      <c r="B7" s="44" t="str">
        <f>HYPERLINK("https://search.naver.com/search.naver?query=007 스펙터 영화", "007 스펙터")</f>
        <v>007 스펙터</v>
      </c>
      <c r="C7" s="45">
        <v>7.83</v>
      </c>
      <c r="D7" s="4" t="s">
        <v>26</v>
      </c>
      <c r="E7" s="3" t="s">
        <v>20</v>
      </c>
      <c r="F7" s="3">
        <v>2015</v>
      </c>
      <c r="G7" s="3" t="s">
        <v>12</v>
      </c>
      <c r="H7" s="3" t="s">
        <v>27</v>
      </c>
      <c r="I7" s="3" t="s">
        <v>28</v>
      </c>
      <c r="J7" s="97" t="s">
        <v>3440</v>
      </c>
    </row>
    <row r="8" spans="1:14" ht="28.9" customHeight="1" thickTop="1" thickBot="1" x14ac:dyDescent="0.65">
      <c r="A8" s="5">
        <v>6</v>
      </c>
      <c r="B8" s="46" t="str">
        <f>HYPERLINK("https://cine21.com/movie/info/?movie_id=51171", "100미터")</f>
        <v>100미터</v>
      </c>
      <c r="C8" s="47">
        <v>6</v>
      </c>
      <c r="D8" s="6" t="s">
        <v>29</v>
      </c>
      <c r="E8" s="5" t="s">
        <v>30</v>
      </c>
      <c r="F8" s="5">
        <v>2016</v>
      </c>
      <c r="G8" s="5" t="s">
        <v>12</v>
      </c>
      <c r="H8" s="5" t="s">
        <v>17</v>
      </c>
      <c r="I8" s="5" t="s">
        <v>31</v>
      </c>
      <c r="J8" s="98" t="s">
        <v>3441</v>
      </c>
    </row>
    <row r="9" spans="1:14" ht="28.9" customHeight="1" thickTop="1" thickBot="1" x14ac:dyDescent="0.65">
      <c r="A9" s="3">
        <v>7</v>
      </c>
      <c r="B9" s="44" t="str">
        <f>HYPERLINK("https://search.naver.com/search.naver?query=12 솔져스 영화", "12 솔져스")</f>
        <v>12 솔져스</v>
      </c>
      <c r="C9" s="45">
        <v>9.5299999999999994</v>
      </c>
      <c r="D9" s="4" t="s">
        <v>32</v>
      </c>
      <c r="E9" s="3" t="s">
        <v>20</v>
      </c>
      <c r="F9" s="3">
        <v>2018</v>
      </c>
      <c r="G9" s="3" t="s">
        <v>12</v>
      </c>
      <c r="H9" s="3" t="s">
        <v>33</v>
      </c>
      <c r="I9" s="3" t="s">
        <v>34</v>
      </c>
      <c r="J9" s="97" t="s">
        <v>3442</v>
      </c>
    </row>
    <row r="10" spans="1:14" ht="28.9" customHeight="1" thickTop="1" thickBot="1" x14ac:dyDescent="0.65">
      <c r="A10" s="5">
        <v>8</v>
      </c>
      <c r="B10" s="46" t="str">
        <f>HYPERLINK("https://search.naver.com/search.naver?query=120시간 로스트 인 아웃백 영화", "120시간 로스트 인 아웃백")</f>
        <v>120시간 로스트 인 아웃백</v>
      </c>
      <c r="C10" s="47">
        <v>5.25</v>
      </c>
      <c r="D10" s="6" t="s">
        <v>35</v>
      </c>
      <c r="E10" s="5" t="s">
        <v>36</v>
      </c>
      <c r="F10" s="5">
        <v>2021</v>
      </c>
      <c r="G10" s="5" t="s">
        <v>12</v>
      </c>
      <c r="H10" s="5" t="s">
        <v>13</v>
      </c>
      <c r="I10" s="5" t="s">
        <v>37</v>
      </c>
      <c r="J10" s="98" t="s">
        <v>3438</v>
      </c>
    </row>
    <row r="11" spans="1:14" ht="28.9" customHeight="1" thickTop="1" thickBot="1" x14ac:dyDescent="0.65">
      <c r="A11" s="3">
        <v>9</v>
      </c>
      <c r="B11" s="44" t="str">
        <f>HYPERLINK("https://search.naver.com/search.naver?query=12번째 솔저 영화", "12번째 솔저")</f>
        <v>12번째 솔저</v>
      </c>
      <c r="C11" s="45">
        <v>9.27</v>
      </c>
      <c r="D11" s="4" t="s">
        <v>38</v>
      </c>
      <c r="E11" s="3" t="s">
        <v>39</v>
      </c>
      <c r="F11" s="3">
        <v>2017</v>
      </c>
      <c r="G11" s="3" t="s">
        <v>12</v>
      </c>
      <c r="H11" s="3" t="s">
        <v>40</v>
      </c>
      <c r="I11" s="3" t="s">
        <v>41</v>
      </c>
      <c r="J11" s="97" t="s">
        <v>3443</v>
      </c>
    </row>
    <row r="12" spans="1:14" ht="28.9" customHeight="1" thickTop="1" thickBot="1" x14ac:dyDescent="0.65">
      <c r="A12" s="5">
        <v>10</v>
      </c>
      <c r="B12" s="46" t="str">
        <f>HYPERLINK("https://search.naver.com/search.naver?query=12피트 영화", "12피트")</f>
        <v>12피트</v>
      </c>
      <c r="C12" s="47">
        <v>4.3099999999999996</v>
      </c>
      <c r="D12" s="6" t="s">
        <v>42</v>
      </c>
      <c r="E12" s="5" t="s">
        <v>20</v>
      </c>
      <c r="F12" s="5">
        <v>2016</v>
      </c>
      <c r="G12" s="5" t="s">
        <v>12</v>
      </c>
      <c r="H12" s="5" t="s">
        <v>43</v>
      </c>
      <c r="I12" s="5" t="s">
        <v>37</v>
      </c>
      <c r="J12" s="98" t="s">
        <v>3441</v>
      </c>
    </row>
    <row r="13" spans="1:14" ht="28.9" customHeight="1" thickTop="1" thickBot="1" x14ac:dyDescent="0.65">
      <c r="A13" s="3">
        <v>11</v>
      </c>
      <c r="B13" s="44" t="str">
        <f>HYPERLINK("https://search.naver.com/search.naver?query=13시간 영화", "13시간")</f>
        <v>13시간</v>
      </c>
      <c r="C13" s="45">
        <v>8.4600000000000009</v>
      </c>
      <c r="D13" s="4" t="s">
        <v>44</v>
      </c>
      <c r="E13" s="3" t="s">
        <v>20</v>
      </c>
      <c r="F13" s="3">
        <v>2016</v>
      </c>
      <c r="G13" s="3" t="s">
        <v>12</v>
      </c>
      <c r="H13" s="3" t="s">
        <v>33</v>
      </c>
      <c r="I13" s="3" t="s">
        <v>45</v>
      </c>
      <c r="J13" s="97" t="s">
        <v>3441</v>
      </c>
    </row>
    <row r="14" spans="1:14" ht="28.9" customHeight="1" thickTop="1" thickBot="1" x14ac:dyDescent="0.65">
      <c r="A14" s="5">
        <v>12</v>
      </c>
      <c r="B14" s="46" t="str">
        <f>HYPERLINK("https://search.naver.com/search.naver?query=15시 17분 파리행 열차 영화", "15시 17분 파리행 열차")</f>
        <v>15시 17분 파리행 열차</v>
      </c>
      <c r="C14" s="47">
        <v>7.64</v>
      </c>
      <c r="D14" s="6" t="s">
        <v>46</v>
      </c>
      <c r="E14" s="5" t="s">
        <v>20</v>
      </c>
      <c r="F14" s="5">
        <v>2018</v>
      </c>
      <c r="G14" s="5" t="s">
        <v>12</v>
      </c>
      <c r="H14" s="5" t="s">
        <v>17</v>
      </c>
      <c r="I14" s="5" t="s">
        <v>47</v>
      </c>
      <c r="J14" s="98" t="s">
        <v>3442</v>
      </c>
    </row>
    <row r="15" spans="1:14" ht="28.9" customHeight="1" thickTop="1" thickBot="1" x14ac:dyDescent="0.65">
      <c r="A15" s="7">
        <v>13</v>
      </c>
      <c r="B15" s="48" t="str">
        <f>HYPERLINK("https://search.naver.com/search.naver?query=1883", "1883 시즌1")</f>
        <v>1883 시즌1</v>
      </c>
      <c r="C15" s="49"/>
      <c r="D15" s="8" t="s">
        <v>48</v>
      </c>
      <c r="E15" s="7" t="s">
        <v>20</v>
      </c>
      <c r="F15" s="7">
        <v>2021</v>
      </c>
      <c r="G15" s="7" t="s">
        <v>17</v>
      </c>
      <c r="H15" s="7" t="s">
        <v>49</v>
      </c>
      <c r="I15" s="7" t="s">
        <v>50</v>
      </c>
      <c r="J15" s="99" t="s">
        <v>3438</v>
      </c>
    </row>
    <row r="16" spans="1:14" ht="28.9" customHeight="1" thickTop="1" thickBot="1" x14ac:dyDescent="0.65">
      <c r="A16" s="5">
        <v>14</v>
      </c>
      <c r="B16" s="46" t="str">
        <f>HYPERLINK("https://search.naver.com/search.naver?query=1917 영화", "1917")</f>
        <v>1917</v>
      </c>
      <c r="C16" s="47">
        <v>9.1</v>
      </c>
      <c r="D16" s="6" t="s">
        <v>51</v>
      </c>
      <c r="E16" s="5" t="s">
        <v>20</v>
      </c>
      <c r="F16" s="5">
        <v>2019</v>
      </c>
      <c r="G16" s="5" t="s">
        <v>12</v>
      </c>
      <c r="H16" s="5" t="s">
        <v>52</v>
      </c>
      <c r="I16" s="5" t="s">
        <v>53</v>
      </c>
      <c r="J16" s="98" t="s">
        <v>3444</v>
      </c>
    </row>
    <row r="17" spans="1:10" ht="28.9" customHeight="1" thickTop="1" thickBot="1" x14ac:dyDescent="0.65">
      <c r="A17" s="7">
        <v>15</v>
      </c>
      <c r="B17" s="48" t="str">
        <f>HYPERLINK("https://search.naver.com/search.naver?query=1923  시즌1", "1923  시즌1")</f>
        <v>1923  시즌1</v>
      </c>
      <c r="C17" s="49"/>
      <c r="D17" s="8" t="s">
        <v>54</v>
      </c>
      <c r="E17" s="7" t="s">
        <v>20</v>
      </c>
      <c r="F17" s="7">
        <v>2022</v>
      </c>
      <c r="G17" s="7" t="s">
        <v>17</v>
      </c>
      <c r="H17" s="7" t="s">
        <v>49</v>
      </c>
      <c r="I17" s="7" t="s">
        <v>55</v>
      </c>
      <c r="J17" s="99" t="s">
        <v>3445</v>
      </c>
    </row>
    <row r="18" spans="1:10" ht="28.9" customHeight="1" thickTop="1" thickBot="1" x14ac:dyDescent="0.65">
      <c r="A18" s="7">
        <v>16</v>
      </c>
      <c r="B18" s="48" t="str">
        <f>HYPERLINK("https://search.naver.com/search.naver?query=1923 시즌2", "1923 시즌2")</f>
        <v>1923 시즌2</v>
      </c>
      <c r="C18" s="49"/>
      <c r="D18" s="8" t="s">
        <v>54</v>
      </c>
      <c r="E18" s="7" t="s">
        <v>20</v>
      </c>
      <c r="F18" s="7">
        <v>2023</v>
      </c>
      <c r="G18" s="7" t="s">
        <v>17</v>
      </c>
      <c r="H18" s="7" t="s">
        <v>49</v>
      </c>
      <c r="I18" s="7" t="s">
        <v>55</v>
      </c>
      <c r="J18" s="99" t="s">
        <v>3446</v>
      </c>
    </row>
    <row r="19" spans="1:10" ht="28.9" customHeight="1" thickTop="1" thickBot="1" x14ac:dyDescent="0.65">
      <c r="A19" s="5">
        <v>17</v>
      </c>
      <c r="B19" s="46" t="str">
        <f>HYPERLINK("https://search.naver.com/search.naver?query=1941 세바스토폴 상륙작전", "1941 세바스토폴 상륙작전")</f>
        <v>1941 세바스토폴 상륙작전</v>
      </c>
      <c r="C19" s="47">
        <v>10</v>
      </c>
      <c r="D19" s="6" t="s">
        <v>56</v>
      </c>
      <c r="E19" s="5" t="s">
        <v>57</v>
      </c>
      <c r="F19" s="5">
        <v>2015</v>
      </c>
      <c r="G19" s="5" t="s">
        <v>12</v>
      </c>
      <c r="H19" s="5" t="s">
        <v>40</v>
      </c>
      <c r="I19" s="5" t="s">
        <v>58</v>
      </c>
      <c r="J19" s="98" t="s">
        <v>3440</v>
      </c>
    </row>
    <row r="20" spans="1:10" ht="28.9" customHeight="1" thickTop="1" thickBot="1" x14ac:dyDescent="0.65">
      <c r="A20" s="3">
        <v>18</v>
      </c>
      <c r="B20" s="44" t="str">
        <f>HYPERLINK("https://search.naver.com/search.naver?query=1944 영화", "1944")</f>
        <v>1944</v>
      </c>
      <c r="C20" s="45">
        <v>8.26</v>
      </c>
      <c r="D20" s="4" t="s">
        <v>59</v>
      </c>
      <c r="E20" s="3" t="s">
        <v>60</v>
      </c>
      <c r="F20" s="3">
        <v>2015</v>
      </c>
      <c r="G20" s="3" t="s">
        <v>12</v>
      </c>
      <c r="H20" s="3" t="s">
        <v>40</v>
      </c>
      <c r="I20" s="3" t="s">
        <v>61</v>
      </c>
      <c r="J20" s="97" t="s">
        <v>3440</v>
      </c>
    </row>
    <row r="21" spans="1:10" ht="28.9" customHeight="1" thickTop="1" thickBot="1" x14ac:dyDescent="0.65">
      <c r="A21" s="5">
        <v>19</v>
      </c>
      <c r="B21" s="46" t="str">
        <f>HYPERLINK("https://search.naver.com/search.naver?query=1947 보스톤 영화", "1947 보스톤")</f>
        <v>1947 보스톤</v>
      </c>
      <c r="C21" s="47">
        <v>7.72</v>
      </c>
      <c r="D21" s="6" t="s">
        <v>62</v>
      </c>
      <c r="E21" s="5" t="s">
        <v>11</v>
      </c>
      <c r="F21" s="5">
        <v>2023</v>
      </c>
      <c r="G21" s="5" t="s">
        <v>12</v>
      </c>
      <c r="H21" s="5" t="s">
        <v>17</v>
      </c>
      <c r="I21" s="5" t="s">
        <v>31</v>
      </c>
      <c r="J21" s="98" t="s">
        <v>3446</v>
      </c>
    </row>
    <row r="22" spans="1:10" ht="28.9" customHeight="1" thickTop="1" thickBot="1" x14ac:dyDescent="0.65">
      <c r="A22" s="3">
        <v>20</v>
      </c>
      <c r="B22" s="44" t="str">
        <f>HYPERLINK("https://search.naver.com/search.naver?query=1987 영화", "1987")</f>
        <v>1987</v>
      </c>
      <c r="C22" s="45">
        <v>9.07</v>
      </c>
      <c r="D22" s="4" t="s">
        <v>63</v>
      </c>
      <c r="E22" s="3" t="s">
        <v>11</v>
      </c>
      <c r="F22" s="3">
        <v>2017</v>
      </c>
      <c r="G22" s="3" t="s">
        <v>12</v>
      </c>
      <c r="H22" s="3" t="s">
        <v>17</v>
      </c>
      <c r="I22" s="3" t="s">
        <v>64</v>
      </c>
      <c r="J22" s="97" t="s">
        <v>3443</v>
      </c>
    </row>
    <row r="23" spans="1:10" ht="28.9" customHeight="1" thickTop="1" thickBot="1" x14ac:dyDescent="0.65">
      <c r="A23" s="5">
        <v>21</v>
      </c>
      <c r="B23" s="46" t="str">
        <f>HYPERLINK("https://search.naver.com/search.naver?query=19곰 테드 영화", "19곰 테드")</f>
        <v>19곰 테드</v>
      </c>
      <c r="C23" s="47">
        <v>7.83</v>
      </c>
      <c r="D23" s="6" t="s">
        <v>65</v>
      </c>
      <c r="E23" s="5" t="s">
        <v>20</v>
      </c>
      <c r="F23" s="5">
        <v>2012</v>
      </c>
      <c r="G23" s="5" t="s">
        <v>12</v>
      </c>
      <c r="H23" s="5" t="s">
        <v>66</v>
      </c>
      <c r="I23" s="5" t="s">
        <v>47</v>
      </c>
      <c r="J23" s="98" t="s">
        <v>3439</v>
      </c>
    </row>
    <row r="24" spans="1:10" ht="28.9" customHeight="1" thickTop="1" thickBot="1" x14ac:dyDescent="0.65">
      <c r="A24" s="3">
        <v>22</v>
      </c>
      <c r="B24" s="44" t="str">
        <f>HYPERLINK("https://search.naver.com/search.naver?query=19곰 테드 2 영화", "19곰 테드 2")</f>
        <v>19곰 테드 2</v>
      </c>
      <c r="C24" s="45">
        <v>7.83</v>
      </c>
      <c r="D24" s="4" t="s">
        <v>67</v>
      </c>
      <c r="E24" s="3" t="s">
        <v>20</v>
      </c>
      <c r="F24" s="3">
        <v>2015</v>
      </c>
      <c r="G24" s="3" t="s">
        <v>12</v>
      </c>
      <c r="H24" s="3" t="s">
        <v>68</v>
      </c>
      <c r="I24" s="3" t="s">
        <v>47</v>
      </c>
      <c r="J24" s="97" t="s">
        <v>3440</v>
      </c>
    </row>
    <row r="25" spans="1:10" ht="28.9" customHeight="1" thickTop="1" thickBot="1" x14ac:dyDescent="0.65">
      <c r="A25" s="5">
        <v>23</v>
      </c>
      <c r="B25" s="46" t="str">
        <f>HYPERLINK("https://search.naver.com/search.naver?query=1급 기밀 영화", "1급 기밀")</f>
        <v>1급 기밀</v>
      </c>
      <c r="C25" s="47">
        <v>8.8800000000000008</v>
      </c>
      <c r="D25" s="6" t="s">
        <v>69</v>
      </c>
      <c r="E25" s="5" t="s">
        <v>11</v>
      </c>
      <c r="F25" s="5">
        <v>2016</v>
      </c>
      <c r="G25" s="5" t="s">
        <v>12</v>
      </c>
      <c r="H25" s="5" t="s">
        <v>17</v>
      </c>
      <c r="I25" s="5" t="s">
        <v>70</v>
      </c>
      <c r="J25" s="98" t="s">
        <v>3441</v>
      </c>
    </row>
    <row r="26" spans="1:10" ht="28.9" customHeight="1" thickTop="1" thickBot="1" x14ac:dyDescent="0.65">
      <c r="A26" s="3">
        <v>24</v>
      </c>
      <c r="B26" s="44" t="str">
        <f>HYPERLINK("https://search.naver.com/search.naver?query=1번가의기적 영화", "1번가의기적")</f>
        <v>1번가의기적</v>
      </c>
      <c r="C26" s="45">
        <v>8.2100000000000009</v>
      </c>
      <c r="D26" s="4" t="s">
        <v>71</v>
      </c>
      <c r="E26" s="3" t="s">
        <v>11</v>
      </c>
      <c r="F26" s="3">
        <v>2007</v>
      </c>
      <c r="G26" s="3" t="s">
        <v>12</v>
      </c>
      <c r="H26" s="3" t="s">
        <v>72</v>
      </c>
      <c r="I26" s="3" t="s">
        <v>73</v>
      </c>
      <c r="J26" s="97" t="s">
        <v>3447</v>
      </c>
    </row>
    <row r="27" spans="1:10" ht="28.9" customHeight="1" thickTop="1" thickBot="1" x14ac:dyDescent="0.65">
      <c r="A27" s="5">
        <v>25</v>
      </c>
      <c r="B27" s="46" t="str">
        <f>HYPERLINK("https://search.naver.com/search.naver?query=1승 영화", "1승")</f>
        <v>1승</v>
      </c>
      <c r="C27" s="47">
        <v>7.49</v>
      </c>
      <c r="D27" s="6" t="s">
        <v>74</v>
      </c>
      <c r="E27" s="5" t="s">
        <v>11</v>
      </c>
      <c r="F27" s="5">
        <v>2024</v>
      </c>
      <c r="G27" s="5" t="s">
        <v>12</v>
      </c>
      <c r="H27" s="5" t="s">
        <v>17</v>
      </c>
      <c r="I27" s="5" t="s">
        <v>75</v>
      </c>
      <c r="J27" s="98" t="s">
        <v>3448</v>
      </c>
    </row>
    <row r="28" spans="1:10" ht="28.9" customHeight="1" thickTop="1" thickBot="1" x14ac:dyDescent="0.65">
      <c r="A28" s="3">
        <v>26</v>
      </c>
      <c r="B28" s="44" t="str">
        <f>HYPERLINK("https://search.naver.com/search.naver?query=21 그램 영화", "21 그램")</f>
        <v>21 그램</v>
      </c>
      <c r="C28" s="45">
        <v>8.2100000000000009</v>
      </c>
      <c r="D28" s="4" t="s">
        <v>76</v>
      </c>
      <c r="E28" s="3" t="s">
        <v>20</v>
      </c>
      <c r="F28" s="3">
        <v>2003</v>
      </c>
      <c r="G28" s="3" t="s">
        <v>12</v>
      </c>
      <c r="H28" s="3" t="s">
        <v>77</v>
      </c>
      <c r="I28" s="3" t="s">
        <v>78</v>
      </c>
      <c r="J28" s="97" t="s">
        <v>3449</v>
      </c>
    </row>
    <row r="29" spans="1:10" ht="28.9" customHeight="1" thickTop="1" thickBot="1" x14ac:dyDescent="0.65">
      <c r="A29" s="5">
        <v>27</v>
      </c>
      <c r="B29" s="46" t="str">
        <f>HYPERLINK("https://search.naver.com/search.naver?query=21 브릿지:테러 셧다운 영화", "21 브릿지:테러 셧다운")</f>
        <v>21 브릿지:테러 셧다운</v>
      </c>
      <c r="C29" s="47">
        <v>7.61</v>
      </c>
      <c r="D29" s="6" t="s">
        <v>79</v>
      </c>
      <c r="E29" s="5" t="s">
        <v>20</v>
      </c>
      <c r="F29" s="5">
        <v>2019</v>
      </c>
      <c r="G29" s="5" t="s">
        <v>12</v>
      </c>
      <c r="H29" s="5" t="s">
        <v>80</v>
      </c>
      <c r="I29" s="5" t="s">
        <v>81</v>
      </c>
      <c r="J29" s="98" t="s">
        <v>3444</v>
      </c>
    </row>
    <row r="30" spans="1:10" ht="28.9" customHeight="1" thickTop="1" thickBot="1" x14ac:dyDescent="0.65">
      <c r="A30" s="3">
        <v>28</v>
      </c>
      <c r="B30" s="44" t="str">
        <f>HYPERLINK("https://search.naver.com/search.naver?query=22 July", "22 July")</f>
        <v>22 July</v>
      </c>
      <c r="C30" s="45">
        <v>8.2100000000000009</v>
      </c>
      <c r="D30" s="4" t="s">
        <v>82</v>
      </c>
      <c r="E30" s="3" t="s">
        <v>39</v>
      </c>
      <c r="F30" s="3">
        <v>2018</v>
      </c>
      <c r="G30" s="3" t="s">
        <v>12</v>
      </c>
      <c r="H30" s="3" t="s">
        <v>17</v>
      </c>
      <c r="I30" s="3" t="s">
        <v>83</v>
      </c>
      <c r="J30" s="97" t="s">
        <v>3442</v>
      </c>
    </row>
    <row r="31" spans="1:10" ht="28.9" customHeight="1" thickTop="1" thickBot="1" x14ac:dyDescent="0.65">
      <c r="A31" s="5">
        <v>29</v>
      </c>
      <c r="B31" s="46" t="str">
        <f>HYPERLINK("https://search.naver.com/search.naver?query=22년째의 고백", "22년째의 고백")</f>
        <v>22년째의 고백</v>
      </c>
      <c r="C31" s="47">
        <v>6</v>
      </c>
      <c r="D31" s="6" t="s">
        <v>84</v>
      </c>
      <c r="E31" s="5" t="s">
        <v>16</v>
      </c>
      <c r="F31" s="5">
        <v>2017</v>
      </c>
      <c r="G31" s="5" t="s">
        <v>12</v>
      </c>
      <c r="H31" s="5" t="s">
        <v>85</v>
      </c>
      <c r="I31" s="5" t="s">
        <v>86</v>
      </c>
      <c r="J31" s="98" t="s">
        <v>3443</v>
      </c>
    </row>
    <row r="32" spans="1:10" ht="28.9" customHeight="1" thickTop="1" thickBot="1" x14ac:dyDescent="0.65">
      <c r="A32" s="5">
        <v>30</v>
      </c>
      <c r="B32" s="46" t="str">
        <f>HYPERLINK("https://search.naver.com/search.naver?query=23 아이덴티티 영화", "23 아이덴티티")</f>
        <v>23 아이덴티티</v>
      </c>
      <c r="C32" s="47">
        <v>7.94</v>
      </c>
      <c r="D32" s="6" t="s">
        <v>87</v>
      </c>
      <c r="E32" s="5" t="s">
        <v>20</v>
      </c>
      <c r="F32" s="5">
        <v>2016</v>
      </c>
      <c r="G32" s="5" t="s">
        <v>12</v>
      </c>
      <c r="H32" s="5" t="s">
        <v>88</v>
      </c>
      <c r="I32" s="5" t="s">
        <v>89</v>
      </c>
      <c r="J32" s="98" t="s">
        <v>3441</v>
      </c>
    </row>
    <row r="33" spans="1:10" ht="28.9" customHeight="1" thickTop="1" thickBot="1" x14ac:dyDescent="0.65">
      <c r="A33" s="3">
        <v>31</v>
      </c>
      <c r="B33" s="44" t="str">
        <f>HYPERLINK("https://search.naver.com/search.naver?query=24 아워스 투 리브 영화", "24 아워스 투 리브")</f>
        <v>24 아워스 투 리브</v>
      </c>
      <c r="C33" s="45">
        <v>6.4</v>
      </c>
      <c r="D33" s="4" t="s">
        <v>90</v>
      </c>
      <c r="E33" s="3" t="s">
        <v>91</v>
      </c>
      <c r="F33" s="3">
        <v>2017</v>
      </c>
      <c r="G33" s="3" t="s">
        <v>12</v>
      </c>
      <c r="H33" s="3" t="s">
        <v>92</v>
      </c>
      <c r="I33" s="3" t="s">
        <v>93</v>
      </c>
      <c r="J33" s="97" t="s">
        <v>3443</v>
      </c>
    </row>
    <row r="34" spans="1:10" ht="28.9" customHeight="1" thickTop="1" thickBot="1" x14ac:dyDescent="0.65">
      <c r="A34" s="5">
        <v>32</v>
      </c>
      <c r="B34" s="46" t="str">
        <f>HYPERLINK("https://search.naver.com/search.naver?query=27번의 결혼 리허설 영화", "27번의 결혼 리허설")</f>
        <v>27번의 결혼 리허설</v>
      </c>
      <c r="C34" s="47">
        <v>7.19</v>
      </c>
      <c r="D34" s="6" t="s">
        <v>94</v>
      </c>
      <c r="E34" s="5" t="s">
        <v>20</v>
      </c>
      <c r="F34" s="5">
        <v>2008</v>
      </c>
      <c r="G34" s="5" t="s">
        <v>12</v>
      </c>
      <c r="H34" s="5" t="s">
        <v>95</v>
      </c>
      <c r="I34" s="5" t="s">
        <v>96</v>
      </c>
      <c r="J34" s="98" t="s">
        <v>3450</v>
      </c>
    </row>
    <row r="35" spans="1:10" ht="28.9" customHeight="1" thickTop="1" thickBot="1" x14ac:dyDescent="0.65">
      <c r="A35" s="3">
        <v>33</v>
      </c>
      <c r="B35" s="44" t="str">
        <f>HYPERLINK("https://search.naver.com/search.naver?query=300 제국의 부활 영화", "300 - 제국의 부활")</f>
        <v>300 - 제국의 부활</v>
      </c>
      <c r="C35" s="45">
        <v>7.55</v>
      </c>
      <c r="D35" s="4" t="s">
        <v>97</v>
      </c>
      <c r="E35" s="3" t="s">
        <v>20</v>
      </c>
      <c r="F35" s="3">
        <v>2014</v>
      </c>
      <c r="G35" s="3" t="s">
        <v>12</v>
      </c>
      <c r="H35" s="3" t="s">
        <v>98</v>
      </c>
      <c r="I35" s="3" t="s">
        <v>99</v>
      </c>
      <c r="J35" s="97" t="s">
        <v>3437</v>
      </c>
    </row>
    <row r="36" spans="1:10" ht="28.9" customHeight="1" thickTop="1" thickBot="1" x14ac:dyDescent="0.65">
      <c r="A36" s="5">
        <v>34</v>
      </c>
      <c r="B36" s="46" t="str">
        <f>HYPERLINK("https://search.naver.com/search.naver?query=3096일 영화", "3096일")</f>
        <v>3096일</v>
      </c>
      <c r="C36" s="47">
        <v>7.46</v>
      </c>
      <c r="D36" s="6" t="s">
        <v>100</v>
      </c>
      <c r="E36" s="5" t="s">
        <v>101</v>
      </c>
      <c r="F36" s="5">
        <v>2013</v>
      </c>
      <c r="G36" s="5" t="s">
        <v>12</v>
      </c>
      <c r="H36" s="5" t="s">
        <v>85</v>
      </c>
      <c r="I36" s="5" t="s">
        <v>102</v>
      </c>
      <c r="J36" s="98" t="s">
        <v>3451</v>
      </c>
    </row>
    <row r="37" spans="1:10" ht="28.9" customHeight="1" thickTop="1" thickBot="1" x14ac:dyDescent="0.65">
      <c r="A37" s="3">
        <v>35</v>
      </c>
      <c r="B37" s="44" t="str">
        <f>HYPERLINK("https://search.naver.com/search.naver?query=310 투 유마 영화", "310 투 유마")</f>
        <v>310 투 유마</v>
      </c>
      <c r="C37" s="45">
        <v>8.42</v>
      </c>
      <c r="D37" s="4" t="s">
        <v>103</v>
      </c>
      <c r="E37" s="3" t="s">
        <v>20</v>
      </c>
      <c r="F37" s="3">
        <v>2007</v>
      </c>
      <c r="G37" s="3" t="s">
        <v>12</v>
      </c>
      <c r="H37" s="3" t="s">
        <v>104</v>
      </c>
      <c r="I37" s="3" t="s">
        <v>105</v>
      </c>
      <c r="J37" s="97" t="s">
        <v>3447</v>
      </c>
    </row>
    <row r="38" spans="1:10" ht="28.9" customHeight="1" thickTop="1" thickBot="1" x14ac:dyDescent="0.65">
      <c r="A38" s="3">
        <v>36</v>
      </c>
      <c r="B38" s="44" t="str">
        <f>HYPERLINK("https://search.naver.com/search.naver?query=355 영화", "355")</f>
        <v>355</v>
      </c>
      <c r="C38" s="45">
        <v>5.97</v>
      </c>
      <c r="D38" s="4" t="s">
        <v>106</v>
      </c>
      <c r="E38" s="3" t="s">
        <v>20</v>
      </c>
      <c r="F38" s="3">
        <v>2022</v>
      </c>
      <c r="G38" s="3" t="s">
        <v>12</v>
      </c>
      <c r="H38" s="3" t="s">
        <v>21</v>
      </c>
      <c r="I38" s="3" t="s">
        <v>105</v>
      </c>
      <c r="J38" s="97" t="s">
        <v>3445</v>
      </c>
    </row>
    <row r="39" spans="1:10" ht="28.9" customHeight="1" thickTop="1" thickBot="1" x14ac:dyDescent="0.65">
      <c r="A39" s="5">
        <v>37</v>
      </c>
      <c r="B39" s="46" t="str">
        <f>HYPERLINK("https://search.naver.com/search.naver?query=42 영화", "42")</f>
        <v>42</v>
      </c>
      <c r="C39" s="47">
        <v>7.62</v>
      </c>
      <c r="D39" s="6" t="s">
        <v>107</v>
      </c>
      <c r="E39" s="5" t="s">
        <v>20</v>
      </c>
      <c r="F39" s="5">
        <v>2013</v>
      </c>
      <c r="G39" s="5" t="s">
        <v>12</v>
      </c>
      <c r="H39" s="5" t="s">
        <v>17</v>
      </c>
      <c r="I39" s="5" t="s">
        <v>108</v>
      </c>
      <c r="J39" s="98" t="s">
        <v>3451</v>
      </c>
    </row>
    <row r="40" spans="1:10" ht="28.9" customHeight="1" thickTop="1" thickBot="1" x14ac:dyDescent="0.65">
      <c r="A40" s="3">
        <v>38</v>
      </c>
      <c r="B40" s="44" t="str">
        <f>HYPERLINK("https://search.naver.com/search.naver?query=45년 후 영화", "45년 후")</f>
        <v>45년 후</v>
      </c>
      <c r="C40" s="45">
        <v>8.16</v>
      </c>
      <c r="D40" s="4" t="s">
        <v>109</v>
      </c>
      <c r="E40" s="3" t="s">
        <v>24</v>
      </c>
      <c r="F40" s="3">
        <v>2015</v>
      </c>
      <c r="G40" s="3" t="s">
        <v>12</v>
      </c>
      <c r="H40" s="3" t="s">
        <v>110</v>
      </c>
      <c r="I40" s="3" t="s">
        <v>111</v>
      </c>
      <c r="J40" s="97" t="s">
        <v>3440</v>
      </c>
    </row>
    <row r="41" spans="1:10" ht="28.9" customHeight="1" thickTop="1" thickBot="1" x14ac:dyDescent="0.65">
      <c r="A41" s="5">
        <v>39</v>
      </c>
      <c r="B41" s="46" t="str">
        <f>HYPERLINK("https://search.naver.com/search.naver?query=47 로닌 영화", "47 로닌")</f>
        <v>47 로닌</v>
      </c>
      <c r="C41" s="47">
        <v>6.4</v>
      </c>
      <c r="D41" s="6" t="s">
        <v>112</v>
      </c>
      <c r="E41" s="5" t="s">
        <v>20</v>
      </c>
      <c r="F41" s="5">
        <v>2013</v>
      </c>
      <c r="G41" s="5" t="s">
        <v>12</v>
      </c>
      <c r="H41" s="5" t="s">
        <v>113</v>
      </c>
      <c r="I41" s="5" t="s">
        <v>53</v>
      </c>
      <c r="J41" s="98" t="s">
        <v>3451</v>
      </c>
    </row>
    <row r="42" spans="1:10" ht="28.9" customHeight="1" thickTop="1" thickBot="1" x14ac:dyDescent="0.65">
      <c r="A42" s="3">
        <v>40</v>
      </c>
      <c r="B42" s="44" t="str">
        <f>HYPERLINK("https://search.naver.com/search.naver?query=47미터 2 영화", "47미터-2")</f>
        <v>47미터-2</v>
      </c>
      <c r="C42" s="45">
        <v>8.19</v>
      </c>
      <c r="D42" s="4" t="s">
        <v>114</v>
      </c>
      <c r="E42" s="3" t="s">
        <v>20</v>
      </c>
      <c r="F42" s="3">
        <v>2019</v>
      </c>
      <c r="G42" s="3" t="s">
        <v>12</v>
      </c>
      <c r="H42" s="3" t="s">
        <v>88</v>
      </c>
      <c r="I42" s="3" t="s">
        <v>115</v>
      </c>
      <c r="J42" s="97" t="s">
        <v>3444</v>
      </c>
    </row>
    <row r="43" spans="1:10" ht="28.9" customHeight="1" thickTop="1" thickBot="1" x14ac:dyDescent="0.65">
      <c r="A43" s="5">
        <v>41</v>
      </c>
      <c r="B43" s="46" t="str">
        <f>HYPERLINK("https://search.naver.com/search.naver?query=49일의 레시피 영화", "49일의 레시피")</f>
        <v>49일의 레시피</v>
      </c>
      <c r="C43" s="47">
        <v>6.4</v>
      </c>
      <c r="D43" s="6" t="s">
        <v>116</v>
      </c>
      <c r="E43" s="5" t="s">
        <v>16</v>
      </c>
      <c r="F43" s="5">
        <v>2013</v>
      </c>
      <c r="G43" s="5" t="s">
        <v>12</v>
      </c>
      <c r="H43" s="5" t="s">
        <v>17</v>
      </c>
      <c r="I43" s="5" t="s">
        <v>34</v>
      </c>
      <c r="J43" s="98" t="s">
        <v>3451</v>
      </c>
    </row>
    <row r="44" spans="1:10" ht="28.9" customHeight="1" thickTop="1" thickBot="1" x14ac:dyDescent="0.65">
      <c r="A44" s="3">
        <v>42</v>
      </c>
      <c r="B44" s="44" t="str">
        <f>HYPERLINK("https://namu.wiki/w/4%EC%9B%94%209%EC%9D%BC(%EC%98%81%ED%99%94)", "4월 9일")</f>
        <v>4월 9일</v>
      </c>
      <c r="C44" s="45">
        <v>4.16</v>
      </c>
      <c r="D44" s="4" t="s">
        <v>117</v>
      </c>
      <c r="E44" s="3" t="s">
        <v>118</v>
      </c>
      <c r="F44" s="3">
        <v>2015</v>
      </c>
      <c r="G44" s="3" t="s">
        <v>12</v>
      </c>
      <c r="H44" s="3" t="s">
        <v>17</v>
      </c>
      <c r="I44" s="3" t="s">
        <v>119</v>
      </c>
      <c r="J44" s="97" t="s">
        <v>3440</v>
      </c>
    </row>
    <row r="45" spans="1:10" ht="28.9" customHeight="1" thickTop="1" thickBot="1" x14ac:dyDescent="0.65">
      <c r="A45" s="3">
        <v>43</v>
      </c>
      <c r="B45" s="44" t="str">
        <f>HYPERLINK("https://search.naver.com/search.naver?query=4월 이야기 영화", "4월 이야기")</f>
        <v>4월 이야기</v>
      </c>
      <c r="C45" s="45">
        <v>8.17</v>
      </c>
      <c r="D45" s="4" t="s">
        <v>120</v>
      </c>
      <c r="E45" s="3" t="s">
        <v>16</v>
      </c>
      <c r="F45" s="3">
        <v>1998</v>
      </c>
      <c r="G45" s="3" t="s">
        <v>12</v>
      </c>
      <c r="H45" s="3" t="s">
        <v>121</v>
      </c>
      <c r="I45" s="3" t="s">
        <v>122</v>
      </c>
      <c r="J45" s="97" t="s">
        <v>3452</v>
      </c>
    </row>
    <row r="46" spans="1:10" ht="28.9" customHeight="1" thickTop="1" thickBot="1" x14ac:dyDescent="0.65">
      <c r="A46" s="5">
        <v>44</v>
      </c>
      <c r="B46" s="46" t="str">
        <f>HYPERLINK("https://search.naver.com/search.naver?query=5 to 7 영화", "5 to 7")</f>
        <v>5 to 7</v>
      </c>
      <c r="C46" s="47">
        <v>8.1300000000000008</v>
      </c>
      <c r="D46" s="6" t="s">
        <v>123</v>
      </c>
      <c r="E46" s="5" t="s">
        <v>20</v>
      </c>
      <c r="F46" s="5">
        <v>2014</v>
      </c>
      <c r="G46" s="5" t="s">
        <v>12</v>
      </c>
      <c r="H46" s="5" t="s">
        <v>121</v>
      </c>
      <c r="I46" s="5" t="s">
        <v>124</v>
      </c>
      <c r="J46" s="98" t="s">
        <v>3437</v>
      </c>
    </row>
    <row r="47" spans="1:10" ht="28.9" customHeight="1" thickTop="1" thickBot="1" x14ac:dyDescent="0.65">
      <c r="A47" s="3">
        <v>45</v>
      </c>
      <c r="B47" s="44" t="str">
        <f>HYPERLINK("https://search.naver.com/search.naver?query=500일의 썸머 영화", "500일의 썸머")</f>
        <v>500일의 썸머</v>
      </c>
      <c r="C47" s="45">
        <v>8.6</v>
      </c>
      <c r="D47" s="4" t="s">
        <v>125</v>
      </c>
      <c r="E47" s="3" t="s">
        <v>20</v>
      </c>
      <c r="F47" s="3">
        <v>2009</v>
      </c>
      <c r="G47" s="3" t="s">
        <v>12</v>
      </c>
      <c r="H47" s="3" t="s">
        <v>126</v>
      </c>
      <c r="I47" s="3" t="s">
        <v>111</v>
      </c>
      <c r="J47" s="97" t="s">
        <v>3453</v>
      </c>
    </row>
    <row r="48" spans="1:10" ht="28.9" customHeight="1" thickTop="1" thickBot="1" x14ac:dyDescent="0.65">
      <c r="A48" s="5">
        <v>46</v>
      </c>
      <c r="B48" s="46" t="str">
        <f>HYPERLINK("https://search.naver.com/search.naver?query=50가지 그림자 해방 영화", "50가지 그림자-해방")</f>
        <v>50가지 그림자-해방</v>
      </c>
      <c r="C48" s="47">
        <v>8.36</v>
      </c>
      <c r="D48" s="6" t="s">
        <v>127</v>
      </c>
      <c r="E48" s="5" t="s">
        <v>20</v>
      </c>
      <c r="F48" s="5">
        <v>2018</v>
      </c>
      <c r="G48" s="5" t="s">
        <v>12</v>
      </c>
      <c r="H48" s="5" t="s">
        <v>121</v>
      </c>
      <c r="I48" s="5" t="s">
        <v>128</v>
      </c>
      <c r="J48" s="98" t="s">
        <v>3442</v>
      </c>
    </row>
    <row r="49" spans="1:10" ht="28.9" customHeight="1" thickTop="1" thickBot="1" x14ac:dyDescent="0.65">
      <c r="A49" s="3">
        <v>47</v>
      </c>
      <c r="B49" s="44" t="str">
        <f>HYPERLINK("https://search.naver.com/search.naver?query=50대50 영화", "50대50")</f>
        <v>50대50</v>
      </c>
      <c r="C49" s="45">
        <v>6.4</v>
      </c>
      <c r="D49" s="4" t="s">
        <v>129</v>
      </c>
      <c r="E49" s="3" t="s">
        <v>20</v>
      </c>
      <c r="F49" s="3">
        <v>2011</v>
      </c>
      <c r="G49" s="3" t="s">
        <v>12</v>
      </c>
      <c r="H49" s="3" t="s">
        <v>130</v>
      </c>
      <c r="I49" s="3" t="s">
        <v>131</v>
      </c>
      <c r="J49" s="97" t="s">
        <v>3454</v>
      </c>
    </row>
    <row r="50" spans="1:10" ht="28.9" customHeight="1" thickTop="1" thickBot="1" x14ac:dyDescent="0.65">
      <c r="A50" s="5">
        <v>48</v>
      </c>
      <c r="B50" s="46" t="str">
        <f>HYPERLINK("https://search.naver.com/search.naver?query=5년째 약혼중 영화", "5년째 약혼중")</f>
        <v>5년째 약혼중</v>
      </c>
      <c r="C50" s="47">
        <v>6.4</v>
      </c>
      <c r="D50" s="6" t="s">
        <v>132</v>
      </c>
      <c r="E50" s="5" t="s">
        <v>20</v>
      </c>
      <c r="F50" s="5">
        <v>2012</v>
      </c>
      <c r="G50" s="5" t="s">
        <v>12</v>
      </c>
      <c r="H50" s="5" t="s">
        <v>133</v>
      </c>
      <c r="I50" s="5" t="s">
        <v>134</v>
      </c>
      <c r="J50" s="98" t="s">
        <v>3439</v>
      </c>
    </row>
    <row r="51" spans="1:10" ht="28.9" customHeight="1" thickTop="1" thickBot="1" x14ac:dyDescent="0.65">
      <c r="A51" s="3">
        <v>49</v>
      </c>
      <c r="B51" s="44" t="str">
        <f>HYPERLINK("https://search.naver.com/search.naver?query=5일의 마중 영화", "5일의 마중")</f>
        <v>5일의 마중</v>
      </c>
      <c r="C51" s="45">
        <v>8.8800000000000008</v>
      </c>
      <c r="D51" s="4" t="s">
        <v>135</v>
      </c>
      <c r="E51" s="3" t="s">
        <v>136</v>
      </c>
      <c r="F51" s="3">
        <v>2014</v>
      </c>
      <c r="G51" s="3" t="s">
        <v>12</v>
      </c>
      <c r="H51" s="3" t="s">
        <v>17</v>
      </c>
      <c r="I51" s="3" t="s">
        <v>137</v>
      </c>
      <c r="J51" s="97" t="s">
        <v>3437</v>
      </c>
    </row>
    <row r="52" spans="1:10" ht="28.9" customHeight="1" thickTop="1" thickBot="1" x14ac:dyDescent="0.65">
      <c r="A52" s="5">
        <v>50</v>
      </c>
      <c r="B52" s="46" t="str">
        <f>HYPERLINK("https://search.naver.com/search.naver?query=5쿼터 영화", "5쿼터")</f>
        <v>5쿼터</v>
      </c>
      <c r="C52" s="47">
        <v>6.8</v>
      </c>
      <c r="D52" s="6" t="s">
        <v>138</v>
      </c>
      <c r="E52" s="5" t="s">
        <v>20</v>
      </c>
      <c r="F52" s="5">
        <v>2010</v>
      </c>
      <c r="G52" s="5" t="s">
        <v>12</v>
      </c>
      <c r="H52" s="5" t="s">
        <v>17</v>
      </c>
      <c r="I52" s="5" t="s">
        <v>115</v>
      </c>
      <c r="J52" s="98" t="s">
        <v>3455</v>
      </c>
    </row>
    <row r="53" spans="1:10" ht="28.9" customHeight="1" thickTop="1" thickBot="1" x14ac:dyDescent="0.65">
      <c r="A53" s="3">
        <v>51</v>
      </c>
      <c r="B53" s="44" t="str">
        <f>HYPERLINK("https://search.naver.com/search.naver?query=6 언더그라운드 영화", "6 언더그라운드")</f>
        <v>6 언더그라운드</v>
      </c>
      <c r="C53" s="45">
        <v>7.65</v>
      </c>
      <c r="D53" s="4" t="s">
        <v>139</v>
      </c>
      <c r="E53" s="3" t="s">
        <v>20</v>
      </c>
      <c r="F53" s="3">
        <v>2019</v>
      </c>
      <c r="G53" s="3" t="s">
        <v>12</v>
      </c>
      <c r="H53" s="3" t="s">
        <v>92</v>
      </c>
      <c r="I53" s="3" t="s">
        <v>108</v>
      </c>
      <c r="J53" s="97" t="s">
        <v>3444</v>
      </c>
    </row>
    <row r="54" spans="1:10" ht="28.9" customHeight="1" thickTop="1" thickBot="1" x14ac:dyDescent="0.65">
      <c r="A54" s="5">
        <v>52</v>
      </c>
      <c r="B54" s="46" t="str">
        <f>HYPERLINK("https://search.naver.com/search.naver?query=64 파트 1 영화", "64 파트 1")</f>
        <v>64 파트 1</v>
      </c>
      <c r="C54" s="47"/>
      <c r="D54" s="6" t="s">
        <v>140</v>
      </c>
      <c r="E54" s="5" t="s">
        <v>16</v>
      </c>
      <c r="F54" s="5">
        <v>2016</v>
      </c>
      <c r="G54" s="5" t="s">
        <v>12</v>
      </c>
      <c r="H54" s="5" t="s">
        <v>141</v>
      </c>
      <c r="I54" s="5" t="s">
        <v>142</v>
      </c>
      <c r="J54" s="98" t="s">
        <v>3441</v>
      </c>
    </row>
    <row r="55" spans="1:10" ht="28.9" customHeight="1" thickTop="1" thickBot="1" x14ac:dyDescent="0.65">
      <c r="A55" s="3">
        <v>53</v>
      </c>
      <c r="B55" s="44" t="str">
        <f>HYPERLINK("https://search.naver.com/search.naver?query=64 파트 2 영화", "64 파트 2")</f>
        <v>64 파트 2</v>
      </c>
      <c r="C55" s="45">
        <v>6.4</v>
      </c>
      <c r="D55" s="4" t="s">
        <v>140</v>
      </c>
      <c r="E55" s="3" t="s">
        <v>16</v>
      </c>
      <c r="F55" s="3">
        <v>2016</v>
      </c>
      <c r="G55" s="3" t="s">
        <v>12</v>
      </c>
      <c r="H55" s="3" t="s">
        <v>143</v>
      </c>
      <c r="I55" s="3" t="s">
        <v>53</v>
      </c>
      <c r="J55" s="97" t="s">
        <v>3441</v>
      </c>
    </row>
    <row r="56" spans="1:10" ht="28.9" customHeight="1" thickTop="1" thickBot="1" x14ac:dyDescent="0.65">
      <c r="A56" s="5">
        <v>54</v>
      </c>
      <c r="B56" s="46" t="str">
        <f>HYPERLINK("https://search.naver.com/search.naver?query=6888 중앙우편대대 영화", "6888 중앙우편대대")</f>
        <v>6888 중앙우편대대</v>
      </c>
      <c r="C56" s="47">
        <v>8.9700000000000006</v>
      </c>
      <c r="D56" s="6" t="s">
        <v>144</v>
      </c>
      <c r="E56" s="5" t="s">
        <v>20</v>
      </c>
      <c r="F56" s="5">
        <v>2024</v>
      </c>
      <c r="G56" s="5" t="s">
        <v>12</v>
      </c>
      <c r="H56" s="5" t="s">
        <v>40</v>
      </c>
      <c r="I56" s="5" t="s">
        <v>64</v>
      </c>
      <c r="J56" s="98" t="s">
        <v>3448</v>
      </c>
    </row>
    <row r="57" spans="1:10" ht="28.9" customHeight="1" thickTop="1" thickBot="1" x14ac:dyDescent="0.65">
      <c r="A57" s="7">
        <v>55</v>
      </c>
      <c r="B57" s="48" t="str">
        <f>HYPERLINK("https://search.naver.com/search.naver?query=68세의신입사원 드라마", "68세의신입사원")</f>
        <v>68세의신입사원</v>
      </c>
      <c r="C57" s="49"/>
      <c r="D57" s="8"/>
      <c r="E57" s="7" t="s">
        <v>16</v>
      </c>
      <c r="F57" s="7">
        <v>2018</v>
      </c>
      <c r="G57" s="7" t="s">
        <v>17</v>
      </c>
      <c r="H57" s="7" t="s">
        <v>17</v>
      </c>
      <c r="I57" s="7" t="s">
        <v>131</v>
      </c>
      <c r="J57" s="99" t="s">
        <v>3442</v>
      </c>
    </row>
    <row r="58" spans="1:10" ht="28.9" customHeight="1" thickTop="1" thickBot="1" x14ac:dyDescent="0.65">
      <c r="A58" s="5">
        <v>56</v>
      </c>
      <c r="B58" s="44" t="str">
        <f>HYPERLINK("https://search.naver.com/search.naver?query=71 벨파스트의 눈물 영화", "71-벨파스트의 눈물")</f>
        <v>71-벨파스트의 눈물</v>
      </c>
      <c r="C58" s="47">
        <v>7.95</v>
      </c>
      <c r="D58" s="6" t="s">
        <v>145</v>
      </c>
      <c r="E58" s="5" t="s">
        <v>24</v>
      </c>
      <c r="F58" s="5">
        <v>2014</v>
      </c>
      <c r="G58" s="5" t="s">
        <v>12</v>
      </c>
      <c r="H58" s="5" t="s">
        <v>13</v>
      </c>
      <c r="I58" s="5" t="s">
        <v>81</v>
      </c>
      <c r="J58" s="98" t="s">
        <v>3437</v>
      </c>
    </row>
    <row r="59" spans="1:10" ht="28.9" customHeight="1" thickTop="1" thickBot="1" x14ac:dyDescent="0.65">
      <c r="A59" s="3">
        <v>57</v>
      </c>
      <c r="B59" s="44" t="str">
        <f>HYPERLINK("https://search.naver.com/search.naver?query=7500 영화", "7500")</f>
        <v>7500</v>
      </c>
      <c r="C59" s="45">
        <v>5.2</v>
      </c>
      <c r="D59" s="4" t="s">
        <v>146</v>
      </c>
      <c r="E59" s="3" t="s">
        <v>20</v>
      </c>
      <c r="F59" s="3">
        <v>2019</v>
      </c>
      <c r="G59" s="3" t="s">
        <v>12</v>
      </c>
      <c r="H59" s="3" t="s">
        <v>43</v>
      </c>
      <c r="I59" s="3" t="s">
        <v>147</v>
      </c>
      <c r="J59" s="97" t="s">
        <v>3444</v>
      </c>
    </row>
    <row r="60" spans="1:10" ht="28.9" customHeight="1" thickTop="1" thickBot="1" x14ac:dyDescent="0.65">
      <c r="A60" s="5">
        <v>58</v>
      </c>
      <c r="B60" s="46" t="str">
        <f>HYPERLINK("https://search.naver.com/search.naver?query=7년의 밤 영화", "7년의 밤")</f>
        <v>7년의 밤</v>
      </c>
      <c r="C60" s="47">
        <v>6</v>
      </c>
      <c r="D60" s="6" t="s">
        <v>148</v>
      </c>
      <c r="E60" s="5" t="s">
        <v>11</v>
      </c>
      <c r="F60" s="5">
        <v>2018</v>
      </c>
      <c r="G60" s="5" t="s">
        <v>12</v>
      </c>
      <c r="H60" s="5" t="s">
        <v>13</v>
      </c>
      <c r="I60" s="5" t="s">
        <v>58</v>
      </c>
      <c r="J60" s="98" t="s">
        <v>3442</v>
      </c>
    </row>
    <row r="61" spans="1:10" ht="28.9" customHeight="1" thickTop="1" thickBot="1" x14ac:dyDescent="0.65">
      <c r="A61" s="3">
        <v>59</v>
      </c>
      <c r="B61" s="44" t="str">
        <f>HYPERLINK("https://search.naver.com/search.naver?query=7번방의 선물 영화", "7번방의 선물")</f>
        <v>7번방의 선물</v>
      </c>
      <c r="C61" s="45">
        <v>8.83</v>
      </c>
      <c r="D61" s="4" t="s">
        <v>149</v>
      </c>
      <c r="E61" s="3" t="s">
        <v>11</v>
      </c>
      <c r="F61" s="3">
        <v>2012</v>
      </c>
      <c r="G61" s="3" t="s">
        <v>12</v>
      </c>
      <c r="H61" s="3" t="s">
        <v>72</v>
      </c>
      <c r="I61" s="3" t="s">
        <v>150</v>
      </c>
      <c r="J61" s="97" t="s">
        <v>3439</v>
      </c>
    </row>
    <row r="62" spans="1:10" ht="28.9" customHeight="1" thickTop="1" thickBot="1" x14ac:dyDescent="0.65">
      <c r="A62" s="5">
        <v>60</v>
      </c>
      <c r="B62" s="46" t="str">
        <f>HYPERLINK("https://search.naver.com/search.naver?query=7번째 내가 죽던 날 영화", "7번째 내가 죽던 날")</f>
        <v>7번째 내가 죽던 날</v>
      </c>
      <c r="C62" s="47">
        <v>8.6300000000000008</v>
      </c>
      <c r="D62" s="6" t="s">
        <v>151</v>
      </c>
      <c r="E62" s="5" t="s">
        <v>20</v>
      </c>
      <c r="F62" s="5">
        <v>2017</v>
      </c>
      <c r="G62" s="5" t="s">
        <v>12</v>
      </c>
      <c r="H62" s="5" t="s">
        <v>152</v>
      </c>
      <c r="I62" s="5" t="s">
        <v>81</v>
      </c>
      <c r="J62" s="98" t="s">
        <v>3443</v>
      </c>
    </row>
    <row r="63" spans="1:10" ht="28.9" customHeight="1" thickTop="1" thickBot="1" x14ac:dyDescent="0.65">
      <c r="A63" s="5">
        <v>61</v>
      </c>
      <c r="B63" s="46" t="str">
        <f>HYPERLINK("https://search.naver.com/search.naver?query=8년을 뛰어넘은 신부 영화", "8년을 뛰어넘은 신부")</f>
        <v>8년을 뛰어넘은 신부</v>
      </c>
      <c r="C63" s="47">
        <v>9.4</v>
      </c>
      <c r="D63" s="6" t="s">
        <v>153</v>
      </c>
      <c r="E63" s="5" t="s">
        <v>16</v>
      </c>
      <c r="F63" s="5">
        <v>2021</v>
      </c>
      <c r="G63" s="5" t="s">
        <v>12</v>
      </c>
      <c r="H63" s="5" t="s">
        <v>154</v>
      </c>
      <c r="I63" s="5" t="s">
        <v>53</v>
      </c>
      <c r="J63" s="98" t="s">
        <v>3438</v>
      </c>
    </row>
    <row r="64" spans="1:10" ht="28.9" customHeight="1" thickTop="1" thickBot="1" x14ac:dyDescent="0.65">
      <c r="A64" s="3">
        <v>62</v>
      </c>
      <c r="B64" s="44" t="str">
        <f>HYPERLINK("https://search.naver.com/search.naver?query=8미리 영화", "8미리")</f>
        <v>8미리</v>
      </c>
      <c r="C64" s="45">
        <v>7.87</v>
      </c>
      <c r="D64" s="4" t="s">
        <v>155</v>
      </c>
      <c r="E64" s="3" t="s">
        <v>20</v>
      </c>
      <c r="F64" s="3">
        <v>1999</v>
      </c>
      <c r="G64" s="3" t="s">
        <v>12</v>
      </c>
      <c r="H64" s="3" t="s">
        <v>143</v>
      </c>
      <c r="I64" s="3" t="s">
        <v>58</v>
      </c>
      <c r="J64" s="97" t="s">
        <v>3456</v>
      </c>
    </row>
    <row r="65" spans="1:10" ht="28.9" customHeight="1" thickTop="1" thickBot="1" x14ac:dyDescent="0.65">
      <c r="A65" s="5">
        <v>63</v>
      </c>
      <c r="B65" s="46" t="str">
        <f>HYPERLINK("https://search.naver.com/search.naver?query=8일째 매미 영화", "8일째 매미")</f>
        <v>8일째 매미</v>
      </c>
      <c r="C65" s="47">
        <v>6.4</v>
      </c>
      <c r="D65" s="6" t="s">
        <v>156</v>
      </c>
      <c r="E65" s="5" t="s">
        <v>16</v>
      </c>
      <c r="F65" s="5">
        <v>2011</v>
      </c>
      <c r="G65" s="5" t="s">
        <v>12</v>
      </c>
      <c r="H65" s="5" t="s">
        <v>17</v>
      </c>
      <c r="I65" s="5" t="s">
        <v>157</v>
      </c>
      <c r="J65" s="98" t="s">
        <v>3454</v>
      </c>
    </row>
    <row r="66" spans="1:10" ht="28.9" customHeight="1" thickTop="1" thickBot="1" x14ac:dyDescent="0.65">
      <c r="A66" s="3">
        <v>64</v>
      </c>
      <c r="B66" s="44" t="str">
        <f>HYPERLINK("https://search.naver.com/search.naver?query=90 미니츠 인 헤븐 영화", "90 미니츠 인 헤븐")</f>
        <v>90 미니츠 인 헤븐</v>
      </c>
      <c r="C66" s="45">
        <v>6.4</v>
      </c>
      <c r="D66" s="4" t="s">
        <v>158</v>
      </c>
      <c r="E66" s="3" t="s">
        <v>20</v>
      </c>
      <c r="F66" s="3">
        <v>2015</v>
      </c>
      <c r="G66" s="3" t="s">
        <v>12</v>
      </c>
      <c r="H66" s="3" t="s">
        <v>17</v>
      </c>
      <c r="I66" s="3" t="s">
        <v>142</v>
      </c>
      <c r="J66" s="97" t="s">
        <v>3440</v>
      </c>
    </row>
    <row r="67" spans="1:10" ht="28.9" customHeight="1" thickTop="1" thickBot="1" x14ac:dyDescent="0.65">
      <c r="A67" s="5">
        <v>65</v>
      </c>
      <c r="B67" s="46" t="str">
        <f>HYPERLINK("https://search.naver.com/search.naver?query=9/11 영화", "911")</f>
        <v>911</v>
      </c>
      <c r="C67" s="47">
        <v>5</v>
      </c>
      <c r="D67" s="6" t="s">
        <v>159</v>
      </c>
      <c r="E67" s="5" t="s">
        <v>20</v>
      </c>
      <c r="F67" s="5">
        <v>2018</v>
      </c>
      <c r="G67" s="5" t="s">
        <v>12</v>
      </c>
      <c r="H67" s="5" t="s">
        <v>160</v>
      </c>
      <c r="I67" s="5" t="s">
        <v>115</v>
      </c>
      <c r="J67" s="98" t="s">
        <v>3442</v>
      </c>
    </row>
    <row r="68" spans="1:10" ht="28.9" customHeight="1" thickTop="1" thickBot="1" x14ac:dyDescent="0.65">
      <c r="A68" s="7">
        <v>66</v>
      </c>
      <c r="B68" s="48" t="str">
        <f>HYPERLINK("https://search.naver.com/search.naver?query=9-1-1 론 스타 시즌1", "9-1-1: 론 스타 시즌1")</f>
        <v>9-1-1: 론 스타 시즌1</v>
      </c>
      <c r="C68" s="49"/>
      <c r="D68" s="8" t="s">
        <v>161</v>
      </c>
      <c r="E68" s="7" t="s">
        <v>20</v>
      </c>
      <c r="F68" s="7">
        <v>2020</v>
      </c>
      <c r="G68" s="7" t="s">
        <v>17</v>
      </c>
      <c r="H68" s="7" t="s">
        <v>162</v>
      </c>
      <c r="I68" s="7" t="s">
        <v>50</v>
      </c>
      <c r="J68" s="99" t="s">
        <v>3436</v>
      </c>
    </row>
    <row r="69" spans="1:10" ht="28.9" customHeight="1" thickTop="1" thickBot="1" x14ac:dyDescent="0.65">
      <c r="A69" s="7">
        <v>67</v>
      </c>
      <c r="B69" s="48" t="str">
        <f>HYPERLINK("https://search.naver.com/search.naver?query=9-1-1 론 스타 시즌2", "9-1-1: 론 스타 시즌2")</f>
        <v>9-1-1: 론 스타 시즌2</v>
      </c>
      <c r="C69" s="49"/>
      <c r="D69" s="8" t="s">
        <v>161</v>
      </c>
      <c r="E69" s="7" t="s">
        <v>20</v>
      </c>
      <c r="F69" s="7">
        <v>2021</v>
      </c>
      <c r="G69" s="7" t="s">
        <v>17</v>
      </c>
      <c r="H69" s="7" t="s">
        <v>162</v>
      </c>
      <c r="I69" s="7" t="s">
        <v>163</v>
      </c>
      <c r="J69" s="99" t="s">
        <v>3438</v>
      </c>
    </row>
    <row r="70" spans="1:10" ht="28.9" customHeight="1" thickTop="1" thickBot="1" x14ac:dyDescent="0.65">
      <c r="A70" s="7">
        <v>68</v>
      </c>
      <c r="B70" s="48" t="str">
        <f>HYPERLINK("https://search.naver.com/search.naver?query=9-1-1 론 스타 시즌3", "9-1-1: 론 스타 시즌3")</f>
        <v>9-1-1: 론 스타 시즌3</v>
      </c>
      <c r="C70" s="49"/>
      <c r="D70" s="8" t="s">
        <v>161</v>
      </c>
      <c r="E70" s="7" t="s">
        <v>20</v>
      </c>
      <c r="F70" s="7">
        <v>2022</v>
      </c>
      <c r="G70" s="7" t="s">
        <v>17</v>
      </c>
      <c r="H70" s="7" t="s">
        <v>162</v>
      </c>
      <c r="I70" s="7" t="s">
        <v>164</v>
      </c>
      <c r="J70" s="99" t="s">
        <v>3445</v>
      </c>
    </row>
    <row r="71" spans="1:10" ht="28.9" customHeight="1" thickTop="1" thickBot="1" x14ac:dyDescent="0.65">
      <c r="A71" s="5">
        <v>69</v>
      </c>
      <c r="B71" s="46" t="str">
        <f>HYPERLINK("https://search.naver.com/search.naver?query=9월 5일 위험한 특종 영화", "9월 5일 위험한 특종")</f>
        <v>9월 5일 위험한 특종</v>
      </c>
      <c r="C71" s="47">
        <v>7.92</v>
      </c>
      <c r="D71" s="6" t="s">
        <v>165</v>
      </c>
      <c r="E71" s="5" t="s">
        <v>101</v>
      </c>
      <c r="F71" s="5">
        <v>2024</v>
      </c>
      <c r="G71" s="5" t="s">
        <v>12</v>
      </c>
      <c r="H71" s="5" t="s">
        <v>13</v>
      </c>
      <c r="I71" s="5" t="s">
        <v>111</v>
      </c>
      <c r="J71" s="98" t="s">
        <v>3448</v>
      </c>
    </row>
    <row r="72" spans="1:10" ht="28.9" customHeight="1" thickTop="1" thickBot="1" x14ac:dyDescent="0.65">
      <c r="A72" s="3">
        <v>70</v>
      </c>
      <c r="B72" s="44" t="str">
        <f>HYPERLINK("https://search.naver.com/search.naver?query=A.I. 영화", "A.I.")</f>
        <v>A.I.</v>
      </c>
      <c r="C72" s="45">
        <v>3.83</v>
      </c>
      <c r="D72" s="4" t="s">
        <v>166</v>
      </c>
      <c r="E72" s="3" t="s">
        <v>20</v>
      </c>
      <c r="F72" s="3">
        <v>2001</v>
      </c>
      <c r="G72" s="3" t="s">
        <v>12</v>
      </c>
      <c r="H72" s="3" t="s">
        <v>167</v>
      </c>
      <c r="I72" s="3" t="s">
        <v>45</v>
      </c>
      <c r="J72" s="97" t="s">
        <v>3457</v>
      </c>
    </row>
    <row r="73" spans="1:10" ht="28.9" customHeight="1" thickTop="1" thickBot="1" x14ac:dyDescent="0.65">
      <c r="A73" s="5">
        <v>71</v>
      </c>
      <c r="B73" s="46" t="str">
        <f>HYPERLINK("https://search.naver.com/search.naver?query=AK-47 영화", "AK-47")</f>
        <v>AK-47</v>
      </c>
      <c r="C73" s="47">
        <v>8.32</v>
      </c>
      <c r="D73" s="6" t="s">
        <v>168</v>
      </c>
      <c r="E73" s="5" t="s">
        <v>57</v>
      </c>
      <c r="F73" s="5">
        <v>2020</v>
      </c>
      <c r="G73" s="5" t="s">
        <v>12</v>
      </c>
      <c r="H73" s="5" t="s">
        <v>169</v>
      </c>
      <c r="I73" s="5" t="s">
        <v>170</v>
      </c>
      <c r="J73" s="98" t="s">
        <v>3436</v>
      </c>
    </row>
    <row r="74" spans="1:10" ht="28.9" customHeight="1" thickTop="1" thickBot="1" x14ac:dyDescent="0.65">
      <c r="A74" s="3">
        <v>72</v>
      </c>
      <c r="B74" s="44" t="str">
        <f>HYPERLINK("https://search.naver.com/search.naver?query=CIA 데빌헌터 영화", "CIA 데빌헌터")</f>
        <v>CIA 데빌헌터</v>
      </c>
      <c r="C74" s="45">
        <v>8</v>
      </c>
      <c r="D74" s="4" t="s">
        <v>171</v>
      </c>
      <c r="E74" s="3" t="s">
        <v>24</v>
      </c>
      <c r="F74" s="3">
        <v>2018</v>
      </c>
      <c r="G74" s="3" t="s">
        <v>12</v>
      </c>
      <c r="H74" s="3" t="s">
        <v>92</v>
      </c>
      <c r="I74" s="3" t="s">
        <v>131</v>
      </c>
      <c r="J74" s="97" t="s">
        <v>3442</v>
      </c>
    </row>
    <row r="75" spans="1:10" ht="28.9" customHeight="1" thickTop="1" thickBot="1" x14ac:dyDescent="0.65">
      <c r="A75" s="7">
        <v>73</v>
      </c>
      <c r="B75" s="48" t="str">
        <f>HYPERLINK("https://search.naver.com/search.naver?query=D.P. 시즌1", "D.P. 시즌1")</f>
        <v>D.P. 시즌1</v>
      </c>
      <c r="C75" s="49"/>
      <c r="D75" s="8" t="s">
        <v>172</v>
      </c>
      <c r="E75" s="7" t="s">
        <v>11</v>
      </c>
      <c r="F75" s="7">
        <v>2021</v>
      </c>
      <c r="G75" s="7" t="s">
        <v>17</v>
      </c>
      <c r="H75" s="7" t="s">
        <v>43</v>
      </c>
      <c r="I75" s="7" t="s">
        <v>173</v>
      </c>
      <c r="J75" s="99" t="s">
        <v>3438</v>
      </c>
    </row>
    <row r="76" spans="1:10" ht="28.9" customHeight="1" thickTop="1" thickBot="1" x14ac:dyDescent="0.65">
      <c r="A76" s="7">
        <v>74</v>
      </c>
      <c r="B76" s="48" t="str">
        <f>HYPERLINK("https://search.naver.com/search.naver?query=D.P. 시즌2", "D.P. 시즌2")</f>
        <v>D.P. 시즌2</v>
      </c>
      <c r="C76" s="49"/>
      <c r="D76" s="8" t="s">
        <v>172</v>
      </c>
      <c r="E76" s="7" t="s">
        <v>11</v>
      </c>
      <c r="F76" s="7">
        <v>2023</v>
      </c>
      <c r="G76" s="7" t="s">
        <v>17</v>
      </c>
      <c r="H76" s="7" t="s">
        <v>43</v>
      </c>
      <c r="I76" s="7" t="s">
        <v>173</v>
      </c>
      <c r="J76" s="99" t="s">
        <v>3446</v>
      </c>
    </row>
    <row r="77" spans="1:10" ht="28.9" customHeight="1" thickTop="1" thickBot="1" x14ac:dyDescent="0.65">
      <c r="A77" s="5">
        <v>75</v>
      </c>
      <c r="B77" s="46" t="str">
        <f>HYPERLINK("https://search.naver.com/search.naver?query=D-13 영화", "D-13")</f>
        <v>D-13</v>
      </c>
      <c r="C77" s="47">
        <v>8.67</v>
      </c>
      <c r="D77" s="6" t="s">
        <v>174</v>
      </c>
      <c r="E77" s="5" t="s">
        <v>20</v>
      </c>
      <c r="F77" s="5">
        <v>2000</v>
      </c>
      <c r="G77" s="5" t="s">
        <v>12</v>
      </c>
      <c r="H77" s="5" t="s">
        <v>17</v>
      </c>
      <c r="I77" s="5" t="s">
        <v>175</v>
      </c>
      <c r="J77" s="98" t="s">
        <v>3458</v>
      </c>
    </row>
    <row r="78" spans="1:10" ht="28.9" customHeight="1" thickTop="1" thickBot="1" x14ac:dyDescent="0.65">
      <c r="A78" s="3">
        <v>76</v>
      </c>
      <c r="B78" s="44" t="str">
        <f>HYPERLINK("https://search.naver.com/search.naver?query=FBI덴저러스 영화", "FBI덴저러스")</f>
        <v>FBI덴저러스</v>
      </c>
      <c r="C78" s="45">
        <v>5.5</v>
      </c>
      <c r="D78" s="4" t="s">
        <v>176</v>
      </c>
      <c r="E78" s="3" t="s">
        <v>20</v>
      </c>
      <c r="F78" s="3">
        <v>2021</v>
      </c>
      <c r="G78" s="3" t="s">
        <v>12</v>
      </c>
      <c r="H78" s="3" t="s">
        <v>92</v>
      </c>
      <c r="I78" s="3" t="s">
        <v>81</v>
      </c>
      <c r="J78" s="97" t="s">
        <v>3438</v>
      </c>
    </row>
    <row r="79" spans="1:10" ht="28.9" customHeight="1" thickTop="1" thickBot="1" x14ac:dyDescent="0.65">
      <c r="A79" s="5">
        <v>77</v>
      </c>
      <c r="B79" s="46" t="str">
        <f>HYPERLINK("https://search.naver.com/search.naver?query=도어 투 도어: 나는 뇌성마비 탑 세일즈맨 영화", "도어 투 도어: 나는 뇌성마비 탑 세일즈맨")</f>
        <v>도어 투 도어: 나는 뇌성마비 탑 세일즈맨</v>
      </c>
      <c r="C79" s="47">
        <v>6.4</v>
      </c>
      <c r="D79" s="6" t="s">
        <v>177</v>
      </c>
      <c r="E79" s="5" t="s">
        <v>16</v>
      </c>
      <c r="F79" s="5">
        <v>2009</v>
      </c>
      <c r="G79" s="5" t="s">
        <v>12</v>
      </c>
      <c r="H79" s="5" t="s">
        <v>17</v>
      </c>
      <c r="I79" s="5" t="s">
        <v>115</v>
      </c>
      <c r="J79" s="98" t="s">
        <v>3453</v>
      </c>
    </row>
    <row r="80" spans="1:10" ht="28.9" customHeight="1" thickTop="1" thickBot="1" x14ac:dyDescent="0.65">
      <c r="A80" s="7">
        <v>78</v>
      </c>
      <c r="B80" s="48" t="str">
        <f>HYPERLINK("https://search.naver.com/search.naver?query=Dr. 브레인", "Dr. 브레인")</f>
        <v>Dr. 브레인</v>
      </c>
      <c r="C80" s="49"/>
      <c r="D80" s="8" t="s">
        <v>178</v>
      </c>
      <c r="E80" s="7" t="s">
        <v>11</v>
      </c>
      <c r="F80" s="7">
        <v>2021</v>
      </c>
      <c r="G80" s="7" t="s">
        <v>17</v>
      </c>
      <c r="H80" s="7" t="s">
        <v>179</v>
      </c>
      <c r="I80" s="7" t="s">
        <v>173</v>
      </c>
      <c r="J80" s="99" t="s">
        <v>3438</v>
      </c>
    </row>
    <row r="81" spans="1:10" ht="28.9" customHeight="1" thickTop="1" thickBot="1" x14ac:dyDescent="0.65">
      <c r="A81" s="5">
        <v>79</v>
      </c>
      <c r="B81" s="46" t="str">
        <f>HYPERLINK("https://search.naver.com/search.naver?query=F1 더 무비 영화", "F1 더 무비")</f>
        <v>F1 더 무비</v>
      </c>
      <c r="C81" s="47">
        <v>8.9499999999999993</v>
      </c>
      <c r="D81" s="6" t="s">
        <v>180</v>
      </c>
      <c r="E81" s="5" t="s">
        <v>20</v>
      </c>
      <c r="F81" s="5">
        <v>2025</v>
      </c>
      <c r="G81" s="5" t="s">
        <v>12</v>
      </c>
      <c r="H81" s="5" t="s">
        <v>181</v>
      </c>
      <c r="I81" s="5" t="s">
        <v>182</v>
      </c>
      <c r="J81" s="98" t="s">
        <v>3459</v>
      </c>
    </row>
    <row r="82" spans="1:10" ht="28.9" customHeight="1" thickTop="1" thickBot="1" x14ac:dyDescent="0.65">
      <c r="A82" s="7">
        <v>80</v>
      </c>
      <c r="B82" s="48" t="str">
        <f>HYPERLINK("https://search.naver.com/search.naver?query=FBI 모스트 원티드 시즌1", "FBI: 모스트 원티드 시즌1")</f>
        <v>FBI: 모스트 원티드 시즌1</v>
      </c>
      <c r="C82" s="49"/>
      <c r="D82" s="8" t="s">
        <v>183</v>
      </c>
      <c r="E82" s="7" t="s">
        <v>20</v>
      </c>
      <c r="F82" s="7">
        <v>2020</v>
      </c>
      <c r="G82" s="7" t="s">
        <v>17</v>
      </c>
      <c r="H82" s="7" t="s">
        <v>85</v>
      </c>
      <c r="I82" s="7" t="s">
        <v>163</v>
      </c>
      <c r="J82" s="99" t="s">
        <v>3436</v>
      </c>
    </row>
    <row r="83" spans="1:10" ht="28.9" customHeight="1" thickTop="1" thickBot="1" x14ac:dyDescent="0.65">
      <c r="A83" s="5">
        <v>81</v>
      </c>
      <c r="B83" s="46" t="str">
        <f>HYPERLINK("https://search.naver.com/search.naver?query=ING 영화", "ING")</f>
        <v>ING</v>
      </c>
      <c r="C83" s="47">
        <v>8.89</v>
      </c>
      <c r="D83" s="6" t="s">
        <v>184</v>
      </c>
      <c r="E83" s="5" t="s">
        <v>11</v>
      </c>
      <c r="F83" s="5">
        <v>2003</v>
      </c>
      <c r="G83" s="5" t="s">
        <v>12</v>
      </c>
      <c r="H83" s="5" t="s">
        <v>17</v>
      </c>
      <c r="I83" s="5" t="s">
        <v>96</v>
      </c>
      <c r="J83" s="98" t="s">
        <v>3449</v>
      </c>
    </row>
    <row r="84" spans="1:10" ht="28.9" customHeight="1" thickTop="1" thickBot="1" x14ac:dyDescent="0.65">
      <c r="A84" s="3">
        <v>82</v>
      </c>
      <c r="B84" s="44" t="str">
        <f>HYPERLINK("https://search.naver.com/search.naver?query=J.에드가", "J.에드가")</f>
        <v>J.에드가</v>
      </c>
      <c r="C84" s="45">
        <v>8.5</v>
      </c>
      <c r="D84" s="4" t="s">
        <v>185</v>
      </c>
      <c r="E84" s="3" t="s">
        <v>20</v>
      </c>
      <c r="F84" s="3">
        <v>2011</v>
      </c>
      <c r="G84" s="3" t="s">
        <v>12</v>
      </c>
      <c r="H84" s="3" t="s">
        <v>17</v>
      </c>
      <c r="I84" s="3" t="s">
        <v>186</v>
      </c>
      <c r="J84" s="97" t="s">
        <v>3454</v>
      </c>
    </row>
    <row r="85" spans="1:10" ht="28.9" customHeight="1" thickTop="1" thickBot="1" x14ac:dyDescent="0.65">
      <c r="A85" s="3">
        <v>83</v>
      </c>
      <c r="B85" s="44" t="str">
        <f>HYPERLINK("https://search.naver.com/search.naver?query=M.F.A.%20%EC%98%81%ED%99%94", "M.F.A.")</f>
        <v>M.F.A.</v>
      </c>
      <c r="C85" s="45">
        <v>7.23</v>
      </c>
      <c r="D85" s="4" t="s">
        <v>187</v>
      </c>
      <c r="E85" s="3" t="s">
        <v>20</v>
      </c>
      <c r="F85" s="3">
        <v>2017</v>
      </c>
      <c r="G85" s="3" t="s">
        <v>12</v>
      </c>
      <c r="H85" s="3" t="s">
        <v>13</v>
      </c>
      <c r="I85" s="3" t="s">
        <v>115</v>
      </c>
      <c r="J85" s="97" t="s">
        <v>3443</v>
      </c>
    </row>
    <row r="86" spans="1:10" ht="28.9" customHeight="1" thickTop="1" thickBot="1" x14ac:dyDescent="0.65">
      <c r="A86" s="5">
        <v>84</v>
      </c>
      <c r="B86" s="46" t="str">
        <f>HYPERLINK("https://search.naver.com/search.naver?query=Mr.스타벅 영화", "Mr.스타벅")</f>
        <v>Mr.스타벅</v>
      </c>
      <c r="C86" s="47">
        <v>8.77</v>
      </c>
      <c r="D86" s="6" t="s">
        <v>188</v>
      </c>
      <c r="E86" s="5" t="s">
        <v>189</v>
      </c>
      <c r="F86" s="5">
        <v>2011</v>
      </c>
      <c r="G86" s="5" t="s">
        <v>12</v>
      </c>
      <c r="H86" s="5" t="s">
        <v>68</v>
      </c>
      <c r="I86" s="5" t="s">
        <v>190</v>
      </c>
      <c r="J86" s="98" t="s">
        <v>3454</v>
      </c>
    </row>
    <row r="87" spans="1:10" ht="28.9" customHeight="1" thickTop="1" thickBot="1" x14ac:dyDescent="0.65">
      <c r="A87" s="3">
        <v>85</v>
      </c>
      <c r="B87" s="44" t="str">
        <f>HYPERLINK("https://search.naver.com/search.naver?query=PM 11:14 영화", "PM 11:14")</f>
        <v>PM 11:14</v>
      </c>
      <c r="C87" s="45">
        <v>6.4</v>
      </c>
      <c r="D87" s="4" t="s">
        <v>191</v>
      </c>
      <c r="E87" s="3" t="s">
        <v>20</v>
      </c>
      <c r="F87" s="3">
        <v>2003</v>
      </c>
      <c r="G87" s="3" t="s">
        <v>12</v>
      </c>
      <c r="H87" s="3" t="s">
        <v>13</v>
      </c>
      <c r="I87" s="3" t="s">
        <v>115</v>
      </c>
      <c r="J87" s="97" t="s">
        <v>3449</v>
      </c>
    </row>
    <row r="88" spans="1:10" ht="28.9" customHeight="1" thickTop="1" thickBot="1" x14ac:dyDescent="0.65">
      <c r="A88" s="5">
        <v>86</v>
      </c>
      <c r="B88" s="46" t="str">
        <f>HYPERLINK("https://search.naver.com/search.naver?query=PMC 더 벙커 영화", "PMC-더 벙커")</f>
        <v>PMC-더 벙커</v>
      </c>
      <c r="C88" s="47">
        <v>6.52</v>
      </c>
      <c r="D88" s="6" t="s">
        <v>192</v>
      </c>
      <c r="E88" s="5" t="s">
        <v>11</v>
      </c>
      <c r="F88" s="5">
        <v>2018</v>
      </c>
      <c r="G88" s="5" t="s">
        <v>12</v>
      </c>
      <c r="H88" s="5" t="s">
        <v>92</v>
      </c>
      <c r="I88" s="5" t="s">
        <v>134</v>
      </c>
      <c r="J88" s="98" t="s">
        <v>3442</v>
      </c>
    </row>
    <row r="89" spans="1:10" ht="28.9" customHeight="1" thickTop="1" thickBot="1" x14ac:dyDescent="0.65">
      <c r="A89" s="3">
        <v>87</v>
      </c>
      <c r="B89" s="44" t="str">
        <f>HYPERLINK("https://search.naver.com/search.naver?query=S테이프 영화", "S테이프")</f>
        <v>S테이프</v>
      </c>
      <c r="C89" s="45">
        <v>6.33</v>
      </c>
      <c r="D89" s="4" t="s">
        <v>193</v>
      </c>
      <c r="E89" s="3" t="s">
        <v>20</v>
      </c>
      <c r="F89" s="3">
        <v>2014</v>
      </c>
      <c r="G89" s="3" t="s">
        <v>12</v>
      </c>
      <c r="H89" s="3" t="s">
        <v>72</v>
      </c>
      <c r="I89" s="3" t="s">
        <v>115</v>
      </c>
      <c r="J89" s="97" t="s">
        <v>3437</v>
      </c>
    </row>
    <row r="90" spans="1:10" ht="28.9" customHeight="1" thickTop="1" thickBot="1" x14ac:dyDescent="0.65">
      <c r="A90" s="5">
        <v>88</v>
      </c>
      <c r="B90" s="46" t="str">
        <f>HYPERLINK("https://search.naver.com/search.naver?query=33 영화", "The 33")</f>
        <v>The 33</v>
      </c>
      <c r="C90" s="47">
        <v>8.9600000000000009</v>
      </c>
      <c r="D90" s="6" t="s">
        <v>194</v>
      </c>
      <c r="E90" s="5" t="s">
        <v>20</v>
      </c>
      <c r="F90" s="5">
        <v>2015</v>
      </c>
      <c r="G90" s="5" t="s">
        <v>12</v>
      </c>
      <c r="H90" s="5" t="s">
        <v>17</v>
      </c>
      <c r="I90" s="5" t="s">
        <v>78</v>
      </c>
      <c r="J90" s="98" t="s">
        <v>3440</v>
      </c>
    </row>
    <row r="91" spans="1:10" ht="28.9" customHeight="1" thickTop="1" thickBot="1" x14ac:dyDescent="0.65">
      <c r="A91" s="5">
        <v>89</v>
      </c>
      <c r="B91" s="46" t="str">
        <f>HYPERLINK("https://search.naver.com/search.naver?query=USS 인디애나폴리스 영화", "USS 인디애나폴리스")</f>
        <v>USS 인디애나폴리스</v>
      </c>
      <c r="C91" s="47">
        <v>6.4</v>
      </c>
      <c r="D91" s="6" t="s">
        <v>195</v>
      </c>
      <c r="E91" s="5" t="s">
        <v>20</v>
      </c>
      <c r="F91" s="5">
        <v>2016</v>
      </c>
      <c r="G91" s="5" t="s">
        <v>12</v>
      </c>
      <c r="H91" s="5" t="s">
        <v>196</v>
      </c>
      <c r="I91" s="5" t="s">
        <v>34</v>
      </c>
      <c r="J91" s="98" t="s">
        <v>3441</v>
      </c>
    </row>
    <row r="92" spans="1:10" ht="28.9" customHeight="1" thickTop="1" thickBot="1" x14ac:dyDescent="0.65">
      <c r="A92" s="3">
        <v>90</v>
      </c>
      <c r="B92" s="44" t="str">
        <f>HYPERLINK("https://search.naver.com/search.naver?query=브이아이피 영화", "V.I.P.")</f>
        <v>V.I.P.</v>
      </c>
      <c r="C92" s="45">
        <v>6.87</v>
      </c>
      <c r="D92" s="4" t="s">
        <v>197</v>
      </c>
      <c r="E92" s="3" t="s">
        <v>11</v>
      </c>
      <c r="F92" s="3">
        <v>2017</v>
      </c>
      <c r="G92" s="3" t="s">
        <v>12</v>
      </c>
      <c r="H92" s="3" t="s">
        <v>198</v>
      </c>
      <c r="I92" s="3" t="s">
        <v>108</v>
      </c>
      <c r="J92" s="97" t="s">
        <v>3443</v>
      </c>
    </row>
    <row r="93" spans="1:10" ht="28.9" customHeight="1" thickTop="1" thickBot="1" x14ac:dyDescent="0.65">
      <c r="A93" s="5">
        <v>91</v>
      </c>
      <c r="B93" s="46" t="str">
        <f>HYPERLINK("https://search.naver.com/search.naver?query=가디언즈 오브 갤럭시 영화", "가디언즈 오브 갤럭시")</f>
        <v>가디언즈 오브 갤럭시</v>
      </c>
      <c r="C93" s="47">
        <v>9.31</v>
      </c>
      <c r="D93" s="6" t="s">
        <v>199</v>
      </c>
      <c r="E93" s="5" t="s">
        <v>20</v>
      </c>
      <c r="F93" s="5">
        <v>2014</v>
      </c>
      <c r="G93" s="5" t="s">
        <v>12</v>
      </c>
      <c r="H93" s="5" t="s">
        <v>200</v>
      </c>
      <c r="I93" s="5" t="s">
        <v>142</v>
      </c>
      <c r="J93" s="98" t="s">
        <v>3437</v>
      </c>
    </row>
    <row r="94" spans="1:10" ht="28.9" customHeight="1" thickTop="1" thickBot="1" x14ac:dyDescent="0.65">
      <c r="A94" s="3">
        <v>92</v>
      </c>
      <c r="B94" s="44" t="str">
        <f>HYPERLINK("https://search.naver.com/search.naver?query=가면 영화", "가면")</f>
        <v>가면</v>
      </c>
      <c r="C94" s="45">
        <v>7.81</v>
      </c>
      <c r="D94" s="4" t="s">
        <v>201</v>
      </c>
      <c r="E94" s="3" t="s">
        <v>11</v>
      </c>
      <c r="F94" s="3">
        <v>2007</v>
      </c>
      <c r="G94" s="3" t="s">
        <v>12</v>
      </c>
      <c r="H94" s="3" t="s">
        <v>17</v>
      </c>
      <c r="I94" s="3" t="s">
        <v>81</v>
      </c>
      <c r="J94" s="97" t="s">
        <v>3447</v>
      </c>
    </row>
    <row r="95" spans="1:10" ht="28.9" customHeight="1" thickTop="1" thickBot="1" x14ac:dyDescent="0.65">
      <c r="A95" s="5">
        <v>93</v>
      </c>
      <c r="B95" s="46" t="str">
        <f>HYPERLINK("https://search.naver.com/search.naver?query=가문의 영광5-가문의 귀환 영화", "가문의 영광5-가문의 귀환")</f>
        <v>가문의 영광5-가문의 귀환</v>
      </c>
      <c r="C95" s="47">
        <v>6.04</v>
      </c>
      <c r="D95" s="6" t="s">
        <v>202</v>
      </c>
      <c r="E95" s="5" t="s">
        <v>11</v>
      </c>
      <c r="F95" s="5">
        <v>2012</v>
      </c>
      <c r="G95" s="5" t="s">
        <v>12</v>
      </c>
      <c r="H95" s="5" t="s">
        <v>68</v>
      </c>
      <c r="I95" s="5" t="s">
        <v>170</v>
      </c>
      <c r="J95" s="98" t="s">
        <v>3439</v>
      </c>
    </row>
    <row r="96" spans="1:10" ht="28.9" customHeight="1" thickTop="1" thickBot="1" x14ac:dyDescent="0.65">
      <c r="A96" s="3">
        <v>94</v>
      </c>
      <c r="B96" s="44" t="str">
        <f>HYPERLINK("https://search.naver.com/search.naver?query=가버나움 영화", "가버나움")</f>
        <v>가버나움</v>
      </c>
      <c r="C96" s="45">
        <v>9.5399999999999991</v>
      </c>
      <c r="D96" s="4" t="s">
        <v>203</v>
      </c>
      <c r="E96" s="3" t="s">
        <v>204</v>
      </c>
      <c r="F96" s="3">
        <v>2018</v>
      </c>
      <c r="G96" s="3" t="s">
        <v>12</v>
      </c>
      <c r="H96" s="3" t="s">
        <v>17</v>
      </c>
      <c r="I96" s="3" t="s">
        <v>78</v>
      </c>
      <c r="J96" s="97" t="s">
        <v>3442</v>
      </c>
    </row>
    <row r="97" spans="1:10" ht="28.9" customHeight="1" thickTop="1" thickBot="1" x14ac:dyDescent="0.65">
      <c r="A97" s="5">
        <v>95</v>
      </c>
      <c r="B97" s="46" t="str">
        <f>HYPERLINK("https://search.naver.com/search.naver?query=가비2012", "가비")</f>
        <v>가비</v>
      </c>
      <c r="C97" s="47">
        <v>6.86</v>
      </c>
      <c r="D97" s="6" t="s">
        <v>205</v>
      </c>
      <c r="E97" s="5" t="s">
        <v>11</v>
      </c>
      <c r="F97" s="5">
        <v>2012</v>
      </c>
      <c r="G97" s="5" t="s">
        <v>12</v>
      </c>
      <c r="H97" s="5" t="s">
        <v>17</v>
      </c>
      <c r="I97" s="5" t="s">
        <v>47</v>
      </c>
      <c r="J97" s="98" t="s">
        <v>3439</v>
      </c>
    </row>
    <row r="98" spans="1:10" ht="28.9" customHeight="1" thickTop="1" thickBot="1" x14ac:dyDescent="0.65">
      <c r="A98" s="3">
        <v>96</v>
      </c>
      <c r="B98" s="44" t="str">
        <f>HYPERLINK("https://search.naver.com/search.naver?query=가을로 영화", "가을로")</f>
        <v>가을로</v>
      </c>
      <c r="C98" s="45">
        <v>7.21</v>
      </c>
      <c r="D98" s="4" t="s">
        <v>206</v>
      </c>
      <c r="E98" s="3" t="s">
        <v>11</v>
      </c>
      <c r="F98" s="3">
        <v>2006</v>
      </c>
      <c r="G98" s="3" t="s">
        <v>12</v>
      </c>
      <c r="H98" s="3" t="s">
        <v>17</v>
      </c>
      <c r="I98" s="3" t="s">
        <v>207</v>
      </c>
      <c r="J98" s="97" t="s">
        <v>3460</v>
      </c>
    </row>
    <row r="99" spans="1:10" ht="28.9" customHeight="1" thickTop="1" thickBot="1" x14ac:dyDescent="0.65">
      <c r="A99" s="5">
        <v>97</v>
      </c>
      <c r="B99" s="46" t="str">
        <f>HYPERLINK("https://search.naver.com/search.naver?query=가을의 마티네 영화", "가을의 마티네")</f>
        <v>가을의 마티네</v>
      </c>
      <c r="C99" s="47">
        <v>8.9</v>
      </c>
      <c r="D99" s="6" t="s">
        <v>208</v>
      </c>
      <c r="E99" s="5" t="s">
        <v>16</v>
      </c>
      <c r="F99" s="5">
        <v>2020</v>
      </c>
      <c r="G99" s="5" t="s">
        <v>12</v>
      </c>
      <c r="H99" s="5" t="s">
        <v>121</v>
      </c>
      <c r="I99" s="5" t="s">
        <v>134</v>
      </c>
      <c r="J99" s="98" t="s">
        <v>3436</v>
      </c>
    </row>
    <row r="100" spans="1:10" ht="28.9" customHeight="1" thickTop="1" thickBot="1" x14ac:dyDescent="0.65">
      <c r="A100" s="3">
        <v>98</v>
      </c>
      <c r="B100" s="44" t="str">
        <f>HYPERLINK("https://search.naver.com/search.naver?query=가장 따뜻한 색, 블루 영화", "가장 따뜻한 색, 블루")</f>
        <v>가장 따뜻한 색, 블루</v>
      </c>
      <c r="C100" s="45">
        <v>8.77</v>
      </c>
      <c r="D100" s="4" t="s">
        <v>209</v>
      </c>
      <c r="E100" s="3" t="s">
        <v>210</v>
      </c>
      <c r="F100" s="3">
        <v>2013</v>
      </c>
      <c r="G100" s="3" t="s">
        <v>12</v>
      </c>
      <c r="H100" s="3" t="s">
        <v>110</v>
      </c>
      <c r="I100" s="3" t="s">
        <v>211</v>
      </c>
      <c r="J100" s="97" t="s">
        <v>3451</v>
      </c>
    </row>
    <row r="101" spans="1:10" ht="28.9" customHeight="1" thickTop="1" thickBot="1" x14ac:dyDescent="0.65">
      <c r="A101" s="5">
        <v>99</v>
      </c>
      <c r="B101" s="46" t="str">
        <f>HYPERLINK("https://search.naver.com/search.naver?query=가장 보통의 연애 영화", "가장 보통의 연애")</f>
        <v>가장 보통의 연애</v>
      </c>
      <c r="C101" s="47">
        <v>8.5299999999999994</v>
      </c>
      <c r="D101" s="6" t="s">
        <v>212</v>
      </c>
      <c r="E101" s="5" t="s">
        <v>11</v>
      </c>
      <c r="F101" s="5">
        <v>2019</v>
      </c>
      <c r="G101" s="5" t="s">
        <v>12</v>
      </c>
      <c r="H101" s="5" t="s">
        <v>121</v>
      </c>
      <c r="I101" s="5" t="s">
        <v>137</v>
      </c>
      <c r="J101" s="98" t="s">
        <v>3444</v>
      </c>
    </row>
    <row r="102" spans="1:10" ht="28.9" customHeight="1" thickTop="1" thickBot="1" x14ac:dyDescent="0.65">
      <c r="A102" s="3">
        <v>100</v>
      </c>
      <c r="B102" s="44" t="str">
        <f>HYPERLINK("https://search.naver.com/search.naver?query=가재가 노래하는 곳 영화", "가재가 노래하는 곳")</f>
        <v>가재가 노래하는 곳</v>
      </c>
      <c r="C102" s="45">
        <v>8.17</v>
      </c>
      <c r="D102" s="4" t="s">
        <v>213</v>
      </c>
      <c r="E102" s="3" t="s">
        <v>20</v>
      </c>
      <c r="F102" s="3">
        <v>2022</v>
      </c>
      <c r="G102" s="3" t="s">
        <v>12</v>
      </c>
      <c r="H102" s="3" t="s">
        <v>152</v>
      </c>
      <c r="I102" s="3" t="s">
        <v>214</v>
      </c>
      <c r="J102" s="97" t="s">
        <v>3445</v>
      </c>
    </row>
    <row r="103" spans="1:10" ht="28.9" customHeight="1" thickTop="1" thickBot="1" x14ac:dyDescent="0.65">
      <c r="A103" s="5">
        <v>101</v>
      </c>
      <c r="B103" s="46" t="str">
        <f>HYPERLINK("https://search.naver.com/search.naver?query=가족은 괴로워 2 영화", "가족은 괴로워 2")</f>
        <v>가족은 괴로워 2</v>
      </c>
      <c r="C103" s="47">
        <v>6</v>
      </c>
      <c r="D103" s="6" t="s">
        <v>215</v>
      </c>
      <c r="E103" s="5" t="s">
        <v>16</v>
      </c>
      <c r="F103" s="5">
        <v>2017</v>
      </c>
      <c r="G103" s="5" t="s">
        <v>12</v>
      </c>
      <c r="H103" s="5" t="s">
        <v>72</v>
      </c>
      <c r="I103" s="5" t="s">
        <v>73</v>
      </c>
      <c r="J103" s="98" t="s">
        <v>3443</v>
      </c>
    </row>
    <row r="104" spans="1:10" ht="28.9" customHeight="1" thickTop="1" thickBot="1" x14ac:dyDescent="0.65">
      <c r="A104" s="3">
        <v>102</v>
      </c>
      <c r="B104" s="44" t="str">
        <f>HYPERLINK("https://search.naver.com/search.naver?query=가족은 괴로워3 영화", "가족은 괴로워3")</f>
        <v>가족은 괴로워3</v>
      </c>
      <c r="C104" s="45">
        <v>9.8000000000000007</v>
      </c>
      <c r="D104" s="4" t="s">
        <v>215</v>
      </c>
      <c r="E104" s="3" t="s">
        <v>16</v>
      </c>
      <c r="F104" s="3">
        <v>2021</v>
      </c>
      <c r="G104" s="3" t="s">
        <v>12</v>
      </c>
      <c r="H104" s="3" t="s">
        <v>72</v>
      </c>
      <c r="I104" s="3" t="s">
        <v>58</v>
      </c>
      <c r="J104" s="97" t="s">
        <v>3438</v>
      </c>
    </row>
    <row r="105" spans="1:10" ht="28.9" customHeight="1" thickTop="1" thickBot="1" x14ac:dyDescent="0.65">
      <c r="A105" s="5">
        <v>103</v>
      </c>
      <c r="B105" s="46" t="str">
        <f>HYPERLINK("https://search.naver.com/search.naver?query=가족의 나라 영화", "가족의 나라")</f>
        <v>가족의 나라</v>
      </c>
      <c r="C105" s="47">
        <v>8.81</v>
      </c>
      <c r="D105" s="6" t="s">
        <v>216</v>
      </c>
      <c r="E105" s="5" t="s">
        <v>16</v>
      </c>
      <c r="F105" s="5">
        <v>2013</v>
      </c>
      <c r="G105" s="5" t="s">
        <v>12</v>
      </c>
      <c r="H105" s="5" t="s">
        <v>17</v>
      </c>
      <c r="I105" s="5" t="s">
        <v>131</v>
      </c>
      <c r="J105" s="98" t="s">
        <v>3451</v>
      </c>
    </row>
    <row r="106" spans="1:10" ht="28.9" customHeight="1" thickTop="1" thickBot="1" x14ac:dyDescent="0.65">
      <c r="A106" s="3">
        <v>104</v>
      </c>
      <c r="B106" s="44" t="str">
        <f>HYPERLINK("https://search.naver.com/search.naver?query=가족의 색깔 영화", "가족의 색깔")</f>
        <v>가족의 색깔</v>
      </c>
      <c r="C106" s="45">
        <v>7.5</v>
      </c>
      <c r="D106" s="4" t="s">
        <v>217</v>
      </c>
      <c r="E106" s="3" t="s">
        <v>16</v>
      </c>
      <c r="F106" s="3">
        <v>2021</v>
      </c>
      <c r="G106" s="3" t="s">
        <v>12</v>
      </c>
      <c r="H106" s="3" t="s">
        <v>17</v>
      </c>
      <c r="I106" s="3" t="s">
        <v>142</v>
      </c>
      <c r="J106" s="97" t="s">
        <v>3438</v>
      </c>
    </row>
    <row r="107" spans="1:10" ht="28.9" customHeight="1" thickTop="1" thickBot="1" x14ac:dyDescent="0.65">
      <c r="A107" s="5">
        <v>105</v>
      </c>
      <c r="B107" s="46" t="str">
        <f>HYPERLINK("https://search.naver.com/search.naver?query=가족의 탄생 영화", "가족의 탄생")</f>
        <v>가족의 탄생</v>
      </c>
      <c r="C107" s="47">
        <v>8.59</v>
      </c>
      <c r="D107" s="6" t="s">
        <v>218</v>
      </c>
      <c r="E107" s="5" t="s">
        <v>11</v>
      </c>
      <c r="F107" s="5">
        <v>2006</v>
      </c>
      <c r="G107" s="5" t="s">
        <v>12</v>
      </c>
      <c r="H107" s="5" t="s">
        <v>17</v>
      </c>
      <c r="I107" s="5" t="s">
        <v>73</v>
      </c>
      <c r="J107" s="98" t="s">
        <v>3460</v>
      </c>
    </row>
    <row r="108" spans="1:10" ht="28.9" customHeight="1" thickTop="1" thickBot="1" x14ac:dyDescent="0.65">
      <c r="A108" s="3">
        <v>106</v>
      </c>
      <c r="B108" s="44" t="str">
        <f>HYPERLINK("https://search.naver.com/search.naver?query=간기남 영화", "간기남")</f>
        <v>간기남</v>
      </c>
      <c r="C108" s="45">
        <v>6.92</v>
      </c>
      <c r="D108" s="4" t="s">
        <v>219</v>
      </c>
      <c r="E108" s="3" t="s">
        <v>11</v>
      </c>
      <c r="F108" s="3">
        <v>2012</v>
      </c>
      <c r="G108" s="3" t="s">
        <v>12</v>
      </c>
      <c r="H108" s="3" t="s">
        <v>220</v>
      </c>
      <c r="I108" s="3" t="s">
        <v>221</v>
      </c>
      <c r="J108" s="97" t="s">
        <v>3439</v>
      </c>
    </row>
    <row r="109" spans="1:10" ht="28.9" customHeight="1" thickTop="1" thickBot="1" x14ac:dyDescent="0.65">
      <c r="A109" s="5">
        <v>107</v>
      </c>
      <c r="B109" s="46" t="str">
        <f>HYPERLINK("https://search.naver.com/search.naver?query=영화 간첩", "간첩")</f>
        <v>간첩</v>
      </c>
      <c r="C109" s="47">
        <v>7.15</v>
      </c>
      <c r="D109" s="6" t="s">
        <v>222</v>
      </c>
      <c r="E109" s="5" t="s">
        <v>11</v>
      </c>
      <c r="F109" s="5">
        <v>2012</v>
      </c>
      <c r="G109" s="5" t="s">
        <v>12</v>
      </c>
      <c r="H109" s="5" t="s">
        <v>223</v>
      </c>
      <c r="I109" s="5" t="s">
        <v>47</v>
      </c>
      <c r="J109" s="98" t="s">
        <v>3439</v>
      </c>
    </row>
    <row r="110" spans="1:10" ht="28.9" customHeight="1" thickTop="1" thickBot="1" x14ac:dyDescent="0.65">
      <c r="A110" s="3">
        <v>108</v>
      </c>
      <c r="B110" s="44" t="str">
        <f>HYPERLINK("https://search.naver.com/search.naver?query=감각 그녀의 초상 영화", "감각-그녀의 초상")</f>
        <v>감각-그녀의 초상</v>
      </c>
      <c r="C110" s="45">
        <v>8</v>
      </c>
      <c r="D110" s="4" t="s">
        <v>224</v>
      </c>
      <c r="E110" s="3" t="s">
        <v>16</v>
      </c>
      <c r="F110" s="3">
        <v>2018</v>
      </c>
      <c r="G110" s="3" t="s">
        <v>12</v>
      </c>
      <c r="H110" s="3" t="s">
        <v>17</v>
      </c>
      <c r="I110" s="3" t="s">
        <v>31</v>
      </c>
      <c r="J110" s="97" t="s">
        <v>3442</v>
      </c>
    </row>
    <row r="111" spans="1:10" ht="28.9" customHeight="1" thickTop="1" thickBot="1" x14ac:dyDescent="0.65">
      <c r="A111" s="5">
        <v>109</v>
      </c>
      <c r="B111" s="46" t="str">
        <f>HYPERLINK("https://search.naver.com/search.naver?query=감기 영화", "감기")</f>
        <v>감기</v>
      </c>
      <c r="C111" s="47">
        <v>6.92</v>
      </c>
      <c r="D111" s="6" t="s">
        <v>225</v>
      </c>
      <c r="E111" s="5" t="s">
        <v>11</v>
      </c>
      <c r="F111" s="5">
        <v>2013</v>
      </c>
      <c r="G111" s="5" t="s">
        <v>12</v>
      </c>
      <c r="H111" s="5" t="s">
        <v>226</v>
      </c>
      <c r="I111" s="5" t="s">
        <v>105</v>
      </c>
      <c r="J111" s="98" t="s">
        <v>3451</v>
      </c>
    </row>
    <row r="112" spans="1:10" ht="28.9" customHeight="1" thickTop="1" thickBot="1" x14ac:dyDescent="0.65">
      <c r="A112" s="3">
        <v>110</v>
      </c>
      <c r="B112" s="44" t="str">
        <f>HYPERLINK("https://search.naver.com/search.naver?query=감시자들 영화", "감시자들")</f>
        <v>감시자들</v>
      </c>
      <c r="C112" s="45">
        <v>7.75</v>
      </c>
      <c r="D112" s="4" t="s">
        <v>227</v>
      </c>
      <c r="E112" s="3" t="s">
        <v>11</v>
      </c>
      <c r="F112" s="3">
        <v>2013</v>
      </c>
      <c r="G112" s="3" t="s">
        <v>12</v>
      </c>
      <c r="H112" s="3" t="s">
        <v>80</v>
      </c>
      <c r="I112" s="3" t="s">
        <v>53</v>
      </c>
      <c r="J112" s="97" t="s">
        <v>3451</v>
      </c>
    </row>
    <row r="113" spans="1:10" ht="28.9" customHeight="1" thickTop="1" thickBot="1" x14ac:dyDescent="0.65">
      <c r="A113" s="5">
        <v>111</v>
      </c>
      <c r="B113" s="46" t="str">
        <f>HYPERLINK("https://search.naver.com/search.naver?query=갓 블레스 아메리카 영화", "갓 블레스 아메리카")</f>
        <v>갓 블레스 아메리카</v>
      </c>
      <c r="C113" s="47">
        <v>8.08</v>
      </c>
      <c r="D113" s="6" t="s">
        <v>228</v>
      </c>
      <c r="E113" s="5" t="s">
        <v>20</v>
      </c>
      <c r="F113" s="5">
        <v>2011</v>
      </c>
      <c r="G113" s="5" t="s">
        <v>12</v>
      </c>
      <c r="H113" s="5" t="s">
        <v>229</v>
      </c>
      <c r="I113" s="5" t="s">
        <v>128</v>
      </c>
      <c r="J113" s="98" t="s">
        <v>3454</v>
      </c>
    </row>
    <row r="114" spans="1:10" ht="28.9" customHeight="1" thickTop="1" thickBot="1" x14ac:dyDescent="0.65">
      <c r="A114" s="3">
        <v>112</v>
      </c>
      <c r="B114" s="44" t="str">
        <f>HYPERLINK("https://search.naver.com/search.naver?query=갓즈 포켓 영화", "갓즈 포켓")</f>
        <v>갓즈 포켓</v>
      </c>
      <c r="C114" s="45">
        <v>7.5</v>
      </c>
      <c r="D114" s="4" t="s">
        <v>230</v>
      </c>
      <c r="E114" s="3" t="s">
        <v>20</v>
      </c>
      <c r="F114" s="3">
        <v>2014</v>
      </c>
      <c r="G114" s="3" t="s">
        <v>12</v>
      </c>
      <c r="H114" s="3" t="s">
        <v>85</v>
      </c>
      <c r="I114" s="3" t="s">
        <v>231</v>
      </c>
      <c r="J114" s="97" t="s">
        <v>3437</v>
      </c>
    </row>
    <row r="115" spans="1:10" ht="28.9" customHeight="1" thickTop="1" thickBot="1" x14ac:dyDescent="0.65">
      <c r="A115" s="5">
        <v>113</v>
      </c>
      <c r="B115" s="46" t="str">
        <f>HYPERLINK("https://search.naver.com/search.naver?query=영화 강남1970", "강남 1970")</f>
        <v>강남 1970</v>
      </c>
      <c r="C115" s="47">
        <v>7.76</v>
      </c>
      <c r="D115" s="6" t="s">
        <v>232</v>
      </c>
      <c r="E115" s="5" t="s">
        <v>11</v>
      </c>
      <c r="F115" s="5">
        <v>2015</v>
      </c>
      <c r="G115" s="5" t="s">
        <v>12</v>
      </c>
      <c r="H115" s="5" t="s">
        <v>17</v>
      </c>
      <c r="I115" s="5" t="s">
        <v>41</v>
      </c>
      <c r="J115" s="98" t="s">
        <v>3440</v>
      </c>
    </row>
    <row r="116" spans="1:10" ht="28.9" customHeight="1" thickTop="1" thickBot="1" x14ac:dyDescent="0.65">
      <c r="A116" s="3">
        <v>114</v>
      </c>
      <c r="B116" s="44" t="str">
        <f>HYPERLINK("https://search.naver.com/search.naver?query=영화 강릉", "강릉")</f>
        <v>강릉</v>
      </c>
      <c r="C116" s="45">
        <v>6.63</v>
      </c>
      <c r="D116" s="4" t="s">
        <v>233</v>
      </c>
      <c r="E116" s="3" t="s">
        <v>11</v>
      </c>
      <c r="F116" s="3">
        <v>2021</v>
      </c>
      <c r="G116" s="3" t="s">
        <v>12</v>
      </c>
      <c r="H116" s="3" t="s">
        <v>80</v>
      </c>
      <c r="I116" s="3" t="s">
        <v>53</v>
      </c>
      <c r="J116" s="97" t="s">
        <v>3438</v>
      </c>
    </row>
    <row r="117" spans="1:10" ht="28.9" customHeight="1" thickTop="1" thickBot="1" x14ac:dyDescent="0.65">
      <c r="A117" s="5">
        <v>115</v>
      </c>
      <c r="B117" s="46" t="str">
        <f>HYPERLINK("https://search.daum.net/search?nil_suggest=btn&amp;w=tot&amp;DA=SBC&amp;q=%EA%B0%95%EC%95%84%EC%A7%80%EC%99%80+%EB%82%98%EC%9D%98+10%EA%B0%80%EC%A7%80+%EC%95%BD%EC%86%8D+%EC%98%81%ED%99%94", "강아지와 나의 10가지 약속")</f>
        <v>강아지와 나의 10가지 약속</v>
      </c>
      <c r="C117" s="47">
        <v>6.3</v>
      </c>
      <c r="D117" s="6"/>
      <c r="E117" s="5" t="s">
        <v>16</v>
      </c>
      <c r="F117" s="5">
        <v>2008</v>
      </c>
      <c r="G117" s="5" t="s">
        <v>12</v>
      </c>
      <c r="H117" s="5" t="s">
        <v>17</v>
      </c>
      <c r="I117" s="5" t="s">
        <v>89</v>
      </c>
      <c r="J117" s="98" t="s">
        <v>3450</v>
      </c>
    </row>
    <row r="118" spans="1:10" ht="28.9" customHeight="1" thickTop="1" thickBot="1" x14ac:dyDescent="0.65">
      <c r="A118" s="3">
        <v>116</v>
      </c>
      <c r="B118" s="44" t="str">
        <f>HYPERLINK("https://search.naver.com/search.naver?query=강철대오:구국의 철가방 영화", "강철대오 - 구국의 철가방")</f>
        <v>강철대오 - 구국의 철가방</v>
      </c>
      <c r="C118" s="45">
        <v>6.5</v>
      </c>
      <c r="D118" s="4" t="s">
        <v>234</v>
      </c>
      <c r="E118" s="3" t="s">
        <v>11</v>
      </c>
      <c r="F118" s="3">
        <v>2012</v>
      </c>
      <c r="G118" s="3" t="s">
        <v>12</v>
      </c>
      <c r="H118" s="3" t="s">
        <v>92</v>
      </c>
      <c r="I118" s="3" t="s">
        <v>73</v>
      </c>
      <c r="J118" s="97" t="s">
        <v>3439</v>
      </c>
    </row>
    <row r="119" spans="1:10" ht="28.9" customHeight="1" thickTop="1" thickBot="1" x14ac:dyDescent="0.65">
      <c r="A119" s="5">
        <v>117</v>
      </c>
      <c r="B119" s="46" t="str">
        <f>HYPERLINK("https://search.naver.com/search.naver?query=강철비 영화", "강철비")</f>
        <v>강철비</v>
      </c>
      <c r="C119" s="47">
        <v>7.92</v>
      </c>
      <c r="D119" s="6" t="s">
        <v>235</v>
      </c>
      <c r="E119" s="5" t="s">
        <v>11</v>
      </c>
      <c r="F119" s="5">
        <v>2017</v>
      </c>
      <c r="G119" s="5" t="s">
        <v>12</v>
      </c>
      <c r="H119" s="5" t="s">
        <v>236</v>
      </c>
      <c r="I119" s="5" t="s">
        <v>237</v>
      </c>
      <c r="J119" s="98" t="s">
        <v>3443</v>
      </c>
    </row>
    <row r="120" spans="1:10" ht="28.9" customHeight="1" thickTop="1" thickBot="1" x14ac:dyDescent="0.65">
      <c r="A120" s="3">
        <v>118</v>
      </c>
      <c r="B120" s="44" t="str">
        <f>HYPERLINK("https://search.naver.com/search.naver?query=강철비2:정상회담 영화", "강철비2-정상회담")</f>
        <v>강철비2-정상회담</v>
      </c>
      <c r="C120" s="45">
        <v>7.96</v>
      </c>
      <c r="D120" s="4" t="s">
        <v>238</v>
      </c>
      <c r="E120" s="3" t="s">
        <v>11</v>
      </c>
      <c r="F120" s="3">
        <v>2019</v>
      </c>
      <c r="G120" s="3" t="s">
        <v>12</v>
      </c>
      <c r="H120" s="3" t="s">
        <v>236</v>
      </c>
      <c r="I120" s="3" t="s">
        <v>237</v>
      </c>
      <c r="J120" s="97" t="s">
        <v>3444</v>
      </c>
    </row>
    <row r="121" spans="1:10" ht="28.9" customHeight="1" thickTop="1" thickBot="1" x14ac:dyDescent="0.65">
      <c r="A121" s="5">
        <v>119</v>
      </c>
      <c r="B121" s="46" t="str">
        <f>HYPERLINK("https://search.naver.com/search.naver?query=갤버스턴 영화", "갤버스턴")</f>
        <v>갤버스턴</v>
      </c>
      <c r="C121" s="47">
        <v>8</v>
      </c>
      <c r="D121" s="6" t="s">
        <v>239</v>
      </c>
      <c r="E121" s="5" t="s">
        <v>20</v>
      </c>
      <c r="F121" s="5">
        <v>2018</v>
      </c>
      <c r="G121" s="5" t="s">
        <v>12</v>
      </c>
      <c r="H121" s="5" t="s">
        <v>80</v>
      </c>
      <c r="I121" s="5" t="s">
        <v>240</v>
      </c>
      <c r="J121" s="98" t="s">
        <v>3442</v>
      </c>
    </row>
    <row r="122" spans="1:10" ht="28.9" customHeight="1" thickTop="1" thickBot="1" x14ac:dyDescent="0.65">
      <c r="A122" s="7">
        <v>120</v>
      </c>
      <c r="B122" s="48" t="str">
        <f>HYPERLINK("https://search.naver.com/search.naver?query=갱스 오브 런던 시즌1", "갱스 오브 런던 시즌1")</f>
        <v>갱스 오브 런던 시즌1</v>
      </c>
      <c r="C122" s="49"/>
      <c r="D122" s="8" t="s">
        <v>241</v>
      </c>
      <c r="E122" s="7" t="s">
        <v>24</v>
      </c>
      <c r="F122" s="7">
        <v>2020</v>
      </c>
      <c r="G122" s="7" t="s">
        <v>17</v>
      </c>
      <c r="H122" s="7" t="s">
        <v>162</v>
      </c>
      <c r="I122" s="7" t="s">
        <v>242</v>
      </c>
      <c r="J122" s="99" t="s">
        <v>3436</v>
      </c>
    </row>
    <row r="123" spans="1:10" ht="28.9" customHeight="1" thickTop="1" thickBot="1" x14ac:dyDescent="0.65">
      <c r="A123" s="7">
        <v>121</v>
      </c>
      <c r="B123" s="48" t="str">
        <f>HYPERLINK("https://search.naver.com/search.naver?query=갱스 오브 런던 시즌2", "갱스 오브 런던 시즌2")</f>
        <v>갱스 오브 런던 시즌2</v>
      </c>
      <c r="C123" s="49"/>
      <c r="D123" s="8" t="s">
        <v>241</v>
      </c>
      <c r="E123" s="7" t="s">
        <v>24</v>
      </c>
      <c r="F123" s="7">
        <v>2022</v>
      </c>
      <c r="G123" s="7" t="s">
        <v>17</v>
      </c>
      <c r="H123" s="7" t="s">
        <v>162</v>
      </c>
      <c r="I123" s="7" t="s">
        <v>55</v>
      </c>
      <c r="J123" s="99" t="s">
        <v>3445</v>
      </c>
    </row>
    <row r="124" spans="1:10" ht="28.9" customHeight="1" thickTop="1" thickBot="1" x14ac:dyDescent="0.65">
      <c r="A124" s="3">
        <v>122</v>
      </c>
      <c r="B124" s="44" t="str">
        <f>HYPERLINK("https://search.naver.com/search.naver?query=갱스터 스쿼드 영화", "갱스터 스쿼드")</f>
        <v>갱스터 스쿼드</v>
      </c>
      <c r="C124" s="45">
        <v>6.4</v>
      </c>
      <c r="D124" s="4" t="s">
        <v>243</v>
      </c>
      <c r="E124" s="3" t="s">
        <v>20</v>
      </c>
      <c r="F124" s="3">
        <v>2013</v>
      </c>
      <c r="G124" s="3" t="s">
        <v>12</v>
      </c>
      <c r="H124" s="3" t="s">
        <v>80</v>
      </c>
      <c r="I124" s="3" t="s">
        <v>73</v>
      </c>
      <c r="J124" s="97" t="s">
        <v>3451</v>
      </c>
    </row>
    <row r="125" spans="1:10" ht="28.9" customHeight="1" thickTop="1" thickBot="1" x14ac:dyDescent="0.65">
      <c r="A125" s="5">
        <v>123</v>
      </c>
      <c r="B125" s="46" t="str">
        <f>HYPERLINK("https://search.naver.com/search.naver?query=거꾸로 가는 남자", "거꾸로 가는 남자")</f>
        <v>거꾸로 가는 남자</v>
      </c>
      <c r="C125" s="47">
        <v>6.5</v>
      </c>
      <c r="D125" s="6" t="s">
        <v>244</v>
      </c>
      <c r="E125" s="5" t="s">
        <v>210</v>
      </c>
      <c r="F125" s="5">
        <v>2018</v>
      </c>
      <c r="G125" s="5" t="s">
        <v>12</v>
      </c>
      <c r="H125" s="5" t="s">
        <v>17</v>
      </c>
      <c r="I125" s="5" t="s">
        <v>37</v>
      </c>
      <c r="J125" s="98" t="s">
        <v>3442</v>
      </c>
    </row>
    <row r="126" spans="1:10" ht="28.9" customHeight="1" thickTop="1" thickBot="1" x14ac:dyDescent="0.65">
      <c r="A126" s="3">
        <v>124</v>
      </c>
      <c r="B126" s="44" t="str">
        <f>HYPERLINK("https://search.naver.com/search.naver?query=거룩한 계보 영화", "거룩한 계보")</f>
        <v>거룩한 계보</v>
      </c>
      <c r="C126" s="45">
        <v>7.51</v>
      </c>
      <c r="D126" s="4" t="s">
        <v>245</v>
      </c>
      <c r="E126" s="3" t="s">
        <v>11</v>
      </c>
      <c r="F126" s="3">
        <v>2006</v>
      </c>
      <c r="G126" s="3" t="s">
        <v>12</v>
      </c>
      <c r="H126" s="3" t="s">
        <v>17</v>
      </c>
      <c r="I126" s="3" t="s">
        <v>78</v>
      </c>
      <c r="J126" s="97" t="s">
        <v>3460</v>
      </c>
    </row>
    <row r="127" spans="1:10" ht="28.9" customHeight="1" thickTop="1" thickBot="1" x14ac:dyDescent="0.65">
      <c r="A127" s="5">
        <v>125</v>
      </c>
      <c r="B127" s="46" t="str">
        <f>HYPERLINK("https://search.naver.com/search.naver?query=거룩한 분노 영화", "거룩한 분노")</f>
        <v>거룩한 분노</v>
      </c>
      <c r="C127" s="47">
        <v>9.17</v>
      </c>
      <c r="D127" s="6" t="s">
        <v>246</v>
      </c>
      <c r="E127" s="5" t="s">
        <v>247</v>
      </c>
      <c r="F127" s="5">
        <v>2017</v>
      </c>
      <c r="G127" s="5" t="s">
        <v>12</v>
      </c>
      <c r="H127" s="5" t="s">
        <v>92</v>
      </c>
      <c r="I127" s="5" t="s">
        <v>124</v>
      </c>
      <c r="J127" s="98" t="s">
        <v>3443</v>
      </c>
    </row>
    <row r="128" spans="1:10" ht="28.9" customHeight="1" thickTop="1" thickBot="1" x14ac:dyDescent="0.65">
      <c r="A128" s="3">
        <v>126</v>
      </c>
      <c r="B128" s="44" t="str">
        <f>HYPERLINK("https://search.naver.com/search.naver?query=거미줄에 걸린 소녀 영화", "거미줄에 걸린 소녀")</f>
        <v>거미줄에 걸린 소녀</v>
      </c>
      <c r="C128" s="45">
        <v>8.6300000000000008</v>
      </c>
      <c r="D128" s="4" t="s">
        <v>248</v>
      </c>
      <c r="E128" s="3" t="s">
        <v>20</v>
      </c>
      <c r="F128" s="3">
        <v>2018</v>
      </c>
      <c r="G128" s="3" t="s">
        <v>12</v>
      </c>
      <c r="H128" s="3" t="s">
        <v>80</v>
      </c>
      <c r="I128" s="3" t="s">
        <v>47</v>
      </c>
      <c r="J128" s="97" t="s">
        <v>3442</v>
      </c>
    </row>
    <row r="129" spans="1:10" ht="28.9" customHeight="1" thickTop="1" thickBot="1" x14ac:dyDescent="0.65">
      <c r="A129" s="5">
        <v>127</v>
      </c>
      <c r="B129" s="46" t="str">
        <f>HYPERLINK("https://search.naver.com/search.naver?query=거북이 달린다 영화", "거북이 달린다")</f>
        <v>거북이 달린다</v>
      </c>
      <c r="C129" s="47">
        <v>8.42</v>
      </c>
      <c r="D129" s="6" t="s">
        <v>249</v>
      </c>
      <c r="E129" s="5" t="s">
        <v>11</v>
      </c>
      <c r="F129" s="5">
        <v>2009</v>
      </c>
      <c r="G129" s="5" t="s">
        <v>12</v>
      </c>
      <c r="H129" s="5" t="s">
        <v>250</v>
      </c>
      <c r="I129" s="5" t="s">
        <v>89</v>
      </c>
      <c r="J129" s="98" t="s">
        <v>3453</v>
      </c>
    </row>
    <row r="130" spans="1:10" ht="28.9" customHeight="1" thickTop="1" thickBot="1" x14ac:dyDescent="0.65">
      <c r="A130" s="3">
        <v>128</v>
      </c>
      <c r="B130" s="44" t="str">
        <f>HYPERLINK("https://search.naver.com/search.naver?query=거짓 혹은 진실 영화", "거짓 혹은 진실")</f>
        <v>거짓 혹은 진실</v>
      </c>
      <c r="C130" s="45">
        <v>8.42</v>
      </c>
      <c r="D130" s="4" t="s">
        <v>251</v>
      </c>
      <c r="E130" s="3" t="s">
        <v>20</v>
      </c>
      <c r="F130" s="3">
        <v>2008</v>
      </c>
      <c r="G130" s="3" t="s">
        <v>12</v>
      </c>
      <c r="H130" s="3" t="s">
        <v>252</v>
      </c>
      <c r="I130" s="3" t="s">
        <v>99</v>
      </c>
      <c r="J130" s="97" t="s">
        <v>3450</v>
      </c>
    </row>
    <row r="131" spans="1:10" ht="28.9" customHeight="1" thickTop="1" thickBot="1" x14ac:dyDescent="0.65">
      <c r="A131" s="5">
        <v>129</v>
      </c>
      <c r="B131" s="46" t="str">
        <f>HYPERLINK("https://search.naver.com/search.naver?query=거짓말을 사랑하는 여자 영화", "거짓말을 사랑하는 여자")</f>
        <v>거짓말을 사랑하는 여자</v>
      </c>
      <c r="C131" s="47">
        <v>6.4</v>
      </c>
      <c r="D131" s="6" t="s">
        <v>253</v>
      </c>
      <c r="E131" s="5" t="s">
        <v>16</v>
      </c>
      <c r="F131" s="5">
        <v>2017</v>
      </c>
      <c r="G131" s="5" t="s">
        <v>12</v>
      </c>
      <c r="H131" s="5" t="s">
        <v>121</v>
      </c>
      <c r="I131" s="5" t="s">
        <v>53</v>
      </c>
      <c r="J131" s="98" t="s">
        <v>3443</v>
      </c>
    </row>
    <row r="132" spans="1:10" ht="28.9" customHeight="1" thickTop="1" thickBot="1" x14ac:dyDescent="0.65">
      <c r="A132" s="3">
        <v>130</v>
      </c>
      <c r="B132" s="44" t="str">
        <f>HYPERLINK("https://search.naver.com/search.naver?query=건축학개론 영화", "건축학개론")</f>
        <v>건축학개론</v>
      </c>
      <c r="C132" s="45">
        <v>10</v>
      </c>
      <c r="D132" s="4" t="s">
        <v>254</v>
      </c>
      <c r="E132" s="3" t="s">
        <v>11</v>
      </c>
      <c r="F132" s="3">
        <v>2012</v>
      </c>
      <c r="G132" s="3" t="s">
        <v>12</v>
      </c>
      <c r="H132" s="3" t="s">
        <v>121</v>
      </c>
      <c r="I132" s="3" t="s">
        <v>221</v>
      </c>
      <c r="J132" s="97" t="s">
        <v>3439</v>
      </c>
    </row>
    <row r="133" spans="1:10" ht="28.9" customHeight="1" thickTop="1" thickBot="1" x14ac:dyDescent="0.65">
      <c r="A133" s="5">
        <v>131</v>
      </c>
      <c r="B133" s="46" t="str">
        <f>HYPERLINK("https://search.naver.com/search.naver?query=걸리버 여행기 영화", "걸리버 여행기")</f>
        <v>걸리버 여행기</v>
      </c>
      <c r="C133" s="47">
        <v>5.75</v>
      </c>
      <c r="D133" s="6" t="s">
        <v>255</v>
      </c>
      <c r="E133" s="5" t="s">
        <v>20</v>
      </c>
      <c r="F133" s="5">
        <v>2010</v>
      </c>
      <c r="G133" s="5" t="s">
        <v>12</v>
      </c>
      <c r="H133" s="5" t="s">
        <v>256</v>
      </c>
      <c r="I133" s="5" t="s">
        <v>37</v>
      </c>
      <c r="J133" s="98" t="s">
        <v>3455</v>
      </c>
    </row>
    <row r="134" spans="1:10" ht="28.9" customHeight="1" thickTop="1" thickBot="1" x14ac:dyDescent="0.65">
      <c r="A134" s="3">
        <v>132</v>
      </c>
      <c r="B134" s="44" t="str">
        <f>HYPERLINK("https://search.naver.com/search.naver?query=걸캅스 영화", "걸캅스")</f>
        <v>걸캅스</v>
      </c>
      <c r="C134" s="45">
        <v>9.01</v>
      </c>
      <c r="D134" s="4" t="s">
        <v>257</v>
      </c>
      <c r="E134" s="3" t="s">
        <v>11</v>
      </c>
      <c r="F134" s="3">
        <v>2018</v>
      </c>
      <c r="G134" s="3" t="s">
        <v>12</v>
      </c>
      <c r="H134" s="3" t="s">
        <v>223</v>
      </c>
      <c r="I134" s="3" t="s">
        <v>75</v>
      </c>
      <c r="J134" s="97" t="s">
        <v>3442</v>
      </c>
    </row>
    <row r="135" spans="1:10" ht="28.9" customHeight="1" thickTop="1" thickBot="1" x14ac:dyDescent="0.65">
      <c r="A135" s="5">
        <v>133</v>
      </c>
      <c r="B135" s="46" t="str">
        <f>HYPERLINK("https://search.naver.com/search.naver?query=검객 영화", "검객")</f>
        <v>검객</v>
      </c>
      <c r="C135" s="47">
        <v>8.6199999999999992</v>
      </c>
      <c r="D135" s="6" t="s">
        <v>258</v>
      </c>
      <c r="E135" s="5" t="s">
        <v>11</v>
      </c>
      <c r="F135" s="5">
        <v>2020</v>
      </c>
      <c r="G135" s="5" t="s">
        <v>12</v>
      </c>
      <c r="H135" s="5" t="s">
        <v>259</v>
      </c>
      <c r="I135" s="5" t="s">
        <v>131</v>
      </c>
      <c r="J135" s="98" t="s">
        <v>3436</v>
      </c>
    </row>
    <row r="136" spans="1:10" ht="28.9" customHeight="1" thickTop="1" thickBot="1" x14ac:dyDescent="0.65">
      <c r="A136" s="3">
        <v>134</v>
      </c>
      <c r="B136" s="44" t="str">
        <f>HYPERLINK("https://search.naver.com/search.naver?query=검사외전 영화", "검사외전")</f>
        <v>검사외전</v>
      </c>
      <c r="C136" s="45">
        <v>8.56</v>
      </c>
      <c r="D136" s="4" t="s">
        <v>260</v>
      </c>
      <c r="E136" s="3" t="s">
        <v>11</v>
      </c>
      <c r="F136" s="3">
        <v>2015</v>
      </c>
      <c r="G136" s="3" t="s">
        <v>12</v>
      </c>
      <c r="H136" s="3" t="s">
        <v>250</v>
      </c>
      <c r="I136" s="3" t="s">
        <v>78</v>
      </c>
      <c r="J136" s="97" t="s">
        <v>3440</v>
      </c>
    </row>
    <row r="137" spans="1:10" ht="28.9" customHeight="1" thickTop="1" thickBot="1" x14ac:dyDescent="0.65">
      <c r="A137" s="5">
        <v>135</v>
      </c>
      <c r="B137" s="46" t="str">
        <f>HYPERLINK("https://search.naver.com/search.naver?query=검우강호 영화", "검우강호")</f>
        <v>검우강호</v>
      </c>
      <c r="C137" s="47">
        <v>7.53</v>
      </c>
      <c r="D137" s="6" t="s">
        <v>261</v>
      </c>
      <c r="E137" s="5" t="s">
        <v>91</v>
      </c>
      <c r="F137" s="5">
        <v>2010</v>
      </c>
      <c r="G137" s="5" t="s">
        <v>12</v>
      </c>
      <c r="H137" s="5" t="s">
        <v>92</v>
      </c>
      <c r="I137" s="5" t="s">
        <v>81</v>
      </c>
      <c r="J137" s="98" t="s">
        <v>3455</v>
      </c>
    </row>
    <row r="138" spans="1:10" ht="28.9" customHeight="1" thickTop="1" thickBot="1" x14ac:dyDescent="0.65">
      <c r="A138" s="3">
        <v>136</v>
      </c>
      <c r="B138" s="44" t="str">
        <f>HYPERLINK("https://search.naver.com/search.naver?query=검은 수녀들 영화", "검은 수녀들")</f>
        <v>검은 수녀들</v>
      </c>
      <c r="C138" s="45">
        <v>6.2</v>
      </c>
      <c r="D138" s="4" t="s">
        <v>262</v>
      </c>
      <c r="E138" s="3" t="s">
        <v>11</v>
      </c>
      <c r="F138" s="3">
        <v>2025</v>
      </c>
      <c r="G138" s="3" t="s">
        <v>12</v>
      </c>
      <c r="H138" s="3" t="s">
        <v>263</v>
      </c>
      <c r="I138" s="3" t="s">
        <v>207</v>
      </c>
      <c r="J138" s="97" t="s">
        <v>3459</v>
      </c>
    </row>
    <row r="139" spans="1:10" ht="28.9" customHeight="1" thickTop="1" thickBot="1" x14ac:dyDescent="0.65">
      <c r="A139" s="5">
        <v>137</v>
      </c>
      <c r="B139" s="46" t="str">
        <f>HYPERLINK("https://search.naver.com/search.naver?query=영화 검은사제들", "검은사제들")</f>
        <v>검은사제들</v>
      </c>
      <c r="C139" s="47">
        <v>8.5500000000000007</v>
      </c>
      <c r="D139" s="6" t="s">
        <v>264</v>
      </c>
      <c r="E139" s="5" t="s">
        <v>11</v>
      </c>
      <c r="F139" s="5">
        <v>2015</v>
      </c>
      <c r="G139" s="5" t="s">
        <v>12</v>
      </c>
      <c r="H139" s="5" t="s">
        <v>143</v>
      </c>
      <c r="I139" s="5" t="s">
        <v>31</v>
      </c>
      <c r="J139" s="98" t="s">
        <v>3440</v>
      </c>
    </row>
    <row r="140" spans="1:10" ht="28.9" customHeight="1" thickTop="1" thickBot="1" x14ac:dyDescent="0.65">
      <c r="A140" s="3">
        <v>138</v>
      </c>
      <c r="B140" s="44" t="str">
        <f>HYPERLINK("https://search.naver.com/search.naver?query=검찰측의 죄인 영화", "검찰측의 죄인")</f>
        <v>검찰측의 죄인</v>
      </c>
      <c r="C140" s="45">
        <v>1</v>
      </c>
      <c r="D140" s="4" t="s">
        <v>265</v>
      </c>
      <c r="E140" s="3" t="s">
        <v>16</v>
      </c>
      <c r="F140" s="3">
        <v>2018</v>
      </c>
      <c r="G140" s="3" t="s">
        <v>12</v>
      </c>
      <c r="H140" s="3" t="s">
        <v>17</v>
      </c>
      <c r="I140" s="3" t="s">
        <v>221</v>
      </c>
      <c r="J140" s="97" t="s">
        <v>3442</v>
      </c>
    </row>
    <row r="141" spans="1:10" ht="28.9" customHeight="1" thickTop="1" thickBot="1" x14ac:dyDescent="0.65">
      <c r="A141" s="5">
        <v>139</v>
      </c>
      <c r="B141" s="46" t="str">
        <f>HYPERLINK("https://search.naver.com/search.naver?query=게이샤의 추억 영화", "게이샤의 추억")</f>
        <v>게이샤의 추억</v>
      </c>
      <c r="C141" s="47">
        <v>7.22</v>
      </c>
      <c r="D141" s="6" t="s">
        <v>266</v>
      </c>
      <c r="E141" s="5" t="s">
        <v>20</v>
      </c>
      <c r="F141" s="5">
        <v>2005</v>
      </c>
      <c r="G141" s="5" t="s">
        <v>12</v>
      </c>
      <c r="H141" s="5" t="s">
        <v>17</v>
      </c>
      <c r="I141" s="5" t="s">
        <v>175</v>
      </c>
      <c r="J141" s="98" t="s">
        <v>3461</v>
      </c>
    </row>
    <row r="142" spans="1:10" ht="28.9" customHeight="1" thickTop="1" thickBot="1" x14ac:dyDescent="0.65">
      <c r="A142" s="3">
        <v>140</v>
      </c>
      <c r="B142" s="44" t="str">
        <f>HYPERLINK("https://search.naver.com/search.naver?query=게이트 영화", "게이트")</f>
        <v>게이트</v>
      </c>
      <c r="C142" s="45">
        <v>8.98</v>
      </c>
      <c r="D142" s="4" t="s">
        <v>267</v>
      </c>
      <c r="E142" s="3" t="s">
        <v>16</v>
      </c>
      <c r="F142" s="3">
        <v>2017</v>
      </c>
      <c r="G142" s="3" t="s">
        <v>12</v>
      </c>
      <c r="H142" s="3" t="s">
        <v>17</v>
      </c>
      <c r="I142" s="3" t="s">
        <v>96</v>
      </c>
      <c r="J142" s="97" t="s">
        <v>3443</v>
      </c>
    </row>
    <row r="143" spans="1:10" ht="28.9" customHeight="1" thickTop="1" thickBot="1" x14ac:dyDescent="0.65">
      <c r="A143" s="5">
        <v>141</v>
      </c>
      <c r="B143" s="46" t="str">
        <f>HYPERLINK("https://search.naver.com/search.naver?query=게임체인지 영화", "게임체인지")</f>
        <v>게임체인지</v>
      </c>
      <c r="C143" s="47"/>
      <c r="D143" s="6" t="s">
        <v>268</v>
      </c>
      <c r="E143" s="5" t="s">
        <v>20</v>
      </c>
      <c r="F143" s="5">
        <v>2015</v>
      </c>
      <c r="G143" s="5" t="s">
        <v>12</v>
      </c>
      <c r="H143" s="5" t="s">
        <v>17</v>
      </c>
      <c r="I143" s="5" t="s">
        <v>221</v>
      </c>
      <c r="J143" s="98" t="s">
        <v>3440</v>
      </c>
    </row>
    <row r="144" spans="1:10" ht="28.9" customHeight="1" thickTop="1" thickBot="1" x14ac:dyDescent="0.65">
      <c r="A144" s="3">
        <v>142</v>
      </c>
      <c r="B144" s="44" t="str">
        <f>HYPERLINK("https://search.naver.com/search.naver?query=겜블러 영화", "겜블러")</f>
        <v>겜블러</v>
      </c>
      <c r="C144" s="45">
        <v>7.43</v>
      </c>
      <c r="D144" s="4" t="s">
        <v>269</v>
      </c>
      <c r="E144" s="3" t="s">
        <v>20</v>
      </c>
      <c r="F144" s="3">
        <v>2014</v>
      </c>
      <c r="G144" s="3" t="s">
        <v>12</v>
      </c>
      <c r="H144" s="3" t="s">
        <v>77</v>
      </c>
      <c r="I144" s="3" t="s">
        <v>102</v>
      </c>
      <c r="J144" s="97" t="s">
        <v>3437</v>
      </c>
    </row>
    <row r="145" spans="1:10" ht="28.9" customHeight="1" thickTop="1" thickBot="1" x14ac:dyDescent="0.65">
      <c r="A145" s="5">
        <v>143</v>
      </c>
      <c r="B145" s="46" t="str">
        <f>HYPERLINK("https://search.naver.com/search.naver?query=겟 더 그링고", "겟 더 그링고")</f>
        <v>겟 더 그링고</v>
      </c>
      <c r="C145" s="47">
        <v>7.68</v>
      </c>
      <c r="D145" s="6" t="s">
        <v>270</v>
      </c>
      <c r="E145" s="5" t="s">
        <v>20</v>
      </c>
      <c r="F145" s="5">
        <v>2012</v>
      </c>
      <c r="G145" s="5" t="s">
        <v>12</v>
      </c>
      <c r="H145" s="5" t="s">
        <v>92</v>
      </c>
      <c r="I145" s="5" t="s">
        <v>61</v>
      </c>
      <c r="J145" s="98" t="s">
        <v>3439</v>
      </c>
    </row>
    <row r="146" spans="1:10" ht="28.9" customHeight="1" thickTop="1" thickBot="1" x14ac:dyDescent="0.65">
      <c r="A146" s="3">
        <v>144</v>
      </c>
      <c r="B146" s="44" t="str">
        <f>HYPERLINK("https://search.naver.com/search.naver?query=겟 아웃 영화", "겟 아웃")</f>
        <v>겟 아웃</v>
      </c>
      <c r="C146" s="45">
        <v>8.4499999999999993</v>
      </c>
      <c r="D146" s="4" t="s">
        <v>271</v>
      </c>
      <c r="E146" s="3" t="s">
        <v>20</v>
      </c>
      <c r="F146" s="3">
        <v>2017</v>
      </c>
      <c r="G146" s="3" t="s">
        <v>12</v>
      </c>
      <c r="H146" s="3" t="s">
        <v>88</v>
      </c>
      <c r="I146" s="3" t="s">
        <v>170</v>
      </c>
      <c r="J146" s="97" t="s">
        <v>3443</v>
      </c>
    </row>
    <row r="147" spans="1:10" ht="28.9" customHeight="1" thickTop="1" thickBot="1" x14ac:dyDescent="0.65">
      <c r="A147" s="5">
        <v>145</v>
      </c>
      <c r="B147" s="46" t="str">
        <f>HYPERLINK("https://search.naver.com/search.naver?query=결백 영화", "결백")</f>
        <v>결백</v>
      </c>
      <c r="C147" s="47">
        <v>8.48</v>
      </c>
      <c r="D147" s="6" t="s">
        <v>272</v>
      </c>
      <c r="E147" s="5" t="s">
        <v>11</v>
      </c>
      <c r="F147" s="5">
        <v>2019</v>
      </c>
      <c r="G147" s="5" t="s">
        <v>12</v>
      </c>
      <c r="H147" s="5" t="s">
        <v>17</v>
      </c>
      <c r="I147" s="5" t="s">
        <v>96</v>
      </c>
      <c r="J147" s="98" t="s">
        <v>3444</v>
      </c>
    </row>
    <row r="148" spans="1:10" ht="28.9" customHeight="1" thickTop="1" thickBot="1" x14ac:dyDescent="0.65">
      <c r="A148" s="3">
        <v>146</v>
      </c>
      <c r="B148" s="44" t="str">
        <f>HYPERLINK("https://search.daum.net/search?nil_suggest=btn&amp;w=tot&amp;DA=SBC&amp;q=%EA%B2%B0%ED%98%BC+%EC%83%9D%ED%99%9C+%EC%98%81%ED%99%94", "결혼 생활")</f>
        <v>결혼 생활</v>
      </c>
      <c r="C148" s="45">
        <v>6</v>
      </c>
      <c r="D148" s="4" t="s">
        <v>273</v>
      </c>
      <c r="E148" s="3" t="s">
        <v>20</v>
      </c>
      <c r="F148" s="3">
        <v>2008</v>
      </c>
      <c r="G148" s="3" t="s">
        <v>12</v>
      </c>
      <c r="H148" s="3" t="s">
        <v>13</v>
      </c>
      <c r="I148" s="3" t="s">
        <v>115</v>
      </c>
      <c r="J148" s="97" t="s">
        <v>3450</v>
      </c>
    </row>
    <row r="149" spans="1:10" ht="28.9" customHeight="1" thickTop="1" thickBot="1" x14ac:dyDescent="0.65">
      <c r="A149" s="5">
        <v>147</v>
      </c>
      <c r="B149" s="46" t="str">
        <f>HYPERLINK("https://search.naver.com/search.naver?query=결혼 이야기 영화", "결혼 이야기")</f>
        <v>결혼 이야기</v>
      </c>
      <c r="C149" s="47">
        <v>8.92</v>
      </c>
      <c r="D149" s="6" t="s">
        <v>274</v>
      </c>
      <c r="E149" s="5" t="s">
        <v>20</v>
      </c>
      <c r="F149" s="5">
        <v>2019</v>
      </c>
      <c r="G149" s="5" t="s">
        <v>12</v>
      </c>
      <c r="H149" s="5" t="s">
        <v>17</v>
      </c>
      <c r="I149" s="5" t="s">
        <v>186</v>
      </c>
      <c r="J149" s="98" t="s">
        <v>3444</v>
      </c>
    </row>
    <row r="150" spans="1:10" ht="28.9" customHeight="1" thickTop="1" thickBot="1" x14ac:dyDescent="0.65">
      <c r="A150" s="3">
        <v>148</v>
      </c>
      <c r="B150" s="44" t="str">
        <f>HYPERLINK("https://search.naver.com/search.naver?query=결혼하지 않아도 괜찮을까 영화", "결혼하지 않아도 괜찮을까")</f>
        <v>결혼하지 않아도 괜찮을까</v>
      </c>
      <c r="C150" s="45">
        <v>8.24</v>
      </c>
      <c r="D150" s="4" t="s">
        <v>275</v>
      </c>
      <c r="E150" s="3" t="s">
        <v>16</v>
      </c>
      <c r="F150" s="3">
        <v>2012</v>
      </c>
      <c r="G150" s="3" t="s">
        <v>12</v>
      </c>
      <c r="H150" s="3" t="s">
        <v>17</v>
      </c>
      <c r="I150" s="3" t="s">
        <v>99</v>
      </c>
      <c r="J150" s="97" t="s">
        <v>3439</v>
      </c>
    </row>
    <row r="151" spans="1:10" ht="28.9" customHeight="1" thickTop="1" thickBot="1" x14ac:dyDescent="0.65">
      <c r="A151" s="5">
        <v>149</v>
      </c>
      <c r="B151" s="46" t="str">
        <f>HYPERLINK("https://search.naver.com/search.naver?query=경관의 피 영화", "경관의 피")</f>
        <v>경관의 피</v>
      </c>
      <c r="C151" s="47">
        <v>6.77</v>
      </c>
      <c r="D151" s="6" t="s">
        <v>276</v>
      </c>
      <c r="E151" s="5" t="s">
        <v>16</v>
      </c>
      <c r="F151" s="5">
        <v>2022</v>
      </c>
      <c r="G151" s="5" t="s">
        <v>12</v>
      </c>
      <c r="H151" s="5" t="s">
        <v>277</v>
      </c>
      <c r="I151" s="5" t="s">
        <v>278</v>
      </c>
      <c r="J151" s="98" t="s">
        <v>3445</v>
      </c>
    </row>
    <row r="152" spans="1:10" ht="28.9" customHeight="1" thickTop="1" thickBot="1" x14ac:dyDescent="0.65">
      <c r="A152" s="3">
        <v>150</v>
      </c>
      <c r="B152" s="44" t="str">
        <f>HYPERLINK("https://search.daum.net/search?nil_suggest=btn&amp;w=tot&amp;DA=SBC&amp;q=%EA%B3%A0%EA%B3%A0%ED%95%9C+%EB%A9%94%EC%8A%A4+%EC%98%81%ED%99%94", "고고한 메스")</f>
        <v>고고한 메스</v>
      </c>
      <c r="C152" s="45">
        <v>6.5</v>
      </c>
      <c r="D152" s="4" t="s">
        <v>279</v>
      </c>
      <c r="E152" s="3" t="s">
        <v>16</v>
      </c>
      <c r="F152" s="3">
        <v>2010</v>
      </c>
      <c r="G152" s="3" t="s">
        <v>12</v>
      </c>
      <c r="H152" s="3" t="s">
        <v>17</v>
      </c>
      <c r="I152" s="3" t="s">
        <v>280</v>
      </c>
      <c r="J152" s="97" t="s">
        <v>3455</v>
      </c>
    </row>
    <row r="153" spans="1:10" ht="28.9" customHeight="1" thickTop="1" thickBot="1" x14ac:dyDescent="0.65">
      <c r="A153" s="5">
        <v>151</v>
      </c>
      <c r="B153" s="46" t="str">
        <f>HYPERLINK("https://search.naver.com/search.naver?query=고도 영화", "고도")</f>
        <v>고도</v>
      </c>
      <c r="C153" s="47"/>
      <c r="D153" s="6" t="s">
        <v>281</v>
      </c>
      <c r="E153" s="5" t="s">
        <v>20</v>
      </c>
      <c r="F153" s="5">
        <v>2016</v>
      </c>
      <c r="G153" s="5" t="s">
        <v>12</v>
      </c>
      <c r="H153" s="5" t="s">
        <v>92</v>
      </c>
      <c r="I153" s="5" t="s">
        <v>231</v>
      </c>
      <c r="J153" s="98" t="s">
        <v>3441</v>
      </c>
    </row>
    <row r="154" spans="1:10" ht="28.9" customHeight="1" thickTop="1" thickBot="1" x14ac:dyDescent="0.65">
      <c r="A154" s="3">
        <v>152</v>
      </c>
      <c r="B154" s="44" t="str">
        <f>HYPERLINK("https://search.naver.com/search.naver?query=영화 고독사", "고독사")</f>
        <v>고독사</v>
      </c>
      <c r="C154" s="45">
        <v>3.32</v>
      </c>
      <c r="D154" s="4" t="s">
        <v>282</v>
      </c>
      <c r="E154" s="3" t="s">
        <v>16</v>
      </c>
      <c r="F154" s="3">
        <v>2011</v>
      </c>
      <c r="G154" s="3" t="s">
        <v>12</v>
      </c>
      <c r="H154" s="3" t="s">
        <v>17</v>
      </c>
      <c r="I154" s="3" t="s">
        <v>280</v>
      </c>
      <c r="J154" s="97" t="s">
        <v>3454</v>
      </c>
    </row>
    <row r="155" spans="1:10" ht="28.9" customHeight="1" thickTop="1" thickBot="1" x14ac:dyDescent="0.65">
      <c r="A155" s="5">
        <v>153</v>
      </c>
      <c r="B155" s="46" t="str">
        <f>HYPERLINK("https://search.naver.com/search.naver?query=고령화가족 영화", "고령화가족")</f>
        <v>고령화가족</v>
      </c>
      <c r="C155" s="47">
        <v>8.27</v>
      </c>
      <c r="D155" s="6" t="s">
        <v>283</v>
      </c>
      <c r="E155" s="5" t="s">
        <v>11</v>
      </c>
      <c r="F155" s="5">
        <v>2013</v>
      </c>
      <c r="G155" s="5" t="s">
        <v>12</v>
      </c>
      <c r="H155" s="5" t="s">
        <v>72</v>
      </c>
      <c r="I155" s="5" t="s">
        <v>278</v>
      </c>
      <c r="J155" s="98" t="s">
        <v>3451</v>
      </c>
    </row>
    <row r="156" spans="1:10" ht="28.9" customHeight="1" thickTop="1" thickBot="1" x14ac:dyDescent="0.65">
      <c r="A156" s="3">
        <v>154</v>
      </c>
      <c r="B156" s="44" t="str">
        <f>HYPERLINK("https://www.kmdb.or.kr/db/kor/detail/movie/K/22837", "고백")</f>
        <v>고백</v>
      </c>
      <c r="C156" s="45"/>
      <c r="D156" s="4" t="s">
        <v>284</v>
      </c>
      <c r="E156" s="3" t="s">
        <v>11</v>
      </c>
      <c r="F156" s="3">
        <v>2021</v>
      </c>
      <c r="G156" s="3" t="s">
        <v>12</v>
      </c>
      <c r="H156" s="3" t="s">
        <v>17</v>
      </c>
      <c r="I156" s="3" t="s">
        <v>81</v>
      </c>
      <c r="J156" s="97" t="s">
        <v>3438</v>
      </c>
    </row>
    <row r="157" spans="1:10" ht="28.9" customHeight="1" thickTop="1" thickBot="1" x14ac:dyDescent="0.65">
      <c r="A157" s="5">
        <v>155</v>
      </c>
      <c r="B157" s="46" t="str">
        <f>HYPERLINK("https://search.naver.com/search.naver?query=영화고백", "고백")</f>
        <v>고백</v>
      </c>
      <c r="C157" s="47">
        <v>6.5</v>
      </c>
      <c r="D157" s="6" t="s">
        <v>285</v>
      </c>
      <c r="E157" s="5" t="s">
        <v>16</v>
      </c>
      <c r="F157" s="5">
        <v>2010</v>
      </c>
      <c r="G157" s="5" t="s">
        <v>12</v>
      </c>
      <c r="H157" s="5" t="s">
        <v>13</v>
      </c>
      <c r="I157" s="5" t="s">
        <v>286</v>
      </c>
      <c r="J157" s="98" t="s">
        <v>3455</v>
      </c>
    </row>
    <row r="158" spans="1:10" ht="28.9" customHeight="1" thickTop="1" thickBot="1" x14ac:dyDescent="0.65">
      <c r="A158" s="3">
        <v>156</v>
      </c>
      <c r="B158" s="44" t="str">
        <f>HYPERLINK("https://search.naver.com/search.naver?query=고스톱 살인 영화", "고스톱 살인")</f>
        <v>고스톱 살인</v>
      </c>
      <c r="C158" s="45">
        <v>8.1999999999999993</v>
      </c>
      <c r="D158" s="4" t="s">
        <v>287</v>
      </c>
      <c r="E158" s="3" t="s">
        <v>11</v>
      </c>
      <c r="F158" s="3">
        <v>2013</v>
      </c>
      <c r="G158" s="3" t="s">
        <v>12</v>
      </c>
      <c r="H158" s="3" t="s">
        <v>277</v>
      </c>
      <c r="I158" s="3" t="s">
        <v>99</v>
      </c>
      <c r="J158" s="97" t="s">
        <v>3451</v>
      </c>
    </row>
    <row r="159" spans="1:10" ht="28.9" customHeight="1" thickTop="1" thickBot="1" x14ac:dyDescent="0.65">
      <c r="A159" s="5">
        <v>157</v>
      </c>
      <c r="B159" s="46" t="str">
        <f>HYPERLINK("https://search.naver.com/search.naver?query=고스트:보이지 않는 사랑 영화", "고스트:보이지 않는 사랑")</f>
        <v>고스트:보이지 않는 사랑</v>
      </c>
      <c r="C159" s="47">
        <v>6.36</v>
      </c>
      <c r="D159" s="6" t="s">
        <v>288</v>
      </c>
      <c r="E159" s="5" t="s">
        <v>11</v>
      </c>
      <c r="F159" s="5">
        <v>2010</v>
      </c>
      <c r="G159" s="5" t="s">
        <v>12</v>
      </c>
      <c r="H159" s="5" t="s">
        <v>121</v>
      </c>
      <c r="I159" s="5" t="s">
        <v>14</v>
      </c>
      <c r="J159" s="98" t="s">
        <v>3455</v>
      </c>
    </row>
    <row r="160" spans="1:10" ht="28.9" customHeight="1" thickTop="1" thickBot="1" x14ac:dyDescent="0.65">
      <c r="A160" s="38">
        <v>158</v>
      </c>
      <c r="B160" s="79" t="str">
        <f>HYPERLINK("https://search.naver.com/search.naver?query=영화 고스트라이트", "고스트라이트")</f>
        <v>고스트라이트</v>
      </c>
      <c r="C160" s="62">
        <v>8.2799999999999994</v>
      </c>
      <c r="D160" s="31" t="s">
        <v>289</v>
      </c>
      <c r="E160" s="38" t="s">
        <v>20</v>
      </c>
      <c r="F160" s="38">
        <v>2025</v>
      </c>
      <c r="G160" s="38" t="s">
        <v>12</v>
      </c>
      <c r="H160" s="38" t="s">
        <v>17</v>
      </c>
      <c r="I160" s="38" t="s">
        <v>47</v>
      </c>
      <c r="J160" s="100" t="s">
        <v>290</v>
      </c>
    </row>
    <row r="161" spans="1:10" ht="28.9" customHeight="1" thickTop="1" thickBot="1" x14ac:dyDescent="0.65">
      <c r="A161" s="3">
        <v>159</v>
      </c>
      <c r="B161" s="44" t="str">
        <f>HYPERLINK("https://search.naver.com/search.naver?query=고양이 여행 리포트 영화", "고양이 여행 리포트")</f>
        <v>고양이 여행 리포트</v>
      </c>
      <c r="C161" s="45">
        <v>8.4700000000000006</v>
      </c>
      <c r="D161" s="4" t="s">
        <v>291</v>
      </c>
      <c r="E161" s="3" t="s">
        <v>16</v>
      </c>
      <c r="F161" s="3">
        <v>2018</v>
      </c>
      <c r="G161" s="3" t="s">
        <v>12</v>
      </c>
      <c r="H161" s="3" t="s">
        <v>17</v>
      </c>
      <c r="I161" s="3" t="s">
        <v>99</v>
      </c>
      <c r="J161" s="97" t="s">
        <v>3442</v>
      </c>
    </row>
    <row r="162" spans="1:10" ht="28.9" customHeight="1" thickTop="1" thickBot="1" x14ac:dyDescent="0.65">
      <c r="A162" s="5">
        <v>160</v>
      </c>
      <c r="B162" s="46" t="str">
        <f>HYPERLINK("https://search.naver.com/search.naver?query=고양이를 빌려드립니다 영화", "고양이를 빌려드립니다")</f>
        <v>고양이를 빌려드립니다</v>
      </c>
      <c r="C162" s="47">
        <v>8.1199999999999992</v>
      </c>
      <c r="D162" s="6" t="s">
        <v>292</v>
      </c>
      <c r="E162" s="5" t="s">
        <v>16</v>
      </c>
      <c r="F162" s="5">
        <v>2012</v>
      </c>
      <c r="G162" s="5" t="s">
        <v>12</v>
      </c>
      <c r="H162" s="5" t="s">
        <v>72</v>
      </c>
      <c r="I162" s="5" t="s">
        <v>96</v>
      </c>
      <c r="J162" s="98" t="s">
        <v>3439</v>
      </c>
    </row>
    <row r="163" spans="1:10" ht="28.9" customHeight="1" thickTop="1" thickBot="1" x14ac:dyDescent="0.65">
      <c r="A163" s="3">
        <v>161</v>
      </c>
      <c r="B163" s="44" t="str">
        <f>HYPERLINK("https://search.naver.com/search.naver?query=고양이와 할아버지 영화", "고양이와 할아버지")</f>
        <v>고양이와 할아버지</v>
      </c>
      <c r="C163" s="45">
        <v>8.61</v>
      </c>
      <c r="D163" s="4" t="s">
        <v>293</v>
      </c>
      <c r="E163" s="3" t="s">
        <v>16</v>
      </c>
      <c r="F163" s="3">
        <v>2018</v>
      </c>
      <c r="G163" s="3" t="s">
        <v>12</v>
      </c>
      <c r="H163" s="3" t="s">
        <v>17</v>
      </c>
      <c r="I163" s="3" t="s">
        <v>128</v>
      </c>
      <c r="J163" s="97" t="s">
        <v>3442</v>
      </c>
    </row>
    <row r="164" spans="1:10" ht="28.9" customHeight="1" thickTop="1" thickBot="1" x14ac:dyDescent="0.65">
      <c r="A164" s="7">
        <v>162</v>
      </c>
      <c r="B164" s="48" t="str">
        <f>HYPERLINK("https://search.naver.com/search.naver?query=고요의 바다", "고요의 바다")</f>
        <v>고요의 바다</v>
      </c>
      <c r="C164" s="49"/>
      <c r="D164" s="8" t="s">
        <v>294</v>
      </c>
      <c r="E164" s="7" t="s">
        <v>11</v>
      </c>
      <c r="F164" s="7">
        <v>2021</v>
      </c>
      <c r="G164" s="7" t="s">
        <v>17</v>
      </c>
      <c r="H164" s="7" t="s">
        <v>179</v>
      </c>
      <c r="I164" s="7" t="s">
        <v>55</v>
      </c>
      <c r="J164" s="99" t="s">
        <v>3438</v>
      </c>
    </row>
    <row r="165" spans="1:10" ht="28.9" customHeight="1" thickTop="1" thickBot="1" x14ac:dyDescent="0.65">
      <c r="A165" s="3">
        <v>163</v>
      </c>
      <c r="B165" s="44" t="str">
        <f>HYPERLINK("https://search.naver.com/search.naver?query=고잉 인 스타일 영화", "고잉 인 스타일")</f>
        <v>고잉 인 스타일</v>
      </c>
      <c r="C165" s="45">
        <v>8.25</v>
      </c>
      <c r="D165" s="4" t="s">
        <v>295</v>
      </c>
      <c r="E165" s="3" t="s">
        <v>20</v>
      </c>
      <c r="F165" s="3">
        <v>2017</v>
      </c>
      <c r="G165" s="3" t="s">
        <v>12</v>
      </c>
      <c r="H165" s="3" t="s">
        <v>229</v>
      </c>
      <c r="I165" s="3" t="s">
        <v>61</v>
      </c>
      <c r="J165" s="97" t="s">
        <v>3443</v>
      </c>
    </row>
    <row r="166" spans="1:10" ht="28.9" customHeight="1" thickTop="1" thickBot="1" x14ac:dyDescent="0.65">
      <c r="A166" s="5">
        <v>164</v>
      </c>
      <c r="B166" s="46" t="str">
        <f>HYPERLINK("https://search.naver.com/search.naver?query=고지전 영화", "고지전")</f>
        <v>고지전</v>
      </c>
      <c r="C166" s="47">
        <v>8.7100000000000009</v>
      </c>
      <c r="D166" s="6" t="s">
        <v>296</v>
      </c>
      <c r="E166" s="5" t="s">
        <v>11</v>
      </c>
      <c r="F166" s="5">
        <v>2011</v>
      </c>
      <c r="G166" s="5" t="s">
        <v>12</v>
      </c>
      <c r="H166" s="5" t="s">
        <v>169</v>
      </c>
      <c r="I166" s="5" t="s">
        <v>83</v>
      </c>
      <c r="J166" s="98" t="s">
        <v>3454</v>
      </c>
    </row>
    <row r="167" spans="1:10" ht="28.9" customHeight="1" thickTop="1" thickBot="1" x14ac:dyDescent="0.65">
      <c r="A167" s="3">
        <v>165</v>
      </c>
      <c r="B167" s="44" t="str">
        <f>HYPERLINK("https://search.naver.com/search.naver?query=곡성 영화", "곡성")</f>
        <v>곡성</v>
      </c>
      <c r="C167" s="45">
        <v>8.2200000000000006</v>
      </c>
      <c r="D167" s="4" t="s">
        <v>297</v>
      </c>
      <c r="E167" s="3" t="s">
        <v>11</v>
      </c>
      <c r="F167" s="3">
        <v>2016</v>
      </c>
      <c r="G167" s="3" t="s">
        <v>12</v>
      </c>
      <c r="H167" s="3" t="s">
        <v>263</v>
      </c>
      <c r="I167" s="3" t="s">
        <v>298</v>
      </c>
      <c r="J167" s="97" t="s">
        <v>3441</v>
      </c>
    </row>
    <row r="168" spans="1:10" ht="28.9" customHeight="1" thickTop="1" thickBot="1" x14ac:dyDescent="0.65">
      <c r="A168" s="5">
        <v>166</v>
      </c>
      <c r="B168" s="46" t="str">
        <f>HYPERLINK("https://search.naver.com/search.naver?query=곤지암 영화", "곤지암")</f>
        <v>곤지암</v>
      </c>
      <c r="C168" s="47">
        <v>7.5</v>
      </c>
      <c r="D168" s="6" t="s">
        <v>299</v>
      </c>
      <c r="E168" s="5" t="s">
        <v>11</v>
      </c>
      <c r="F168" s="5">
        <v>2017</v>
      </c>
      <c r="G168" s="5" t="s">
        <v>12</v>
      </c>
      <c r="H168" s="5" t="s">
        <v>252</v>
      </c>
      <c r="I168" s="5" t="s">
        <v>300</v>
      </c>
      <c r="J168" s="98" t="s">
        <v>3443</v>
      </c>
    </row>
    <row r="169" spans="1:10" ht="28.9" customHeight="1" thickTop="1" thickBot="1" x14ac:dyDescent="0.65">
      <c r="A169" s="3">
        <v>167</v>
      </c>
      <c r="B169" s="44" t="str">
        <f>HYPERLINK("https://search.naver.com/search.naver?query=골드 영화", "골드")</f>
        <v>골드</v>
      </c>
      <c r="C169" s="45">
        <v>8.6</v>
      </c>
      <c r="D169" s="4" t="s">
        <v>301</v>
      </c>
      <c r="E169" s="3" t="s">
        <v>20</v>
      </c>
      <c r="F169" s="3">
        <v>2016</v>
      </c>
      <c r="G169" s="3" t="s">
        <v>12</v>
      </c>
      <c r="H169" s="3" t="s">
        <v>17</v>
      </c>
      <c r="I169" s="3" t="s">
        <v>86</v>
      </c>
      <c r="J169" s="97" t="s">
        <v>3441</v>
      </c>
    </row>
    <row r="170" spans="1:10" ht="28.9" customHeight="1" thickTop="1" thickBot="1" x14ac:dyDescent="0.65">
      <c r="A170" s="5">
        <v>168</v>
      </c>
      <c r="B170" s="46" t="str">
        <f>HYPERLINK("https://search.naver.com/search.naver?query=골든슬럼버2010", "골든 슬럼버")</f>
        <v>골든 슬럼버</v>
      </c>
      <c r="C170" s="47">
        <v>7.41</v>
      </c>
      <c r="D170" s="6" t="s">
        <v>302</v>
      </c>
      <c r="E170" s="5" t="s">
        <v>11</v>
      </c>
      <c r="F170" s="5">
        <v>2018</v>
      </c>
      <c r="G170" s="5" t="s">
        <v>12</v>
      </c>
      <c r="H170" s="5" t="s">
        <v>277</v>
      </c>
      <c r="I170" s="5" t="s">
        <v>31</v>
      </c>
      <c r="J170" s="98" t="s">
        <v>3442</v>
      </c>
    </row>
    <row r="171" spans="1:10" ht="28.9" customHeight="1" thickTop="1" thickBot="1" x14ac:dyDescent="0.65">
      <c r="A171" s="3">
        <v>169</v>
      </c>
      <c r="B171" s="44" t="str">
        <f>HYPERLINK("https://search.naver.com/search.naver?query=골든 슬럼버 영화", "골든 슬럼버")</f>
        <v>골든 슬럼버</v>
      </c>
      <c r="C171" s="45">
        <v>6.26</v>
      </c>
      <c r="D171" s="4" t="s">
        <v>303</v>
      </c>
      <c r="E171" s="3" t="s">
        <v>16</v>
      </c>
      <c r="F171" s="3">
        <v>2010</v>
      </c>
      <c r="G171" s="3" t="s">
        <v>12</v>
      </c>
      <c r="H171" s="3" t="s">
        <v>304</v>
      </c>
      <c r="I171" s="3" t="s">
        <v>305</v>
      </c>
      <c r="J171" s="97" t="s">
        <v>3455</v>
      </c>
    </row>
    <row r="172" spans="1:10" ht="28.9" customHeight="1" thickTop="1" thickBot="1" x14ac:dyDescent="0.65">
      <c r="A172" s="5">
        <v>170</v>
      </c>
      <c r="B172" s="46" t="str">
        <f>HYPERLINK("https://search.naver.com/search.naver?query=골든 오케스트라 영화", "골든 오케스트라")</f>
        <v>골든 오케스트라</v>
      </c>
      <c r="C172" s="47"/>
      <c r="D172" s="6" t="s">
        <v>306</v>
      </c>
      <c r="E172" s="5" t="s">
        <v>16</v>
      </c>
      <c r="F172" s="5">
        <v>2016</v>
      </c>
      <c r="G172" s="5" t="s">
        <v>12</v>
      </c>
      <c r="H172" s="5" t="s">
        <v>17</v>
      </c>
      <c r="I172" s="5" t="s">
        <v>142</v>
      </c>
      <c r="J172" s="98" t="s">
        <v>3441</v>
      </c>
    </row>
    <row r="173" spans="1:10" ht="28.9" customHeight="1" thickTop="1" thickBot="1" x14ac:dyDescent="0.65">
      <c r="A173" s="3">
        <v>171</v>
      </c>
      <c r="B173" s="44" t="str">
        <f>HYPERLINK("https://search.naver.com/search.naver?query=곰돌이 푸 다시 만나 행복해 영화", "곰돌이 푸 다시 만나 행복해")</f>
        <v>곰돌이 푸 다시 만나 행복해</v>
      </c>
      <c r="C173" s="45">
        <v>8.9499999999999993</v>
      </c>
      <c r="D173" s="4" t="s">
        <v>307</v>
      </c>
      <c r="E173" s="3" t="s">
        <v>24</v>
      </c>
      <c r="F173" s="3">
        <v>2017</v>
      </c>
      <c r="G173" s="3" t="s">
        <v>12</v>
      </c>
      <c r="H173" s="3" t="s">
        <v>17</v>
      </c>
      <c r="I173" s="3" t="s">
        <v>75</v>
      </c>
      <c r="J173" s="97" t="s">
        <v>3443</v>
      </c>
    </row>
    <row r="174" spans="1:10" ht="28.9" customHeight="1" thickTop="1" thickBot="1" x14ac:dyDescent="0.65">
      <c r="A174" s="5">
        <v>172</v>
      </c>
      <c r="B174" s="46" t="str">
        <f>HYPERLINK("https://search.naver.com/search.naver?query=공동경비구역", "공동경비구역")</f>
        <v>공동경비구역</v>
      </c>
      <c r="C174" s="47">
        <v>9.19</v>
      </c>
      <c r="D174" s="6" t="s">
        <v>308</v>
      </c>
      <c r="E174" s="5" t="s">
        <v>11</v>
      </c>
      <c r="F174" s="5">
        <v>2000</v>
      </c>
      <c r="G174" s="5" t="s">
        <v>12</v>
      </c>
      <c r="H174" s="5" t="s">
        <v>17</v>
      </c>
      <c r="I174" s="5" t="s">
        <v>96</v>
      </c>
      <c r="J174" s="98" t="s">
        <v>3458</v>
      </c>
    </row>
    <row r="175" spans="1:10" ht="28.9" customHeight="1" thickTop="1" thickBot="1" x14ac:dyDescent="0.65">
      <c r="A175" s="3">
        <v>173</v>
      </c>
      <c r="B175" s="44" t="str">
        <f>HYPERLINK("https://search.naver.com/search.naver?query=공모자들 영화", "공모자들")</f>
        <v>공모자들</v>
      </c>
      <c r="C175" s="45">
        <v>7.04</v>
      </c>
      <c r="D175" s="4" t="s">
        <v>309</v>
      </c>
      <c r="E175" s="3" t="s">
        <v>11</v>
      </c>
      <c r="F175" s="3">
        <v>2012</v>
      </c>
      <c r="G175" s="3" t="s">
        <v>12</v>
      </c>
      <c r="H175" s="3" t="s">
        <v>17</v>
      </c>
      <c r="I175" s="3" t="s">
        <v>300</v>
      </c>
      <c r="J175" s="97" t="s">
        <v>3439</v>
      </c>
    </row>
    <row r="176" spans="1:10" ht="28.9" customHeight="1" thickTop="1" thickBot="1" x14ac:dyDescent="0.65">
      <c r="A176" s="5">
        <v>174</v>
      </c>
      <c r="B176" s="46" t="str">
        <f>HYPERLINK("https://search.naver.com/search.naver?query=공백 영화", "공백")</f>
        <v>공백</v>
      </c>
      <c r="C176" s="47">
        <v>7.14</v>
      </c>
      <c r="D176" s="6" t="s">
        <v>310</v>
      </c>
      <c r="E176" s="5" t="s">
        <v>16</v>
      </c>
      <c r="F176" s="5">
        <v>2024</v>
      </c>
      <c r="G176" s="5" t="s">
        <v>12</v>
      </c>
      <c r="H176" s="5" t="s">
        <v>17</v>
      </c>
      <c r="I176" s="5" t="s">
        <v>31</v>
      </c>
      <c r="J176" s="98" t="s">
        <v>3448</v>
      </c>
    </row>
    <row r="177" spans="1:10" ht="28.9" customHeight="1" thickTop="1" thickBot="1" x14ac:dyDescent="0.65">
      <c r="A177" s="3">
        <v>175</v>
      </c>
      <c r="B177" s="44" t="str">
        <f>HYPERLINK("https://search.naver.com/search.naver?query=공범 영화", "공범")</f>
        <v>공범</v>
      </c>
      <c r="C177" s="45">
        <v>7.16</v>
      </c>
      <c r="D177" s="4" t="s">
        <v>311</v>
      </c>
      <c r="E177" s="3" t="s">
        <v>11</v>
      </c>
      <c r="F177" s="3">
        <v>2013</v>
      </c>
      <c r="G177" s="3" t="s">
        <v>12</v>
      </c>
      <c r="H177" s="3" t="s">
        <v>17</v>
      </c>
      <c r="I177" s="3" t="s">
        <v>111</v>
      </c>
      <c r="J177" s="97" t="s">
        <v>3451</v>
      </c>
    </row>
    <row r="178" spans="1:10" ht="28.9" customHeight="1" thickTop="1" thickBot="1" x14ac:dyDescent="0.65">
      <c r="A178" s="5">
        <v>176</v>
      </c>
      <c r="B178" s="46" t="str">
        <f>HYPERLINK("https://search.naver.com/search.naver?query=공수도 영화", "공수도")</f>
        <v>공수도</v>
      </c>
      <c r="C178" s="47">
        <v>8.77</v>
      </c>
      <c r="D178" s="6" t="s">
        <v>312</v>
      </c>
      <c r="E178" s="5" t="s">
        <v>16</v>
      </c>
      <c r="F178" s="5">
        <v>2019</v>
      </c>
      <c r="G178" s="5" t="s">
        <v>12</v>
      </c>
      <c r="H178" s="5" t="s">
        <v>92</v>
      </c>
      <c r="I178" s="5" t="s">
        <v>96</v>
      </c>
      <c r="J178" s="98" t="s">
        <v>3444</v>
      </c>
    </row>
    <row r="179" spans="1:10" ht="28.9" customHeight="1" thickTop="1" thickBot="1" x14ac:dyDescent="0.65">
      <c r="A179" s="3">
        <v>177</v>
      </c>
      <c r="B179" s="44" t="str">
        <f>HYPERLINK("https://search.naver.com/search.naver?query=공작 영화", "공작")</f>
        <v>공작</v>
      </c>
      <c r="C179" s="45">
        <v>7.86</v>
      </c>
      <c r="D179" s="4" t="s">
        <v>313</v>
      </c>
      <c r="E179" s="3" t="s">
        <v>11</v>
      </c>
      <c r="F179" s="3">
        <v>2018</v>
      </c>
      <c r="G179" s="3" t="s">
        <v>12</v>
      </c>
      <c r="H179" s="3" t="s">
        <v>13</v>
      </c>
      <c r="I179" s="3" t="s">
        <v>186</v>
      </c>
      <c r="J179" s="97" t="s">
        <v>3442</v>
      </c>
    </row>
    <row r="180" spans="1:10" ht="28.9" customHeight="1" thickTop="1" thickBot="1" x14ac:dyDescent="0.65">
      <c r="A180" s="5">
        <v>178</v>
      </c>
      <c r="B180" s="46" t="str">
        <f>HYPERLINK("https://search.naver.com/search.naver?query=공작조-현애지상 영화", "공작조-현애지상")</f>
        <v>공작조-현애지상</v>
      </c>
      <c r="C180" s="47">
        <v>6.4</v>
      </c>
      <c r="D180" s="6" t="s">
        <v>314</v>
      </c>
      <c r="E180" s="5" t="s">
        <v>136</v>
      </c>
      <c r="F180" s="5">
        <v>2021</v>
      </c>
      <c r="G180" s="5" t="s">
        <v>12</v>
      </c>
      <c r="H180" s="5" t="s">
        <v>17</v>
      </c>
      <c r="I180" s="5" t="s">
        <v>190</v>
      </c>
      <c r="J180" s="98" t="s">
        <v>3438</v>
      </c>
    </row>
    <row r="181" spans="1:10" ht="28.9" customHeight="1" thickTop="1" thickBot="1" x14ac:dyDescent="0.65">
      <c r="A181" s="3">
        <v>179</v>
      </c>
      <c r="B181" s="44" t="str">
        <f>HYPERLINK("https://search.naver.com/search.naver?query=공조 영화", "공조")</f>
        <v>공조</v>
      </c>
      <c r="C181" s="45">
        <v>8.83</v>
      </c>
      <c r="D181" s="4" t="s">
        <v>315</v>
      </c>
      <c r="E181" s="3" t="s">
        <v>11</v>
      </c>
      <c r="F181" s="3">
        <v>2016</v>
      </c>
      <c r="G181" s="3" t="s">
        <v>12</v>
      </c>
      <c r="H181" s="3" t="s">
        <v>80</v>
      </c>
      <c r="I181" s="3" t="s">
        <v>214</v>
      </c>
      <c r="J181" s="97" t="s">
        <v>3441</v>
      </c>
    </row>
    <row r="182" spans="1:10" ht="28.9" customHeight="1" thickTop="1" thickBot="1" x14ac:dyDescent="0.65">
      <c r="A182" s="5">
        <v>180</v>
      </c>
      <c r="B182" s="46" t="str">
        <f>HYPERLINK("https://search.naver.com/search.naver?query=공조2:인터내셔날 영화", "공조2-인터내셔날")</f>
        <v>공조2-인터내셔날</v>
      </c>
      <c r="C182" s="47">
        <v>8.83</v>
      </c>
      <c r="D182" s="6" t="s">
        <v>316</v>
      </c>
      <c r="E182" s="5" t="s">
        <v>11</v>
      </c>
      <c r="F182" s="5">
        <v>2022</v>
      </c>
      <c r="G182" s="5" t="s">
        <v>12</v>
      </c>
      <c r="H182" s="5" t="s">
        <v>80</v>
      </c>
      <c r="I182" s="5" t="s">
        <v>64</v>
      </c>
      <c r="J182" s="98" t="s">
        <v>3445</v>
      </c>
    </row>
    <row r="183" spans="1:10" ht="28.9" customHeight="1" thickTop="1" thickBot="1" x14ac:dyDescent="0.65">
      <c r="A183" s="3">
        <v>181</v>
      </c>
      <c r="B183" s="44" t="str">
        <f>HYPERLINK("https://search.naver.com/search.naver?query=과속스캔들 영화", "과속스캔들")</f>
        <v>과속스캔들</v>
      </c>
      <c r="C183" s="45">
        <v>9.1999999999999993</v>
      </c>
      <c r="D183" s="4" t="s">
        <v>317</v>
      </c>
      <c r="E183" s="3" t="s">
        <v>11</v>
      </c>
      <c r="F183" s="3">
        <v>2008</v>
      </c>
      <c r="G183" s="3" t="s">
        <v>12</v>
      </c>
      <c r="H183" s="3" t="s">
        <v>72</v>
      </c>
      <c r="I183" s="3" t="s">
        <v>31</v>
      </c>
      <c r="J183" s="97" t="s">
        <v>3450</v>
      </c>
    </row>
    <row r="184" spans="1:10" ht="28.9" customHeight="1" thickTop="1" thickBot="1" x14ac:dyDescent="0.65">
      <c r="A184" s="5">
        <v>182</v>
      </c>
      <c r="B184" s="46" t="str">
        <f>HYPERLINK("https://search.naver.com/search.naver?query=관능의 법칙 영화", "관능의 법칙")</f>
        <v>관능의 법칙</v>
      </c>
      <c r="C184" s="47">
        <v>7.64</v>
      </c>
      <c r="D184" s="6" t="s">
        <v>318</v>
      </c>
      <c r="E184" s="5" t="s">
        <v>11</v>
      </c>
      <c r="F184" s="5">
        <v>2013</v>
      </c>
      <c r="G184" s="5" t="s">
        <v>12</v>
      </c>
      <c r="H184" s="5" t="s">
        <v>17</v>
      </c>
      <c r="I184" s="5" t="s">
        <v>137</v>
      </c>
      <c r="J184" s="98" t="s">
        <v>3451</v>
      </c>
    </row>
    <row r="185" spans="1:10" ht="28.9" customHeight="1" thickTop="1" thickBot="1" x14ac:dyDescent="0.65">
      <c r="A185" s="3">
        <v>183</v>
      </c>
      <c r="B185" s="44" t="str">
        <f>HYPERLINK("https://search.naver.com/search.naver?query=관상 영화", "관상")</f>
        <v>관상</v>
      </c>
      <c r="C185" s="45">
        <v>8.0299999999999994</v>
      </c>
      <c r="D185" s="4" t="s">
        <v>319</v>
      </c>
      <c r="E185" s="3" t="s">
        <v>11</v>
      </c>
      <c r="F185" s="3">
        <v>2013</v>
      </c>
      <c r="G185" s="3" t="s">
        <v>12</v>
      </c>
      <c r="H185" s="3" t="s">
        <v>320</v>
      </c>
      <c r="I185" s="3" t="s">
        <v>305</v>
      </c>
      <c r="J185" s="97" t="s">
        <v>3451</v>
      </c>
    </row>
    <row r="186" spans="1:10" ht="28.9" customHeight="1" thickTop="1" thickBot="1" x14ac:dyDescent="0.65">
      <c r="A186" s="5">
        <v>184</v>
      </c>
      <c r="B186" s="46" t="str">
        <f>HYPERLINK("https://search.naver.com/search.naver?query=광대들:풍문조작단 영화", "광대들-풍문조작단")</f>
        <v>광대들-풍문조작단</v>
      </c>
      <c r="C186" s="47">
        <v>7.51</v>
      </c>
      <c r="D186" s="6" t="s">
        <v>321</v>
      </c>
      <c r="E186" s="5" t="s">
        <v>11</v>
      </c>
      <c r="F186" s="5">
        <v>2019</v>
      </c>
      <c r="G186" s="5" t="s">
        <v>12</v>
      </c>
      <c r="H186" s="5" t="s">
        <v>320</v>
      </c>
      <c r="I186" s="5" t="s">
        <v>31</v>
      </c>
      <c r="J186" s="98" t="s">
        <v>3444</v>
      </c>
    </row>
    <row r="187" spans="1:10" ht="28.9" customHeight="1" thickTop="1" thickBot="1" x14ac:dyDescent="0.65">
      <c r="A187" s="3">
        <v>185</v>
      </c>
      <c r="B187" s="44" t="str">
        <f>HYPERLINK("https://search.naver.com/search.naver?query=광식이 동생 광태 영화", "광식이 동생 광태")</f>
        <v>광식이 동생 광태</v>
      </c>
      <c r="C187" s="45">
        <v>7.83</v>
      </c>
      <c r="D187" s="4" t="s">
        <v>322</v>
      </c>
      <c r="E187" s="3" t="s">
        <v>11</v>
      </c>
      <c r="F187" s="3">
        <v>2004</v>
      </c>
      <c r="G187" s="3" t="s">
        <v>12</v>
      </c>
      <c r="H187" s="3" t="s">
        <v>17</v>
      </c>
      <c r="I187" s="3" t="s">
        <v>170</v>
      </c>
      <c r="J187" s="97" t="s">
        <v>3462</v>
      </c>
    </row>
    <row r="188" spans="1:10" ht="28.9" customHeight="1" thickTop="1" thickBot="1" x14ac:dyDescent="0.65">
      <c r="A188" s="7">
        <v>186</v>
      </c>
      <c r="B188" s="48" t="str">
        <f>HYPERLINK("https://search.naver.com/search.naver?query=광장 드라마", "광장")</f>
        <v>광장</v>
      </c>
      <c r="C188" s="49"/>
      <c r="D188" s="8" t="s">
        <v>323</v>
      </c>
      <c r="E188" s="7" t="s">
        <v>11</v>
      </c>
      <c r="F188" s="7">
        <v>2025</v>
      </c>
      <c r="G188" s="7" t="s">
        <v>17</v>
      </c>
      <c r="H188" s="7" t="s">
        <v>17</v>
      </c>
      <c r="I188" s="7" t="s">
        <v>324</v>
      </c>
      <c r="J188" s="99" t="s">
        <v>3459</v>
      </c>
    </row>
    <row r="189" spans="1:10" ht="28.9" customHeight="1" thickTop="1" thickBot="1" x14ac:dyDescent="0.65">
      <c r="A189" s="3">
        <v>187</v>
      </c>
      <c r="B189" s="44" t="str">
        <f>HYPERLINK("https://search.naver.com/search.naver?query=광해, 왕이 된 남자 영화", "광해, 왕이 된 남자")</f>
        <v>광해, 왕이 된 남자</v>
      </c>
      <c r="C189" s="45">
        <v>9.26</v>
      </c>
      <c r="D189" s="4" t="s">
        <v>325</v>
      </c>
      <c r="E189" s="3" t="s">
        <v>11</v>
      </c>
      <c r="F189" s="3">
        <v>2012</v>
      </c>
      <c r="G189" s="3" t="s">
        <v>12</v>
      </c>
      <c r="H189" s="3" t="s">
        <v>320</v>
      </c>
      <c r="I189" s="3" t="s">
        <v>280</v>
      </c>
      <c r="J189" s="97" t="s">
        <v>3439</v>
      </c>
    </row>
    <row r="190" spans="1:10" ht="28.9" customHeight="1" thickTop="1" thickBot="1" x14ac:dyDescent="0.65">
      <c r="A190" s="5">
        <v>188</v>
      </c>
      <c r="B190" s="46" t="str">
        <f>HYPERLINK("https://search.naver.com/search.naver?query=괜찮아요, 미스터 브래드 영화", "괜찮아요, 미스터 브래드")</f>
        <v>괜찮아요, 미스터 브래드</v>
      </c>
      <c r="C190" s="47">
        <v>8.32</v>
      </c>
      <c r="D190" s="6" t="s">
        <v>326</v>
      </c>
      <c r="E190" s="5" t="s">
        <v>20</v>
      </c>
      <c r="F190" s="5">
        <v>2017</v>
      </c>
      <c r="G190" s="5" t="s">
        <v>12</v>
      </c>
      <c r="H190" s="5" t="s">
        <v>130</v>
      </c>
      <c r="I190" s="5" t="s">
        <v>99</v>
      </c>
      <c r="J190" s="98" t="s">
        <v>3443</v>
      </c>
    </row>
    <row r="191" spans="1:10" ht="28.9" customHeight="1" thickTop="1" thickBot="1" x14ac:dyDescent="0.65">
      <c r="A191" s="3">
        <v>189</v>
      </c>
      <c r="B191" s="44" t="str">
        <f>HYPERLINK("https://search.naver.com/search.naver?query=괴물 영화", "괴물")</f>
        <v>괴물</v>
      </c>
      <c r="C191" s="45">
        <v>8.6300000000000008</v>
      </c>
      <c r="D191" s="4" t="s">
        <v>327</v>
      </c>
      <c r="E191" s="3" t="s">
        <v>11</v>
      </c>
      <c r="F191" s="3">
        <v>2006</v>
      </c>
      <c r="G191" s="3" t="s">
        <v>12</v>
      </c>
      <c r="H191" s="3" t="s">
        <v>328</v>
      </c>
      <c r="I191" s="3" t="s">
        <v>53</v>
      </c>
      <c r="J191" s="97" t="s">
        <v>3460</v>
      </c>
    </row>
    <row r="192" spans="1:10" ht="28.9" customHeight="1" thickTop="1" thickBot="1" x14ac:dyDescent="0.65">
      <c r="A192" s="5">
        <v>190</v>
      </c>
      <c r="B192" s="46" t="str">
        <f>HYPERLINK("https://search.naver.com/search.naver?query=괴물2023", "괴물")</f>
        <v>괴물</v>
      </c>
      <c r="C192" s="47">
        <v>8.99</v>
      </c>
      <c r="D192" s="6" t="s">
        <v>329</v>
      </c>
      <c r="E192" s="5" t="s">
        <v>16</v>
      </c>
      <c r="F192" s="5">
        <v>2023</v>
      </c>
      <c r="G192" s="5" t="s">
        <v>12</v>
      </c>
      <c r="H192" s="5" t="s">
        <v>17</v>
      </c>
      <c r="I192" s="5" t="s">
        <v>78</v>
      </c>
      <c r="J192" s="98" t="s">
        <v>3446</v>
      </c>
    </row>
    <row r="193" spans="1:10" ht="28.9" customHeight="1" thickTop="1" thickBot="1" x14ac:dyDescent="0.65">
      <c r="A193" s="3">
        <v>191</v>
      </c>
      <c r="B193" s="44" t="str">
        <f>HYPERLINK("https://search.naver.com/search.naver?query=교섭 영화", "교섭")</f>
        <v>교섭</v>
      </c>
      <c r="C193" s="45">
        <v>6.17</v>
      </c>
      <c r="D193" s="4" t="s">
        <v>330</v>
      </c>
      <c r="E193" s="3" t="s">
        <v>11</v>
      </c>
      <c r="F193" s="3">
        <v>2023</v>
      </c>
      <c r="G193" s="3" t="s">
        <v>12</v>
      </c>
      <c r="H193" s="3" t="s">
        <v>17</v>
      </c>
      <c r="I193" s="3" t="s">
        <v>31</v>
      </c>
      <c r="J193" s="97" t="s">
        <v>3446</v>
      </c>
    </row>
    <row r="194" spans="1:10" ht="28.9" customHeight="1" thickTop="1" thickBot="1" x14ac:dyDescent="0.65">
      <c r="A194" s="5">
        <v>192</v>
      </c>
      <c r="B194" s="46" t="str">
        <f>HYPERLINK("https://search.naver.com/search.naver?query=교장", "교장")</f>
        <v>교장</v>
      </c>
      <c r="C194" s="47">
        <v>4.91</v>
      </c>
      <c r="D194" s="6" t="s">
        <v>331</v>
      </c>
      <c r="E194" s="5" t="s">
        <v>16</v>
      </c>
      <c r="F194" s="5">
        <v>2019</v>
      </c>
      <c r="G194" s="5" t="s">
        <v>12</v>
      </c>
      <c r="H194" s="5" t="s">
        <v>17</v>
      </c>
      <c r="I194" s="5" t="s">
        <v>131</v>
      </c>
      <c r="J194" s="98" t="s">
        <v>3444</v>
      </c>
    </row>
    <row r="195" spans="1:10" ht="28.9" customHeight="1" thickTop="1" thickBot="1" x14ac:dyDescent="0.65">
      <c r="A195" s="3">
        <v>193</v>
      </c>
      <c r="B195" s="44" t="str">
        <f>HYPERLINK("https://search.naver.com/search.naver?query=구르믈 버서난 달처럼 영화", "구르믈 버서난 달처럼")</f>
        <v>구르믈 버서난 달처럼</v>
      </c>
      <c r="C195" s="45">
        <v>6.84</v>
      </c>
      <c r="D195" s="4" t="s">
        <v>332</v>
      </c>
      <c r="E195" s="3" t="s">
        <v>11</v>
      </c>
      <c r="F195" s="3">
        <v>2010</v>
      </c>
      <c r="G195" s="3" t="s">
        <v>12</v>
      </c>
      <c r="H195" s="3" t="s">
        <v>333</v>
      </c>
      <c r="I195" s="3" t="s">
        <v>96</v>
      </c>
      <c r="J195" s="97" t="s">
        <v>3455</v>
      </c>
    </row>
    <row r="196" spans="1:10" ht="28.9" customHeight="1" thickTop="1" thickBot="1" x14ac:dyDescent="0.65">
      <c r="A196" s="5">
        <v>194</v>
      </c>
      <c r="B196" s="46" t="str">
        <f>HYPERLINK("https://search.naver.com/search.naver?query=구스범스 영화", "구스범스")</f>
        <v>구스범스</v>
      </c>
      <c r="C196" s="47">
        <v>8.61</v>
      </c>
      <c r="D196" s="6" t="s">
        <v>334</v>
      </c>
      <c r="E196" s="5" t="s">
        <v>20</v>
      </c>
      <c r="F196" s="5">
        <v>2015</v>
      </c>
      <c r="G196" s="5" t="s">
        <v>12</v>
      </c>
      <c r="H196" s="5" t="s">
        <v>66</v>
      </c>
      <c r="I196" s="5" t="s">
        <v>190</v>
      </c>
      <c r="J196" s="98" t="s">
        <v>3440</v>
      </c>
    </row>
    <row r="197" spans="1:10" ht="28.9" customHeight="1" thickTop="1" thickBot="1" x14ac:dyDescent="0.65">
      <c r="A197" s="3">
        <v>195</v>
      </c>
      <c r="B197" s="44" t="str">
        <f>HYPERLINK("https://search.naver.com/search.naver?query=구조견 루비 영화", "구조견 루비")</f>
        <v>구조견 루비</v>
      </c>
      <c r="C197" s="45">
        <v>9.18</v>
      </c>
      <c r="D197" s="4" t="s">
        <v>335</v>
      </c>
      <c r="E197" s="3" t="s">
        <v>20</v>
      </c>
      <c r="F197" s="3">
        <v>2022</v>
      </c>
      <c r="G197" s="3" t="s">
        <v>12</v>
      </c>
      <c r="H197" s="3" t="s">
        <v>17</v>
      </c>
      <c r="I197" s="3" t="s">
        <v>93</v>
      </c>
      <c r="J197" s="97" t="s">
        <v>3445</v>
      </c>
    </row>
    <row r="198" spans="1:10" ht="28.9" customHeight="1" thickTop="1" thickBot="1" x14ac:dyDescent="0.65">
      <c r="A198" s="5">
        <v>196</v>
      </c>
      <c r="B198" s="46" t="str">
        <f>HYPERLINK("https://search.naver.com/search.naver?query=국가대표1", "국가대표1")</f>
        <v>국가대표1</v>
      </c>
      <c r="C198" s="47">
        <v>9.14</v>
      </c>
      <c r="D198" s="6" t="s">
        <v>336</v>
      </c>
      <c r="E198" s="5" t="s">
        <v>11</v>
      </c>
      <c r="F198" s="5">
        <v>2009</v>
      </c>
      <c r="G198" s="5" t="s">
        <v>12</v>
      </c>
      <c r="H198" s="5" t="s">
        <v>337</v>
      </c>
      <c r="I198" s="5" t="s">
        <v>186</v>
      </c>
      <c r="J198" s="98" t="s">
        <v>3453</v>
      </c>
    </row>
    <row r="199" spans="1:10" ht="28.9" customHeight="1" thickTop="1" thickBot="1" x14ac:dyDescent="0.65">
      <c r="A199" s="3">
        <v>197</v>
      </c>
      <c r="B199" s="44" t="str">
        <f>HYPERLINK("https://search.naver.com/search.naver?query=국가대표2", "국가대표2")</f>
        <v>국가대표2</v>
      </c>
      <c r="C199" s="45">
        <v>8.7899999999999991</v>
      </c>
      <c r="D199" s="4" t="s">
        <v>338</v>
      </c>
      <c r="E199" s="3" t="s">
        <v>11</v>
      </c>
      <c r="F199" s="3">
        <v>2016</v>
      </c>
      <c r="G199" s="3" t="s">
        <v>12</v>
      </c>
      <c r="H199" s="3" t="s">
        <v>337</v>
      </c>
      <c r="I199" s="3" t="s">
        <v>108</v>
      </c>
      <c r="J199" s="97" t="s">
        <v>3441</v>
      </c>
    </row>
    <row r="200" spans="1:10" ht="28.9" customHeight="1" thickTop="1" thickBot="1" x14ac:dyDescent="0.65">
      <c r="A200" s="5">
        <v>198</v>
      </c>
      <c r="B200" s="46" t="str">
        <f>HYPERLINK("https://search.naver.com/search.naver?query=국가부도의 날 영화", "국가부도의 날")</f>
        <v>국가부도의 날</v>
      </c>
      <c r="C200" s="47">
        <v>8.7100000000000009</v>
      </c>
      <c r="D200" s="6" t="s">
        <v>339</v>
      </c>
      <c r="E200" s="5" t="s">
        <v>11</v>
      </c>
      <c r="F200" s="5">
        <v>2018</v>
      </c>
      <c r="G200" s="5" t="s">
        <v>12</v>
      </c>
      <c r="H200" s="5" t="s">
        <v>17</v>
      </c>
      <c r="I200" s="5" t="s">
        <v>207</v>
      </c>
      <c r="J200" s="98" t="s">
        <v>3442</v>
      </c>
    </row>
    <row r="201" spans="1:10" ht="28.9" customHeight="1" thickTop="1" thickBot="1" x14ac:dyDescent="0.65">
      <c r="A201" s="3">
        <v>199</v>
      </c>
      <c r="B201" s="44" t="str">
        <f>HYPERLINK("https://search.naver.com/search.naver?query=국가의 탄생 영화", "국가의 탄생")</f>
        <v>국가의 탄생</v>
      </c>
      <c r="C201" s="45">
        <v>6.4</v>
      </c>
      <c r="D201" s="4" t="s">
        <v>340</v>
      </c>
      <c r="E201" s="3" t="s">
        <v>20</v>
      </c>
      <c r="F201" s="3">
        <v>2016</v>
      </c>
      <c r="G201" s="3" t="s">
        <v>12</v>
      </c>
      <c r="H201" s="3" t="s">
        <v>17</v>
      </c>
      <c r="I201" s="3" t="s">
        <v>86</v>
      </c>
      <c r="J201" s="97" t="s">
        <v>3441</v>
      </c>
    </row>
    <row r="202" spans="1:10" ht="28.9" customHeight="1" thickTop="1" thickBot="1" x14ac:dyDescent="0.65">
      <c r="A202" s="5">
        <v>200</v>
      </c>
      <c r="B202" s="46" t="str">
        <f>HYPERLINK("https://search.naver.com/search.naver?query=국경의 남쪽 영화", "국경의 남쪽")</f>
        <v>국경의 남쪽</v>
      </c>
      <c r="C202" s="47">
        <v>8.49</v>
      </c>
      <c r="D202" s="6" t="s">
        <v>341</v>
      </c>
      <c r="E202" s="5" t="s">
        <v>11</v>
      </c>
      <c r="F202" s="5">
        <v>2006</v>
      </c>
      <c r="G202" s="5" t="s">
        <v>12</v>
      </c>
      <c r="H202" s="5" t="s">
        <v>17</v>
      </c>
      <c r="I202" s="5" t="s">
        <v>96</v>
      </c>
      <c r="J202" s="98" t="s">
        <v>3460</v>
      </c>
    </row>
    <row r="203" spans="1:10" ht="28.9" customHeight="1" thickTop="1" thickBot="1" x14ac:dyDescent="0.65">
      <c r="A203" s="3">
        <v>201</v>
      </c>
      <c r="B203" s="44" t="str">
        <f>HYPERLINK("https://search.naver.com/search.naver?query=국제수사 영화", "국제수사")</f>
        <v>국제수사</v>
      </c>
      <c r="C203" s="45">
        <v>7.25</v>
      </c>
      <c r="D203" s="4" t="s">
        <v>342</v>
      </c>
      <c r="E203" s="3" t="s">
        <v>11</v>
      </c>
      <c r="F203" s="3">
        <v>2020</v>
      </c>
      <c r="G203" s="3" t="s">
        <v>12</v>
      </c>
      <c r="H203" s="3" t="s">
        <v>250</v>
      </c>
      <c r="I203" s="3" t="s">
        <v>286</v>
      </c>
      <c r="J203" s="97" t="s">
        <v>3436</v>
      </c>
    </row>
    <row r="204" spans="1:10" ht="28.9" customHeight="1" thickTop="1" thickBot="1" x14ac:dyDescent="0.65">
      <c r="A204" s="5">
        <v>202</v>
      </c>
      <c r="B204" s="46" t="str">
        <f>HYPERLINK("https://search.naver.com/search.naver?query=국제시장 영화", "국제시장")</f>
        <v>국제시장</v>
      </c>
      <c r="C204" s="47">
        <v>9.16</v>
      </c>
      <c r="D204" s="6" t="s">
        <v>343</v>
      </c>
      <c r="E204" s="5" t="s">
        <v>11</v>
      </c>
      <c r="F204" s="5">
        <v>2014</v>
      </c>
      <c r="G204" s="5" t="s">
        <v>12</v>
      </c>
      <c r="H204" s="5" t="s">
        <v>17</v>
      </c>
      <c r="I204" s="5" t="s">
        <v>78</v>
      </c>
      <c r="J204" s="98" t="s">
        <v>3437</v>
      </c>
    </row>
    <row r="205" spans="1:10" ht="28.9" customHeight="1" thickTop="1" thickBot="1" x14ac:dyDescent="0.65">
      <c r="A205" s="3">
        <v>203</v>
      </c>
      <c r="B205" s="44" t="str">
        <f>HYPERLINK("https://search.naver.com/search.naver?query=군도:민란의 시대 영화", "군도-민란의 시대")</f>
        <v>군도-민란의 시대</v>
      </c>
      <c r="C205" s="45">
        <v>7.34</v>
      </c>
      <c r="D205" s="4" t="s">
        <v>344</v>
      </c>
      <c r="E205" s="3" t="s">
        <v>11</v>
      </c>
      <c r="F205" s="3">
        <v>2014</v>
      </c>
      <c r="G205" s="3" t="s">
        <v>12</v>
      </c>
      <c r="H205" s="3" t="s">
        <v>259</v>
      </c>
      <c r="I205" s="3" t="s">
        <v>186</v>
      </c>
      <c r="J205" s="97" t="s">
        <v>3437</v>
      </c>
    </row>
    <row r="206" spans="1:10" ht="28.9" customHeight="1" thickTop="1" thickBot="1" x14ac:dyDescent="0.65">
      <c r="A206" s="7">
        <v>204</v>
      </c>
      <c r="B206" s="48" t="str">
        <f>HYPERLINK("https://search.naver.com/search.naver?query=군사 칸베에 드라마", "군사 칸베에")</f>
        <v>군사 칸베에</v>
      </c>
      <c r="C206" s="49"/>
      <c r="D206" s="8" t="s">
        <v>345</v>
      </c>
      <c r="E206" s="7" t="s">
        <v>16</v>
      </c>
      <c r="F206" s="7">
        <v>2014</v>
      </c>
      <c r="G206" s="7" t="s">
        <v>17</v>
      </c>
      <c r="H206" s="7" t="s">
        <v>346</v>
      </c>
      <c r="I206" s="7" t="s">
        <v>347</v>
      </c>
      <c r="J206" s="99" t="s">
        <v>3437</v>
      </c>
    </row>
    <row r="207" spans="1:10" ht="28.9" customHeight="1" thickTop="1" thickBot="1" x14ac:dyDescent="0.65">
      <c r="A207" s="3">
        <v>205</v>
      </c>
      <c r="B207" s="44" t="str">
        <f>HYPERLINK("https://search.naver.com/search.naver?query=군산 거위를 노래하다 영화", "군산 거위를 노래하다")</f>
        <v>군산 거위를 노래하다</v>
      </c>
      <c r="C207" s="45">
        <v>8.0299999999999994</v>
      </c>
      <c r="D207" s="4" t="s">
        <v>348</v>
      </c>
      <c r="E207" s="3" t="s">
        <v>11</v>
      </c>
      <c r="F207" s="3">
        <v>2018</v>
      </c>
      <c r="G207" s="3" t="s">
        <v>12</v>
      </c>
      <c r="H207" s="3" t="s">
        <v>17</v>
      </c>
      <c r="I207" s="3" t="s">
        <v>142</v>
      </c>
      <c r="J207" s="97" t="s">
        <v>3442</v>
      </c>
    </row>
    <row r="208" spans="1:10" ht="28.9" customHeight="1" thickTop="1" thickBot="1" x14ac:dyDescent="0.65">
      <c r="A208" s="5">
        <v>206</v>
      </c>
      <c r="B208" s="46" t="str">
        <f>HYPERLINK("https://search.naver.com/search.naver?query=군함도 영화", "군함도")</f>
        <v>군함도</v>
      </c>
      <c r="C208" s="47">
        <v>7.36</v>
      </c>
      <c r="D208" s="6" t="s">
        <v>349</v>
      </c>
      <c r="E208" s="5" t="s">
        <v>11</v>
      </c>
      <c r="F208" s="5">
        <v>2017</v>
      </c>
      <c r="G208" s="5" t="s">
        <v>12</v>
      </c>
      <c r="H208" s="5" t="s">
        <v>259</v>
      </c>
      <c r="I208" s="5" t="s">
        <v>350</v>
      </c>
      <c r="J208" s="98" t="s">
        <v>3443</v>
      </c>
    </row>
    <row r="209" spans="1:10" ht="28.9" customHeight="1" thickTop="1" thickBot="1" x14ac:dyDescent="0.65">
      <c r="A209" s="3">
        <v>207</v>
      </c>
      <c r="B209" s="44" t="str">
        <f>HYPERLINK("https://search.naver.com/search.naver?query=굿 라이어 영화", "굿 라이어")</f>
        <v>굿 라이어</v>
      </c>
      <c r="C209" s="45">
        <v>8.8000000000000007</v>
      </c>
      <c r="D209" s="4" t="s">
        <v>351</v>
      </c>
      <c r="E209" s="3" t="s">
        <v>20</v>
      </c>
      <c r="F209" s="3">
        <v>2019</v>
      </c>
      <c r="G209" s="3" t="s">
        <v>12</v>
      </c>
      <c r="H209" s="3" t="s">
        <v>85</v>
      </c>
      <c r="I209" s="3" t="s">
        <v>137</v>
      </c>
      <c r="J209" s="97" t="s">
        <v>3444</v>
      </c>
    </row>
    <row r="210" spans="1:10" ht="28.9" customHeight="1" thickTop="1" thickBot="1" x14ac:dyDescent="0.65">
      <c r="A210" s="5">
        <v>208</v>
      </c>
      <c r="B210" s="46" t="str">
        <f>HYPERLINK("https://search.naver.com/search.naver?query=굿 바이 영화", "굿 바이")</f>
        <v>굿 바이</v>
      </c>
      <c r="C210" s="47">
        <v>9.2899999999999991</v>
      </c>
      <c r="D210" s="6" t="s">
        <v>352</v>
      </c>
      <c r="E210" s="5" t="s">
        <v>16</v>
      </c>
      <c r="F210" s="5">
        <v>2008</v>
      </c>
      <c r="G210" s="5" t="s">
        <v>12</v>
      </c>
      <c r="H210" s="5" t="s">
        <v>17</v>
      </c>
      <c r="I210" s="5" t="s">
        <v>34</v>
      </c>
      <c r="J210" s="98" t="s">
        <v>3450</v>
      </c>
    </row>
    <row r="211" spans="1:10" ht="28.9" customHeight="1" thickTop="1" thickBot="1" x14ac:dyDescent="0.65">
      <c r="A211" s="7">
        <v>209</v>
      </c>
      <c r="B211" s="48" t="str">
        <f>HYPERLINK("https://search.naver.com/search.naver?query=굿 와이프 시즌1", "굿 와이프 시즌1")</f>
        <v>굿 와이프 시즌1</v>
      </c>
      <c r="C211" s="49"/>
      <c r="D211" s="8" t="s">
        <v>353</v>
      </c>
      <c r="E211" s="7" t="s">
        <v>20</v>
      </c>
      <c r="F211" s="7">
        <v>2009</v>
      </c>
      <c r="G211" s="7" t="s">
        <v>17</v>
      </c>
      <c r="H211" s="7" t="s">
        <v>354</v>
      </c>
      <c r="I211" s="7" t="s">
        <v>355</v>
      </c>
      <c r="J211" s="99" t="s">
        <v>3453</v>
      </c>
    </row>
    <row r="212" spans="1:10" ht="28.9" customHeight="1" thickTop="1" thickBot="1" x14ac:dyDescent="0.65">
      <c r="A212" s="7">
        <v>210</v>
      </c>
      <c r="B212" s="48" t="str">
        <f>HYPERLINK("https://search.naver.com/search.naver?query=굿 와이프 시즌2", "굿 와이프 시즌2")</f>
        <v>굿 와이프 시즌2</v>
      </c>
      <c r="C212" s="49"/>
      <c r="D212" s="8" t="s">
        <v>353</v>
      </c>
      <c r="E212" s="7" t="s">
        <v>20</v>
      </c>
      <c r="F212" s="7">
        <v>2010</v>
      </c>
      <c r="G212" s="7" t="s">
        <v>17</v>
      </c>
      <c r="H212" s="7" t="s">
        <v>354</v>
      </c>
      <c r="I212" s="7" t="s">
        <v>355</v>
      </c>
      <c r="J212" s="99" t="s">
        <v>3455</v>
      </c>
    </row>
    <row r="213" spans="1:10" ht="28.9" customHeight="1" thickTop="1" thickBot="1" x14ac:dyDescent="0.65">
      <c r="A213" s="7">
        <v>211</v>
      </c>
      <c r="B213" s="48" t="str">
        <f>HYPERLINK("https://search.naver.com/search.naver?query=굿 와이프 시즌3", "굿 와이프 시즌3")</f>
        <v>굿 와이프 시즌3</v>
      </c>
      <c r="C213" s="49"/>
      <c r="D213" s="8" t="s">
        <v>353</v>
      </c>
      <c r="E213" s="7" t="s">
        <v>20</v>
      </c>
      <c r="F213" s="7">
        <v>2011</v>
      </c>
      <c r="G213" s="7" t="s">
        <v>17</v>
      </c>
      <c r="H213" s="7" t="s">
        <v>354</v>
      </c>
      <c r="I213" s="7" t="s">
        <v>356</v>
      </c>
      <c r="J213" s="99" t="s">
        <v>3454</v>
      </c>
    </row>
    <row r="214" spans="1:10" ht="28.9" customHeight="1" thickTop="1" thickBot="1" x14ac:dyDescent="0.65">
      <c r="A214" s="7">
        <v>212</v>
      </c>
      <c r="B214" s="48" t="str">
        <f>HYPERLINK("https://search.naver.com/search.naver?query=굿 와이프 시즌4", "굿 와이프 시즌4")</f>
        <v>굿 와이프 시즌4</v>
      </c>
      <c r="C214" s="49"/>
      <c r="D214" s="8" t="s">
        <v>353</v>
      </c>
      <c r="E214" s="7" t="s">
        <v>20</v>
      </c>
      <c r="F214" s="7">
        <v>2012</v>
      </c>
      <c r="G214" s="7" t="s">
        <v>17</v>
      </c>
      <c r="H214" s="7" t="s">
        <v>354</v>
      </c>
      <c r="I214" s="7" t="s">
        <v>356</v>
      </c>
      <c r="J214" s="99" t="s">
        <v>3439</v>
      </c>
    </row>
    <row r="215" spans="1:10" ht="28.9" customHeight="1" thickTop="1" thickBot="1" x14ac:dyDescent="0.65">
      <c r="A215" s="7">
        <v>213</v>
      </c>
      <c r="B215" s="48" t="str">
        <f>HYPERLINK("https://search.naver.com/search.naver?query=굿 와이프 시즌5", "굿 와이프 시즌5")</f>
        <v>굿 와이프 시즌5</v>
      </c>
      <c r="C215" s="49"/>
      <c r="D215" s="8" t="s">
        <v>353</v>
      </c>
      <c r="E215" s="7" t="s">
        <v>20</v>
      </c>
      <c r="F215" s="7">
        <v>2013</v>
      </c>
      <c r="G215" s="7" t="s">
        <v>17</v>
      </c>
      <c r="H215" s="7" t="s">
        <v>354</v>
      </c>
      <c r="I215" s="7" t="s">
        <v>356</v>
      </c>
      <c r="J215" s="99" t="s">
        <v>3451</v>
      </c>
    </row>
    <row r="216" spans="1:10" ht="28.9" customHeight="1" thickTop="1" thickBot="1" x14ac:dyDescent="0.65">
      <c r="A216" s="7">
        <v>214</v>
      </c>
      <c r="B216" s="48" t="str">
        <f>HYPERLINK("https://search.naver.com/search.naver?query=굿 와이프 시즌6", "굿 와이프 시즌6")</f>
        <v>굿 와이프 시즌6</v>
      </c>
      <c r="C216" s="49"/>
      <c r="D216" s="8" t="s">
        <v>353</v>
      </c>
      <c r="E216" s="7" t="s">
        <v>20</v>
      </c>
      <c r="F216" s="7">
        <v>2014</v>
      </c>
      <c r="G216" s="7" t="s">
        <v>17</v>
      </c>
      <c r="H216" s="7" t="s">
        <v>354</v>
      </c>
      <c r="I216" s="7" t="s">
        <v>356</v>
      </c>
      <c r="J216" s="99" t="s">
        <v>3437</v>
      </c>
    </row>
    <row r="217" spans="1:10" ht="28.9" customHeight="1" thickTop="1" thickBot="1" x14ac:dyDescent="0.65">
      <c r="A217" s="7">
        <v>215</v>
      </c>
      <c r="B217" s="48" t="str">
        <f>HYPERLINK("https://search.naver.com/search.naver?query=굿 와이프 시즌7", "굿 와이프 시즌7")</f>
        <v>굿 와이프 시즌7</v>
      </c>
      <c r="C217" s="49"/>
      <c r="D217" s="8" t="s">
        <v>353</v>
      </c>
      <c r="E217" s="7" t="s">
        <v>20</v>
      </c>
      <c r="F217" s="7">
        <v>2015</v>
      </c>
      <c r="G217" s="7" t="s">
        <v>17</v>
      </c>
      <c r="H217" s="7" t="s">
        <v>354</v>
      </c>
      <c r="I217" s="7" t="s">
        <v>356</v>
      </c>
      <c r="J217" s="99" t="s">
        <v>3440</v>
      </c>
    </row>
    <row r="218" spans="1:10" ht="28.9" customHeight="1" thickTop="1" thickBot="1" x14ac:dyDescent="0.65">
      <c r="A218" s="5">
        <v>216</v>
      </c>
      <c r="B218" s="46" t="str">
        <f>HYPERLINK("https://search.naver.com/search.naver?query=굿 우먼 영화", "굿 우먼")</f>
        <v>굿 우먼</v>
      </c>
      <c r="C218" s="47">
        <v>8.48</v>
      </c>
      <c r="D218" s="6" t="s">
        <v>357</v>
      </c>
      <c r="E218" s="5" t="s">
        <v>20</v>
      </c>
      <c r="F218" s="5">
        <v>2004</v>
      </c>
      <c r="G218" s="5" t="s">
        <v>12</v>
      </c>
      <c r="H218" s="5" t="s">
        <v>17</v>
      </c>
      <c r="I218" s="5" t="s">
        <v>93</v>
      </c>
      <c r="J218" s="98" t="s">
        <v>3462</v>
      </c>
    </row>
    <row r="219" spans="1:10" ht="28.9" customHeight="1" thickTop="1" thickBot="1" x14ac:dyDescent="0.65">
      <c r="A219" s="3">
        <v>217</v>
      </c>
      <c r="B219" s="44" t="str">
        <f>HYPERLINK("https://search.naver.com/search.naver?query=굿뉴스 영화", "굿뉴스")</f>
        <v>굿뉴스</v>
      </c>
      <c r="C219" s="45">
        <v>8.0500000000000007</v>
      </c>
      <c r="D219" s="4" t="s">
        <v>358</v>
      </c>
      <c r="E219" s="3" t="s">
        <v>11</v>
      </c>
      <c r="F219" s="3">
        <v>2025</v>
      </c>
      <c r="G219" s="3" t="s">
        <v>12</v>
      </c>
      <c r="H219" s="3" t="s">
        <v>17</v>
      </c>
      <c r="I219" s="3" t="s">
        <v>359</v>
      </c>
      <c r="J219" s="97" t="s">
        <v>3459</v>
      </c>
    </row>
    <row r="220" spans="1:10" ht="28.9" customHeight="1" thickTop="1" thickBot="1" x14ac:dyDescent="0.65">
      <c r="A220" s="5">
        <v>218</v>
      </c>
      <c r="B220" s="46" t="str">
        <f>HYPERLINK("https://search.naver.com/search.naver?query=굿모닝 맨하탄 영화", "굿모닝 맨하탄")</f>
        <v>굿모닝 맨하탄</v>
      </c>
      <c r="C220" s="47">
        <v>9</v>
      </c>
      <c r="D220" s="6" t="s">
        <v>360</v>
      </c>
      <c r="E220" s="5" t="s">
        <v>361</v>
      </c>
      <c r="F220" s="5">
        <v>2014</v>
      </c>
      <c r="G220" s="5" t="s">
        <v>12</v>
      </c>
      <c r="H220" s="5" t="s">
        <v>17</v>
      </c>
      <c r="I220" s="5" t="s">
        <v>83</v>
      </c>
      <c r="J220" s="98" t="s">
        <v>3437</v>
      </c>
    </row>
    <row r="221" spans="1:10" ht="28.9" customHeight="1" thickTop="1" thickBot="1" x14ac:dyDescent="0.65">
      <c r="A221" s="3">
        <v>219</v>
      </c>
      <c r="B221" s="44" t="str">
        <f>HYPERLINK("https://search.naver.com/search.naver?query=굿바이 그레이스 영화", "굿바이 그레이스")</f>
        <v>굿바이 그레이스</v>
      </c>
      <c r="C221" s="45">
        <v>8.35</v>
      </c>
      <c r="D221" s="4" t="s">
        <v>362</v>
      </c>
      <c r="E221" s="3" t="s">
        <v>20</v>
      </c>
      <c r="F221" s="3">
        <v>2007</v>
      </c>
      <c r="G221" s="3" t="s">
        <v>12</v>
      </c>
      <c r="H221" s="3" t="s">
        <v>17</v>
      </c>
      <c r="I221" s="3" t="s">
        <v>37</v>
      </c>
      <c r="J221" s="97" t="s">
        <v>3447</v>
      </c>
    </row>
    <row r="222" spans="1:10" ht="28.9" customHeight="1" thickTop="1" thickBot="1" x14ac:dyDescent="0.65">
      <c r="A222" s="5">
        <v>220</v>
      </c>
      <c r="B222" s="46" t="str">
        <f>HYPERLINK("https://search.naver.com/search.naver?query=굿바이 마이 프랜드 영화", "굿바이 마이 프랜드")</f>
        <v>굿바이 마이 프랜드</v>
      </c>
      <c r="C222" s="47">
        <v>9.3699999999999992</v>
      </c>
      <c r="D222" s="6" t="s">
        <v>363</v>
      </c>
      <c r="E222" s="5" t="s">
        <v>20</v>
      </c>
      <c r="F222" s="5">
        <v>1996</v>
      </c>
      <c r="G222" s="5" t="s">
        <v>12</v>
      </c>
      <c r="H222" s="5" t="s">
        <v>17</v>
      </c>
      <c r="I222" s="5" t="s">
        <v>124</v>
      </c>
      <c r="J222" s="98" t="s">
        <v>3463</v>
      </c>
    </row>
    <row r="223" spans="1:10" ht="28.9" customHeight="1" thickTop="1" thickBot="1" x14ac:dyDescent="0.65">
      <c r="A223" s="3">
        <v>221</v>
      </c>
      <c r="B223" s="44" t="str">
        <f>HYPERLINK("https://search.naver.com/search.naver?query=굿바이 싱글 영화", "굿바이 싱글")</f>
        <v>굿바이 싱글</v>
      </c>
      <c r="C223" s="45">
        <v>8.43</v>
      </c>
      <c r="D223" s="4" t="s">
        <v>364</v>
      </c>
      <c r="E223" s="3" t="s">
        <v>11</v>
      </c>
      <c r="F223" s="3">
        <v>2016</v>
      </c>
      <c r="G223" s="3" t="s">
        <v>12</v>
      </c>
      <c r="H223" s="3" t="s">
        <v>68</v>
      </c>
      <c r="I223" s="3" t="s">
        <v>53</v>
      </c>
      <c r="J223" s="97" t="s">
        <v>3441</v>
      </c>
    </row>
    <row r="224" spans="1:10" ht="28.9" customHeight="1" thickTop="1" thickBot="1" x14ac:dyDescent="0.65">
      <c r="A224" s="5">
        <v>222</v>
      </c>
      <c r="B224" s="46" t="str">
        <f>HYPERLINK("https://search.naver.com/search.naver?query=굿바이 크리스토퍼 로빈 영화", "굿바이 크리스토퍼 로빈")</f>
        <v>굿바이 크리스토퍼 로빈</v>
      </c>
      <c r="C224" s="47">
        <v>9.2899999999999991</v>
      </c>
      <c r="D224" s="6" t="s">
        <v>307</v>
      </c>
      <c r="E224" s="5" t="s">
        <v>24</v>
      </c>
      <c r="F224" s="5">
        <v>2017</v>
      </c>
      <c r="G224" s="5" t="s">
        <v>12</v>
      </c>
      <c r="H224" s="5" t="s">
        <v>17</v>
      </c>
      <c r="I224" s="5" t="s">
        <v>75</v>
      </c>
      <c r="J224" s="98" t="s">
        <v>3443</v>
      </c>
    </row>
    <row r="225" spans="1:10" ht="28.9" customHeight="1" thickTop="1" thickBot="1" x14ac:dyDescent="0.65">
      <c r="A225" s="3">
        <v>223</v>
      </c>
      <c r="B225" s="44" t="str">
        <f>HYPERLINK("https://search.naver.com/search.naver?query=굿바이, 준 영화", "굿바이, 준")</f>
        <v>굿바이, 준</v>
      </c>
      <c r="C225" s="45">
        <v>8.75</v>
      </c>
      <c r="D225" s="4" t="s">
        <v>365</v>
      </c>
      <c r="E225" s="3" t="s">
        <v>24</v>
      </c>
      <c r="F225" s="3">
        <v>2025</v>
      </c>
      <c r="G225" s="3" t="s">
        <v>12</v>
      </c>
      <c r="H225" s="3" t="s">
        <v>17</v>
      </c>
      <c r="I225" s="3" t="s">
        <v>366</v>
      </c>
      <c r="J225" s="97" t="s">
        <v>3459</v>
      </c>
    </row>
    <row r="226" spans="1:10" ht="28.9" customHeight="1" thickTop="1" thickBot="1" x14ac:dyDescent="0.65">
      <c r="A226" s="5">
        <v>224</v>
      </c>
      <c r="B226" s="46" t="str">
        <f>HYPERLINK("https://search.naver.com/search.naver?query=굿바이레닌 영화", "굿바이레닌")</f>
        <v>굿바이레닌</v>
      </c>
      <c r="C226" s="47">
        <v>8.91</v>
      </c>
      <c r="D226" s="6" t="s">
        <v>352</v>
      </c>
      <c r="E226" s="5" t="s">
        <v>101</v>
      </c>
      <c r="F226" s="5">
        <v>2003</v>
      </c>
      <c r="G226" s="5" t="s">
        <v>12</v>
      </c>
      <c r="H226" s="5" t="s">
        <v>72</v>
      </c>
      <c r="I226" s="5" t="s">
        <v>142</v>
      </c>
      <c r="J226" s="98" t="s">
        <v>3449</v>
      </c>
    </row>
    <row r="227" spans="1:10" ht="28.9" customHeight="1" thickTop="1" thickBot="1" x14ac:dyDescent="0.65">
      <c r="A227" s="3">
        <v>225</v>
      </c>
      <c r="B227" s="44" t="str">
        <f>HYPERLINK("https://search.naver.com/search.naver?query=굿타임 영화", "굿타임")</f>
        <v>굿타임</v>
      </c>
      <c r="C227" s="45">
        <v>8.06</v>
      </c>
      <c r="D227" s="4" t="s">
        <v>367</v>
      </c>
      <c r="E227" s="3" t="s">
        <v>20</v>
      </c>
      <c r="F227" s="3">
        <v>2017</v>
      </c>
      <c r="G227" s="3" t="s">
        <v>12</v>
      </c>
      <c r="H227" s="3" t="s">
        <v>77</v>
      </c>
      <c r="I227" s="3" t="s">
        <v>70</v>
      </c>
      <c r="J227" s="97" t="s">
        <v>3443</v>
      </c>
    </row>
    <row r="228" spans="1:10" ht="28.9" customHeight="1" thickTop="1" thickBot="1" x14ac:dyDescent="0.65">
      <c r="A228" s="5">
        <v>226</v>
      </c>
      <c r="B228" s="46" t="str">
        <f>HYPERLINK("https://search.naver.com/search.naver?query=궁합 영화", "궁합")</f>
        <v>궁합</v>
      </c>
      <c r="C228" s="47">
        <v>7.49</v>
      </c>
      <c r="D228" s="6" t="s">
        <v>368</v>
      </c>
      <c r="E228" s="5" t="s">
        <v>11</v>
      </c>
      <c r="F228" s="5">
        <v>2018</v>
      </c>
      <c r="G228" s="5" t="s">
        <v>12</v>
      </c>
      <c r="H228" s="5" t="s">
        <v>369</v>
      </c>
      <c r="I228" s="5" t="s">
        <v>96</v>
      </c>
      <c r="J228" s="98" t="s">
        <v>3442</v>
      </c>
    </row>
    <row r="229" spans="1:10" ht="28.9" customHeight="1" thickTop="1" thickBot="1" x14ac:dyDescent="0.65">
      <c r="A229" s="3">
        <v>227</v>
      </c>
      <c r="B229" s="44" t="str">
        <f>HYPERLINK("https://search.naver.com/search.naver?query=귀여운 여인 영화", "귀여운 여인")</f>
        <v>귀여운 여인</v>
      </c>
      <c r="C229" s="45">
        <v>8.7899999999999991</v>
      </c>
      <c r="D229" s="4" t="s">
        <v>370</v>
      </c>
      <c r="E229" s="3" t="s">
        <v>20</v>
      </c>
      <c r="F229" s="3">
        <v>1990</v>
      </c>
      <c r="G229" s="3" t="s">
        <v>12</v>
      </c>
      <c r="H229" s="3" t="s">
        <v>95</v>
      </c>
      <c r="I229" s="3" t="s">
        <v>53</v>
      </c>
      <c r="J229" s="97" t="s">
        <v>3464</v>
      </c>
    </row>
    <row r="230" spans="1:10" ht="28.9" customHeight="1" thickTop="1" thickBot="1" x14ac:dyDescent="0.65">
      <c r="A230" s="5">
        <v>228</v>
      </c>
      <c r="B230" s="46" t="str">
        <f>HYPERLINK("https://search.naver.com/search.naver?query=귀향 영화", "귀향")</f>
        <v>귀향</v>
      </c>
      <c r="C230" s="47">
        <v>9.14</v>
      </c>
      <c r="D230" s="6" t="s">
        <v>371</v>
      </c>
      <c r="E230" s="5" t="s">
        <v>11</v>
      </c>
      <c r="F230" s="5">
        <v>2015</v>
      </c>
      <c r="G230" s="5" t="s">
        <v>12</v>
      </c>
      <c r="H230" s="5" t="s">
        <v>17</v>
      </c>
      <c r="I230" s="5" t="s">
        <v>61</v>
      </c>
      <c r="J230" s="98" t="s">
        <v>3440</v>
      </c>
    </row>
    <row r="231" spans="1:10" ht="28.9" customHeight="1" thickTop="1" thickBot="1" x14ac:dyDescent="0.65">
      <c r="A231" s="3">
        <v>229</v>
      </c>
      <c r="B231" s="44" t="str">
        <f>HYPERLINK("https://search.naver.com/search.naver?query=그 남자가 아내에게 영화", "그 남자가 아내에게")</f>
        <v>그 남자가 아내에게</v>
      </c>
      <c r="C231" s="45">
        <v>8.4700000000000006</v>
      </c>
      <c r="D231" s="4" t="s">
        <v>372</v>
      </c>
      <c r="E231" s="3" t="s">
        <v>16</v>
      </c>
      <c r="F231" s="3">
        <v>2011</v>
      </c>
      <c r="G231" s="3" t="s">
        <v>12</v>
      </c>
      <c r="H231" s="3" t="s">
        <v>17</v>
      </c>
      <c r="I231" s="3" t="s">
        <v>280</v>
      </c>
      <c r="J231" s="97" t="s">
        <v>3454</v>
      </c>
    </row>
    <row r="232" spans="1:10" ht="28.9" customHeight="1" thickTop="1" thickBot="1" x14ac:dyDescent="0.65">
      <c r="A232" s="5">
        <v>230</v>
      </c>
      <c r="B232" s="46" t="str">
        <f>HYPERLINK("https://search.naver.com/search.naver?query=그 산, 그 사람, 그 개 영화", "그 산, 그 사람, 그 개")</f>
        <v>그 산, 그 사람, 그 개</v>
      </c>
      <c r="C232" s="47"/>
      <c r="D232" s="6" t="s">
        <v>373</v>
      </c>
      <c r="E232" s="5" t="s">
        <v>136</v>
      </c>
      <c r="F232" s="5">
        <v>1999</v>
      </c>
      <c r="G232" s="5" t="s">
        <v>12</v>
      </c>
      <c r="H232" s="5" t="s">
        <v>17</v>
      </c>
      <c r="I232" s="5" t="s">
        <v>147</v>
      </c>
      <c r="J232" s="98" t="s">
        <v>3456</v>
      </c>
    </row>
    <row r="233" spans="1:10" ht="28.9" customHeight="1" thickTop="1" thickBot="1" x14ac:dyDescent="0.65">
      <c r="A233" s="3">
        <v>231</v>
      </c>
      <c r="B233" s="44" t="str">
        <f>HYPERLINK("https://search.naver.com/search.naver?query=그 시절, 우리가 좋아했던 소녀 영화", "그 시절, 우리가 좋아했던 소녀")</f>
        <v>그 시절, 우리가 좋아했던 소녀</v>
      </c>
      <c r="C233" s="45">
        <v>6.74</v>
      </c>
      <c r="D233" s="4" t="s">
        <v>374</v>
      </c>
      <c r="E233" s="3" t="s">
        <v>375</v>
      </c>
      <c r="F233" s="3">
        <v>2011</v>
      </c>
      <c r="G233" s="3" t="s">
        <v>12</v>
      </c>
      <c r="H233" s="3" t="s">
        <v>121</v>
      </c>
      <c r="I233" s="3" t="s">
        <v>96</v>
      </c>
      <c r="J233" s="97" t="s">
        <v>3454</v>
      </c>
    </row>
    <row r="234" spans="1:10" ht="28.9" customHeight="1" thickTop="1" thickBot="1" x14ac:dyDescent="0.65">
      <c r="A234" s="5">
        <v>232</v>
      </c>
      <c r="B234" s="46" t="str">
        <f>HYPERLINK("https://search.naver.com/search.naver?query=그 여름 가장 조용한 바다 영화", "그 여름 가장 조용한 바다")</f>
        <v>그 여름 가장 조용한 바다</v>
      </c>
      <c r="C234" s="47">
        <v>9</v>
      </c>
      <c r="D234" s="6" t="s">
        <v>376</v>
      </c>
      <c r="E234" s="5" t="s">
        <v>16</v>
      </c>
      <c r="F234" s="5">
        <v>1991</v>
      </c>
      <c r="G234" s="5" t="s">
        <v>12</v>
      </c>
      <c r="H234" s="5" t="s">
        <v>17</v>
      </c>
      <c r="I234" s="5" t="s">
        <v>70</v>
      </c>
      <c r="J234" s="98" t="s">
        <v>3465</v>
      </c>
    </row>
    <row r="235" spans="1:10" ht="28.9" customHeight="1" thickTop="1" thickBot="1" x14ac:dyDescent="0.65">
      <c r="A235" s="3">
        <v>233</v>
      </c>
      <c r="B235" s="44" t="str">
        <f>HYPERLINK("https://search.naver.com/search.naver?query=그 여자 작사 그 남자 작곡 영화", "그 여자 작사 그 남자 작곡")</f>
        <v>그 여자 작사 그 남자 작곡</v>
      </c>
      <c r="C235" s="45">
        <v>8.85</v>
      </c>
      <c r="D235" s="4" t="s">
        <v>377</v>
      </c>
      <c r="E235" s="3" t="s">
        <v>20</v>
      </c>
      <c r="F235" s="3">
        <v>2007</v>
      </c>
      <c r="G235" s="3" t="s">
        <v>12</v>
      </c>
      <c r="H235" s="3" t="s">
        <v>95</v>
      </c>
      <c r="I235" s="3" t="s">
        <v>170</v>
      </c>
      <c r="J235" s="97" t="s">
        <v>3447</v>
      </c>
    </row>
    <row r="236" spans="1:10" ht="28.9" customHeight="1" thickTop="1" thickBot="1" x14ac:dyDescent="0.65">
      <c r="A236" s="5">
        <v>234</v>
      </c>
      <c r="B236" s="46" t="str">
        <f>HYPERLINK("https://search.naver.com/search.naver?query=그것만이 내 세상 영화", "그것만이 내 세상")</f>
        <v>그것만이 내 세상</v>
      </c>
      <c r="C236" s="47">
        <v>9.17</v>
      </c>
      <c r="D236" s="6" t="s">
        <v>378</v>
      </c>
      <c r="E236" s="5" t="s">
        <v>11</v>
      </c>
      <c r="F236" s="5">
        <v>2017</v>
      </c>
      <c r="G236" s="5" t="s">
        <v>12</v>
      </c>
      <c r="H236" s="5" t="s">
        <v>17</v>
      </c>
      <c r="I236" s="5" t="s">
        <v>86</v>
      </c>
      <c r="J236" s="98" t="s">
        <v>3443</v>
      </c>
    </row>
    <row r="237" spans="1:10" ht="28.9" customHeight="1" thickTop="1" thickBot="1" x14ac:dyDescent="0.65">
      <c r="A237" s="3">
        <v>235</v>
      </c>
      <c r="B237" s="44" t="str">
        <f>HYPERLINK("https://search.naver.com/search.naver?query=그곳에서만 빛난다 영화", "그곳에서만 빛난다")</f>
        <v>그곳에서만 빛난다</v>
      </c>
      <c r="C237" s="45">
        <v>8.3699999999999992</v>
      </c>
      <c r="D237" s="4" t="s">
        <v>379</v>
      </c>
      <c r="E237" s="3" t="s">
        <v>16</v>
      </c>
      <c r="F237" s="3">
        <v>2014</v>
      </c>
      <c r="G237" s="3" t="s">
        <v>12</v>
      </c>
      <c r="H237" s="3" t="s">
        <v>17</v>
      </c>
      <c r="I237" s="3" t="s">
        <v>86</v>
      </c>
      <c r="J237" s="97" t="s">
        <v>3437</v>
      </c>
    </row>
    <row r="238" spans="1:10" ht="28.9" customHeight="1" thickTop="1" thickBot="1" x14ac:dyDescent="0.65">
      <c r="A238" s="5">
        <v>236</v>
      </c>
      <c r="B238" s="46" t="str">
        <f>HYPERLINK("https://search.naver.com/search.naver?query=그남자,좋은 간호사 영화", "그남자,좋은 간호사")</f>
        <v>그남자,좋은 간호사</v>
      </c>
      <c r="C238" s="47">
        <v>7.17</v>
      </c>
      <c r="D238" s="6" t="s">
        <v>380</v>
      </c>
      <c r="E238" s="5" t="s">
        <v>20</v>
      </c>
      <c r="F238" s="5">
        <v>2022</v>
      </c>
      <c r="G238" s="5" t="s">
        <v>12</v>
      </c>
      <c r="H238" s="5" t="s">
        <v>85</v>
      </c>
      <c r="I238" s="5" t="s">
        <v>142</v>
      </c>
      <c r="J238" s="98" t="s">
        <v>3445</v>
      </c>
    </row>
    <row r="239" spans="1:10" ht="28.9" customHeight="1" thickTop="1" thickBot="1" x14ac:dyDescent="0.65">
      <c r="A239" s="3">
        <v>237</v>
      </c>
      <c r="B239" s="44" t="str">
        <f>HYPERLINK("https://search.naver.com/search.naver?query=그녀 영화", "그녀")</f>
        <v>그녀</v>
      </c>
      <c r="C239" s="45">
        <v>8.65</v>
      </c>
      <c r="D239" s="4" t="s">
        <v>381</v>
      </c>
      <c r="E239" s="3" t="s">
        <v>20</v>
      </c>
      <c r="F239" s="3">
        <v>2013</v>
      </c>
      <c r="G239" s="3" t="s">
        <v>12</v>
      </c>
      <c r="H239" s="3" t="s">
        <v>328</v>
      </c>
      <c r="I239" s="3" t="s">
        <v>78</v>
      </c>
      <c r="J239" s="97" t="s">
        <v>3451</v>
      </c>
    </row>
    <row r="240" spans="1:10" ht="28.9" customHeight="1" thickTop="1" thickBot="1" x14ac:dyDescent="0.65">
      <c r="A240" s="5">
        <v>238</v>
      </c>
      <c r="B240" s="46" t="str">
        <f>HYPERLINK("https://search.naver.com/search.naver?query=그녀가 말했다 영화", "그녀가 말했다")</f>
        <v>그녀가 말했다</v>
      </c>
      <c r="C240" s="47">
        <v>8.31</v>
      </c>
      <c r="D240" s="6" t="s">
        <v>382</v>
      </c>
      <c r="E240" s="5" t="s">
        <v>20</v>
      </c>
      <c r="F240" s="5">
        <v>2022</v>
      </c>
      <c r="G240" s="5" t="s">
        <v>12</v>
      </c>
      <c r="H240" s="5" t="s">
        <v>17</v>
      </c>
      <c r="I240" s="5" t="s">
        <v>64</v>
      </c>
      <c r="J240" s="98" t="s">
        <v>3445</v>
      </c>
    </row>
    <row r="241" spans="1:10" ht="28.9" customHeight="1" thickTop="1" thickBot="1" x14ac:dyDescent="0.65">
      <c r="A241" s="3">
        <v>239</v>
      </c>
      <c r="B241" s="44" t="str">
        <f>HYPERLINK("https://search.naver.com/search.naver?query=그녀가 부른다 영화", "그녀가 부른다")</f>
        <v>그녀가 부른다</v>
      </c>
      <c r="C241" s="45">
        <v>8.19</v>
      </c>
      <c r="D241" s="4" t="s">
        <v>383</v>
      </c>
      <c r="E241" s="3" t="s">
        <v>11</v>
      </c>
      <c r="F241" s="3">
        <v>2012</v>
      </c>
      <c r="G241" s="3" t="s">
        <v>12</v>
      </c>
      <c r="H241" s="3" t="s">
        <v>17</v>
      </c>
      <c r="I241" s="3" t="s">
        <v>124</v>
      </c>
      <c r="J241" s="97" t="s">
        <v>3439</v>
      </c>
    </row>
    <row r="242" spans="1:10" ht="28.9" customHeight="1" thickTop="1" thickBot="1" x14ac:dyDescent="0.65">
      <c r="A242" s="5">
        <v>240</v>
      </c>
      <c r="B242" s="46" t="str">
        <f>HYPERLINK("https://search.naver.com/search.naver?query=그녀를 믿지 마세요 영화", "그녀를 믿지 마세요")</f>
        <v>그녀를 믿지 마세요</v>
      </c>
      <c r="C242" s="47">
        <v>8.92</v>
      </c>
      <c r="D242" s="6" t="s">
        <v>384</v>
      </c>
      <c r="E242" s="5" t="s">
        <v>11</v>
      </c>
      <c r="F242" s="5">
        <v>2004</v>
      </c>
      <c r="G242" s="5" t="s">
        <v>12</v>
      </c>
      <c r="H242" s="5" t="s">
        <v>68</v>
      </c>
      <c r="I242" s="5" t="s">
        <v>47</v>
      </c>
      <c r="J242" s="98" t="s">
        <v>3462</v>
      </c>
    </row>
    <row r="243" spans="1:10" ht="28.9" customHeight="1" thickTop="1" thickBot="1" x14ac:dyDescent="0.65">
      <c r="A243" s="3">
        <v>241</v>
      </c>
      <c r="B243" s="44" t="str">
        <f>HYPERLINK("https://search.naver.com/search.naver?query=그녀에 대해 알고 있는 모든 것 영화", "그녀에 대해 알고 있는 모든 것")</f>
        <v>그녀에 대해 알고 있는 모든 것</v>
      </c>
      <c r="C243" s="45">
        <v>6.4</v>
      </c>
      <c r="D243" s="4" t="s">
        <v>385</v>
      </c>
      <c r="E243" s="3" t="s">
        <v>16</v>
      </c>
      <c r="F243" s="3">
        <v>2012</v>
      </c>
      <c r="G243" s="3" t="s">
        <v>12</v>
      </c>
      <c r="H243" s="3" t="s">
        <v>386</v>
      </c>
      <c r="I243" s="3" t="s">
        <v>128</v>
      </c>
      <c r="J243" s="97" t="s">
        <v>3439</v>
      </c>
    </row>
    <row r="244" spans="1:10" ht="28.9" customHeight="1" thickTop="1" thickBot="1" x14ac:dyDescent="0.65">
      <c r="A244" s="5">
        <v>242</v>
      </c>
      <c r="B244" s="46" t="str">
        <f>HYPERLINK("https://search.naver.com/search.naver?query=그녀에게 영화", "그녀에게")</f>
        <v>그녀에게</v>
      </c>
      <c r="C244" s="47">
        <v>9.07</v>
      </c>
      <c r="D244" s="6" t="s">
        <v>387</v>
      </c>
      <c r="E244" s="5" t="s">
        <v>30</v>
      </c>
      <c r="F244" s="5">
        <v>2002</v>
      </c>
      <c r="G244" s="5" t="s">
        <v>12</v>
      </c>
      <c r="H244" s="5" t="s">
        <v>17</v>
      </c>
      <c r="I244" s="5" t="s">
        <v>278</v>
      </c>
      <c r="J244" s="98" t="s">
        <v>3466</v>
      </c>
    </row>
    <row r="245" spans="1:10" ht="28.9" customHeight="1" thickTop="1" thickBot="1" x14ac:dyDescent="0.65">
      <c r="A245" s="3">
        <v>243</v>
      </c>
      <c r="B245" s="44" t="str">
        <f>HYPERLINK("https://search.naver.com/search.naver?query=그녀의 인생은 잘못이 없어 영화", "그녀의 인생은 잘못이 없어")</f>
        <v>그녀의 인생은 잘못이 없어</v>
      </c>
      <c r="C245" s="45">
        <v>6.29</v>
      </c>
      <c r="D245" s="4" t="s">
        <v>388</v>
      </c>
      <c r="E245" s="3" t="s">
        <v>16</v>
      </c>
      <c r="F245" s="3">
        <v>2017</v>
      </c>
      <c r="G245" s="3" t="s">
        <v>12</v>
      </c>
      <c r="H245" s="3" t="s">
        <v>17</v>
      </c>
      <c r="I245" s="3" t="s">
        <v>111</v>
      </c>
      <c r="J245" s="97" t="s">
        <v>3443</v>
      </c>
    </row>
    <row r="246" spans="1:10" ht="28.9" customHeight="1" thickTop="1" thickBot="1" x14ac:dyDescent="0.65">
      <c r="A246" s="5">
        <v>244</v>
      </c>
      <c r="B246" s="46" t="str">
        <f>HYPERLINK("https://search.naver.com/search.naver?query=그놈이다 영화", "그놈이다")</f>
        <v>그놈이다</v>
      </c>
      <c r="C246" s="47">
        <v>7.54</v>
      </c>
      <c r="D246" s="6" t="s">
        <v>389</v>
      </c>
      <c r="E246" s="5" t="s">
        <v>11</v>
      </c>
      <c r="F246" s="5">
        <v>2015</v>
      </c>
      <c r="G246" s="5" t="s">
        <v>12</v>
      </c>
      <c r="H246" s="5" t="s">
        <v>43</v>
      </c>
      <c r="I246" s="5" t="s">
        <v>137</v>
      </c>
      <c r="J246" s="98" t="s">
        <v>3440</v>
      </c>
    </row>
    <row r="247" spans="1:10" ht="28.9" customHeight="1" thickTop="1" thickBot="1" x14ac:dyDescent="0.65">
      <c r="A247" s="3">
        <v>245</v>
      </c>
      <c r="B247" s="44" t="str">
        <f>HYPERLINK("https://search.naver.com/search.naver?query=그대 이름은 장미 영화", "그대 이름은 장미")</f>
        <v>그대 이름은 장미</v>
      </c>
      <c r="C247" s="45">
        <v>7.65</v>
      </c>
      <c r="D247" s="4" t="s">
        <v>390</v>
      </c>
      <c r="E247" s="3" t="s">
        <v>11</v>
      </c>
      <c r="F247" s="3">
        <v>2018</v>
      </c>
      <c r="G247" s="3" t="s">
        <v>12</v>
      </c>
      <c r="H247" s="3" t="s">
        <v>72</v>
      </c>
      <c r="I247" s="3" t="s">
        <v>78</v>
      </c>
      <c r="J247" s="97" t="s">
        <v>3442</v>
      </c>
    </row>
    <row r="248" spans="1:10" ht="28.9" customHeight="1" thickTop="1" thickBot="1" x14ac:dyDescent="0.65">
      <c r="A248" s="5">
        <v>246</v>
      </c>
      <c r="B248" s="46" t="str">
        <f>HYPERLINK("https://search.naver.com/search.naver?query=그대를 사랑합니다 영화", "그대를 사랑합니다")</f>
        <v>그대를 사랑합니다</v>
      </c>
      <c r="C248" s="47">
        <v>9.34</v>
      </c>
      <c r="D248" s="6" t="s">
        <v>391</v>
      </c>
      <c r="E248" s="5" t="s">
        <v>11</v>
      </c>
      <c r="F248" s="5">
        <v>2010</v>
      </c>
      <c r="G248" s="5" t="s">
        <v>12</v>
      </c>
      <c r="H248" s="5" t="s">
        <v>17</v>
      </c>
      <c r="I248" s="5" t="s">
        <v>96</v>
      </c>
      <c r="J248" s="98" t="s">
        <v>3455</v>
      </c>
    </row>
    <row r="249" spans="1:10" ht="28.9" customHeight="1" thickTop="1" thickBot="1" x14ac:dyDescent="0.65">
      <c r="A249" s="3">
        <v>247</v>
      </c>
      <c r="B249" s="44" t="str">
        <f>HYPERLINK("https://search.naver.com/search.naver?query=그들이 아버지를 죽였다 영화", "그들이 아버지를 죽였다")</f>
        <v>그들이 아버지를 죽였다</v>
      </c>
      <c r="C249" s="45"/>
      <c r="D249" s="4" t="s">
        <v>392</v>
      </c>
      <c r="E249" s="3" t="s">
        <v>393</v>
      </c>
      <c r="F249" s="3">
        <v>2017</v>
      </c>
      <c r="G249" s="3" t="s">
        <v>12</v>
      </c>
      <c r="H249" s="3" t="s">
        <v>17</v>
      </c>
      <c r="I249" s="3" t="s">
        <v>61</v>
      </c>
      <c r="J249" s="97" t="s">
        <v>3443</v>
      </c>
    </row>
    <row r="250" spans="1:10" ht="28.9" customHeight="1" thickTop="1" thickBot="1" x14ac:dyDescent="0.65">
      <c r="A250" s="5">
        <v>248</v>
      </c>
      <c r="B250" s="46" t="str">
        <f>HYPERLINK("https://search.naver.com/search.naver?query=그들이 진심으로 엮을 때 영화", "그들이 진심으로 엮을 때")</f>
        <v>그들이 진심으로 엮을 때</v>
      </c>
      <c r="C250" s="47">
        <v>8.5299999999999994</v>
      </c>
      <c r="D250" s="6" t="s">
        <v>394</v>
      </c>
      <c r="E250" s="5" t="s">
        <v>16</v>
      </c>
      <c r="F250" s="5">
        <v>2017</v>
      </c>
      <c r="G250" s="5" t="s">
        <v>12</v>
      </c>
      <c r="H250" s="5" t="s">
        <v>17</v>
      </c>
      <c r="I250" s="5" t="s">
        <v>31</v>
      </c>
      <c r="J250" s="98" t="s">
        <v>3443</v>
      </c>
    </row>
    <row r="251" spans="1:10" ht="28.9" customHeight="1" thickTop="1" thickBot="1" x14ac:dyDescent="0.65">
      <c r="A251" s="3">
        <v>249</v>
      </c>
      <c r="B251" s="44" t="str">
        <f>HYPERLINK("https://search.naver.com/search.naver?query=그때그사람들 영화", "그때그사람들")</f>
        <v>그때그사람들</v>
      </c>
      <c r="C251" s="45">
        <v>7.44</v>
      </c>
      <c r="D251" s="4" t="s">
        <v>395</v>
      </c>
      <c r="E251" s="3" t="s">
        <v>11</v>
      </c>
      <c r="F251" s="3">
        <v>2005</v>
      </c>
      <c r="G251" s="3" t="s">
        <v>12</v>
      </c>
      <c r="H251" s="3" t="s">
        <v>17</v>
      </c>
      <c r="I251" s="3" t="s">
        <v>170</v>
      </c>
      <c r="J251" s="97" t="s">
        <v>3461</v>
      </c>
    </row>
    <row r="252" spans="1:10" ht="28.9" customHeight="1" thickTop="1" thickBot="1" x14ac:dyDescent="0.65">
      <c r="A252" s="5">
        <v>250</v>
      </c>
      <c r="B252" s="46" t="str">
        <f>HYPERLINK("https://search.naver.com/search.naver?query=그래비티 영화", "그래비티")</f>
        <v>그래비티</v>
      </c>
      <c r="C252" s="47">
        <v>9.2899999999999991</v>
      </c>
      <c r="D252" s="6" t="s">
        <v>396</v>
      </c>
      <c r="E252" s="5" t="s">
        <v>20</v>
      </c>
      <c r="F252" s="5">
        <v>2013</v>
      </c>
      <c r="G252" s="5" t="s">
        <v>12</v>
      </c>
      <c r="H252" s="5" t="s">
        <v>167</v>
      </c>
      <c r="I252" s="5" t="s">
        <v>240</v>
      </c>
      <c r="J252" s="98" t="s">
        <v>3451</v>
      </c>
    </row>
    <row r="253" spans="1:10" ht="28.9" customHeight="1" thickTop="1" thickBot="1" x14ac:dyDescent="0.65">
      <c r="A253" s="3">
        <v>251</v>
      </c>
      <c r="B253" s="44" t="str">
        <f>HYPERLINK("https://search.naver.com/search.naver?query=그랜 토리노 영화", "그랜 토리노")</f>
        <v>그랜 토리노</v>
      </c>
      <c r="C253" s="45">
        <v>9.26</v>
      </c>
      <c r="D253" s="4" t="s">
        <v>397</v>
      </c>
      <c r="E253" s="3" t="s">
        <v>20</v>
      </c>
      <c r="F253" s="3">
        <v>2008</v>
      </c>
      <c r="G253" s="3" t="s">
        <v>12</v>
      </c>
      <c r="H253" s="3" t="s">
        <v>17</v>
      </c>
      <c r="I253" s="3" t="s">
        <v>366</v>
      </c>
      <c r="J253" s="97" t="s">
        <v>3450</v>
      </c>
    </row>
    <row r="254" spans="1:10" ht="28.9" customHeight="1" thickTop="1" thickBot="1" x14ac:dyDescent="0.65">
      <c r="A254" s="5">
        <v>252</v>
      </c>
      <c r="B254" s="46" t="str">
        <f>HYPERLINK("https://search.naver.com/search.naver?query=그랜드 부다페스트 호텔 영화", "그랜드 부다페스트 호텔")</f>
        <v>그랜드 부다페스트 호텔</v>
      </c>
      <c r="C254" s="47">
        <v>8.7100000000000009</v>
      </c>
      <c r="D254" s="6" t="s">
        <v>398</v>
      </c>
      <c r="E254" s="5" t="s">
        <v>20</v>
      </c>
      <c r="F254" s="5">
        <v>2014</v>
      </c>
      <c r="G254" s="5" t="s">
        <v>12</v>
      </c>
      <c r="H254" s="5" t="s">
        <v>72</v>
      </c>
      <c r="I254" s="5" t="s">
        <v>81</v>
      </c>
      <c r="J254" s="98" t="s">
        <v>3437</v>
      </c>
    </row>
    <row r="255" spans="1:10" ht="28.9" customHeight="1" thickTop="1" thickBot="1" x14ac:dyDescent="0.65">
      <c r="A255" s="3">
        <v>253</v>
      </c>
      <c r="B255" s="44" t="str">
        <f>HYPERLINK("https://search.naver.com/search.naver?query=그랜드 시덕션 영화", "그랜드 시덕션")</f>
        <v>그랜드 시덕션</v>
      </c>
      <c r="C255" s="45"/>
      <c r="D255" s="4" t="s">
        <v>399</v>
      </c>
      <c r="E255" s="3" t="s">
        <v>189</v>
      </c>
      <c r="F255" s="3">
        <v>2013</v>
      </c>
      <c r="G255" s="3" t="s">
        <v>12</v>
      </c>
      <c r="H255" s="3" t="s">
        <v>68</v>
      </c>
      <c r="I255" s="3" t="s">
        <v>73</v>
      </c>
      <c r="J255" s="97" t="s">
        <v>3451</v>
      </c>
    </row>
    <row r="256" spans="1:10" ht="28.9" customHeight="1" thickTop="1" thickBot="1" x14ac:dyDescent="0.65">
      <c r="A256" s="5">
        <v>254</v>
      </c>
      <c r="B256" s="46" t="str">
        <f>HYPERLINK("https://search.naver.com/search.naver?query=그랜드 피아노 영화", "그랜드 피아노")</f>
        <v>그랜드 피아노</v>
      </c>
      <c r="C256" s="47">
        <v>5.1100000000000003</v>
      </c>
      <c r="D256" s="6" t="s">
        <v>400</v>
      </c>
      <c r="E256" s="5" t="s">
        <v>30</v>
      </c>
      <c r="F256" s="5">
        <v>2013</v>
      </c>
      <c r="G256" s="5" t="s">
        <v>12</v>
      </c>
      <c r="H256" s="5" t="s">
        <v>43</v>
      </c>
      <c r="I256" s="5" t="s">
        <v>115</v>
      </c>
      <c r="J256" s="98" t="s">
        <v>3451</v>
      </c>
    </row>
    <row r="257" spans="1:10" ht="28.9" customHeight="1" thickTop="1" thickBot="1" x14ac:dyDescent="0.65">
      <c r="A257" s="3">
        <v>255</v>
      </c>
      <c r="B257" s="44" t="str">
        <f>HYPERLINK("https://search.naver.com/search.naver?query=그렇게 아버지가 된다 영화", "그렇게 아버지가 된다")</f>
        <v>그렇게 아버지가 된다</v>
      </c>
      <c r="C257" s="45">
        <v>8.74</v>
      </c>
      <c r="D257" s="4" t="s">
        <v>401</v>
      </c>
      <c r="E257" s="3" t="s">
        <v>16</v>
      </c>
      <c r="F257" s="3">
        <v>2013</v>
      </c>
      <c r="G257" s="3" t="s">
        <v>12</v>
      </c>
      <c r="H257" s="3" t="s">
        <v>17</v>
      </c>
      <c r="I257" s="3" t="s">
        <v>86</v>
      </c>
      <c r="J257" s="97" t="s">
        <v>3451</v>
      </c>
    </row>
    <row r="258" spans="1:10" ht="28.9" customHeight="1" thickTop="1" thickBot="1" x14ac:dyDescent="0.65">
      <c r="A258" s="5">
        <v>256</v>
      </c>
      <c r="B258" s="46" t="str">
        <f>HYPERLINK("https://search.naver.com/search.naver?query=그레이 맨 영화", "그레이 맨")</f>
        <v>그레이 맨</v>
      </c>
      <c r="C258" s="47">
        <v>7.86</v>
      </c>
      <c r="D258" s="6" t="s">
        <v>402</v>
      </c>
      <c r="E258" s="5" t="s">
        <v>20</v>
      </c>
      <c r="F258" s="5">
        <v>2022</v>
      </c>
      <c r="G258" s="5" t="s">
        <v>12</v>
      </c>
      <c r="H258" s="5" t="s">
        <v>21</v>
      </c>
      <c r="I258" s="5" t="s">
        <v>105</v>
      </c>
      <c r="J258" s="98" t="s">
        <v>3445</v>
      </c>
    </row>
    <row r="259" spans="1:10" ht="28.9" customHeight="1" thickTop="1" thickBot="1" x14ac:dyDescent="0.65">
      <c r="A259" s="3">
        <v>257</v>
      </c>
      <c r="B259" s="44" t="str">
        <f>HYPERLINK("https://search.naver.com/search.naver?query=그레이스 오브 모나코 영화", "그레이스 오브 모나코")</f>
        <v>그레이스 오브 모나코</v>
      </c>
      <c r="C259" s="45">
        <v>8.08</v>
      </c>
      <c r="D259" s="4" t="s">
        <v>403</v>
      </c>
      <c r="E259" s="3" t="s">
        <v>210</v>
      </c>
      <c r="F259" s="3">
        <v>2014</v>
      </c>
      <c r="G259" s="3" t="s">
        <v>12</v>
      </c>
      <c r="H259" s="3" t="s">
        <v>17</v>
      </c>
      <c r="I259" s="3" t="s">
        <v>190</v>
      </c>
      <c r="J259" s="97" t="s">
        <v>3437</v>
      </c>
    </row>
    <row r="260" spans="1:10" ht="28.9" customHeight="1" thickTop="1" thickBot="1" x14ac:dyDescent="0.65">
      <c r="A260" s="5">
        <v>258</v>
      </c>
      <c r="B260" s="46" t="str">
        <f>HYPERLINK("https://search.naver.com/search.naver?query=그레이트 디베이터스 영화", "그레이트 디베이터스")</f>
        <v>그레이트 디베이터스</v>
      </c>
      <c r="C260" s="47"/>
      <c r="D260" s="6" t="s">
        <v>404</v>
      </c>
      <c r="E260" s="5" t="s">
        <v>20</v>
      </c>
      <c r="F260" s="5">
        <v>2007</v>
      </c>
      <c r="G260" s="5" t="s">
        <v>12</v>
      </c>
      <c r="H260" s="5" t="s">
        <v>17</v>
      </c>
      <c r="I260" s="5" t="s">
        <v>78</v>
      </c>
      <c r="J260" s="98" t="s">
        <v>3447</v>
      </c>
    </row>
    <row r="261" spans="1:10" ht="28.9" customHeight="1" thickTop="1" thickBot="1" x14ac:dyDescent="0.65">
      <c r="A261" s="3">
        <v>259</v>
      </c>
      <c r="B261" s="44" t="str">
        <f>HYPERLINK("https://search.naver.com/search.naver?query=그레이트 월 영화", "그레이트 월")</f>
        <v>그레이트 월</v>
      </c>
      <c r="C261" s="45">
        <v>7.92</v>
      </c>
      <c r="D261" s="4" t="s">
        <v>405</v>
      </c>
      <c r="E261" s="3" t="s">
        <v>136</v>
      </c>
      <c r="F261" s="3">
        <v>2016</v>
      </c>
      <c r="G261" s="3" t="s">
        <v>12</v>
      </c>
      <c r="H261" s="3" t="s">
        <v>98</v>
      </c>
      <c r="I261" s="3" t="s">
        <v>190</v>
      </c>
      <c r="J261" s="97" t="s">
        <v>3441</v>
      </c>
    </row>
    <row r="262" spans="1:10" ht="28.9" customHeight="1" thickTop="1" thickBot="1" x14ac:dyDescent="0.65">
      <c r="A262" s="5">
        <v>260</v>
      </c>
      <c r="B262" s="46" t="str">
        <f>HYPERLINK("https://search.naver.com/search.naver?query=그레이티스트 영화", "그레이티스트")</f>
        <v>그레이티스트</v>
      </c>
      <c r="C262" s="47"/>
      <c r="D262" s="6" t="s">
        <v>406</v>
      </c>
      <c r="E262" s="5" t="s">
        <v>20</v>
      </c>
      <c r="F262" s="5">
        <v>2009</v>
      </c>
      <c r="G262" s="5" t="s">
        <v>12</v>
      </c>
      <c r="H262" s="5" t="s">
        <v>17</v>
      </c>
      <c r="I262" s="5" t="s">
        <v>81</v>
      </c>
      <c r="J262" s="98" t="s">
        <v>3453</v>
      </c>
    </row>
    <row r="263" spans="1:10" ht="28.9" customHeight="1" thickTop="1" thickBot="1" x14ac:dyDescent="0.65">
      <c r="A263" s="3">
        <v>261</v>
      </c>
      <c r="B263" s="44" t="str">
        <f>HYPERLINK("https://search.naver.com/search.naver?query=그레이하운드 영화", "그레이하운드")</f>
        <v>그레이하운드</v>
      </c>
      <c r="C263" s="45">
        <v>9.56</v>
      </c>
      <c r="D263" s="4" t="s">
        <v>407</v>
      </c>
      <c r="E263" s="3" t="s">
        <v>20</v>
      </c>
      <c r="F263" s="3">
        <v>2020</v>
      </c>
      <c r="G263" s="3" t="s">
        <v>12</v>
      </c>
      <c r="H263" s="3" t="s">
        <v>196</v>
      </c>
      <c r="I263" s="3" t="s">
        <v>240</v>
      </c>
      <c r="J263" s="97" t="s">
        <v>3436</v>
      </c>
    </row>
    <row r="264" spans="1:10" ht="28.9" customHeight="1" thickTop="1" thickBot="1" x14ac:dyDescent="0.65">
      <c r="A264" s="5">
        <v>262</v>
      </c>
      <c r="B264" s="46" t="str">
        <f>HYPERLINK("https://search.naver.com/search.naver?query=그루지 영화", "그루지")</f>
        <v>그루지</v>
      </c>
      <c r="C264" s="47">
        <v>4.1500000000000004</v>
      </c>
      <c r="D264" s="6" t="s">
        <v>408</v>
      </c>
      <c r="E264" s="5" t="s">
        <v>20</v>
      </c>
      <c r="F264" s="5">
        <v>2020</v>
      </c>
      <c r="G264" s="5" t="s">
        <v>12</v>
      </c>
      <c r="H264" s="5" t="s">
        <v>252</v>
      </c>
      <c r="I264" s="5" t="s">
        <v>93</v>
      </c>
      <c r="J264" s="98" t="s">
        <v>3436</v>
      </c>
    </row>
    <row r="265" spans="1:10" ht="28.9" customHeight="1" thickTop="1" thickBot="1" x14ac:dyDescent="0.65">
      <c r="A265" s="3">
        <v>263</v>
      </c>
      <c r="B265" s="44" t="str">
        <f>HYPERLINK("https://search.naver.com/search.naver?query=그루지 매치 영화", "그루지 매치")</f>
        <v>그루지 매치</v>
      </c>
      <c r="C265" s="45">
        <v>6.4</v>
      </c>
      <c r="D265" s="4" t="s">
        <v>409</v>
      </c>
      <c r="E265" s="3" t="s">
        <v>20</v>
      </c>
      <c r="F265" s="3">
        <v>2013</v>
      </c>
      <c r="G265" s="3" t="s">
        <v>12</v>
      </c>
      <c r="H265" s="3" t="s">
        <v>72</v>
      </c>
      <c r="I265" s="3" t="s">
        <v>73</v>
      </c>
      <c r="J265" s="97" t="s">
        <v>3451</v>
      </c>
    </row>
    <row r="266" spans="1:10" ht="28.9" customHeight="1" thickTop="1" thickBot="1" x14ac:dyDescent="0.65">
      <c r="A266" s="5">
        <v>264</v>
      </c>
      <c r="B266" s="46" t="str">
        <f>HYPERLINK("https://search.naver.com/search.naver?query=그리다이언 갱 영화", "그리다이언 갱")</f>
        <v>그리다이언 갱</v>
      </c>
      <c r="C266" s="47"/>
      <c r="D266" s="6" t="s">
        <v>410</v>
      </c>
      <c r="E266" s="5" t="s">
        <v>20</v>
      </c>
      <c r="F266" s="5">
        <v>2006</v>
      </c>
      <c r="G266" s="5" t="s">
        <v>12</v>
      </c>
      <c r="H266" s="5" t="s">
        <v>17</v>
      </c>
      <c r="I266" s="5" t="s">
        <v>214</v>
      </c>
      <c r="J266" s="98" t="s">
        <v>3460</v>
      </c>
    </row>
    <row r="267" spans="1:10" ht="28.5" customHeight="1" thickTop="1" thickBot="1" x14ac:dyDescent="0.65">
      <c r="A267" s="7">
        <v>265</v>
      </c>
      <c r="B267" s="48" t="str">
        <f>HYPERLINK("https://search.naver.com/search.naver?query=그리셀다 드라마", "그리셀다")</f>
        <v>그리셀다</v>
      </c>
      <c r="C267" s="49"/>
      <c r="D267" s="8" t="s">
        <v>411</v>
      </c>
      <c r="E267" s="7" t="s">
        <v>20</v>
      </c>
      <c r="F267" s="7">
        <v>2024</v>
      </c>
      <c r="G267" s="7" t="s">
        <v>17</v>
      </c>
      <c r="H267" s="7" t="s">
        <v>85</v>
      </c>
      <c r="I267" s="7" t="s">
        <v>173</v>
      </c>
      <c r="J267" s="99" t="s">
        <v>3448</v>
      </c>
    </row>
    <row r="268" spans="1:10" ht="28.9" customHeight="1" thickTop="1" thickBot="1" x14ac:dyDescent="0.65">
      <c r="A268" s="5">
        <v>266</v>
      </c>
      <c r="B268" s="46" t="str">
        <f>HYPERLINK("https://search.naver.com/search.naver?query=그리움과 함께 사는 법 영화", "그리움과 함께 사는 법")</f>
        <v>그리움과 함께 사는 법</v>
      </c>
      <c r="C268" s="47">
        <v>3.83</v>
      </c>
      <c r="D268" s="6" t="s">
        <v>412</v>
      </c>
      <c r="E268" s="5" t="s">
        <v>20</v>
      </c>
      <c r="F268" s="5">
        <v>2015</v>
      </c>
      <c r="G268" s="5" t="s">
        <v>12</v>
      </c>
      <c r="H268" s="5" t="s">
        <v>17</v>
      </c>
      <c r="I268" s="5" t="s">
        <v>147</v>
      </c>
      <c r="J268" s="98" t="s">
        <v>3440</v>
      </c>
    </row>
    <row r="269" spans="1:10" ht="28.9" customHeight="1" thickTop="1" thickBot="1" x14ac:dyDescent="0.65">
      <c r="A269" s="3">
        <v>267</v>
      </c>
      <c r="B269" s="44" t="str">
        <f>HYPERLINK("https://search.naver.com/search.naver?query=그린 마일 영화", "그린 마일")</f>
        <v>그린 마일</v>
      </c>
      <c r="C269" s="45">
        <v>9.24</v>
      </c>
      <c r="D269" s="4" t="s">
        <v>413</v>
      </c>
      <c r="E269" s="3" t="s">
        <v>20</v>
      </c>
      <c r="F269" s="3">
        <v>1999</v>
      </c>
      <c r="G269" s="3" t="s">
        <v>12</v>
      </c>
      <c r="H269" s="3" t="s">
        <v>414</v>
      </c>
      <c r="I269" s="3" t="s">
        <v>415</v>
      </c>
      <c r="J269" s="97" t="s">
        <v>3456</v>
      </c>
    </row>
    <row r="270" spans="1:10" ht="28.9" customHeight="1" thickTop="1" thickBot="1" x14ac:dyDescent="0.65">
      <c r="A270" s="5">
        <v>268</v>
      </c>
      <c r="B270" s="46" t="str">
        <f>HYPERLINK("https://search.naver.com/search.naver?query=그린 북 영화", "그린 북")</f>
        <v>그린 북</v>
      </c>
      <c r="C270" s="47">
        <v>9.5399999999999991</v>
      </c>
      <c r="D270" s="6" t="s">
        <v>416</v>
      </c>
      <c r="E270" s="5" t="s">
        <v>20</v>
      </c>
      <c r="F270" s="5">
        <v>2018</v>
      </c>
      <c r="G270" s="5" t="s">
        <v>12</v>
      </c>
      <c r="H270" s="5" t="s">
        <v>17</v>
      </c>
      <c r="I270" s="5" t="s">
        <v>34</v>
      </c>
      <c r="J270" s="98" t="s">
        <v>3442</v>
      </c>
    </row>
    <row r="271" spans="1:10" ht="28.9" customHeight="1" thickTop="1" thickBot="1" x14ac:dyDescent="0.65">
      <c r="A271" s="3">
        <v>269</v>
      </c>
      <c r="B271" s="44" t="str">
        <f>HYPERLINK("https://search.naver.com/search.naver?query=그린랜드 영화", "그린랜드")</f>
        <v>그린랜드</v>
      </c>
      <c r="C271" s="45">
        <v>8.14</v>
      </c>
      <c r="D271" s="4" t="s">
        <v>417</v>
      </c>
      <c r="E271" s="3" t="s">
        <v>20</v>
      </c>
      <c r="F271" s="3">
        <v>2020</v>
      </c>
      <c r="G271" s="3" t="s">
        <v>12</v>
      </c>
      <c r="H271" s="3" t="s">
        <v>418</v>
      </c>
      <c r="I271" s="3" t="s">
        <v>53</v>
      </c>
      <c r="J271" s="97" t="s">
        <v>3436</v>
      </c>
    </row>
    <row r="272" spans="1:10" ht="28.9" customHeight="1" thickTop="1" thickBot="1" x14ac:dyDescent="0.65">
      <c r="A272" s="5">
        <v>270</v>
      </c>
      <c r="B272" s="46" t="str">
        <f>HYPERLINK("https://search.naver.com/search.naver?query=그린랜드2-미그레이션 영화", "그린랜드2-미그레이션")</f>
        <v>그린랜드2-미그레이션</v>
      </c>
      <c r="C272" s="47"/>
      <c r="D272" s="6" t="s">
        <v>419</v>
      </c>
      <c r="E272" s="5" t="s">
        <v>20</v>
      </c>
      <c r="F272" s="5">
        <v>2026</v>
      </c>
      <c r="G272" s="5" t="s">
        <v>12</v>
      </c>
      <c r="H272" s="5" t="s">
        <v>418</v>
      </c>
      <c r="I272" s="5" t="s">
        <v>86</v>
      </c>
      <c r="J272" s="98">
        <v>46051</v>
      </c>
    </row>
    <row r="273" spans="1:10" ht="28.9" customHeight="1" thickTop="1" thickBot="1" x14ac:dyDescent="0.65">
      <c r="A273" s="3">
        <v>271</v>
      </c>
      <c r="B273" s="44" t="str">
        <f>HYPERLINK("https://search.naver.com/search.naver?query=그림자 살인 영화", "그림자 살인")</f>
        <v>그림자 살인</v>
      </c>
      <c r="C273" s="45">
        <v>7.38</v>
      </c>
      <c r="D273" s="4" t="s">
        <v>420</v>
      </c>
      <c r="E273" s="3" t="s">
        <v>11</v>
      </c>
      <c r="F273" s="3">
        <v>2009</v>
      </c>
      <c r="G273" s="3" t="s">
        <v>12</v>
      </c>
      <c r="H273" s="3" t="s">
        <v>141</v>
      </c>
      <c r="I273" s="3" t="s">
        <v>278</v>
      </c>
      <c r="J273" s="97" t="s">
        <v>3453</v>
      </c>
    </row>
    <row r="274" spans="1:10" ht="28.9" customHeight="1" thickTop="1" thickBot="1" x14ac:dyDescent="0.65">
      <c r="A274" s="5">
        <v>272</v>
      </c>
      <c r="B274" s="46" t="str">
        <f>HYPERLINK("https://search.naver.com/search.naver?query=그물 영화", "그물")</f>
        <v>그물</v>
      </c>
      <c r="C274" s="47">
        <v>8.3699999999999992</v>
      </c>
      <c r="D274" s="6" t="s">
        <v>421</v>
      </c>
      <c r="E274" s="5" t="s">
        <v>11</v>
      </c>
      <c r="F274" s="5">
        <v>2016</v>
      </c>
      <c r="G274" s="5" t="s">
        <v>12</v>
      </c>
      <c r="H274" s="5" t="s">
        <v>17</v>
      </c>
      <c r="I274" s="5" t="s">
        <v>207</v>
      </c>
      <c r="J274" s="98" t="s">
        <v>3441</v>
      </c>
    </row>
    <row r="275" spans="1:10" ht="28.9" customHeight="1" thickTop="1" thickBot="1" x14ac:dyDescent="0.65">
      <c r="A275" s="3">
        <v>273</v>
      </c>
      <c r="B275" s="44" t="str">
        <f>HYPERLINK("https://search.naver.com/search.naver?query=그을린 사랑 영화", "그을린 사랑")</f>
        <v>그을린 사랑</v>
      </c>
      <c r="C275" s="45">
        <v>8.73</v>
      </c>
      <c r="D275" s="4" t="s">
        <v>422</v>
      </c>
      <c r="E275" s="3" t="s">
        <v>189</v>
      </c>
      <c r="F275" s="3">
        <v>2011</v>
      </c>
      <c r="G275" s="3" t="s">
        <v>12</v>
      </c>
      <c r="H275" s="3" t="s">
        <v>17</v>
      </c>
      <c r="I275" s="3" t="s">
        <v>34</v>
      </c>
      <c r="J275" s="97" t="s">
        <v>3454</v>
      </c>
    </row>
    <row r="276" spans="1:10" ht="28.5" customHeight="1" thickTop="1" thickBot="1" x14ac:dyDescent="0.65">
      <c r="A276" s="7">
        <v>274</v>
      </c>
      <c r="B276" s="48" t="str">
        <f>HYPERLINK("https://search.naver.com/search.naver?query=넷플릭스  그의 이야기 그녀 이야기", "그의 이야기 드라마 &amp; 그녀의 이야기")</f>
        <v>그의 이야기 드라마 &amp; 그녀의 이야기</v>
      </c>
      <c r="C276" s="49"/>
      <c r="D276" s="8" t="s">
        <v>423</v>
      </c>
      <c r="E276" s="7" t="s">
        <v>20</v>
      </c>
      <c r="F276" s="7">
        <v>2026</v>
      </c>
      <c r="G276" s="7" t="s">
        <v>17</v>
      </c>
      <c r="H276" s="7" t="s">
        <v>17</v>
      </c>
      <c r="I276" s="7" t="s">
        <v>173</v>
      </c>
      <c r="J276" s="99">
        <v>46032</v>
      </c>
    </row>
    <row r="277" spans="1:10" ht="28.9" customHeight="1" thickTop="1" thickBot="1" x14ac:dyDescent="0.65">
      <c r="A277" s="3">
        <v>275</v>
      </c>
      <c r="B277" s="44" t="str">
        <f>HYPERLINK("https://search.naver.com/search.naver?query=그해여름 영화", "그해여름")</f>
        <v>그해여름</v>
      </c>
      <c r="C277" s="45">
        <v>8.9600000000000009</v>
      </c>
      <c r="D277" s="4" t="s">
        <v>424</v>
      </c>
      <c r="E277" s="3" t="s">
        <v>11</v>
      </c>
      <c r="F277" s="3">
        <v>2006</v>
      </c>
      <c r="G277" s="3" t="s">
        <v>12</v>
      </c>
      <c r="H277" s="3" t="s">
        <v>17</v>
      </c>
      <c r="I277" s="3" t="s">
        <v>142</v>
      </c>
      <c r="J277" s="97" t="s">
        <v>3460</v>
      </c>
    </row>
    <row r="278" spans="1:10" ht="28.9" customHeight="1" thickTop="1" thickBot="1" x14ac:dyDescent="0.65">
      <c r="A278" s="5">
        <v>276</v>
      </c>
      <c r="B278" s="46" t="str">
        <f>HYPERLINK("https://search.naver.com/search.naver?query=극비수사 영화", "극비수사")</f>
        <v>극비수사</v>
      </c>
      <c r="C278" s="47">
        <v>8.35</v>
      </c>
      <c r="D278" s="6" t="s">
        <v>425</v>
      </c>
      <c r="E278" s="5" t="s">
        <v>11</v>
      </c>
      <c r="F278" s="5">
        <v>2015</v>
      </c>
      <c r="G278" s="5" t="s">
        <v>12</v>
      </c>
      <c r="H278" s="5" t="s">
        <v>17</v>
      </c>
      <c r="I278" s="5" t="s">
        <v>31</v>
      </c>
      <c r="J278" s="98" t="s">
        <v>3440</v>
      </c>
    </row>
    <row r="279" spans="1:10" ht="28.9" customHeight="1" thickTop="1" thickBot="1" x14ac:dyDescent="0.65">
      <c r="A279" s="3">
        <v>277</v>
      </c>
      <c r="B279" s="44" t="str">
        <f>HYPERLINK("https://search.naver.com/search.naver?query=극한직업 영화", "극한직업")</f>
        <v>극한직업</v>
      </c>
      <c r="C279" s="45">
        <v>9.2100000000000009</v>
      </c>
      <c r="D279" s="4" t="s">
        <v>426</v>
      </c>
      <c r="E279" s="3" t="s">
        <v>11</v>
      </c>
      <c r="F279" s="3">
        <v>2018</v>
      </c>
      <c r="G279" s="3" t="s">
        <v>12</v>
      </c>
      <c r="H279" s="3" t="s">
        <v>427</v>
      </c>
      <c r="I279" s="3" t="s">
        <v>102</v>
      </c>
      <c r="J279" s="97" t="s">
        <v>3442</v>
      </c>
    </row>
    <row r="280" spans="1:10" ht="28.9" customHeight="1" thickTop="1" thickBot="1" x14ac:dyDescent="0.65">
      <c r="A280" s="5">
        <v>278</v>
      </c>
      <c r="B280" s="46" t="str">
        <f>HYPERLINK("https://search.naver.com/search.naver?query=글래디에이터1 영화", "글래디에이터1")</f>
        <v>글래디에이터1</v>
      </c>
      <c r="C280" s="47">
        <v>9.43</v>
      </c>
      <c r="D280" s="6" t="s">
        <v>428</v>
      </c>
      <c r="E280" s="5" t="s">
        <v>20</v>
      </c>
      <c r="F280" s="5">
        <v>2000</v>
      </c>
      <c r="G280" s="5" t="s">
        <v>12</v>
      </c>
      <c r="H280" s="5" t="s">
        <v>259</v>
      </c>
      <c r="I280" s="5" t="s">
        <v>429</v>
      </c>
      <c r="J280" s="98" t="s">
        <v>3458</v>
      </c>
    </row>
    <row r="281" spans="1:10" ht="28.9" customHeight="1" thickTop="1" thickBot="1" x14ac:dyDescent="0.65">
      <c r="A281" s="3">
        <v>279</v>
      </c>
      <c r="B281" s="44" t="str">
        <f>HYPERLINK("https://search.naver.com/search.naver?query=글래디에이터2 영화", "글래디에이터2")</f>
        <v>글래디에이터2</v>
      </c>
      <c r="C281" s="45">
        <v>7.49</v>
      </c>
      <c r="D281" s="4" t="s">
        <v>430</v>
      </c>
      <c r="E281" s="3" t="s">
        <v>20</v>
      </c>
      <c r="F281" s="3">
        <v>2024</v>
      </c>
      <c r="G281" s="3" t="s">
        <v>12</v>
      </c>
      <c r="H281" s="3" t="s">
        <v>259</v>
      </c>
      <c r="I281" s="3" t="s">
        <v>28</v>
      </c>
      <c r="J281" s="97" t="s">
        <v>3448</v>
      </c>
    </row>
    <row r="282" spans="1:10" ht="28.9" customHeight="1" thickTop="1" thickBot="1" x14ac:dyDescent="0.65">
      <c r="A282" s="5">
        <v>280</v>
      </c>
      <c r="B282" s="46" t="str">
        <f>HYPERLINK("https://search.naver.com/search.naver?query=글래스 영화", "글래스")</f>
        <v>글래스</v>
      </c>
      <c r="C282" s="47">
        <v>8.0500000000000007</v>
      </c>
      <c r="D282" s="6" t="s">
        <v>431</v>
      </c>
      <c r="E282" s="5" t="s">
        <v>20</v>
      </c>
      <c r="F282" s="5">
        <v>2018</v>
      </c>
      <c r="G282" s="5" t="s">
        <v>12</v>
      </c>
      <c r="H282" s="5" t="s">
        <v>43</v>
      </c>
      <c r="I282" s="5" t="s">
        <v>64</v>
      </c>
      <c r="J282" s="98" t="s">
        <v>3442</v>
      </c>
    </row>
    <row r="283" spans="1:10" ht="28.9" customHeight="1" thickTop="1" thickBot="1" x14ac:dyDescent="0.65">
      <c r="A283" s="3">
        <v>281</v>
      </c>
      <c r="B283" s="44" t="str">
        <f>HYPERLINK("https://search.naver.com/search.naver?query=글러브 영화", "글러브")</f>
        <v>글러브</v>
      </c>
      <c r="C283" s="45">
        <v>8.85</v>
      </c>
      <c r="D283" s="4" t="s">
        <v>432</v>
      </c>
      <c r="E283" s="3" t="s">
        <v>11</v>
      </c>
      <c r="F283" s="3">
        <v>2011</v>
      </c>
      <c r="G283" s="3" t="s">
        <v>12</v>
      </c>
      <c r="H283" s="3" t="s">
        <v>17</v>
      </c>
      <c r="I283" s="3" t="s">
        <v>45</v>
      </c>
      <c r="J283" s="97" t="s">
        <v>3454</v>
      </c>
    </row>
    <row r="284" spans="1:10" ht="28.9" customHeight="1" thickTop="1" thickBot="1" x14ac:dyDescent="0.65">
      <c r="A284" s="5">
        <v>282</v>
      </c>
      <c r="B284" s="46" t="str">
        <f>HYPERLINK("https://search.naver.com/search.naver?query=글로리아 벨 영화", "글로리아 벨")</f>
        <v>글로리아 벨</v>
      </c>
      <c r="C284" s="47">
        <v>7.87</v>
      </c>
      <c r="D284" s="6" t="s">
        <v>433</v>
      </c>
      <c r="E284" s="5" t="s">
        <v>20</v>
      </c>
      <c r="F284" s="5">
        <v>2018</v>
      </c>
      <c r="G284" s="5" t="s">
        <v>12</v>
      </c>
      <c r="H284" s="5" t="s">
        <v>17</v>
      </c>
      <c r="I284" s="5" t="s">
        <v>99</v>
      </c>
      <c r="J284" s="98" t="s">
        <v>3442</v>
      </c>
    </row>
    <row r="285" spans="1:10" ht="28.9" customHeight="1" thickTop="1" thickBot="1" x14ac:dyDescent="0.65">
      <c r="A285" s="3">
        <v>283</v>
      </c>
      <c r="B285" s="44" t="str">
        <f>HYPERLINK("https://search.naver.com/search.naver?query=글루미 썬데이", "글루미 썬데이")</f>
        <v>글루미 썬데이</v>
      </c>
      <c r="C285" s="45">
        <v>9.32</v>
      </c>
      <c r="D285" s="4" t="s">
        <v>434</v>
      </c>
      <c r="E285" s="3" t="s">
        <v>101</v>
      </c>
      <c r="F285" s="3">
        <v>1999</v>
      </c>
      <c r="G285" s="3" t="s">
        <v>12</v>
      </c>
      <c r="H285" s="3" t="s">
        <v>17</v>
      </c>
      <c r="I285" s="3" t="s">
        <v>278</v>
      </c>
      <c r="J285" s="97" t="s">
        <v>3456</v>
      </c>
    </row>
    <row r="286" spans="1:10" ht="28.9" customHeight="1" thickTop="1" thickBot="1" x14ac:dyDescent="0.65">
      <c r="A286" s="5">
        <v>284</v>
      </c>
      <c r="B286" s="46" t="str">
        <f>HYPERLINK("https://search.naver.com/search.naver?query=기니피그를 좋아하세요 영화", "기니피그를 좋아하세요")</f>
        <v>기니피그를 좋아하세요</v>
      </c>
      <c r="C286" s="47">
        <v>6.4</v>
      </c>
      <c r="D286" s="6" t="s">
        <v>435</v>
      </c>
      <c r="E286" s="5" t="s">
        <v>16</v>
      </c>
      <c r="F286" s="5">
        <v>2019</v>
      </c>
      <c r="G286" s="5" t="s">
        <v>12</v>
      </c>
      <c r="H286" s="5" t="s">
        <v>17</v>
      </c>
      <c r="I286" s="5" t="s">
        <v>14</v>
      </c>
      <c r="J286" s="98" t="s">
        <v>3444</v>
      </c>
    </row>
    <row r="287" spans="1:10" ht="28.9" customHeight="1" thickTop="1" thickBot="1" x14ac:dyDescent="0.65">
      <c r="A287" s="3">
        <v>285</v>
      </c>
      <c r="B287" s="44" t="str">
        <f>HYPERLINK("https://search.naver.com/search.naver?query=기도의 막이 내릴 때 영화", "기도의 막이 내릴 때")</f>
        <v>기도의 막이 내릴 때</v>
      </c>
      <c r="C287" s="45">
        <v>8.94</v>
      </c>
      <c r="D287" s="4" t="s">
        <v>436</v>
      </c>
      <c r="E287" s="3" t="s">
        <v>16</v>
      </c>
      <c r="F287" s="3">
        <v>2018</v>
      </c>
      <c r="G287" s="3" t="s">
        <v>12</v>
      </c>
      <c r="H287" s="3" t="s">
        <v>17</v>
      </c>
      <c r="I287" s="3" t="s">
        <v>170</v>
      </c>
      <c r="J287" s="97" t="s">
        <v>3442</v>
      </c>
    </row>
    <row r="288" spans="1:10" ht="28.9" customHeight="1" thickTop="1" thickBot="1" x14ac:dyDescent="0.65">
      <c r="A288" s="5">
        <v>286</v>
      </c>
      <c r="B288" s="46" t="str">
        <f>HYPERLINK("https://search.naver.com/search.naver?query=기동순찰대 영화", "기동순찰대")</f>
        <v>기동순찰대</v>
      </c>
      <c r="C288" s="47">
        <v>6.4</v>
      </c>
      <c r="D288" s="6" t="s">
        <v>437</v>
      </c>
      <c r="E288" s="5" t="s">
        <v>20</v>
      </c>
      <c r="F288" s="5">
        <v>2017</v>
      </c>
      <c r="G288" s="5" t="s">
        <v>12</v>
      </c>
      <c r="H288" s="5" t="s">
        <v>92</v>
      </c>
      <c r="I288" s="5" t="s">
        <v>61</v>
      </c>
      <c r="J288" s="98" t="s">
        <v>3443</v>
      </c>
    </row>
    <row r="289" spans="1:10" ht="28.9" customHeight="1" thickTop="1" thickBot="1" x14ac:dyDescent="0.65">
      <c r="A289" s="3">
        <v>287</v>
      </c>
      <c r="B289" s="44" t="str">
        <f>HYPERLINK("https://search.naver.com/search.naver?query=기린의 날개 극장판 신참자 영화", "기린의 날개 극장판 신참자")</f>
        <v>기린의 날개 극장판 신참자</v>
      </c>
      <c r="C289" s="45">
        <v>6.4</v>
      </c>
      <c r="D289" s="4" t="s">
        <v>438</v>
      </c>
      <c r="E289" s="3" t="s">
        <v>16</v>
      </c>
      <c r="F289" s="3">
        <v>2012</v>
      </c>
      <c r="G289" s="3" t="s">
        <v>12</v>
      </c>
      <c r="H289" s="3" t="s">
        <v>141</v>
      </c>
      <c r="I289" s="3" t="s">
        <v>96</v>
      </c>
      <c r="J289" s="97" t="s">
        <v>3439</v>
      </c>
    </row>
    <row r="290" spans="1:10" ht="28.9" customHeight="1" thickTop="1" thickBot="1" x14ac:dyDescent="0.65">
      <c r="A290" s="5">
        <v>288</v>
      </c>
      <c r="B290" s="46" t="str">
        <f>HYPERLINK("https://search.naver.com/search.naver?query=기묘한 가족 영화", "기묘한 가족")</f>
        <v>기묘한 가족</v>
      </c>
      <c r="C290" s="47">
        <v>7.49</v>
      </c>
      <c r="D290" s="6" t="s">
        <v>439</v>
      </c>
      <c r="E290" s="5" t="s">
        <v>11</v>
      </c>
      <c r="F290" s="5">
        <v>2018</v>
      </c>
      <c r="G290" s="5" t="s">
        <v>12</v>
      </c>
      <c r="H290" s="5" t="s">
        <v>68</v>
      </c>
      <c r="I290" s="5" t="s">
        <v>278</v>
      </c>
      <c r="J290" s="98" t="s">
        <v>3442</v>
      </c>
    </row>
    <row r="291" spans="1:10" ht="28.9" customHeight="1" thickTop="1" thickBot="1" x14ac:dyDescent="0.65">
      <c r="A291" s="7">
        <v>289</v>
      </c>
      <c r="B291" s="48" t="str">
        <f>HYPERLINK("https://search.naver.com/search.naver?query=기묘한 이야기 시즌1", "기묘한 이야기 시즌1")</f>
        <v>기묘한 이야기 시즌1</v>
      </c>
      <c r="C291" s="49"/>
      <c r="D291" s="8" t="s">
        <v>440</v>
      </c>
      <c r="E291" s="7" t="s">
        <v>20</v>
      </c>
      <c r="F291" s="7">
        <v>2016</v>
      </c>
      <c r="G291" s="7" t="s">
        <v>17</v>
      </c>
      <c r="H291" s="7" t="s">
        <v>441</v>
      </c>
      <c r="I291" s="7" t="s">
        <v>55</v>
      </c>
      <c r="J291" s="99" t="s">
        <v>3441</v>
      </c>
    </row>
    <row r="292" spans="1:10" ht="28.9" customHeight="1" thickTop="1" thickBot="1" x14ac:dyDescent="0.65">
      <c r="A292" s="7">
        <v>290</v>
      </c>
      <c r="B292" s="48" t="str">
        <f>HYPERLINK("https://search.naver.com/search.naver?query=기묘한 이야기 시즌2", "기묘한 이야기 시즌2")</f>
        <v>기묘한 이야기 시즌2</v>
      </c>
      <c r="C292" s="49"/>
      <c r="D292" s="8" t="s">
        <v>442</v>
      </c>
      <c r="E292" s="7" t="s">
        <v>20</v>
      </c>
      <c r="F292" s="7">
        <v>2017</v>
      </c>
      <c r="G292" s="7" t="s">
        <v>17</v>
      </c>
      <c r="H292" s="7" t="s">
        <v>441</v>
      </c>
      <c r="I292" s="7" t="s">
        <v>242</v>
      </c>
      <c r="J292" s="99" t="s">
        <v>3443</v>
      </c>
    </row>
    <row r="293" spans="1:10" ht="28.9" customHeight="1" thickTop="1" thickBot="1" x14ac:dyDescent="0.65">
      <c r="A293" s="7">
        <v>291</v>
      </c>
      <c r="B293" s="48" t="str">
        <f>HYPERLINK("https://search.naver.com/search.naver?query=기묘한 이야기 시즌3", "기묘한 이야기 시즌3")</f>
        <v>기묘한 이야기 시즌3</v>
      </c>
      <c r="C293" s="49"/>
      <c r="D293" s="8" t="s">
        <v>440</v>
      </c>
      <c r="E293" s="7" t="s">
        <v>20</v>
      </c>
      <c r="F293" s="7">
        <v>2019</v>
      </c>
      <c r="G293" s="7" t="s">
        <v>17</v>
      </c>
      <c r="H293" s="7" t="s">
        <v>441</v>
      </c>
      <c r="I293" s="7" t="s">
        <v>55</v>
      </c>
      <c r="J293" s="99" t="s">
        <v>3444</v>
      </c>
    </row>
    <row r="294" spans="1:10" ht="28.9" customHeight="1" thickTop="1" thickBot="1" x14ac:dyDescent="0.65">
      <c r="A294" s="7">
        <v>292</v>
      </c>
      <c r="B294" s="48" t="str">
        <f>HYPERLINK("https://search.naver.com/search.naver?query=기묘한 이야기 시즌4", "기묘한 이야기 시즌4")</f>
        <v>기묘한 이야기 시즌4</v>
      </c>
      <c r="C294" s="49"/>
      <c r="D294" s="8" t="s">
        <v>440</v>
      </c>
      <c r="E294" s="7" t="s">
        <v>20</v>
      </c>
      <c r="F294" s="7">
        <v>2022</v>
      </c>
      <c r="G294" s="7" t="s">
        <v>17</v>
      </c>
      <c r="H294" s="7" t="s">
        <v>441</v>
      </c>
      <c r="I294" s="7" t="s">
        <v>242</v>
      </c>
      <c r="J294" s="99" t="s">
        <v>3445</v>
      </c>
    </row>
    <row r="295" spans="1:10" ht="28.9" customHeight="1" thickTop="1" thickBot="1" x14ac:dyDescent="0.65">
      <c r="A295" s="3">
        <v>293</v>
      </c>
      <c r="B295" s="44" t="str">
        <f>HYPERLINK("https://search.naver.com/search.naver?query=기생충 영화", "기생충")</f>
        <v>기생충</v>
      </c>
      <c r="C295" s="45">
        <v>9.07</v>
      </c>
      <c r="D295" s="4" t="s">
        <v>443</v>
      </c>
      <c r="E295" s="3" t="s">
        <v>11</v>
      </c>
      <c r="F295" s="3">
        <v>2019</v>
      </c>
      <c r="G295" s="3" t="s">
        <v>12</v>
      </c>
      <c r="H295" s="3" t="s">
        <v>13</v>
      </c>
      <c r="I295" s="3" t="s">
        <v>350</v>
      </c>
      <c r="J295" s="97" t="s">
        <v>3444</v>
      </c>
    </row>
    <row r="296" spans="1:10" ht="28.9" customHeight="1" thickTop="1" thickBot="1" x14ac:dyDescent="0.65">
      <c r="A296" s="5">
        <v>294</v>
      </c>
      <c r="B296" s="46" t="str">
        <f>HYPERLINK("https://search.naver.com/search.naver?query=기술자들 영화", "기술자들")</f>
        <v>기술자들</v>
      </c>
      <c r="C296" s="47">
        <v>7.91</v>
      </c>
      <c r="D296" s="6" t="s">
        <v>444</v>
      </c>
      <c r="E296" s="5" t="s">
        <v>11</v>
      </c>
      <c r="F296" s="5">
        <v>2014</v>
      </c>
      <c r="G296" s="5" t="s">
        <v>12</v>
      </c>
      <c r="H296" s="5" t="s">
        <v>80</v>
      </c>
      <c r="I296" s="5" t="s">
        <v>207</v>
      </c>
      <c r="J296" s="98" t="s">
        <v>3437</v>
      </c>
    </row>
    <row r="297" spans="1:10" ht="28.9" customHeight="1" thickTop="1" thickBot="1" x14ac:dyDescent="0.65">
      <c r="A297" s="3">
        <v>295</v>
      </c>
      <c r="B297" s="44" t="str">
        <f>HYPERLINK("https://search.naver.com/search.naver?query=기억의 밤 영화", "기억의 밤")</f>
        <v>기억의 밤</v>
      </c>
      <c r="C297" s="45">
        <v>8.43</v>
      </c>
      <c r="D297" s="4" t="s">
        <v>445</v>
      </c>
      <c r="E297" s="3" t="s">
        <v>11</v>
      </c>
      <c r="F297" s="3">
        <v>2017</v>
      </c>
      <c r="G297" s="3" t="s">
        <v>12</v>
      </c>
      <c r="H297" s="3" t="s">
        <v>43</v>
      </c>
      <c r="I297" s="3" t="s">
        <v>31</v>
      </c>
      <c r="J297" s="97" t="s">
        <v>3443</v>
      </c>
    </row>
    <row r="298" spans="1:10" ht="28.9" customHeight="1" thickTop="1" thickBot="1" x14ac:dyDescent="0.65">
      <c r="A298" s="5">
        <v>296</v>
      </c>
      <c r="B298" s="46" t="str">
        <f>HYPERLINK("https://search.naver.com/search.naver?query=기적 영화", "기적")</f>
        <v>기적</v>
      </c>
      <c r="C298" s="47">
        <v>8.3000000000000007</v>
      </c>
      <c r="D298" s="6" t="s">
        <v>446</v>
      </c>
      <c r="E298" s="5" t="s">
        <v>11</v>
      </c>
      <c r="F298" s="5">
        <v>2020</v>
      </c>
      <c r="G298" s="5" t="s">
        <v>12</v>
      </c>
      <c r="H298" s="5" t="s">
        <v>17</v>
      </c>
      <c r="I298" s="5" t="s">
        <v>286</v>
      </c>
      <c r="J298" s="98" t="s">
        <v>3436</v>
      </c>
    </row>
    <row r="299" spans="1:10" ht="28.9" customHeight="1" thickTop="1" thickBot="1" x14ac:dyDescent="0.65">
      <c r="A299" s="3">
        <v>297</v>
      </c>
      <c r="B299" s="44" t="str">
        <f>HYPERLINK("https://search.naver.com/search.naver?query=기적:그 날의 소비토 영화", "기적-그 날의 소비토")</f>
        <v>기적-그 날의 소비토</v>
      </c>
      <c r="C299" s="45">
        <v>8.5500000000000007</v>
      </c>
      <c r="D299" s="4" t="s">
        <v>447</v>
      </c>
      <c r="E299" s="3" t="s">
        <v>16</v>
      </c>
      <c r="F299" s="3">
        <v>2017</v>
      </c>
      <c r="G299" s="3" t="s">
        <v>12</v>
      </c>
      <c r="H299" s="3" t="s">
        <v>17</v>
      </c>
      <c r="I299" s="3" t="s">
        <v>96</v>
      </c>
      <c r="J299" s="97" t="s">
        <v>3443</v>
      </c>
    </row>
    <row r="300" spans="1:10" ht="28.9" customHeight="1" thickTop="1" thickBot="1" x14ac:dyDescent="0.65">
      <c r="A300" s="5">
        <v>298</v>
      </c>
      <c r="B300" s="46" t="str">
        <f>HYPERLINK("https://search.naver.com/search.naver?query=기적의 비행 영화", "기적의 비행")</f>
        <v>기적의 비행</v>
      </c>
      <c r="C300" s="47">
        <v>6.4</v>
      </c>
      <c r="D300" s="6" t="s">
        <v>448</v>
      </c>
      <c r="E300" s="5" t="s">
        <v>20</v>
      </c>
      <c r="F300" s="5">
        <v>2023</v>
      </c>
      <c r="G300" s="5" t="s">
        <v>12</v>
      </c>
      <c r="H300" s="5" t="s">
        <v>17</v>
      </c>
      <c r="I300" s="5" t="s">
        <v>99</v>
      </c>
      <c r="J300" s="98" t="s">
        <v>3446</v>
      </c>
    </row>
    <row r="301" spans="1:10" ht="28.9" customHeight="1" thickTop="1" thickBot="1" x14ac:dyDescent="0.65">
      <c r="A301" s="3">
        <v>299</v>
      </c>
      <c r="B301" s="44" t="str">
        <f>HYPERLINK("https://search.naver.com/search.naver?query=기적의 사과 영화", "기적의 사과")</f>
        <v>기적의 사과</v>
      </c>
      <c r="C301" s="45">
        <v>6.4</v>
      </c>
      <c r="D301" s="4" t="s">
        <v>449</v>
      </c>
      <c r="E301" s="3" t="s">
        <v>16</v>
      </c>
      <c r="F301" s="3">
        <v>2013</v>
      </c>
      <c r="G301" s="3" t="s">
        <v>12</v>
      </c>
      <c r="H301" s="3" t="s">
        <v>17</v>
      </c>
      <c r="I301" s="3" t="s">
        <v>102</v>
      </c>
      <c r="J301" s="97" t="s">
        <v>3451</v>
      </c>
    </row>
    <row r="302" spans="1:10" ht="28.9" customHeight="1" thickTop="1" thickBot="1" x14ac:dyDescent="0.65">
      <c r="A302" s="5">
        <v>300</v>
      </c>
      <c r="B302" s="46" t="str">
        <f>HYPERLINK("https://search.naver.com/search.naver?query=기적의 피아노 영화", "기적의 피아노")</f>
        <v>기적의 피아노</v>
      </c>
      <c r="C302" s="47">
        <v>9.14</v>
      </c>
      <c r="D302" s="6" t="s">
        <v>450</v>
      </c>
      <c r="E302" s="5" t="s">
        <v>16</v>
      </c>
      <c r="F302" s="5">
        <v>2013</v>
      </c>
      <c r="G302" s="5" t="s">
        <v>12</v>
      </c>
      <c r="H302" s="5" t="s">
        <v>17</v>
      </c>
      <c r="I302" s="5" t="s">
        <v>111</v>
      </c>
      <c r="J302" s="98" t="s">
        <v>3451</v>
      </c>
    </row>
    <row r="303" spans="1:10" ht="28.9" customHeight="1" thickTop="1" thickBot="1" x14ac:dyDescent="0.65">
      <c r="A303" s="3">
        <v>301</v>
      </c>
      <c r="B303" s="44" t="str">
        <f>HYPERLINK("https://search.naver.com/search.naver?query=기쿠지로의 여름 영화", "기쿠지로의 여름")</f>
        <v>기쿠지로의 여름</v>
      </c>
      <c r="C303" s="45">
        <v>8.16</v>
      </c>
      <c r="D303" s="4" t="s">
        <v>451</v>
      </c>
      <c r="E303" s="3" t="s">
        <v>16</v>
      </c>
      <c r="F303" s="3">
        <v>1999</v>
      </c>
      <c r="G303" s="3" t="s">
        <v>12</v>
      </c>
      <c r="H303" s="3" t="s">
        <v>17</v>
      </c>
      <c r="I303" s="3" t="s">
        <v>142</v>
      </c>
      <c r="J303" s="97" t="s">
        <v>3456</v>
      </c>
    </row>
    <row r="304" spans="1:10" ht="28.9" customHeight="1" thickTop="1" thickBot="1" x14ac:dyDescent="0.65">
      <c r="A304" s="5">
        <v>302</v>
      </c>
      <c r="B304" s="46" t="str">
        <f>HYPERLINK("https://search.naver.com/search.naver?query=기프트 영화", "기프트")</f>
        <v>기프트</v>
      </c>
      <c r="C304" s="47">
        <v>5.25</v>
      </c>
      <c r="D304" s="6" t="s">
        <v>452</v>
      </c>
      <c r="E304" s="5" t="s">
        <v>20</v>
      </c>
      <c r="F304" s="5">
        <v>2014</v>
      </c>
      <c r="G304" s="5" t="s">
        <v>12</v>
      </c>
      <c r="H304" s="5" t="s">
        <v>43</v>
      </c>
      <c r="I304" s="5" t="s">
        <v>31</v>
      </c>
      <c r="J304" s="98" t="s">
        <v>3437</v>
      </c>
    </row>
    <row r="305" spans="1:10" ht="28.9" customHeight="1" thickTop="1" thickBot="1" x14ac:dyDescent="0.65">
      <c r="A305" s="3">
        <v>303</v>
      </c>
      <c r="B305" s="44" t="str">
        <f>HYPERLINK("https://search.naver.com/search.naver?query=기프티드-어메이징 메리 영화", "기프티드")</f>
        <v>기프티드</v>
      </c>
      <c r="C305" s="45"/>
      <c r="D305" s="4" t="s">
        <v>453</v>
      </c>
      <c r="E305" s="3" t="s">
        <v>20</v>
      </c>
      <c r="F305" s="3">
        <v>2017</v>
      </c>
      <c r="G305" s="3" t="s">
        <v>12</v>
      </c>
      <c r="H305" s="3" t="s">
        <v>17</v>
      </c>
      <c r="I305" s="3" t="s">
        <v>70</v>
      </c>
      <c r="J305" s="97" t="s">
        <v>3443</v>
      </c>
    </row>
    <row r="306" spans="1:10" ht="28.9" customHeight="1" thickTop="1" thickBot="1" x14ac:dyDescent="0.65">
      <c r="A306" s="5">
        <v>304</v>
      </c>
      <c r="B306" s="46" t="str">
        <f>HYPERLINK("https://search.naver.com/search.naver?query=긴급명령 영화", "긴급명령")</f>
        <v>긴급명령</v>
      </c>
      <c r="C306" s="47">
        <v>8.35</v>
      </c>
      <c r="D306" s="6" t="s">
        <v>454</v>
      </c>
      <c r="E306" s="5" t="s">
        <v>20</v>
      </c>
      <c r="F306" s="5">
        <v>1994</v>
      </c>
      <c r="G306" s="5" t="s">
        <v>12</v>
      </c>
      <c r="H306" s="5" t="s">
        <v>21</v>
      </c>
      <c r="I306" s="5" t="s">
        <v>455</v>
      </c>
      <c r="J306" s="98" t="s">
        <v>3467</v>
      </c>
    </row>
    <row r="307" spans="1:10" ht="28.9" customHeight="1" thickTop="1" thickBot="1" x14ac:dyDescent="0.65">
      <c r="A307" s="3">
        <v>305</v>
      </c>
      <c r="B307" s="44" t="str">
        <f>HYPERLINK("https://search.naver.com/search.naver?query=길복순 영화", "길복순")</f>
        <v>길복순</v>
      </c>
      <c r="C307" s="45">
        <v>6.97</v>
      </c>
      <c r="D307" s="4" t="s">
        <v>456</v>
      </c>
      <c r="E307" s="3" t="s">
        <v>11</v>
      </c>
      <c r="F307" s="3">
        <v>2023</v>
      </c>
      <c r="G307" s="3" t="s">
        <v>12</v>
      </c>
      <c r="H307" s="3" t="s">
        <v>92</v>
      </c>
      <c r="I307" s="3" t="s">
        <v>186</v>
      </c>
      <c r="J307" s="97" t="s">
        <v>3446</v>
      </c>
    </row>
    <row r="308" spans="1:10" ht="28.9" customHeight="1" thickTop="1" thickBot="1" x14ac:dyDescent="0.65">
      <c r="A308" s="5">
        <v>306</v>
      </c>
      <c r="B308" s="46" t="str">
        <f>HYPERLINK("https://search.naver.com/search.naver?query=깃 영화", "깃")</f>
        <v>깃</v>
      </c>
      <c r="C308" s="47">
        <v>8.1999999999999993</v>
      </c>
      <c r="D308" s="6" t="s">
        <v>457</v>
      </c>
      <c r="E308" s="5" t="s">
        <v>11</v>
      </c>
      <c r="F308" s="5">
        <v>2004</v>
      </c>
      <c r="G308" s="5" t="s">
        <v>12</v>
      </c>
      <c r="H308" s="5" t="s">
        <v>17</v>
      </c>
      <c r="I308" s="5" t="s">
        <v>458</v>
      </c>
      <c r="J308" s="98" t="s">
        <v>3462</v>
      </c>
    </row>
    <row r="309" spans="1:10" ht="28.9" customHeight="1" thickTop="1" thickBot="1" x14ac:dyDescent="0.65">
      <c r="A309" s="3">
        <v>307</v>
      </c>
      <c r="B309" s="44" t="str">
        <f>HYPERLINK("https://search.naver.com/search.naver?query=깨끗하고 연약한 영화", "깨끗하고 연약한")</f>
        <v>깨끗하고 연약한</v>
      </c>
      <c r="C309" s="45">
        <v>7.65</v>
      </c>
      <c r="D309" s="4" t="s">
        <v>459</v>
      </c>
      <c r="E309" s="3" t="s">
        <v>16</v>
      </c>
      <c r="F309" s="3">
        <v>2013</v>
      </c>
      <c r="G309" s="3" t="s">
        <v>12</v>
      </c>
      <c r="H309" s="3" t="s">
        <v>17</v>
      </c>
      <c r="I309" s="3" t="s">
        <v>147</v>
      </c>
      <c r="J309" s="97" t="s">
        <v>3451</v>
      </c>
    </row>
    <row r="310" spans="1:10" ht="28.9" customHeight="1" thickTop="1" thickBot="1" x14ac:dyDescent="0.65">
      <c r="A310" s="5">
        <v>308</v>
      </c>
      <c r="B310" s="46" t="str">
        <f>HYPERLINK("https://search.naver.com/search.naver?query=꽃다발 같은 사랑을 했다 영화", "꽃다발 같은 사랑을 했다")</f>
        <v>꽃다발 같은 사랑을 했다</v>
      </c>
      <c r="C310" s="47">
        <v>8.36</v>
      </c>
      <c r="D310" s="6" t="s">
        <v>460</v>
      </c>
      <c r="E310" s="5" t="s">
        <v>16</v>
      </c>
      <c r="F310" s="5">
        <v>2021</v>
      </c>
      <c r="G310" s="5" t="s">
        <v>12</v>
      </c>
      <c r="H310" s="5" t="s">
        <v>121</v>
      </c>
      <c r="I310" s="5" t="s">
        <v>134</v>
      </c>
      <c r="J310" s="98" t="s">
        <v>3438</v>
      </c>
    </row>
    <row r="311" spans="1:10" ht="28.9" customHeight="1" thickTop="1" thickBot="1" x14ac:dyDescent="0.65">
      <c r="A311" s="3">
        <v>309</v>
      </c>
      <c r="B311" s="44" t="str">
        <f>HYPERLINK("https://search.naver.com/search.naver?query=꽃잎, 춤 영화", "꽃잎, 춤")</f>
        <v>꽃잎, 춤</v>
      </c>
      <c r="C311" s="45">
        <v>7.37</v>
      </c>
      <c r="D311" s="4" t="s">
        <v>461</v>
      </c>
      <c r="E311" s="3" t="s">
        <v>16</v>
      </c>
      <c r="F311" s="3">
        <v>2013</v>
      </c>
      <c r="G311" s="3" t="s">
        <v>12</v>
      </c>
      <c r="H311" s="3" t="s">
        <v>17</v>
      </c>
      <c r="I311" s="3" t="s">
        <v>115</v>
      </c>
      <c r="J311" s="97" t="s">
        <v>3451</v>
      </c>
    </row>
    <row r="312" spans="1:10" ht="28.9" customHeight="1" thickTop="1" thickBot="1" x14ac:dyDescent="0.65">
      <c r="A312" s="5">
        <v>310</v>
      </c>
      <c r="B312" s="46" t="str">
        <f>HYPERLINK("https://search.naver.com/search.naver?query=꽃피는 봄이 오면 영화", "꽃피는 봄이 오면")</f>
        <v>꽃피는 봄이 오면</v>
      </c>
      <c r="C312" s="47">
        <v>8.7100000000000009</v>
      </c>
      <c r="D312" s="6" t="s">
        <v>462</v>
      </c>
      <c r="E312" s="5" t="s">
        <v>11</v>
      </c>
      <c r="F312" s="5">
        <v>2004</v>
      </c>
      <c r="G312" s="5" t="s">
        <v>12</v>
      </c>
      <c r="H312" s="5" t="s">
        <v>17</v>
      </c>
      <c r="I312" s="5" t="s">
        <v>108</v>
      </c>
      <c r="J312" s="98" t="s">
        <v>3462</v>
      </c>
    </row>
    <row r="313" spans="1:10" ht="28.9" customHeight="1" thickTop="1" thickBot="1" x14ac:dyDescent="0.65">
      <c r="A313" s="3">
        <v>311</v>
      </c>
      <c r="B313" s="44" t="str">
        <f>HYPERLINK("https://search.naver.com/search.naver?query=꾸뻬씨의 행복여행 영화", "꾸뻬씨의 행복여행")</f>
        <v>꾸뻬씨의 행복여행</v>
      </c>
      <c r="C313" s="45">
        <v>8.64</v>
      </c>
      <c r="D313" s="4" t="s">
        <v>463</v>
      </c>
      <c r="E313" s="3" t="s">
        <v>210</v>
      </c>
      <c r="F313" s="3">
        <v>2014</v>
      </c>
      <c r="G313" s="3" t="s">
        <v>12</v>
      </c>
      <c r="H313" s="3" t="s">
        <v>68</v>
      </c>
      <c r="I313" s="3" t="s">
        <v>147</v>
      </c>
      <c r="J313" s="97" t="s">
        <v>3437</v>
      </c>
    </row>
    <row r="314" spans="1:10" ht="28.9" customHeight="1" thickTop="1" thickBot="1" x14ac:dyDescent="0.65">
      <c r="A314" s="5">
        <v>312</v>
      </c>
      <c r="B314" s="46" t="str">
        <f>HYPERLINK("https://search.naver.com/search.naver?query=꾼 영화", "꾼")</f>
        <v>꾼</v>
      </c>
      <c r="C314" s="47">
        <v>8.32</v>
      </c>
      <c r="D314" s="6" t="s">
        <v>464</v>
      </c>
      <c r="E314" s="5" t="s">
        <v>11</v>
      </c>
      <c r="F314" s="5">
        <v>2017</v>
      </c>
      <c r="G314" s="5" t="s">
        <v>12</v>
      </c>
      <c r="H314" s="5" t="s">
        <v>277</v>
      </c>
      <c r="I314" s="5" t="s">
        <v>89</v>
      </c>
      <c r="J314" s="98" t="s">
        <v>3443</v>
      </c>
    </row>
    <row r="315" spans="1:10" ht="28.9" customHeight="1" thickTop="1" thickBot="1" x14ac:dyDescent="0.65">
      <c r="A315" s="3">
        <v>313</v>
      </c>
      <c r="B315" s="44" t="str">
        <f>HYPERLINK("https://search.naver.com/search.naver?query=꿈팔이 부부 사기단 영화", "꿈팔이 부부 사기단")</f>
        <v>꿈팔이 부부 사기단</v>
      </c>
      <c r="C315" s="45">
        <v>6.6</v>
      </c>
      <c r="D315" s="4" t="s">
        <v>465</v>
      </c>
      <c r="E315" s="3" t="s">
        <v>16</v>
      </c>
      <c r="F315" s="3">
        <v>2012</v>
      </c>
      <c r="G315" s="3" t="s">
        <v>12</v>
      </c>
      <c r="H315" s="3" t="s">
        <v>68</v>
      </c>
      <c r="I315" s="3" t="s">
        <v>186</v>
      </c>
      <c r="J315" s="97" t="s">
        <v>3439</v>
      </c>
    </row>
    <row r="316" spans="1:10" ht="28.9" customHeight="1" thickTop="1" thickBot="1" x14ac:dyDescent="0.65">
      <c r="A316" s="5">
        <v>314</v>
      </c>
      <c r="B316" s="46" t="str">
        <f>HYPERLINK("https://search.naver.com/search.naver?query=끝까지 간다 영화", "끝까지 간다")</f>
        <v>끝까지 간다</v>
      </c>
      <c r="C316" s="47">
        <v>8.83</v>
      </c>
      <c r="D316" s="6" t="s">
        <v>466</v>
      </c>
      <c r="E316" s="5" t="s">
        <v>11</v>
      </c>
      <c r="F316" s="5">
        <v>2013</v>
      </c>
      <c r="G316" s="5" t="s">
        <v>12</v>
      </c>
      <c r="H316" s="5" t="s">
        <v>21</v>
      </c>
      <c r="I316" s="5" t="s">
        <v>102</v>
      </c>
      <c r="J316" s="98" t="s">
        <v>3451</v>
      </c>
    </row>
    <row r="317" spans="1:10" ht="28.9" customHeight="1" thickTop="1" thickBot="1" x14ac:dyDescent="0.65">
      <c r="A317" s="3">
        <v>315</v>
      </c>
      <c r="B317" s="44" t="str">
        <f>HYPERLINK("https://cine21.com/movie/info/?movie_id=53541", "끝에서 시작되다")</f>
        <v>끝에서 시작되다</v>
      </c>
      <c r="C317" s="45"/>
      <c r="D317" s="4" t="s">
        <v>467</v>
      </c>
      <c r="E317" s="3" t="s">
        <v>20</v>
      </c>
      <c r="F317" s="3">
        <v>2017</v>
      </c>
      <c r="G317" s="3" t="s">
        <v>12</v>
      </c>
      <c r="H317" s="3" t="s">
        <v>17</v>
      </c>
      <c r="I317" s="3" t="s">
        <v>86</v>
      </c>
      <c r="J317" s="97" t="s">
        <v>3443</v>
      </c>
    </row>
    <row r="318" spans="1:10" ht="28.9" customHeight="1" thickTop="1" thickBot="1" x14ac:dyDescent="0.65">
      <c r="A318" s="5">
        <v>316</v>
      </c>
      <c r="B318" s="46" t="str">
        <f>HYPERLINK("https://search.naver.com/search.naver?query=나, 다니엘 블레이크 영화", "나, 다니엘 블레이크")</f>
        <v>나, 다니엘 블레이크</v>
      </c>
      <c r="C318" s="47">
        <v>9.2200000000000006</v>
      </c>
      <c r="D318" s="6" t="s">
        <v>468</v>
      </c>
      <c r="E318" s="5" t="s">
        <v>24</v>
      </c>
      <c r="F318" s="5">
        <v>2016</v>
      </c>
      <c r="G318" s="5" t="s">
        <v>12</v>
      </c>
      <c r="H318" s="5" t="s">
        <v>17</v>
      </c>
      <c r="I318" s="5" t="s">
        <v>131</v>
      </c>
      <c r="J318" s="98" t="s">
        <v>3441</v>
      </c>
    </row>
    <row r="319" spans="1:10" ht="28.9" customHeight="1" thickTop="1" thickBot="1" x14ac:dyDescent="0.65">
      <c r="A319" s="3">
        <v>317</v>
      </c>
      <c r="B319" s="44" t="str">
        <f>HYPERLINK("https://search.naver.com/search.naver?query=나는 5년 전 죽은 남자의 아이를 임신했다 영화", "나는 5년 전 죽은 남자의 아이를 임신했다")</f>
        <v>나는 5년 전 죽은 남자의 아이를 임신했다</v>
      </c>
      <c r="C319" s="45">
        <v>4.5999999999999996</v>
      </c>
      <c r="D319" s="4" t="s">
        <v>469</v>
      </c>
      <c r="E319" s="3" t="s">
        <v>16</v>
      </c>
      <c r="F319" s="3">
        <v>2019</v>
      </c>
      <c r="G319" s="3" t="s">
        <v>12</v>
      </c>
      <c r="H319" s="3" t="s">
        <v>17</v>
      </c>
      <c r="I319" s="3" t="s">
        <v>14</v>
      </c>
      <c r="J319" s="97" t="s">
        <v>3444</v>
      </c>
    </row>
    <row r="320" spans="1:10" ht="28.9" customHeight="1" thickTop="1" thickBot="1" x14ac:dyDescent="0.65">
      <c r="A320" s="5">
        <v>318</v>
      </c>
      <c r="B320" s="46" t="str">
        <f>HYPERLINK("https://search.naver.com/search.naver?query=나는 나를 해고하지 않는다 영화", "나는 나를 해고하지 않는다")</f>
        <v>나는 나를 해고하지 않는다</v>
      </c>
      <c r="C320" s="47">
        <v>8.17</v>
      </c>
      <c r="D320" s="6" t="s">
        <v>470</v>
      </c>
      <c r="E320" s="5" t="s">
        <v>11</v>
      </c>
      <c r="F320" s="5">
        <v>2021</v>
      </c>
      <c r="G320" s="5" t="s">
        <v>12</v>
      </c>
      <c r="H320" s="5" t="s">
        <v>17</v>
      </c>
      <c r="I320" s="5" t="s">
        <v>102</v>
      </c>
      <c r="J320" s="98" t="s">
        <v>3438</v>
      </c>
    </row>
    <row r="321" spans="1:10" ht="28.9" customHeight="1" thickTop="1" thickBot="1" x14ac:dyDescent="0.65">
      <c r="A321" s="3">
        <v>319</v>
      </c>
      <c r="B321" s="44" t="str">
        <f>HYPERLINK("https://search.naver.com/search.naver?query=나는 내일 어제의 너와 만난다 영화", "나는 내일 어제의 너와 만난다")</f>
        <v>나는 내일 어제의 너와 만난다</v>
      </c>
      <c r="C321" s="45">
        <v>8.44</v>
      </c>
      <c r="D321" s="4" t="s">
        <v>471</v>
      </c>
      <c r="E321" s="3" t="s">
        <v>16</v>
      </c>
      <c r="F321" s="3">
        <v>2016</v>
      </c>
      <c r="G321" s="3" t="s">
        <v>12</v>
      </c>
      <c r="H321" s="3" t="s">
        <v>121</v>
      </c>
      <c r="I321" s="3" t="s">
        <v>102</v>
      </c>
      <c r="J321" s="97" t="s">
        <v>3441</v>
      </c>
    </row>
    <row r="322" spans="1:10" ht="28.9" customHeight="1" thickTop="1" thickBot="1" x14ac:dyDescent="0.65">
      <c r="A322" s="5">
        <v>320</v>
      </c>
      <c r="B322" s="46" t="str">
        <f>HYPERLINK("https://search.naver.com/search.naver?query=나는 빛을 움켜쥐고 있어 영화", "나는 빛을 움켜쥐고 있어")</f>
        <v>나는 빛을 움켜쥐고 있어</v>
      </c>
      <c r="C322" s="47">
        <v>6.4</v>
      </c>
      <c r="D322" s="6" t="s">
        <v>472</v>
      </c>
      <c r="E322" s="5" t="s">
        <v>16</v>
      </c>
      <c r="F322" s="5">
        <v>2019</v>
      </c>
      <c r="G322" s="5" t="s">
        <v>12</v>
      </c>
      <c r="H322" s="5" t="s">
        <v>17</v>
      </c>
      <c r="I322" s="5" t="s">
        <v>115</v>
      </c>
      <c r="J322" s="98" t="s">
        <v>3444</v>
      </c>
    </row>
    <row r="323" spans="1:10" ht="28.9" customHeight="1" thickTop="1" thickBot="1" x14ac:dyDescent="0.65">
      <c r="A323" s="3">
        <v>321</v>
      </c>
      <c r="B323" s="44" t="str">
        <f>HYPERLINK("https://search.naver.com/search.naver?query=나는 사랑과 시간과 죽음을 만났다 영화", "나는 사랑과 시간과 죽음을 만났다")</f>
        <v>나는 사랑과 시간과 죽음을 만났다</v>
      </c>
      <c r="C323" s="45">
        <v>8.67</v>
      </c>
      <c r="D323" s="4" t="s">
        <v>473</v>
      </c>
      <c r="E323" s="3" t="s">
        <v>16</v>
      </c>
      <c r="F323" s="3">
        <v>2016</v>
      </c>
      <c r="G323" s="3" t="s">
        <v>12</v>
      </c>
      <c r="H323" s="3" t="s">
        <v>17</v>
      </c>
      <c r="I323" s="3" t="s">
        <v>111</v>
      </c>
      <c r="J323" s="97" t="s">
        <v>3441</v>
      </c>
    </row>
    <row r="324" spans="1:10" ht="28.9" customHeight="1" thickTop="1" thickBot="1" x14ac:dyDescent="0.65">
      <c r="A324" s="5">
        <v>322</v>
      </c>
      <c r="B324" s="46" t="str">
        <f>HYPERLINK("https://search.naver.com/search.naver?query=나는 왕이로소이다 영화", "나는 왕이로소이다")</f>
        <v>나는 왕이로소이다</v>
      </c>
      <c r="C324" s="47">
        <v>7.44</v>
      </c>
      <c r="D324" s="6" t="s">
        <v>474</v>
      </c>
      <c r="E324" s="5" t="s">
        <v>11</v>
      </c>
      <c r="F324" s="5">
        <v>2012</v>
      </c>
      <c r="G324" s="5" t="s">
        <v>12</v>
      </c>
      <c r="H324" s="5" t="s">
        <v>475</v>
      </c>
      <c r="I324" s="5" t="s">
        <v>86</v>
      </c>
      <c r="J324" s="98" t="s">
        <v>3439</v>
      </c>
    </row>
    <row r="325" spans="1:10" ht="28.9" customHeight="1" thickTop="1" thickBot="1" x14ac:dyDescent="0.65">
      <c r="A325" s="3">
        <v>323</v>
      </c>
      <c r="B325" s="44" t="str">
        <f>HYPERLINK("https://search.naver.com/search.naver?query=나랏말싸미 영화", "나랏말싸미")</f>
        <v>나랏말싸미</v>
      </c>
      <c r="C325" s="45">
        <v>6.73</v>
      </c>
      <c r="D325" s="4" t="s">
        <v>476</v>
      </c>
      <c r="E325" s="3" t="s">
        <v>11</v>
      </c>
      <c r="F325" s="3">
        <v>2019</v>
      </c>
      <c r="G325" s="3" t="s">
        <v>12</v>
      </c>
      <c r="H325" s="3" t="s">
        <v>320</v>
      </c>
      <c r="I325" s="3" t="s">
        <v>96</v>
      </c>
      <c r="J325" s="97" t="s">
        <v>3444</v>
      </c>
    </row>
    <row r="326" spans="1:10" ht="28.9" customHeight="1" thickTop="1" thickBot="1" x14ac:dyDescent="0.65">
      <c r="A326" s="5">
        <v>324</v>
      </c>
      <c r="B326" s="46" t="str">
        <f>HYPERLINK("https://search.naver.com/search.naver?query=나를 미치게 하는 여자 영화", "나를 미치게 하는 여자")</f>
        <v>나를 미치게 하는 여자</v>
      </c>
      <c r="C326" s="47">
        <v>7.96</v>
      </c>
      <c r="D326" s="6" t="s">
        <v>477</v>
      </c>
      <c r="E326" s="5" t="s">
        <v>20</v>
      </c>
      <c r="F326" s="5">
        <v>2015</v>
      </c>
      <c r="G326" s="5" t="s">
        <v>12</v>
      </c>
      <c r="H326" s="5" t="s">
        <v>68</v>
      </c>
      <c r="I326" s="5" t="s">
        <v>214</v>
      </c>
      <c r="J326" s="98" t="s">
        <v>3440</v>
      </c>
    </row>
    <row r="327" spans="1:10" ht="28.9" customHeight="1" thickTop="1" thickBot="1" x14ac:dyDescent="0.65">
      <c r="A327" s="3">
        <v>325</v>
      </c>
      <c r="B327" s="44" t="str">
        <f>HYPERLINK("https://search.naver.com/search.naver?query=나를 죽여줘 영화", "나를 죽여줘")</f>
        <v>나를 죽여줘</v>
      </c>
      <c r="C327" s="45">
        <v>8.1999999999999993</v>
      </c>
      <c r="D327" s="4" t="s">
        <v>478</v>
      </c>
      <c r="E327" s="3" t="s">
        <v>11</v>
      </c>
      <c r="F327" s="3">
        <v>2022</v>
      </c>
      <c r="G327" s="3" t="s">
        <v>12</v>
      </c>
      <c r="H327" s="3" t="s">
        <v>17</v>
      </c>
      <c r="I327" s="3" t="s">
        <v>53</v>
      </c>
      <c r="J327" s="97" t="s">
        <v>3445</v>
      </c>
    </row>
    <row r="328" spans="1:10" ht="28.9" customHeight="1" thickTop="1" thickBot="1" x14ac:dyDescent="0.65">
      <c r="A328" s="5">
        <v>326</v>
      </c>
      <c r="B328" s="46" t="str">
        <f>HYPERLINK("https://search.naver.com/search.naver?query=나를 차버린 스파이 영화", "나를 차버린 스파이")</f>
        <v>나를 차버린 스파이</v>
      </c>
      <c r="C328" s="47">
        <v>8.1999999999999993</v>
      </c>
      <c r="D328" s="6" t="s">
        <v>479</v>
      </c>
      <c r="E328" s="5" t="s">
        <v>20</v>
      </c>
      <c r="F328" s="5">
        <v>2018</v>
      </c>
      <c r="G328" s="5" t="s">
        <v>12</v>
      </c>
      <c r="H328" s="5" t="s">
        <v>223</v>
      </c>
      <c r="I328" s="5" t="s">
        <v>89</v>
      </c>
      <c r="J328" s="98" t="s">
        <v>3442</v>
      </c>
    </row>
    <row r="329" spans="1:10" ht="28.9" customHeight="1" thickTop="1" thickBot="1" x14ac:dyDescent="0.65">
      <c r="A329" s="3">
        <v>327</v>
      </c>
      <c r="B329" s="44" t="str">
        <f>HYPERLINK("https://search.naver.com/search.naver?query=나를 찾아줘 2014", "나를 찾아줘")</f>
        <v>나를 찾아줘</v>
      </c>
      <c r="C329" s="45">
        <v>8.3000000000000007</v>
      </c>
      <c r="D329" s="4" t="s">
        <v>480</v>
      </c>
      <c r="E329" s="3" t="s">
        <v>11</v>
      </c>
      <c r="F329" s="3">
        <v>2019</v>
      </c>
      <c r="G329" s="3" t="s">
        <v>12</v>
      </c>
      <c r="H329" s="3" t="s">
        <v>43</v>
      </c>
      <c r="I329" s="3" t="s">
        <v>31</v>
      </c>
      <c r="J329" s="97" t="s">
        <v>3444</v>
      </c>
    </row>
    <row r="330" spans="1:10" ht="28.9" customHeight="1" thickTop="1" thickBot="1" x14ac:dyDescent="0.65">
      <c r="A330" s="5">
        <v>328</v>
      </c>
      <c r="B330" s="46" t="str">
        <f>HYPERLINK("https://search.naver.com/search.naver?query=나를 찾아줘 영화", "나를 찾아줘")</f>
        <v>나를 찾아줘</v>
      </c>
      <c r="C330" s="47">
        <v>8.27</v>
      </c>
      <c r="D330" s="6" t="s">
        <v>481</v>
      </c>
      <c r="E330" s="5" t="s">
        <v>20</v>
      </c>
      <c r="F330" s="5">
        <v>2014</v>
      </c>
      <c r="G330" s="5" t="s">
        <v>12</v>
      </c>
      <c r="H330" s="5" t="s">
        <v>43</v>
      </c>
      <c r="I330" s="5" t="s">
        <v>482</v>
      </c>
      <c r="J330" s="98" t="s">
        <v>3437</v>
      </c>
    </row>
    <row r="331" spans="1:10" ht="28.9" customHeight="1" thickTop="1" thickBot="1" x14ac:dyDescent="0.65">
      <c r="A331" s="3">
        <v>329</v>
      </c>
      <c r="B331" s="44" t="str">
        <f>HYPERLINK("https://search.naver.com/search.naver?query=나만이 없는 거리 영화", "나만이 없는 거리")</f>
        <v>나만이 없는 거리</v>
      </c>
      <c r="C331" s="45">
        <v>6.91</v>
      </c>
      <c r="D331" s="4" t="s">
        <v>483</v>
      </c>
      <c r="E331" s="3" t="s">
        <v>16</v>
      </c>
      <c r="F331" s="3">
        <v>2016</v>
      </c>
      <c r="G331" s="3" t="s">
        <v>12</v>
      </c>
      <c r="H331" s="3" t="s">
        <v>17</v>
      </c>
      <c r="I331" s="3" t="s">
        <v>86</v>
      </c>
      <c r="J331" s="97" t="s">
        <v>3441</v>
      </c>
    </row>
    <row r="332" spans="1:10" ht="28.9" customHeight="1" thickTop="1" thickBot="1" x14ac:dyDescent="0.65">
      <c r="A332" s="5">
        <v>330</v>
      </c>
      <c r="B332" s="46" t="str">
        <f>HYPERLINK("https://search.naver.com/search.naver?query=나미야 잡화점의 기적 영화", "나미야 잡화점의 기적")</f>
        <v>나미야 잡화점의 기적</v>
      </c>
      <c r="C332" s="47">
        <v>3.83</v>
      </c>
      <c r="D332" s="6" t="s">
        <v>484</v>
      </c>
      <c r="E332" s="5" t="s">
        <v>16</v>
      </c>
      <c r="F332" s="5">
        <v>2017</v>
      </c>
      <c r="G332" s="5" t="s">
        <v>12</v>
      </c>
      <c r="H332" s="5" t="s">
        <v>17</v>
      </c>
      <c r="I332" s="5" t="s">
        <v>64</v>
      </c>
      <c r="J332" s="98" t="s">
        <v>3443</v>
      </c>
    </row>
    <row r="333" spans="1:10" ht="28.9" customHeight="1" thickTop="1" thickBot="1" x14ac:dyDescent="0.65">
      <c r="A333" s="3">
        <v>331</v>
      </c>
      <c r="B333" s="44" t="str">
        <f>HYPERLINK("https://search.naver.com/search.naver?query=나비 효과 영화", "나비 효과")</f>
        <v>나비 효과</v>
      </c>
      <c r="C333" s="45">
        <v>3.83</v>
      </c>
      <c r="D333" s="4" t="s">
        <v>485</v>
      </c>
      <c r="E333" s="3" t="s">
        <v>20</v>
      </c>
      <c r="F333" s="3">
        <v>2004</v>
      </c>
      <c r="G333" s="3" t="s">
        <v>12</v>
      </c>
      <c r="H333" s="3" t="s">
        <v>486</v>
      </c>
      <c r="I333" s="3" t="s">
        <v>73</v>
      </c>
      <c r="J333" s="97" t="s">
        <v>3462</v>
      </c>
    </row>
    <row r="334" spans="1:10" ht="28.9" customHeight="1" thickTop="1" thickBot="1" x14ac:dyDescent="0.65">
      <c r="A334" s="5">
        <v>332</v>
      </c>
      <c r="B334" s="46" t="str">
        <f>HYPERLINK("https://search.naver.com/search.naver?query=나비잠 영화", "나비잠")</f>
        <v>나비잠</v>
      </c>
      <c r="C334" s="47">
        <v>8.0500000000000007</v>
      </c>
      <c r="D334" s="6" t="s">
        <v>487</v>
      </c>
      <c r="E334" s="5" t="s">
        <v>11</v>
      </c>
      <c r="F334" s="5">
        <v>2018</v>
      </c>
      <c r="G334" s="5" t="s">
        <v>12</v>
      </c>
      <c r="H334" s="5" t="s">
        <v>488</v>
      </c>
      <c r="I334" s="5" t="s">
        <v>99</v>
      </c>
      <c r="J334" s="98" t="s">
        <v>3442</v>
      </c>
    </row>
    <row r="335" spans="1:10" ht="28.9" customHeight="1" thickTop="1" thickBot="1" x14ac:dyDescent="0.65">
      <c r="A335" s="5">
        <v>333</v>
      </c>
      <c r="B335" s="46" t="str">
        <f>HYPERLINK("https://search.naver.com/search.naver?query=나쁜 녀석들 영화", "나쁜 녀석들")</f>
        <v>나쁜 녀석들</v>
      </c>
      <c r="C335" s="47">
        <v>7.61</v>
      </c>
      <c r="D335" s="6" t="s">
        <v>489</v>
      </c>
      <c r="E335" s="5" t="s">
        <v>20</v>
      </c>
      <c r="F335" s="5">
        <v>2024</v>
      </c>
      <c r="G335" s="5" t="s">
        <v>12</v>
      </c>
      <c r="H335" s="5" t="s">
        <v>92</v>
      </c>
      <c r="I335" s="5" t="s">
        <v>47</v>
      </c>
      <c r="J335" s="98" t="s">
        <v>3448</v>
      </c>
    </row>
    <row r="336" spans="1:10" ht="28.9" customHeight="1" thickTop="1" thickBot="1" x14ac:dyDescent="0.65">
      <c r="A336" s="7">
        <v>334</v>
      </c>
      <c r="B336" s="48" t="str">
        <f>HYPERLINK("https://search.naver.com/search.naver?query=나쁜 녀석들 : 악의 도시", "나쁜 녀석들 : 악의 도시")</f>
        <v>나쁜 녀석들 : 악의 도시</v>
      </c>
      <c r="C336" s="49"/>
      <c r="D336" s="8" t="s">
        <v>490</v>
      </c>
      <c r="E336" s="7" t="s">
        <v>11</v>
      </c>
      <c r="F336" s="7">
        <v>2017</v>
      </c>
      <c r="G336" s="7" t="s">
        <v>17</v>
      </c>
      <c r="H336" s="7" t="s">
        <v>277</v>
      </c>
      <c r="I336" s="7" t="s">
        <v>491</v>
      </c>
      <c r="J336" s="99" t="s">
        <v>3443</v>
      </c>
    </row>
    <row r="337" spans="1:10" ht="28.9" customHeight="1" thickTop="1" thickBot="1" x14ac:dyDescent="0.65">
      <c r="A337" s="3">
        <v>335</v>
      </c>
      <c r="B337" s="44" t="str">
        <f>HYPERLINK("https://search.naver.com/search.naver?query=나쁜 녀석들:포에버 영화", "나쁜 녀석들-포에버")</f>
        <v>나쁜 녀석들-포에버</v>
      </c>
      <c r="C337" s="45">
        <v>8.56</v>
      </c>
      <c r="D337" s="4" t="s">
        <v>489</v>
      </c>
      <c r="E337" s="3" t="s">
        <v>20</v>
      </c>
      <c r="F337" s="3">
        <v>2020</v>
      </c>
      <c r="G337" s="3" t="s">
        <v>12</v>
      </c>
      <c r="H337" s="3" t="s">
        <v>223</v>
      </c>
      <c r="I337" s="3" t="s">
        <v>134</v>
      </c>
      <c r="J337" s="97" t="s">
        <v>3436</v>
      </c>
    </row>
    <row r="338" spans="1:10" ht="28.9" customHeight="1" thickTop="1" thickBot="1" x14ac:dyDescent="0.65">
      <c r="A338" s="5">
        <v>336</v>
      </c>
      <c r="B338" s="46" t="str">
        <f>HYPERLINK("https://search.naver.com/search.naver?query=나쁜 이웃들 영화", "나쁜 이웃들")</f>
        <v>나쁜 이웃들</v>
      </c>
      <c r="C338" s="47">
        <v>8.01</v>
      </c>
      <c r="D338" s="6" t="s">
        <v>492</v>
      </c>
      <c r="E338" s="5" t="s">
        <v>20</v>
      </c>
      <c r="F338" s="5">
        <v>2014</v>
      </c>
      <c r="G338" s="5" t="s">
        <v>12</v>
      </c>
      <c r="H338" s="5" t="s">
        <v>68</v>
      </c>
      <c r="I338" s="5" t="s">
        <v>124</v>
      </c>
      <c r="J338" s="98" t="s">
        <v>3437</v>
      </c>
    </row>
    <row r="339" spans="1:10" ht="28.9" customHeight="1" thickTop="1" thickBot="1" x14ac:dyDescent="0.65">
      <c r="A339" s="3">
        <v>337</v>
      </c>
      <c r="B339" s="44" t="str">
        <f>HYPERLINK("https://search.naver.com/search.naver?query=나와 언니와 셀린 디온 영화", "나와 언니와 셀린 디온")</f>
        <v>나와 언니와 셀린 디온</v>
      </c>
      <c r="C339" s="45">
        <v>6.4</v>
      </c>
      <c r="D339" s="4" t="s">
        <v>493</v>
      </c>
      <c r="E339" s="3" t="s">
        <v>16</v>
      </c>
      <c r="F339" s="3">
        <v>2019</v>
      </c>
      <c r="G339" s="3" t="s">
        <v>12</v>
      </c>
      <c r="H339" s="3" t="s">
        <v>17</v>
      </c>
      <c r="I339" s="3" t="s">
        <v>111</v>
      </c>
      <c r="J339" s="97" t="s">
        <v>3444</v>
      </c>
    </row>
    <row r="340" spans="1:10" ht="28.9" customHeight="1" thickTop="1" thickBot="1" x14ac:dyDescent="0.65">
      <c r="A340" s="3">
        <v>338</v>
      </c>
      <c r="B340" s="44" t="str">
        <f>HYPERLINK("https://search.naver.com/search.naver?query=나우 유 씨 미2 영화", "나우 유 씨 미2")</f>
        <v>나우 유 씨 미2</v>
      </c>
      <c r="C340" s="45">
        <v>8.5299999999999994</v>
      </c>
      <c r="D340" s="4" t="s">
        <v>494</v>
      </c>
      <c r="E340" s="3" t="s">
        <v>20</v>
      </c>
      <c r="F340" s="3">
        <v>2016</v>
      </c>
      <c r="G340" s="3" t="s">
        <v>12</v>
      </c>
      <c r="H340" s="3" t="s">
        <v>495</v>
      </c>
      <c r="I340" s="3" t="s">
        <v>64</v>
      </c>
      <c r="J340" s="97" t="s">
        <v>3441</v>
      </c>
    </row>
    <row r="341" spans="1:10" ht="28.9" customHeight="1" thickTop="1" thickBot="1" x14ac:dyDescent="0.65">
      <c r="A341" s="5">
        <v>339</v>
      </c>
      <c r="B341" s="46" t="str">
        <f>HYPERLINK("https://search.naver.com/search.naver?query=나우 이즈 굿 영화", "나우 이즈 굿")</f>
        <v>나우 이즈 굿</v>
      </c>
      <c r="C341" s="47">
        <v>7.92</v>
      </c>
      <c r="D341" s="6" t="s">
        <v>496</v>
      </c>
      <c r="E341" s="5" t="s">
        <v>24</v>
      </c>
      <c r="F341" s="5">
        <v>2012</v>
      </c>
      <c r="G341" s="5" t="s">
        <v>12</v>
      </c>
      <c r="H341" s="5" t="s">
        <v>17</v>
      </c>
      <c r="I341" s="5" t="s">
        <v>190</v>
      </c>
      <c r="J341" s="98" t="s">
        <v>3439</v>
      </c>
    </row>
    <row r="342" spans="1:10" ht="28.9" customHeight="1" thickTop="1" thickBot="1" x14ac:dyDescent="0.65">
      <c r="A342" s="5">
        <v>340</v>
      </c>
      <c r="B342" s="46" t="str">
        <f>HYPERLINK("https://search.naver.com/search.naver?query=나우 유 씨 미1 영화", "나우유씨미 - 마술사기단")</f>
        <v>나우유씨미 - 마술사기단</v>
      </c>
      <c r="C342" s="47">
        <v>8.0500000000000007</v>
      </c>
      <c r="D342" s="6" t="s">
        <v>497</v>
      </c>
      <c r="E342" s="5" t="s">
        <v>20</v>
      </c>
      <c r="F342" s="5">
        <v>2015</v>
      </c>
      <c r="G342" s="5" t="s">
        <v>12</v>
      </c>
      <c r="H342" s="5" t="s">
        <v>277</v>
      </c>
      <c r="I342" s="5" t="s">
        <v>47</v>
      </c>
      <c r="J342" s="98" t="s">
        <v>3440</v>
      </c>
    </row>
    <row r="343" spans="1:10" ht="28.9" customHeight="1" thickTop="1" thickBot="1" x14ac:dyDescent="0.65">
      <c r="A343" s="3">
        <v>341</v>
      </c>
      <c r="B343" s="44" t="str">
        <f>HYPERLINK("https://search.naver.com/search.naver?query=나의 PS 파트너 영화", "나의 PS 파트너")</f>
        <v>나의 PS 파트너</v>
      </c>
      <c r="C343" s="45">
        <v>8.27</v>
      </c>
      <c r="D343" s="4" t="s">
        <v>498</v>
      </c>
      <c r="E343" s="3" t="s">
        <v>11</v>
      </c>
      <c r="F343" s="3">
        <v>2012</v>
      </c>
      <c r="G343" s="3" t="s">
        <v>12</v>
      </c>
      <c r="H343" s="3" t="s">
        <v>121</v>
      </c>
      <c r="I343" s="3" t="s">
        <v>207</v>
      </c>
      <c r="J343" s="97" t="s">
        <v>3439</v>
      </c>
    </row>
    <row r="344" spans="1:10" ht="28.9" customHeight="1" thickTop="1" thickBot="1" x14ac:dyDescent="0.65">
      <c r="A344" s="5">
        <v>342</v>
      </c>
      <c r="B344" s="46" t="str">
        <f>HYPERLINK("https://search.naver.com/search.naver?query=나의 독재자 영화", "나의 독재자")</f>
        <v>나의 독재자</v>
      </c>
      <c r="C344" s="47">
        <v>7.42</v>
      </c>
      <c r="D344" s="6" t="s">
        <v>499</v>
      </c>
      <c r="E344" s="5" t="s">
        <v>11</v>
      </c>
      <c r="F344" s="5">
        <v>2014</v>
      </c>
      <c r="G344" s="5" t="s">
        <v>12</v>
      </c>
      <c r="H344" s="5" t="s">
        <v>17</v>
      </c>
      <c r="I344" s="5" t="s">
        <v>150</v>
      </c>
      <c r="J344" s="98" t="s">
        <v>3437</v>
      </c>
    </row>
    <row r="345" spans="1:10" ht="28.9" customHeight="1" thickTop="1" thickBot="1" x14ac:dyDescent="0.65">
      <c r="A345" s="3">
        <v>343</v>
      </c>
      <c r="B345" s="44" t="str">
        <f>HYPERLINK("https://search.naver.com/search.naver?query=나의 딸 영화", "나의 딸")</f>
        <v>나의 딸</v>
      </c>
      <c r="C345" s="45">
        <v>6.62</v>
      </c>
      <c r="D345" s="4" t="s">
        <v>500</v>
      </c>
      <c r="E345" s="3" t="s">
        <v>36</v>
      </c>
      <c r="F345" s="3">
        <v>2015</v>
      </c>
      <c r="G345" s="3" t="s">
        <v>12</v>
      </c>
      <c r="H345" s="3" t="s">
        <v>17</v>
      </c>
      <c r="I345" s="3" t="s">
        <v>61</v>
      </c>
      <c r="J345" s="97" t="s">
        <v>3440</v>
      </c>
    </row>
    <row r="346" spans="1:10" ht="28.9" customHeight="1" thickTop="1" thickBot="1" x14ac:dyDescent="0.65">
      <c r="A346" s="5">
        <v>344</v>
      </c>
      <c r="B346" s="46" t="str">
        <f>HYPERLINK("https://search.naver.com/search.naver?query=나의 라임 오렌지 나무 영화", "나의 라임 오렌지 나무")</f>
        <v>나의 라임 오렌지 나무</v>
      </c>
      <c r="C346" s="47">
        <v>8.5500000000000007</v>
      </c>
      <c r="D346" s="6" t="s">
        <v>501</v>
      </c>
      <c r="E346" s="5" t="s">
        <v>502</v>
      </c>
      <c r="F346" s="5">
        <v>2012</v>
      </c>
      <c r="G346" s="5" t="s">
        <v>12</v>
      </c>
      <c r="H346" s="5" t="s">
        <v>17</v>
      </c>
      <c r="I346" s="5" t="s">
        <v>81</v>
      </c>
      <c r="J346" s="98" t="s">
        <v>3439</v>
      </c>
    </row>
    <row r="347" spans="1:10" ht="28.9" customHeight="1" thickTop="1" thickBot="1" x14ac:dyDescent="0.65">
      <c r="A347" s="3">
        <v>345</v>
      </c>
      <c r="B347" s="44" t="str">
        <f>HYPERLINK("https://search.naver.com/search.naver?query=나의 사랑, 그리스 영화", "나의 사랑, 그리스")</f>
        <v>나의 사랑, 그리스</v>
      </c>
      <c r="C347" s="45">
        <v>8.8699999999999992</v>
      </c>
      <c r="D347" s="4" t="s">
        <v>503</v>
      </c>
      <c r="E347" s="3" t="s">
        <v>504</v>
      </c>
      <c r="F347" s="3">
        <v>2017</v>
      </c>
      <c r="G347" s="3" t="s">
        <v>12</v>
      </c>
      <c r="H347" s="3" t="s">
        <v>17</v>
      </c>
      <c r="I347" s="3" t="s">
        <v>207</v>
      </c>
      <c r="J347" s="97" t="s">
        <v>3443</v>
      </c>
    </row>
    <row r="348" spans="1:10" ht="28.9" customHeight="1" thickTop="1" thickBot="1" x14ac:dyDescent="0.65">
      <c r="A348" s="5">
        <v>346</v>
      </c>
      <c r="B348" s="46" t="str">
        <f>HYPERLINK("https://search.naver.com/search.naver?query=나의 서른에게 영화", "나의 서른에게")</f>
        <v>나의 서른에게</v>
      </c>
      <c r="C348" s="47">
        <v>8.7899999999999991</v>
      </c>
      <c r="D348" s="6" t="s">
        <v>505</v>
      </c>
      <c r="E348" s="5" t="s">
        <v>91</v>
      </c>
      <c r="F348" s="5">
        <v>2017</v>
      </c>
      <c r="G348" s="5" t="s">
        <v>12</v>
      </c>
      <c r="H348" s="5" t="s">
        <v>17</v>
      </c>
      <c r="I348" s="5" t="s">
        <v>128</v>
      </c>
      <c r="J348" s="98" t="s">
        <v>3443</v>
      </c>
    </row>
    <row r="349" spans="1:10" ht="28.9" customHeight="1" thickTop="1" thickBot="1" x14ac:dyDescent="0.65">
      <c r="A349" s="7">
        <v>347</v>
      </c>
      <c r="B349" s="48" t="str">
        <f>HYPERLINK("https://search.naver.com/search.naver?query=일본드라마 나의 위험한 아내", "나의 위험한 아내")</f>
        <v>나의 위험한 아내</v>
      </c>
      <c r="C349" s="49"/>
      <c r="D349" s="8" t="s">
        <v>506</v>
      </c>
      <c r="E349" s="7" t="s">
        <v>16</v>
      </c>
      <c r="F349" s="7">
        <v>2017</v>
      </c>
      <c r="G349" s="7" t="s">
        <v>17</v>
      </c>
      <c r="H349" s="7" t="s">
        <v>13</v>
      </c>
      <c r="I349" s="7" t="s">
        <v>242</v>
      </c>
      <c r="J349" s="99" t="s">
        <v>3443</v>
      </c>
    </row>
    <row r="350" spans="1:10" ht="28.9" customHeight="1" thickTop="1" thickBot="1" x14ac:dyDescent="0.65">
      <c r="A350" s="5">
        <v>348</v>
      </c>
      <c r="B350" s="46" t="str">
        <f>HYPERLINK("https://search.naver.com/search.naver?query=나의 첫 번째 슈퍼스타 영화", "나의 첫 번째 슈퍼스타")</f>
        <v>나의 첫 번째 슈퍼스타</v>
      </c>
      <c r="C350" s="47">
        <v>9.01</v>
      </c>
      <c r="D350" s="6" t="s">
        <v>507</v>
      </c>
      <c r="E350" s="5" t="s">
        <v>20</v>
      </c>
      <c r="F350" s="5">
        <v>2020</v>
      </c>
      <c r="G350" s="5" t="s">
        <v>12</v>
      </c>
      <c r="H350" s="5" t="s">
        <v>17</v>
      </c>
      <c r="I350" s="5" t="s">
        <v>73</v>
      </c>
      <c r="J350" s="98" t="s">
        <v>3436</v>
      </c>
    </row>
    <row r="351" spans="1:10" ht="28.9" customHeight="1" thickTop="1" thickBot="1" x14ac:dyDescent="0.65">
      <c r="A351" s="3">
        <v>349</v>
      </c>
      <c r="B351" s="44" t="str">
        <f>HYPERLINK("https://search.naver.com/search.naver?query=나의 첫번째 장례식 영화", "나의 첫번째 장례식")</f>
        <v>나의 첫번째 장례식</v>
      </c>
      <c r="C351" s="45">
        <v>8.23</v>
      </c>
      <c r="D351" s="4" t="s">
        <v>508</v>
      </c>
      <c r="E351" s="3" t="s">
        <v>509</v>
      </c>
      <c r="F351" s="3">
        <v>2014</v>
      </c>
      <c r="G351" s="3" t="s">
        <v>12</v>
      </c>
      <c r="H351" s="3" t="s">
        <v>68</v>
      </c>
      <c r="I351" s="3" t="s">
        <v>61</v>
      </c>
      <c r="J351" s="97" t="s">
        <v>3437</v>
      </c>
    </row>
    <row r="352" spans="1:10" ht="28.9" customHeight="1" thickTop="1" thickBot="1" x14ac:dyDescent="0.65">
      <c r="A352" s="5">
        <v>350</v>
      </c>
      <c r="B352" s="46" t="str">
        <f>HYPERLINK("https://search.naver.com/search.naver?query=나의 친구, 그의 아내 영화", "나의 친구, 그의 아내")</f>
        <v>나의 친구, 그의 아내</v>
      </c>
      <c r="C352" s="47">
        <v>6.63</v>
      </c>
      <c r="D352" s="6" t="s">
        <v>510</v>
      </c>
      <c r="E352" s="5" t="s">
        <v>11</v>
      </c>
      <c r="F352" s="5">
        <v>2006</v>
      </c>
      <c r="G352" s="5" t="s">
        <v>12</v>
      </c>
      <c r="H352" s="5" t="s">
        <v>17</v>
      </c>
      <c r="I352" s="5" t="s">
        <v>366</v>
      </c>
      <c r="J352" s="98" t="s">
        <v>3460</v>
      </c>
    </row>
    <row r="353" spans="1:10" ht="28.9" customHeight="1" thickTop="1" thickBot="1" x14ac:dyDescent="0.65">
      <c r="A353" s="3">
        <v>351</v>
      </c>
      <c r="B353" s="44" t="str">
        <f>HYPERLINK("https://search.naver.com/search.naver?query=나의 특별한 형제 영화", "나의 특별한 형제")</f>
        <v>나의 특별한 형제</v>
      </c>
      <c r="C353" s="45">
        <v>9.14</v>
      </c>
      <c r="D353" s="4" t="s">
        <v>511</v>
      </c>
      <c r="E353" s="3" t="s">
        <v>11</v>
      </c>
      <c r="F353" s="3">
        <v>2018</v>
      </c>
      <c r="G353" s="3" t="s">
        <v>12</v>
      </c>
      <c r="H353" s="3" t="s">
        <v>17</v>
      </c>
      <c r="I353" s="3" t="s">
        <v>207</v>
      </c>
      <c r="J353" s="97" t="s">
        <v>3442</v>
      </c>
    </row>
    <row r="354" spans="1:10" ht="28.9" customHeight="1" thickTop="1" thickBot="1" x14ac:dyDescent="0.65">
      <c r="A354" s="5">
        <v>352</v>
      </c>
      <c r="B354" s="46" t="str">
        <f>HYPERLINK("https://search.naver.com/search.naver?query=나이브스 아웃 영화", "나이브스 아웃")</f>
        <v>나이브스 아웃</v>
      </c>
      <c r="C354" s="47">
        <v>8.23</v>
      </c>
      <c r="D354" s="6" t="s">
        <v>512</v>
      </c>
      <c r="E354" s="5" t="s">
        <v>20</v>
      </c>
      <c r="F354" s="5">
        <v>2019</v>
      </c>
      <c r="G354" s="5" t="s">
        <v>12</v>
      </c>
      <c r="H354" s="5" t="s">
        <v>513</v>
      </c>
      <c r="I354" s="5" t="s">
        <v>34</v>
      </c>
      <c r="J354" s="98" t="s">
        <v>3444</v>
      </c>
    </row>
    <row r="355" spans="1:10" ht="28.9" customHeight="1" thickTop="1" thickBot="1" x14ac:dyDescent="0.65">
      <c r="A355" s="3">
        <v>353</v>
      </c>
      <c r="B355" s="44" t="str">
        <f>HYPERLINK("https://search.naver.com/search.naver?query=나이애드의 다섯 번째 파도 영화", "나이애드의 다섯 번째 파도")</f>
        <v>나이애드의 다섯 번째 파도</v>
      </c>
      <c r="C355" s="45">
        <v>9.4499999999999993</v>
      </c>
      <c r="D355" s="4" t="s">
        <v>514</v>
      </c>
      <c r="E355" s="3" t="s">
        <v>20</v>
      </c>
      <c r="F355" s="3">
        <v>2023</v>
      </c>
      <c r="G355" s="3" t="s">
        <v>12</v>
      </c>
      <c r="H355" s="3" t="s">
        <v>17</v>
      </c>
      <c r="I355" s="3" t="s">
        <v>142</v>
      </c>
      <c r="J355" s="97" t="s">
        <v>3446</v>
      </c>
    </row>
    <row r="356" spans="1:10" ht="28.9" customHeight="1" thickTop="1" thickBot="1" x14ac:dyDescent="0.65">
      <c r="A356" s="7">
        <v>354</v>
      </c>
      <c r="B356" s="48" t="str">
        <f>HYPERLINK("https://search.naver.com/search.naver?query=나이트 에이전트 시즌1", "나이트 에이전트")</f>
        <v>나이트 에이전트</v>
      </c>
      <c r="C356" s="49"/>
      <c r="D356" s="8" t="s">
        <v>515</v>
      </c>
      <c r="E356" s="7" t="s">
        <v>20</v>
      </c>
      <c r="F356" s="7">
        <v>2023</v>
      </c>
      <c r="G356" s="7" t="s">
        <v>17</v>
      </c>
      <c r="H356" s="7" t="s">
        <v>516</v>
      </c>
      <c r="I356" s="7" t="s">
        <v>50</v>
      </c>
      <c r="J356" s="99" t="s">
        <v>3446</v>
      </c>
    </row>
    <row r="357" spans="1:10" ht="28.9" customHeight="1" thickTop="1" thickBot="1" x14ac:dyDescent="0.65">
      <c r="A357" s="3">
        <v>355</v>
      </c>
      <c r="B357" s="44" t="str">
        <f>HYPERLINK("https://search.naver.com/search.naver?query=나이트 인 로댄스 영화", "나이트 인 로댄스")</f>
        <v>나이트 인 로댄스</v>
      </c>
      <c r="C357" s="45">
        <v>6.4</v>
      </c>
      <c r="D357" s="4" t="s">
        <v>517</v>
      </c>
      <c r="E357" s="3" t="s">
        <v>20</v>
      </c>
      <c r="F357" s="3">
        <v>2008</v>
      </c>
      <c r="G357" s="3" t="s">
        <v>12</v>
      </c>
      <c r="H357" s="3" t="s">
        <v>17</v>
      </c>
      <c r="I357" s="3" t="s">
        <v>124</v>
      </c>
      <c r="J357" s="97" t="s">
        <v>3450</v>
      </c>
    </row>
    <row r="358" spans="1:10" ht="28.9" customHeight="1" thickTop="1" thickBot="1" x14ac:dyDescent="0.65">
      <c r="A358" s="5">
        <v>356</v>
      </c>
      <c r="B358" s="46" t="str">
        <f>HYPERLINK("https://search.naver.com/search.naver?query=나이트 크롤러 영화", "나이트 크롤러")</f>
        <v>나이트 크롤러</v>
      </c>
      <c r="C358" s="47">
        <v>7.98</v>
      </c>
      <c r="D358" s="6" t="s">
        <v>518</v>
      </c>
      <c r="E358" s="5" t="s">
        <v>20</v>
      </c>
      <c r="F358" s="5">
        <v>2014</v>
      </c>
      <c r="G358" s="5" t="s">
        <v>12</v>
      </c>
      <c r="H358" s="5" t="s">
        <v>495</v>
      </c>
      <c r="I358" s="5" t="s">
        <v>89</v>
      </c>
      <c r="J358" s="98" t="s">
        <v>3437</v>
      </c>
    </row>
    <row r="359" spans="1:10" ht="28.9" customHeight="1" thickTop="1" thickBot="1" x14ac:dyDescent="0.65">
      <c r="A359" s="3">
        <v>357</v>
      </c>
      <c r="B359" s="44" t="str">
        <f>HYPERLINK("https://search.naver.com/search.naver?query=나이트 폴 영화", "나이트 폴")</f>
        <v>나이트 폴</v>
      </c>
      <c r="C359" s="45">
        <v>8.07</v>
      </c>
      <c r="D359" s="4" t="s">
        <v>519</v>
      </c>
      <c r="E359" s="3" t="s">
        <v>20</v>
      </c>
      <c r="F359" s="3">
        <v>2012</v>
      </c>
      <c r="G359" s="3" t="s">
        <v>12</v>
      </c>
      <c r="H359" s="3" t="s">
        <v>520</v>
      </c>
      <c r="I359" s="3" t="s">
        <v>231</v>
      </c>
      <c r="J359" s="97" t="s">
        <v>3439</v>
      </c>
    </row>
    <row r="360" spans="1:10" ht="28.9" customHeight="1" thickTop="1" thickBot="1" x14ac:dyDescent="0.65">
      <c r="A360" s="5">
        <v>358</v>
      </c>
      <c r="B360" s="46" t="str">
        <f>HYPERLINK("https://search.naver.com/search.naver?query=나이트 헌터 영화", "나이트 헌터")</f>
        <v>나이트 헌터</v>
      </c>
      <c r="C360" s="47">
        <v>5.19</v>
      </c>
      <c r="D360" s="6" t="s">
        <v>521</v>
      </c>
      <c r="E360" s="5" t="s">
        <v>20</v>
      </c>
      <c r="F360" s="5">
        <v>2019</v>
      </c>
      <c r="G360" s="5" t="s">
        <v>12</v>
      </c>
      <c r="H360" s="5" t="s">
        <v>43</v>
      </c>
      <c r="I360" s="5" t="s">
        <v>81</v>
      </c>
      <c r="J360" s="98" t="s">
        <v>3444</v>
      </c>
    </row>
    <row r="361" spans="1:10" ht="28.9" customHeight="1" thickTop="1" thickBot="1" x14ac:dyDescent="0.65">
      <c r="A361" s="3">
        <v>359</v>
      </c>
      <c r="B361" s="44" t="str">
        <f>HYPERLINK("https://search.naver.com/search.naver?query=나이트메어 앨리 영화", "나이트메어 앨리")</f>
        <v>나이트메어 앨리</v>
      </c>
      <c r="C361" s="45">
        <v>7.86</v>
      </c>
      <c r="D361" s="4" t="s">
        <v>522</v>
      </c>
      <c r="E361" s="3" t="s">
        <v>20</v>
      </c>
      <c r="F361" s="3">
        <v>2021</v>
      </c>
      <c r="G361" s="3" t="s">
        <v>12</v>
      </c>
      <c r="H361" s="3" t="s">
        <v>77</v>
      </c>
      <c r="I361" s="3" t="s">
        <v>523</v>
      </c>
      <c r="J361" s="97" t="s">
        <v>3438</v>
      </c>
    </row>
    <row r="362" spans="1:10" ht="28.9" customHeight="1" thickTop="1" thickBot="1" x14ac:dyDescent="0.65">
      <c r="A362" s="5">
        <v>360</v>
      </c>
      <c r="B362" s="46" t="str">
        <f>HYPERLINK("https://search.naver.com/search.naver?query=나이팅게일2013", "나이팅게일")</f>
        <v>나이팅게일</v>
      </c>
      <c r="C362" s="47">
        <v>8.67</v>
      </c>
      <c r="D362" s="6" t="s">
        <v>524</v>
      </c>
      <c r="E362" s="5" t="s">
        <v>136</v>
      </c>
      <c r="F362" s="5">
        <v>2014</v>
      </c>
      <c r="G362" s="5" t="s">
        <v>12</v>
      </c>
      <c r="H362" s="5" t="s">
        <v>525</v>
      </c>
      <c r="I362" s="5" t="s">
        <v>131</v>
      </c>
      <c r="J362" s="98" t="s">
        <v>3437</v>
      </c>
    </row>
    <row r="363" spans="1:10" ht="28.9" customHeight="1" thickTop="1" thickBot="1" x14ac:dyDescent="0.65">
      <c r="A363" s="7">
        <v>361</v>
      </c>
      <c r="B363" s="48" t="str">
        <f>HYPERLINK("https://search.naver.com/search.naver?query=나인 퍼즐", "나인 퍼즐")</f>
        <v>나인 퍼즐</v>
      </c>
      <c r="C363" s="49"/>
      <c r="D363" s="8" t="s">
        <v>526</v>
      </c>
      <c r="E363" s="7" t="s">
        <v>11</v>
      </c>
      <c r="F363" s="7">
        <v>2025</v>
      </c>
      <c r="G363" s="7" t="s">
        <v>17</v>
      </c>
      <c r="H363" s="7" t="s">
        <v>13</v>
      </c>
      <c r="I363" s="7" t="s">
        <v>527</v>
      </c>
      <c r="J363" s="99" t="s">
        <v>3459</v>
      </c>
    </row>
    <row r="364" spans="1:10" ht="28.9" customHeight="1" thickTop="1" thickBot="1" x14ac:dyDescent="0.65">
      <c r="A364" s="5">
        <v>362</v>
      </c>
      <c r="B364" s="46" t="str">
        <f>HYPERLINK("https://search.naver.com/search.naver?query=나인 하프 위크 영화", "나인 하프 위크")</f>
        <v>나인 하프 위크</v>
      </c>
      <c r="C364" s="47">
        <v>6.4</v>
      </c>
      <c r="D364" s="6" t="s">
        <v>528</v>
      </c>
      <c r="E364" s="5" t="s">
        <v>20</v>
      </c>
      <c r="F364" s="5">
        <v>1986</v>
      </c>
      <c r="G364" s="5" t="s">
        <v>12</v>
      </c>
      <c r="H364" s="5" t="s">
        <v>17</v>
      </c>
      <c r="I364" s="5" t="s">
        <v>89</v>
      </c>
      <c r="J364" s="98" t="s">
        <v>3468</v>
      </c>
    </row>
    <row r="365" spans="1:10" ht="28.9" customHeight="1" thickTop="1" thickBot="1" x14ac:dyDescent="0.65">
      <c r="A365" s="3">
        <v>363</v>
      </c>
      <c r="B365" s="44" t="str">
        <f>HYPERLINK("https://search.naver.com/search.naver?query=나인스 라이프 영화", "나인스 라이프")</f>
        <v>나인스 라이프</v>
      </c>
      <c r="C365" s="45">
        <v>8.18</v>
      </c>
      <c r="D365" s="4" t="s">
        <v>529</v>
      </c>
      <c r="E365" s="3" t="s">
        <v>20</v>
      </c>
      <c r="F365" s="3">
        <v>2016</v>
      </c>
      <c r="G365" s="3" t="s">
        <v>12</v>
      </c>
      <c r="H365" s="3" t="s">
        <v>17</v>
      </c>
      <c r="I365" s="3" t="s">
        <v>111</v>
      </c>
      <c r="J365" s="97" t="s">
        <v>3441</v>
      </c>
    </row>
    <row r="366" spans="1:10" ht="28.9" customHeight="1" thickTop="1" thickBot="1" x14ac:dyDescent="0.65">
      <c r="A366" s="5">
        <v>364</v>
      </c>
      <c r="B366" s="46" t="str">
        <f>HYPERLINK("https://search.naver.com/search.naver?query=나일 강의 죽음 영화", "나일 강의 죽음")</f>
        <v>나일 강의 죽음</v>
      </c>
      <c r="C366" s="47">
        <v>7.11</v>
      </c>
      <c r="D366" s="6" t="s">
        <v>530</v>
      </c>
      <c r="E366" s="5" t="s">
        <v>20</v>
      </c>
      <c r="F366" s="5">
        <v>2022</v>
      </c>
      <c r="G366" s="5" t="s">
        <v>12</v>
      </c>
      <c r="H366" s="5" t="s">
        <v>513</v>
      </c>
      <c r="I366" s="5" t="s">
        <v>150</v>
      </c>
      <c r="J366" s="98" t="s">
        <v>3445</v>
      </c>
    </row>
    <row r="367" spans="1:10" ht="28.9" customHeight="1" thickTop="1" thickBot="1" x14ac:dyDescent="0.65">
      <c r="A367" s="3">
        <v>365</v>
      </c>
      <c r="B367" s="44" t="str">
        <f>HYPERLINK("https://search.naver.com/search.naver?query=나잇 &amp; 데이 영화", "나잇 &amp; 데이")</f>
        <v>나잇 &amp; 데이</v>
      </c>
      <c r="C367" s="45">
        <v>0.18</v>
      </c>
      <c r="D367" s="4" t="s">
        <v>531</v>
      </c>
      <c r="E367" s="3" t="s">
        <v>20</v>
      </c>
      <c r="F367" s="3">
        <v>2010</v>
      </c>
      <c r="G367" s="3" t="s">
        <v>12</v>
      </c>
      <c r="H367" s="3" t="s">
        <v>223</v>
      </c>
      <c r="I367" s="3" t="s">
        <v>137</v>
      </c>
      <c r="J367" s="97" t="s">
        <v>3455</v>
      </c>
    </row>
    <row r="368" spans="1:10" ht="28.9" customHeight="1" thickTop="1" thickBot="1" x14ac:dyDescent="0.65">
      <c r="A368" s="5">
        <v>366</v>
      </c>
      <c r="B368" s="46" t="str">
        <f>HYPERLINK("https://search.naver.com/search.naver?query=나폴레옹 영화", "나폴레옹")</f>
        <v>나폴레옹</v>
      </c>
      <c r="C368" s="47">
        <v>6.8</v>
      </c>
      <c r="D368" s="6" t="s">
        <v>532</v>
      </c>
      <c r="E368" s="5" t="s">
        <v>20</v>
      </c>
      <c r="F368" s="5">
        <v>2023</v>
      </c>
      <c r="G368" s="5" t="s">
        <v>12</v>
      </c>
      <c r="H368" s="5" t="s">
        <v>320</v>
      </c>
      <c r="I368" s="5" t="s">
        <v>533</v>
      </c>
      <c r="J368" s="98" t="s">
        <v>3446</v>
      </c>
    </row>
    <row r="369" spans="1:10" ht="28.9" customHeight="1" thickTop="1" thickBot="1" x14ac:dyDescent="0.65">
      <c r="A369" s="3">
        <v>367</v>
      </c>
      <c r="B369" s="44" t="str">
        <f>HYPERLINK("https://search.naver.com/search.naver?query=낙원의 밤 영화", "낙원의 밤")</f>
        <v>낙원의 밤</v>
      </c>
      <c r="C369" s="45">
        <v>6.9</v>
      </c>
      <c r="D369" s="4" t="s">
        <v>534</v>
      </c>
      <c r="E369" s="3" t="s">
        <v>11</v>
      </c>
      <c r="F369" s="3">
        <v>2020</v>
      </c>
      <c r="G369" s="3" t="s">
        <v>12</v>
      </c>
      <c r="H369" s="3" t="s">
        <v>77</v>
      </c>
      <c r="I369" s="3" t="s">
        <v>280</v>
      </c>
      <c r="J369" s="97" t="s">
        <v>3436</v>
      </c>
    </row>
    <row r="370" spans="1:10" ht="28.9" customHeight="1" thickTop="1" thickBot="1" x14ac:dyDescent="0.65">
      <c r="A370" s="5">
        <v>368</v>
      </c>
      <c r="B370" s="46" t="str">
        <f>HYPERLINK("https://search.naver.com/search.naver?query=난 지구 반대편 나라로 가버릴테야 영화", "난 지구 반대편 나라로 가버릴테야")</f>
        <v>난 지구 반대편 나라로 가버릴테야</v>
      </c>
      <c r="C370" s="47">
        <v>6.4</v>
      </c>
      <c r="D370" s="6" t="s">
        <v>535</v>
      </c>
      <c r="E370" s="5" t="s">
        <v>20</v>
      </c>
      <c r="F370" s="5">
        <v>2014</v>
      </c>
      <c r="G370" s="5" t="s">
        <v>12</v>
      </c>
      <c r="H370" s="5" t="s">
        <v>68</v>
      </c>
      <c r="I370" s="5" t="s">
        <v>536</v>
      </c>
      <c r="J370" s="98" t="s">
        <v>3437</v>
      </c>
    </row>
    <row r="371" spans="1:10" ht="28.9" customHeight="1" thickTop="1" thickBot="1" x14ac:dyDescent="0.65">
      <c r="A371" s="3">
        <v>369</v>
      </c>
      <c r="B371" s="44" t="str">
        <f>HYPERLINK("https://search.naver.com/search.naver?query=날, 보러와요 영화", "날, 보러와요")</f>
        <v>날, 보러와요</v>
      </c>
      <c r="C371" s="45">
        <v>8.0399999999999991</v>
      </c>
      <c r="D371" s="4" t="s">
        <v>537</v>
      </c>
      <c r="E371" s="3" t="s">
        <v>11</v>
      </c>
      <c r="F371" s="3">
        <v>2015</v>
      </c>
      <c r="G371" s="3" t="s">
        <v>12</v>
      </c>
      <c r="H371" s="3" t="s">
        <v>43</v>
      </c>
      <c r="I371" s="3" t="s">
        <v>240</v>
      </c>
      <c r="J371" s="97" t="s">
        <v>3440</v>
      </c>
    </row>
    <row r="372" spans="1:10" ht="28.9" customHeight="1" thickTop="1" thickBot="1" x14ac:dyDescent="0.65">
      <c r="A372" s="5">
        <v>370</v>
      </c>
      <c r="B372" s="46" t="str">
        <f>HYPERLINK("https://search.naver.com/search.naver?query=남과여2015", "남과 여")</f>
        <v>남과 여</v>
      </c>
      <c r="C372" s="47">
        <v>7.56</v>
      </c>
      <c r="D372" s="6" t="s">
        <v>538</v>
      </c>
      <c r="E372" s="5" t="s">
        <v>11</v>
      </c>
      <c r="F372" s="5">
        <v>2015</v>
      </c>
      <c r="G372" s="5" t="s">
        <v>12</v>
      </c>
      <c r="H372" s="5" t="s">
        <v>121</v>
      </c>
      <c r="I372" s="5" t="s">
        <v>47</v>
      </c>
      <c r="J372" s="98" t="s">
        <v>3440</v>
      </c>
    </row>
    <row r="373" spans="1:10" ht="28.9" customHeight="1" thickTop="1" thickBot="1" x14ac:dyDescent="0.65">
      <c r="A373" s="3">
        <v>371</v>
      </c>
      <c r="B373" s="44" t="str">
        <f>HYPERLINK("https://search.naver.com/search.naver?query=남극의 쉐프 영화", "남극의 쉐프")</f>
        <v>남극의 쉐프</v>
      </c>
      <c r="C373" s="45">
        <v>8.58</v>
      </c>
      <c r="D373" s="4" t="s">
        <v>539</v>
      </c>
      <c r="E373" s="3" t="s">
        <v>16</v>
      </c>
      <c r="F373" s="3">
        <v>2010</v>
      </c>
      <c r="G373" s="3" t="s">
        <v>12</v>
      </c>
      <c r="H373" s="3" t="s">
        <v>17</v>
      </c>
      <c r="I373" s="3" t="s">
        <v>214</v>
      </c>
      <c r="J373" s="97" t="s">
        <v>3455</v>
      </c>
    </row>
    <row r="374" spans="1:10" ht="28.9" customHeight="1" thickTop="1" thickBot="1" x14ac:dyDescent="0.65">
      <c r="A374" s="5">
        <v>372</v>
      </c>
      <c r="B374" s="46" t="str">
        <f>HYPERLINK("https://search.naver.com/search.naver?query=남동생 영화", "남동생")</f>
        <v>남동생</v>
      </c>
      <c r="C374" s="47"/>
      <c r="D374" s="6" t="s">
        <v>540</v>
      </c>
      <c r="E374" s="5" t="s">
        <v>16</v>
      </c>
      <c r="F374" s="5">
        <v>2010</v>
      </c>
      <c r="G374" s="5" t="s">
        <v>12</v>
      </c>
      <c r="H374" s="5" t="s">
        <v>17</v>
      </c>
      <c r="I374" s="5" t="s">
        <v>78</v>
      </c>
      <c r="J374" s="98" t="s">
        <v>3455</v>
      </c>
    </row>
    <row r="375" spans="1:10" ht="28.9" customHeight="1" thickTop="1" thickBot="1" x14ac:dyDescent="0.65">
      <c r="A375" s="3">
        <v>373</v>
      </c>
      <c r="B375" s="44" t="str">
        <f>HYPERLINK("https://search.naver.com/search.naver?query=남산의 부장들 영화", "남산의 부장들")</f>
        <v>남산의 부장들</v>
      </c>
      <c r="C375" s="45">
        <v>8.4600000000000009</v>
      </c>
      <c r="D375" s="4" t="s">
        <v>541</v>
      </c>
      <c r="E375" s="3" t="s">
        <v>11</v>
      </c>
      <c r="F375" s="3">
        <v>2020</v>
      </c>
      <c r="G375" s="3" t="s">
        <v>12</v>
      </c>
      <c r="H375" s="3" t="s">
        <v>17</v>
      </c>
      <c r="I375" s="3" t="s">
        <v>207</v>
      </c>
      <c r="J375" s="97" t="s">
        <v>3436</v>
      </c>
    </row>
    <row r="376" spans="1:10" ht="28.9" customHeight="1" thickTop="1" thickBot="1" x14ac:dyDescent="0.65">
      <c r="A376" s="5">
        <v>374</v>
      </c>
      <c r="B376" s="46" t="str">
        <f>HYPERLINK("https://search.naver.com/search.naver?query=남아있는 나날 영화", "남아있는 나날")</f>
        <v>남아있는 나날</v>
      </c>
      <c r="C376" s="47">
        <v>8.8800000000000008</v>
      </c>
      <c r="D376" s="6" t="s">
        <v>542</v>
      </c>
      <c r="E376" s="5" t="s">
        <v>24</v>
      </c>
      <c r="F376" s="5">
        <v>1993</v>
      </c>
      <c r="G376" s="5" t="s">
        <v>12</v>
      </c>
      <c r="H376" s="5" t="s">
        <v>17</v>
      </c>
      <c r="I376" s="5" t="s">
        <v>543</v>
      </c>
      <c r="J376" s="98" t="s">
        <v>3469</v>
      </c>
    </row>
    <row r="377" spans="1:10" ht="28.9" customHeight="1" thickTop="1" thickBot="1" x14ac:dyDescent="0.65">
      <c r="A377" s="3">
        <v>375</v>
      </c>
      <c r="B377" s="44" t="str">
        <f>HYPERLINK("https://search.naver.com/search.naver?query=남으로 가는 길 영화", "남으로 가는 길")</f>
        <v>남으로 가는 길</v>
      </c>
      <c r="C377" s="45">
        <v>8.1</v>
      </c>
      <c r="D377" s="4" t="s">
        <v>544</v>
      </c>
      <c r="E377" s="3" t="s">
        <v>11</v>
      </c>
      <c r="F377" s="3">
        <v>2025</v>
      </c>
      <c r="G377" s="3" t="s">
        <v>12</v>
      </c>
      <c r="H377" s="3" t="s">
        <v>17</v>
      </c>
      <c r="I377" s="3" t="s">
        <v>221</v>
      </c>
      <c r="J377" s="97" t="s">
        <v>3459</v>
      </c>
    </row>
    <row r="378" spans="1:10" ht="28.9" customHeight="1" thickTop="1" thickBot="1" x14ac:dyDescent="0.65">
      <c r="A378" s="5">
        <v>376</v>
      </c>
      <c r="B378" s="46" t="str">
        <f>HYPERLINK("https://search.naver.com/search.naver?query=남은 인생 10년 영화", "남은 인생 10년")</f>
        <v>남은 인생 10년</v>
      </c>
      <c r="C378" s="47">
        <v>7.58</v>
      </c>
      <c r="D378" s="6" t="s">
        <v>545</v>
      </c>
      <c r="E378" s="5" t="s">
        <v>16</v>
      </c>
      <c r="F378" s="5">
        <v>2022</v>
      </c>
      <c r="G378" s="5" t="s">
        <v>12</v>
      </c>
      <c r="H378" s="5" t="s">
        <v>121</v>
      </c>
      <c r="I378" s="5" t="s">
        <v>214</v>
      </c>
      <c r="J378" s="98" t="s">
        <v>3445</v>
      </c>
    </row>
    <row r="379" spans="1:10" ht="28.9" customHeight="1" thickTop="1" thickBot="1" x14ac:dyDescent="0.65">
      <c r="A379" s="3">
        <v>377</v>
      </c>
      <c r="B379" s="44" t="str">
        <f>HYPERLINK("https://search.naver.com/search.naver?query=남자가 사랑할 때 영화", "남자가 사랑할 때")</f>
        <v>남자가 사랑할 때</v>
      </c>
      <c r="C379" s="45">
        <v>8.48</v>
      </c>
      <c r="D379" s="4" t="s">
        <v>546</v>
      </c>
      <c r="E379" s="3" t="s">
        <v>11</v>
      </c>
      <c r="F379" s="3">
        <v>2013</v>
      </c>
      <c r="G379" s="3" t="s">
        <v>12</v>
      </c>
      <c r="H379" s="3" t="s">
        <v>121</v>
      </c>
      <c r="I379" s="3" t="s">
        <v>86</v>
      </c>
      <c r="J379" s="97" t="s">
        <v>3451</v>
      </c>
    </row>
    <row r="380" spans="1:10" ht="28.9" customHeight="1" thickTop="1" thickBot="1" x14ac:dyDescent="0.65">
      <c r="A380" s="5">
        <v>378</v>
      </c>
      <c r="B380" s="46" t="str">
        <f>HYPERLINK("https://search.naver.com/search.naver?query=남자의 일생 영화", "남자의 일생")</f>
        <v>남자의 일생</v>
      </c>
      <c r="C380" s="47">
        <v>6.4</v>
      </c>
      <c r="D380" s="6" t="s">
        <v>547</v>
      </c>
      <c r="E380" s="5" t="s">
        <v>16</v>
      </c>
      <c r="F380" s="5">
        <v>2014</v>
      </c>
      <c r="G380" s="5" t="s">
        <v>12</v>
      </c>
      <c r="H380" s="5" t="s">
        <v>17</v>
      </c>
      <c r="I380" s="5" t="s">
        <v>128</v>
      </c>
      <c r="J380" s="98" t="s">
        <v>3437</v>
      </c>
    </row>
    <row r="381" spans="1:10" ht="28.9" customHeight="1" thickTop="1" thickBot="1" x14ac:dyDescent="0.65">
      <c r="A381" s="3">
        <v>379</v>
      </c>
      <c r="B381" s="44" t="str">
        <f>HYPERLINK("https://search.naver.com/search.naver?query=남쪽으로 튀어 영화", "남쪽으로 튀어")</f>
        <v>남쪽으로 튀어</v>
      </c>
      <c r="C381" s="45">
        <v>7.81</v>
      </c>
      <c r="D381" s="4" t="s">
        <v>548</v>
      </c>
      <c r="E381" s="3" t="s">
        <v>11</v>
      </c>
      <c r="F381" s="3">
        <v>2012</v>
      </c>
      <c r="G381" s="3" t="s">
        <v>12</v>
      </c>
      <c r="H381" s="3" t="s">
        <v>68</v>
      </c>
      <c r="I381" s="3" t="s">
        <v>142</v>
      </c>
      <c r="J381" s="97" t="s">
        <v>3439</v>
      </c>
    </row>
    <row r="382" spans="1:10" ht="28.9" customHeight="1" thickTop="1" thickBot="1" x14ac:dyDescent="0.65">
      <c r="A382" s="5">
        <v>380</v>
      </c>
      <c r="B382" s="46" t="str">
        <f>HYPERLINK("https://search.naver.com/search.naver?query=남한산성 영화", "남한산성")</f>
        <v>남한산성</v>
      </c>
      <c r="C382" s="47">
        <v>8.17</v>
      </c>
      <c r="D382" s="6" t="s">
        <v>549</v>
      </c>
      <c r="E382" s="5" t="s">
        <v>11</v>
      </c>
      <c r="F382" s="5">
        <v>2017</v>
      </c>
      <c r="G382" s="5" t="s">
        <v>12</v>
      </c>
      <c r="H382" s="5" t="s">
        <v>320</v>
      </c>
      <c r="I382" s="5" t="s">
        <v>550</v>
      </c>
      <c r="J382" s="98" t="s">
        <v>3443</v>
      </c>
    </row>
    <row r="383" spans="1:10" ht="28.9" customHeight="1" thickTop="1" thickBot="1" x14ac:dyDescent="0.65">
      <c r="A383" s="3">
        <v>381</v>
      </c>
      <c r="B383" s="44" t="str">
        <f>HYPERLINK("https://search.naver.com/search.naver?query=낫 세이프 포 워크 영화", "낫 세이프 포 워크")</f>
        <v>낫 세이프 포 워크</v>
      </c>
      <c r="C383" s="45">
        <v>6.4</v>
      </c>
      <c r="D383" s="4" t="s">
        <v>551</v>
      </c>
      <c r="E383" s="3" t="s">
        <v>20</v>
      </c>
      <c r="F383" s="3">
        <v>2014</v>
      </c>
      <c r="G383" s="3" t="s">
        <v>12</v>
      </c>
      <c r="H383" s="3" t="s">
        <v>43</v>
      </c>
      <c r="I383" s="3" t="s">
        <v>552</v>
      </c>
      <c r="J383" s="97" t="s">
        <v>3437</v>
      </c>
    </row>
    <row r="384" spans="1:10" ht="28.9" customHeight="1" thickTop="1" thickBot="1" x14ac:dyDescent="0.65">
      <c r="A384" s="5">
        <v>382</v>
      </c>
      <c r="B384" s="46" t="str">
        <f>HYPERLINK("https://search.naver.com/search.naver?query=낮비 영화", "낮비")</f>
        <v>낮비</v>
      </c>
      <c r="C384" s="47">
        <v>3.32</v>
      </c>
      <c r="D384" s="6" t="s">
        <v>553</v>
      </c>
      <c r="E384" s="5" t="s">
        <v>16</v>
      </c>
      <c r="F384" s="5">
        <v>2016</v>
      </c>
      <c r="G384" s="5" t="s">
        <v>12</v>
      </c>
      <c r="H384" s="5" t="s">
        <v>277</v>
      </c>
      <c r="I384" s="5" t="s">
        <v>81</v>
      </c>
      <c r="J384" s="98" t="s">
        <v>3441</v>
      </c>
    </row>
    <row r="385" spans="1:10" ht="28.9" customHeight="1" thickTop="1" thickBot="1" x14ac:dyDescent="0.65">
      <c r="A385" s="7">
        <v>383</v>
      </c>
      <c r="B385" s="48" t="str">
        <f>HYPERLINK("https://search.naver.com/search.naver?query=낯선 별자리 드라마", "낯선 별자리 시즌1")</f>
        <v>낯선 별자리 시즌1</v>
      </c>
      <c r="C385" s="49"/>
      <c r="D385" s="8" t="s">
        <v>554</v>
      </c>
      <c r="E385" s="7" t="s">
        <v>3525</v>
      </c>
      <c r="F385" s="7">
        <v>2024</v>
      </c>
      <c r="G385" s="7" t="s">
        <v>17</v>
      </c>
      <c r="H385" s="7" t="s">
        <v>179</v>
      </c>
      <c r="I385" s="7" t="s">
        <v>55</v>
      </c>
      <c r="J385" s="99" t="s">
        <v>3448</v>
      </c>
    </row>
    <row r="386" spans="1:10" ht="28.9" customHeight="1" thickTop="1" thickBot="1" x14ac:dyDescent="0.65">
      <c r="A386" s="5">
        <v>384</v>
      </c>
      <c r="B386" s="46" t="str">
        <f>HYPERLINK("https://search.naver.com/search.naver?query=내 남자의 아내도 좋아 영화", "내 남자의 아내도 좋아")</f>
        <v>내 남자의 아내도 좋아</v>
      </c>
      <c r="C386" s="47">
        <v>7.71</v>
      </c>
      <c r="D386" s="6" t="s">
        <v>555</v>
      </c>
      <c r="E386" s="5" t="s">
        <v>20</v>
      </c>
      <c r="F386" s="5">
        <v>2009</v>
      </c>
      <c r="G386" s="5" t="s">
        <v>12</v>
      </c>
      <c r="H386" s="5" t="s">
        <v>121</v>
      </c>
      <c r="I386" s="5" t="s">
        <v>61</v>
      </c>
      <c r="J386" s="98" t="s">
        <v>3453</v>
      </c>
    </row>
    <row r="387" spans="1:10" ht="28.9" customHeight="1" thickTop="1" thickBot="1" x14ac:dyDescent="0.65">
      <c r="A387" s="3">
        <v>385</v>
      </c>
      <c r="B387" s="44" t="str">
        <f>HYPERLINK("https://search.naver.com/search.naver?query=내 머리 속의 지우개 영화", "내 머리 속의 지우개")</f>
        <v>내 머리 속의 지우개</v>
      </c>
      <c r="C387" s="45">
        <v>9.09</v>
      </c>
      <c r="D387" s="4" t="s">
        <v>556</v>
      </c>
      <c r="E387" s="3" t="s">
        <v>11</v>
      </c>
      <c r="F387" s="3">
        <v>2004</v>
      </c>
      <c r="G387" s="3" t="s">
        <v>12</v>
      </c>
      <c r="H387" s="3" t="s">
        <v>121</v>
      </c>
      <c r="I387" s="3" t="s">
        <v>89</v>
      </c>
      <c r="J387" s="97" t="s">
        <v>3462</v>
      </c>
    </row>
    <row r="388" spans="1:10" ht="28.9" customHeight="1" thickTop="1" thickBot="1" x14ac:dyDescent="0.65">
      <c r="A388" s="5">
        <v>386</v>
      </c>
      <c r="B388" s="46" t="str">
        <f>HYPERLINK("https://search.naver.com/search.naver?query=내 사랑 영화", "내 사랑")</f>
        <v>내 사랑</v>
      </c>
      <c r="C388" s="47">
        <v>9.16</v>
      </c>
      <c r="D388" s="6" t="s">
        <v>557</v>
      </c>
      <c r="E388" s="5" t="s">
        <v>558</v>
      </c>
      <c r="F388" s="5">
        <v>2016</v>
      </c>
      <c r="G388" s="5" t="s">
        <v>12</v>
      </c>
      <c r="H388" s="5" t="s">
        <v>17</v>
      </c>
      <c r="I388" s="5" t="s">
        <v>47</v>
      </c>
      <c r="J388" s="98" t="s">
        <v>3441</v>
      </c>
    </row>
    <row r="389" spans="1:10" ht="28.9" customHeight="1" thickTop="1" thickBot="1" x14ac:dyDescent="0.65">
      <c r="A389" s="3">
        <v>387</v>
      </c>
      <c r="B389" s="44" t="str">
        <f>HYPERLINK("https://search.naver.com/search.naver?query=내 사랑 내 곁에 영화", "내 사랑 내 곁에")</f>
        <v>내 사랑 내 곁에</v>
      </c>
      <c r="C389" s="45">
        <v>7.05</v>
      </c>
      <c r="D389" s="4" t="s">
        <v>559</v>
      </c>
      <c r="E389" s="3" t="s">
        <v>11</v>
      </c>
      <c r="F389" s="3">
        <v>2009</v>
      </c>
      <c r="G389" s="3" t="s">
        <v>12</v>
      </c>
      <c r="H389" s="3" t="s">
        <v>17</v>
      </c>
      <c r="I389" s="3" t="s">
        <v>142</v>
      </c>
      <c r="J389" s="97" t="s">
        <v>3453</v>
      </c>
    </row>
    <row r="390" spans="1:10" ht="28.9" customHeight="1" thickTop="1" thickBot="1" x14ac:dyDescent="0.65">
      <c r="A390" s="5">
        <v>388</v>
      </c>
      <c r="B390" s="46" t="str">
        <f>HYPERLINK("https://search.naver.com/search.naver?query=내 생애 가장 아름다운 일주일 영화", "내 생애 가장 아름다운 일주일")</f>
        <v>내 생애 가장 아름다운 일주일</v>
      </c>
      <c r="C390" s="47">
        <v>8.66</v>
      </c>
      <c r="D390" s="6" t="s">
        <v>560</v>
      </c>
      <c r="E390" s="5" t="s">
        <v>11</v>
      </c>
      <c r="F390" s="5">
        <v>2005</v>
      </c>
      <c r="G390" s="5" t="s">
        <v>12</v>
      </c>
      <c r="H390" s="5" t="s">
        <v>72</v>
      </c>
      <c r="I390" s="5" t="s">
        <v>214</v>
      </c>
      <c r="J390" s="98" t="s">
        <v>3461</v>
      </c>
    </row>
    <row r="391" spans="1:10" ht="28.9" customHeight="1" thickTop="1" thickBot="1" x14ac:dyDescent="0.65">
      <c r="A391" s="3">
        <v>389</v>
      </c>
      <c r="B391" s="44" t="str">
        <f>HYPERLINK("https://search.naver.com/search.naver?query=내 아내의 모든 것 영화", "내 아내의 모든 것")</f>
        <v>내 아내의 모든 것</v>
      </c>
      <c r="C391" s="45">
        <v>8.6</v>
      </c>
      <c r="D391" s="4" t="s">
        <v>561</v>
      </c>
      <c r="E391" s="3" t="s">
        <v>11</v>
      </c>
      <c r="F391" s="3">
        <v>2012</v>
      </c>
      <c r="G391" s="3" t="s">
        <v>12</v>
      </c>
      <c r="H391" s="3" t="s">
        <v>133</v>
      </c>
      <c r="I391" s="3" t="s">
        <v>142</v>
      </c>
      <c r="J391" s="97" t="s">
        <v>3439</v>
      </c>
    </row>
    <row r="392" spans="1:10" ht="28.9" customHeight="1" thickTop="1" thickBot="1" x14ac:dyDescent="0.65">
      <c r="A392" s="5">
        <v>390</v>
      </c>
      <c r="B392" s="46" t="str">
        <f>HYPERLINK("https://search.naver.com/search.naver?query=내 아내의 행복한 장례식 영화", "내 아내의 행복한 장례식")</f>
        <v>내 아내의 행복한 장례식</v>
      </c>
      <c r="C392" s="47">
        <v>8.5</v>
      </c>
      <c r="D392" s="6" t="s">
        <v>562</v>
      </c>
      <c r="E392" s="5" t="s">
        <v>16</v>
      </c>
      <c r="F392" s="5">
        <v>2012</v>
      </c>
      <c r="G392" s="5" t="s">
        <v>12</v>
      </c>
      <c r="H392" s="5" t="s">
        <v>17</v>
      </c>
      <c r="I392" s="5" t="s">
        <v>128</v>
      </c>
      <c r="J392" s="98" t="s">
        <v>3439</v>
      </c>
    </row>
    <row r="393" spans="1:10" ht="28.9" customHeight="1" thickTop="1" thickBot="1" x14ac:dyDescent="0.65">
      <c r="A393" s="3">
        <v>391</v>
      </c>
      <c r="B393" s="44" t="str">
        <f>HYPERLINK("https://search.naver.com/search.naver?query=내 어깨 위 고양이 밥 2 영화", "내 어깨 위 고양이 밥 2")</f>
        <v>내 어깨 위 고양이 밥 2</v>
      </c>
      <c r="C393" s="45">
        <v>9.3800000000000008</v>
      </c>
      <c r="D393" s="4" t="s">
        <v>563</v>
      </c>
      <c r="E393" s="3" t="s">
        <v>24</v>
      </c>
      <c r="F393" s="3">
        <v>2020</v>
      </c>
      <c r="G393" s="3" t="s">
        <v>12</v>
      </c>
      <c r="H393" s="3" t="s">
        <v>17</v>
      </c>
      <c r="I393" s="3" t="s">
        <v>147</v>
      </c>
      <c r="J393" s="97" t="s">
        <v>3436</v>
      </c>
    </row>
    <row r="394" spans="1:10" ht="28.9" customHeight="1" thickTop="1" thickBot="1" x14ac:dyDescent="0.65">
      <c r="A394" s="5">
        <v>392</v>
      </c>
      <c r="B394" s="46" t="str">
        <f>HYPERLINK("https://search.naver.com/search.naver?query=내 어깨 위 고양이, 밥 영화", "내 어깨 위 고양이, 밥")</f>
        <v>내 어깨 위 고양이, 밥</v>
      </c>
      <c r="C394" s="47">
        <v>9.3800000000000008</v>
      </c>
      <c r="D394" s="6" t="s">
        <v>564</v>
      </c>
      <c r="E394" s="5" t="s">
        <v>24</v>
      </c>
      <c r="F394" s="5">
        <v>2016</v>
      </c>
      <c r="G394" s="5" t="s">
        <v>12</v>
      </c>
      <c r="H394" s="5" t="s">
        <v>17</v>
      </c>
      <c r="I394" s="5" t="s">
        <v>190</v>
      </c>
      <c r="J394" s="98" t="s">
        <v>3441</v>
      </c>
    </row>
    <row r="395" spans="1:10" ht="28.9" customHeight="1" thickTop="1" thickBot="1" x14ac:dyDescent="0.65">
      <c r="A395" s="3">
        <v>393</v>
      </c>
      <c r="B395" s="44" t="str">
        <f>HYPERLINK("https://search.naver.com/search.naver?query=내 어머니의 인생 영화", "내 어머니의 인생")</f>
        <v>내 어머니의 인생</v>
      </c>
      <c r="C395" s="45">
        <v>9.5</v>
      </c>
      <c r="D395" s="4" t="s">
        <v>565</v>
      </c>
      <c r="E395" s="3" t="s">
        <v>16</v>
      </c>
      <c r="F395" s="3">
        <v>2011</v>
      </c>
      <c r="G395" s="3" t="s">
        <v>12</v>
      </c>
      <c r="H395" s="3" t="s">
        <v>17</v>
      </c>
      <c r="I395" s="3" t="s">
        <v>53</v>
      </c>
      <c r="J395" s="97" t="s">
        <v>3454</v>
      </c>
    </row>
    <row r="396" spans="1:10" ht="28.9" customHeight="1" thickTop="1" thickBot="1" x14ac:dyDescent="0.65">
      <c r="A396" s="5">
        <v>394</v>
      </c>
      <c r="B396" s="46" t="str">
        <f>HYPERLINK("https://search.naver.com/search.naver?query=내 이름은 칸 영화", "내 이름은 칸")</f>
        <v>내 이름은 칸</v>
      </c>
      <c r="C396" s="47">
        <v>9.2899999999999991</v>
      </c>
      <c r="D396" s="6" t="s">
        <v>566</v>
      </c>
      <c r="E396" s="5" t="s">
        <v>361</v>
      </c>
      <c r="F396" s="5">
        <v>2010</v>
      </c>
      <c r="G396" s="5" t="s">
        <v>12</v>
      </c>
      <c r="H396" s="5" t="s">
        <v>17</v>
      </c>
      <c r="I396" s="5" t="s">
        <v>567</v>
      </c>
      <c r="J396" s="98" t="s">
        <v>3455</v>
      </c>
    </row>
    <row r="397" spans="1:10" ht="28.9" customHeight="1" thickTop="1" thickBot="1" x14ac:dyDescent="0.65">
      <c r="A397" s="3">
        <v>395</v>
      </c>
      <c r="B397" s="44" t="str">
        <f>HYPERLINK("https://search.naver.com/search.naver?query=내 이야기 영화", "내 이야기")</f>
        <v>내 이야기</v>
      </c>
      <c r="C397" s="45">
        <v>9</v>
      </c>
      <c r="D397" s="4" t="s">
        <v>568</v>
      </c>
      <c r="E397" s="3" t="s">
        <v>16</v>
      </c>
      <c r="F397" s="3">
        <v>2018</v>
      </c>
      <c r="G397" s="3" t="s">
        <v>12</v>
      </c>
      <c r="H397" s="3" t="s">
        <v>121</v>
      </c>
      <c r="I397" s="3" t="s">
        <v>128</v>
      </c>
      <c r="J397" s="97" t="s">
        <v>3442</v>
      </c>
    </row>
    <row r="398" spans="1:10" ht="28.9" customHeight="1" thickTop="1" thickBot="1" x14ac:dyDescent="0.65">
      <c r="A398" s="5">
        <v>396</v>
      </c>
      <c r="B398" s="46" t="str">
        <f>HYPERLINK("https://search.naver.com/search.naver?query=내 인생의 마지막 변화구 영화", "내 인생의 마지막 변화구")</f>
        <v>내 인생의 마지막 변화구</v>
      </c>
      <c r="C398" s="47">
        <v>8.32</v>
      </c>
      <c r="D398" s="6" t="s">
        <v>569</v>
      </c>
      <c r="E398" s="5" t="s">
        <v>20</v>
      </c>
      <c r="F398" s="5">
        <v>2012</v>
      </c>
      <c r="G398" s="5" t="s">
        <v>12</v>
      </c>
      <c r="H398" s="5" t="s">
        <v>17</v>
      </c>
      <c r="I398" s="5" t="s">
        <v>102</v>
      </c>
      <c r="J398" s="98" t="s">
        <v>3439</v>
      </c>
    </row>
    <row r="399" spans="1:10" ht="28.9" customHeight="1" thickTop="1" thickBot="1" x14ac:dyDescent="0.65">
      <c r="A399" s="3">
        <v>397</v>
      </c>
      <c r="B399" s="44" t="str">
        <f>HYPERLINK("https://search.naver.com/search.naver?query=내 첫사랑을 너에게 바친다 영화", "내 첫사랑을 너에게 바친다")</f>
        <v>내 첫사랑을 너에게 바친다</v>
      </c>
      <c r="C399" s="45">
        <v>8.17</v>
      </c>
      <c r="D399" s="4" t="s">
        <v>570</v>
      </c>
      <c r="E399" s="3" t="s">
        <v>16</v>
      </c>
      <c r="F399" s="3">
        <v>2009</v>
      </c>
      <c r="G399" s="3" t="s">
        <v>12</v>
      </c>
      <c r="H399" s="3" t="s">
        <v>121</v>
      </c>
      <c r="I399" s="3" t="s">
        <v>105</v>
      </c>
      <c r="J399" s="97" t="s">
        <v>3453</v>
      </c>
    </row>
    <row r="400" spans="1:10" ht="28.9" customHeight="1" thickTop="1" thickBot="1" x14ac:dyDescent="0.65">
      <c r="A400" s="5">
        <v>398</v>
      </c>
      <c r="B400" s="46" t="str">
        <f>HYPERLINK("https://search.naver.com/search.naver?query=내가 고백을 하면 영화", "내가 고백을 하면")</f>
        <v>내가 고백을 하면</v>
      </c>
      <c r="C400" s="47">
        <v>8.6</v>
      </c>
      <c r="D400" s="6" t="s">
        <v>571</v>
      </c>
      <c r="E400" s="5" t="s">
        <v>16</v>
      </c>
      <c r="F400" s="5">
        <v>2012</v>
      </c>
      <c r="G400" s="5" t="s">
        <v>12</v>
      </c>
      <c r="H400" s="5" t="s">
        <v>17</v>
      </c>
      <c r="I400" s="5" t="s">
        <v>128</v>
      </c>
      <c r="J400" s="98" t="s">
        <v>3439</v>
      </c>
    </row>
    <row r="401" spans="1:10" ht="28.9" customHeight="1" thickTop="1" thickBot="1" x14ac:dyDescent="0.65">
      <c r="A401" s="3">
        <v>399</v>
      </c>
      <c r="B401" s="44" t="str">
        <f>HYPERLINK("https://search.naver.com/search.naver?query=내가 사는 피부 영화", "내가 사는 피부")</f>
        <v>내가 사는 피부</v>
      </c>
      <c r="C401" s="45">
        <v>7.9</v>
      </c>
      <c r="D401" s="4" t="s">
        <v>572</v>
      </c>
      <c r="E401" s="3" t="s">
        <v>30</v>
      </c>
      <c r="F401" s="3">
        <v>2011</v>
      </c>
      <c r="G401" s="3" t="s">
        <v>12</v>
      </c>
      <c r="H401" s="3" t="s">
        <v>43</v>
      </c>
      <c r="I401" s="3" t="s">
        <v>86</v>
      </c>
      <c r="J401" s="97" t="s">
        <v>3454</v>
      </c>
    </row>
    <row r="402" spans="1:10" ht="28.9" customHeight="1" thickTop="1" thickBot="1" x14ac:dyDescent="0.65">
      <c r="A402" s="5">
        <v>400</v>
      </c>
      <c r="B402" s="46" t="str">
        <f>HYPERLINK("https://search.naver.com/search.naver?query=내가 살인범이다 영화", "내가 살인범이다")</f>
        <v>내가 살인범이다</v>
      </c>
      <c r="C402" s="47">
        <v>8.49</v>
      </c>
      <c r="D402" s="6" t="s">
        <v>573</v>
      </c>
      <c r="E402" s="5" t="s">
        <v>11</v>
      </c>
      <c r="F402" s="5">
        <v>2012</v>
      </c>
      <c r="G402" s="5" t="s">
        <v>12</v>
      </c>
      <c r="H402" s="5" t="s">
        <v>277</v>
      </c>
      <c r="I402" s="5" t="s">
        <v>53</v>
      </c>
      <c r="J402" s="98" t="s">
        <v>3439</v>
      </c>
    </row>
    <row r="403" spans="1:10" ht="28.9" customHeight="1" thickTop="1" thickBot="1" x14ac:dyDescent="0.65">
      <c r="A403" s="3">
        <v>401</v>
      </c>
      <c r="B403" s="44" t="str">
        <f>HYPERLINK("https://search.naver.com/search.naver?query=내가 잠들기 전에 영화", "내가 잠들기 전에")</f>
        <v>내가 잠들기 전에</v>
      </c>
      <c r="C403" s="45">
        <v>8.23</v>
      </c>
      <c r="D403" s="4" t="s">
        <v>574</v>
      </c>
      <c r="E403" s="3" t="s">
        <v>24</v>
      </c>
      <c r="F403" s="3">
        <v>2014</v>
      </c>
      <c r="G403" s="3" t="s">
        <v>12</v>
      </c>
      <c r="H403" s="3" t="s">
        <v>43</v>
      </c>
      <c r="I403" s="3" t="s">
        <v>147</v>
      </c>
      <c r="J403" s="97" t="s">
        <v>3437</v>
      </c>
    </row>
    <row r="404" spans="1:10" ht="28.9" customHeight="1" thickTop="1" thickBot="1" x14ac:dyDescent="0.65">
      <c r="A404" s="5">
        <v>402</v>
      </c>
      <c r="B404" s="46" t="str">
        <f>HYPERLINK("https://search.naver.com/search.naver?query=내가 죽기를 바라는 자들 영화", "내가 죽기를 바라는 자들")</f>
        <v>내가 죽기를 바라는 자들</v>
      </c>
      <c r="C404" s="47">
        <v>7.5</v>
      </c>
      <c r="D404" s="6" t="s">
        <v>575</v>
      </c>
      <c r="E404" s="5" t="s">
        <v>20</v>
      </c>
      <c r="F404" s="5">
        <v>2021</v>
      </c>
      <c r="G404" s="5" t="s">
        <v>12</v>
      </c>
      <c r="H404" s="5" t="s">
        <v>21</v>
      </c>
      <c r="I404" s="5" t="s">
        <v>131</v>
      </c>
      <c r="J404" s="98" t="s">
        <v>3438</v>
      </c>
    </row>
    <row r="405" spans="1:10" ht="28.9" customHeight="1" thickTop="1" thickBot="1" x14ac:dyDescent="0.65">
      <c r="A405" s="3">
        <v>403</v>
      </c>
      <c r="B405" s="44" t="str">
        <f>HYPERLINK("https://search.naver.com/search.naver?query=내가 죽던 날 영화", "내가 죽던 날")</f>
        <v>내가 죽던 날</v>
      </c>
      <c r="C405" s="45">
        <v>9.09</v>
      </c>
      <c r="D405" s="4" t="s">
        <v>576</v>
      </c>
      <c r="E405" s="3" t="s">
        <v>11</v>
      </c>
      <c r="F405" s="3">
        <v>2020</v>
      </c>
      <c r="G405" s="3" t="s">
        <v>12</v>
      </c>
      <c r="H405" s="3" t="s">
        <v>17</v>
      </c>
      <c r="I405" s="3" t="s">
        <v>366</v>
      </c>
      <c r="J405" s="97" t="s">
        <v>3436</v>
      </c>
    </row>
    <row r="406" spans="1:10" ht="28.9" customHeight="1" thickTop="1" thickBot="1" x14ac:dyDescent="0.65">
      <c r="A406" s="5">
        <v>404</v>
      </c>
      <c r="B406" s="46" t="str">
        <f>HYPERLINK("https://search.naver.com/search.naver?query=내게 남은 사랑을 영화", "내게 남은 사랑을")</f>
        <v>내게 남은 사랑을</v>
      </c>
      <c r="C406" s="47">
        <v>8.67</v>
      </c>
      <c r="D406" s="6" t="s">
        <v>577</v>
      </c>
      <c r="E406" s="5" t="s">
        <v>16</v>
      </c>
      <c r="F406" s="5">
        <v>2017</v>
      </c>
      <c r="G406" s="5" t="s">
        <v>12</v>
      </c>
      <c r="H406" s="5" t="s">
        <v>17</v>
      </c>
      <c r="I406" s="5" t="s">
        <v>14</v>
      </c>
      <c r="J406" s="98" t="s">
        <v>3443</v>
      </c>
    </row>
    <row r="407" spans="1:10" ht="28.9" customHeight="1" thickTop="1" thickBot="1" x14ac:dyDescent="0.65">
      <c r="A407" s="3">
        <v>405</v>
      </c>
      <c r="B407" s="44" t="str">
        <f>HYPERLINK("https://search.naver.com/search.naver?query=내니 다이어리 영화", "내니 다이어리")</f>
        <v>내니 다이어리</v>
      </c>
      <c r="C407" s="45">
        <v>7.52</v>
      </c>
      <c r="D407" s="4" t="s">
        <v>578</v>
      </c>
      <c r="E407" s="3" t="s">
        <v>20</v>
      </c>
      <c r="F407" s="3">
        <v>2007</v>
      </c>
      <c r="G407" s="3" t="s">
        <v>12</v>
      </c>
      <c r="H407" s="3" t="s">
        <v>72</v>
      </c>
      <c r="I407" s="3" t="s">
        <v>128</v>
      </c>
      <c r="J407" s="97" t="s">
        <v>3447</v>
      </c>
    </row>
    <row r="408" spans="1:10" ht="28.9" customHeight="1" thickTop="1" thickBot="1" x14ac:dyDescent="0.65">
      <c r="A408" s="5">
        <v>406</v>
      </c>
      <c r="B408" s="46" t="str">
        <f>HYPERLINK("https://search.naver.com/search.naver?query=내부고발자:도시영웅 영화", "내부고발자-도시영웅")</f>
        <v>내부고발자-도시영웅</v>
      </c>
      <c r="C408" s="47">
        <v>4</v>
      </c>
      <c r="D408" s="6" t="s">
        <v>579</v>
      </c>
      <c r="E408" s="5" t="s">
        <v>136</v>
      </c>
      <c r="F408" s="5">
        <v>2019</v>
      </c>
      <c r="G408" s="5" t="s">
        <v>12</v>
      </c>
      <c r="H408" s="5" t="s">
        <v>17</v>
      </c>
      <c r="I408" s="5" t="s">
        <v>41</v>
      </c>
      <c r="J408" s="98" t="s">
        <v>3444</v>
      </c>
    </row>
    <row r="409" spans="1:10" ht="28.9" customHeight="1" thickTop="1" thickBot="1" x14ac:dyDescent="0.65">
      <c r="A409" s="3">
        <v>407</v>
      </c>
      <c r="B409" s="44" t="str">
        <f>HYPERLINK("https://search.naver.com/search.naver?query=내부자들 영화", "내부자들")</f>
        <v>내부자들</v>
      </c>
      <c r="C409" s="45">
        <v>9.06</v>
      </c>
      <c r="D409" s="4" t="s">
        <v>580</v>
      </c>
      <c r="E409" s="3" t="s">
        <v>11</v>
      </c>
      <c r="F409" s="3">
        <v>2015</v>
      </c>
      <c r="G409" s="3" t="s">
        <v>12</v>
      </c>
      <c r="H409" s="3" t="s">
        <v>277</v>
      </c>
      <c r="I409" s="3" t="s">
        <v>34</v>
      </c>
      <c r="J409" s="97" t="s">
        <v>3440</v>
      </c>
    </row>
    <row r="410" spans="1:10" ht="28.9" customHeight="1" thickTop="1" thickBot="1" x14ac:dyDescent="0.65">
      <c r="A410" s="7">
        <v>408</v>
      </c>
      <c r="B410" s="48" t="str">
        <f>HYPERLINK("https://search.naver.com/search.naver?query=내셔널 트레져:숨겨진 이야기", "내셔널 트레져: 숨겨진 이야기")</f>
        <v>내셔널 트레져: 숨겨진 이야기</v>
      </c>
      <c r="C410" s="49"/>
      <c r="D410" s="8" t="s">
        <v>581</v>
      </c>
      <c r="E410" s="7" t="s">
        <v>20</v>
      </c>
      <c r="F410" s="7">
        <v>2022</v>
      </c>
      <c r="G410" s="7" t="s">
        <v>17</v>
      </c>
      <c r="H410" s="7" t="s">
        <v>582</v>
      </c>
      <c r="I410" s="7" t="s">
        <v>50</v>
      </c>
      <c r="J410" s="99" t="s">
        <v>3445</v>
      </c>
    </row>
    <row r="411" spans="1:10" ht="28.9" customHeight="1" thickTop="1" thickBot="1" x14ac:dyDescent="0.65">
      <c r="A411" s="3">
        <v>409</v>
      </c>
      <c r="B411" s="44" t="str">
        <f>HYPERLINK("https://search.naver.com/search.naver?query=내안의 그놈 영화", "내안의 그놈")</f>
        <v>내안의 그놈</v>
      </c>
      <c r="C411" s="45">
        <v>8.76</v>
      </c>
      <c r="D411" s="4" t="s">
        <v>583</v>
      </c>
      <c r="E411" s="3" t="s">
        <v>11</v>
      </c>
      <c r="F411" s="3">
        <v>2018</v>
      </c>
      <c r="G411" s="3" t="s">
        <v>12</v>
      </c>
      <c r="H411" s="3" t="s">
        <v>68</v>
      </c>
      <c r="I411" s="3" t="s">
        <v>105</v>
      </c>
      <c r="J411" s="97" t="s">
        <v>3442</v>
      </c>
    </row>
    <row r="412" spans="1:10" ht="28.9" customHeight="1" thickTop="1" thickBot="1" x14ac:dyDescent="0.65">
      <c r="A412" s="5">
        <v>410</v>
      </c>
      <c r="B412" s="46" t="str">
        <f>HYPERLINK("https://search.naver.com/search.naver?query=내일을 위한 시간 영화", "내일을 위한 시간")</f>
        <v>내일을 위한 시간</v>
      </c>
      <c r="C412" s="47">
        <v>8.68</v>
      </c>
      <c r="D412" s="6" t="s">
        <v>584</v>
      </c>
      <c r="E412" s="5" t="s">
        <v>16</v>
      </c>
      <c r="F412" s="5">
        <v>2014</v>
      </c>
      <c r="G412" s="5" t="s">
        <v>12</v>
      </c>
      <c r="H412" s="5" t="s">
        <v>17</v>
      </c>
      <c r="I412" s="5" t="s">
        <v>111</v>
      </c>
      <c r="J412" s="98" t="s">
        <v>3437</v>
      </c>
    </row>
    <row r="413" spans="1:10" ht="28.9" customHeight="1" thickTop="1" thickBot="1" x14ac:dyDescent="0.65">
      <c r="A413" s="3">
        <v>411</v>
      </c>
      <c r="B413" s="44" t="str">
        <f>HYPERLINK("https://search.naver.com/search.naver?query=내일의 기억 영화", "내일의 기억")</f>
        <v>내일의 기억</v>
      </c>
      <c r="C413" s="45">
        <v>8.73</v>
      </c>
      <c r="D413" s="4" t="s">
        <v>585</v>
      </c>
      <c r="E413" s="3" t="s">
        <v>11</v>
      </c>
      <c r="F413" s="3">
        <v>2021</v>
      </c>
      <c r="G413" s="3" t="s">
        <v>12</v>
      </c>
      <c r="H413" s="3" t="s">
        <v>43</v>
      </c>
      <c r="I413" s="3" t="s">
        <v>81</v>
      </c>
      <c r="J413" s="97" t="s">
        <v>3438</v>
      </c>
    </row>
    <row r="414" spans="1:10" ht="28.9" customHeight="1" thickTop="1" thickBot="1" x14ac:dyDescent="0.65">
      <c r="A414" s="5">
        <v>412</v>
      </c>
      <c r="B414" s="46" t="str">
        <f>HYPERLINK("https://search.naver.com/search.naver?query=일본영화 내일의 기억", "내일의 기억")</f>
        <v>내일의 기억</v>
      </c>
      <c r="C414" s="47">
        <v>8.58</v>
      </c>
      <c r="D414" s="6" t="s">
        <v>586</v>
      </c>
      <c r="E414" s="5" t="s">
        <v>16</v>
      </c>
      <c r="F414" s="5">
        <v>2006</v>
      </c>
      <c r="G414" s="5" t="s">
        <v>12</v>
      </c>
      <c r="H414" s="5" t="s">
        <v>17</v>
      </c>
      <c r="I414" s="5" t="s">
        <v>105</v>
      </c>
      <c r="J414" s="98" t="s">
        <v>3460</v>
      </c>
    </row>
    <row r="415" spans="1:10" ht="28.9" customHeight="1" thickTop="1" thickBot="1" x14ac:dyDescent="0.65">
      <c r="A415" s="3">
        <v>413</v>
      </c>
      <c r="B415" s="44" t="str">
        <f>HYPERLINK("https://search.naver.com/search.naver?query=냉정과 열정 사이 영화", "냉정과 열정 사이")</f>
        <v>냉정과 열정 사이</v>
      </c>
      <c r="C415" s="45">
        <v>8.49</v>
      </c>
      <c r="D415" s="4" t="s">
        <v>587</v>
      </c>
      <c r="E415" s="3" t="s">
        <v>16</v>
      </c>
      <c r="F415" s="3">
        <v>2003</v>
      </c>
      <c r="G415" s="3" t="s">
        <v>12</v>
      </c>
      <c r="H415" s="3" t="s">
        <v>121</v>
      </c>
      <c r="I415" s="3" t="s">
        <v>86</v>
      </c>
      <c r="J415" s="97" t="s">
        <v>3449</v>
      </c>
    </row>
    <row r="416" spans="1:10" ht="28.9" customHeight="1" thickTop="1" thickBot="1" x14ac:dyDescent="0.65">
      <c r="A416" s="5">
        <v>414</v>
      </c>
      <c r="B416" s="46" t="str">
        <f>HYPERLINK("https://search.naver.com/search.naver?query=너는 내 운명 영화", "너는 내 운명")</f>
        <v>너는 내 운명</v>
      </c>
      <c r="C416" s="47">
        <v>9.08</v>
      </c>
      <c r="D416" s="6" t="s">
        <v>588</v>
      </c>
      <c r="E416" s="5" t="s">
        <v>11</v>
      </c>
      <c r="F416" s="5">
        <v>2005</v>
      </c>
      <c r="G416" s="5" t="s">
        <v>12</v>
      </c>
      <c r="H416" s="5" t="s">
        <v>121</v>
      </c>
      <c r="I416" s="5" t="s">
        <v>105</v>
      </c>
      <c r="J416" s="98" t="s">
        <v>3461</v>
      </c>
    </row>
    <row r="417" spans="1:10" ht="28.9" customHeight="1" thickTop="1" thickBot="1" x14ac:dyDescent="0.65">
      <c r="A417" s="3">
        <v>415</v>
      </c>
      <c r="B417" s="44" t="str">
        <f>HYPERLINK("https://search.naver.com/search.naver?query=너는 착한 아이 영화", "너는 착한 아이")</f>
        <v>너는 착한 아이</v>
      </c>
      <c r="C417" s="45">
        <v>9.19</v>
      </c>
      <c r="D417" s="4" t="s">
        <v>589</v>
      </c>
      <c r="E417" s="3" t="s">
        <v>16</v>
      </c>
      <c r="F417" s="3">
        <v>2016</v>
      </c>
      <c r="G417" s="3" t="s">
        <v>12</v>
      </c>
      <c r="H417" s="3" t="s">
        <v>17</v>
      </c>
      <c r="I417" s="3" t="s">
        <v>142</v>
      </c>
      <c r="J417" s="97" t="s">
        <v>3441</v>
      </c>
    </row>
    <row r="418" spans="1:10" ht="28.9" customHeight="1" thickTop="1" thickBot="1" x14ac:dyDescent="0.65">
      <c r="A418" s="5">
        <v>416</v>
      </c>
      <c r="B418" s="46" t="str">
        <f>HYPERLINK("https://search.naver.com/search.naver?query=너의 결혼식 영화", "너의 결혼식")</f>
        <v>너의 결혼식</v>
      </c>
      <c r="C418" s="47">
        <v>9</v>
      </c>
      <c r="D418" s="6" t="s">
        <v>590</v>
      </c>
      <c r="E418" s="5" t="s">
        <v>11</v>
      </c>
      <c r="F418" s="5">
        <v>2018</v>
      </c>
      <c r="G418" s="5" t="s">
        <v>12</v>
      </c>
      <c r="H418" s="5" t="s">
        <v>121</v>
      </c>
      <c r="I418" s="5" t="s">
        <v>96</v>
      </c>
      <c r="J418" s="98" t="s">
        <v>3442</v>
      </c>
    </row>
    <row r="419" spans="1:10" ht="28.9" customHeight="1" thickTop="1" thickBot="1" x14ac:dyDescent="0.65">
      <c r="A419" s="3">
        <v>417</v>
      </c>
      <c r="B419" s="44" t="str">
        <f>HYPERLINK("https://search.naver.com/search.naver?query=너의 췌장을 먹고 싶어 영화", "너의 췌장을 먹고 싶어")</f>
        <v>너의 췌장을 먹고 싶어</v>
      </c>
      <c r="C419" s="45">
        <v>7.96</v>
      </c>
      <c r="D419" s="4" t="s">
        <v>591</v>
      </c>
      <c r="E419" s="3" t="s">
        <v>16</v>
      </c>
      <c r="F419" s="3">
        <v>2017</v>
      </c>
      <c r="G419" s="3" t="s">
        <v>12</v>
      </c>
      <c r="H419" s="3" t="s">
        <v>121</v>
      </c>
      <c r="I419" s="3" t="s">
        <v>47</v>
      </c>
      <c r="J419" s="97" t="s">
        <v>3443</v>
      </c>
    </row>
    <row r="420" spans="1:10" ht="28.9" customHeight="1" thickTop="1" thickBot="1" x14ac:dyDescent="0.65">
      <c r="A420" s="5">
        <v>418</v>
      </c>
      <c r="B420" s="46" t="str">
        <f>HYPERLINK("https://search.naver.com/search.naver?query=넌 실수였어 영화", "넌 실수였어")</f>
        <v>넌 실수였어</v>
      </c>
      <c r="C420" s="47">
        <v>6.78</v>
      </c>
      <c r="D420" s="6" t="s">
        <v>592</v>
      </c>
      <c r="E420" s="5" t="s">
        <v>20</v>
      </c>
      <c r="F420" s="5">
        <v>2020</v>
      </c>
      <c r="G420" s="5" t="s">
        <v>12</v>
      </c>
      <c r="H420" s="5" t="s">
        <v>593</v>
      </c>
      <c r="I420" s="5" t="s">
        <v>119</v>
      </c>
      <c r="J420" s="98" t="s">
        <v>3436</v>
      </c>
    </row>
    <row r="421" spans="1:10" ht="28.9" customHeight="1" thickTop="1" thickBot="1" x14ac:dyDescent="0.65">
      <c r="A421" s="3">
        <v>419</v>
      </c>
      <c r="B421" s="44" t="str">
        <f>HYPERLINK("https://search.naver.com/search.naver?query=널 기다리며 영화", "널 기다리며")</f>
        <v>널 기다리며</v>
      </c>
      <c r="C421" s="45">
        <v>7.74</v>
      </c>
      <c r="D421" s="4" t="s">
        <v>594</v>
      </c>
      <c r="E421" s="3" t="s">
        <v>11</v>
      </c>
      <c r="F421" s="3">
        <v>2015</v>
      </c>
      <c r="G421" s="3" t="s">
        <v>12</v>
      </c>
      <c r="H421" s="3" t="s">
        <v>43</v>
      </c>
      <c r="I421" s="3" t="s">
        <v>31</v>
      </c>
      <c r="J421" s="97" t="s">
        <v>3440</v>
      </c>
    </row>
    <row r="422" spans="1:10" ht="28.9" customHeight="1" thickTop="1" thickBot="1" x14ac:dyDescent="0.65">
      <c r="A422" s="5">
        <v>420</v>
      </c>
      <c r="B422" s="46" t="str">
        <f>HYPERLINK("https://search.naver.com/search.naver?query=넘버스 스테이션 영화", "넘버스 스테이션")</f>
        <v>넘버스 스테이션</v>
      </c>
      <c r="C422" s="47">
        <v>6.87</v>
      </c>
      <c r="D422" s="6" t="s">
        <v>595</v>
      </c>
      <c r="E422" s="5" t="s">
        <v>24</v>
      </c>
      <c r="F422" s="5">
        <v>2013</v>
      </c>
      <c r="G422" s="5" t="s">
        <v>12</v>
      </c>
      <c r="H422" s="5" t="s">
        <v>21</v>
      </c>
      <c r="I422" s="5" t="s">
        <v>119</v>
      </c>
      <c r="J422" s="98" t="s">
        <v>3451</v>
      </c>
    </row>
    <row r="423" spans="1:10" ht="28.9" customHeight="1" thickTop="1" thickBot="1" x14ac:dyDescent="0.65">
      <c r="A423" s="3">
        <v>421</v>
      </c>
      <c r="B423" s="44" t="str">
        <f>HYPERLINK("https://search.naver.com/search.naver?query=네버 렛미고 영화", "네버 렛미고")</f>
        <v>네버 렛미고</v>
      </c>
      <c r="C423" s="45">
        <v>7.53</v>
      </c>
      <c r="D423" s="4" t="s">
        <v>596</v>
      </c>
      <c r="E423" s="3" t="s">
        <v>24</v>
      </c>
      <c r="F423" s="3">
        <v>2010</v>
      </c>
      <c r="G423" s="3" t="s">
        <v>12</v>
      </c>
      <c r="H423" s="3" t="s">
        <v>328</v>
      </c>
      <c r="I423" s="3" t="s">
        <v>190</v>
      </c>
      <c r="J423" s="97" t="s">
        <v>3455</v>
      </c>
    </row>
    <row r="424" spans="1:10" ht="28.9" customHeight="1" thickTop="1" thickBot="1" x14ac:dyDescent="0.65">
      <c r="A424" s="5">
        <v>422</v>
      </c>
      <c r="B424" s="46" t="str">
        <f>HYPERLINK("https://search.naver.com/search.naver?query=네버엔딩 스토리 영화", "네버엔딩 스토리")</f>
        <v>네버엔딩 스토리</v>
      </c>
      <c r="C424" s="47">
        <v>7.43</v>
      </c>
      <c r="D424" s="6" t="s">
        <v>597</v>
      </c>
      <c r="E424" s="5" t="s">
        <v>11</v>
      </c>
      <c r="F424" s="5">
        <v>2012</v>
      </c>
      <c r="G424" s="5" t="s">
        <v>12</v>
      </c>
      <c r="H424" s="5" t="s">
        <v>121</v>
      </c>
      <c r="I424" s="5" t="s">
        <v>207</v>
      </c>
      <c r="J424" s="98" t="s">
        <v>3439</v>
      </c>
    </row>
    <row r="425" spans="1:10" ht="28.9" customHeight="1" thickTop="1" thickBot="1" x14ac:dyDescent="0.65">
      <c r="A425" s="3">
        <v>423</v>
      </c>
      <c r="B425" s="44" t="str">
        <f>HYPERLINK("https://search.naver.com/search.naver?query=네코 아츠메의 집 영화", "네코 아츠메의 집")</f>
        <v>네코 아츠메의 집</v>
      </c>
      <c r="C425" s="45">
        <v>6.4</v>
      </c>
      <c r="D425" s="4" t="s">
        <v>598</v>
      </c>
      <c r="E425" s="3" t="s">
        <v>16</v>
      </c>
      <c r="F425" s="3">
        <v>2017</v>
      </c>
      <c r="G425" s="3" t="s">
        <v>12</v>
      </c>
      <c r="H425" s="3" t="s">
        <v>17</v>
      </c>
      <c r="I425" s="3" t="s">
        <v>93</v>
      </c>
      <c r="J425" s="97" t="s">
        <v>3443</v>
      </c>
    </row>
    <row r="426" spans="1:10" ht="28.9" customHeight="1" thickTop="1" thickBot="1" x14ac:dyDescent="0.65">
      <c r="A426" s="5">
        <v>424</v>
      </c>
      <c r="B426" s="46" t="str">
        <f>HYPERLINK("https://search.naver.com/search.naver?query=넬 영화", "넬")</f>
        <v>넬</v>
      </c>
      <c r="C426" s="47"/>
      <c r="D426" s="6" t="s">
        <v>599</v>
      </c>
      <c r="E426" s="5" t="s">
        <v>20</v>
      </c>
      <c r="F426" s="5">
        <v>1994</v>
      </c>
      <c r="G426" s="5" t="s">
        <v>12</v>
      </c>
      <c r="H426" s="5" t="s">
        <v>17</v>
      </c>
      <c r="I426" s="5" t="s">
        <v>278</v>
      </c>
      <c r="J426" s="98" t="s">
        <v>3467</v>
      </c>
    </row>
    <row r="427" spans="1:10" ht="28.9" customHeight="1" thickTop="1" thickBot="1" x14ac:dyDescent="0.65">
      <c r="A427" s="3">
        <v>425</v>
      </c>
      <c r="B427" s="44" t="str">
        <f>HYPERLINK("https://search.naver.com/search.naver?query=노 리미트 영화", "노 리미트")</f>
        <v>노 리미트</v>
      </c>
      <c r="C427" s="45">
        <v>6.4</v>
      </c>
      <c r="D427" s="4" t="s">
        <v>600</v>
      </c>
      <c r="E427" s="3" t="s">
        <v>210</v>
      </c>
      <c r="F427" s="3">
        <v>2022</v>
      </c>
      <c r="G427" s="3" t="s">
        <v>12</v>
      </c>
      <c r="H427" s="3" t="s">
        <v>17</v>
      </c>
      <c r="I427" s="3" t="s">
        <v>131</v>
      </c>
      <c r="J427" s="97" t="s">
        <v>3445</v>
      </c>
    </row>
    <row r="428" spans="1:10" ht="28.9" customHeight="1" thickTop="1" thickBot="1" x14ac:dyDescent="0.65">
      <c r="A428" s="5">
        <v>426</v>
      </c>
      <c r="B428" s="46" t="str">
        <f>HYPERLINK("https://search.naver.com/search.naver?query=노 머시 영화", "노 머시")</f>
        <v>노 머시</v>
      </c>
      <c r="C428" s="47">
        <v>8.14</v>
      </c>
      <c r="D428" s="6" t="s">
        <v>601</v>
      </c>
      <c r="E428" s="5" t="s">
        <v>20</v>
      </c>
      <c r="F428" s="5">
        <v>2026</v>
      </c>
      <c r="G428" s="5" t="s">
        <v>12</v>
      </c>
      <c r="H428" s="5" t="s">
        <v>43</v>
      </c>
      <c r="I428" s="5" t="s">
        <v>131</v>
      </c>
      <c r="J428" s="98">
        <v>46077</v>
      </c>
    </row>
    <row r="429" spans="1:10" ht="28.9" customHeight="1" thickTop="1" thickBot="1" x14ac:dyDescent="0.65">
      <c r="A429" s="7">
        <v>427</v>
      </c>
      <c r="B429" s="48" t="str">
        <f>HYPERLINK("https://search.naver.com/search.naver?query=노 웨이 아웃:더 룰렛", "노 웨이 아웃-더 룰렛")</f>
        <v>노 웨이 아웃-더 룰렛</v>
      </c>
      <c r="C429" s="49"/>
      <c r="D429" s="8" t="s">
        <v>602</v>
      </c>
      <c r="E429" s="7" t="s">
        <v>11</v>
      </c>
      <c r="F429" s="7">
        <v>2024</v>
      </c>
      <c r="G429" s="7" t="s">
        <v>17</v>
      </c>
      <c r="H429" s="7" t="s">
        <v>13</v>
      </c>
      <c r="I429" s="7" t="s">
        <v>55</v>
      </c>
      <c r="J429" s="99" t="s">
        <v>3448</v>
      </c>
    </row>
    <row r="430" spans="1:10" ht="28.9" customHeight="1" thickTop="1" thickBot="1" x14ac:dyDescent="0.65">
      <c r="A430" s="5">
        <v>428</v>
      </c>
      <c r="B430" s="46" t="str">
        <f>HYPERLINK("https://search.naver.com/search.naver?query=노란 손수건 영화", "노란 손수건")</f>
        <v>노란 손수건</v>
      </c>
      <c r="C430" s="47">
        <v>8</v>
      </c>
      <c r="D430" s="6" t="s">
        <v>603</v>
      </c>
      <c r="E430" s="5" t="s">
        <v>20</v>
      </c>
      <c r="F430" s="5">
        <v>2008</v>
      </c>
      <c r="G430" s="5" t="s">
        <v>12</v>
      </c>
      <c r="H430" s="5" t="s">
        <v>17</v>
      </c>
      <c r="I430" s="5" t="s">
        <v>111</v>
      </c>
      <c r="J430" s="98" t="s">
        <v>3450</v>
      </c>
    </row>
    <row r="431" spans="1:10" ht="28.9" customHeight="1" thickTop="1" thickBot="1" x14ac:dyDescent="0.65">
      <c r="A431" s="3">
        <v>429</v>
      </c>
      <c r="B431" s="44" t="str">
        <f>HYPERLINK("https://search.naver.com/search.naver?query=노량:죽음의 바다 영화", "노량-죽음의 바다")</f>
        <v>노량-죽음의 바다</v>
      </c>
      <c r="C431" s="45">
        <v>8.2100000000000009</v>
      </c>
      <c r="D431" s="4" t="s">
        <v>604</v>
      </c>
      <c r="E431" s="3" t="s">
        <v>11</v>
      </c>
      <c r="F431" s="3">
        <v>2023</v>
      </c>
      <c r="G431" s="3" t="s">
        <v>12</v>
      </c>
      <c r="H431" s="3" t="s">
        <v>605</v>
      </c>
      <c r="I431" s="3" t="s">
        <v>606</v>
      </c>
      <c r="J431" s="97" t="s">
        <v>3446</v>
      </c>
    </row>
    <row r="432" spans="1:10" ht="28.9" customHeight="1" thickTop="1" thickBot="1" x14ac:dyDescent="0.65">
      <c r="A432" s="5">
        <v>430</v>
      </c>
      <c r="B432" s="46" t="str">
        <f>HYPERLINK("https://search.naver.com/search.naver?query=노매드랜드 영화", "노매드랜드")</f>
        <v>노매드랜드</v>
      </c>
      <c r="C432" s="47">
        <v>8.49</v>
      </c>
      <c r="D432" s="6" t="s">
        <v>607</v>
      </c>
      <c r="E432" s="5" t="s">
        <v>20</v>
      </c>
      <c r="F432" s="5">
        <v>2020</v>
      </c>
      <c r="G432" s="5" t="s">
        <v>12</v>
      </c>
      <c r="H432" s="5" t="s">
        <v>17</v>
      </c>
      <c r="I432" s="5" t="s">
        <v>75</v>
      </c>
      <c r="J432" s="98" t="s">
        <v>3436</v>
      </c>
    </row>
    <row r="433" spans="1:10" ht="28.9" customHeight="1" thickTop="1" thickBot="1" x14ac:dyDescent="0.65">
      <c r="A433" s="3">
        <v>431</v>
      </c>
      <c r="B433" s="44" t="str">
        <f>HYPERLINK("https://search.naver.com/search.naver?query=노바디 영화", "노바디")</f>
        <v>노바디</v>
      </c>
      <c r="C433" s="45">
        <v>7.26</v>
      </c>
      <c r="D433" s="4" t="s">
        <v>608</v>
      </c>
      <c r="E433" s="3" t="s">
        <v>20</v>
      </c>
      <c r="F433" s="3">
        <v>2021</v>
      </c>
      <c r="G433" s="3" t="s">
        <v>12</v>
      </c>
      <c r="H433" s="3" t="s">
        <v>80</v>
      </c>
      <c r="I433" s="3" t="s">
        <v>147</v>
      </c>
      <c r="J433" s="97" t="s">
        <v>3438</v>
      </c>
    </row>
    <row r="434" spans="1:10" ht="28.9" customHeight="1" thickTop="1" thickBot="1" x14ac:dyDescent="0.65">
      <c r="A434" s="5">
        <v>432</v>
      </c>
      <c r="B434" s="46" t="str">
        <f>HYPERLINK("https://search.naver.com/search.naver?query=노바디2 영화", "노바디2")</f>
        <v>노바디2</v>
      </c>
      <c r="C434" s="47">
        <v>7.26</v>
      </c>
      <c r="D434" s="6" t="s">
        <v>609</v>
      </c>
      <c r="E434" s="5" t="s">
        <v>20</v>
      </c>
      <c r="F434" s="5">
        <v>2025</v>
      </c>
      <c r="G434" s="5" t="s">
        <v>12</v>
      </c>
      <c r="H434" s="5" t="s">
        <v>92</v>
      </c>
      <c r="I434" s="5" t="s">
        <v>131</v>
      </c>
      <c r="J434" s="98" t="s">
        <v>3459</v>
      </c>
    </row>
    <row r="435" spans="1:10" ht="28.9" customHeight="1" thickTop="1" thickBot="1" x14ac:dyDescent="0.65">
      <c r="A435" s="3">
        <v>433</v>
      </c>
      <c r="B435" s="44" t="str">
        <f>HYPERLINK("https://search.naver.com/search.naver?query=노벨스 라스트 윌 영화", "노벨스 라스트 윌")</f>
        <v>노벨스 라스트 윌</v>
      </c>
      <c r="C435" s="45">
        <v>5.64</v>
      </c>
      <c r="D435" s="4" t="s">
        <v>610</v>
      </c>
      <c r="E435" s="3" t="s">
        <v>611</v>
      </c>
      <c r="F435" s="3">
        <v>2012</v>
      </c>
      <c r="G435" s="3" t="s">
        <v>12</v>
      </c>
      <c r="H435" s="3" t="s">
        <v>43</v>
      </c>
      <c r="I435" s="3" t="s">
        <v>115</v>
      </c>
      <c r="J435" s="97" t="s">
        <v>3439</v>
      </c>
    </row>
    <row r="436" spans="1:10" ht="28.9" customHeight="1" thickTop="1" thickBot="1" x14ac:dyDescent="0.65">
      <c r="A436" s="5">
        <v>434</v>
      </c>
      <c r="B436" s="46" t="str">
        <f>HYPERLINK("https://search.naver.com/search.naver?query=노벰버 맨 영화", "노벰버 맨")</f>
        <v>노벰버 맨</v>
      </c>
      <c r="C436" s="47">
        <v>7.95</v>
      </c>
      <c r="D436" s="6" t="s">
        <v>612</v>
      </c>
      <c r="E436" s="5" t="s">
        <v>20</v>
      </c>
      <c r="F436" s="5">
        <v>2014</v>
      </c>
      <c r="G436" s="5" t="s">
        <v>12</v>
      </c>
      <c r="H436" s="5" t="s">
        <v>21</v>
      </c>
      <c r="I436" s="5" t="s">
        <v>31</v>
      </c>
      <c r="J436" s="98" t="s">
        <v>3437</v>
      </c>
    </row>
    <row r="437" spans="1:10" ht="28.9" customHeight="1" thickTop="1" thickBot="1" x14ac:dyDescent="0.65">
      <c r="A437" s="3">
        <v>435</v>
      </c>
      <c r="B437" s="44" t="str">
        <f>HYPERLINK("https://search.naver.com/search.naver?query=노블 영화", "노블")</f>
        <v>노블</v>
      </c>
      <c r="C437" s="45">
        <v>9</v>
      </c>
      <c r="D437" s="4" t="s">
        <v>613</v>
      </c>
      <c r="E437" s="3" t="s">
        <v>24</v>
      </c>
      <c r="F437" s="3">
        <v>2014</v>
      </c>
      <c r="G437" s="3" t="s">
        <v>12</v>
      </c>
      <c r="H437" s="3" t="s">
        <v>17</v>
      </c>
      <c r="I437" s="3" t="s">
        <v>131</v>
      </c>
      <c r="J437" s="97" t="s">
        <v>3437</v>
      </c>
    </row>
    <row r="438" spans="1:10" ht="28.9" customHeight="1" thickTop="1" thickBot="1" x14ac:dyDescent="0.65">
      <c r="A438" s="5">
        <v>436</v>
      </c>
      <c r="B438" s="46" t="str">
        <f>HYPERLINK("https://search.naver.com/search.naver?query=노블리 영화", "노블리")</f>
        <v>노블리</v>
      </c>
      <c r="C438" s="47">
        <v>8.17</v>
      </c>
      <c r="D438" s="6" t="s">
        <v>614</v>
      </c>
      <c r="E438" s="5" t="s">
        <v>20</v>
      </c>
      <c r="F438" s="5">
        <v>2000</v>
      </c>
      <c r="G438" s="5" t="s">
        <v>12</v>
      </c>
      <c r="H438" s="5" t="s">
        <v>17</v>
      </c>
      <c r="I438" s="5" t="s">
        <v>86</v>
      </c>
      <c r="J438" s="98" t="s">
        <v>3458</v>
      </c>
    </row>
    <row r="439" spans="1:10" ht="28.9" customHeight="1" thickTop="1" thickBot="1" x14ac:dyDescent="0.65">
      <c r="A439" s="3">
        <v>437</v>
      </c>
      <c r="B439" s="44" t="str">
        <f>HYPERLINK("https://search.naver.com/search.naver?query=노스 컨츄리 영화", "노스 컨츄리")</f>
        <v>노스 컨츄리</v>
      </c>
      <c r="C439" s="45">
        <v>8.6199999999999992</v>
      </c>
      <c r="D439" s="4" t="s">
        <v>615</v>
      </c>
      <c r="E439" s="3" t="s">
        <v>20</v>
      </c>
      <c r="F439" s="3">
        <v>2005</v>
      </c>
      <c r="G439" s="3" t="s">
        <v>12</v>
      </c>
      <c r="H439" s="3" t="s">
        <v>17</v>
      </c>
      <c r="I439" s="3" t="s">
        <v>78</v>
      </c>
      <c r="J439" s="97" t="s">
        <v>3461</v>
      </c>
    </row>
    <row r="440" spans="1:10" ht="28.9" customHeight="1" thickTop="1" thickBot="1" x14ac:dyDescent="0.65">
      <c r="A440" s="5">
        <v>438</v>
      </c>
      <c r="B440" s="46" t="str">
        <f>HYPERLINK("https://search.naver.com/search.naver?query=노스맨 영화", "노스맨")</f>
        <v>노스맨</v>
      </c>
      <c r="C440" s="47">
        <v>7.48</v>
      </c>
      <c r="D440" s="6" t="s">
        <v>616</v>
      </c>
      <c r="E440" s="5" t="s">
        <v>20</v>
      </c>
      <c r="F440" s="5">
        <v>2022</v>
      </c>
      <c r="G440" s="5" t="s">
        <v>12</v>
      </c>
      <c r="H440" s="5" t="s">
        <v>259</v>
      </c>
      <c r="I440" s="5" t="s">
        <v>186</v>
      </c>
      <c r="J440" s="98" t="s">
        <v>3445</v>
      </c>
    </row>
    <row r="441" spans="1:10" ht="28.9" customHeight="1" thickTop="1" thickBot="1" x14ac:dyDescent="0.65">
      <c r="A441" s="3">
        <v>439</v>
      </c>
      <c r="B441" s="44" t="str">
        <f>HYPERLINK("https://search.naver.com/search.naver?query=노스페이스 영화", "노스페이스")</f>
        <v>노스페이스</v>
      </c>
      <c r="C441" s="45">
        <v>8.42</v>
      </c>
      <c r="D441" s="4" t="s">
        <v>617</v>
      </c>
      <c r="E441" s="3" t="s">
        <v>101</v>
      </c>
      <c r="F441" s="3">
        <v>2008</v>
      </c>
      <c r="G441" s="3" t="s">
        <v>12</v>
      </c>
      <c r="H441" s="3" t="s">
        <v>17</v>
      </c>
      <c r="I441" s="3" t="s">
        <v>142</v>
      </c>
      <c r="J441" s="97" t="s">
        <v>3450</v>
      </c>
    </row>
    <row r="442" spans="1:10" ht="28.9" customHeight="1" thickTop="1" thickBot="1" x14ac:dyDescent="0.65">
      <c r="A442" s="5">
        <v>440</v>
      </c>
      <c r="B442" s="46" t="str">
        <f>HYPERLINK("https://search.naver.com/search.naver?query=노아 영화", "노아")</f>
        <v>노아</v>
      </c>
      <c r="C442" s="47">
        <v>6.56</v>
      </c>
      <c r="D442" s="6" t="s">
        <v>618</v>
      </c>
      <c r="E442" s="5" t="s">
        <v>20</v>
      </c>
      <c r="F442" s="5">
        <v>2014</v>
      </c>
      <c r="G442" s="5" t="s">
        <v>12</v>
      </c>
      <c r="H442" s="5" t="s">
        <v>17</v>
      </c>
      <c r="I442" s="5" t="s">
        <v>619</v>
      </c>
      <c r="J442" s="98" t="s">
        <v>3437</v>
      </c>
    </row>
    <row r="443" spans="1:10" ht="28.9" customHeight="1" thickTop="1" thickBot="1" x14ac:dyDescent="0.65">
      <c r="A443" s="3">
        <v>441</v>
      </c>
      <c r="B443" s="44" t="str">
        <f>HYPERLINK("https://search.naver.com/search.naver?query=노엘의 선물 영화", "노엘의 선물")</f>
        <v>노엘의 선물</v>
      </c>
      <c r="C443" s="45">
        <v>9.07</v>
      </c>
      <c r="D443" s="4" t="s">
        <v>620</v>
      </c>
      <c r="E443" s="3" t="s">
        <v>210</v>
      </c>
      <c r="F443" s="3">
        <v>2015</v>
      </c>
      <c r="G443" s="3" t="s">
        <v>12</v>
      </c>
      <c r="H443" s="3" t="s">
        <v>68</v>
      </c>
      <c r="I443" s="3" t="s">
        <v>536</v>
      </c>
      <c r="J443" s="97" t="s">
        <v>3440</v>
      </c>
    </row>
    <row r="444" spans="1:10" ht="28.9" customHeight="1" thickTop="1" thickBot="1" x14ac:dyDescent="0.65">
      <c r="A444" s="5">
        <v>442</v>
      </c>
      <c r="B444" s="46" t="str">
        <f>HYPERLINK("https://search.naver.com/search.naver?query=노예 12년 영화", "노예 12년")</f>
        <v>노예 12년</v>
      </c>
      <c r="C444" s="47">
        <v>8.36</v>
      </c>
      <c r="D444" s="6" t="s">
        <v>621</v>
      </c>
      <c r="E444" s="5" t="s">
        <v>20</v>
      </c>
      <c r="F444" s="5">
        <v>2013</v>
      </c>
      <c r="G444" s="5" t="s">
        <v>12</v>
      </c>
      <c r="H444" s="5" t="s">
        <v>17</v>
      </c>
      <c r="I444" s="5" t="s">
        <v>543</v>
      </c>
      <c r="J444" s="98" t="s">
        <v>3451</v>
      </c>
    </row>
    <row r="445" spans="1:10" ht="28.9" customHeight="1" thickTop="1" thickBot="1" x14ac:dyDescent="0.65">
      <c r="A445" s="3">
        <v>443</v>
      </c>
      <c r="B445" s="44" t="str">
        <f>HYPERLINK("https://search.naver.com/search.naver?query=노인을 위한 나라는 없다 영화", "노인을 위한 나라는 없다")</f>
        <v>노인을 위한 나라는 없다</v>
      </c>
      <c r="C445" s="45">
        <v>9.2100000000000009</v>
      </c>
      <c r="D445" s="4" t="s">
        <v>622</v>
      </c>
      <c r="E445" s="3" t="s">
        <v>20</v>
      </c>
      <c r="F445" s="3">
        <v>2007</v>
      </c>
      <c r="G445" s="3" t="s">
        <v>12</v>
      </c>
      <c r="H445" s="3" t="s">
        <v>77</v>
      </c>
      <c r="I445" s="3" t="s">
        <v>105</v>
      </c>
      <c r="J445" s="97" t="s">
        <v>3447</v>
      </c>
    </row>
    <row r="446" spans="1:10" ht="28.9" customHeight="1" thickTop="1" thickBot="1" x14ac:dyDescent="0.65">
      <c r="A446" s="5">
        <v>444</v>
      </c>
      <c r="B446" s="46" t="str">
        <f>HYPERLINK("https://search.naver.com/search.naver?query=노크 노크 영화", "노크 노크")</f>
        <v>노크 노크</v>
      </c>
      <c r="C446" s="47">
        <v>5.68</v>
      </c>
      <c r="D446" s="6" t="s">
        <v>623</v>
      </c>
      <c r="E446" s="5" t="s">
        <v>20</v>
      </c>
      <c r="F446" s="5">
        <v>2015</v>
      </c>
      <c r="G446" s="5" t="s">
        <v>12</v>
      </c>
      <c r="H446" s="5" t="s">
        <v>43</v>
      </c>
      <c r="I446" s="5" t="s">
        <v>81</v>
      </c>
      <c r="J446" s="98" t="s">
        <v>3440</v>
      </c>
    </row>
    <row r="447" spans="1:10" ht="28.9" customHeight="1" thickTop="1" thickBot="1" x14ac:dyDescent="0.65">
      <c r="A447" s="3">
        <v>445</v>
      </c>
      <c r="B447" s="44" t="str">
        <f>HYPERLINK("https://search.naver.com/search.naver?query=노킹 온 헤븐스 도어 영화", "노킹 온 헤븐스 도어")</f>
        <v>노킹 온 헤븐스 도어</v>
      </c>
      <c r="C447" s="45">
        <v>9.11</v>
      </c>
      <c r="D447" s="4" t="s">
        <v>624</v>
      </c>
      <c r="E447" s="3" t="s">
        <v>101</v>
      </c>
      <c r="F447" s="3">
        <v>1997</v>
      </c>
      <c r="G447" s="3" t="s">
        <v>12</v>
      </c>
      <c r="H447" s="3" t="s">
        <v>229</v>
      </c>
      <c r="I447" s="3" t="s">
        <v>625</v>
      </c>
      <c r="J447" s="97" t="s">
        <v>3470</v>
      </c>
    </row>
    <row r="448" spans="1:10" ht="28.9" customHeight="1" thickTop="1" thickBot="1" x14ac:dyDescent="0.65">
      <c r="A448" s="5">
        <v>446</v>
      </c>
      <c r="B448" s="46" t="str">
        <f>HYPERLINK("https://search.naver.com/search.naver?query=노트 온 스캔들 영화", "노트 온 스캔들")</f>
        <v>노트 온 스캔들</v>
      </c>
      <c r="C448" s="47">
        <v>8.5</v>
      </c>
      <c r="D448" s="6" t="s">
        <v>626</v>
      </c>
      <c r="E448" s="5" t="s">
        <v>24</v>
      </c>
      <c r="F448" s="5">
        <v>2006</v>
      </c>
      <c r="G448" s="5" t="s">
        <v>12</v>
      </c>
      <c r="H448" s="5" t="s">
        <v>17</v>
      </c>
      <c r="I448" s="5" t="s">
        <v>147</v>
      </c>
      <c r="J448" s="98" t="s">
        <v>3460</v>
      </c>
    </row>
    <row r="449" spans="1:10" ht="28.9" customHeight="1" thickTop="1" thickBot="1" x14ac:dyDescent="0.65">
      <c r="A449" s="3">
        <v>447</v>
      </c>
      <c r="B449" s="44" t="str">
        <f>HYPERLINK("https://search.naver.com/search.naver?query=노트북 영화", "노트북")</f>
        <v>노트북</v>
      </c>
      <c r="C449" s="45">
        <v>9.32</v>
      </c>
      <c r="D449" s="4" t="s">
        <v>627</v>
      </c>
      <c r="E449" s="3" t="s">
        <v>20</v>
      </c>
      <c r="F449" s="3">
        <v>2004</v>
      </c>
      <c r="G449" s="3" t="s">
        <v>12</v>
      </c>
      <c r="H449" s="3" t="s">
        <v>121</v>
      </c>
      <c r="I449" s="3" t="s">
        <v>58</v>
      </c>
      <c r="J449" s="97" t="s">
        <v>3462</v>
      </c>
    </row>
    <row r="450" spans="1:10" ht="28.9" customHeight="1" thickTop="1" thickBot="1" x14ac:dyDescent="0.65">
      <c r="A450" s="5">
        <v>448</v>
      </c>
      <c r="B450" s="46" t="str">
        <f>HYPERLINK("https://search.naver.com/search.naver?query=노팅 힐 영화", "노팅 힐")</f>
        <v>노팅 힐</v>
      </c>
      <c r="C450" s="47">
        <v>9.5</v>
      </c>
      <c r="D450" s="6" t="s">
        <v>628</v>
      </c>
      <c r="E450" s="5" t="s">
        <v>24</v>
      </c>
      <c r="F450" s="5">
        <v>1999</v>
      </c>
      <c r="G450" s="5" t="s">
        <v>12</v>
      </c>
      <c r="H450" s="5" t="s">
        <v>121</v>
      </c>
      <c r="I450" s="5" t="s">
        <v>134</v>
      </c>
      <c r="J450" s="98" t="s">
        <v>3456</v>
      </c>
    </row>
    <row r="451" spans="1:10" ht="28.9" customHeight="1" thickTop="1" thickBot="1" x14ac:dyDescent="0.65">
      <c r="A451" s="3">
        <v>449</v>
      </c>
      <c r="B451" s="44" t="str">
        <f>HYPERLINK("https://search.naver.com/search.naver?query=녹터널 애니멀스 영화", "녹터널 애니멀스")</f>
        <v>녹터널 애니멀스</v>
      </c>
      <c r="C451" s="45">
        <v>8.35</v>
      </c>
      <c r="D451" s="4" t="s">
        <v>629</v>
      </c>
      <c r="E451" s="3" t="s">
        <v>20</v>
      </c>
      <c r="F451" s="3">
        <v>2016</v>
      </c>
      <c r="G451" s="3" t="s">
        <v>12</v>
      </c>
      <c r="H451" s="3" t="s">
        <v>13</v>
      </c>
      <c r="I451" s="3" t="s">
        <v>366</v>
      </c>
      <c r="J451" s="97" t="s">
        <v>3441</v>
      </c>
    </row>
    <row r="452" spans="1:10" ht="28.9" customHeight="1" thickTop="1" thickBot="1" x14ac:dyDescent="0.65">
      <c r="A452" s="5">
        <v>450</v>
      </c>
      <c r="B452" s="46" t="str">
        <f>HYPERLINK("https://search.naver.com/search.naver?query=논스톱 영화", "논스톱")</f>
        <v>논스톱</v>
      </c>
      <c r="C452" s="47">
        <v>8.2899999999999991</v>
      </c>
      <c r="D452" s="6" t="s">
        <v>630</v>
      </c>
      <c r="E452" s="5" t="s">
        <v>20</v>
      </c>
      <c r="F452" s="5">
        <v>2014</v>
      </c>
      <c r="G452" s="5" t="s">
        <v>12</v>
      </c>
      <c r="H452" s="5" t="s">
        <v>21</v>
      </c>
      <c r="I452" s="5" t="s">
        <v>286</v>
      </c>
      <c r="J452" s="98" t="s">
        <v>3437</v>
      </c>
    </row>
    <row r="453" spans="1:10" ht="28.9" customHeight="1" thickTop="1" thickBot="1" x14ac:dyDescent="0.65">
      <c r="A453" s="3">
        <v>451</v>
      </c>
      <c r="B453" s="44" t="str">
        <f>HYPERLINK("https://search.naver.com/search.naver?query=논픽션 영화", "논픽션")</f>
        <v>논픽션</v>
      </c>
      <c r="C453" s="45">
        <v>8.33</v>
      </c>
      <c r="D453" s="4" t="s">
        <v>631</v>
      </c>
      <c r="E453" s="3" t="s">
        <v>210</v>
      </c>
      <c r="F453" s="3">
        <v>2018</v>
      </c>
      <c r="G453" s="3" t="s">
        <v>12</v>
      </c>
      <c r="H453" s="3" t="s">
        <v>17</v>
      </c>
      <c r="I453" s="3" t="s">
        <v>131</v>
      </c>
      <c r="J453" s="97" t="s">
        <v>3442</v>
      </c>
    </row>
    <row r="454" spans="1:10" ht="28.9" customHeight="1" thickTop="1" thickBot="1" x14ac:dyDescent="0.65">
      <c r="A454" s="5">
        <v>452</v>
      </c>
      <c r="B454" s="46" t="str">
        <f>HYPERLINK("https://search.naver.com/search.naver?query=뇌남 영화", "뇌남")</f>
        <v>뇌남</v>
      </c>
      <c r="C454" s="47">
        <v>7.01</v>
      </c>
      <c r="D454" s="6" t="s">
        <v>632</v>
      </c>
      <c r="E454" s="5" t="s">
        <v>16</v>
      </c>
      <c r="F454" s="5">
        <v>2013</v>
      </c>
      <c r="G454" s="5" t="s">
        <v>12</v>
      </c>
      <c r="H454" s="5" t="s">
        <v>17</v>
      </c>
      <c r="I454" s="5" t="s">
        <v>47</v>
      </c>
      <c r="J454" s="98" t="s">
        <v>3451</v>
      </c>
    </row>
    <row r="455" spans="1:10" ht="28.9" customHeight="1" thickTop="1" thickBot="1" x14ac:dyDescent="0.65">
      <c r="A455" s="3">
        <v>453</v>
      </c>
      <c r="B455" s="44" t="str">
        <f>HYPERLINK("https://search.naver.com/search.naver?query=누구나 아는 비밀 영화", "누구나 아는 비밀")</f>
        <v>누구나 아는 비밀</v>
      </c>
      <c r="C455" s="45">
        <v>7.8</v>
      </c>
      <c r="D455" s="4" t="s">
        <v>633</v>
      </c>
      <c r="E455" s="3" t="s">
        <v>30</v>
      </c>
      <c r="F455" s="3">
        <v>2018</v>
      </c>
      <c r="G455" s="3" t="s">
        <v>12</v>
      </c>
      <c r="H455" s="3" t="s">
        <v>13</v>
      </c>
      <c r="I455" s="3" t="s">
        <v>350</v>
      </c>
      <c r="J455" s="97" t="s">
        <v>3442</v>
      </c>
    </row>
    <row r="456" spans="1:10" ht="28.9" customHeight="1" thickTop="1" thickBot="1" x14ac:dyDescent="0.65">
      <c r="A456" s="5">
        <v>454</v>
      </c>
      <c r="B456" s="46" t="str">
        <f>HYPERLINK("https://search.naver.com/search.naver?query=누나 영화", "누나")</f>
        <v>누나</v>
      </c>
      <c r="C456" s="47">
        <v>9.8000000000000007</v>
      </c>
      <c r="D456" s="6" t="s">
        <v>634</v>
      </c>
      <c r="E456" s="5" t="s">
        <v>11</v>
      </c>
      <c r="F456" s="5">
        <v>2012</v>
      </c>
      <c r="G456" s="5" t="s">
        <v>12</v>
      </c>
      <c r="H456" s="5" t="s">
        <v>17</v>
      </c>
      <c r="I456" s="5" t="s">
        <v>190</v>
      </c>
      <c r="J456" s="98" t="s">
        <v>3439</v>
      </c>
    </row>
    <row r="457" spans="1:10" ht="28.9" customHeight="1" thickTop="1" thickBot="1" x14ac:dyDescent="0.65">
      <c r="A457" s="3">
        <v>455</v>
      </c>
      <c r="B457" s="44" t="str">
        <f>HYPERLINK("https://search.naver.com/search.naver?query=누드 영화", "누드")</f>
        <v>누드</v>
      </c>
      <c r="C457" s="45"/>
      <c r="D457" s="4" t="s">
        <v>635</v>
      </c>
      <c r="E457" s="3" t="s">
        <v>16</v>
      </c>
      <c r="F457" s="3">
        <v>2010</v>
      </c>
      <c r="G457" s="3" t="s">
        <v>12</v>
      </c>
      <c r="H457" s="3" t="s">
        <v>17</v>
      </c>
      <c r="I457" s="3" t="s">
        <v>14</v>
      </c>
      <c r="J457" s="97" t="s">
        <v>3455</v>
      </c>
    </row>
    <row r="458" spans="1:10" ht="28.9" customHeight="1" thickTop="1" thickBot="1" x14ac:dyDescent="0.65">
      <c r="A458" s="5">
        <v>456</v>
      </c>
      <c r="B458" s="46" t="str">
        <f>HYPERLINK("https://search.naver.com/search.naver?query=누들 영화", "누들")</f>
        <v>누들</v>
      </c>
      <c r="C458" s="47">
        <v>9.0500000000000007</v>
      </c>
      <c r="D458" s="6" t="s">
        <v>636</v>
      </c>
      <c r="E458" s="5" t="s">
        <v>637</v>
      </c>
      <c r="F458" s="5">
        <v>2007</v>
      </c>
      <c r="G458" s="5" t="s">
        <v>12</v>
      </c>
      <c r="H458" s="5" t="s">
        <v>17</v>
      </c>
      <c r="I458" s="5" t="s">
        <v>231</v>
      </c>
      <c r="J458" s="98" t="s">
        <v>3447</v>
      </c>
    </row>
    <row r="459" spans="1:10" ht="28.9" customHeight="1" thickTop="1" thickBot="1" x14ac:dyDescent="0.65">
      <c r="A459" s="3">
        <v>457</v>
      </c>
      <c r="B459" s="44" t="str">
        <f>HYPERLINK("https://search.naver.com/search.naver?query=영화누명", "누명")</f>
        <v>누명</v>
      </c>
      <c r="C459" s="45"/>
      <c r="D459" s="4" t="s">
        <v>638</v>
      </c>
      <c r="E459" s="3" t="s">
        <v>639</v>
      </c>
      <c r="F459" s="3">
        <v>2016</v>
      </c>
      <c r="G459" s="3" t="s">
        <v>12</v>
      </c>
      <c r="H459" s="3" t="s">
        <v>43</v>
      </c>
      <c r="I459" s="3" t="s">
        <v>142</v>
      </c>
      <c r="J459" s="97" t="s">
        <v>3441</v>
      </c>
    </row>
    <row r="460" spans="1:10" ht="28.9" customHeight="1" thickTop="1" thickBot="1" x14ac:dyDescent="0.65">
      <c r="A460" s="5">
        <v>458</v>
      </c>
      <c r="B460" s="46" t="str">
        <f>HYPERLINK("https://search.naver.com/search.naver?query=눈물이 주룩주룩 영화", "눈물이 주룩주룩")</f>
        <v>눈물이 주룩주룩</v>
      </c>
      <c r="C460" s="47">
        <v>5.95</v>
      </c>
      <c r="D460" s="6" t="s">
        <v>640</v>
      </c>
      <c r="E460" s="5" t="s">
        <v>16</v>
      </c>
      <c r="F460" s="5">
        <v>2007</v>
      </c>
      <c r="G460" s="5" t="s">
        <v>12</v>
      </c>
      <c r="H460" s="5" t="s">
        <v>17</v>
      </c>
      <c r="I460" s="5" t="s">
        <v>89</v>
      </c>
      <c r="J460" s="98" t="s">
        <v>3447</v>
      </c>
    </row>
    <row r="461" spans="1:10" ht="28.9" customHeight="1" thickTop="1" thickBot="1" x14ac:dyDescent="0.65">
      <c r="A461" s="3">
        <v>459</v>
      </c>
      <c r="B461" s="44" t="str">
        <f>HYPERLINK("https://search.naver.com/search.naver?query=눈부신 세상 끝에서, 너와 나 영화", "눈부신 세상 끝에서, 너와 나")</f>
        <v>눈부신 세상 끝에서, 너와 나</v>
      </c>
      <c r="C461" s="45">
        <v>8.44</v>
      </c>
      <c r="D461" s="4" t="s">
        <v>641</v>
      </c>
      <c r="E461" s="3" t="s">
        <v>20</v>
      </c>
      <c r="F461" s="3">
        <v>2020</v>
      </c>
      <c r="G461" s="3" t="s">
        <v>12</v>
      </c>
      <c r="H461" s="3" t="s">
        <v>17</v>
      </c>
      <c r="I461" s="3" t="s">
        <v>31</v>
      </c>
      <c r="J461" s="97" t="s">
        <v>3436</v>
      </c>
    </row>
    <row r="462" spans="1:10" ht="28.9" customHeight="1" thickTop="1" thickBot="1" x14ac:dyDescent="0.65">
      <c r="A462" s="5">
        <v>460</v>
      </c>
      <c r="B462" s="46" t="str">
        <f>HYPERLINK("https://search.naver.com/search.naver?query=눈에게 바라는 것 영화", "눈에게 바라는 것")</f>
        <v>눈에게 바라는 것</v>
      </c>
      <c r="C462" s="47">
        <v>7.32</v>
      </c>
      <c r="D462" s="6" t="s">
        <v>642</v>
      </c>
      <c r="E462" s="5" t="s">
        <v>16</v>
      </c>
      <c r="F462" s="5">
        <v>2007</v>
      </c>
      <c r="G462" s="5" t="s">
        <v>12</v>
      </c>
      <c r="H462" s="5" t="s">
        <v>17</v>
      </c>
      <c r="I462" s="5" t="s">
        <v>102</v>
      </c>
      <c r="J462" s="98" t="s">
        <v>3447</v>
      </c>
    </row>
    <row r="463" spans="1:10" ht="28.9" customHeight="1" thickTop="1" thickBot="1" x14ac:dyDescent="0.65">
      <c r="A463" s="7">
        <v>461</v>
      </c>
      <c r="B463" s="48" t="str">
        <f>HYPERLINK("https://search.naver.com/search.naver?query=뉴 암스테르담 시즌1", "뉴 암스테르담 시즌1")</f>
        <v>뉴 암스테르담 시즌1</v>
      </c>
      <c r="C463" s="49"/>
      <c r="D463" s="8" t="s">
        <v>643</v>
      </c>
      <c r="E463" s="7" t="s">
        <v>20</v>
      </c>
      <c r="F463" s="7">
        <v>2018</v>
      </c>
      <c r="G463" s="7" t="s">
        <v>17</v>
      </c>
      <c r="H463" s="7" t="s">
        <v>644</v>
      </c>
      <c r="I463" s="7" t="s">
        <v>356</v>
      </c>
      <c r="J463" s="99" t="s">
        <v>3442</v>
      </c>
    </row>
    <row r="464" spans="1:10" ht="28.9" customHeight="1" thickTop="1" thickBot="1" x14ac:dyDescent="0.65">
      <c r="A464" s="7">
        <v>462</v>
      </c>
      <c r="B464" s="48" t="str">
        <f>HYPERLINK("https://search.naver.com/search.naver?query=뉴 암스테르담 시즌2", "뉴 암스테르담 시즌2")</f>
        <v>뉴 암스테르담 시즌2</v>
      </c>
      <c r="C464" s="49"/>
      <c r="D464" s="8" t="s">
        <v>643</v>
      </c>
      <c r="E464" s="7" t="s">
        <v>20</v>
      </c>
      <c r="F464" s="7">
        <v>2019</v>
      </c>
      <c r="G464" s="7" t="s">
        <v>17</v>
      </c>
      <c r="H464" s="7" t="s">
        <v>644</v>
      </c>
      <c r="I464" s="7" t="s">
        <v>164</v>
      </c>
      <c r="J464" s="99" t="s">
        <v>3444</v>
      </c>
    </row>
    <row r="465" spans="1:10" ht="28.9" customHeight="1" thickTop="1" thickBot="1" x14ac:dyDescent="0.65">
      <c r="A465" s="7">
        <v>463</v>
      </c>
      <c r="B465" s="48" t="str">
        <f>HYPERLINK("https://search.naver.com/search.naver?query=뉴 암스테르담 시즌3", "뉴 암스테르담 시즌3")</f>
        <v>뉴 암스테르담 시즌3</v>
      </c>
      <c r="C465" s="49"/>
      <c r="D465" s="8" t="s">
        <v>643</v>
      </c>
      <c r="E465" s="7" t="s">
        <v>20</v>
      </c>
      <c r="F465" s="7">
        <v>2021</v>
      </c>
      <c r="G465" s="7" t="s">
        <v>17</v>
      </c>
      <c r="H465" s="7" t="s">
        <v>644</v>
      </c>
      <c r="I465" s="7" t="s">
        <v>163</v>
      </c>
      <c r="J465" s="99" t="s">
        <v>3438</v>
      </c>
    </row>
    <row r="466" spans="1:10" ht="28.9" customHeight="1" thickTop="1" thickBot="1" x14ac:dyDescent="0.65">
      <c r="A466" s="7">
        <v>464</v>
      </c>
      <c r="B466" s="48" t="str">
        <f>HYPERLINK("https://search.naver.com/search.naver?query=뉴 암스테르담 시즌4", "뉴 암스테르담 시즌4")</f>
        <v>뉴 암스테르담 시즌4</v>
      </c>
      <c r="C466" s="49"/>
      <c r="D466" s="8" t="s">
        <v>643</v>
      </c>
      <c r="E466" s="7" t="s">
        <v>20</v>
      </c>
      <c r="F466" s="7">
        <v>2021</v>
      </c>
      <c r="G466" s="7" t="s">
        <v>17</v>
      </c>
      <c r="H466" s="7" t="s">
        <v>644</v>
      </c>
      <c r="I466" s="7" t="s">
        <v>356</v>
      </c>
      <c r="J466" s="99" t="s">
        <v>3438</v>
      </c>
    </row>
    <row r="467" spans="1:10" ht="28.9" customHeight="1" thickTop="1" thickBot="1" x14ac:dyDescent="0.65">
      <c r="A467" s="7">
        <v>465</v>
      </c>
      <c r="B467" s="48" t="str">
        <f>HYPERLINK("https://search.naver.com/search.naver?query=뉴 암스테르담 시즌5", "뉴 암스테르담 시즌5")</f>
        <v>뉴 암스테르담 시즌5</v>
      </c>
      <c r="C467" s="49"/>
      <c r="D467" s="8" t="s">
        <v>643</v>
      </c>
      <c r="E467" s="7" t="s">
        <v>20</v>
      </c>
      <c r="F467" s="7">
        <v>2022</v>
      </c>
      <c r="G467" s="7" t="s">
        <v>17</v>
      </c>
      <c r="H467" s="7" t="s">
        <v>644</v>
      </c>
      <c r="I467" s="7" t="s">
        <v>645</v>
      </c>
      <c r="J467" s="99" t="s">
        <v>3445</v>
      </c>
    </row>
    <row r="468" spans="1:10" ht="28.9" customHeight="1" thickTop="1" thickBot="1" x14ac:dyDescent="0.65">
      <c r="A468" s="5">
        <v>466</v>
      </c>
      <c r="B468" s="46" t="str">
        <f>HYPERLINK("https://search.naver.com/search.naver?query=뉴니스 영화", "뉴니스")</f>
        <v>뉴니스</v>
      </c>
      <c r="C468" s="47">
        <v>8.27</v>
      </c>
      <c r="D468" s="6" t="s">
        <v>646</v>
      </c>
      <c r="E468" s="5" t="s">
        <v>20</v>
      </c>
      <c r="F468" s="5">
        <v>2017</v>
      </c>
      <c r="G468" s="5" t="s">
        <v>12</v>
      </c>
      <c r="H468" s="5" t="s">
        <v>121</v>
      </c>
      <c r="I468" s="5" t="s">
        <v>89</v>
      </c>
      <c r="J468" s="98" t="s">
        <v>3443</v>
      </c>
    </row>
    <row r="469" spans="1:10" ht="28.9" customHeight="1" thickTop="1" thickBot="1" x14ac:dyDescent="0.65">
      <c r="A469" s="3">
        <v>467</v>
      </c>
      <c r="B469" s="44" t="str">
        <f>HYPERLINK("https://search.naver.com/search.naver?query=뉴스 오브 더 월드 영화", "뉴스 오브 더 월드")</f>
        <v>뉴스 오브 더 월드</v>
      </c>
      <c r="C469" s="45">
        <v>8.8800000000000008</v>
      </c>
      <c r="D469" s="4" t="s">
        <v>647</v>
      </c>
      <c r="E469" s="3" t="s">
        <v>20</v>
      </c>
      <c r="F469" s="3">
        <v>2020</v>
      </c>
      <c r="G469" s="3" t="s">
        <v>12</v>
      </c>
      <c r="H469" s="3" t="s">
        <v>17</v>
      </c>
      <c r="I469" s="3" t="s">
        <v>221</v>
      </c>
      <c r="J469" s="97" t="s">
        <v>3436</v>
      </c>
    </row>
    <row r="470" spans="1:10" ht="28.9" customHeight="1" thickTop="1" thickBot="1" x14ac:dyDescent="0.65">
      <c r="A470" s="7">
        <v>468</v>
      </c>
      <c r="B470" s="48" t="str">
        <f>HYPERLINK("https://search.naver.com/search.naver?query=뉴스룸 시즌1", "뉴스룸 시즌1")</f>
        <v>뉴스룸 시즌1</v>
      </c>
      <c r="C470" s="49"/>
      <c r="D470" s="8" t="s">
        <v>648</v>
      </c>
      <c r="E470" s="7" t="s">
        <v>20</v>
      </c>
      <c r="F470" s="7">
        <v>2012</v>
      </c>
      <c r="G470" s="7" t="s">
        <v>17</v>
      </c>
      <c r="H470" s="7" t="s">
        <v>17</v>
      </c>
      <c r="I470" s="7" t="s">
        <v>50</v>
      </c>
      <c r="J470" s="99" t="s">
        <v>3439</v>
      </c>
    </row>
    <row r="471" spans="1:10" ht="28.9" customHeight="1" thickTop="1" thickBot="1" x14ac:dyDescent="0.65">
      <c r="A471" s="3">
        <v>469</v>
      </c>
      <c r="B471" s="44" t="str">
        <f>HYPERLINK("https://search.naver.com/search.naver?query=뉴욕에서 온 남자, 파리에서 온 여자 영화", "뉴욕에서 온 남자, 파리에서 온 여자")</f>
        <v>뉴욕에서 온 남자, 파리에서 온 여자</v>
      </c>
      <c r="C471" s="45">
        <v>7.66</v>
      </c>
      <c r="D471" s="4" t="s">
        <v>649</v>
      </c>
      <c r="E471" s="3" t="s">
        <v>101</v>
      </c>
      <c r="F471" s="3">
        <v>2007</v>
      </c>
      <c r="G471" s="3" t="s">
        <v>12</v>
      </c>
      <c r="H471" s="3" t="s">
        <v>121</v>
      </c>
      <c r="I471" s="3" t="s">
        <v>131</v>
      </c>
      <c r="J471" s="97" t="s">
        <v>3447</v>
      </c>
    </row>
    <row r="472" spans="1:10" ht="28.9" customHeight="1" thickTop="1" thickBot="1" x14ac:dyDescent="0.65">
      <c r="A472" s="5">
        <v>470</v>
      </c>
      <c r="B472" s="46" t="str">
        <f>HYPERLINK("https://search.naver.com/search.naver?query=뉴욕은 언제나 사랑 중 영화", "뉴욕은 언제나 사랑 중")</f>
        <v>뉴욕은 언제나 사랑 중</v>
      </c>
      <c r="C472" s="47">
        <v>6.07</v>
      </c>
      <c r="D472" s="6" t="s">
        <v>650</v>
      </c>
      <c r="E472" s="5" t="s">
        <v>20</v>
      </c>
      <c r="F472" s="5">
        <v>2008</v>
      </c>
      <c r="G472" s="5" t="s">
        <v>12</v>
      </c>
      <c r="H472" s="5" t="s">
        <v>121</v>
      </c>
      <c r="I472" s="5" t="s">
        <v>190</v>
      </c>
      <c r="J472" s="98" t="s">
        <v>3450</v>
      </c>
    </row>
    <row r="473" spans="1:10" ht="28.9" customHeight="1" thickTop="1" thickBot="1" x14ac:dyDescent="0.65">
      <c r="A473" s="3">
        <v>471</v>
      </c>
      <c r="B473" s="44" t="str">
        <f>HYPERLINK("https://search.naver.com/search.naver?query=뉴욕의 가을 영화", "뉴욕의 가을")</f>
        <v>뉴욕의 가을</v>
      </c>
      <c r="C473" s="45">
        <v>6.33</v>
      </c>
      <c r="D473" s="4" t="s">
        <v>651</v>
      </c>
      <c r="E473" s="3" t="s">
        <v>20</v>
      </c>
      <c r="F473" s="3">
        <v>2000</v>
      </c>
      <c r="G473" s="3" t="s">
        <v>12</v>
      </c>
      <c r="H473" s="3" t="s">
        <v>121</v>
      </c>
      <c r="I473" s="3" t="s">
        <v>190</v>
      </c>
      <c r="J473" s="97" t="s">
        <v>3458</v>
      </c>
    </row>
    <row r="474" spans="1:10" ht="28.9" customHeight="1" thickTop="1" thickBot="1" x14ac:dyDescent="0.65">
      <c r="A474" s="5">
        <v>472</v>
      </c>
      <c r="B474" s="46" t="str">
        <f>HYPERLINK("https://search.naver.com/search.naver?query=뉴욕의 연인들 영화", "뉴욕의 연인들")</f>
        <v>뉴욕의 연인들</v>
      </c>
      <c r="C474" s="47">
        <v>6.4</v>
      </c>
      <c r="D474" s="6" t="s">
        <v>652</v>
      </c>
      <c r="E474" s="5" t="s">
        <v>20</v>
      </c>
      <c r="F474" s="5">
        <v>2011</v>
      </c>
      <c r="G474" s="5" t="s">
        <v>12</v>
      </c>
      <c r="H474" s="5" t="s">
        <v>68</v>
      </c>
      <c r="I474" s="5" t="s">
        <v>221</v>
      </c>
      <c r="J474" s="98" t="s">
        <v>3454</v>
      </c>
    </row>
    <row r="475" spans="1:10" ht="28.9" customHeight="1" thickTop="1" thickBot="1" x14ac:dyDescent="0.65">
      <c r="A475" s="3">
        <v>473</v>
      </c>
      <c r="B475" s="44" t="str">
        <f>HYPERLINK("https://search.naver.com/search.naver?query=늑대와 춤을 영화", "늑대와 춤을")</f>
        <v>늑대와 춤을</v>
      </c>
      <c r="C475" s="45">
        <v>9.5</v>
      </c>
      <c r="D475" s="4" t="s">
        <v>653</v>
      </c>
      <c r="E475" s="3" t="s">
        <v>20</v>
      </c>
      <c r="F475" s="3">
        <v>1990</v>
      </c>
      <c r="G475" s="3" t="s">
        <v>12</v>
      </c>
      <c r="H475" s="3" t="s">
        <v>654</v>
      </c>
      <c r="I475" s="3" t="s">
        <v>655</v>
      </c>
      <c r="J475" s="97" t="s">
        <v>3464</v>
      </c>
    </row>
    <row r="476" spans="1:10" ht="28.9" customHeight="1" thickTop="1" thickBot="1" x14ac:dyDescent="0.65">
      <c r="A476" s="5">
        <v>474</v>
      </c>
      <c r="B476" s="46" t="str">
        <f>HYPERLINK("https://search.naver.com/search.naver?query=늑대의 어둠 영화", "늑대의 어둠")</f>
        <v>늑대의 어둠</v>
      </c>
      <c r="C476" s="47">
        <v>3.2</v>
      </c>
      <c r="D476" s="6" t="s">
        <v>656</v>
      </c>
      <c r="E476" s="5" t="s">
        <v>20</v>
      </c>
      <c r="F476" s="5">
        <v>2018</v>
      </c>
      <c r="G476" s="5" t="s">
        <v>12</v>
      </c>
      <c r="H476" s="5" t="s">
        <v>43</v>
      </c>
      <c r="I476" s="5" t="s">
        <v>214</v>
      </c>
      <c r="J476" s="98" t="s">
        <v>3442</v>
      </c>
    </row>
    <row r="477" spans="1:10" ht="28.9" customHeight="1" thickTop="1" thickBot="1" x14ac:dyDescent="0.65">
      <c r="A477" s="3">
        <v>475</v>
      </c>
      <c r="B477" s="44" t="str">
        <f>HYPERLINK("https://search.naver.com/search.naver?query=늙은 자전거 영화", "늙은 자전거")</f>
        <v>늙은 자전거</v>
      </c>
      <c r="C477" s="45">
        <v>9.08</v>
      </c>
      <c r="D477" s="4" t="s">
        <v>657</v>
      </c>
      <c r="E477" s="3" t="s">
        <v>11</v>
      </c>
      <c r="F477" s="3">
        <v>2014</v>
      </c>
      <c r="G477" s="3" t="s">
        <v>12</v>
      </c>
      <c r="H477" s="3" t="s">
        <v>17</v>
      </c>
      <c r="I477" s="3" t="s">
        <v>286</v>
      </c>
      <c r="J477" s="97" t="s">
        <v>3437</v>
      </c>
    </row>
    <row r="478" spans="1:10" ht="28.9" customHeight="1" thickTop="1" thickBot="1" x14ac:dyDescent="0.65">
      <c r="A478" s="5">
        <v>476</v>
      </c>
      <c r="B478" s="46" t="str">
        <f>HYPERLINK("https://search.naver.com/search.naver?query=니 부모 얼굴이 보고 싶다 영화", "니 부모 얼굴이 보고 싶다")</f>
        <v>니 부모 얼굴이 보고 싶다</v>
      </c>
      <c r="C478" s="47">
        <v>7.64</v>
      </c>
      <c r="D478" s="6" t="s">
        <v>658</v>
      </c>
      <c r="E478" s="5" t="s">
        <v>11</v>
      </c>
      <c r="F478" s="5">
        <v>2022</v>
      </c>
      <c r="G478" s="5" t="s">
        <v>12</v>
      </c>
      <c r="H478" s="5" t="s">
        <v>17</v>
      </c>
      <c r="I478" s="5" t="s">
        <v>102</v>
      </c>
      <c r="J478" s="98" t="s">
        <v>3445</v>
      </c>
    </row>
    <row r="479" spans="1:10" ht="28.9" customHeight="1" thickTop="1" thickBot="1" x14ac:dyDescent="0.65">
      <c r="A479" s="3">
        <v>477</v>
      </c>
      <c r="B479" s="44" t="str">
        <f>HYPERLINK("https://search.naver.com/search.naver?query=니드 포 스피드 영화", "니드 포 스피드")</f>
        <v>니드 포 스피드</v>
      </c>
      <c r="C479" s="45">
        <v>8.16</v>
      </c>
      <c r="D479" s="4" t="s">
        <v>659</v>
      </c>
      <c r="E479" s="3" t="s">
        <v>20</v>
      </c>
      <c r="F479" s="3">
        <v>2014</v>
      </c>
      <c r="G479" s="3" t="s">
        <v>12</v>
      </c>
      <c r="H479" s="3" t="s">
        <v>92</v>
      </c>
      <c r="I479" s="3" t="s">
        <v>34</v>
      </c>
      <c r="J479" s="97" t="s">
        <v>3437</v>
      </c>
    </row>
    <row r="480" spans="1:10" ht="28.9" customHeight="1" thickTop="1" thickBot="1" x14ac:dyDescent="0.65">
      <c r="A480" s="5">
        <v>478</v>
      </c>
      <c r="B480" s="46" t="str">
        <f>HYPERLINK("https://search.naver.com/search.naver?query=님아 그 강을 건너지 마오 영화", "님아 그 강을 건너지 마오")</f>
        <v>님아 그 강을 건너지 마오</v>
      </c>
      <c r="C480" s="47">
        <v>9.16</v>
      </c>
      <c r="D480" s="6" t="s">
        <v>660</v>
      </c>
      <c r="E480" s="5" t="s">
        <v>11</v>
      </c>
      <c r="F480" s="5">
        <v>2014</v>
      </c>
      <c r="G480" s="5" t="s">
        <v>12</v>
      </c>
      <c r="H480" s="5" t="s">
        <v>160</v>
      </c>
      <c r="I480" s="5" t="s">
        <v>661</v>
      </c>
      <c r="J480" s="98" t="s">
        <v>3437</v>
      </c>
    </row>
    <row r="481" spans="1:10" ht="28.9" customHeight="1" thickTop="1" thickBot="1" x14ac:dyDescent="0.65">
      <c r="A481" s="3">
        <v>479</v>
      </c>
      <c r="B481" s="44" t="str">
        <f>HYPERLINK("https://search.naver.com/search.naver?query=다만 악에서 구하소서 영화", "다만 악에서 구하소서")</f>
        <v>다만 악에서 구하소서</v>
      </c>
      <c r="C481" s="45">
        <v>8.5500000000000007</v>
      </c>
      <c r="D481" s="4" t="s">
        <v>662</v>
      </c>
      <c r="E481" s="3" t="s">
        <v>11</v>
      </c>
      <c r="F481" s="3">
        <v>2019</v>
      </c>
      <c r="G481" s="3" t="s">
        <v>12</v>
      </c>
      <c r="H481" s="3" t="s">
        <v>80</v>
      </c>
      <c r="I481" s="3" t="s">
        <v>31</v>
      </c>
      <c r="J481" s="97" t="s">
        <v>3444</v>
      </c>
    </row>
    <row r="482" spans="1:10" ht="28.9" customHeight="1" thickTop="1" thickBot="1" x14ac:dyDescent="0.65">
      <c r="A482" s="5">
        <v>480</v>
      </c>
      <c r="B482" s="46" t="str">
        <f>HYPERLINK("https://search.naver.com/search.naver?query=다만, 널 사랑하고 있어 영화", "다만, 널 사랑하고 있어")</f>
        <v>다만, 널 사랑하고 있어</v>
      </c>
      <c r="C482" s="47">
        <v>8.91</v>
      </c>
      <c r="D482" s="6" t="s">
        <v>663</v>
      </c>
      <c r="E482" s="5" t="s">
        <v>16</v>
      </c>
      <c r="F482" s="5">
        <v>2007</v>
      </c>
      <c r="G482" s="5" t="s">
        <v>12</v>
      </c>
      <c r="H482" s="5" t="s">
        <v>121</v>
      </c>
      <c r="I482" s="5" t="s">
        <v>366</v>
      </c>
      <c r="J482" s="98" t="s">
        <v>3447</v>
      </c>
    </row>
    <row r="483" spans="1:10" ht="28.9" customHeight="1" thickTop="1" thickBot="1" x14ac:dyDescent="0.65">
      <c r="A483" s="3">
        <v>481</v>
      </c>
      <c r="B483" s="44" t="str">
        <f>HYPERLINK("https://search.naver.com/search.naver?query=다섯 번째 계절 영화", "다섯 번째 계절")</f>
        <v>다섯 번째 계절</v>
      </c>
      <c r="C483" s="45">
        <v>6.41</v>
      </c>
      <c r="D483" s="4" t="s">
        <v>664</v>
      </c>
      <c r="E483" s="3" t="s">
        <v>20</v>
      </c>
      <c r="F483" s="3">
        <v>2006</v>
      </c>
      <c r="G483" s="3" t="s">
        <v>12</v>
      </c>
      <c r="H483" s="3" t="s">
        <v>17</v>
      </c>
      <c r="I483" s="3" t="s">
        <v>170</v>
      </c>
      <c r="J483" s="97" t="s">
        <v>3460</v>
      </c>
    </row>
    <row r="484" spans="1:10" ht="28.9" customHeight="1" thickTop="1" thickBot="1" x14ac:dyDescent="0.65">
      <c r="A484" s="5">
        <v>482</v>
      </c>
      <c r="B484" s="46" t="str">
        <f>HYPERLINK("https://search.naver.com/search.naver?query=다시 뜨겁게 사랑하라 영화", "다시, 뜨겁게 사랑하라")</f>
        <v>다시, 뜨겁게 사랑하라</v>
      </c>
      <c r="C484" s="47">
        <v>8.27</v>
      </c>
      <c r="D484" s="6" t="s">
        <v>665</v>
      </c>
      <c r="E484" s="5" t="s">
        <v>118</v>
      </c>
      <c r="F484" s="5">
        <v>2013</v>
      </c>
      <c r="G484" s="5" t="s">
        <v>12</v>
      </c>
      <c r="H484" s="5" t="s">
        <v>121</v>
      </c>
      <c r="I484" s="5" t="s">
        <v>366</v>
      </c>
      <c r="J484" s="98" t="s">
        <v>3451</v>
      </c>
    </row>
    <row r="485" spans="1:10" ht="28.9" customHeight="1" thickTop="1" thickBot="1" x14ac:dyDescent="0.65">
      <c r="A485" s="3">
        <v>483</v>
      </c>
      <c r="B485" s="44" t="str">
        <f>HYPERLINK("https://search.naver.com/search.naver?query=다우트 영화", "다우트")</f>
        <v>다우트</v>
      </c>
      <c r="C485" s="45">
        <v>8.61</v>
      </c>
      <c r="D485" s="4" t="s">
        <v>666</v>
      </c>
      <c r="E485" s="3" t="s">
        <v>20</v>
      </c>
      <c r="F485" s="3">
        <v>2008</v>
      </c>
      <c r="G485" s="3" t="s">
        <v>12</v>
      </c>
      <c r="H485" s="3" t="s">
        <v>17</v>
      </c>
      <c r="I485" s="3" t="s">
        <v>170</v>
      </c>
      <c r="J485" s="97" t="s">
        <v>3450</v>
      </c>
    </row>
    <row r="486" spans="1:10" ht="28.9" customHeight="1" thickTop="1" thickBot="1" x14ac:dyDescent="0.65">
      <c r="A486" s="5">
        <v>484</v>
      </c>
      <c r="B486" s="46" t="str">
        <f>HYPERLINK("https://search.naver.com/search.naver?query=다운사이징 영화", "다운사이징")</f>
        <v>다운사이징</v>
      </c>
      <c r="C486" s="47">
        <v>5.83</v>
      </c>
      <c r="D486" s="6" t="s">
        <v>667</v>
      </c>
      <c r="E486" s="5" t="s">
        <v>20</v>
      </c>
      <c r="F486" s="5">
        <v>2017</v>
      </c>
      <c r="G486" s="5" t="s">
        <v>12</v>
      </c>
      <c r="H486" s="5" t="s">
        <v>328</v>
      </c>
      <c r="I486" s="5" t="s">
        <v>41</v>
      </c>
      <c r="J486" s="98" t="s">
        <v>3443</v>
      </c>
    </row>
    <row r="487" spans="1:10" ht="28.9" customHeight="1" thickTop="1" thickBot="1" x14ac:dyDescent="0.65">
      <c r="A487" s="3">
        <v>485</v>
      </c>
      <c r="B487" s="44" t="str">
        <f>HYPERLINK("https://search.naver.com/search.naver?query=다운튼 애비 영화", "다운튼 애비")</f>
        <v>다운튼 애비</v>
      </c>
      <c r="C487" s="45">
        <v>7.91</v>
      </c>
      <c r="D487" s="4" t="s">
        <v>668</v>
      </c>
      <c r="E487" s="3" t="s">
        <v>24</v>
      </c>
      <c r="F487" s="3">
        <v>2019</v>
      </c>
      <c r="G487" s="3" t="s">
        <v>12</v>
      </c>
      <c r="H487" s="3" t="s">
        <v>17</v>
      </c>
      <c r="I487" s="3" t="s">
        <v>105</v>
      </c>
      <c r="J487" s="97" t="s">
        <v>3444</v>
      </c>
    </row>
    <row r="488" spans="1:10" ht="28.9" customHeight="1" thickTop="1" thickBot="1" x14ac:dyDescent="0.65">
      <c r="A488" s="5">
        <v>486</v>
      </c>
      <c r="B488" s="46" t="str">
        <f>HYPERLINK("https://search.naver.com/search.naver?query=다운힐 영화", "다운힐")</f>
        <v>다운힐</v>
      </c>
      <c r="C488" s="47"/>
      <c r="D488" s="6" t="s">
        <v>669</v>
      </c>
      <c r="E488" s="5" t="s">
        <v>20</v>
      </c>
      <c r="F488" s="5">
        <v>2020</v>
      </c>
      <c r="G488" s="5" t="s">
        <v>12</v>
      </c>
      <c r="H488" s="5" t="s">
        <v>68</v>
      </c>
      <c r="I488" s="5" t="s">
        <v>661</v>
      </c>
      <c r="J488" s="98" t="s">
        <v>3436</v>
      </c>
    </row>
    <row r="489" spans="1:10" ht="28.9" customHeight="1" thickTop="1" thickBot="1" x14ac:dyDescent="0.65">
      <c r="A489" s="3">
        <v>487</v>
      </c>
      <c r="B489" s="44" t="str">
        <f>HYPERLINK("https://search.naver.com/search.naver?query=다윈으로 가는 마지막 택시 영화", "다윈으로 가는 마지막 택시")</f>
        <v>다윈으로 가는 마지막 택시</v>
      </c>
      <c r="C489" s="45">
        <v>8.2200000000000006</v>
      </c>
      <c r="D489" s="4" t="s">
        <v>670</v>
      </c>
      <c r="E489" s="3" t="s">
        <v>36</v>
      </c>
      <c r="F489" s="3">
        <v>2015</v>
      </c>
      <c r="G489" s="3" t="s">
        <v>12</v>
      </c>
      <c r="H489" s="3" t="s">
        <v>17</v>
      </c>
      <c r="I489" s="3" t="s">
        <v>58</v>
      </c>
      <c r="J489" s="97" t="s">
        <v>3440</v>
      </c>
    </row>
    <row r="490" spans="1:10" ht="28.9" customHeight="1" thickTop="1" thickBot="1" x14ac:dyDescent="0.65">
      <c r="A490" s="5">
        <v>488</v>
      </c>
      <c r="B490" s="46" t="str">
        <f>HYPERLINK("https://search.naver.com/search.naver?query=다이버전트 영화", "다이버전트")</f>
        <v>다이버전트</v>
      </c>
      <c r="C490" s="47">
        <v>8.25</v>
      </c>
      <c r="D490" s="6" t="s">
        <v>671</v>
      </c>
      <c r="E490" s="5" t="s">
        <v>20</v>
      </c>
      <c r="F490" s="5">
        <v>2014</v>
      </c>
      <c r="G490" s="5" t="s">
        <v>12</v>
      </c>
      <c r="H490" s="5" t="s">
        <v>672</v>
      </c>
      <c r="I490" s="5" t="s">
        <v>305</v>
      </c>
      <c r="J490" s="98" t="s">
        <v>3437</v>
      </c>
    </row>
    <row r="491" spans="1:10" ht="28.9" customHeight="1" thickTop="1" thickBot="1" x14ac:dyDescent="0.65">
      <c r="A491" s="3">
        <v>489</v>
      </c>
      <c r="B491" s="44" t="str">
        <f>HYPERLINK("https://search.naver.com/search.naver?query=다이브 영화", "다이브")</f>
        <v>다이브</v>
      </c>
      <c r="C491" s="45">
        <v>6.37</v>
      </c>
      <c r="D491" s="4" t="s">
        <v>673</v>
      </c>
      <c r="E491" s="3" t="s">
        <v>101</v>
      </c>
      <c r="F491" s="3">
        <v>2023</v>
      </c>
      <c r="G491" s="3" t="s">
        <v>12</v>
      </c>
      <c r="H491" s="3" t="s">
        <v>43</v>
      </c>
      <c r="I491" s="3" t="s">
        <v>240</v>
      </c>
      <c r="J491" s="97" t="s">
        <v>3446</v>
      </c>
    </row>
    <row r="492" spans="1:10" ht="28.9" customHeight="1" thickTop="1" thickBot="1" x14ac:dyDescent="0.65">
      <c r="A492" s="5">
        <v>490</v>
      </c>
      <c r="B492" s="46" t="str">
        <f>HYPERLINK("https://search.naver.com/search.naver?query=다이애나 영화", "다이애나")</f>
        <v>다이애나</v>
      </c>
      <c r="C492" s="47">
        <v>7.27</v>
      </c>
      <c r="D492" s="6" t="s">
        <v>674</v>
      </c>
      <c r="E492" s="5" t="s">
        <v>24</v>
      </c>
      <c r="F492" s="5">
        <v>2013</v>
      </c>
      <c r="G492" s="5" t="s">
        <v>12</v>
      </c>
      <c r="H492" s="5" t="s">
        <v>17</v>
      </c>
      <c r="I492" s="5" t="s">
        <v>73</v>
      </c>
      <c r="J492" s="98" t="s">
        <v>3451</v>
      </c>
    </row>
    <row r="493" spans="1:10" ht="28.9" customHeight="1" thickTop="1" thickBot="1" x14ac:dyDescent="0.65">
      <c r="A493" s="3">
        <v>491</v>
      </c>
      <c r="B493" s="44" t="str">
        <f>HYPERLINK("https://search.naver.com/search.naver?query=다이하드:굿 데이 투 다이 영화", "다이하드-굿 데이 투 다이")</f>
        <v>다이하드-굿 데이 투 다이</v>
      </c>
      <c r="C493" s="45">
        <v>7.13</v>
      </c>
      <c r="D493" s="4" t="s">
        <v>675</v>
      </c>
      <c r="E493" s="3" t="s">
        <v>20</v>
      </c>
      <c r="F493" s="3">
        <v>2013</v>
      </c>
      <c r="G493" s="3" t="s">
        <v>12</v>
      </c>
      <c r="H493" s="3" t="s">
        <v>92</v>
      </c>
      <c r="I493" s="3" t="s">
        <v>124</v>
      </c>
      <c r="J493" s="97" t="s">
        <v>3451</v>
      </c>
    </row>
    <row r="494" spans="1:10" ht="28.9" customHeight="1" thickTop="1" thickBot="1" x14ac:dyDescent="0.65">
      <c r="A494" s="5">
        <v>492</v>
      </c>
      <c r="B494" s="46" t="str">
        <f>HYPERLINK("https://search.naver.com/search.naver?query=다잉 오브 더 라이트 영화", "다잉 오브 더 라이트")</f>
        <v>다잉 오브 더 라이트</v>
      </c>
      <c r="C494" s="47">
        <v>5.69</v>
      </c>
      <c r="D494" s="6" t="s">
        <v>676</v>
      </c>
      <c r="E494" s="5" t="s">
        <v>20</v>
      </c>
      <c r="F494" s="5">
        <v>2014</v>
      </c>
      <c r="G494" s="5" t="s">
        <v>12</v>
      </c>
      <c r="H494" s="5" t="s">
        <v>43</v>
      </c>
      <c r="I494" s="5" t="s">
        <v>300</v>
      </c>
      <c r="J494" s="98" t="s">
        <v>3437</v>
      </c>
    </row>
    <row r="495" spans="1:10" ht="28.9" customHeight="1" thickTop="1" thickBot="1" x14ac:dyDescent="0.65">
      <c r="A495" s="3">
        <v>493</v>
      </c>
      <c r="B495" s="44" t="str">
        <f>HYPERLINK("https://search.naver.com/search.naver?query=다크 나이트 라이즈 영화", "다크 나이트 라이즈")</f>
        <v>다크 나이트 라이즈</v>
      </c>
      <c r="C495" s="45">
        <v>9.56</v>
      </c>
      <c r="D495" s="4" t="s">
        <v>677</v>
      </c>
      <c r="E495" s="3" t="s">
        <v>20</v>
      </c>
      <c r="F495" s="3">
        <v>2012</v>
      </c>
      <c r="G495" s="3" t="s">
        <v>12</v>
      </c>
      <c r="H495" s="3" t="s">
        <v>92</v>
      </c>
      <c r="I495" s="3" t="s">
        <v>678</v>
      </c>
      <c r="J495" s="97" t="s">
        <v>3439</v>
      </c>
    </row>
    <row r="496" spans="1:10" ht="28.9" customHeight="1" thickTop="1" thickBot="1" x14ac:dyDescent="0.65">
      <c r="A496" s="5">
        <v>494</v>
      </c>
      <c r="B496" s="46" t="str">
        <f>HYPERLINK("https://search.naver.com/search.naver?query=다크 워터스 영화", "다크 워터스")</f>
        <v>다크 워터스</v>
      </c>
      <c r="C496" s="47">
        <v>8.93</v>
      </c>
      <c r="D496" s="6" t="s">
        <v>679</v>
      </c>
      <c r="E496" s="5" t="s">
        <v>20</v>
      </c>
      <c r="F496" s="5">
        <v>2019</v>
      </c>
      <c r="G496" s="5" t="s">
        <v>12</v>
      </c>
      <c r="H496" s="5" t="s">
        <v>17</v>
      </c>
      <c r="I496" s="5" t="s">
        <v>78</v>
      </c>
      <c r="J496" s="98" t="s">
        <v>3444</v>
      </c>
    </row>
    <row r="497" spans="1:10" ht="28.9" customHeight="1" thickTop="1" thickBot="1" x14ac:dyDescent="0.65">
      <c r="A497" s="3">
        <v>495</v>
      </c>
      <c r="B497" s="44" t="str">
        <f>HYPERLINK("https://search.naver.com/search.naver?query=다크 케이브 영화", "다크 케이브")</f>
        <v>다크 케이브</v>
      </c>
      <c r="C497" s="45">
        <v>4</v>
      </c>
      <c r="D497" s="4" t="s">
        <v>680</v>
      </c>
      <c r="E497" s="3" t="s">
        <v>20</v>
      </c>
      <c r="F497" s="3">
        <v>2019</v>
      </c>
      <c r="G497" s="3" t="s">
        <v>12</v>
      </c>
      <c r="H497" s="3" t="s">
        <v>252</v>
      </c>
      <c r="I497" s="3" t="s">
        <v>37</v>
      </c>
      <c r="J497" s="97" t="s">
        <v>3444</v>
      </c>
    </row>
    <row r="498" spans="1:10" ht="28.9" customHeight="1" thickTop="1" thickBot="1" x14ac:dyDescent="0.65">
      <c r="A498" s="5">
        <v>496</v>
      </c>
      <c r="B498" s="46" t="str">
        <f>HYPERLINK("https://search.naver.com/search.naver?query=다크 플레이스 영화", "다크 플레이스")</f>
        <v>다크 플레이스</v>
      </c>
      <c r="C498" s="47">
        <v>7.25</v>
      </c>
      <c r="D498" s="6" t="s">
        <v>681</v>
      </c>
      <c r="E498" s="5" t="s">
        <v>20</v>
      </c>
      <c r="F498" s="5">
        <v>2015</v>
      </c>
      <c r="G498" s="5" t="s">
        <v>12</v>
      </c>
      <c r="H498" s="5" t="s">
        <v>43</v>
      </c>
      <c r="I498" s="5" t="s">
        <v>73</v>
      </c>
      <c r="J498" s="98" t="s">
        <v>3440</v>
      </c>
    </row>
    <row r="499" spans="1:10" ht="28.9" customHeight="1" thickTop="1" thickBot="1" x14ac:dyDescent="0.65">
      <c r="A499" s="3">
        <v>497</v>
      </c>
      <c r="B499" s="44" t="str">
        <f>HYPERLINK("https://search.naver.com/search.naver?query=다크타워:희망의 탑 영화", "다크타워 - 희망의 탑")</f>
        <v>다크타워 - 희망의 탑</v>
      </c>
      <c r="C499" s="45">
        <v>7.38</v>
      </c>
      <c r="D499" s="4" t="s">
        <v>682</v>
      </c>
      <c r="E499" s="3" t="s">
        <v>20</v>
      </c>
      <c r="F499" s="3">
        <v>2017</v>
      </c>
      <c r="G499" s="3" t="s">
        <v>12</v>
      </c>
      <c r="H499" s="3" t="s">
        <v>98</v>
      </c>
      <c r="I499" s="3" t="s">
        <v>111</v>
      </c>
      <c r="J499" s="97" t="s">
        <v>3443</v>
      </c>
    </row>
    <row r="500" spans="1:10" ht="28.9" customHeight="1" thickTop="1" thickBot="1" x14ac:dyDescent="0.65">
      <c r="A500" s="5">
        <v>498</v>
      </c>
      <c r="B500" s="46" t="str">
        <f>HYPERLINK("https://search.naver.com/search.naver?query=다키스트 아워 영화", "다키스트 아워")</f>
        <v>다키스트 아워</v>
      </c>
      <c r="C500" s="47">
        <v>9.16</v>
      </c>
      <c r="D500" s="6" t="s">
        <v>683</v>
      </c>
      <c r="E500" s="5" t="s">
        <v>24</v>
      </c>
      <c r="F500" s="5">
        <v>2017</v>
      </c>
      <c r="G500" s="5" t="s">
        <v>12</v>
      </c>
      <c r="H500" s="5" t="s">
        <v>17</v>
      </c>
      <c r="I500" s="5" t="s">
        <v>214</v>
      </c>
      <c r="J500" s="98" t="s">
        <v>3443</v>
      </c>
    </row>
    <row r="501" spans="1:10" ht="28.9" customHeight="1" thickTop="1" thickBot="1" x14ac:dyDescent="0.65">
      <c r="A501" s="3">
        <v>499</v>
      </c>
      <c r="B501" s="44" t="str">
        <f>HYPERLINK("https://search.naver.com/search.naver?query=닥터 슬립 영화", "닥터 슬립")</f>
        <v>닥터 슬립</v>
      </c>
      <c r="C501" s="45">
        <v>8.58</v>
      </c>
      <c r="D501" s="4" t="s">
        <v>684</v>
      </c>
      <c r="E501" s="3" t="s">
        <v>20</v>
      </c>
      <c r="F501" s="3">
        <v>2019</v>
      </c>
      <c r="G501" s="3" t="s">
        <v>12</v>
      </c>
      <c r="H501" s="3" t="s">
        <v>252</v>
      </c>
      <c r="I501" s="3" t="s">
        <v>685</v>
      </c>
      <c r="J501" s="97" t="s">
        <v>3444</v>
      </c>
    </row>
    <row r="502" spans="1:10" ht="28.9" customHeight="1" thickTop="1" thickBot="1" x14ac:dyDescent="0.65">
      <c r="A502" s="7">
        <v>500</v>
      </c>
      <c r="B502" s="48" t="str">
        <f>HYPERLINK("https://search.naver.com/search.naver?query=닥터 포스터 시즌1", "닥터 포스터 시즌1")</f>
        <v>닥터 포스터 시즌1</v>
      </c>
      <c r="C502" s="49"/>
      <c r="D502" s="8" t="s">
        <v>686</v>
      </c>
      <c r="E502" s="7" t="s">
        <v>24</v>
      </c>
      <c r="F502" s="7">
        <v>2015</v>
      </c>
      <c r="G502" s="7" t="s">
        <v>17</v>
      </c>
      <c r="H502" s="7" t="s">
        <v>13</v>
      </c>
      <c r="I502" s="7" t="s">
        <v>687</v>
      </c>
      <c r="J502" s="99" t="s">
        <v>3440</v>
      </c>
    </row>
    <row r="503" spans="1:10" ht="28.9" customHeight="1" thickTop="1" thickBot="1" x14ac:dyDescent="0.65">
      <c r="A503" s="7">
        <v>501</v>
      </c>
      <c r="B503" s="48" t="str">
        <f>HYPERLINK("https://search.naver.com/search.naver?query=닥터 포스터 시즌2", "닥터 포스터 시즌2")</f>
        <v>닥터 포스터 시즌2</v>
      </c>
      <c r="C503" s="49"/>
      <c r="D503" s="8" t="s">
        <v>686</v>
      </c>
      <c r="E503" s="7" t="s">
        <v>24</v>
      </c>
      <c r="F503" s="7">
        <v>2017</v>
      </c>
      <c r="G503" s="7" t="s">
        <v>17</v>
      </c>
      <c r="H503" s="7" t="s">
        <v>13</v>
      </c>
      <c r="I503" s="7" t="s">
        <v>687</v>
      </c>
      <c r="J503" s="99" t="s">
        <v>3443</v>
      </c>
    </row>
    <row r="504" spans="1:10" ht="28.9" customHeight="1" thickTop="1" thickBot="1" x14ac:dyDescent="0.65">
      <c r="A504" s="5">
        <v>502</v>
      </c>
      <c r="B504" s="46" t="str">
        <f>HYPERLINK("https://search.naver.com/search.naver?query=단델리온 더스트 영화", "단델리온 더스트")</f>
        <v>단델리온 더스트</v>
      </c>
      <c r="C504" s="47">
        <v>8.7899999999999991</v>
      </c>
      <c r="D504" s="6" t="s">
        <v>688</v>
      </c>
      <c r="E504" s="5" t="s">
        <v>20</v>
      </c>
      <c r="F504" s="5">
        <v>2009</v>
      </c>
      <c r="G504" s="5" t="s">
        <v>12</v>
      </c>
      <c r="H504" s="5" t="s">
        <v>17</v>
      </c>
      <c r="I504" s="5" t="s">
        <v>124</v>
      </c>
      <c r="J504" s="98" t="s">
        <v>3453</v>
      </c>
    </row>
    <row r="505" spans="1:10" ht="28.9" customHeight="1" thickTop="1" thickBot="1" x14ac:dyDescent="0.65">
      <c r="A505" s="3">
        <v>503</v>
      </c>
      <c r="B505" s="44" t="str">
        <f>HYPERLINK("https://search.naver.com/search.naver?query=단지 세상의 끝 영화", "단지 세상의 끝")</f>
        <v>단지 세상의 끝</v>
      </c>
      <c r="C505" s="45">
        <v>7.66</v>
      </c>
      <c r="D505" s="4" t="s">
        <v>689</v>
      </c>
      <c r="E505" s="3" t="s">
        <v>189</v>
      </c>
      <c r="F505" s="3">
        <v>2016</v>
      </c>
      <c r="G505" s="3" t="s">
        <v>12</v>
      </c>
      <c r="H505" s="3" t="s">
        <v>17</v>
      </c>
      <c r="I505" s="3" t="s">
        <v>124</v>
      </c>
      <c r="J505" s="97" t="s">
        <v>3441</v>
      </c>
    </row>
    <row r="506" spans="1:10" ht="28.9" customHeight="1" thickTop="1" thickBot="1" x14ac:dyDescent="0.65">
      <c r="A506" s="5">
        <v>504</v>
      </c>
      <c r="B506" s="46" t="str">
        <f>HYPERLINK("https://search.naver.com/search.naver?query=달라스 바이어스 클럽 영화", "달라스 바이어스 클럽")</f>
        <v>달라스 바이어스 클럽</v>
      </c>
      <c r="C506" s="47">
        <v>8.65</v>
      </c>
      <c r="D506" s="6" t="s">
        <v>690</v>
      </c>
      <c r="E506" s="5" t="s">
        <v>20</v>
      </c>
      <c r="F506" s="5">
        <v>2013</v>
      </c>
      <c r="G506" s="5" t="s">
        <v>12</v>
      </c>
      <c r="H506" s="5" t="s">
        <v>17</v>
      </c>
      <c r="I506" s="5" t="s">
        <v>89</v>
      </c>
      <c r="J506" s="98" t="s">
        <v>3451</v>
      </c>
    </row>
    <row r="507" spans="1:10" ht="28.9" customHeight="1" thickTop="1" thickBot="1" x14ac:dyDescent="0.65">
      <c r="A507" s="3">
        <v>505</v>
      </c>
      <c r="B507" s="44" t="str">
        <f>HYPERLINK("https://search.naver.com/search.naver?query=달링 영화", "달링")</f>
        <v>달링</v>
      </c>
      <c r="C507" s="45">
        <v>9.08</v>
      </c>
      <c r="D507" s="4" t="s">
        <v>691</v>
      </c>
      <c r="E507" s="3" t="s">
        <v>24</v>
      </c>
      <c r="F507" s="3">
        <v>2017</v>
      </c>
      <c r="G507" s="3" t="s">
        <v>12</v>
      </c>
      <c r="H507" s="3" t="s">
        <v>17</v>
      </c>
      <c r="I507" s="3" t="s">
        <v>231</v>
      </c>
      <c r="J507" s="97" t="s">
        <v>3443</v>
      </c>
    </row>
    <row r="508" spans="1:10" ht="28.9" customHeight="1" thickTop="1" thickBot="1" x14ac:dyDescent="0.65">
      <c r="A508" s="5">
        <v>506</v>
      </c>
      <c r="B508" s="46" t="str">
        <f>HYPERLINK("https://search.naver.com/search.naver?query=일본영화 달의 영휴", "달의 영휴")</f>
        <v>달의 영휴</v>
      </c>
      <c r="C508" s="47">
        <v>6.4</v>
      </c>
      <c r="D508" s="6" t="s">
        <v>692</v>
      </c>
      <c r="E508" s="5" t="s">
        <v>16</v>
      </c>
      <c r="F508" s="5">
        <v>2022</v>
      </c>
      <c r="G508" s="5" t="s">
        <v>12</v>
      </c>
      <c r="H508" s="5" t="s">
        <v>17</v>
      </c>
      <c r="I508" s="5" t="s">
        <v>108</v>
      </c>
      <c r="J508" s="98" t="s">
        <v>3445</v>
      </c>
    </row>
    <row r="509" spans="1:10" ht="28.9" customHeight="1" thickTop="1" thickBot="1" x14ac:dyDescent="0.65">
      <c r="A509" s="3">
        <v>507</v>
      </c>
      <c r="B509" s="44" t="str">
        <f>HYPERLINK("https://search.naver.com/search.naver?query=달콤 살벌한 연인", "달콤 살벌한 연인")</f>
        <v>달콤 살벌한 연인</v>
      </c>
      <c r="C509" s="45">
        <v>8.39</v>
      </c>
      <c r="D509" s="4" t="s">
        <v>693</v>
      </c>
      <c r="E509" s="3" t="s">
        <v>11</v>
      </c>
      <c r="F509" s="3">
        <v>2006</v>
      </c>
      <c r="G509" s="3" t="s">
        <v>12</v>
      </c>
      <c r="H509" s="3" t="s">
        <v>68</v>
      </c>
      <c r="I509" s="3" t="s">
        <v>96</v>
      </c>
      <c r="J509" s="97" t="s">
        <v>3460</v>
      </c>
    </row>
    <row r="510" spans="1:10" ht="28.9" customHeight="1" thickTop="1" thickBot="1" x14ac:dyDescent="0.65">
      <c r="A510" s="5">
        <v>508</v>
      </c>
      <c r="B510" s="46" t="str">
        <f>HYPERLINK("https://search.naver.com/search.naver?query=담보 영화", "담보")</f>
        <v>담보</v>
      </c>
      <c r="C510" s="47">
        <v>9.16</v>
      </c>
      <c r="D510" s="6" t="s">
        <v>694</v>
      </c>
      <c r="E510" s="5" t="s">
        <v>11</v>
      </c>
      <c r="F510" s="5">
        <v>2020</v>
      </c>
      <c r="G510" s="5" t="s">
        <v>12</v>
      </c>
      <c r="H510" s="5" t="s">
        <v>17</v>
      </c>
      <c r="I510" s="5" t="s">
        <v>73</v>
      </c>
      <c r="J510" s="98" t="s">
        <v>3436</v>
      </c>
    </row>
    <row r="511" spans="1:10" ht="28.9" customHeight="1" thickTop="1" thickBot="1" x14ac:dyDescent="0.65">
      <c r="A511" s="3">
        <v>509</v>
      </c>
      <c r="B511" s="44" t="str">
        <f>HYPERLINK("https://search.naver.com/search.naver?query=당갈 영화", "당갈")</f>
        <v>당갈</v>
      </c>
      <c r="C511" s="45">
        <v>9.6199999999999992</v>
      </c>
      <c r="D511" s="4" t="s">
        <v>695</v>
      </c>
      <c r="E511" s="3" t="s">
        <v>361</v>
      </c>
      <c r="F511" s="3">
        <v>2016</v>
      </c>
      <c r="G511" s="3" t="s">
        <v>12</v>
      </c>
      <c r="H511" s="3" t="s">
        <v>337</v>
      </c>
      <c r="I511" s="3" t="s">
        <v>696</v>
      </c>
      <c r="J511" s="97" t="s">
        <v>3441</v>
      </c>
    </row>
    <row r="512" spans="1:10" ht="28.9" customHeight="1" thickTop="1" thickBot="1" x14ac:dyDescent="0.65">
      <c r="A512" s="5">
        <v>510</v>
      </c>
      <c r="B512" s="46" t="str">
        <f>HYPERLINK("https://search.naver.com/search.naver?query=당신 거기 있어 줄래요 영화", "당신 거기 있어 줄래요")</f>
        <v>당신 거기 있어 줄래요</v>
      </c>
      <c r="C512" s="47">
        <v>8.8000000000000007</v>
      </c>
      <c r="D512" s="6" t="s">
        <v>697</v>
      </c>
      <c r="E512" s="5" t="s">
        <v>11</v>
      </c>
      <c r="F512" s="5">
        <v>2016</v>
      </c>
      <c r="G512" s="5" t="s">
        <v>12</v>
      </c>
      <c r="H512" s="5" t="s">
        <v>17</v>
      </c>
      <c r="I512" s="5" t="s">
        <v>102</v>
      </c>
      <c r="J512" s="98" t="s">
        <v>3441</v>
      </c>
    </row>
    <row r="513" spans="1:10" ht="28.9" customHeight="1" thickTop="1" thickBot="1" x14ac:dyDescent="0.65">
      <c r="A513" s="3">
        <v>511</v>
      </c>
      <c r="B513" s="44" t="str">
        <f>HYPERLINK("https://search.naver.com/search.naver?query=당신과 함께한 순간들 영화", "당신과 함께한 순간들")</f>
        <v>당신과 함께한 순간들</v>
      </c>
      <c r="C513" s="45">
        <v>8.14</v>
      </c>
      <c r="D513" s="4" t="s">
        <v>698</v>
      </c>
      <c r="E513" s="3" t="s">
        <v>16</v>
      </c>
      <c r="F513" s="3">
        <v>2017</v>
      </c>
      <c r="G513" s="3" t="s">
        <v>12</v>
      </c>
      <c r="H513" s="3" t="s">
        <v>17</v>
      </c>
      <c r="I513" s="3" t="s">
        <v>99</v>
      </c>
      <c r="J513" s="97" t="s">
        <v>3443</v>
      </c>
    </row>
    <row r="514" spans="1:10" ht="28.9" customHeight="1" thickTop="1" thickBot="1" x14ac:dyDescent="0.65">
      <c r="A514" s="5">
        <v>512</v>
      </c>
      <c r="B514" s="46" t="str">
        <f>HYPERLINK("https://search.naver.com/search.naver?query=당신에게2012 영화", "당신에게")</f>
        <v>당신에게</v>
      </c>
      <c r="C514" s="47">
        <v>6.4</v>
      </c>
      <c r="D514" s="6" t="s">
        <v>699</v>
      </c>
      <c r="E514" s="5" t="s">
        <v>16</v>
      </c>
      <c r="F514" s="5">
        <v>2012</v>
      </c>
      <c r="G514" s="5" t="s">
        <v>12</v>
      </c>
      <c r="H514" s="5" t="s">
        <v>17</v>
      </c>
      <c r="I514" s="5" t="s">
        <v>102</v>
      </c>
      <c r="J514" s="98" t="s">
        <v>3439</v>
      </c>
    </row>
    <row r="515" spans="1:10" ht="28.9" customHeight="1" thickTop="1" thickBot="1" x14ac:dyDescent="0.65">
      <c r="A515" s="3">
        <v>513</v>
      </c>
      <c r="B515" s="44" t="str">
        <f>HYPERLINK("https://search.naver.com/search.naver?query=당신에게도 사랑이 다시 찾아올까요 영화", "당신에게도 사랑이 다시 찾아올까요")</f>
        <v>당신에게도 사랑이 다시 찾아올까요</v>
      </c>
      <c r="C515" s="45">
        <v>6.85</v>
      </c>
      <c r="D515" s="4" t="s">
        <v>700</v>
      </c>
      <c r="E515" s="3" t="s">
        <v>16</v>
      </c>
      <c r="F515" s="3">
        <v>2013</v>
      </c>
      <c r="G515" s="3" t="s">
        <v>12</v>
      </c>
      <c r="H515" s="3" t="s">
        <v>121</v>
      </c>
      <c r="I515" s="3" t="s">
        <v>128</v>
      </c>
      <c r="J515" s="97" t="s">
        <v>3451</v>
      </c>
    </row>
    <row r="516" spans="1:10" ht="28.9" customHeight="1" thickTop="1" thickBot="1" x14ac:dyDescent="0.65">
      <c r="A516" s="3">
        <v>514</v>
      </c>
      <c r="B516" s="44" t="str">
        <f>HYPERLINK("https://search.naver.com/search.naver?query=당신을 오랫동안 사랑했어요 영화", "당신을 오랫동안 사랑했어요")</f>
        <v>당신을 오랫동안 사랑했어요</v>
      </c>
      <c r="C516" s="45">
        <v>8.58</v>
      </c>
      <c r="D516" s="6" t="s">
        <v>701</v>
      </c>
      <c r="E516" s="3" t="s">
        <v>210</v>
      </c>
      <c r="F516" s="3">
        <v>2008</v>
      </c>
      <c r="G516" s="3" t="s">
        <v>12</v>
      </c>
      <c r="H516" s="3" t="s">
        <v>17</v>
      </c>
      <c r="I516" s="3" t="s">
        <v>47</v>
      </c>
      <c r="J516" s="97" t="s">
        <v>3450</v>
      </c>
    </row>
    <row r="517" spans="1:10" ht="28.9" customHeight="1" thickTop="1" thickBot="1" x14ac:dyDescent="0.65">
      <c r="A517" s="3">
        <v>515</v>
      </c>
      <c r="B517" s="44" t="str">
        <f>HYPERLINK("https://search.naver.com/search.naver?query=당신이 사랑하는 동안에 영화", "당신이 사랑하는 동안에")</f>
        <v>당신이 사랑하는 동안에</v>
      </c>
      <c r="C517" s="45">
        <v>8.73</v>
      </c>
      <c r="D517" s="4" t="s">
        <v>702</v>
      </c>
      <c r="E517" s="3" t="s">
        <v>20</v>
      </c>
      <c r="F517" s="3">
        <v>2005</v>
      </c>
      <c r="G517" s="3" t="s">
        <v>12</v>
      </c>
      <c r="H517" s="3" t="s">
        <v>17</v>
      </c>
      <c r="I517" s="3" t="s">
        <v>47</v>
      </c>
      <c r="J517" s="97" t="s">
        <v>3461</v>
      </c>
    </row>
    <row r="518" spans="1:10" ht="28.9" customHeight="1" thickTop="1" thickBot="1" x14ac:dyDescent="0.65">
      <c r="A518" s="5">
        <v>516</v>
      </c>
      <c r="B518" s="46" t="str">
        <f>HYPERLINK("https://search.naver.com/search.naver?query=대니 콜린스 영화", "대니 콜린스")</f>
        <v>대니 콜린스</v>
      </c>
      <c r="C518" s="47">
        <v>9.06</v>
      </c>
      <c r="D518" s="6" t="s">
        <v>703</v>
      </c>
      <c r="E518" s="5" t="s">
        <v>20</v>
      </c>
      <c r="F518" s="5">
        <v>2015</v>
      </c>
      <c r="G518" s="5" t="s">
        <v>12</v>
      </c>
      <c r="H518" s="5" t="s">
        <v>17</v>
      </c>
      <c r="I518" s="5" t="s">
        <v>286</v>
      </c>
      <c r="J518" s="98" t="s">
        <v>3440</v>
      </c>
    </row>
    <row r="519" spans="1:10" ht="28.9" customHeight="1" thickTop="1" thickBot="1" x14ac:dyDescent="0.65">
      <c r="A519" s="3">
        <v>517</v>
      </c>
      <c r="B519" s="44" t="str">
        <f>HYPERLINK("https://search.naver.com/search.naver?query=대니쉬 걸 영화", "대니쉬 걸")</f>
        <v>대니쉬 걸</v>
      </c>
      <c r="C519" s="45">
        <v>8.8800000000000008</v>
      </c>
      <c r="D519" s="4" t="s">
        <v>704</v>
      </c>
      <c r="E519" s="3" t="s">
        <v>24</v>
      </c>
      <c r="F519" s="3">
        <v>2015</v>
      </c>
      <c r="G519" s="3" t="s">
        <v>12</v>
      </c>
      <c r="H519" s="3" t="s">
        <v>17</v>
      </c>
      <c r="I519" s="3" t="s">
        <v>53</v>
      </c>
      <c r="J519" s="97" t="s">
        <v>3440</v>
      </c>
    </row>
    <row r="520" spans="1:10" ht="28.9" customHeight="1" thickTop="1" thickBot="1" x14ac:dyDescent="0.65">
      <c r="A520" s="5">
        <v>518</v>
      </c>
      <c r="B520" s="46" t="str">
        <f>HYPERLINK("https://search.naver.com/search.naver?query=대담하거나, 타락하거나, 아름다운 영화", "대담하거나, 타락하거나, 아름다운")</f>
        <v>대담하거나, 타락하거나, 아름다운</v>
      </c>
      <c r="C520" s="47"/>
      <c r="D520" s="6" t="s">
        <v>705</v>
      </c>
      <c r="E520" s="5" t="s">
        <v>375</v>
      </c>
      <c r="F520" s="5">
        <v>2017</v>
      </c>
      <c r="G520" s="5" t="s">
        <v>12</v>
      </c>
      <c r="H520" s="5" t="s">
        <v>17</v>
      </c>
      <c r="I520" s="5" t="s">
        <v>278</v>
      </c>
      <c r="J520" s="98" t="s">
        <v>3443</v>
      </c>
    </row>
    <row r="521" spans="1:10" ht="28.9" customHeight="1" thickTop="1" thickBot="1" x14ac:dyDescent="0.65">
      <c r="A521" s="3">
        <v>519</v>
      </c>
      <c r="B521" s="44" t="str">
        <f>HYPERLINK("https://search.naver.com/search.naver?query=대립군 영화", "대립군")</f>
        <v>대립군</v>
      </c>
      <c r="C521" s="45">
        <v>7.58</v>
      </c>
      <c r="D521" s="4" t="s">
        <v>706</v>
      </c>
      <c r="E521" s="3" t="s">
        <v>11</v>
      </c>
      <c r="F521" s="3">
        <v>2017</v>
      </c>
      <c r="G521" s="3" t="s">
        <v>12</v>
      </c>
      <c r="H521" s="3" t="s">
        <v>68</v>
      </c>
      <c r="I521" s="3" t="s">
        <v>34</v>
      </c>
      <c r="J521" s="97" t="s">
        <v>3443</v>
      </c>
    </row>
    <row r="522" spans="1:10" ht="28.9" customHeight="1" thickTop="1" thickBot="1" x14ac:dyDescent="0.65">
      <c r="A522" s="5">
        <v>520</v>
      </c>
      <c r="B522" s="46" t="str">
        <f>HYPERLINK("https://search.naver.com/search.naver?query=대무가 영화", "대무가")</f>
        <v>대무가</v>
      </c>
      <c r="C522" s="47">
        <v>6.72</v>
      </c>
      <c r="D522" s="6" t="s">
        <v>707</v>
      </c>
      <c r="E522" s="5" t="s">
        <v>11</v>
      </c>
      <c r="F522" s="5">
        <v>2022</v>
      </c>
      <c r="G522" s="5" t="s">
        <v>12</v>
      </c>
      <c r="H522" s="5" t="s">
        <v>17</v>
      </c>
      <c r="I522" s="5" t="s">
        <v>31</v>
      </c>
      <c r="J522" s="98" t="s">
        <v>3445</v>
      </c>
    </row>
    <row r="523" spans="1:10" ht="28.9" customHeight="1" thickTop="1" thickBot="1" x14ac:dyDescent="0.65">
      <c r="A523" s="3">
        <v>521</v>
      </c>
      <c r="B523" s="44" t="str">
        <f>HYPERLINK("https://search.naver.com/search.naver?query=대배우 영화", "대배우")</f>
        <v>대배우</v>
      </c>
      <c r="C523" s="45">
        <v>7.09</v>
      </c>
      <c r="D523" s="4" t="s">
        <v>708</v>
      </c>
      <c r="E523" s="3" t="s">
        <v>11</v>
      </c>
      <c r="F523" s="3">
        <v>2015</v>
      </c>
      <c r="G523" s="3" t="s">
        <v>12</v>
      </c>
      <c r="H523" s="3" t="s">
        <v>17</v>
      </c>
      <c r="I523" s="3" t="s">
        <v>31</v>
      </c>
      <c r="J523" s="97" t="s">
        <v>3440</v>
      </c>
    </row>
    <row r="524" spans="1:10" ht="28.9" customHeight="1" thickTop="1" thickBot="1" x14ac:dyDescent="0.65">
      <c r="A524" s="5">
        <v>522</v>
      </c>
      <c r="B524" s="46" t="str">
        <f>HYPERLINK("https://search.naver.com/search.naver?query=대부 영화", "대부")</f>
        <v>대부</v>
      </c>
      <c r="C524" s="47">
        <v>9.15</v>
      </c>
      <c r="D524" s="6" t="s">
        <v>709</v>
      </c>
      <c r="E524" s="5" t="s">
        <v>20</v>
      </c>
      <c r="F524" s="5">
        <v>1972</v>
      </c>
      <c r="G524" s="5" t="s">
        <v>12</v>
      </c>
      <c r="H524" s="5" t="s">
        <v>77</v>
      </c>
      <c r="I524" s="5" t="s">
        <v>710</v>
      </c>
      <c r="J524" s="98" t="s">
        <v>3471</v>
      </c>
    </row>
    <row r="525" spans="1:10" ht="28.9" customHeight="1" thickTop="1" thickBot="1" x14ac:dyDescent="0.65">
      <c r="A525" s="3">
        <v>523</v>
      </c>
      <c r="B525" s="44" t="str">
        <f>HYPERLINK("https://search.naver.com/search.naver?query=대부2 영화", "대부2")</f>
        <v>대부2</v>
      </c>
      <c r="C525" s="45">
        <v>9.11</v>
      </c>
      <c r="D525" s="4" t="s">
        <v>711</v>
      </c>
      <c r="E525" s="3" t="s">
        <v>20</v>
      </c>
      <c r="F525" s="3">
        <v>1974</v>
      </c>
      <c r="G525" s="3" t="s">
        <v>12</v>
      </c>
      <c r="H525" s="3" t="s">
        <v>77</v>
      </c>
      <c r="I525" s="3" t="s">
        <v>712</v>
      </c>
      <c r="J525" s="97" t="s">
        <v>3472</v>
      </c>
    </row>
    <row r="526" spans="1:10" ht="28.9" customHeight="1" thickTop="1" thickBot="1" x14ac:dyDescent="0.65">
      <c r="A526" s="5">
        <v>524</v>
      </c>
      <c r="B526" s="46" t="str">
        <f>HYPERLINK("https://search.naver.com/search.naver?query=대부3 영화", "대부3")</f>
        <v>대부3</v>
      </c>
      <c r="C526" s="47">
        <v>9.2100000000000009</v>
      </c>
      <c r="D526" s="6" t="s">
        <v>713</v>
      </c>
      <c r="E526" s="5" t="s">
        <v>20</v>
      </c>
      <c r="F526" s="5">
        <v>1990</v>
      </c>
      <c r="G526" s="5" t="s">
        <v>12</v>
      </c>
      <c r="H526" s="5" t="s">
        <v>77</v>
      </c>
      <c r="I526" s="5" t="s">
        <v>714</v>
      </c>
      <c r="J526" s="98" t="s">
        <v>3464</v>
      </c>
    </row>
    <row r="527" spans="1:10" ht="28.9" customHeight="1" thickTop="1" thickBot="1" x14ac:dyDescent="0.65">
      <c r="A527" s="3">
        <v>525</v>
      </c>
      <c r="B527" s="44" t="str">
        <f>HYPERLINK("https://search.naver.com/search.naver?query=대상해 영화", "대상해")</f>
        <v>대상해</v>
      </c>
      <c r="C527" s="45">
        <v>8</v>
      </c>
      <c r="D527" s="4" t="s">
        <v>715</v>
      </c>
      <c r="E527" s="3" t="s">
        <v>136</v>
      </c>
      <c r="F527" s="3">
        <v>2012</v>
      </c>
      <c r="G527" s="3" t="s">
        <v>12</v>
      </c>
      <c r="H527" s="3" t="s">
        <v>17</v>
      </c>
      <c r="I527" s="3" t="s">
        <v>53</v>
      </c>
      <c r="J527" s="97" t="s">
        <v>3439</v>
      </c>
    </row>
    <row r="528" spans="1:10" ht="28.9" customHeight="1" thickTop="1" thickBot="1" x14ac:dyDescent="0.65">
      <c r="A528" s="5">
        <v>526</v>
      </c>
      <c r="B528" s="46" t="str">
        <f>HYPERLINK("https://search.naver.com/search.naver?query=대역전 영화", "대역전")</f>
        <v>대역전</v>
      </c>
      <c r="C528" s="47">
        <v>10</v>
      </c>
      <c r="D528" s="6" t="s">
        <v>716</v>
      </c>
      <c r="E528" s="5" t="s">
        <v>11</v>
      </c>
      <c r="F528" s="5">
        <v>2016</v>
      </c>
      <c r="G528" s="5" t="s">
        <v>12</v>
      </c>
      <c r="H528" s="5" t="s">
        <v>68</v>
      </c>
      <c r="I528" s="5" t="s">
        <v>131</v>
      </c>
      <c r="J528" s="98" t="s">
        <v>3441</v>
      </c>
    </row>
    <row r="529" spans="1:10" ht="28.9" customHeight="1" thickTop="1" thickBot="1" x14ac:dyDescent="0.65">
      <c r="A529" s="3">
        <v>527</v>
      </c>
      <c r="B529" s="44" t="str">
        <f>HYPERLINK("https://search.naver.com/search.naver?query=대외비 영화", "대외비")</f>
        <v>대외비</v>
      </c>
      <c r="C529" s="45">
        <v>6.04</v>
      </c>
      <c r="D529" s="4" t="s">
        <v>717</v>
      </c>
      <c r="E529" s="3" t="s">
        <v>11</v>
      </c>
      <c r="F529" s="3">
        <v>2023</v>
      </c>
      <c r="G529" s="3" t="s">
        <v>12</v>
      </c>
      <c r="H529" s="3" t="s">
        <v>17</v>
      </c>
      <c r="I529" s="3" t="s">
        <v>366</v>
      </c>
      <c r="J529" s="97" t="s">
        <v>3446</v>
      </c>
    </row>
    <row r="530" spans="1:10" ht="28.9" customHeight="1" thickTop="1" thickBot="1" x14ac:dyDescent="0.65">
      <c r="A530" s="5">
        <v>528</v>
      </c>
      <c r="B530" s="46" t="str">
        <f>HYPERLINK("https://search.naver.com/search.naver?query=대장 김창수 영화", "대장 김창수")</f>
        <v>대장 김창수</v>
      </c>
      <c r="C530" s="47">
        <v>8.4499999999999993</v>
      </c>
      <c r="D530" s="6" t="s">
        <v>718</v>
      </c>
      <c r="E530" s="5" t="s">
        <v>11</v>
      </c>
      <c r="F530" s="5">
        <v>2017</v>
      </c>
      <c r="G530" s="5" t="s">
        <v>12</v>
      </c>
      <c r="H530" s="5" t="s">
        <v>17</v>
      </c>
      <c r="I530" s="5" t="s">
        <v>47</v>
      </c>
      <c r="J530" s="98" t="s">
        <v>3443</v>
      </c>
    </row>
    <row r="531" spans="1:10" ht="28.9" customHeight="1" thickTop="1" thickBot="1" x14ac:dyDescent="0.65">
      <c r="A531" s="3">
        <v>529</v>
      </c>
      <c r="B531" s="44" t="str">
        <f>HYPERLINK("https://movie-stella.tistory.com/entry/%EB%8C%80%EC%B2%B4%EB%B6%88%EA%B0%80-%EB%8B%B9%EC%8B%A0-Irreplaceable-You-2018", "대체불가 당신")</f>
        <v>대체불가 당신</v>
      </c>
      <c r="C531" s="45"/>
      <c r="D531" s="4" t="s">
        <v>719</v>
      </c>
      <c r="E531" s="3" t="s">
        <v>20</v>
      </c>
      <c r="F531" s="3">
        <v>2018</v>
      </c>
      <c r="G531" s="3" t="s">
        <v>12</v>
      </c>
      <c r="H531" s="3" t="s">
        <v>17</v>
      </c>
      <c r="I531" s="3" t="s">
        <v>61</v>
      </c>
      <c r="J531" s="97" t="s">
        <v>3442</v>
      </c>
    </row>
    <row r="532" spans="1:10" ht="28.9" customHeight="1" thickTop="1" thickBot="1" x14ac:dyDescent="0.65">
      <c r="A532" s="5">
        <v>530</v>
      </c>
      <c r="B532" s="46" t="str">
        <f>HYPERLINK("https://search.naver.com/search.naver?query=대폭격 영화", "대폭격")</f>
        <v>대폭격</v>
      </c>
      <c r="C532" s="47">
        <v>3.67</v>
      </c>
      <c r="D532" s="6" t="s">
        <v>720</v>
      </c>
      <c r="E532" s="5" t="s">
        <v>136</v>
      </c>
      <c r="F532" s="5">
        <v>2018</v>
      </c>
      <c r="G532" s="5" t="s">
        <v>12</v>
      </c>
      <c r="H532" s="5" t="s">
        <v>721</v>
      </c>
      <c r="I532" s="5" t="s">
        <v>78</v>
      </c>
      <c r="J532" s="98" t="s">
        <v>3442</v>
      </c>
    </row>
    <row r="533" spans="1:10" ht="28.9" customHeight="1" thickTop="1" thickBot="1" x14ac:dyDescent="0.65">
      <c r="A533" s="3">
        <v>531</v>
      </c>
      <c r="B533" s="44" t="str">
        <f>HYPERLINK("https://search.naver.com/search.naver?query=대학살의 신 영화", "대학살의 신")</f>
        <v>대학살의 신</v>
      </c>
      <c r="C533" s="45">
        <v>7.73</v>
      </c>
      <c r="D533" s="4" t="s">
        <v>722</v>
      </c>
      <c r="E533" s="3" t="s">
        <v>210</v>
      </c>
      <c r="F533" s="3">
        <v>2011</v>
      </c>
      <c r="G533" s="3" t="s">
        <v>12</v>
      </c>
      <c r="H533" s="3" t="s">
        <v>17</v>
      </c>
      <c r="I533" s="3" t="s">
        <v>723</v>
      </c>
      <c r="J533" s="97" t="s">
        <v>3454</v>
      </c>
    </row>
    <row r="534" spans="1:10" ht="28.9" customHeight="1" thickTop="1" thickBot="1" x14ac:dyDescent="0.65">
      <c r="A534" s="5">
        <v>532</v>
      </c>
      <c r="B534" s="46" t="str">
        <f>HYPERLINK("https://search.naver.com/search.naver?query=대호 영화", "대호")</f>
        <v>대호</v>
      </c>
      <c r="C534" s="47">
        <v>8.2200000000000006</v>
      </c>
      <c r="D534" s="6" t="s">
        <v>724</v>
      </c>
      <c r="E534" s="5" t="s">
        <v>11</v>
      </c>
      <c r="F534" s="5">
        <v>2015</v>
      </c>
      <c r="G534" s="5" t="s">
        <v>12</v>
      </c>
      <c r="H534" s="5" t="s">
        <v>333</v>
      </c>
      <c r="I534" s="5" t="s">
        <v>305</v>
      </c>
      <c r="J534" s="98" t="s">
        <v>3440</v>
      </c>
    </row>
    <row r="535" spans="1:10" ht="28.9" customHeight="1" thickTop="1" thickBot="1" x14ac:dyDescent="0.65">
      <c r="A535" s="3">
        <v>533</v>
      </c>
      <c r="B535" s="44" t="str">
        <f>HYPERLINK("https://search.naver.com/search.naver?query=대홍수 영화", "대홍수")</f>
        <v>대홍수</v>
      </c>
      <c r="C535" s="45">
        <v>4.2300000000000004</v>
      </c>
      <c r="D535" s="4" t="s">
        <v>725</v>
      </c>
      <c r="E535" s="3" t="s">
        <v>11</v>
      </c>
      <c r="F535" s="3">
        <v>2025</v>
      </c>
      <c r="G535" s="3" t="s">
        <v>12</v>
      </c>
      <c r="H535" s="3" t="s">
        <v>726</v>
      </c>
      <c r="I535" s="3" t="s">
        <v>31</v>
      </c>
      <c r="J535" s="97" t="s">
        <v>3459</v>
      </c>
    </row>
    <row r="536" spans="1:10" ht="28.9" customHeight="1" thickTop="1" thickBot="1" x14ac:dyDescent="0.65">
      <c r="A536" s="5">
        <v>534</v>
      </c>
      <c r="B536" s="46" t="str">
        <f>HYPERLINK("https://search.naver.com/search.naver?query=댄 인 러브 영화", "댄 인 러브")</f>
        <v>댄 인 러브</v>
      </c>
      <c r="C536" s="47">
        <v>8.2200000000000006</v>
      </c>
      <c r="D536" s="6" t="s">
        <v>727</v>
      </c>
      <c r="E536" s="5" t="s">
        <v>20</v>
      </c>
      <c r="F536" s="5">
        <v>2007</v>
      </c>
      <c r="G536" s="5" t="s">
        <v>12</v>
      </c>
      <c r="H536" s="5" t="s">
        <v>68</v>
      </c>
      <c r="I536" s="5" t="s">
        <v>14</v>
      </c>
      <c r="J536" s="98" t="s">
        <v>3447</v>
      </c>
    </row>
    <row r="537" spans="1:10" ht="28.9" customHeight="1" thickTop="1" thickBot="1" x14ac:dyDescent="0.65">
      <c r="A537" s="3">
        <v>535</v>
      </c>
      <c r="B537" s="44" t="str">
        <f>HYPERLINK("https://search.naver.com/search.naver?query=댄싱퀸2012", "댄싱퀸")</f>
        <v>댄싱퀸</v>
      </c>
      <c r="C537" s="45">
        <v>8.86</v>
      </c>
      <c r="D537" s="4" t="s">
        <v>728</v>
      </c>
      <c r="E537" s="3" t="s">
        <v>11</v>
      </c>
      <c r="F537" s="3">
        <v>2012</v>
      </c>
      <c r="G537" s="3" t="s">
        <v>12</v>
      </c>
      <c r="H537" s="3" t="s">
        <v>68</v>
      </c>
      <c r="I537" s="3" t="s">
        <v>142</v>
      </c>
      <c r="J537" s="97" t="s">
        <v>3439</v>
      </c>
    </row>
    <row r="538" spans="1:10" ht="28.9" customHeight="1" thickTop="1" thickBot="1" x14ac:dyDescent="0.65">
      <c r="A538" s="5">
        <v>536</v>
      </c>
      <c r="B538" s="46" t="str">
        <f>HYPERLINK("https://search.naver.com/search.naver?query=댄저 클로즈:롱탄 대전투 영화", "댄저 클로즈-롱탄 대전투")</f>
        <v>댄저 클로즈-롱탄 대전투</v>
      </c>
      <c r="C538" s="47">
        <v>7.87</v>
      </c>
      <c r="D538" s="6" t="s">
        <v>729</v>
      </c>
      <c r="E538" s="5" t="s">
        <v>36</v>
      </c>
      <c r="F538" s="5">
        <v>2019</v>
      </c>
      <c r="G538" s="5" t="s">
        <v>12</v>
      </c>
      <c r="H538" s="5" t="s">
        <v>721</v>
      </c>
      <c r="I538" s="5" t="s">
        <v>221</v>
      </c>
      <c r="J538" s="98" t="s">
        <v>3444</v>
      </c>
    </row>
    <row r="539" spans="1:10" ht="28.9" customHeight="1" thickTop="1" thickBot="1" x14ac:dyDescent="0.65">
      <c r="A539" s="3">
        <v>537</v>
      </c>
      <c r="B539" s="44" t="str">
        <f>HYPERLINK("https://search.naver.com/search.naver?query=댓글부대 영화", "댓글부대")</f>
        <v>댓글부대</v>
      </c>
      <c r="C539" s="45">
        <v>7.54</v>
      </c>
      <c r="D539" s="4" t="s">
        <v>730</v>
      </c>
      <c r="E539" s="3" t="s">
        <v>11</v>
      </c>
      <c r="F539" s="3">
        <v>2024</v>
      </c>
      <c r="G539" s="3" t="s">
        <v>12</v>
      </c>
      <c r="H539" s="3" t="s">
        <v>17</v>
      </c>
      <c r="I539" s="3" t="s">
        <v>31</v>
      </c>
      <c r="J539" s="97" t="s">
        <v>3448</v>
      </c>
    </row>
    <row r="540" spans="1:10" ht="28.9" customHeight="1" thickTop="1" thickBot="1" x14ac:dyDescent="0.65">
      <c r="A540" s="5">
        <v>538</v>
      </c>
      <c r="B540" s="46" t="str">
        <f>HYPERLINK("https://search.naver.com/search.naver?query=댓츠 왓 아이 엠 영화", "댓츠 왓 아이 엠")</f>
        <v>댓츠 왓 아이 엠</v>
      </c>
      <c r="C540" s="47">
        <v>6.4</v>
      </c>
      <c r="D540" s="6" t="s">
        <v>731</v>
      </c>
      <c r="E540" s="5" t="s">
        <v>20</v>
      </c>
      <c r="F540" s="5">
        <v>2011</v>
      </c>
      <c r="G540" s="5" t="s">
        <v>12</v>
      </c>
      <c r="H540" s="5" t="s">
        <v>17</v>
      </c>
      <c r="I540" s="5" t="s">
        <v>70</v>
      </c>
      <c r="J540" s="98" t="s">
        <v>3454</v>
      </c>
    </row>
    <row r="541" spans="1:10" ht="28.9" customHeight="1" thickTop="1" thickBot="1" x14ac:dyDescent="0.65">
      <c r="A541" s="3">
        <v>539</v>
      </c>
      <c r="B541" s="44" t="str">
        <f>HYPERLINK("https://search.naver.com/search.naver?query=더 건맨 영화", "더 건맨")</f>
        <v>더 건맨</v>
      </c>
      <c r="C541" s="45">
        <v>6.86</v>
      </c>
      <c r="D541" s="4" t="s">
        <v>732</v>
      </c>
      <c r="E541" s="3" t="s">
        <v>20</v>
      </c>
      <c r="F541" s="3">
        <v>2015</v>
      </c>
      <c r="G541" s="3" t="s">
        <v>12</v>
      </c>
      <c r="H541" s="3" t="s">
        <v>92</v>
      </c>
      <c r="I541" s="3" t="s">
        <v>47</v>
      </c>
      <c r="J541" s="97" t="s">
        <v>3440</v>
      </c>
    </row>
    <row r="542" spans="1:10" ht="28.9" customHeight="1" thickTop="1" thickBot="1" x14ac:dyDescent="0.65">
      <c r="A542" s="5">
        <v>540</v>
      </c>
      <c r="B542" s="46" t="str">
        <f>HYPERLINK("https://search.naver.com/search.naver?query=더 걸 후 갓어웨이 영화", "더 걸 후 갓어웨이")</f>
        <v>더 걸 후 갓어웨이</v>
      </c>
      <c r="C542" s="47"/>
      <c r="D542" s="6" t="s">
        <v>733</v>
      </c>
      <c r="E542" s="5" t="s">
        <v>20</v>
      </c>
      <c r="F542" s="5">
        <v>2022</v>
      </c>
      <c r="G542" s="5" t="s">
        <v>12</v>
      </c>
      <c r="H542" s="5" t="s">
        <v>43</v>
      </c>
      <c r="I542" s="5" t="s">
        <v>147</v>
      </c>
      <c r="J542" s="98" t="s">
        <v>3445</v>
      </c>
    </row>
    <row r="543" spans="1:10" ht="28.9" customHeight="1" thickTop="1" thickBot="1" x14ac:dyDescent="0.65">
      <c r="A543" s="3">
        <v>541</v>
      </c>
      <c r="B543" s="44" t="str">
        <f>HYPERLINK("https://search.naver.com/search.naver?query=더 게임 영화", "더 게임")</f>
        <v>더 게임</v>
      </c>
      <c r="C543" s="45">
        <v>7.42</v>
      </c>
      <c r="D543" s="4" t="s">
        <v>734</v>
      </c>
      <c r="E543" s="3" t="s">
        <v>20</v>
      </c>
      <c r="F543" s="3">
        <v>1997</v>
      </c>
      <c r="G543" s="3" t="s">
        <v>12</v>
      </c>
      <c r="H543" s="3" t="s">
        <v>43</v>
      </c>
      <c r="I543" s="3" t="s">
        <v>64</v>
      </c>
      <c r="J543" s="97" t="s">
        <v>3470</v>
      </c>
    </row>
    <row r="544" spans="1:10" ht="28.9" customHeight="1" thickTop="1" thickBot="1" x14ac:dyDescent="0.65">
      <c r="A544" s="5">
        <v>542</v>
      </c>
      <c r="B544" s="46" t="str">
        <f>HYPERLINK("https://search.naver.com/search.naver?query=더 골든핀치 영화", "더 골든핀치")</f>
        <v>더 골든핀치</v>
      </c>
      <c r="C544" s="47">
        <v>6.4</v>
      </c>
      <c r="D544" s="6" t="s">
        <v>735</v>
      </c>
      <c r="E544" s="5" t="s">
        <v>20</v>
      </c>
      <c r="F544" s="5">
        <v>2019</v>
      </c>
      <c r="G544" s="5" t="s">
        <v>12</v>
      </c>
      <c r="H544" s="5" t="s">
        <v>17</v>
      </c>
      <c r="I544" s="5" t="s">
        <v>482</v>
      </c>
      <c r="J544" s="98" t="s">
        <v>3444</v>
      </c>
    </row>
    <row r="545" spans="1:10" ht="28.9" customHeight="1" thickTop="1" thickBot="1" x14ac:dyDescent="0.65">
      <c r="A545" s="3">
        <v>543</v>
      </c>
      <c r="B545" s="44" t="str">
        <f>HYPERLINK("https://search.naver.com/search.naver?query=더 그레이 영화", "더 그레이")</f>
        <v>더 그레이</v>
      </c>
      <c r="C545" s="45">
        <v>7.7</v>
      </c>
      <c r="D545" s="4" t="s">
        <v>736</v>
      </c>
      <c r="E545" s="3" t="s">
        <v>20</v>
      </c>
      <c r="F545" s="3">
        <v>2012</v>
      </c>
      <c r="G545" s="3" t="s">
        <v>12</v>
      </c>
      <c r="H545" s="3" t="s">
        <v>21</v>
      </c>
      <c r="I545" s="3" t="s">
        <v>89</v>
      </c>
      <c r="J545" s="97" t="s">
        <v>3439</v>
      </c>
    </row>
    <row r="546" spans="1:10" ht="28.9" customHeight="1" thickTop="1" thickBot="1" x14ac:dyDescent="0.65">
      <c r="A546" s="5">
        <v>544</v>
      </c>
      <c r="B546" s="46" t="str">
        <f>HYPERLINK("https://search.naver.com/search.naver?query=더 그레이트 서커스 영화", "더 그레이트 서커스")</f>
        <v>더 그레이트 서커스</v>
      </c>
      <c r="C546" s="47">
        <v>6.5</v>
      </c>
      <c r="D546" s="6" t="s">
        <v>737</v>
      </c>
      <c r="E546" s="5" t="s">
        <v>361</v>
      </c>
      <c r="F546" s="5">
        <v>2013</v>
      </c>
      <c r="G546" s="5" t="s">
        <v>12</v>
      </c>
      <c r="H546" s="5" t="s">
        <v>17</v>
      </c>
      <c r="I546" s="5" t="s">
        <v>738</v>
      </c>
      <c r="J546" s="98" t="s">
        <v>3451</v>
      </c>
    </row>
    <row r="547" spans="1:10" ht="28.9" customHeight="1" thickTop="1" thickBot="1" x14ac:dyDescent="0.65">
      <c r="A547" s="7">
        <v>545</v>
      </c>
      <c r="B547" s="48" t="str">
        <f>HYPERLINK("https://search.naver.com/search.naver?query=더 글로리", "더 글로리")</f>
        <v>더 글로리</v>
      </c>
      <c r="C547" s="49"/>
      <c r="D547" s="8" t="s">
        <v>739</v>
      </c>
      <c r="E547" s="7" t="s">
        <v>11</v>
      </c>
      <c r="F547" s="7">
        <v>2022</v>
      </c>
      <c r="G547" s="7" t="s">
        <v>17</v>
      </c>
      <c r="H547" s="7" t="s">
        <v>17</v>
      </c>
      <c r="I547" s="7" t="s">
        <v>491</v>
      </c>
      <c r="J547" s="99" t="s">
        <v>3445</v>
      </c>
    </row>
    <row r="548" spans="1:10" ht="28.9" customHeight="1" thickTop="1" thickBot="1" x14ac:dyDescent="0.65">
      <c r="A548" s="5">
        <v>546</v>
      </c>
      <c r="B548" s="46" t="str">
        <f>HYPERLINK("https://search.naver.com/search.naver?query=더 기버:기억전달자 영화", "더 기버 - 기억전달자")</f>
        <v>더 기버 - 기억전달자</v>
      </c>
      <c r="C548" s="47">
        <v>7.88</v>
      </c>
      <c r="D548" s="6" t="s">
        <v>740</v>
      </c>
      <c r="E548" s="5" t="s">
        <v>20</v>
      </c>
      <c r="F548" s="5">
        <v>2014</v>
      </c>
      <c r="G548" s="5" t="s">
        <v>12</v>
      </c>
      <c r="H548" s="5" t="s">
        <v>520</v>
      </c>
      <c r="I548" s="5" t="s">
        <v>124</v>
      </c>
      <c r="J548" s="98" t="s">
        <v>3437</v>
      </c>
    </row>
    <row r="549" spans="1:10" ht="28.9" customHeight="1" thickTop="1" thickBot="1" x14ac:dyDescent="0.65">
      <c r="A549" s="3">
        <v>547</v>
      </c>
      <c r="B549" s="44" t="str">
        <f>HYPERLINK("https://search.naver.com/search.naver?query=더 기프트 영화", "더 기프트")</f>
        <v>더 기프트</v>
      </c>
      <c r="C549" s="45">
        <v>7.89</v>
      </c>
      <c r="D549" s="4" t="s">
        <v>741</v>
      </c>
      <c r="E549" s="3" t="s">
        <v>20</v>
      </c>
      <c r="F549" s="3">
        <v>2015</v>
      </c>
      <c r="G549" s="3" t="s">
        <v>12</v>
      </c>
      <c r="H549" s="3" t="s">
        <v>43</v>
      </c>
      <c r="I549" s="3" t="s">
        <v>31</v>
      </c>
      <c r="J549" s="97" t="s">
        <v>3440</v>
      </c>
    </row>
    <row r="550" spans="1:10" ht="28.9" customHeight="1" thickTop="1" thickBot="1" x14ac:dyDescent="0.65">
      <c r="A550" s="7">
        <v>548</v>
      </c>
      <c r="B550" s="48" t="str">
        <f>HYPERLINK("https://search.naver.com/search.naver?query=더 나이트 매니저", "더 나이트 매니저 시즌1")</f>
        <v>더 나이트 매니저 시즌1</v>
      </c>
      <c r="C550" s="49"/>
      <c r="D550" s="8" t="s">
        <v>742</v>
      </c>
      <c r="E550" s="7" t="s">
        <v>24</v>
      </c>
      <c r="F550" s="7">
        <v>2016</v>
      </c>
      <c r="G550" s="7" t="s">
        <v>17</v>
      </c>
      <c r="H550" s="7" t="s">
        <v>13</v>
      </c>
      <c r="I550" s="7" t="s">
        <v>173</v>
      </c>
      <c r="J550" s="99" t="s">
        <v>3441</v>
      </c>
    </row>
    <row r="551" spans="1:10" ht="28.9" customHeight="1" thickTop="1" thickBot="1" x14ac:dyDescent="0.65">
      <c r="A551" s="3">
        <v>549</v>
      </c>
      <c r="B551" s="44" t="str">
        <f>HYPERLINK("https://search.naver.com/search.naver?query=더 노멀 하트 영화", "더 노멀 하트")</f>
        <v>더 노멀 하트</v>
      </c>
      <c r="C551" s="45">
        <v>6.4</v>
      </c>
      <c r="D551" s="4" t="s">
        <v>743</v>
      </c>
      <c r="E551" s="3" t="s">
        <v>20</v>
      </c>
      <c r="F551" s="3">
        <v>2014</v>
      </c>
      <c r="G551" s="3" t="s">
        <v>12</v>
      </c>
      <c r="H551" s="3" t="s">
        <v>17</v>
      </c>
      <c r="I551" s="3" t="s">
        <v>350</v>
      </c>
      <c r="J551" s="97" t="s">
        <v>3437</v>
      </c>
    </row>
    <row r="552" spans="1:10" ht="28.9" customHeight="1" thickTop="1" thickBot="1" x14ac:dyDescent="0.65">
      <c r="A552" s="7">
        <v>550</v>
      </c>
      <c r="B552" s="48" t="str">
        <f>HYPERLINK("https://search.naver.com/search.naver?query=더 뉴룩 드라마", "더 뉴룩")</f>
        <v>더 뉴룩</v>
      </c>
      <c r="C552" s="49"/>
      <c r="D552" s="8" t="s">
        <v>744</v>
      </c>
      <c r="E552" s="7" t="s">
        <v>20</v>
      </c>
      <c r="F552" s="7">
        <v>2024</v>
      </c>
      <c r="G552" s="7" t="s">
        <v>17</v>
      </c>
      <c r="H552" s="7" t="s">
        <v>17</v>
      </c>
      <c r="I552" s="7" t="s">
        <v>50</v>
      </c>
      <c r="J552" s="99" t="s">
        <v>3448</v>
      </c>
    </row>
    <row r="553" spans="1:10" ht="28.9" customHeight="1" thickTop="1" thickBot="1" x14ac:dyDescent="0.65">
      <c r="A553" s="3">
        <v>551</v>
      </c>
      <c r="B553" s="44" t="str">
        <f>HYPERLINK("https://search.naver.com/search.naver?query=더 도어맨 영화", "더 도어맨")</f>
        <v>더 도어맨</v>
      </c>
      <c r="C553" s="45">
        <v>6.4</v>
      </c>
      <c r="D553" s="4" t="s">
        <v>745</v>
      </c>
      <c r="E553" s="3" t="s">
        <v>20</v>
      </c>
      <c r="F553" s="3">
        <v>2020</v>
      </c>
      <c r="G553" s="3" t="s">
        <v>12</v>
      </c>
      <c r="H553" s="3" t="s">
        <v>92</v>
      </c>
      <c r="I553" s="3" t="s">
        <v>124</v>
      </c>
      <c r="J553" s="97" t="s">
        <v>3436</v>
      </c>
    </row>
    <row r="554" spans="1:10" ht="28.9" customHeight="1" thickTop="1" thickBot="1" x14ac:dyDescent="0.65">
      <c r="A554" s="5">
        <v>552</v>
      </c>
      <c r="B554" s="46" t="str">
        <f>HYPERLINK("https://search.naver.com/search.naver?query=더 드롭 영화", "더 드롭")</f>
        <v>더 드롭</v>
      </c>
      <c r="C554" s="47">
        <v>7.29</v>
      </c>
      <c r="D554" s="6" t="s">
        <v>746</v>
      </c>
      <c r="E554" s="5" t="s">
        <v>20</v>
      </c>
      <c r="F554" s="5">
        <v>2014</v>
      </c>
      <c r="G554" s="5" t="s">
        <v>12</v>
      </c>
      <c r="H554" s="5" t="s">
        <v>277</v>
      </c>
      <c r="I554" s="5" t="s">
        <v>286</v>
      </c>
      <c r="J554" s="98" t="s">
        <v>3437</v>
      </c>
    </row>
    <row r="555" spans="1:10" ht="28.9" customHeight="1" thickTop="1" thickBot="1" x14ac:dyDescent="0.65">
      <c r="A555" s="3">
        <v>553</v>
      </c>
      <c r="B555" s="44" t="str">
        <f>HYPERLINK("https://search.naver.com/search.naver?query=더 디그 영화", "더 디그")</f>
        <v>더 디그</v>
      </c>
      <c r="C555" s="45">
        <v>8.77</v>
      </c>
      <c r="D555" s="4" t="s">
        <v>747</v>
      </c>
      <c r="E555" s="3" t="s">
        <v>24</v>
      </c>
      <c r="F555" s="3">
        <v>2021</v>
      </c>
      <c r="G555" s="3" t="s">
        <v>12</v>
      </c>
      <c r="H555" s="3" t="s">
        <v>17</v>
      </c>
      <c r="I555" s="3" t="s">
        <v>278</v>
      </c>
      <c r="J555" s="97" t="s">
        <v>3438</v>
      </c>
    </row>
    <row r="556" spans="1:10" ht="28.9" customHeight="1" thickTop="1" thickBot="1" x14ac:dyDescent="0.65">
      <c r="A556" s="5">
        <v>554</v>
      </c>
      <c r="B556" s="46" t="str">
        <f>HYPERLINK("https://search.naver.com/search.naver?query=더 라스트 레터 영화", "더 라스트 레터")</f>
        <v>더 라스트 레터</v>
      </c>
      <c r="C556" s="47">
        <v>9.35</v>
      </c>
      <c r="D556" s="6" t="s">
        <v>748</v>
      </c>
      <c r="E556" s="5" t="s">
        <v>24</v>
      </c>
      <c r="F556" s="5">
        <v>2021</v>
      </c>
      <c r="G556" s="5" t="s">
        <v>12</v>
      </c>
      <c r="H556" s="5" t="s">
        <v>121</v>
      </c>
      <c r="I556" s="5" t="s">
        <v>96</v>
      </c>
      <c r="J556" s="98" t="s">
        <v>3438</v>
      </c>
    </row>
    <row r="557" spans="1:10" ht="28.9" customHeight="1" thickTop="1" thickBot="1" x14ac:dyDescent="0.65">
      <c r="A557" s="3">
        <v>555</v>
      </c>
      <c r="B557" s="44" t="str">
        <f>HYPERLINK("https://search.naver.com/search.naver?query=더 랍스터 영화", "더 랍스터")</f>
        <v>더 랍스터</v>
      </c>
      <c r="C557" s="45">
        <v>8.23</v>
      </c>
      <c r="D557" s="4" t="s">
        <v>749</v>
      </c>
      <c r="E557" s="3" t="s">
        <v>558</v>
      </c>
      <c r="F557" s="3">
        <v>2015</v>
      </c>
      <c r="G557" s="3" t="s">
        <v>12</v>
      </c>
      <c r="H557" s="3" t="s">
        <v>17</v>
      </c>
      <c r="I557" s="3" t="s">
        <v>221</v>
      </c>
      <c r="J557" s="97" t="s">
        <v>3440</v>
      </c>
    </row>
    <row r="558" spans="1:10" ht="28.9" customHeight="1" thickTop="1" thickBot="1" x14ac:dyDescent="0.65">
      <c r="A558" s="5">
        <v>556</v>
      </c>
      <c r="B558" s="46" t="str">
        <f>HYPERLINK("https://search.naver.com/search.naver?query=더 러너 영화", "더 러너")</f>
        <v>더 러너</v>
      </c>
      <c r="C558" s="47">
        <v>3.32</v>
      </c>
      <c r="D558" s="6" t="s">
        <v>750</v>
      </c>
      <c r="E558" s="5" t="s">
        <v>20</v>
      </c>
      <c r="F558" s="5">
        <v>2015</v>
      </c>
      <c r="G558" s="5" t="s">
        <v>12</v>
      </c>
      <c r="H558" s="5" t="s">
        <v>17</v>
      </c>
      <c r="I558" s="5" t="s">
        <v>115</v>
      </c>
      <c r="J558" s="98" t="s">
        <v>3440</v>
      </c>
    </row>
    <row r="559" spans="1:10" ht="28.9" customHeight="1" thickTop="1" thickBot="1" x14ac:dyDescent="0.65">
      <c r="A559" s="3">
        <v>557</v>
      </c>
      <c r="B559" s="44" t="str">
        <f>HYPERLINK("https://search.naver.com/search.naver?query=더 러버스 영화", "더 러버스")</f>
        <v>더 러버스</v>
      </c>
      <c r="C559" s="45">
        <v>6.4</v>
      </c>
      <c r="D559" s="4" t="s">
        <v>751</v>
      </c>
      <c r="E559" s="3" t="s">
        <v>20</v>
      </c>
      <c r="F559" s="3">
        <v>2018</v>
      </c>
      <c r="G559" s="3" t="s">
        <v>12</v>
      </c>
      <c r="H559" s="3" t="s">
        <v>121</v>
      </c>
      <c r="I559" s="3" t="s">
        <v>300</v>
      </c>
      <c r="J559" s="97" t="s">
        <v>3442</v>
      </c>
    </row>
    <row r="560" spans="1:10" ht="28.9" customHeight="1" thickTop="1" thickBot="1" x14ac:dyDescent="0.65">
      <c r="A560" s="5">
        <v>558</v>
      </c>
      <c r="B560" s="46" t="str">
        <f>HYPERLINK("https://search.naver.com/search.naver?query=더 럭키 원 영화", "더 럭키 원")</f>
        <v>더 럭키 원</v>
      </c>
      <c r="C560" s="47">
        <v>7.8</v>
      </c>
      <c r="D560" s="6" t="s">
        <v>752</v>
      </c>
      <c r="E560" s="5" t="s">
        <v>20</v>
      </c>
      <c r="F560" s="5">
        <v>2012</v>
      </c>
      <c r="G560" s="5" t="s">
        <v>12</v>
      </c>
      <c r="H560" s="5" t="s">
        <v>17</v>
      </c>
      <c r="I560" s="5" t="s">
        <v>70</v>
      </c>
      <c r="J560" s="98" t="s">
        <v>3439</v>
      </c>
    </row>
    <row r="561" spans="1:10" ht="28.9" customHeight="1" thickTop="1" thickBot="1" x14ac:dyDescent="0.65">
      <c r="A561" s="3">
        <v>559</v>
      </c>
      <c r="B561" s="44" t="str">
        <f>HYPERLINK("https://search.naver.com/search.naver?query=더 레슬러 영화", "더 레슬러")</f>
        <v>더 레슬러</v>
      </c>
      <c r="C561" s="45">
        <v>8.69</v>
      </c>
      <c r="D561" s="4" t="s">
        <v>753</v>
      </c>
      <c r="E561" s="3" t="s">
        <v>20</v>
      </c>
      <c r="F561" s="3">
        <v>2008</v>
      </c>
      <c r="G561" s="3" t="s">
        <v>12</v>
      </c>
      <c r="H561" s="3" t="s">
        <v>17</v>
      </c>
      <c r="I561" s="3" t="s">
        <v>137</v>
      </c>
      <c r="J561" s="97" t="s">
        <v>3450</v>
      </c>
    </row>
    <row r="562" spans="1:10" ht="28.9" customHeight="1" thickTop="1" thickBot="1" x14ac:dyDescent="0.65">
      <c r="A562" s="5">
        <v>560</v>
      </c>
      <c r="B562" s="46" t="str">
        <f>HYPERLINK("https://search.naver.com/search.naver?query=더 레일웨이 맨 영화", "더 레일웨이 맨")</f>
        <v>더 레일웨이 맨</v>
      </c>
      <c r="C562" s="47">
        <v>7.23</v>
      </c>
      <c r="D562" s="6" t="s">
        <v>754</v>
      </c>
      <c r="E562" s="5" t="s">
        <v>24</v>
      </c>
      <c r="F562" s="5">
        <v>2013</v>
      </c>
      <c r="G562" s="5" t="s">
        <v>12</v>
      </c>
      <c r="H562" s="5" t="s">
        <v>17</v>
      </c>
      <c r="I562" s="5" t="s">
        <v>366</v>
      </c>
      <c r="J562" s="98" t="s">
        <v>3451</v>
      </c>
    </row>
    <row r="563" spans="1:10" ht="28.9" customHeight="1" thickTop="1" thickBot="1" x14ac:dyDescent="0.65">
      <c r="A563" s="5">
        <v>561</v>
      </c>
      <c r="B563" s="46" t="str">
        <f>HYPERLINK("https://search.naver.com/search.naver?query=더 렛지 영화", "더 렛지")</f>
        <v>더 렛지</v>
      </c>
      <c r="C563" s="47">
        <v>6.46</v>
      </c>
      <c r="D563" s="6" t="s">
        <v>755</v>
      </c>
      <c r="E563" s="5" t="s">
        <v>20</v>
      </c>
      <c r="F563" s="5">
        <v>2022</v>
      </c>
      <c r="G563" s="5" t="s">
        <v>12</v>
      </c>
      <c r="H563" s="5" t="s">
        <v>43</v>
      </c>
      <c r="I563" s="5" t="s">
        <v>661</v>
      </c>
      <c r="J563" s="98" t="s">
        <v>3445</v>
      </c>
    </row>
    <row r="564" spans="1:10" ht="28.9" customHeight="1" thickTop="1" thickBot="1" x14ac:dyDescent="0.65">
      <c r="A564" s="3">
        <v>562</v>
      </c>
      <c r="B564" s="44" t="str">
        <f>HYPERLINK("https://search.naver.com/search.naver?query=더 로우라이프 영화", "더 로우라이프")</f>
        <v>더 로우라이프</v>
      </c>
      <c r="C564" s="45">
        <v>6.4</v>
      </c>
      <c r="D564" s="4" t="s">
        <v>756</v>
      </c>
      <c r="E564" s="3" t="s">
        <v>16</v>
      </c>
      <c r="F564" s="3">
        <v>2017</v>
      </c>
      <c r="G564" s="3" t="s">
        <v>12</v>
      </c>
      <c r="H564" s="3" t="s">
        <v>17</v>
      </c>
      <c r="I564" s="3" t="s">
        <v>99</v>
      </c>
      <c r="J564" s="97" t="s">
        <v>3443</v>
      </c>
    </row>
    <row r="565" spans="1:10" ht="28.9" customHeight="1" thickTop="1" thickBot="1" x14ac:dyDescent="0.65">
      <c r="A565" s="5">
        <v>563</v>
      </c>
      <c r="B565" s="46" t="str">
        <f>HYPERLINK("https://search.naver.com/search.naver?query=더 록 영화", "더 록")</f>
        <v>더 록</v>
      </c>
      <c r="C565" s="47">
        <v>9.3699999999999992</v>
      </c>
      <c r="D565" s="6" t="s">
        <v>757</v>
      </c>
      <c r="E565" s="5" t="s">
        <v>20</v>
      </c>
      <c r="F565" s="5">
        <v>1996</v>
      </c>
      <c r="G565" s="5" t="s">
        <v>12</v>
      </c>
      <c r="H565" s="5" t="s">
        <v>92</v>
      </c>
      <c r="I565" s="5" t="s">
        <v>359</v>
      </c>
      <c r="J565" s="98" t="s">
        <v>3463</v>
      </c>
    </row>
    <row r="566" spans="1:10" ht="28.9" customHeight="1" thickTop="1" thickBot="1" x14ac:dyDescent="0.65">
      <c r="A566" s="3">
        <v>564</v>
      </c>
      <c r="B566" s="44" t="str">
        <f>HYPERLINK("https://search.naver.com/search.naver?query=%EB%8D%94%20%EB%A1%B1%EA%B8%B0%EC%8A%A4%ED%8A%B8%20%EB%9D%BC%EC%9D%B4%EB%93%9C%20%EC%98%81%ED%99%94", "더 롱기스트 라이드")</f>
        <v>더 롱기스트 라이드</v>
      </c>
      <c r="C566" s="45"/>
      <c r="D566" s="4" t="s">
        <v>758</v>
      </c>
      <c r="E566" s="3" t="s">
        <v>20</v>
      </c>
      <c r="F566" s="3">
        <v>2015</v>
      </c>
      <c r="G566" s="3" t="s">
        <v>12</v>
      </c>
      <c r="H566" s="3" t="s">
        <v>121</v>
      </c>
      <c r="I566" s="3" t="s">
        <v>58</v>
      </c>
      <c r="J566" s="97" t="s">
        <v>3440</v>
      </c>
    </row>
    <row r="567" spans="1:10" ht="28.9" customHeight="1" thickTop="1" thickBot="1" x14ac:dyDescent="0.65">
      <c r="A567" s="7">
        <v>565</v>
      </c>
      <c r="B567" s="48" t="str">
        <f>HYPERLINK("https://search.naver.com/search.naver?query=더 루키 시즌1", "더 루키 시즌1")</f>
        <v>더 루키 시즌1</v>
      </c>
      <c r="C567" s="49"/>
      <c r="D567" s="8" t="s">
        <v>759</v>
      </c>
      <c r="E567" s="7" t="s">
        <v>20</v>
      </c>
      <c r="F567" s="7">
        <v>2018</v>
      </c>
      <c r="G567" s="7" t="s">
        <v>17</v>
      </c>
      <c r="H567" s="7" t="s">
        <v>760</v>
      </c>
      <c r="I567" s="7" t="s">
        <v>761</v>
      </c>
      <c r="J567" s="99" t="s">
        <v>3442</v>
      </c>
    </row>
    <row r="568" spans="1:10" ht="28.9" customHeight="1" thickTop="1" thickBot="1" x14ac:dyDescent="0.65">
      <c r="A568" s="7">
        <v>566</v>
      </c>
      <c r="B568" s="48" t="str">
        <f>HYPERLINK("https://search.naver.com/search.naver?query=더 루키 시즌2", "더 루키 시즌2")</f>
        <v>더 루키 시즌2</v>
      </c>
      <c r="C568" s="49"/>
      <c r="D568" s="8" t="s">
        <v>759</v>
      </c>
      <c r="E568" s="7" t="s">
        <v>20</v>
      </c>
      <c r="F568" s="7">
        <v>2019</v>
      </c>
      <c r="G568" s="7" t="s">
        <v>17</v>
      </c>
      <c r="H568" s="7" t="s">
        <v>760</v>
      </c>
      <c r="I568" s="7" t="s">
        <v>761</v>
      </c>
      <c r="J568" s="99" t="s">
        <v>3444</v>
      </c>
    </row>
    <row r="569" spans="1:10" ht="28.9" customHeight="1" thickTop="1" thickBot="1" x14ac:dyDescent="0.65">
      <c r="A569" s="7">
        <v>567</v>
      </c>
      <c r="B569" s="48" t="str">
        <f>HYPERLINK("https://search.naver.com/search.naver?query=더 루키 시즌3", "더 루키 시즌3")</f>
        <v>더 루키 시즌3</v>
      </c>
      <c r="C569" s="49"/>
      <c r="D569" s="8"/>
      <c r="E569" s="7" t="s">
        <v>20</v>
      </c>
      <c r="F569" s="7">
        <v>2021</v>
      </c>
      <c r="G569" s="7" t="s">
        <v>17</v>
      </c>
      <c r="H569" s="7" t="s">
        <v>760</v>
      </c>
      <c r="I569" s="7" t="s">
        <v>761</v>
      </c>
      <c r="J569" s="99" t="s">
        <v>3438</v>
      </c>
    </row>
    <row r="570" spans="1:10" ht="28.9" customHeight="1" thickTop="1" thickBot="1" x14ac:dyDescent="0.65">
      <c r="A570" s="7">
        <v>568</v>
      </c>
      <c r="B570" s="48" t="str">
        <f>HYPERLINK("https://search.naver.com/search.naver?query=더 루키 시즌4", "더 루키 시즌4")</f>
        <v>더 루키 시즌4</v>
      </c>
      <c r="C570" s="49"/>
      <c r="D570" s="8" t="s">
        <v>762</v>
      </c>
      <c r="E570" s="7" t="s">
        <v>20</v>
      </c>
      <c r="F570" s="7">
        <v>2022</v>
      </c>
      <c r="G570" s="7" t="s">
        <v>17</v>
      </c>
      <c r="H570" s="7" t="s">
        <v>760</v>
      </c>
      <c r="I570" s="7" t="s">
        <v>761</v>
      </c>
      <c r="J570" s="99" t="s">
        <v>3445</v>
      </c>
    </row>
    <row r="571" spans="1:10" ht="28.9" customHeight="1" thickTop="1" thickBot="1" x14ac:dyDescent="0.65">
      <c r="A571" s="7">
        <v>569</v>
      </c>
      <c r="B571" s="48" t="str">
        <f>HYPERLINK("https://search.naver.com/search.naver?query=더 루키 시즌5", "더 루키 시즌5")</f>
        <v>더 루키 시즌5</v>
      </c>
      <c r="C571" s="49"/>
      <c r="D571" s="8" t="s">
        <v>762</v>
      </c>
      <c r="E571" s="7" t="s">
        <v>20</v>
      </c>
      <c r="F571" s="7">
        <v>2022</v>
      </c>
      <c r="G571" s="7" t="s">
        <v>17</v>
      </c>
      <c r="H571" s="7" t="s">
        <v>760</v>
      </c>
      <c r="I571" s="7" t="s">
        <v>761</v>
      </c>
      <c r="J571" s="99" t="s">
        <v>3445</v>
      </c>
    </row>
    <row r="572" spans="1:10" ht="28.9" customHeight="1" thickTop="1" thickBot="1" x14ac:dyDescent="0.65">
      <c r="A572" s="7">
        <v>570</v>
      </c>
      <c r="B572" s="48" t="str">
        <f>HYPERLINK("https://search.naver.com/search.naver?query=더 루키 시즌6", "더 루키 시즌6")</f>
        <v>더 루키 시즌6</v>
      </c>
      <c r="C572" s="49"/>
      <c r="D572" s="8" t="s">
        <v>759</v>
      </c>
      <c r="E572" s="7" t="s">
        <v>20</v>
      </c>
      <c r="F572" s="7">
        <v>2023</v>
      </c>
      <c r="G572" s="7" t="s">
        <v>17</v>
      </c>
      <c r="H572" s="7" t="s">
        <v>760</v>
      </c>
      <c r="I572" s="7" t="s">
        <v>50</v>
      </c>
      <c r="J572" s="99" t="s">
        <v>3446</v>
      </c>
    </row>
    <row r="573" spans="1:10" ht="28.9" customHeight="1" thickTop="1" thickBot="1" x14ac:dyDescent="0.65">
      <c r="A573" s="5">
        <v>571</v>
      </c>
      <c r="B573" s="46" t="str">
        <f>HYPERLINK("https://search.naver.com/search.naver?query=더 룸2019 영화", "더 룸")</f>
        <v>더 룸</v>
      </c>
      <c r="C573" s="47"/>
      <c r="D573" s="6" t="s">
        <v>763</v>
      </c>
      <c r="E573" s="5" t="s">
        <v>20</v>
      </c>
      <c r="F573" s="5">
        <v>2019</v>
      </c>
      <c r="G573" s="5" t="s">
        <v>12</v>
      </c>
      <c r="H573" s="5" t="s">
        <v>17</v>
      </c>
      <c r="I573" s="5" t="s">
        <v>131</v>
      </c>
      <c r="J573" s="98" t="s">
        <v>3444</v>
      </c>
    </row>
    <row r="574" spans="1:10" ht="28.9" customHeight="1" thickTop="1" thickBot="1" x14ac:dyDescent="0.65">
      <c r="A574" s="3">
        <v>572</v>
      </c>
      <c r="B574" s="44" t="str">
        <f>HYPERLINK("https://search.naver.com/search.naver?query=더 리더 - 책 읽어주는 남자 영화", "더 리더 - 책 읽어주는 남자")</f>
        <v>더 리더 - 책 읽어주는 남자</v>
      </c>
      <c r="C574" s="45"/>
      <c r="D574" s="4" t="s">
        <v>764</v>
      </c>
      <c r="E574" s="3" t="s">
        <v>20</v>
      </c>
      <c r="F574" s="3">
        <v>2008</v>
      </c>
      <c r="G574" s="3" t="s">
        <v>12</v>
      </c>
      <c r="H574" s="3" t="s">
        <v>17</v>
      </c>
      <c r="I574" s="3" t="s">
        <v>134</v>
      </c>
      <c r="J574" s="97" t="s">
        <v>3450</v>
      </c>
    </row>
    <row r="575" spans="1:10" ht="28.9" customHeight="1" thickTop="1" thickBot="1" x14ac:dyDescent="0.65">
      <c r="A575" s="5">
        <v>573</v>
      </c>
      <c r="B575" s="46" t="str">
        <f>HYPERLINK("https://search.naver.com/search.naver?query=더 리버 와이 영화", "더 리버 와이")</f>
        <v>더 리버 와이</v>
      </c>
      <c r="C575" s="47">
        <v>6.2</v>
      </c>
      <c r="D575" s="6" t="s">
        <v>765</v>
      </c>
      <c r="E575" s="5" t="s">
        <v>20</v>
      </c>
      <c r="F575" s="5">
        <v>2010</v>
      </c>
      <c r="G575" s="5" t="s">
        <v>12</v>
      </c>
      <c r="H575" s="5" t="s">
        <v>17</v>
      </c>
      <c r="I575" s="5" t="s">
        <v>70</v>
      </c>
      <c r="J575" s="98" t="s">
        <v>3455</v>
      </c>
    </row>
    <row r="576" spans="1:10" ht="28.9" customHeight="1" thickTop="1" thickBot="1" x14ac:dyDescent="0.65">
      <c r="A576" s="3">
        <v>574</v>
      </c>
      <c r="B576" s="44" t="str">
        <f>HYPERLINK("https://search.naver.com/search.naver?query=더 리벤지 영화", "더 리벤지")</f>
        <v>더 리벤지</v>
      </c>
      <c r="C576" s="45">
        <v>6.1</v>
      </c>
      <c r="D576" s="4" t="s">
        <v>766</v>
      </c>
      <c r="E576" s="3" t="s">
        <v>20</v>
      </c>
      <c r="F576" s="3">
        <v>2018</v>
      </c>
      <c r="G576" s="3" t="s">
        <v>12</v>
      </c>
      <c r="H576" s="3" t="s">
        <v>92</v>
      </c>
      <c r="I576" s="3" t="s">
        <v>625</v>
      </c>
      <c r="J576" s="97" t="s">
        <v>3442</v>
      </c>
    </row>
    <row r="577" spans="1:10" ht="28.9" customHeight="1" thickTop="1" thickBot="1" x14ac:dyDescent="0.65">
      <c r="A577" s="5">
        <v>575</v>
      </c>
      <c r="B577" s="46" t="str">
        <f>HYPERLINK("https://search.naver.com/search.naver?query=더 리치 영화", "더 리치")</f>
        <v>더 리치</v>
      </c>
      <c r="C577" s="47">
        <v>8.41</v>
      </c>
      <c r="D577" s="6" t="s">
        <v>767</v>
      </c>
      <c r="E577" s="5" t="s">
        <v>20</v>
      </c>
      <c r="F577" s="5">
        <v>2014</v>
      </c>
      <c r="G577" s="5" t="s">
        <v>12</v>
      </c>
      <c r="H577" s="5" t="s">
        <v>92</v>
      </c>
      <c r="I577" s="5" t="s">
        <v>115</v>
      </c>
      <c r="J577" s="98" t="s">
        <v>3437</v>
      </c>
    </row>
    <row r="578" spans="1:10" ht="28.9" customHeight="1" thickTop="1" thickBot="1" x14ac:dyDescent="0.65">
      <c r="A578" s="3">
        <v>576</v>
      </c>
      <c r="B578" s="44" t="str">
        <f>HYPERLINK("https://search.naver.com/search.naver?query=더 리틀 띵스 영화", "더 리틀 띵스")</f>
        <v>더 리틀 띵스</v>
      </c>
      <c r="C578" s="45"/>
      <c r="D578" s="4" t="s">
        <v>768</v>
      </c>
      <c r="E578" s="3" t="s">
        <v>20</v>
      </c>
      <c r="F578" s="3">
        <v>2021</v>
      </c>
      <c r="G578" s="3" t="s">
        <v>12</v>
      </c>
      <c r="H578" s="3" t="s">
        <v>277</v>
      </c>
      <c r="I578" s="3" t="s">
        <v>108</v>
      </c>
      <c r="J578" s="97" t="s">
        <v>3438</v>
      </c>
    </row>
    <row r="579" spans="1:10" ht="28.9" customHeight="1" thickTop="1" thickBot="1" x14ac:dyDescent="0.65">
      <c r="A579" s="5">
        <v>577</v>
      </c>
      <c r="B579" s="46" t="str">
        <f>HYPERLINK("https://search.naver.com/search.naver?query=더 리포트 영화", "더 리포트")</f>
        <v>더 리포트</v>
      </c>
      <c r="C579" s="47">
        <v>6.4</v>
      </c>
      <c r="D579" s="6" t="s">
        <v>769</v>
      </c>
      <c r="E579" s="5" t="s">
        <v>20</v>
      </c>
      <c r="F579" s="5">
        <v>2019</v>
      </c>
      <c r="G579" s="5" t="s">
        <v>12</v>
      </c>
      <c r="H579" s="5" t="s">
        <v>17</v>
      </c>
      <c r="I579" s="5" t="s">
        <v>221</v>
      </c>
      <c r="J579" s="98" t="s">
        <v>3444</v>
      </c>
    </row>
    <row r="580" spans="1:10" ht="28.9" customHeight="1" thickTop="1" thickBot="1" x14ac:dyDescent="0.65">
      <c r="A580" s="3">
        <v>578</v>
      </c>
      <c r="B580" s="44" t="str">
        <f>HYPERLINK("https://search.naver.com/search.naver?query=더 리프 영화", "더 리프")</f>
        <v>더 리프</v>
      </c>
      <c r="C580" s="45">
        <v>4.04</v>
      </c>
      <c r="D580" s="4" t="s">
        <v>770</v>
      </c>
      <c r="E580" s="3" t="s">
        <v>36</v>
      </c>
      <c r="F580" s="3">
        <v>2010</v>
      </c>
      <c r="G580" s="3" t="s">
        <v>12</v>
      </c>
      <c r="H580" s="3" t="s">
        <v>252</v>
      </c>
      <c r="I580" s="3" t="s">
        <v>300</v>
      </c>
      <c r="J580" s="97" t="s">
        <v>3455</v>
      </c>
    </row>
    <row r="581" spans="1:10" ht="28.9" customHeight="1" thickTop="1" thickBot="1" x14ac:dyDescent="0.65">
      <c r="A581" s="5">
        <v>579</v>
      </c>
      <c r="B581" s="46" t="str">
        <f>HYPERLINK("https://search.naver.com/search.naver?query=더 립 영화", "더 립")</f>
        <v>더 립</v>
      </c>
      <c r="C581" s="47">
        <v>7.59</v>
      </c>
      <c r="D581" s="6" t="s">
        <v>771</v>
      </c>
      <c r="E581" s="5" t="s">
        <v>20</v>
      </c>
      <c r="F581" s="5">
        <v>2026</v>
      </c>
      <c r="G581" s="5" t="s">
        <v>12</v>
      </c>
      <c r="H581" s="5" t="s">
        <v>43</v>
      </c>
      <c r="I581" s="5" t="s">
        <v>131</v>
      </c>
      <c r="J581" s="98">
        <v>46047</v>
      </c>
    </row>
    <row r="582" spans="1:10" ht="28.9" customHeight="1" thickTop="1" thickBot="1" x14ac:dyDescent="0.65">
      <c r="A582" s="3">
        <v>580</v>
      </c>
      <c r="B582" s="44" t="str">
        <f>HYPERLINK("https://search.naver.com/search.naver?query=더 머시 영화", "더 머시")</f>
        <v>더 머시</v>
      </c>
      <c r="C582" s="45"/>
      <c r="D582" s="4" t="s">
        <v>772</v>
      </c>
      <c r="E582" s="3" t="s">
        <v>24</v>
      </c>
      <c r="F582" s="3">
        <v>2018</v>
      </c>
      <c r="G582" s="3" t="s">
        <v>12</v>
      </c>
      <c r="H582" s="3" t="s">
        <v>17</v>
      </c>
      <c r="I582" s="3" t="s">
        <v>278</v>
      </c>
      <c r="J582" s="97" t="s">
        <v>3442</v>
      </c>
    </row>
    <row r="583" spans="1:10" ht="28.9" customHeight="1" thickTop="1" thickBot="1" x14ac:dyDescent="0.65">
      <c r="A583" s="5">
        <v>581</v>
      </c>
      <c r="B583" s="46" t="str">
        <f>HYPERLINK("https://search.naver.com/search.naver?query=더 메들러 영화", "더 메들러")</f>
        <v>더 메들러</v>
      </c>
      <c r="C583" s="47"/>
      <c r="D583" s="6" t="s">
        <v>773</v>
      </c>
      <c r="E583" s="5" t="s">
        <v>20</v>
      </c>
      <c r="F583" s="5">
        <v>2015</v>
      </c>
      <c r="G583" s="5" t="s">
        <v>12</v>
      </c>
      <c r="H583" s="5" t="s">
        <v>68</v>
      </c>
      <c r="I583" s="5" t="s">
        <v>131</v>
      </c>
      <c r="J583" s="98" t="s">
        <v>3440</v>
      </c>
    </row>
    <row r="584" spans="1:10" ht="28.9" customHeight="1" thickTop="1" thickBot="1" x14ac:dyDescent="0.65">
      <c r="A584" s="7">
        <v>582</v>
      </c>
      <c r="B584" s="48" t="str">
        <f>HYPERLINK("https://search.naver.com/search.naver?query=더 모닝 쇼 시즌1", "더 모닝 쇼 시즌1")</f>
        <v>더 모닝 쇼 시즌1</v>
      </c>
      <c r="C584" s="49"/>
      <c r="D584" s="8" t="s">
        <v>774</v>
      </c>
      <c r="E584" s="7" t="s">
        <v>20</v>
      </c>
      <c r="F584" s="7">
        <v>2019</v>
      </c>
      <c r="G584" s="7" t="s">
        <v>17</v>
      </c>
      <c r="H584" s="7" t="s">
        <v>17</v>
      </c>
      <c r="I584" s="7" t="s">
        <v>50</v>
      </c>
      <c r="J584" s="99" t="s">
        <v>3444</v>
      </c>
    </row>
    <row r="585" spans="1:10" ht="28.9" customHeight="1" thickTop="1" thickBot="1" x14ac:dyDescent="0.65">
      <c r="A585" s="7">
        <v>583</v>
      </c>
      <c r="B585" s="48" t="str">
        <f>HYPERLINK("https://search.naver.com/search.naver?query=더 모닝 쇼 시즌2", "더 모닝 쇼 시즌2")</f>
        <v>더 모닝 쇼 시즌2</v>
      </c>
      <c r="C585" s="49"/>
      <c r="D585" s="8" t="s">
        <v>774</v>
      </c>
      <c r="E585" s="7" t="s">
        <v>20</v>
      </c>
      <c r="F585" s="7">
        <v>2021</v>
      </c>
      <c r="G585" s="7" t="s">
        <v>17</v>
      </c>
      <c r="H585" s="7" t="s">
        <v>17</v>
      </c>
      <c r="I585" s="7" t="s">
        <v>50</v>
      </c>
      <c r="J585" s="99" t="s">
        <v>3438</v>
      </c>
    </row>
    <row r="586" spans="1:10" ht="28.9" customHeight="1" thickTop="1" thickBot="1" x14ac:dyDescent="0.65">
      <c r="A586" s="3">
        <v>584</v>
      </c>
      <c r="B586" s="44" t="str">
        <f>HYPERLINK("https://search.naver.com/search.naver?query=더 문 영화", "더 문")</f>
        <v>더 문</v>
      </c>
      <c r="C586" s="45">
        <v>7.19</v>
      </c>
      <c r="D586" s="4" t="s">
        <v>775</v>
      </c>
      <c r="E586" s="3" t="s">
        <v>11</v>
      </c>
      <c r="F586" s="3">
        <v>2023</v>
      </c>
      <c r="G586" s="3" t="s">
        <v>12</v>
      </c>
      <c r="H586" s="3" t="s">
        <v>520</v>
      </c>
      <c r="I586" s="3" t="s">
        <v>64</v>
      </c>
      <c r="J586" s="97" t="s">
        <v>3446</v>
      </c>
    </row>
    <row r="587" spans="1:10" ht="28.9" customHeight="1" thickTop="1" thickBot="1" x14ac:dyDescent="0.65">
      <c r="A587" s="5">
        <v>585</v>
      </c>
      <c r="B587" s="46" t="str">
        <f>HYPERLINK("https://search.naver.com/search.naver?query=더 문 영화", "더 문")</f>
        <v>더 문</v>
      </c>
      <c r="C587" s="47">
        <v>7.19</v>
      </c>
      <c r="D587" s="6" t="s">
        <v>776</v>
      </c>
      <c r="E587" s="5" t="s">
        <v>24</v>
      </c>
      <c r="F587" s="5">
        <v>2009</v>
      </c>
      <c r="G587" s="5" t="s">
        <v>12</v>
      </c>
      <c r="H587" s="5" t="s">
        <v>520</v>
      </c>
      <c r="I587" s="5" t="s">
        <v>124</v>
      </c>
      <c r="J587" s="98" t="s">
        <v>3453</v>
      </c>
    </row>
    <row r="588" spans="1:10" ht="28.9" customHeight="1" thickTop="1" thickBot="1" x14ac:dyDescent="0.65">
      <c r="A588" s="3">
        <v>586</v>
      </c>
      <c r="B588" s="44" t="str">
        <f>HYPERLINK("https://search.naver.com/search.naver?query=더 바디 영화", "더 바디")</f>
        <v>더 바디</v>
      </c>
      <c r="C588" s="45">
        <v>8.1199999999999992</v>
      </c>
      <c r="D588" s="4" t="s">
        <v>777</v>
      </c>
      <c r="E588" s="3" t="s">
        <v>30</v>
      </c>
      <c r="F588" s="3">
        <v>2012</v>
      </c>
      <c r="G588" s="3" t="s">
        <v>12</v>
      </c>
      <c r="H588" s="3" t="s">
        <v>43</v>
      </c>
      <c r="I588" s="3" t="s">
        <v>278</v>
      </c>
      <c r="J588" s="97" t="s">
        <v>3439</v>
      </c>
    </row>
    <row r="589" spans="1:10" ht="28.9" customHeight="1" thickTop="1" thickBot="1" x14ac:dyDescent="0.65">
      <c r="A589" s="5">
        <v>587</v>
      </c>
      <c r="B589" s="46" t="str">
        <f>HYPERLINK("https://search.naver.com/search.naver?query=더 백 맨 영화", "더 백 맨")</f>
        <v>더 백 맨</v>
      </c>
      <c r="C589" s="47">
        <v>5.69</v>
      </c>
      <c r="D589" s="6" t="s">
        <v>778</v>
      </c>
      <c r="E589" s="5" t="s">
        <v>20</v>
      </c>
      <c r="F589" s="5">
        <v>2013</v>
      </c>
      <c r="G589" s="5" t="s">
        <v>12</v>
      </c>
      <c r="H589" s="5" t="s">
        <v>277</v>
      </c>
      <c r="I589" s="5" t="s">
        <v>119</v>
      </c>
      <c r="J589" s="98" t="s">
        <v>3451</v>
      </c>
    </row>
    <row r="590" spans="1:10" ht="28.9" customHeight="1" thickTop="1" thickBot="1" x14ac:dyDescent="0.65">
      <c r="A590" s="3">
        <v>588</v>
      </c>
      <c r="B590" s="44" t="str">
        <f>HYPERLINK("https://search.naver.com/search.naver?query=더 뱅커 영화", "더 뱅커")</f>
        <v>더 뱅커</v>
      </c>
      <c r="C590" s="45">
        <v>9.11</v>
      </c>
      <c r="D590" s="4" t="s">
        <v>779</v>
      </c>
      <c r="E590" s="3" t="s">
        <v>20</v>
      </c>
      <c r="F590" s="3">
        <v>2019</v>
      </c>
      <c r="G590" s="3" t="s">
        <v>12</v>
      </c>
      <c r="H590" s="3" t="s">
        <v>17</v>
      </c>
      <c r="I590" s="3" t="s">
        <v>86</v>
      </c>
      <c r="J590" s="97" t="s">
        <v>3444</v>
      </c>
    </row>
    <row r="591" spans="1:10" ht="28.9" customHeight="1" thickTop="1" thickBot="1" x14ac:dyDescent="0.65">
      <c r="A591" s="5">
        <v>589</v>
      </c>
      <c r="B591" s="46" t="str">
        <f>HYPERLINK("https://search.naver.com/search.naver?query=더 버닝 씨 영화", "더 버닝 씨")</f>
        <v>더 버닝 씨</v>
      </c>
      <c r="C591" s="47">
        <v>8.17</v>
      </c>
      <c r="D591" s="6" t="s">
        <v>780</v>
      </c>
      <c r="E591" s="5" t="s">
        <v>39</v>
      </c>
      <c r="F591" s="5">
        <v>2023</v>
      </c>
      <c r="G591" s="5" t="s">
        <v>12</v>
      </c>
      <c r="H591" s="5" t="s">
        <v>92</v>
      </c>
      <c r="I591" s="5" t="s">
        <v>286</v>
      </c>
      <c r="J591" s="98" t="s">
        <v>3446</v>
      </c>
    </row>
    <row r="592" spans="1:10" ht="28.9" customHeight="1" thickTop="1" thickBot="1" x14ac:dyDescent="0.65">
      <c r="A592" s="3">
        <v>590</v>
      </c>
      <c r="B592" s="44" t="str">
        <f>HYPERLINK("https://search.naver.com/search.naver?query=더 버츄오소 영화", "더 버츄오소")</f>
        <v>더 버츄오소</v>
      </c>
      <c r="C592" s="45">
        <v>6.4</v>
      </c>
      <c r="D592" s="4" t="s">
        <v>781</v>
      </c>
      <c r="E592" s="3" t="s">
        <v>20</v>
      </c>
      <c r="F592" s="3">
        <v>2021</v>
      </c>
      <c r="G592" s="3" t="s">
        <v>12</v>
      </c>
      <c r="H592" s="3" t="s">
        <v>43</v>
      </c>
      <c r="I592" s="3" t="s">
        <v>115</v>
      </c>
      <c r="J592" s="97" t="s">
        <v>3438</v>
      </c>
    </row>
    <row r="593" spans="1:10" ht="28.9" customHeight="1" thickTop="1" thickBot="1" x14ac:dyDescent="0.65">
      <c r="A593" s="5">
        <v>591</v>
      </c>
      <c r="B593" s="46" t="str">
        <f>HYPERLINK("https://search.naver.com/search.naver?query=더 베스트 오브 에너미즈 영화", "더 베스트 오브 에너미즈")</f>
        <v>더 베스트 오브 에너미즈</v>
      </c>
      <c r="C593" s="47">
        <v>8.73</v>
      </c>
      <c r="D593" s="6" t="s">
        <v>782</v>
      </c>
      <c r="E593" s="5" t="s">
        <v>20</v>
      </c>
      <c r="F593" s="5">
        <v>2019</v>
      </c>
      <c r="G593" s="5" t="s">
        <v>12</v>
      </c>
      <c r="H593" s="5" t="s">
        <v>17</v>
      </c>
      <c r="I593" s="5" t="s">
        <v>83</v>
      </c>
      <c r="J593" s="98" t="s">
        <v>3444</v>
      </c>
    </row>
    <row r="594" spans="1:10" ht="28.9" customHeight="1" thickTop="1" thickBot="1" x14ac:dyDescent="0.65">
      <c r="A594" s="7">
        <v>592</v>
      </c>
      <c r="B594" s="48" t="str">
        <f>HYPERLINK("https://search.naver.com/search.naver?query=더 베일 드라마", "더 베일")</f>
        <v>더 베일</v>
      </c>
      <c r="C594" s="49"/>
      <c r="D594" s="8" t="s">
        <v>783</v>
      </c>
      <c r="E594" s="7" t="s">
        <v>20</v>
      </c>
      <c r="F594" s="7">
        <v>2024</v>
      </c>
      <c r="G594" s="7" t="s">
        <v>17</v>
      </c>
      <c r="H594" s="7" t="s">
        <v>13</v>
      </c>
      <c r="I594" s="7" t="s">
        <v>173</v>
      </c>
      <c r="J594" s="99" t="s">
        <v>3448</v>
      </c>
    </row>
    <row r="595" spans="1:10" ht="28.9" customHeight="1" thickTop="1" thickBot="1" x14ac:dyDescent="0.65">
      <c r="A595" s="5">
        <v>593</v>
      </c>
      <c r="B595" s="46" t="str">
        <f>HYPERLINK("https://search.naver.com/search.naver?query=더 보이 넥스트 도어", "더 보이 넥스트 도어")</f>
        <v>더 보이 넥스트 도어</v>
      </c>
      <c r="C595" s="47">
        <v>6.19</v>
      </c>
      <c r="D595" s="6" t="s">
        <v>784</v>
      </c>
      <c r="E595" s="5" t="s">
        <v>20</v>
      </c>
      <c r="F595" s="5">
        <v>2015</v>
      </c>
      <c r="G595" s="5" t="s">
        <v>12</v>
      </c>
      <c r="H595" s="5" t="s">
        <v>43</v>
      </c>
      <c r="I595" s="5" t="s">
        <v>240</v>
      </c>
      <c r="J595" s="98" t="s">
        <v>3440</v>
      </c>
    </row>
    <row r="596" spans="1:10" ht="28.9" customHeight="1" thickTop="1" thickBot="1" x14ac:dyDescent="0.65">
      <c r="A596" s="3">
        <v>594</v>
      </c>
      <c r="B596" s="44" t="str">
        <f>HYPERLINK("https://search.naver.com/search.naver?query=더 비지트 영화", "더 비지트")</f>
        <v>더 비지트</v>
      </c>
      <c r="C596" s="45">
        <v>6.99</v>
      </c>
      <c r="D596" s="4" t="s">
        <v>785</v>
      </c>
      <c r="E596" s="3" t="s">
        <v>20</v>
      </c>
      <c r="F596" s="3">
        <v>2015</v>
      </c>
      <c r="G596" s="3" t="s">
        <v>12</v>
      </c>
      <c r="H596" s="3" t="s">
        <v>252</v>
      </c>
      <c r="I596" s="3" t="s">
        <v>300</v>
      </c>
      <c r="J596" s="97" t="s">
        <v>3440</v>
      </c>
    </row>
    <row r="597" spans="1:10" ht="28.9" customHeight="1" thickTop="1" thickBot="1" x14ac:dyDescent="0.65">
      <c r="A597" s="5">
        <v>595</v>
      </c>
      <c r="B597" s="46" t="str">
        <f>HYPERLINK("https://search.naver.com/search.naver?query=더 서클 영화", "더 서클")</f>
        <v>더 서클</v>
      </c>
      <c r="C597" s="47">
        <v>6.9</v>
      </c>
      <c r="D597" s="6" t="s">
        <v>786</v>
      </c>
      <c r="E597" s="5" t="s">
        <v>20</v>
      </c>
      <c r="F597" s="5">
        <v>2017</v>
      </c>
      <c r="G597" s="5" t="s">
        <v>12</v>
      </c>
      <c r="H597" s="5" t="s">
        <v>486</v>
      </c>
      <c r="I597" s="5" t="s">
        <v>96</v>
      </c>
      <c r="J597" s="98" t="s">
        <v>3443</v>
      </c>
    </row>
    <row r="598" spans="1:10" ht="28.9" customHeight="1" thickTop="1" thickBot="1" x14ac:dyDescent="0.65">
      <c r="A598" s="3">
        <v>596</v>
      </c>
      <c r="B598" s="44" t="str">
        <f>HYPERLINK("https://search.naver.com/search.naver?query=더 셰프 영화", "더 셰프")</f>
        <v>더 셰프</v>
      </c>
      <c r="C598" s="45">
        <v>7.91</v>
      </c>
      <c r="D598" s="4" t="s">
        <v>713</v>
      </c>
      <c r="E598" s="3" t="s">
        <v>20</v>
      </c>
      <c r="F598" s="3">
        <v>2015</v>
      </c>
      <c r="G598" s="3" t="s">
        <v>12</v>
      </c>
      <c r="H598" s="3" t="s">
        <v>17</v>
      </c>
      <c r="I598" s="3" t="s">
        <v>111</v>
      </c>
      <c r="J598" s="97" t="s">
        <v>3440</v>
      </c>
    </row>
    <row r="599" spans="1:10" ht="28.9" customHeight="1" thickTop="1" thickBot="1" x14ac:dyDescent="0.65">
      <c r="A599" s="5">
        <v>597</v>
      </c>
      <c r="B599" s="46" t="str">
        <f>HYPERLINK("https://search.naver.com/search.naver?query=더 슈퍼 영화", "더 슈퍼")</f>
        <v>더 슈퍼</v>
      </c>
      <c r="C599" s="47"/>
      <c r="D599" s="6" t="s">
        <v>787</v>
      </c>
      <c r="E599" s="5" t="s">
        <v>20</v>
      </c>
      <c r="F599" s="5">
        <v>2017</v>
      </c>
      <c r="G599" s="5" t="s">
        <v>12</v>
      </c>
      <c r="H599" s="5" t="s">
        <v>43</v>
      </c>
      <c r="I599" s="5" t="s">
        <v>115</v>
      </c>
      <c r="J599" s="98" t="s">
        <v>3443</v>
      </c>
    </row>
    <row r="600" spans="1:10" ht="28.9" customHeight="1" thickTop="1" thickBot="1" x14ac:dyDescent="0.65">
      <c r="A600" s="3">
        <v>598</v>
      </c>
      <c r="B600" s="44" t="str">
        <f>HYPERLINK("https://search.naver.com/search.naver?query=더 스워브 영화", "더 스워브")</f>
        <v>더 스워브</v>
      </c>
      <c r="C600" s="45"/>
      <c r="D600" s="4" t="s">
        <v>788</v>
      </c>
      <c r="E600" s="3" t="s">
        <v>20</v>
      </c>
      <c r="F600" s="3">
        <v>2019</v>
      </c>
      <c r="G600" s="3" t="s">
        <v>12</v>
      </c>
      <c r="H600" s="3" t="s">
        <v>17</v>
      </c>
      <c r="I600" s="3" t="s">
        <v>111</v>
      </c>
      <c r="J600" s="97" t="s">
        <v>3444</v>
      </c>
    </row>
    <row r="601" spans="1:10" ht="28.9" customHeight="1" thickTop="1" thickBot="1" x14ac:dyDescent="0.65">
      <c r="A601" s="5">
        <v>599</v>
      </c>
      <c r="B601" s="46" t="str">
        <f>HYPERLINK("https://search.naver.com/search.naver?query=더 스토리:세상에 숨겨진 사랑 영화", "더 스토리 - 세상에 숨겨진 사랑")</f>
        <v>더 스토리 - 세상에 숨겨진 사랑</v>
      </c>
      <c r="C601" s="47">
        <v>8</v>
      </c>
      <c r="D601" s="6" t="s">
        <v>789</v>
      </c>
      <c r="E601" s="5" t="s">
        <v>11</v>
      </c>
      <c r="F601" s="5">
        <v>2012</v>
      </c>
      <c r="G601" s="5" t="s">
        <v>12</v>
      </c>
      <c r="H601" s="5" t="s">
        <v>121</v>
      </c>
      <c r="I601" s="5" t="s">
        <v>99</v>
      </c>
      <c r="J601" s="98" t="s">
        <v>3439</v>
      </c>
    </row>
    <row r="602" spans="1:10" ht="28.9" customHeight="1" thickTop="1" thickBot="1" x14ac:dyDescent="0.65">
      <c r="A602" s="3">
        <v>600</v>
      </c>
      <c r="B602" s="44" t="str">
        <f>HYPERLINK("https://search.naver.com/search.naver?query=더 스톰 영화", "더 스톰")</f>
        <v>더 스톰</v>
      </c>
      <c r="C602" s="45">
        <v>6.4</v>
      </c>
      <c r="D602" s="4" t="s">
        <v>790</v>
      </c>
      <c r="E602" s="3" t="s">
        <v>20</v>
      </c>
      <c r="F602" s="3">
        <v>2009</v>
      </c>
      <c r="G602" s="3" t="s">
        <v>12</v>
      </c>
      <c r="H602" s="3" t="s">
        <v>92</v>
      </c>
      <c r="I602" s="3" t="s">
        <v>14</v>
      </c>
      <c r="J602" s="97" t="s">
        <v>3453</v>
      </c>
    </row>
    <row r="603" spans="1:10" ht="28.9" customHeight="1" thickTop="1" thickBot="1" x14ac:dyDescent="0.65">
      <c r="A603" s="5">
        <v>601</v>
      </c>
      <c r="B603" s="46" t="str">
        <f>HYPERLINK("https://search.naver.com/search.naver?query=더 스파이 영화", "더 스파이")</f>
        <v>더 스파이</v>
      </c>
      <c r="C603" s="47">
        <v>8.5</v>
      </c>
      <c r="D603" s="6" t="s">
        <v>791</v>
      </c>
      <c r="E603" s="5" t="s">
        <v>24</v>
      </c>
      <c r="F603" s="5">
        <v>2020</v>
      </c>
      <c r="G603" s="5" t="s">
        <v>12</v>
      </c>
      <c r="H603" s="5" t="s">
        <v>43</v>
      </c>
      <c r="I603" s="5" t="s">
        <v>278</v>
      </c>
      <c r="J603" s="98" t="s">
        <v>3436</v>
      </c>
    </row>
    <row r="604" spans="1:10" ht="28.9" customHeight="1" thickTop="1" thickBot="1" x14ac:dyDescent="0.65">
      <c r="A604" s="7">
        <v>602</v>
      </c>
      <c r="B604" s="48" t="str">
        <f>HYPERLINK("https://search.naver.com/search.naver?query=더 스플릿 시즌1", "더 스플릿 시즌1")</f>
        <v>더 스플릿 시즌1</v>
      </c>
      <c r="C604" s="49"/>
      <c r="D604" s="8" t="s">
        <v>792</v>
      </c>
      <c r="E604" s="7" t="s">
        <v>24</v>
      </c>
      <c r="F604" s="7">
        <v>2018</v>
      </c>
      <c r="G604" s="7" t="s">
        <v>17</v>
      </c>
      <c r="H604" s="7" t="s">
        <v>17</v>
      </c>
      <c r="I604" s="7" t="s">
        <v>173</v>
      </c>
      <c r="J604" s="99" t="s">
        <v>3442</v>
      </c>
    </row>
    <row r="605" spans="1:10" ht="28.9" customHeight="1" thickTop="1" thickBot="1" x14ac:dyDescent="0.65">
      <c r="A605" s="5">
        <v>603</v>
      </c>
      <c r="B605" s="46" t="str">
        <f>HYPERLINK("https://search.naver.com/search.naver?query=더 시크릿 영화", "더 시크릿")</f>
        <v>더 시크릿</v>
      </c>
      <c r="C605" s="47">
        <v>6.7</v>
      </c>
      <c r="D605" s="6" t="s">
        <v>793</v>
      </c>
      <c r="E605" s="5" t="s">
        <v>20</v>
      </c>
      <c r="F605" s="5">
        <v>2007</v>
      </c>
      <c r="G605" s="5" t="s">
        <v>12</v>
      </c>
      <c r="H605" s="5" t="s">
        <v>160</v>
      </c>
      <c r="I605" s="5" t="s">
        <v>115</v>
      </c>
      <c r="J605" s="98" t="s">
        <v>3447</v>
      </c>
    </row>
    <row r="606" spans="1:10" ht="28.9" customHeight="1" thickTop="1" thickBot="1" x14ac:dyDescent="0.65">
      <c r="A606" s="3">
        <v>604</v>
      </c>
      <c r="B606" s="44" t="str">
        <f>HYPERLINK("https://search.naver.com/search.naver?query=더 시크릿 위 킵 영화", "더 시크릿 위 킵")</f>
        <v>더 시크릿 위 킵</v>
      </c>
      <c r="C606" s="45">
        <v>6.7</v>
      </c>
      <c r="D606" s="4" t="s">
        <v>794</v>
      </c>
      <c r="E606" s="3" t="s">
        <v>20</v>
      </c>
      <c r="F606" s="3">
        <v>2020</v>
      </c>
      <c r="G606" s="3" t="s">
        <v>12</v>
      </c>
      <c r="H606" s="3" t="s">
        <v>17</v>
      </c>
      <c r="I606" s="3" t="s">
        <v>124</v>
      </c>
      <c r="J606" s="97" t="s">
        <v>3436</v>
      </c>
    </row>
    <row r="607" spans="1:10" ht="28.9" customHeight="1" thickTop="1" thickBot="1" x14ac:dyDescent="0.65">
      <c r="A607" s="5">
        <v>605</v>
      </c>
      <c r="B607" s="46" t="str">
        <f>HYPERLINK("https://search.naver.com/search.naver?query=더 시크릿:데어 투 드림 영화", "더 시크릿-데어 투 드림")</f>
        <v>더 시크릿-데어 투 드림</v>
      </c>
      <c r="C607" s="47">
        <v>9.1999999999999993</v>
      </c>
      <c r="D607" s="6" t="s">
        <v>795</v>
      </c>
      <c r="E607" s="5" t="s">
        <v>20</v>
      </c>
      <c r="F607" s="5">
        <v>2020</v>
      </c>
      <c r="G607" s="5" t="s">
        <v>12</v>
      </c>
      <c r="H607" s="5" t="s">
        <v>17</v>
      </c>
      <c r="I607" s="5" t="s">
        <v>170</v>
      </c>
      <c r="J607" s="98" t="s">
        <v>3436</v>
      </c>
    </row>
    <row r="608" spans="1:10" ht="28.9" customHeight="1" thickTop="1" thickBot="1" x14ac:dyDescent="0.65">
      <c r="A608" s="3">
        <v>606</v>
      </c>
      <c r="B608" s="44" t="str">
        <f>HYPERLINK("https://search.naver.com/search.naver?query=더 썬 영화", "더 썬")</f>
        <v>더 썬</v>
      </c>
      <c r="C608" s="45">
        <v>6.69</v>
      </c>
      <c r="D608" s="4" t="s">
        <v>796</v>
      </c>
      <c r="E608" s="3" t="s">
        <v>24</v>
      </c>
      <c r="F608" s="3">
        <v>2023</v>
      </c>
      <c r="G608" s="3" t="s">
        <v>12</v>
      </c>
      <c r="H608" s="3" t="s">
        <v>17</v>
      </c>
      <c r="I608" s="3" t="s">
        <v>58</v>
      </c>
      <c r="J608" s="97" t="s">
        <v>3446</v>
      </c>
    </row>
    <row r="609" spans="1:10" ht="28.9" customHeight="1" thickTop="1" thickBot="1" x14ac:dyDescent="0.65">
      <c r="A609" s="5">
        <v>607</v>
      </c>
      <c r="B609" s="46" t="str">
        <f>HYPERLINK("https://search.naver.com/search.naver?query=더 아웃포스트 영화", "더 아웃포스트")</f>
        <v>더 아웃포스트</v>
      </c>
      <c r="C609" s="47">
        <v>3</v>
      </c>
      <c r="D609" s="6" t="s">
        <v>797</v>
      </c>
      <c r="E609" s="5" t="s">
        <v>20</v>
      </c>
      <c r="F609" s="5">
        <v>2020</v>
      </c>
      <c r="G609" s="5" t="s">
        <v>12</v>
      </c>
      <c r="H609" s="5" t="s">
        <v>721</v>
      </c>
      <c r="I609" s="5" t="s">
        <v>58</v>
      </c>
      <c r="J609" s="98" t="s">
        <v>3436</v>
      </c>
    </row>
    <row r="610" spans="1:10" ht="28.9" customHeight="1" thickTop="1" thickBot="1" x14ac:dyDescent="0.65">
      <c r="A610" s="3">
        <v>608</v>
      </c>
      <c r="B610" s="44" t="str">
        <f>HYPERLINK("https://search.naver.com/search.naver?query=더 언홀리 영화", "더 언홀리")</f>
        <v>더 언홀리</v>
      </c>
      <c r="C610" s="45">
        <v>4</v>
      </c>
      <c r="D610" s="4" t="s">
        <v>798</v>
      </c>
      <c r="E610" s="3" t="s">
        <v>20</v>
      </c>
      <c r="F610" s="3">
        <v>2021</v>
      </c>
      <c r="G610" s="3" t="s">
        <v>12</v>
      </c>
      <c r="H610" s="3" t="s">
        <v>252</v>
      </c>
      <c r="I610" s="3" t="s">
        <v>81</v>
      </c>
      <c r="J610" s="97" t="s">
        <v>3438</v>
      </c>
    </row>
    <row r="611" spans="1:10" ht="28.9" customHeight="1" thickTop="1" thickBot="1" x14ac:dyDescent="0.65">
      <c r="A611" s="5">
        <v>609</v>
      </c>
      <c r="B611" s="46" t="str">
        <f>HYPERLINK("https://search.naver.com/search.naver?query=더 와이프 영화", "더 와이프")</f>
        <v>더 와이프</v>
      </c>
      <c r="C611" s="47">
        <v>8.59</v>
      </c>
      <c r="D611" s="6" t="s">
        <v>799</v>
      </c>
      <c r="E611" s="5" t="s">
        <v>611</v>
      </c>
      <c r="F611" s="5">
        <v>2017</v>
      </c>
      <c r="G611" s="5" t="s">
        <v>12</v>
      </c>
      <c r="H611" s="5" t="s">
        <v>17</v>
      </c>
      <c r="I611" s="5" t="s">
        <v>131</v>
      </c>
      <c r="J611" s="98" t="s">
        <v>3443</v>
      </c>
    </row>
    <row r="612" spans="1:10" ht="28.9" customHeight="1" thickTop="1" thickBot="1" x14ac:dyDescent="0.65">
      <c r="A612" s="3">
        <v>610</v>
      </c>
      <c r="B612" s="44" t="str">
        <f>HYPERLINK("https://search.naver.com/search.naver?query=더 울프 오브 월 스트리트 영화", "더 울프 오브 월 스트리트")</f>
        <v>더 울프 오브 월 스트리트</v>
      </c>
      <c r="C612" s="45">
        <v>8.1</v>
      </c>
      <c r="D612" s="4" t="s">
        <v>800</v>
      </c>
      <c r="E612" s="3" t="s">
        <v>20</v>
      </c>
      <c r="F612" s="3">
        <v>2013</v>
      </c>
      <c r="G612" s="3" t="s">
        <v>12</v>
      </c>
      <c r="H612" s="3" t="s">
        <v>17</v>
      </c>
      <c r="I612" s="3" t="s">
        <v>801</v>
      </c>
      <c r="J612" s="97" t="s">
        <v>3451</v>
      </c>
    </row>
    <row r="613" spans="1:10" ht="28.9" customHeight="1" thickTop="1" thickBot="1" x14ac:dyDescent="0.65">
      <c r="A613" s="5">
        <v>611</v>
      </c>
      <c r="B613" s="46" t="str">
        <f>HYPERLINK("https://search.naver.com/search.naver?query=더 웨딩 링거 영화", "더 웨딩 링거")</f>
        <v>더 웨딩 링거</v>
      </c>
      <c r="C613" s="47">
        <v>6.4</v>
      </c>
      <c r="D613" s="6" t="s">
        <v>802</v>
      </c>
      <c r="E613" s="5" t="s">
        <v>20</v>
      </c>
      <c r="F613" s="5">
        <v>2015</v>
      </c>
      <c r="G613" s="5" t="s">
        <v>12</v>
      </c>
      <c r="H613" s="5" t="s">
        <v>68</v>
      </c>
      <c r="I613" s="5" t="s">
        <v>70</v>
      </c>
      <c r="J613" s="98" t="s">
        <v>3440</v>
      </c>
    </row>
    <row r="614" spans="1:10" ht="28.9" customHeight="1" thickTop="1" thickBot="1" x14ac:dyDescent="0.65">
      <c r="A614" s="3">
        <v>612</v>
      </c>
      <c r="B614" s="44" t="str">
        <f>HYPERLINK("https://search.naver.com/search.naver?query=더 웨이 백 영화", "더 웨이 백")</f>
        <v>더 웨이 백</v>
      </c>
      <c r="C614" s="45">
        <v>8.27</v>
      </c>
      <c r="D614" s="4" t="s">
        <v>803</v>
      </c>
      <c r="E614" s="3" t="s">
        <v>20</v>
      </c>
      <c r="F614" s="3">
        <v>2020</v>
      </c>
      <c r="G614" s="3" t="s">
        <v>12</v>
      </c>
      <c r="H614" s="3" t="s">
        <v>17</v>
      </c>
      <c r="I614" s="3" t="s">
        <v>31</v>
      </c>
      <c r="J614" s="97" t="s">
        <v>3436</v>
      </c>
    </row>
    <row r="615" spans="1:10" ht="28.9" customHeight="1" thickTop="1" thickBot="1" x14ac:dyDescent="0.65">
      <c r="A615" s="5">
        <v>613</v>
      </c>
      <c r="B615" s="46" t="str">
        <f>HYPERLINK("https://search.naver.com/search.naver?query=더 웨이, 웨이 백 영화", "더 웨이, 웨이 백")</f>
        <v>더 웨이, 웨이 백</v>
      </c>
      <c r="C615" s="47">
        <v>9.67</v>
      </c>
      <c r="D615" s="6" t="s">
        <v>804</v>
      </c>
      <c r="E615" s="5" t="s">
        <v>20</v>
      </c>
      <c r="F615" s="5">
        <v>2013</v>
      </c>
      <c r="G615" s="5" t="s">
        <v>12</v>
      </c>
      <c r="H615" s="5" t="s">
        <v>68</v>
      </c>
      <c r="I615" s="5" t="s">
        <v>190</v>
      </c>
      <c r="J615" s="98" t="s">
        <v>3451</v>
      </c>
    </row>
    <row r="616" spans="1:10" ht="28.9" customHeight="1" thickTop="1" thickBot="1" x14ac:dyDescent="0.65">
      <c r="A616" s="3">
        <v>614</v>
      </c>
      <c r="B616" s="44" t="str">
        <f>HYPERLINK("https://search.naver.com/search.naver?query=더 웨이브 영화", "더 웨이브")</f>
        <v>더 웨이브</v>
      </c>
      <c r="C616" s="45">
        <v>7.7</v>
      </c>
      <c r="D616" s="4" t="s">
        <v>805</v>
      </c>
      <c r="E616" s="3" t="s">
        <v>39</v>
      </c>
      <c r="F616" s="3">
        <v>2015</v>
      </c>
      <c r="G616" s="3" t="s">
        <v>12</v>
      </c>
      <c r="H616" s="3" t="s">
        <v>726</v>
      </c>
      <c r="I616" s="3" t="s">
        <v>128</v>
      </c>
      <c r="J616" s="97" t="s">
        <v>3440</v>
      </c>
    </row>
    <row r="617" spans="1:10" ht="28.9" customHeight="1" thickTop="1" thickBot="1" x14ac:dyDescent="0.65">
      <c r="A617" s="5">
        <v>615</v>
      </c>
      <c r="B617" s="46" t="str">
        <f>HYPERLINK("https://search.naver.com/search.naver?query=더 유니온 영화", "더 유니온")</f>
        <v>더 유니온</v>
      </c>
      <c r="C617" s="47">
        <v>4.47</v>
      </c>
      <c r="D617" s="6" t="s">
        <v>806</v>
      </c>
      <c r="E617" s="5" t="s">
        <v>20</v>
      </c>
      <c r="F617" s="5">
        <v>2024</v>
      </c>
      <c r="G617" s="5" t="s">
        <v>12</v>
      </c>
      <c r="H617" s="5" t="s">
        <v>92</v>
      </c>
      <c r="I617" s="5" t="s">
        <v>75</v>
      </c>
      <c r="J617" s="98" t="s">
        <v>3448</v>
      </c>
    </row>
    <row r="618" spans="1:10" ht="28.9" customHeight="1" thickTop="1" thickBot="1" x14ac:dyDescent="0.65">
      <c r="A618" s="3">
        <v>616</v>
      </c>
      <c r="B618" s="44" t="str">
        <f>HYPERLINK("https://search.naver.com/search.naver?query=더 이퀄라이저 영화", "더 이퀄라이저")</f>
        <v>더 이퀄라이저</v>
      </c>
      <c r="C618" s="45">
        <v>8.1300000000000008</v>
      </c>
      <c r="D618" s="4" t="s">
        <v>807</v>
      </c>
      <c r="E618" s="3" t="s">
        <v>20</v>
      </c>
      <c r="F618" s="3">
        <v>2014</v>
      </c>
      <c r="G618" s="3" t="s">
        <v>12</v>
      </c>
      <c r="H618" s="3" t="s">
        <v>92</v>
      </c>
      <c r="I618" s="3" t="s">
        <v>350</v>
      </c>
      <c r="J618" s="97" t="s">
        <v>3437</v>
      </c>
    </row>
    <row r="619" spans="1:10" ht="28.9" customHeight="1" thickTop="1" thickBot="1" x14ac:dyDescent="0.65">
      <c r="A619" s="5">
        <v>617</v>
      </c>
      <c r="B619" s="46" t="str">
        <f>HYPERLINK("https://search.naver.com/search.naver?query=더 이퀄라이저 2 영화", "더 이퀄라이저 2")</f>
        <v>더 이퀄라이저 2</v>
      </c>
      <c r="C619" s="47">
        <v>8.74</v>
      </c>
      <c r="D619" s="6" t="s">
        <v>808</v>
      </c>
      <c r="E619" s="5" t="s">
        <v>20</v>
      </c>
      <c r="F619" s="5">
        <v>2018</v>
      </c>
      <c r="G619" s="5" t="s">
        <v>12</v>
      </c>
      <c r="H619" s="5" t="s">
        <v>92</v>
      </c>
      <c r="I619" s="5" t="s">
        <v>142</v>
      </c>
      <c r="J619" s="98" t="s">
        <v>3442</v>
      </c>
    </row>
    <row r="620" spans="1:10" ht="28.9" customHeight="1" thickTop="1" thickBot="1" x14ac:dyDescent="0.65">
      <c r="A620" s="3">
        <v>618</v>
      </c>
      <c r="B620" s="44" t="str">
        <f>HYPERLINK("https://search.naver.com/search.naver?query=더 이퀄라이저 3 영화", "더 이퀄라이저 3")</f>
        <v>더 이퀄라이저 3</v>
      </c>
      <c r="C620" s="45">
        <v>6.4</v>
      </c>
      <c r="D620" s="4" t="s">
        <v>809</v>
      </c>
      <c r="E620" s="3" t="s">
        <v>20</v>
      </c>
      <c r="F620" s="3">
        <v>2023</v>
      </c>
      <c r="G620" s="3" t="s">
        <v>12</v>
      </c>
      <c r="H620" s="3" t="s">
        <v>92</v>
      </c>
      <c r="I620" s="3" t="s">
        <v>190</v>
      </c>
      <c r="J620" s="97" t="s">
        <v>3446</v>
      </c>
    </row>
    <row r="621" spans="1:10" ht="28.9" customHeight="1" thickTop="1" thickBot="1" x14ac:dyDescent="0.65">
      <c r="A621" s="5">
        <v>619</v>
      </c>
      <c r="B621" s="46" t="str">
        <f>HYPERLINK("https://search.naver.com/search.naver?query=더 익스프레스 영화", "더 익스프레스")</f>
        <v>더 익스프레스</v>
      </c>
      <c r="C621" s="47">
        <v>6.4</v>
      </c>
      <c r="D621" s="6" t="s">
        <v>810</v>
      </c>
      <c r="E621" s="5" t="s">
        <v>20</v>
      </c>
      <c r="F621" s="5">
        <v>2008</v>
      </c>
      <c r="G621" s="5" t="s">
        <v>12</v>
      </c>
      <c r="H621" s="5" t="s">
        <v>17</v>
      </c>
      <c r="I621" s="5" t="s">
        <v>64</v>
      </c>
      <c r="J621" s="98" t="s">
        <v>3450</v>
      </c>
    </row>
    <row r="622" spans="1:10" ht="28.9" customHeight="1" thickTop="1" thickBot="1" x14ac:dyDescent="0.65">
      <c r="A622" s="3">
        <v>620</v>
      </c>
      <c r="B622" s="44" t="str">
        <f>HYPERLINK("https://search.naver.com/search.naver?query=더 임파서블 영화", "더 임파서블")</f>
        <v>더 임파서블</v>
      </c>
      <c r="C622" s="45">
        <v>8.2200000000000006</v>
      </c>
      <c r="D622" s="4" t="s">
        <v>811</v>
      </c>
      <c r="E622" s="3" t="s">
        <v>30</v>
      </c>
      <c r="F622" s="3">
        <v>2012</v>
      </c>
      <c r="G622" s="3" t="s">
        <v>12</v>
      </c>
      <c r="H622" s="3" t="s">
        <v>17</v>
      </c>
      <c r="I622" s="3" t="s">
        <v>73</v>
      </c>
      <c r="J622" s="97" t="s">
        <v>3439</v>
      </c>
    </row>
    <row r="623" spans="1:10" ht="28.9" customHeight="1" thickTop="1" thickBot="1" x14ac:dyDescent="0.65">
      <c r="A623" s="5">
        <v>621</v>
      </c>
      <c r="B623" s="46" t="str">
        <f>HYPERLINK("https://search.naver.com/search.naver?query=더 저지 영화", "더 저지")</f>
        <v>더 저지</v>
      </c>
      <c r="C623" s="47">
        <v>9.09</v>
      </c>
      <c r="D623" s="6" t="s">
        <v>812</v>
      </c>
      <c r="E623" s="5" t="s">
        <v>20</v>
      </c>
      <c r="F623" s="5">
        <v>2014</v>
      </c>
      <c r="G623" s="5" t="s">
        <v>12</v>
      </c>
      <c r="H623" s="5" t="s">
        <v>17</v>
      </c>
      <c r="I623" s="5" t="s">
        <v>455</v>
      </c>
      <c r="J623" s="98" t="s">
        <v>3437</v>
      </c>
    </row>
    <row r="624" spans="1:10" ht="28.9" customHeight="1" thickTop="1" thickBot="1" x14ac:dyDescent="0.65">
      <c r="A624" s="3">
        <v>622</v>
      </c>
      <c r="B624" s="44" t="str">
        <f>HYPERLINK("https://search.naver.com/search.naver?query=더 카드 카운터 영화", "더 카드 카운터")</f>
        <v>더 카드 카운터</v>
      </c>
      <c r="C624" s="45">
        <v>6.4</v>
      </c>
      <c r="D624" s="4" t="s">
        <v>813</v>
      </c>
      <c r="E624" s="3" t="s">
        <v>20</v>
      </c>
      <c r="F624" s="3">
        <v>2021</v>
      </c>
      <c r="G624" s="3" t="s">
        <v>12</v>
      </c>
      <c r="H624" s="3" t="s">
        <v>17</v>
      </c>
      <c r="I624" s="3" t="s">
        <v>102</v>
      </c>
      <c r="J624" s="97" t="s">
        <v>3438</v>
      </c>
    </row>
    <row r="625" spans="1:10" ht="28.9" customHeight="1" thickTop="1" thickBot="1" x14ac:dyDescent="0.65">
      <c r="A625" s="5">
        <v>623</v>
      </c>
      <c r="B625" s="46" t="str">
        <f>HYPERLINK("https://search.naver.com/search.naver?query=더 캐니언 영화", "더 캐니언")</f>
        <v>더 캐니언</v>
      </c>
      <c r="C625" s="47">
        <v>8.76</v>
      </c>
      <c r="D625" s="6" t="s">
        <v>814</v>
      </c>
      <c r="E625" s="5" t="s">
        <v>20</v>
      </c>
      <c r="F625" s="5">
        <v>2025</v>
      </c>
      <c r="G625" s="5" t="s">
        <v>12</v>
      </c>
      <c r="H625" s="5" t="s">
        <v>92</v>
      </c>
      <c r="I625" s="5" t="s">
        <v>86</v>
      </c>
      <c r="J625" s="98" t="s">
        <v>3459</v>
      </c>
    </row>
    <row r="626" spans="1:10" ht="28.9" customHeight="1" thickTop="1" thickBot="1" x14ac:dyDescent="0.65">
      <c r="A626" s="7">
        <v>624</v>
      </c>
      <c r="B626" s="48" t="str">
        <f>HYPERLINK("https://search.naver.com/search.naver?query=더 캡처 드라마", "더 캡처 시즌1")</f>
        <v>더 캡처 시즌1</v>
      </c>
      <c r="C626" s="49"/>
      <c r="D626" s="8" t="s">
        <v>815</v>
      </c>
      <c r="E626" s="7" t="s">
        <v>24</v>
      </c>
      <c r="F626" s="7">
        <v>2019</v>
      </c>
      <c r="G626" s="7" t="s">
        <v>17</v>
      </c>
      <c r="H626" s="7" t="s">
        <v>13</v>
      </c>
      <c r="I626" s="7" t="s">
        <v>173</v>
      </c>
      <c r="J626" s="99" t="s">
        <v>3444</v>
      </c>
    </row>
    <row r="627" spans="1:10" ht="28.9" customHeight="1" thickTop="1" thickBot="1" x14ac:dyDescent="0.65">
      <c r="A627" s="7">
        <v>625</v>
      </c>
      <c r="B627" s="48" t="str">
        <f>HYPERLINK("https://search.naver.com/search.naver?query=더 캡처 시즌2", "더 캡처 시즌2")</f>
        <v>더 캡처 시즌2</v>
      </c>
      <c r="C627" s="49"/>
      <c r="D627" s="8" t="s">
        <v>815</v>
      </c>
      <c r="E627" s="7" t="s">
        <v>24</v>
      </c>
      <c r="F627" s="7">
        <v>2022</v>
      </c>
      <c r="G627" s="7" t="s">
        <v>17</v>
      </c>
      <c r="H627" s="7" t="s">
        <v>13</v>
      </c>
      <c r="I627" s="7" t="s">
        <v>173</v>
      </c>
      <c r="J627" s="99" t="s">
        <v>3445</v>
      </c>
    </row>
    <row r="628" spans="1:10" ht="28.9" customHeight="1" thickTop="1" thickBot="1" x14ac:dyDescent="0.65">
      <c r="A628" s="3">
        <v>626</v>
      </c>
      <c r="B628" s="44" t="str">
        <f>HYPERLINK("https://search.naver.com/search.naver?query=더 캡틴 영화", "더 캡틴")</f>
        <v>더 캡틴</v>
      </c>
      <c r="C628" s="45">
        <v>8.2200000000000006</v>
      </c>
      <c r="D628" s="4" t="s">
        <v>816</v>
      </c>
      <c r="E628" s="3" t="s">
        <v>101</v>
      </c>
      <c r="F628" s="3">
        <v>2017</v>
      </c>
      <c r="G628" s="3" t="s">
        <v>12</v>
      </c>
      <c r="H628" s="3" t="s">
        <v>17</v>
      </c>
      <c r="I628" s="3" t="s">
        <v>221</v>
      </c>
      <c r="J628" s="97" t="s">
        <v>3443</v>
      </c>
    </row>
    <row r="629" spans="1:10" ht="28.9" customHeight="1" thickTop="1" thickBot="1" x14ac:dyDescent="0.65">
      <c r="A629" s="5">
        <v>627</v>
      </c>
      <c r="B629" s="46" t="str">
        <f>HYPERLINK("https://search.naver.com/search.naver?query=더 커리어 영화", "더 커리어")</f>
        <v>더 커리어</v>
      </c>
      <c r="C629" s="47">
        <v>4.9000000000000004</v>
      </c>
      <c r="D629" s="6" t="s">
        <v>817</v>
      </c>
      <c r="E629" s="5" t="s">
        <v>20</v>
      </c>
      <c r="F629" s="5">
        <v>2019</v>
      </c>
      <c r="G629" s="5" t="s">
        <v>12</v>
      </c>
      <c r="H629" s="5" t="s">
        <v>68</v>
      </c>
      <c r="I629" s="5" t="s">
        <v>111</v>
      </c>
      <c r="J629" s="98" t="s">
        <v>3444</v>
      </c>
    </row>
    <row r="630" spans="1:10" ht="28.9" customHeight="1" thickTop="1" thickBot="1" x14ac:dyDescent="0.65">
      <c r="A630" s="3">
        <v>628</v>
      </c>
      <c r="B630" s="44" t="str">
        <f>HYPERLINK("https://search.naver.com/search.naver?query=더 커버넌트 영화", "더 커버넌트")</f>
        <v>더 커버넌트</v>
      </c>
      <c r="C630" s="45">
        <v>8.64</v>
      </c>
      <c r="D630" s="4" t="s">
        <v>818</v>
      </c>
      <c r="E630" s="3" t="s">
        <v>24</v>
      </c>
      <c r="F630" s="3">
        <v>2023</v>
      </c>
      <c r="G630" s="3" t="s">
        <v>12</v>
      </c>
      <c r="H630" s="3" t="s">
        <v>92</v>
      </c>
      <c r="I630" s="3" t="s">
        <v>58</v>
      </c>
      <c r="J630" s="97" t="s">
        <v>3446</v>
      </c>
    </row>
    <row r="631" spans="1:10" ht="28.9" customHeight="1" thickTop="1" thickBot="1" x14ac:dyDescent="0.65">
      <c r="A631" s="5">
        <v>629</v>
      </c>
      <c r="B631" s="46" t="str">
        <f>HYPERLINK("https://search.naver.com/search.naver?query=더 컨트랙터 영화", "더 컨트랙터")</f>
        <v>더 컨트랙터</v>
      </c>
      <c r="C631" s="47">
        <v>7.05</v>
      </c>
      <c r="D631" s="6" t="s">
        <v>819</v>
      </c>
      <c r="E631" s="5" t="s">
        <v>20</v>
      </c>
      <c r="F631" s="5">
        <v>2022</v>
      </c>
      <c r="G631" s="5" t="s">
        <v>12</v>
      </c>
      <c r="H631" s="5" t="s">
        <v>92</v>
      </c>
      <c r="I631" s="5" t="s">
        <v>190</v>
      </c>
      <c r="J631" s="98" t="s">
        <v>3445</v>
      </c>
    </row>
    <row r="632" spans="1:10" ht="28.9" customHeight="1" thickTop="1" thickBot="1" x14ac:dyDescent="0.65">
      <c r="A632" s="3">
        <v>630</v>
      </c>
      <c r="B632" s="44" t="str">
        <f>HYPERLINK("https://search.naver.com/search.naver?query=더 컴퍼니 맨 영화", "더 컴퍼니 맨")</f>
        <v>더 컴퍼니 맨</v>
      </c>
      <c r="C632" s="45">
        <v>8.4</v>
      </c>
      <c r="D632" s="4" t="s">
        <v>820</v>
      </c>
      <c r="E632" s="3" t="s">
        <v>20</v>
      </c>
      <c r="F632" s="3">
        <v>2010</v>
      </c>
      <c r="G632" s="3" t="s">
        <v>12</v>
      </c>
      <c r="H632" s="3" t="s">
        <v>17</v>
      </c>
      <c r="I632" s="3" t="s">
        <v>170</v>
      </c>
      <c r="J632" s="97" t="s">
        <v>3455</v>
      </c>
    </row>
    <row r="633" spans="1:10" ht="28.9" customHeight="1" thickTop="1" thickBot="1" x14ac:dyDescent="0.65">
      <c r="A633" s="5">
        <v>631</v>
      </c>
      <c r="B633" s="46" t="str">
        <f>HYPERLINK("https://search.naver.com/search.naver?query=더 콘서트 영화", "더 콘서트")</f>
        <v>더 콘서트</v>
      </c>
      <c r="C633" s="47">
        <v>8.51</v>
      </c>
      <c r="D633" s="6" t="s">
        <v>821</v>
      </c>
      <c r="E633" s="5" t="s">
        <v>210</v>
      </c>
      <c r="F633" s="5">
        <v>2009</v>
      </c>
      <c r="G633" s="5" t="s">
        <v>12</v>
      </c>
      <c r="H633" s="5" t="s">
        <v>17</v>
      </c>
      <c r="I633" s="5" t="s">
        <v>53</v>
      </c>
      <c r="J633" s="98" t="s">
        <v>3453</v>
      </c>
    </row>
    <row r="634" spans="1:10" ht="28.9" customHeight="1" thickTop="1" thickBot="1" x14ac:dyDescent="0.65">
      <c r="A634" s="3">
        <v>632</v>
      </c>
      <c r="B634" s="44" t="str">
        <f>HYPERLINK("https://search.naver.com/search.naver?query=더 콜 영화", "더 콜")</f>
        <v>더 콜</v>
      </c>
      <c r="C634" s="45">
        <v>8.32</v>
      </c>
      <c r="D634" s="4" t="s">
        <v>822</v>
      </c>
      <c r="E634" s="3" t="s">
        <v>20</v>
      </c>
      <c r="F634" s="3">
        <v>2013</v>
      </c>
      <c r="G634" s="3" t="s">
        <v>12</v>
      </c>
      <c r="H634" s="3" t="s">
        <v>43</v>
      </c>
      <c r="I634" s="3" t="s">
        <v>300</v>
      </c>
      <c r="J634" s="97" t="s">
        <v>3451</v>
      </c>
    </row>
    <row r="635" spans="1:10" ht="28.9" customHeight="1" thickTop="1" thickBot="1" x14ac:dyDescent="0.65">
      <c r="A635" s="5">
        <v>633</v>
      </c>
      <c r="B635" s="46" t="str">
        <f>HYPERLINK("https://search.naver.com/search.naver?query=더 콜 오브 더 와일드 영화", "더 콜 오브 더 와일드")</f>
        <v>더 콜 오브 더 와일드</v>
      </c>
      <c r="C635" s="47">
        <v>8.6999999999999993</v>
      </c>
      <c r="D635" s="6" t="s">
        <v>823</v>
      </c>
      <c r="E635" s="5" t="s">
        <v>20</v>
      </c>
      <c r="F635" s="5">
        <v>2020</v>
      </c>
      <c r="G635" s="5" t="s">
        <v>12</v>
      </c>
      <c r="H635" s="5" t="s">
        <v>824</v>
      </c>
      <c r="I635" s="5" t="s">
        <v>131</v>
      </c>
      <c r="J635" s="98" t="s">
        <v>3436</v>
      </c>
    </row>
    <row r="636" spans="1:10" ht="28.9" customHeight="1" thickTop="1" thickBot="1" x14ac:dyDescent="0.65">
      <c r="A636" s="3">
        <v>634</v>
      </c>
      <c r="B636" s="44" t="str">
        <f>HYPERLINK("https://search.naver.com/search.naver?query=더 콜링 영화", "더 콜링")</f>
        <v>더 콜링</v>
      </c>
      <c r="C636" s="45"/>
      <c r="D636" s="4" t="s">
        <v>825</v>
      </c>
      <c r="E636" s="3" t="s">
        <v>189</v>
      </c>
      <c r="F636" s="3">
        <v>2014</v>
      </c>
      <c r="G636" s="3" t="s">
        <v>12</v>
      </c>
      <c r="H636" s="3" t="s">
        <v>43</v>
      </c>
      <c r="I636" s="3" t="s">
        <v>99</v>
      </c>
      <c r="J636" s="97" t="s">
        <v>3437</v>
      </c>
    </row>
    <row r="637" spans="1:10" ht="28.9" customHeight="1" thickTop="1" thickBot="1" x14ac:dyDescent="0.65">
      <c r="A637" s="5">
        <v>635</v>
      </c>
      <c r="B637" s="46" t="str">
        <f>HYPERLINK("https://search.naver.com/search.naver?query=더 퀘에이크 영화", "더 퀘에이크")</f>
        <v>더 퀘에이크</v>
      </c>
      <c r="C637" s="47">
        <v>6.8</v>
      </c>
      <c r="D637" s="6" t="s">
        <v>826</v>
      </c>
      <c r="E637" s="5" t="s">
        <v>39</v>
      </c>
      <c r="F637" s="5">
        <v>2018</v>
      </c>
      <c r="G637" s="5" t="s">
        <v>12</v>
      </c>
      <c r="H637" s="5" t="s">
        <v>726</v>
      </c>
      <c r="I637" s="5" t="s">
        <v>286</v>
      </c>
      <c r="J637" s="98" t="s">
        <v>3442</v>
      </c>
    </row>
    <row r="638" spans="1:10" ht="28.9" customHeight="1" thickTop="1" thickBot="1" x14ac:dyDescent="0.65">
      <c r="A638" s="3">
        <v>636</v>
      </c>
      <c r="B638" s="44" t="str">
        <f>HYPERLINK("https://search.naver.com/search.naver?query=더 퀸 영화", "더 퀸")</f>
        <v>더 퀸</v>
      </c>
      <c r="C638" s="45">
        <v>7.77</v>
      </c>
      <c r="D638" s="4" t="s">
        <v>827</v>
      </c>
      <c r="E638" s="3" t="s">
        <v>24</v>
      </c>
      <c r="F638" s="3">
        <v>2006</v>
      </c>
      <c r="G638" s="3" t="s">
        <v>12</v>
      </c>
      <c r="H638" s="3" t="s">
        <v>17</v>
      </c>
      <c r="I638" s="3" t="s">
        <v>190</v>
      </c>
      <c r="J638" s="97" t="s">
        <v>3460</v>
      </c>
    </row>
    <row r="639" spans="1:10" ht="28.9" customHeight="1" thickTop="1" thickBot="1" x14ac:dyDescent="0.65">
      <c r="A639" s="7">
        <v>637</v>
      </c>
      <c r="B639" s="48" t="str">
        <f>HYPERLINK("https://search.naver.com/search.naver?query=더 크라운 시즌1", "더 크라운 시즌1")</f>
        <v>더 크라운 시즌1</v>
      </c>
      <c r="C639" s="49"/>
      <c r="D639" s="8" t="s">
        <v>828</v>
      </c>
      <c r="E639" s="7" t="s">
        <v>24</v>
      </c>
      <c r="F639" s="7">
        <v>2016</v>
      </c>
      <c r="G639" s="7" t="s">
        <v>17</v>
      </c>
      <c r="H639" s="7" t="s">
        <v>17</v>
      </c>
      <c r="I639" s="7" t="s">
        <v>50</v>
      </c>
      <c r="J639" s="99" t="s">
        <v>3441</v>
      </c>
    </row>
    <row r="640" spans="1:10" ht="28.9" customHeight="1" thickTop="1" thickBot="1" x14ac:dyDescent="0.65">
      <c r="A640" s="7">
        <v>638</v>
      </c>
      <c r="B640" s="48" t="str">
        <f>HYPERLINK("https://search.naver.com/search.naver?query=더 크라운 시즌2", "더 크라운 시즌2")</f>
        <v>더 크라운 시즌2</v>
      </c>
      <c r="C640" s="49"/>
      <c r="D640" s="8" t="s">
        <v>828</v>
      </c>
      <c r="E640" s="7" t="s">
        <v>24</v>
      </c>
      <c r="F640" s="7">
        <v>2017</v>
      </c>
      <c r="G640" s="7" t="s">
        <v>17</v>
      </c>
      <c r="H640" s="7" t="s">
        <v>17</v>
      </c>
      <c r="I640" s="7" t="s">
        <v>50</v>
      </c>
      <c r="J640" s="99" t="s">
        <v>3443</v>
      </c>
    </row>
    <row r="641" spans="1:10" ht="28.9" customHeight="1" thickTop="1" thickBot="1" x14ac:dyDescent="0.65">
      <c r="A641" s="7">
        <v>639</v>
      </c>
      <c r="B641" s="48" t="str">
        <f>HYPERLINK("https://search.naver.com/search.naver?query=더 크라운 시즌3", "더 크라운 시즌3")</f>
        <v>더 크라운 시즌3</v>
      </c>
      <c r="C641" s="49"/>
      <c r="D641" s="8" t="s">
        <v>829</v>
      </c>
      <c r="E641" s="7" t="s">
        <v>24</v>
      </c>
      <c r="F641" s="7">
        <v>2019</v>
      </c>
      <c r="G641" s="7" t="s">
        <v>17</v>
      </c>
      <c r="H641" s="7" t="s">
        <v>17</v>
      </c>
      <c r="I641" s="7" t="s">
        <v>50</v>
      </c>
      <c r="J641" s="99" t="s">
        <v>3444</v>
      </c>
    </row>
    <row r="642" spans="1:10" ht="28.9" customHeight="1" thickTop="1" thickBot="1" x14ac:dyDescent="0.65">
      <c r="A642" s="7">
        <v>640</v>
      </c>
      <c r="B642" s="48" t="str">
        <f>HYPERLINK("https://search.naver.com/search.naver?query=더 크라운 시즌4", "더 크라운 시즌4")</f>
        <v>더 크라운 시즌4</v>
      </c>
      <c r="C642" s="49"/>
      <c r="D642" s="8"/>
      <c r="E642" s="7" t="s">
        <v>24</v>
      </c>
      <c r="F642" s="7">
        <v>2020</v>
      </c>
      <c r="G642" s="7" t="s">
        <v>17</v>
      </c>
      <c r="H642" s="7" t="s">
        <v>17</v>
      </c>
      <c r="I642" s="7" t="s">
        <v>50</v>
      </c>
      <c r="J642" s="99" t="s">
        <v>3436</v>
      </c>
    </row>
    <row r="643" spans="1:10" ht="28.9" customHeight="1" thickTop="1" thickBot="1" x14ac:dyDescent="0.65">
      <c r="A643" s="7">
        <v>641</v>
      </c>
      <c r="B643" s="48" t="str">
        <f>HYPERLINK("https://search.naver.com/search.naver?query=더 크라운 시즌5", "더 크라운 시즌5")</f>
        <v>더 크라운 시즌5</v>
      </c>
      <c r="C643" s="49"/>
      <c r="D643" s="8"/>
      <c r="E643" s="7" t="s">
        <v>24</v>
      </c>
      <c r="F643" s="7">
        <v>2022</v>
      </c>
      <c r="G643" s="7" t="s">
        <v>17</v>
      </c>
      <c r="H643" s="7" t="s">
        <v>17</v>
      </c>
      <c r="I643" s="7" t="s">
        <v>50</v>
      </c>
      <c r="J643" s="99" t="s">
        <v>3445</v>
      </c>
    </row>
    <row r="644" spans="1:10" ht="28.9" customHeight="1" thickTop="1" thickBot="1" x14ac:dyDescent="0.65">
      <c r="A644" s="7">
        <v>642</v>
      </c>
      <c r="B644" s="48" t="str">
        <f>HYPERLINK("https://search.naver.com/search.naver?query=더 크라운 시즌6 파트1", "더 크라운 시즌6 파트1")</f>
        <v>더 크라운 시즌6 파트1</v>
      </c>
      <c r="C644" s="49"/>
      <c r="D644" s="8"/>
      <c r="E644" s="7" t="s">
        <v>24</v>
      </c>
      <c r="F644" s="7">
        <v>2023</v>
      </c>
      <c r="G644" s="7" t="s">
        <v>17</v>
      </c>
      <c r="H644" s="7" t="s">
        <v>17</v>
      </c>
      <c r="I644" s="7" t="s">
        <v>830</v>
      </c>
      <c r="J644" s="99" t="s">
        <v>3446</v>
      </c>
    </row>
    <row r="645" spans="1:10" ht="28.9" customHeight="1" thickTop="1" thickBot="1" x14ac:dyDescent="0.65">
      <c r="A645" s="7">
        <v>643</v>
      </c>
      <c r="B645" s="48" t="str">
        <f>HYPERLINK("https://search.naver.com/search.naver?query=더 크라운 시즌6 파트2", "더 크라운 시즌6 파트2")</f>
        <v>더 크라운 시즌6 파트2</v>
      </c>
      <c r="C645" s="49"/>
      <c r="D645" s="8"/>
      <c r="E645" s="7" t="s">
        <v>24</v>
      </c>
      <c r="F645" s="7">
        <v>2023</v>
      </c>
      <c r="G645" s="7" t="s">
        <v>17</v>
      </c>
      <c r="H645" s="7" t="s">
        <v>17</v>
      </c>
      <c r="I645" s="7" t="s">
        <v>173</v>
      </c>
      <c r="J645" s="99" t="s">
        <v>3446</v>
      </c>
    </row>
    <row r="646" spans="1:10" ht="28.9" customHeight="1" thickTop="1" thickBot="1" x14ac:dyDescent="0.65">
      <c r="A646" s="3">
        <v>644</v>
      </c>
      <c r="B646" s="44" t="str">
        <f>HYPERLINK("https://search.naver.com/search.naver?query=더 클럽 영화", "더 클럽")</f>
        <v>더 클럽</v>
      </c>
      <c r="C646" s="45">
        <v>6.17</v>
      </c>
      <c r="D646" s="4" t="s">
        <v>831</v>
      </c>
      <c r="E646" s="3" t="s">
        <v>832</v>
      </c>
      <c r="F646" s="3">
        <v>2015</v>
      </c>
      <c r="G646" s="3" t="s">
        <v>12</v>
      </c>
      <c r="H646" s="3" t="s">
        <v>17</v>
      </c>
      <c r="I646" s="3" t="s">
        <v>124</v>
      </c>
      <c r="J646" s="97" t="s">
        <v>3440</v>
      </c>
    </row>
    <row r="647" spans="1:10" ht="28.9" customHeight="1" thickTop="1" thickBot="1" x14ac:dyDescent="0.65">
      <c r="A647" s="5">
        <v>645</v>
      </c>
      <c r="B647" s="46" t="str">
        <f>HYPERLINK("https://search.naver.com/search.naver?query=더 키친 영화", "더 키친")</f>
        <v>더 키친</v>
      </c>
      <c r="C647" s="47">
        <v>3.85</v>
      </c>
      <c r="D647" s="6" t="s">
        <v>833</v>
      </c>
      <c r="E647" s="5" t="s">
        <v>20</v>
      </c>
      <c r="F647" s="5">
        <v>2019</v>
      </c>
      <c r="G647" s="5" t="s">
        <v>12</v>
      </c>
      <c r="H647" s="5" t="s">
        <v>277</v>
      </c>
      <c r="I647" s="5" t="s">
        <v>99</v>
      </c>
      <c r="J647" s="98" t="s">
        <v>3444</v>
      </c>
    </row>
    <row r="648" spans="1:10" ht="28.9" customHeight="1" thickTop="1" thickBot="1" x14ac:dyDescent="0.65">
      <c r="A648" s="3">
        <v>646</v>
      </c>
      <c r="B648" s="44" t="str">
        <f>HYPERLINK("https://search.naver.com/search.naver?query=더 킬러스 영화", "더 킬러스")</f>
        <v>더 킬러스</v>
      </c>
      <c r="C648" s="45">
        <v>7.09</v>
      </c>
      <c r="D648" s="4" t="s">
        <v>834</v>
      </c>
      <c r="E648" s="3" t="s">
        <v>16</v>
      </c>
      <c r="F648" s="3">
        <v>2012</v>
      </c>
      <c r="G648" s="3" t="s">
        <v>12</v>
      </c>
      <c r="H648" s="3" t="s">
        <v>277</v>
      </c>
      <c r="I648" s="3" t="s">
        <v>111</v>
      </c>
      <c r="J648" s="97" t="s">
        <v>3439</v>
      </c>
    </row>
    <row r="649" spans="1:10" ht="28.9" customHeight="1" thickTop="1" thickBot="1" x14ac:dyDescent="0.65">
      <c r="A649" s="5">
        <v>647</v>
      </c>
      <c r="B649" s="46" t="str">
        <f>HYPERLINK("https://search.naver.com/search.naver?query=더 킬링 오브 어 세이크리드 디어 영화", "더 킬링 오브 어 세이크리드 디어")</f>
        <v>더 킬링 오브 어 세이크리드 디어</v>
      </c>
      <c r="C649" s="47"/>
      <c r="D649" s="6" t="s">
        <v>835</v>
      </c>
      <c r="E649" s="5" t="s">
        <v>24</v>
      </c>
      <c r="F649" s="5">
        <v>2017</v>
      </c>
      <c r="G649" s="5" t="s">
        <v>12</v>
      </c>
      <c r="H649" s="5" t="s">
        <v>43</v>
      </c>
      <c r="I649" s="5" t="s">
        <v>142</v>
      </c>
      <c r="J649" s="98" t="s">
        <v>3443</v>
      </c>
    </row>
    <row r="650" spans="1:10" ht="28.9" customHeight="1" thickTop="1" thickBot="1" x14ac:dyDescent="0.65">
      <c r="A650" s="3">
        <v>648</v>
      </c>
      <c r="B650" s="44" t="str">
        <f>HYPERLINK("https://search.naver.com/search.naver?query=더 킹 영화", "더 킹")</f>
        <v>더 킹</v>
      </c>
      <c r="C650" s="45">
        <v>8.39</v>
      </c>
      <c r="D650" s="4" t="s">
        <v>836</v>
      </c>
      <c r="E650" s="3" t="s">
        <v>11</v>
      </c>
      <c r="F650" s="3">
        <v>2016</v>
      </c>
      <c r="G650" s="3" t="s">
        <v>12</v>
      </c>
      <c r="H650" s="3" t="s">
        <v>17</v>
      </c>
      <c r="I650" s="3" t="s">
        <v>543</v>
      </c>
      <c r="J650" s="97" t="s">
        <v>3441</v>
      </c>
    </row>
    <row r="651" spans="1:10" ht="28.9" customHeight="1" thickTop="1" thickBot="1" x14ac:dyDescent="0.65">
      <c r="A651" s="5">
        <v>649</v>
      </c>
      <c r="B651" s="46" t="str">
        <f>HYPERLINK("https://search.naver.com/search.naver?query=더 테너 리리코 스핀토 영화", "더 테너 리리코 스핀토")</f>
        <v>더 테너 리리코 스핀토</v>
      </c>
      <c r="C651" s="47">
        <v>8.4600000000000009</v>
      </c>
      <c r="D651" s="6" t="s">
        <v>837</v>
      </c>
      <c r="E651" s="5" t="s">
        <v>11</v>
      </c>
      <c r="F651" s="5">
        <v>2014</v>
      </c>
      <c r="G651" s="5" t="s">
        <v>12</v>
      </c>
      <c r="H651" s="5" t="s">
        <v>17</v>
      </c>
      <c r="I651" s="5" t="s">
        <v>142</v>
      </c>
      <c r="J651" s="98" t="s">
        <v>3437</v>
      </c>
    </row>
    <row r="652" spans="1:10" ht="28.9" customHeight="1" thickTop="1" thickBot="1" x14ac:dyDescent="0.65">
      <c r="A652" s="3">
        <v>650</v>
      </c>
      <c r="B652" s="44" t="str">
        <f>HYPERLINK("https://namu.wiki/w/%EB%8D%94%20%ED%85%8C%EB%9F%AC%20%EB%9D%BC%EC%9D%B4%EB%B8%8C", "더 테러 라이브")</f>
        <v>더 테러 라이브</v>
      </c>
      <c r="C652" s="45">
        <v>4.16</v>
      </c>
      <c r="D652" s="4" t="s">
        <v>838</v>
      </c>
      <c r="E652" s="3" t="s">
        <v>11</v>
      </c>
      <c r="F652" s="3">
        <v>2013</v>
      </c>
      <c r="G652" s="3" t="s">
        <v>12</v>
      </c>
      <c r="H652" s="3" t="s">
        <v>726</v>
      </c>
      <c r="I652" s="3" t="s">
        <v>124</v>
      </c>
      <c r="J652" s="97" t="s">
        <v>3451</v>
      </c>
    </row>
    <row r="653" spans="1:10" ht="28.9" customHeight="1" thickTop="1" thickBot="1" x14ac:dyDescent="0.65">
      <c r="A653" s="5">
        <v>651</v>
      </c>
      <c r="B653" s="46" t="str">
        <f>HYPERLINK("https://search.naver.com/search.naver?query=더 트러스트 영화", "더 트러스트")</f>
        <v>더 트러스트</v>
      </c>
      <c r="C653" s="47">
        <v>4.87</v>
      </c>
      <c r="D653" s="6" t="s">
        <v>839</v>
      </c>
      <c r="E653" s="5" t="s">
        <v>20</v>
      </c>
      <c r="F653" s="5">
        <v>2016</v>
      </c>
      <c r="G653" s="5" t="s">
        <v>12</v>
      </c>
      <c r="H653" s="5" t="s">
        <v>277</v>
      </c>
      <c r="I653" s="5" t="s">
        <v>147</v>
      </c>
      <c r="J653" s="98" t="s">
        <v>3441</v>
      </c>
    </row>
    <row r="654" spans="1:10" ht="28.9" customHeight="1" thickTop="1" thickBot="1" x14ac:dyDescent="0.65">
      <c r="A654" s="3">
        <v>652</v>
      </c>
      <c r="B654" s="44" t="str">
        <f>HYPERLINK("https://search.naver.com/search.naver?query=더 트루스-무언의 제보자 영화", "더 트루스-무언의 제보자")</f>
        <v>더 트루스-무언의 제보자</v>
      </c>
      <c r="C654" s="45">
        <v>6.4</v>
      </c>
      <c r="D654" s="4" t="s">
        <v>840</v>
      </c>
      <c r="E654" s="3" t="s">
        <v>210</v>
      </c>
      <c r="F654" s="3">
        <v>2019</v>
      </c>
      <c r="G654" s="3" t="s">
        <v>12</v>
      </c>
      <c r="H654" s="3" t="s">
        <v>17</v>
      </c>
      <c r="I654" s="3" t="s">
        <v>286</v>
      </c>
      <c r="J654" s="97" t="s">
        <v>3444</v>
      </c>
    </row>
    <row r="655" spans="1:10" ht="28.9" customHeight="1" thickTop="1" thickBot="1" x14ac:dyDescent="0.65">
      <c r="A655" s="5">
        <v>653</v>
      </c>
      <c r="B655" s="46" t="str">
        <f>HYPERLINK("https://search.naver.com/search.naver?query=더 트리 영화", "더 트리")</f>
        <v>더 트리</v>
      </c>
      <c r="C655" s="47">
        <v>7.6</v>
      </c>
      <c r="D655" s="6" t="s">
        <v>841</v>
      </c>
      <c r="E655" s="5" t="s">
        <v>210</v>
      </c>
      <c r="F655" s="5">
        <v>2010</v>
      </c>
      <c r="G655" s="5" t="s">
        <v>12</v>
      </c>
      <c r="H655" s="5" t="s">
        <v>17</v>
      </c>
      <c r="I655" s="5" t="s">
        <v>131</v>
      </c>
      <c r="J655" s="98" t="s">
        <v>3455</v>
      </c>
    </row>
    <row r="656" spans="1:10" ht="28.9" customHeight="1" thickTop="1" thickBot="1" x14ac:dyDescent="0.65">
      <c r="A656" s="3">
        <v>654</v>
      </c>
      <c r="B656" s="44" t="str">
        <f>HYPERLINK("https://search.naver.com/search.naver?query=더 파나틱 영화", "더 파나틱")</f>
        <v>더 파나틱</v>
      </c>
      <c r="C656" s="45">
        <v>6.4</v>
      </c>
      <c r="D656" s="4" t="s">
        <v>842</v>
      </c>
      <c r="E656" s="3" t="s">
        <v>20</v>
      </c>
      <c r="F656" s="3">
        <v>2019</v>
      </c>
      <c r="G656" s="3" t="s">
        <v>12</v>
      </c>
      <c r="H656" s="3" t="s">
        <v>43</v>
      </c>
      <c r="I656" s="3" t="s">
        <v>231</v>
      </c>
      <c r="J656" s="97" t="s">
        <v>3444</v>
      </c>
    </row>
    <row r="657" spans="1:10" ht="28.9" customHeight="1" thickTop="1" thickBot="1" x14ac:dyDescent="0.65">
      <c r="A657" s="5">
        <v>655</v>
      </c>
      <c r="B657" s="46" t="str">
        <f>HYPERLINK("https://search.naver.com/search.naver?query=더 파더 영화", "더 파더")</f>
        <v>더 파더</v>
      </c>
      <c r="C657" s="47">
        <v>8.85</v>
      </c>
      <c r="D657" s="6" t="s">
        <v>843</v>
      </c>
      <c r="E657" s="5" t="s">
        <v>24</v>
      </c>
      <c r="F657" s="5">
        <v>2020</v>
      </c>
      <c r="G657" s="5" t="s">
        <v>12</v>
      </c>
      <c r="H657" s="5" t="s">
        <v>17</v>
      </c>
      <c r="I657" s="5" t="s">
        <v>124</v>
      </c>
      <c r="J657" s="98" t="s">
        <v>3436</v>
      </c>
    </row>
    <row r="658" spans="1:10" ht="28.9" customHeight="1" thickTop="1" thickBot="1" x14ac:dyDescent="0.65">
      <c r="A658" s="3">
        <v>656</v>
      </c>
      <c r="B658" s="44" t="str">
        <f>HYPERLINK("https://search.naver.com/search.naver?query=더 파이니스트 아워스 영화", "더 파이니스트 아워스")</f>
        <v>더 파이니스트 아워스</v>
      </c>
      <c r="C658" s="45">
        <v>6.4</v>
      </c>
      <c r="D658" s="4" t="s">
        <v>844</v>
      </c>
      <c r="E658" s="3" t="s">
        <v>20</v>
      </c>
      <c r="F658" s="3">
        <v>2016</v>
      </c>
      <c r="G658" s="3" t="s">
        <v>12</v>
      </c>
      <c r="H658" s="3" t="s">
        <v>92</v>
      </c>
      <c r="I658" s="3" t="s">
        <v>89</v>
      </c>
      <c r="J658" s="97" t="s">
        <v>3441</v>
      </c>
    </row>
    <row r="659" spans="1:10" ht="28.9" customHeight="1" thickTop="1" thickBot="1" x14ac:dyDescent="0.65">
      <c r="A659" s="5">
        <v>657</v>
      </c>
      <c r="B659" s="46" t="str">
        <f>HYPERLINK("https://search.naver.com/search.naver?query=더 파이브 영화", "더 파이브")</f>
        <v>더 파이브</v>
      </c>
      <c r="C659" s="47">
        <v>6.1</v>
      </c>
      <c r="D659" s="6" t="s">
        <v>845</v>
      </c>
      <c r="E659" s="5" t="s">
        <v>20</v>
      </c>
      <c r="F659" s="5">
        <v>2013</v>
      </c>
      <c r="G659" s="5" t="s">
        <v>12</v>
      </c>
      <c r="H659" s="5" t="s">
        <v>43</v>
      </c>
      <c r="I659" s="5" t="s">
        <v>115</v>
      </c>
      <c r="J659" s="98" t="s">
        <v>3451</v>
      </c>
    </row>
    <row r="660" spans="1:10" ht="28.9" customHeight="1" thickTop="1" thickBot="1" x14ac:dyDescent="0.65">
      <c r="A660" s="3">
        <v>658</v>
      </c>
      <c r="B660" s="44" t="str">
        <f>HYPERLINK("https://search.naver.com/search.naver?query=더 파츠 유 루즈 영화", "더 파츠 유 루즈")</f>
        <v>더 파츠 유 루즈</v>
      </c>
      <c r="C660" s="45">
        <v>6.4</v>
      </c>
      <c r="D660" s="4" t="s">
        <v>846</v>
      </c>
      <c r="E660" s="3" t="s">
        <v>20</v>
      </c>
      <c r="F660" s="3">
        <v>2019</v>
      </c>
      <c r="G660" s="3" t="s">
        <v>12</v>
      </c>
      <c r="H660" s="3" t="s">
        <v>17</v>
      </c>
      <c r="I660" s="3" t="s">
        <v>93</v>
      </c>
      <c r="J660" s="97" t="s">
        <v>3444</v>
      </c>
    </row>
    <row r="661" spans="1:10" ht="28.9" customHeight="1" thickTop="1" thickBot="1" x14ac:dyDescent="0.65">
      <c r="A661" s="5">
        <v>659</v>
      </c>
      <c r="B661" s="46" t="str">
        <f>HYPERLINK("https://search.naver.com/search.naver?query=더 팩토리 영화", "더 팩토리")</f>
        <v>더 팩토리</v>
      </c>
      <c r="C661" s="47">
        <v>3.32</v>
      </c>
      <c r="D661" s="6" t="s">
        <v>847</v>
      </c>
      <c r="E661" s="5" t="s">
        <v>20</v>
      </c>
      <c r="F661" s="5">
        <v>2011</v>
      </c>
      <c r="G661" s="5" t="s">
        <v>12</v>
      </c>
      <c r="H661" s="5" t="s">
        <v>43</v>
      </c>
      <c r="I661" s="5" t="s">
        <v>170</v>
      </c>
      <c r="J661" s="98" t="s">
        <v>3454</v>
      </c>
    </row>
    <row r="662" spans="1:10" ht="28.9" customHeight="1" thickTop="1" thickBot="1" x14ac:dyDescent="0.65">
      <c r="A662" s="3">
        <v>660</v>
      </c>
      <c r="B662" s="44" t="str">
        <f>HYPERLINK("https://search.naver.com/search.naver?query=더 퍼지 : 거리의 반란 영화", "더 퍼지 - 거리의 반란")</f>
        <v>더 퍼지 - 거리의 반란</v>
      </c>
      <c r="C662" s="45">
        <v>7.5</v>
      </c>
      <c r="D662" s="4" t="s">
        <v>848</v>
      </c>
      <c r="E662" s="3" t="s">
        <v>20</v>
      </c>
      <c r="F662" s="3">
        <v>2014</v>
      </c>
      <c r="G662" s="3" t="s">
        <v>12</v>
      </c>
      <c r="H662" s="3" t="s">
        <v>252</v>
      </c>
      <c r="I662" s="3" t="s">
        <v>190</v>
      </c>
      <c r="J662" s="97" t="s">
        <v>3437</v>
      </c>
    </row>
    <row r="663" spans="1:10" ht="28.9" customHeight="1" thickTop="1" thickBot="1" x14ac:dyDescent="0.65">
      <c r="A663" s="5">
        <v>661</v>
      </c>
      <c r="B663" s="46" t="str">
        <f>HYPERLINK("https://search.naver.com/search.naver?query=더 페이버릿:여왕의 여자 영화", "더 페이버릿-여왕의 여자")</f>
        <v>더 페이버릿-여왕의 여자</v>
      </c>
      <c r="C663" s="47">
        <v>8.89</v>
      </c>
      <c r="D663" s="6" t="s">
        <v>849</v>
      </c>
      <c r="E663" s="5" t="s">
        <v>24</v>
      </c>
      <c r="F663" s="5">
        <v>2018</v>
      </c>
      <c r="G663" s="5" t="s">
        <v>12</v>
      </c>
      <c r="H663" s="5" t="s">
        <v>17</v>
      </c>
      <c r="I663" s="5" t="s">
        <v>53</v>
      </c>
      <c r="J663" s="98" t="s">
        <v>3442</v>
      </c>
    </row>
    <row r="664" spans="1:10" ht="28.9" customHeight="1" thickTop="1" thickBot="1" x14ac:dyDescent="0.65">
      <c r="A664" s="3">
        <v>662</v>
      </c>
      <c r="B664" s="44" t="str">
        <f>HYPERLINK("https://search.naver.com/search.naver?query=더 펜서", "더 펜서")</f>
        <v>더 펜서</v>
      </c>
      <c r="C664" s="45">
        <v>10</v>
      </c>
      <c r="D664" s="4" t="s">
        <v>850</v>
      </c>
      <c r="E664" s="3" t="s">
        <v>851</v>
      </c>
      <c r="F664" s="3">
        <v>2015</v>
      </c>
      <c r="G664" s="3" t="s">
        <v>12</v>
      </c>
      <c r="H664" s="3" t="s">
        <v>17</v>
      </c>
      <c r="I664" s="3" t="s">
        <v>14</v>
      </c>
      <c r="J664" s="97" t="s">
        <v>3440</v>
      </c>
    </row>
    <row r="665" spans="1:10" ht="28.9" customHeight="1" thickTop="1" thickBot="1" x14ac:dyDescent="0.65">
      <c r="A665" s="5">
        <v>663</v>
      </c>
      <c r="B665" s="46" t="str">
        <f>HYPERLINK("https://search.naver.com/search.naver?query=더 포가튼 배틀 영화", "더 포가튼 배틀")</f>
        <v>더 포가튼 배틀</v>
      </c>
      <c r="C665" s="47">
        <v>7.95</v>
      </c>
      <c r="D665" s="6" t="s">
        <v>852</v>
      </c>
      <c r="E665" s="5" t="s">
        <v>853</v>
      </c>
      <c r="F665" s="5">
        <v>2021</v>
      </c>
      <c r="G665" s="5" t="s">
        <v>12</v>
      </c>
      <c r="H665" s="5" t="s">
        <v>721</v>
      </c>
      <c r="I665" s="5" t="s">
        <v>134</v>
      </c>
      <c r="J665" s="98" t="s">
        <v>3438</v>
      </c>
    </row>
    <row r="666" spans="1:10" ht="28.9" customHeight="1" thickTop="1" thickBot="1" x14ac:dyDescent="0.65">
      <c r="A666" s="3">
        <v>664</v>
      </c>
      <c r="B666" s="44" t="str">
        <f>HYPERLINK("https://search.naver.com/search.naver?query=더 포리너 영화", "더 포리너")</f>
        <v>더 포리너</v>
      </c>
      <c r="C666" s="45">
        <v>7.61</v>
      </c>
      <c r="D666" s="4" t="s">
        <v>854</v>
      </c>
      <c r="E666" s="3" t="s">
        <v>24</v>
      </c>
      <c r="F666" s="3">
        <v>2017</v>
      </c>
      <c r="G666" s="3" t="s">
        <v>12</v>
      </c>
      <c r="H666" s="3" t="s">
        <v>92</v>
      </c>
      <c r="I666" s="3" t="s">
        <v>73</v>
      </c>
      <c r="J666" s="97" t="s">
        <v>3443</v>
      </c>
    </row>
    <row r="667" spans="1:10" ht="28.9" customHeight="1" thickTop="1" thickBot="1" x14ac:dyDescent="0.65">
      <c r="A667" s="5">
        <v>665</v>
      </c>
      <c r="B667" s="46" t="str">
        <f>HYPERLINK("https://search.naver.com/search.naver?query=더 포스트 영화", "더 포스트")</f>
        <v>더 포스트</v>
      </c>
      <c r="C667" s="47">
        <v>8.7899999999999991</v>
      </c>
      <c r="D667" s="6" t="s">
        <v>855</v>
      </c>
      <c r="E667" s="5" t="s">
        <v>20</v>
      </c>
      <c r="F667" s="5">
        <v>2017</v>
      </c>
      <c r="G667" s="5" t="s">
        <v>12</v>
      </c>
      <c r="H667" s="5" t="s">
        <v>17</v>
      </c>
      <c r="I667" s="5" t="s">
        <v>366</v>
      </c>
      <c r="J667" s="98" t="s">
        <v>3443</v>
      </c>
    </row>
    <row r="668" spans="1:10" ht="28.9" customHeight="1" thickTop="1" thickBot="1" x14ac:dyDescent="0.65">
      <c r="A668" s="3">
        <v>666</v>
      </c>
      <c r="B668" s="44" t="str">
        <f>HYPERLINK("https://search.naver.com/search.naver?query=더 포저 영화", "더 포저")</f>
        <v>더 포저</v>
      </c>
      <c r="C668" s="45">
        <v>7.45</v>
      </c>
      <c r="D668" s="4" t="s">
        <v>856</v>
      </c>
      <c r="E668" s="3" t="s">
        <v>20</v>
      </c>
      <c r="F668" s="3">
        <v>2014</v>
      </c>
      <c r="G668" s="3" t="s">
        <v>12</v>
      </c>
      <c r="H668" s="3" t="s">
        <v>277</v>
      </c>
      <c r="I668" s="3" t="s">
        <v>147</v>
      </c>
      <c r="J668" s="97" t="s">
        <v>3437</v>
      </c>
    </row>
    <row r="669" spans="1:10" ht="28.9" customHeight="1" thickTop="1" thickBot="1" x14ac:dyDescent="0.65">
      <c r="A669" s="5">
        <v>667</v>
      </c>
      <c r="B669" s="46" t="str">
        <f>HYPERLINK("https://search.naver.com/search.naver?query=더 폰 영화", "더 폰")</f>
        <v>더 폰</v>
      </c>
      <c r="C669" s="47">
        <v>8.06</v>
      </c>
      <c r="D669" s="6" t="s">
        <v>857</v>
      </c>
      <c r="E669" s="5" t="s">
        <v>11</v>
      </c>
      <c r="F669" s="5">
        <v>2015</v>
      </c>
      <c r="G669" s="5" t="s">
        <v>12</v>
      </c>
      <c r="H669" s="5" t="s">
        <v>43</v>
      </c>
      <c r="I669" s="5" t="s">
        <v>207</v>
      </c>
      <c r="J669" s="98" t="s">
        <v>3440</v>
      </c>
    </row>
    <row r="670" spans="1:10" ht="28.9" customHeight="1" thickTop="1" thickBot="1" x14ac:dyDescent="0.65">
      <c r="A670" s="3">
        <v>668</v>
      </c>
      <c r="B670" s="44" t="str">
        <f>HYPERLINK("https://search.naver.com/search.naver?query=더 프로즌 그라운드 영화", "더 프로즌 그라운드")</f>
        <v>더 프로즌 그라운드</v>
      </c>
      <c r="C670" s="45">
        <v>6.4</v>
      </c>
      <c r="D670" s="4" t="s">
        <v>858</v>
      </c>
      <c r="E670" s="3" t="s">
        <v>20</v>
      </c>
      <c r="F670" s="3">
        <v>2012</v>
      </c>
      <c r="G670" s="3" t="s">
        <v>12</v>
      </c>
      <c r="H670" s="3" t="s">
        <v>277</v>
      </c>
      <c r="I670" s="3" t="s">
        <v>128</v>
      </c>
      <c r="J670" s="97" t="s">
        <v>3439</v>
      </c>
    </row>
    <row r="671" spans="1:10" ht="28.9" customHeight="1" thickTop="1" thickBot="1" x14ac:dyDescent="0.65">
      <c r="A671" s="5">
        <v>669</v>
      </c>
      <c r="B671" s="46" t="str">
        <f>HYPERLINK("https://search.naver.com/search.naver?query=더 프로티지 영화", "더 프로티지")</f>
        <v>더 프로티지</v>
      </c>
      <c r="C671" s="47"/>
      <c r="D671" s="6" t="s">
        <v>859</v>
      </c>
      <c r="E671" s="5" t="s">
        <v>20</v>
      </c>
      <c r="F671" s="5">
        <v>2021</v>
      </c>
      <c r="G671" s="5" t="s">
        <v>12</v>
      </c>
      <c r="H671" s="5" t="s">
        <v>92</v>
      </c>
      <c r="I671" s="5" t="s">
        <v>137</v>
      </c>
      <c r="J671" s="98" t="s">
        <v>3438</v>
      </c>
    </row>
    <row r="672" spans="1:10" ht="28.9" customHeight="1" thickTop="1" thickBot="1" x14ac:dyDescent="0.65">
      <c r="A672" s="3">
        <v>670</v>
      </c>
      <c r="B672" s="44" t="str">
        <f>HYPERLINK("https://search.naver.com/search.naver?query=더 프로페서 앤 더 매드맨 영화", "더 프로페서 앤 더 매드맨")</f>
        <v>더 프로페서 앤 더 매드맨</v>
      </c>
      <c r="C672" s="45">
        <v>7.66</v>
      </c>
      <c r="D672" s="4" t="s">
        <v>860</v>
      </c>
      <c r="E672" s="3" t="s">
        <v>558</v>
      </c>
      <c r="F672" s="3">
        <v>2019</v>
      </c>
      <c r="G672" s="3" t="s">
        <v>12</v>
      </c>
      <c r="H672" s="3" t="s">
        <v>17</v>
      </c>
      <c r="I672" s="3" t="s">
        <v>134</v>
      </c>
      <c r="J672" s="97" t="s">
        <v>3444</v>
      </c>
    </row>
    <row r="673" spans="1:10" ht="28.9" customHeight="1" thickTop="1" thickBot="1" x14ac:dyDescent="0.65">
      <c r="A673" s="5">
        <v>671</v>
      </c>
      <c r="B673" s="46" t="str">
        <f>HYPERLINK("https://search.naver.com/search.naver?query=더 하드 웨이 영화", "더 하드 웨이")</f>
        <v>더 하드 웨이</v>
      </c>
      <c r="C673" s="47">
        <v>6.4</v>
      </c>
      <c r="D673" s="6" t="s">
        <v>861</v>
      </c>
      <c r="E673" s="5" t="s">
        <v>20</v>
      </c>
      <c r="F673" s="5">
        <v>2019</v>
      </c>
      <c r="G673" s="5" t="s">
        <v>12</v>
      </c>
      <c r="H673" s="5" t="s">
        <v>92</v>
      </c>
      <c r="I673" s="5" t="s">
        <v>115</v>
      </c>
      <c r="J673" s="98" t="s">
        <v>3444</v>
      </c>
    </row>
    <row r="674" spans="1:10" ht="28.9" customHeight="1" thickTop="1" thickBot="1" x14ac:dyDescent="0.65">
      <c r="A674" s="3">
        <v>672</v>
      </c>
      <c r="B674" s="44" t="str">
        <f>HYPERLINK("https://search.naver.com/search.naver?query=더 허슬 영화", "더 허슬")</f>
        <v>더 허슬</v>
      </c>
      <c r="C674" s="45">
        <v>6.4</v>
      </c>
      <c r="D674" s="4" t="s">
        <v>862</v>
      </c>
      <c r="E674" s="3" t="s">
        <v>20</v>
      </c>
      <c r="F674" s="3">
        <v>2019</v>
      </c>
      <c r="G674" s="3" t="s">
        <v>12</v>
      </c>
      <c r="H674" s="3" t="s">
        <v>68</v>
      </c>
      <c r="I674" s="3" t="s">
        <v>93</v>
      </c>
      <c r="J674" s="97" t="s">
        <v>3444</v>
      </c>
    </row>
    <row r="675" spans="1:10" ht="28.9" customHeight="1" thickTop="1" thickBot="1" x14ac:dyDescent="0.65">
      <c r="A675" s="5">
        <v>673</v>
      </c>
      <c r="B675" s="46" t="str">
        <f>HYPERLINK("https://search.naver.com/search.naver?query=더 홈즈맨 영화", "더 홈즈맨")</f>
        <v>더 홈즈맨</v>
      </c>
      <c r="C675" s="47">
        <v>7.71</v>
      </c>
      <c r="D675" s="6" t="s">
        <v>863</v>
      </c>
      <c r="E675" s="5" t="s">
        <v>20</v>
      </c>
      <c r="F675" s="5">
        <v>2014</v>
      </c>
      <c r="G675" s="5" t="s">
        <v>12</v>
      </c>
      <c r="H675" s="5" t="s">
        <v>864</v>
      </c>
      <c r="I675" s="5" t="s">
        <v>105</v>
      </c>
      <c r="J675" s="98" t="s">
        <v>3437</v>
      </c>
    </row>
    <row r="676" spans="1:10" ht="28.9" customHeight="1" thickTop="1" thickBot="1" x14ac:dyDescent="0.65">
      <c r="A676" s="3">
        <v>674</v>
      </c>
      <c r="B676" s="44" t="str">
        <f>HYPERLINK("https://search.naver.com/search.naver?query=더 휴머니티 뷰로 영화", "더 휴머니티 뷰로")</f>
        <v>더 휴머니티 뷰로</v>
      </c>
      <c r="C676" s="45"/>
      <c r="D676" s="4" t="s">
        <v>865</v>
      </c>
      <c r="E676" s="3" t="s">
        <v>189</v>
      </c>
      <c r="F676" s="3">
        <v>2017</v>
      </c>
      <c r="G676" s="3" t="s">
        <v>12</v>
      </c>
      <c r="H676" s="3" t="s">
        <v>520</v>
      </c>
      <c r="I676" s="3" t="s">
        <v>111</v>
      </c>
      <c r="J676" s="97" t="s">
        <v>3443</v>
      </c>
    </row>
    <row r="677" spans="1:10" ht="28.9" customHeight="1" thickTop="1" thickBot="1" x14ac:dyDescent="0.65">
      <c r="A677" s="5">
        <v>675</v>
      </c>
      <c r="B677" s="46" t="str">
        <f>HYPERLINK("https://search.naver.com/search.naver?query=더 히든 영화", "더 히든")</f>
        <v>더 히든</v>
      </c>
      <c r="C677" s="47">
        <v>4.8899999999999997</v>
      </c>
      <c r="D677" s="6" t="s">
        <v>866</v>
      </c>
      <c r="E677" s="5" t="s">
        <v>20</v>
      </c>
      <c r="F677" s="5">
        <v>2020</v>
      </c>
      <c r="G677" s="5" t="s">
        <v>12</v>
      </c>
      <c r="H677" s="5" t="s">
        <v>252</v>
      </c>
      <c r="I677" s="5" t="s">
        <v>37</v>
      </c>
      <c r="J677" s="98" t="s">
        <v>3436</v>
      </c>
    </row>
    <row r="678" spans="1:10" ht="28.9" customHeight="1" thickTop="1" thickBot="1" x14ac:dyDescent="0.65">
      <c r="A678" s="3">
        <v>676</v>
      </c>
      <c r="B678" s="44" t="str">
        <f>HYPERLINK("https://search.naver.com/search.naver?query=더도어 영화", "더도어")</f>
        <v>더도어</v>
      </c>
      <c r="C678" s="45"/>
      <c r="D678" s="4" t="s">
        <v>867</v>
      </c>
      <c r="E678" s="3" t="s">
        <v>101</v>
      </c>
      <c r="F678" s="3">
        <v>2010</v>
      </c>
      <c r="G678" s="3" t="s">
        <v>12</v>
      </c>
      <c r="H678" s="3" t="s">
        <v>868</v>
      </c>
      <c r="I678" s="3" t="s">
        <v>221</v>
      </c>
      <c r="J678" s="97" t="s">
        <v>3455</v>
      </c>
    </row>
    <row r="679" spans="1:10" ht="28.9" customHeight="1" thickTop="1" thickBot="1" x14ac:dyDescent="0.65">
      <c r="A679" s="5">
        <v>677</v>
      </c>
      <c r="B679" s="46" t="str">
        <f>HYPERLINK("https://search.naver.com/search.naver?query=더박스 영화", "더박스")</f>
        <v>더박스</v>
      </c>
      <c r="C679" s="47">
        <v>5.39</v>
      </c>
      <c r="D679" s="6" t="s">
        <v>869</v>
      </c>
      <c r="E679" s="5" t="s">
        <v>20</v>
      </c>
      <c r="F679" s="5">
        <v>2009</v>
      </c>
      <c r="G679" s="5" t="s">
        <v>12</v>
      </c>
      <c r="H679" s="5" t="s">
        <v>520</v>
      </c>
      <c r="I679" s="5" t="s">
        <v>47</v>
      </c>
      <c r="J679" s="98" t="s">
        <v>3453</v>
      </c>
    </row>
    <row r="680" spans="1:10" ht="28.9" customHeight="1" thickTop="1" thickBot="1" x14ac:dyDescent="0.65">
      <c r="A680" s="3">
        <v>678</v>
      </c>
      <c r="B680" s="44" t="str">
        <f>HYPERLINK("https://search.naver.com/search.naver?query=더블2011", "더블")</f>
        <v>더블</v>
      </c>
      <c r="C680" s="45">
        <v>6.65</v>
      </c>
      <c r="D680" s="4" t="s">
        <v>870</v>
      </c>
      <c r="E680" s="3" t="s">
        <v>20</v>
      </c>
      <c r="F680" s="3">
        <v>2012</v>
      </c>
      <c r="G680" s="3" t="s">
        <v>12</v>
      </c>
      <c r="H680" s="3" t="s">
        <v>277</v>
      </c>
      <c r="I680" s="3" t="s">
        <v>14</v>
      </c>
      <c r="J680" s="97" t="s">
        <v>3439</v>
      </c>
    </row>
    <row r="681" spans="1:10" ht="28.9" customHeight="1" thickTop="1" thickBot="1" x14ac:dyDescent="0.65">
      <c r="A681" s="5">
        <v>679</v>
      </c>
      <c r="B681" s="46" t="str">
        <f>HYPERLINK("https://search.naver.com/search.naver?query=더블 타겟 영화", "더블 타겟")</f>
        <v>더블 타겟</v>
      </c>
      <c r="C681" s="47">
        <v>8.4</v>
      </c>
      <c r="D681" s="6" t="s">
        <v>871</v>
      </c>
      <c r="E681" s="5" t="s">
        <v>20</v>
      </c>
      <c r="F681" s="5">
        <v>2007</v>
      </c>
      <c r="G681" s="5" t="s">
        <v>12</v>
      </c>
      <c r="H681" s="5" t="s">
        <v>92</v>
      </c>
      <c r="I681" s="5" t="s">
        <v>115</v>
      </c>
      <c r="J681" s="98" t="s">
        <v>3447</v>
      </c>
    </row>
    <row r="682" spans="1:10" ht="28.9" customHeight="1" thickTop="1" thickBot="1" x14ac:dyDescent="0.65">
      <c r="A682" s="3">
        <v>680</v>
      </c>
      <c r="B682" s="44" t="str">
        <f>HYPERLINK("https://search.naver.com/search.naver?query=더킹:헨리5세 영화", "더킹-헨리5세")</f>
        <v>더킹-헨리5세</v>
      </c>
      <c r="C682" s="45">
        <v>8.4</v>
      </c>
      <c r="D682" s="4" t="s">
        <v>872</v>
      </c>
      <c r="E682" s="3" t="s">
        <v>24</v>
      </c>
      <c r="F682" s="3">
        <v>2019</v>
      </c>
      <c r="G682" s="3" t="s">
        <v>12</v>
      </c>
      <c r="H682" s="3" t="s">
        <v>873</v>
      </c>
      <c r="I682" s="3" t="s">
        <v>550</v>
      </c>
      <c r="J682" s="97" t="s">
        <v>3444</v>
      </c>
    </row>
    <row r="683" spans="1:10" ht="28.9" customHeight="1" thickTop="1" thickBot="1" x14ac:dyDescent="0.65">
      <c r="A683" s="5">
        <v>681</v>
      </c>
      <c r="B683" s="46" t="str">
        <f>HYPERLINK("https://search.naver.com/search.naver?query=덕수리 5형제 영화", "덕수리 5형제")</f>
        <v>덕수리 5형제</v>
      </c>
      <c r="C683" s="47">
        <v>6.2</v>
      </c>
      <c r="D683" s="6" t="s">
        <v>874</v>
      </c>
      <c r="E683" s="5" t="s">
        <v>11</v>
      </c>
      <c r="F683" s="5">
        <v>2014</v>
      </c>
      <c r="G683" s="5" t="s">
        <v>12</v>
      </c>
      <c r="H683" s="5" t="s">
        <v>68</v>
      </c>
      <c r="I683" s="5" t="s">
        <v>99</v>
      </c>
      <c r="J683" s="98" t="s">
        <v>3437</v>
      </c>
    </row>
    <row r="684" spans="1:10" ht="28.9" customHeight="1" thickTop="1" thickBot="1" x14ac:dyDescent="0.65">
      <c r="A684" s="3">
        <v>682</v>
      </c>
      <c r="B684" s="44" t="str">
        <f>HYPERLINK("https://search.naver.com/search.naver?query=덕혜옹주 영화", "덕혜옹주")</f>
        <v>덕혜옹주</v>
      </c>
      <c r="C684" s="45">
        <v>8.7200000000000006</v>
      </c>
      <c r="D684" s="4" t="s">
        <v>875</v>
      </c>
      <c r="E684" s="3" t="s">
        <v>11</v>
      </c>
      <c r="F684" s="3">
        <v>2016</v>
      </c>
      <c r="G684" s="3" t="s">
        <v>12</v>
      </c>
      <c r="H684" s="3" t="s">
        <v>873</v>
      </c>
      <c r="I684" s="3" t="s">
        <v>150</v>
      </c>
      <c r="J684" s="97" t="s">
        <v>3441</v>
      </c>
    </row>
    <row r="685" spans="1:10" ht="28.9" customHeight="1" thickTop="1" thickBot="1" x14ac:dyDescent="0.65">
      <c r="A685" s="5">
        <v>683</v>
      </c>
      <c r="B685" s="46" t="str">
        <f>HYPERLINK("https://search.naver.com/search.naver?query=던 월 영화", "던 월")</f>
        <v>던 월</v>
      </c>
      <c r="C685" s="47">
        <v>6.4</v>
      </c>
      <c r="D685" s="6" t="s">
        <v>876</v>
      </c>
      <c r="E685" s="5" t="s">
        <v>20</v>
      </c>
      <c r="F685" s="5">
        <v>2017</v>
      </c>
      <c r="G685" s="5" t="s">
        <v>12</v>
      </c>
      <c r="H685" s="5" t="s">
        <v>721</v>
      </c>
      <c r="I685" s="5" t="s">
        <v>231</v>
      </c>
      <c r="J685" s="98" t="s">
        <v>3443</v>
      </c>
    </row>
    <row r="686" spans="1:10" ht="28.9" customHeight="1" thickTop="1" thickBot="1" x14ac:dyDescent="0.65">
      <c r="A686" s="3">
        <v>684</v>
      </c>
      <c r="B686" s="44" t="str">
        <f>HYPERLINK("https://search.naver.com/search.naver?query=덩케르크 영화", "덩케르크")</f>
        <v>덩케르크</v>
      </c>
      <c r="C686" s="45">
        <v>8.65</v>
      </c>
      <c r="D686" s="4" t="s">
        <v>877</v>
      </c>
      <c r="E686" s="3" t="s">
        <v>24</v>
      </c>
      <c r="F686" s="3">
        <v>2017</v>
      </c>
      <c r="G686" s="3" t="s">
        <v>12</v>
      </c>
      <c r="H686" s="3" t="s">
        <v>721</v>
      </c>
      <c r="I686" s="3" t="s">
        <v>286</v>
      </c>
      <c r="J686" s="97" t="s">
        <v>3443</v>
      </c>
    </row>
    <row r="687" spans="1:10" ht="28.9" customHeight="1" thickTop="1" thickBot="1" x14ac:dyDescent="0.65">
      <c r="A687" s="7">
        <v>685</v>
      </c>
      <c r="B687" s="48" t="str">
        <f>HYPERLINK("https://search.naver.com/search.naver?query=데드 투 미 시즌1", "데드 투 미 시즌1")</f>
        <v>데드 투 미 시즌1</v>
      </c>
      <c r="C687" s="49"/>
      <c r="D687" s="8" t="s">
        <v>878</v>
      </c>
      <c r="E687" s="7" t="s">
        <v>20</v>
      </c>
      <c r="F687" s="7">
        <v>2019</v>
      </c>
      <c r="G687" s="7" t="s">
        <v>17</v>
      </c>
      <c r="H687" s="7" t="s">
        <v>130</v>
      </c>
      <c r="I687" s="7" t="s">
        <v>50</v>
      </c>
      <c r="J687" s="99" t="s">
        <v>3444</v>
      </c>
    </row>
    <row r="688" spans="1:10" ht="28.9" customHeight="1" thickTop="1" thickBot="1" x14ac:dyDescent="0.65">
      <c r="A688" s="7">
        <v>686</v>
      </c>
      <c r="B688" s="48" t="str">
        <f>HYPERLINK("https://search.naver.com/search.naver?query=데드 투 미 시즌2", "데드 투 미 시즌2")</f>
        <v>데드 투 미 시즌2</v>
      </c>
      <c r="C688" s="49"/>
      <c r="D688" s="8" t="s">
        <v>878</v>
      </c>
      <c r="E688" s="7" t="s">
        <v>20</v>
      </c>
      <c r="F688" s="7">
        <v>2020</v>
      </c>
      <c r="G688" s="7" t="s">
        <v>17</v>
      </c>
      <c r="H688" s="7" t="s">
        <v>130</v>
      </c>
      <c r="I688" s="7" t="s">
        <v>50</v>
      </c>
      <c r="J688" s="99" t="s">
        <v>3436</v>
      </c>
    </row>
    <row r="689" spans="1:10" ht="28.9" customHeight="1" thickTop="1" thickBot="1" x14ac:dyDescent="0.65">
      <c r="A689" s="7">
        <v>687</v>
      </c>
      <c r="B689" s="48" t="str">
        <f>HYPERLINK("https://search.naver.com/search.naver?query=데드 투 미 시즌3", "데드 투 미 시즌3")</f>
        <v>데드 투 미 시즌3</v>
      </c>
      <c r="C689" s="49"/>
      <c r="D689" s="8" t="s">
        <v>878</v>
      </c>
      <c r="E689" s="7" t="s">
        <v>20</v>
      </c>
      <c r="F689" s="7">
        <v>2022</v>
      </c>
      <c r="G689" s="7" t="s">
        <v>17</v>
      </c>
      <c r="H689" s="7" t="s">
        <v>130</v>
      </c>
      <c r="I689" s="7" t="s">
        <v>50</v>
      </c>
      <c r="J689" s="99" t="s">
        <v>3445</v>
      </c>
    </row>
    <row r="690" spans="1:10" ht="28.9" customHeight="1" thickTop="1" thickBot="1" x14ac:dyDescent="0.65">
      <c r="A690" s="3">
        <v>688</v>
      </c>
      <c r="B690" s="44" t="str">
        <f>HYPERLINK("https://search.naver.com/search.naver?query=데드폴 영화", "데드폴")</f>
        <v>데드폴</v>
      </c>
      <c r="C690" s="45">
        <v>6.58</v>
      </c>
      <c r="D690" s="4" t="s">
        <v>879</v>
      </c>
      <c r="E690" s="3" t="s">
        <v>20</v>
      </c>
      <c r="F690" s="3">
        <v>2012</v>
      </c>
      <c r="G690" s="3" t="s">
        <v>12</v>
      </c>
      <c r="H690" s="3" t="s">
        <v>92</v>
      </c>
      <c r="I690" s="3" t="s">
        <v>111</v>
      </c>
      <c r="J690" s="97" t="s">
        <v>3439</v>
      </c>
    </row>
    <row r="691" spans="1:10" ht="28.9" customHeight="1" thickTop="1" thickBot="1" x14ac:dyDescent="0.65">
      <c r="A691" s="5">
        <v>689</v>
      </c>
      <c r="B691" s="46" t="str">
        <f>HYPERLINK("https://search.naver.com/search.naver?query=데몰리션 영화", "데몰리션")</f>
        <v>데몰리션</v>
      </c>
      <c r="C691" s="47">
        <v>8.43</v>
      </c>
      <c r="D691" s="6" t="s">
        <v>880</v>
      </c>
      <c r="E691" s="5" t="s">
        <v>20</v>
      </c>
      <c r="F691" s="5">
        <v>2016</v>
      </c>
      <c r="G691" s="5" t="s">
        <v>12</v>
      </c>
      <c r="H691" s="5" t="s">
        <v>17</v>
      </c>
      <c r="I691" s="5" t="s">
        <v>70</v>
      </c>
      <c r="J691" s="98" t="s">
        <v>3441</v>
      </c>
    </row>
    <row r="692" spans="1:10" ht="28.9" customHeight="1" thickTop="1" thickBot="1" x14ac:dyDescent="0.65">
      <c r="A692" s="3">
        <v>690</v>
      </c>
      <c r="B692" s="44" t="str">
        <f>HYPERLINK("https://search.naver.com/search.naver?query=데미지 영화", "데미지")</f>
        <v>데미지</v>
      </c>
      <c r="C692" s="45">
        <v>7.47</v>
      </c>
      <c r="D692" s="4" t="s">
        <v>881</v>
      </c>
      <c r="E692" s="3" t="s">
        <v>210</v>
      </c>
      <c r="F692" s="3">
        <v>1992</v>
      </c>
      <c r="G692" s="3" t="s">
        <v>12</v>
      </c>
      <c r="H692" s="3" t="s">
        <v>17</v>
      </c>
      <c r="I692" s="3" t="s">
        <v>102</v>
      </c>
      <c r="J692" s="97" t="s">
        <v>3473</v>
      </c>
    </row>
    <row r="693" spans="1:10" ht="28.9" customHeight="1" thickTop="1" thickBot="1" x14ac:dyDescent="0.65">
      <c r="A693" s="5">
        <v>691</v>
      </c>
      <c r="B693" s="46" t="str">
        <f>HYPERLINK("https://search.naver.com/search.naver?query=데미지드 영화", "데미지드")</f>
        <v>데미지드</v>
      </c>
      <c r="C693" s="47">
        <v>3.7</v>
      </c>
      <c r="D693" s="6" t="s">
        <v>882</v>
      </c>
      <c r="E693" s="5" t="s">
        <v>20</v>
      </c>
      <c r="F693" s="5">
        <v>2024</v>
      </c>
      <c r="G693" s="5" t="s">
        <v>12</v>
      </c>
      <c r="H693" s="5" t="s">
        <v>92</v>
      </c>
      <c r="I693" s="5" t="s">
        <v>61</v>
      </c>
      <c r="J693" s="98" t="s">
        <v>3448</v>
      </c>
    </row>
    <row r="694" spans="1:10" ht="28.9" customHeight="1" thickTop="1" thickBot="1" x14ac:dyDescent="0.65">
      <c r="A694" s="3">
        <v>692</v>
      </c>
      <c r="B694" s="44" t="str">
        <f>HYPERLINK("https://search.naver.com/search.naver?query=데스 센텐스 영화", "데스 센텐스")</f>
        <v>데스 센텐스</v>
      </c>
      <c r="C694" s="45">
        <v>7.81</v>
      </c>
      <c r="D694" s="4" t="s">
        <v>883</v>
      </c>
      <c r="E694" s="3" t="s">
        <v>20</v>
      </c>
      <c r="F694" s="3">
        <v>2007</v>
      </c>
      <c r="G694" s="3" t="s">
        <v>12</v>
      </c>
      <c r="H694" s="3" t="s">
        <v>92</v>
      </c>
      <c r="I694" s="3" t="s">
        <v>128</v>
      </c>
      <c r="J694" s="97" t="s">
        <v>3447</v>
      </c>
    </row>
    <row r="695" spans="1:10" ht="28.9" customHeight="1" thickTop="1" thickBot="1" x14ac:dyDescent="0.65">
      <c r="A695" s="5">
        <v>693</v>
      </c>
      <c r="B695" s="46" t="str">
        <f>HYPERLINK("https://search.naver.com/search.naver?query=데스 위시 영화", "데스 위시")</f>
        <v>데스 위시</v>
      </c>
      <c r="C695" s="47">
        <v>7.45</v>
      </c>
      <c r="D695" s="6" t="s">
        <v>884</v>
      </c>
      <c r="E695" s="5" t="s">
        <v>20</v>
      </c>
      <c r="F695" s="5">
        <v>2018</v>
      </c>
      <c r="G695" s="5" t="s">
        <v>12</v>
      </c>
      <c r="H695" s="5" t="s">
        <v>92</v>
      </c>
      <c r="I695" s="5" t="s">
        <v>75</v>
      </c>
      <c r="J695" s="98" t="s">
        <v>3442</v>
      </c>
    </row>
    <row r="696" spans="1:10" ht="28.9" customHeight="1" thickTop="1" thickBot="1" x14ac:dyDescent="0.65">
      <c r="A696" s="3">
        <v>694</v>
      </c>
      <c r="B696" s="44" t="str">
        <f>HYPERLINK("https://search.naver.com/search.naver?query=데스 체이싱 영화", "데스 체이싱")</f>
        <v>데스 체이싱</v>
      </c>
      <c r="C696" s="45">
        <v>4.67</v>
      </c>
      <c r="D696" s="4" t="s">
        <v>885</v>
      </c>
      <c r="E696" s="3" t="s">
        <v>20</v>
      </c>
      <c r="F696" s="3">
        <v>2019</v>
      </c>
      <c r="G696" s="3" t="s">
        <v>12</v>
      </c>
      <c r="H696" s="3" t="s">
        <v>92</v>
      </c>
      <c r="I696" s="3" t="s">
        <v>115</v>
      </c>
      <c r="J696" s="97" t="s">
        <v>3444</v>
      </c>
    </row>
    <row r="697" spans="1:10" ht="28.9" customHeight="1" thickTop="1" thickBot="1" x14ac:dyDescent="0.65">
      <c r="A697" s="5">
        <v>695</v>
      </c>
      <c r="B697" s="46" t="str">
        <f>HYPERLINK("https://search.naver.com/search.naver?query=데어 윌 비 블러드 영화", "데어 윌 비 블러드")</f>
        <v>데어 윌 비 블러드</v>
      </c>
      <c r="C697" s="47">
        <v>9.6300000000000008</v>
      </c>
      <c r="D697" s="6" t="s">
        <v>886</v>
      </c>
      <c r="E697" s="5" t="s">
        <v>20</v>
      </c>
      <c r="F697" s="5">
        <v>2007</v>
      </c>
      <c r="G697" s="5" t="s">
        <v>12</v>
      </c>
      <c r="H697" s="5" t="s">
        <v>17</v>
      </c>
      <c r="I697" s="5" t="s">
        <v>533</v>
      </c>
      <c r="J697" s="98" t="s">
        <v>3447</v>
      </c>
    </row>
    <row r="698" spans="1:10" ht="28.9" customHeight="1" thickTop="1" thickBot="1" x14ac:dyDescent="0.65">
      <c r="A698" s="3">
        <v>696</v>
      </c>
      <c r="B698" s="44" t="str">
        <f>HYPERLINK("https://search.naver.com/search.naver?query=데이라이트 영화", "데이라이트")</f>
        <v>데이라이트</v>
      </c>
      <c r="C698" s="45">
        <v>7.31</v>
      </c>
      <c r="D698" s="4" t="s">
        <v>887</v>
      </c>
      <c r="E698" s="3" t="s">
        <v>20</v>
      </c>
      <c r="F698" s="3">
        <v>2013</v>
      </c>
      <c r="G698" s="3" t="s">
        <v>12</v>
      </c>
      <c r="H698" s="3" t="s">
        <v>92</v>
      </c>
      <c r="I698" s="3" t="s">
        <v>111</v>
      </c>
      <c r="J698" s="97" t="s">
        <v>3451</v>
      </c>
    </row>
    <row r="699" spans="1:10" ht="28.9" customHeight="1" thickTop="1" thickBot="1" x14ac:dyDescent="0.65">
      <c r="A699" s="5">
        <v>697</v>
      </c>
      <c r="B699" s="46" t="str">
        <f>HYPERLINK("https://search.naver.com/search.naver?query=데이비드 게일 영화", "데이비드 게일")</f>
        <v>데이비드 게일</v>
      </c>
      <c r="C699" s="47">
        <v>8.75</v>
      </c>
      <c r="D699" s="6" t="s">
        <v>888</v>
      </c>
      <c r="E699" s="5" t="s">
        <v>20</v>
      </c>
      <c r="F699" s="5">
        <v>2003</v>
      </c>
      <c r="G699" s="5" t="s">
        <v>12</v>
      </c>
      <c r="H699" s="5" t="s">
        <v>17</v>
      </c>
      <c r="I699" s="5" t="s">
        <v>34</v>
      </c>
      <c r="J699" s="98" t="s">
        <v>3449</v>
      </c>
    </row>
    <row r="700" spans="1:10" ht="28.9" customHeight="1" thickTop="1" thickBot="1" x14ac:dyDescent="0.65">
      <c r="A700" s="3">
        <v>698</v>
      </c>
      <c r="B700" s="44" t="str">
        <f>HYPERLINK("https://search.naver.com/search.naver?query=데인저러스 메소드 영화", "데인저러스 메소드")</f>
        <v>데인저러스 메소드</v>
      </c>
      <c r="C700" s="45">
        <v>8.32</v>
      </c>
      <c r="D700" s="4" t="s">
        <v>889</v>
      </c>
      <c r="E700" s="3" t="s">
        <v>24</v>
      </c>
      <c r="F700" s="3">
        <v>2011</v>
      </c>
      <c r="G700" s="3" t="s">
        <v>12</v>
      </c>
      <c r="H700" s="3" t="s">
        <v>17</v>
      </c>
      <c r="I700" s="3" t="s">
        <v>81</v>
      </c>
      <c r="J700" s="97" t="s">
        <v>3454</v>
      </c>
    </row>
    <row r="701" spans="1:10" ht="28.9" customHeight="1" thickTop="1" thickBot="1" x14ac:dyDescent="0.65">
      <c r="A701" s="5">
        <v>699</v>
      </c>
      <c r="B701" s="46" t="str">
        <f>HYPERLINK("https://search.naver.com/search.naver?query=데자뷰 영화", "데자뷰")</f>
        <v>데자뷰</v>
      </c>
      <c r="C701" s="47"/>
      <c r="D701" s="6" t="s">
        <v>890</v>
      </c>
      <c r="E701" s="5" t="s">
        <v>20</v>
      </c>
      <c r="F701" s="5">
        <v>2006</v>
      </c>
      <c r="G701" s="5" t="s">
        <v>12</v>
      </c>
      <c r="H701" s="5" t="s">
        <v>92</v>
      </c>
      <c r="I701" s="5" t="s">
        <v>78</v>
      </c>
      <c r="J701" s="98" t="s">
        <v>3460</v>
      </c>
    </row>
    <row r="702" spans="1:10" ht="28.9" customHeight="1" thickTop="1" thickBot="1" x14ac:dyDescent="0.65">
      <c r="A702" s="7">
        <v>700</v>
      </c>
      <c r="B702" s="48" t="str">
        <f>HYPERLINK("https://search.naver.com/search.naver?query=덱스터 시즌1", "덱스터 시즌1")</f>
        <v>덱스터 시즌1</v>
      </c>
      <c r="C702" s="49"/>
      <c r="D702" s="8" t="s">
        <v>891</v>
      </c>
      <c r="E702" s="7" t="s">
        <v>20</v>
      </c>
      <c r="F702" s="7">
        <v>2006</v>
      </c>
      <c r="G702" s="7" t="s">
        <v>17</v>
      </c>
      <c r="H702" s="7" t="s">
        <v>892</v>
      </c>
      <c r="I702" s="7" t="s">
        <v>893</v>
      </c>
      <c r="J702" s="99" t="s">
        <v>3460</v>
      </c>
    </row>
    <row r="703" spans="1:10" ht="28.9" customHeight="1" thickTop="1" thickBot="1" x14ac:dyDescent="0.65">
      <c r="A703" s="7">
        <v>701</v>
      </c>
      <c r="B703" s="48" t="str">
        <f>HYPERLINK("https://search.naver.com/search.naver?query=덱스터 시즌2", "덱스터 시즌2")</f>
        <v>덱스터 시즌2</v>
      </c>
      <c r="C703" s="49"/>
      <c r="D703" s="8"/>
      <c r="E703" s="7" t="s">
        <v>20</v>
      </c>
      <c r="F703" s="7">
        <v>2007</v>
      </c>
      <c r="G703" s="7" t="s">
        <v>17</v>
      </c>
      <c r="H703" s="7" t="s">
        <v>892</v>
      </c>
      <c r="I703" s="7" t="s">
        <v>893</v>
      </c>
      <c r="J703" s="99" t="s">
        <v>3447</v>
      </c>
    </row>
    <row r="704" spans="1:10" ht="28.9" customHeight="1" thickTop="1" thickBot="1" x14ac:dyDescent="0.65">
      <c r="A704" s="7">
        <v>702</v>
      </c>
      <c r="B704" s="48" t="str">
        <f>HYPERLINK("https://search.naver.com/search.naver?query=덱스터 뉴 블러드", "덱스터: 뉴 블러드")</f>
        <v>덱스터: 뉴 블러드</v>
      </c>
      <c r="C704" s="49"/>
      <c r="D704" s="8" t="s">
        <v>894</v>
      </c>
      <c r="E704" s="7" t="s">
        <v>20</v>
      </c>
      <c r="F704" s="7">
        <v>2021</v>
      </c>
      <c r="G704" s="7" t="s">
        <v>17</v>
      </c>
      <c r="H704" s="7" t="s">
        <v>892</v>
      </c>
      <c r="I704" s="7" t="s">
        <v>50</v>
      </c>
      <c r="J704" s="99" t="s">
        <v>3438</v>
      </c>
    </row>
    <row r="705" spans="1:10" ht="28.9" customHeight="1" thickTop="1" thickBot="1" x14ac:dyDescent="0.65">
      <c r="A705" s="5">
        <v>703</v>
      </c>
      <c r="B705" s="46" t="str">
        <f>HYPERLINK("https://search.naver.com/search.naver?query=델마 영화", "델마")</f>
        <v>델마</v>
      </c>
      <c r="C705" s="47">
        <v>7.89</v>
      </c>
      <c r="D705" s="6" t="s">
        <v>895</v>
      </c>
      <c r="E705" s="5" t="s">
        <v>39</v>
      </c>
      <c r="F705" s="5">
        <v>2017</v>
      </c>
      <c r="G705" s="5" t="s">
        <v>12</v>
      </c>
      <c r="H705" s="5" t="s">
        <v>17</v>
      </c>
      <c r="I705" s="5" t="s">
        <v>366</v>
      </c>
      <c r="J705" s="98" t="s">
        <v>3443</v>
      </c>
    </row>
    <row r="706" spans="1:10" ht="28.9" customHeight="1" thickTop="1" thickBot="1" x14ac:dyDescent="0.65">
      <c r="A706" s="3">
        <v>704</v>
      </c>
      <c r="B706" s="44" t="str">
        <f>HYPERLINK("https://search.naver.com/search.naver?query=도가니 영화", "도가니")</f>
        <v>도가니</v>
      </c>
      <c r="C706" s="45">
        <v>9.27</v>
      </c>
      <c r="D706" s="4" t="s">
        <v>896</v>
      </c>
      <c r="E706" s="3" t="s">
        <v>11</v>
      </c>
      <c r="F706" s="3">
        <v>2011</v>
      </c>
      <c r="G706" s="3" t="s">
        <v>12</v>
      </c>
      <c r="H706" s="3" t="s">
        <v>17</v>
      </c>
      <c r="I706" s="3" t="s">
        <v>214</v>
      </c>
      <c r="J706" s="97" t="s">
        <v>3454</v>
      </c>
    </row>
    <row r="707" spans="1:10" ht="28.9" customHeight="1" thickTop="1" thickBot="1" x14ac:dyDescent="0.65">
      <c r="A707" s="5">
        <v>705</v>
      </c>
      <c r="B707" s="46" t="str">
        <f>HYPERLINK("https://search.naver.com/search.naver?query=도굴 영화", "도굴")</f>
        <v>도굴</v>
      </c>
      <c r="C707" s="47">
        <v>8.4600000000000009</v>
      </c>
      <c r="D707" s="6" t="s">
        <v>897</v>
      </c>
      <c r="E707" s="5" t="s">
        <v>11</v>
      </c>
      <c r="F707" s="5">
        <v>2020</v>
      </c>
      <c r="G707" s="5" t="s">
        <v>12</v>
      </c>
      <c r="H707" s="5" t="s">
        <v>277</v>
      </c>
      <c r="I707" s="5" t="s">
        <v>207</v>
      </c>
      <c r="J707" s="98" t="s">
        <v>3436</v>
      </c>
    </row>
    <row r="708" spans="1:10" ht="28.9" customHeight="1" thickTop="1" thickBot="1" x14ac:dyDescent="0.65">
      <c r="A708" s="3">
        <v>706</v>
      </c>
      <c r="B708" s="44" t="str">
        <f>HYPERLINK("https://search.naver.com/search.naver?query=도그 영화", "도그")</f>
        <v>도그</v>
      </c>
      <c r="C708" s="45">
        <v>7.5</v>
      </c>
      <c r="D708" s="4" t="s">
        <v>898</v>
      </c>
      <c r="E708" s="3" t="s">
        <v>20</v>
      </c>
      <c r="F708" s="3">
        <v>2022</v>
      </c>
      <c r="G708" s="3" t="s">
        <v>12</v>
      </c>
      <c r="H708" s="3" t="s">
        <v>68</v>
      </c>
      <c r="I708" s="3" t="s">
        <v>70</v>
      </c>
      <c r="J708" s="97" t="s">
        <v>3445</v>
      </c>
    </row>
    <row r="709" spans="1:10" ht="28.9" customHeight="1" thickTop="1" thickBot="1" x14ac:dyDescent="0.65">
      <c r="A709" s="5">
        <v>707</v>
      </c>
      <c r="B709" s="46" t="str">
        <f>HYPERLINK("https://search.naver.com/search.naver?query=도둑 영화", "도둑")</f>
        <v>도둑</v>
      </c>
      <c r="C709" s="47">
        <v>3.83</v>
      </c>
      <c r="D709" s="6" t="s">
        <v>899</v>
      </c>
      <c r="E709" s="5" t="s">
        <v>11</v>
      </c>
      <c r="F709" s="5">
        <v>2010</v>
      </c>
      <c r="G709" s="5" t="s">
        <v>12</v>
      </c>
      <c r="H709" s="5" t="s">
        <v>17</v>
      </c>
      <c r="I709" s="5" t="s">
        <v>111</v>
      </c>
      <c r="J709" s="98" t="s">
        <v>3455</v>
      </c>
    </row>
    <row r="710" spans="1:10" ht="28.9" customHeight="1" thickTop="1" thickBot="1" x14ac:dyDescent="0.65">
      <c r="A710" s="3">
        <v>708</v>
      </c>
      <c r="B710" s="44" t="str">
        <f>HYPERLINK("https://search.naver.com/search.naver?query=도둑들 영화", "도둑들")</f>
        <v>도둑들</v>
      </c>
      <c r="C710" s="45">
        <v>7.67</v>
      </c>
      <c r="D710" s="4" t="s">
        <v>900</v>
      </c>
      <c r="E710" s="3" t="s">
        <v>11</v>
      </c>
      <c r="F710" s="3">
        <v>2012</v>
      </c>
      <c r="G710" s="3" t="s">
        <v>12</v>
      </c>
      <c r="H710" s="3" t="s">
        <v>80</v>
      </c>
      <c r="I710" s="3" t="s">
        <v>41</v>
      </c>
      <c r="J710" s="97" t="s">
        <v>3439</v>
      </c>
    </row>
    <row r="711" spans="1:10" ht="28.9" customHeight="1" thickTop="1" thickBot="1" x14ac:dyDescent="0.65">
      <c r="A711" s="5">
        <v>709</v>
      </c>
      <c r="B711" s="46" t="str">
        <f>HYPERLINK("https://search.naver.com/search.naver?query=도라 도라 도라 영화", "도라 도라 도라")</f>
        <v>도라 도라 도라</v>
      </c>
      <c r="C711" s="47">
        <v>8.2100000000000009</v>
      </c>
      <c r="D711" s="6" t="s">
        <v>901</v>
      </c>
      <c r="E711" s="5" t="s">
        <v>20</v>
      </c>
      <c r="F711" s="5">
        <v>1970</v>
      </c>
      <c r="G711" s="5" t="s">
        <v>12</v>
      </c>
      <c r="H711" s="5" t="s">
        <v>721</v>
      </c>
      <c r="I711" s="5" t="s">
        <v>45</v>
      </c>
      <c r="J711" s="98" t="s">
        <v>3474</v>
      </c>
    </row>
    <row r="712" spans="1:10" ht="28.9" customHeight="1" thickTop="1" thickBot="1" x14ac:dyDescent="0.65">
      <c r="A712" s="3">
        <v>710</v>
      </c>
      <c r="B712" s="44" t="str">
        <f>HYPERLINK("https://search.naver.com/search.naver?query=도망친 여자 영화", "도망친 여자")</f>
        <v>도망친 여자</v>
      </c>
      <c r="C712" s="45">
        <v>8.07</v>
      </c>
      <c r="D712" s="4" t="s">
        <v>902</v>
      </c>
      <c r="E712" s="3" t="s">
        <v>11</v>
      </c>
      <c r="F712" s="3">
        <v>2020</v>
      </c>
      <c r="G712" s="3" t="s">
        <v>12</v>
      </c>
      <c r="H712" s="3" t="s">
        <v>17</v>
      </c>
      <c r="I712" s="3" t="s">
        <v>903</v>
      </c>
      <c r="J712" s="97" t="s">
        <v>3436</v>
      </c>
    </row>
    <row r="713" spans="1:10" ht="28.9" customHeight="1" thickTop="1" thickBot="1" x14ac:dyDescent="0.65">
      <c r="A713" s="5">
        <v>711</v>
      </c>
      <c r="B713" s="46" t="str">
        <f>HYPERLINK("https://search.naver.com/search.naver?query=도모구이 영화", "도모구이")</f>
        <v>도모구이</v>
      </c>
      <c r="C713" s="47">
        <v>6.4</v>
      </c>
      <c r="D713" s="6" t="s">
        <v>904</v>
      </c>
      <c r="E713" s="5" t="s">
        <v>16</v>
      </c>
      <c r="F713" s="5">
        <v>2013</v>
      </c>
      <c r="G713" s="5" t="s">
        <v>12</v>
      </c>
      <c r="H713" s="5" t="s">
        <v>17</v>
      </c>
      <c r="I713" s="5" t="s">
        <v>99</v>
      </c>
      <c r="J713" s="98" t="s">
        <v>3451</v>
      </c>
    </row>
    <row r="714" spans="1:10" ht="28.9" customHeight="1" thickTop="1" thickBot="1" x14ac:dyDescent="0.65">
      <c r="A714" s="3">
        <v>712</v>
      </c>
      <c r="B714" s="44" t="str">
        <f>HYPERLINK("https://search.naver.com/search.naver?query=도어락 영화", "도어락")</f>
        <v>도어락</v>
      </c>
      <c r="C714" s="45">
        <v>7.69</v>
      </c>
      <c r="D714" s="4" t="s">
        <v>905</v>
      </c>
      <c r="E714" s="3" t="s">
        <v>11</v>
      </c>
      <c r="F714" s="3">
        <v>2018</v>
      </c>
      <c r="G714" s="3" t="s">
        <v>12</v>
      </c>
      <c r="H714" s="3" t="s">
        <v>43</v>
      </c>
      <c r="I714" s="3" t="s">
        <v>99</v>
      </c>
      <c r="J714" s="97" t="s">
        <v>3442</v>
      </c>
    </row>
    <row r="715" spans="1:10" ht="28.9" customHeight="1" thickTop="1" thickBot="1" x14ac:dyDescent="0.65">
      <c r="A715" s="7">
        <v>713</v>
      </c>
      <c r="B715" s="48" t="str">
        <f>HYPERLINK("https://search.naver.com/search.naver?query=도쿄 사기꾼들", "도쿄 사기꾼들")</f>
        <v>도쿄 사기꾼들</v>
      </c>
      <c r="C715" s="49"/>
      <c r="D715" s="8" t="s">
        <v>906</v>
      </c>
      <c r="E715" s="7" t="s">
        <v>16</v>
      </c>
      <c r="F715" s="7">
        <v>2024</v>
      </c>
      <c r="G715" s="7" t="s">
        <v>17</v>
      </c>
      <c r="H715" s="7" t="s">
        <v>85</v>
      </c>
      <c r="I715" s="7" t="s">
        <v>324</v>
      </c>
      <c r="J715" s="99" t="s">
        <v>3448</v>
      </c>
    </row>
    <row r="716" spans="1:10" ht="28.9" customHeight="1" thickTop="1" thickBot="1" x14ac:dyDescent="0.65">
      <c r="A716" s="3">
        <v>714</v>
      </c>
      <c r="B716" s="44" t="str">
        <f>HYPERLINK("https://search.naver.com/search.naver?query=도쿄 소나타 영화", "도쿄 소나타")</f>
        <v>도쿄 소나타</v>
      </c>
      <c r="C716" s="45">
        <v>8.36</v>
      </c>
      <c r="D716" s="4" t="s">
        <v>907</v>
      </c>
      <c r="E716" s="3" t="s">
        <v>16</v>
      </c>
      <c r="F716" s="3">
        <v>2008</v>
      </c>
      <c r="G716" s="3" t="s">
        <v>12</v>
      </c>
      <c r="H716" s="3" t="s">
        <v>17</v>
      </c>
      <c r="I716" s="3" t="s">
        <v>86</v>
      </c>
      <c r="J716" s="97" t="s">
        <v>3450</v>
      </c>
    </row>
    <row r="717" spans="1:10" ht="28.9" customHeight="1" thickTop="1" thickBot="1" x14ac:dyDescent="0.65">
      <c r="A717" s="5">
        <v>715</v>
      </c>
      <c r="B717" s="46" t="str">
        <f>HYPERLINK("https://search.naver.com/search.naver?query=도쿄 타워 영화", "도쿄 타워")</f>
        <v>도쿄 타워</v>
      </c>
      <c r="C717" s="47">
        <v>7.42</v>
      </c>
      <c r="D717" s="6" t="s">
        <v>908</v>
      </c>
      <c r="E717" s="5" t="s">
        <v>16</v>
      </c>
      <c r="F717" s="5">
        <v>2007</v>
      </c>
      <c r="G717" s="5" t="s">
        <v>12</v>
      </c>
      <c r="H717" s="5" t="s">
        <v>17</v>
      </c>
      <c r="I717" s="5" t="s">
        <v>214</v>
      </c>
      <c r="J717" s="98" t="s">
        <v>3447</v>
      </c>
    </row>
    <row r="718" spans="1:10" ht="28.9" customHeight="1" thickTop="1" thickBot="1" x14ac:dyDescent="0.65">
      <c r="A718" s="3">
        <v>716</v>
      </c>
      <c r="B718" s="44" t="str">
        <f>HYPERLINK("https://search.naver.com/search.naver?query=독수리 에디 영화", "독수리 에디")</f>
        <v>독수리 에디</v>
      </c>
      <c r="C718" s="45">
        <v>8.9700000000000006</v>
      </c>
      <c r="D718" s="4" t="s">
        <v>909</v>
      </c>
      <c r="E718" s="3" t="s">
        <v>24</v>
      </c>
      <c r="F718" s="3">
        <v>2016</v>
      </c>
      <c r="G718" s="3" t="s">
        <v>12</v>
      </c>
      <c r="H718" s="3" t="s">
        <v>17</v>
      </c>
      <c r="I718" s="3" t="s">
        <v>286</v>
      </c>
      <c r="J718" s="97" t="s">
        <v>3441</v>
      </c>
    </row>
    <row r="719" spans="1:10" ht="28.9" customHeight="1" thickTop="1" thickBot="1" x14ac:dyDescent="0.65">
      <c r="A719" s="5">
        <v>717</v>
      </c>
      <c r="B719" s="46" t="str">
        <f>HYPERLINK("https://search.naver.com/search.naver?query=독전 영화", "독전")</f>
        <v>독전</v>
      </c>
      <c r="C719" s="47">
        <v>2.11</v>
      </c>
      <c r="D719" s="6" t="s">
        <v>910</v>
      </c>
      <c r="E719" s="5" t="s">
        <v>11</v>
      </c>
      <c r="F719" s="5">
        <v>2018</v>
      </c>
      <c r="G719" s="5" t="s">
        <v>12</v>
      </c>
      <c r="H719" s="5" t="s">
        <v>92</v>
      </c>
      <c r="I719" s="5" t="s">
        <v>366</v>
      </c>
      <c r="J719" s="98" t="s">
        <v>3442</v>
      </c>
    </row>
    <row r="720" spans="1:10" ht="28.9" customHeight="1" thickTop="1" thickBot="1" x14ac:dyDescent="0.65">
      <c r="A720" s="3">
        <v>718</v>
      </c>
      <c r="B720" s="44" t="str">
        <f>HYPERLINK("https://search.naver.com/search.naver?query=돈 영화", "돈")</f>
        <v>돈</v>
      </c>
      <c r="C720" s="45">
        <v>8.3800000000000008</v>
      </c>
      <c r="D720" s="4" t="s">
        <v>911</v>
      </c>
      <c r="E720" s="3" t="s">
        <v>11</v>
      </c>
      <c r="F720" s="3">
        <v>2019</v>
      </c>
      <c r="G720" s="3" t="s">
        <v>12</v>
      </c>
      <c r="H720" s="3" t="s">
        <v>277</v>
      </c>
      <c r="I720" s="3" t="s">
        <v>47</v>
      </c>
      <c r="J720" s="97" t="s">
        <v>3444</v>
      </c>
    </row>
    <row r="721" spans="1:10" ht="28.9" customHeight="1" thickTop="1" thickBot="1" x14ac:dyDescent="0.65">
      <c r="A721" s="5">
        <v>719</v>
      </c>
      <c r="B721" s="46" t="str">
        <f>HYPERLINK("https://search.naver.com/search.naver?query=돈 룩 업 영화", "돈 룩 업")</f>
        <v>돈 룩 업</v>
      </c>
      <c r="C721" s="47">
        <v>8.23</v>
      </c>
      <c r="D721" s="6" t="s">
        <v>912</v>
      </c>
      <c r="E721" s="5" t="s">
        <v>20</v>
      </c>
      <c r="F721" s="5">
        <v>2021</v>
      </c>
      <c r="G721" s="5" t="s">
        <v>12</v>
      </c>
      <c r="H721" s="5" t="s">
        <v>68</v>
      </c>
      <c r="I721" s="5" t="s">
        <v>619</v>
      </c>
      <c r="J721" s="98" t="s">
        <v>3438</v>
      </c>
    </row>
    <row r="722" spans="1:10" ht="28.9" customHeight="1" thickTop="1" thickBot="1" x14ac:dyDescent="0.65">
      <c r="A722" s="3">
        <v>720</v>
      </c>
      <c r="B722" s="44" t="str">
        <f>HYPERLINK("https://search.naver.com/search.naver?query=돈 크라이 마미 영화", "돈 크라이 마미")</f>
        <v>돈 크라이 마미</v>
      </c>
      <c r="C722" s="45">
        <v>6.45</v>
      </c>
      <c r="D722" s="4" t="s">
        <v>913</v>
      </c>
      <c r="E722" s="3" t="s">
        <v>11</v>
      </c>
      <c r="F722" s="3">
        <v>2012</v>
      </c>
      <c r="G722" s="3" t="s">
        <v>12</v>
      </c>
      <c r="H722" s="3" t="s">
        <v>17</v>
      </c>
      <c r="I722" s="3" t="s">
        <v>147</v>
      </c>
      <c r="J722" s="97" t="s">
        <v>3439</v>
      </c>
    </row>
    <row r="723" spans="1:10" ht="28.9" customHeight="1" thickTop="1" thickBot="1" x14ac:dyDescent="0.65">
      <c r="A723" s="5">
        <v>721</v>
      </c>
      <c r="B723" s="46" t="str">
        <f>HYPERLINK("https://search.naver.com/search.naver?query=돈의 맛 영화", "돈의 맛")</f>
        <v>돈의 맛</v>
      </c>
      <c r="C723" s="47">
        <v>6.82</v>
      </c>
      <c r="D723" s="6" t="s">
        <v>914</v>
      </c>
      <c r="E723" s="5" t="s">
        <v>11</v>
      </c>
      <c r="F723" s="5">
        <v>2012</v>
      </c>
      <c r="G723" s="5" t="s">
        <v>12</v>
      </c>
      <c r="H723" s="5" t="s">
        <v>17</v>
      </c>
      <c r="I723" s="5" t="s">
        <v>47</v>
      </c>
      <c r="J723" s="98" t="s">
        <v>3439</v>
      </c>
    </row>
    <row r="724" spans="1:10" ht="28.9" customHeight="1" thickTop="1" thickBot="1" x14ac:dyDescent="0.65">
      <c r="A724" s="3">
        <v>722</v>
      </c>
      <c r="B724" s="44" t="str">
        <f>HYPERLINK("https://search.naver.com/search.naver?query=돌로레스 클레이븐 영화", "돌로레스 클레이븐")</f>
        <v>돌로레스 클레이븐</v>
      </c>
      <c r="C724" s="45">
        <v>9.14</v>
      </c>
      <c r="D724" s="4" t="s">
        <v>915</v>
      </c>
      <c r="E724" s="3" t="s">
        <v>20</v>
      </c>
      <c r="F724" s="3">
        <v>1995</v>
      </c>
      <c r="G724" s="3" t="s">
        <v>12</v>
      </c>
      <c r="H724" s="3" t="s">
        <v>43</v>
      </c>
      <c r="I724" s="3" t="s">
        <v>280</v>
      </c>
      <c r="J724" s="97" t="s">
        <v>3475</v>
      </c>
    </row>
    <row r="725" spans="1:10" ht="28.9" customHeight="1" thickTop="1" thickBot="1" x14ac:dyDescent="0.65">
      <c r="A725" s="5">
        <v>723</v>
      </c>
      <c r="B725" s="46" t="str">
        <f>HYPERLINK("https://search.naver.com/search.naver?query=돌멩이 영화", "돌멩이")</f>
        <v>돌멩이</v>
      </c>
      <c r="C725" s="47">
        <v>9.1999999999999993</v>
      </c>
      <c r="D725" s="6" t="s">
        <v>916</v>
      </c>
      <c r="E725" s="5" t="s">
        <v>11</v>
      </c>
      <c r="F725" s="5">
        <v>2020</v>
      </c>
      <c r="G725" s="5" t="s">
        <v>12</v>
      </c>
      <c r="H725" s="5" t="s">
        <v>17</v>
      </c>
      <c r="I725" s="5" t="s">
        <v>286</v>
      </c>
      <c r="J725" s="98" t="s">
        <v>3436</v>
      </c>
    </row>
    <row r="726" spans="1:10" ht="28.9" customHeight="1" thickTop="1" thickBot="1" x14ac:dyDescent="0.65">
      <c r="A726" s="7">
        <v>724</v>
      </c>
      <c r="B726" s="48" t="str">
        <f>HYPERLINK("https://search.naver.com/search.naver?query=돌풍", "돌풍")</f>
        <v>돌풍</v>
      </c>
      <c r="C726" s="49"/>
      <c r="D726" s="8" t="s">
        <v>917</v>
      </c>
      <c r="E726" s="7" t="s">
        <v>11</v>
      </c>
      <c r="F726" s="7">
        <v>2024</v>
      </c>
      <c r="G726" s="7" t="s">
        <v>17</v>
      </c>
      <c r="H726" s="7" t="s">
        <v>17</v>
      </c>
      <c r="I726" s="7" t="s">
        <v>893</v>
      </c>
      <c r="J726" s="99" t="s">
        <v>3448</v>
      </c>
    </row>
    <row r="727" spans="1:10" ht="28.9" customHeight="1" thickTop="1" thickBot="1" x14ac:dyDescent="0.65">
      <c r="A727" s="5">
        <v>725</v>
      </c>
      <c r="B727" s="46" t="str">
        <f>HYPERLINK("https://search.naver.com/search.naver?query=돌핀 테일 2 영화", "돌핀 테일 2")</f>
        <v>돌핀 테일 2</v>
      </c>
      <c r="C727" s="47">
        <v>6.4</v>
      </c>
      <c r="D727" s="6" t="s">
        <v>918</v>
      </c>
      <c r="E727" s="5" t="s">
        <v>20</v>
      </c>
      <c r="F727" s="5">
        <v>2014</v>
      </c>
      <c r="G727" s="5" t="s">
        <v>12</v>
      </c>
      <c r="H727" s="5" t="s">
        <v>17</v>
      </c>
      <c r="I727" s="5" t="s">
        <v>75</v>
      </c>
      <c r="J727" s="98" t="s">
        <v>3437</v>
      </c>
    </row>
    <row r="728" spans="1:10" ht="28.9" customHeight="1" thickTop="1" thickBot="1" x14ac:dyDescent="0.65">
      <c r="A728" s="3">
        <v>726</v>
      </c>
      <c r="B728" s="44" t="str">
        <f>HYPERLINK("https://search.naver.com/search.naver?query=돌핀테일 영화", "돌핀테일")</f>
        <v>돌핀테일</v>
      </c>
      <c r="C728" s="45">
        <v>3</v>
      </c>
      <c r="D728" s="4" t="s">
        <v>918</v>
      </c>
      <c r="E728" s="3" t="s">
        <v>20</v>
      </c>
      <c r="F728" s="3">
        <v>2011</v>
      </c>
      <c r="G728" s="3" t="s">
        <v>12</v>
      </c>
      <c r="H728" s="3" t="s">
        <v>17</v>
      </c>
      <c r="I728" s="3" t="s">
        <v>73</v>
      </c>
      <c r="J728" s="97" t="s">
        <v>3454</v>
      </c>
    </row>
    <row r="729" spans="1:10" ht="28.9" customHeight="1" thickTop="1" thickBot="1" x14ac:dyDescent="0.65">
      <c r="A729" s="5">
        <v>727</v>
      </c>
      <c r="B729" s="46" t="str">
        <f>HYPERLINK("https://search.naver.com/search.naver?query=돔 헤밍웨이 영화", "돔 헤밍웨이")</f>
        <v>돔 헤밍웨이</v>
      </c>
      <c r="C729" s="47"/>
      <c r="D729" s="6" t="s">
        <v>919</v>
      </c>
      <c r="E729" s="5" t="s">
        <v>24</v>
      </c>
      <c r="F729" s="5">
        <v>2013</v>
      </c>
      <c r="G729" s="5" t="s">
        <v>12</v>
      </c>
      <c r="H729" s="5" t="s">
        <v>68</v>
      </c>
      <c r="I729" s="5" t="s">
        <v>93</v>
      </c>
      <c r="J729" s="98" t="s">
        <v>3451</v>
      </c>
    </row>
    <row r="730" spans="1:10" ht="28.9" customHeight="1" thickTop="1" thickBot="1" x14ac:dyDescent="0.65">
      <c r="A730" s="3">
        <v>728</v>
      </c>
      <c r="B730" s="44" t="str">
        <f>HYPERLINK("https://search.naver.com/search.naver?query=동감 영화", "동감")</f>
        <v>동감</v>
      </c>
      <c r="C730" s="45">
        <v>6.43</v>
      </c>
      <c r="D730" s="4" t="s">
        <v>920</v>
      </c>
      <c r="E730" s="3" t="s">
        <v>11</v>
      </c>
      <c r="F730" s="3">
        <v>2000</v>
      </c>
      <c r="G730" s="3" t="s">
        <v>12</v>
      </c>
      <c r="H730" s="3" t="s">
        <v>121</v>
      </c>
      <c r="I730" s="3" t="s">
        <v>207</v>
      </c>
      <c r="J730" s="97" t="s">
        <v>3458</v>
      </c>
    </row>
    <row r="731" spans="1:10" ht="28.9" customHeight="1" thickTop="1" thickBot="1" x14ac:dyDescent="0.65">
      <c r="A731" s="5">
        <v>729</v>
      </c>
      <c r="B731" s="46" t="str">
        <f>HYPERLINK("https://search.naver.com/search.naver?query=동갑내기 과외하기 영화", "동갑내기 과외하기")</f>
        <v>동갑내기 과외하기</v>
      </c>
      <c r="C731" s="47">
        <v>6.43</v>
      </c>
      <c r="D731" s="6" t="s">
        <v>921</v>
      </c>
      <c r="E731" s="5" t="s">
        <v>11</v>
      </c>
      <c r="F731" s="5">
        <v>2003</v>
      </c>
      <c r="G731" s="5" t="s">
        <v>12</v>
      </c>
      <c r="H731" s="5" t="s">
        <v>68</v>
      </c>
      <c r="I731" s="5" t="s">
        <v>214</v>
      </c>
      <c r="J731" s="98" t="s">
        <v>3449</v>
      </c>
    </row>
    <row r="732" spans="1:10" ht="28.9" customHeight="1" thickTop="1" thickBot="1" x14ac:dyDescent="0.65">
      <c r="A732" s="3">
        <v>730</v>
      </c>
      <c r="B732" s="44" t="str">
        <f>HYPERLINK("https://search.naver.com/search.naver?query=동경가족 영화", "동경가족")</f>
        <v>동경가족</v>
      </c>
      <c r="C732" s="45">
        <v>8.31</v>
      </c>
      <c r="D732" s="4" t="s">
        <v>922</v>
      </c>
      <c r="E732" s="3" t="s">
        <v>16</v>
      </c>
      <c r="F732" s="3">
        <v>2013</v>
      </c>
      <c r="G732" s="3" t="s">
        <v>12</v>
      </c>
      <c r="H732" s="3" t="s">
        <v>17</v>
      </c>
      <c r="I732" s="3" t="s">
        <v>923</v>
      </c>
      <c r="J732" s="97" t="s">
        <v>3451</v>
      </c>
    </row>
    <row r="733" spans="1:10" ht="28.9" customHeight="1" thickTop="1" thickBot="1" x14ac:dyDescent="0.65">
      <c r="A733" s="5">
        <v>731</v>
      </c>
      <c r="B733" s="46" t="str">
        <f>HYPERLINK("https://search.naver.com/search.naver?query=동네사람들 영화", "동네사람들")</f>
        <v>동네사람들</v>
      </c>
      <c r="C733" s="47">
        <v>7.12</v>
      </c>
      <c r="D733" s="6" t="s">
        <v>924</v>
      </c>
      <c r="E733" s="5" t="s">
        <v>11</v>
      </c>
      <c r="F733" s="5">
        <v>2018</v>
      </c>
      <c r="G733" s="5" t="s">
        <v>12</v>
      </c>
      <c r="H733" s="5" t="s">
        <v>43</v>
      </c>
      <c r="I733" s="5" t="s">
        <v>14</v>
      </c>
      <c r="J733" s="98" t="s">
        <v>3442</v>
      </c>
    </row>
    <row r="734" spans="1:10" ht="28.9" customHeight="1" thickTop="1" thickBot="1" x14ac:dyDescent="0.65">
      <c r="A734" s="3">
        <v>732</v>
      </c>
      <c r="B734" s="44" t="str">
        <f>HYPERLINK("https://search.naver.com/search.naver?query=동창생 영화", "동창생")</f>
        <v>동창생</v>
      </c>
      <c r="C734" s="45">
        <v>7.31</v>
      </c>
      <c r="D734" s="4" t="s">
        <v>925</v>
      </c>
      <c r="E734" s="3" t="s">
        <v>11</v>
      </c>
      <c r="F734" s="3">
        <v>2013</v>
      </c>
      <c r="G734" s="3" t="s">
        <v>12</v>
      </c>
      <c r="H734" s="3" t="s">
        <v>17</v>
      </c>
      <c r="I734" s="3" t="s">
        <v>73</v>
      </c>
      <c r="J734" s="97" t="s">
        <v>3451</v>
      </c>
    </row>
    <row r="735" spans="1:10" ht="28.9" customHeight="1" thickTop="1" thickBot="1" x14ac:dyDescent="0.65">
      <c r="A735" s="5">
        <v>733</v>
      </c>
      <c r="B735" s="46" t="str">
        <f>HYPERLINK("https://search.naver.com/search.naver?query=동화지만 청불입니다 영화", "동화지만 청불입니다")</f>
        <v>동화지만 청불입니다</v>
      </c>
      <c r="C735" s="47">
        <v>7.19</v>
      </c>
      <c r="D735" s="6" t="s">
        <v>926</v>
      </c>
      <c r="E735" s="5" t="s">
        <v>11</v>
      </c>
      <c r="F735" s="5">
        <v>2025</v>
      </c>
      <c r="G735" s="5" t="s">
        <v>12</v>
      </c>
      <c r="H735" s="5" t="s">
        <v>68</v>
      </c>
      <c r="I735" s="5" t="s">
        <v>137</v>
      </c>
      <c r="J735" s="98" t="s">
        <v>3459</v>
      </c>
    </row>
    <row r="736" spans="1:10" ht="28.9" customHeight="1" thickTop="1" thickBot="1" x14ac:dyDescent="0.65">
      <c r="A736" s="3">
        <v>734</v>
      </c>
      <c r="B736" s="44" t="str">
        <f>HYPERLINK("https://search.naver.com/search.naver?query=두 개의 사랑 영화", "두 개의 사랑")</f>
        <v>두 개의 사랑</v>
      </c>
      <c r="C736" s="45">
        <v>7.21</v>
      </c>
      <c r="D736" s="4" t="s">
        <v>927</v>
      </c>
      <c r="E736" s="3" t="s">
        <v>20</v>
      </c>
      <c r="F736" s="3">
        <v>2017</v>
      </c>
      <c r="G736" s="3" t="s">
        <v>12</v>
      </c>
      <c r="H736" s="3" t="s">
        <v>121</v>
      </c>
      <c r="I736" s="3" t="s">
        <v>111</v>
      </c>
      <c r="J736" s="97" t="s">
        <v>3443</v>
      </c>
    </row>
    <row r="737" spans="1:10" ht="28.9" customHeight="1" thickTop="1" thickBot="1" x14ac:dyDescent="0.65">
      <c r="A737" s="5">
        <v>735</v>
      </c>
      <c r="B737" s="46" t="str">
        <f>HYPERLINK("https://search.naver.com/search.naver?query=두 교황 영화", "두 교황")</f>
        <v>두 교황</v>
      </c>
      <c r="C737" s="47">
        <v>9.33</v>
      </c>
      <c r="D737" s="6" t="s">
        <v>928</v>
      </c>
      <c r="E737" s="5" t="s">
        <v>24</v>
      </c>
      <c r="F737" s="5">
        <v>2019</v>
      </c>
      <c r="G737" s="5" t="s">
        <v>12</v>
      </c>
      <c r="H737" s="5" t="s">
        <v>17</v>
      </c>
      <c r="I737" s="5" t="s">
        <v>214</v>
      </c>
      <c r="J737" s="98" t="s">
        <v>3444</v>
      </c>
    </row>
    <row r="738" spans="1:10" ht="28.9" customHeight="1" thickTop="1" thickBot="1" x14ac:dyDescent="0.65">
      <c r="A738" s="3">
        <v>736</v>
      </c>
      <c r="B738" s="44" t="str">
        <f>HYPERLINK("https://search.naver.com/search.naver?query=두 세계 사이에서 영화", "두 세계 사이에서")</f>
        <v>두 세계 사이에서</v>
      </c>
      <c r="C738" s="45">
        <v>7.62</v>
      </c>
      <c r="D738" s="4" t="s">
        <v>929</v>
      </c>
      <c r="E738" s="3" t="s">
        <v>210</v>
      </c>
      <c r="F738" s="3">
        <v>2021</v>
      </c>
      <c r="G738" s="3" t="s">
        <v>12</v>
      </c>
      <c r="H738" s="3" t="s">
        <v>17</v>
      </c>
      <c r="I738" s="3" t="s">
        <v>286</v>
      </c>
      <c r="J738" s="97" t="s">
        <v>3438</v>
      </c>
    </row>
    <row r="739" spans="1:10" ht="28.9" customHeight="1" thickTop="1" thickBot="1" x14ac:dyDescent="0.65">
      <c r="A739" s="5">
        <v>737</v>
      </c>
      <c r="B739" s="46" t="str">
        <f>HYPERLINK("https://search.naver.com/search.naver?query=두번째 사랑 영화", "두번째 사랑")</f>
        <v>두번째 사랑</v>
      </c>
      <c r="C739" s="47">
        <v>8.0299999999999994</v>
      </c>
      <c r="D739" s="6" t="s">
        <v>930</v>
      </c>
      <c r="E739" s="5" t="s">
        <v>11</v>
      </c>
      <c r="F739" s="5">
        <v>2007</v>
      </c>
      <c r="G739" s="5" t="s">
        <v>12</v>
      </c>
      <c r="H739" s="5" t="s">
        <v>121</v>
      </c>
      <c r="I739" s="5" t="s">
        <v>70</v>
      </c>
      <c r="J739" s="98" t="s">
        <v>3447</v>
      </c>
    </row>
    <row r="740" spans="1:10" ht="28.9" customHeight="1" thickTop="1" thickBot="1" x14ac:dyDescent="0.65">
      <c r="A740" s="3">
        <v>738</v>
      </c>
      <c r="B740" s="44" t="str">
        <f>HYPERLINK("https://search.naver.com/search.naver?query=듀 데이트 영화", "듀 데이트")</f>
        <v>듀 데이트</v>
      </c>
      <c r="C740" s="45">
        <v>7.19</v>
      </c>
      <c r="D740" s="4" t="s">
        <v>931</v>
      </c>
      <c r="E740" s="3" t="s">
        <v>20</v>
      </c>
      <c r="F740" s="3">
        <v>2010</v>
      </c>
      <c r="G740" s="3" t="s">
        <v>12</v>
      </c>
      <c r="H740" s="3" t="s">
        <v>68</v>
      </c>
      <c r="I740" s="3" t="s">
        <v>111</v>
      </c>
      <c r="J740" s="97" t="s">
        <v>3455</v>
      </c>
    </row>
    <row r="741" spans="1:10" ht="28.9" customHeight="1" thickTop="1" thickBot="1" x14ac:dyDescent="0.65">
      <c r="A741" s="5">
        <v>739</v>
      </c>
      <c r="B741" s="46" t="str">
        <f>HYPERLINK("https://search.naver.com/search.naver?query=듄 영화", "듄")</f>
        <v>듄</v>
      </c>
      <c r="C741" s="47">
        <v>8.92</v>
      </c>
      <c r="D741" s="6" t="s">
        <v>932</v>
      </c>
      <c r="E741" s="5" t="s">
        <v>20</v>
      </c>
      <c r="F741" s="5">
        <v>2021</v>
      </c>
      <c r="G741" s="5" t="s">
        <v>12</v>
      </c>
      <c r="H741" s="5" t="s">
        <v>520</v>
      </c>
      <c r="I741" s="5" t="s">
        <v>182</v>
      </c>
      <c r="J741" s="98" t="s">
        <v>3438</v>
      </c>
    </row>
    <row r="742" spans="1:10" ht="28.9" customHeight="1" thickTop="1" thickBot="1" x14ac:dyDescent="0.65">
      <c r="A742" s="3">
        <v>740</v>
      </c>
      <c r="B742" s="44" t="str">
        <f>HYPERLINK("https://search.naver.com/search.naver?query=드라이 영화", "드라이")</f>
        <v>드라이</v>
      </c>
      <c r="C742" s="45">
        <v>7.2</v>
      </c>
      <c r="D742" s="4" t="s">
        <v>933</v>
      </c>
      <c r="E742" s="3" t="s">
        <v>36</v>
      </c>
      <c r="F742" s="3">
        <v>2020</v>
      </c>
      <c r="G742" s="3" t="s">
        <v>12</v>
      </c>
      <c r="H742" s="3" t="s">
        <v>43</v>
      </c>
      <c r="I742" s="3" t="s">
        <v>89</v>
      </c>
      <c r="J742" s="97" t="s">
        <v>3436</v>
      </c>
    </row>
    <row r="743" spans="1:10" ht="28.9" customHeight="1" thickTop="1" thickBot="1" x14ac:dyDescent="0.65">
      <c r="A743" s="5">
        <v>741</v>
      </c>
      <c r="B743" s="46" t="str">
        <f>HYPERLINK("https://search.naver.com/search.naver?query=드라이브 영화", "드라이브")</f>
        <v>드라이브</v>
      </c>
      <c r="C743" s="47">
        <v>3.32</v>
      </c>
      <c r="D743" s="6" t="s">
        <v>934</v>
      </c>
      <c r="E743" s="5" t="s">
        <v>20</v>
      </c>
      <c r="F743" s="5">
        <v>2011</v>
      </c>
      <c r="G743" s="5" t="s">
        <v>12</v>
      </c>
      <c r="H743" s="5" t="s">
        <v>92</v>
      </c>
      <c r="I743" s="5" t="s">
        <v>131</v>
      </c>
      <c r="J743" s="98" t="s">
        <v>3454</v>
      </c>
    </row>
    <row r="744" spans="1:10" ht="28.9" customHeight="1" thickTop="1" thickBot="1" x14ac:dyDescent="0.65">
      <c r="A744" s="3">
        <v>742</v>
      </c>
      <c r="B744" s="44" t="str">
        <f>HYPERLINK("https://search.naver.com/search.naver?query=드라이브 마이 카 영화", "드라이브 마이 카")</f>
        <v>드라이브 마이 카</v>
      </c>
      <c r="C744" s="45">
        <v>8.6300000000000008</v>
      </c>
      <c r="D744" s="4" t="s">
        <v>935</v>
      </c>
      <c r="E744" s="3" t="s">
        <v>16</v>
      </c>
      <c r="F744" s="3">
        <v>2021</v>
      </c>
      <c r="G744" s="3" t="s">
        <v>12</v>
      </c>
      <c r="H744" s="3" t="s">
        <v>17</v>
      </c>
      <c r="I744" s="3" t="s">
        <v>211</v>
      </c>
      <c r="J744" s="97" t="s">
        <v>3438</v>
      </c>
    </row>
    <row r="745" spans="1:10" ht="28.9" customHeight="1" thickTop="1" thickBot="1" x14ac:dyDescent="0.65">
      <c r="A745" s="5">
        <v>743</v>
      </c>
      <c r="B745" s="46" t="str">
        <f>HYPERLINK("https://search.naver.com/search.naver?query=드라이브 앵그리 영화", "드라이브 앵그리")</f>
        <v>드라이브 앵그리</v>
      </c>
      <c r="C745" s="47"/>
      <c r="D745" s="6" t="s">
        <v>936</v>
      </c>
      <c r="E745" s="5" t="s">
        <v>20</v>
      </c>
      <c r="F745" s="5">
        <v>2011</v>
      </c>
      <c r="G745" s="5" t="s">
        <v>12</v>
      </c>
      <c r="H745" s="5" t="s">
        <v>92</v>
      </c>
      <c r="I745" s="5" t="s">
        <v>170</v>
      </c>
      <c r="J745" s="98" t="s">
        <v>3454</v>
      </c>
    </row>
    <row r="746" spans="1:10" ht="28.9" customHeight="1" thickTop="1" thickBot="1" x14ac:dyDescent="0.65">
      <c r="A746" s="3">
        <v>744</v>
      </c>
      <c r="B746" s="44" t="str">
        <f>HYPERLINK("https://search.naver.com/search.naver?query=드래그 영화", "드래그")</f>
        <v>드래그</v>
      </c>
      <c r="C746" s="45">
        <v>6.4</v>
      </c>
      <c r="D746" s="4" t="s">
        <v>937</v>
      </c>
      <c r="E746" s="3" t="s">
        <v>20</v>
      </c>
      <c r="F746" s="3">
        <v>2018</v>
      </c>
      <c r="G746" s="3" t="s">
        <v>12</v>
      </c>
      <c r="H746" s="3" t="s">
        <v>92</v>
      </c>
      <c r="I746" s="3" t="s">
        <v>115</v>
      </c>
      <c r="J746" s="97" t="s">
        <v>3442</v>
      </c>
    </row>
    <row r="747" spans="1:10" ht="28.9" customHeight="1" thickTop="1" thickBot="1" x14ac:dyDescent="0.65">
      <c r="A747" s="5">
        <v>745</v>
      </c>
      <c r="B747" s="46" t="str">
        <f>HYPERLINK("https://search.naver.com/search.naver?query=드래프트 데이 영화", "드래프트 데이")</f>
        <v>드래프트 데이</v>
      </c>
      <c r="C747" s="47">
        <v>8.1999999999999993</v>
      </c>
      <c r="D747" s="6" t="s">
        <v>938</v>
      </c>
      <c r="E747" s="5" t="s">
        <v>20</v>
      </c>
      <c r="F747" s="5">
        <v>2014</v>
      </c>
      <c r="G747" s="5" t="s">
        <v>12</v>
      </c>
      <c r="H747" s="5" t="s">
        <v>17</v>
      </c>
      <c r="I747" s="5" t="s">
        <v>96</v>
      </c>
      <c r="J747" s="98" t="s">
        <v>3437</v>
      </c>
    </row>
    <row r="748" spans="1:10" ht="28.9" customHeight="1" thickTop="1" thickBot="1" x14ac:dyDescent="0.65">
      <c r="A748" s="3">
        <v>746</v>
      </c>
      <c r="B748" s="44" t="str">
        <f>HYPERLINK("https://search.naver.com/search.naver?query=드레스메이커 영화", "드레스메이커")</f>
        <v>드레스메이커</v>
      </c>
      <c r="C748" s="45">
        <v>8.11</v>
      </c>
      <c r="D748" s="4" t="s">
        <v>939</v>
      </c>
      <c r="E748" s="3" t="s">
        <v>36</v>
      </c>
      <c r="F748" s="3">
        <v>2015</v>
      </c>
      <c r="G748" s="3" t="s">
        <v>12</v>
      </c>
      <c r="H748" s="3" t="s">
        <v>17</v>
      </c>
      <c r="I748" s="3" t="s">
        <v>221</v>
      </c>
      <c r="J748" s="97" t="s">
        <v>3440</v>
      </c>
    </row>
    <row r="749" spans="1:10" ht="28.9" customHeight="1" thickTop="1" thickBot="1" x14ac:dyDescent="0.65">
      <c r="A749" s="5">
        <v>747</v>
      </c>
      <c r="B749" s="46" t="str">
        <f>HYPERLINK("https://search.naver.com/search.naver?query=드론전쟁 - 굿 킬 영화", "드론전쟁 - 굿 킬")</f>
        <v>드론전쟁 - 굿 킬</v>
      </c>
      <c r="C749" s="47"/>
      <c r="D749" s="6" t="s">
        <v>940</v>
      </c>
      <c r="E749" s="5" t="s">
        <v>20</v>
      </c>
      <c r="F749" s="5">
        <v>2014</v>
      </c>
      <c r="G749" s="5" t="s">
        <v>12</v>
      </c>
      <c r="H749" s="5" t="s">
        <v>17</v>
      </c>
      <c r="I749" s="5" t="s">
        <v>99</v>
      </c>
      <c r="J749" s="98" t="s">
        <v>3437</v>
      </c>
    </row>
    <row r="750" spans="1:10" ht="28.9" customHeight="1" thickTop="1" thickBot="1" x14ac:dyDescent="0.65">
      <c r="A750" s="3">
        <v>748</v>
      </c>
      <c r="B750" s="44" t="str">
        <f>HYPERLINK("https://search.naver.com/search.naver?query=드론전쟁 굿킬 영화", "드론전쟁 굿킬")</f>
        <v>드론전쟁 굿킬</v>
      </c>
      <c r="C750" s="45">
        <v>6.4</v>
      </c>
      <c r="D750" s="4" t="s">
        <v>940</v>
      </c>
      <c r="E750" s="3" t="s">
        <v>20</v>
      </c>
      <c r="F750" s="3">
        <v>2014</v>
      </c>
      <c r="G750" s="3" t="s">
        <v>12</v>
      </c>
      <c r="H750" s="3" t="s">
        <v>17</v>
      </c>
      <c r="I750" s="3" t="s">
        <v>99</v>
      </c>
      <c r="J750" s="97" t="s">
        <v>3437</v>
      </c>
    </row>
    <row r="751" spans="1:10" ht="28.9" customHeight="1" thickTop="1" thickBot="1" x14ac:dyDescent="0.65">
      <c r="A751" s="5">
        <v>749</v>
      </c>
      <c r="B751" s="46" t="str">
        <f>HYPERLINK("https://search.naver.com/search.naver?query=드롭 영화", "드롭")</f>
        <v>드롭</v>
      </c>
      <c r="C751" s="47">
        <v>7.4</v>
      </c>
      <c r="D751" s="6" t="s">
        <v>941</v>
      </c>
      <c r="E751" s="5" t="s">
        <v>20</v>
      </c>
      <c r="F751" s="5">
        <v>2025</v>
      </c>
      <c r="G751" s="5" t="s">
        <v>12</v>
      </c>
      <c r="H751" s="5" t="s">
        <v>43</v>
      </c>
      <c r="I751" s="5" t="s">
        <v>111</v>
      </c>
      <c r="J751" s="98" t="s">
        <v>3459</v>
      </c>
    </row>
    <row r="752" spans="1:10" ht="28.9" customHeight="1" thickTop="1" thickBot="1" x14ac:dyDescent="0.65">
      <c r="A752" s="3">
        <v>750</v>
      </c>
      <c r="B752" s="44" t="str">
        <f>HYPERLINK("https://search.naver.com/search.naver?query=드리프트 영화", "드리프트")</f>
        <v>드리프트</v>
      </c>
      <c r="C752" s="45"/>
      <c r="D752" s="4" t="s">
        <v>942</v>
      </c>
      <c r="E752" s="3" t="s">
        <v>36</v>
      </c>
      <c r="F752" s="3">
        <v>2013</v>
      </c>
      <c r="G752" s="3" t="s">
        <v>12</v>
      </c>
      <c r="H752" s="3" t="s">
        <v>17</v>
      </c>
      <c r="I752" s="3" t="s">
        <v>73</v>
      </c>
      <c r="J752" s="97" t="s">
        <v>3451</v>
      </c>
    </row>
    <row r="753" spans="1:10" ht="28.9" customHeight="1" thickTop="1" thickBot="1" x14ac:dyDescent="0.65">
      <c r="A753" s="5">
        <v>751</v>
      </c>
      <c r="B753" s="46" t="str">
        <f>HYPERLINK("https://search.naver.com/search.naver?query=드림 하우스 영화", "드림 하우스")</f>
        <v>드림 하우스</v>
      </c>
      <c r="C753" s="47">
        <v>6.4</v>
      </c>
      <c r="D753" s="6" t="s">
        <v>943</v>
      </c>
      <c r="E753" s="5" t="s">
        <v>20</v>
      </c>
      <c r="F753" s="5">
        <v>2011</v>
      </c>
      <c r="G753" s="5" t="s">
        <v>12</v>
      </c>
      <c r="H753" s="5" t="s">
        <v>43</v>
      </c>
      <c r="I753" s="5" t="s">
        <v>147</v>
      </c>
      <c r="J753" s="98" t="s">
        <v>3454</v>
      </c>
    </row>
    <row r="754" spans="1:10" ht="28.9" customHeight="1" thickTop="1" thickBot="1" x14ac:dyDescent="0.65">
      <c r="A754" s="3">
        <v>752</v>
      </c>
      <c r="B754" s="44" t="str">
        <f>HYPERLINK("https://search.naver.com/search.naver?query=드림 호스 영화", "드림 호스")</f>
        <v>드림 호스</v>
      </c>
      <c r="C754" s="45">
        <v>6.4</v>
      </c>
      <c r="D754" s="4" t="s">
        <v>944</v>
      </c>
      <c r="E754" s="3" t="s">
        <v>24</v>
      </c>
      <c r="F754" s="3">
        <v>2020</v>
      </c>
      <c r="G754" s="3" t="s">
        <v>12</v>
      </c>
      <c r="H754" s="3" t="s">
        <v>17</v>
      </c>
      <c r="I754" s="3" t="s">
        <v>73</v>
      </c>
      <c r="J754" s="97" t="s">
        <v>3436</v>
      </c>
    </row>
    <row r="755" spans="1:10" ht="28.9" customHeight="1" thickTop="1" thickBot="1" x14ac:dyDescent="0.65">
      <c r="A755" s="5">
        <v>753</v>
      </c>
      <c r="B755" s="46" t="str">
        <f>HYPERLINK("https://search.naver.com/search.naver?query=들리나요 영화", "들리나요")</f>
        <v>들리나요</v>
      </c>
      <c r="C755" s="47">
        <v>9.4</v>
      </c>
      <c r="D755" s="6" t="s">
        <v>945</v>
      </c>
      <c r="E755" s="5" t="s">
        <v>11</v>
      </c>
      <c r="F755" s="5">
        <v>2020</v>
      </c>
      <c r="G755" s="5" t="s">
        <v>12</v>
      </c>
      <c r="H755" s="5" t="s">
        <v>17</v>
      </c>
      <c r="I755" s="5" t="s">
        <v>536</v>
      </c>
      <c r="J755" s="98" t="s">
        <v>3436</v>
      </c>
    </row>
    <row r="756" spans="1:10" ht="28.9" customHeight="1" thickTop="1" thickBot="1" x14ac:dyDescent="0.65">
      <c r="A756" s="3">
        <v>754</v>
      </c>
      <c r="B756" s="44" t="str">
        <f>HYPERLINK("https://search.naver.com/search.naver?query=들어는 봤니 모건 부부 영화", "들어는 봤니 모건 부부")</f>
        <v>들어는 봤니 모건 부부</v>
      </c>
      <c r="C756" s="45">
        <v>6.4</v>
      </c>
      <c r="D756" s="4" t="s">
        <v>946</v>
      </c>
      <c r="E756" s="3" t="s">
        <v>20</v>
      </c>
      <c r="F756" s="3">
        <v>2009</v>
      </c>
      <c r="G756" s="3" t="s">
        <v>12</v>
      </c>
      <c r="H756" s="3" t="s">
        <v>68</v>
      </c>
      <c r="I756" s="3" t="s">
        <v>190</v>
      </c>
      <c r="J756" s="97" t="s">
        <v>3453</v>
      </c>
    </row>
    <row r="757" spans="1:10" ht="28.9" customHeight="1" thickTop="1" thickBot="1" x14ac:dyDescent="0.65">
      <c r="A757" s="5">
        <v>755</v>
      </c>
      <c r="B757" s="46" t="str">
        <f>HYPERLINK("https://search.naver.com/search.naver?query=디 아더 우먼 영화", "디 아더 우먼")</f>
        <v>디 아더 우먼</v>
      </c>
      <c r="C757" s="47">
        <v>6.4</v>
      </c>
      <c r="D757" s="6" t="s">
        <v>947</v>
      </c>
      <c r="E757" s="5" t="s">
        <v>20</v>
      </c>
      <c r="F757" s="5">
        <v>2014</v>
      </c>
      <c r="G757" s="5" t="s">
        <v>12</v>
      </c>
      <c r="H757" s="5" t="s">
        <v>68</v>
      </c>
      <c r="I757" s="5" t="s">
        <v>137</v>
      </c>
      <c r="J757" s="98" t="s">
        <v>3437</v>
      </c>
    </row>
    <row r="758" spans="1:10" ht="28.9" customHeight="1" thickTop="1" thickBot="1" x14ac:dyDescent="0.65">
      <c r="A758" s="3">
        <v>756</v>
      </c>
      <c r="B758" s="44" t="str">
        <f>HYPERLINK("https://search.naver.com/search.naver?query=디 아더스 영화", "디 아더스")</f>
        <v>디 아더스</v>
      </c>
      <c r="C758" s="45">
        <v>8.52</v>
      </c>
      <c r="D758" s="4" t="s">
        <v>948</v>
      </c>
      <c r="E758" s="3" t="s">
        <v>20</v>
      </c>
      <c r="F758" s="3">
        <v>2001</v>
      </c>
      <c r="G758" s="3" t="s">
        <v>12</v>
      </c>
      <c r="H758" s="3" t="s">
        <v>252</v>
      </c>
      <c r="I758" s="3" t="s">
        <v>70</v>
      </c>
      <c r="J758" s="97" t="s">
        <v>3457</v>
      </c>
    </row>
    <row r="759" spans="1:10" ht="28.9" customHeight="1" thickTop="1" thickBot="1" x14ac:dyDescent="0.65">
      <c r="A759" s="5">
        <v>757</v>
      </c>
      <c r="B759" s="46" t="str">
        <f>HYPERLINK("https://search.naver.com/search.naver?query=디 오버나이트 영화", "디 오버나이트")</f>
        <v>디 오버나이트</v>
      </c>
      <c r="C759" s="47"/>
      <c r="D759" s="6" t="s">
        <v>949</v>
      </c>
      <c r="E759" s="5" t="s">
        <v>20</v>
      </c>
      <c r="F759" s="5">
        <v>2015</v>
      </c>
      <c r="G759" s="5" t="s">
        <v>12</v>
      </c>
      <c r="H759" s="5" t="s">
        <v>68</v>
      </c>
      <c r="I759" s="5" t="s">
        <v>723</v>
      </c>
      <c r="J759" s="98" t="s">
        <v>3440</v>
      </c>
    </row>
    <row r="760" spans="1:10" ht="28.9" customHeight="1" thickTop="1" thickBot="1" x14ac:dyDescent="0.65">
      <c r="A760" s="3">
        <v>758</v>
      </c>
      <c r="B760" s="44" t="str">
        <f>HYPERLINK("https://search.naver.com/search.naver?query=디 인터뷰 영화", "디 인터뷰")</f>
        <v>디 인터뷰</v>
      </c>
      <c r="C760" s="45"/>
      <c r="D760" s="4" t="s">
        <v>950</v>
      </c>
      <c r="E760" s="3" t="s">
        <v>20</v>
      </c>
      <c r="F760" s="3">
        <v>2014</v>
      </c>
      <c r="G760" s="3" t="s">
        <v>12</v>
      </c>
      <c r="H760" s="3" t="s">
        <v>68</v>
      </c>
      <c r="I760" s="3" t="s">
        <v>278</v>
      </c>
      <c r="J760" s="97" t="s">
        <v>3437</v>
      </c>
    </row>
    <row r="761" spans="1:10" ht="28.9" customHeight="1" thickTop="1" thickBot="1" x14ac:dyDescent="0.65">
      <c r="A761" s="5">
        <v>759</v>
      </c>
      <c r="B761" s="46" t="str">
        <f>HYPERLINK("https://search.naver.com/search.naver?query=디바 영화", "디바")</f>
        <v>디바</v>
      </c>
      <c r="C761" s="47">
        <v>3.32</v>
      </c>
      <c r="D761" s="6" t="s">
        <v>951</v>
      </c>
      <c r="E761" s="5" t="s">
        <v>11</v>
      </c>
      <c r="F761" s="5">
        <v>2020</v>
      </c>
      <c r="G761" s="5" t="s">
        <v>12</v>
      </c>
      <c r="H761" s="5" t="s">
        <v>43</v>
      </c>
      <c r="I761" s="5" t="s">
        <v>952</v>
      </c>
      <c r="J761" s="98" t="s">
        <v>3436</v>
      </c>
    </row>
    <row r="762" spans="1:10" ht="28.9" customHeight="1" thickTop="1" thickBot="1" x14ac:dyDescent="0.65">
      <c r="A762" s="3">
        <v>760</v>
      </c>
      <c r="B762" s="44" t="str">
        <f>HYPERLINK("https://search.naver.com/search.naver?query=디서비디언스 영화", "디서비디언스")</f>
        <v>디서비디언스</v>
      </c>
      <c r="C762" s="45">
        <v>6.4</v>
      </c>
      <c r="D762" s="4" t="s">
        <v>953</v>
      </c>
      <c r="E762" s="3" t="s">
        <v>24</v>
      </c>
      <c r="F762" s="3">
        <v>2017</v>
      </c>
      <c r="G762" s="3" t="s">
        <v>12</v>
      </c>
      <c r="H762" s="3" t="s">
        <v>17</v>
      </c>
      <c r="I762" s="3" t="s">
        <v>207</v>
      </c>
      <c r="J762" s="97" t="s">
        <v>3443</v>
      </c>
    </row>
    <row r="763" spans="1:10" ht="28.9" customHeight="1" thickTop="1" thickBot="1" x14ac:dyDescent="0.65">
      <c r="A763" s="5">
        <v>761</v>
      </c>
      <c r="B763" s="46" t="str">
        <f>HYPERLINK("https://search.naver.com/search.naver?query=디센던트 영화", "디센던트")</f>
        <v>디센던트</v>
      </c>
      <c r="C763" s="47">
        <v>8.2100000000000009</v>
      </c>
      <c r="D763" s="6" t="s">
        <v>954</v>
      </c>
      <c r="E763" s="5" t="s">
        <v>20</v>
      </c>
      <c r="F763" s="5">
        <v>2011</v>
      </c>
      <c r="G763" s="5" t="s">
        <v>12</v>
      </c>
      <c r="H763" s="5" t="s">
        <v>17</v>
      </c>
      <c r="I763" s="5" t="s">
        <v>47</v>
      </c>
      <c r="J763" s="98" t="s">
        <v>3454</v>
      </c>
    </row>
    <row r="764" spans="1:10" ht="28.9" customHeight="1" thickTop="1" thickBot="1" x14ac:dyDescent="0.65">
      <c r="A764" s="3">
        <v>762</v>
      </c>
      <c r="B764" s="44" t="str">
        <f>HYPERLINK("https://search.naver.com/search.naver?query=디스 민즈 워 영화", "디스 민즈 워")</f>
        <v>디스 민즈 워</v>
      </c>
      <c r="C764" s="45">
        <v>8.1999999999999993</v>
      </c>
      <c r="D764" s="4" t="s">
        <v>955</v>
      </c>
      <c r="E764" s="3" t="s">
        <v>20</v>
      </c>
      <c r="F764" s="3">
        <v>2012</v>
      </c>
      <c r="G764" s="3" t="s">
        <v>12</v>
      </c>
      <c r="H764" s="3" t="s">
        <v>223</v>
      </c>
      <c r="I764" s="3" t="s">
        <v>190</v>
      </c>
      <c r="J764" s="97" t="s">
        <v>3439</v>
      </c>
    </row>
    <row r="765" spans="1:10" ht="28.9" customHeight="1" thickTop="1" thickBot="1" x14ac:dyDescent="0.65">
      <c r="A765" s="5">
        <v>763</v>
      </c>
      <c r="B765" s="46" t="str">
        <f>HYPERLINK("https://search.naver.com/search.naver?query=디스이즈 40 영화", "디스이즈 40")</f>
        <v>디스이즈 40</v>
      </c>
      <c r="C765" s="47">
        <v>6.4</v>
      </c>
      <c r="D765" s="6" t="s">
        <v>956</v>
      </c>
      <c r="E765" s="5" t="s">
        <v>20</v>
      </c>
      <c r="F765" s="5">
        <v>2012</v>
      </c>
      <c r="G765" s="5" t="s">
        <v>12</v>
      </c>
      <c r="H765" s="5" t="s">
        <v>68</v>
      </c>
      <c r="I765" s="5" t="s">
        <v>543</v>
      </c>
      <c r="J765" s="98" t="s">
        <v>3439</v>
      </c>
    </row>
    <row r="766" spans="1:10" ht="28.9" customHeight="1" thickTop="1" thickBot="1" x14ac:dyDescent="0.65">
      <c r="A766" s="3">
        <v>764</v>
      </c>
      <c r="B766" s="44" t="str">
        <f>HYPERLINK("https://search.naver.com/search.naver?query=디스커넥트 영화", "디스커넥트")</f>
        <v>디스커넥트</v>
      </c>
      <c r="C766" s="45">
        <v>8.5299999999999994</v>
      </c>
      <c r="D766" s="4" t="s">
        <v>957</v>
      </c>
      <c r="E766" s="3" t="s">
        <v>20</v>
      </c>
      <c r="F766" s="3">
        <v>2012</v>
      </c>
      <c r="G766" s="3" t="s">
        <v>12</v>
      </c>
      <c r="H766" s="3" t="s">
        <v>17</v>
      </c>
      <c r="I766" s="3" t="s">
        <v>47</v>
      </c>
      <c r="J766" s="97" t="s">
        <v>3439</v>
      </c>
    </row>
    <row r="767" spans="1:10" ht="28.9" customHeight="1" thickTop="1" thickBot="1" x14ac:dyDescent="0.65">
      <c r="A767" s="5">
        <v>765</v>
      </c>
      <c r="B767" s="46" t="str">
        <f>HYPERLINK("https://search.naver.com/search.naver?query=디스커버리 영화", "디스커버리")</f>
        <v>디스커버리</v>
      </c>
      <c r="C767" s="47"/>
      <c r="D767" s="6" t="s">
        <v>958</v>
      </c>
      <c r="E767" s="5" t="s">
        <v>20</v>
      </c>
      <c r="F767" s="5">
        <v>2017</v>
      </c>
      <c r="G767" s="5" t="s">
        <v>12</v>
      </c>
      <c r="H767" s="5" t="s">
        <v>167</v>
      </c>
      <c r="I767" s="5" t="s">
        <v>96</v>
      </c>
      <c r="J767" s="98" t="s">
        <v>3443</v>
      </c>
    </row>
    <row r="768" spans="1:10" ht="28.9" customHeight="1" thickTop="1" thickBot="1" x14ac:dyDescent="0.65">
      <c r="A768" s="7">
        <v>766</v>
      </c>
      <c r="B768" s="48" t="str">
        <f>HYPERLINK("https://search.naver.com/search.naver?query=디스클레이머", "디스클레이머")</f>
        <v>디스클레이머</v>
      </c>
      <c r="C768" s="49"/>
      <c r="D768" s="8" t="s">
        <v>959</v>
      </c>
      <c r="E768" s="7" t="s">
        <v>24</v>
      </c>
      <c r="F768" s="7">
        <v>2024</v>
      </c>
      <c r="G768" s="7" t="s">
        <v>17</v>
      </c>
      <c r="H768" s="7" t="s">
        <v>17</v>
      </c>
      <c r="I768" s="7" t="s">
        <v>324</v>
      </c>
      <c r="J768" s="99" t="s">
        <v>3448</v>
      </c>
    </row>
    <row r="769" spans="1:10" ht="28.9" customHeight="1" thickTop="1" thickBot="1" x14ac:dyDescent="0.65">
      <c r="A769" s="5">
        <v>767</v>
      </c>
      <c r="B769" s="46" t="str">
        <f>HYPERLINK("https://search.naver.com/search.naver?query=디스터비아 영화", "디스터비아")</f>
        <v>디스터비아</v>
      </c>
      <c r="C769" s="47">
        <v>7.93</v>
      </c>
      <c r="D769" s="6" t="s">
        <v>960</v>
      </c>
      <c r="E769" s="5" t="s">
        <v>20</v>
      </c>
      <c r="F769" s="5">
        <v>2007</v>
      </c>
      <c r="G769" s="5" t="s">
        <v>12</v>
      </c>
      <c r="H769" s="5" t="s">
        <v>43</v>
      </c>
      <c r="I769" s="5" t="s">
        <v>128</v>
      </c>
      <c r="J769" s="98" t="s">
        <v>3447</v>
      </c>
    </row>
    <row r="770" spans="1:10" ht="28.9" customHeight="1" thickTop="1" thickBot="1" x14ac:dyDescent="0.65">
      <c r="A770" s="3">
        <v>768</v>
      </c>
      <c r="B770" s="44" t="str">
        <f>HYPERLINK("https://search.naver.com/search.naver?query=디아틀로프 영화", "디아틀로프")</f>
        <v>디아틀로프</v>
      </c>
      <c r="C770" s="45">
        <v>7.19</v>
      </c>
      <c r="D770" s="4" t="s">
        <v>961</v>
      </c>
      <c r="E770" s="3" t="s">
        <v>20</v>
      </c>
      <c r="F770" s="3">
        <v>2013</v>
      </c>
      <c r="G770" s="3" t="s">
        <v>12</v>
      </c>
      <c r="H770" s="3" t="s">
        <v>252</v>
      </c>
      <c r="I770" s="3" t="s">
        <v>115</v>
      </c>
      <c r="J770" s="97" t="s">
        <v>3451</v>
      </c>
    </row>
    <row r="771" spans="1:10" ht="28.9" customHeight="1" thickTop="1" thickBot="1" x14ac:dyDescent="0.65">
      <c r="A771" s="5">
        <v>769</v>
      </c>
      <c r="B771" s="46" t="str">
        <f>HYPERLINK("https://search.naver.com/search.naver?query=디어 한나 영화", "디어 한나")</f>
        <v>디어 한나</v>
      </c>
      <c r="C771" s="47">
        <v>8.11</v>
      </c>
      <c r="D771" s="6" t="s">
        <v>962</v>
      </c>
      <c r="E771" s="5" t="s">
        <v>24</v>
      </c>
      <c r="F771" s="5">
        <v>2012</v>
      </c>
      <c r="G771" s="5" t="s">
        <v>12</v>
      </c>
      <c r="H771" s="5" t="s">
        <v>17</v>
      </c>
      <c r="I771" s="5" t="s">
        <v>240</v>
      </c>
      <c r="J771" s="98" t="s">
        <v>3439</v>
      </c>
    </row>
    <row r="772" spans="1:10" ht="28.9" customHeight="1" thickTop="1" thickBot="1" x14ac:dyDescent="0.65">
      <c r="A772" s="3">
        <v>770</v>
      </c>
      <c r="B772" s="44" t="str">
        <f>HYPERLINK("https://search.naver.com/search.naver?query=디어리스트 영화", "디어리스트")</f>
        <v>디어리스트</v>
      </c>
      <c r="C772" s="45">
        <v>8.65</v>
      </c>
      <c r="D772" s="4" t="s">
        <v>963</v>
      </c>
      <c r="E772" s="3" t="s">
        <v>136</v>
      </c>
      <c r="F772" s="3">
        <v>2014</v>
      </c>
      <c r="G772" s="3" t="s">
        <v>12</v>
      </c>
      <c r="H772" s="3" t="s">
        <v>17</v>
      </c>
      <c r="I772" s="3" t="s">
        <v>34</v>
      </c>
      <c r="J772" s="97" t="s">
        <v>3437</v>
      </c>
    </row>
    <row r="773" spans="1:10" ht="28.9" customHeight="1" thickTop="1" thickBot="1" x14ac:dyDescent="0.65">
      <c r="A773" s="5">
        <v>771</v>
      </c>
      <c r="B773" s="46" t="str">
        <f>HYPERLINK("https://search.naver.com/search.naver?query=디트로이트 영화", "디트로이트")</f>
        <v>디트로이트</v>
      </c>
      <c r="C773" s="47">
        <v>8.44</v>
      </c>
      <c r="D773" s="6" t="s">
        <v>964</v>
      </c>
      <c r="E773" s="5" t="s">
        <v>20</v>
      </c>
      <c r="F773" s="5">
        <v>2017</v>
      </c>
      <c r="G773" s="5" t="s">
        <v>12</v>
      </c>
      <c r="H773" s="5" t="s">
        <v>17</v>
      </c>
      <c r="I773" s="5" t="s">
        <v>25</v>
      </c>
      <c r="J773" s="98" t="s">
        <v>3443</v>
      </c>
    </row>
    <row r="774" spans="1:10" ht="28.9" customHeight="1" thickTop="1" thickBot="1" x14ac:dyDescent="0.65">
      <c r="A774" s="3">
        <v>772</v>
      </c>
      <c r="B774" s="44" t="str">
        <f>HYPERLINK("https://search.naver.com/search.naver?query=디파이언스 영화", "디파이언스")</f>
        <v>디파이언스</v>
      </c>
      <c r="C774" s="45">
        <v>8.26</v>
      </c>
      <c r="D774" s="4" t="s">
        <v>965</v>
      </c>
      <c r="E774" s="3" t="s">
        <v>20</v>
      </c>
      <c r="F774" s="3">
        <v>2008</v>
      </c>
      <c r="G774" s="3" t="s">
        <v>12</v>
      </c>
      <c r="H774" s="3" t="s">
        <v>17</v>
      </c>
      <c r="I774" s="3" t="s">
        <v>186</v>
      </c>
      <c r="J774" s="97" t="s">
        <v>3450</v>
      </c>
    </row>
    <row r="775" spans="1:10" ht="28.9" customHeight="1" thickTop="1" thickBot="1" x14ac:dyDescent="0.65">
      <c r="A775" s="5">
        <v>773</v>
      </c>
      <c r="B775" s="46" t="str">
        <f>HYPERLINK("https://search.naver.com/search.naver?query=디파티드 영화", "디파티드")</f>
        <v>디파티드</v>
      </c>
      <c r="C775" s="47">
        <v>8.2799999999999994</v>
      </c>
      <c r="D775" s="6" t="s">
        <v>966</v>
      </c>
      <c r="E775" s="5" t="s">
        <v>20</v>
      </c>
      <c r="F775" s="5">
        <v>2006</v>
      </c>
      <c r="G775" s="5" t="s">
        <v>12</v>
      </c>
      <c r="H775" s="5" t="s">
        <v>277</v>
      </c>
      <c r="I775" s="5" t="s">
        <v>967</v>
      </c>
      <c r="J775" s="98" t="s">
        <v>3460</v>
      </c>
    </row>
    <row r="776" spans="1:10" ht="28.9" customHeight="1" thickTop="1" thickBot="1" x14ac:dyDescent="0.65">
      <c r="A776" s="3">
        <v>774</v>
      </c>
      <c r="B776" s="44" t="str">
        <f>HYPERLINK("https://search.naver.com/search.naver?query=어메이징 메리 영화", "어메이징 메리")</f>
        <v>어메이징 메리</v>
      </c>
      <c r="C776" s="45">
        <v>9.08</v>
      </c>
      <c r="D776" s="4" t="s">
        <v>3614</v>
      </c>
      <c r="E776" s="3" t="s">
        <v>20</v>
      </c>
      <c r="F776" s="3">
        <v>2017</v>
      </c>
      <c r="G776" s="3" t="s">
        <v>12</v>
      </c>
      <c r="H776" s="3" t="s">
        <v>17</v>
      </c>
      <c r="I776" s="3" t="s">
        <v>3613</v>
      </c>
      <c r="J776" s="97">
        <v>43100</v>
      </c>
    </row>
    <row r="777" spans="1:10" ht="28.9" customHeight="1" thickTop="1" thickBot="1" x14ac:dyDescent="0.65">
      <c r="A777" s="5">
        <v>775</v>
      </c>
      <c r="B777" s="46" t="str">
        <f>HYPERLINK("https://search.naver.com/search.naver?query=딜리버리 맨 영화", "딜리버리 맨")</f>
        <v>딜리버리 맨</v>
      </c>
      <c r="C777" s="47">
        <v>8.69</v>
      </c>
      <c r="D777" s="6" t="s">
        <v>968</v>
      </c>
      <c r="E777" s="5" t="s">
        <v>20</v>
      </c>
      <c r="F777" s="5">
        <v>2013</v>
      </c>
      <c r="G777" s="5" t="s">
        <v>12</v>
      </c>
      <c r="H777" s="5" t="s">
        <v>68</v>
      </c>
      <c r="I777" s="5" t="s">
        <v>190</v>
      </c>
      <c r="J777" s="98" t="s">
        <v>3451</v>
      </c>
    </row>
    <row r="778" spans="1:10" ht="28.9" customHeight="1" thickTop="1" thickBot="1" x14ac:dyDescent="0.65">
      <c r="A778" s="3">
        <v>776</v>
      </c>
      <c r="B778" s="44" t="str">
        <f>HYPERLINK("https://search.naver.com/search.naver?query=딥 블루 씨 3 영화", "딥 블루 씨 3")</f>
        <v>딥 블루 씨 3</v>
      </c>
      <c r="C778" s="45">
        <v>6.4</v>
      </c>
      <c r="D778" s="6" t="s">
        <v>969</v>
      </c>
      <c r="E778" s="3" t="s">
        <v>20</v>
      </c>
      <c r="F778" s="3">
        <v>2020</v>
      </c>
      <c r="G778" s="3" t="s">
        <v>12</v>
      </c>
      <c r="H778" s="3" t="s">
        <v>92</v>
      </c>
      <c r="I778" s="3" t="s">
        <v>131</v>
      </c>
      <c r="J778" s="97" t="s">
        <v>3436</v>
      </c>
    </row>
    <row r="779" spans="1:10" ht="28.9" customHeight="1" thickTop="1" thickBot="1" x14ac:dyDescent="0.65">
      <c r="A779" s="5">
        <v>777</v>
      </c>
      <c r="B779" s="46" t="str">
        <f>HYPERLINK("https://search.naver.com/search.naver?query=딥 블루 씨2 영화", "딥 블루 씨2")</f>
        <v>딥 블루 씨2</v>
      </c>
      <c r="C779" s="47">
        <v>6.4</v>
      </c>
      <c r="D779" s="4" t="s">
        <v>970</v>
      </c>
      <c r="E779" s="5" t="s">
        <v>20</v>
      </c>
      <c r="F779" s="5">
        <v>2018</v>
      </c>
      <c r="G779" s="5" t="s">
        <v>12</v>
      </c>
      <c r="H779" s="5" t="s">
        <v>92</v>
      </c>
      <c r="I779" s="5" t="s">
        <v>300</v>
      </c>
      <c r="J779" s="98" t="s">
        <v>3442</v>
      </c>
    </row>
    <row r="780" spans="1:10" ht="28.9" customHeight="1" thickTop="1" thickBot="1" x14ac:dyDescent="0.65">
      <c r="A780" s="3">
        <v>778</v>
      </c>
      <c r="B780" s="44" t="str">
        <f>HYPERLINK("https://search.naver.com/search.naver?query=딥 워터 영화", "딥 워터")</f>
        <v>딥 워터</v>
      </c>
      <c r="C780" s="45">
        <v>7</v>
      </c>
      <c r="D780" s="4" t="s">
        <v>971</v>
      </c>
      <c r="E780" s="3" t="s">
        <v>20</v>
      </c>
      <c r="F780" s="3">
        <v>2022</v>
      </c>
      <c r="G780" s="3" t="s">
        <v>12</v>
      </c>
      <c r="H780" s="3" t="s">
        <v>43</v>
      </c>
      <c r="I780" s="3" t="s">
        <v>47</v>
      </c>
      <c r="J780" s="97" t="s">
        <v>3445</v>
      </c>
    </row>
    <row r="781" spans="1:10" ht="28.9" customHeight="1" thickTop="1" thickBot="1" x14ac:dyDescent="0.65">
      <c r="A781" s="5">
        <v>779</v>
      </c>
      <c r="B781" s="46" t="str">
        <f>HYPERLINK("https://search.naver.com/search.naver?query=딥 임팩트 영화", "딥 임팩트")</f>
        <v>딥 임팩트</v>
      </c>
      <c r="C781" s="47">
        <v>8.8000000000000007</v>
      </c>
      <c r="D781" s="6" t="s">
        <v>972</v>
      </c>
      <c r="E781" s="5" t="s">
        <v>20</v>
      </c>
      <c r="F781" s="5">
        <v>1998</v>
      </c>
      <c r="G781" s="5" t="s">
        <v>12</v>
      </c>
      <c r="H781" s="5" t="s">
        <v>520</v>
      </c>
      <c r="I781" s="5" t="s">
        <v>86</v>
      </c>
      <c r="J781" s="98" t="s">
        <v>3452</v>
      </c>
    </row>
    <row r="782" spans="1:10" ht="28.9" customHeight="1" thickTop="1" thickBot="1" x14ac:dyDescent="0.65">
      <c r="A782" s="3">
        <v>780</v>
      </c>
      <c r="B782" s="44" t="str">
        <f>HYPERLINK("https://search.naver.com/search.naver?query=딥워터 호라이즌 영화", "딥워터 호라이즌")</f>
        <v>딥워터 호라이즌</v>
      </c>
      <c r="C782" s="45">
        <v>8.75</v>
      </c>
      <c r="D782" s="4" t="s">
        <v>973</v>
      </c>
      <c r="E782" s="3" t="s">
        <v>20</v>
      </c>
      <c r="F782" s="3">
        <v>2016</v>
      </c>
      <c r="G782" s="3" t="s">
        <v>12</v>
      </c>
      <c r="H782" s="3" t="s">
        <v>92</v>
      </c>
      <c r="I782" s="3" t="s">
        <v>75</v>
      </c>
      <c r="J782" s="97" t="s">
        <v>3441</v>
      </c>
    </row>
    <row r="783" spans="1:10" ht="28.9" customHeight="1" thickTop="1" thickBot="1" x14ac:dyDescent="0.65">
      <c r="A783" s="5">
        <v>781</v>
      </c>
      <c r="B783" s="46" t="str">
        <f>HYPERLINK("https://search.naver.com/search.naver?query=딱따구리와 비 영화", "딱따구리와 비")</f>
        <v>딱따구리와 비</v>
      </c>
      <c r="C783" s="47">
        <v>8.18</v>
      </c>
      <c r="D783" s="6" t="s">
        <v>974</v>
      </c>
      <c r="E783" s="5" t="s">
        <v>16</v>
      </c>
      <c r="F783" s="5">
        <v>2012</v>
      </c>
      <c r="G783" s="5" t="s">
        <v>12</v>
      </c>
      <c r="H783" s="5" t="s">
        <v>17</v>
      </c>
      <c r="I783" s="5" t="s">
        <v>108</v>
      </c>
      <c r="J783" s="98" t="s">
        <v>3439</v>
      </c>
    </row>
    <row r="784" spans="1:10" ht="28.9" customHeight="1" thickTop="1" thickBot="1" x14ac:dyDescent="0.65">
      <c r="A784" s="3">
        <v>782</v>
      </c>
      <c r="B784" s="44" t="str">
        <f>HYPERLINK("https://search.naver.com/search.naver?query=땡스 포 쉐어링 영화", "땡스 포 쉐어링")</f>
        <v>땡스 포 쉐어링</v>
      </c>
      <c r="C784" s="45">
        <v>6.5</v>
      </c>
      <c r="D784" s="4" t="s">
        <v>975</v>
      </c>
      <c r="E784" s="3" t="s">
        <v>20</v>
      </c>
      <c r="F784" s="3">
        <v>2012</v>
      </c>
      <c r="G784" s="3" t="s">
        <v>12</v>
      </c>
      <c r="H784" s="3" t="s">
        <v>68</v>
      </c>
      <c r="I784" s="3" t="s">
        <v>278</v>
      </c>
      <c r="J784" s="97" t="s">
        <v>3439</v>
      </c>
    </row>
    <row r="785" spans="1:10" ht="28.9" customHeight="1" thickTop="1" thickBot="1" x14ac:dyDescent="0.65">
      <c r="A785" s="5">
        <v>783</v>
      </c>
      <c r="B785" s="46" t="str">
        <f>HYPERLINK("https://search.naver.com/search.naver?query=떠나기 전 해야할 일 영화", "떠나기 전 해야할 일")</f>
        <v>떠나기 전 해야할 일</v>
      </c>
      <c r="C785" s="47"/>
      <c r="D785" s="6" t="s">
        <v>976</v>
      </c>
      <c r="E785" s="5" t="s">
        <v>24</v>
      </c>
      <c r="F785" s="5">
        <v>2014</v>
      </c>
      <c r="G785" s="5" t="s">
        <v>12</v>
      </c>
      <c r="H785" s="5" t="s">
        <v>17</v>
      </c>
      <c r="I785" s="5" t="s">
        <v>93</v>
      </c>
      <c r="J785" s="98" t="s">
        <v>3437</v>
      </c>
    </row>
    <row r="786" spans="1:10" ht="28.9" customHeight="1" thickTop="1" thickBot="1" x14ac:dyDescent="0.65">
      <c r="A786" s="3">
        <v>784</v>
      </c>
      <c r="B786" s="44" t="str">
        <f>HYPERLINK("https://search.naver.com/search.naver?query=떨어지는 동백 영화", "떨어지는 동백")</f>
        <v>떨어지는 동백</v>
      </c>
      <c r="C786" s="45"/>
      <c r="D786" s="4" t="s">
        <v>977</v>
      </c>
      <c r="E786" s="3" t="s">
        <v>16</v>
      </c>
      <c r="F786" s="3">
        <v>2018</v>
      </c>
      <c r="G786" s="3" t="s">
        <v>12</v>
      </c>
      <c r="H786" s="3" t="s">
        <v>873</v>
      </c>
      <c r="I786" s="3" t="s">
        <v>86</v>
      </c>
      <c r="J786" s="97" t="s">
        <v>3442</v>
      </c>
    </row>
    <row r="787" spans="1:10" ht="28.9" customHeight="1" thickTop="1" thickBot="1" x14ac:dyDescent="0.65">
      <c r="A787" s="5">
        <v>785</v>
      </c>
      <c r="B787" s="46" t="str">
        <f>HYPERLINK("https://search.naver.com/search.naver?query=또 하나의 약속 영화", "또 하나의 약속")</f>
        <v>또 하나의 약속</v>
      </c>
      <c r="C787" s="47">
        <v>9.25</v>
      </c>
      <c r="D787" s="6" t="s">
        <v>978</v>
      </c>
      <c r="E787" s="5" t="s">
        <v>11</v>
      </c>
      <c r="F787" s="5">
        <v>2013</v>
      </c>
      <c r="G787" s="5" t="s">
        <v>12</v>
      </c>
      <c r="H787" s="5" t="s">
        <v>17</v>
      </c>
      <c r="I787" s="5" t="s">
        <v>207</v>
      </c>
      <c r="J787" s="98" t="s">
        <v>3451</v>
      </c>
    </row>
    <row r="788" spans="1:10" ht="28.9" customHeight="1" thickTop="1" thickBot="1" x14ac:dyDescent="0.65">
      <c r="A788" s="3">
        <v>786</v>
      </c>
      <c r="B788" s="44" t="str">
        <f>HYPERLINK("https://search.naver.com/search.naver?query=뜨거운 안녕 영화", "뜨거운 안녕")</f>
        <v>뜨거운 안녕</v>
      </c>
      <c r="C788" s="45">
        <v>8.9499999999999993</v>
      </c>
      <c r="D788" s="4" t="s">
        <v>979</v>
      </c>
      <c r="E788" s="3" t="s">
        <v>11</v>
      </c>
      <c r="F788" s="3">
        <v>2013</v>
      </c>
      <c r="G788" s="3" t="s">
        <v>12</v>
      </c>
      <c r="H788" s="3" t="s">
        <v>17</v>
      </c>
      <c r="I788" s="3" t="s">
        <v>81</v>
      </c>
      <c r="J788" s="97" t="s">
        <v>3451</v>
      </c>
    </row>
    <row r="789" spans="1:10" ht="28.9" customHeight="1" thickTop="1" thickBot="1" x14ac:dyDescent="0.65">
      <c r="A789" s="7">
        <v>787</v>
      </c>
      <c r="B789" s="48" t="str">
        <f>HYPERLINK("https://search.naver.com/search.naver?query=라 팔마", "라 팔마")</f>
        <v>라 팔마</v>
      </c>
      <c r="C789" s="49"/>
      <c r="D789" s="8" t="s">
        <v>980</v>
      </c>
      <c r="E789" s="7" t="s">
        <v>39</v>
      </c>
      <c r="F789" s="7">
        <v>2024</v>
      </c>
      <c r="G789" s="7" t="s">
        <v>17</v>
      </c>
      <c r="H789" s="7" t="s">
        <v>17</v>
      </c>
      <c r="I789" s="7" t="s">
        <v>830</v>
      </c>
      <c r="J789" s="99" t="s">
        <v>3448</v>
      </c>
    </row>
    <row r="790" spans="1:10" ht="28.9" customHeight="1" thickTop="1" thickBot="1" x14ac:dyDescent="0.65">
      <c r="A790" s="3">
        <v>788</v>
      </c>
      <c r="B790" s="44" t="str">
        <f>HYPERLINK("https://search.naver.com/search.naver?query=라디오 영화", "라디오")</f>
        <v>라디오</v>
      </c>
      <c r="C790" s="45"/>
      <c r="D790" s="4" t="s">
        <v>981</v>
      </c>
      <c r="E790" s="3" t="s">
        <v>20</v>
      </c>
      <c r="F790" s="3">
        <v>2003</v>
      </c>
      <c r="G790" s="3" t="s">
        <v>12</v>
      </c>
      <c r="H790" s="3" t="s">
        <v>17</v>
      </c>
      <c r="I790" s="3" t="s">
        <v>137</v>
      </c>
      <c r="J790" s="97" t="s">
        <v>3449</v>
      </c>
    </row>
    <row r="791" spans="1:10" ht="28.9" customHeight="1" thickTop="1" thickBot="1" x14ac:dyDescent="0.65">
      <c r="A791" s="5">
        <v>789</v>
      </c>
      <c r="B791" s="46" t="str">
        <f>HYPERLINK("https://search.naver.com/search.naver?query=라라랜드 영화", "라라랜드")</f>
        <v>라라랜드</v>
      </c>
      <c r="C791" s="47">
        <v>8.92</v>
      </c>
      <c r="D791" s="6" t="s">
        <v>982</v>
      </c>
      <c r="E791" s="5" t="s">
        <v>20</v>
      </c>
      <c r="F791" s="5">
        <v>2016</v>
      </c>
      <c r="G791" s="5" t="s">
        <v>12</v>
      </c>
      <c r="H791" s="5" t="s">
        <v>121</v>
      </c>
      <c r="I791" s="5" t="s">
        <v>108</v>
      </c>
      <c r="J791" s="98" t="s">
        <v>3441</v>
      </c>
    </row>
    <row r="792" spans="1:10" ht="28.9" customHeight="1" thickTop="1" thickBot="1" x14ac:dyDescent="0.65">
      <c r="A792" s="3">
        <v>790</v>
      </c>
      <c r="B792" s="44" t="str">
        <f>HYPERLINK("https://search.naver.com/search.naver?query=라면 걸 영화", "라면 걸")</f>
        <v>라면 걸</v>
      </c>
      <c r="C792" s="45">
        <v>6.4</v>
      </c>
      <c r="D792" s="4"/>
      <c r="E792" s="3" t="s">
        <v>20</v>
      </c>
      <c r="F792" s="3">
        <v>2008</v>
      </c>
      <c r="G792" s="3" t="s">
        <v>12</v>
      </c>
      <c r="H792" s="3" t="s">
        <v>68</v>
      </c>
      <c r="I792" s="3" t="s">
        <v>105</v>
      </c>
      <c r="J792" s="97" t="s">
        <v>3450</v>
      </c>
    </row>
    <row r="793" spans="1:10" ht="28.9" customHeight="1" thickTop="1" thickBot="1" x14ac:dyDescent="0.65">
      <c r="A793" s="5">
        <v>791</v>
      </c>
      <c r="B793" s="46" t="str">
        <f>HYPERLINK("https://search.naver.com/search.naver?query=라비앙 로즈 영화", "라비앙 로즈")</f>
        <v>라비앙 로즈</v>
      </c>
      <c r="C793" s="47">
        <v>8.08</v>
      </c>
      <c r="D793" s="6" t="s">
        <v>983</v>
      </c>
      <c r="E793" s="5" t="s">
        <v>210</v>
      </c>
      <c r="F793" s="5">
        <v>2007</v>
      </c>
      <c r="G793" s="5" t="s">
        <v>12</v>
      </c>
      <c r="H793" s="5" t="s">
        <v>17</v>
      </c>
      <c r="I793" s="5" t="s">
        <v>550</v>
      </c>
      <c r="J793" s="98" t="s">
        <v>3447</v>
      </c>
    </row>
    <row r="794" spans="1:10" ht="28.9" customHeight="1" thickTop="1" thickBot="1" x14ac:dyDescent="0.65">
      <c r="A794" s="3">
        <v>792</v>
      </c>
      <c r="B794" s="44" t="str">
        <f>HYPERLINK("https://search.naver.com/search.naver?query=라쇼몽 영화", "라쇼몽")</f>
        <v>라쇼몽</v>
      </c>
      <c r="C794" s="45"/>
      <c r="D794" s="4" t="s">
        <v>984</v>
      </c>
      <c r="E794" s="3" t="s">
        <v>16</v>
      </c>
      <c r="F794" s="3">
        <v>1950</v>
      </c>
      <c r="G794" s="3" t="s">
        <v>12</v>
      </c>
      <c r="H794" s="3" t="s">
        <v>17</v>
      </c>
      <c r="I794" s="3" t="s">
        <v>231</v>
      </c>
      <c r="J794" s="97" t="s">
        <v>3476</v>
      </c>
    </row>
    <row r="795" spans="1:10" ht="28.9" customHeight="1" thickTop="1" thickBot="1" x14ac:dyDescent="0.65">
      <c r="A795" s="5">
        <v>793</v>
      </c>
      <c r="B795" s="46" t="str">
        <f>HYPERLINK("https://search.naver.com/search.naver?query=라스베가스를 떠나며 영화", "라스베가스를 떠나며")</f>
        <v>라스베가스를 떠나며</v>
      </c>
      <c r="C795" s="47">
        <v>7.44</v>
      </c>
      <c r="D795" s="6" t="s">
        <v>985</v>
      </c>
      <c r="E795" s="5" t="s">
        <v>20</v>
      </c>
      <c r="F795" s="5">
        <v>1995</v>
      </c>
      <c r="G795" s="5" t="s">
        <v>12</v>
      </c>
      <c r="H795" s="5" t="s">
        <v>17</v>
      </c>
      <c r="I795" s="5" t="s">
        <v>102</v>
      </c>
      <c r="J795" s="98" t="s">
        <v>3475</v>
      </c>
    </row>
    <row r="796" spans="1:10" ht="28.9" customHeight="1" thickTop="1" thickBot="1" x14ac:dyDescent="0.65">
      <c r="A796" s="3">
        <v>794</v>
      </c>
      <c r="B796" s="44" t="str">
        <f>HYPERLINK("https://search.naver.com/search.naver?query=라스베가스에서만 생길 수 있는 일 영화", "라스베가스에서만 생길 수 있는 일")</f>
        <v>라스베가스에서만 생길 수 있는 일</v>
      </c>
      <c r="C796" s="45">
        <v>8.43</v>
      </c>
      <c r="D796" s="4" t="s">
        <v>986</v>
      </c>
      <c r="E796" s="3" t="s">
        <v>20</v>
      </c>
      <c r="F796" s="3">
        <v>2008</v>
      </c>
      <c r="G796" s="3" t="s">
        <v>12</v>
      </c>
      <c r="H796" s="3" t="s">
        <v>68</v>
      </c>
      <c r="I796" s="3" t="s">
        <v>81</v>
      </c>
      <c r="J796" s="97" t="s">
        <v>3450</v>
      </c>
    </row>
    <row r="797" spans="1:10" ht="28.9" customHeight="1" thickTop="1" thickBot="1" x14ac:dyDescent="0.65">
      <c r="A797" s="5">
        <v>795</v>
      </c>
      <c r="B797" s="46" t="str">
        <f>HYPERLINK("https://search.naver.com/search.naver?query=라스트 나잇 영화", "라스트 나잇")</f>
        <v>라스트 나잇</v>
      </c>
      <c r="C797" s="47">
        <v>8.1</v>
      </c>
      <c r="D797" s="6" t="s">
        <v>987</v>
      </c>
      <c r="E797" s="5" t="s">
        <v>20</v>
      </c>
      <c r="F797" s="5">
        <v>2010</v>
      </c>
      <c r="G797" s="5" t="s">
        <v>12</v>
      </c>
      <c r="H797" s="5" t="s">
        <v>121</v>
      </c>
      <c r="I797" s="5" t="s">
        <v>93</v>
      </c>
      <c r="J797" s="98" t="s">
        <v>3455</v>
      </c>
    </row>
    <row r="798" spans="1:10" ht="28.9" customHeight="1" thickTop="1" thickBot="1" x14ac:dyDescent="0.65">
      <c r="A798" s="3">
        <v>796</v>
      </c>
      <c r="B798" s="44" t="str">
        <f>HYPERLINK("https://search.naver.com/search.naver?query=라스트 듀얼-최후의 결투 영화", "라스트 듀얼-최후의 결투")</f>
        <v>라스트 듀얼-최후의 결투</v>
      </c>
      <c r="C798" s="45"/>
      <c r="D798" s="4" t="s">
        <v>988</v>
      </c>
      <c r="E798" s="3" t="s">
        <v>20</v>
      </c>
      <c r="F798" s="3">
        <v>2021</v>
      </c>
      <c r="G798" s="3" t="s">
        <v>12</v>
      </c>
      <c r="H798" s="3" t="s">
        <v>92</v>
      </c>
      <c r="I798" s="3" t="s">
        <v>685</v>
      </c>
      <c r="J798" s="97" t="s">
        <v>3438</v>
      </c>
    </row>
    <row r="799" spans="1:10" ht="28.9" customHeight="1" thickTop="1" thickBot="1" x14ac:dyDescent="0.65">
      <c r="A799" s="5">
        <v>797</v>
      </c>
      <c r="B799" s="46" t="str">
        <f>HYPERLINK("https://search.naver.com/search.naver?query=라스트 러브 인 뉴욕 영화", "라스트 러브 인 뉴욕")</f>
        <v>라스트 러브 인 뉴욕</v>
      </c>
      <c r="C799" s="47">
        <v>8.2799999999999994</v>
      </c>
      <c r="D799" s="6" t="s">
        <v>989</v>
      </c>
      <c r="E799" s="5" t="s">
        <v>20</v>
      </c>
      <c r="F799" s="5">
        <v>2006</v>
      </c>
      <c r="G799" s="5" t="s">
        <v>12</v>
      </c>
      <c r="H799" s="5" t="s">
        <v>121</v>
      </c>
      <c r="I799" s="5" t="s">
        <v>14</v>
      </c>
      <c r="J799" s="98" t="s">
        <v>3460</v>
      </c>
    </row>
    <row r="800" spans="1:10" ht="28.9" customHeight="1" thickTop="1" thickBot="1" x14ac:dyDescent="0.65">
      <c r="A800" s="3">
        <v>798</v>
      </c>
      <c r="B800" s="44" t="str">
        <f>HYPERLINK("https://search.naver.com/search.naver?query=라스트 레시피-기린의 혀의 기억 영화", "라스트 레시피-기린의 혀의 기억")</f>
        <v>라스트 레시피-기린의 혀의 기억</v>
      </c>
      <c r="C800" s="45"/>
      <c r="D800" s="4" t="s">
        <v>990</v>
      </c>
      <c r="E800" s="3" t="s">
        <v>16</v>
      </c>
      <c r="F800" s="3">
        <v>2017</v>
      </c>
      <c r="G800" s="3" t="s">
        <v>12</v>
      </c>
      <c r="H800" s="3" t="s">
        <v>17</v>
      </c>
      <c r="I800" s="3" t="s">
        <v>78</v>
      </c>
      <c r="J800" s="97" t="s">
        <v>3443</v>
      </c>
    </row>
    <row r="801" spans="1:10" ht="28.9" customHeight="1" thickTop="1" thickBot="1" x14ac:dyDescent="0.65">
      <c r="A801" s="5">
        <v>799</v>
      </c>
      <c r="B801" s="46" t="str">
        <f>HYPERLINK("https://search.naver.com/search.naver?query=라스트 레터 영화", "라스트 레터")</f>
        <v>라스트 레터</v>
      </c>
      <c r="C801" s="47">
        <v>8.2899999999999991</v>
      </c>
      <c r="D801" s="6" t="s">
        <v>748</v>
      </c>
      <c r="E801" s="5" t="s">
        <v>16</v>
      </c>
      <c r="F801" s="5">
        <v>2019</v>
      </c>
      <c r="G801" s="5" t="s">
        <v>12</v>
      </c>
      <c r="H801" s="5" t="s">
        <v>17</v>
      </c>
      <c r="I801" s="5" t="s">
        <v>86</v>
      </c>
      <c r="J801" s="98" t="s">
        <v>3444</v>
      </c>
    </row>
    <row r="802" spans="1:10" ht="28.9" customHeight="1" thickTop="1" thickBot="1" x14ac:dyDescent="0.65">
      <c r="A802" s="3">
        <v>800</v>
      </c>
      <c r="B802" s="44" t="str">
        <f>HYPERLINK("https://search.naver.com/search.naver?query=라스트 마일 영화", "라스트 마일")</f>
        <v>라스트 마일</v>
      </c>
      <c r="C802" s="45">
        <v>7.36</v>
      </c>
      <c r="D802" s="4" t="s">
        <v>991</v>
      </c>
      <c r="E802" s="3" t="s">
        <v>16</v>
      </c>
      <c r="F802" s="3">
        <v>2024</v>
      </c>
      <c r="G802" s="3" t="s">
        <v>12</v>
      </c>
      <c r="H802" s="3" t="s">
        <v>17</v>
      </c>
      <c r="I802" s="3" t="s">
        <v>96</v>
      </c>
      <c r="J802" s="97" t="s">
        <v>3448</v>
      </c>
    </row>
    <row r="803" spans="1:10" ht="28.9" customHeight="1" thickTop="1" thickBot="1" x14ac:dyDescent="0.65">
      <c r="A803" s="5">
        <v>801</v>
      </c>
      <c r="B803" s="46" t="str">
        <f>HYPERLINK("https://search.naver.com/search.naver?query=라스트 모히칸 영화", "라스트 모히칸")</f>
        <v>라스트 모히칸</v>
      </c>
      <c r="C803" s="47">
        <v>9.8000000000000007</v>
      </c>
      <c r="D803" s="6" t="s">
        <v>992</v>
      </c>
      <c r="E803" s="5" t="s">
        <v>20</v>
      </c>
      <c r="F803" s="5">
        <v>1992</v>
      </c>
      <c r="G803" s="5" t="s">
        <v>12</v>
      </c>
      <c r="H803" s="5" t="s">
        <v>92</v>
      </c>
      <c r="I803" s="5" t="s">
        <v>278</v>
      </c>
      <c r="J803" s="98" t="s">
        <v>3473</v>
      </c>
    </row>
    <row r="804" spans="1:10" ht="28.9" customHeight="1" thickTop="1" thickBot="1" x14ac:dyDescent="0.65">
      <c r="A804" s="3">
        <v>802</v>
      </c>
      <c r="B804" s="44" t="str">
        <f>HYPERLINK("https://search.naver.com/search.naver?query=라스트 미션 영화", "라스트 미션")</f>
        <v>라스트 미션</v>
      </c>
      <c r="C804" s="45">
        <v>8.91</v>
      </c>
      <c r="D804" s="4" t="s">
        <v>993</v>
      </c>
      <c r="E804" s="3" t="s">
        <v>20</v>
      </c>
      <c r="F804" s="3">
        <v>2018</v>
      </c>
      <c r="G804" s="3" t="s">
        <v>12</v>
      </c>
      <c r="H804" s="3" t="s">
        <v>92</v>
      </c>
      <c r="I804" s="3" t="s">
        <v>111</v>
      </c>
      <c r="J804" s="97" t="s">
        <v>3442</v>
      </c>
    </row>
    <row r="805" spans="1:10" ht="28.9" customHeight="1" thickTop="1" thickBot="1" x14ac:dyDescent="0.65">
      <c r="A805" s="5">
        <v>803</v>
      </c>
      <c r="B805" s="46" t="str">
        <f>HYPERLINK("https://search.naver.com/search.naver?query=라스트 베가스 영화", "라스트 베가스")</f>
        <v>라스트 베가스</v>
      </c>
      <c r="C805" s="47">
        <v>8.64</v>
      </c>
      <c r="D805" s="6" t="s">
        <v>994</v>
      </c>
      <c r="E805" s="5" t="s">
        <v>20</v>
      </c>
      <c r="F805" s="5">
        <v>2013</v>
      </c>
      <c r="G805" s="5" t="s">
        <v>12</v>
      </c>
      <c r="H805" s="5" t="s">
        <v>68</v>
      </c>
      <c r="I805" s="5" t="s">
        <v>128</v>
      </c>
      <c r="J805" s="98" t="s">
        <v>3451</v>
      </c>
    </row>
    <row r="806" spans="1:10" ht="28.9" customHeight="1" thickTop="1" thickBot="1" x14ac:dyDescent="0.65">
      <c r="A806" s="3">
        <v>804</v>
      </c>
      <c r="B806" s="44" t="str">
        <f>HYPERLINK("https://search.naver.com/search.naver?query=라스트 브레스 영화", "라스트 브레스")</f>
        <v>라스트 브레스</v>
      </c>
      <c r="C806" s="45">
        <v>6.4</v>
      </c>
      <c r="D806" s="4" t="s">
        <v>995</v>
      </c>
      <c r="E806" s="3" t="s">
        <v>24</v>
      </c>
      <c r="F806" s="3">
        <v>2025</v>
      </c>
      <c r="G806" s="3" t="s">
        <v>12</v>
      </c>
      <c r="H806" s="3" t="s">
        <v>43</v>
      </c>
      <c r="I806" s="3" t="s">
        <v>131</v>
      </c>
      <c r="J806" s="97" t="s">
        <v>3459</v>
      </c>
    </row>
    <row r="807" spans="1:10" ht="28.9" customHeight="1" thickTop="1" thickBot="1" x14ac:dyDescent="0.65">
      <c r="A807" s="5">
        <v>805</v>
      </c>
      <c r="B807" s="46" t="str">
        <f>HYPERLINK("https://search.naver.com/search.naver?query=라스트 송 영화", "라스트 송")</f>
        <v>라스트 송</v>
      </c>
      <c r="C807" s="47"/>
      <c r="D807" s="6" t="s">
        <v>996</v>
      </c>
      <c r="E807" s="5" t="s">
        <v>20</v>
      </c>
      <c r="F807" s="5">
        <v>2010</v>
      </c>
      <c r="G807" s="5" t="s">
        <v>12</v>
      </c>
      <c r="H807" s="5" t="s">
        <v>17</v>
      </c>
      <c r="I807" s="5" t="s">
        <v>75</v>
      </c>
      <c r="J807" s="98" t="s">
        <v>3455</v>
      </c>
    </row>
    <row r="808" spans="1:10" ht="28.9" customHeight="1" thickTop="1" thickBot="1" x14ac:dyDescent="0.65">
      <c r="A808" s="7">
        <v>806</v>
      </c>
      <c r="B808" s="48" t="str">
        <f>HYPERLINK("https://search.naver.com/search.naver?query=라스트 쉽 시즌1", "라스트 쉽 시즌1")</f>
        <v>라스트 쉽 시즌1</v>
      </c>
      <c r="C808" s="49"/>
      <c r="D808" s="8" t="s">
        <v>997</v>
      </c>
      <c r="E808" s="7" t="s">
        <v>20</v>
      </c>
      <c r="F808" s="7">
        <v>2014</v>
      </c>
      <c r="G808" s="7" t="s">
        <v>17</v>
      </c>
      <c r="H808" s="7" t="s">
        <v>162</v>
      </c>
      <c r="I808" s="7" t="s">
        <v>50</v>
      </c>
      <c r="J808" s="99" t="s">
        <v>3437</v>
      </c>
    </row>
    <row r="809" spans="1:10" ht="28.9" customHeight="1" thickTop="1" thickBot="1" x14ac:dyDescent="0.65">
      <c r="A809" s="7">
        <v>807</v>
      </c>
      <c r="B809" s="48" t="str">
        <f>HYPERLINK("https://search.naver.com/search.naver?query=라스트 쉽 시즌2", "라스트 쉽 시즌2")</f>
        <v>라스트 쉽 시즌2</v>
      </c>
      <c r="C809" s="49"/>
      <c r="D809" s="8" t="s">
        <v>997</v>
      </c>
      <c r="E809" s="7" t="s">
        <v>20</v>
      </c>
      <c r="F809" s="7">
        <v>2015</v>
      </c>
      <c r="G809" s="7" t="s">
        <v>17</v>
      </c>
      <c r="H809" s="7" t="s">
        <v>162</v>
      </c>
      <c r="I809" s="7" t="s">
        <v>645</v>
      </c>
      <c r="J809" s="99" t="s">
        <v>3440</v>
      </c>
    </row>
    <row r="810" spans="1:10" ht="28.9" customHeight="1" thickTop="1" thickBot="1" x14ac:dyDescent="0.65">
      <c r="A810" s="7">
        <v>808</v>
      </c>
      <c r="B810" s="48" t="str">
        <f>HYPERLINK("https://search.naver.com/search.naver?query=라스트 쉽 시즌3", "라스트 쉽 시즌3")</f>
        <v>라스트 쉽 시즌3</v>
      </c>
      <c r="C810" s="49"/>
      <c r="D810" s="8" t="s">
        <v>997</v>
      </c>
      <c r="E810" s="7" t="s">
        <v>20</v>
      </c>
      <c r="F810" s="7">
        <v>2016</v>
      </c>
      <c r="G810" s="7" t="s">
        <v>17</v>
      </c>
      <c r="H810" s="7" t="s">
        <v>162</v>
      </c>
      <c r="I810" s="7" t="s">
        <v>645</v>
      </c>
      <c r="J810" s="99" t="s">
        <v>3441</v>
      </c>
    </row>
    <row r="811" spans="1:10" ht="28.9" customHeight="1" thickTop="1" thickBot="1" x14ac:dyDescent="0.65">
      <c r="A811" s="7">
        <v>809</v>
      </c>
      <c r="B811" s="48" t="str">
        <f>HYPERLINK("https://search.naver.com/search.naver?query=라스트 쉽 시즌4", "라스트 쉽 시즌4")</f>
        <v>라스트 쉽 시즌4</v>
      </c>
      <c r="C811" s="49"/>
      <c r="D811" s="8" t="s">
        <v>997</v>
      </c>
      <c r="E811" s="7" t="s">
        <v>20</v>
      </c>
      <c r="F811" s="7">
        <v>2017</v>
      </c>
      <c r="G811" s="7" t="s">
        <v>17</v>
      </c>
      <c r="H811" s="7" t="s">
        <v>162</v>
      </c>
      <c r="I811" s="7" t="s">
        <v>50</v>
      </c>
      <c r="J811" s="99" t="s">
        <v>3443</v>
      </c>
    </row>
    <row r="812" spans="1:10" ht="28.9" customHeight="1" thickTop="1" thickBot="1" x14ac:dyDescent="0.65">
      <c r="A812" s="7">
        <v>810</v>
      </c>
      <c r="B812" s="48" t="str">
        <f>HYPERLINK("https://search.naver.com/search.naver?query=라스트 쉽 시즌5", "라스트 쉽 시즌5")</f>
        <v>라스트 쉽 시즌5</v>
      </c>
      <c r="C812" s="49"/>
      <c r="D812" s="8" t="s">
        <v>997</v>
      </c>
      <c r="E812" s="7" t="s">
        <v>20</v>
      </c>
      <c r="F812" s="7">
        <v>2018</v>
      </c>
      <c r="G812" s="7" t="s">
        <v>17</v>
      </c>
      <c r="H812" s="7" t="s">
        <v>162</v>
      </c>
      <c r="I812" s="7" t="s">
        <v>50</v>
      </c>
      <c r="J812" s="99" t="s">
        <v>3442</v>
      </c>
    </row>
    <row r="813" spans="1:10" ht="28.9" customHeight="1" thickTop="1" thickBot="1" x14ac:dyDescent="0.65">
      <c r="A813" s="5">
        <v>811</v>
      </c>
      <c r="B813" s="46" t="str">
        <f>HYPERLINK("https://search.naver.com/search.naver?query=라스트 스탠드 영화", "라스트 스탠드")</f>
        <v>라스트 스탠드</v>
      </c>
      <c r="C813" s="47">
        <v>7.81</v>
      </c>
      <c r="D813" s="6" t="s">
        <v>998</v>
      </c>
      <c r="E813" s="5" t="s">
        <v>20</v>
      </c>
      <c r="F813" s="5">
        <v>2013</v>
      </c>
      <c r="G813" s="5" t="s">
        <v>12</v>
      </c>
      <c r="H813" s="5" t="s">
        <v>92</v>
      </c>
      <c r="I813" s="5" t="s">
        <v>75</v>
      </c>
      <c r="J813" s="98" t="s">
        <v>3451</v>
      </c>
    </row>
    <row r="814" spans="1:10" ht="28.9" customHeight="1" thickTop="1" thickBot="1" x14ac:dyDescent="0.65">
      <c r="A814" s="3">
        <v>812</v>
      </c>
      <c r="B814" s="44" t="str">
        <f>HYPERLINK("https://search.naver.com/search.naver?query=라스트 시크릿 영화", "라스트 시크릿")</f>
        <v>라스트 시크릿</v>
      </c>
      <c r="C814" s="45"/>
      <c r="D814" s="4" t="s">
        <v>999</v>
      </c>
      <c r="E814" s="3" t="s">
        <v>20</v>
      </c>
      <c r="F814" s="3">
        <v>2020</v>
      </c>
      <c r="G814" s="3" t="s">
        <v>12</v>
      </c>
      <c r="H814" s="3" t="s">
        <v>43</v>
      </c>
      <c r="I814" s="3" t="s">
        <v>147</v>
      </c>
      <c r="J814" s="97" t="s">
        <v>3436</v>
      </c>
    </row>
    <row r="815" spans="1:10" ht="28.9" customHeight="1" thickTop="1" thickBot="1" x14ac:dyDescent="0.65">
      <c r="A815" s="5">
        <v>813</v>
      </c>
      <c r="B815" s="46" t="str">
        <f>HYPERLINK("https://search.naver.com/search.naver?query=라스트 워드 영화", "라스트 워드")</f>
        <v>라스트 워드</v>
      </c>
      <c r="C815" s="47">
        <v>6.4</v>
      </c>
      <c r="D815" s="6" t="s">
        <v>1000</v>
      </c>
      <c r="E815" s="5" t="s">
        <v>20</v>
      </c>
      <c r="F815" s="5">
        <v>2008</v>
      </c>
      <c r="G815" s="5" t="s">
        <v>12</v>
      </c>
      <c r="H815" s="5" t="s">
        <v>17</v>
      </c>
      <c r="I815" s="5" t="s">
        <v>115</v>
      </c>
      <c r="J815" s="98" t="s">
        <v>3450</v>
      </c>
    </row>
    <row r="816" spans="1:10" ht="28.9" customHeight="1" thickTop="1" thickBot="1" x14ac:dyDescent="0.65">
      <c r="A816" s="3">
        <v>814</v>
      </c>
      <c r="B816" s="44" t="str">
        <f>HYPERLINK("https://search.naver.com/search.naver?query=라스트 크리스마스 영화", "라스트 크리스마스")</f>
        <v>라스트 크리스마스</v>
      </c>
      <c r="C816" s="45">
        <v>7.18</v>
      </c>
      <c r="D816" s="4" t="s">
        <v>1001</v>
      </c>
      <c r="E816" s="3" t="s">
        <v>24</v>
      </c>
      <c r="F816" s="3">
        <v>2019</v>
      </c>
      <c r="G816" s="3" t="s">
        <v>12</v>
      </c>
      <c r="H816" s="3" t="s">
        <v>121</v>
      </c>
      <c r="I816" s="3" t="s">
        <v>190</v>
      </c>
      <c r="J816" s="97" t="s">
        <v>3444</v>
      </c>
    </row>
    <row r="817" spans="1:10" ht="28.9" customHeight="1" thickTop="1" thickBot="1" x14ac:dyDescent="0.65">
      <c r="A817" s="5">
        <v>815</v>
      </c>
      <c r="B817" s="46" t="str">
        <f>HYPERLINK("https://search.naver.com/search.naver?query=라스트 킹 영화", "라스트 킹")</f>
        <v>라스트 킹</v>
      </c>
      <c r="C817" s="47">
        <v>6.4</v>
      </c>
      <c r="D817" s="6" t="s">
        <v>1002</v>
      </c>
      <c r="E817" s="5" t="s">
        <v>39</v>
      </c>
      <c r="F817" s="5">
        <v>2016</v>
      </c>
      <c r="G817" s="5" t="s">
        <v>12</v>
      </c>
      <c r="H817" s="5" t="s">
        <v>92</v>
      </c>
      <c r="I817" s="5" t="s">
        <v>81</v>
      </c>
      <c r="J817" s="98" t="s">
        <v>3441</v>
      </c>
    </row>
    <row r="818" spans="1:10" ht="28.9" customHeight="1" thickTop="1" thickBot="1" x14ac:dyDescent="0.65">
      <c r="A818" s="3">
        <v>816</v>
      </c>
      <c r="B818" s="44" t="str">
        <f>HYPERLINK("https://search.naver.com/search.naver?query=라스트 풀 메저 영화", "라스트 풀 메저")</f>
        <v>라스트 풀 메저</v>
      </c>
      <c r="C818" s="45">
        <v>8</v>
      </c>
      <c r="D818" s="4" t="s">
        <v>1003</v>
      </c>
      <c r="E818" s="3" t="s">
        <v>20</v>
      </c>
      <c r="F818" s="3">
        <v>2019</v>
      </c>
      <c r="G818" s="3" t="s">
        <v>12</v>
      </c>
      <c r="H818" s="3" t="s">
        <v>17</v>
      </c>
      <c r="I818" s="3" t="s">
        <v>366</v>
      </c>
      <c r="J818" s="97" t="s">
        <v>3444</v>
      </c>
    </row>
    <row r="819" spans="1:10" ht="28.9" customHeight="1" thickTop="1" thickBot="1" x14ac:dyDescent="0.65">
      <c r="A819" s="7">
        <v>817</v>
      </c>
      <c r="B819" s="48" t="str">
        <f>HYPERLINK("https://search.naver.com/search.naver?query=라스트 프런티어", "라스트 프런티어")</f>
        <v>라스트 프런티어</v>
      </c>
      <c r="C819" s="49"/>
      <c r="D819" s="8" t="s">
        <v>1004</v>
      </c>
      <c r="E819" s="7" t="s">
        <v>20</v>
      </c>
      <c r="F819" s="7">
        <v>2025</v>
      </c>
      <c r="G819" s="7" t="s">
        <v>17</v>
      </c>
      <c r="H819" s="7" t="s">
        <v>17</v>
      </c>
      <c r="I819" s="7" t="s">
        <v>50</v>
      </c>
      <c r="J819" s="99" t="s">
        <v>3459</v>
      </c>
    </row>
    <row r="820" spans="1:10" ht="28.9" customHeight="1" thickTop="1" thickBot="1" x14ac:dyDescent="0.65">
      <c r="A820" s="3">
        <v>818</v>
      </c>
      <c r="B820" s="44" t="str">
        <f>HYPERLINK("https://search.naver.com/search.naver?query=라스트 필름 쇼 영화", "라스트 필름 쇼")</f>
        <v>라스트 필름 쇼</v>
      </c>
      <c r="C820" s="45">
        <v>8.18</v>
      </c>
      <c r="D820" s="4" t="s">
        <v>1005</v>
      </c>
      <c r="E820" s="3" t="s">
        <v>361</v>
      </c>
      <c r="F820" s="3">
        <v>2021</v>
      </c>
      <c r="G820" s="3" t="s">
        <v>12</v>
      </c>
      <c r="H820" s="3" t="s">
        <v>17</v>
      </c>
      <c r="I820" s="3" t="s">
        <v>96</v>
      </c>
      <c r="J820" s="97" t="s">
        <v>3438</v>
      </c>
    </row>
    <row r="821" spans="1:10" ht="28.9" customHeight="1" thickTop="1" thickBot="1" x14ac:dyDescent="0.65">
      <c r="A821" s="5">
        <v>819</v>
      </c>
      <c r="B821" s="46" t="str">
        <f>HYPERLINK("https://search.naver.com/search.naver?query=라스트 홀리데이 영화", "라스트 홀리데이")</f>
        <v>라스트 홀리데이</v>
      </c>
      <c r="C821" s="47">
        <v>9.4499999999999993</v>
      </c>
      <c r="D821" s="6" t="s">
        <v>1006</v>
      </c>
      <c r="E821" s="5" t="s">
        <v>20</v>
      </c>
      <c r="F821" s="5">
        <v>2006</v>
      </c>
      <c r="G821" s="5" t="s">
        <v>12</v>
      </c>
      <c r="H821" s="5" t="s">
        <v>68</v>
      </c>
      <c r="I821" s="5" t="s">
        <v>278</v>
      </c>
      <c r="J821" s="98" t="s">
        <v>3460</v>
      </c>
    </row>
    <row r="822" spans="1:10" ht="28.9" customHeight="1" thickTop="1" thickBot="1" x14ac:dyDescent="0.65">
      <c r="A822" s="3">
        <v>820</v>
      </c>
      <c r="B822" s="44" t="str">
        <f>HYPERLINK("https://search.naver.com/search.naver?query=라스트 홈", "라스트 홈")</f>
        <v>라스트 홈</v>
      </c>
      <c r="C822" s="45">
        <v>9.17</v>
      </c>
      <c r="D822" s="4" t="s">
        <v>1007</v>
      </c>
      <c r="E822" s="3" t="s">
        <v>20</v>
      </c>
      <c r="F822" s="3">
        <v>2016</v>
      </c>
      <c r="G822" s="3" t="s">
        <v>12</v>
      </c>
      <c r="H822" s="3" t="s">
        <v>17</v>
      </c>
      <c r="I822" s="3" t="s">
        <v>278</v>
      </c>
      <c r="J822" s="97" t="s">
        <v>3441</v>
      </c>
    </row>
    <row r="823" spans="1:10" ht="28.9" customHeight="1" thickTop="1" thickBot="1" x14ac:dyDescent="0.65">
      <c r="A823" s="5">
        <v>821</v>
      </c>
      <c r="B823" s="46" t="str">
        <f>HYPERLINK("https://search.naver.com/search.naver?query=라스트씬 얼라이브 영화", "라스트씬 얼라이브")</f>
        <v>라스트씬 얼라이브</v>
      </c>
      <c r="C823" s="47">
        <v>6.4</v>
      </c>
      <c r="D823" s="6" t="s">
        <v>1008</v>
      </c>
      <c r="E823" s="5" t="s">
        <v>20</v>
      </c>
      <c r="F823" s="5">
        <v>2022</v>
      </c>
      <c r="G823" s="5" t="s">
        <v>12</v>
      </c>
      <c r="H823" s="5" t="s">
        <v>92</v>
      </c>
      <c r="I823" s="5" t="s">
        <v>111</v>
      </c>
      <c r="J823" s="98" t="s">
        <v>3445</v>
      </c>
    </row>
    <row r="824" spans="1:10" ht="28.9" customHeight="1" thickTop="1" thickBot="1" x14ac:dyDescent="0.65">
      <c r="A824" s="3">
        <v>822</v>
      </c>
      <c r="B824" s="44" t="str">
        <f>HYPERLINK("https://search.naver.com/search.naver?query=라운드 업 영화", "라운드 업")</f>
        <v>라운드 업</v>
      </c>
      <c r="C824" s="45">
        <v>8.43</v>
      </c>
      <c r="D824" s="4" t="s">
        <v>1009</v>
      </c>
      <c r="E824" s="3" t="s">
        <v>210</v>
      </c>
      <c r="F824" s="3">
        <v>2010</v>
      </c>
      <c r="G824" s="3" t="s">
        <v>12</v>
      </c>
      <c r="H824" s="3" t="s">
        <v>92</v>
      </c>
      <c r="I824" s="3" t="s">
        <v>124</v>
      </c>
      <c r="J824" s="97" t="s">
        <v>3455</v>
      </c>
    </row>
    <row r="825" spans="1:10" ht="28.9" customHeight="1" thickTop="1" thickBot="1" x14ac:dyDescent="0.65">
      <c r="A825" s="5">
        <v>823</v>
      </c>
      <c r="B825" s="46" t="str">
        <f>HYPERLINK("https://search.naver.com/search.naver?query=라이브 영화", "라이브")</f>
        <v>라이브</v>
      </c>
      <c r="C825" s="47"/>
      <c r="D825" s="6" t="s">
        <v>1010</v>
      </c>
      <c r="E825" s="5" t="s">
        <v>20</v>
      </c>
      <c r="F825" s="5">
        <v>2019</v>
      </c>
      <c r="G825" s="5" t="s">
        <v>12</v>
      </c>
      <c r="H825" s="5" t="s">
        <v>92</v>
      </c>
      <c r="I825" s="5" t="s">
        <v>14</v>
      </c>
      <c r="J825" s="98" t="s">
        <v>3444</v>
      </c>
    </row>
    <row r="826" spans="1:10" ht="28.9" customHeight="1" thickTop="1" thickBot="1" x14ac:dyDescent="0.65">
      <c r="A826" s="7">
        <v>824</v>
      </c>
      <c r="B826" s="48" t="str">
        <f>HYPERLINK("https://search.naver.com/search.naver?query=라이어니스 특수작전팀", "라이어니스: 특수작전팀 시즌1")</f>
        <v>라이어니스: 특수작전팀 시즌1</v>
      </c>
      <c r="C826" s="49"/>
      <c r="D826" s="8" t="s">
        <v>1011</v>
      </c>
      <c r="E826" s="7" t="s">
        <v>20</v>
      </c>
      <c r="F826" s="7">
        <v>2023</v>
      </c>
      <c r="G826" s="7" t="s">
        <v>17</v>
      </c>
      <c r="H826" s="7" t="s">
        <v>162</v>
      </c>
      <c r="I826" s="7" t="s">
        <v>55</v>
      </c>
      <c r="J826" s="99" t="s">
        <v>3446</v>
      </c>
    </row>
    <row r="827" spans="1:10" ht="28.9" customHeight="1" thickTop="1" thickBot="1" x14ac:dyDescent="0.65">
      <c r="A827" s="7">
        <v>825</v>
      </c>
      <c r="B827" s="48" t="str">
        <f>HYPERLINK("https://search.naver.com/search.naver?query=라이어니스 특수작전팀 시즌2", "라이어니스: 특수작전팀 시즌2")</f>
        <v>라이어니스: 특수작전팀 시즌2</v>
      </c>
      <c r="C827" s="49"/>
      <c r="D827" s="8" t="s">
        <v>1011</v>
      </c>
      <c r="E827" s="7" t="s">
        <v>20</v>
      </c>
      <c r="F827" s="7">
        <v>2024</v>
      </c>
      <c r="G827" s="7" t="s">
        <v>17</v>
      </c>
      <c r="H827" s="7" t="s">
        <v>162</v>
      </c>
      <c r="I827" s="7" t="s">
        <v>55</v>
      </c>
      <c r="J827" s="99" t="s">
        <v>3448</v>
      </c>
    </row>
    <row r="828" spans="1:10" ht="28.9" customHeight="1" thickTop="1" thickBot="1" x14ac:dyDescent="0.65">
      <c r="A828" s="3">
        <v>826</v>
      </c>
      <c r="B828" s="44" t="str">
        <f>HYPERLINK("https://search.naver.com/search.naver?query=라이언 영화", "라이언")</f>
        <v>라이언</v>
      </c>
      <c r="C828" s="45">
        <v>9.31</v>
      </c>
      <c r="D828" s="4" t="s">
        <v>1012</v>
      </c>
      <c r="E828" s="3" t="s">
        <v>36</v>
      </c>
      <c r="F828" s="3">
        <v>2016</v>
      </c>
      <c r="G828" s="3" t="s">
        <v>12</v>
      </c>
      <c r="H828" s="3" t="s">
        <v>17</v>
      </c>
      <c r="I828" s="3" t="s">
        <v>221</v>
      </c>
      <c r="J828" s="97" t="s">
        <v>3441</v>
      </c>
    </row>
    <row r="829" spans="1:10" ht="28.9" customHeight="1" thickTop="1" thickBot="1" x14ac:dyDescent="0.65">
      <c r="A829" s="5">
        <v>827</v>
      </c>
      <c r="B829" s="46" t="str">
        <f>HYPERLINK("https://search.naver.com/search.naver?query=라이언 일병 구하기 영화", "라이언 일병 구하기")</f>
        <v>라이언 일병 구하기</v>
      </c>
      <c r="C829" s="47">
        <v>9.14</v>
      </c>
      <c r="D829" s="6" t="s">
        <v>1013</v>
      </c>
      <c r="E829" s="5" t="s">
        <v>20</v>
      </c>
      <c r="F829" s="5">
        <v>1998</v>
      </c>
      <c r="G829" s="5" t="s">
        <v>12</v>
      </c>
      <c r="H829" s="5" t="s">
        <v>721</v>
      </c>
      <c r="I829" s="5" t="s">
        <v>1014</v>
      </c>
      <c r="J829" s="98" t="s">
        <v>3452</v>
      </c>
    </row>
    <row r="830" spans="1:10" ht="28.9" customHeight="1" thickTop="1" thickBot="1" x14ac:dyDescent="0.65">
      <c r="A830" s="3">
        <v>828</v>
      </c>
      <c r="B830" s="44" t="str">
        <f>HYPERLINK("https://search.naver.com/search.naver?query=라이크 크레이지 영화", "라이크 크레이지")</f>
        <v>라이크 크레이지</v>
      </c>
      <c r="C830" s="45">
        <v>7.34</v>
      </c>
      <c r="D830" s="4" t="s">
        <v>1015</v>
      </c>
      <c r="E830" s="3" t="s">
        <v>20</v>
      </c>
      <c r="F830" s="3">
        <v>2011</v>
      </c>
      <c r="G830" s="3" t="s">
        <v>12</v>
      </c>
      <c r="H830" s="3" t="s">
        <v>17</v>
      </c>
      <c r="I830" s="3" t="s">
        <v>115</v>
      </c>
      <c r="J830" s="97" t="s">
        <v>3454</v>
      </c>
    </row>
    <row r="831" spans="1:10" ht="28.9" customHeight="1" thickTop="1" thickBot="1" x14ac:dyDescent="0.65">
      <c r="A831" s="5">
        <v>829</v>
      </c>
      <c r="B831" s="46" t="str">
        <f>HYPERLINK("https://search.naver.com/search.naver?query=라이프", "라이프")</f>
        <v>라이프</v>
      </c>
      <c r="C831" s="47"/>
      <c r="D831" s="6" t="s">
        <v>1016</v>
      </c>
      <c r="E831" s="5" t="s">
        <v>20</v>
      </c>
      <c r="F831" s="5">
        <v>2015</v>
      </c>
      <c r="G831" s="5" t="s">
        <v>12</v>
      </c>
      <c r="H831" s="5" t="s">
        <v>68</v>
      </c>
      <c r="I831" s="5" t="s">
        <v>278</v>
      </c>
      <c r="J831" s="98" t="s">
        <v>3440</v>
      </c>
    </row>
    <row r="832" spans="1:10" ht="28.9" customHeight="1" thickTop="1" thickBot="1" x14ac:dyDescent="0.65">
      <c r="A832" s="3">
        <v>830</v>
      </c>
      <c r="B832" s="44" t="str">
        <f>HYPERLINK("https://search.naver.com/search.naver?query=라이프 영화", "라이프")</f>
        <v>라이프</v>
      </c>
      <c r="C832" s="45">
        <v>7.82</v>
      </c>
      <c r="D832" s="4" t="s">
        <v>1017</v>
      </c>
      <c r="E832" s="3" t="s">
        <v>20</v>
      </c>
      <c r="F832" s="3">
        <v>2017</v>
      </c>
      <c r="G832" s="3" t="s">
        <v>12</v>
      </c>
      <c r="H832" s="3" t="s">
        <v>520</v>
      </c>
      <c r="I832" s="3" t="s">
        <v>170</v>
      </c>
      <c r="J832" s="97" t="s">
        <v>3443</v>
      </c>
    </row>
    <row r="833" spans="1:10" ht="28.9" customHeight="1" thickTop="1" thickBot="1" x14ac:dyDescent="0.65">
      <c r="A833" s="7">
        <v>831</v>
      </c>
      <c r="B833" s="48" t="str">
        <f>HYPERLINK("https://search.naver.com/search.naver?query=라이프 영국드라마", "라이프")</f>
        <v>라이프</v>
      </c>
      <c r="C833" s="49"/>
      <c r="D833" s="8" t="s">
        <v>1018</v>
      </c>
      <c r="E833" s="7" t="s">
        <v>24</v>
      </c>
      <c r="F833" s="7">
        <v>2020</v>
      </c>
      <c r="G833" s="7" t="s">
        <v>17</v>
      </c>
      <c r="H833" s="7" t="s">
        <v>17</v>
      </c>
      <c r="I833" s="7" t="s">
        <v>173</v>
      </c>
      <c r="J833" s="99" t="s">
        <v>3436</v>
      </c>
    </row>
    <row r="834" spans="1:10" ht="28.9" customHeight="1" thickTop="1" thickBot="1" x14ac:dyDescent="0.65">
      <c r="A834" s="3">
        <v>832</v>
      </c>
      <c r="B834" s="44" t="str">
        <f>HYPERLINK("https://search.naver.com/search.naver?query=라이프 라이크 영화", "라이프 라이크")</f>
        <v>라이프 라이크</v>
      </c>
      <c r="C834" s="45"/>
      <c r="D834" s="4" t="s">
        <v>1019</v>
      </c>
      <c r="E834" s="3" t="s">
        <v>20</v>
      </c>
      <c r="F834" s="3">
        <v>2019</v>
      </c>
      <c r="G834" s="3" t="s">
        <v>12</v>
      </c>
      <c r="H834" s="3" t="s">
        <v>520</v>
      </c>
      <c r="I834" s="3" t="s">
        <v>111</v>
      </c>
      <c r="J834" s="97" t="s">
        <v>3444</v>
      </c>
    </row>
    <row r="835" spans="1:10" ht="28.9" customHeight="1" thickTop="1" thickBot="1" x14ac:dyDescent="0.65">
      <c r="A835" s="5">
        <v>833</v>
      </c>
      <c r="B835" s="46" t="str">
        <f>HYPERLINK("https://search.naver.com/search.naver?query=라이프 리스트", "라이프 리스트")</f>
        <v>라이프 리스트</v>
      </c>
      <c r="C835" s="47">
        <v>7.16</v>
      </c>
      <c r="D835" s="6" t="s">
        <v>1020</v>
      </c>
      <c r="E835" s="5" t="s">
        <v>20</v>
      </c>
      <c r="F835" s="5">
        <v>2025</v>
      </c>
      <c r="G835" s="5" t="s">
        <v>12</v>
      </c>
      <c r="H835" s="5" t="s">
        <v>110</v>
      </c>
      <c r="I835" s="5" t="s">
        <v>58</v>
      </c>
      <c r="J835" s="98" t="s">
        <v>3459</v>
      </c>
    </row>
    <row r="836" spans="1:10" ht="28.9" customHeight="1" thickTop="1" thickBot="1" x14ac:dyDescent="0.65">
      <c r="A836" s="3">
        <v>834</v>
      </c>
      <c r="B836" s="44" t="str">
        <f>HYPERLINK("https://search.naver.com/search.naver?query=라이프 애즈 어 하우스 영화", "라이프 애즈 어 하우스")</f>
        <v>라이프 애즈 어 하우스</v>
      </c>
      <c r="C836" s="45"/>
      <c r="D836" s="4" t="s">
        <v>1021</v>
      </c>
      <c r="E836" s="3" t="s">
        <v>20</v>
      </c>
      <c r="F836" s="3">
        <v>2001</v>
      </c>
      <c r="G836" s="3" t="s">
        <v>12</v>
      </c>
      <c r="H836" s="3" t="s">
        <v>17</v>
      </c>
      <c r="I836" s="3" t="s">
        <v>134</v>
      </c>
      <c r="J836" s="97" t="s">
        <v>3457</v>
      </c>
    </row>
    <row r="837" spans="1:10" ht="28.9" customHeight="1" thickTop="1" thickBot="1" x14ac:dyDescent="0.65">
      <c r="A837" s="5">
        <v>835</v>
      </c>
      <c r="B837" s="46" t="str">
        <f>HYPERLINK("https://search.naver.com/search.naver?query=라파예트 영화", "라파예트")</f>
        <v>라파예트</v>
      </c>
      <c r="C837" s="47">
        <v>8.18</v>
      </c>
      <c r="D837" s="6" t="s">
        <v>1022</v>
      </c>
      <c r="E837" s="5" t="s">
        <v>210</v>
      </c>
      <c r="F837" s="5">
        <v>2006</v>
      </c>
      <c r="G837" s="5" t="s">
        <v>12</v>
      </c>
      <c r="H837" s="5" t="s">
        <v>17</v>
      </c>
      <c r="I837" s="5" t="s">
        <v>96</v>
      </c>
      <c r="J837" s="98" t="s">
        <v>3460</v>
      </c>
    </row>
    <row r="838" spans="1:10" ht="28.9" customHeight="1" thickTop="1" thickBot="1" x14ac:dyDescent="0.65">
      <c r="A838" s="3">
        <v>836</v>
      </c>
      <c r="B838" s="44" t="str">
        <f>HYPERLINK("https://search.naver.com/search.naver?query=라플라스의 마녀 영화", "라플라스의 마녀")</f>
        <v>라플라스의 마녀</v>
      </c>
      <c r="C838" s="45">
        <v>6.4</v>
      </c>
      <c r="D838" s="4" t="s">
        <v>1023</v>
      </c>
      <c r="E838" s="3" t="s">
        <v>16</v>
      </c>
      <c r="F838" s="3">
        <v>2018</v>
      </c>
      <c r="G838" s="3" t="s">
        <v>12</v>
      </c>
      <c r="H838" s="3" t="s">
        <v>141</v>
      </c>
      <c r="I838" s="3" t="s">
        <v>47</v>
      </c>
      <c r="J838" s="97" t="s">
        <v>3442</v>
      </c>
    </row>
    <row r="839" spans="1:10" ht="28.9" customHeight="1" thickTop="1" thickBot="1" x14ac:dyDescent="0.65">
      <c r="A839" s="5">
        <v>837</v>
      </c>
      <c r="B839" s="46" t="str">
        <f>HYPERLINK("https://search.naver.com/search.naver?query=람보-라스트 워 영화", "람보-라스트 워")</f>
        <v>람보-라스트 워</v>
      </c>
      <c r="C839" s="47"/>
      <c r="D839" s="6" t="s">
        <v>1024</v>
      </c>
      <c r="E839" s="5" t="s">
        <v>20</v>
      </c>
      <c r="F839" s="5">
        <v>2019</v>
      </c>
      <c r="G839" s="5" t="s">
        <v>12</v>
      </c>
      <c r="H839" s="5" t="s">
        <v>92</v>
      </c>
      <c r="I839" s="5" t="s">
        <v>119</v>
      </c>
      <c r="J839" s="98" t="s">
        <v>3444</v>
      </c>
    </row>
    <row r="840" spans="1:10" ht="28.9" customHeight="1" thickTop="1" thickBot="1" x14ac:dyDescent="0.65">
      <c r="A840" s="3">
        <v>838</v>
      </c>
      <c r="B840" s="44" t="str">
        <f>HYPERLINK("https://search.naver.com/search.naver?query=래기스 영화", "래기스")</f>
        <v>래기스</v>
      </c>
      <c r="C840" s="45">
        <v>6.4</v>
      </c>
      <c r="D840" s="4" t="s">
        <v>1025</v>
      </c>
      <c r="E840" s="3" t="s">
        <v>20</v>
      </c>
      <c r="F840" s="3">
        <v>2014</v>
      </c>
      <c r="G840" s="3" t="s">
        <v>12</v>
      </c>
      <c r="H840" s="3" t="s">
        <v>17</v>
      </c>
      <c r="I840" s="3" t="s">
        <v>111</v>
      </c>
      <c r="J840" s="97" t="s">
        <v>3437</v>
      </c>
    </row>
    <row r="841" spans="1:10" ht="28.9" customHeight="1" thickTop="1" thickBot="1" x14ac:dyDescent="0.65">
      <c r="A841" s="5">
        <v>839</v>
      </c>
      <c r="B841" s="46" t="str">
        <f>HYPERLINK("https://search.naver.com/search.naver?query=래빗 홀 영화", "래빗 홀")</f>
        <v>래빗 홀</v>
      </c>
      <c r="C841" s="47">
        <v>8.06</v>
      </c>
      <c r="D841" s="6" t="s">
        <v>1026</v>
      </c>
      <c r="E841" s="5" t="s">
        <v>20</v>
      </c>
      <c r="F841" s="5">
        <v>2010</v>
      </c>
      <c r="G841" s="5" t="s">
        <v>12</v>
      </c>
      <c r="H841" s="5" t="s">
        <v>17</v>
      </c>
      <c r="I841" s="5" t="s">
        <v>240</v>
      </c>
      <c r="J841" s="98" t="s">
        <v>3455</v>
      </c>
    </row>
    <row r="842" spans="1:10" ht="28.9" customHeight="1" thickTop="1" thickBot="1" x14ac:dyDescent="0.65">
      <c r="A842" s="7">
        <v>840</v>
      </c>
      <c r="B842" s="48" t="str">
        <f>HYPERLINK("https://search.naver.com/search.naver?query=래빗홀 드라마", "래빗홀")</f>
        <v>래빗홀</v>
      </c>
      <c r="C842" s="49"/>
      <c r="D842" s="8" t="s">
        <v>1027</v>
      </c>
      <c r="E842" s="7" t="s">
        <v>20</v>
      </c>
      <c r="F842" s="7">
        <v>2023</v>
      </c>
      <c r="G842" s="7" t="s">
        <v>17</v>
      </c>
      <c r="H842" s="7" t="s">
        <v>13</v>
      </c>
      <c r="I842" s="7" t="s">
        <v>55</v>
      </c>
      <c r="J842" s="99" t="s">
        <v>3446</v>
      </c>
    </row>
    <row r="843" spans="1:10" ht="28.9" customHeight="1" thickTop="1" thickBot="1" x14ac:dyDescent="0.65">
      <c r="A843" s="5">
        <v>841</v>
      </c>
      <c r="B843" s="46" t="str">
        <f>HYPERLINK("https://search.naver.com/search.naver?query=래시 컴 홈 영화", "래시 컴 홈")</f>
        <v>래시 컴 홈</v>
      </c>
      <c r="C843" s="47">
        <v>7.61</v>
      </c>
      <c r="D843" s="6" t="s">
        <v>1028</v>
      </c>
      <c r="E843" s="5" t="s">
        <v>24</v>
      </c>
      <c r="F843" s="5">
        <v>2020</v>
      </c>
      <c r="G843" s="5" t="s">
        <v>12</v>
      </c>
      <c r="H843" s="5" t="s">
        <v>17</v>
      </c>
      <c r="I843" s="5" t="s">
        <v>81</v>
      </c>
      <c r="J843" s="98" t="s">
        <v>3436</v>
      </c>
    </row>
    <row r="844" spans="1:10" ht="28.9" customHeight="1" thickTop="1" thickBot="1" x14ac:dyDescent="0.65">
      <c r="A844" s="3">
        <v>842</v>
      </c>
      <c r="B844" s="44" t="str">
        <f>HYPERLINK("https://search.naver.com/search.naver?query=랜드 영화", "랜드")</f>
        <v>랜드</v>
      </c>
      <c r="C844" s="45"/>
      <c r="D844" s="4" t="s">
        <v>1029</v>
      </c>
      <c r="E844" s="3" t="s">
        <v>20</v>
      </c>
      <c r="F844" s="3">
        <v>2021</v>
      </c>
      <c r="G844" s="3" t="s">
        <v>12</v>
      </c>
      <c r="H844" s="3" t="s">
        <v>17</v>
      </c>
      <c r="I844" s="3" t="s">
        <v>119</v>
      </c>
      <c r="J844" s="97" t="s">
        <v>3438</v>
      </c>
    </row>
    <row r="845" spans="1:10" ht="28.9" customHeight="1" thickTop="1" thickBot="1" x14ac:dyDescent="0.65">
      <c r="A845" s="5">
        <v>843</v>
      </c>
      <c r="B845" s="46" t="str">
        <f>HYPERLINK("https://search.naver.com/search.naver?query=랜드 오브 배드 영화", "랜드 오브 배드")</f>
        <v>랜드 오브 배드</v>
      </c>
      <c r="C845" s="47">
        <v>8.31</v>
      </c>
      <c r="D845" s="6" t="s">
        <v>1030</v>
      </c>
      <c r="E845" s="5" t="s">
        <v>20</v>
      </c>
      <c r="F845" s="5">
        <v>2024</v>
      </c>
      <c r="G845" s="5" t="s">
        <v>12</v>
      </c>
      <c r="H845" s="5" t="s">
        <v>92</v>
      </c>
      <c r="I845" s="5" t="s">
        <v>96</v>
      </c>
      <c r="J845" s="98" t="s">
        <v>3448</v>
      </c>
    </row>
    <row r="846" spans="1:10" ht="28.9" customHeight="1" thickTop="1" thickBot="1" x14ac:dyDescent="0.65">
      <c r="A846" s="7">
        <v>844</v>
      </c>
      <c r="B846" s="48" t="str">
        <f>HYPERLINK("https://search.naver.com/search.naver?query=랜드맨 시즌1", "랜드맨 시즌1")</f>
        <v>랜드맨 시즌1</v>
      </c>
      <c r="C846" s="49"/>
      <c r="D846" s="8" t="s">
        <v>1031</v>
      </c>
      <c r="E846" s="7" t="s">
        <v>20</v>
      </c>
      <c r="F846" s="7">
        <v>2024</v>
      </c>
      <c r="G846" s="7" t="s">
        <v>17</v>
      </c>
      <c r="H846" s="7" t="s">
        <v>17</v>
      </c>
      <c r="I846" s="7" t="s">
        <v>50</v>
      </c>
      <c r="J846" s="99" t="s">
        <v>3448</v>
      </c>
    </row>
    <row r="847" spans="1:10" ht="28.9" customHeight="1" thickTop="1" thickBot="1" x14ac:dyDescent="0.65">
      <c r="A847" s="5">
        <v>845</v>
      </c>
      <c r="B847" s="46" t="str">
        <f>HYPERLINK("https://search.naver.com/search.naver?query=랜섬 영화", "랜섬")</f>
        <v>랜섬</v>
      </c>
      <c r="C847" s="47">
        <v>6.4</v>
      </c>
      <c r="D847" s="6" t="s">
        <v>1032</v>
      </c>
      <c r="E847" s="5" t="s">
        <v>20</v>
      </c>
      <c r="F847" s="5">
        <v>1996</v>
      </c>
      <c r="G847" s="5" t="s">
        <v>12</v>
      </c>
      <c r="H847" s="5" t="s">
        <v>92</v>
      </c>
      <c r="I847" s="5" t="s">
        <v>142</v>
      </c>
      <c r="J847" s="98" t="s">
        <v>3463</v>
      </c>
    </row>
    <row r="848" spans="1:10" ht="28.9" customHeight="1" thickTop="1" thickBot="1" x14ac:dyDescent="0.65">
      <c r="A848" s="3">
        <v>846</v>
      </c>
      <c r="B848" s="44" t="str">
        <f>HYPERLINK("https://search.naver.com/search.naver?query=램페이지 영화", "램페이지")</f>
        <v>램페이지</v>
      </c>
      <c r="C848" s="45">
        <v>8.81</v>
      </c>
      <c r="D848" s="4" t="s">
        <v>1033</v>
      </c>
      <c r="E848" s="3" t="s">
        <v>20</v>
      </c>
      <c r="F848" s="3">
        <v>2018</v>
      </c>
      <c r="G848" s="3" t="s">
        <v>12</v>
      </c>
      <c r="H848" s="3" t="s">
        <v>92</v>
      </c>
      <c r="I848" s="3" t="s">
        <v>75</v>
      </c>
      <c r="J848" s="97" t="s">
        <v>3442</v>
      </c>
    </row>
    <row r="849" spans="1:10" ht="28.9" customHeight="1" thickTop="1" thickBot="1" x14ac:dyDescent="0.65">
      <c r="A849" s="5">
        <v>847</v>
      </c>
      <c r="B849" s="46" t="str">
        <f>HYPERLINK("https://search.naver.com/search.naver?query=러닝 위드 더 데빌 영화", "러닝 위드 더 데빌")</f>
        <v>러닝 위드 더 데빌</v>
      </c>
      <c r="C849" s="47"/>
      <c r="D849" s="6" t="s">
        <v>1034</v>
      </c>
      <c r="E849" s="5" t="s">
        <v>20</v>
      </c>
      <c r="F849" s="5">
        <v>2019</v>
      </c>
      <c r="G849" s="5" t="s">
        <v>12</v>
      </c>
      <c r="H849" s="5" t="s">
        <v>92</v>
      </c>
      <c r="I849" s="5" t="s">
        <v>131</v>
      </c>
      <c r="J849" s="98" t="s">
        <v>3444</v>
      </c>
    </row>
    <row r="850" spans="1:10" ht="28.9" customHeight="1" thickTop="1" thickBot="1" x14ac:dyDescent="0.65">
      <c r="A850" s="3">
        <v>848</v>
      </c>
      <c r="B850" s="44" t="str">
        <f>HYPERLINK("https://search.naver.com/search.naver?query=러덜리스 영화", "러덜리스")</f>
        <v>러덜리스</v>
      </c>
      <c r="C850" s="45">
        <v>8.68</v>
      </c>
      <c r="D850" s="4" t="s">
        <v>1035</v>
      </c>
      <c r="E850" s="3" t="s">
        <v>20</v>
      </c>
      <c r="F850" s="3">
        <v>2014</v>
      </c>
      <c r="G850" s="3" t="s">
        <v>12</v>
      </c>
      <c r="H850" s="3" t="s">
        <v>17</v>
      </c>
      <c r="I850" s="3" t="s">
        <v>128</v>
      </c>
      <c r="J850" s="97" t="s">
        <v>3437</v>
      </c>
    </row>
    <row r="851" spans="1:10" ht="28.9" customHeight="1" thickTop="1" thickBot="1" x14ac:dyDescent="0.65">
      <c r="A851" s="5">
        <v>849</v>
      </c>
      <c r="B851" s="46" t="str">
        <f>HYPERLINK("https://search.naver.com/search.naver?query=러브 &amp; 드럭스 영화", "러브 &amp; 드럭스")</f>
        <v>러브 &amp; 드럭스</v>
      </c>
      <c r="C851" s="47">
        <v>4.57</v>
      </c>
      <c r="D851" s="6" t="s">
        <v>1036</v>
      </c>
      <c r="E851" s="5" t="s">
        <v>20</v>
      </c>
      <c r="F851" s="5">
        <v>2010</v>
      </c>
      <c r="G851" s="5" t="s">
        <v>12</v>
      </c>
      <c r="H851" s="5" t="s">
        <v>68</v>
      </c>
      <c r="I851" s="5" t="s">
        <v>278</v>
      </c>
      <c r="J851" s="98" t="s">
        <v>3455</v>
      </c>
    </row>
    <row r="852" spans="1:10" ht="28.9" customHeight="1" thickTop="1" thickBot="1" x14ac:dyDescent="0.65">
      <c r="A852" s="3">
        <v>850</v>
      </c>
      <c r="B852" s="44" t="str">
        <f>HYPERLINK("https://search.naver.com/search.naver?query=러브 라이프 영화", "러브 라이프")</f>
        <v>러브 라이프</v>
      </c>
      <c r="C852" s="45">
        <v>7.6</v>
      </c>
      <c r="D852" s="4" t="s">
        <v>1037</v>
      </c>
      <c r="E852" s="3" t="s">
        <v>16</v>
      </c>
      <c r="F852" s="3">
        <v>2022</v>
      </c>
      <c r="G852" s="3" t="s">
        <v>12</v>
      </c>
      <c r="H852" s="3" t="s">
        <v>17</v>
      </c>
      <c r="I852" s="3" t="s">
        <v>58</v>
      </c>
      <c r="J852" s="97" t="s">
        <v>3445</v>
      </c>
    </row>
    <row r="853" spans="1:10" ht="28.9" customHeight="1" thickTop="1" thickBot="1" x14ac:dyDescent="0.65">
      <c r="A853" s="5">
        <v>851</v>
      </c>
      <c r="B853" s="46" t="str">
        <f>HYPERLINK("https://search.naver.com/search.naver?query=러브 송 포 바비 롱 영화", "러브 송 포 바비 롱")</f>
        <v>러브 송 포 바비 롱</v>
      </c>
      <c r="C853" s="47">
        <v>6.4</v>
      </c>
      <c r="D853" s="6" t="s">
        <v>1038</v>
      </c>
      <c r="E853" s="5" t="s">
        <v>20</v>
      </c>
      <c r="F853" s="5">
        <v>2004</v>
      </c>
      <c r="G853" s="5" t="s">
        <v>12</v>
      </c>
      <c r="H853" s="5" t="s">
        <v>17</v>
      </c>
      <c r="I853" s="5" t="s">
        <v>53</v>
      </c>
      <c r="J853" s="98" t="s">
        <v>3462</v>
      </c>
    </row>
    <row r="854" spans="1:10" ht="28.2" thickTop="1" thickBot="1" x14ac:dyDescent="0.65">
      <c r="A854" s="7">
        <v>852</v>
      </c>
      <c r="B854" s="88" t="str">
        <f>HYPERLINK("https://www.themoviedb.org/tv/131142-love-story?language=ko", "러브 스토리-존 F. 케네디 주니어 &amp; 캐롤린 베셋")</f>
        <v>러브 스토리-존 F. 케네디 주니어 &amp; 캐롤린 베셋</v>
      </c>
      <c r="C854" s="49">
        <v>8.3000000000000007</v>
      </c>
      <c r="D854" s="24" t="s">
        <v>1039</v>
      </c>
      <c r="E854" s="7" t="s">
        <v>20</v>
      </c>
      <c r="F854" s="7">
        <v>2026</v>
      </c>
      <c r="G854" s="7" t="s">
        <v>17</v>
      </c>
      <c r="H854" s="7" t="s">
        <v>1040</v>
      </c>
      <c r="I854" s="7" t="s">
        <v>242</v>
      </c>
      <c r="J854" s="101" t="s">
        <v>1041</v>
      </c>
    </row>
    <row r="855" spans="1:10" ht="28.9" customHeight="1" thickTop="1" thickBot="1" x14ac:dyDescent="0.65">
      <c r="A855" s="3">
        <v>853</v>
      </c>
      <c r="B855" s="44" t="str">
        <f>HYPERLINK("https://search.naver.com/search.naver?query=러브 액츄얼리 영화", "러브 액츄얼리")</f>
        <v>러브 액츄얼리</v>
      </c>
      <c r="C855" s="45">
        <v>8.1999999999999993</v>
      </c>
      <c r="D855" s="4" t="s">
        <v>1042</v>
      </c>
      <c r="E855" s="3" t="s">
        <v>24</v>
      </c>
      <c r="F855" s="3">
        <v>2003</v>
      </c>
      <c r="G855" s="3" t="s">
        <v>12</v>
      </c>
      <c r="H855" s="3" t="s">
        <v>121</v>
      </c>
      <c r="I855" s="3" t="s">
        <v>41</v>
      </c>
      <c r="J855" s="97" t="s">
        <v>3449</v>
      </c>
    </row>
    <row r="856" spans="1:10" ht="28.9" customHeight="1" thickTop="1" thickBot="1" x14ac:dyDescent="0.65">
      <c r="A856" s="7">
        <v>854</v>
      </c>
      <c r="B856" s="48" t="str">
        <f>HYPERLINK("https://search.naver.com/search.naver?query=러브 앤 아나키 시즌1", "러브 앤 아나키 시즌1")</f>
        <v>러브 앤 아나키 시즌1</v>
      </c>
      <c r="C856" s="49"/>
      <c r="D856" s="8" t="s">
        <v>1043</v>
      </c>
      <c r="E856" s="7" t="s">
        <v>611</v>
      </c>
      <c r="F856" s="7">
        <v>2020</v>
      </c>
      <c r="G856" s="7" t="s">
        <v>17</v>
      </c>
      <c r="H856" s="7" t="s">
        <v>1044</v>
      </c>
      <c r="I856" s="7" t="s">
        <v>55</v>
      </c>
      <c r="J856" s="99" t="s">
        <v>3436</v>
      </c>
    </row>
    <row r="857" spans="1:10" ht="28.9" customHeight="1" thickTop="1" thickBot="1" x14ac:dyDescent="0.65">
      <c r="A857" s="3">
        <v>855</v>
      </c>
      <c r="B857" s="44" t="str">
        <f>HYPERLINK("https://search.naver.com/search.naver?query=러브 앤 아트 영화", "러브 앤 아트")</f>
        <v>러브 앤 아트</v>
      </c>
      <c r="C857" s="45">
        <v>8.4499999999999993</v>
      </c>
      <c r="D857" s="4" t="s">
        <v>1045</v>
      </c>
      <c r="E857" s="3" t="s">
        <v>16</v>
      </c>
      <c r="F857" s="3">
        <v>2013</v>
      </c>
      <c r="G857" s="3" t="s">
        <v>12</v>
      </c>
      <c r="H857" s="3" t="s">
        <v>17</v>
      </c>
      <c r="I857" s="3" t="s">
        <v>14</v>
      </c>
      <c r="J857" s="97" t="s">
        <v>3451</v>
      </c>
    </row>
    <row r="858" spans="1:10" ht="28.9" customHeight="1" thickTop="1" thickBot="1" x14ac:dyDescent="0.65">
      <c r="A858" s="5">
        <v>856</v>
      </c>
      <c r="B858" s="46" t="str">
        <f>HYPERLINK("https://search.naver.com/search.naver?query=러브 앳 영화", "러브 앳")</f>
        <v>러브 앳</v>
      </c>
      <c r="C858" s="47">
        <v>9.14</v>
      </c>
      <c r="D858" s="6" t="s">
        <v>1046</v>
      </c>
      <c r="E858" s="5" t="s">
        <v>16</v>
      </c>
      <c r="F858" s="5">
        <v>2019</v>
      </c>
      <c r="G858" s="5" t="s">
        <v>12</v>
      </c>
      <c r="H858" s="5" t="s">
        <v>17</v>
      </c>
      <c r="I858" s="5" t="s">
        <v>111</v>
      </c>
      <c r="J858" s="98" t="s">
        <v>3444</v>
      </c>
    </row>
    <row r="859" spans="1:10" ht="28.9" customHeight="1" thickTop="1" thickBot="1" x14ac:dyDescent="0.65">
      <c r="A859" s="3">
        <v>857</v>
      </c>
      <c r="B859" s="44" t="str">
        <f>HYPERLINK("https://search.naver.com/search.naver?query=러브 어페어-우리가 말하는 것, 우리가 하는 것 영화", "러브 어페어-우리가 말하는 것, 우리가 하는 것")</f>
        <v>러브 어페어-우리가 말하는 것, 우리가 하는 것</v>
      </c>
      <c r="C859" s="45"/>
      <c r="D859" s="4" t="s">
        <v>1047</v>
      </c>
      <c r="E859" s="3" t="s">
        <v>210</v>
      </c>
      <c r="F859" s="3">
        <v>2021</v>
      </c>
      <c r="G859" s="3" t="s">
        <v>12</v>
      </c>
      <c r="H859" s="3" t="s">
        <v>17</v>
      </c>
      <c r="I859" s="3" t="s">
        <v>131</v>
      </c>
      <c r="J859" s="97" t="s">
        <v>3438</v>
      </c>
    </row>
    <row r="860" spans="1:10" ht="28.9" customHeight="1" thickTop="1" thickBot="1" x14ac:dyDescent="0.65">
      <c r="A860" s="5">
        <v>858</v>
      </c>
      <c r="B860" s="46" t="str">
        <f>HYPERLINK("https://search.naver.com/search.naver?query=러브 인 비즈니스클래스 영화", "러브 인 비즈니스클래스")</f>
        <v>러브 인 비즈니스클래스</v>
      </c>
      <c r="C860" s="47">
        <v>7</v>
      </c>
      <c r="D860" s="6" t="s">
        <v>1048</v>
      </c>
      <c r="E860" s="5" t="s">
        <v>210</v>
      </c>
      <c r="F860" s="5">
        <v>2014</v>
      </c>
      <c r="G860" s="5" t="s">
        <v>12</v>
      </c>
      <c r="H860" s="5" t="s">
        <v>1049</v>
      </c>
      <c r="I860" s="5" t="s">
        <v>61</v>
      </c>
      <c r="J860" s="98" t="s">
        <v>3437</v>
      </c>
    </row>
    <row r="861" spans="1:10" ht="28.9" customHeight="1" thickTop="1" thickBot="1" x14ac:dyDescent="0.65">
      <c r="A861" s="3">
        <v>859</v>
      </c>
      <c r="B861" s="44" t="str">
        <f>HYPERLINK("https://search.naver.com/search.naver?query=러브 인 클라우즈 영화", "러브 인 클라우즈")</f>
        <v>러브 인 클라우즈</v>
      </c>
      <c r="C861" s="45">
        <v>7.7</v>
      </c>
      <c r="D861" s="4" t="s">
        <v>1050</v>
      </c>
      <c r="E861" s="3" t="s">
        <v>24</v>
      </c>
      <c r="F861" s="3">
        <v>2008</v>
      </c>
      <c r="G861" s="3" t="s">
        <v>12</v>
      </c>
      <c r="H861" s="3" t="s">
        <v>17</v>
      </c>
      <c r="I861" s="3" t="s">
        <v>86</v>
      </c>
      <c r="J861" s="97" t="s">
        <v>3450</v>
      </c>
    </row>
    <row r="862" spans="1:10" ht="28.9" customHeight="1" thickTop="1" thickBot="1" x14ac:dyDescent="0.65">
      <c r="A862" s="5">
        <v>860</v>
      </c>
      <c r="B862" s="46" t="str">
        <f>HYPERLINK("https://search.naver.com/search.naver?query=러브 인 프로방스 영화", "러브 인 프로방스")</f>
        <v>러브 인 프로방스</v>
      </c>
      <c r="C862" s="47">
        <v>8.94</v>
      </c>
      <c r="D862" s="6" t="s">
        <v>1051</v>
      </c>
      <c r="E862" s="5" t="s">
        <v>210</v>
      </c>
      <c r="F862" s="5">
        <v>2014</v>
      </c>
      <c r="G862" s="5" t="s">
        <v>12</v>
      </c>
      <c r="H862" s="5" t="s">
        <v>68</v>
      </c>
      <c r="I862" s="5" t="s">
        <v>111</v>
      </c>
      <c r="J862" s="98" t="s">
        <v>3437</v>
      </c>
    </row>
    <row r="863" spans="1:10" ht="28.9" customHeight="1" thickTop="1" thickBot="1" x14ac:dyDescent="0.65">
      <c r="A863" s="3">
        <v>861</v>
      </c>
      <c r="B863" s="44" t="str">
        <f>HYPERLINK("https://search.naver.com/search.naver?query=러브 펀치 영화", "러브 펀치")</f>
        <v>러브 펀치</v>
      </c>
      <c r="C863" s="45">
        <v>7.43</v>
      </c>
      <c r="D863" s="4" t="s">
        <v>1052</v>
      </c>
      <c r="E863" s="3" t="s">
        <v>210</v>
      </c>
      <c r="F863" s="3">
        <v>2013</v>
      </c>
      <c r="G863" s="3" t="s">
        <v>12</v>
      </c>
      <c r="H863" s="3" t="s">
        <v>68</v>
      </c>
      <c r="I863" s="3" t="s">
        <v>300</v>
      </c>
      <c r="J863" s="97" t="s">
        <v>3451</v>
      </c>
    </row>
    <row r="864" spans="1:10" ht="28.9" customHeight="1" thickTop="1" thickBot="1" x14ac:dyDescent="0.65">
      <c r="A864" s="5">
        <v>862</v>
      </c>
      <c r="B864" s="46" t="str">
        <f>HYPERLINK("https://search.naver.com/search.naver?query=러브, 로지 영화", "러브, 로지")</f>
        <v>러브, 로지</v>
      </c>
      <c r="C864" s="47">
        <v>7.99</v>
      </c>
      <c r="D864" s="6" t="s">
        <v>1053</v>
      </c>
      <c r="E864" s="5" t="s">
        <v>24</v>
      </c>
      <c r="F864" s="5">
        <v>2014</v>
      </c>
      <c r="G864" s="5" t="s">
        <v>12</v>
      </c>
      <c r="H864" s="5" t="s">
        <v>121</v>
      </c>
      <c r="I864" s="5" t="s">
        <v>99</v>
      </c>
      <c r="J864" s="98" t="s">
        <v>3437</v>
      </c>
    </row>
    <row r="865" spans="1:10" ht="28.9" customHeight="1" thickTop="1" thickBot="1" x14ac:dyDescent="0.65">
      <c r="A865" s="3">
        <v>863</v>
      </c>
      <c r="B865" s="44" t="str">
        <f>HYPERLINK("https://search.naver.com/search.naver?query=러브, 비하인드 영화", "러브, 비하인드")</f>
        <v>러브, 비하인드</v>
      </c>
      <c r="C865" s="45">
        <v>8.1999999999999993</v>
      </c>
      <c r="D865" s="4"/>
      <c r="E865" s="3" t="s">
        <v>16</v>
      </c>
      <c r="F865" s="3">
        <v>2012</v>
      </c>
      <c r="G865" s="3" t="s">
        <v>12</v>
      </c>
      <c r="H865" s="3" t="s">
        <v>17</v>
      </c>
      <c r="I865" s="3" t="s">
        <v>111</v>
      </c>
      <c r="J865" s="97" t="s">
        <v>3439</v>
      </c>
    </row>
    <row r="866" spans="1:10" ht="28.9" customHeight="1" thickTop="1" thickBot="1" x14ac:dyDescent="0.65">
      <c r="A866" s="5">
        <v>864</v>
      </c>
      <c r="B866" s="46" t="str">
        <f>HYPERLINK("https://search.naver.com/search.naver?query=러브, 어게인 영화", "러브, 어게인")</f>
        <v>러브, 어게인</v>
      </c>
      <c r="C866" s="47">
        <v>8.31</v>
      </c>
      <c r="D866" s="6" t="s">
        <v>1054</v>
      </c>
      <c r="E866" s="5" t="s">
        <v>20</v>
      </c>
      <c r="F866" s="5">
        <v>2017</v>
      </c>
      <c r="G866" s="5" t="s">
        <v>12</v>
      </c>
      <c r="H866" s="5" t="s">
        <v>121</v>
      </c>
      <c r="I866" s="5" t="s">
        <v>124</v>
      </c>
      <c r="J866" s="98" t="s">
        <v>3443</v>
      </c>
    </row>
    <row r="867" spans="1:10" ht="28.9" customHeight="1" thickTop="1" thickBot="1" x14ac:dyDescent="0.65">
      <c r="A867" s="3">
        <v>865</v>
      </c>
      <c r="B867" s="44" t="str">
        <f>HYPERLINK("https://search.naver.com/search.naver?query=러블리 본즈 영화", "러블리 본즈")</f>
        <v>러블리 본즈</v>
      </c>
      <c r="C867" s="45">
        <v>6.84</v>
      </c>
      <c r="D867" s="4" t="s">
        <v>1055</v>
      </c>
      <c r="E867" s="3" t="s">
        <v>20</v>
      </c>
      <c r="F867" s="3">
        <v>2009</v>
      </c>
      <c r="G867" s="3" t="s">
        <v>12</v>
      </c>
      <c r="H867" s="3" t="s">
        <v>17</v>
      </c>
      <c r="I867" s="3" t="s">
        <v>41</v>
      </c>
      <c r="J867" s="97" t="s">
        <v>3453</v>
      </c>
    </row>
    <row r="868" spans="1:10" ht="28.9" customHeight="1" thickTop="1" thickBot="1" x14ac:dyDescent="0.65">
      <c r="A868" s="5">
        <v>866</v>
      </c>
      <c r="B868" s="46" t="str">
        <f>HYPERLINK("https://search.naver.com/search.naver?query=러빙 영화", "러빙")</f>
        <v>러빙</v>
      </c>
      <c r="C868" s="47">
        <v>8.2200000000000006</v>
      </c>
      <c r="D868" s="6" t="s">
        <v>1056</v>
      </c>
      <c r="E868" s="5" t="s">
        <v>20</v>
      </c>
      <c r="F868" s="5">
        <v>2016</v>
      </c>
      <c r="G868" s="5" t="s">
        <v>12</v>
      </c>
      <c r="H868" s="5" t="s">
        <v>17</v>
      </c>
      <c r="I868" s="5" t="s">
        <v>58</v>
      </c>
      <c r="J868" s="98" t="s">
        <v>3441</v>
      </c>
    </row>
    <row r="869" spans="1:10" ht="28.9" customHeight="1" thickTop="1" thickBot="1" x14ac:dyDescent="0.65">
      <c r="A869" s="3">
        <v>867</v>
      </c>
      <c r="B869" s="44" t="str">
        <f>HYPERLINK("https://search.naver.com/search.naver?query=러스트 크릭 영화", "러스트 크릭")</f>
        <v>러스트 크릭</v>
      </c>
      <c r="C869" s="45">
        <v>6.4</v>
      </c>
      <c r="D869" s="4" t="s">
        <v>1057</v>
      </c>
      <c r="E869" s="3" t="s">
        <v>20</v>
      </c>
      <c r="F869" s="3">
        <v>2018</v>
      </c>
      <c r="G869" s="3" t="s">
        <v>12</v>
      </c>
      <c r="H869" s="3" t="s">
        <v>43</v>
      </c>
      <c r="I869" s="3" t="s">
        <v>31</v>
      </c>
      <c r="J869" s="97" t="s">
        <v>3442</v>
      </c>
    </row>
    <row r="870" spans="1:10" ht="28.9" customHeight="1" thickTop="1" thickBot="1" x14ac:dyDescent="0.65">
      <c r="A870" s="5">
        <v>868</v>
      </c>
      <c r="B870" s="46" t="str">
        <f>HYPERLINK("https://search.naver.com/search.naver?query=러시 - 더 라이벌 영화", "러시 - 더 라이벌")</f>
        <v>러시 - 더 라이벌</v>
      </c>
      <c r="C870" s="47">
        <v>6.4</v>
      </c>
      <c r="D870" s="6" t="s">
        <v>1058</v>
      </c>
      <c r="E870" s="5" t="s">
        <v>24</v>
      </c>
      <c r="F870" s="5">
        <v>2013</v>
      </c>
      <c r="G870" s="5" t="s">
        <v>12</v>
      </c>
      <c r="H870" s="5" t="s">
        <v>92</v>
      </c>
      <c r="I870" s="5" t="s">
        <v>58</v>
      </c>
      <c r="J870" s="98" t="s">
        <v>3451</v>
      </c>
    </row>
    <row r="871" spans="1:10" ht="28.9" customHeight="1" thickTop="1" thickBot="1" x14ac:dyDescent="0.65">
      <c r="A871" s="3">
        <v>869</v>
      </c>
      <c r="B871" s="44" t="str">
        <f>HYPERLINK("https://search.naver.com/search.naver?query=럭키 넘버 슬레븐 영화", "럭키 넘버 슬레븐")</f>
        <v>럭키 넘버 슬레븐</v>
      </c>
      <c r="C871" s="45">
        <v>8.2200000000000006</v>
      </c>
      <c r="D871" s="4" t="s">
        <v>1059</v>
      </c>
      <c r="E871" s="3" t="s">
        <v>20</v>
      </c>
      <c r="F871" s="3">
        <v>2006</v>
      </c>
      <c r="G871" s="3" t="s">
        <v>12</v>
      </c>
      <c r="H871" s="3" t="s">
        <v>277</v>
      </c>
      <c r="I871" s="3" t="s">
        <v>96</v>
      </c>
      <c r="J871" s="97" t="s">
        <v>3460</v>
      </c>
    </row>
    <row r="872" spans="1:10" ht="28.9" customHeight="1" thickTop="1" thickBot="1" x14ac:dyDescent="0.65">
      <c r="A872" s="5">
        <v>870</v>
      </c>
      <c r="B872" s="46" t="str">
        <f>HYPERLINK("https://search.naver.com/search.naver?query=런 영화", "런")</f>
        <v>런</v>
      </c>
      <c r="C872" s="47">
        <v>3.32</v>
      </c>
      <c r="D872" s="6" t="s">
        <v>1060</v>
      </c>
      <c r="E872" s="5" t="s">
        <v>20</v>
      </c>
      <c r="F872" s="5">
        <v>2020</v>
      </c>
      <c r="G872" s="5" t="s">
        <v>12</v>
      </c>
      <c r="H872" s="5" t="s">
        <v>43</v>
      </c>
      <c r="I872" s="5" t="s">
        <v>115</v>
      </c>
      <c r="J872" s="98" t="s">
        <v>3436</v>
      </c>
    </row>
    <row r="873" spans="1:10" ht="28.9" customHeight="1" thickTop="1" thickBot="1" x14ac:dyDescent="0.65">
      <c r="A873" s="3">
        <v>871</v>
      </c>
      <c r="B873" s="44" t="str">
        <f>HYPERLINK("https://search.naver.com/search.naver?query=런 올 나이트 영화", "런 올 나이트")</f>
        <v>런 올 나이트</v>
      </c>
      <c r="C873" s="45">
        <v>7.94</v>
      </c>
      <c r="D873" s="4" t="s">
        <v>1061</v>
      </c>
      <c r="E873" s="3" t="s">
        <v>20</v>
      </c>
      <c r="F873" s="3">
        <v>2015</v>
      </c>
      <c r="G873" s="3" t="s">
        <v>12</v>
      </c>
      <c r="H873" s="3" t="s">
        <v>92</v>
      </c>
      <c r="I873" s="3" t="s">
        <v>207</v>
      </c>
      <c r="J873" s="97" t="s">
        <v>3440</v>
      </c>
    </row>
    <row r="874" spans="1:10" ht="28.9" customHeight="1" thickTop="1" thickBot="1" x14ac:dyDescent="0.65">
      <c r="A874" s="5">
        <v>872</v>
      </c>
      <c r="B874" s="46" t="str">
        <f>HYPERLINK("https://search.naver.com/search.naver?query=영화런닝맨", "런닝맨")</f>
        <v>런닝맨</v>
      </c>
      <c r="C874" s="47"/>
      <c r="D874" s="6" t="s">
        <v>1062</v>
      </c>
      <c r="E874" s="5" t="s">
        <v>11</v>
      </c>
      <c r="F874" s="5">
        <v>2013</v>
      </c>
      <c r="G874" s="5" t="s">
        <v>12</v>
      </c>
      <c r="H874" s="5" t="s">
        <v>92</v>
      </c>
      <c r="I874" s="5" t="s">
        <v>150</v>
      </c>
      <c r="J874" s="98" t="s">
        <v>3451</v>
      </c>
    </row>
    <row r="875" spans="1:10" ht="28.9" customHeight="1" thickTop="1" thickBot="1" x14ac:dyDescent="0.65">
      <c r="A875" s="3">
        <v>873</v>
      </c>
      <c r="B875" s="44" t="str">
        <f>HYPERLINK("https://search.naver.com/search.naver?query=런던 블러바드 영화", "런던 블러바드")</f>
        <v>런던 블러바드</v>
      </c>
      <c r="C875" s="45">
        <v>5.91</v>
      </c>
      <c r="D875" s="4" t="s">
        <v>1063</v>
      </c>
      <c r="E875" s="3" t="s">
        <v>24</v>
      </c>
      <c r="F875" s="3">
        <v>2012</v>
      </c>
      <c r="G875" s="3" t="s">
        <v>12</v>
      </c>
      <c r="H875" s="3" t="s">
        <v>277</v>
      </c>
      <c r="I875" s="3" t="s">
        <v>190</v>
      </c>
      <c r="J875" s="97" t="s">
        <v>3439</v>
      </c>
    </row>
    <row r="876" spans="1:10" ht="28.9" customHeight="1" thickTop="1" thickBot="1" x14ac:dyDescent="0.65">
      <c r="A876" s="5">
        <v>874</v>
      </c>
      <c r="B876" s="46" t="str">
        <f>HYPERLINK("https://search.naver.com/search.naver?query=런던 프라이드 영화", "런던 프라이드")</f>
        <v>런던 프라이드</v>
      </c>
      <c r="C876" s="47">
        <v>9.07</v>
      </c>
      <c r="D876" s="6" t="s">
        <v>1064</v>
      </c>
      <c r="E876" s="5" t="s">
        <v>24</v>
      </c>
      <c r="F876" s="5">
        <v>2014</v>
      </c>
      <c r="G876" s="5" t="s">
        <v>12</v>
      </c>
      <c r="H876" s="5" t="s">
        <v>17</v>
      </c>
      <c r="I876" s="5" t="s">
        <v>86</v>
      </c>
      <c r="J876" s="98" t="s">
        <v>3437</v>
      </c>
    </row>
    <row r="877" spans="1:10" ht="28.9" customHeight="1" thickTop="1" thickBot="1" x14ac:dyDescent="0.65">
      <c r="A877" s="3">
        <v>875</v>
      </c>
      <c r="B877" s="44" t="str">
        <f>HYPERLINK("https://search.naver.com/search.naver?query=런던 해즈 폴른 영화", "런던 해즈 폴른")</f>
        <v>런던 해즈 폴른</v>
      </c>
      <c r="C877" s="45">
        <v>8.4700000000000006</v>
      </c>
      <c r="D877" s="4" t="s">
        <v>1065</v>
      </c>
      <c r="E877" s="3" t="s">
        <v>20</v>
      </c>
      <c r="F877" s="3">
        <v>2016</v>
      </c>
      <c r="G877" s="3" t="s">
        <v>12</v>
      </c>
      <c r="H877" s="3" t="s">
        <v>92</v>
      </c>
      <c r="I877" s="3" t="s">
        <v>81</v>
      </c>
      <c r="J877" s="97" t="s">
        <v>3441</v>
      </c>
    </row>
    <row r="878" spans="1:10" ht="28.9" customHeight="1" thickTop="1" thickBot="1" x14ac:dyDescent="0.65">
      <c r="A878" s="5">
        <v>876</v>
      </c>
      <c r="B878" s="46" t="str">
        <f>HYPERLINK("https://search.naver.com/search.naver?query=런던시계탑 밑에서 사랑을 찾을 확률 영화", "런던시계탑 밑에서 사랑을 찾을 확률")</f>
        <v>런던시계탑 밑에서 사랑을 찾을 확률</v>
      </c>
      <c r="C878" s="47">
        <v>8.69</v>
      </c>
      <c r="D878" s="6" t="s">
        <v>1066</v>
      </c>
      <c r="E878" s="5" t="s">
        <v>24</v>
      </c>
      <c r="F878" s="5">
        <v>2016</v>
      </c>
      <c r="G878" s="5" t="s">
        <v>12</v>
      </c>
      <c r="H878" s="5" t="s">
        <v>68</v>
      </c>
      <c r="I878" s="5" t="s">
        <v>231</v>
      </c>
      <c r="J878" s="98" t="s">
        <v>3441</v>
      </c>
    </row>
    <row r="879" spans="1:10" ht="28.9" customHeight="1" thickTop="1" thickBot="1" x14ac:dyDescent="0.65">
      <c r="A879" s="3">
        <v>877</v>
      </c>
      <c r="B879" s="44" t="str">
        <f>HYPERLINK("https://search.naver.com/search.naver?query=런어웨이 영화", "런어웨이")</f>
        <v>런어웨이</v>
      </c>
      <c r="C879" s="45">
        <v>8.32</v>
      </c>
      <c r="D879" s="4" t="s">
        <v>1067</v>
      </c>
      <c r="E879" s="3" t="s">
        <v>20</v>
      </c>
      <c r="F879" s="3">
        <v>2003</v>
      </c>
      <c r="G879" s="3" t="s">
        <v>12</v>
      </c>
      <c r="H879" s="3" t="s">
        <v>17</v>
      </c>
      <c r="I879" s="3" t="s">
        <v>14</v>
      </c>
      <c r="J879" s="97" t="s">
        <v>3449</v>
      </c>
    </row>
    <row r="880" spans="1:10" ht="28.9" customHeight="1" thickTop="1" thickBot="1" x14ac:dyDescent="0.65">
      <c r="A880" s="5">
        <v>878</v>
      </c>
      <c r="B880" s="46" t="str">
        <f>HYPERLINK("https://search.naver.com/search.naver?query=런치박스 영화", "런치박스")</f>
        <v>런치박스</v>
      </c>
      <c r="C880" s="47">
        <v>8.65</v>
      </c>
      <c r="D880" s="6" t="s">
        <v>1068</v>
      </c>
      <c r="E880" s="5" t="s">
        <v>361</v>
      </c>
      <c r="F880" s="5">
        <v>2013</v>
      </c>
      <c r="G880" s="5" t="s">
        <v>12</v>
      </c>
      <c r="H880" s="5" t="s">
        <v>17</v>
      </c>
      <c r="I880" s="5" t="s">
        <v>170</v>
      </c>
      <c r="J880" s="98" t="s">
        <v>3451</v>
      </c>
    </row>
    <row r="881" spans="1:10" ht="28.9" customHeight="1" thickTop="1" thickBot="1" x14ac:dyDescent="0.65">
      <c r="A881" s="3">
        <v>879</v>
      </c>
      <c r="B881" s="44" t="str">
        <f>HYPERLINK("https://search.naver.com/search.naver?query=럼 다이어리 영화", "럼 다이어리")</f>
        <v>럼 다이어리</v>
      </c>
      <c r="C881" s="45">
        <v>6.1</v>
      </c>
      <c r="D881" s="4" t="s">
        <v>1069</v>
      </c>
      <c r="E881" s="3" t="s">
        <v>20</v>
      </c>
      <c r="F881" s="3">
        <v>2011</v>
      </c>
      <c r="G881" s="3" t="s">
        <v>12</v>
      </c>
      <c r="H881" s="3" t="s">
        <v>68</v>
      </c>
      <c r="I881" s="3" t="s">
        <v>53</v>
      </c>
      <c r="J881" s="97" t="s">
        <v>3454</v>
      </c>
    </row>
    <row r="882" spans="1:10" ht="28.9" customHeight="1" thickTop="1" thickBot="1" x14ac:dyDescent="0.65">
      <c r="A882" s="5">
        <v>880</v>
      </c>
      <c r="B882" s="46" t="str">
        <f>HYPERLINK("https://search.naver.com/search.naver?query=레거시 오브 라이즈 영화", "레거시 오브 라이즈")</f>
        <v>레거시 오브 라이즈</v>
      </c>
      <c r="C882" s="47">
        <v>4.46</v>
      </c>
      <c r="D882" s="6" t="s">
        <v>1070</v>
      </c>
      <c r="E882" s="5" t="s">
        <v>24</v>
      </c>
      <c r="F882" s="5">
        <v>2020</v>
      </c>
      <c r="G882" s="5" t="s">
        <v>12</v>
      </c>
      <c r="H882" s="5" t="s">
        <v>92</v>
      </c>
      <c r="I882" s="5" t="s">
        <v>131</v>
      </c>
      <c r="J882" s="98" t="s">
        <v>3436</v>
      </c>
    </row>
    <row r="883" spans="1:10" ht="28.9" customHeight="1" thickTop="1" thickBot="1" x14ac:dyDescent="0.65">
      <c r="A883" s="3">
        <v>881</v>
      </c>
      <c r="B883" s="44" t="str">
        <f>HYPERLINK("https://search.naver.com/search.naver?query=레드 - 더 레전드 영화", "레드 - 더 레전드")</f>
        <v>레드 - 더 레전드</v>
      </c>
      <c r="C883" s="45"/>
      <c r="D883" s="4" t="s">
        <v>1071</v>
      </c>
      <c r="E883" s="3" t="s">
        <v>20</v>
      </c>
      <c r="F883" s="3">
        <v>2013</v>
      </c>
      <c r="G883" s="3" t="s">
        <v>12</v>
      </c>
      <c r="H883" s="3" t="s">
        <v>92</v>
      </c>
      <c r="I883" s="3" t="s">
        <v>47</v>
      </c>
      <c r="J883" s="97" t="s">
        <v>3451</v>
      </c>
    </row>
    <row r="884" spans="1:10" ht="28.9" customHeight="1" thickTop="1" thickBot="1" x14ac:dyDescent="0.65">
      <c r="A884" s="5">
        <v>882</v>
      </c>
      <c r="B884" s="46" t="str">
        <f>HYPERLINK("https://search.naver.com/search.naver?query=레드 노티스 영화", "레드 노티스")</f>
        <v>레드 노티스</v>
      </c>
      <c r="C884" s="47">
        <v>6.6</v>
      </c>
      <c r="D884" s="6" t="s">
        <v>1072</v>
      </c>
      <c r="E884" s="5" t="s">
        <v>20</v>
      </c>
      <c r="F884" s="5">
        <v>2021</v>
      </c>
      <c r="G884" s="5" t="s">
        <v>12</v>
      </c>
      <c r="H884" s="5" t="s">
        <v>92</v>
      </c>
      <c r="I884" s="5" t="s">
        <v>221</v>
      </c>
      <c r="J884" s="98" t="s">
        <v>3438</v>
      </c>
    </row>
    <row r="885" spans="1:10" ht="28.9" customHeight="1" thickTop="1" thickBot="1" x14ac:dyDescent="0.65">
      <c r="A885" s="3">
        <v>883</v>
      </c>
      <c r="B885" s="44" t="str">
        <f>HYPERLINK("https://search.naver.com/search.naver?query=레드 닷 영화", "레드 닷")</f>
        <v>레드 닷</v>
      </c>
      <c r="C885" s="45">
        <v>5.7</v>
      </c>
      <c r="D885" s="4" t="s">
        <v>1073</v>
      </c>
      <c r="E885" s="3" t="s">
        <v>611</v>
      </c>
      <c r="F885" s="3">
        <v>2021</v>
      </c>
      <c r="G885" s="3" t="s">
        <v>12</v>
      </c>
      <c r="H885" s="3" t="s">
        <v>43</v>
      </c>
      <c r="I885" s="3" t="s">
        <v>37</v>
      </c>
      <c r="J885" s="97" t="s">
        <v>3438</v>
      </c>
    </row>
    <row r="886" spans="1:10" ht="28.9" customHeight="1" thickTop="1" thickBot="1" x14ac:dyDescent="0.65">
      <c r="A886" s="5">
        <v>884</v>
      </c>
      <c r="B886" s="46" t="str">
        <f>HYPERLINK("https://search.naver.com/search.naver?query=레드 드래곤 영화", "레드 드래곤")</f>
        <v>레드 드래곤</v>
      </c>
      <c r="C886" s="47">
        <v>8.5299999999999994</v>
      </c>
      <c r="D886" s="6" t="s">
        <v>1074</v>
      </c>
      <c r="E886" s="5" t="s">
        <v>20</v>
      </c>
      <c r="F886" s="5">
        <v>2002</v>
      </c>
      <c r="G886" s="5" t="s">
        <v>12</v>
      </c>
      <c r="H886" s="5" t="s">
        <v>277</v>
      </c>
      <c r="I886" s="5" t="s">
        <v>134</v>
      </c>
      <c r="J886" s="98" t="s">
        <v>3466</v>
      </c>
    </row>
    <row r="887" spans="1:10" ht="28.9" customHeight="1" thickTop="1" thickBot="1" x14ac:dyDescent="0.65">
      <c r="A887" s="3">
        <v>885</v>
      </c>
      <c r="B887" s="44" t="str">
        <f>HYPERLINK("https://search.naver.com/search.naver?query=레드 바론 영화", "레드 바론")</f>
        <v>레드 바론</v>
      </c>
      <c r="C887" s="45">
        <v>7.75</v>
      </c>
      <c r="D887" s="4" t="s">
        <v>1075</v>
      </c>
      <c r="E887" s="3" t="s">
        <v>101</v>
      </c>
      <c r="F887" s="3">
        <v>2008</v>
      </c>
      <c r="G887" s="3" t="s">
        <v>12</v>
      </c>
      <c r="H887" s="3" t="s">
        <v>721</v>
      </c>
      <c r="I887" s="3" t="s">
        <v>286</v>
      </c>
      <c r="J887" s="97" t="s">
        <v>3450</v>
      </c>
    </row>
    <row r="888" spans="1:10" ht="28.9" customHeight="1" thickTop="1" thickBot="1" x14ac:dyDescent="0.65">
      <c r="A888" s="5">
        <v>886</v>
      </c>
      <c r="B888" s="46" t="str">
        <f>HYPERLINK("https://search.naver.com/search.naver?query=레드 스패로 영화", "레드 스패로")</f>
        <v>레드 스패로</v>
      </c>
      <c r="C888" s="47">
        <v>8.58</v>
      </c>
      <c r="D888" s="6" t="s">
        <v>1076</v>
      </c>
      <c r="E888" s="5" t="s">
        <v>20</v>
      </c>
      <c r="F888" s="5">
        <v>2018</v>
      </c>
      <c r="G888" s="5" t="s">
        <v>12</v>
      </c>
      <c r="H888" s="5" t="s">
        <v>43</v>
      </c>
      <c r="I888" s="5" t="s">
        <v>550</v>
      </c>
      <c r="J888" s="98" t="s">
        <v>3442</v>
      </c>
    </row>
    <row r="889" spans="1:10" ht="28.9" customHeight="1" thickTop="1" thickBot="1" x14ac:dyDescent="0.65">
      <c r="A889" s="3">
        <v>887</v>
      </c>
      <c r="B889" s="44" t="str">
        <f>HYPERLINK("https://search.naver.com/search.naver?query=레드라이트 영화", "레드라이트")</f>
        <v>레드라이트</v>
      </c>
      <c r="C889" s="45">
        <v>7.25</v>
      </c>
      <c r="D889" s="4" t="s">
        <v>1077</v>
      </c>
      <c r="E889" s="3" t="s">
        <v>20</v>
      </c>
      <c r="F889" s="3">
        <v>2012</v>
      </c>
      <c r="G889" s="3" t="s">
        <v>12</v>
      </c>
      <c r="H889" s="3" t="s">
        <v>43</v>
      </c>
      <c r="I889" s="3" t="s">
        <v>73</v>
      </c>
      <c r="J889" s="97" t="s">
        <v>3439</v>
      </c>
    </row>
    <row r="890" spans="1:10" ht="28.9" customHeight="1" thickTop="1" thickBot="1" x14ac:dyDescent="0.65">
      <c r="A890" s="5">
        <v>888</v>
      </c>
      <c r="B890" s="46" t="str">
        <f>HYPERLINK("https://search.naver.com/search.naver?query=레드테일스 영화", "레드테일스")</f>
        <v>레드테일스</v>
      </c>
      <c r="C890" s="47"/>
      <c r="D890" s="6" t="s">
        <v>1078</v>
      </c>
      <c r="E890" s="5" t="s">
        <v>20</v>
      </c>
      <c r="F890" s="5">
        <v>2012</v>
      </c>
      <c r="G890" s="5" t="s">
        <v>12</v>
      </c>
      <c r="H890" s="5" t="s">
        <v>721</v>
      </c>
      <c r="I890" s="5" t="s">
        <v>214</v>
      </c>
      <c r="J890" s="98" t="s">
        <v>3439</v>
      </c>
    </row>
    <row r="891" spans="1:10" ht="28.9" customHeight="1" thickTop="1" thickBot="1" x14ac:dyDescent="0.65">
      <c r="A891" s="3">
        <v>889</v>
      </c>
      <c r="B891" s="44" t="str">
        <f>HYPERLINK("https://search.naver.com/search.naver?query=레디 오어 낫 영화", "레디 오어 낫")</f>
        <v>레디 오어 낫</v>
      </c>
      <c r="C891" s="45"/>
      <c r="D891" s="4" t="s">
        <v>1079</v>
      </c>
      <c r="E891" s="3" t="s">
        <v>20</v>
      </c>
      <c r="F891" s="3">
        <v>2019</v>
      </c>
      <c r="G891" s="3" t="s">
        <v>12</v>
      </c>
      <c r="H891" s="3" t="s">
        <v>252</v>
      </c>
      <c r="I891" s="3" t="s">
        <v>111</v>
      </c>
      <c r="J891" s="97" t="s">
        <v>3444</v>
      </c>
    </row>
    <row r="892" spans="1:10" ht="28.9" customHeight="1" thickTop="1" thickBot="1" x14ac:dyDescent="0.65">
      <c r="A892" s="5">
        <v>890</v>
      </c>
      <c r="B892" s="46" t="str">
        <f>HYPERLINK("https://search.naver.com/search.naver?query=레디 플레이어 원 영화", "레디 플레이어 원")</f>
        <v>레디 플레이어 원</v>
      </c>
      <c r="C892" s="47">
        <v>8.7200000000000006</v>
      </c>
      <c r="D892" s="6" t="s">
        <v>1080</v>
      </c>
      <c r="E892" s="5" t="s">
        <v>20</v>
      </c>
      <c r="F892" s="5">
        <v>2018</v>
      </c>
      <c r="G892" s="5" t="s">
        <v>12</v>
      </c>
      <c r="H892" s="5" t="s">
        <v>520</v>
      </c>
      <c r="I892" s="5" t="s">
        <v>550</v>
      </c>
      <c r="J892" s="98" t="s">
        <v>3442</v>
      </c>
    </row>
    <row r="893" spans="1:10" ht="28.9" customHeight="1" thickTop="1" thickBot="1" x14ac:dyDescent="0.65">
      <c r="A893" s="3">
        <v>891</v>
      </c>
      <c r="B893" s="44" t="str">
        <f>HYPERLINK("https://search.naver.com/search.naver?query=레미니센스 영화", "레미니센스")</f>
        <v>레미니센스</v>
      </c>
      <c r="C893" s="45">
        <v>6.68</v>
      </c>
      <c r="D893" s="4" t="s">
        <v>1081</v>
      </c>
      <c r="E893" s="3" t="s">
        <v>20</v>
      </c>
      <c r="F893" s="3">
        <v>2021</v>
      </c>
      <c r="G893" s="3" t="s">
        <v>12</v>
      </c>
      <c r="H893" s="3" t="s">
        <v>520</v>
      </c>
      <c r="I893" s="3" t="s">
        <v>366</v>
      </c>
      <c r="J893" s="97" t="s">
        <v>3438</v>
      </c>
    </row>
    <row r="894" spans="1:10" ht="28.9" customHeight="1" thickTop="1" thickBot="1" x14ac:dyDescent="0.65">
      <c r="A894" s="5">
        <v>892</v>
      </c>
      <c r="B894" s="46" t="str">
        <f>HYPERLINK("https://search.naver.com/search.naver?query=레미-집 없는 아이 영화", "레미-집 없는 아이")</f>
        <v>레미-집 없는 아이</v>
      </c>
      <c r="C894" s="47"/>
      <c r="D894" s="6" t="s">
        <v>1082</v>
      </c>
      <c r="E894" s="5" t="s">
        <v>210</v>
      </c>
      <c r="F894" s="5">
        <v>2018</v>
      </c>
      <c r="G894" s="5" t="s">
        <v>12</v>
      </c>
      <c r="H894" s="5" t="s">
        <v>17</v>
      </c>
      <c r="I894" s="5" t="s">
        <v>137</v>
      </c>
      <c r="J894" s="98" t="s">
        <v>3442</v>
      </c>
    </row>
    <row r="895" spans="1:10" ht="28.9" customHeight="1" thickTop="1" thickBot="1" x14ac:dyDescent="0.65">
      <c r="A895" s="3">
        <v>893</v>
      </c>
      <c r="B895" s="44" t="str">
        <f>HYPERLINK("https://search.naver.com/search.naver?query=레버넌트 - 죽음에서 돌아온 자 영화", "레버넌트 - 죽음에서 돌아온 자")</f>
        <v>레버넌트 - 죽음에서 돌아온 자</v>
      </c>
      <c r="C895" s="45"/>
      <c r="D895" s="4" t="s">
        <v>1083</v>
      </c>
      <c r="E895" s="3" t="s">
        <v>20</v>
      </c>
      <c r="F895" s="3">
        <v>2015</v>
      </c>
      <c r="G895" s="3" t="s">
        <v>12</v>
      </c>
      <c r="H895" s="3" t="s">
        <v>92</v>
      </c>
      <c r="I895" s="3" t="s">
        <v>298</v>
      </c>
      <c r="J895" s="97" t="s">
        <v>3440</v>
      </c>
    </row>
    <row r="896" spans="1:10" ht="28.9" customHeight="1" thickTop="1" thickBot="1" x14ac:dyDescent="0.65">
      <c r="A896" s="5">
        <v>894</v>
      </c>
      <c r="B896" s="46" t="str">
        <f>HYPERLINK("https://search.naver.com/search.naver?query=레베카 영화", "레베카")</f>
        <v>레베카</v>
      </c>
      <c r="C896" s="47">
        <v>6.71</v>
      </c>
      <c r="D896" s="6" t="s">
        <v>1084</v>
      </c>
      <c r="E896" s="5" t="s">
        <v>24</v>
      </c>
      <c r="F896" s="5">
        <v>2020</v>
      </c>
      <c r="G896" s="5" t="s">
        <v>12</v>
      </c>
      <c r="H896" s="5" t="s">
        <v>17</v>
      </c>
      <c r="I896" s="5" t="s">
        <v>142</v>
      </c>
      <c r="J896" s="98" t="s">
        <v>3436</v>
      </c>
    </row>
    <row r="897" spans="1:10" ht="28.9" customHeight="1" thickTop="1" thickBot="1" x14ac:dyDescent="0.65">
      <c r="A897" s="3">
        <v>895</v>
      </c>
      <c r="B897" s="44" t="str">
        <f>HYPERLINK("https://search.naver.com/search.naver?query=레벨 16 영화", "레벨 16")</f>
        <v>레벨 16</v>
      </c>
      <c r="C897" s="45">
        <v>6.51</v>
      </c>
      <c r="D897" s="4" t="s">
        <v>1085</v>
      </c>
      <c r="E897" s="3" t="s">
        <v>189</v>
      </c>
      <c r="F897" s="3">
        <v>2018</v>
      </c>
      <c r="G897" s="3" t="s">
        <v>12</v>
      </c>
      <c r="H897" s="3" t="s">
        <v>520</v>
      </c>
      <c r="I897" s="3" t="s">
        <v>99</v>
      </c>
      <c r="J897" s="97" t="s">
        <v>3442</v>
      </c>
    </row>
    <row r="898" spans="1:10" ht="28.9" customHeight="1" thickTop="1" thickBot="1" x14ac:dyDescent="0.65">
      <c r="A898" s="40">
        <v>896</v>
      </c>
      <c r="B898" s="50" t="str">
        <f>HYPERLINK("https://search.naver.com/search.naver?query=레스큐 돈 영화", "레스큐 돈")</f>
        <v>레스큐 돈</v>
      </c>
      <c r="C898" s="51">
        <v>6.4</v>
      </c>
      <c r="D898" s="36" t="s">
        <v>1086</v>
      </c>
      <c r="E898" s="40" t="s">
        <v>20</v>
      </c>
      <c r="F898" s="41">
        <v>2006</v>
      </c>
      <c r="G898" s="41" t="s">
        <v>12</v>
      </c>
      <c r="H898" s="41" t="s">
        <v>92</v>
      </c>
      <c r="I898" s="42" t="s">
        <v>214</v>
      </c>
      <c r="J898" s="102" t="s">
        <v>3460</v>
      </c>
    </row>
    <row r="899" spans="1:10" ht="28.9" customHeight="1" thickTop="1" thickBot="1" x14ac:dyDescent="0.65">
      <c r="A899" s="3">
        <v>897</v>
      </c>
      <c r="B899" s="44" t="str">
        <f>HYPERLINK("https://search.naver.com/search.naver?query=레슬러 영화", "레슬러")</f>
        <v>레슬러</v>
      </c>
      <c r="C899" s="45">
        <v>6.4</v>
      </c>
      <c r="D899" s="4" t="s">
        <v>1087</v>
      </c>
      <c r="E899" s="3" t="s">
        <v>16</v>
      </c>
      <c r="F899" s="3">
        <v>2017</v>
      </c>
      <c r="G899" s="3" t="s">
        <v>12</v>
      </c>
      <c r="H899" s="3" t="s">
        <v>17</v>
      </c>
      <c r="I899" s="3" t="s">
        <v>96</v>
      </c>
      <c r="J899" s="97" t="s">
        <v>3443</v>
      </c>
    </row>
    <row r="900" spans="1:10" ht="28.9" customHeight="1" thickTop="1" thickBot="1" x14ac:dyDescent="0.65">
      <c r="A900" s="12">
        <v>898</v>
      </c>
      <c r="B900" s="44" t="str">
        <f>HYPERLINK("https://search.naver.com/search.naver?query=레옹 영화", "레옹")</f>
        <v>레옹</v>
      </c>
      <c r="C900" s="52">
        <v>8.73</v>
      </c>
      <c r="D900" s="4" t="s">
        <v>1088</v>
      </c>
      <c r="E900" s="12" t="s">
        <v>1089</v>
      </c>
      <c r="F900" s="12">
        <v>1995</v>
      </c>
      <c r="G900" s="12" t="s">
        <v>12</v>
      </c>
      <c r="H900" s="12" t="s">
        <v>277</v>
      </c>
      <c r="I900" s="12" t="s">
        <v>350</v>
      </c>
      <c r="J900" s="97" t="s">
        <v>3475</v>
      </c>
    </row>
    <row r="901" spans="1:10" ht="28.9" customHeight="1" thickTop="1" thickBot="1" x14ac:dyDescent="0.65">
      <c r="A901" s="5">
        <v>899</v>
      </c>
      <c r="B901" s="46" t="str">
        <f>HYPERLINK("https://search.naver.com/search.naver?query=레이 영화", "레이")</f>
        <v>레이</v>
      </c>
      <c r="C901" s="47"/>
      <c r="D901" s="6" t="s">
        <v>1090</v>
      </c>
      <c r="E901" s="5" t="s">
        <v>20</v>
      </c>
      <c r="F901" s="5">
        <v>2004</v>
      </c>
      <c r="G901" s="5" t="s">
        <v>12</v>
      </c>
      <c r="H901" s="5" t="s">
        <v>17</v>
      </c>
      <c r="I901" s="5" t="s">
        <v>685</v>
      </c>
      <c r="J901" s="98" t="s">
        <v>3462</v>
      </c>
    </row>
    <row r="902" spans="1:10" ht="28.9" customHeight="1" thickTop="1" thickBot="1" x14ac:dyDescent="0.65">
      <c r="A902" s="3">
        <v>900</v>
      </c>
      <c r="B902" s="44" t="str">
        <f>HYPERLINK("https://search.naver.com/search.naver?query=레이더스", "레이더스")</f>
        <v>레이더스</v>
      </c>
      <c r="C902" s="45">
        <v>8.89</v>
      </c>
      <c r="D902" s="4" t="s">
        <v>1091</v>
      </c>
      <c r="E902" s="3" t="s">
        <v>20</v>
      </c>
      <c r="F902" s="3">
        <v>1982</v>
      </c>
      <c r="G902" s="3" t="s">
        <v>12</v>
      </c>
      <c r="H902" s="3" t="s">
        <v>824</v>
      </c>
      <c r="I902" s="3" t="s">
        <v>47</v>
      </c>
      <c r="J902" s="103">
        <v>30316</v>
      </c>
    </row>
    <row r="903" spans="1:10" ht="28.9" customHeight="1" thickTop="1" thickBot="1" x14ac:dyDescent="0.65">
      <c r="A903" s="3">
        <v>901</v>
      </c>
      <c r="B903" s="44" t="str">
        <f>HYPERLINK("https://search.naver.com/search.naver?query=레이디스 나잇 영화", "레이디스 나잇")</f>
        <v>레이디스 나잇</v>
      </c>
      <c r="C903" s="45">
        <v>8.2899999999999991</v>
      </c>
      <c r="D903" s="4" t="s">
        <v>1092</v>
      </c>
      <c r="E903" s="3" t="s">
        <v>20</v>
      </c>
      <c r="F903" s="3">
        <v>2017</v>
      </c>
      <c r="G903" s="3" t="s">
        <v>12</v>
      </c>
      <c r="H903" s="3" t="s">
        <v>68</v>
      </c>
      <c r="I903" s="3" t="s">
        <v>124</v>
      </c>
      <c r="J903" s="97" t="s">
        <v>3443</v>
      </c>
    </row>
    <row r="904" spans="1:10" ht="28.9" customHeight="1" thickTop="1" thickBot="1" x14ac:dyDescent="0.65">
      <c r="A904" s="5">
        <v>902</v>
      </c>
      <c r="B904" s="46" t="str">
        <f>HYPERLINK("https://search.naver.com/search.naver?query=레이먼드 &amp; 레이 영화", "레이먼드 &amp; 레이")</f>
        <v>레이먼드 &amp; 레이</v>
      </c>
      <c r="C904" s="47"/>
      <c r="D904" s="6" t="s">
        <v>1093</v>
      </c>
      <c r="E904" s="5" t="s">
        <v>20</v>
      </c>
      <c r="F904" s="5">
        <v>2022</v>
      </c>
      <c r="G904" s="5" t="s">
        <v>12</v>
      </c>
      <c r="H904" s="5" t="s">
        <v>17</v>
      </c>
      <c r="I904" s="5" t="s">
        <v>128</v>
      </c>
      <c r="J904" s="98" t="s">
        <v>3445</v>
      </c>
    </row>
    <row r="905" spans="1:10" ht="28.9" customHeight="1" thickTop="1" thickBot="1" x14ac:dyDescent="0.65">
      <c r="A905" s="3">
        <v>903</v>
      </c>
      <c r="B905" s="44" t="str">
        <f>HYPERLINK("https://search.naver.com/search.naver?query=레이버 데이 영화", "레이버 데이")</f>
        <v>레이버 데이</v>
      </c>
      <c r="C905" s="45"/>
      <c r="D905" s="4" t="s">
        <v>1094</v>
      </c>
      <c r="E905" s="3" t="s">
        <v>20</v>
      </c>
      <c r="F905" s="3">
        <v>2013</v>
      </c>
      <c r="G905" s="3" t="s">
        <v>12</v>
      </c>
      <c r="H905" s="3" t="s">
        <v>17</v>
      </c>
      <c r="I905" s="3" t="s">
        <v>102</v>
      </c>
      <c r="J905" s="97" t="s">
        <v>3451</v>
      </c>
    </row>
    <row r="906" spans="1:10" ht="28.9" customHeight="1" thickTop="1" thickBot="1" x14ac:dyDescent="0.65">
      <c r="A906" s="5">
        <v>904</v>
      </c>
      <c r="B906" s="46" t="str">
        <f>HYPERLINK("https://search.naver.com/search.naver?query=레이스 영화", "레이스")</f>
        <v>레이스</v>
      </c>
      <c r="C906" s="47">
        <v>9.17</v>
      </c>
      <c r="D906" s="6" t="s">
        <v>1095</v>
      </c>
      <c r="E906" s="5" t="s">
        <v>20</v>
      </c>
      <c r="F906" s="5">
        <v>2016</v>
      </c>
      <c r="G906" s="5" t="s">
        <v>12</v>
      </c>
      <c r="H906" s="5" t="s">
        <v>17</v>
      </c>
      <c r="I906" s="5" t="s">
        <v>543</v>
      </c>
      <c r="J906" s="98" t="s">
        <v>3441</v>
      </c>
    </row>
    <row r="907" spans="1:10" ht="28.9" customHeight="1" thickTop="1" thickBot="1" x14ac:dyDescent="0.65">
      <c r="A907" s="3">
        <v>905</v>
      </c>
      <c r="B907" s="44" t="str">
        <f>HYPERLINK("https://search.naver.com/search.naver?query=레이징 파이어 영화", "레이징 파이어")</f>
        <v>레이징 파이어</v>
      </c>
      <c r="C907" s="45">
        <v>7.5</v>
      </c>
      <c r="D907" s="4" t="s">
        <v>1096</v>
      </c>
      <c r="E907" s="3" t="s">
        <v>91</v>
      </c>
      <c r="F907" s="3">
        <v>2021</v>
      </c>
      <c r="G907" s="3" t="s">
        <v>12</v>
      </c>
      <c r="H907" s="3" t="s">
        <v>92</v>
      </c>
      <c r="I907" s="3" t="s">
        <v>78</v>
      </c>
      <c r="J907" s="97" t="s">
        <v>3438</v>
      </c>
    </row>
    <row r="908" spans="1:10" ht="28.9" customHeight="1" thickTop="1" thickBot="1" x14ac:dyDescent="0.65">
      <c r="A908" s="5">
        <v>906</v>
      </c>
      <c r="B908" s="46" t="str">
        <f>HYPERLINK("https://search.naver.com/search.naver?query=레이크 하우스 영화", "레이크 하우스")</f>
        <v>레이크 하우스</v>
      </c>
      <c r="C908" s="47">
        <v>7.98</v>
      </c>
      <c r="D908" s="6" t="s">
        <v>1097</v>
      </c>
      <c r="E908" s="5" t="s">
        <v>20</v>
      </c>
      <c r="F908" s="5">
        <v>2006</v>
      </c>
      <c r="G908" s="5" t="s">
        <v>12</v>
      </c>
      <c r="H908" s="5" t="s">
        <v>121</v>
      </c>
      <c r="I908" s="5" t="s">
        <v>81</v>
      </c>
      <c r="J908" s="98" t="s">
        <v>3460</v>
      </c>
    </row>
    <row r="909" spans="1:10" ht="28.9" customHeight="1" thickTop="1" thickBot="1" x14ac:dyDescent="0.65">
      <c r="A909" s="3">
        <v>907</v>
      </c>
      <c r="B909" s="44" t="str">
        <f>HYPERLINK("https://search.naver.com/search.naver?query=레저 시커 영화", "레저 시커")</f>
        <v>레저 시커</v>
      </c>
      <c r="C909" s="45"/>
      <c r="D909" s="4" t="s">
        <v>1098</v>
      </c>
      <c r="E909" s="3" t="s">
        <v>1099</v>
      </c>
      <c r="F909" s="3">
        <v>2017</v>
      </c>
      <c r="G909" s="3" t="s">
        <v>12</v>
      </c>
      <c r="H909" s="3" t="s">
        <v>17</v>
      </c>
      <c r="I909" s="3" t="s">
        <v>278</v>
      </c>
      <c r="J909" s="97" t="s">
        <v>3443</v>
      </c>
    </row>
    <row r="910" spans="1:10" ht="28.9" customHeight="1" thickTop="1" thickBot="1" x14ac:dyDescent="0.65">
      <c r="A910" s="5">
        <v>908</v>
      </c>
      <c r="B910" s="46" t="str">
        <f>HYPERLINK("https://search.naver.com/search.naver?query=레저베이션 로드 영화", "레저베이션 로드")</f>
        <v>레저베이션 로드</v>
      </c>
      <c r="C910" s="47">
        <v>7.77</v>
      </c>
      <c r="D910" s="6" t="s">
        <v>1100</v>
      </c>
      <c r="E910" s="5" t="s">
        <v>20</v>
      </c>
      <c r="F910" s="5">
        <v>2007</v>
      </c>
      <c r="G910" s="5" t="s">
        <v>12</v>
      </c>
      <c r="H910" s="5" t="s">
        <v>17</v>
      </c>
      <c r="I910" s="5" t="s">
        <v>99</v>
      </c>
      <c r="J910" s="98" t="s">
        <v>3447</v>
      </c>
    </row>
    <row r="911" spans="1:10" ht="28.9" customHeight="1" thickTop="1" thickBot="1" x14ac:dyDescent="0.65">
      <c r="A911" s="3">
        <v>909</v>
      </c>
      <c r="B911" s="44" t="str">
        <f>HYPERLINK("https://search.naver.com/search.naver?query=레전드 영화", "레전드")</f>
        <v>레전드</v>
      </c>
      <c r="C911" s="45">
        <v>7.51</v>
      </c>
      <c r="D911" s="4" t="s">
        <v>1101</v>
      </c>
      <c r="E911" s="3" t="s">
        <v>24</v>
      </c>
      <c r="F911" s="3">
        <v>2015</v>
      </c>
      <c r="G911" s="3" t="s">
        <v>12</v>
      </c>
      <c r="H911" s="3" t="s">
        <v>277</v>
      </c>
      <c r="I911" s="3" t="s">
        <v>280</v>
      </c>
      <c r="J911" s="97" t="s">
        <v>3440</v>
      </c>
    </row>
    <row r="912" spans="1:10" ht="28.9" customHeight="1" thickTop="1" thickBot="1" x14ac:dyDescent="0.65">
      <c r="A912" s="5">
        <v>910</v>
      </c>
      <c r="B912" s="46" t="str">
        <f>HYPERLINK("https://search.naver.com/search.naver?query=레전드 &amp; 버터플라이 영화", "레전드 &amp; 버터플라이")</f>
        <v>레전드 &amp; 버터플라이</v>
      </c>
      <c r="C912" s="47">
        <v>7.51</v>
      </c>
      <c r="D912" s="6" t="s">
        <v>1102</v>
      </c>
      <c r="E912" s="5" t="s">
        <v>16</v>
      </c>
      <c r="F912" s="5">
        <v>2023</v>
      </c>
      <c r="G912" s="5" t="s">
        <v>12</v>
      </c>
      <c r="H912" s="5" t="s">
        <v>873</v>
      </c>
      <c r="I912" s="5" t="s">
        <v>550</v>
      </c>
      <c r="J912" s="98" t="s">
        <v>3446</v>
      </c>
    </row>
    <row r="913" spans="1:10" ht="28.9" customHeight="1" thickTop="1" thickBot="1" x14ac:dyDescent="0.65">
      <c r="A913" s="3">
        <v>911</v>
      </c>
      <c r="B913" s="44" t="str">
        <f>HYPERLINK("https://search.naver.com/search.naver?query=레전드 오브 타잔 영화", "레전드 오브 타잔")</f>
        <v>레전드 오브 타잔</v>
      </c>
      <c r="C913" s="45">
        <v>8.0299999999999994</v>
      </c>
      <c r="D913" s="4" t="s">
        <v>1103</v>
      </c>
      <c r="E913" s="3" t="s">
        <v>20</v>
      </c>
      <c r="F913" s="3">
        <v>2016</v>
      </c>
      <c r="G913" s="3" t="s">
        <v>12</v>
      </c>
      <c r="H913" s="3" t="s">
        <v>92</v>
      </c>
      <c r="I913" s="3" t="s">
        <v>96</v>
      </c>
      <c r="J913" s="97" t="s">
        <v>3441</v>
      </c>
    </row>
    <row r="914" spans="1:10" ht="28.9" customHeight="1" thickTop="1" thickBot="1" x14ac:dyDescent="0.65">
      <c r="A914" s="5">
        <v>912</v>
      </c>
      <c r="B914" s="46" t="str">
        <f>HYPERLINK("https://search.naver.com/search.naver?query=레지스탕스 영화", "레지스탕스")</f>
        <v>레지스탕스</v>
      </c>
      <c r="C914" s="47">
        <v>3.32</v>
      </c>
      <c r="D914" s="6" t="s">
        <v>1104</v>
      </c>
      <c r="E914" s="5" t="s">
        <v>20</v>
      </c>
      <c r="F914" s="5">
        <v>2020</v>
      </c>
      <c r="G914" s="5" t="s">
        <v>12</v>
      </c>
      <c r="H914" s="5" t="s">
        <v>17</v>
      </c>
      <c r="I914" s="5" t="s">
        <v>86</v>
      </c>
      <c r="J914" s="98" t="s">
        <v>3436</v>
      </c>
    </row>
    <row r="915" spans="1:10" ht="28.9" customHeight="1" thickTop="1" thickBot="1" x14ac:dyDescent="0.65">
      <c r="A915" s="3">
        <v>913</v>
      </c>
      <c r="B915" s="44" t="str">
        <f>HYPERLINK("https://search.naver.com/search.naver?query=레터스 투 줄리엣 영화", "레터스 투 줄리엣")</f>
        <v>레터스 투 줄리엣</v>
      </c>
      <c r="C915" s="45">
        <v>9.33</v>
      </c>
      <c r="D915" s="4" t="s">
        <v>1105</v>
      </c>
      <c r="E915" s="3" t="s">
        <v>20</v>
      </c>
      <c r="F915" s="3">
        <v>2010</v>
      </c>
      <c r="G915" s="3" t="s">
        <v>12</v>
      </c>
      <c r="H915" s="3" t="s">
        <v>121</v>
      </c>
      <c r="I915" s="3" t="s">
        <v>128</v>
      </c>
      <c r="J915" s="97" t="s">
        <v>3455</v>
      </c>
    </row>
    <row r="916" spans="1:10" ht="28.9" customHeight="1" thickTop="1" thickBot="1" x14ac:dyDescent="0.65">
      <c r="A916" s="5">
        <v>914</v>
      </c>
      <c r="B916" s="46" t="str">
        <f>HYPERLINK("https://search.naver.com/search.naver?query=레트리뷰션 영화", "레트리뷰션")</f>
        <v>레트리뷰션</v>
      </c>
      <c r="C916" s="47">
        <v>6.86</v>
      </c>
      <c r="D916" s="6" t="s">
        <v>1106</v>
      </c>
      <c r="E916" s="5" t="s">
        <v>20</v>
      </c>
      <c r="F916" s="5">
        <v>2024</v>
      </c>
      <c r="G916" s="5" t="s">
        <v>12</v>
      </c>
      <c r="H916" s="5" t="s">
        <v>92</v>
      </c>
      <c r="I916" s="5" t="s">
        <v>111</v>
      </c>
      <c r="J916" s="98" t="s">
        <v>3448</v>
      </c>
    </row>
    <row r="917" spans="1:10" ht="28.9" customHeight="1" thickTop="1" thickBot="1" x14ac:dyDescent="0.65">
      <c r="A917" s="3">
        <v>915</v>
      </c>
      <c r="B917" s="44" t="str">
        <f>HYPERLINK("https://search.naver.com/search.naver?query=레프트 비하인드 영화", "레프트 비하인드")</f>
        <v>레프트 비하인드</v>
      </c>
      <c r="C917" s="45">
        <v>6.47</v>
      </c>
      <c r="D917" s="4" t="s">
        <v>1107</v>
      </c>
      <c r="E917" s="3" t="s">
        <v>20</v>
      </c>
      <c r="F917" s="3">
        <v>2014</v>
      </c>
      <c r="G917" s="3" t="s">
        <v>12</v>
      </c>
      <c r="H917" s="3" t="s">
        <v>92</v>
      </c>
      <c r="I917" s="3" t="s">
        <v>96</v>
      </c>
      <c r="J917" s="97" t="s">
        <v>3437</v>
      </c>
    </row>
    <row r="918" spans="1:10" ht="28.9" customHeight="1" thickTop="1" thickBot="1" x14ac:dyDescent="0.65">
      <c r="A918" s="5">
        <v>916</v>
      </c>
      <c r="B918" s="46" t="str">
        <f>HYPERLINK("https://search.naver.com/search.naver?query=렌디션 영화", "렌디션")</f>
        <v>렌디션</v>
      </c>
      <c r="C918" s="47"/>
      <c r="D918" s="6" t="s">
        <v>1108</v>
      </c>
      <c r="E918" s="5" t="s">
        <v>20</v>
      </c>
      <c r="F918" s="5">
        <v>2007</v>
      </c>
      <c r="G918" s="5" t="s">
        <v>12</v>
      </c>
      <c r="H918" s="5" t="s">
        <v>43</v>
      </c>
      <c r="I918" s="5" t="s">
        <v>105</v>
      </c>
      <c r="J918" s="98" t="s">
        <v>3447</v>
      </c>
    </row>
    <row r="919" spans="1:10" ht="28.9" customHeight="1" thickTop="1" thickBot="1" x14ac:dyDescent="0.65">
      <c r="A919" s="3">
        <v>917</v>
      </c>
      <c r="B919" s="44" t="str">
        <f>HYPERLINK("https://search.naver.com/search.naver?query=렛 더 선샤인 인 영화", "렛 더 선샤인 인")</f>
        <v>렛 더 선샤인 인</v>
      </c>
      <c r="C919" s="45">
        <v>7.75</v>
      </c>
      <c r="D919" s="4" t="s">
        <v>1109</v>
      </c>
      <c r="E919" s="3" t="s">
        <v>210</v>
      </c>
      <c r="F919" s="3">
        <v>2017</v>
      </c>
      <c r="G919" s="3" t="s">
        <v>12</v>
      </c>
      <c r="H919" s="3" t="s">
        <v>17</v>
      </c>
      <c r="I919" s="3" t="s">
        <v>300</v>
      </c>
      <c r="J919" s="97" t="s">
        <v>3443</v>
      </c>
    </row>
    <row r="920" spans="1:10" ht="28.9" customHeight="1" thickTop="1" thickBot="1" x14ac:dyDescent="0.65">
      <c r="A920" s="5">
        <v>918</v>
      </c>
      <c r="B920" s="46" t="str">
        <f>HYPERLINK("https://search.naver.com/search.naver?query=렛츠 비 캅스 영화", "렛츠 비 캅스")</f>
        <v>렛츠 비 캅스</v>
      </c>
      <c r="C920" s="47">
        <v>6.4</v>
      </c>
      <c r="D920" s="6" t="s">
        <v>1110</v>
      </c>
      <c r="E920" s="5" t="s">
        <v>20</v>
      </c>
      <c r="F920" s="5">
        <v>2014</v>
      </c>
      <c r="G920" s="5" t="s">
        <v>12</v>
      </c>
      <c r="H920" s="5" t="s">
        <v>68</v>
      </c>
      <c r="I920" s="5" t="s">
        <v>170</v>
      </c>
      <c r="J920" s="98" t="s">
        <v>3437</v>
      </c>
    </row>
    <row r="921" spans="1:10" ht="28.9" customHeight="1" thickTop="1" thickBot="1" x14ac:dyDescent="0.65">
      <c r="A921" s="3">
        <v>919</v>
      </c>
      <c r="B921" s="44" t="str">
        <f>HYPERLINK("https://search.naver.com/search.naver?query=렛힘고 영화", "렛힘고")</f>
        <v>렛힘고</v>
      </c>
      <c r="C921" s="45">
        <v>7.11</v>
      </c>
      <c r="D921" s="4" t="s">
        <v>1111</v>
      </c>
      <c r="E921" s="3" t="s">
        <v>20</v>
      </c>
      <c r="F921" s="3">
        <v>2020</v>
      </c>
      <c r="G921" s="3" t="s">
        <v>12</v>
      </c>
      <c r="H921" s="3" t="s">
        <v>43</v>
      </c>
      <c r="I921" s="3" t="s">
        <v>73</v>
      </c>
      <c r="J921" s="97" t="s">
        <v>3436</v>
      </c>
    </row>
    <row r="922" spans="1:10" ht="28.9" customHeight="1" thickTop="1" thickBot="1" x14ac:dyDescent="0.65">
      <c r="A922" s="5">
        <v>920</v>
      </c>
      <c r="B922" s="46" t="str">
        <f>HYPERLINK("https://search.naver.com/search.naver?query=로건 럭키 영화", "로건 럭키")</f>
        <v>로건 럭키</v>
      </c>
      <c r="C922" s="47">
        <v>8.48</v>
      </c>
      <c r="D922" s="6" t="s">
        <v>1112</v>
      </c>
      <c r="E922" s="5" t="s">
        <v>20</v>
      </c>
      <c r="F922" s="5">
        <v>2017</v>
      </c>
      <c r="G922" s="5" t="s">
        <v>12</v>
      </c>
      <c r="H922" s="5" t="s">
        <v>68</v>
      </c>
      <c r="I922" s="5" t="s">
        <v>221</v>
      </c>
      <c r="J922" s="98" t="s">
        <v>3443</v>
      </c>
    </row>
    <row r="923" spans="1:10" ht="28.9" customHeight="1" thickTop="1" thickBot="1" x14ac:dyDescent="0.65">
      <c r="A923" s="3">
        <v>921</v>
      </c>
      <c r="B923" s="44" t="str">
        <f>HYPERLINK("https://search.naver.com/search.naver?query=로기완 영화", "로기완")</f>
        <v>로기완</v>
      </c>
      <c r="C923" s="45">
        <v>6.45</v>
      </c>
      <c r="D923" s="4" t="s">
        <v>1113</v>
      </c>
      <c r="E923" s="3" t="s">
        <v>11</v>
      </c>
      <c r="F923" s="3">
        <v>2024</v>
      </c>
      <c r="G923" s="3" t="s">
        <v>12</v>
      </c>
      <c r="H923" s="3" t="s">
        <v>17</v>
      </c>
      <c r="I923" s="3" t="s">
        <v>280</v>
      </c>
      <c r="J923" s="97" t="s">
        <v>3448</v>
      </c>
    </row>
    <row r="924" spans="1:10" ht="28.9" customHeight="1" thickTop="1" thickBot="1" x14ac:dyDescent="0.65">
      <c r="A924" s="5">
        <v>922</v>
      </c>
      <c r="B924" s="46" t="str">
        <f>HYPERLINK("https://search.naver.com/search.naver?query=로나의 침묵 영화", "로나의 침묵")</f>
        <v>로나의 침묵</v>
      </c>
      <c r="C924" s="47">
        <v>8.4600000000000009</v>
      </c>
      <c r="D924" s="6" t="s">
        <v>1114</v>
      </c>
      <c r="E924" s="5" t="s">
        <v>509</v>
      </c>
      <c r="F924" s="5">
        <v>2008</v>
      </c>
      <c r="G924" s="5" t="s">
        <v>12</v>
      </c>
      <c r="H924" s="5" t="s">
        <v>17</v>
      </c>
      <c r="I924" s="5" t="s">
        <v>128</v>
      </c>
      <c r="J924" s="98" t="s">
        <v>3450</v>
      </c>
    </row>
    <row r="925" spans="1:10" ht="28.9" customHeight="1" thickTop="1" thickBot="1" x14ac:dyDescent="0.65">
      <c r="A925" s="3">
        <v>923</v>
      </c>
      <c r="B925" s="44" t="str">
        <f>HYPERLINK("https://search.naver.com/search.naver?query=로렐 영화", "로렐")</f>
        <v>로렐</v>
      </c>
      <c r="C925" s="45">
        <v>8.48</v>
      </c>
      <c r="D925" s="4" t="s">
        <v>1115</v>
      </c>
      <c r="E925" s="3" t="s">
        <v>20</v>
      </c>
      <c r="F925" s="3">
        <v>2015</v>
      </c>
      <c r="G925" s="3" t="s">
        <v>12</v>
      </c>
      <c r="H925" s="3" t="s">
        <v>17</v>
      </c>
      <c r="I925" s="3" t="s">
        <v>111</v>
      </c>
      <c r="J925" s="97" t="s">
        <v>3440</v>
      </c>
    </row>
    <row r="926" spans="1:10" ht="28.9" customHeight="1" thickTop="1" thickBot="1" x14ac:dyDescent="0.65">
      <c r="A926" s="5">
        <v>924</v>
      </c>
      <c r="B926" s="46" t="str">
        <f>HYPERLINK("https://search.naver.com/search.naver?query=로맨스 돌 영화", "로맨스 돌")</f>
        <v>로맨스 돌</v>
      </c>
      <c r="C926" s="47">
        <v>7.45</v>
      </c>
      <c r="D926" s="6" t="s">
        <v>1116</v>
      </c>
      <c r="E926" s="5" t="s">
        <v>16</v>
      </c>
      <c r="F926" s="5">
        <v>2020</v>
      </c>
      <c r="G926" s="5" t="s">
        <v>12</v>
      </c>
      <c r="H926" s="5" t="s">
        <v>17</v>
      </c>
      <c r="I926" s="5" t="s">
        <v>58</v>
      </c>
      <c r="J926" s="98" t="s">
        <v>3436</v>
      </c>
    </row>
    <row r="927" spans="1:10" ht="28.9" customHeight="1" thickTop="1" thickBot="1" x14ac:dyDescent="0.65">
      <c r="A927" s="3">
        <v>925</v>
      </c>
      <c r="B927" s="44" t="str">
        <f>HYPERLINK("https://search.naver.com/search.naver?query=로맨틱 크라운 영화", "로맨틱 크라운")</f>
        <v>로맨틱 크라운</v>
      </c>
      <c r="C927" s="45">
        <v>7.2</v>
      </c>
      <c r="D927" s="4" t="s">
        <v>1117</v>
      </c>
      <c r="E927" s="3" t="s">
        <v>16</v>
      </c>
      <c r="F927" s="3">
        <v>2011</v>
      </c>
      <c r="G927" s="3" t="s">
        <v>12</v>
      </c>
      <c r="H927" s="3" t="s">
        <v>121</v>
      </c>
      <c r="I927" s="3" t="s">
        <v>14</v>
      </c>
      <c r="J927" s="97" t="s">
        <v>3454</v>
      </c>
    </row>
    <row r="928" spans="1:10" ht="28.9" customHeight="1" thickTop="1" thickBot="1" x14ac:dyDescent="0.65">
      <c r="A928" s="5">
        <v>926</v>
      </c>
      <c r="B928" s="46" t="str">
        <f>HYPERLINK("https://search.naver.com/search.naver?query=로맨틱 홀리데이 영화", "로맨틱 홀리데이")</f>
        <v>로맨틱 홀리데이</v>
      </c>
      <c r="C928" s="47">
        <v>8.75</v>
      </c>
      <c r="D928" s="6" t="s">
        <v>1118</v>
      </c>
      <c r="E928" s="5" t="s">
        <v>20</v>
      </c>
      <c r="F928" s="5">
        <v>2006</v>
      </c>
      <c r="G928" s="5" t="s">
        <v>12</v>
      </c>
      <c r="H928" s="5" t="s">
        <v>121</v>
      </c>
      <c r="I928" s="5" t="s">
        <v>41</v>
      </c>
      <c r="J928" s="98" t="s">
        <v>3460</v>
      </c>
    </row>
    <row r="929" spans="1:10" ht="28.9" customHeight="1" thickTop="1" thickBot="1" x14ac:dyDescent="0.65">
      <c r="A929" s="3">
        <v>927</v>
      </c>
      <c r="B929" s="44" t="str">
        <f>HYPERLINK("https://search.naver.com/search.naver?query=로미오 머스트 다이 영화", "로미오 머스트 다이")</f>
        <v>로미오 머스트 다이</v>
      </c>
      <c r="C929" s="45">
        <v>6.94</v>
      </c>
      <c r="D929" s="4" t="s">
        <v>1119</v>
      </c>
      <c r="E929" s="3" t="s">
        <v>20</v>
      </c>
      <c r="F929" s="3">
        <v>2000</v>
      </c>
      <c r="G929" s="3" t="s">
        <v>12</v>
      </c>
      <c r="H929" s="3" t="s">
        <v>92</v>
      </c>
      <c r="I929" s="3" t="s">
        <v>47</v>
      </c>
      <c r="J929" s="97" t="s">
        <v>3458</v>
      </c>
    </row>
    <row r="930" spans="1:10" ht="28.9" customHeight="1" thickTop="1" thickBot="1" x14ac:dyDescent="0.65">
      <c r="A930" s="5">
        <v>928</v>
      </c>
      <c r="B930" s="46" t="str">
        <f>HYPERLINK("https://search.naver.com/search.naver?query=로봇 영화", "로봇")</f>
        <v>로봇</v>
      </c>
      <c r="C930" s="47">
        <v>6.5</v>
      </c>
      <c r="D930" s="6" t="s">
        <v>1120</v>
      </c>
      <c r="E930" s="5" t="s">
        <v>20</v>
      </c>
      <c r="F930" s="5">
        <v>2012</v>
      </c>
      <c r="G930" s="5" t="s">
        <v>12</v>
      </c>
      <c r="H930" s="5" t="s">
        <v>520</v>
      </c>
      <c r="I930" s="5" t="s">
        <v>111</v>
      </c>
      <c r="J930" s="98" t="s">
        <v>3439</v>
      </c>
    </row>
    <row r="931" spans="1:10" ht="28.9" customHeight="1" thickTop="1" thickBot="1" x14ac:dyDescent="0.65">
      <c r="A931" s="3">
        <v>929</v>
      </c>
      <c r="B931" s="44" t="str">
        <f>HYPERLINK("https://search.naver.com/search.naver?query=로스트 영화", "로스트")</f>
        <v>로스트</v>
      </c>
      <c r="C931" s="45"/>
      <c r="D931" s="4" t="s">
        <v>1091</v>
      </c>
      <c r="E931" s="3" t="s">
        <v>20</v>
      </c>
      <c r="F931" s="3">
        <v>2012</v>
      </c>
      <c r="G931" s="3" t="s">
        <v>12</v>
      </c>
      <c r="H931" s="3" t="s">
        <v>17</v>
      </c>
      <c r="I931" s="3" t="s">
        <v>115</v>
      </c>
      <c r="J931" s="97" t="s">
        <v>3439</v>
      </c>
    </row>
    <row r="932" spans="1:10" ht="28.9" customHeight="1" thickTop="1" thickBot="1" x14ac:dyDescent="0.65">
      <c r="A932" s="5">
        <v>930</v>
      </c>
      <c r="B932" s="46" t="str">
        <f>HYPERLINK("https://search.naver.com/search.naver?query=로스트 라이언즈 영화", "로스트 라이언즈")</f>
        <v>로스트 라이언즈</v>
      </c>
      <c r="C932" s="47">
        <v>6.77</v>
      </c>
      <c r="D932" s="6" t="s">
        <v>1121</v>
      </c>
      <c r="E932" s="5" t="s">
        <v>20</v>
      </c>
      <c r="F932" s="5">
        <v>2007</v>
      </c>
      <c r="G932" s="5" t="s">
        <v>12</v>
      </c>
      <c r="H932" s="5" t="s">
        <v>17</v>
      </c>
      <c r="I932" s="5" t="s">
        <v>111</v>
      </c>
      <c r="J932" s="98" t="s">
        <v>3447</v>
      </c>
    </row>
    <row r="933" spans="1:10" ht="28.9" customHeight="1" thickTop="1" thickBot="1" x14ac:dyDescent="0.65">
      <c r="A933" s="3">
        <v>931</v>
      </c>
      <c r="B933" s="44" t="str">
        <f>HYPERLINK("https://search.naver.com/search.naver?query=로스트 인 더스트 영화", "로스트 인 더스트")</f>
        <v>로스트 인 더스트</v>
      </c>
      <c r="C933" s="45">
        <v>8.35</v>
      </c>
      <c r="D933" s="4" t="s">
        <v>1122</v>
      </c>
      <c r="E933" s="3" t="s">
        <v>20</v>
      </c>
      <c r="F933" s="3">
        <v>2016</v>
      </c>
      <c r="G933" s="3" t="s">
        <v>12</v>
      </c>
      <c r="H933" s="3" t="s">
        <v>277</v>
      </c>
      <c r="I933" s="3" t="s">
        <v>99</v>
      </c>
      <c r="J933" s="97" t="s">
        <v>3441</v>
      </c>
    </row>
    <row r="934" spans="1:10" ht="28.9" customHeight="1" thickTop="1" thickBot="1" x14ac:dyDescent="0.65">
      <c r="A934" s="5">
        <v>932</v>
      </c>
      <c r="B934" s="46" t="str">
        <f>HYPERLINK("https://search.naver.com/search.naver?query=로스트 인 마운틴 영화", "로스트 인 마운틴")</f>
        <v>로스트 인 마운틴</v>
      </c>
      <c r="C934" s="47"/>
      <c r="D934" s="6" t="s">
        <v>1123</v>
      </c>
      <c r="E934" s="5" t="s">
        <v>20</v>
      </c>
      <c r="F934" s="5">
        <v>2017</v>
      </c>
      <c r="G934" s="5" t="s">
        <v>12</v>
      </c>
      <c r="H934" s="5" t="s">
        <v>17</v>
      </c>
      <c r="I934" s="5" t="s">
        <v>111</v>
      </c>
      <c r="J934" s="98" t="s">
        <v>3443</v>
      </c>
    </row>
    <row r="935" spans="1:10" ht="28.9" customHeight="1" thickTop="1" thickBot="1" x14ac:dyDescent="0.65">
      <c r="A935" s="3">
        <v>933</v>
      </c>
      <c r="B935" s="44" t="str">
        <f>HYPERLINK("https://search.naver.com/search.naver?query=로스트 인 베이징 영화", "로스트 인 베이징")</f>
        <v>로스트 인 베이징</v>
      </c>
      <c r="C935" s="45">
        <v>8.07</v>
      </c>
      <c r="D935" s="4" t="s">
        <v>1124</v>
      </c>
      <c r="E935" s="3" t="s">
        <v>136</v>
      </c>
      <c r="F935" s="3">
        <v>2007</v>
      </c>
      <c r="G935" s="3" t="s">
        <v>12</v>
      </c>
      <c r="H935" s="3" t="s">
        <v>17</v>
      </c>
      <c r="I935" s="3" t="s">
        <v>131</v>
      </c>
      <c r="J935" s="97" t="s">
        <v>3447</v>
      </c>
    </row>
    <row r="936" spans="1:10" ht="28.9" customHeight="1" thickTop="1" thickBot="1" x14ac:dyDescent="0.65">
      <c r="A936" s="5">
        <v>934</v>
      </c>
      <c r="B936" s="46" t="str">
        <f>HYPERLINK("https://search.naver.com/search.naver?query=로스트 케어 영화", "로스트 케어")</f>
        <v>로스트 케어</v>
      </c>
      <c r="C936" s="47">
        <v>6.4</v>
      </c>
      <c r="D936" s="6" t="s">
        <v>1125</v>
      </c>
      <c r="E936" s="5" t="s">
        <v>16</v>
      </c>
      <c r="F936" s="5">
        <v>2024</v>
      </c>
      <c r="G936" s="5" t="s">
        <v>12</v>
      </c>
      <c r="H936" s="5" t="s">
        <v>17</v>
      </c>
      <c r="I936" s="5" t="s">
        <v>96</v>
      </c>
      <c r="J936" s="98" t="s">
        <v>3448</v>
      </c>
    </row>
    <row r="937" spans="1:10" ht="28.9" customHeight="1" thickTop="1" thickBot="1" x14ac:dyDescent="0.65">
      <c r="A937" s="3">
        <v>935</v>
      </c>
      <c r="B937" s="44" t="str">
        <f>HYPERLINK("https://search.naver.com/search.naver?query=로스트씨티 영화", "로스트씨티")</f>
        <v>로스트씨티</v>
      </c>
      <c r="C937" s="45">
        <v>6.41</v>
      </c>
      <c r="D937" s="4" t="s">
        <v>1126</v>
      </c>
      <c r="E937" s="3" t="s">
        <v>20</v>
      </c>
      <c r="F937" s="3">
        <v>2022</v>
      </c>
      <c r="G937" s="3" t="s">
        <v>12</v>
      </c>
      <c r="H937" s="3" t="s">
        <v>92</v>
      </c>
      <c r="I937" s="3" t="s">
        <v>278</v>
      </c>
      <c r="J937" s="97" t="s">
        <v>3445</v>
      </c>
    </row>
    <row r="938" spans="1:10" ht="28.9" customHeight="1" thickTop="1" thickBot="1" x14ac:dyDescent="0.65">
      <c r="A938" s="5">
        <v>936</v>
      </c>
      <c r="B938" s="46" t="str">
        <f>HYPERLINK("https://search.naver.com/search.naver?query=로얄 테넌바움 영화", "로얄 테넌바움")</f>
        <v>로얄 테넌바움</v>
      </c>
      <c r="C938" s="47">
        <v>8.01</v>
      </c>
      <c r="D938" s="6" t="s">
        <v>1127</v>
      </c>
      <c r="E938" s="5" t="s">
        <v>20</v>
      </c>
      <c r="F938" s="5">
        <v>2001</v>
      </c>
      <c r="G938" s="5" t="s">
        <v>12</v>
      </c>
      <c r="H938" s="5" t="s">
        <v>68</v>
      </c>
      <c r="I938" s="5" t="s">
        <v>96</v>
      </c>
      <c r="J938" s="98" t="s">
        <v>3457</v>
      </c>
    </row>
    <row r="939" spans="1:10" ht="28.9" customHeight="1" thickTop="1" thickBot="1" x14ac:dyDescent="0.65">
      <c r="A939" s="3">
        <v>937</v>
      </c>
      <c r="B939" s="44" t="str">
        <f>HYPERLINK("https://search.naver.com/search.naver?query=로즈 영화", "로즈")</f>
        <v>로즈</v>
      </c>
      <c r="C939" s="45">
        <v>8.07</v>
      </c>
      <c r="D939" s="4" t="s">
        <v>1128</v>
      </c>
      <c r="E939" s="3" t="s">
        <v>210</v>
      </c>
      <c r="F939" s="3">
        <v>2017</v>
      </c>
      <c r="G939" s="3" t="s">
        <v>12</v>
      </c>
      <c r="H939" s="3" t="s">
        <v>17</v>
      </c>
      <c r="I939" s="3" t="s">
        <v>14</v>
      </c>
      <c r="J939" s="97" t="s">
        <v>3443</v>
      </c>
    </row>
    <row r="940" spans="1:10" ht="28.9" customHeight="1" thickTop="1" thickBot="1" x14ac:dyDescent="0.65">
      <c r="A940" s="5">
        <v>938</v>
      </c>
      <c r="B940" s="46" t="str">
        <f>HYPERLINK("https://search.naver.com/search.naver?query=로크 영화", "로크")</f>
        <v>로크</v>
      </c>
      <c r="C940" s="47">
        <v>6.37</v>
      </c>
      <c r="D940" s="6" t="s">
        <v>1129</v>
      </c>
      <c r="E940" s="5" t="s">
        <v>24</v>
      </c>
      <c r="F940" s="5">
        <v>2013</v>
      </c>
      <c r="G940" s="5" t="s">
        <v>12</v>
      </c>
      <c r="H940" s="5" t="s">
        <v>17</v>
      </c>
      <c r="I940" s="5" t="s">
        <v>37</v>
      </c>
      <c r="J940" s="98" t="s">
        <v>3451</v>
      </c>
    </row>
    <row r="941" spans="1:10" ht="28.9" customHeight="1" thickTop="1" thickBot="1" x14ac:dyDescent="0.65">
      <c r="A941" s="7">
        <v>939</v>
      </c>
      <c r="B941" s="48" t="str">
        <f>HYPERLINK("https://search.naver.com/search.naver?query=로크 앤 키 시즌1", "로크 앤 키 시즌1")</f>
        <v>로크 앤 키 시즌1</v>
      </c>
      <c r="C941" s="49"/>
      <c r="D941" s="8" t="s">
        <v>1130</v>
      </c>
      <c r="E941" s="7" t="s">
        <v>20</v>
      </c>
      <c r="F941" s="7">
        <v>2020</v>
      </c>
      <c r="G941" s="7" t="s">
        <v>17</v>
      </c>
      <c r="H941" s="7" t="s">
        <v>1131</v>
      </c>
      <c r="I941" s="7" t="s">
        <v>50</v>
      </c>
      <c r="J941" s="99" t="s">
        <v>3436</v>
      </c>
    </row>
    <row r="942" spans="1:10" ht="28.9" customHeight="1" thickTop="1" thickBot="1" x14ac:dyDescent="0.65">
      <c r="A942" s="5">
        <v>940</v>
      </c>
      <c r="B942" s="46" t="str">
        <f>HYPERLINK("https://search.naver.com/search.naver?query=로프트 영화", "로프트")</f>
        <v>로프트</v>
      </c>
      <c r="C942" s="47">
        <v>6.97</v>
      </c>
      <c r="D942" s="6" t="s">
        <v>1132</v>
      </c>
      <c r="E942" s="5" t="s">
        <v>20</v>
      </c>
      <c r="F942" s="5">
        <v>2014</v>
      </c>
      <c r="G942" s="5" t="s">
        <v>12</v>
      </c>
      <c r="H942" s="5" t="s">
        <v>43</v>
      </c>
      <c r="I942" s="5" t="s">
        <v>31</v>
      </c>
      <c r="J942" s="98" t="s">
        <v>3437</v>
      </c>
    </row>
    <row r="943" spans="1:10" ht="28.9" customHeight="1" thickTop="1" thickBot="1" x14ac:dyDescent="0.65">
      <c r="A943" s="3">
        <v>941</v>
      </c>
      <c r="B943" s="44" t="str">
        <f>HYPERLINK("https://search.naver.com/search.naver?query=록트 영화", "록트")</f>
        <v>록트</v>
      </c>
      <c r="C943" s="45">
        <v>6.4</v>
      </c>
      <c r="D943" s="4" t="s">
        <v>1133</v>
      </c>
      <c r="E943" s="3" t="s">
        <v>20</v>
      </c>
      <c r="F943" s="3">
        <v>2025</v>
      </c>
      <c r="G943" s="3" t="s">
        <v>12</v>
      </c>
      <c r="H943" s="3" t="s">
        <v>92</v>
      </c>
      <c r="I943" s="3" t="s">
        <v>111</v>
      </c>
      <c r="J943" s="97" t="s">
        <v>3459</v>
      </c>
    </row>
    <row r="944" spans="1:10" ht="28.9" customHeight="1" thickTop="1" thickBot="1" x14ac:dyDescent="0.65">
      <c r="A944" s="5">
        <v>942</v>
      </c>
      <c r="B944" s="46" t="str">
        <f>HYPERLINK("https://search.naver.com/search.naver?query=론 레인저 영화", "론 레인저")</f>
        <v>론 레인저</v>
      </c>
      <c r="C944" s="47">
        <v>7.34</v>
      </c>
      <c r="D944" s="6" t="s">
        <v>1134</v>
      </c>
      <c r="E944" s="5" t="s">
        <v>20</v>
      </c>
      <c r="F944" s="5">
        <v>2013</v>
      </c>
      <c r="G944" s="5" t="s">
        <v>12</v>
      </c>
      <c r="H944" s="5" t="s">
        <v>92</v>
      </c>
      <c r="I944" s="5" t="s">
        <v>482</v>
      </c>
      <c r="J944" s="98" t="s">
        <v>3451</v>
      </c>
    </row>
    <row r="945" spans="1:10" ht="28.9" customHeight="1" thickTop="1" thickBot="1" x14ac:dyDescent="0.65">
      <c r="A945" s="3">
        <v>943</v>
      </c>
      <c r="B945" s="44" t="str">
        <f>HYPERLINK("https://search.naver.com/search.naver?query=론 서바이버 영화", "론 서바이버")</f>
        <v>론 서바이버</v>
      </c>
      <c r="C945" s="45">
        <v>1.29</v>
      </c>
      <c r="D945" s="4" t="s">
        <v>1135</v>
      </c>
      <c r="E945" s="3" t="s">
        <v>20</v>
      </c>
      <c r="F945" s="3">
        <v>2013</v>
      </c>
      <c r="G945" s="3" t="s">
        <v>12</v>
      </c>
      <c r="H945" s="3" t="s">
        <v>92</v>
      </c>
      <c r="I945" s="3" t="s">
        <v>142</v>
      </c>
      <c r="J945" s="97" t="s">
        <v>3451</v>
      </c>
    </row>
    <row r="946" spans="1:10" ht="28.9" customHeight="1" thickTop="1" thickBot="1" x14ac:dyDescent="0.65">
      <c r="A946" s="5">
        <v>944</v>
      </c>
      <c r="B946" s="46" t="str">
        <f>HYPERLINK("https://search.naver.com/search.naver?query=론리 플래닛 영화", "론리 플래닛")</f>
        <v>론리 플래닛</v>
      </c>
      <c r="C946" s="47">
        <v>6.47</v>
      </c>
      <c r="D946" s="6" t="s">
        <v>1136</v>
      </c>
      <c r="E946" s="5" t="s">
        <v>20</v>
      </c>
      <c r="F946" s="5">
        <v>2024</v>
      </c>
      <c r="G946" s="5" t="s">
        <v>12</v>
      </c>
      <c r="H946" s="5" t="s">
        <v>121</v>
      </c>
      <c r="I946" s="5" t="s">
        <v>111</v>
      </c>
      <c r="J946" s="98" t="s">
        <v>3448</v>
      </c>
    </row>
    <row r="947" spans="1:10" ht="28.9" customHeight="1" thickTop="1" thickBot="1" x14ac:dyDescent="0.65">
      <c r="A947" s="3">
        <v>945</v>
      </c>
      <c r="B947" s="44" t="str">
        <f>HYPERLINK("https://search.naver.com/search.naver?query=론리 플레이스 투 다이 영화", "론리 플레이스 투 다이")</f>
        <v>론리 플레이스 투 다이</v>
      </c>
      <c r="C947" s="45">
        <v>6.26</v>
      </c>
      <c r="D947" s="4" t="s">
        <v>1137</v>
      </c>
      <c r="E947" s="3" t="s">
        <v>24</v>
      </c>
      <c r="F947" s="3">
        <v>2011</v>
      </c>
      <c r="G947" s="3" t="s">
        <v>12</v>
      </c>
      <c r="H947" s="3" t="s">
        <v>43</v>
      </c>
      <c r="I947" s="3" t="s">
        <v>81</v>
      </c>
      <c r="J947" s="97" t="s">
        <v>3454</v>
      </c>
    </row>
    <row r="948" spans="1:10" ht="28.9" customHeight="1" thickTop="1" thickBot="1" x14ac:dyDescent="0.65">
      <c r="A948" s="5">
        <v>946</v>
      </c>
      <c r="B948" s="46" t="str">
        <f>HYPERLINK("https://search.naver.com/search.naver?query=롬멜-사막의 여우 영화", "롬멜-사막의 여우")</f>
        <v>롬멜-사막의 여우</v>
      </c>
      <c r="C948" s="47"/>
      <c r="D948" s="6" t="s">
        <v>1138</v>
      </c>
      <c r="E948" s="5" t="s">
        <v>101</v>
      </c>
      <c r="F948" s="5">
        <v>2012</v>
      </c>
      <c r="G948" s="5" t="s">
        <v>12</v>
      </c>
      <c r="H948" s="5" t="s">
        <v>17</v>
      </c>
      <c r="I948" s="5" t="s">
        <v>86</v>
      </c>
      <c r="J948" s="98" t="s">
        <v>3439</v>
      </c>
    </row>
    <row r="949" spans="1:10" ht="28.9" customHeight="1" thickTop="1" thickBot="1" x14ac:dyDescent="0.65">
      <c r="A949" s="3">
        <v>947</v>
      </c>
      <c r="B949" s="44" t="str">
        <f>HYPERLINK("https://search.naver.com/search.naver?query=롭 더 몹 영화", "롭 더 몹")</f>
        <v>롭 더 몹</v>
      </c>
      <c r="C949" s="45">
        <v>6.4</v>
      </c>
      <c r="D949" s="4" t="s">
        <v>1139</v>
      </c>
      <c r="E949" s="3" t="s">
        <v>20</v>
      </c>
      <c r="F949" s="3">
        <v>2014</v>
      </c>
      <c r="G949" s="3" t="s">
        <v>12</v>
      </c>
      <c r="H949" s="3" t="s">
        <v>277</v>
      </c>
      <c r="I949" s="3" t="s">
        <v>170</v>
      </c>
      <c r="J949" s="97" t="s">
        <v>3437</v>
      </c>
    </row>
    <row r="950" spans="1:10" ht="28.9" customHeight="1" thickTop="1" thickBot="1" x14ac:dyDescent="0.65">
      <c r="A950" s="5">
        <v>948</v>
      </c>
      <c r="B950" s="46" t="str">
        <f>HYPERLINK("https://search.naver.com/search.naver?query=롱리브더킹: 목포영웅 영화", "롱리브더킹 - 목포영웅")</f>
        <v>롱리브더킹 - 목포영웅</v>
      </c>
      <c r="C950" s="47">
        <v>8.61</v>
      </c>
      <c r="D950" s="6"/>
      <c r="E950" s="5" t="s">
        <v>11</v>
      </c>
      <c r="F950" s="5">
        <v>2019</v>
      </c>
      <c r="G950" s="5" t="s">
        <v>12</v>
      </c>
      <c r="H950" s="5" t="s">
        <v>92</v>
      </c>
      <c r="I950" s="5" t="s">
        <v>221</v>
      </c>
      <c r="J950" s="98" t="s">
        <v>3444</v>
      </c>
    </row>
    <row r="951" spans="1:10" ht="28.9" customHeight="1" thickTop="1" thickBot="1" x14ac:dyDescent="0.65">
      <c r="A951" s="3">
        <v>949</v>
      </c>
      <c r="B951" s="44" t="str">
        <f>HYPERLINK("https://search.naver.com/search.naver?query=롱샷 영화", "롱샷")</f>
        <v>롱샷</v>
      </c>
      <c r="C951" s="45">
        <v>8.8699999999999992</v>
      </c>
      <c r="D951" s="4" t="s">
        <v>1140</v>
      </c>
      <c r="E951" s="3" t="s">
        <v>20</v>
      </c>
      <c r="F951" s="3">
        <v>2019</v>
      </c>
      <c r="G951" s="3" t="s">
        <v>12</v>
      </c>
      <c r="H951" s="3" t="s">
        <v>68</v>
      </c>
      <c r="I951" s="3" t="s">
        <v>214</v>
      </c>
      <c r="J951" s="97" t="s">
        <v>3444</v>
      </c>
    </row>
    <row r="952" spans="1:10" ht="28.9" customHeight="1" thickTop="1" thickBot="1" x14ac:dyDescent="0.65">
      <c r="A952" s="5">
        <v>950</v>
      </c>
      <c r="B952" s="46" t="str">
        <f>HYPERLINK("https://search.naver.com/search.naver?query=루디 이야기 영화", "루디 이야기")</f>
        <v>루디 이야기</v>
      </c>
      <c r="C952" s="47">
        <v>9.67</v>
      </c>
      <c r="D952" s="6" t="s">
        <v>1141</v>
      </c>
      <c r="E952" s="5" t="s">
        <v>20</v>
      </c>
      <c r="F952" s="5">
        <v>1993</v>
      </c>
      <c r="G952" s="5" t="s">
        <v>12</v>
      </c>
      <c r="H952" s="5" t="s">
        <v>17</v>
      </c>
      <c r="I952" s="5" t="s">
        <v>207</v>
      </c>
      <c r="J952" s="98" t="s">
        <v>3469</v>
      </c>
    </row>
    <row r="953" spans="1:10" ht="28.9" customHeight="1" thickTop="1" thickBot="1" x14ac:dyDescent="0.65">
      <c r="A953" s="3">
        <v>951</v>
      </c>
      <c r="B953" s="44" t="str">
        <f>HYPERLINK("https://search.naver.com/search.naver?query=루비 스팍스 영화", "루비 스팍스")</f>
        <v>루비 스팍스</v>
      </c>
      <c r="C953" s="45">
        <v>7.7</v>
      </c>
      <c r="D953" s="4" t="s">
        <v>1142</v>
      </c>
      <c r="E953" s="3" t="s">
        <v>20</v>
      </c>
      <c r="F953" s="3">
        <v>2012</v>
      </c>
      <c r="G953" s="3" t="s">
        <v>12</v>
      </c>
      <c r="H953" s="3" t="s">
        <v>68</v>
      </c>
      <c r="I953" s="3" t="s">
        <v>170</v>
      </c>
      <c r="J953" s="97" t="s">
        <v>3439</v>
      </c>
    </row>
    <row r="954" spans="1:10" ht="28.9" customHeight="1" thickTop="1" thickBot="1" x14ac:dyDescent="0.65">
      <c r="A954" s="5">
        <v>952</v>
      </c>
      <c r="B954" s="46" t="str">
        <f>HYPERLINK("https://search.naver.com/search.naver?query=루시 영화", "루시")</f>
        <v>루시</v>
      </c>
      <c r="C954" s="47">
        <v>7.16</v>
      </c>
      <c r="D954" s="6" t="s">
        <v>1143</v>
      </c>
      <c r="E954" s="5" t="s">
        <v>210</v>
      </c>
      <c r="F954" s="5">
        <v>2014</v>
      </c>
      <c r="G954" s="5" t="s">
        <v>12</v>
      </c>
      <c r="H954" s="5" t="s">
        <v>92</v>
      </c>
      <c r="I954" s="5" t="s">
        <v>119</v>
      </c>
      <c r="J954" s="98" t="s">
        <v>3437</v>
      </c>
    </row>
    <row r="955" spans="1:10" ht="28.9" customHeight="1" thickTop="1" thickBot="1" x14ac:dyDescent="0.65">
      <c r="A955" s="3">
        <v>953</v>
      </c>
      <c r="B955" s="44" t="str">
        <f>HYPERLINK("https://search.naver.com/search.naver?query=루카스 영화", "루카스")</f>
        <v>루카스</v>
      </c>
      <c r="C955" s="45"/>
      <c r="D955" s="4" t="s">
        <v>1144</v>
      </c>
      <c r="E955" s="3" t="s">
        <v>101</v>
      </c>
      <c r="F955" s="3">
        <v>2018</v>
      </c>
      <c r="G955" s="3" t="s">
        <v>12</v>
      </c>
      <c r="H955" s="3" t="s">
        <v>17</v>
      </c>
      <c r="I955" s="3" t="s">
        <v>128</v>
      </c>
      <c r="J955" s="97" t="s">
        <v>3442</v>
      </c>
    </row>
    <row r="956" spans="1:10" ht="28.9" customHeight="1" thickTop="1" thickBot="1" x14ac:dyDescent="0.65">
      <c r="A956" s="5">
        <v>954</v>
      </c>
      <c r="B956" s="46" t="str">
        <f>HYPERLINK("https://search.naver.com/search.naver?query=루킹 글라스 영화", "루킹 글라스")</f>
        <v>루킹 글라스</v>
      </c>
      <c r="C956" s="47">
        <v>3.35</v>
      </c>
      <c r="D956" s="6" t="s">
        <v>431</v>
      </c>
      <c r="E956" s="5" t="s">
        <v>189</v>
      </c>
      <c r="F956" s="5">
        <v>2018</v>
      </c>
      <c r="G956" s="5" t="s">
        <v>12</v>
      </c>
      <c r="H956" s="5" t="s">
        <v>43</v>
      </c>
      <c r="I956" s="5" t="s">
        <v>190</v>
      </c>
      <c r="J956" s="98" t="s">
        <v>3442</v>
      </c>
    </row>
    <row r="957" spans="1:10" ht="28.9" customHeight="1" thickTop="1" thickBot="1" x14ac:dyDescent="0.65">
      <c r="A957" s="3">
        <v>955</v>
      </c>
      <c r="B957" s="44" t="str">
        <f>HYPERLINK("https://search.naver.com/search.naver?query=룰스 오브 인게이지먼트 영화", "룰스 오브 인게이지먼트")</f>
        <v>룰스 오브 인게이지먼트</v>
      </c>
      <c r="C957" s="45">
        <v>7.28</v>
      </c>
      <c r="D957" s="4" t="s">
        <v>1145</v>
      </c>
      <c r="E957" s="3" t="s">
        <v>20</v>
      </c>
      <c r="F957" s="3">
        <v>2000</v>
      </c>
      <c r="G957" s="3" t="s">
        <v>12</v>
      </c>
      <c r="H957" s="3" t="s">
        <v>17</v>
      </c>
      <c r="I957" s="3" t="s">
        <v>108</v>
      </c>
      <c r="J957" s="97" t="s">
        <v>3458</v>
      </c>
    </row>
    <row r="958" spans="1:10" ht="28.9" customHeight="1" thickTop="1" thickBot="1" x14ac:dyDescent="0.65">
      <c r="A958" s="5">
        <v>956</v>
      </c>
      <c r="B958" s="46" t="str">
        <f>HYPERLINK("https://search.naver.com/search.naver?query=룸 영화", "룸")</f>
        <v>룸</v>
      </c>
      <c r="C958" s="47">
        <v>9.0399999999999991</v>
      </c>
      <c r="D958" s="6" t="s">
        <v>1146</v>
      </c>
      <c r="E958" s="5" t="s">
        <v>558</v>
      </c>
      <c r="F958" s="5">
        <v>2015</v>
      </c>
      <c r="G958" s="5" t="s">
        <v>12</v>
      </c>
      <c r="H958" s="5" t="s">
        <v>17</v>
      </c>
      <c r="I958" s="5" t="s">
        <v>89</v>
      </c>
      <c r="J958" s="98" t="s">
        <v>3440</v>
      </c>
    </row>
    <row r="959" spans="1:10" ht="28.9" customHeight="1" thickTop="1" thickBot="1" x14ac:dyDescent="0.65">
      <c r="A959" s="3">
        <v>957</v>
      </c>
      <c r="B959" s="44" t="str">
        <f>HYPERLINK("https://search.naver.com/search.naver?query=룸 넥스트 도어 영화", "룸 넥스트 도어")</f>
        <v>룸 넥스트 도어</v>
      </c>
      <c r="C959" s="45">
        <v>8.2100000000000009</v>
      </c>
      <c r="D959" s="4" t="s">
        <v>1147</v>
      </c>
      <c r="E959" s="3" t="s">
        <v>30</v>
      </c>
      <c r="F959" s="3">
        <v>2024</v>
      </c>
      <c r="G959" s="3" t="s">
        <v>12</v>
      </c>
      <c r="H959" s="3" t="s">
        <v>17</v>
      </c>
      <c r="I959" s="3" t="s">
        <v>96</v>
      </c>
      <c r="J959" s="97" t="s">
        <v>3448</v>
      </c>
    </row>
    <row r="960" spans="1:10" ht="28.9" customHeight="1" thickTop="1" thickBot="1" x14ac:dyDescent="0.65">
      <c r="A960" s="5">
        <v>958</v>
      </c>
      <c r="B960" s="46" t="str">
        <f>HYPERLINK("https://search.naver.com/search.naver?query=리 밀러 카메라를 든 여자 영화", "리 밀러 카메라를 든 여자")</f>
        <v>리 밀러 카메라를 든 여자</v>
      </c>
      <c r="C960" s="47">
        <v>7.76</v>
      </c>
      <c r="D960" s="6" t="s">
        <v>1148</v>
      </c>
      <c r="E960" s="5" t="s">
        <v>24</v>
      </c>
      <c r="F960" s="5">
        <v>2023</v>
      </c>
      <c r="G960" s="5" t="s">
        <v>12</v>
      </c>
      <c r="H960" s="5" t="s">
        <v>17</v>
      </c>
      <c r="I960" s="5" t="s">
        <v>89</v>
      </c>
      <c r="J960" s="98" t="s">
        <v>3446</v>
      </c>
    </row>
    <row r="961" spans="1:10" ht="28.9" customHeight="1" thickTop="1" thickBot="1" x14ac:dyDescent="0.65">
      <c r="A961" s="3">
        <v>959</v>
      </c>
      <c r="B961" s="44" t="str">
        <f>HYPERLINK("https://search.naver.com/search.naver?query=리그레션 영화", "리그레션")</f>
        <v>리그레션</v>
      </c>
      <c r="C961" s="45">
        <v>6.74</v>
      </c>
      <c r="D961" s="4" t="s">
        <v>1149</v>
      </c>
      <c r="E961" s="3" t="s">
        <v>20</v>
      </c>
      <c r="F961" s="3">
        <v>2015</v>
      </c>
      <c r="G961" s="3" t="s">
        <v>12</v>
      </c>
      <c r="H961" s="3" t="s">
        <v>43</v>
      </c>
      <c r="I961" s="3" t="s">
        <v>286</v>
      </c>
      <c r="J961" s="97" t="s">
        <v>3440</v>
      </c>
    </row>
    <row r="962" spans="1:10" ht="28.9" customHeight="1" thickTop="1" thickBot="1" x14ac:dyDescent="0.65">
      <c r="A962" s="5">
        <v>960</v>
      </c>
      <c r="B962" s="46" t="str">
        <f>HYPERLINK("https://search.naver.com/search.naver?query=리뎀션 데이 영화", "리뎀션 데이")</f>
        <v>리뎀션 데이</v>
      </c>
      <c r="C962" s="47">
        <v>3</v>
      </c>
      <c r="D962" s="6" t="s">
        <v>1150</v>
      </c>
      <c r="E962" s="5" t="s">
        <v>20</v>
      </c>
      <c r="F962" s="5">
        <v>2021</v>
      </c>
      <c r="G962" s="5" t="s">
        <v>12</v>
      </c>
      <c r="H962" s="5" t="s">
        <v>92</v>
      </c>
      <c r="I962" s="5" t="s">
        <v>81</v>
      </c>
      <c r="J962" s="98" t="s">
        <v>3438</v>
      </c>
    </row>
    <row r="963" spans="1:10" ht="28.9" customHeight="1" thickTop="1" thickBot="1" x14ac:dyDescent="0.65">
      <c r="A963" s="3">
        <v>961</v>
      </c>
      <c r="B963" s="44" t="str">
        <f>HYPERLINK("https://search.naver.com/search.naver?query=리듬 오브 리벤지 영화", "리듬 오브 리벤지")</f>
        <v>리듬 오브 리벤지</v>
      </c>
      <c r="C963" s="45">
        <v>3.94</v>
      </c>
      <c r="D963" s="4" t="s">
        <v>1151</v>
      </c>
      <c r="E963" s="3" t="s">
        <v>24</v>
      </c>
      <c r="F963" s="3">
        <v>2020</v>
      </c>
      <c r="G963" s="3" t="s">
        <v>12</v>
      </c>
      <c r="H963" s="3" t="s">
        <v>92</v>
      </c>
      <c r="I963" s="3" t="s">
        <v>137</v>
      </c>
      <c r="J963" s="97" t="s">
        <v>3436</v>
      </c>
    </row>
    <row r="964" spans="1:10" ht="28.9" customHeight="1" thickTop="1" thickBot="1" x14ac:dyDescent="0.65">
      <c r="A964" s="5">
        <v>962</v>
      </c>
      <c r="B964" s="46" t="str">
        <f>HYPERLINK("https://search.naver.com/search.naver?query=리디밍 러브 영화", "리디밍 러브")</f>
        <v>리디밍 러브</v>
      </c>
      <c r="C964" s="47">
        <v>6.86</v>
      </c>
      <c r="D964" s="6" t="s">
        <v>1152</v>
      </c>
      <c r="E964" s="5" t="s">
        <v>20</v>
      </c>
      <c r="F964" s="5">
        <v>2022</v>
      </c>
      <c r="G964" s="5" t="s">
        <v>12</v>
      </c>
      <c r="H964" s="5" t="s">
        <v>17</v>
      </c>
      <c r="I964" s="5" t="s">
        <v>543</v>
      </c>
      <c r="J964" s="98" t="s">
        <v>3445</v>
      </c>
    </row>
    <row r="965" spans="1:10" ht="28.9" customHeight="1" thickTop="1" thickBot="1" x14ac:dyDescent="0.65">
      <c r="A965" s="3">
        <v>963</v>
      </c>
      <c r="B965" s="44" t="str">
        <f>HYPERLINK("https://search.naver.com/search.naver?query=리멤버 영화", "리멤버")</f>
        <v>리멤버</v>
      </c>
      <c r="C965" s="45">
        <v>7.77</v>
      </c>
      <c r="D965" s="4" t="s">
        <v>1153</v>
      </c>
      <c r="E965" s="3" t="s">
        <v>11</v>
      </c>
      <c r="F965" s="3">
        <v>2022</v>
      </c>
      <c r="G965" s="3" t="s">
        <v>12</v>
      </c>
      <c r="H965" s="3" t="s">
        <v>43</v>
      </c>
      <c r="I965" s="3" t="s">
        <v>131</v>
      </c>
      <c r="J965" s="97" t="s">
        <v>3445</v>
      </c>
    </row>
    <row r="966" spans="1:10" ht="28.9" customHeight="1" thickTop="1" thickBot="1" x14ac:dyDescent="0.65">
      <c r="A966" s="5">
        <v>964</v>
      </c>
      <c r="B966" s="46" t="str">
        <f>HYPERLINK("https://search.naver.com/search.naver?query=리멤버:기억의 살인자 영화", "리멤버")</f>
        <v>리멤버</v>
      </c>
      <c r="C966" s="47">
        <v>7.64</v>
      </c>
      <c r="D966" s="6" t="s">
        <v>1154</v>
      </c>
      <c r="E966" s="5" t="s">
        <v>189</v>
      </c>
      <c r="F966" s="5">
        <v>2015</v>
      </c>
      <c r="G966" s="5" t="s">
        <v>12</v>
      </c>
      <c r="H966" s="5" t="s">
        <v>17</v>
      </c>
      <c r="I966" s="5" t="s">
        <v>300</v>
      </c>
      <c r="J966" s="98" t="s">
        <v>3440</v>
      </c>
    </row>
    <row r="967" spans="1:10" ht="28.9" customHeight="1" thickTop="1" thickBot="1" x14ac:dyDescent="0.65">
      <c r="A967" s="3">
        <v>965</v>
      </c>
      <c r="B967" s="44" t="str">
        <f>HYPERLINK("https://search.naver.com/search.naver?query=리멤버 미 2010", "리멤버 미")</f>
        <v>리멤버 미</v>
      </c>
      <c r="C967" s="45">
        <v>7.52</v>
      </c>
      <c r="D967" s="6" t="s">
        <v>1155</v>
      </c>
      <c r="E967" s="3" t="s">
        <v>20</v>
      </c>
      <c r="F967" s="3">
        <v>2010</v>
      </c>
      <c r="G967" s="3" t="s">
        <v>12</v>
      </c>
      <c r="H967" s="3" t="s">
        <v>17</v>
      </c>
      <c r="I967" s="3" t="s">
        <v>73</v>
      </c>
      <c r="J967" s="97" t="s">
        <v>3455</v>
      </c>
    </row>
    <row r="968" spans="1:10" ht="28.9" customHeight="1" thickTop="1" thickBot="1" x14ac:dyDescent="0.65">
      <c r="A968" s="5">
        <v>966</v>
      </c>
      <c r="B968" s="46" t="str">
        <f>HYPERLINK("https://search.naver.com/search.naver?query=리멤버 타이탄 영화", "리멤버 타이탄")</f>
        <v>리멤버 타이탄</v>
      </c>
      <c r="C968" s="47">
        <v>9.25</v>
      </c>
      <c r="D968" s="4" t="s">
        <v>1156</v>
      </c>
      <c r="E968" s="5" t="s">
        <v>20</v>
      </c>
      <c r="F968" s="5">
        <v>2000</v>
      </c>
      <c r="G968" s="5" t="s">
        <v>12</v>
      </c>
      <c r="H968" s="5" t="s">
        <v>17</v>
      </c>
      <c r="I968" s="5" t="s">
        <v>73</v>
      </c>
      <c r="J968" s="98" t="s">
        <v>3458</v>
      </c>
    </row>
    <row r="969" spans="1:10" ht="28.9" customHeight="1" thickTop="1" thickBot="1" x14ac:dyDescent="0.65">
      <c r="A969" s="3">
        <v>967</v>
      </c>
      <c r="B969" s="44" t="str">
        <f>HYPERLINK("https://search.naver.com/search.naver?query=리미트리스 영화", "리미트리스")</f>
        <v>리미트리스</v>
      </c>
      <c r="C969" s="45">
        <v>8.19</v>
      </c>
      <c r="D969" s="4" t="s">
        <v>1157</v>
      </c>
      <c r="E969" s="3" t="s">
        <v>20</v>
      </c>
      <c r="F969" s="3">
        <v>2011</v>
      </c>
      <c r="G969" s="3" t="s">
        <v>12</v>
      </c>
      <c r="H969" s="3" t="s">
        <v>520</v>
      </c>
      <c r="I969" s="3" t="s">
        <v>128</v>
      </c>
      <c r="J969" s="97" t="s">
        <v>3454</v>
      </c>
    </row>
    <row r="970" spans="1:10" ht="28.9" customHeight="1" thickTop="1" thickBot="1" x14ac:dyDescent="0.65">
      <c r="A970" s="5">
        <v>968</v>
      </c>
      <c r="B970" s="46" t="str">
        <f>HYPERLINK("https://search.naver.com/search.naver?query=리바이어던 영화", "리바이어던")</f>
        <v>리바이어던</v>
      </c>
      <c r="C970" s="47">
        <v>8.19</v>
      </c>
      <c r="D970" s="6" t="s">
        <v>1158</v>
      </c>
      <c r="E970" s="5" t="s">
        <v>57</v>
      </c>
      <c r="F970" s="5">
        <v>2014</v>
      </c>
      <c r="G970" s="5" t="s">
        <v>12</v>
      </c>
      <c r="H970" s="5" t="s">
        <v>17</v>
      </c>
      <c r="I970" s="5" t="s">
        <v>550</v>
      </c>
      <c r="J970" s="98" t="s">
        <v>3437</v>
      </c>
    </row>
    <row r="971" spans="1:10" ht="28.9" customHeight="1" thickTop="1" thickBot="1" x14ac:dyDescent="0.65">
      <c r="A971" s="3">
        <v>969</v>
      </c>
      <c r="B971" s="44" t="str">
        <f>HYPERLINK("https://search.naver.com/search.naver?query=리버럴 아츠 영화", "리버럴 아츠")</f>
        <v>리버럴 아츠</v>
      </c>
      <c r="C971" s="45">
        <v>6.4</v>
      </c>
      <c r="D971" s="4" t="s">
        <v>1159</v>
      </c>
      <c r="E971" s="3" t="s">
        <v>20</v>
      </c>
      <c r="F971" s="3">
        <v>2012</v>
      </c>
      <c r="G971" s="3" t="s">
        <v>12</v>
      </c>
      <c r="H971" s="3" t="s">
        <v>68</v>
      </c>
      <c r="I971" s="3" t="s">
        <v>124</v>
      </c>
      <c r="J971" s="97" t="s">
        <v>3439</v>
      </c>
    </row>
    <row r="972" spans="1:10" ht="28.9" customHeight="1" thickTop="1" thickBot="1" x14ac:dyDescent="0.65">
      <c r="A972" s="5">
        <v>970</v>
      </c>
      <c r="B972" s="46" t="str">
        <f>HYPERLINK("https://search.naver.com/search.naver?query=리볼버 영화", "리볼버")</f>
        <v>리볼버</v>
      </c>
      <c r="C972" s="47">
        <v>6.03</v>
      </c>
      <c r="D972" s="6" t="s">
        <v>1160</v>
      </c>
      <c r="E972" s="5" t="s">
        <v>11</v>
      </c>
      <c r="F972" s="5">
        <v>2024</v>
      </c>
      <c r="G972" s="5" t="s">
        <v>12</v>
      </c>
      <c r="H972" s="5" t="s">
        <v>92</v>
      </c>
      <c r="I972" s="5" t="s">
        <v>207</v>
      </c>
      <c r="J972" s="98" t="s">
        <v>3448</v>
      </c>
    </row>
    <row r="973" spans="1:10" ht="28.9" customHeight="1" thickTop="1" thickBot="1" x14ac:dyDescent="0.65">
      <c r="A973" s="3">
        <v>971</v>
      </c>
      <c r="B973" s="44" t="str">
        <f>HYPERLINK("https://search.naver.com/search.naver?query=리브 더 월드 비하인드 영화", "리브 더 월드 비하인드")</f>
        <v>리브 더 월드 비하인드</v>
      </c>
      <c r="C973" s="45">
        <v>4.46</v>
      </c>
      <c r="D973" s="4" t="s">
        <v>1161</v>
      </c>
      <c r="E973" s="3" t="s">
        <v>20</v>
      </c>
      <c r="F973" s="3">
        <v>2023</v>
      </c>
      <c r="G973" s="3" t="s">
        <v>12</v>
      </c>
      <c r="H973" s="3" t="s">
        <v>17</v>
      </c>
      <c r="I973" s="3" t="s">
        <v>550</v>
      </c>
      <c r="J973" s="97" t="s">
        <v>3446</v>
      </c>
    </row>
    <row r="974" spans="1:10" ht="28.9" customHeight="1" thickTop="1" thickBot="1" x14ac:dyDescent="0.65">
      <c r="A974" s="5">
        <v>972</v>
      </c>
      <c r="B974" s="46" t="str">
        <f>HYPERLINK("https://search.naver.com/search.naver?query=리빙보이 인 뉴욕 영화", "리빙보이 인 뉴욕")</f>
        <v>리빙보이 인 뉴욕</v>
      </c>
      <c r="C974" s="47">
        <v>8.14</v>
      </c>
      <c r="D974" s="6" t="s">
        <v>1162</v>
      </c>
      <c r="E974" s="5" t="s">
        <v>20</v>
      </c>
      <c r="F974" s="5">
        <v>2017</v>
      </c>
      <c r="G974" s="5" t="s">
        <v>12</v>
      </c>
      <c r="H974" s="5" t="s">
        <v>17</v>
      </c>
      <c r="I974" s="5" t="s">
        <v>111</v>
      </c>
      <c r="J974" s="98" t="s">
        <v>3443</v>
      </c>
    </row>
    <row r="975" spans="1:10" ht="28.9" customHeight="1" thickTop="1" thickBot="1" x14ac:dyDescent="0.65">
      <c r="A975" s="3">
        <v>973</v>
      </c>
      <c r="B975" s="44" t="str">
        <f>HYPERLINK("https://search.naver.com/search.naver?query=리빙:어떤 인생 영화", "리빙-어떤 인생")</f>
        <v>리빙-어떤 인생</v>
      </c>
      <c r="C975" s="45">
        <v>7.75</v>
      </c>
      <c r="D975" s="4" t="s">
        <v>1163</v>
      </c>
      <c r="E975" s="3" t="s">
        <v>24</v>
      </c>
      <c r="F975" s="3">
        <v>2022</v>
      </c>
      <c r="G975" s="3" t="s">
        <v>12</v>
      </c>
      <c r="H975" s="3" t="s">
        <v>17</v>
      </c>
      <c r="I975" s="3" t="s">
        <v>99</v>
      </c>
      <c r="J975" s="97" t="s">
        <v>3445</v>
      </c>
    </row>
    <row r="976" spans="1:10" ht="28.9" customHeight="1" thickTop="1" thickBot="1" x14ac:dyDescent="0.65">
      <c r="A976" s="5">
        <v>974</v>
      </c>
      <c r="B976" s="46" t="str">
        <f>HYPERLINK("https://search.naver.com/search.naver?query=리스본행 야간열차 영화", "리스본행 야간열차")</f>
        <v>리스본행 야간열차</v>
      </c>
      <c r="C976" s="47">
        <v>8.34</v>
      </c>
      <c r="D976" s="6" t="s">
        <v>1164</v>
      </c>
      <c r="E976" s="5" t="s">
        <v>101</v>
      </c>
      <c r="F976" s="5">
        <v>2013</v>
      </c>
      <c r="G976" s="5" t="s">
        <v>12</v>
      </c>
      <c r="H976" s="5" t="s">
        <v>17</v>
      </c>
      <c r="I976" s="5" t="s">
        <v>102</v>
      </c>
      <c r="J976" s="98" t="s">
        <v>3451</v>
      </c>
    </row>
    <row r="977" spans="1:10" ht="28.9" customHeight="1" thickTop="1" thickBot="1" x14ac:dyDescent="0.65">
      <c r="A977" s="3">
        <v>975</v>
      </c>
      <c r="B977" s="44" t="str">
        <f>HYPERLINK("https://search.naver.com/search.naver?query=리스펙트 영화", "리스펙트")</f>
        <v>리스펙트</v>
      </c>
      <c r="C977" s="45">
        <v>7.36</v>
      </c>
      <c r="D977" s="4" t="s">
        <v>1165</v>
      </c>
      <c r="E977" s="3" t="s">
        <v>20</v>
      </c>
      <c r="F977" s="3">
        <v>2021</v>
      </c>
      <c r="G977" s="3" t="s">
        <v>12</v>
      </c>
      <c r="H977" s="3" t="s">
        <v>17</v>
      </c>
      <c r="I977" s="3" t="s">
        <v>175</v>
      </c>
      <c r="J977" s="97" t="s">
        <v>3438</v>
      </c>
    </row>
    <row r="978" spans="1:10" ht="28.9" customHeight="1" thickTop="1" thickBot="1" x14ac:dyDescent="0.65">
      <c r="A978" s="5">
        <v>976</v>
      </c>
      <c r="B978" s="46" t="str">
        <f>HYPERLINK("https://search.naver.com/search.naver?query=리슨 영화", "리슨")</f>
        <v>리슨</v>
      </c>
      <c r="C978" s="47">
        <v>7.75</v>
      </c>
      <c r="D978" s="6" t="s">
        <v>1166</v>
      </c>
      <c r="E978" s="5" t="s">
        <v>24</v>
      </c>
      <c r="F978" s="5">
        <v>2021</v>
      </c>
      <c r="G978" s="5" t="s">
        <v>12</v>
      </c>
      <c r="H978" s="5" t="s">
        <v>17</v>
      </c>
      <c r="I978" s="5" t="s">
        <v>111</v>
      </c>
      <c r="J978" s="98" t="s">
        <v>3438</v>
      </c>
    </row>
    <row r="979" spans="1:10" ht="28.9" customHeight="1" thickTop="1" thickBot="1" x14ac:dyDescent="0.65">
      <c r="A979" s="3">
        <v>977</v>
      </c>
      <c r="B979" s="44" t="str">
        <f>HYPERLINK("https://search.naver.com/search.naver?query=리차드 쥬얼", "리차드 쥬얼")</f>
        <v>리차드 쥬얼</v>
      </c>
      <c r="C979" s="45">
        <v>8.94</v>
      </c>
      <c r="D979" s="4" t="s">
        <v>1167</v>
      </c>
      <c r="E979" s="3" t="s">
        <v>20</v>
      </c>
      <c r="F979" s="3">
        <v>2019</v>
      </c>
      <c r="G979" s="3" t="s">
        <v>12</v>
      </c>
      <c r="H979" s="3" t="s">
        <v>17</v>
      </c>
      <c r="I979" s="3" t="s">
        <v>280</v>
      </c>
      <c r="J979" s="97" t="s">
        <v>3444</v>
      </c>
    </row>
    <row r="980" spans="1:10" ht="28.9" customHeight="1" thickTop="1" thickBot="1" x14ac:dyDescent="0.65">
      <c r="A980" s="7">
        <v>978</v>
      </c>
      <c r="B980" s="48" t="str">
        <f>HYPERLINK("https://search.naver.com/search.naver?query=리처 시즌1", "리처 시즌1")</f>
        <v>리처 시즌1</v>
      </c>
      <c r="C980" s="49"/>
      <c r="D980" s="8" t="s">
        <v>1168</v>
      </c>
      <c r="E980" s="7" t="s">
        <v>20</v>
      </c>
      <c r="F980" s="7">
        <v>2022</v>
      </c>
      <c r="G980" s="7" t="s">
        <v>17</v>
      </c>
      <c r="H980" s="7" t="s">
        <v>1169</v>
      </c>
      <c r="I980" s="7" t="s">
        <v>55</v>
      </c>
      <c r="J980" s="99" t="s">
        <v>3445</v>
      </c>
    </row>
    <row r="981" spans="1:10" ht="28.9" customHeight="1" thickTop="1" thickBot="1" x14ac:dyDescent="0.65">
      <c r="A981" s="7">
        <v>979</v>
      </c>
      <c r="B981" s="48" t="str">
        <f>HYPERLINK("https://search.naver.com/search.naver?query=리처 시즌2", "리처 시즌2")</f>
        <v>리처 시즌2</v>
      </c>
      <c r="C981" s="49"/>
      <c r="D981" s="8" t="s">
        <v>1168</v>
      </c>
      <c r="E981" s="7" t="s">
        <v>20</v>
      </c>
      <c r="F981" s="7">
        <v>2023</v>
      </c>
      <c r="G981" s="7" t="s">
        <v>17</v>
      </c>
      <c r="H981" s="7" t="s">
        <v>1169</v>
      </c>
      <c r="I981" s="7" t="s">
        <v>55</v>
      </c>
      <c r="J981" s="99" t="s">
        <v>3446</v>
      </c>
    </row>
    <row r="982" spans="1:10" ht="28.9" customHeight="1" thickTop="1" thickBot="1" x14ac:dyDescent="0.65">
      <c r="A982" s="7">
        <v>980</v>
      </c>
      <c r="B982" s="48" t="str">
        <f>HYPERLINK("https://search.naver.com/search.naver?query=리처 시즌3", "리처 시즌3")</f>
        <v>리처 시즌3</v>
      </c>
      <c r="C982" s="49"/>
      <c r="D982" s="8" t="s">
        <v>1168</v>
      </c>
      <c r="E982" s="7" t="s">
        <v>20</v>
      </c>
      <c r="F982" s="7">
        <v>2025</v>
      </c>
      <c r="G982" s="7" t="s">
        <v>17</v>
      </c>
      <c r="H982" s="7" t="s">
        <v>1169</v>
      </c>
      <c r="I982" s="7" t="s">
        <v>55</v>
      </c>
      <c r="J982" s="99" t="s">
        <v>3459</v>
      </c>
    </row>
    <row r="983" spans="1:10" ht="28.9" customHeight="1" thickTop="1" thickBot="1" x14ac:dyDescent="0.65">
      <c r="A983" s="3">
        <v>981</v>
      </c>
      <c r="B983" s="44" t="str">
        <f>HYPERLINK("https://search.naver.com/search.naver?query=리카운트 영화", "리카운트")</f>
        <v>리카운트</v>
      </c>
      <c r="C983" s="45"/>
      <c r="D983" s="4" t="s">
        <v>1170</v>
      </c>
      <c r="E983" s="3" t="s">
        <v>20</v>
      </c>
      <c r="F983" s="3">
        <v>2008</v>
      </c>
      <c r="G983" s="3" t="s">
        <v>12</v>
      </c>
      <c r="H983" s="3" t="s">
        <v>17</v>
      </c>
      <c r="I983" s="3" t="s">
        <v>366</v>
      </c>
      <c r="J983" s="97" t="s">
        <v>3450</v>
      </c>
    </row>
    <row r="984" spans="1:10" ht="28.9" customHeight="1" thickTop="1" thickBot="1" x14ac:dyDescent="0.65">
      <c r="A984" s="5">
        <v>982</v>
      </c>
      <c r="B984" s="46" t="str">
        <f>HYPERLINK("https://search.naver.com/search.naver?query=리턴 영화", "리턴")</f>
        <v>리턴</v>
      </c>
      <c r="C984" s="47">
        <v>8.3699999999999992</v>
      </c>
      <c r="D984" s="6" t="s">
        <v>1171</v>
      </c>
      <c r="E984" s="5" t="s">
        <v>20</v>
      </c>
      <c r="F984" s="5">
        <v>2007</v>
      </c>
      <c r="G984" s="5" t="s">
        <v>12</v>
      </c>
      <c r="H984" s="5" t="s">
        <v>17</v>
      </c>
      <c r="I984" s="5" t="s">
        <v>111</v>
      </c>
      <c r="J984" s="98" t="s">
        <v>3447</v>
      </c>
    </row>
    <row r="985" spans="1:10" ht="28.9" customHeight="1" thickTop="1" thickBot="1" x14ac:dyDescent="0.65">
      <c r="A985" s="3">
        <v>983</v>
      </c>
      <c r="B985" s="44" t="str">
        <f>HYPERLINK("https://search.naver.com/search.naver?query=리턴 투 센더 영화", "리턴 투 센더")</f>
        <v>리턴 투 센더</v>
      </c>
      <c r="C985" s="45">
        <v>6</v>
      </c>
      <c r="D985" s="4" t="s">
        <v>1172</v>
      </c>
      <c r="E985" s="3" t="s">
        <v>20</v>
      </c>
      <c r="F985" s="3">
        <v>2015</v>
      </c>
      <c r="G985" s="3" t="s">
        <v>12</v>
      </c>
      <c r="H985" s="3" t="s">
        <v>43</v>
      </c>
      <c r="I985" s="3" t="s">
        <v>111</v>
      </c>
      <c r="J985" s="97" t="s">
        <v>3440</v>
      </c>
    </row>
    <row r="986" spans="1:10" ht="28.9" customHeight="1" thickTop="1" thickBot="1" x14ac:dyDescent="0.65">
      <c r="A986" s="5">
        <v>984</v>
      </c>
      <c r="B986" s="46" t="str">
        <f>HYPERLINK("https://search.naver.com/search.naver?query=리틀 보이 영화", "리틀 보이")</f>
        <v>리틀 보이</v>
      </c>
      <c r="C986" s="47">
        <v>9</v>
      </c>
      <c r="D986" s="6" t="s">
        <v>1173</v>
      </c>
      <c r="E986" s="5" t="s">
        <v>20</v>
      </c>
      <c r="F986" s="5">
        <v>2015</v>
      </c>
      <c r="G986" s="5" t="s">
        <v>12</v>
      </c>
      <c r="H986" s="5" t="s">
        <v>17</v>
      </c>
      <c r="I986" s="5" t="s">
        <v>286</v>
      </c>
      <c r="J986" s="98" t="s">
        <v>3440</v>
      </c>
    </row>
    <row r="987" spans="1:10" ht="28.9" customHeight="1" thickTop="1" thickBot="1" x14ac:dyDescent="0.65">
      <c r="A987" s="3">
        <v>985</v>
      </c>
      <c r="B987" s="44" t="str">
        <f>HYPERLINK("https://search.naver.com/search.naver?query=리틀 칠드런 영화", "리틀 칠드런")</f>
        <v>리틀 칠드런</v>
      </c>
      <c r="C987" s="45">
        <v>8.18</v>
      </c>
      <c r="D987" s="4" t="s">
        <v>1174</v>
      </c>
      <c r="E987" s="3" t="s">
        <v>20</v>
      </c>
      <c r="F987" s="3">
        <v>2006</v>
      </c>
      <c r="G987" s="3" t="s">
        <v>12</v>
      </c>
      <c r="H987" s="3" t="s">
        <v>17</v>
      </c>
      <c r="I987" s="3" t="s">
        <v>359</v>
      </c>
      <c r="J987" s="97" t="s">
        <v>3460</v>
      </c>
    </row>
    <row r="988" spans="1:10" ht="28.9" customHeight="1" thickTop="1" thickBot="1" x14ac:dyDescent="0.65">
      <c r="A988" s="5">
        <v>986</v>
      </c>
      <c r="B988" s="46" t="str">
        <f>HYPERLINK("https://search.naver.com/search.naver?query=리틀 포레스트 영화", "리틀 포레스트")</f>
        <v>리틀 포레스트</v>
      </c>
      <c r="C988" s="47">
        <v>9.01</v>
      </c>
      <c r="D988" s="6" t="s">
        <v>1175</v>
      </c>
      <c r="E988" s="5" t="s">
        <v>11</v>
      </c>
      <c r="F988" s="5">
        <v>2018</v>
      </c>
      <c r="G988" s="5" t="s">
        <v>12</v>
      </c>
      <c r="H988" s="5" t="s">
        <v>17</v>
      </c>
      <c r="I988" s="5" t="s">
        <v>190</v>
      </c>
      <c r="J988" s="98" t="s">
        <v>3442</v>
      </c>
    </row>
    <row r="989" spans="1:10" ht="28.9" customHeight="1" thickTop="1" thickBot="1" x14ac:dyDescent="0.65">
      <c r="A989" s="3">
        <v>987</v>
      </c>
      <c r="B989" s="44" t="str">
        <f>HYPERLINK("https://search.naver.com/search.naver?query=리틀 포레스트 : 여름과 가을 영화", "리틀 포레스트 - 여름과 가을")</f>
        <v>리틀 포레스트 - 여름과 가을</v>
      </c>
      <c r="C989" s="45">
        <v>8.61</v>
      </c>
      <c r="D989" s="4" t="s">
        <v>1176</v>
      </c>
      <c r="E989" s="3" t="s">
        <v>16</v>
      </c>
      <c r="F989" s="3">
        <v>2014</v>
      </c>
      <c r="G989" s="3" t="s">
        <v>12</v>
      </c>
      <c r="H989" s="3" t="s">
        <v>17</v>
      </c>
      <c r="I989" s="3" t="s">
        <v>102</v>
      </c>
      <c r="J989" s="97" t="s">
        <v>3437</v>
      </c>
    </row>
    <row r="990" spans="1:10" ht="28.9" customHeight="1" thickTop="1" thickBot="1" x14ac:dyDescent="0.65">
      <c r="A990" s="5">
        <v>988</v>
      </c>
      <c r="B990" s="46" t="str">
        <f>HYPERLINK("https://search.naver.com/search.naver?query=리틀 포레스트2 : 겨울과 봄 영화", "리틀 포레스트2 - 겨울과 봄")</f>
        <v>리틀 포레스트2 - 겨울과 봄</v>
      </c>
      <c r="C990" s="47">
        <v>8.58</v>
      </c>
      <c r="D990" s="6" t="s">
        <v>1176</v>
      </c>
      <c r="E990" s="5" t="s">
        <v>16</v>
      </c>
      <c r="F990" s="5">
        <v>2015</v>
      </c>
      <c r="G990" s="5" t="s">
        <v>12</v>
      </c>
      <c r="H990" s="5" t="s">
        <v>17</v>
      </c>
      <c r="I990" s="5" t="s">
        <v>86</v>
      </c>
      <c r="J990" s="98" t="s">
        <v>3440</v>
      </c>
    </row>
    <row r="991" spans="1:10" ht="28.9" customHeight="1" thickTop="1" thickBot="1" x14ac:dyDescent="0.65">
      <c r="A991" s="3">
        <v>989</v>
      </c>
      <c r="B991" s="44" t="str">
        <f>HYPERLINK("https://search.naver.com/search.naver?query=리프라이즐 영화", "리프라이즐")</f>
        <v>리프라이즐</v>
      </c>
      <c r="C991" s="45"/>
      <c r="D991" s="4" t="s">
        <v>1177</v>
      </c>
      <c r="E991" s="3" t="s">
        <v>20</v>
      </c>
      <c r="F991" s="3">
        <v>2018</v>
      </c>
      <c r="G991" s="3" t="s">
        <v>12</v>
      </c>
      <c r="H991" s="3" t="s">
        <v>92</v>
      </c>
      <c r="I991" s="3" t="s">
        <v>147</v>
      </c>
      <c r="J991" s="97" t="s">
        <v>3442</v>
      </c>
    </row>
    <row r="992" spans="1:10" ht="28.9" customHeight="1" thickTop="1" thickBot="1" x14ac:dyDescent="0.65">
      <c r="A992" s="5">
        <v>990</v>
      </c>
      <c r="B992" s="46" t="str">
        <f>HYPERLINK("https://search.naver.com/search.naver?query=리프트:비행기를 털어라 영화", "리프트-비행기를 털어라")</f>
        <v>리프트-비행기를 털어라</v>
      </c>
      <c r="C992" s="47">
        <v>6.16</v>
      </c>
      <c r="D992" s="6" t="s">
        <v>1178</v>
      </c>
      <c r="E992" s="5" t="s">
        <v>20</v>
      </c>
      <c r="F992" s="5">
        <v>2024</v>
      </c>
      <c r="G992" s="5" t="s">
        <v>12</v>
      </c>
      <c r="H992" s="5" t="s">
        <v>92</v>
      </c>
      <c r="I992" s="5" t="s">
        <v>170</v>
      </c>
      <c r="J992" s="98" t="s">
        <v>3448</v>
      </c>
    </row>
    <row r="993" spans="1:10" ht="28.9" customHeight="1" thickTop="1" thickBot="1" x14ac:dyDescent="0.65">
      <c r="A993" s="3">
        <v>991</v>
      </c>
      <c r="B993" s="44" t="str">
        <f>HYPERLINK("https://search.naver.com/search.naver?query=리플레이", "리플레이")</f>
        <v>리플레이</v>
      </c>
      <c r="C993" s="45">
        <v>5.5</v>
      </c>
      <c r="D993" s="4" t="s">
        <v>1179</v>
      </c>
      <c r="E993" s="3" t="s">
        <v>20</v>
      </c>
      <c r="F993" s="3">
        <v>2020</v>
      </c>
      <c r="G993" s="3" t="s">
        <v>12</v>
      </c>
      <c r="H993" s="3" t="s">
        <v>17</v>
      </c>
      <c r="I993" s="3" t="s">
        <v>81</v>
      </c>
      <c r="J993" s="97" t="s">
        <v>3436</v>
      </c>
    </row>
    <row r="994" spans="1:10" ht="28.9" customHeight="1" thickTop="1" thickBot="1" x14ac:dyDescent="0.65">
      <c r="A994" s="5">
        <v>992</v>
      </c>
      <c r="B994" s="46" t="str">
        <f>HYPERLINK("https://search.naver.com/search.naver?query=리플리 영화", "리플리")</f>
        <v>리플리</v>
      </c>
      <c r="C994" s="47">
        <v>8.77</v>
      </c>
      <c r="D994" s="6" t="s">
        <v>1180</v>
      </c>
      <c r="E994" s="5" t="s">
        <v>20</v>
      </c>
      <c r="F994" s="5">
        <v>1999</v>
      </c>
      <c r="G994" s="5" t="s">
        <v>12</v>
      </c>
      <c r="H994" s="5" t="s">
        <v>17</v>
      </c>
      <c r="I994" s="5" t="s">
        <v>305</v>
      </c>
      <c r="J994" s="98" t="s">
        <v>3456</v>
      </c>
    </row>
    <row r="995" spans="1:10" ht="28.9" customHeight="1" thickTop="1" thickBot="1" x14ac:dyDescent="0.65">
      <c r="A995" s="3">
        <v>993</v>
      </c>
      <c r="B995" s="44" t="str">
        <f>HYPERLINK("https://search.naver.com/search.naver?query=린 온 피트 영화", "린 온 피트")</f>
        <v>린 온 피트</v>
      </c>
      <c r="C995" s="45">
        <v>8.74</v>
      </c>
      <c r="D995" s="4" t="s">
        <v>1181</v>
      </c>
      <c r="E995" s="3" t="s">
        <v>24</v>
      </c>
      <c r="F995" s="3">
        <v>2017</v>
      </c>
      <c r="G995" s="3" t="s">
        <v>12</v>
      </c>
      <c r="H995" s="3" t="s">
        <v>17</v>
      </c>
      <c r="I995" s="3" t="s">
        <v>142</v>
      </c>
      <c r="J995" s="97" t="s">
        <v>3443</v>
      </c>
    </row>
    <row r="996" spans="1:10" ht="28.9" customHeight="1" thickTop="1" thickBot="1" x14ac:dyDescent="0.65">
      <c r="A996" s="5">
        <v>994</v>
      </c>
      <c r="B996" s="46" t="str">
        <f>HYPERLINK("https://search.naver.com/search.naver?query=립반윙클의 신부 영화", "립반윙클의 신부")</f>
        <v>립반윙클의 신부</v>
      </c>
      <c r="C996" s="47">
        <v>7.82</v>
      </c>
      <c r="D996" s="6" t="s">
        <v>1182</v>
      </c>
      <c r="E996" s="5" t="s">
        <v>16</v>
      </c>
      <c r="F996" s="5">
        <v>2016</v>
      </c>
      <c r="G996" s="5" t="s">
        <v>12</v>
      </c>
      <c r="H996" s="5" t="s">
        <v>17</v>
      </c>
      <c r="I996" s="5" t="s">
        <v>211</v>
      </c>
      <c r="J996" s="98" t="s">
        <v>3441</v>
      </c>
    </row>
    <row r="997" spans="1:10" ht="28.9" customHeight="1" thickTop="1" thickBot="1" x14ac:dyDescent="0.65">
      <c r="A997" s="3">
        <v>995</v>
      </c>
      <c r="B997" s="44" t="str">
        <f>HYPERLINK("https://search.naver.com/search.naver?query=링컨 차를 타는 변호사 영화", "링컨 차를 타는 변호사")</f>
        <v>링컨 차를 타는 변호사</v>
      </c>
      <c r="C997" s="45">
        <v>8.1999999999999993</v>
      </c>
      <c r="D997" s="4" t="s">
        <v>1183</v>
      </c>
      <c r="E997" s="3" t="s">
        <v>20</v>
      </c>
      <c r="F997" s="3">
        <v>2011</v>
      </c>
      <c r="G997" s="3" t="s">
        <v>12</v>
      </c>
      <c r="H997" s="3" t="s">
        <v>277</v>
      </c>
      <c r="I997" s="3" t="s">
        <v>221</v>
      </c>
      <c r="J997" s="97" t="s">
        <v>3454</v>
      </c>
    </row>
    <row r="998" spans="1:10" ht="28.9" customHeight="1" thickTop="1" thickBot="1" x14ac:dyDescent="0.65">
      <c r="A998" s="5">
        <v>996</v>
      </c>
      <c r="B998" s="46" t="str">
        <f>HYPERLINK("https://search.naver.com/search.naver?query=마녀 영화", "마녀")</f>
        <v>마녀</v>
      </c>
      <c r="C998" s="47">
        <v>8.58</v>
      </c>
      <c r="D998" s="6" t="s">
        <v>1184</v>
      </c>
      <c r="E998" s="5" t="s">
        <v>11</v>
      </c>
      <c r="F998" s="5">
        <v>2018</v>
      </c>
      <c r="G998" s="5" t="s">
        <v>12</v>
      </c>
      <c r="H998" s="5" t="s">
        <v>92</v>
      </c>
      <c r="I998" s="5" t="s">
        <v>214</v>
      </c>
      <c r="J998" s="98" t="s">
        <v>3442</v>
      </c>
    </row>
    <row r="999" spans="1:10" ht="28.9" customHeight="1" thickTop="1" thickBot="1" x14ac:dyDescent="0.65">
      <c r="A999" s="3">
        <v>997</v>
      </c>
      <c r="B999" s="44" t="str">
        <f>HYPERLINK("https://search.naver.com/search.naver?query=마녀 2 영화", "마녀 2")</f>
        <v>마녀 2</v>
      </c>
      <c r="C999" s="45">
        <v>6.58</v>
      </c>
      <c r="D999" s="4" t="s">
        <v>1185</v>
      </c>
      <c r="E999" s="3" t="s">
        <v>11</v>
      </c>
      <c r="F999" s="3">
        <v>2022</v>
      </c>
      <c r="G999" s="3" t="s">
        <v>12</v>
      </c>
      <c r="H999" s="3" t="s">
        <v>92</v>
      </c>
      <c r="I999" s="3" t="s">
        <v>186</v>
      </c>
      <c r="J999" s="97" t="s">
        <v>3445</v>
      </c>
    </row>
    <row r="1000" spans="1:10" ht="28.9" customHeight="1" thickTop="1" thickBot="1" x14ac:dyDescent="0.65">
      <c r="A1000" s="7">
        <v>998</v>
      </c>
      <c r="B1000" s="48" t="str">
        <f>HYPERLINK("https://search.naver.com/search.naver?query=마녀의 발견 시즌1", "마녀의 발견 시즌1")</f>
        <v>마녀의 발견 시즌1</v>
      </c>
      <c r="C1000" s="49"/>
      <c r="D1000" s="8" t="s">
        <v>1186</v>
      </c>
      <c r="E1000" s="7" t="s">
        <v>24</v>
      </c>
      <c r="F1000" s="7">
        <v>2018</v>
      </c>
      <c r="G1000" s="7" t="s">
        <v>17</v>
      </c>
      <c r="H1000" s="7" t="s">
        <v>17</v>
      </c>
      <c r="I1000" s="7" t="s">
        <v>55</v>
      </c>
      <c r="J1000" s="99" t="s">
        <v>3442</v>
      </c>
    </row>
    <row r="1001" spans="1:10" ht="28.9" customHeight="1" thickTop="1" thickBot="1" x14ac:dyDescent="0.65">
      <c r="A1001" s="7">
        <v>999</v>
      </c>
      <c r="B1001" s="48" t="str">
        <f>HYPERLINK("https://search.naver.com/search.naver?query=마녀의 발견 시즌2", "마녀의 발견 시즌2")</f>
        <v>마녀의 발견 시즌2</v>
      </c>
      <c r="C1001" s="49"/>
      <c r="D1001" s="8" t="s">
        <v>1186</v>
      </c>
      <c r="E1001" s="7" t="s">
        <v>24</v>
      </c>
      <c r="F1001" s="7">
        <v>2021</v>
      </c>
      <c r="G1001" s="7" t="s">
        <v>17</v>
      </c>
      <c r="H1001" s="7" t="s">
        <v>17</v>
      </c>
      <c r="I1001" s="7" t="s">
        <v>50</v>
      </c>
      <c r="J1001" s="99" t="s">
        <v>3438</v>
      </c>
    </row>
    <row r="1002" spans="1:10" ht="28.9" customHeight="1" thickTop="1" thickBot="1" x14ac:dyDescent="0.65">
      <c r="A1002" s="7">
        <v>1000</v>
      </c>
      <c r="B1002" s="48" t="str">
        <f>HYPERLINK("https://search.naver.com/search.naver?query=마녀의 발견 시즌3", "마녀의 발견 시즌3")</f>
        <v>마녀의 발견 시즌3</v>
      </c>
      <c r="C1002" s="49"/>
      <c r="D1002" s="8" t="s">
        <v>1186</v>
      </c>
      <c r="E1002" s="7" t="s">
        <v>24</v>
      </c>
      <c r="F1002" s="7">
        <v>2022</v>
      </c>
      <c r="G1002" s="7" t="s">
        <v>17</v>
      </c>
      <c r="H1002" s="7" t="s">
        <v>17</v>
      </c>
      <c r="I1002" s="7" t="s">
        <v>324</v>
      </c>
      <c r="J1002" s="99" t="s">
        <v>3445</v>
      </c>
    </row>
    <row r="1003" spans="1:10" ht="28.9" customHeight="1" thickTop="1" thickBot="1" x14ac:dyDescent="0.65">
      <c r="A1003" s="3">
        <v>1001</v>
      </c>
      <c r="B1003" s="44" t="str">
        <f>HYPERLINK("https://search.naver.com/search.naver?query=마농의 샘1 영화", "마농의 샘 1")</f>
        <v>마농의 샘 1</v>
      </c>
      <c r="C1003" s="45">
        <v>9.42</v>
      </c>
      <c r="D1003" s="4" t="s">
        <v>1187</v>
      </c>
      <c r="E1003" s="3" t="s">
        <v>210</v>
      </c>
      <c r="F1003" s="3">
        <v>1986</v>
      </c>
      <c r="G1003" s="3" t="s">
        <v>12</v>
      </c>
      <c r="H1003" s="3" t="s">
        <v>17</v>
      </c>
      <c r="I1003" s="3" t="s">
        <v>86</v>
      </c>
      <c r="J1003" s="97" t="s">
        <v>3468</v>
      </c>
    </row>
    <row r="1004" spans="1:10" ht="28.9" customHeight="1" thickTop="1" thickBot="1" x14ac:dyDescent="0.65">
      <c r="A1004" s="5">
        <v>1002</v>
      </c>
      <c r="B1004" s="46" t="str">
        <f>HYPERLINK("https://search.naver.com/search.naver?query=마농의 샘 2 영화", "마농의 샘 2")</f>
        <v>마농의 샘 2</v>
      </c>
      <c r="C1004" s="47">
        <v>9.34</v>
      </c>
      <c r="D1004" s="6" t="s">
        <v>1188</v>
      </c>
      <c r="E1004" s="5" t="s">
        <v>210</v>
      </c>
      <c r="F1004" s="5">
        <v>1986</v>
      </c>
      <c r="G1004" s="5" t="s">
        <v>12</v>
      </c>
      <c r="H1004" s="5" t="s">
        <v>17</v>
      </c>
      <c r="I1004" s="5" t="s">
        <v>73</v>
      </c>
      <c r="J1004" s="98" t="s">
        <v>3468</v>
      </c>
    </row>
    <row r="1005" spans="1:10" ht="28.9" customHeight="1" thickTop="1" thickBot="1" x14ac:dyDescent="0.65">
      <c r="A1005" s="7">
        <v>1003</v>
      </c>
      <c r="B1005" s="48" t="str">
        <f>HYPERLINK("https://search.naver.com/search.naver?query=마담 세크리터리 시즌1", "마담 세크리터리 시즌1")</f>
        <v>마담 세크리터리 시즌1</v>
      </c>
      <c r="C1005" s="49"/>
      <c r="D1005" s="8" t="s">
        <v>1189</v>
      </c>
      <c r="E1005" s="7" t="s">
        <v>20</v>
      </c>
      <c r="F1005" s="7">
        <v>2015</v>
      </c>
      <c r="G1005" s="7" t="s">
        <v>17</v>
      </c>
      <c r="H1005" s="7" t="s">
        <v>1190</v>
      </c>
      <c r="I1005" s="7" t="s">
        <v>356</v>
      </c>
      <c r="J1005" s="99" t="s">
        <v>3440</v>
      </c>
    </row>
    <row r="1006" spans="1:10" ht="28.9" customHeight="1" thickTop="1" thickBot="1" x14ac:dyDescent="0.65">
      <c r="A1006" s="7">
        <v>1004</v>
      </c>
      <c r="B1006" s="48" t="str">
        <f>HYPERLINK("https://search.naver.com/search.naver?query=마담 세크리터리 시즌2", "마담 세크리터리 시즌2")</f>
        <v>마담 세크리터리 시즌2</v>
      </c>
      <c r="C1006" s="49"/>
      <c r="D1006" s="8" t="s">
        <v>1189</v>
      </c>
      <c r="E1006" s="7" t="s">
        <v>20</v>
      </c>
      <c r="F1006" s="7">
        <v>2016</v>
      </c>
      <c r="G1006" s="7" t="s">
        <v>17</v>
      </c>
      <c r="H1006" s="7" t="s">
        <v>1190</v>
      </c>
      <c r="I1006" s="7" t="s">
        <v>761</v>
      </c>
      <c r="J1006" s="99" t="s">
        <v>3441</v>
      </c>
    </row>
    <row r="1007" spans="1:10" ht="28.9" customHeight="1" thickTop="1" thickBot="1" x14ac:dyDescent="0.65">
      <c r="A1007" s="7">
        <v>1005</v>
      </c>
      <c r="B1007" s="48" t="str">
        <f>HYPERLINK("https://search.naver.com/search.naver?query=마담 세크리터리 시즌36", "마담 세크리터리 시즌3")</f>
        <v>마담 세크리터리 시즌3</v>
      </c>
      <c r="C1007" s="49"/>
      <c r="D1007" s="8" t="s">
        <v>1189</v>
      </c>
      <c r="E1007" s="7" t="s">
        <v>20</v>
      </c>
      <c r="F1007" s="7">
        <v>2017</v>
      </c>
      <c r="G1007" s="7" t="s">
        <v>17</v>
      </c>
      <c r="H1007" s="7" t="s">
        <v>1190</v>
      </c>
      <c r="I1007" s="7" t="s">
        <v>50</v>
      </c>
      <c r="J1007" s="99" t="s">
        <v>3443</v>
      </c>
    </row>
    <row r="1008" spans="1:10" ht="28.9" customHeight="1" thickTop="1" thickBot="1" x14ac:dyDescent="0.65">
      <c r="A1008" s="7">
        <v>1006</v>
      </c>
      <c r="B1008" s="48" t="str">
        <f>HYPERLINK("https://search.naver.com/search.naver?query=마담 시크리터리 시즌4", "마담 시크리터리 시즌4")</f>
        <v>마담 시크리터리 시즌4</v>
      </c>
      <c r="C1008" s="49"/>
      <c r="D1008" s="8" t="s">
        <v>1189</v>
      </c>
      <c r="E1008" s="7" t="s">
        <v>20</v>
      </c>
      <c r="F1008" s="7">
        <v>2018</v>
      </c>
      <c r="G1008" s="7" t="s">
        <v>17</v>
      </c>
      <c r="H1008" s="7" t="s">
        <v>1190</v>
      </c>
      <c r="I1008" s="7" t="s">
        <v>356</v>
      </c>
      <c r="J1008" s="99" t="s">
        <v>3442</v>
      </c>
    </row>
    <row r="1009" spans="1:10" ht="28.9" customHeight="1" thickTop="1" thickBot="1" x14ac:dyDescent="0.65">
      <c r="A1009" s="7">
        <v>1007</v>
      </c>
      <c r="B1009" s="48" t="str">
        <f>HYPERLINK("https://search.naver.com/search.naver?query=마담 시크리터리 시즌5", "마담 시크리터리 시즌5")</f>
        <v>마담 시크리터리 시즌5</v>
      </c>
      <c r="C1009" s="49"/>
      <c r="D1009" s="8" t="s">
        <v>1189</v>
      </c>
      <c r="E1009" s="7" t="s">
        <v>20</v>
      </c>
      <c r="F1009" s="7">
        <v>2019</v>
      </c>
      <c r="G1009" s="7" t="s">
        <v>17</v>
      </c>
      <c r="H1009" s="7" t="s">
        <v>1190</v>
      </c>
      <c r="I1009" s="7" t="s">
        <v>355</v>
      </c>
      <c r="J1009" s="99" t="s">
        <v>3444</v>
      </c>
    </row>
    <row r="1010" spans="1:10" ht="28.9" customHeight="1" thickTop="1" thickBot="1" x14ac:dyDescent="0.65">
      <c r="A1010" s="7">
        <v>1008</v>
      </c>
      <c r="B1010" s="48" t="str">
        <f>HYPERLINK("https://search.naver.com/search.naver?query=마담 시크리터리 시즌6", "마담 시크리터리 시즌6")</f>
        <v>마담 시크리터리 시즌6</v>
      </c>
      <c r="C1010" s="49"/>
      <c r="D1010" s="8" t="s">
        <v>1189</v>
      </c>
      <c r="E1010" s="7" t="s">
        <v>20</v>
      </c>
      <c r="F1010" s="7">
        <v>2019</v>
      </c>
      <c r="G1010" s="7" t="s">
        <v>17</v>
      </c>
      <c r="H1010" s="7" t="s">
        <v>1190</v>
      </c>
      <c r="I1010" s="7" t="s">
        <v>355</v>
      </c>
      <c r="J1010" s="99" t="s">
        <v>3444</v>
      </c>
    </row>
    <row r="1011" spans="1:10" ht="28.9" customHeight="1" thickTop="1" thickBot="1" x14ac:dyDescent="0.65">
      <c r="A1011" s="3">
        <v>1009</v>
      </c>
      <c r="B1011" s="44" t="str">
        <f>HYPERLINK("https://search.naver.com/search.naver?query=마담 싸이코 영화", "마담 싸이코")</f>
        <v>마담 싸이코</v>
      </c>
      <c r="C1011" s="45">
        <v>8.9700000000000006</v>
      </c>
      <c r="D1011" s="4" t="s">
        <v>1191</v>
      </c>
      <c r="E1011" s="3" t="s">
        <v>20</v>
      </c>
      <c r="F1011" s="3">
        <v>2018</v>
      </c>
      <c r="G1011" s="3" t="s">
        <v>12</v>
      </c>
      <c r="H1011" s="3" t="s">
        <v>43</v>
      </c>
      <c r="I1011" s="3" t="s">
        <v>14</v>
      </c>
      <c r="J1011" s="97" t="s">
        <v>3442</v>
      </c>
    </row>
    <row r="1012" spans="1:10" ht="28.9" customHeight="1" thickTop="1" thickBot="1" x14ac:dyDescent="0.65">
      <c r="A1012" s="5">
        <v>1010</v>
      </c>
      <c r="B1012" s="46" t="str">
        <f>HYPERLINK("https://search.naver.com/search.naver?query=마더 영화", "마더")</f>
        <v>마더</v>
      </c>
      <c r="C1012" s="47">
        <v>9.42</v>
      </c>
      <c r="D1012" s="6" t="s">
        <v>1192</v>
      </c>
      <c r="E1012" s="5" t="s">
        <v>11</v>
      </c>
      <c r="F1012" s="5">
        <v>2009</v>
      </c>
      <c r="G1012" s="5" t="s">
        <v>12</v>
      </c>
      <c r="H1012" s="5" t="s">
        <v>17</v>
      </c>
      <c r="I1012" s="5" t="s">
        <v>108</v>
      </c>
      <c r="J1012" s="98" t="s">
        <v>3453</v>
      </c>
    </row>
    <row r="1013" spans="1:10" ht="28.9" customHeight="1" thickTop="1" thickBot="1" x14ac:dyDescent="0.65">
      <c r="A1013" s="3">
        <v>1011</v>
      </c>
      <c r="B1013" s="44" t="str">
        <f>HYPERLINK("https://namu.wiki/w/%EB%A7%88%EB%8D%94(%EC%9D%BC%EB%B3%B8%20%EC%98%81%ED%99%94)", "마더")</f>
        <v>마더</v>
      </c>
      <c r="C1013" s="45">
        <v>9.42</v>
      </c>
      <c r="D1013" s="4" t="s">
        <v>1193</v>
      </c>
      <c r="E1013" s="3" t="s">
        <v>16</v>
      </c>
      <c r="F1013" s="3">
        <v>2020</v>
      </c>
      <c r="G1013" s="3" t="s">
        <v>12</v>
      </c>
      <c r="H1013" s="3" t="s">
        <v>1194</v>
      </c>
      <c r="I1013" s="3" t="s">
        <v>111</v>
      </c>
      <c r="J1013" s="97" t="s">
        <v>3436</v>
      </c>
    </row>
    <row r="1014" spans="1:10" ht="28.9" customHeight="1" thickTop="1" thickBot="1" x14ac:dyDescent="0.65">
      <c r="A1014" s="5">
        <v>1012</v>
      </c>
      <c r="B1014" s="46" t="str">
        <f>HYPERLINK("https://search.naver.com/search.naver?query=마더 2017", "마더")</f>
        <v>마더</v>
      </c>
      <c r="C1014" s="47">
        <v>9.42</v>
      </c>
      <c r="D1014" s="6" t="s">
        <v>1195</v>
      </c>
      <c r="E1014" s="5" t="s">
        <v>20</v>
      </c>
      <c r="F1014" s="5">
        <v>2017</v>
      </c>
      <c r="G1014" s="5" t="s">
        <v>12</v>
      </c>
      <c r="H1014" s="5" t="s">
        <v>43</v>
      </c>
      <c r="I1014" s="5" t="s">
        <v>142</v>
      </c>
      <c r="J1014" s="98" t="s">
        <v>3443</v>
      </c>
    </row>
    <row r="1015" spans="1:10" ht="28.9" customHeight="1" thickTop="1" thickBot="1" x14ac:dyDescent="0.65">
      <c r="A1015" s="3">
        <v>1013</v>
      </c>
      <c r="B1015" s="44" t="str">
        <f>HYPERLINK("https://search.naver.com/search.naver?query=마더 앤 머더 영화", "마더 앤 머더")</f>
        <v>마더 앤 머더</v>
      </c>
      <c r="C1015" s="45">
        <v>3.32</v>
      </c>
      <c r="D1015" s="4" t="s">
        <v>1196</v>
      </c>
      <c r="E1015" s="3" t="s">
        <v>189</v>
      </c>
      <c r="F1015" s="3">
        <v>2021</v>
      </c>
      <c r="G1015" s="3" t="s">
        <v>12</v>
      </c>
      <c r="H1015" s="3" t="s">
        <v>43</v>
      </c>
      <c r="I1015" s="3" t="s">
        <v>119</v>
      </c>
      <c r="J1015" s="97" t="s">
        <v>3438</v>
      </c>
    </row>
    <row r="1016" spans="1:10" ht="28.9" customHeight="1" thickTop="1" thickBot="1" x14ac:dyDescent="0.65">
      <c r="A1016" s="5">
        <v>1014</v>
      </c>
      <c r="B1016" s="46" t="str">
        <f>HYPERLINK("https://search.naver.com/search.naver?query=마더 앤 차일드 영화", "마더 앤 차일드")</f>
        <v>마더 앤 차일드</v>
      </c>
      <c r="C1016" s="47">
        <v>8.3699999999999992</v>
      </c>
      <c r="D1016" s="6" t="s">
        <v>1197</v>
      </c>
      <c r="E1016" s="5" t="s">
        <v>20</v>
      </c>
      <c r="F1016" s="5">
        <v>2009</v>
      </c>
      <c r="G1016" s="5" t="s">
        <v>12</v>
      </c>
      <c r="H1016" s="5" t="s">
        <v>17</v>
      </c>
      <c r="I1016" s="5" t="s">
        <v>214</v>
      </c>
      <c r="J1016" s="98" t="s">
        <v>3453</v>
      </c>
    </row>
    <row r="1017" spans="1:10" ht="28.9" customHeight="1" thickTop="1" thickBot="1" x14ac:dyDescent="0.65">
      <c r="A1017" s="3">
        <v>1015</v>
      </c>
      <c r="B1017" s="44" t="str">
        <f>HYPERLINK("https://search.naver.com/search.naver?query=마리 퀴리 영화", "마리 퀴리")</f>
        <v>마리 퀴리</v>
      </c>
      <c r="C1017" s="45">
        <v>8.5</v>
      </c>
      <c r="D1017" s="4" t="s">
        <v>1198</v>
      </c>
      <c r="E1017" s="3" t="s">
        <v>1199</v>
      </c>
      <c r="F1017" s="3">
        <v>2020</v>
      </c>
      <c r="G1017" s="3" t="s">
        <v>12</v>
      </c>
      <c r="H1017" s="3" t="s">
        <v>17</v>
      </c>
      <c r="I1017" s="3" t="s">
        <v>131</v>
      </c>
      <c r="J1017" s="97" t="s">
        <v>3436</v>
      </c>
    </row>
    <row r="1018" spans="1:10" ht="28.9" customHeight="1" thickTop="1" thickBot="1" x14ac:dyDescent="0.65">
      <c r="A1018" s="5">
        <v>1016</v>
      </c>
      <c r="B1018" s="46" t="str">
        <f>HYPERLINK("https://search.naver.com/search.naver?query=마린 영화", "마린")</f>
        <v>마린</v>
      </c>
      <c r="C1018" s="47">
        <v>8.17</v>
      </c>
      <c r="D1018" s="6" t="s">
        <v>1200</v>
      </c>
      <c r="E1018" s="5" t="s">
        <v>210</v>
      </c>
      <c r="F1018" s="5">
        <v>2012</v>
      </c>
      <c r="G1018" s="5" t="s">
        <v>12</v>
      </c>
      <c r="H1018" s="5" t="s">
        <v>17</v>
      </c>
      <c r="I1018" s="5" t="s">
        <v>131</v>
      </c>
      <c r="J1018" s="98" t="s">
        <v>3439</v>
      </c>
    </row>
    <row r="1019" spans="1:10" ht="28.9" customHeight="1" thickTop="1" thickBot="1" x14ac:dyDescent="0.65">
      <c r="A1019" s="3">
        <v>1017</v>
      </c>
      <c r="B1019" s="44" t="str">
        <f>HYPERLINK("https://search.naver.com/search.naver?query=마릴린 먼로와 함께한 일주일 영화", "마릴린 먼로와 함께한 일주일")</f>
        <v>마릴린 먼로와 함께한 일주일</v>
      </c>
      <c r="C1019" s="45">
        <v>7.87</v>
      </c>
      <c r="D1019" s="4" t="s">
        <v>1201</v>
      </c>
      <c r="E1019" s="3" t="s">
        <v>24</v>
      </c>
      <c r="F1019" s="3">
        <v>2011</v>
      </c>
      <c r="G1019" s="3" t="s">
        <v>12</v>
      </c>
      <c r="H1019" s="3" t="s">
        <v>17</v>
      </c>
      <c r="I1019" s="3" t="s">
        <v>81</v>
      </c>
      <c r="J1019" s="97" t="s">
        <v>3454</v>
      </c>
    </row>
    <row r="1020" spans="1:10" ht="28.9" customHeight="1" thickTop="1" thickBot="1" x14ac:dyDescent="0.65">
      <c r="A1020" s="5">
        <v>1018</v>
      </c>
      <c r="B1020" s="46" t="str">
        <f>HYPERLINK("https://search.naver.com/search.naver?query=마미웨이 영화", "마미웨이")</f>
        <v>마미웨이</v>
      </c>
      <c r="C1020" s="47">
        <v>7.22</v>
      </c>
      <c r="D1020" s="6"/>
      <c r="E1020" s="5" t="s">
        <v>11</v>
      </c>
      <c r="F1020" s="5">
        <v>2011</v>
      </c>
      <c r="G1020" s="5" t="s">
        <v>12</v>
      </c>
      <c r="H1020" s="5" t="s">
        <v>17</v>
      </c>
      <c r="I1020" s="5" t="s">
        <v>186</v>
      </c>
      <c r="J1020" s="98" t="s">
        <v>3454</v>
      </c>
    </row>
    <row r="1021" spans="1:10" ht="28.9" customHeight="1" thickTop="1" thickBot="1" x14ac:dyDescent="0.65">
      <c r="A1021" s="3">
        <v>1019</v>
      </c>
      <c r="B1021" s="44" t="str">
        <f>HYPERLINK("https://search.naver.com/search.naver?query=마션 영화", "마션")</f>
        <v>마션</v>
      </c>
      <c r="C1021" s="45">
        <v>8.7200000000000006</v>
      </c>
      <c r="D1021" s="4" t="s">
        <v>1202</v>
      </c>
      <c r="E1021" s="3" t="s">
        <v>20</v>
      </c>
      <c r="F1021" s="3">
        <v>2015</v>
      </c>
      <c r="G1021" s="3" t="s">
        <v>12</v>
      </c>
      <c r="H1021" s="3" t="s">
        <v>520</v>
      </c>
      <c r="I1021" s="3" t="s">
        <v>455</v>
      </c>
      <c r="J1021" s="97" t="s">
        <v>3440</v>
      </c>
    </row>
    <row r="1022" spans="1:10" ht="28.9" customHeight="1" thickTop="1" thickBot="1" x14ac:dyDescent="0.65">
      <c r="A1022" s="7">
        <v>1020</v>
      </c>
      <c r="B1022" s="48" t="str">
        <f>HYPERLINK("https://search.naver.com/search.naver?query=마스크걸", "마스크걸")</f>
        <v>마스크걸</v>
      </c>
      <c r="C1022" s="49"/>
      <c r="D1022" s="8" t="s">
        <v>1203</v>
      </c>
      <c r="E1022" s="7" t="s">
        <v>11</v>
      </c>
      <c r="F1022" s="7">
        <v>2023</v>
      </c>
      <c r="G1022" s="7" t="s">
        <v>17</v>
      </c>
      <c r="H1022" s="7" t="s">
        <v>13</v>
      </c>
      <c r="I1022" s="7" t="s">
        <v>324</v>
      </c>
      <c r="J1022" s="99" t="s">
        <v>3446</v>
      </c>
    </row>
    <row r="1023" spans="1:10" ht="28.9" customHeight="1" thickTop="1" thickBot="1" x14ac:dyDescent="0.65">
      <c r="A1023" s="3">
        <v>1021</v>
      </c>
      <c r="B1023" s="44" t="str">
        <f>HYPERLINK("https://search.naver.com/search.naver?query=마스터 영화", "마스터")</f>
        <v>마스터</v>
      </c>
      <c r="C1023" s="45">
        <v>8.66</v>
      </c>
      <c r="D1023" s="4" t="s">
        <v>1204</v>
      </c>
      <c r="E1023" s="3" t="s">
        <v>11</v>
      </c>
      <c r="F1023" s="3">
        <v>2016</v>
      </c>
      <c r="G1023" s="3" t="s">
        <v>12</v>
      </c>
      <c r="H1023" s="3" t="s">
        <v>277</v>
      </c>
      <c r="I1023" s="3" t="s">
        <v>25</v>
      </c>
      <c r="J1023" s="97" t="s">
        <v>3441</v>
      </c>
    </row>
    <row r="1024" spans="1:10" ht="28.9" customHeight="1" thickTop="1" thickBot="1" x14ac:dyDescent="0.65">
      <c r="A1024" s="5">
        <v>1022</v>
      </c>
      <c r="B1024" s="46" t="str">
        <f>HYPERLINK("https://search.naver.com/search.naver?query=마스터 영화", "마스터")</f>
        <v>마스터</v>
      </c>
      <c r="C1024" s="47">
        <v>8.66</v>
      </c>
      <c r="D1024" s="6" t="s">
        <v>1205</v>
      </c>
      <c r="E1024" s="5" t="s">
        <v>20</v>
      </c>
      <c r="F1024" s="5">
        <v>2012</v>
      </c>
      <c r="G1024" s="5" t="s">
        <v>12</v>
      </c>
      <c r="H1024" s="5" t="s">
        <v>17</v>
      </c>
      <c r="I1024" s="5" t="s">
        <v>186</v>
      </c>
      <c r="J1024" s="98" t="s">
        <v>3439</v>
      </c>
    </row>
    <row r="1025" spans="1:10" ht="28.9" customHeight="1" thickTop="1" thickBot="1" x14ac:dyDescent="0.65">
      <c r="A1025" s="3">
        <v>1023</v>
      </c>
      <c r="B1025" s="44" t="str">
        <f>HYPERLINK("https://search.naver.com/search.naver?query=마스터 앤드 커맨더 영화", "마스터 앤드 커맨더")</f>
        <v>마스터 앤드 커맨더</v>
      </c>
      <c r="C1025" s="45"/>
      <c r="D1025" s="4" t="s">
        <v>1206</v>
      </c>
      <c r="E1025" s="3" t="s">
        <v>20</v>
      </c>
      <c r="F1025" s="3">
        <v>2003</v>
      </c>
      <c r="G1025" s="3" t="s">
        <v>12</v>
      </c>
      <c r="H1025" s="3" t="s">
        <v>92</v>
      </c>
      <c r="I1025" s="3" t="s">
        <v>619</v>
      </c>
      <c r="J1025" s="97" t="s">
        <v>3449</v>
      </c>
    </row>
    <row r="1026" spans="1:10" ht="28.9" customHeight="1" thickTop="1" thickBot="1" x14ac:dyDescent="0.65">
      <c r="A1026" s="7">
        <v>1024</v>
      </c>
      <c r="B1026" s="48" t="str">
        <f>HYPERLINK("https://search.naver.com/search.naver?query=마스터스 오브 디 에어", "마스터스 오브 디 에어")</f>
        <v>마스터스 오브 디 에어</v>
      </c>
      <c r="C1026" s="49"/>
      <c r="D1026" s="8" t="s">
        <v>1207</v>
      </c>
      <c r="E1026" s="7" t="s">
        <v>20</v>
      </c>
      <c r="F1026" s="7">
        <v>2024</v>
      </c>
      <c r="G1026" s="7" t="s">
        <v>17</v>
      </c>
      <c r="H1026" s="7" t="s">
        <v>52</v>
      </c>
      <c r="I1026" s="7" t="s">
        <v>242</v>
      </c>
      <c r="J1026" s="99" t="s">
        <v>3448</v>
      </c>
    </row>
    <row r="1027" spans="1:10" ht="28.9" customHeight="1" thickTop="1" thickBot="1" x14ac:dyDescent="0.65">
      <c r="A1027" s="3">
        <v>1025</v>
      </c>
      <c r="B1027" s="44" t="str">
        <f>HYPERLINK("https://search.naver.com/search.naver?query=마약왕 영화", "마약왕")</f>
        <v>마약왕</v>
      </c>
      <c r="C1027" s="45">
        <v>7.16</v>
      </c>
      <c r="D1027" s="4" t="s">
        <v>1208</v>
      </c>
      <c r="E1027" s="3" t="s">
        <v>11</v>
      </c>
      <c r="F1027" s="3">
        <v>2018</v>
      </c>
      <c r="G1027" s="3" t="s">
        <v>12</v>
      </c>
      <c r="H1027" s="3" t="s">
        <v>277</v>
      </c>
      <c r="I1027" s="3" t="s">
        <v>305</v>
      </c>
      <c r="J1027" s="97" t="s">
        <v>3442</v>
      </c>
    </row>
    <row r="1028" spans="1:10" ht="28.9" customHeight="1" thickTop="1" thickBot="1" x14ac:dyDescent="0.65">
      <c r="A1028" s="5">
        <v>1026</v>
      </c>
      <c r="B1028" s="46" t="str">
        <f>HYPERLINK("https://search.naver.com/search.naver?query=마에스트로 영화", "마에스트로")</f>
        <v>마에스트로</v>
      </c>
      <c r="C1028" s="47">
        <v>6.96</v>
      </c>
      <c r="D1028" s="6" t="s">
        <v>1209</v>
      </c>
      <c r="E1028" s="5" t="s">
        <v>210</v>
      </c>
      <c r="F1028" s="5">
        <v>2015</v>
      </c>
      <c r="G1028" s="5" t="s">
        <v>12</v>
      </c>
      <c r="H1028" s="5" t="s">
        <v>17</v>
      </c>
      <c r="I1028" s="5" t="s">
        <v>111</v>
      </c>
      <c r="J1028" s="98" t="s">
        <v>3440</v>
      </c>
    </row>
    <row r="1029" spans="1:10" ht="28.9" customHeight="1" thickTop="1" thickBot="1" x14ac:dyDescent="0.65">
      <c r="A1029" s="3">
        <v>1027</v>
      </c>
      <c r="B1029" s="44" t="str">
        <f>HYPERLINK("https://search.naver.com/search.naver?query=마음에 부는 바람 영화", "마음에 부는 바람")</f>
        <v>마음에 부는 바람</v>
      </c>
      <c r="C1029" s="45">
        <v>9.32</v>
      </c>
      <c r="D1029" s="4" t="s">
        <v>1210</v>
      </c>
      <c r="E1029" s="3" t="s">
        <v>16</v>
      </c>
      <c r="F1029" s="3">
        <v>2020</v>
      </c>
      <c r="G1029" s="3" t="s">
        <v>12</v>
      </c>
      <c r="H1029" s="3" t="s">
        <v>17</v>
      </c>
      <c r="I1029" s="3" t="s">
        <v>131</v>
      </c>
      <c r="J1029" s="97" t="s">
        <v>3436</v>
      </c>
    </row>
    <row r="1030" spans="1:10" ht="28.9" customHeight="1" thickTop="1" thickBot="1" x14ac:dyDescent="0.65">
      <c r="A1030" s="5">
        <v>1028</v>
      </c>
      <c r="B1030" s="46" t="str">
        <f>HYPERLINK("https://search.naver.com/search.naver?query=마음이 외치고 싶어해 영화", "마음이 외치고 싶어해")</f>
        <v>마음이 외치고 싶어해</v>
      </c>
      <c r="C1030" s="47">
        <v>7.28</v>
      </c>
      <c r="D1030" s="6" t="s">
        <v>1211</v>
      </c>
      <c r="E1030" s="5" t="s">
        <v>16</v>
      </c>
      <c r="F1030" s="5">
        <v>2017</v>
      </c>
      <c r="G1030" s="5" t="s">
        <v>12</v>
      </c>
      <c r="H1030" s="5" t="s">
        <v>17</v>
      </c>
      <c r="I1030" s="5" t="s">
        <v>53</v>
      </c>
      <c r="J1030" s="98" t="s">
        <v>3443</v>
      </c>
    </row>
    <row r="1031" spans="1:10" ht="28.9" customHeight="1" thickTop="1" thickBot="1" x14ac:dyDescent="0.65">
      <c r="A1031" s="3">
        <v>1029</v>
      </c>
      <c r="B1031" s="44" t="str">
        <f>HYPERLINK("https://search.naver.com/search.naver?query=마이 뉴욕 다이어리 영화", "마이 뉴욕 다이어리")</f>
        <v>마이 뉴욕 다이어리</v>
      </c>
      <c r="C1031" s="45">
        <v>7.18</v>
      </c>
      <c r="D1031" s="4" t="s">
        <v>1212</v>
      </c>
      <c r="E1031" s="3" t="s">
        <v>189</v>
      </c>
      <c r="F1031" s="3">
        <v>2020</v>
      </c>
      <c r="G1031" s="3" t="s">
        <v>12</v>
      </c>
      <c r="H1031" s="3" t="s">
        <v>17</v>
      </c>
      <c r="I1031" s="3" t="s">
        <v>70</v>
      </c>
      <c r="J1031" s="97" t="s">
        <v>3436</v>
      </c>
    </row>
    <row r="1032" spans="1:10" ht="28.9" customHeight="1" thickTop="1" thickBot="1" x14ac:dyDescent="0.65">
      <c r="A1032" s="5">
        <v>1030</v>
      </c>
      <c r="B1032" s="46" t="str">
        <f>HYPERLINK("https://search.naver.com/search.naver?query=마이 리틀 히어로 영화", "마이 리틀 히어로")</f>
        <v>마이 리틀 히어로</v>
      </c>
      <c r="C1032" s="47">
        <v>8.44</v>
      </c>
      <c r="D1032" s="6" t="s">
        <v>1213</v>
      </c>
      <c r="E1032" s="5" t="s">
        <v>11</v>
      </c>
      <c r="F1032" s="5">
        <v>2012</v>
      </c>
      <c r="G1032" s="5" t="s">
        <v>12</v>
      </c>
      <c r="H1032" s="5" t="s">
        <v>17</v>
      </c>
      <c r="I1032" s="5" t="s">
        <v>41</v>
      </c>
      <c r="J1032" s="98" t="s">
        <v>3439</v>
      </c>
    </row>
    <row r="1033" spans="1:10" ht="28.9" customHeight="1" thickTop="1" thickBot="1" x14ac:dyDescent="0.65">
      <c r="A1033" s="3">
        <v>1031</v>
      </c>
      <c r="B1033" s="44" t="str">
        <f>HYPERLINK("https://search.naver.com/search.naver?query=마이 블루베리 나이츠 영화", "마이 블루베리 나이츠")</f>
        <v>마이 블루베리 나이츠</v>
      </c>
      <c r="C1033" s="45">
        <v>7.73</v>
      </c>
      <c r="D1033" s="4" t="s">
        <v>1214</v>
      </c>
      <c r="E1033" s="3" t="s">
        <v>91</v>
      </c>
      <c r="F1033" s="3">
        <v>2007</v>
      </c>
      <c r="G1033" s="3" t="s">
        <v>12</v>
      </c>
      <c r="H1033" s="3" t="s">
        <v>17</v>
      </c>
      <c r="I1033" s="3" t="s">
        <v>115</v>
      </c>
      <c r="J1033" s="97" t="s">
        <v>3447</v>
      </c>
    </row>
    <row r="1034" spans="1:10" ht="28.9" customHeight="1" thickTop="1" thickBot="1" x14ac:dyDescent="0.65">
      <c r="A1034" s="5">
        <v>1032</v>
      </c>
      <c r="B1034" s="46" t="str">
        <f>HYPERLINK("https://search.naver.com/search.naver?query=마이 선 영화", "마이 선")</f>
        <v>마이 선</v>
      </c>
      <c r="C1034" s="47">
        <v>5.64</v>
      </c>
      <c r="D1034" s="6" t="s">
        <v>1215</v>
      </c>
      <c r="E1034" s="5" t="s">
        <v>24</v>
      </c>
      <c r="F1034" s="5">
        <v>2021</v>
      </c>
      <c r="G1034" s="5" t="s">
        <v>12</v>
      </c>
      <c r="H1034" s="5" t="s">
        <v>43</v>
      </c>
      <c r="I1034" s="5" t="s">
        <v>111</v>
      </c>
      <c r="J1034" s="98" t="s">
        <v>3438</v>
      </c>
    </row>
    <row r="1035" spans="1:10" ht="28.9" customHeight="1" thickTop="1" thickBot="1" x14ac:dyDescent="0.65">
      <c r="A1035" s="3">
        <v>1033</v>
      </c>
      <c r="B1035" s="44" t="str">
        <f>HYPERLINK("https://search.naver.com/search.naver?query=마이 스파이 영화", "마이 스파이")</f>
        <v>마이 스파이</v>
      </c>
      <c r="C1035" s="45">
        <v>7.84</v>
      </c>
      <c r="D1035" s="4" t="s">
        <v>1216</v>
      </c>
      <c r="E1035" s="3" t="s">
        <v>20</v>
      </c>
      <c r="F1035" s="3">
        <v>2020</v>
      </c>
      <c r="G1035" s="3" t="s">
        <v>12</v>
      </c>
      <c r="H1035" s="3" t="s">
        <v>92</v>
      </c>
      <c r="I1035" s="3" t="s">
        <v>81</v>
      </c>
      <c r="J1035" s="97" t="s">
        <v>3436</v>
      </c>
    </row>
    <row r="1036" spans="1:10" ht="28.9" customHeight="1" thickTop="1" thickBot="1" x14ac:dyDescent="0.65">
      <c r="A1036" s="5">
        <v>1034</v>
      </c>
      <c r="B1036" s="46" t="str">
        <f>HYPERLINK("https://search.naver.com/search.naver?query=마이 시스터즈 키퍼 영화", "마이 시스터즈 키퍼")</f>
        <v>마이 시스터즈 키퍼</v>
      </c>
      <c r="C1036" s="47">
        <v>9</v>
      </c>
      <c r="D1036" s="6" t="s">
        <v>1217</v>
      </c>
      <c r="E1036" s="5" t="s">
        <v>20</v>
      </c>
      <c r="F1036" s="5">
        <v>2009</v>
      </c>
      <c r="G1036" s="5" t="s">
        <v>12</v>
      </c>
      <c r="H1036" s="5" t="s">
        <v>17</v>
      </c>
      <c r="I1036" s="5" t="s">
        <v>137</v>
      </c>
      <c r="J1036" s="98" t="s">
        <v>3453</v>
      </c>
    </row>
    <row r="1037" spans="1:10" ht="28.9" customHeight="1" thickTop="1" thickBot="1" x14ac:dyDescent="0.65">
      <c r="A1037" s="3">
        <v>1035</v>
      </c>
      <c r="B1037" s="44" t="str">
        <f>HYPERLINK("https://search.naver.com/search.naver?query=마이 파더 영화", "마이 파더")</f>
        <v>마이 파더</v>
      </c>
      <c r="C1037" s="45">
        <v>8.24</v>
      </c>
      <c r="D1037" s="4" t="s">
        <v>1218</v>
      </c>
      <c r="E1037" s="3" t="s">
        <v>11</v>
      </c>
      <c r="F1037" s="3">
        <v>2007</v>
      </c>
      <c r="G1037" s="3" t="s">
        <v>12</v>
      </c>
      <c r="H1037" s="3" t="s">
        <v>17</v>
      </c>
      <c r="I1037" s="3" t="s">
        <v>286</v>
      </c>
      <c r="J1037" s="97" t="s">
        <v>3447</v>
      </c>
    </row>
    <row r="1038" spans="1:10" ht="28.9" customHeight="1" thickTop="1" thickBot="1" x14ac:dyDescent="0.65">
      <c r="A1038" s="5">
        <v>1036</v>
      </c>
      <c r="B1038" s="46" t="str">
        <f>HYPERLINK("https://search.naver.com/search.naver?query=마이너리티 리포트 영화", "마이너리티 리포트")</f>
        <v>마이너리티 리포트</v>
      </c>
      <c r="C1038" s="47">
        <v>9.23</v>
      </c>
      <c r="D1038" s="6" t="s">
        <v>1219</v>
      </c>
      <c r="E1038" s="5" t="s">
        <v>20</v>
      </c>
      <c r="F1038" s="5">
        <v>2002</v>
      </c>
      <c r="G1038" s="5" t="s">
        <v>12</v>
      </c>
      <c r="H1038" s="5" t="s">
        <v>520</v>
      </c>
      <c r="I1038" s="5" t="s">
        <v>175</v>
      </c>
      <c r="J1038" s="98" t="s">
        <v>3466</v>
      </c>
    </row>
    <row r="1039" spans="1:10" ht="28.9" customHeight="1" thickTop="1" thickBot="1" x14ac:dyDescent="0.65">
      <c r="A1039" s="7">
        <v>1037</v>
      </c>
      <c r="B1039" s="48" t="str">
        <f>HYPERLINK("https://search.naver.com/search.naver?query=마이네임", "마이네임")</f>
        <v>마이네임</v>
      </c>
      <c r="C1039" s="49"/>
      <c r="D1039" s="8"/>
      <c r="E1039" s="7" t="s">
        <v>11</v>
      </c>
      <c r="F1039" s="7">
        <v>2021</v>
      </c>
      <c r="G1039" s="7" t="s">
        <v>17</v>
      </c>
      <c r="H1039" s="7" t="s">
        <v>162</v>
      </c>
      <c r="I1039" s="7" t="s">
        <v>55</v>
      </c>
      <c r="J1039" s="99" t="s">
        <v>3438</v>
      </c>
    </row>
    <row r="1040" spans="1:10" ht="28.9" customHeight="1" thickTop="1" thickBot="1" x14ac:dyDescent="0.65">
      <c r="A1040" s="5">
        <v>1038</v>
      </c>
      <c r="B1040" s="46" t="str">
        <f>HYPERLINK("https://search.naver.com/search.naver?query=마이어로위츠 이야기 영화", "마이어로위츠 이야기")</f>
        <v>마이어로위츠 이야기</v>
      </c>
      <c r="C1040" s="47">
        <v>6.4</v>
      </c>
      <c r="D1040" s="6" t="s">
        <v>1220</v>
      </c>
      <c r="E1040" s="5" t="s">
        <v>20</v>
      </c>
      <c r="F1040" s="5">
        <v>2017</v>
      </c>
      <c r="G1040" s="5" t="s">
        <v>12</v>
      </c>
      <c r="H1040" s="5" t="s">
        <v>68</v>
      </c>
      <c r="I1040" s="5" t="s">
        <v>278</v>
      </c>
      <c r="J1040" s="98" t="s">
        <v>3443</v>
      </c>
    </row>
    <row r="1041" spans="1:10" ht="28.9" customHeight="1" thickTop="1" thickBot="1" x14ac:dyDescent="0.65">
      <c r="A1041" s="3">
        <v>1039</v>
      </c>
      <c r="B1041" s="44" t="str">
        <f>HYPERLINK("https://search.naver.com/search.naver?query=마이클 클레이튼 영화", "마이클 클레이튼")</f>
        <v>마이클 클레이튼</v>
      </c>
      <c r="C1041" s="45">
        <v>6.72</v>
      </c>
      <c r="D1041" s="4" t="s">
        <v>1221</v>
      </c>
      <c r="E1041" s="3" t="s">
        <v>20</v>
      </c>
      <c r="F1041" s="3">
        <v>2007</v>
      </c>
      <c r="G1041" s="3" t="s">
        <v>12</v>
      </c>
      <c r="H1041" s="3" t="s">
        <v>17</v>
      </c>
      <c r="I1041" s="3" t="s">
        <v>53</v>
      </c>
      <c r="J1041" s="97" t="s">
        <v>3447</v>
      </c>
    </row>
    <row r="1042" spans="1:10" ht="28.9" customHeight="1" thickTop="1" thickBot="1" x14ac:dyDescent="0.65">
      <c r="A1042" s="5">
        <v>1040</v>
      </c>
      <c r="B1042" s="46" t="str">
        <f>HYPERLINK("https://search.naver.com/search.naver?query=마인 영화", "마인")</f>
        <v>마인</v>
      </c>
      <c r="C1042" s="47"/>
      <c r="D1042" s="6" t="s">
        <v>1222</v>
      </c>
      <c r="E1042" s="5" t="s">
        <v>20</v>
      </c>
      <c r="F1042" s="5">
        <v>2016</v>
      </c>
      <c r="G1042" s="5" t="s">
        <v>12</v>
      </c>
      <c r="H1042" s="5" t="s">
        <v>43</v>
      </c>
      <c r="I1042" s="5" t="s">
        <v>286</v>
      </c>
      <c r="J1042" s="98" t="s">
        <v>3441</v>
      </c>
    </row>
    <row r="1043" spans="1:10" ht="28.9" customHeight="1" thickTop="1" thickBot="1" x14ac:dyDescent="0.65">
      <c r="A1043" s="3">
        <v>1041</v>
      </c>
      <c r="B1043" s="44" t="str">
        <f>HYPERLINK("https://search.naver.com/search.naver?query=마인드스케이프 영화", "마인드스케이프")</f>
        <v>마인드스케이프</v>
      </c>
      <c r="C1043" s="45">
        <v>7.33</v>
      </c>
      <c r="D1043" s="4" t="s">
        <v>1223</v>
      </c>
      <c r="E1043" s="3" t="s">
        <v>30</v>
      </c>
      <c r="F1043" s="3">
        <v>2013</v>
      </c>
      <c r="G1043" s="3" t="s">
        <v>12</v>
      </c>
      <c r="H1043" s="3" t="s">
        <v>43</v>
      </c>
      <c r="I1043" s="3" t="s">
        <v>14</v>
      </c>
      <c r="J1043" s="97" t="s">
        <v>3451</v>
      </c>
    </row>
    <row r="1044" spans="1:10" ht="28.9" customHeight="1" thickTop="1" thickBot="1" x14ac:dyDescent="0.65">
      <c r="A1044" s="5">
        <v>1042</v>
      </c>
      <c r="B1044" s="46" t="str">
        <f>HYPERLINK("https://search.naver.com/search.naver?query=마인드케이지 영화", "마인드케이지")</f>
        <v>마인드케이지</v>
      </c>
      <c r="C1044" s="47">
        <v>4</v>
      </c>
      <c r="D1044" s="6" t="s">
        <v>1224</v>
      </c>
      <c r="E1044" s="5" t="s">
        <v>20</v>
      </c>
      <c r="F1044" s="5">
        <v>2022</v>
      </c>
      <c r="G1044" s="5" t="s">
        <v>12</v>
      </c>
      <c r="H1044" s="5" t="s">
        <v>43</v>
      </c>
      <c r="I1044" s="5" t="s">
        <v>61</v>
      </c>
      <c r="J1044" s="98" t="s">
        <v>3445</v>
      </c>
    </row>
    <row r="1045" spans="1:10" ht="28.9" customHeight="1" thickTop="1" thickBot="1" x14ac:dyDescent="0.65">
      <c r="A1045" s="3">
        <v>1043</v>
      </c>
      <c r="B1045" s="44" t="str">
        <f>HYPERLINK("https://search.naver.com/search.naver?query=마인드헌터 영화", "마인드헌터")</f>
        <v>마인드헌터</v>
      </c>
      <c r="C1045" s="45">
        <v>7.92</v>
      </c>
      <c r="D1045" s="4" t="s">
        <v>1225</v>
      </c>
      <c r="E1045" s="3" t="s">
        <v>20</v>
      </c>
      <c r="F1045" s="3">
        <v>2004</v>
      </c>
      <c r="G1045" s="3" t="s">
        <v>12</v>
      </c>
      <c r="H1045" s="3" t="s">
        <v>277</v>
      </c>
      <c r="I1045" s="3" t="s">
        <v>286</v>
      </c>
      <c r="J1045" s="97" t="s">
        <v>3462</v>
      </c>
    </row>
    <row r="1046" spans="1:10" ht="28.9" customHeight="1" thickTop="1" thickBot="1" x14ac:dyDescent="0.65">
      <c r="A1046" s="5">
        <v>1044</v>
      </c>
      <c r="B1046" s="46" t="str">
        <f>HYPERLINK("https://search.naver.com/search.naver?query=마일 22 영화", "마일 22")</f>
        <v>마일 22</v>
      </c>
      <c r="C1046" s="47">
        <v>7.77</v>
      </c>
      <c r="D1046" s="6" t="s">
        <v>1226</v>
      </c>
      <c r="E1046" s="5" t="s">
        <v>20</v>
      </c>
      <c r="F1046" s="5">
        <v>2018</v>
      </c>
      <c r="G1046" s="5" t="s">
        <v>12</v>
      </c>
      <c r="H1046" s="5" t="s">
        <v>92</v>
      </c>
      <c r="I1046" s="5" t="s">
        <v>300</v>
      </c>
      <c r="J1046" s="98" t="s">
        <v>3442</v>
      </c>
    </row>
    <row r="1047" spans="1:10" ht="28.9" customHeight="1" thickTop="1" thickBot="1" x14ac:dyDescent="0.65">
      <c r="A1047" s="3">
        <v>1045</v>
      </c>
      <c r="B1047" s="44" t="str">
        <f>HYPERLINK("https://search.naver.com/search.naver?query=마일스 영화", "마일스")</f>
        <v>마일스</v>
      </c>
      <c r="C1047" s="45">
        <v>7.72</v>
      </c>
      <c r="D1047" s="4" t="s">
        <v>1227</v>
      </c>
      <c r="E1047" s="3" t="s">
        <v>20</v>
      </c>
      <c r="F1047" s="3">
        <v>2015</v>
      </c>
      <c r="G1047" s="3" t="s">
        <v>12</v>
      </c>
      <c r="H1047" s="3" t="s">
        <v>17</v>
      </c>
      <c r="I1047" s="3" t="s">
        <v>111</v>
      </c>
      <c r="J1047" s="97" t="s">
        <v>3440</v>
      </c>
    </row>
    <row r="1048" spans="1:10" ht="28.9" customHeight="1" thickTop="1" thickBot="1" x14ac:dyDescent="0.65">
      <c r="A1048" s="5">
        <v>1046</v>
      </c>
      <c r="B1048" s="46" t="str">
        <f>HYPERLINK("https://search.naver.com/search.naver?query=마지막 4중주 영화", "마지막 4중주")</f>
        <v>마지막 4중주</v>
      </c>
      <c r="C1048" s="47">
        <v>8.8000000000000007</v>
      </c>
      <c r="D1048" s="6" t="s">
        <v>1228</v>
      </c>
      <c r="E1048" s="5" t="s">
        <v>20</v>
      </c>
      <c r="F1048" s="5">
        <v>2012</v>
      </c>
      <c r="G1048" s="5" t="s">
        <v>12</v>
      </c>
      <c r="H1048" s="5" t="s">
        <v>17</v>
      </c>
      <c r="I1048" s="5" t="s">
        <v>128</v>
      </c>
      <c r="J1048" s="98" t="s">
        <v>3439</v>
      </c>
    </row>
    <row r="1049" spans="1:10" ht="28.9" customHeight="1" thickTop="1" thickBot="1" x14ac:dyDescent="0.65">
      <c r="A1049" s="3">
        <v>1047</v>
      </c>
      <c r="B1049" s="44" t="str">
        <f>HYPERLINK("https://search.naver.com/search.naver?query=마지막 게임 영화", "마지막 게임")</f>
        <v>마지막 게임</v>
      </c>
      <c r="C1049" s="45">
        <v>4.3899999999999997</v>
      </c>
      <c r="D1049" s="4" t="s">
        <v>1229</v>
      </c>
      <c r="E1049" s="3" t="s">
        <v>20</v>
      </c>
      <c r="F1049" s="3">
        <v>2020</v>
      </c>
      <c r="G1049" s="3" t="s">
        <v>12</v>
      </c>
      <c r="H1049" s="3" t="s">
        <v>277</v>
      </c>
      <c r="I1049" s="3" t="s">
        <v>47</v>
      </c>
      <c r="J1049" s="97" t="s">
        <v>3436</v>
      </c>
    </row>
    <row r="1050" spans="1:10" ht="28.9" customHeight="1" thickTop="1" thickBot="1" x14ac:dyDescent="0.65">
      <c r="A1050" s="5">
        <v>1048</v>
      </c>
      <c r="B1050" s="46" t="str">
        <f>HYPERLINK("https://search.naver.com/search.naver?query=마지막 사랑 영화", "마지막 사랑")</f>
        <v>마지막 사랑</v>
      </c>
      <c r="C1050" s="47">
        <v>8.4499999999999993</v>
      </c>
      <c r="D1050" s="6" t="s">
        <v>1230</v>
      </c>
      <c r="E1050" s="5" t="s">
        <v>24</v>
      </c>
      <c r="F1050" s="5">
        <v>1995</v>
      </c>
      <c r="G1050" s="5" t="s">
        <v>12</v>
      </c>
      <c r="H1050" s="5" t="s">
        <v>17</v>
      </c>
      <c r="I1050" s="5" t="s">
        <v>619</v>
      </c>
      <c r="J1050" s="98" t="s">
        <v>3475</v>
      </c>
    </row>
    <row r="1051" spans="1:10" ht="28.9" customHeight="1" thickTop="1" thickBot="1" x14ac:dyDescent="0.65">
      <c r="A1051" s="3">
        <v>1049</v>
      </c>
      <c r="B1051" s="44" t="str">
        <f>HYPERLINK("https://search.naver.com/search.naver?query=마지막 편지 영화", "마지막 편지")</f>
        <v>마지막 편지</v>
      </c>
      <c r="C1051" s="45">
        <v>6.59</v>
      </c>
      <c r="D1051" s="4" t="s">
        <v>1231</v>
      </c>
      <c r="E1051" s="3" t="s">
        <v>16</v>
      </c>
      <c r="F1051" s="3">
        <v>2018</v>
      </c>
      <c r="G1051" s="3" t="s">
        <v>12</v>
      </c>
      <c r="H1051" s="3" t="s">
        <v>17</v>
      </c>
      <c r="I1051" s="3" t="s">
        <v>131</v>
      </c>
      <c r="J1051" s="97" t="s">
        <v>3442</v>
      </c>
    </row>
    <row r="1052" spans="1:10" ht="28.9" customHeight="1" thickTop="1" thickBot="1" x14ac:dyDescent="0.65">
      <c r="A1052" s="5">
        <v>1050</v>
      </c>
      <c r="B1052" s="46" t="str">
        <f>HYPERLINK("https://search.naver.com/search.naver?query=마지막 한 걸음까지 영화", "마지막 한 걸음까지")</f>
        <v>마지막 한 걸음까지</v>
      </c>
      <c r="C1052" s="47"/>
      <c r="D1052" s="6" t="s">
        <v>1232</v>
      </c>
      <c r="E1052" s="5" t="s">
        <v>16</v>
      </c>
      <c r="F1052" s="5">
        <v>2001</v>
      </c>
      <c r="G1052" s="5" t="s">
        <v>12</v>
      </c>
      <c r="H1052" s="5" t="s">
        <v>17</v>
      </c>
      <c r="I1052" s="5" t="s">
        <v>111</v>
      </c>
      <c r="J1052" s="98" t="s">
        <v>3457</v>
      </c>
    </row>
    <row r="1053" spans="1:10" ht="28.9" customHeight="1" thickTop="1" thickBot="1" x14ac:dyDescent="0.65">
      <c r="A1053" s="3">
        <v>1051</v>
      </c>
      <c r="B1053" s="44" t="str">
        <f>HYPERLINK("https://search.naver.com/search.naver?query=마진 콜 - 24시간, 조작된 진실 영화", "마진 콜 - 24시간, 조작된 진실")</f>
        <v>마진 콜 - 24시간, 조작된 진실</v>
      </c>
      <c r="C1053" s="45"/>
      <c r="D1053" s="4" t="s">
        <v>1233</v>
      </c>
      <c r="E1053" s="3" t="s">
        <v>20</v>
      </c>
      <c r="F1053" s="3">
        <v>2011</v>
      </c>
      <c r="G1053" s="3" t="s">
        <v>12</v>
      </c>
      <c r="H1053" s="3" t="s">
        <v>17</v>
      </c>
      <c r="I1053" s="3" t="s">
        <v>75</v>
      </c>
      <c r="J1053" s="97" t="s">
        <v>3454</v>
      </c>
    </row>
    <row r="1054" spans="1:10" ht="28.9" customHeight="1" thickTop="1" thickBot="1" x14ac:dyDescent="0.65">
      <c r="A1054" s="5">
        <v>1052</v>
      </c>
      <c r="B1054" s="46" t="str">
        <f>HYPERLINK("https://search.naver.com/search.naver?query=마차 타고 고래고래 영화", "마차 타고 고래고래")</f>
        <v>마차 타고 고래고래</v>
      </c>
      <c r="C1054" s="47">
        <v>8.7100000000000009</v>
      </c>
      <c r="D1054" s="6" t="s">
        <v>1234</v>
      </c>
      <c r="E1054" s="5" t="s">
        <v>11</v>
      </c>
      <c r="F1054" s="5">
        <v>2016</v>
      </c>
      <c r="G1054" s="5" t="s">
        <v>12</v>
      </c>
      <c r="H1054" s="5" t="s">
        <v>17</v>
      </c>
      <c r="I1054" s="5" t="s">
        <v>124</v>
      </c>
      <c r="J1054" s="98" t="s">
        <v>3441</v>
      </c>
    </row>
    <row r="1055" spans="1:10" ht="28.9" customHeight="1" thickTop="1" thickBot="1" x14ac:dyDescent="0.65">
      <c r="A1055" s="3">
        <v>1053</v>
      </c>
      <c r="B1055" s="44" t="str">
        <f>HYPERLINK("https://search.naver.com/search.naver?query=마크 펠트 영화", "마크 펠트")</f>
        <v>마크 펠트</v>
      </c>
      <c r="C1055" s="45"/>
      <c r="D1055" s="4" t="s">
        <v>1235</v>
      </c>
      <c r="E1055" s="3" t="s">
        <v>20</v>
      </c>
      <c r="F1055" s="3">
        <v>2017</v>
      </c>
      <c r="G1055" s="3" t="s">
        <v>12</v>
      </c>
      <c r="H1055" s="3" t="s">
        <v>17</v>
      </c>
      <c r="I1055" s="3" t="s">
        <v>190</v>
      </c>
      <c r="J1055" s="97" t="s">
        <v>3443</v>
      </c>
    </row>
    <row r="1056" spans="1:10" ht="28.9" customHeight="1" thickTop="1" thickBot="1" x14ac:dyDescent="0.65">
      <c r="A1056" s="5">
        <v>1054</v>
      </c>
      <c r="B1056" s="46" t="str">
        <f>HYPERLINK("https://search.naver.com/search.naver?query=마크맨 영화", "마크맨")</f>
        <v>마크맨</v>
      </c>
      <c r="C1056" s="47">
        <v>5.8</v>
      </c>
      <c r="D1056" s="6" t="s">
        <v>1236</v>
      </c>
      <c r="E1056" s="5" t="s">
        <v>20</v>
      </c>
      <c r="F1056" s="5">
        <v>2021</v>
      </c>
      <c r="G1056" s="5" t="s">
        <v>12</v>
      </c>
      <c r="H1056" s="5" t="s">
        <v>92</v>
      </c>
      <c r="I1056" s="5" t="s">
        <v>31</v>
      </c>
      <c r="J1056" s="98" t="s">
        <v>3438</v>
      </c>
    </row>
    <row r="1057" spans="1:10" ht="28.9" customHeight="1" thickTop="1" thickBot="1" x14ac:dyDescent="0.65">
      <c r="A1057" s="3">
        <v>1055</v>
      </c>
      <c r="B1057" s="44" t="str">
        <f>HYPERLINK("https://search.naver.com/search.naver?query=마타도어 영화", "마타도어")</f>
        <v>마타도어</v>
      </c>
      <c r="C1057" s="45">
        <v>6.4</v>
      </c>
      <c r="D1057" s="4" t="s">
        <v>1237</v>
      </c>
      <c r="E1057" s="3" t="s">
        <v>118</v>
      </c>
      <c r="F1057" s="3">
        <v>2005</v>
      </c>
      <c r="G1057" s="3" t="s">
        <v>12</v>
      </c>
      <c r="H1057" s="3" t="s">
        <v>17</v>
      </c>
      <c r="I1057" s="3" t="s">
        <v>111</v>
      </c>
      <c r="J1057" s="97" t="s">
        <v>3461</v>
      </c>
    </row>
    <row r="1058" spans="1:10" ht="28.9" customHeight="1" thickTop="1" thickBot="1" x14ac:dyDescent="0.65">
      <c r="A1058" s="5">
        <v>1056</v>
      </c>
      <c r="B1058" s="46" t="str">
        <f>HYPERLINK("https://search.naver.com/search.naver?query=만능감정사 Q - 모나리자의 눈동자 영화", "만능감정사 Q - 모나리자의 눈동자")</f>
        <v>만능감정사 Q - 모나리자의 눈동자</v>
      </c>
      <c r="C1058" s="47"/>
      <c r="D1058" s="6" t="s">
        <v>1238</v>
      </c>
      <c r="E1058" s="5" t="s">
        <v>16</v>
      </c>
      <c r="F1058" s="5">
        <v>2014</v>
      </c>
      <c r="G1058" s="5" t="s">
        <v>12</v>
      </c>
      <c r="H1058" s="5" t="s">
        <v>17</v>
      </c>
      <c r="I1058" s="5" t="s">
        <v>86</v>
      </c>
      <c r="J1058" s="98" t="s">
        <v>3437</v>
      </c>
    </row>
    <row r="1059" spans="1:10" ht="28.9" customHeight="1" thickTop="1" thickBot="1" x14ac:dyDescent="0.65">
      <c r="A1059" s="3">
        <v>1057</v>
      </c>
      <c r="B1059" s="44" t="str">
        <f>HYPERLINK("https://search.naver.com/search.naver?query=만추 영화", "만추")</f>
        <v>만추</v>
      </c>
      <c r="C1059" s="45">
        <v>8.15</v>
      </c>
      <c r="D1059" s="4" t="s">
        <v>1239</v>
      </c>
      <c r="E1059" s="3" t="s">
        <v>11</v>
      </c>
      <c r="F1059" s="3">
        <v>2010</v>
      </c>
      <c r="G1059" s="3" t="s">
        <v>12</v>
      </c>
      <c r="H1059" s="3" t="s">
        <v>121</v>
      </c>
      <c r="I1059" s="3" t="s">
        <v>47</v>
      </c>
      <c r="J1059" s="97" t="s">
        <v>3455</v>
      </c>
    </row>
    <row r="1060" spans="1:10" ht="28.9" customHeight="1" thickTop="1" thickBot="1" x14ac:dyDescent="0.65">
      <c r="A1060" s="5">
        <v>1058</v>
      </c>
      <c r="B1060" s="46" t="str">
        <f>HYPERLINK("https://search.naver.com/search.naver?query=말 할수 없는 비밀 영화", "말 할수 없는 비밀")</f>
        <v>말 할수 없는 비밀</v>
      </c>
      <c r="C1060" s="47">
        <v>7.96</v>
      </c>
      <c r="D1060" s="6" t="s">
        <v>1240</v>
      </c>
      <c r="E1060" s="5" t="s">
        <v>375</v>
      </c>
      <c r="F1060" s="5">
        <v>2007</v>
      </c>
      <c r="G1060" s="5" t="s">
        <v>12</v>
      </c>
      <c r="H1060" s="5" t="s">
        <v>121</v>
      </c>
      <c r="I1060" s="5" t="s">
        <v>70</v>
      </c>
      <c r="J1060" s="98" t="s">
        <v>3447</v>
      </c>
    </row>
    <row r="1061" spans="1:10" ht="28.9" customHeight="1" thickTop="1" thickBot="1" x14ac:dyDescent="0.65">
      <c r="A1061" s="3">
        <v>1059</v>
      </c>
      <c r="B1061" s="44" t="str">
        <f>HYPERLINK("https://search.naver.com/search.naver?query=말리와 나 영화", "말리와 나")</f>
        <v>말리와 나</v>
      </c>
      <c r="C1061" s="45">
        <v>8.67</v>
      </c>
      <c r="D1061" s="4" t="s">
        <v>1241</v>
      </c>
      <c r="E1061" s="3" t="s">
        <v>20</v>
      </c>
      <c r="F1061" s="3">
        <v>2008</v>
      </c>
      <c r="G1061" s="3" t="s">
        <v>12</v>
      </c>
      <c r="H1061" s="3" t="s">
        <v>68</v>
      </c>
      <c r="I1061" s="3" t="s">
        <v>47</v>
      </c>
      <c r="J1061" s="97" t="s">
        <v>3450</v>
      </c>
    </row>
    <row r="1062" spans="1:10" ht="28.9" customHeight="1" thickTop="1" thickBot="1" x14ac:dyDescent="0.65">
      <c r="A1062" s="5">
        <v>1060</v>
      </c>
      <c r="B1062" s="46" t="str">
        <f>HYPERLINK("https://search.naver.com/search.naver?query=말모이 영화", "말모이")</f>
        <v>말모이</v>
      </c>
      <c r="C1062" s="47">
        <v>9.19</v>
      </c>
      <c r="D1062" s="6" t="s">
        <v>1242</v>
      </c>
      <c r="E1062" s="5" t="s">
        <v>11</v>
      </c>
      <c r="F1062" s="5">
        <v>2018</v>
      </c>
      <c r="G1062" s="5" t="s">
        <v>12</v>
      </c>
      <c r="H1062" s="5" t="s">
        <v>17</v>
      </c>
      <c r="I1062" s="5" t="s">
        <v>41</v>
      </c>
      <c r="J1062" s="98" t="s">
        <v>3442</v>
      </c>
    </row>
    <row r="1063" spans="1:10" ht="28.9" customHeight="1" thickTop="1" thickBot="1" x14ac:dyDescent="0.65">
      <c r="A1063" s="3">
        <v>1061</v>
      </c>
      <c r="B1063" s="44" t="str">
        <f>HYPERLINK("https://search.naver.com/search.naver?query=말하는 건축가 영화", "말하는 건축가")</f>
        <v>말하는 건축가</v>
      </c>
      <c r="C1063" s="45">
        <v>9.0399999999999991</v>
      </c>
      <c r="D1063" s="4" t="s">
        <v>1243</v>
      </c>
      <c r="E1063" s="3" t="s">
        <v>11</v>
      </c>
      <c r="F1063" s="3">
        <v>2011</v>
      </c>
      <c r="G1063" s="3" t="s">
        <v>12</v>
      </c>
      <c r="H1063" s="3" t="s">
        <v>160</v>
      </c>
      <c r="I1063" s="3" t="s">
        <v>111</v>
      </c>
      <c r="J1063" s="97" t="s">
        <v>3454</v>
      </c>
    </row>
    <row r="1064" spans="1:10" ht="28.9" customHeight="1" thickTop="1" thickBot="1" x14ac:dyDescent="0.65">
      <c r="A1064" s="5">
        <v>1062</v>
      </c>
      <c r="B1064" s="46" t="str">
        <f>HYPERLINK("https://search.naver.com/search.naver?query=맘 앤 대드 영화", "맘 앤 대드")</f>
        <v>맘 앤 대드</v>
      </c>
      <c r="C1064" s="47">
        <v>6.4</v>
      </c>
      <c r="D1064" s="6" t="s">
        <v>1244</v>
      </c>
      <c r="E1064" s="5" t="s">
        <v>20</v>
      </c>
      <c r="F1064" s="5">
        <v>2017</v>
      </c>
      <c r="G1064" s="5" t="s">
        <v>12</v>
      </c>
      <c r="H1064" s="5" t="s">
        <v>43</v>
      </c>
      <c r="I1064" s="5" t="s">
        <v>1245</v>
      </c>
      <c r="J1064" s="98" t="s">
        <v>3443</v>
      </c>
    </row>
    <row r="1065" spans="1:10" ht="28.9" customHeight="1" thickTop="1" thickBot="1" x14ac:dyDescent="0.65">
      <c r="A1065" s="3">
        <v>1063</v>
      </c>
      <c r="B1065" s="44" t="str">
        <f>HYPERLINK("https://search.naver.com/search.naver?query=맘마 미아! 영화", "맘마 미아!")</f>
        <v>맘마 미아!</v>
      </c>
      <c r="C1065" s="45">
        <v>9.09</v>
      </c>
      <c r="D1065" s="4" t="s">
        <v>1246</v>
      </c>
      <c r="E1065" s="3" t="s">
        <v>24</v>
      </c>
      <c r="F1065" s="3">
        <v>2008</v>
      </c>
      <c r="G1065" s="3" t="s">
        <v>12</v>
      </c>
      <c r="H1065" s="3" t="s">
        <v>68</v>
      </c>
      <c r="I1065" s="3" t="s">
        <v>31</v>
      </c>
      <c r="J1065" s="97" t="s">
        <v>3450</v>
      </c>
    </row>
    <row r="1066" spans="1:10" ht="28.9" customHeight="1" thickTop="1" thickBot="1" x14ac:dyDescent="0.65">
      <c r="A1066" s="5">
        <v>1064</v>
      </c>
      <c r="B1066" s="46" t="str">
        <f>HYPERLINK("https://search.naver.com/search.naver?query=맘마미아!2 영화", "맘마미아!2")</f>
        <v>맘마미아!2</v>
      </c>
      <c r="C1066" s="47">
        <v>9.09</v>
      </c>
      <c r="D1066" s="6" t="s">
        <v>1247</v>
      </c>
      <c r="E1066" s="5" t="s">
        <v>24</v>
      </c>
      <c r="F1066" s="5">
        <v>2018</v>
      </c>
      <c r="G1066" s="5" t="s">
        <v>12</v>
      </c>
      <c r="H1066" s="5" t="s">
        <v>68</v>
      </c>
      <c r="I1066" s="5" t="s">
        <v>207</v>
      </c>
      <c r="J1066" s="98" t="s">
        <v>3442</v>
      </c>
    </row>
    <row r="1067" spans="1:10" ht="28.9" customHeight="1" thickTop="1" thickBot="1" x14ac:dyDescent="0.65">
      <c r="A1067" s="7">
        <v>1065</v>
      </c>
      <c r="B1067" s="48" t="str">
        <f>HYPERLINK("https://search.naver.com/search.naver?query=매니페스트 시즌1", "매니페스트 시즌1")</f>
        <v>매니페스트 시즌1</v>
      </c>
      <c r="C1067" s="49"/>
      <c r="D1067" s="8" t="s">
        <v>1248</v>
      </c>
      <c r="E1067" s="7" t="s">
        <v>20</v>
      </c>
      <c r="F1067" s="7">
        <v>2018</v>
      </c>
      <c r="G1067" s="7" t="s">
        <v>17</v>
      </c>
      <c r="H1067" s="7" t="s">
        <v>152</v>
      </c>
      <c r="I1067" s="7" t="s">
        <v>491</v>
      </c>
      <c r="J1067" s="99" t="s">
        <v>3442</v>
      </c>
    </row>
    <row r="1068" spans="1:10" ht="28.9" customHeight="1" thickTop="1" thickBot="1" x14ac:dyDescent="0.65">
      <c r="A1068" s="7">
        <v>1066</v>
      </c>
      <c r="B1068" s="48" t="str">
        <f>HYPERLINK("https://search.naver.com/search.naver?query=매니페스트 시즌2", "매니페스트 시즌2")</f>
        <v>매니페스트 시즌2</v>
      </c>
      <c r="C1068" s="49"/>
      <c r="D1068" s="8" t="s">
        <v>1248</v>
      </c>
      <c r="E1068" s="7" t="s">
        <v>20</v>
      </c>
      <c r="F1068" s="7">
        <v>2020</v>
      </c>
      <c r="G1068" s="7" t="s">
        <v>17</v>
      </c>
      <c r="H1068" s="7" t="s">
        <v>152</v>
      </c>
      <c r="I1068" s="7" t="s">
        <v>645</v>
      </c>
      <c r="J1068" s="99" t="s">
        <v>3436</v>
      </c>
    </row>
    <row r="1069" spans="1:10" ht="28.9" customHeight="1" thickTop="1" thickBot="1" x14ac:dyDescent="0.65">
      <c r="A1069" s="3">
        <v>1067</v>
      </c>
      <c r="B1069" s="44" t="str">
        <f>HYPERLINK("https://search.naver.com/search.naver?query=매드 위민스 볼 영화", "매드 위민스 볼")</f>
        <v>매드 위민스 볼</v>
      </c>
      <c r="C1069" s="45">
        <v>6.4</v>
      </c>
      <c r="D1069" s="4" t="s">
        <v>1249</v>
      </c>
      <c r="E1069" s="3" t="s">
        <v>210</v>
      </c>
      <c r="F1069" s="3">
        <v>2021</v>
      </c>
      <c r="G1069" s="3" t="s">
        <v>12</v>
      </c>
      <c r="H1069" s="3" t="s">
        <v>17</v>
      </c>
      <c r="I1069" s="3" t="s">
        <v>86</v>
      </c>
      <c r="J1069" s="97" t="s">
        <v>3438</v>
      </c>
    </row>
    <row r="1070" spans="1:10" ht="28.9" customHeight="1" thickTop="1" thickBot="1" x14ac:dyDescent="0.65">
      <c r="A1070" s="5">
        <v>1068</v>
      </c>
      <c r="B1070" s="46" t="str">
        <f>HYPERLINK("https://search.naver.com/search.naver?query=매드맥스 - 분노의 도로 영화", "매드맥스 - 분노의 도로")</f>
        <v>매드맥스 - 분노의 도로</v>
      </c>
      <c r="C1070" s="47">
        <v>6.4</v>
      </c>
      <c r="D1070" s="6" t="s">
        <v>1250</v>
      </c>
      <c r="E1070" s="5" t="s">
        <v>36</v>
      </c>
      <c r="F1070" s="5">
        <v>2015</v>
      </c>
      <c r="G1070" s="5" t="s">
        <v>12</v>
      </c>
      <c r="H1070" s="5" t="s">
        <v>92</v>
      </c>
      <c r="I1070" s="5" t="s">
        <v>86</v>
      </c>
      <c r="J1070" s="98" t="s">
        <v>3440</v>
      </c>
    </row>
    <row r="1071" spans="1:10" ht="28.9" customHeight="1" thickTop="1" thickBot="1" x14ac:dyDescent="0.65">
      <c r="A1071" s="3">
        <v>1069</v>
      </c>
      <c r="B1071" s="44" t="str">
        <f>HYPERLINK("https://search.naver.com/search.naver?query=매디슨 카운티의 다리 영화", "매디슨 카운티의 다리")</f>
        <v>매디슨 카운티의 다리</v>
      </c>
      <c r="C1071" s="45">
        <v>9.07</v>
      </c>
      <c r="D1071" s="4" t="s">
        <v>1251</v>
      </c>
      <c r="E1071" s="3" t="s">
        <v>20</v>
      </c>
      <c r="F1071" s="3">
        <v>1995</v>
      </c>
      <c r="G1071" s="3" t="s">
        <v>12</v>
      </c>
      <c r="H1071" s="3" t="s">
        <v>17</v>
      </c>
      <c r="I1071" s="3" t="s">
        <v>41</v>
      </c>
      <c r="J1071" s="97" t="s">
        <v>3475</v>
      </c>
    </row>
    <row r="1072" spans="1:10" ht="28.9" customHeight="1" thickTop="1" thickBot="1" x14ac:dyDescent="0.65">
      <c r="A1072" s="5">
        <v>1070</v>
      </c>
      <c r="B1072" s="46" t="str">
        <f>HYPERLINK("https://search.naver.com/search.naver?query=매스커레이드 호텔 영화", "매스커레이드 호텔")</f>
        <v>매스커레이드 호텔</v>
      </c>
      <c r="C1072" s="47">
        <v>6.4</v>
      </c>
      <c r="D1072" s="6" t="s">
        <v>1252</v>
      </c>
      <c r="E1072" s="5" t="s">
        <v>16</v>
      </c>
      <c r="F1072" s="5">
        <v>2019</v>
      </c>
      <c r="G1072" s="5" t="s">
        <v>12</v>
      </c>
      <c r="H1072" s="5" t="s">
        <v>141</v>
      </c>
      <c r="I1072" s="5" t="s">
        <v>83</v>
      </c>
      <c r="J1072" s="98" t="s">
        <v>3444</v>
      </c>
    </row>
    <row r="1073" spans="1:10" ht="28.9" customHeight="1" thickTop="1" thickBot="1" x14ac:dyDescent="0.65">
      <c r="A1073" s="3">
        <v>1071</v>
      </c>
      <c r="B1073" s="44" t="str">
        <f>HYPERLINK("https://search.naver.com/search.naver?query=매직 마이크 영화", "매직 마이크")</f>
        <v>매직 마이크</v>
      </c>
      <c r="C1073" s="45">
        <v>7.61</v>
      </c>
      <c r="D1073" s="4" t="s">
        <v>1253</v>
      </c>
      <c r="E1073" s="3" t="s">
        <v>20</v>
      </c>
      <c r="F1073" s="3">
        <v>2012</v>
      </c>
      <c r="G1073" s="3" t="s">
        <v>12</v>
      </c>
      <c r="H1073" s="3" t="s">
        <v>68</v>
      </c>
      <c r="I1073" s="3" t="s">
        <v>96</v>
      </c>
      <c r="J1073" s="97" t="s">
        <v>3439</v>
      </c>
    </row>
    <row r="1074" spans="1:10" ht="28.9" customHeight="1" thickTop="1" thickBot="1" x14ac:dyDescent="0.65">
      <c r="A1074" s="5">
        <v>1072</v>
      </c>
      <c r="B1074" s="46" t="str">
        <f>HYPERLINK("https://search.naver.com/search.naver?query=매직 오브 벨 아일 영화", "매직 오브 벨 아일")</f>
        <v>매직 오브 벨 아일</v>
      </c>
      <c r="C1074" s="47">
        <v>6.4</v>
      </c>
      <c r="D1074" s="6" t="s">
        <v>1254</v>
      </c>
      <c r="E1074" s="5" t="s">
        <v>20</v>
      </c>
      <c r="F1074" s="5">
        <v>2012</v>
      </c>
      <c r="G1074" s="5" t="s">
        <v>12</v>
      </c>
      <c r="H1074" s="5" t="s">
        <v>17</v>
      </c>
      <c r="I1074" s="5" t="s">
        <v>137</v>
      </c>
      <c r="J1074" s="98" t="s">
        <v>3439</v>
      </c>
    </row>
    <row r="1075" spans="1:10" ht="28.9" customHeight="1" thickTop="1" thickBot="1" x14ac:dyDescent="0.65">
      <c r="A1075" s="3">
        <v>1073</v>
      </c>
      <c r="B1075" s="44" t="str">
        <f>HYPERLINK("https://search.naver.com/search.naver?query=매치 포인트 영화", "매치 포인트")</f>
        <v>매치 포인트</v>
      </c>
      <c r="C1075" s="45">
        <v>8</v>
      </c>
      <c r="D1075" s="4" t="s">
        <v>1255</v>
      </c>
      <c r="E1075" s="3" t="s">
        <v>24</v>
      </c>
      <c r="F1075" s="3">
        <v>2005</v>
      </c>
      <c r="G1075" s="3" t="s">
        <v>12</v>
      </c>
      <c r="H1075" s="3" t="s">
        <v>17</v>
      </c>
      <c r="I1075" s="3" t="s">
        <v>134</v>
      </c>
      <c r="J1075" s="97" t="s">
        <v>3461</v>
      </c>
    </row>
    <row r="1076" spans="1:10" ht="28.9" customHeight="1" thickTop="1" thickBot="1" x14ac:dyDescent="0.65">
      <c r="A1076" s="7">
        <v>1074</v>
      </c>
      <c r="B1076" s="48" t="str">
        <f>HYPERLINK("https://search.naver.com/search.naver?query=매트록 시즌1", "매트록 시즌1")</f>
        <v>매트록 시즌1</v>
      </c>
      <c r="C1076" s="49"/>
      <c r="D1076" s="8" t="s">
        <v>1256</v>
      </c>
      <c r="E1076" s="7" t="s">
        <v>20</v>
      </c>
      <c r="F1076" s="7">
        <v>2024</v>
      </c>
      <c r="G1076" s="7" t="s">
        <v>17</v>
      </c>
      <c r="H1076" s="7" t="s">
        <v>17</v>
      </c>
      <c r="I1076" s="7" t="s">
        <v>830</v>
      </c>
      <c r="J1076" s="99" t="s">
        <v>3448</v>
      </c>
    </row>
    <row r="1077" spans="1:10" ht="28.9" customHeight="1" thickTop="1" thickBot="1" x14ac:dyDescent="0.65">
      <c r="A1077" s="3">
        <v>1075</v>
      </c>
      <c r="B1077" s="44" t="str">
        <f>HYPERLINK("https://search.naver.com/search.naver?query=매트릭스-리저렉션 영화", "매트릭스-리저렉션")</f>
        <v>매트릭스-리저렉션</v>
      </c>
      <c r="C1077" s="45"/>
      <c r="D1077" s="4" t="s">
        <v>1257</v>
      </c>
      <c r="E1077" s="3" t="s">
        <v>20</v>
      </c>
      <c r="F1077" s="3">
        <v>2021</v>
      </c>
      <c r="G1077" s="3" t="s">
        <v>12</v>
      </c>
      <c r="H1077" s="3" t="s">
        <v>92</v>
      </c>
      <c r="I1077" s="3" t="s">
        <v>28</v>
      </c>
      <c r="J1077" s="97" t="s">
        <v>3438</v>
      </c>
    </row>
    <row r="1078" spans="1:10" ht="28.9" customHeight="1" thickTop="1" thickBot="1" x14ac:dyDescent="0.65">
      <c r="A1078" s="5">
        <v>1076</v>
      </c>
      <c r="B1078" s="46" t="str">
        <f>HYPERLINK("https://search.naver.com/search.naver?query=매혹당한 사람들 영화", "매혹당한 사람들")</f>
        <v>매혹당한 사람들</v>
      </c>
      <c r="C1078" s="47">
        <v>7.79</v>
      </c>
      <c r="D1078" s="6" t="s">
        <v>1258</v>
      </c>
      <c r="E1078" s="5" t="s">
        <v>16</v>
      </c>
      <c r="F1078" s="5">
        <v>2017</v>
      </c>
      <c r="G1078" s="5" t="s">
        <v>12</v>
      </c>
      <c r="H1078" s="5" t="s">
        <v>17</v>
      </c>
      <c r="I1078" s="5" t="s">
        <v>111</v>
      </c>
      <c r="J1078" s="98" t="s">
        <v>3443</v>
      </c>
    </row>
    <row r="1079" spans="1:10" ht="28.9" customHeight="1" thickTop="1" thickBot="1" x14ac:dyDescent="0.65">
      <c r="A1079" s="3">
        <v>1077</v>
      </c>
      <c r="B1079" s="44" t="str">
        <f>HYPERLINK("https://search.naver.com/search.naver?query=맥스 영화", "맥스")</f>
        <v>맥스</v>
      </c>
      <c r="C1079" s="45"/>
      <c r="D1079" s="4" t="s">
        <v>1259</v>
      </c>
      <c r="E1079" s="3" t="s">
        <v>20</v>
      </c>
      <c r="F1079" s="3">
        <v>2015</v>
      </c>
      <c r="G1079" s="3" t="s">
        <v>12</v>
      </c>
      <c r="H1079" s="3" t="s">
        <v>17</v>
      </c>
      <c r="I1079" s="3" t="s">
        <v>102</v>
      </c>
      <c r="J1079" s="97" t="s">
        <v>3440</v>
      </c>
    </row>
    <row r="1080" spans="1:10" ht="28.9" customHeight="1" thickTop="1" thickBot="1" x14ac:dyDescent="0.65">
      <c r="A1080" s="5">
        <v>1078</v>
      </c>
      <c r="B1080" s="46" t="str">
        <f>HYPERLINK("https://search.naver.com/search.naver?query=맥스 영화", "맥스")</f>
        <v>맥스</v>
      </c>
      <c r="C1080" s="47"/>
      <c r="D1080" s="6" t="s">
        <v>1259</v>
      </c>
      <c r="E1080" s="5" t="s">
        <v>20</v>
      </c>
      <c r="F1080" s="5">
        <v>2015</v>
      </c>
      <c r="G1080" s="5" t="s">
        <v>12</v>
      </c>
      <c r="H1080" s="5" t="s">
        <v>17</v>
      </c>
      <c r="I1080" s="5" t="s">
        <v>102</v>
      </c>
      <c r="J1080" s="98" t="s">
        <v>3440</v>
      </c>
    </row>
    <row r="1081" spans="1:10" ht="28.9" customHeight="1" thickTop="1" thickBot="1" x14ac:dyDescent="0.65">
      <c r="A1081" s="3">
        <v>1079</v>
      </c>
      <c r="B1081" s="44" t="str">
        <f>HYPERLINK("https://search.naver.com/search.naver?query=맥아더 - 일본 침몰에 관한 불편한 해석 영화", "맥아더 - 일본 침몰에 관한 불편한 해석")</f>
        <v>맥아더 - 일본 침몰에 관한 불편한 해석</v>
      </c>
      <c r="C1081" s="45"/>
      <c r="D1081" s="4" t="s">
        <v>1260</v>
      </c>
      <c r="E1081" s="3" t="s">
        <v>16</v>
      </c>
      <c r="F1081" s="3">
        <v>2012</v>
      </c>
      <c r="G1081" s="3" t="s">
        <v>12</v>
      </c>
      <c r="H1081" s="3" t="s">
        <v>17</v>
      </c>
      <c r="I1081" s="3" t="s">
        <v>131</v>
      </c>
      <c r="J1081" s="97" t="s">
        <v>3439</v>
      </c>
    </row>
    <row r="1082" spans="1:10" ht="28.9" customHeight="1" thickTop="1" thickBot="1" x14ac:dyDescent="0.65">
      <c r="A1082" s="5">
        <v>1080</v>
      </c>
      <c r="B1082" s="46" t="str">
        <f>HYPERLINK("https://search.naver.com/search.naver?query=맥팔랜드 영화", "맥팔랜드")</f>
        <v>맥팔랜드</v>
      </c>
      <c r="C1082" s="47"/>
      <c r="D1082" s="6" t="s">
        <v>1261</v>
      </c>
      <c r="E1082" s="5" t="s">
        <v>20</v>
      </c>
      <c r="F1082" s="5">
        <v>2015</v>
      </c>
      <c r="G1082" s="5" t="s">
        <v>12</v>
      </c>
      <c r="H1082" s="5" t="s">
        <v>17</v>
      </c>
      <c r="I1082" s="5" t="s">
        <v>64</v>
      </c>
      <c r="J1082" s="98" t="s">
        <v>3440</v>
      </c>
    </row>
    <row r="1083" spans="1:10" ht="28.9" customHeight="1" thickTop="1" thickBot="1" x14ac:dyDescent="0.65">
      <c r="A1083" s="3">
        <v>1081</v>
      </c>
      <c r="B1083" s="44" t="str">
        <f>HYPERLINK("https://search.naver.com/search.naver?query=맨 오브 마스크 영화", "맨 오브 마스크")</f>
        <v>맨 오브 마스크</v>
      </c>
      <c r="C1083" s="45">
        <v>9.06</v>
      </c>
      <c r="D1083" s="4" t="s">
        <v>1262</v>
      </c>
      <c r="E1083" s="3" t="s">
        <v>210</v>
      </c>
      <c r="F1083" s="3">
        <v>2018</v>
      </c>
      <c r="G1083" s="3" t="s">
        <v>12</v>
      </c>
      <c r="H1083" s="3" t="s">
        <v>17</v>
      </c>
      <c r="I1083" s="3" t="s">
        <v>89</v>
      </c>
      <c r="J1083" s="97" t="s">
        <v>3442</v>
      </c>
    </row>
    <row r="1084" spans="1:10" ht="28.9" customHeight="1" thickTop="1" thickBot="1" x14ac:dyDescent="0.65">
      <c r="A1084" s="5">
        <v>1082</v>
      </c>
      <c r="B1084" s="46" t="str">
        <f>HYPERLINK("https://search.naver.com/search.naver?query=맨 프롬 UNCLE 영화", "맨 프롬 UNCLE")</f>
        <v>맨 프롬 UNCLE</v>
      </c>
      <c r="C1084" s="47">
        <v>8.06</v>
      </c>
      <c r="D1084" s="6" t="s">
        <v>1263</v>
      </c>
      <c r="E1084" s="5" t="s">
        <v>20</v>
      </c>
      <c r="F1084" s="5">
        <v>2015</v>
      </c>
      <c r="G1084" s="5" t="s">
        <v>12</v>
      </c>
      <c r="H1084" s="5" t="s">
        <v>92</v>
      </c>
      <c r="I1084" s="5" t="s">
        <v>366</v>
      </c>
      <c r="J1084" s="98" t="s">
        <v>3440</v>
      </c>
    </row>
    <row r="1085" spans="1:10" ht="28.9" customHeight="1" thickTop="1" thickBot="1" x14ac:dyDescent="0.65">
      <c r="A1085" s="3">
        <v>1083</v>
      </c>
      <c r="B1085" s="44" t="str">
        <f>HYPERLINK("https://search.naver.com/search.naver?query=맨발의 승리 영화", "맨발의 승리")</f>
        <v>맨발의 승리</v>
      </c>
      <c r="C1085" s="45">
        <v>8</v>
      </c>
      <c r="D1085" s="4" t="s">
        <v>1264</v>
      </c>
      <c r="E1085" s="3" t="s">
        <v>20</v>
      </c>
      <c r="F1085" s="3">
        <v>2021</v>
      </c>
      <c r="G1085" s="3" t="s">
        <v>12</v>
      </c>
      <c r="H1085" s="3" t="s">
        <v>17</v>
      </c>
      <c r="I1085" s="3" t="s">
        <v>221</v>
      </c>
      <c r="J1085" s="97" t="s">
        <v>3438</v>
      </c>
    </row>
    <row r="1086" spans="1:10" ht="28.9" customHeight="1" thickTop="1" thickBot="1" x14ac:dyDescent="0.65">
      <c r="A1086" s="5">
        <v>1084</v>
      </c>
      <c r="B1086" s="46" t="str">
        <f>HYPERLINK("https://search.naver.com/search.naver?query=맨온렛지 영화", "맨온렛지")</f>
        <v>맨온렛지</v>
      </c>
      <c r="C1086" s="47">
        <v>7.31</v>
      </c>
      <c r="D1086" s="6" t="s">
        <v>1265</v>
      </c>
      <c r="E1086" s="5" t="s">
        <v>20</v>
      </c>
      <c r="F1086" s="5">
        <v>2012</v>
      </c>
      <c r="G1086" s="5" t="s">
        <v>12</v>
      </c>
      <c r="H1086" s="5" t="s">
        <v>92</v>
      </c>
      <c r="I1086" s="5" t="s">
        <v>99</v>
      </c>
      <c r="J1086" s="98" t="s">
        <v>3439</v>
      </c>
    </row>
    <row r="1087" spans="1:10" ht="28.9" customHeight="1" thickTop="1" thickBot="1" x14ac:dyDescent="0.65">
      <c r="A1087" s="3">
        <v>1085</v>
      </c>
      <c r="B1087" s="44" t="str">
        <f>HYPERLINK("https://search.naver.com/search.naver?query=맨체스터 바이 더 씨 영화", "맨체스터 바이 더 씨")</f>
        <v>맨체스터 바이 더 씨</v>
      </c>
      <c r="C1087" s="45">
        <v>8.89</v>
      </c>
      <c r="D1087" s="4" t="s">
        <v>1266</v>
      </c>
      <c r="E1087" s="3" t="s">
        <v>20</v>
      </c>
      <c r="F1087" s="3">
        <v>2016</v>
      </c>
      <c r="G1087" s="3" t="s">
        <v>12</v>
      </c>
      <c r="H1087" s="3" t="s">
        <v>17</v>
      </c>
      <c r="I1087" s="3" t="s">
        <v>186</v>
      </c>
      <c r="J1087" s="97" t="s">
        <v>3441</v>
      </c>
    </row>
    <row r="1088" spans="1:10" ht="28.9" customHeight="1" thickTop="1" thickBot="1" x14ac:dyDescent="0.65">
      <c r="A1088" s="5">
        <v>1086</v>
      </c>
      <c r="B1088" s="46" t="str">
        <f>HYPERLINK("https://search.naver.com/search.naver?query=맨츄리안 켄디데이트 영화", "맨츄리안 켄디데이트")</f>
        <v>맨츄리안 켄디데이트</v>
      </c>
      <c r="C1088" s="47">
        <v>7.57</v>
      </c>
      <c r="D1088" s="6" t="s">
        <v>1267</v>
      </c>
      <c r="E1088" s="5" t="s">
        <v>20</v>
      </c>
      <c r="F1088" s="5">
        <v>2004</v>
      </c>
      <c r="G1088" s="5" t="s">
        <v>12</v>
      </c>
      <c r="H1088" s="5" t="s">
        <v>43</v>
      </c>
      <c r="I1088" s="5" t="s">
        <v>64</v>
      </c>
      <c r="J1088" s="98" t="s">
        <v>3462</v>
      </c>
    </row>
    <row r="1089" spans="1:10" ht="28.9" customHeight="1" thickTop="1" thickBot="1" x14ac:dyDescent="0.65">
      <c r="A1089" s="3">
        <v>1087</v>
      </c>
      <c r="B1089" s="44" t="str">
        <f>HYPERLINK("https://search.naver.com/search.naver?query=맨하탄 나이트 영화", "맨하탄 나이트")</f>
        <v>맨하탄 나이트</v>
      </c>
      <c r="C1089" s="45"/>
      <c r="D1089" s="4" t="s">
        <v>1268</v>
      </c>
      <c r="E1089" s="3" t="s">
        <v>20</v>
      </c>
      <c r="F1089" s="3">
        <v>2016</v>
      </c>
      <c r="G1089" s="3" t="s">
        <v>12</v>
      </c>
      <c r="H1089" s="3" t="s">
        <v>43</v>
      </c>
      <c r="I1089" s="3" t="s">
        <v>73</v>
      </c>
      <c r="J1089" s="97" t="s">
        <v>3441</v>
      </c>
    </row>
    <row r="1090" spans="1:10" ht="28.9" customHeight="1" thickTop="1" thickBot="1" x14ac:dyDescent="0.65">
      <c r="A1090" s="5">
        <v>1088</v>
      </c>
      <c r="B1090" s="46" t="str">
        <f>HYPERLINK("https://search.naver.com/search.naver?query=맨하탄 녹턴 영화", "맨하탄 녹턴")</f>
        <v>맨하탄 녹턴</v>
      </c>
      <c r="C1090" s="47"/>
      <c r="D1090" s="6" t="s">
        <v>1268</v>
      </c>
      <c r="E1090" s="5" t="s">
        <v>20</v>
      </c>
      <c r="F1090" s="5">
        <v>2016</v>
      </c>
      <c r="G1090" s="5" t="s">
        <v>12</v>
      </c>
      <c r="H1090" s="5" t="s">
        <v>43</v>
      </c>
      <c r="I1090" s="5" t="s">
        <v>73</v>
      </c>
      <c r="J1090" s="98" t="s">
        <v>3441</v>
      </c>
    </row>
    <row r="1091" spans="1:10" ht="28.9" customHeight="1" thickTop="1" thickBot="1" x14ac:dyDescent="0.65">
      <c r="A1091" s="7">
        <v>1089</v>
      </c>
      <c r="B1091" s="48" t="str">
        <f>HYPERLINK("https://search.naver.com/search.naver?query=맨헌트-유나바머", "맨헌트-유나바머")</f>
        <v>맨헌트-유나바머</v>
      </c>
      <c r="C1091" s="49"/>
      <c r="D1091" s="8" t="s">
        <v>1269</v>
      </c>
      <c r="E1091" s="7" t="s">
        <v>20</v>
      </c>
      <c r="F1091" s="7">
        <v>2017</v>
      </c>
      <c r="G1091" s="7" t="s">
        <v>17</v>
      </c>
      <c r="H1091" s="7" t="s">
        <v>85</v>
      </c>
      <c r="I1091" s="7" t="s">
        <v>55</v>
      </c>
      <c r="J1091" s="99" t="s">
        <v>3443</v>
      </c>
    </row>
    <row r="1092" spans="1:10" ht="28.9" customHeight="1" thickTop="1" thickBot="1" x14ac:dyDescent="0.65">
      <c r="A1092" s="5">
        <v>1090</v>
      </c>
      <c r="B1092" s="46" t="str">
        <f>HYPERLINK("https://search.naver.com/search.naver?query=맹글혼 영화", "맹글혼")</f>
        <v>맹글혼</v>
      </c>
      <c r="C1092" s="47">
        <v>7.45</v>
      </c>
      <c r="D1092" s="6" t="s">
        <v>1270</v>
      </c>
      <c r="E1092" s="5" t="s">
        <v>20</v>
      </c>
      <c r="F1092" s="5">
        <v>2014</v>
      </c>
      <c r="G1092" s="5" t="s">
        <v>12</v>
      </c>
      <c r="H1092" s="5" t="s">
        <v>17</v>
      </c>
      <c r="I1092" s="5" t="s">
        <v>124</v>
      </c>
      <c r="J1092" s="98" t="s">
        <v>3437</v>
      </c>
    </row>
    <row r="1093" spans="1:10" ht="28.9" customHeight="1" thickTop="1" thickBot="1" x14ac:dyDescent="0.65">
      <c r="A1093" s="3">
        <v>1091</v>
      </c>
      <c r="B1093" s="44" t="str">
        <f>HYPERLINK("https://search.naver.com/search.naver?query=머나먼 사랑 영화", "머나먼 사랑")</f>
        <v>머나먼 사랑</v>
      </c>
      <c r="C1093" s="45">
        <v>7.13</v>
      </c>
      <c r="D1093" s="4" t="s">
        <v>1271</v>
      </c>
      <c r="E1093" s="3" t="s">
        <v>20</v>
      </c>
      <c r="F1093" s="3">
        <v>2004</v>
      </c>
      <c r="G1093" s="3" t="s">
        <v>12</v>
      </c>
      <c r="H1093" s="3" t="s">
        <v>17</v>
      </c>
      <c r="I1093" s="3" t="s">
        <v>150</v>
      </c>
      <c r="J1093" s="97" t="s">
        <v>3462</v>
      </c>
    </row>
    <row r="1094" spans="1:10" ht="28.9" customHeight="1" thickTop="1" thickBot="1" x14ac:dyDescent="0.65">
      <c r="A1094" s="5">
        <v>1092</v>
      </c>
      <c r="B1094" s="46" t="str">
        <f>HYPERLINK("https://search.naver.com/search.naver?query=머나먼 여정 영화", "머나먼 여정")</f>
        <v>머나먼 여정</v>
      </c>
      <c r="C1094" s="47">
        <v>9.2799999999999994</v>
      </c>
      <c r="D1094" s="6" t="s">
        <v>1272</v>
      </c>
      <c r="E1094" s="5" t="s">
        <v>20</v>
      </c>
      <c r="F1094" s="5">
        <v>1993</v>
      </c>
      <c r="G1094" s="5" t="s">
        <v>12</v>
      </c>
      <c r="H1094" s="5" t="s">
        <v>17</v>
      </c>
      <c r="I1094" s="5" t="s">
        <v>147</v>
      </c>
      <c r="J1094" s="98" t="s">
        <v>3469</v>
      </c>
    </row>
    <row r="1095" spans="1:10" ht="28.9" customHeight="1" thickTop="1" thickBot="1" x14ac:dyDescent="0.65">
      <c r="A1095" s="3">
        <v>1093</v>
      </c>
      <c r="B1095" s="44" t="str">
        <f>HYPERLINK("https://search.naver.com/search.naver?query=머니 몬스터 영화", "머니 몬스터")</f>
        <v>머니 몬스터</v>
      </c>
      <c r="C1095" s="45">
        <v>8.41</v>
      </c>
      <c r="D1095" s="4" t="s">
        <v>1273</v>
      </c>
      <c r="E1095" s="3" t="s">
        <v>20</v>
      </c>
      <c r="F1095" s="3">
        <v>2016</v>
      </c>
      <c r="G1095" s="3" t="s">
        <v>12</v>
      </c>
      <c r="H1095" s="3" t="s">
        <v>17</v>
      </c>
      <c r="I1095" s="3" t="s">
        <v>14</v>
      </c>
      <c r="J1095" s="97" t="s">
        <v>3441</v>
      </c>
    </row>
    <row r="1096" spans="1:10" ht="28.9" customHeight="1" thickTop="1" thickBot="1" x14ac:dyDescent="0.65">
      <c r="A1096" s="5">
        <v>1094</v>
      </c>
      <c r="B1096" s="46" t="str">
        <f>HYPERLINK("https://search.naver.com/search.naver?query=머니볼 영화", "머니볼")</f>
        <v>머니볼</v>
      </c>
      <c r="C1096" s="47">
        <v>8.4600000000000009</v>
      </c>
      <c r="D1096" s="6" t="s">
        <v>1274</v>
      </c>
      <c r="E1096" s="5" t="s">
        <v>20</v>
      </c>
      <c r="F1096" s="5">
        <v>2011</v>
      </c>
      <c r="G1096" s="5" t="s">
        <v>12</v>
      </c>
      <c r="H1096" s="5" t="s">
        <v>17</v>
      </c>
      <c r="I1096" s="5" t="s">
        <v>83</v>
      </c>
      <c r="J1096" s="98" t="s">
        <v>3454</v>
      </c>
    </row>
    <row r="1097" spans="1:10" ht="28.9" customHeight="1" thickTop="1" thickBot="1" x14ac:dyDescent="0.65">
      <c r="A1097" s="3">
        <v>1095</v>
      </c>
      <c r="B1097" s="44" t="str">
        <f>HYPERLINK("https://search.naver.com/search.naver?query=머더리스 브루클린 영화", "머더리스 브루클린")</f>
        <v>머더리스 브루클린</v>
      </c>
      <c r="C1097" s="45">
        <v>6.4</v>
      </c>
      <c r="D1097" s="4" t="s">
        <v>1275</v>
      </c>
      <c r="E1097" s="3" t="s">
        <v>20</v>
      </c>
      <c r="F1097" s="3">
        <v>2019</v>
      </c>
      <c r="G1097" s="3" t="s">
        <v>12</v>
      </c>
      <c r="H1097" s="3" t="s">
        <v>277</v>
      </c>
      <c r="I1097" s="3" t="s">
        <v>45</v>
      </c>
      <c r="J1097" s="97" t="s">
        <v>3444</v>
      </c>
    </row>
    <row r="1098" spans="1:10" ht="28.9" customHeight="1" thickTop="1" thickBot="1" x14ac:dyDescent="0.65">
      <c r="A1098" s="5">
        <v>1096</v>
      </c>
      <c r="B1098" s="46" t="str">
        <f>HYPERLINK("https://search.naver.com/search.naver?query=머드 영화", "머드")</f>
        <v>머드</v>
      </c>
      <c r="C1098" s="47">
        <v>8.44</v>
      </c>
      <c r="D1098" s="6" t="s">
        <v>1276</v>
      </c>
      <c r="E1098" s="5" t="s">
        <v>20</v>
      </c>
      <c r="F1098" s="5">
        <v>2012</v>
      </c>
      <c r="G1098" s="5" t="s">
        <v>12</v>
      </c>
      <c r="H1098" s="5" t="s">
        <v>17</v>
      </c>
      <c r="I1098" s="5" t="s">
        <v>34</v>
      </c>
      <c r="J1098" s="98" t="s">
        <v>3439</v>
      </c>
    </row>
    <row r="1099" spans="1:10" ht="28.9" customHeight="1" thickTop="1" thickBot="1" x14ac:dyDescent="0.65">
      <c r="A1099" s="3">
        <v>1097</v>
      </c>
      <c r="B1099" s="44" t="str">
        <f>HYPERLINK("https://search.naver.com/search.naver?query=머신건 프리처 영화", "머신건 프리처")</f>
        <v>머신건 프리처</v>
      </c>
      <c r="C1099" s="45">
        <v>8.01</v>
      </c>
      <c r="D1099" s="4" t="s">
        <v>1277</v>
      </c>
      <c r="E1099" s="3" t="s">
        <v>20</v>
      </c>
      <c r="F1099" s="3">
        <v>2011</v>
      </c>
      <c r="G1099" s="3" t="s">
        <v>12</v>
      </c>
      <c r="H1099" s="3" t="s">
        <v>92</v>
      </c>
      <c r="I1099" s="3" t="s">
        <v>64</v>
      </c>
      <c r="J1099" s="97" t="s">
        <v>3454</v>
      </c>
    </row>
    <row r="1100" spans="1:10" ht="28.9" customHeight="1" thickTop="1" thickBot="1" x14ac:dyDescent="0.65">
      <c r="A1100" s="5">
        <v>1098</v>
      </c>
      <c r="B1100" s="46" t="str">
        <f>HYPERLINK("https://search.naver.com/search.naver?query=머티리얼리스트 영화", "머티리얼리스트")</f>
        <v>머티리얼리스트</v>
      </c>
      <c r="C1100" s="47">
        <v>7.29</v>
      </c>
      <c r="D1100" s="6" t="s">
        <v>1278</v>
      </c>
      <c r="E1100" s="5" t="s">
        <v>20</v>
      </c>
      <c r="F1100" s="5">
        <v>2025</v>
      </c>
      <c r="G1100" s="5" t="s">
        <v>12</v>
      </c>
      <c r="H1100" s="5" t="s">
        <v>68</v>
      </c>
      <c r="I1100" s="5" t="s">
        <v>131</v>
      </c>
      <c r="J1100" s="98" t="s">
        <v>3459</v>
      </c>
    </row>
    <row r="1101" spans="1:10" ht="28.9" customHeight="1" thickTop="1" thickBot="1" x14ac:dyDescent="0.65">
      <c r="A1101" s="3">
        <v>1099</v>
      </c>
      <c r="B1101" s="44" t="str">
        <f>HYPERLINK("https://search.naver.com/search.naver?query=먼 훗날 우리", "먼 훗날 우리")</f>
        <v>먼 훗날 우리</v>
      </c>
      <c r="C1101" s="45">
        <v>9.48</v>
      </c>
      <c r="D1101" s="4" t="s">
        <v>1279</v>
      </c>
      <c r="E1101" s="3" t="s">
        <v>136</v>
      </c>
      <c r="F1101" s="3">
        <v>2018</v>
      </c>
      <c r="G1101" s="3" t="s">
        <v>12</v>
      </c>
      <c r="H1101" s="3" t="s">
        <v>17</v>
      </c>
      <c r="I1101" s="3" t="s">
        <v>86</v>
      </c>
      <c r="J1101" s="97" t="s">
        <v>3442</v>
      </c>
    </row>
    <row r="1102" spans="1:10" ht="28.9" customHeight="1" thickTop="1" thickBot="1" x14ac:dyDescent="0.65">
      <c r="A1102" s="5">
        <v>1100</v>
      </c>
      <c r="B1102" s="46" t="str">
        <f>HYPERLINK("https://search.naver.com/search.naver?query=멀리서 늘 곁에 있어 영화", "멀리서 늘 곁에 있어")</f>
        <v>멀리서 늘 곁에 있어</v>
      </c>
      <c r="C1102" s="47">
        <v>6.4</v>
      </c>
      <c r="D1102" s="6"/>
      <c r="E1102" s="5" t="s">
        <v>16</v>
      </c>
      <c r="F1102" s="5">
        <v>2013</v>
      </c>
      <c r="G1102" s="5" t="s">
        <v>12</v>
      </c>
      <c r="H1102" s="5" t="s">
        <v>17</v>
      </c>
      <c r="I1102" s="5" t="s">
        <v>14</v>
      </c>
      <c r="J1102" s="98" t="s">
        <v>3451</v>
      </c>
    </row>
    <row r="1103" spans="1:10" ht="28.9" customHeight="1" thickTop="1" thickBot="1" x14ac:dyDescent="0.65">
      <c r="A1103" s="3">
        <v>1101</v>
      </c>
      <c r="B1103" s="44" t="str">
        <f>HYPERLINK("https://search.naver.com/search.naver?query=멋진 녀석들 영화", "멋진 녀석들")</f>
        <v>멋진 녀석들</v>
      </c>
      <c r="C1103" s="45">
        <v>8.57</v>
      </c>
      <c r="D1103" s="4" t="s">
        <v>1280</v>
      </c>
      <c r="E1103" s="3" t="s">
        <v>20</v>
      </c>
      <c r="F1103" s="3">
        <v>2016</v>
      </c>
      <c r="G1103" s="3" t="s">
        <v>12</v>
      </c>
      <c r="H1103" s="3" t="s">
        <v>223</v>
      </c>
      <c r="I1103" s="3" t="s">
        <v>366</v>
      </c>
      <c r="J1103" s="97" t="s">
        <v>3441</v>
      </c>
    </row>
    <row r="1104" spans="1:10" ht="28.9" customHeight="1" thickTop="1" thickBot="1" x14ac:dyDescent="0.65">
      <c r="A1104" s="5">
        <v>1102</v>
      </c>
      <c r="B1104" s="46" t="str">
        <f>HYPERLINK("https://search.naver.com/search.naver?query=멋진 세계 영화", "멋진 세계")</f>
        <v>멋진 세계</v>
      </c>
      <c r="C1104" s="47">
        <v>8.02</v>
      </c>
      <c r="D1104" s="6" t="s">
        <v>1281</v>
      </c>
      <c r="E1104" s="5" t="s">
        <v>16</v>
      </c>
      <c r="F1104" s="5">
        <v>2020</v>
      </c>
      <c r="G1104" s="5" t="s">
        <v>12</v>
      </c>
      <c r="H1104" s="5" t="s">
        <v>17</v>
      </c>
      <c r="I1104" s="5" t="s">
        <v>280</v>
      </c>
      <c r="J1104" s="98" t="s">
        <v>3436</v>
      </c>
    </row>
    <row r="1105" spans="1:10" ht="28.9" customHeight="1" thickTop="1" thickBot="1" x14ac:dyDescent="0.65">
      <c r="A1105" s="3">
        <v>1103</v>
      </c>
      <c r="B1105" s="44" t="str">
        <f>HYPERLINK("https://search.naver.com/search.naver?query=멋진 악몽 영화", "멋진 악몽")</f>
        <v>멋진 악몽</v>
      </c>
      <c r="C1105" s="45">
        <v>8.24</v>
      </c>
      <c r="D1105" s="4" t="s">
        <v>1282</v>
      </c>
      <c r="E1105" s="3" t="s">
        <v>16</v>
      </c>
      <c r="F1105" s="3">
        <v>2012</v>
      </c>
      <c r="G1105" s="3" t="s">
        <v>12</v>
      </c>
      <c r="H1105" s="3" t="s">
        <v>68</v>
      </c>
      <c r="I1105" s="3" t="s">
        <v>237</v>
      </c>
      <c r="J1105" s="97" t="s">
        <v>3439</v>
      </c>
    </row>
    <row r="1106" spans="1:10" ht="28.9" customHeight="1" thickTop="1" thickBot="1" x14ac:dyDescent="0.65">
      <c r="A1106" s="5">
        <v>1104</v>
      </c>
      <c r="B1106" s="46" t="str">
        <f>HYPERLINK("https://search.naver.com/search.naver?query=멋진하루 영화", "멋진하루")</f>
        <v>멋진하루</v>
      </c>
      <c r="C1106" s="47">
        <v>8.27</v>
      </c>
      <c r="D1106" s="6" t="s">
        <v>1283</v>
      </c>
      <c r="E1106" s="5" t="s">
        <v>11</v>
      </c>
      <c r="F1106" s="5">
        <v>2008</v>
      </c>
      <c r="G1106" s="5" t="s">
        <v>12</v>
      </c>
      <c r="H1106" s="5" t="s">
        <v>17</v>
      </c>
      <c r="I1106" s="5" t="s">
        <v>58</v>
      </c>
      <c r="J1106" s="98" t="s">
        <v>3450</v>
      </c>
    </row>
    <row r="1107" spans="1:10" ht="28.9" customHeight="1" thickTop="1" thickBot="1" x14ac:dyDescent="0.65">
      <c r="A1107" s="3">
        <v>1105</v>
      </c>
      <c r="B1107" s="44" t="str">
        <f>HYPERLINK("https://search.naver.com/search.naver?query=메가로돈 영화", "메가로돈")</f>
        <v>메가로돈</v>
      </c>
      <c r="C1107" s="45">
        <v>5.49</v>
      </c>
      <c r="D1107" s="4" t="s">
        <v>1284</v>
      </c>
      <c r="E1107" s="3" t="s">
        <v>20</v>
      </c>
      <c r="F1107" s="3">
        <v>2018</v>
      </c>
      <c r="G1107" s="3" t="s">
        <v>12</v>
      </c>
      <c r="H1107" s="3" t="s">
        <v>92</v>
      </c>
      <c r="I1107" s="3" t="s">
        <v>73</v>
      </c>
      <c r="J1107" s="97" t="s">
        <v>3442</v>
      </c>
    </row>
    <row r="1108" spans="1:10" ht="28.9" customHeight="1" thickTop="1" thickBot="1" x14ac:dyDescent="0.65">
      <c r="A1108" s="5">
        <v>1106</v>
      </c>
      <c r="B1108" s="46" t="str">
        <f>HYPERLINK("https://search.naver.com/search.naver?query=메건 리비 영화", "메건 리비")</f>
        <v>메건 리비</v>
      </c>
      <c r="C1108" s="47">
        <v>6.4</v>
      </c>
      <c r="D1108" s="6" t="s">
        <v>1285</v>
      </c>
      <c r="E1108" s="5" t="s">
        <v>20</v>
      </c>
      <c r="F1108" s="5">
        <v>2017</v>
      </c>
      <c r="G1108" s="5" t="s">
        <v>12</v>
      </c>
      <c r="H1108" s="5" t="s">
        <v>17</v>
      </c>
      <c r="I1108" s="5" t="s">
        <v>366</v>
      </c>
      <c r="J1108" s="98" t="s">
        <v>3443</v>
      </c>
    </row>
    <row r="1109" spans="1:10" ht="28.9" customHeight="1" thickTop="1" thickBot="1" x14ac:dyDescent="0.65">
      <c r="A1109" s="3">
        <v>1107</v>
      </c>
      <c r="B1109" s="44" t="str">
        <f>HYPERLINK("https://search.naver.com/search.naver?query=메루 영화", "메루")</f>
        <v>메루</v>
      </c>
      <c r="C1109" s="45"/>
      <c r="D1109" s="4" t="s">
        <v>1286</v>
      </c>
      <c r="E1109" s="3" t="s">
        <v>20</v>
      </c>
      <c r="F1109" s="3">
        <v>2015</v>
      </c>
      <c r="G1109" s="3" t="s">
        <v>12</v>
      </c>
      <c r="H1109" s="3" t="s">
        <v>160</v>
      </c>
      <c r="I1109" s="3" t="s">
        <v>115</v>
      </c>
      <c r="J1109" s="97" t="s">
        <v>3440</v>
      </c>
    </row>
    <row r="1110" spans="1:10" ht="28.9" customHeight="1" thickTop="1" thickBot="1" x14ac:dyDescent="0.65">
      <c r="A1110" s="5">
        <v>1108</v>
      </c>
      <c r="B1110" s="46" t="str">
        <f>HYPERLINK("https://search.naver.com/search.naver?query=메리 영화", "메리")</f>
        <v>메리</v>
      </c>
      <c r="C1110" s="47">
        <v>6.4</v>
      </c>
      <c r="D1110" s="6" t="s">
        <v>1287</v>
      </c>
      <c r="E1110" s="5" t="s">
        <v>20</v>
      </c>
      <c r="F1110" s="5">
        <v>2019</v>
      </c>
      <c r="G1110" s="5" t="s">
        <v>12</v>
      </c>
      <c r="H1110" s="5" t="s">
        <v>252</v>
      </c>
      <c r="I1110" s="5" t="s">
        <v>952</v>
      </c>
      <c r="J1110" s="98" t="s">
        <v>3444</v>
      </c>
    </row>
    <row r="1111" spans="1:10" ht="28.9" customHeight="1" thickTop="1" thickBot="1" x14ac:dyDescent="0.65">
      <c r="A1111" s="3">
        <v>1109</v>
      </c>
      <c r="B1111" s="44" t="str">
        <f>HYPERLINK("https://search.naver.com/search.naver?query=메리 미 영화", "메리 미")</f>
        <v>메리 미</v>
      </c>
      <c r="C1111" s="45"/>
      <c r="D1111" s="4" t="s">
        <v>1288</v>
      </c>
      <c r="E1111" s="3" t="s">
        <v>20</v>
      </c>
      <c r="F1111" s="3">
        <v>2022</v>
      </c>
      <c r="G1111" s="3" t="s">
        <v>12</v>
      </c>
      <c r="H1111" s="3" t="s">
        <v>121</v>
      </c>
      <c r="I1111" s="3" t="s">
        <v>278</v>
      </c>
      <c r="J1111" s="97" t="s">
        <v>3445</v>
      </c>
    </row>
    <row r="1112" spans="1:10" ht="28.9" customHeight="1" thickTop="1" thickBot="1" x14ac:dyDescent="0.65">
      <c r="A1112" s="5">
        <v>1110</v>
      </c>
      <c r="B1112" s="46" t="str">
        <f>HYPERLINK("https://search.naver.com/search.naver?query=메멘토 영화", "메멘토")</f>
        <v>메멘토</v>
      </c>
      <c r="C1112" s="47">
        <v>9.0500000000000007</v>
      </c>
      <c r="D1112" s="6" t="s">
        <v>1289</v>
      </c>
      <c r="E1112" s="5" t="s">
        <v>20</v>
      </c>
      <c r="F1112" s="5">
        <v>2000</v>
      </c>
      <c r="G1112" s="5" t="s">
        <v>12</v>
      </c>
      <c r="H1112" s="5" t="s">
        <v>43</v>
      </c>
      <c r="I1112" s="5" t="s">
        <v>73</v>
      </c>
      <c r="J1112" s="98" t="s">
        <v>3458</v>
      </c>
    </row>
    <row r="1113" spans="1:10" ht="28.9" customHeight="1" thickTop="1" thickBot="1" x14ac:dyDescent="0.65">
      <c r="A1113" s="3">
        <v>1111</v>
      </c>
      <c r="B1113" s="44" t="str">
        <f>HYPERLINK("https://search.naver.com/search.naver?query=메모리 영화", "메모리")</f>
        <v>메모리</v>
      </c>
      <c r="C1113" s="45">
        <v>3.83</v>
      </c>
      <c r="D1113" s="4" t="s">
        <v>1290</v>
      </c>
      <c r="E1113" s="3" t="s">
        <v>20</v>
      </c>
      <c r="F1113" s="3">
        <v>2022</v>
      </c>
      <c r="G1113" s="3" t="s">
        <v>12</v>
      </c>
      <c r="H1113" s="3" t="s">
        <v>92</v>
      </c>
      <c r="I1113" s="3" t="s">
        <v>207</v>
      </c>
      <c r="J1113" s="97" t="s">
        <v>3445</v>
      </c>
    </row>
    <row r="1114" spans="1:10" ht="28.9" customHeight="1" thickTop="1" thickBot="1" x14ac:dyDescent="0.65">
      <c r="A1114" s="7">
        <v>1112</v>
      </c>
      <c r="B1114" s="48" t="str">
        <f>HYPERLINK("https://search.naver.com/search.naver?query=메시아 시즌1", "메시아 시즌1")</f>
        <v>메시아 시즌1</v>
      </c>
      <c r="C1114" s="49"/>
      <c r="D1114" s="8" t="s">
        <v>1291</v>
      </c>
      <c r="E1114" s="7" t="s">
        <v>20</v>
      </c>
      <c r="F1114" s="7">
        <v>2020</v>
      </c>
      <c r="G1114" s="7" t="s">
        <v>17</v>
      </c>
      <c r="H1114" s="7" t="s">
        <v>17</v>
      </c>
      <c r="I1114" s="7" t="s">
        <v>50</v>
      </c>
      <c r="J1114" s="99" t="s">
        <v>3436</v>
      </c>
    </row>
    <row r="1115" spans="1:10" ht="28.9" customHeight="1" thickTop="1" thickBot="1" x14ac:dyDescent="0.65">
      <c r="A1115" s="3">
        <v>1113</v>
      </c>
      <c r="B1115" s="44" t="str">
        <f>HYPERLINK("https://search.naver.com/search.naver?query=메시지 맨 영화", "메시지 맨")</f>
        <v>메시지 맨</v>
      </c>
      <c r="C1115" s="45">
        <v>6.4</v>
      </c>
      <c r="D1115" s="4" t="s">
        <v>1292</v>
      </c>
      <c r="E1115" s="3" t="s">
        <v>36</v>
      </c>
      <c r="F1115" s="3">
        <v>2018</v>
      </c>
      <c r="G1115" s="3" t="s">
        <v>12</v>
      </c>
      <c r="H1115" s="3" t="s">
        <v>92</v>
      </c>
      <c r="I1115" s="3" t="s">
        <v>147</v>
      </c>
      <c r="J1115" s="97" t="s">
        <v>3442</v>
      </c>
    </row>
    <row r="1116" spans="1:10" ht="28.9" customHeight="1" thickTop="1" thickBot="1" x14ac:dyDescent="0.65">
      <c r="A1116" s="7">
        <v>1114</v>
      </c>
      <c r="B1116" s="48" t="str">
        <f>HYPERLINK("https://search.naver.com/search.naver?query=메어 오브 이스트타운", "메어 오브 이스트타운")</f>
        <v>메어 오브 이스트타운</v>
      </c>
      <c r="C1116" s="49"/>
      <c r="D1116" s="8" t="s">
        <v>1293</v>
      </c>
      <c r="E1116" s="7" t="s">
        <v>20</v>
      </c>
      <c r="F1116" s="7">
        <v>2021</v>
      </c>
      <c r="G1116" s="7" t="s">
        <v>17</v>
      </c>
      <c r="H1116" s="7" t="s">
        <v>85</v>
      </c>
      <c r="I1116" s="7" t="s">
        <v>324</v>
      </c>
      <c r="J1116" s="99" t="s">
        <v>3438</v>
      </c>
    </row>
    <row r="1117" spans="1:10" ht="28.9" customHeight="1" thickTop="1" thickBot="1" x14ac:dyDescent="0.65">
      <c r="A1117" s="3">
        <v>1115</v>
      </c>
      <c r="B1117" s="44" t="str">
        <f>HYPERLINK("https://search.naver.com/search.naver?query=메이 디셈버 영화", "메이 디셈버")</f>
        <v>메이 디셈버</v>
      </c>
      <c r="C1117" s="45">
        <v>7.26</v>
      </c>
      <c r="D1117" s="4" t="s">
        <v>1294</v>
      </c>
      <c r="E1117" s="3" t="s">
        <v>20</v>
      </c>
      <c r="F1117" s="3">
        <v>2023</v>
      </c>
      <c r="G1117" s="3" t="s">
        <v>12</v>
      </c>
      <c r="H1117" s="3" t="s">
        <v>17</v>
      </c>
      <c r="I1117" s="3" t="s">
        <v>73</v>
      </c>
      <c r="J1117" s="97" t="s">
        <v>3446</v>
      </c>
    </row>
    <row r="1118" spans="1:10" ht="28.9" customHeight="1" thickTop="1" thickBot="1" x14ac:dyDescent="0.65">
      <c r="A1118" s="7">
        <v>1116</v>
      </c>
      <c r="B1118" s="48" t="str">
        <f>HYPERLINK("https://search.naver.com/search.naver?query=메이드인코리아", "메이드인코리아")</f>
        <v>메이드인코리아</v>
      </c>
      <c r="C1118" s="49"/>
      <c r="D1118" s="8" t="s">
        <v>1295</v>
      </c>
      <c r="E1118" s="7" t="s">
        <v>11</v>
      </c>
      <c r="F1118" s="7">
        <v>2025</v>
      </c>
      <c r="G1118" s="7" t="s">
        <v>17</v>
      </c>
      <c r="H1118" s="7" t="s">
        <v>17</v>
      </c>
      <c r="I1118" s="7" t="s">
        <v>173</v>
      </c>
      <c r="J1118" s="99" t="s">
        <v>3459</v>
      </c>
    </row>
    <row r="1119" spans="1:10" ht="28.9" customHeight="1" thickTop="1" thickBot="1" x14ac:dyDescent="0.65">
      <c r="A1119" s="7">
        <v>1117</v>
      </c>
      <c r="B1119" s="48" t="str">
        <f>HYPERLINK("https://search.naver.com/search.naver?query=메이어 오브 킹스타운 시즌1", "메이어 오브 킹스타운 시즌1")</f>
        <v>메이어 오브 킹스타운 시즌1</v>
      </c>
      <c r="C1119" s="49"/>
      <c r="D1119" s="8" t="s">
        <v>1296</v>
      </c>
      <c r="E1119" s="7" t="s">
        <v>20</v>
      </c>
      <c r="F1119" s="7">
        <v>2022</v>
      </c>
      <c r="G1119" s="7" t="s">
        <v>17</v>
      </c>
      <c r="H1119" s="7" t="s">
        <v>17</v>
      </c>
      <c r="I1119" s="7" t="s">
        <v>50</v>
      </c>
      <c r="J1119" s="99" t="s">
        <v>3445</v>
      </c>
    </row>
    <row r="1120" spans="1:10" ht="28.9" customHeight="1" thickTop="1" thickBot="1" x14ac:dyDescent="0.65">
      <c r="A1120" s="7">
        <v>1118</v>
      </c>
      <c r="B1120" s="48" t="str">
        <f>HYPERLINK("https://search.naver.com/search.naver?query=메이어 오브 킹스타운 시즌2", "메이어 오브 킹스타운 시즌2")</f>
        <v>메이어 오브 킹스타운 시즌2</v>
      </c>
      <c r="C1120" s="49"/>
      <c r="D1120" s="8" t="s">
        <v>1296</v>
      </c>
      <c r="E1120" s="7" t="s">
        <v>20</v>
      </c>
      <c r="F1120" s="7">
        <v>2023</v>
      </c>
      <c r="G1120" s="7" t="s">
        <v>17</v>
      </c>
      <c r="H1120" s="7" t="s">
        <v>17</v>
      </c>
      <c r="I1120" s="7" t="s">
        <v>50</v>
      </c>
      <c r="J1120" s="99" t="s">
        <v>3446</v>
      </c>
    </row>
    <row r="1121" spans="1:10" ht="28.9" customHeight="1" thickTop="1" thickBot="1" x14ac:dyDescent="0.65">
      <c r="A1121" s="3">
        <v>1119</v>
      </c>
      <c r="B1121" s="44" t="str">
        <f>HYPERLINK("https://search.naver.com/search.naver?query=메이지가 알고 있었던 일 영화", "메이지가 알고 있었던 일")</f>
        <v>메이지가 알고 있었던 일</v>
      </c>
      <c r="C1121" s="45">
        <v>8.1999999999999993</v>
      </c>
      <c r="D1121" s="4" t="s">
        <v>1297</v>
      </c>
      <c r="E1121" s="3" t="s">
        <v>20</v>
      </c>
      <c r="F1121" s="3">
        <v>2012</v>
      </c>
      <c r="G1121" s="3" t="s">
        <v>12</v>
      </c>
      <c r="H1121" s="3" t="s">
        <v>17</v>
      </c>
      <c r="I1121" s="3" t="s">
        <v>81</v>
      </c>
      <c r="J1121" s="97" t="s">
        <v>3439</v>
      </c>
    </row>
    <row r="1122" spans="1:10" ht="28.9" customHeight="1" thickTop="1" thickBot="1" x14ac:dyDescent="0.65">
      <c r="A1122" s="7">
        <v>1120</v>
      </c>
      <c r="B1122" s="48" t="str">
        <f>HYPERLINK("https://search.naver.com/search.naver?query=메종 드 폴리스", "메종 드 폴리스")</f>
        <v>메종 드 폴리스</v>
      </c>
      <c r="C1122" s="49"/>
      <c r="D1122" s="8" t="s">
        <v>1298</v>
      </c>
      <c r="E1122" s="7" t="s">
        <v>16</v>
      </c>
      <c r="F1122" s="7">
        <v>2019</v>
      </c>
      <c r="G1122" s="7" t="s">
        <v>17</v>
      </c>
      <c r="H1122" s="7" t="s">
        <v>17</v>
      </c>
      <c r="I1122" s="7" t="s">
        <v>50</v>
      </c>
      <c r="J1122" s="99" t="s">
        <v>3444</v>
      </c>
    </row>
    <row r="1123" spans="1:10" ht="28.9" customHeight="1" thickTop="1" thickBot="1" x14ac:dyDescent="0.65">
      <c r="A1123" s="3">
        <v>1121</v>
      </c>
      <c r="B1123" s="44" t="str">
        <f>HYPERLINK("https://search.naver.com/search.naver?query=멘, 우먼 &amp; 칠드런 영화", "멘, 우먼 &amp; 칠드런")</f>
        <v>멘, 우먼 &amp; 칠드런</v>
      </c>
      <c r="C1123" s="45">
        <v>3.83</v>
      </c>
      <c r="D1123" s="4" t="s">
        <v>1299</v>
      </c>
      <c r="E1123" s="3" t="s">
        <v>20</v>
      </c>
      <c r="F1123" s="3">
        <v>2014</v>
      </c>
      <c r="G1123" s="3" t="s">
        <v>12</v>
      </c>
      <c r="H1123" s="3" t="s">
        <v>17</v>
      </c>
      <c r="I1123" s="3" t="s">
        <v>53</v>
      </c>
      <c r="J1123" s="97" t="s">
        <v>3437</v>
      </c>
    </row>
    <row r="1124" spans="1:10" ht="28.9" customHeight="1" thickTop="1" thickBot="1" x14ac:dyDescent="0.65">
      <c r="A1124" s="7">
        <v>1122</v>
      </c>
      <c r="B1124" s="48" t="str">
        <f>HYPERLINK("https://search.naver.com/search.naver?query=멘탈리스트 시즌1", "멘탈리스트 시즌1")</f>
        <v>멘탈리스트 시즌1</v>
      </c>
      <c r="C1124" s="49"/>
      <c r="D1124" s="8" t="s">
        <v>1300</v>
      </c>
      <c r="E1124" s="7" t="s">
        <v>20</v>
      </c>
      <c r="F1124" s="7">
        <v>2008</v>
      </c>
      <c r="G1124" s="7" t="s">
        <v>17</v>
      </c>
      <c r="H1124" s="7" t="s">
        <v>1301</v>
      </c>
      <c r="I1124" s="7" t="s">
        <v>355</v>
      </c>
      <c r="J1124" s="99" t="s">
        <v>3450</v>
      </c>
    </row>
    <row r="1125" spans="1:10" ht="28.9" customHeight="1" thickTop="1" thickBot="1" x14ac:dyDescent="0.65">
      <c r="A1125" s="3">
        <v>1123</v>
      </c>
      <c r="B1125" s="44" t="str">
        <f>HYPERLINK("https://search.naver.com/search.naver?query=명당 영화", "명당")</f>
        <v>명당</v>
      </c>
      <c r="C1125" s="45">
        <v>7.75</v>
      </c>
      <c r="D1125" s="4" t="s">
        <v>1302</v>
      </c>
      <c r="E1125" s="3" t="s">
        <v>11</v>
      </c>
      <c r="F1125" s="3">
        <v>2018</v>
      </c>
      <c r="G1125" s="3" t="s">
        <v>12</v>
      </c>
      <c r="H1125" s="3" t="s">
        <v>873</v>
      </c>
      <c r="I1125" s="3" t="s">
        <v>78</v>
      </c>
      <c r="J1125" s="97" t="s">
        <v>3442</v>
      </c>
    </row>
    <row r="1126" spans="1:10" ht="28.9" customHeight="1" thickTop="1" thickBot="1" x14ac:dyDescent="0.65">
      <c r="A1126" s="5">
        <v>1124</v>
      </c>
      <c r="B1126" s="46" t="str">
        <f>HYPERLINK("https://search.naver.com/search.naver?query=명량 영화", "명량")</f>
        <v>명량</v>
      </c>
      <c r="C1126" s="47">
        <v>8.8800000000000008</v>
      </c>
      <c r="D1126" s="6" t="s">
        <v>1303</v>
      </c>
      <c r="E1126" s="5" t="s">
        <v>11</v>
      </c>
      <c r="F1126" s="5">
        <v>2014</v>
      </c>
      <c r="G1126" s="5" t="s">
        <v>12</v>
      </c>
      <c r="H1126" s="5" t="s">
        <v>873</v>
      </c>
      <c r="I1126" s="5" t="s">
        <v>108</v>
      </c>
      <c r="J1126" s="98" t="s">
        <v>3437</v>
      </c>
    </row>
    <row r="1127" spans="1:10" ht="28.9" customHeight="1" thickTop="1" thickBot="1" x14ac:dyDescent="0.65">
      <c r="A1127" s="3">
        <v>1125</v>
      </c>
      <c r="B1127" s="44" t="str">
        <f>HYPERLINK("https://search.naver.com/search.naver?query=명운화장사 영화", "명운화장사")</f>
        <v>명운화장사</v>
      </c>
      <c r="C1127" s="45"/>
      <c r="D1127" s="4" t="s">
        <v>1304</v>
      </c>
      <c r="E1127" s="3" t="s">
        <v>375</v>
      </c>
      <c r="F1127" s="3">
        <v>2011</v>
      </c>
      <c r="G1127" s="3" t="s">
        <v>12</v>
      </c>
      <c r="H1127" s="3" t="s">
        <v>17</v>
      </c>
      <c r="I1127" s="3" t="s">
        <v>75</v>
      </c>
      <c r="J1127" s="97" t="s">
        <v>3454</v>
      </c>
    </row>
    <row r="1128" spans="1:10" ht="28.9" customHeight="1" thickTop="1" thickBot="1" x14ac:dyDescent="0.65">
      <c r="A1128" s="5">
        <v>1126</v>
      </c>
      <c r="B1128" s="46" t="str">
        <f>HYPERLINK("https://search.naver.com/search.naver?query=모가디슈 영화", "모가디슈")</f>
        <v>모가디슈</v>
      </c>
      <c r="C1128" s="47">
        <v>8.6199999999999992</v>
      </c>
      <c r="D1128" s="6" t="s">
        <v>1305</v>
      </c>
      <c r="E1128" s="5" t="s">
        <v>11</v>
      </c>
      <c r="F1128" s="5">
        <v>2021</v>
      </c>
      <c r="G1128" s="5" t="s">
        <v>12</v>
      </c>
      <c r="H1128" s="5" t="s">
        <v>92</v>
      </c>
      <c r="I1128" s="5" t="s">
        <v>142</v>
      </c>
      <c r="J1128" s="98" t="s">
        <v>3438</v>
      </c>
    </row>
    <row r="1129" spans="1:10" ht="28.9" customHeight="1" thickTop="1" thickBot="1" x14ac:dyDescent="0.65">
      <c r="A1129" s="3">
        <v>1127</v>
      </c>
      <c r="B1129" s="44" t="str">
        <f>HYPERLINK("https://search.naver.com/search.naver?query=모나리자 스마일 영화", "모나리자 스마일")</f>
        <v>모나리자 스마일</v>
      </c>
      <c r="C1129" s="45">
        <v>8.1199999999999992</v>
      </c>
      <c r="D1129" s="4" t="s">
        <v>1306</v>
      </c>
      <c r="E1129" s="3" t="s">
        <v>20</v>
      </c>
      <c r="F1129" s="3">
        <v>2003</v>
      </c>
      <c r="G1129" s="3" t="s">
        <v>12</v>
      </c>
      <c r="H1129" s="3" t="s">
        <v>17</v>
      </c>
      <c r="I1129" s="3" t="s">
        <v>89</v>
      </c>
      <c r="J1129" s="97" t="s">
        <v>3449</v>
      </c>
    </row>
    <row r="1130" spans="1:10" ht="28.9" customHeight="1" thickTop="1" thickBot="1" x14ac:dyDescent="0.65">
      <c r="A1130" s="5">
        <v>1128</v>
      </c>
      <c r="B1130" s="46" t="str">
        <f>HYPERLINK("https://search.naver.com/search.naver?query=모놀리스 영화", "모놀리스")</f>
        <v>모놀리스</v>
      </c>
      <c r="C1130" s="47">
        <v>4.0599999999999996</v>
      </c>
      <c r="D1130" s="6" t="s">
        <v>1307</v>
      </c>
      <c r="E1130" s="5" t="s">
        <v>20</v>
      </c>
      <c r="F1130" s="5">
        <v>2016</v>
      </c>
      <c r="G1130" s="5" t="s">
        <v>12</v>
      </c>
      <c r="H1130" s="5" t="s">
        <v>520</v>
      </c>
      <c r="I1130" s="5" t="s">
        <v>115</v>
      </c>
      <c r="J1130" s="98" t="s">
        <v>3441</v>
      </c>
    </row>
    <row r="1131" spans="1:10" ht="28.9" customHeight="1" thickTop="1" thickBot="1" x14ac:dyDescent="0.65">
      <c r="A1131" s="3">
        <v>1129</v>
      </c>
      <c r="B1131" s="44" t="str">
        <f>HYPERLINK("https://search.naver.com/search.naver?query=모뉴먼츠 맨 - 세기의 작전 영화", "모뉴먼츠 맨 - 세기의 작전")</f>
        <v>모뉴먼츠 맨 - 세기의 작전</v>
      </c>
      <c r="C1131" s="45"/>
      <c r="D1131" s="4" t="s">
        <v>1308</v>
      </c>
      <c r="E1131" s="3" t="s">
        <v>20</v>
      </c>
      <c r="F1131" s="3">
        <v>2014</v>
      </c>
      <c r="G1131" s="3" t="s">
        <v>12</v>
      </c>
      <c r="H1131" s="3" t="s">
        <v>92</v>
      </c>
      <c r="I1131" s="3" t="s">
        <v>221</v>
      </c>
      <c r="J1131" s="97" t="s">
        <v>3437</v>
      </c>
    </row>
    <row r="1132" spans="1:10" ht="28.9" customHeight="1" thickTop="1" thickBot="1" x14ac:dyDescent="0.65">
      <c r="A1132" s="5">
        <v>1130</v>
      </c>
      <c r="B1132" s="46" t="str">
        <f>HYPERLINK("https://search.naver.com/search.naver?query=모데카이 영화", "모데카이")</f>
        <v>모데카이</v>
      </c>
      <c r="C1132" s="47">
        <v>7.46</v>
      </c>
      <c r="D1132" s="6" t="s">
        <v>1309</v>
      </c>
      <c r="E1132" s="5" t="s">
        <v>20</v>
      </c>
      <c r="F1132" s="5">
        <v>2015</v>
      </c>
      <c r="G1132" s="5" t="s">
        <v>12</v>
      </c>
      <c r="H1132" s="5" t="s">
        <v>92</v>
      </c>
      <c r="I1132" s="5" t="s">
        <v>75</v>
      </c>
      <c r="J1132" s="98" t="s">
        <v>3440</v>
      </c>
    </row>
    <row r="1133" spans="1:10" ht="28.9" customHeight="1" thickTop="1" thickBot="1" x14ac:dyDescent="0.65">
      <c r="A1133" s="3">
        <v>1131</v>
      </c>
      <c r="B1133" s="44" t="str">
        <f>HYPERLINK("https://search.naver.com/search.naver?query=모든 비밀스러운 것들 영화", "모든 비밀스러운 것들")</f>
        <v>모든 비밀스러운 것들</v>
      </c>
      <c r="C1133" s="45">
        <v>8.25</v>
      </c>
      <c r="D1133" s="4" t="s">
        <v>1310</v>
      </c>
      <c r="E1133" s="3" t="s">
        <v>20</v>
      </c>
      <c r="F1133" s="3">
        <v>2014</v>
      </c>
      <c r="G1133" s="3" t="s">
        <v>12</v>
      </c>
      <c r="H1133" s="3" t="s">
        <v>17</v>
      </c>
      <c r="I1133" s="3" t="s">
        <v>111</v>
      </c>
      <c r="J1133" s="97" t="s">
        <v>3437</v>
      </c>
    </row>
    <row r="1134" spans="1:10" ht="28.9" customHeight="1" thickTop="1" thickBot="1" x14ac:dyDescent="0.65">
      <c r="A1134" s="5">
        <v>1132</v>
      </c>
      <c r="B1134" s="46" t="str">
        <f>HYPERLINK("https://search.naver.com/search.naver?query=모라토리움기의 다마코 영화", "모라토리움기의 다마코")</f>
        <v>모라토리움기의 다마코</v>
      </c>
      <c r="C1134" s="47">
        <v>7.96</v>
      </c>
      <c r="D1134" s="6" t="s">
        <v>1311</v>
      </c>
      <c r="E1134" s="5" t="s">
        <v>16</v>
      </c>
      <c r="F1134" s="5">
        <v>2013</v>
      </c>
      <c r="G1134" s="5" t="s">
        <v>12</v>
      </c>
      <c r="H1134" s="5" t="s">
        <v>17</v>
      </c>
      <c r="I1134" s="5" t="s">
        <v>1312</v>
      </c>
      <c r="J1134" s="98" t="s">
        <v>3451</v>
      </c>
    </row>
    <row r="1135" spans="1:10" ht="28.9" customHeight="1" thickTop="1" thickBot="1" x14ac:dyDescent="0.65">
      <c r="A1135" s="3">
        <v>1133</v>
      </c>
      <c r="B1135" s="44" t="str">
        <f>HYPERLINK("https://search.naver.com/search.naver?query=모래와 안개의 집 영화", "모래와 안개의 집")</f>
        <v>모래와 안개의 집</v>
      </c>
      <c r="C1135" s="45">
        <v>8.42</v>
      </c>
      <c r="D1135" s="4" t="s">
        <v>1313</v>
      </c>
      <c r="E1135" s="3" t="s">
        <v>20</v>
      </c>
      <c r="F1135" s="3">
        <v>2003</v>
      </c>
      <c r="G1135" s="3" t="s">
        <v>12</v>
      </c>
      <c r="H1135" s="3" t="s">
        <v>17</v>
      </c>
      <c r="I1135" s="3" t="s">
        <v>78</v>
      </c>
      <c r="J1135" s="97" t="s">
        <v>3449</v>
      </c>
    </row>
    <row r="1136" spans="1:10" ht="28.9" customHeight="1" thickTop="1" thickBot="1" x14ac:dyDescent="0.65">
      <c r="A1136" s="5">
        <v>1134</v>
      </c>
      <c r="B1136" s="46" t="str">
        <f>HYPERLINK("https://search.naver.com/search.naver?query=모리타니안 영화", "모리타니안")</f>
        <v>모리타니안</v>
      </c>
      <c r="C1136" s="47">
        <v>8.6300000000000008</v>
      </c>
      <c r="D1136" s="6" t="s">
        <v>1314</v>
      </c>
      <c r="E1136" s="5" t="s">
        <v>24</v>
      </c>
      <c r="F1136" s="5">
        <v>2021</v>
      </c>
      <c r="G1136" s="5" t="s">
        <v>12</v>
      </c>
      <c r="H1136" s="5" t="s">
        <v>17</v>
      </c>
      <c r="I1136" s="5" t="s">
        <v>64</v>
      </c>
      <c r="J1136" s="98" t="s">
        <v>3438</v>
      </c>
    </row>
    <row r="1137" spans="1:10" ht="28.9" customHeight="1" thickTop="1" thickBot="1" x14ac:dyDescent="0.65">
      <c r="A1137" s="3">
        <v>1135</v>
      </c>
      <c r="B1137" s="44" t="str">
        <f>HYPERLINK("https://search.naver.com/search.naver?query=모멘텀 영화", "모멘텀")</f>
        <v>모멘텀</v>
      </c>
      <c r="C1137" s="45"/>
      <c r="D1137" s="4" t="s">
        <v>1315</v>
      </c>
      <c r="E1137" s="3" t="s">
        <v>1316</v>
      </c>
      <c r="F1137" s="3">
        <v>2015</v>
      </c>
      <c r="G1137" s="3" t="s">
        <v>12</v>
      </c>
      <c r="H1137" s="3" t="s">
        <v>92</v>
      </c>
      <c r="I1137" s="3" t="s">
        <v>61</v>
      </c>
      <c r="J1137" s="97" t="s">
        <v>3440</v>
      </c>
    </row>
    <row r="1138" spans="1:10" ht="28.9" customHeight="1" thickTop="1" thickBot="1" x14ac:dyDescent="0.65">
      <c r="A1138" s="7">
        <v>1136</v>
      </c>
      <c r="B1138" s="48" t="str">
        <f>HYPERLINK("https://search.naver.com/search.naver?query=모범가족", "모범가족")</f>
        <v>모범가족</v>
      </c>
      <c r="C1138" s="49"/>
      <c r="D1138" s="8" t="s">
        <v>1317</v>
      </c>
      <c r="E1138" s="7" t="s">
        <v>11</v>
      </c>
      <c r="F1138" s="7">
        <v>2022</v>
      </c>
      <c r="G1138" s="7" t="s">
        <v>17</v>
      </c>
      <c r="H1138" s="7" t="s">
        <v>85</v>
      </c>
      <c r="I1138" s="7" t="s">
        <v>50</v>
      </c>
      <c r="J1138" s="99" t="s">
        <v>3445</v>
      </c>
    </row>
    <row r="1139" spans="1:10" ht="28.9" customHeight="1" thickTop="1" thickBot="1" x14ac:dyDescent="0.65">
      <c r="A1139" s="3">
        <v>1137</v>
      </c>
      <c r="B1139" s="44" t="str">
        <f>HYPERLINK("https://search.naver.com/search.naver?query=모범시민 영화", "모범시민")</f>
        <v>모범시민</v>
      </c>
      <c r="C1139" s="45">
        <v>7.72</v>
      </c>
      <c r="D1139" s="4" t="s">
        <v>1318</v>
      </c>
      <c r="E1139" s="3" t="s">
        <v>20</v>
      </c>
      <c r="F1139" s="3">
        <v>2009</v>
      </c>
      <c r="G1139" s="3" t="s">
        <v>12</v>
      </c>
      <c r="H1139" s="3" t="s">
        <v>43</v>
      </c>
      <c r="I1139" s="3" t="s">
        <v>31</v>
      </c>
      <c r="J1139" s="97" t="s">
        <v>3453</v>
      </c>
    </row>
    <row r="1140" spans="1:10" ht="28.9" customHeight="1" thickTop="1" thickBot="1" x14ac:dyDescent="0.65">
      <c r="A1140" s="5">
        <v>1138</v>
      </c>
      <c r="B1140" s="46" t="str">
        <f>HYPERLINK("https://search.naver.com/search.naver?query=모비딕 영화", "모비딕")</f>
        <v>모비딕</v>
      </c>
      <c r="C1140" s="47">
        <v>7.3</v>
      </c>
      <c r="D1140" s="6" t="s">
        <v>1319</v>
      </c>
      <c r="E1140" s="5" t="s">
        <v>11</v>
      </c>
      <c r="F1140" s="5">
        <v>2011</v>
      </c>
      <c r="G1140" s="5" t="s">
        <v>12</v>
      </c>
      <c r="H1140" s="5" t="s">
        <v>17</v>
      </c>
      <c r="I1140" s="5" t="s">
        <v>47</v>
      </c>
      <c r="J1140" s="98" t="s">
        <v>3454</v>
      </c>
    </row>
    <row r="1141" spans="1:10" ht="28.9" customHeight="1" thickTop="1" thickBot="1" x14ac:dyDescent="0.65">
      <c r="A1141" s="3">
        <v>1139</v>
      </c>
      <c r="B1141" s="44" t="str">
        <f>HYPERLINK("https://search.naver.com/search.naver?query=모스트 바이어런트 영화", "모스트 바이어런트")</f>
        <v>모스트 바이어런트</v>
      </c>
      <c r="C1141" s="45">
        <v>7.93</v>
      </c>
      <c r="D1141" s="4" t="s">
        <v>1320</v>
      </c>
      <c r="E1141" s="3" t="s">
        <v>20</v>
      </c>
      <c r="F1141" s="3">
        <v>2014</v>
      </c>
      <c r="G1141" s="3" t="s">
        <v>12</v>
      </c>
      <c r="H1141" s="3" t="s">
        <v>17</v>
      </c>
      <c r="I1141" s="3" t="s">
        <v>214</v>
      </c>
      <c r="J1141" s="97" t="s">
        <v>3437</v>
      </c>
    </row>
    <row r="1142" spans="1:10" ht="28.9" customHeight="1" thickTop="1" thickBot="1" x14ac:dyDescent="0.65">
      <c r="A1142" s="5">
        <v>1140</v>
      </c>
      <c r="B1142" s="46" t="str">
        <f>HYPERLINK("https://search.naver.com/search.naver?query=모스트 원티드 맨 영화", "모스트 원티드 맨")</f>
        <v>모스트 원티드 맨</v>
      </c>
      <c r="C1142" s="47">
        <v>8.43</v>
      </c>
      <c r="D1142" s="6" t="s">
        <v>1321</v>
      </c>
      <c r="E1142" s="5" t="s">
        <v>24</v>
      </c>
      <c r="F1142" s="5">
        <v>2014</v>
      </c>
      <c r="G1142" s="5" t="s">
        <v>12</v>
      </c>
      <c r="H1142" s="5" t="s">
        <v>43</v>
      </c>
      <c r="I1142" s="5" t="s">
        <v>105</v>
      </c>
      <c r="J1142" s="98" t="s">
        <v>3437</v>
      </c>
    </row>
    <row r="1143" spans="1:10" ht="28.9" customHeight="1" thickTop="1" thickBot="1" x14ac:dyDescent="0.65">
      <c r="A1143" s="3">
        <v>1141</v>
      </c>
      <c r="B1143" s="44" t="str">
        <f>HYPERLINK("https://search.naver.com/search.naver?query=모즈 영화", "모즈")</f>
        <v>모즈</v>
      </c>
      <c r="C1143" s="45">
        <v>3.47</v>
      </c>
      <c r="D1143" s="4" t="s">
        <v>1322</v>
      </c>
      <c r="E1143" s="3" t="s">
        <v>558</v>
      </c>
      <c r="F1143" s="3">
        <v>2016</v>
      </c>
      <c r="G1143" s="3" t="s">
        <v>12</v>
      </c>
      <c r="H1143" s="3" t="s">
        <v>17</v>
      </c>
      <c r="I1143" s="3" t="s">
        <v>47</v>
      </c>
      <c r="J1143" s="97" t="s">
        <v>3441</v>
      </c>
    </row>
    <row r="1144" spans="1:10" ht="28.9" customHeight="1" thickTop="1" thickBot="1" x14ac:dyDescent="0.65">
      <c r="A1144" s="5">
        <v>1142</v>
      </c>
      <c r="B1144" s="46" t="str">
        <f>HYPERLINK("https://search.naver.com/search.naver?query=모차르트 타운 영화", "모차르트 타운")</f>
        <v>모차르트 타운</v>
      </c>
      <c r="C1144" s="47">
        <v>7.22</v>
      </c>
      <c r="D1144" s="6" t="s">
        <v>1323</v>
      </c>
      <c r="E1144" s="5" t="s">
        <v>11</v>
      </c>
      <c r="F1144" s="5">
        <v>2008</v>
      </c>
      <c r="G1144" s="5" t="s">
        <v>12</v>
      </c>
      <c r="H1144" s="5" t="s">
        <v>17</v>
      </c>
      <c r="I1144" s="5" t="s">
        <v>115</v>
      </c>
      <c r="J1144" s="98" t="s">
        <v>3450</v>
      </c>
    </row>
    <row r="1145" spans="1:10" ht="28.9" customHeight="1" thickTop="1" thickBot="1" x14ac:dyDescent="0.65">
      <c r="A1145" s="3">
        <v>1143</v>
      </c>
      <c r="B1145" s="44" t="str">
        <f>HYPERLINK("https://search.naver.com/search.naver?query=목격자", "목격자")</f>
        <v>목격자</v>
      </c>
      <c r="C1145" s="45">
        <v>7.56</v>
      </c>
      <c r="D1145" s="4" t="s">
        <v>1324</v>
      </c>
      <c r="E1145" s="3" t="s">
        <v>11</v>
      </c>
      <c r="F1145" s="3">
        <v>2017</v>
      </c>
      <c r="G1145" s="3" t="s">
        <v>12</v>
      </c>
      <c r="H1145" s="3" t="s">
        <v>43</v>
      </c>
      <c r="I1145" s="3" t="s">
        <v>102</v>
      </c>
      <c r="J1145" s="97" t="s">
        <v>3443</v>
      </c>
    </row>
    <row r="1146" spans="1:10" ht="28.9" customHeight="1" thickTop="1" thickBot="1" x14ac:dyDescent="0.65">
      <c r="A1146" s="5">
        <v>1144</v>
      </c>
      <c r="B1146" s="46" t="str">
        <f>HYPERLINK("https://search.naver.com/search.naver?query=몬태나 영화", "몬태나")</f>
        <v>몬태나</v>
      </c>
      <c r="C1146" s="47">
        <v>8.43</v>
      </c>
      <c r="D1146" s="6" t="s">
        <v>1325</v>
      </c>
      <c r="E1146" s="5" t="s">
        <v>20</v>
      </c>
      <c r="F1146" s="5">
        <v>2017</v>
      </c>
      <c r="G1146" s="5" t="s">
        <v>12</v>
      </c>
      <c r="H1146" s="5" t="s">
        <v>92</v>
      </c>
      <c r="I1146" s="5" t="s">
        <v>93</v>
      </c>
      <c r="J1146" s="98" t="s">
        <v>3443</v>
      </c>
    </row>
    <row r="1147" spans="1:10" ht="28.9" customHeight="1" thickTop="1" thickBot="1" x14ac:dyDescent="0.65">
      <c r="A1147" s="3">
        <v>1145</v>
      </c>
      <c r="B1147" s="44" t="str">
        <f>HYPERLINK("https://search.naver.com/search.naver?query=몰리스 게임 영화", "몰리스 게임")</f>
        <v>몰리스 게임</v>
      </c>
      <c r="C1147" s="45">
        <v>8.5</v>
      </c>
      <c r="D1147" s="4" t="s">
        <v>1326</v>
      </c>
      <c r="E1147" s="3" t="s">
        <v>20</v>
      </c>
      <c r="F1147" s="3">
        <v>2017</v>
      </c>
      <c r="G1147" s="3" t="s">
        <v>12</v>
      </c>
      <c r="H1147" s="3" t="s">
        <v>17</v>
      </c>
      <c r="I1147" s="3" t="s">
        <v>550</v>
      </c>
      <c r="J1147" s="97" t="s">
        <v>3443</v>
      </c>
    </row>
    <row r="1148" spans="1:10" ht="28.9" customHeight="1" thickTop="1" thickBot="1" x14ac:dyDescent="0.65">
      <c r="A1148" s="5">
        <v>1146</v>
      </c>
      <c r="B1148" s="46" t="str">
        <f>HYPERLINK("https://search.naver.com/search.naver?query=몽타주 영화", "몽타주")</f>
        <v>몽타주</v>
      </c>
      <c r="C1148" s="47">
        <v>8.56</v>
      </c>
      <c r="D1148" s="6" t="s">
        <v>1327</v>
      </c>
      <c r="E1148" s="5" t="s">
        <v>11</v>
      </c>
      <c r="F1148" s="5">
        <v>2012</v>
      </c>
      <c r="G1148" s="5" t="s">
        <v>12</v>
      </c>
      <c r="H1148" s="5" t="s">
        <v>43</v>
      </c>
      <c r="I1148" s="5" t="s">
        <v>86</v>
      </c>
      <c r="J1148" s="98" t="s">
        <v>3439</v>
      </c>
    </row>
    <row r="1149" spans="1:10" ht="28.9" customHeight="1" thickTop="1" thickBot="1" x14ac:dyDescent="0.65">
      <c r="A1149" s="3">
        <v>1147</v>
      </c>
      <c r="B1149" s="44" t="str">
        <f>HYPERLINK("https://search.naver.com/search.naver?query=무곡 영화", "무곡")</f>
        <v>무곡</v>
      </c>
      <c r="C1149" s="45">
        <v>7.1</v>
      </c>
      <c r="D1149" s="4" t="s">
        <v>1328</v>
      </c>
      <c r="E1149" s="3" t="s">
        <v>16</v>
      </c>
      <c r="F1149" s="3">
        <v>2018</v>
      </c>
      <c r="G1149" s="3" t="s">
        <v>12</v>
      </c>
      <c r="H1149" s="3" t="s">
        <v>17</v>
      </c>
      <c r="I1149" s="3" t="s">
        <v>78</v>
      </c>
      <c r="J1149" s="97" t="s">
        <v>3442</v>
      </c>
    </row>
    <row r="1150" spans="1:10" ht="28.9" customHeight="1" thickTop="1" thickBot="1" x14ac:dyDescent="0.65">
      <c r="A1150" s="5">
        <v>1148</v>
      </c>
      <c r="B1150" s="46" t="str">
        <f>HYPERLINK("https://search.naver.com/search.naver?query=무도실무관 영화", "무도실무관")</f>
        <v>무도실무관</v>
      </c>
      <c r="C1150" s="47">
        <v>9</v>
      </c>
      <c r="D1150" s="6" t="s">
        <v>1329</v>
      </c>
      <c r="E1150" s="5" t="s">
        <v>11</v>
      </c>
      <c r="F1150" s="5">
        <v>2024</v>
      </c>
      <c r="G1150" s="5" t="s">
        <v>12</v>
      </c>
      <c r="H1150" s="5" t="s">
        <v>92</v>
      </c>
      <c r="I1150" s="5" t="s">
        <v>31</v>
      </c>
      <c r="J1150" s="98" t="s">
        <v>3448</v>
      </c>
    </row>
    <row r="1151" spans="1:10" ht="28.9" customHeight="1" thickTop="1" thickBot="1" x14ac:dyDescent="0.65">
      <c r="A1151" s="3">
        <v>1149</v>
      </c>
      <c r="B1151" s="44" t="str">
        <f>HYPERLINK("https://search.naver.com/search.naver?query=무뢰한 영화", "무뢰한")</f>
        <v>무뢰한</v>
      </c>
      <c r="C1151" s="45">
        <v>7.33</v>
      </c>
      <c r="D1151" s="4" t="s">
        <v>1330</v>
      </c>
      <c r="E1151" s="3" t="s">
        <v>11</v>
      </c>
      <c r="F1151" s="3">
        <v>2014</v>
      </c>
      <c r="G1151" s="3" t="s">
        <v>12</v>
      </c>
      <c r="H1151" s="3" t="s">
        <v>17</v>
      </c>
      <c r="I1151" s="3" t="s">
        <v>221</v>
      </c>
      <c r="J1151" s="97" t="s">
        <v>3437</v>
      </c>
    </row>
    <row r="1152" spans="1:10" ht="28.9" customHeight="1" thickTop="1" thickBot="1" x14ac:dyDescent="0.65">
      <c r="A1152" s="5">
        <v>1150</v>
      </c>
      <c r="B1152" s="46" t="str">
        <f>HYPERLINK("https://search.naver.com/search.naver?query=무명인 영화", "무명인")</f>
        <v>무명인</v>
      </c>
      <c r="C1152" s="47">
        <v>6.6</v>
      </c>
      <c r="D1152" s="6" t="s">
        <v>1331</v>
      </c>
      <c r="E1152" s="5" t="s">
        <v>11</v>
      </c>
      <c r="F1152" s="5">
        <v>2014</v>
      </c>
      <c r="G1152" s="5" t="s">
        <v>12</v>
      </c>
      <c r="H1152" s="5" t="s">
        <v>141</v>
      </c>
      <c r="I1152" s="5" t="s">
        <v>86</v>
      </c>
      <c r="J1152" s="98" t="s">
        <v>3437</v>
      </c>
    </row>
    <row r="1153" spans="1:10" ht="28.9" customHeight="1" thickTop="1" thickBot="1" x14ac:dyDescent="0.65">
      <c r="A1153" s="3">
        <v>1151</v>
      </c>
      <c r="B1153" s="44" t="str">
        <f>HYPERLINK("https://search.naver.com/search.naver?query=무반주 영화", "무반주")</f>
        <v>무반주</v>
      </c>
      <c r="C1153" s="45">
        <v>6.4</v>
      </c>
      <c r="D1153" s="4" t="s">
        <v>1332</v>
      </c>
      <c r="E1153" s="3" t="s">
        <v>16</v>
      </c>
      <c r="F1153" s="3">
        <v>2016</v>
      </c>
      <c r="G1153" s="3" t="s">
        <v>12</v>
      </c>
      <c r="H1153" s="3" t="s">
        <v>17</v>
      </c>
      <c r="I1153" s="3" t="s">
        <v>111</v>
      </c>
      <c r="J1153" s="97" t="s">
        <v>3441</v>
      </c>
    </row>
    <row r="1154" spans="1:10" ht="28.9" customHeight="1" thickTop="1" thickBot="1" x14ac:dyDescent="0.65">
      <c r="A1154" s="7">
        <v>1152</v>
      </c>
      <c r="B1154" s="48" t="str">
        <f>HYPERLINK("https://search.naver.com/search.naver?query=무브 투 헤븐", "무브 투 헤븐")</f>
        <v>무브 투 헤븐</v>
      </c>
      <c r="C1154" s="49"/>
      <c r="D1154" s="8" t="s">
        <v>1333</v>
      </c>
      <c r="E1154" s="7" t="s">
        <v>11</v>
      </c>
      <c r="F1154" s="7">
        <v>2021</v>
      </c>
      <c r="G1154" s="7" t="s">
        <v>17</v>
      </c>
      <c r="H1154" s="7" t="s">
        <v>17</v>
      </c>
      <c r="I1154" s="7" t="s">
        <v>50</v>
      </c>
      <c r="J1154" s="99" t="s">
        <v>3438</v>
      </c>
    </row>
    <row r="1155" spans="1:10" ht="28.9" customHeight="1" thickTop="1" thickBot="1" x14ac:dyDescent="0.65">
      <c r="A1155" s="7">
        <v>1153</v>
      </c>
      <c r="B1155" s="48" t="str">
        <f>HYPERLINK("https://search.naver.com/search.naver?query=무빙", "무빙")</f>
        <v>무빙</v>
      </c>
      <c r="C1155" s="49"/>
      <c r="D1155" s="8" t="s">
        <v>1334</v>
      </c>
      <c r="E1155" s="7" t="s">
        <v>11</v>
      </c>
      <c r="F1155" s="7">
        <v>2023</v>
      </c>
      <c r="G1155" s="7" t="s">
        <v>17</v>
      </c>
      <c r="H1155" s="7" t="s">
        <v>1335</v>
      </c>
      <c r="I1155" s="7" t="s">
        <v>761</v>
      </c>
      <c r="J1155" s="99" t="s">
        <v>3446</v>
      </c>
    </row>
    <row r="1156" spans="1:10" ht="28.9" customHeight="1" thickTop="1" thickBot="1" x14ac:dyDescent="0.65">
      <c r="A1156" s="5">
        <v>1154</v>
      </c>
      <c r="B1156" s="46" t="str">
        <f>HYPERLINK("https://search.naver.com/search.naver?query=무쌍 영화", "무쌍")</f>
        <v>무쌍</v>
      </c>
      <c r="C1156" s="47"/>
      <c r="D1156" s="6" t="s">
        <v>1336</v>
      </c>
      <c r="E1156" s="5" t="s">
        <v>136</v>
      </c>
      <c r="F1156" s="5">
        <v>2018</v>
      </c>
      <c r="G1156" s="5" t="s">
        <v>12</v>
      </c>
      <c r="H1156" s="5" t="s">
        <v>92</v>
      </c>
      <c r="I1156" s="5" t="s">
        <v>131</v>
      </c>
      <c r="J1156" s="98" t="s">
        <v>3442</v>
      </c>
    </row>
    <row r="1157" spans="1:10" ht="28.9" customHeight="1" thickTop="1" thickBot="1" x14ac:dyDescent="0.65">
      <c r="A1157" s="7">
        <v>1155</v>
      </c>
      <c r="B1157" s="48" t="str">
        <f>HYPERLINK("https://search.naver.com/search.naver?query=무죄추정  드라마", "무죄추정")</f>
        <v>무죄추정</v>
      </c>
      <c r="C1157" s="49"/>
      <c r="D1157" s="8" t="s">
        <v>1337</v>
      </c>
      <c r="E1157" s="7" t="s">
        <v>20</v>
      </c>
      <c r="F1157" s="7">
        <v>2024</v>
      </c>
      <c r="G1157" s="7" t="s">
        <v>17</v>
      </c>
      <c r="H1157" s="7" t="s">
        <v>17</v>
      </c>
      <c r="I1157" s="7" t="s">
        <v>55</v>
      </c>
      <c r="J1157" s="99" t="s">
        <v>3448</v>
      </c>
    </row>
    <row r="1158" spans="1:10" ht="28.9" customHeight="1" thickTop="1" thickBot="1" x14ac:dyDescent="0.65">
      <c r="A1158" s="5">
        <v>1156</v>
      </c>
      <c r="B1158" s="46" t="str">
        <f>HYPERLINK("https://search.naver.com/search.naver?query=무협 영화", "무협")</f>
        <v>무협</v>
      </c>
      <c r="C1158" s="47">
        <v>6.5</v>
      </c>
      <c r="D1158" s="6" t="s">
        <v>1338</v>
      </c>
      <c r="E1158" s="5" t="s">
        <v>91</v>
      </c>
      <c r="F1158" s="5">
        <v>2011</v>
      </c>
      <c r="G1158" s="5" t="s">
        <v>12</v>
      </c>
      <c r="H1158" s="5" t="s">
        <v>92</v>
      </c>
      <c r="I1158" s="5" t="s">
        <v>111</v>
      </c>
      <c r="J1158" s="98" t="s">
        <v>3454</v>
      </c>
    </row>
    <row r="1159" spans="1:10" ht="28.9" customHeight="1" thickTop="1" thickBot="1" x14ac:dyDescent="0.65">
      <c r="A1159" s="3">
        <v>1157</v>
      </c>
      <c r="B1159" s="44" t="str">
        <f>HYPERLINK("https://search.naver.com/search.naver?query=문 섀도우 영화", "문 섀도우")</f>
        <v>문 섀도우</v>
      </c>
      <c r="C1159" s="45">
        <v>6.75</v>
      </c>
      <c r="D1159" s="4" t="s">
        <v>1339</v>
      </c>
      <c r="E1159" s="3" t="s">
        <v>20</v>
      </c>
      <c r="F1159" s="3">
        <v>2019</v>
      </c>
      <c r="G1159" s="3" t="s">
        <v>12</v>
      </c>
      <c r="H1159" s="3" t="s">
        <v>43</v>
      </c>
      <c r="I1159" s="3" t="s">
        <v>47</v>
      </c>
      <c r="J1159" s="97" t="s">
        <v>3444</v>
      </c>
    </row>
    <row r="1160" spans="1:10" ht="28.9" customHeight="1" thickTop="1" thickBot="1" x14ac:dyDescent="0.65">
      <c r="A1160" s="5">
        <v>1158</v>
      </c>
      <c r="B1160" s="46" t="str">
        <f>HYPERLINK("https://search.naver.com/search.naver?query=문라이트 영화", "문라이트")</f>
        <v>문라이트</v>
      </c>
      <c r="C1160" s="47">
        <v>8.43</v>
      </c>
      <c r="D1160" s="6" t="s">
        <v>1340</v>
      </c>
      <c r="E1160" s="5" t="s">
        <v>20</v>
      </c>
      <c r="F1160" s="5">
        <v>2016</v>
      </c>
      <c r="G1160" s="5" t="s">
        <v>12</v>
      </c>
      <c r="H1160" s="5" t="s">
        <v>17</v>
      </c>
      <c r="I1160" s="5" t="s">
        <v>102</v>
      </c>
      <c r="J1160" s="98" t="s">
        <v>3441</v>
      </c>
    </row>
    <row r="1161" spans="1:10" ht="28.9" customHeight="1" thickTop="1" thickBot="1" x14ac:dyDescent="0.65">
      <c r="A1161" s="3">
        <v>1159</v>
      </c>
      <c r="B1161" s="44" t="str">
        <f>HYPERLINK("https://search.naver.com/search.naver?query=문신을 한 신부님 영화", "문신을 한 신부님")</f>
        <v>문신을 한 신부님</v>
      </c>
      <c r="C1161" s="45">
        <v>8.27</v>
      </c>
      <c r="D1161" s="4" t="s">
        <v>1341</v>
      </c>
      <c r="E1161" s="3" t="s">
        <v>1199</v>
      </c>
      <c r="F1161" s="3">
        <v>2020</v>
      </c>
      <c r="G1161" s="3" t="s">
        <v>12</v>
      </c>
      <c r="H1161" s="3" t="s">
        <v>68</v>
      </c>
      <c r="I1161" s="3" t="s">
        <v>366</v>
      </c>
      <c r="J1161" s="97" t="s">
        <v>3436</v>
      </c>
    </row>
    <row r="1162" spans="1:10" ht="28.9" customHeight="1" thickTop="1" thickBot="1" x14ac:dyDescent="0.65">
      <c r="A1162" s="5">
        <v>1160</v>
      </c>
      <c r="B1162" s="46" t="str">
        <f>HYPERLINK("https://search.naver.com/search.naver?query=문폴 영화", "문폴")</f>
        <v>문폴</v>
      </c>
      <c r="C1162" s="47">
        <v>5.58</v>
      </c>
      <c r="D1162" s="6" t="s">
        <v>1342</v>
      </c>
      <c r="E1162" s="5" t="s">
        <v>20</v>
      </c>
      <c r="F1162" s="5">
        <v>2022</v>
      </c>
      <c r="G1162" s="5" t="s">
        <v>12</v>
      </c>
      <c r="H1162" s="5" t="s">
        <v>520</v>
      </c>
      <c r="I1162" s="5" t="s">
        <v>34</v>
      </c>
      <c r="J1162" s="98" t="s">
        <v>3445</v>
      </c>
    </row>
    <row r="1163" spans="1:10" ht="28.9" customHeight="1" thickTop="1" thickBot="1" x14ac:dyDescent="0.65">
      <c r="A1163" s="3">
        <v>1161</v>
      </c>
      <c r="B1163" s="44" t="str">
        <f>HYPERLINK("https://search.naver.com/search.naver?query=묻지마 사랑 영화", "묻지마 사랑")</f>
        <v>묻지마 사랑</v>
      </c>
      <c r="C1163" s="45"/>
      <c r="D1163" s="4" t="s">
        <v>1343</v>
      </c>
      <c r="E1163" s="3" t="s">
        <v>16</v>
      </c>
      <c r="F1163" s="3">
        <v>2013</v>
      </c>
      <c r="G1163" s="3" t="s">
        <v>12</v>
      </c>
      <c r="H1163" s="3" t="s">
        <v>121</v>
      </c>
      <c r="I1163" s="3" t="s">
        <v>89</v>
      </c>
      <c r="J1163" s="97" t="s">
        <v>3451</v>
      </c>
    </row>
    <row r="1164" spans="1:10" ht="28.9" customHeight="1" thickTop="1" thickBot="1" x14ac:dyDescent="0.65">
      <c r="A1164" s="5">
        <v>1162</v>
      </c>
      <c r="B1164" s="46" t="str">
        <f>HYPERLINK("https://search.naver.com/search.naver?query=물괴 영화", "물괴")</f>
        <v>물괴</v>
      </c>
      <c r="C1164" s="47">
        <v>6.45</v>
      </c>
      <c r="D1164" s="6" t="s">
        <v>1344</v>
      </c>
      <c r="E1164" s="5" t="s">
        <v>11</v>
      </c>
      <c r="F1164" s="5">
        <v>2018</v>
      </c>
      <c r="G1164" s="5" t="s">
        <v>12</v>
      </c>
      <c r="H1164" s="5" t="s">
        <v>92</v>
      </c>
      <c r="I1164" s="5" t="s">
        <v>128</v>
      </c>
      <c r="J1164" s="98" t="s">
        <v>3442</v>
      </c>
    </row>
    <row r="1165" spans="1:10" ht="28.9" customHeight="1" thickTop="1" thickBot="1" x14ac:dyDescent="0.65">
      <c r="A1165" s="3">
        <v>1163</v>
      </c>
      <c r="B1165" s="44" t="str">
        <f>HYPERLINK("https://search.naver.com/search.naver?query=물랑 루즈 영화", "물랑 루즈")</f>
        <v>물랑 루즈</v>
      </c>
      <c r="C1165" s="45">
        <v>8.85</v>
      </c>
      <c r="D1165" s="4" t="s">
        <v>1345</v>
      </c>
      <c r="E1165" s="3" t="s">
        <v>20</v>
      </c>
      <c r="F1165" s="3">
        <v>2001</v>
      </c>
      <c r="G1165" s="3" t="s">
        <v>12</v>
      </c>
      <c r="H1165" s="3" t="s">
        <v>121</v>
      </c>
      <c r="I1165" s="3" t="s">
        <v>150</v>
      </c>
      <c r="J1165" s="97" t="s">
        <v>3457</v>
      </c>
    </row>
    <row r="1166" spans="1:10" ht="28.9" customHeight="1" thickTop="1" thickBot="1" x14ac:dyDescent="0.65">
      <c r="A1166" s="5">
        <v>1164</v>
      </c>
      <c r="B1166" s="46" t="str">
        <f>HYPERLINK("https://search.naver.com/search.naver?query=뮌헨 영화", "뮌헨")</f>
        <v>뮌헨</v>
      </c>
      <c r="C1166" s="47">
        <v>7.46</v>
      </c>
      <c r="D1166" s="6" t="s">
        <v>1346</v>
      </c>
      <c r="E1166" s="5" t="s">
        <v>20</v>
      </c>
      <c r="F1166" s="5">
        <v>2005</v>
      </c>
      <c r="G1166" s="5" t="s">
        <v>12</v>
      </c>
      <c r="H1166" s="5" t="s">
        <v>17</v>
      </c>
      <c r="I1166" s="5" t="s">
        <v>678</v>
      </c>
      <c r="J1166" s="98" t="s">
        <v>3461</v>
      </c>
    </row>
    <row r="1167" spans="1:10" ht="28.9" customHeight="1" thickTop="1" thickBot="1" x14ac:dyDescent="0.65">
      <c r="A1167" s="3">
        <v>1165</v>
      </c>
      <c r="B1167" s="44" t="str">
        <f>HYPERLINK("https://search.naver.com/search.naver?query=뮌헨 전쟁의 문턱에서 영화", "뮌헨 전쟁의 문턱에서")</f>
        <v>뮌헨 전쟁의 문턱에서</v>
      </c>
      <c r="C1167" s="45">
        <v>9.1999999999999993</v>
      </c>
      <c r="D1167" s="4" t="s">
        <v>1347</v>
      </c>
      <c r="E1167" s="3" t="s">
        <v>24</v>
      </c>
      <c r="F1167" s="3">
        <v>2021</v>
      </c>
      <c r="G1167" s="3" t="s">
        <v>12</v>
      </c>
      <c r="H1167" s="3" t="s">
        <v>17</v>
      </c>
      <c r="I1167" s="3" t="s">
        <v>280</v>
      </c>
      <c r="J1167" s="97" t="s">
        <v>3438</v>
      </c>
    </row>
    <row r="1168" spans="1:10" ht="28.9" customHeight="1" thickTop="1" thickBot="1" x14ac:dyDescent="0.65">
      <c r="A1168" s="5">
        <v>1166</v>
      </c>
      <c r="B1168" s="46" t="str">
        <f>HYPERLINK("https://search.naver.com/search.naver?query=뮤직 네버 스탑 영화", "뮤직 네버 스탑")</f>
        <v>뮤직 네버 스탑</v>
      </c>
      <c r="C1168" s="47">
        <v>9</v>
      </c>
      <c r="D1168" s="6" t="s">
        <v>1348</v>
      </c>
      <c r="E1168" s="5" t="s">
        <v>20</v>
      </c>
      <c r="F1168" s="5">
        <v>2011</v>
      </c>
      <c r="G1168" s="5" t="s">
        <v>12</v>
      </c>
      <c r="H1168" s="5" t="s">
        <v>17</v>
      </c>
      <c r="I1168" s="5" t="s">
        <v>128</v>
      </c>
      <c r="J1168" s="98" t="s">
        <v>3454</v>
      </c>
    </row>
    <row r="1169" spans="1:10" ht="28.9" customHeight="1" thickTop="1" thickBot="1" x14ac:dyDescent="0.65">
      <c r="A1169" s="3">
        <v>1167</v>
      </c>
      <c r="B1169" s="44" t="str">
        <f>HYPERLINK("https://search.naver.com/search.naver?query=뮤직 박스 영화", "뮤직 박스")</f>
        <v>뮤직 박스</v>
      </c>
      <c r="C1169" s="45">
        <v>9.0299999999999994</v>
      </c>
      <c r="D1169" s="4" t="s">
        <v>1349</v>
      </c>
      <c r="E1169" s="3" t="s">
        <v>20</v>
      </c>
      <c r="F1169" s="3">
        <v>1989</v>
      </c>
      <c r="G1169" s="3" t="s">
        <v>12</v>
      </c>
      <c r="H1169" s="3" t="s">
        <v>17</v>
      </c>
      <c r="I1169" s="3" t="s">
        <v>134</v>
      </c>
      <c r="J1169" s="97" t="s">
        <v>3477</v>
      </c>
    </row>
    <row r="1170" spans="1:10" ht="28.9" customHeight="1" thickTop="1" thickBot="1" x14ac:dyDescent="0.65">
      <c r="A1170" s="5">
        <v>1168</v>
      </c>
      <c r="B1170" s="46" t="str">
        <f>HYPERLINK("https://search.naver.com/search.naver?query=뮬란 영화", "뮬란")</f>
        <v>뮬란</v>
      </c>
      <c r="C1170" s="47"/>
      <c r="D1170" s="6" t="s">
        <v>1350</v>
      </c>
      <c r="E1170" s="5" t="s">
        <v>20</v>
      </c>
      <c r="F1170" s="5">
        <v>2020</v>
      </c>
      <c r="G1170" s="5" t="s">
        <v>12</v>
      </c>
      <c r="H1170" s="5" t="s">
        <v>92</v>
      </c>
      <c r="I1170" s="5" t="s">
        <v>47</v>
      </c>
      <c r="J1170" s="98" t="s">
        <v>3436</v>
      </c>
    </row>
    <row r="1171" spans="1:10" ht="28.9" customHeight="1" thickTop="1" thickBot="1" x14ac:dyDescent="0.65">
      <c r="A1171" s="3">
        <v>1169</v>
      </c>
      <c r="B1171" s="44" t="str">
        <f>HYPERLINK("https://search.naver.com/search.naver?query=뮬란-전사의 귀환 영화", "뮬란-전사의 귀환")</f>
        <v>뮬란-전사의 귀환</v>
      </c>
      <c r="C1171" s="45"/>
      <c r="D1171" s="4" t="s">
        <v>1351</v>
      </c>
      <c r="E1171" s="3" t="s">
        <v>136</v>
      </c>
      <c r="F1171" s="3">
        <v>2009</v>
      </c>
      <c r="G1171" s="3" t="s">
        <v>12</v>
      </c>
      <c r="H1171" s="3" t="s">
        <v>92</v>
      </c>
      <c r="I1171" s="3" t="s">
        <v>131</v>
      </c>
      <c r="J1171" s="97" t="s">
        <v>3453</v>
      </c>
    </row>
    <row r="1172" spans="1:10" ht="28.9" customHeight="1" thickTop="1" thickBot="1" x14ac:dyDescent="0.65">
      <c r="A1172" s="5">
        <v>1170</v>
      </c>
      <c r="B1172" s="46" t="str">
        <f>HYPERLINK("https://search.naver.com/search.naver?query=미 비포 유 영화", "미 비포 유")</f>
        <v>미 비포 유</v>
      </c>
      <c r="C1172" s="47">
        <v>8.7799999999999994</v>
      </c>
      <c r="D1172" s="6" t="s">
        <v>1352</v>
      </c>
      <c r="E1172" s="5" t="s">
        <v>24</v>
      </c>
      <c r="F1172" s="5">
        <v>2016</v>
      </c>
      <c r="G1172" s="5" t="s">
        <v>12</v>
      </c>
      <c r="H1172" s="5" t="s">
        <v>121</v>
      </c>
      <c r="I1172" s="5" t="s">
        <v>286</v>
      </c>
      <c r="J1172" s="98" t="s">
        <v>3441</v>
      </c>
    </row>
    <row r="1173" spans="1:10" ht="28.9" customHeight="1" thickTop="1" thickBot="1" x14ac:dyDescent="0.65">
      <c r="A1173" s="3">
        <v>1171</v>
      </c>
      <c r="B1173" s="44" t="str">
        <f>HYPERLINK("https://search.naver.com/search.naver?query=미결처리반4-순수의 배신 영화", "미결처리반4-순수의 배신")</f>
        <v>미결처리반4-순수의 배신</v>
      </c>
      <c r="C1173" s="45"/>
      <c r="D1173" s="4" t="s">
        <v>1353</v>
      </c>
      <c r="E1173" s="3" t="s">
        <v>16</v>
      </c>
      <c r="F1173" s="3">
        <v>2018</v>
      </c>
      <c r="G1173" s="3" t="s">
        <v>12</v>
      </c>
      <c r="H1173" s="3" t="s">
        <v>17</v>
      </c>
      <c r="I1173" s="3" t="s">
        <v>111</v>
      </c>
      <c r="J1173" s="97" t="s">
        <v>3442</v>
      </c>
    </row>
    <row r="1174" spans="1:10" ht="28.9" customHeight="1" thickTop="1" thickBot="1" x14ac:dyDescent="0.65">
      <c r="A1174" s="5">
        <v>1172</v>
      </c>
      <c r="B1174" s="46" t="str">
        <f>HYPERLINK("https://search.naver.com/search.naver?query=미나마타 영화", "미나마타")</f>
        <v>미나마타</v>
      </c>
      <c r="C1174" s="47"/>
      <c r="D1174" s="6" t="s">
        <v>1354</v>
      </c>
      <c r="E1174" s="5" t="s">
        <v>24</v>
      </c>
      <c r="F1174" s="5">
        <v>2020</v>
      </c>
      <c r="G1174" s="5" t="s">
        <v>12</v>
      </c>
      <c r="H1174" s="5" t="s">
        <v>17</v>
      </c>
      <c r="I1174" s="5" t="s">
        <v>47</v>
      </c>
      <c r="J1174" s="98" t="s">
        <v>3436</v>
      </c>
    </row>
    <row r="1175" spans="1:10" ht="28.9" customHeight="1" thickTop="1" thickBot="1" x14ac:dyDescent="0.65">
      <c r="A1175" s="3">
        <v>1173</v>
      </c>
      <c r="B1175" s="44" t="str">
        <f>HYPERLINK("https://search.naver.com/search.naver?query=미녀 삼총사3 영화", "미녀 삼총사3")</f>
        <v>미녀 삼총사3</v>
      </c>
      <c r="C1175" s="45">
        <v>7.25</v>
      </c>
      <c r="D1175" s="4" t="s">
        <v>1355</v>
      </c>
      <c r="E1175" s="3" t="s">
        <v>20</v>
      </c>
      <c r="F1175" s="3">
        <v>2019</v>
      </c>
      <c r="G1175" s="3" t="s">
        <v>12</v>
      </c>
      <c r="H1175" s="3" t="s">
        <v>92</v>
      </c>
      <c r="I1175" s="3" t="s">
        <v>221</v>
      </c>
      <c r="J1175" s="97" t="s">
        <v>3444</v>
      </c>
    </row>
    <row r="1176" spans="1:10" ht="28.9" customHeight="1" thickTop="1" thickBot="1" x14ac:dyDescent="0.65">
      <c r="A1176" s="5">
        <v>1174</v>
      </c>
      <c r="B1176" s="46" t="str">
        <f>HYPERLINK("https://search.naver.com/search.naver?query=미드나이트 스카이 영화", "미드나이트 스카이")</f>
        <v>미드나이트 스카이</v>
      </c>
      <c r="C1176" s="47">
        <v>7.6</v>
      </c>
      <c r="D1176" s="6" t="s">
        <v>1356</v>
      </c>
      <c r="E1176" s="5" t="s">
        <v>20</v>
      </c>
      <c r="F1176" s="5">
        <v>2020</v>
      </c>
      <c r="G1176" s="5" t="s">
        <v>12</v>
      </c>
      <c r="H1176" s="5" t="s">
        <v>520</v>
      </c>
      <c r="I1176" s="5" t="s">
        <v>221</v>
      </c>
      <c r="J1176" s="98" t="s">
        <v>3436</v>
      </c>
    </row>
    <row r="1177" spans="1:10" ht="28.9" customHeight="1" thickTop="1" thickBot="1" x14ac:dyDescent="0.65">
      <c r="A1177" s="3">
        <v>1175</v>
      </c>
      <c r="B1177" s="44" t="str">
        <f>HYPERLINK("https://search.naver.com/search.naver?query=미드나잇 버스 영화", "미드나잇 버스")</f>
        <v>미드나잇 버스</v>
      </c>
      <c r="C1177" s="45">
        <v>8.42</v>
      </c>
      <c r="D1177" s="4" t="s">
        <v>1357</v>
      </c>
      <c r="E1177" s="3" t="s">
        <v>16</v>
      </c>
      <c r="F1177" s="3">
        <v>2021</v>
      </c>
      <c r="G1177" s="3" t="s">
        <v>12</v>
      </c>
      <c r="H1177" s="3" t="s">
        <v>17</v>
      </c>
      <c r="I1177" s="3" t="s">
        <v>111</v>
      </c>
      <c r="J1177" s="97" t="s">
        <v>3438</v>
      </c>
    </row>
    <row r="1178" spans="1:10" ht="28.9" customHeight="1" thickTop="1" thickBot="1" x14ac:dyDescent="0.65">
      <c r="A1178" s="5">
        <v>1176</v>
      </c>
      <c r="B1178" s="46" t="str">
        <f>HYPERLINK("https://search.naver.com/search.naver?query=미드나잇 선 영화", "미드나잇 선")</f>
        <v>미드나잇 선</v>
      </c>
      <c r="C1178" s="47">
        <v>7.88</v>
      </c>
      <c r="D1178" s="6" t="s">
        <v>1358</v>
      </c>
      <c r="E1178" s="5" t="s">
        <v>20</v>
      </c>
      <c r="F1178" s="5">
        <v>2018</v>
      </c>
      <c r="G1178" s="5" t="s">
        <v>12</v>
      </c>
      <c r="H1178" s="5" t="s">
        <v>121</v>
      </c>
      <c r="I1178" s="5" t="s">
        <v>240</v>
      </c>
      <c r="J1178" s="98" t="s">
        <v>3442</v>
      </c>
    </row>
    <row r="1179" spans="1:10" ht="28.9" customHeight="1" thickTop="1" thickBot="1" x14ac:dyDescent="0.65">
      <c r="A1179" s="3">
        <v>1177</v>
      </c>
      <c r="B1179" s="44" t="str">
        <f>HYPERLINK("https://search.naver.com/search.naver?query=미드나잇 스페샬 영화", "미드나잇 스페샬")</f>
        <v>미드나잇 스페샬</v>
      </c>
      <c r="C1179" s="45">
        <v>6.4</v>
      </c>
      <c r="D1179" s="4" t="s">
        <v>1359</v>
      </c>
      <c r="E1179" s="3" t="s">
        <v>20</v>
      </c>
      <c r="F1179" s="3">
        <v>2016</v>
      </c>
      <c r="G1179" s="3" t="s">
        <v>12</v>
      </c>
      <c r="H1179" s="3" t="s">
        <v>520</v>
      </c>
      <c r="I1179" s="3" t="s">
        <v>278</v>
      </c>
      <c r="J1179" s="97" t="s">
        <v>3441</v>
      </c>
    </row>
    <row r="1180" spans="1:10" ht="28.9" customHeight="1" thickTop="1" thickBot="1" x14ac:dyDescent="0.65">
      <c r="A1180" s="5">
        <v>1178</v>
      </c>
      <c r="B1180" s="46" t="str">
        <f>HYPERLINK("https://search.naver.com/search.naver?query=미드나잇 인 더 스위치그래스 영화", "미드나잇 인 더 스위치그래스")</f>
        <v>미드나잇 인 더 스위치그래스</v>
      </c>
      <c r="C1180" s="47"/>
      <c r="D1180" s="6" t="s">
        <v>1360</v>
      </c>
      <c r="E1180" s="5" t="s">
        <v>20</v>
      </c>
      <c r="F1180" s="5">
        <v>2021</v>
      </c>
      <c r="G1180" s="5" t="s">
        <v>12</v>
      </c>
      <c r="H1180" s="5" t="s">
        <v>43</v>
      </c>
      <c r="I1180" s="5" t="s">
        <v>81</v>
      </c>
      <c r="J1180" s="98" t="s">
        <v>3438</v>
      </c>
    </row>
    <row r="1181" spans="1:10" ht="28.9" customHeight="1" thickTop="1" thickBot="1" x14ac:dyDescent="0.65">
      <c r="A1181" s="3">
        <v>1179</v>
      </c>
      <c r="B1181" s="44" t="str">
        <f>HYPERLINK("https://search.naver.com/search.naver?query=미드나잇 인 파리 영화", "미드나잇 인 파리")</f>
        <v>미드나잇 인 파리</v>
      </c>
      <c r="C1181" s="45">
        <v>8.5</v>
      </c>
      <c r="D1181" s="4" t="s">
        <v>1361</v>
      </c>
      <c r="E1181" s="3" t="s">
        <v>20</v>
      </c>
      <c r="F1181" s="3">
        <v>2011</v>
      </c>
      <c r="G1181" s="3" t="s">
        <v>12</v>
      </c>
      <c r="H1181" s="3" t="s">
        <v>68</v>
      </c>
      <c r="I1181" s="3" t="s">
        <v>300</v>
      </c>
      <c r="J1181" s="97" t="s">
        <v>3454</v>
      </c>
    </row>
    <row r="1182" spans="1:10" ht="28.9" customHeight="1" thickTop="1" thickBot="1" x14ac:dyDescent="0.65">
      <c r="A1182" s="5">
        <v>1180</v>
      </c>
      <c r="B1182" s="46" t="str">
        <f>HYPERLINK("https://search.naver.com/search.naver?query=미드소마 영화", "미드소마")</f>
        <v>미드소마</v>
      </c>
      <c r="C1182" s="47">
        <v>7.7</v>
      </c>
      <c r="D1182" s="6" t="s">
        <v>1362</v>
      </c>
      <c r="E1182" s="5" t="s">
        <v>20</v>
      </c>
      <c r="F1182" s="5">
        <v>2019</v>
      </c>
      <c r="G1182" s="5" t="s">
        <v>12</v>
      </c>
      <c r="H1182" s="5" t="s">
        <v>252</v>
      </c>
      <c r="I1182" s="5" t="s">
        <v>157</v>
      </c>
      <c r="J1182" s="98" t="s">
        <v>3444</v>
      </c>
    </row>
    <row r="1183" spans="1:10" ht="28.9" customHeight="1" thickTop="1" thickBot="1" x14ac:dyDescent="0.65">
      <c r="A1183" s="3">
        <v>1181</v>
      </c>
      <c r="B1183" s="44" t="str">
        <f>HYPERLINK("https://search.naver.com/search.naver?query=미드웨이 영화", "미드웨이")</f>
        <v>미드웨이</v>
      </c>
      <c r="C1183" s="45">
        <v>8.66</v>
      </c>
      <c r="D1183" s="4" t="s">
        <v>1363</v>
      </c>
      <c r="E1183" s="3" t="s">
        <v>20</v>
      </c>
      <c r="F1183" s="3">
        <v>2019</v>
      </c>
      <c r="G1183" s="3" t="s">
        <v>12</v>
      </c>
      <c r="H1183" s="3" t="s">
        <v>721</v>
      </c>
      <c r="I1183" s="3" t="s">
        <v>619</v>
      </c>
      <c r="J1183" s="97" t="s">
        <v>3444</v>
      </c>
    </row>
    <row r="1184" spans="1:10" ht="28.9" customHeight="1" thickTop="1" thickBot="1" x14ac:dyDescent="0.65">
      <c r="A1184" s="5">
        <v>1182</v>
      </c>
      <c r="B1184" s="46" t="str">
        <f>HYPERLINK("https://search.naver.com/search.naver?query=미라클 벨리에 영화", "미라클 벨리에")</f>
        <v>미라클 벨리에</v>
      </c>
      <c r="C1184" s="47">
        <v>6.4</v>
      </c>
      <c r="D1184" s="6" t="s">
        <v>1364</v>
      </c>
      <c r="E1184" s="5" t="s">
        <v>210</v>
      </c>
      <c r="F1184" s="5">
        <v>2014</v>
      </c>
      <c r="G1184" s="5" t="s">
        <v>12</v>
      </c>
      <c r="H1184" s="5" t="s">
        <v>68</v>
      </c>
      <c r="I1184" s="5" t="s">
        <v>128</v>
      </c>
      <c r="J1184" s="98" t="s">
        <v>3437</v>
      </c>
    </row>
    <row r="1185" spans="1:10" ht="28.9" customHeight="1" thickTop="1" thickBot="1" x14ac:dyDescent="0.65">
      <c r="A1185" s="3">
        <v>1183</v>
      </c>
      <c r="B1185" s="44" t="str">
        <f>HYPERLINK("https://search.naver.com/search.naver?query=미라클 시즌 영화", "미라클 시즌")</f>
        <v>미라클 시즌</v>
      </c>
      <c r="C1185" s="45">
        <v>6.4</v>
      </c>
      <c r="D1185" s="4" t="s">
        <v>1365</v>
      </c>
      <c r="E1185" s="3" t="s">
        <v>20</v>
      </c>
      <c r="F1185" s="3">
        <v>2018</v>
      </c>
      <c r="G1185" s="3" t="s">
        <v>12</v>
      </c>
      <c r="H1185" s="3" t="s">
        <v>17</v>
      </c>
      <c r="I1185" s="3" t="s">
        <v>70</v>
      </c>
      <c r="J1185" s="97" t="s">
        <v>3442</v>
      </c>
    </row>
    <row r="1186" spans="1:10" ht="28.9" customHeight="1" thickTop="1" thickBot="1" x14ac:dyDescent="0.65">
      <c r="A1186" s="5">
        <v>1184</v>
      </c>
      <c r="B1186" s="46" t="str">
        <f>HYPERLINK("https://search.naver.com/search.naver?query=미라클 프롬 헤븐 영화", "미라클 프롬 헤븐")</f>
        <v>미라클 프롬 헤븐</v>
      </c>
      <c r="C1186" s="47">
        <v>9.4700000000000006</v>
      </c>
      <c r="D1186" s="6" t="s">
        <v>1366</v>
      </c>
      <c r="E1186" s="5" t="s">
        <v>20</v>
      </c>
      <c r="F1186" s="5">
        <v>2016</v>
      </c>
      <c r="G1186" s="5" t="s">
        <v>12</v>
      </c>
      <c r="H1186" s="5" t="s">
        <v>17</v>
      </c>
      <c r="I1186" s="5" t="s">
        <v>137</v>
      </c>
      <c r="J1186" s="98" t="s">
        <v>3441</v>
      </c>
    </row>
    <row r="1187" spans="1:10" ht="28.9" customHeight="1" thickTop="1" thickBot="1" x14ac:dyDescent="0.65">
      <c r="A1187" s="3">
        <v>1185</v>
      </c>
      <c r="B1187" s="44" t="str">
        <f>HYPERLINK("https://search.naver.com/search.naver?query=미래를 걷는 소녀 영화", "미래를 걷는 소녀")</f>
        <v>미래를 걷는 소녀</v>
      </c>
      <c r="C1187" s="45">
        <v>8.68</v>
      </c>
      <c r="D1187" s="4" t="s">
        <v>1367</v>
      </c>
      <c r="E1187" s="3" t="s">
        <v>16</v>
      </c>
      <c r="F1187" s="3">
        <v>2009</v>
      </c>
      <c r="G1187" s="3" t="s">
        <v>12</v>
      </c>
      <c r="H1187" s="3" t="s">
        <v>17</v>
      </c>
      <c r="I1187" s="3" t="s">
        <v>111</v>
      </c>
      <c r="J1187" s="97" t="s">
        <v>3453</v>
      </c>
    </row>
    <row r="1188" spans="1:10" ht="28.9" customHeight="1" thickTop="1" thickBot="1" x14ac:dyDescent="0.65">
      <c r="A1188" s="5">
        <v>1186</v>
      </c>
      <c r="B1188" s="46" t="str">
        <f>HYPERLINK("https://search.naver.com/search.naver?query=미성년 영화", "미성년")</f>
        <v>미성년</v>
      </c>
      <c r="C1188" s="47">
        <v>8.65</v>
      </c>
      <c r="D1188" s="6" t="s">
        <v>1368</v>
      </c>
      <c r="E1188" s="5" t="s">
        <v>11</v>
      </c>
      <c r="F1188" s="5">
        <v>2019</v>
      </c>
      <c r="G1188" s="5" t="s">
        <v>12</v>
      </c>
      <c r="H1188" s="5" t="s">
        <v>17</v>
      </c>
      <c r="I1188" s="5" t="s">
        <v>61</v>
      </c>
      <c r="J1188" s="98" t="s">
        <v>3444</v>
      </c>
    </row>
    <row r="1189" spans="1:10" ht="28.9" customHeight="1" thickTop="1" thickBot="1" x14ac:dyDescent="0.65">
      <c r="A1189" s="3">
        <v>1187</v>
      </c>
      <c r="B1189" s="44" t="str">
        <f>HYPERLINK("https://search.naver.com/search.naver?query=미션 영화", "미션 (
The Mission,1986)")</f>
        <v>미션 (
The Mission,1986)</v>
      </c>
      <c r="C1189" s="45">
        <v>9.11</v>
      </c>
      <c r="D1189" s="4" t="s">
        <v>1369</v>
      </c>
      <c r="E1189" s="3" t="s">
        <v>24</v>
      </c>
      <c r="F1189" s="3">
        <v>1986</v>
      </c>
      <c r="G1189" s="3" t="s">
        <v>12</v>
      </c>
      <c r="H1189" s="3" t="s">
        <v>17</v>
      </c>
      <c r="I1189" s="3" t="s">
        <v>214</v>
      </c>
      <c r="J1189" s="97" t="s">
        <v>3468</v>
      </c>
    </row>
    <row r="1190" spans="1:10" ht="28.9" customHeight="1" thickTop="1" thickBot="1" x14ac:dyDescent="0.65">
      <c r="A1190" s="3">
        <v>1188</v>
      </c>
      <c r="B1190" s="44" t="str">
        <f>HYPERLINK("https://search.naver.com/search.naver?query=미션 이스탄불3-더 리벤지 영화", "미션 이스탄불3-더 리벤지")</f>
        <v>미션 이스탄불3-더 리벤지</v>
      </c>
      <c r="C1190" s="45">
        <v>6.4</v>
      </c>
      <c r="D1190" s="4" t="s">
        <v>1369</v>
      </c>
      <c r="E1190" s="3" t="s">
        <v>1370</v>
      </c>
      <c r="F1190" s="3">
        <v>2014</v>
      </c>
      <c r="G1190" s="3" t="s">
        <v>12</v>
      </c>
      <c r="H1190" s="3" t="s">
        <v>92</v>
      </c>
      <c r="I1190" s="3" t="s">
        <v>131</v>
      </c>
      <c r="J1190" s="97" t="s">
        <v>3437</v>
      </c>
    </row>
    <row r="1191" spans="1:10" ht="28.9" customHeight="1" thickTop="1" thickBot="1" x14ac:dyDescent="0.65">
      <c r="A1191" s="5">
        <v>1189</v>
      </c>
      <c r="B1191" s="46" t="str">
        <f>HYPERLINK("https://search.naver.com/search.naver?query=미션 임파서블 영화", "미션 임파서블")</f>
        <v>미션 임파서블</v>
      </c>
      <c r="C1191" s="47">
        <v>8.7799999999999994</v>
      </c>
      <c r="D1191" s="6" t="s">
        <v>1371</v>
      </c>
      <c r="E1191" s="5" t="s">
        <v>20</v>
      </c>
      <c r="F1191" s="5">
        <v>1996</v>
      </c>
      <c r="G1191" s="5" t="s">
        <v>12</v>
      </c>
      <c r="H1191" s="5" t="s">
        <v>92</v>
      </c>
      <c r="I1191" s="5" t="s">
        <v>96</v>
      </c>
      <c r="J1191" s="98" t="s">
        <v>3463</v>
      </c>
    </row>
    <row r="1192" spans="1:10" ht="28.9" customHeight="1" thickTop="1" thickBot="1" x14ac:dyDescent="0.65">
      <c r="A1192" s="3">
        <v>1190</v>
      </c>
      <c r="B1192" s="44" t="str">
        <f>HYPERLINK("https://search.naver.com/search.naver?query=미션 임파서블 - 로그네이션 영화", "미션 임파서블 - 로그네이션")</f>
        <v>미션 임파서블 - 로그네이션</v>
      </c>
      <c r="C1192" s="45"/>
      <c r="D1192" s="4" t="s">
        <v>1372</v>
      </c>
      <c r="E1192" s="3" t="s">
        <v>20</v>
      </c>
      <c r="F1192" s="3">
        <v>2015</v>
      </c>
      <c r="G1192" s="3" t="s">
        <v>12</v>
      </c>
      <c r="H1192" s="3" t="s">
        <v>92</v>
      </c>
      <c r="I1192" s="3" t="s">
        <v>280</v>
      </c>
      <c r="J1192" s="97" t="s">
        <v>3440</v>
      </c>
    </row>
    <row r="1193" spans="1:10" ht="28.9" customHeight="1" thickTop="1" thickBot="1" x14ac:dyDescent="0.65">
      <c r="A1193" s="5">
        <v>1191</v>
      </c>
      <c r="B1193" s="46" t="str">
        <f>HYPERLINK("https://search.naver.com/search.naver?query=미션 임파서블 2 영화", "미션 임파서블 2")</f>
        <v>미션 임파서블 2</v>
      </c>
      <c r="C1193" s="47">
        <v>5.47</v>
      </c>
      <c r="D1193" s="6" t="s">
        <v>1373</v>
      </c>
      <c r="E1193" s="5" t="s">
        <v>20</v>
      </c>
      <c r="F1193" s="5">
        <v>2000</v>
      </c>
      <c r="G1193" s="5" t="s">
        <v>12</v>
      </c>
      <c r="H1193" s="5" t="s">
        <v>92</v>
      </c>
      <c r="I1193" s="5" t="s">
        <v>58</v>
      </c>
      <c r="J1193" s="98" t="s">
        <v>3458</v>
      </c>
    </row>
    <row r="1194" spans="1:10" ht="28.9" customHeight="1" thickTop="1" thickBot="1" x14ac:dyDescent="0.65">
      <c r="A1194" s="3">
        <v>1192</v>
      </c>
      <c r="B1194" s="44" t="str">
        <f>HYPERLINK("https://search.naver.com/search.naver?query=미션 임파서블 3 영화", "미션 임파서블 3")</f>
        <v>미션 임파서블 3</v>
      </c>
      <c r="C1194" s="45">
        <v>8.83</v>
      </c>
      <c r="D1194" s="4" t="s">
        <v>1374</v>
      </c>
      <c r="E1194" s="3" t="s">
        <v>20</v>
      </c>
      <c r="F1194" s="3">
        <v>2006</v>
      </c>
      <c r="G1194" s="3" t="s">
        <v>12</v>
      </c>
      <c r="H1194" s="3" t="s">
        <v>92</v>
      </c>
      <c r="I1194" s="3" t="s">
        <v>78</v>
      </c>
      <c r="J1194" s="97" t="s">
        <v>3460</v>
      </c>
    </row>
    <row r="1195" spans="1:10" ht="28.9" customHeight="1" thickTop="1" thickBot="1" x14ac:dyDescent="0.65">
      <c r="A1195" s="5">
        <v>1193</v>
      </c>
      <c r="B1195" s="46" t="str">
        <f>HYPERLINK("https://search.naver.com/search.naver?query=미션 임파서블 고스트 프로토콜 영화", "미션 임파서블 고스트 프로토콜")</f>
        <v>미션 임파서블 고스트 프로토콜</v>
      </c>
      <c r="C1195" s="47">
        <v>8.75</v>
      </c>
      <c r="D1195" s="6" t="s">
        <v>1375</v>
      </c>
      <c r="E1195" s="5" t="s">
        <v>20</v>
      </c>
      <c r="F1195" s="5">
        <v>2011</v>
      </c>
      <c r="G1195" s="5" t="s">
        <v>12</v>
      </c>
      <c r="H1195" s="5" t="s">
        <v>92</v>
      </c>
      <c r="I1195" s="5" t="s">
        <v>350</v>
      </c>
      <c r="J1195" s="98" t="s">
        <v>3454</v>
      </c>
    </row>
    <row r="1196" spans="1:10" ht="28.9" customHeight="1" thickTop="1" thickBot="1" x14ac:dyDescent="0.65">
      <c r="A1196" s="3">
        <v>1194</v>
      </c>
      <c r="B1196" s="44" t="str">
        <f>HYPERLINK("https://search.naver.com/search.naver?query=미션 임파서블-데드 레코닝 영화", "미션 임파서블-데드 레코닝")</f>
        <v>미션 임파서블-데드 레코닝</v>
      </c>
      <c r="C1196" s="45"/>
      <c r="D1196" s="4" t="s">
        <v>1376</v>
      </c>
      <c r="E1196" s="3" t="s">
        <v>20</v>
      </c>
      <c r="F1196" s="3">
        <v>2023</v>
      </c>
      <c r="G1196" s="3" t="s">
        <v>12</v>
      </c>
      <c r="H1196" s="3" t="s">
        <v>92</v>
      </c>
      <c r="I1196" s="3" t="s">
        <v>22</v>
      </c>
      <c r="J1196" s="97" t="s">
        <v>3446</v>
      </c>
    </row>
    <row r="1197" spans="1:10" ht="28.9" customHeight="1" thickTop="1" thickBot="1" x14ac:dyDescent="0.65">
      <c r="A1197" s="5">
        <v>1195</v>
      </c>
      <c r="B1197" s="46" t="str">
        <f>HYPERLINK("https://search.naver.com/search.naver?query=미션 임파서블-파이널 레코닝 영화", "미션 임파서블-파이널 레코닝")</f>
        <v>미션 임파서블-파이널 레코닝</v>
      </c>
      <c r="C1197" s="47">
        <v>6.4</v>
      </c>
      <c r="D1197" s="6" t="s">
        <v>1376</v>
      </c>
      <c r="E1197" s="5" t="s">
        <v>20</v>
      </c>
      <c r="F1197" s="5">
        <v>2025</v>
      </c>
      <c r="G1197" s="5" t="s">
        <v>12</v>
      </c>
      <c r="H1197" s="5" t="s">
        <v>92</v>
      </c>
      <c r="I1197" s="5" t="s">
        <v>1377</v>
      </c>
      <c r="J1197" s="98" t="s">
        <v>3459</v>
      </c>
    </row>
    <row r="1198" spans="1:10" ht="28.9" customHeight="1" thickTop="1" thickBot="1" x14ac:dyDescent="0.65">
      <c r="A1198" s="3">
        <v>1196</v>
      </c>
      <c r="B1198" s="44" t="str">
        <f>HYPERLINK("https://search.naver.com/search.naver?query=미션 임파서블-폴 아웃 영화", "미션 임파서블-폴 아웃")</f>
        <v>미션 임파서블-폴 아웃</v>
      </c>
      <c r="C1198" s="45">
        <v>9.14</v>
      </c>
      <c r="D1198" s="4" t="s">
        <v>1378</v>
      </c>
      <c r="E1198" s="3" t="s">
        <v>20</v>
      </c>
      <c r="F1198" s="3">
        <v>2018</v>
      </c>
      <c r="G1198" s="3" t="s">
        <v>12</v>
      </c>
      <c r="H1198" s="3" t="s">
        <v>92</v>
      </c>
      <c r="I1198" s="3" t="s">
        <v>157</v>
      </c>
      <c r="J1198" s="97" t="s">
        <v>3442</v>
      </c>
    </row>
    <row r="1199" spans="1:10" ht="28.9" customHeight="1" thickTop="1" thickBot="1" x14ac:dyDescent="0.65">
      <c r="A1199" s="5">
        <v>1197</v>
      </c>
      <c r="B1199" s="46" t="str">
        <f>HYPERLINK("https://search.naver.com/search.naver?query=미션파서블 영화", "미션파서블")</f>
        <v>미션파서블</v>
      </c>
      <c r="C1199" s="47">
        <v>8.42</v>
      </c>
      <c r="D1199" s="6" t="s">
        <v>1379</v>
      </c>
      <c r="E1199" s="5" t="s">
        <v>11</v>
      </c>
      <c r="F1199" s="5">
        <v>2021</v>
      </c>
      <c r="G1199" s="5" t="s">
        <v>12</v>
      </c>
      <c r="H1199" s="5" t="s">
        <v>92</v>
      </c>
      <c r="I1199" s="5" t="s">
        <v>128</v>
      </c>
      <c r="J1199" s="98" t="s">
        <v>3438</v>
      </c>
    </row>
    <row r="1200" spans="1:10" ht="28.9" customHeight="1" thickTop="1" thickBot="1" x14ac:dyDescent="0.65">
      <c r="A1200" s="3">
        <v>1198</v>
      </c>
      <c r="B1200" s="44" t="str">
        <f>HYPERLINK("https://search.naver.com/search.naver?query=미스 리틀 선샤인 영화", "미스 리틀 선샤인")</f>
        <v>미스 리틀 선샤인</v>
      </c>
      <c r="C1200" s="45">
        <v>8.9700000000000006</v>
      </c>
      <c r="D1200" s="4" t="s">
        <v>1380</v>
      </c>
      <c r="E1200" s="3" t="s">
        <v>20</v>
      </c>
      <c r="F1200" s="3">
        <v>2006</v>
      </c>
      <c r="G1200" s="3" t="s">
        <v>12</v>
      </c>
      <c r="H1200" s="3" t="s">
        <v>68</v>
      </c>
      <c r="I1200" s="3" t="s">
        <v>70</v>
      </c>
      <c r="J1200" s="97" t="s">
        <v>3460</v>
      </c>
    </row>
    <row r="1201" spans="1:10" ht="28.9" customHeight="1" thickTop="1" thickBot="1" x14ac:dyDescent="0.65">
      <c r="A1201" s="5">
        <v>1199</v>
      </c>
      <c r="B1201" s="46" t="str">
        <f>HYPERLINK("https://search.naver.com/search.naver?query=미스 유 올레디 영화", "미스 유 올레디")</f>
        <v>미스 유 올레디</v>
      </c>
      <c r="C1201" s="47">
        <v>8.8699999999999992</v>
      </c>
      <c r="D1201" s="6" t="s">
        <v>1381</v>
      </c>
      <c r="E1201" s="5" t="s">
        <v>24</v>
      </c>
      <c r="F1201" s="5">
        <v>2015</v>
      </c>
      <c r="G1201" s="5" t="s">
        <v>12</v>
      </c>
      <c r="H1201" s="5" t="s">
        <v>17</v>
      </c>
      <c r="I1201" s="5" t="s">
        <v>278</v>
      </c>
      <c r="J1201" s="98" t="s">
        <v>3440</v>
      </c>
    </row>
    <row r="1202" spans="1:10" ht="28.9" customHeight="1" thickTop="1" thickBot="1" x14ac:dyDescent="0.65">
      <c r="A1202" s="3">
        <v>1200</v>
      </c>
      <c r="B1202" s="44" t="str">
        <f>HYPERLINK("https://search.naver.com/search.naver?query=미스 페티그루의 어느 특별한 하루 영화", "미스 페티그루의 어느 특별한 하루")</f>
        <v>미스 페티그루의 어느 특별한 하루</v>
      </c>
      <c r="C1202" s="45">
        <v>8.0500000000000007</v>
      </c>
      <c r="D1202" s="4" t="s">
        <v>1382</v>
      </c>
      <c r="E1202" s="3" t="s">
        <v>20</v>
      </c>
      <c r="F1202" s="3">
        <v>2008</v>
      </c>
      <c r="G1202" s="3" t="s">
        <v>12</v>
      </c>
      <c r="H1202" s="3" t="s">
        <v>68</v>
      </c>
      <c r="I1202" s="3" t="s">
        <v>147</v>
      </c>
      <c r="J1202" s="97" t="s">
        <v>3450</v>
      </c>
    </row>
    <row r="1203" spans="1:10" ht="28.9" customHeight="1" thickTop="1" thickBot="1" x14ac:dyDescent="0.65">
      <c r="A1203" s="5">
        <v>1201</v>
      </c>
      <c r="B1203" s="46" t="str">
        <f>HYPERLINK("https://search.naver.com/search.naver?query=미스언더스탠드 영화", "미스언더스탠드")</f>
        <v>미스언더스탠드</v>
      </c>
      <c r="C1203" s="47">
        <v>7.58</v>
      </c>
      <c r="D1203" s="6" t="s">
        <v>1383</v>
      </c>
      <c r="E1203" s="5" t="s">
        <v>20</v>
      </c>
      <c r="F1203" s="5">
        <v>2008</v>
      </c>
      <c r="G1203" s="5" t="s">
        <v>12</v>
      </c>
      <c r="H1203" s="5" t="s">
        <v>17</v>
      </c>
      <c r="I1203" s="5" t="s">
        <v>366</v>
      </c>
      <c r="J1203" s="98" t="s">
        <v>3450</v>
      </c>
    </row>
    <row r="1204" spans="1:10" ht="28.9" customHeight="1" thickTop="1" thickBot="1" x14ac:dyDescent="0.65">
      <c r="A1204" s="3">
        <v>1202</v>
      </c>
      <c r="B1204" s="44" t="str">
        <f>HYPERLINK("https://search.naver.com/search.naver?query=미스컨덕트 영화", "미스컨덕트")</f>
        <v>미스컨덕트</v>
      </c>
      <c r="C1204" s="45">
        <v>6.19</v>
      </c>
      <c r="D1204" s="4" t="s">
        <v>1384</v>
      </c>
      <c r="E1204" s="3" t="s">
        <v>20</v>
      </c>
      <c r="F1204" s="3">
        <v>2016</v>
      </c>
      <c r="G1204" s="3" t="s">
        <v>12</v>
      </c>
      <c r="H1204" s="3" t="s">
        <v>43</v>
      </c>
      <c r="I1204" s="3" t="s">
        <v>286</v>
      </c>
      <c r="J1204" s="97" t="s">
        <v>3441</v>
      </c>
    </row>
    <row r="1205" spans="1:10" ht="28.9" customHeight="1" thickTop="1" thickBot="1" x14ac:dyDescent="0.65">
      <c r="A1205" s="5">
        <v>1203</v>
      </c>
      <c r="B1205" s="46" t="str">
        <f>HYPERLINK("https://search.naver.com/search.naver?query=미스터 노바디 영화", "미스터 노바디")</f>
        <v>미스터 노바디</v>
      </c>
      <c r="C1205" s="47">
        <v>8.23</v>
      </c>
      <c r="D1205" s="6" t="s">
        <v>1385</v>
      </c>
      <c r="E1205" s="5" t="s">
        <v>509</v>
      </c>
      <c r="F1205" s="5">
        <v>2009</v>
      </c>
      <c r="G1205" s="5" t="s">
        <v>12</v>
      </c>
      <c r="H1205" s="5" t="s">
        <v>520</v>
      </c>
      <c r="I1205" s="5" t="s">
        <v>455</v>
      </c>
      <c r="J1205" s="98" t="s">
        <v>3453</v>
      </c>
    </row>
    <row r="1206" spans="1:10" ht="28.9" customHeight="1" thickTop="1" thickBot="1" x14ac:dyDescent="0.65">
      <c r="A1206" s="3">
        <v>1204</v>
      </c>
      <c r="B1206" s="44" t="str">
        <f>HYPERLINK("https://search.naver.com/search.naver?query=미스터 스마일 영화", "미스터 스마일")</f>
        <v>미스터 스마일</v>
      </c>
      <c r="C1206" s="45">
        <v>8.01</v>
      </c>
      <c r="D1206" s="4" t="s">
        <v>1386</v>
      </c>
      <c r="E1206" s="3" t="s">
        <v>20</v>
      </c>
      <c r="F1206" s="3">
        <v>2018</v>
      </c>
      <c r="G1206" s="3" t="s">
        <v>12</v>
      </c>
      <c r="H1206" s="3" t="s">
        <v>17</v>
      </c>
      <c r="I1206" s="3" t="s">
        <v>93</v>
      </c>
      <c r="J1206" s="97" t="s">
        <v>3442</v>
      </c>
    </row>
    <row r="1207" spans="1:10" ht="28.9" customHeight="1" thickTop="1" thickBot="1" x14ac:dyDescent="0.65">
      <c r="A1207" s="5">
        <v>1205</v>
      </c>
      <c r="B1207" s="46" t="str">
        <f>HYPERLINK("https://search.naver.com/search.naver?query=미스터 주:사라진 VIP 영화", "미스터 주-사라진 VIP")</f>
        <v>미스터 주-사라진 VIP</v>
      </c>
      <c r="C1207" s="47">
        <v>7.54</v>
      </c>
      <c r="D1207" s="6" t="s">
        <v>1387</v>
      </c>
      <c r="E1207" s="5" t="s">
        <v>11</v>
      </c>
      <c r="F1207" s="5">
        <v>2020</v>
      </c>
      <c r="G1207" s="5" t="s">
        <v>12</v>
      </c>
      <c r="H1207" s="5" t="s">
        <v>68</v>
      </c>
      <c r="I1207" s="5" t="s">
        <v>278</v>
      </c>
      <c r="J1207" s="98" t="s">
        <v>3436</v>
      </c>
    </row>
    <row r="1208" spans="1:10" ht="28.9" customHeight="1" thickTop="1" thickBot="1" x14ac:dyDescent="0.65">
      <c r="A1208" s="3">
        <v>1206</v>
      </c>
      <c r="B1208" s="44" t="str">
        <f>HYPERLINK("https://search.naver.com/search.naver?query=미스터 홈즈 영화", "미스터 홈즈")</f>
        <v>미스터 홈즈</v>
      </c>
      <c r="C1208" s="45">
        <v>8.3000000000000007</v>
      </c>
      <c r="D1208" s="4" t="s">
        <v>1388</v>
      </c>
      <c r="E1208" s="3" t="s">
        <v>24</v>
      </c>
      <c r="F1208" s="3">
        <v>2015</v>
      </c>
      <c r="G1208" s="3" t="s">
        <v>12</v>
      </c>
      <c r="H1208" s="3" t="s">
        <v>17</v>
      </c>
      <c r="I1208" s="3" t="s">
        <v>170</v>
      </c>
      <c r="J1208" s="97" t="s">
        <v>3440</v>
      </c>
    </row>
    <row r="1209" spans="1:10" ht="28.9" customHeight="1" thickTop="1" thickBot="1" x14ac:dyDescent="0.65">
      <c r="A1209" s="5">
        <v>1207</v>
      </c>
      <c r="B1209" s="46" t="str">
        <f>HYPERLINK("https://search.naver.com/search.naver?query=미스트리스 아메리카 영화", "미스트리스 아메리카")</f>
        <v>미스트리스 아메리카</v>
      </c>
      <c r="C1209" s="47">
        <v>7.8</v>
      </c>
      <c r="D1209" s="6" t="s">
        <v>1389</v>
      </c>
      <c r="E1209" s="5" t="s">
        <v>20</v>
      </c>
      <c r="F1209" s="5">
        <v>2015</v>
      </c>
      <c r="G1209" s="5" t="s">
        <v>12</v>
      </c>
      <c r="H1209" s="5" t="s">
        <v>68</v>
      </c>
      <c r="I1209" s="5" t="s">
        <v>952</v>
      </c>
      <c r="J1209" s="98" t="s">
        <v>3440</v>
      </c>
    </row>
    <row r="1210" spans="1:10" ht="28.9" customHeight="1" thickTop="1" thickBot="1" x14ac:dyDescent="0.65">
      <c r="A1210" s="3">
        <v>1208</v>
      </c>
      <c r="B1210" s="44" t="str">
        <f>HYPERLINK("https://search.naver.com/search.naver?query=미스틱 리버 영화", "미스틱 리버")</f>
        <v>미스틱 리버</v>
      </c>
      <c r="C1210" s="45">
        <v>8.0299999999999994</v>
      </c>
      <c r="D1210" s="4" t="s">
        <v>1390</v>
      </c>
      <c r="E1210" s="3" t="s">
        <v>20</v>
      </c>
      <c r="F1210" s="3">
        <v>2003</v>
      </c>
      <c r="G1210" s="3" t="s">
        <v>12</v>
      </c>
      <c r="H1210" s="3" t="s">
        <v>17</v>
      </c>
      <c r="I1210" s="3" t="s">
        <v>619</v>
      </c>
      <c r="J1210" s="97" t="s">
        <v>3449</v>
      </c>
    </row>
    <row r="1211" spans="1:10" ht="28.9" customHeight="1" thickTop="1" thickBot="1" x14ac:dyDescent="0.65">
      <c r="A1211" s="5">
        <v>1209</v>
      </c>
      <c r="B1211" s="46" t="str">
        <f>HYPERLINK("https://search.naver.com/search.naver?query=미스포터 영화", "미스포터")</f>
        <v>미스포터</v>
      </c>
      <c r="C1211" s="47">
        <v>7.92</v>
      </c>
      <c r="D1211" s="6" t="s">
        <v>1391</v>
      </c>
      <c r="E1211" s="5" t="s">
        <v>24</v>
      </c>
      <c r="F1211" s="5">
        <v>2006</v>
      </c>
      <c r="G1211" s="5" t="s">
        <v>12</v>
      </c>
      <c r="H1211" s="5" t="s">
        <v>17</v>
      </c>
      <c r="I1211" s="5" t="s">
        <v>231</v>
      </c>
      <c r="J1211" s="98" t="s">
        <v>3460</v>
      </c>
    </row>
    <row r="1212" spans="1:10" ht="28.9" customHeight="1" thickTop="1" thickBot="1" x14ac:dyDescent="0.65">
      <c r="A1212" s="3">
        <v>1210</v>
      </c>
      <c r="B1212" s="44" t="str">
        <f>HYPERLINK("https://search.naver.com/search.naver?query=미스피츠 영화", "미스피츠")</f>
        <v>미스피츠</v>
      </c>
      <c r="C1212" s="45">
        <v>3.61</v>
      </c>
      <c r="D1212" s="4" t="s">
        <v>1392</v>
      </c>
      <c r="E1212" s="3" t="s">
        <v>20</v>
      </c>
      <c r="F1212" s="3">
        <v>2021</v>
      </c>
      <c r="G1212" s="3" t="s">
        <v>12</v>
      </c>
      <c r="H1212" s="3" t="s">
        <v>92</v>
      </c>
      <c r="I1212" s="3" t="s">
        <v>300</v>
      </c>
      <c r="J1212" s="97" t="s">
        <v>3438</v>
      </c>
    </row>
    <row r="1213" spans="1:10" ht="28.9" customHeight="1" thickTop="1" thickBot="1" x14ac:dyDescent="0.65">
      <c r="A1213" s="5">
        <v>1211</v>
      </c>
      <c r="B1213" s="46" t="str">
        <f>HYPERLINK("https://search.naver.com/search.naver?query=미시즈 해리스 파리에 가다 영화", "미시즈 해리스 파리에 가다")</f>
        <v>미시즈 해리스 파리에 가다</v>
      </c>
      <c r="C1213" s="47">
        <v>8.09</v>
      </c>
      <c r="D1213" s="6" t="s">
        <v>1393</v>
      </c>
      <c r="E1213" s="5" t="s">
        <v>24</v>
      </c>
      <c r="F1213" s="5">
        <v>2022</v>
      </c>
      <c r="G1213" s="5" t="s">
        <v>12</v>
      </c>
      <c r="H1213" s="5" t="s">
        <v>68</v>
      </c>
      <c r="I1213" s="5" t="s">
        <v>47</v>
      </c>
      <c r="J1213" s="98" t="s">
        <v>3445</v>
      </c>
    </row>
    <row r="1214" spans="1:10" ht="28.9" customHeight="1" thickTop="1" thickBot="1" x14ac:dyDescent="0.65">
      <c r="A1214" s="3">
        <v>1212</v>
      </c>
      <c r="B1214" s="44" t="str">
        <f>HYPERLINK("https://search.naver.com/search.naver?query=미쓰 와이프 영화", "미쓰 와이프")</f>
        <v>미쓰 와이프</v>
      </c>
      <c r="C1214" s="45">
        <v>8.6999999999999993</v>
      </c>
      <c r="D1214" s="4" t="s">
        <v>1394</v>
      </c>
      <c r="E1214" s="3" t="s">
        <v>11</v>
      </c>
      <c r="F1214" s="3">
        <v>2015</v>
      </c>
      <c r="G1214" s="3" t="s">
        <v>12</v>
      </c>
      <c r="H1214" s="3" t="s">
        <v>68</v>
      </c>
      <c r="I1214" s="3" t="s">
        <v>214</v>
      </c>
      <c r="J1214" s="97" t="s">
        <v>3440</v>
      </c>
    </row>
    <row r="1215" spans="1:10" ht="28.9" customHeight="1" thickTop="1" thickBot="1" x14ac:dyDescent="0.65">
      <c r="A1215" s="5">
        <v>1213</v>
      </c>
      <c r="B1215" s="46" t="str">
        <f>HYPERLINK("https://search.naver.com/search.naver?query=미쓰백 영화", "미쓰백")</f>
        <v>미쓰백</v>
      </c>
      <c r="C1215" s="47">
        <v>9.25</v>
      </c>
      <c r="D1215" s="6" t="s">
        <v>1395</v>
      </c>
      <c r="E1215" s="5" t="s">
        <v>11</v>
      </c>
      <c r="F1215" s="5">
        <v>2018</v>
      </c>
      <c r="G1215" s="5" t="s">
        <v>12</v>
      </c>
      <c r="H1215" s="5" t="s">
        <v>17</v>
      </c>
      <c r="I1215" s="5" t="s">
        <v>14</v>
      </c>
      <c r="J1215" s="98" t="s">
        <v>3442</v>
      </c>
    </row>
    <row r="1216" spans="1:10" ht="28.9" customHeight="1" thickTop="1" thickBot="1" x14ac:dyDescent="0.65">
      <c r="A1216" s="3">
        <v>1214</v>
      </c>
      <c r="B1216" s="44" t="str">
        <f>HYPERLINK("https://search.naver.com/search.naver?query=미씽 영화", "미씽")</f>
        <v>미씽</v>
      </c>
      <c r="C1216" s="45">
        <v>8.5299999999999994</v>
      </c>
      <c r="D1216" s="4" t="s">
        <v>1396</v>
      </c>
      <c r="E1216" s="3" t="s">
        <v>20</v>
      </c>
      <c r="F1216" s="3">
        <v>2023</v>
      </c>
      <c r="G1216" s="3" t="s">
        <v>12</v>
      </c>
      <c r="H1216" s="3" t="s">
        <v>43</v>
      </c>
      <c r="I1216" s="3" t="s">
        <v>111</v>
      </c>
      <c r="J1216" s="97" t="s">
        <v>3446</v>
      </c>
    </row>
    <row r="1217" spans="1:10" ht="28.9" customHeight="1" thickTop="1" thickBot="1" x14ac:dyDescent="0.65">
      <c r="A1217" s="5">
        <v>1215</v>
      </c>
      <c r="B1217" s="46" t="str">
        <f>HYPERLINK("https://search.naver.com/search.naver?query=미씽 - 사라진 여자", "미씽 - 사라진 여자")</f>
        <v>미씽 - 사라진 여자</v>
      </c>
      <c r="C1217" s="47">
        <v>8.5299999999999994</v>
      </c>
      <c r="D1217" s="6" t="s">
        <v>1397</v>
      </c>
      <c r="E1217" s="5" t="s">
        <v>11</v>
      </c>
      <c r="F1217" s="5">
        <v>2016</v>
      </c>
      <c r="G1217" s="5" t="s">
        <v>12</v>
      </c>
      <c r="H1217" s="5" t="s">
        <v>43</v>
      </c>
      <c r="I1217" s="5" t="s">
        <v>131</v>
      </c>
      <c r="J1217" s="98" t="s">
        <v>3441</v>
      </c>
    </row>
    <row r="1218" spans="1:10" ht="28.9" customHeight="1" thickTop="1" thickBot="1" x14ac:dyDescent="0.65">
      <c r="A1218" s="3">
        <v>1216</v>
      </c>
      <c r="B1218" s="44" t="str">
        <f>HYPERLINK("https://search.naver.com/search.naver?query=미안해요, 리키 영화", "미안해요, 리키")</f>
        <v>미안해요, 리키</v>
      </c>
      <c r="C1218" s="45">
        <v>9.19</v>
      </c>
      <c r="D1218" s="4" t="s">
        <v>1398</v>
      </c>
      <c r="E1218" s="3" t="s">
        <v>24</v>
      </c>
      <c r="F1218" s="3">
        <v>2019</v>
      </c>
      <c r="G1218" s="3" t="s">
        <v>12</v>
      </c>
      <c r="H1218" s="3" t="s">
        <v>17</v>
      </c>
      <c r="I1218" s="3" t="s">
        <v>111</v>
      </c>
      <c r="J1218" s="97" t="s">
        <v>3444</v>
      </c>
    </row>
    <row r="1219" spans="1:10" ht="28.9" customHeight="1" thickTop="1" thickBot="1" x14ac:dyDescent="0.65">
      <c r="A1219" s="7">
        <v>1217</v>
      </c>
      <c r="B1219" s="48" t="str">
        <f>HYPERLINK("https://search.naver.com/search.naver?query=미야모토 무사시 드라마", "미야모토 무사시")</f>
        <v>미야모토 무사시</v>
      </c>
      <c r="C1219" s="49"/>
      <c r="D1219" s="8" t="s">
        <v>1399</v>
      </c>
      <c r="E1219" s="7" t="s">
        <v>16</v>
      </c>
      <c r="F1219" s="7">
        <v>2014</v>
      </c>
      <c r="G1219" s="7" t="s">
        <v>17</v>
      </c>
      <c r="H1219" s="7" t="s">
        <v>346</v>
      </c>
      <c r="I1219" s="7" t="s">
        <v>1400</v>
      </c>
      <c r="J1219" s="99" t="s">
        <v>3437</v>
      </c>
    </row>
    <row r="1220" spans="1:10" ht="28.9" customHeight="1" thickTop="1" thickBot="1" x14ac:dyDescent="0.65">
      <c r="A1220" s="3">
        <v>1218</v>
      </c>
      <c r="B1220" s="44" t="str">
        <f>HYPERLINK("https://search.naver.com/search.naver?query=미옥 영화", "미옥")</f>
        <v>미옥</v>
      </c>
      <c r="C1220" s="45">
        <v>6.92</v>
      </c>
      <c r="D1220" s="4" t="s">
        <v>1401</v>
      </c>
      <c r="E1220" s="3" t="s">
        <v>11</v>
      </c>
      <c r="F1220" s="3">
        <v>2017</v>
      </c>
      <c r="G1220" s="3" t="s">
        <v>12</v>
      </c>
      <c r="H1220" s="3" t="s">
        <v>17</v>
      </c>
      <c r="I1220" s="3" t="s">
        <v>240</v>
      </c>
      <c r="J1220" s="97" t="s">
        <v>3443</v>
      </c>
    </row>
    <row r="1221" spans="1:10" ht="28.9" customHeight="1" thickTop="1" thickBot="1" x14ac:dyDescent="0.65">
      <c r="A1221" s="5">
        <v>1219</v>
      </c>
      <c r="B1221" s="46" t="str">
        <f>HYPERLINK("https://search.naver.com/search.naver?query=미운 오리 새끼 영화", "미운 오리 새끼")</f>
        <v>미운 오리 새끼</v>
      </c>
      <c r="C1221" s="47">
        <v>8.7200000000000006</v>
      </c>
      <c r="D1221" s="6" t="s">
        <v>1402</v>
      </c>
      <c r="E1221" s="5" t="s">
        <v>11</v>
      </c>
      <c r="F1221" s="5">
        <v>2012</v>
      </c>
      <c r="G1221" s="5" t="s">
        <v>12</v>
      </c>
      <c r="H1221" s="5" t="s">
        <v>17</v>
      </c>
      <c r="I1221" s="5" t="s">
        <v>111</v>
      </c>
      <c r="J1221" s="98" t="s">
        <v>3439</v>
      </c>
    </row>
    <row r="1222" spans="1:10" ht="28.9" customHeight="1" thickTop="1" thickBot="1" x14ac:dyDescent="0.65">
      <c r="A1222" s="3">
        <v>1220</v>
      </c>
      <c r="B1222" s="44" t="str">
        <f>HYPERLINK("https://search.naver.com/search.naver?query=미이라 영화", "미이라")</f>
        <v>미이라</v>
      </c>
      <c r="C1222" s="45">
        <v>9.25</v>
      </c>
      <c r="D1222" s="4" t="s">
        <v>1403</v>
      </c>
      <c r="E1222" s="3" t="s">
        <v>20</v>
      </c>
      <c r="F1222" s="3">
        <v>2017</v>
      </c>
      <c r="G1222" s="3" t="s">
        <v>12</v>
      </c>
      <c r="H1222" s="3" t="s">
        <v>92</v>
      </c>
      <c r="I1222" s="3" t="s">
        <v>96</v>
      </c>
      <c r="J1222" s="97" t="s">
        <v>3443</v>
      </c>
    </row>
    <row r="1223" spans="1:10" ht="28.9" customHeight="1" thickTop="1" thickBot="1" x14ac:dyDescent="0.65">
      <c r="A1223" s="5">
        <v>1221</v>
      </c>
      <c r="B1223" s="46" t="str">
        <f>HYPERLINK("https://search.naver.com/search.naver?query=미하엘 콜하스의 선택 영화", "미하엘 콜하스의 선택")</f>
        <v>미하엘 콜하스의 선택</v>
      </c>
      <c r="C1223" s="47">
        <v>8.1300000000000008</v>
      </c>
      <c r="D1223" s="6" t="s">
        <v>1404</v>
      </c>
      <c r="E1223" s="5" t="s">
        <v>210</v>
      </c>
      <c r="F1223" s="5">
        <v>2013</v>
      </c>
      <c r="G1223" s="5" t="s">
        <v>12</v>
      </c>
      <c r="H1223" s="5" t="s">
        <v>17</v>
      </c>
      <c r="I1223" s="5" t="s">
        <v>105</v>
      </c>
      <c r="J1223" s="98" t="s">
        <v>3451</v>
      </c>
    </row>
    <row r="1224" spans="1:10" ht="28.9" customHeight="1" thickTop="1" thickBot="1" x14ac:dyDescent="0.65">
      <c r="A1224" s="3">
        <v>1222</v>
      </c>
      <c r="B1224" s="44" t="str">
        <f>HYPERLINK("https://search.naver.com/search.naver?query=믹막-티르라리고 사람들 영화", "믹막-티르라리고 사람들")</f>
        <v>믹막-티르라리고 사람들</v>
      </c>
      <c r="C1224" s="45"/>
      <c r="D1224" s="4" t="s">
        <v>1405</v>
      </c>
      <c r="E1224" s="3" t="s">
        <v>210</v>
      </c>
      <c r="F1224" s="3">
        <v>2009</v>
      </c>
      <c r="G1224" s="3" t="s">
        <v>12</v>
      </c>
      <c r="H1224" s="3" t="s">
        <v>68</v>
      </c>
      <c r="I1224" s="3" t="s">
        <v>128</v>
      </c>
      <c r="J1224" s="97" t="s">
        <v>3453</v>
      </c>
    </row>
    <row r="1225" spans="1:10" ht="28.9" customHeight="1" thickTop="1" thickBot="1" x14ac:dyDescent="0.65">
      <c r="A1225" s="5">
        <v>1223</v>
      </c>
      <c r="B1225" s="46" t="str">
        <f>HYPERLINK("https://search.naver.com/search.naver?query=믹스 영화", "믹스")</f>
        <v>믹스</v>
      </c>
      <c r="C1225" s="47">
        <v>6.4</v>
      </c>
      <c r="D1225" s="6" t="s">
        <v>1406</v>
      </c>
      <c r="E1225" s="5" t="s">
        <v>16</v>
      </c>
      <c r="F1225" s="5">
        <v>2017</v>
      </c>
      <c r="G1225" s="5" t="s">
        <v>12</v>
      </c>
      <c r="H1225" s="5" t="s">
        <v>17</v>
      </c>
      <c r="I1225" s="5" t="s">
        <v>111</v>
      </c>
      <c r="J1225" s="98" t="s">
        <v>3443</v>
      </c>
    </row>
    <row r="1226" spans="1:10" ht="28.9" customHeight="1" thickTop="1" thickBot="1" x14ac:dyDescent="0.65">
      <c r="A1226" s="3">
        <v>1224</v>
      </c>
      <c r="B1226" s="44" t="str">
        <f>HYPERLINK("https://search.naver.com/search.naver?query=민스미트 작전 영화", "민스미트 작전")</f>
        <v>민스미트 작전</v>
      </c>
      <c r="C1226" s="45">
        <v>7.22</v>
      </c>
      <c r="D1226" s="4" t="s">
        <v>1407</v>
      </c>
      <c r="E1226" s="3" t="s">
        <v>24</v>
      </c>
      <c r="F1226" s="3">
        <v>2021</v>
      </c>
      <c r="G1226" s="3" t="s">
        <v>12</v>
      </c>
      <c r="H1226" s="3" t="s">
        <v>17</v>
      </c>
      <c r="I1226" s="3" t="s">
        <v>108</v>
      </c>
      <c r="J1226" s="97" t="s">
        <v>3438</v>
      </c>
    </row>
    <row r="1227" spans="1:10" ht="28.9" customHeight="1" thickTop="1" thickBot="1" x14ac:dyDescent="0.65">
      <c r="A1227" s="5">
        <v>1225</v>
      </c>
      <c r="B1227" s="46" t="str">
        <f>HYPERLINK("https://search.naver.com/search.naver?query=믿음의 승부 영화", "믿음의 승부")</f>
        <v>믿음의 승부</v>
      </c>
      <c r="C1227" s="47">
        <v>8.86</v>
      </c>
      <c r="D1227" s="6" t="s">
        <v>1408</v>
      </c>
      <c r="E1227" s="5" t="s">
        <v>20</v>
      </c>
      <c r="F1227" s="5">
        <v>2006</v>
      </c>
      <c r="G1227" s="5" t="s">
        <v>12</v>
      </c>
      <c r="H1227" s="5" t="s">
        <v>17</v>
      </c>
      <c r="I1227" s="5" t="s">
        <v>102</v>
      </c>
      <c r="J1227" s="98" t="s">
        <v>3460</v>
      </c>
    </row>
    <row r="1228" spans="1:10" ht="28.9" customHeight="1" thickTop="1" thickBot="1" x14ac:dyDescent="0.65">
      <c r="A1228" s="7">
        <v>1226</v>
      </c>
      <c r="B1228" s="48" t="str">
        <f>HYPERLINK("https://search.naver.com/search.naver?query=밀고는 부른다 경시청 감찰 파일", "밀고는 부른다 경시청 감찰 파일")</f>
        <v>밀고는 부른다 경시청 감찰 파일</v>
      </c>
      <c r="C1228" s="49"/>
      <c r="D1228" s="8"/>
      <c r="E1228" s="7" t="s">
        <v>16</v>
      </c>
      <c r="F1228" s="7">
        <v>2021</v>
      </c>
      <c r="G1228" s="7" t="s">
        <v>17</v>
      </c>
      <c r="H1228" s="7" t="s">
        <v>85</v>
      </c>
      <c r="I1228" s="7" t="s">
        <v>173</v>
      </c>
      <c r="J1228" s="99" t="s">
        <v>3438</v>
      </c>
    </row>
    <row r="1229" spans="1:10" ht="28.9" customHeight="1" thickTop="1" thickBot="1" x14ac:dyDescent="0.65">
      <c r="A1229" s="5">
        <v>1227</v>
      </c>
      <c r="B1229" s="46" t="str">
        <f>HYPERLINK("https://search.naver.com/search.naver?query=밀레니엄 여자를 증오한 남자들 영화", "밀레니엄 여자를 증오한 남자들")</f>
        <v>밀레니엄 여자를 증오한 남자들</v>
      </c>
      <c r="C1229" s="47">
        <v>8.11</v>
      </c>
      <c r="D1229" s="6" t="s">
        <v>1409</v>
      </c>
      <c r="E1229" s="5" t="s">
        <v>20</v>
      </c>
      <c r="F1229" s="5">
        <v>2011</v>
      </c>
      <c r="G1229" s="5" t="s">
        <v>12</v>
      </c>
      <c r="H1229" s="5" t="s">
        <v>277</v>
      </c>
      <c r="I1229" s="5" t="s">
        <v>533</v>
      </c>
      <c r="J1229" s="98" t="s">
        <v>3454</v>
      </c>
    </row>
    <row r="1230" spans="1:10" ht="28.9" customHeight="1" thickTop="1" thickBot="1" x14ac:dyDescent="0.65">
      <c r="A1230" s="3">
        <v>1228</v>
      </c>
      <c r="B1230" s="44" t="str">
        <f>HYPERLINK("https://search.naver.com/search.naver?query=밀수 영화", "밀수")</f>
        <v>밀수</v>
      </c>
      <c r="C1230" s="45">
        <v>7.92</v>
      </c>
      <c r="D1230" s="4" t="s">
        <v>1410</v>
      </c>
      <c r="E1230" s="3" t="s">
        <v>11</v>
      </c>
      <c r="F1230" s="3">
        <v>2023</v>
      </c>
      <c r="G1230" s="3" t="s">
        <v>12</v>
      </c>
      <c r="H1230" s="3" t="s">
        <v>277</v>
      </c>
      <c r="I1230" s="3" t="s">
        <v>214</v>
      </c>
      <c r="J1230" s="97" t="s">
        <v>3446</v>
      </c>
    </row>
    <row r="1231" spans="1:10" ht="28.9" customHeight="1" thickTop="1" thickBot="1" x14ac:dyDescent="0.65">
      <c r="A1231" s="5">
        <v>1229</v>
      </c>
      <c r="B1231" s="46" t="str">
        <f>HYPERLINK("https://search.naver.com/search.naver?query=밀양 영화", "밀양")</f>
        <v>밀양</v>
      </c>
      <c r="C1231" s="47">
        <v>8.94</v>
      </c>
      <c r="D1231" s="6" t="s">
        <v>1411</v>
      </c>
      <c r="E1231" s="5" t="s">
        <v>11</v>
      </c>
      <c r="F1231" s="5">
        <v>2007</v>
      </c>
      <c r="G1231" s="5" t="s">
        <v>12</v>
      </c>
      <c r="H1231" s="5" t="s">
        <v>17</v>
      </c>
      <c r="I1231" s="5" t="s">
        <v>237</v>
      </c>
      <c r="J1231" s="98" t="s">
        <v>3447</v>
      </c>
    </row>
    <row r="1232" spans="1:10" ht="28.9" customHeight="1" thickTop="1" thickBot="1" x14ac:dyDescent="0.65">
      <c r="A1232" s="3">
        <v>1230</v>
      </c>
      <c r="B1232" s="44" t="str">
        <f>HYPERLINK("https://search.naver.com/search.naver?query=밀정 영화", "밀정")</f>
        <v>밀정</v>
      </c>
      <c r="C1232" s="45">
        <v>8.57</v>
      </c>
      <c r="D1232" s="4" t="s">
        <v>1412</v>
      </c>
      <c r="E1232" s="3" t="s">
        <v>11</v>
      </c>
      <c r="F1232" s="3">
        <v>2016</v>
      </c>
      <c r="G1232" s="3" t="s">
        <v>12</v>
      </c>
      <c r="H1232" s="3" t="s">
        <v>92</v>
      </c>
      <c r="I1232" s="3" t="s">
        <v>550</v>
      </c>
      <c r="J1232" s="97" t="s">
        <v>3441</v>
      </c>
    </row>
    <row r="1233" spans="1:10" ht="28.9" customHeight="1" thickTop="1" thickBot="1" x14ac:dyDescent="0.65">
      <c r="A1233" s="5">
        <v>1231</v>
      </c>
      <c r="B1233" s="46" t="str">
        <f>HYPERLINK("https://search.naver.com/search.naver?query=바느질 위의 인생", "바느질 위의 인생")</f>
        <v>바느질 위의 인생</v>
      </c>
      <c r="C1233" s="47">
        <v>7.76</v>
      </c>
      <c r="D1233" s="6" t="s">
        <v>1413</v>
      </c>
      <c r="E1233" s="5" t="s">
        <v>16</v>
      </c>
      <c r="F1233" s="5">
        <v>2016</v>
      </c>
      <c r="G1233" s="5" t="s">
        <v>12</v>
      </c>
      <c r="H1233" s="5" t="s">
        <v>17</v>
      </c>
      <c r="I1233" s="5" t="s">
        <v>170</v>
      </c>
      <c r="J1233" s="98" t="s">
        <v>3441</v>
      </c>
    </row>
    <row r="1234" spans="1:10" ht="28.9" customHeight="1" thickTop="1" thickBot="1" x14ac:dyDescent="0.65">
      <c r="A1234" s="3">
        <v>1232</v>
      </c>
      <c r="B1234" s="44" t="str">
        <f>HYPERLINK("https://search.naver.com/search.naver?query=바다 쪽으로, 한 뼘 더 영화", "바다 쪽으로, 한 뼘 더")</f>
        <v>바다 쪽으로, 한 뼘 더</v>
      </c>
      <c r="C1234" s="45">
        <v>8.14</v>
      </c>
      <c r="D1234" s="4" t="s">
        <v>1414</v>
      </c>
      <c r="E1234" s="3" t="s">
        <v>11</v>
      </c>
      <c r="F1234" s="3">
        <v>2009</v>
      </c>
      <c r="G1234" s="3" t="s">
        <v>12</v>
      </c>
      <c r="H1234" s="3" t="s">
        <v>17</v>
      </c>
      <c r="I1234" s="3" t="s">
        <v>115</v>
      </c>
      <c r="J1234" s="97" t="s">
        <v>3453</v>
      </c>
    </row>
    <row r="1235" spans="1:10" ht="28.9" customHeight="1" thickTop="1" thickBot="1" x14ac:dyDescent="0.65">
      <c r="A1235" s="5">
        <v>1233</v>
      </c>
      <c r="B1235" s="46" t="str">
        <f>HYPERLINK("https://search.naver.com/search.naver?query=바닷마을 다이어리 영화", "바닷마을 다이어리")</f>
        <v>바닷마을 다이어리</v>
      </c>
      <c r="C1235" s="47">
        <v>8.81</v>
      </c>
      <c r="D1235" s="6" t="s">
        <v>1415</v>
      </c>
      <c r="E1235" s="5" t="s">
        <v>16</v>
      </c>
      <c r="F1235" s="5">
        <v>2015</v>
      </c>
      <c r="G1235" s="5" t="s">
        <v>12</v>
      </c>
      <c r="H1235" s="5" t="s">
        <v>17</v>
      </c>
      <c r="I1235" s="5" t="s">
        <v>150</v>
      </c>
      <c r="J1235" s="98" t="s">
        <v>3440</v>
      </c>
    </row>
    <row r="1236" spans="1:10" ht="28.9" customHeight="1" thickTop="1" thickBot="1" x14ac:dyDescent="0.65">
      <c r="A1236" s="7">
        <v>1234</v>
      </c>
      <c r="B1236" s="48" t="str">
        <f>HYPERLINK("https://search.naver.com/search.naver?query=바디 오브 프루프 시즌1", "바디 오브 프루프 시즌1")</f>
        <v>바디 오브 프루프 시즌1</v>
      </c>
      <c r="C1236" s="49"/>
      <c r="D1236" s="8" t="s">
        <v>1416</v>
      </c>
      <c r="E1236" s="7" t="s">
        <v>20</v>
      </c>
      <c r="F1236" s="7">
        <v>2011</v>
      </c>
      <c r="G1236" s="7" t="s">
        <v>17</v>
      </c>
      <c r="H1236" s="7" t="s">
        <v>17</v>
      </c>
      <c r="I1236" s="7" t="s">
        <v>242</v>
      </c>
      <c r="J1236" s="99" t="s">
        <v>3454</v>
      </c>
    </row>
    <row r="1237" spans="1:10" ht="28.9" customHeight="1" thickTop="1" thickBot="1" x14ac:dyDescent="0.65">
      <c r="A1237" s="7">
        <v>1235</v>
      </c>
      <c r="B1237" s="48" t="str">
        <f>HYPERLINK("https://search.naver.com/search.naver?query=바디 오브 프루프 시즌2", "바디 오브 프루프 시즌2")</f>
        <v>바디 오브 프루프 시즌2</v>
      </c>
      <c r="C1237" s="49"/>
      <c r="D1237" s="8" t="s">
        <v>1416</v>
      </c>
      <c r="E1237" s="7" t="s">
        <v>20</v>
      </c>
      <c r="F1237" s="7">
        <v>2012</v>
      </c>
      <c r="G1237" s="7" t="s">
        <v>17</v>
      </c>
      <c r="H1237" s="7" t="s">
        <v>17</v>
      </c>
      <c r="I1237" s="7" t="s">
        <v>761</v>
      </c>
      <c r="J1237" s="99" t="s">
        <v>3439</v>
      </c>
    </row>
    <row r="1238" spans="1:10" ht="28.9" customHeight="1" thickTop="1" thickBot="1" x14ac:dyDescent="0.65">
      <c r="A1238" s="7">
        <v>1236</v>
      </c>
      <c r="B1238" s="48" t="str">
        <f>HYPERLINK("https://search.naver.com/search.naver?query=바디 오브 프루프 시즌3", "바디 오브 프루프 시즌3")</f>
        <v>바디 오브 프루프 시즌3</v>
      </c>
      <c r="C1238" s="49"/>
      <c r="D1238" s="8" t="s">
        <v>1416</v>
      </c>
      <c r="E1238" s="7" t="s">
        <v>20</v>
      </c>
      <c r="F1238" s="7">
        <v>2013</v>
      </c>
      <c r="G1238" s="7" t="s">
        <v>17</v>
      </c>
      <c r="H1238" s="7" t="s">
        <v>17</v>
      </c>
      <c r="I1238" s="7" t="s">
        <v>645</v>
      </c>
      <c r="J1238" s="99" t="s">
        <v>3451</v>
      </c>
    </row>
    <row r="1239" spans="1:10" ht="28.9" customHeight="1" thickTop="1" thickBot="1" x14ac:dyDescent="0.65">
      <c r="A1239" s="5">
        <v>1237</v>
      </c>
      <c r="B1239" s="46" t="str">
        <f>HYPERLINK("https://search.naver.com/search.naver?query=바람 영화", "바람")</f>
        <v>바람</v>
      </c>
      <c r="C1239" s="47">
        <v>9.2899999999999991</v>
      </c>
      <c r="D1239" s="6" t="s">
        <v>1417</v>
      </c>
      <c r="E1239" s="5" t="s">
        <v>11</v>
      </c>
      <c r="F1239" s="5">
        <v>2009</v>
      </c>
      <c r="G1239" s="5" t="s">
        <v>12</v>
      </c>
      <c r="H1239" s="5" t="s">
        <v>17</v>
      </c>
      <c r="I1239" s="5" t="s">
        <v>75</v>
      </c>
      <c r="J1239" s="98" t="s">
        <v>3453</v>
      </c>
    </row>
    <row r="1240" spans="1:10" ht="28.9" customHeight="1" thickTop="1" thickBot="1" x14ac:dyDescent="0.65">
      <c r="A1240" s="3">
        <v>1238</v>
      </c>
      <c r="B1240" s="44" t="str">
        <f>HYPERLINK("https://search.naver.com/search.naver?query=바람 바람 바람 영화", "바람 바람 바람")</f>
        <v>바람 바람 바람</v>
      </c>
      <c r="C1240" s="45">
        <v>6.65</v>
      </c>
      <c r="D1240" s="4" t="s">
        <v>1418</v>
      </c>
      <c r="E1240" s="3" t="s">
        <v>11</v>
      </c>
      <c r="F1240" s="3">
        <v>2017</v>
      </c>
      <c r="G1240" s="3" t="s">
        <v>12</v>
      </c>
      <c r="H1240" s="3" t="s">
        <v>68</v>
      </c>
      <c r="I1240" s="3" t="s">
        <v>131</v>
      </c>
      <c r="J1240" s="97" t="s">
        <v>3443</v>
      </c>
    </row>
    <row r="1241" spans="1:10" ht="28.9" customHeight="1" thickTop="1" thickBot="1" x14ac:dyDescent="0.65">
      <c r="A1241" s="5">
        <v>1239</v>
      </c>
      <c r="B1241" s="46" t="str">
        <f>HYPERLINK("https://search.naver.com/search.naver?query=바람과 함께 사라지다 영화", "바람과 함께 사라지다")</f>
        <v>바람과 함께 사라지다</v>
      </c>
      <c r="C1241" s="47">
        <v>6.4</v>
      </c>
      <c r="D1241" s="6" t="s">
        <v>1419</v>
      </c>
      <c r="E1241" s="5" t="s">
        <v>20</v>
      </c>
      <c r="F1241" s="5">
        <v>1939</v>
      </c>
      <c r="G1241" s="5" t="s">
        <v>12</v>
      </c>
      <c r="H1241" s="5" t="s">
        <v>17</v>
      </c>
      <c r="I1241" s="5" t="s">
        <v>1420</v>
      </c>
      <c r="J1241" s="98" t="s">
        <v>3478</v>
      </c>
    </row>
    <row r="1242" spans="1:10" ht="28.9" customHeight="1" thickTop="1" thickBot="1" x14ac:dyDescent="0.65">
      <c r="A1242" s="3">
        <v>1240</v>
      </c>
      <c r="B1242" s="44" t="str">
        <f>HYPERLINK("https://search.naver.com/search.naver?query=더 보이 후 하네스드 더 윈드", "바람을 길들인 풍차소년")</f>
        <v>바람을 길들인 풍차소년</v>
      </c>
      <c r="C1242" s="45"/>
      <c r="D1242" s="4" t="s">
        <v>1421</v>
      </c>
      <c r="E1242" s="3" t="s">
        <v>24</v>
      </c>
      <c r="F1242" s="3">
        <v>2019</v>
      </c>
      <c r="G1242" s="3" t="s">
        <v>12</v>
      </c>
      <c r="H1242" s="3" t="s">
        <v>17</v>
      </c>
      <c r="I1242" s="3" t="s">
        <v>73</v>
      </c>
      <c r="J1242" s="97" t="s">
        <v>3444</v>
      </c>
    </row>
    <row r="1243" spans="1:10" ht="28.9" customHeight="1" thickTop="1" thickBot="1" x14ac:dyDescent="0.65">
      <c r="A1243" s="5">
        <v>1241</v>
      </c>
      <c r="B1243" s="46" t="str">
        <f>HYPERLINK("https://search.naver.com/search.naver?query=바람의 검심 영화", "바람의 검심")</f>
        <v>바람의 검심</v>
      </c>
      <c r="C1243" s="47">
        <v>9.0500000000000007</v>
      </c>
      <c r="D1243" s="6" t="s">
        <v>1422</v>
      </c>
      <c r="E1243" s="5" t="s">
        <v>16</v>
      </c>
      <c r="F1243" s="5">
        <v>2012</v>
      </c>
      <c r="G1243" s="5" t="s">
        <v>12</v>
      </c>
      <c r="H1243" s="5" t="s">
        <v>92</v>
      </c>
      <c r="I1243" s="5" t="s">
        <v>543</v>
      </c>
      <c r="J1243" s="98" t="s">
        <v>3439</v>
      </c>
    </row>
    <row r="1244" spans="1:10" ht="28.9" customHeight="1" thickTop="1" thickBot="1" x14ac:dyDescent="0.65">
      <c r="A1244" s="3">
        <v>1242</v>
      </c>
      <c r="B1244" s="44" t="str">
        <f>HYPERLINK("https://search.naver.com/search.naver?query=바람의 검심 최종장 더 파이널 영화", "바람의 검심 최종장 더 파이널")</f>
        <v>바람의 검심 최종장 더 파이널</v>
      </c>
      <c r="C1244" s="45">
        <v>8.3699999999999992</v>
      </c>
      <c r="D1244" s="4" t="s">
        <v>1423</v>
      </c>
      <c r="E1244" s="3" t="s">
        <v>16</v>
      </c>
      <c r="F1244" s="3">
        <v>2021</v>
      </c>
      <c r="G1244" s="3" t="s">
        <v>12</v>
      </c>
      <c r="H1244" s="3" t="s">
        <v>92</v>
      </c>
      <c r="I1244" s="3" t="s">
        <v>619</v>
      </c>
      <c r="J1244" s="97" t="s">
        <v>3438</v>
      </c>
    </row>
    <row r="1245" spans="1:10" ht="28.9" customHeight="1" thickTop="1" thickBot="1" x14ac:dyDescent="0.65">
      <c r="A1245" s="5">
        <v>1243</v>
      </c>
      <c r="B1245" s="46" t="str">
        <f>HYPERLINK("https://search.naver.com/search.naver?query=바람의 검심-교토 대화재편 영화", "바람의 검심-교토 대화재편")</f>
        <v>바람의 검심-교토 대화재편</v>
      </c>
      <c r="C1245" s="47"/>
      <c r="D1245" s="6" t="s">
        <v>1424</v>
      </c>
      <c r="E1245" s="5" t="s">
        <v>16</v>
      </c>
      <c r="F1245" s="5">
        <v>2014</v>
      </c>
      <c r="G1245" s="5" t="s">
        <v>12</v>
      </c>
      <c r="H1245" s="5" t="s">
        <v>92</v>
      </c>
      <c r="I1245" s="5" t="s">
        <v>305</v>
      </c>
      <c r="J1245" s="98" t="s">
        <v>3437</v>
      </c>
    </row>
    <row r="1246" spans="1:10" ht="28.9" customHeight="1" thickTop="1" thickBot="1" x14ac:dyDescent="0.65">
      <c r="A1246" s="3">
        <v>1244</v>
      </c>
      <c r="B1246" s="44" t="str">
        <f>HYPERLINK("https://search.naver.com/search.naver?query=바람의 검심-전설의 최후편 영화", "바람의 검심-전설의 최후편")</f>
        <v>바람의 검심-전설의 최후편</v>
      </c>
      <c r="C1246" s="45"/>
      <c r="D1246" s="4" t="s">
        <v>1424</v>
      </c>
      <c r="E1246" s="3" t="s">
        <v>16</v>
      </c>
      <c r="F1246" s="3">
        <v>2014</v>
      </c>
      <c r="G1246" s="3" t="s">
        <v>12</v>
      </c>
      <c r="H1246" s="3" t="s">
        <v>92</v>
      </c>
      <c r="I1246" s="3" t="s">
        <v>41</v>
      </c>
      <c r="J1246" s="97" t="s">
        <v>3437</v>
      </c>
    </row>
    <row r="1247" spans="1:10" ht="28.9" customHeight="1" thickTop="1" thickBot="1" x14ac:dyDescent="0.65">
      <c r="A1247" s="5">
        <v>1245</v>
      </c>
      <c r="B1247" s="46" t="str">
        <f>HYPERLINK("https://search.naver.com/search.naver?query=바람의 소리 영화", "바람의 소리")</f>
        <v>바람의 소리</v>
      </c>
      <c r="C1247" s="47">
        <v>8.83</v>
      </c>
      <c r="D1247" s="6" t="s">
        <v>1425</v>
      </c>
      <c r="E1247" s="5" t="s">
        <v>136</v>
      </c>
      <c r="F1247" s="5">
        <v>2009</v>
      </c>
      <c r="G1247" s="5" t="s">
        <v>12</v>
      </c>
      <c r="H1247" s="5" t="s">
        <v>277</v>
      </c>
      <c r="I1247" s="5" t="s">
        <v>278</v>
      </c>
      <c r="J1247" s="98" t="s">
        <v>3453</v>
      </c>
    </row>
    <row r="1248" spans="1:10" ht="28.9" customHeight="1" thickTop="1" thickBot="1" x14ac:dyDescent="0.65">
      <c r="A1248" s="3">
        <v>1246</v>
      </c>
      <c r="B1248" s="44" t="str">
        <f>HYPERLINK("https://search.naver.com/search.naver?query=바르다가 사랑한 얼굴들 영화", "바르다가 사랑한 얼굴들")</f>
        <v>바르다가 사랑한 얼굴들</v>
      </c>
      <c r="C1248" s="45">
        <v>8.92</v>
      </c>
      <c r="D1248" s="4" t="s">
        <v>1426</v>
      </c>
      <c r="E1248" s="3" t="s">
        <v>210</v>
      </c>
      <c r="F1248" s="3">
        <v>2017</v>
      </c>
      <c r="G1248" s="3" t="s">
        <v>12</v>
      </c>
      <c r="H1248" s="3" t="s">
        <v>160</v>
      </c>
      <c r="I1248" s="3" t="s">
        <v>119</v>
      </c>
      <c r="J1248" s="97" t="s">
        <v>3443</v>
      </c>
    </row>
    <row r="1249" spans="1:10" ht="28.9" customHeight="1" thickTop="1" thickBot="1" x14ac:dyDescent="0.65">
      <c r="A1249" s="5">
        <v>1247</v>
      </c>
      <c r="B1249" s="46" t="str">
        <f>HYPERLINK("https://search.naver.com/search.naver?query=바르샤바 영화", "바르샤바")</f>
        <v>바르샤바</v>
      </c>
      <c r="C1249" s="47">
        <v>10</v>
      </c>
      <c r="D1249" s="6" t="s">
        <v>1427</v>
      </c>
      <c r="E1249" s="5" t="s">
        <v>1199</v>
      </c>
      <c r="F1249" s="5">
        <v>2014</v>
      </c>
      <c r="G1249" s="5" t="s">
        <v>12</v>
      </c>
      <c r="H1249" s="5" t="s">
        <v>721</v>
      </c>
      <c r="I1249" s="5" t="s">
        <v>34</v>
      </c>
      <c r="J1249" s="98" t="s">
        <v>3437</v>
      </c>
    </row>
    <row r="1250" spans="1:10" ht="28.9" customHeight="1" thickTop="1" thickBot="1" x14ac:dyDescent="0.65">
      <c r="A1250" s="3">
        <v>1248</v>
      </c>
      <c r="B1250" s="44" t="str">
        <f>HYPERLINK("https://search.naver.com/search.naver?query=바벨 영화", "바벨")</f>
        <v>바벨</v>
      </c>
      <c r="C1250" s="45">
        <v>6.8</v>
      </c>
      <c r="D1250" s="4" t="s">
        <v>1428</v>
      </c>
      <c r="E1250" s="3" t="s">
        <v>20</v>
      </c>
      <c r="F1250" s="3">
        <v>2006</v>
      </c>
      <c r="G1250" s="3" t="s">
        <v>12</v>
      </c>
      <c r="H1250" s="3" t="s">
        <v>17</v>
      </c>
      <c r="I1250" s="3" t="s">
        <v>25</v>
      </c>
      <c r="J1250" s="97" t="s">
        <v>3460</v>
      </c>
    </row>
    <row r="1251" spans="1:10" ht="28.9" customHeight="1" thickTop="1" thickBot="1" x14ac:dyDescent="0.65">
      <c r="A1251" s="5">
        <v>1249</v>
      </c>
      <c r="B1251" s="46" t="str">
        <f>HYPERLINK("https://search.naver.com/search.naver?query=바보 영화", "바보")</f>
        <v>바보</v>
      </c>
      <c r="C1251" s="47">
        <v>8.06</v>
      </c>
      <c r="D1251" s="6" t="s">
        <v>1429</v>
      </c>
      <c r="E1251" s="5" t="s">
        <v>11</v>
      </c>
      <c r="F1251" s="5">
        <v>2008</v>
      </c>
      <c r="G1251" s="5" t="s">
        <v>12</v>
      </c>
      <c r="H1251" s="5" t="s">
        <v>17</v>
      </c>
      <c r="I1251" s="5" t="s">
        <v>111</v>
      </c>
      <c r="J1251" s="98" t="s">
        <v>3450</v>
      </c>
    </row>
    <row r="1252" spans="1:10" ht="28.9" customHeight="1" thickTop="1" thickBot="1" x14ac:dyDescent="0.65">
      <c r="A1252" s="3">
        <v>1250</v>
      </c>
      <c r="B1252" s="44" t="str">
        <f>HYPERLINK("https://search.naver.com/search.naver?query=바보 일본영화", "바보")</f>
        <v>바보</v>
      </c>
      <c r="C1252" s="45">
        <v>3.32</v>
      </c>
      <c r="D1252" s="4" t="s">
        <v>1430</v>
      </c>
      <c r="E1252" s="3" t="s">
        <v>16</v>
      </c>
      <c r="F1252" s="3">
        <v>2010</v>
      </c>
      <c r="G1252" s="3" t="s">
        <v>12</v>
      </c>
      <c r="H1252" s="3" t="s">
        <v>17</v>
      </c>
      <c r="I1252" s="3" t="s">
        <v>86</v>
      </c>
      <c r="J1252" s="97" t="s">
        <v>3455</v>
      </c>
    </row>
    <row r="1253" spans="1:10" ht="28.9" customHeight="1" thickTop="1" thickBot="1" x14ac:dyDescent="0.65">
      <c r="A1253" s="5">
        <v>1251</v>
      </c>
      <c r="B1253" s="46" t="str">
        <f>HYPERLINK("https://search.naver.com/search.naver?query=바비 영화", "바비")</f>
        <v>바비</v>
      </c>
      <c r="C1253" s="47">
        <v>8.2899999999999991</v>
      </c>
      <c r="D1253" s="6" t="s">
        <v>1431</v>
      </c>
      <c r="E1253" s="5" t="s">
        <v>20</v>
      </c>
      <c r="F1253" s="5">
        <v>2006</v>
      </c>
      <c r="G1253" s="5" t="s">
        <v>12</v>
      </c>
      <c r="H1253" s="5" t="s">
        <v>17</v>
      </c>
      <c r="I1253" s="5" t="s">
        <v>86</v>
      </c>
      <c r="J1253" s="98" t="s">
        <v>3460</v>
      </c>
    </row>
    <row r="1254" spans="1:10" ht="28.9" customHeight="1" thickTop="1" thickBot="1" x14ac:dyDescent="0.65">
      <c r="A1254" s="3">
        <v>1252</v>
      </c>
      <c r="B1254" s="44" t="str">
        <f>HYPERLINK("https://search.naver.com/search.naver?query=바비를 위한 기도 영화", "바비를 위한 기도")</f>
        <v>바비를 위한 기도</v>
      </c>
      <c r="C1254" s="45"/>
      <c r="D1254" s="4" t="s">
        <v>1432</v>
      </c>
      <c r="E1254" s="3" t="s">
        <v>20</v>
      </c>
      <c r="F1254" s="3">
        <v>2009</v>
      </c>
      <c r="G1254" s="3" t="s">
        <v>12</v>
      </c>
      <c r="H1254" s="3" t="s">
        <v>17</v>
      </c>
      <c r="I1254" s="3" t="s">
        <v>119</v>
      </c>
      <c r="J1254" s="97" t="s">
        <v>3453</v>
      </c>
    </row>
    <row r="1255" spans="1:10" ht="28.9" customHeight="1" thickTop="1" thickBot="1" x14ac:dyDescent="0.65">
      <c r="A1255" s="5">
        <v>1253</v>
      </c>
      <c r="B1255" s="46" t="str">
        <f>HYPERLINK("https://search.naver.com/search.naver?query=바스티유 데이 영화", "바스티유 데이")</f>
        <v>바스티유 데이</v>
      </c>
      <c r="C1255" s="47">
        <v>8.4</v>
      </c>
      <c r="D1255" s="6" t="s">
        <v>1433</v>
      </c>
      <c r="E1255" s="5" t="s">
        <v>210</v>
      </c>
      <c r="F1255" s="5">
        <v>2016</v>
      </c>
      <c r="G1255" s="5" t="s">
        <v>12</v>
      </c>
      <c r="H1255" s="5" t="s">
        <v>92</v>
      </c>
      <c r="I1255" s="5" t="s">
        <v>147</v>
      </c>
      <c r="J1255" s="98" t="s">
        <v>3441</v>
      </c>
    </row>
    <row r="1256" spans="1:10" ht="28.9" customHeight="1" thickTop="1" thickBot="1" x14ac:dyDescent="0.65">
      <c r="A1256" s="3">
        <v>1254</v>
      </c>
      <c r="B1256" s="44" t="str">
        <f>HYPERLINK("https://search.naver.com/search.naver?query=바운더리스 영화", "바운더리스")</f>
        <v>바운더리스</v>
      </c>
      <c r="C1256" s="45">
        <v>6.4</v>
      </c>
      <c r="D1256" s="4" t="s">
        <v>1434</v>
      </c>
      <c r="E1256" s="3" t="s">
        <v>20</v>
      </c>
      <c r="F1256" s="3">
        <v>2018</v>
      </c>
      <c r="G1256" s="3" t="s">
        <v>12</v>
      </c>
      <c r="H1256" s="3" t="s">
        <v>68</v>
      </c>
      <c r="I1256" s="3" t="s">
        <v>170</v>
      </c>
      <c r="J1256" s="97" t="s">
        <v>3442</v>
      </c>
    </row>
    <row r="1257" spans="1:10" ht="28.9" customHeight="1" thickTop="1" thickBot="1" x14ac:dyDescent="0.65">
      <c r="A1257" s="5">
        <v>1255</v>
      </c>
      <c r="B1257" s="46" t="str">
        <f>HYPERLINK("https://search.naver.com/search.naver?query=바이 더 씨 영화", "바이 더 씨")</f>
        <v>바이 더 씨</v>
      </c>
      <c r="C1257" s="47">
        <v>7.75</v>
      </c>
      <c r="D1257" s="6" t="s">
        <v>1435</v>
      </c>
      <c r="E1257" s="5" t="s">
        <v>20</v>
      </c>
      <c r="F1257" s="5">
        <v>2015</v>
      </c>
      <c r="G1257" s="5" t="s">
        <v>12</v>
      </c>
      <c r="H1257" s="5" t="s">
        <v>17</v>
      </c>
      <c r="I1257" s="5" t="s">
        <v>105</v>
      </c>
      <c r="J1257" s="98" t="s">
        <v>3440</v>
      </c>
    </row>
    <row r="1258" spans="1:10" ht="28.9" customHeight="1" thickTop="1" thickBot="1" x14ac:dyDescent="0.65">
      <c r="A1258" s="3">
        <v>1256</v>
      </c>
      <c r="B1258" s="44" t="str">
        <f>HYPERLINK("https://search.naver.com/search.naver?query=바이스 영화", "바이스")</f>
        <v>바이스</v>
      </c>
      <c r="C1258" s="45">
        <v>8.75</v>
      </c>
      <c r="D1258" s="4" t="s">
        <v>1436</v>
      </c>
      <c r="E1258" s="3" t="s">
        <v>20</v>
      </c>
      <c r="F1258" s="3">
        <v>2018</v>
      </c>
      <c r="G1258" s="3" t="s">
        <v>12</v>
      </c>
      <c r="H1258" s="3" t="s">
        <v>17</v>
      </c>
      <c r="I1258" s="3" t="s">
        <v>350</v>
      </c>
      <c r="J1258" s="97" t="s">
        <v>3442</v>
      </c>
    </row>
    <row r="1259" spans="1:10" ht="28.9" customHeight="1" thickTop="1" thickBot="1" x14ac:dyDescent="0.65">
      <c r="A1259" s="5">
        <v>1257</v>
      </c>
      <c r="B1259" s="46" t="str">
        <f>HYPERLINK("https://search.naver.com/search.naver?query=바이올런트 러브 영화", "바이올런트 러브")</f>
        <v>바이올런트 러브</v>
      </c>
      <c r="C1259" s="47">
        <v>3.32</v>
      </c>
      <c r="D1259" s="6" t="s">
        <v>1437</v>
      </c>
      <c r="E1259" s="5" t="s">
        <v>20</v>
      </c>
      <c r="F1259" s="5">
        <v>2020</v>
      </c>
      <c r="G1259" s="5" t="s">
        <v>12</v>
      </c>
      <c r="H1259" s="5" t="s">
        <v>17</v>
      </c>
      <c r="I1259" s="5" t="s">
        <v>75</v>
      </c>
      <c r="J1259" s="98" t="s">
        <v>3436</v>
      </c>
    </row>
    <row r="1260" spans="1:10" ht="28.9" customHeight="1" thickTop="1" thickBot="1" x14ac:dyDescent="0.65">
      <c r="A1260" s="7">
        <v>1258</v>
      </c>
      <c r="B1260" s="48" t="str">
        <f>HYPERLINK("https://search.naver.com/search.naver?query=바이킹스 시즌1", "바이킹스 시즌1")</f>
        <v>바이킹스 시즌1</v>
      </c>
      <c r="C1260" s="49"/>
      <c r="D1260" s="8" t="s">
        <v>1438</v>
      </c>
      <c r="E1260" s="7" t="s">
        <v>20</v>
      </c>
      <c r="F1260" s="7">
        <v>2013</v>
      </c>
      <c r="G1260" s="7" t="s">
        <v>17</v>
      </c>
      <c r="H1260" s="7" t="s">
        <v>162</v>
      </c>
      <c r="I1260" s="7" t="s">
        <v>242</v>
      </c>
      <c r="J1260" s="99" t="s">
        <v>3451</v>
      </c>
    </row>
    <row r="1261" spans="1:10" ht="28.9" customHeight="1" thickTop="1" thickBot="1" x14ac:dyDescent="0.65">
      <c r="A1261" s="7">
        <v>1259</v>
      </c>
      <c r="B1261" s="48" t="str">
        <f>HYPERLINK("https://search.naver.com/search.naver?query=바이킹스 시즌2", "바이킹스 시즌2")</f>
        <v>바이킹스 시즌2</v>
      </c>
      <c r="C1261" s="49"/>
      <c r="D1261" s="8"/>
      <c r="E1261" s="7" t="s">
        <v>20</v>
      </c>
      <c r="F1261" s="7">
        <v>2014</v>
      </c>
      <c r="G1261" s="7" t="s">
        <v>17</v>
      </c>
      <c r="H1261" s="7" t="s">
        <v>162</v>
      </c>
      <c r="I1261" s="7" t="s">
        <v>50</v>
      </c>
      <c r="J1261" s="99" t="s">
        <v>3437</v>
      </c>
    </row>
    <row r="1262" spans="1:10" ht="28.9" customHeight="1" thickTop="1" thickBot="1" x14ac:dyDescent="0.65">
      <c r="A1262" s="7">
        <v>1260</v>
      </c>
      <c r="B1262" s="48" t="str">
        <f>HYPERLINK("https://search.naver.com/search.naver?query=바이킹스 시즌3", "바이킹스 시즌3")</f>
        <v>바이킹스 시즌3</v>
      </c>
      <c r="C1262" s="49"/>
      <c r="D1262" s="8" t="s">
        <v>1439</v>
      </c>
      <c r="E1262" s="7" t="s">
        <v>20</v>
      </c>
      <c r="F1262" s="7">
        <v>2015</v>
      </c>
      <c r="G1262" s="7" t="s">
        <v>17</v>
      </c>
      <c r="H1262" s="7" t="s">
        <v>162</v>
      </c>
      <c r="I1262" s="7" t="s">
        <v>50</v>
      </c>
      <c r="J1262" s="99" t="s">
        <v>3440</v>
      </c>
    </row>
    <row r="1263" spans="1:10" ht="28.9" customHeight="1" thickTop="1" thickBot="1" x14ac:dyDescent="0.65">
      <c r="A1263" s="7">
        <v>1261</v>
      </c>
      <c r="B1263" s="48" t="str">
        <f>HYPERLINK("https://search.naver.com/search.naver?query=바이킹스 시즌4", "바이킹스 시즌4")</f>
        <v>바이킹스 시즌4</v>
      </c>
      <c r="C1263" s="49"/>
      <c r="D1263" s="8" t="s">
        <v>1440</v>
      </c>
      <c r="E1263" s="7" t="s">
        <v>20</v>
      </c>
      <c r="F1263" s="7">
        <v>2016</v>
      </c>
      <c r="G1263" s="7" t="s">
        <v>17</v>
      </c>
      <c r="H1263" s="7" t="s">
        <v>162</v>
      </c>
      <c r="I1263" s="7" t="s">
        <v>761</v>
      </c>
      <c r="J1263" s="99" t="s">
        <v>3441</v>
      </c>
    </row>
    <row r="1264" spans="1:10" ht="28.9" customHeight="1" thickTop="1" thickBot="1" x14ac:dyDescent="0.65">
      <c r="A1264" s="7">
        <v>1262</v>
      </c>
      <c r="B1264" s="48" t="str">
        <f>HYPERLINK("https://search.naver.com/search.naver?query=바이킹스 시즌5", "바이킹스 시즌5")</f>
        <v>바이킹스 시즌5</v>
      </c>
      <c r="C1264" s="49"/>
      <c r="D1264" s="8"/>
      <c r="E1264" s="7" t="s">
        <v>20</v>
      </c>
      <c r="F1264" s="7">
        <v>2019</v>
      </c>
      <c r="G1264" s="7" t="s">
        <v>17</v>
      </c>
      <c r="H1264" s="7" t="s">
        <v>162</v>
      </c>
      <c r="I1264" s="7" t="s">
        <v>761</v>
      </c>
      <c r="J1264" s="99" t="s">
        <v>3444</v>
      </c>
    </row>
    <row r="1265" spans="1:10" ht="28.9" customHeight="1" thickTop="1" thickBot="1" x14ac:dyDescent="0.65">
      <c r="A1265" s="7">
        <v>1263</v>
      </c>
      <c r="B1265" s="48" t="str">
        <f>HYPERLINK("https://search.naver.com/search.naver?query=바이킹스 시즌6", "바이킹스 시즌6")</f>
        <v>바이킹스 시즌6</v>
      </c>
      <c r="C1265" s="49"/>
      <c r="D1265" s="8" t="s">
        <v>1441</v>
      </c>
      <c r="E1265" s="7" t="s">
        <v>20</v>
      </c>
      <c r="F1265" s="7">
        <v>2020</v>
      </c>
      <c r="G1265" s="7" t="s">
        <v>17</v>
      </c>
      <c r="H1265" s="7" t="s">
        <v>162</v>
      </c>
      <c r="I1265" s="7" t="s">
        <v>761</v>
      </c>
      <c r="J1265" s="99" t="s">
        <v>3436</v>
      </c>
    </row>
    <row r="1266" spans="1:10" ht="28.9" customHeight="1" thickTop="1" thickBot="1" x14ac:dyDescent="0.65">
      <c r="A1266" s="3">
        <v>1264</v>
      </c>
      <c r="B1266" s="44" t="str">
        <f>HYPERLINK("https://search.naver.com/search.naver?query=바쿠만 영화", "바쿠만")</f>
        <v>바쿠만</v>
      </c>
      <c r="C1266" s="45">
        <v>8.8000000000000007</v>
      </c>
      <c r="D1266" s="4" t="s">
        <v>1442</v>
      </c>
      <c r="E1266" s="3" t="s">
        <v>16</v>
      </c>
      <c r="F1266" s="3">
        <v>2015</v>
      </c>
      <c r="G1266" s="3" t="s">
        <v>12</v>
      </c>
      <c r="H1266" s="3" t="s">
        <v>17</v>
      </c>
      <c r="I1266" s="3" t="s">
        <v>53</v>
      </c>
      <c r="J1266" s="97" t="s">
        <v>3440</v>
      </c>
    </row>
    <row r="1267" spans="1:10" ht="28.9" customHeight="1" thickTop="1" thickBot="1" x14ac:dyDescent="0.65">
      <c r="A1267" s="5">
        <v>1265</v>
      </c>
      <c r="B1267" s="46" t="str">
        <f>HYPERLINK("https://search.naver.com/search.naver?query=박물관이 살아있다 - 비밀의 무덤 영화", "박물관이 살아있다 - 비밀의 무덤")</f>
        <v>박물관이 살아있다 - 비밀의 무덤</v>
      </c>
      <c r="C1267" s="47"/>
      <c r="D1267" s="6" t="s">
        <v>1443</v>
      </c>
      <c r="E1267" s="5" t="s">
        <v>20</v>
      </c>
      <c r="F1267" s="5">
        <v>2014</v>
      </c>
      <c r="G1267" s="5" t="s">
        <v>12</v>
      </c>
      <c r="H1267" s="5" t="s">
        <v>68</v>
      </c>
      <c r="I1267" s="5" t="s">
        <v>124</v>
      </c>
      <c r="J1267" s="98" t="s">
        <v>3437</v>
      </c>
    </row>
    <row r="1268" spans="1:10" ht="28.9" customHeight="1" thickTop="1" thickBot="1" x14ac:dyDescent="0.65">
      <c r="A1268" s="3">
        <v>1266</v>
      </c>
      <c r="B1268" s="44" t="str">
        <f>HYPERLINK("https://search.naver.com/search.naver?query=박사가 사랑한 수식 영화", "박사가 사랑한 수식")</f>
        <v>박사가 사랑한 수식</v>
      </c>
      <c r="C1268" s="45">
        <v>8.8000000000000007</v>
      </c>
      <c r="D1268" s="4" t="s">
        <v>1444</v>
      </c>
      <c r="E1268" s="3" t="s">
        <v>16</v>
      </c>
      <c r="F1268" s="3">
        <v>2005</v>
      </c>
      <c r="G1268" s="3" t="s">
        <v>12</v>
      </c>
      <c r="H1268" s="3" t="s">
        <v>17</v>
      </c>
      <c r="I1268" s="3" t="s">
        <v>89</v>
      </c>
      <c r="J1268" s="97" t="s">
        <v>3461</v>
      </c>
    </row>
    <row r="1269" spans="1:10" ht="28.9" customHeight="1" thickTop="1" thickBot="1" x14ac:dyDescent="0.65">
      <c r="A1269" s="5">
        <v>1267</v>
      </c>
      <c r="B1269" s="46" t="str">
        <f>HYPERLINK("https://search.naver.com/search.naver?query=박수건달 영화", "박수건달")</f>
        <v>박수건달</v>
      </c>
      <c r="C1269" s="47">
        <v>8.1300000000000008</v>
      </c>
      <c r="D1269" s="6" t="s">
        <v>1445</v>
      </c>
      <c r="E1269" s="5" t="s">
        <v>11</v>
      </c>
      <c r="F1269" s="5">
        <v>2012</v>
      </c>
      <c r="G1269" s="5" t="s">
        <v>12</v>
      </c>
      <c r="H1269" s="5" t="s">
        <v>68</v>
      </c>
      <c r="I1269" s="5" t="s">
        <v>150</v>
      </c>
      <c r="J1269" s="98" t="s">
        <v>3439</v>
      </c>
    </row>
    <row r="1270" spans="1:10" ht="28.9" customHeight="1" thickTop="1" thickBot="1" x14ac:dyDescent="0.65">
      <c r="A1270" s="3">
        <v>1268</v>
      </c>
      <c r="B1270" s="44" t="str">
        <f>HYPERLINK("https://search.naver.com/search.naver?query=반도 영화", "반도")</f>
        <v>반도</v>
      </c>
      <c r="C1270" s="45">
        <v>7.17</v>
      </c>
      <c r="D1270" s="4" t="s">
        <v>1446</v>
      </c>
      <c r="E1270" s="3" t="s">
        <v>11</v>
      </c>
      <c r="F1270" s="3">
        <v>2020</v>
      </c>
      <c r="G1270" s="3" t="s">
        <v>12</v>
      </c>
      <c r="H1270" s="3" t="s">
        <v>92</v>
      </c>
      <c r="I1270" s="3" t="s">
        <v>366</v>
      </c>
      <c r="J1270" s="97" t="s">
        <v>3436</v>
      </c>
    </row>
    <row r="1271" spans="1:10" ht="28.9" customHeight="1" thickTop="1" thickBot="1" x14ac:dyDescent="0.65">
      <c r="A1271" s="5">
        <v>1269</v>
      </c>
      <c r="B1271" s="46" t="str">
        <f>HYPERLINK("https://search.naver.com/search.naver?query=반드시 잡는다 영화", "반드시 잡는다")</f>
        <v>반드시 잡는다</v>
      </c>
      <c r="C1271" s="47">
        <v>8.1199999999999992</v>
      </c>
      <c r="D1271" s="6" t="s">
        <v>1447</v>
      </c>
      <c r="E1271" s="5" t="s">
        <v>11</v>
      </c>
      <c r="F1271" s="5">
        <v>2017</v>
      </c>
      <c r="G1271" s="5" t="s">
        <v>12</v>
      </c>
      <c r="H1271" s="5" t="s">
        <v>43</v>
      </c>
      <c r="I1271" s="5" t="s">
        <v>96</v>
      </c>
      <c r="J1271" s="98" t="s">
        <v>3443</v>
      </c>
    </row>
    <row r="1272" spans="1:10" ht="28.9" customHeight="1" thickTop="1" thickBot="1" x14ac:dyDescent="0.65">
      <c r="A1272" s="3">
        <v>1270</v>
      </c>
      <c r="B1272" s="44" t="str">
        <f>HYPERLINK("https://search.naver.com/search.naver?query=반지를 끼워주고 싶다 영화", "반지를 끼워주고 싶다")</f>
        <v>반지를 끼워주고 싶다</v>
      </c>
      <c r="C1272" s="45">
        <v>6.4</v>
      </c>
      <c r="D1272" s="4" t="s">
        <v>1448</v>
      </c>
      <c r="E1272" s="3" t="s">
        <v>16</v>
      </c>
      <c r="F1272" s="3">
        <v>2011</v>
      </c>
      <c r="G1272" s="3" t="s">
        <v>12</v>
      </c>
      <c r="H1272" s="3" t="s">
        <v>121</v>
      </c>
      <c r="I1272" s="3" t="s">
        <v>31</v>
      </c>
      <c r="J1272" s="97" t="s">
        <v>3454</v>
      </c>
    </row>
    <row r="1273" spans="1:10" ht="28.9" customHeight="1" thickTop="1" thickBot="1" x14ac:dyDescent="0.65">
      <c r="A1273" s="5">
        <v>1271</v>
      </c>
      <c r="B1273" s="46" t="str">
        <f>HYPERLINK("https://search.naver.com/search.naver?query=발레리나 영화", "발레리나")</f>
        <v>발레리나</v>
      </c>
      <c r="C1273" s="47">
        <v>8.09</v>
      </c>
      <c r="D1273" s="6" t="s">
        <v>1449</v>
      </c>
      <c r="E1273" s="5" t="s">
        <v>20</v>
      </c>
      <c r="F1273" s="5">
        <v>2025</v>
      </c>
      <c r="G1273" s="5" t="s">
        <v>12</v>
      </c>
      <c r="H1273" s="5" t="s">
        <v>92</v>
      </c>
      <c r="I1273" s="5" t="s">
        <v>214</v>
      </c>
      <c r="J1273" s="98" t="s">
        <v>3459</v>
      </c>
    </row>
    <row r="1274" spans="1:10" ht="28.9" customHeight="1" thickTop="1" thickBot="1" x14ac:dyDescent="0.65">
      <c r="A1274" s="3">
        <v>1272</v>
      </c>
      <c r="B1274" s="44" t="str">
        <f>HYPERLINK("https://search.naver.com/search.naver?query=발레리안 - 천 개 행성의 도시 영화", "발레리안 - 천 개 행성의 도시")</f>
        <v>발레리안 - 천 개 행성의 도시</v>
      </c>
      <c r="C1274" s="45">
        <v>3.32</v>
      </c>
      <c r="D1274" s="4" t="s">
        <v>1450</v>
      </c>
      <c r="E1274" s="3" t="s">
        <v>210</v>
      </c>
      <c r="F1274" s="3">
        <v>2017</v>
      </c>
      <c r="G1274" s="3" t="s">
        <v>12</v>
      </c>
      <c r="H1274" s="3" t="s">
        <v>520</v>
      </c>
      <c r="I1274" s="3" t="s">
        <v>186</v>
      </c>
      <c r="J1274" s="97" t="s">
        <v>3443</v>
      </c>
    </row>
    <row r="1275" spans="1:10" ht="28.9" customHeight="1" thickTop="1" thickBot="1" x14ac:dyDescent="0.65">
      <c r="A1275" s="5">
        <v>1273</v>
      </c>
      <c r="B1275" s="46" t="str">
        <f>HYPERLINK("https://search.naver.com/search.naver?query=발렌타인 데이 영화", "발렌타인 데이")</f>
        <v>발렌타인 데이</v>
      </c>
      <c r="C1275" s="47">
        <v>8.02</v>
      </c>
      <c r="D1275" s="6" t="s">
        <v>1451</v>
      </c>
      <c r="E1275" s="5" t="s">
        <v>20</v>
      </c>
      <c r="F1275" s="5">
        <v>2010</v>
      </c>
      <c r="G1275" s="5" t="s">
        <v>12</v>
      </c>
      <c r="H1275" s="5" t="s">
        <v>68</v>
      </c>
      <c r="I1275" s="5" t="s">
        <v>214</v>
      </c>
      <c r="J1275" s="98" t="s">
        <v>3455</v>
      </c>
    </row>
    <row r="1276" spans="1:10" ht="28.9" customHeight="1" thickTop="1" thickBot="1" x14ac:dyDescent="0.65">
      <c r="A1276" s="3">
        <v>1274</v>
      </c>
      <c r="B1276" s="44" t="str">
        <f>HYPERLINK("https://search.naver.com/search.naver?query=발명의 아버지 영화", "발명의 아버지")</f>
        <v>발명의 아버지</v>
      </c>
      <c r="C1276" s="45">
        <v>6.4</v>
      </c>
      <c r="D1276" s="4" t="s">
        <v>1452</v>
      </c>
      <c r="E1276" s="3" t="s">
        <v>20</v>
      </c>
      <c r="F1276" s="3">
        <v>2010</v>
      </c>
      <c r="G1276" s="3" t="s">
        <v>12</v>
      </c>
      <c r="H1276" s="3" t="s">
        <v>17</v>
      </c>
      <c r="I1276" s="3" t="s">
        <v>111</v>
      </c>
      <c r="J1276" s="97" t="s">
        <v>3455</v>
      </c>
    </row>
    <row r="1277" spans="1:10" ht="28.9" customHeight="1" thickTop="1" thickBot="1" x14ac:dyDescent="0.65">
      <c r="A1277" s="5">
        <v>1275</v>
      </c>
      <c r="B1277" s="46" t="str">
        <f>HYPERLINK("https://search.naver.com/search.naver?query=발신제한 영화", "발신제한")</f>
        <v>발신제한</v>
      </c>
      <c r="C1277" s="47">
        <v>7.54</v>
      </c>
      <c r="D1277" s="6" t="s">
        <v>1453</v>
      </c>
      <c r="E1277" s="5" t="s">
        <v>11</v>
      </c>
      <c r="F1277" s="5">
        <v>2021</v>
      </c>
      <c r="G1277" s="5" t="s">
        <v>12</v>
      </c>
      <c r="H1277" s="5" t="s">
        <v>43</v>
      </c>
      <c r="I1277" s="5" t="s">
        <v>300</v>
      </c>
      <c r="J1277" s="98" t="s">
        <v>3438</v>
      </c>
    </row>
    <row r="1278" spans="1:10" ht="28.9" customHeight="1" thickTop="1" thickBot="1" x14ac:dyDescent="0.65">
      <c r="A1278" s="3">
        <v>1276</v>
      </c>
      <c r="B1278" s="44" t="str">
        <f>HYPERLINK("https://search.naver.com/search.naver?query=밤쉘-세상을 바꾼 폭탄선언 영화", "밤쉘-세상을 바꾼 폭탄선언")</f>
        <v>밤쉘-세상을 바꾼 폭탄선언</v>
      </c>
      <c r="C1278" s="45">
        <v>6.4</v>
      </c>
      <c r="D1278" s="4" t="s">
        <v>1454</v>
      </c>
      <c r="E1278" s="3" t="s">
        <v>20</v>
      </c>
      <c r="F1278" s="3">
        <v>2019</v>
      </c>
      <c r="G1278" s="3" t="s">
        <v>12</v>
      </c>
      <c r="H1278" s="3" t="s">
        <v>17</v>
      </c>
      <c r="I1278" s="3" t="s">
        <v>137</v>
      </c>
      <c r="J1278" s="97" t="s">
        <v>3444</v>
      </c>
    </row>
    <row r="1279" spans="1:10" ht="28.9" customHeight="1" thickTop="1" thickBot="1" x14ac:dyDescent="0.65">
      <c r="A1279" s="5">
        <v>1277</v>
      </c>
      <c r="B1279" s="46" t="str">
        <f>HYPERLINK("https://search.naver.com/search.naver?query=밤에 우리 영혼은 영화", "밤에 우리 영혼은")</f>
        <v>밤에 우리 영혼은</v>
      </c>
      <c r="C1279" s="47"/>
      <c r="D1279" s="6" t="s">
        <v>1455</v>
      </c>
      <c r="E1279" s="5" t="s">
        <v>20</v>
      </c>
      <c r="F1279" s="5">
        <v>2017</v>
      </c>
      <c r="G1279" s="5" t="s">
        <v>12</v>
      </c>
      <c r="H1279" s="5" t="s">
        <v>17</v>
      </c>
      <c r="I1279" s="5" t="s">
        <v>190</v>
      </c>
      <c r="J1279" s="98" t="s">
        <v>3443</v>
      </c>
    </row>
    <row r="1280" spans="1:10" ht="28.9" customHeight="1" thickTop="1" thickBot="1" x14ac:dyDescent="0.65">
      <c r="A1280" s="3">
        <v>1278</v>
      </c>
      <c r="B1280" s="44" t="str">
        <f>HYPERLINK("https://search.naver.com/search.naver?query=방가 방가! 영화", "방가 방가!")</f>
        <v>방가 방가!</v>
      </c>
      <c r="C1280" s="45">
        <v>7.92</v>
      </c>
      <c r="D1280" s="4" t="s">
        <v>1456</v>
      </c>
      <c r="E1280" s="3" t="s">
        <v>11</v>
      </c>
      <c r="F1280" s="3">
        <v>2010</v>
      </c>
      <c r="G1280" s="3" t="s">
        <v>12</v>
      </c>
      <c r="H1280" s="3" t="s">
        <v>68</v>
      </c>
      <c r="I1280" s="3" t="s">
        <v>96</v>
      </c>
      <c r="J1280" s="97" t="s">
        <v>3455</v>
      </c>
    </row>
    <row r="1281" spans="1:10" ht="28.9" customHeight="1" thickTop="1" thickBot="1" x14ac:dyDescent="0.65">
      <c r="A1281" s="5">
        <v>1279</v>
      </c>
      <c r="B1281" s="46" t="str">
        <f>HYPERLINK("https://search.naver.com/search.naver?query=방황하는 칼날 영화", "방황하는 칼날")</f>
        <v>방황하는 칼날</v>
      </c>
      <c r="C1281" s="47">
        <v>7.5</v>
      </c>
      <c r="D1281" s="6" t="s">
        <v>1457</v>
      </c>
      <c r="E1281" s="5" t="s">
        <v>11</v>
      </c>
      <c r="F1281" s="5">
        <v>2013</v>
      </c>
      <c r="G1281" s="5" t="s">
        <v>12</v>
      </c>
      <c r="H1281" s="5" t="s">
        <v>43</v>
      </c>
      <c r="I1281" s="5" t="s">
        <v>142</v>
      </c>
      <c r="J1281" s="98" t="s">
        <v>3451</v>
      </c>
    </row>
    <row r="1282" spans="1:10" ht="28.9" customHeight="1" thickTop="1" thickBot="1" x14ac:dyDescent="0.65">
      <c r="A1282" s="3">
        <v>1280</v>
      </c>
      <c r="B1282" s="44" t="str">
        <f>HYPERLINK("https://search.naver.com/search.naver?query=배드 맘스 영화", "배드 맘스")</f>
        <v>배드 맘스</v>
      </c>
      <c r="C1282" s="45"/>
      <c r="D1282" s="4" t="s">
        <v>1458</v>
      </c>
      <c r="E1282" s="3" t="s">
        <v>20</v>
      </c>
      <c r="F1282" s="3">
        <v>2016</v>
      </c>
      <c r="G1282" s="3" t="s">
        <v>12</v>
      </c>
      <c r="H1282" s="3" t="s">
        <v>68</v>
      </c>
      <c r="I1282" s="3" t="s">
        <v>131</v>
      </c>
      <c r="J1282" s="97" t="s">
        <v>3441</v>
      </c>
    </row>
    <row r="1283" spans="1:10" ht="28.9" customHeight="1" thickTop="1" thickBot="1" x14ac:dyDescent="0.65">
      <c r="A1283" s="5">
        <v>1281</v>
      </c>
      <c r="B1283" s="46" t="str">
        <f>HYPERLINK("https://search.naver.com/search.naver?query=배드 지니어스 영화", "배드 지니어스")</f>
        <v>배드 지니어스</v>
      </c>
      <c r="C1283" s="47">
        <v>8.75</v>
      </c>
      <c r="D1283" s="6" t="s">
        <v>1459</v>
      </c>
      <c r="E1283" s="5" t="s">
        <v>1460</v>
      </c>
      <c r="F1283" s="5">
        <v>2017</v>
      </c>
      <c r="G1283" s="5" t="s">
        <v>12</v>
      </c>
      <c r="H1283" s="5" t="s">
        <v>43</v>
      </c>
      <c r="I1283" s="5" t="s">
        <v>34</v>
      </c>
      <c r="J1283" s="98" t="s">
        <v>3443</v>
      </c>
    </row>
    <row r="1284" spans="1:10" ht="28.9" customHeight="1" thickTop="1" thickBot="1" x14ac:dyDescent="0.65">
      <c r="A1284" s="3">
        <v>1282</v>
      </c>
      <c r="B1284" s="44" t="str">
        <f>HYPERLINK("https://search.naver.com/search.naver?query=배드 컨트리 영화", "배드 컨트리")</f>
        <v>배드 컨트리</v>
      </c>
      <c r="C1284" s="45">
        <v>6.4</v>
      </c>
      <c r="D1284" s="4" t="s">
        <v>1461</v>
      </c>
      <c r="E1284" s="3" t="s">
        <v>20</v>
      </c>
      <c r="F1284" s="3">
        <v>2014</v>
      </c>
      <c r="G1284" s="3" t="s">
        <v>12</v>
      </c>
      <c r="H1284" s="3" t="s">
        <v>92</v>
      </c>
      <c r="I1284" s="3" t="s">
        <v>111</v>
      </c>
      <c r="J1284" s="97" t="s">
        <v>3437</v>
      </c>
    </row>
    <row r="1285" spans="1:10" ht="28.9" customHeight="1" thickTop="1" thickBot="1" x14ac:dyDescent="0.65">
      <c r="A1285" s="5">
        <v>1283</v>
      </c>
      <c r="B1285" s="46" t="str">
        <f>HYPERLINK("https://search.naver.com/search.naver?query=배심원 #2 영화", "배심원 #2")</f>
        <v>배심원 #2</v>
      </c>
      <c r="C1285" s="47"/>
      <c r="D1285" s="6" t="s">
        <v>1462</v>
      </c>
      <c r="E1285" s="5" t="s">
        <v>20</v>
      </c>
      <c r="F1285" s="5">
        <v>2024</v>
      </c>
      <c r="G1285" s="5" t="s">
        <v>12</v>
      </c>
      <c r="H1285" s="5" t="s">
        <v>17</v>
      </c>
      <c r="I1285" s="5" t="s">
        <v>207</v>
      </c>
      <c r="J1285" s="98" t="s">
        <v>3448</v>
      </c>
    </row>
    <row r="1286" spans="1:10" ht="28.9" customHeight="1" thickTop="1" thickBot="1" x14ac:dyDescent="0.65">
      <c r="A1286" s="3">
        <v>1284</v>
      </c>
      <c r="B1286" s="44" t="str">
        <f>HYPERLINK("https://search.naver.com/search.naver?query=배심원들 영화", "배심원들")</f>
        <v>배심원들</v>
      </c>
      <c r="C1286" s="45">
        <v>9.34</v>
      </c>
      <c r="D1286" s="4" t="s">
        <v>1463</v>
      </c>
      <c r="E1286" s="3" t="s">
        <v>11</v>
      </c>
      <c r="F1286" s="3">
        <v>2018</v>
      </c>
      <c r="G1286" s="3" t="s">
        <v>12</v>
      </c>
      <c r="H1286" s="3" t="s">
        <v>17</v>
      </c>
      <c r="I1286" s="3" t="s">
        <v>207</v>
      </c>
      <c r="J1286" s="97" t="s">
        <v>3442</v>
      </c>
    </row>
    <row r="1287" spans="1:10" ht="28.9" customHeight="1" thickTop="1" thickBot="1" x14ac:dyDescent="0.65">
      <c r="A1287" s="5">
        <v>1285</v>
      </c>
      <c r="B1287" s="46" t="str">
        <f>HYPERLINK("https://search.naver.com/search.naver?query=백 인 액션 영화", "백 인 액션")</f>
        <v>백 인 액션</v>
      </c>
      <c r="C1287" s="47">
        <v>7.93</v>
      </c>
      <c r="D1287" s="6" t="s">
        <v>1464</v>
      </c>
      <c r="E1287" s="5" t="s">
        <v>20</v>
      </c>
      <c r="F1287" s="5">
        <v>2025</v>
      </c>
      <c r="G1287" s="5" t="s">
        <v>12</v>
      </c>
      <c r="H1287" s="5" t="s">
        <v>92</v>
      </c>
      <c r="I1287" s="5" t="s">
        <v>131</v>
      </c>
      <c r="J1287" s="98" t="s">
        <v>3459</v>
      </c>
    </row>
    <row r="1288" spans="1:10" ht="28.9" customHeight="1" thickTop="1" thickBot="1" x14ac:dyDescent="0.65">
      <c r="A1288" s="3">
        <v>1286</v>
      </c>
      <c r="B1288" s="44" t="str">
        <f>HYPERLINK("https://search.naver.com/search.naver?query=백 투 더 비기닝 영화", "백 투 더 비기닝")</f>
        <v>백 투 더 비기닝</v>
      </c>
      <c r="C1288" s="45">
        <v>7.37</v>
      </c>
      <c r="D1288" s="4" t="s">
        <v>1465</v>
      </c>
      <c r="E1288" s="3" t="s">
        <v>20</v>
      </c>
      <c r="F1288" s="3">
        <v>2014</v>
      </c>
      <c r="G1288" s="3" t="s">
        <v>12</v>
      </c>
      <c r="H1288" s="3" t="s">
        <v>520</v>
      </c>
      <c r="I1288" s="3" t="s">
        <v>111</v>
      </c>
      <c r="J1288" s="97" t="s">
        <v>3437</v>
      </c>
    </row>
    <row r="1289" spans="1:10" ht="28.9" customHeight="1" thickTop="1" thickBot="1" x14ac:dyDescent="0.65">
      <c r="A1289" s="5">
        <v>1287</v>
      </c>
      <c r="B1289" s="46" t="str">
        <f>HYPERLINK("https://search.naver.com/search.naver?query=백두산 영화", "백두산")</f>
        <v>백두산</v>
      </c>
      <c r="C1289" s="47">
        <v>7.47</v>
      </c>
      <c r="D1289" s="6" t="s">
        <v>1466</v>
      </c>
      <c r="E1289" s="5" t="s">
        <v>11</v>
      </c>
      <c r="F1289" s="5">
        <v>2019</v>
      </c>
      <c r="G1289" s="5" t="s">
        <v>12</v>
      </c>
      <c r="H1289" s="5" t="s">
        <v>92</v>
      </c>
      <c r="I1289" s="5" t="s">
        <v>108</v>
      </c>
      <c r="J1289" s="98" t="s">
        <v>3444</v>
      </c>
    </row>
    <row r="1290" spans="1:10" ht="28.9" customHeight="1" thickTop="1" thickBot="1" x14ac:dyDescent="0.65">
      <c r="A1290" s="3">
        <v>1288</v>
      </c>
      <c r="B1290" s="44" t="str">
        <f>HYPERLINK("https://search.naver.com/search.naver?query=백만엔걸 스즈코 영화", "백만엔걸 스즈코")</f>
        <v>백만엔걸 스즈코</v>
      </c>
      <c r="C1290" s="45">
        <v>8.82</v>
      </c>
      <c r="D1290" s="4" t="s">
        <v>1467</v>
      </c>
      <c r="E1290" s="3" t="s">
        <v>16</v>
      </c>
      <c r="F1290" s="3">
        <v>2014</v>
      </c>
      <c r="G1290" s="3" t="s">
        <v>12</v>
      </c>
      <c r="H1290" s="3" t="s">
        <v>17</v>
      </c>
      <c r="I1290" s="3" t="s">
        <v>111</v>
      </c>
      <c r="J1290" s="97" t="s">
        <v>3437</v>
      </c>
    </row>
    <row r="1291" spans="1:10" ht="28.9" customHeight="1" thickTop="1" thickBot="1" x14ac:dyDescent="0.65">
      <c r="A1291" s="5">
        <v>1289</v>
      </c>
      <c r="B1291" s="46" t="str">
        <f>HYPERLINK("https://search.naver.com/search.naver?query=백발마녀전 - 명월천국 영화", "백발마녀전 - 명월천국")</f>
        <v>백발마녀전 - 명월천국</v>
      </c>
      <c r="C1291" s="47"/>
      <c r="D1291" s="6" t="s">
        <v>1468</v>
      </c>
      <c r="E1291" s="5" t="s">
        <v>136</v>
      </c>
      <c r="F1291" s="5">
        <v>2014</v>
      </c>
      <c r="G1291" s="5" t="s">
        <v>12</v>
      </c>
      <c r="H1291" s="5" t="s">
        <v>92</v>
      </c>
      <c r="I1291" s="5" t="s">
        <v>190</v>
      </c>
      <c r="J1291" s="98" t="s">
        <v>3437</v>
      </c>
    </row>
    <row r="1292" spans="1:10" ht="28.9" customHeight="1" thickTop="1" thickBot="1" x14ac:dyDescent="0.65">
      <c r="A1292" s="3">
        <v>1290</v>
      </c>
      <c r="B1292" s="44" t="str">
        <f>HYPERLINK("https://search.naver.com/search.naver?query=백설공주 영화", "백설공주")</f>
        <v>백설공주</v>
      </c>
      <c r="C1292" s="45">
        <v>5.56</v>
      </c>
      <c r="D1292" s="4" t="s">
        <v>1469</v>
      </c>
      <c r="E1292" s="3" t="s">
        <v>20</v>
      </c>
      <c r="F1292" s="3">
        <v>2012</v>
      </c>
      <c r="G1292" s="3" t="s">
        <v>12</v>
      </c>
      <c r="H1292" s="3" t="s">
        <v>868</v>
      </c>
      <c r="I1292" s="3" t="s">
        <v>286</v>
      </c>
      <c r="J1292" s="97" t="s">
        <v>3439</v>
      </c>
    </row>
    <row r="1293" spans="1:10" ht="28.9" customHeight="1" thickTop="1" thickBot="1" x14ac:dyDescent="0.65">
      <c r="A1293" s="5">
        <v>1291</v>
      </c>
      <c r="B1293" s="46" t="str">
        <f>HYPERLINK("https://search.naver.com/search.naver?query=백설공주 살인사건 영화", "백설공주 살인사건")</f>
        <v>백설공주 살인사건</v>
      </c>
      <c r="C1293" s="47">
        <v>8.2100000000000009</v>
      </c>
      <c r="D1293" s="6" t="s">
        <v>1470</v>
      </c>
      <c r="E1293" s="5" t="s">
        <v>16</v>
      </c>
      <c r="F1293" s="5">
        <v>2014</v>
      </c>
      <c r="G1293" s="5" t="s">
        <v>12</v>
      </c>
      <c r="H1293" s="5" t="s">
        <v>141</v>
      </c>
      <c r="I1293" s="5" t="s">
        <v>78</v>
      </c>
      <c r="J1293" s="98" t="s">
        <v>3437</v>
      </c>
    </row>
    <row r="1294" spans="1:10" ht="28.9" customHeight="1" thickTop="1" thickBot="1" x14ac:dyDescent="0.65">
      <c r="A1294" s="3">
        <v>1292</v>
      </c>
      <c r="B1294" s="44" t="str">
        <f>HYPERLINK("https://search.naver.com/search.naver?query=백스태빙 포 비기너스 영화", "백스태빙 포 비기너스")</f>
        <v>백스태빙 포 비기너스</v>
      </c>
      <c r="C1294" s="45">
        <v>6.4</v>
      </c>
      <c r="D1294" s="4" t="s">
        <v>1471</v>
      </c>
      <c r="E1294" s="3" t="s">
        <v>20</v>
      </c>
      <c r="F1294" s="3">
        <v>2018</v>
      </c>
      <c r="G1294" s="3" t="s">
        <v>12</v>
      </c>
      <c r="H1294" s="3" t="s">
        <v>17</v>
      </c>
      <c r="I1294" s="3" t="s">
        <v>31</v>
      </c>
      <c r="J1294" s="97" t="s">
        <v>3442</v>
      </c>
    </row>
    <row r="1295" spans="1:10" ht="28.9" customHeight="1" thickTop="1" thickBot="1" x14ac:dyDescent="0.65">
      <c r="A1295" s="5">
        <v>1293</v>
      </c>
      <c r="B1295" s="46" t="str">
        <f>HYPERLINK("https://search.naver.com/search.naver?query=백악관 최후의 날 영화", "백악관 최후의 날")</f>
        <v>백악관 최후의 날</v>
      </c>
      <c r="C1295" s="47">
        <v>5.42</v>
      </c>
      <c r="D1295" s="6" t="s">
        <v>1472</v>
      </c>
      <c r="E1295" s="5" t="s">
        <v>20</v>
      </c>
      <c r="F1295" s="5">
        <v>2013</v>
      </c>
      <c r="G1295" s="5" t="s">
        <v>12</v>
      </c>
      <c r="H1295" s="5" t="s">
        <v>92</v>
      </c>
      <c r="I1295" s="5" t="s">
        <v>280</v>
      </c>
      <c r="J1295" s="98" t="s">
        <v>3451</v>
      </c>
    </row>
    <row r="1296" spans="1:10" ht="28.9" customHeight="1" thickTop="1" thickBot="1" x14ac:dyDescent="0.65">
      <c r="A1296" s="3">
        <v>1294</v>
      </c>
      <c r="B1296" s="44" t="str">
        <f>HYPERLINK("https://search.naver.com/search.naver?query=백악관을 무너뜨린 사나이 영화", "백악관을 무너뜨린 사나이")</f>
        <v>백악관을 무너뜨린 사나이</v>
      </c>
      <c r="C1296" s="45">
        <v>6.4</v>
      </c>
      <c r="D1296" s="4" t="s">
        <v>1235</v>
      </c>
      <c r="E1296" s="3" t="s">
        <v>20</v>
      </c>
      <c r="F1296" s="3">
        <v>2017</v>
      </c>
      <c r="G1296" s="3" t="s">
        <v>12</v>
      </c>
      <c r="H1296" s="3" t="s">
        <v>17</v>
      </c>
      <c r="I1296" s="3" t="s">
        <v>190</v>
      </c>
      <c r="J1296" s="97" t="s">
        <v>3443</v>
      </c>
    </row>
    <row r="1297" spans="1:10" ht="28.9" customHeight="1" thickTop="1" thickBot="1" x14ac:dyDescent="0.65">
      <c r="A1297" s="5">
        <v>1295</v>
      </c>
      <c r="B1297" s="46" t="str">
        <f>HYPERLINK("https://search.naver.com/search.naver?query=백야 영화", "백야")</f>
        <v>백야</v>
      </c>
      <c r="C1297" s="47">
        <v>8.8699999999999992</v>
      </c>
      <c r="D1297" s="6" t="s">
        <v>1473</v>
      </c>
      <c r="E1297" s="5" t="s">
        <v>20</v>
      </c>
      <c r="F1297" s="5">
        <v>1986</v>
      </c>
      <c r="G1297" s="5" t="s">
        <v>12</v>
      </c>
      <c r="H1297" s="5" t="s">
        <v>17</v>
      </c>
      <c r="I1297" s="5" t="s">
        <v>3516</v>
      </c>
      <c r="J1297" s="98">
        <v>31777</v>
      </c>
    </row>
    <row r="1298" spans="1:10" ht="28.9" customHeight="1" thickTop="1" thickBot="1" x14ac:dyDescent="0.65">
      <c r="A1298" s="3">
        <v>1296</v>
      </c>
      <c r="B1298" s="44" t="str">
        <f>HYPERLINK("https://search.naver.com/search.naver?query=백야행 영화", "백야행 - 하얀 어둠 속을 걷다")</f>
        <v>백야행 - 하얀 어둠 속을 걷다</v>
      </c>
      <c r="C1298" s="45">
        <v>7.93</v>
      </c>
      <c r="D1298" s="4" t="s">
        <v>1474</v>
      </c>
      <c r="E1298" s="3" t="s">
        <v>11</v>
      </c>
      <c r="F1298" s="3">
        <v>2009</v>
      </c>
      <c r="G1298" s="3" t="s">
        <v>12</v>
      </c>
      <c r="H1298" s="3" t="s">
        <v>141</v>
      </c>
      <c r="I1298" s="3" t="s">
        <v>41</v>
      </c>
      <c r="J1298" s="97" t="s">
        <v>3453</v>
      </c>
    </row>
    <row r="1299" spans="1:10" ht="28.9" customHeight="1" thickTop="1" thickBot="1" x14ac:dyDescent="0.65">
      <c r="A1299" s="5">
        <v>1297</v>
      </c>
      <c r="B1299" s="46" t="str">
        <f>HYPERLINK("https://search.naver.com/search.naver?query=백컨트리 영화", "백컨트리")</f>
        <v>백컨트리</v>
      </c>
      <c r="C1299" s="47"/>
      <c r="D1299" s="6" t="s">
        <v>1475</v>
      </c>
      <c r="E1299" s="5" t="s">
        <v>189</v>
      </c>
      <c r="F1299" s="5">
        <v>2014</v>
      </c>
      <c r="G1299" s="5" t="s">
        <v>12</v>
      </c>
      <c r="H1299" s="5" t="s">
        <v>43</v>
      </c>
      <c r="I1299" s="5" t="s">
        <v>147</v>
      </c>
      <c r="J1299" s="98" t="s">
        <v>3437</v>
      </c>
    </row>
    <row r="1300" spans="1:10" ht="28.9" customHeight="1" thickTop="1" thickBot="1" x14ac:dyDescent="0.65">
      <c r="A1300" s="3">
        <v>1298</v>
      </c>
      <c r="B1300" s="44" t="str">
        <f>HYPERLINK("https://search.naver.com/search.naver?query=백컨트리 - 야생곰의 습격 영화", "백컨트리 - 야생곰의 습격")</f>
        <v>백컨트리 - 야생곰의 습격</v>
      </c>
      <c r="C1300" s="45"/>
      <c r="D1300" s="4" t="s">
        <v>1475</v>
      </c>
      <c r="E1300" s="3" t="s">
        <v>189</v>
      </c>
      <c r="F1300" s="3">
        <v>2014</v>
      </c>
      <c r="G1300" s="3" t="s">
        <v>12</v>
      </c>
      <c r="H1300" s="3" t="s">
        <v>43</v>
      </c>
      <c r="I1300" s="3" t="s">
        <v>147</v>
      </c>
      <c r="J1300" s="97" t="s">
        <v>3437</v>
      </c>
    </row>
    <row r="1301" spans="1:10" ht="28.9" customHeight="1" thickTop="1" thickBot="1" x14ac:dyDescent="0.65">
      <c r="A1301" s="5">
        <v>1299</v>
      </c>
      <c r="B1301" s="46" t="str">
        <f>HYPERLINK("https://search.naver.com/search.naver?query=백트레이스 영화", "백트레이스")</f>
        <v>백트레이스</v>
      </c>
      <c r="C1301" s="47">
        <v>6.4</v>
      </c>
      <c r="D1301" s="6" t="s">
        <v>1476</v>
      </c>
      <c r="E1301" s="5" t="s">
        <v>20</v>
      </c>
      <c r="F1301" s="5">
        <v>2018</v>
      </c>
      <c r="G1301" s="5" t="s">
        <v>12</v>
      </c>
      <c r="H1301" s="5" t="s">
        <v>92</v>
      </c>
      <c r="I1301" s="5" t="s">
        <v>147</v>
      </c>
      <c r="J1301" s="98" t="s">
        <v>3442</v>
      </c>
    </row>
    <row r="1302" spans="1:10" ht="28.9" customHeight="1" thickTop="1" thickBot="1" x14ac:dyDescent="0.65">
      <c r="A1302" s="3">
        <v>1300</v>
      </c>
      <c r="B1302" s="44" t="str">
        <f>HYPERLINK("https://search.naver.com/search.naver?query=뱅크 오브 데이브 영화", "뱅크 오브 데이브")</f>
        <v>뱅크 오브 데이브</v>
      </c>
      <c r="C1302" s="45">
        <v>9.4</v>
      </c>
      <c r="D1302" s="4" t="s">
        <v>1477</v>
      </c>
      <c r="E1302" s="3" t="s">
        <v>24</v>
      </c>
      <c r="F1302" s="3">
        <v>2023</v>
      </c>
      <c r="G1302" s="3" t="s">
        <v>12</v>
      </c>
      <c r="H1302" s="3" t="s">
        <v>17</v>
      </c>
      <c r="I1302" s="3" t="s">
        <v>75</v>
      </c>
      <c r="J1302" s="97" t="s">
        <v>3446</v>
      </c>
    </row>
    <row r="1303" spans="1:10" ht="28.9" customHeight="1" thickTop="1" thickBot="1" x14ac:dyDescent="0.65">
      <c r="A1303" s="5">
        <v>1301</v>
      </c>
      <c r="B1303" s="46" t="str">
        <f>HYPERLINK("https://search.naver.com/search.naver?query=뱅크 오브 데이브 2 더 론 레인저 영화", "뱅크 오브 데이브 2 더 론 레인저")</f>
        <v>뱅크 오브 데이브 2 더 론 레인저</v>
      </c>
      <c r="C1303" s="47">
        <v>6.4</v>
      </c>
      <c r="D1303" s="6" t="s">
        <v>1478</v>
      </c>
      <c r="E1303" s="5" t="s">
        <v>24</v>
      </c>
      <c r="F1303" s="5">
        <v>2025</v>
      </c>
      <c r="G1303" s="5" t="s">
        <v>12</v>
      </c>
      <c r="H1303" s="5" t="s">
        <v>68</v>
      </c>
      <c r="I1303" s="5" t="s">
        <v>111</v>
      </c>
      <c r="J1303" s="98" t="s">
        <v>3459</v>
      </c>
    </row>
    <row r="1304" spans="1:10" ht="28.9" customHeight="1" thickTop="1" thickBot="1" x14ac:dyDescent="0.65">
      <c r="A1304" s="3">
        <v>1302</v>
      </c>
      <c r="B1304" s="44" t="str">
        <f>HYPERLINK("https://search.naver.com/search.naver?query=버닝 영화", "버닝")</f>
        <v>버닝</v>
      </c>
      <c r="C1304" s="45">
        <v>7.84</v>
      </c>
      <c r="D1304" s="4" t="s">
        <v>1479</v>
      </c>
      <c r="E1304" s="3" t="s">
        <v>11</v>
      </c>
      <c r="F1304" s="3">
        <v>2018</v>
      </c>
      <c r="G1304" s="3" t="s">
        <v>12</v>
      </c>
      <c r="H1304" s="3" t="s">
        <v>17</v>
      </c>
      <c r="I1304" s="3" t="s">
        <v>28</v>
      </c>
      <c r="J1304" s="97" t="s">
        <v>3442</v>
      </c>
    </row>
    <row r="1305" spans="1:10" ht="28.9" customHeight="1" thickTop="1" thickBot="1" x14ac:dyDescent="0.65">
      <c r="A1305" s="5">
        <v>1303</v>
      </c>
      <c r="B1305" s="46" t="str">
        <f>HYPERLINK("https://search.naver.com/search.naver?query=버닝 플레인 영화", "버닝 플레인")</f>
        <v>버닝 플레인</v>
      </c>
      <c r="C1305" s="47"/>
      <c r="D1305" s="6" t="s">
        <v>1480</v>
      </c>
      <c r="E1305" s="5" t="s">
        <v>20</v>
      </c>
      <c r="F1305" s="5">
        <v>2008</v>
      </c>
      <c r="G1305" s="5" t="s">
        <v>12</v>
      </c>
      <c r="H1305" s="5" t="s">
        <v>17</v>
      </c>
      <c r="I1305" s="5" t="s">
        <v>75</v>
      </c>
      <c r="J1305" s="98" t="s">
        <v>3450</v>
      </c>
    </row>
    <row r="1306" spans="1:10" ht="28.9" customHeight="1" thickTop="1" thickBot="1" x14ac:dyDescent="0.65">
      <c r="A1306" s="3">
        <v>1304</v>
      </c>
      <c r="B1306" s="44" t="str">
        <f>HYPERLINK("https://search.naver.com/search.naver?query=버드 박스 영화", "버드 박스")</f>
        <v>버드 박스</v>
      </c>
      <c r="C1306" s="45">
        <v>6.4</v>
      </c>
      <c r="D1306" s="4" t="s">
        <v>1481</v>
      </c>
      <c r="E1306" s="3" t="s">
        <v>20</v>
      </c>
      <c r="F1306" s="3">
        <v>2018</v>
      </c>
      <c r="G1306" s="3" t="s">
        <v>12</v>
      </c>
      <c r="H1306" s="3" t="s">
        <v>43</v>
      </c>
      <c r="I1306" s="3" t="s">
        <v>134</v>
      </c>
      <c r="J1306" s="97" t="s">
        <v>3442</v>
      </c>
    </row>
    <row r="1307" spans="1:10" ht="28.9" customHeight="1" thickTop="1" thickBot="1" x14ac:dyDescent="0.65">
      <c r="A1307" s="5">
        <v>1305</v>
      </c>
      <c r="B1307" s="46" t="str">
        <f>HYPERLINK("https://search.naver.com/search.naver?query=버드맨 영화", "버드맨")</f>
        <v>버드맨</v>
      </c>
      <c r="C1307" s="47">
        <v>8.4600000000000009</v>
      </c>
      <c r="D1307" s="6" t="s">
        <v>1482</v>
      </c>
      <c r="E1307" s="5" t="s">
        <v>20</v>
      </c>
      <c r="F1307" s="5">
        <v>2014</v>
      </c>
      <c r="G1307" s="5" t="s">
        <v>12</v>
      </c>
      <c r="H1307" s="5" t="s">
        <v>17</v>
      </c>
      <c r="I1307" s="5" t="s">
        <v>53</v>
      </c>
      <c r="J1307" s="98" t="s">
        <v>3437</v>
      </c>
    </row>
    <row r="1308" spans="1:10" ht="28.9" customHeight="1" thickTop="1" thickBot="1" x14ac:dyDescent="0.65">
      <c r="A1308" s="3">
        <v>1306</v>
      </c>
      <c r="B1308" s="44" t="str">
        <f>HYPERLINK("https://search.naver.com/search.naver?query=버든-세상을 바꾸는 힘 영화", "버든-세상을 바꾸는 힘")</f>
        <v>버든-세상을 바꾸는 힘</v>
      </c>
      <c r="C1308" s="45">
        <v>3</v>
      </c>
      <c r="D1308" s="4" t="s">
        <v>1483</v>
      </c>
      <c r="E1308" s="3" t="s">
        <v>20</v>
      </c>
      <c r="F1308" s="3">
        <v>2018</v>
      </c>
      <c r="G1308" s="3" t="s">
        <v>12</v>
      </c>
      <c r="H1308" s="3" t="s">
        <v>17</v>
      </c>
      <c r="I1308" s="3" t="s">
        <v>89</v>
      </c>
      <c r="J1308" s="97" t="s">
        <v>3442</v>
      </c>
    </row>
    <row r="1309" spans="1:10" ht="28.9" customHeight="1" thickTop="1" thickBot="1" x14ac:dyDescent="0.65">
      <c r="A1309" s="5">
        <v>1307</v>
      </c>
      <c r="B1309" s="46" t="str">
        <f>HYPERLINK("https://search.naver.com/search.naver?query=버스 657 영화", "버스 657")</f>
        <v>버스 657</v>
      </c>
      <c r="C1309" s="47">
        <v>8.5</v>
      </c>
      <c r="D1309" s="6" t="s">
        <v>1484</v>
      </c>
      <c r="E1309" s="5" t="s">
        <v>20</v>
      </c>
      <c r="F1309" s="5">
        <v>2015</v>
      </c>
      <c r="G1309" s="5" t="s">
        <v>12</v>
      </c>
      <c r="H1309" s="5" t="s">
        <v>92</v>
      </c>
      <c r="I1309" s="5" t="s">
        <v>147</v>
      </c>
      <c r="J1309" s="98" t="s">
        <v>3440</v>
      </c>
    </row>
    <row r="1310" spans="1:10" ht="28.9" customHeight="1" thickTop="1" thickBot="1" x14ac:dyDescent="0.65">
      <c r="A1310" s="7">
        <v>1308</v>
      </c>
      <c r="B1310" s="48" t="str">
        <f>HYPERLINK("https://search.naver.com/search.naver?query=버진리버 시즌1", "버진리버 시즌1")</f>
        <v>버진리버 시즌1</v>
      </c>
      <c r="C1310" s="49"/>
      <c r="D1310" s="8" t="s">
        <v>1485</v>
      </c>
      <c r="E1310" s="7" t="s">
        <v>20</v>
      </c>
      <c r="F1310" s="7">
        <v>2019</v>
      </c>
      <c r="G1310" s="7" t="s">
        <v>17</v>
      </c>
      <c r="H1310" s="7" t="s">
        <v>17</v>
      </c>
      <c r="I1310" s="7" t="s">
        <v>50</v>
      </c>
      <c r="J1310" s="99" t="s">
        <v>3444</v>
      </c>
    </row>
    <row r="1311" spans="1:10" ht="28.9" customHeight="1" thickTop="1" thickBot="1" x14ac:dyDescent="0.65">
      <c r="A1311" s="7">
        <v>1309</v>
      </c>
      <c r="B1311" s="48" t="str">
        <f>HYPERLINK("https://search.naver.com/search.naver?query=버진리버 시즌2", "버진리버 시즌2")</f>
        <v>버진리버 시즌2</v>
      </c>
      <c r="C1311" s="49"/>
      <c r="D1311" s="8" t="s">
        <v>1485</v>
      </c>
      <c r="E1311" s="7" t="s">
        <v>20</v>
      </c>
      <c r="F1311" s="7">
        <v>2020</v>
      </c>
      <c r="G1311" s="7" t="s">
        <v>17</v>
      </c>
      <c r="H1311" s="7" t="s">
        <v>17</v>
      </c>
      <c r="I1311" s="7" t="s">
        <v>50</v>
      </c>
      <c r="J1311" s="99" t="s">
        <v>3436</v>
      </c>
    </row>
    <row r="1312" spans="1:10" ht="28.9" customHeight="1" thickTop="1" thickBot="1" x14ac:dyDescent="0.65">
      <c r="A1312" s="7">
        <v>1310</v>
      </c>
      <c r="B1312" s="48" t="str">
        <f>HYPERLINK("https://search.naver.com/search.naver?query=버진리버 시즌3", "버진리버 시즌3")</f>
        <v>버진리버 시즌3</v>
      </c>
      <c r="C1312" s="49"/>
      <c r="D1312" s="8" t="s">
        <v>1485</v>
      </c>
      <c r="E1312" s="7" t="s">
        <v>20</v>
      </c>
      <c r="F1312" s="7">
        <v>2021</v>
      </c>
      <c r="G1312" s="7" t="s">
        <v>17</v>
      </c>
      <c r="H1312" s="7" t="s">
        <v>17</v>
      </c>
      <c r="I1312" s="7" t="s">
        <v>50</v>
      </c>
      <c r="J1312" s="99" t="s">
        <v>3438</v>
      </c>
    </row>
    <row r="1313" spans="1:10" ht="28.9" customHeight="1" thickTop="1" thickBot="1" x14ac:dyDescent="0.65">
      <c r="A1313" s="7">
        <v>1311</v>
      </c>
      <c r="B1313" s="48" t="str">
        <f>HYPERLINK("https://search.naver.com/search.naver?query=버진리버 시즌5", "버진리버 시즌5")</f>
        <v>버진리버 시즌5</v>
      </c>
      <c r="C1313" s="49"/>
      <c r="D1313" s="8" t="s">
        <v>1485</v>
      </c>
      <c r="E1313" s="7" t="s">
        <v>20</v>
      </c>
      <c r="F1313" s="7">
        <v>2023</v>
      </c>
      <c r="G1313" s="7" t="s">
        <v>17</v>
      </c>
      <c r="H1313" s="7" t="s">
        <v>17</v>
      </c>
      <c r="I1313" s="7" t="s">
        <v>50</v>
      </c>
      <c r="J1313" s="99" t="s">
        <v>3446</v>
      </c>
    </row>
    <row r="1314" spans="1:10" ht="28.9" customHeight="1" thickTop="1" thickBot="1" x14ac:dyDescent="0.65">
      <c r="A1314" s="7">
        <v>1312</v>
      </c>
      <c r="B1314" s="48" t="str">
        <f>HYPERLINK("https://search.naver.com/search.naver?query=버진리버 시즌6", "버진리버 시즌6")</f>
        <v>버진리버 시즌6</v>
      </c>
      <c r="C1314" s="49"/>
      <c r="D1314" s="8" t="s">
        <v>1485</v>
      </c>
      <c r="E1314" s="7" t="s">
        <v>20</v>
      </c>
      <c r="F1314" s="7">
        <v>2024</v>
      </c>
      <c r="G1314" s="7" t="s">
        <v>17</v>
      </c>
      <c r="H1314" s="7" t="s">
        <v>17</v>
      </c>
      <c r="I1314" s="7" t="s">
        <v>50</v>
      </c>
      <c r="J1314" s="99" t="s">
        <v>3448</v>
      </c>
    </row>
    <row r="1315" spans="1:10" ht="28.9" customHeight="1" thickTop="1" thickBot="1" x14ac:dyDescent="0.65">
      <c r="A1315" s="5">
        <v>1313</v>
      </c>
      <c r="B1315" s="46" t="str">
        <f>HYPERLINK("https://search.naver.com/search.naver?query=버킷 리스트 - 죽기 전에 꼭 하고 싶은 것들 영화", "버킷 리스트 - 죽기 전에 꼭 하고 싶은 것들")</f>
        <v>버킷 리스트 - 죽기 전에 꼭 하고 싶은 것들</v>
      </c>
      <c r="C1315" s="47">
        <v>3.83</v>
      </c>
      <c r="D1315" s="6" t="s">
        <v>1486</v>
      </c>
      <c r="E1315" s="5" t="s">
        <v>20</v>
      </c>
      <c r="F1315" s="5">
        <v>2007</v>
      </c>
      <c r="G1315" s="5" t="s">
        <v>12</v>
      </c>
      <c r="H1315" s="5" t="s">
        <v>17</v>
      </c>
      <c r="I1315" s="5" t="s">
        <v>124</v>
      </c>
      <c r="J1315" s="98" t="s">
        <v>3447</v>
      </c>
    </row>
    <row r="1316" spans="1:10" ht="28.9" customHeight="1" thickTop="1" thickBot="1" x14ac:dyDescent="0.65">
      <c r="A1316" s="7">
        <v>1314</v>
      </c>
      <c r="B1316" s="48" t="str">
        <f>HYPERLINK("https://search.naver.com/search.naver?query=버터플라이 드라마", "버터플라이")</f>
        <v>버터플라이</v>
      </c>
      <c r="C1316" s="49"/>
      <c r="D1316" s="8" t="s">
        <v>1487</v>
      </c>
      <c r="E1316" s="7" t="s">
        <v>11</v>
      </c>
      <c r="F1316" s="7">
        <v>2025</v>
      </c>
      <c r="G1316" s="7" t="s">
        <v>17</v>
      </c>
      <c r="H1316" s="7" t="s">
        <v>17</v>
      </c>
      <c r="I1316" s="7" t="s">
        <v>173</v>
      </c>
      <c r="J1316" s="99" t="s">
        <v>3459</v>
      </c>
    </row>
    <row r="1317" spans="1:10" ht="28.9" customHeight="1" thickTop="1" thickBot="1" x14ac:dyDescent="0.65">
      <c r="A1317" s="5">
        <v>1315</v>
      </c>
      <c r="B1317" s="46" t="str">
        <f>HYPERLINK("https://search.naver.com/search.naver?query=버틀러-대통령의집사 영화", "버틀러-대통령의집사")</f>
        <v>버틀러-대통령의집사</v>
      </c>
      <c r="C1317" s="47"/>
      <c r="D1317" s="6" t="s">
        <v>1488</v>
      </c>
      <c r="E1317" s="5" t="s">
        <v>20</v>
      </c>
      <c r="F1317" s="5">
        <v>2013</v>
      </c>
      <c r="G1317" s="5" t="s">
        <v>12</v>
      </c>
      <c r="H1317" s="5" t="s">
        <v>17</v>
      </c>
      <c r="I1317" s="5" t="s">
        <v>350</v>
      </c>
      <c r="J1317" s="98" t="s">
        <v>3451</v>
      </c>
    </row>
    <row r="1318" spans="1:10" ht="28.9" customHeight="1" thickTop="1" thickBot="1" x14ac:dyDescent="0.65">
      <c r="A1318" s="3">
        <v>1316</v>
      </c>
      <c r="B1318" s="44" t="str">
        <f>HYPERLINK("https://search.naver.com/search.naver?query=버티고 영화", "버티고")</f>
        <v>버티고</v>
      </c>
      <c r="C1318" s="45">
        <v>7.05</v>
      </c>
      <c r="D1318" s="4" t="s">
        <v>3497</v>
      </c>
      <c r="E1318" s="3" t="s">
        <v>3495</v>
      </c>
      <c r="F1318" s="3">
        <v>2019</v>
      </c>
      <c r="G1318" s="3" t="s">
        <v>12</v>
      </c>
      <c r="H1318" s="3" t="s">
        <v>3490</v>
      </c>
      <c r="I1318" s="3" t="s">
        <v>3496</v>
      </c>
      <c r="J1318" s="97">
        <v>43830</v>
      </c>
    </row>
    <row r="1319" spans="1:10" ht="28.9" customHeight="1" thickTop="1" thickBot="1" x14ac:dyDescent="0.65">
      <c r="A1319" s="5">
        <v>1317</v>
      </c>
      <c r="B1319" s="46" t="str">
        <f>HYPERLINK("https://search.naver.com/search.naver?query=번 애프터 리딩 영화", "번 애프터 리딩")</f>
        <v>번 애프터 리딩</v>
      </c>
      <c r="C1319" s="47">
        <v>6.46</v>
      </c>
      <c r="D1319" s="6" t="s">
        <v>1489</v>
      </c>
      <c r="E1319" s="5" t="s">
        <v>20</v>
      </c>
      <c r="F1319" s="5">
        <v>2008</v>
      </c>
      <c r="G1319" s="5" t="s">
        <v>12</v>
      </c>
      <c r="H1319" s="5" t="s">
        <v>68</v>
      </c>
      <c r="I1319" s="5" t="s">
        <v>61</v>
      </c>
      <c r="J1319" s="98" t="s">
        <v>3450</v>
      </c>
    </row>
    <row r="1320" spans="1:10" ht="28.9" customHeight="1" thickTop="1" thickBot="1" x14ac:dyDescent="0.65">
      <c r="A1320" s="3">
        <v>1318</v>
      </c>
      <c r="B1320" s="44" t="str">
        <f>HYPERLINK("https://search.naver.com/search.naver?query=벌룬 영화", "벌룬")</f>
        <v>벌룬</v>
      </c>
      <c r="C1320" s="45">
        <v>6.4</v>
      </c>
      <c r="D1320" s="4" t="s">
        <v>1490</v>
      </c>
      <c r="E1320" s="3" t="s">
        <v>101</v>
      </c>
      <c r="F1320" s="3">
        <v>2018</v>
      </c>
      <c r="G1320" s="3" t="s">
        <v>12</v>
      </c>
      <c r="H1320" s="3" t="s">
        <v>17</v>
      </c>
      <c r="I1320" s="3" t="s">
        <v>214</v>
      </c>
      <c r="J1320" s="97" t="s">
        <v>3442</v>
      </c>
    </row>
    <row r="1321" spans="1:10" ht="28.9" customHeight="1" thickTop="1" thickBot="1" x14ac:dyDescent="0.65">
      <c r="A1321" s="5">
        <v>1319</v>
      </c>
      <c r="B1321" s="46" t="str">
        <f>HYPERLINK("https://search.naver.com/search.naver?query=일본영화 범인에게 고한다 2007", "범인에게 고한다")</f>
        <v>범인에게 고한다</v>
      </c>
      <c r="C1321" s="47">
        <v>6.4</v>
      </c>
      <c r="D1321" s="6" t="s">
        <v>1491</v>
      </c>
      <c r="E1321" s="5" t="s">
        <v>11</v>
      </c>
      <c r="F1321" s="5">
        <v>2007</v>
      </c>
      <c r="G1321" s="5" t="s">
        <v>12</v>
      </c>
      <c r="H1321" s="5" t="s">
        <v>43</v>
      </c>
      <c r="I1321" s="5" t="s">
        <v>89</v>
      </c>
      <c r="J1321" s="98" t="s">
        <v>3447</v>
      </c>
    </row>
    <row r="1322" spans="1:10" ht="28.9" customHeight="1" thickTop="1" thickBot="1" x14ac:dyDescent="0.65">
      <c r="A1322" s="3">
        <v>1320</v>
      </c>
      <c r="B1322" s="44" t="str">
        <f>HYPERLINK("https://search.naver.com/search.naver?query=범죄도시 영화", "범죄도시")</f>
        <v>범죄도시</v>
      </c>
      <c r="C1322" s="45">
        <v>7.4</v>
      </c>
      <c r="D1322" s="4" t="s">
        <v>1492</v>
      </c>
      <c r="E1322" s="3" t="s">
        <v>11</v>
      </c>
      <c r="F1322" s="3">
        <v>2017</v>
      </c>
      <c r="G1322" s="3" t="s">
        <v>12</v>
      </c>
      <c r="H1322" s="3" t="s">
        <v>92</v>
      </c>
      <c r="I1322" s="3" t="s">
        <v>142</v>
      </c>
      <c r="J1322" s="97" t="s">
        <v>3443</v>
      </c>
    </row>
    <row r="1323" spans="1:10" ht="28.9" customHeight="1" thickTop="1" thickBot="1" x14ac:dyDescent="0.65">
      <c r="A1323" s="5">
        <v>1321</v>
      </c>
      <c r="B1323" s="46" t="str">
        <f>HYPERLINK("https://search.naver.com/search.naver?query=범죄도시2 영화", "범죄도시2")</f>
        <v>범죄도시2</v>
      </c>
      <c r="C1323" s="47">
        <v>8.94</v>
      </c>
      <c r="D1323" s="6" t="s">
        <v>1493</v>
      </c>
      <c r="E1323" s="5" t="s">
        <v>11</v>
      </c>
      <c r="F1323" s="5">
        <v>2022</v>
      </c>
      <c r="G1323" s="5" t="s">
        <v>12</v>
      </c>
      <c r="H1323" s="5" t="s">
        <v>92</v>
      </c>
      <c r="I1323" s="5" t="s">
        <v>286</v>
      </c>
      <c r="J1323" s="98" t="s">
        <v>3445</v>
      </c>
    </row>
    <row r="1324" spans="1:10" ht="28.9" customHeight="1" thickTop="1" thickBot="1" x14ac:dyDescent="0.65">
      <c r="A1324" s="3">
        <v>1322</v>
      </c>
      <c r="B1324" s="44" t="str">
        <f>HYPERLINK("https://search.naver.com/search.naver?query=범죄도시3 영화", "범죄도시3")</f>
        <v>범죄도시3</v>
      </c>
      <c r="C1324" s="45">
        <v>7.54</v>
      </c>
      <c r="D1324" s="4" t="s">
        <v>1494</v>
      </c>
      <c r="E1324" s="3" t="s">
        <v>11</v>
      </c>
      <c r="F1324" s="3">
        <v>2023</v>
      </c>
      <c r="G1324" s="3" t="s">
        <v>12</v>
      </c>
      <c r="H1324" s="3" t="s">
        <v>92</v>
      </c>
      <c r="I1324" s="3" t="s">
        <v>128</v>
      </c>
      <c r="J1324" s="97" t="s">
        <v>3446</v>
      </c>
    </row>
    <row r="1325" spans="1:10" ht="28.9" customHeight="1" thickTop="1" thickBot="1" x14ac:dyDescent="0.65">
      <c r="A1325" s="5">
        <v>1323</v>
      </c>
      <c r="B1325" s="46" t="str">
        <f>HYPERLINK("https://search.naver.com/search.naver?query=범죄도시4 영화", "범죄도시4")</f>
        <v>범죄도시4</v>
      </c>
      <c r="C1325" s="47">
        <v>7.4</v>
      </c>
      <c r="D1325" s="6" t="s">
        <v>1495</v>
      </c>
      <c r="E1325" s="5" t="s">
        <v>11</v>
      </c>
      <c r="F1325" s="5">
        <v>2024</v>
      </c>
      <c r="G1325" s="5" t="s">
        <v>12</v>
      </c>
      <c r="H1325" s="5" t="s">
        <v>92</v>
      </c>
      <c r="I1325" s="5" t="s">
        <v>137</v>
      </c>
      <c r="J1325" s="98" t="s">
        <v>3448</v>
      </c>
    </row>
    <row r="1326" spans="1:10" ht="28.9" customHeight="1" thickTop="1" thickBot="1" x14ac:dyDescent="0.65">
      <c r="A1326" s="3">
        <v>1324</v>
      </c>
      <c r="B1326" s="44" t="str">
        <f>HYPERLINK("https://search.naver.com/search.naver?query=범죄와의 전쟁 나쁜놈들 전성시대 영화", "범죄와의 전쟁 나쁜놈들 전성시대")</f>
        <v>범죄와의 전쟁 나쁜놈들 전성시대</v>
      </c>
      <c r="C1326" s="45">
        <v>8.67</v>
      </c>
      <c r="D1326" s="4" t="s">
        <v>1496</v>
      </c>
      <c r="E1326" s="3" t="s">
        <v>11</v>
      </c>
      <c r="F1326" s="3">
        <v>2011</v>
      </c>
      <c r="G1326" s="3" t="s">
        <v>12</v>
      </c>
      <c r="H1326" s="3" t="s">
        <v>277</v>
      </c>
      <c r="I1326" s="3" t="s">
        <v>83</v>
      </c>
      <c r="J1326" s="97" t="s">
        <v>3454</v>
      </c>
    </row>
    <row r="1327" spans="1:10" ht="28.9" customHeight="1" thickTop="1" thickBot="1" x14ac:dyDescent="0.65">
      <c r="A1327" s="7">
        <v>1325</v>
      </c>
      <c r="B1327" s="48" t="str">
        <f>HYPERLINK("https://search.naver.com/search.naver?query=범죄의 재구성 시즌1", "범죄의 재구성 시즌1")</f>
        <v>범죄의 재구성 시즌1</v>
      </c>
      <c r="C1327" s="49"/>
      <c r="D1327" s="8" t="s">
        <v>1497</v>
      </c>
      <c r="E1327" s="7" t="s">
        <v>20</v>
      </c>
      <c r="F1327" s="7">
        <v>2014</v>
      </c>
      <c r="G1327" s="7" t="s">
        <v>17</v>
      </c>
      <c r="H1327" s="7" t="s">
        <v>85</v>
      </c>
      <c r="I1327" s="7" t="s">
        <v>1498</v>
      </c>
      <c r="J1327" s="99" t="s">
        <v>3437</v>
      </c>
    </row>
    <row r="1328" spans="1:10" ht="28.9" customHeight="1" thickTop="1" thickBot="1" x14ac:dyDescent="0.65">
      <c r="A1328" s="7">
        <v>1326</v>
      </c>
      <c r="B1328" s="48" t="str">
        <f>HYPERLINK("https://search.naver.com/search.naver?query=범죄의 재구성 시즌2", "범죄의 재구성 시즌2")</f>
        <v>범죄의 재구성 시즌2</v>
      </c>
      <c r="C1328" s="49"/>
      <c r="D1328" s="8" t="s">
        <v>1497</v>
      </c>
      <c r="E1328" s="7" t="s">
        <v>20</v>
      </c>
      <c r="F1328" s="7">
        <v>2015</v>
      </c>
      <c r="G1328" s="7" t="s">
        <v>17</v>
      </c>
      <c r="H1328" s="7" t="s">
        <v>85</v>
      </c>
      <c r="I1328" s="7" t="s">
        <v>1498</v>
      </c>
      <c r="J1328" s="99" t="s">
        <v>3440</v>
      </c>
    </row>
    <row r="1329" spans="1:10" ht="28.9" customHeight="1" thickTop="1" thickBot="1" x14ac:dyDescent="0.65">
      <c r="A1329" s="7">
        <v>1327</v>
      </c>
      <c r="B1329" s="48" t="str">
        <f>HYPERLINK("https://search.naver.com/search.naver?query=범죄의 재구성 시즌3", "범죄의 재구성 시즌3")</f>
        <v>범죄의 재구성 시즌3</v>
      </c>
      <c r="C1329" s="49"/>
      <c r="D1329" s="8" t="s">
        <v>1497</v>
      </c>
      <c r="E1329" s="7" t="s">
        <v>20</v>
      </c>
      <c r="F1329" s="7">
        <v>2016</v>
      </c>
      <c r="G1329" s="7" t="s">
        <v>17</v>
      </c>
      <c r="H1329" s="7" t="s">
        <v>85</v>
      </c>
      <c r="I1329" s="7" t="s">
        <v>1498</v>
      </c>
      <c r="J1329" s="99" t="s">
        <v>3441</v>
      </c>
    </row>
    <row r="1330" spans="1:10" ht="28.9" customHeight="1" thickTop="1" thickBot="1" x14ac:dyDescent="0.65">
      <c r="A1330" s="7">
        <v>1328</v>
      </c>
      <c r="B1330" s="48" t="str">
        <f>HYPERLINK("https://search.naver.com/search.naver?query=범죄의 재구성 시즌4", "범죄의 재구성 시즌4")</f>
        <v>범죄의 재구성 시즌4</v>
      </c>
      <c r="C1330" s="49"/>
      <c r="D1330" s="8" t="s">
        <v>1497</v>
      </c>
      <c r="E1330" s="7" t="s">
        <v>20</v>
      </c>
      <c r="F1330" s="7">
        <v>2017</v>
      </c>
      <c r="G1330" s="7" t="s">
        <v>17</v>
      </c>
      <c r="H1330" s="7" t="s">
        <v>85</v>
      </c>
      <c r="I1330" s="7" t="s">
        <v>1498</v>
      </c>
      <c r="J1330" s="99" t="s">
        <v>3443</v>
      </c>
    </row>
    <row r="1331" spans="1:10" ht="28.9" customHeight="1" thickTop="1" thickBot="1" x14ac:dyDescent="0.65">
      <c r="A1331" s="7">
        <v>1329</v>
      </c>
      <c r="B1331" s="48" t="str">
        <f>HYPERLINK("https://search.naver.com/search.naver?query=범죄의 재구성 시즌5", "범죄의 재구성 시즌5")</f>
        <v>범죄의 재구성 시즌5</v>
      </c>
      <c r="C1331" s="49"/>
      <c r="D1331" s="8" t="s">
        <v>1497</v>
      </c>
      <c r="E1331" s="7" t="s">
        <v>20</v>
      </c>
      <c r="F1331" s="7">
        <v>2018</v>
      </c>
      <c r="G1331" s="7" t="s">
        <v>17</v>
      </c>
      <c r="H1331" s="7" t="s">
        <v>85</v>
      </c>
      <c r="I1331" s="7" t="s">
        <v>1498</v>
      </c>
      <c r="J1331" s="99" t="s">
        <v>3442</v>
      </c>
    </row>
    <row r="1332" spans="1:10" ht="28.9" customHeight="1" thickTop="1" thickBot="1" x14ac:dyDescent="0.65">
      <c r="A1332" s="7">
        <v>1330</v>
      </c>
      <c r="B1332" s="48" t="str">
        <f>HYPERLINK("https://search.naver.com/search.naver?query=범죄의 재구성 시즌6", "범죄의 재구성 시즌6")</f>
        <v>범죄의 재구성 시즌6</v>
      </c>
      <c r="C1332" s="49"/>
      <c r="D1332" s="8" t="s">
        <v>1497</v>
      </c>
      <c r="E1332" s="7" t="s">
        <v>20</v>
      </c>
      <c r="F1332" s="7">
        <v>2019</v>
      </c>
      <c r="G1332" s="7" t="s">
        <v>17</v>
      </c>
      <c r="H1332" s="7" t="s">
        <v>85</v>
      </c>
      <c r="I1332" s="7" t="s">
        <v>1498</v>
      </c>
      <c r="J1332" s="99" t="s">
        <v>3444</v>
      </c>
    </row>
    <row r="1333" spans="1:10" ht="28.9" customHeight="1" thickTop="1" thickBot="1" x14ac:dyDescent="0.65">
      <c r="A1333" s="5">
        <v>1331</v>
      </c>
      <c r="B1333" s="46" t="str">
        <f>HYPERLINK("https://search.naver.com/search.naver?query=벚꽃 물든 게이샤 영화", "벚꽃 물든 게이샤")</f>
        <v>벚꽃 물든 게이샤</v>
      </c>
      <c r="C1333" s="47"/>
      <c r="D1333" s="6" t="s">
        <v>1499</v>
      </c>
      <c r="E1333" s="5" t="s">
        <v>16</v>
      </c>
      <c r="F1333" s="5">
        <v>2014</v>
      </c>
      <c r="G1333" s="5" t="s">
        <v>12</v>
      </c>
      <c r="H1333" s="5" t="s">
        <v>17</v>
      </c>
      <c r="I1333" s="5" t="s">
        <v>111</v>
      </c>
      <c r="J1333" s="98" t="s">
        <v>3437</v>
      </c>
    </row>
    <row r="1334" spans="1:10" ht="28.9" customHeight="1" thickTop="1" thickBot="1" x14ac:dyDescent="0.65">
      <c r="A1334" s="3">
        <v>1332</v>
      </c>
      <c r="B1334" s="44" t="str">
        <f>HYPERLINK("https://search.naver.com/search.naver?query=벚꽃, 다시 한 번 카나코 영화", "벚꽃, 다시 한 번 카나코")</f>
        <v>벚꽃, 다시 한 번 카나코</v>
      </c>
      <c r="C1334" s="45">
        <v>6.4</v>
      </c>
      <c r="D1334" s="4" t="s">
        <v>1500</v>
      </c>
      <c r="E1334" s="3" t="s">
        <v>16</v>
      </c>
      <c r="F1334" s="3">
        <v>2013</v>
      </c>
      <c r="G1334" s="3" t="s">
        <v>12</v>
      </c>
      <c r="H1334" s="3" t="s">
        <v>17</v>
      </c>
      <c r="I1334" s="3" t="s">
        <v>14</v>
      </c>
      <c r="J1334" s="97" t="s">
        <v>3451</v>
      </c>
    </row>
    <row r="1335" spans="1:10" ht="28.9" customHeight="1" thickTop="1" thickBot="1" x14ac:dyDescent="0.65">
      <c r="A1335" s="5">
        <v>1333</v>
      </c>
      <c r="B1335" s="46" t="str">
        <f>HYPERLINK("https://search.naver.com/search.naver?query=베가번스의 전설 영화", "베가번스의 전설")</f>
        <v>베가번스의 전설</v>
      </c>
      <c r="C1335" s="47">
        <v>7.79</v>
      </c>
      <c r="D1335" s="6" t="s">
        <v>1501</v>
      </c>
      <c r="E1335" s="5" t="s">
        <v>20</v>
      </c>
      <c r="F1335" s="5">
        <v>2000</v>
      </c>
      <c r="G1335" s="5" t="s">
        <v>12</v>
      </c>
      <c r="H1335" s="5" t="s">
        <v>17</v>
      </c>
      <c r="I1335" s="5" t="s">
        <v>78</v>
      </c>
      <c r="J1335" s="98" t="s">
        <v>3458</v>
      </c>
    </row>
    <row r="1336" spans="1:10" ht="28.9" customHeight="1" thickTop="1" thickBot="1" x14ac:dyDescent="0.65">
      <c r="A1336" s="3">
        <v>1334</v>
      </c>
      <c r="B1336" s="44" t="str">
        <f>HYPERLINK("https://search.naver.com/search.naver?query=베네데타 영화", "베네데타")</f>
        <v>베네데타</v>
      </c>
      <c r="C1336" s="45">
        <v>7.85</v>
      </c>
      <c r="D1336" s="4" t="s">
        <v>1502</v>
      </c>
      <c r="E1336" s="3" t="s">
        <v>210</v>
      </c>
      <c r="F1336" s="3">
        <v>2021</v>
      </c>
      <c r="G1336" s="3" t="s">
        <v>12</v>
      </c>
      <c r="H1336" s="3" t="s">
        <v>17</v>
      </c>
      <c r="I1336" s="3" t="s">
        <v>280</v>
      </c>
      <c r="J1336" s="97" t="s">
        <v>3438</v>
      </c>
    </row>
    <row r="1337" spans="1:10" ht="28.9" customHeight="1" thickTop="1" thickBot="1" x14ac:dyDescent="0.65">
      <c r="A1337" s="5">
        <v>1335</v>
      </c>
      <c r="B1337" s="46" t="str">
        <f>HYPERLINK("https://search.naver.com/search.naver?query=베놈 영화", "베놈")</f>
        <v>베놈</v>
      </c>
      <c r="C1337" s="47">
        <v>7.13</v>
      </c>
      <c r="D1337" s="6" t="s">
        <v>1503</v>
      </c>
      <c r="E1337" s="5" t="s">
        <v>20</v>
      </c>
      <c r="F1337" s="5">
        <v>2018</v>
      </c>
      <c r="G1337" s="5" t="s">
        <v>12</v>
      </c>
      <c r="H1337" s="5" t="s">
        <v>92</v>
      </c>
      <c r="I1337" s="5" t="s">
        <v>278</v>
      </c>
      <c r="J1337" s="98" t="s">
        <v>3442</v>
      </c>
    </row>
    <row r="1338" spans="1:10" ht="28.9" customHeight="1" thickTop="1" thickBot="1" x14ac:dyDescent="0.65">
      <c r="A1338" s="3">
        <v>1336</v>
      </c>
      <c r="B1338" s="44" t="str">
        <f>HYPERLINK("https://search.naver.com/search.naver?query=베로니카 게린 영화", "베로니카 게린")</f>
        <v>베로니카 게린</v>
      </c>
      <c r="C1338" s="45">
        <v>8.56</v>
      </c>
      <c r="D1338" s="4" t="s">
        <v>1504</v>
      </c>
      <c r="E1338" s="3" t="s">
        <v>558</v>
      </c>
      <c r="F1338" s="3">
        <v>2003</v>
      </c>
      <c r="G1338" s="3" t="s">
        <v>12</v>
      </c>
      <c r="H1338" s="3" t="s">
        <v>17</v>
      </c>
      <c r="I1338" s="3" t="s">
        <v>14</v>
      </c>
      <c r="J1338" s="97" t="s">
        <v>3449</v>
      </c>
    </row>
    <row r="1339" spans="1:10" ht="28.9" customHeight="1" thickTop="1" thickBot="1" x14ac:dyDescent="0.65">
      <c r="A1339" s="5">
        <v>1337</v>
      </c>
      <c r="B1339" s="46" t="str">
        <f>HYPERLINK("https://search.naver.com/search.naver?query=베로니카의 이중 생활 영화", "베로니카의 이중 생활")</f>
        <v>베로니카의 이중 생활</v>
      </c>
      <c r="C1339" s="47">
        <v>8.9600000000000009</v>
      </c>
      <c r="D1339" s="6" t="s">
        <v>1505</v>
      </c>
      <c r="E1339" s="5" t="s">
        <v>210</v>
      </c>
      <c r="F1339" s="5">
        <v>1991</v>
      </c>
      <c r="G1339" s="5" t="s">
        <v>12</v>
      </c>
      <c r="H1339" s="5" t="s">
        <v>17</v>
      </c>
      <c r="I1339" s="5" t="s">
        <v>14</v>
      </c>
      <c r="J1339" s="98" t="s">
        <v>3465</v>
      </c>
    </row>
    <row r="1340" spans="1:10" ht="28.9" customHeight="1" thickTop="1" thickBot="1" x14ac:dyDescent="0.65">
      <c r="A1340" s="3">
        <v>1338</v>
      </c>
      <c r="B1340" s="44" t="str">
        <f>HYPERLINK("https://search.naver.com/search.naver?query=베를린 영화", "베를린")</f>
        <v>베를린</v>
      </c>
      <c r="C1340" s="45">
        <v>8.5</v>
      </c>
      <c r="D1340" s="4" t="s">
        <v>1506</v>
      </c>
      <c r="E1340" s="3" t="s">
        <v>11</v>
      </c>
      <c r="F1340" s="3">
        <v>2013</v>
      </c>
      <c r="G1340" s="3" t="s">
        <v>12</v>
      </c>
      <c r="H1340" s="3" t="s">
        <v>92</v>
      </c>
      <c r="I1340" s="3" t="s">
        <v>86</v>
      </c>
      <c r="J1340" s="97" t="s">
        <v>3451</v>
      </c>
    </row>
    <row r="1341" spans="1:10" ht="28.9" customHeight="1" thickTop="1" thickBot="1" x14ac:dyDescent="0.65">
      <c r="A1341" s="5">
        <v>1339</v>
      </c>
      <c r="B1341" s="46" t="str">
        <f>HYPERLINK("https://search.naver.com/search.naver?query=베리 굿 걸 영화", "베리 굿 걸")</f>
        <v>베리 굿 걸</v>
      </c>
      <c r="C1341" s="47">
        <v>6.95</v>
      </c>
      <c r="D1341" s="6" t="s">
        <v>1507</v>
      </c>
      <c r="E1341" s="5" t="s">
        <v>16</v>
      </c>
      <c r="F1341" s="5">
        <v>2013</v>
      </c>
      <c r="G1341" s="5" t="s">
        <v>12</v>
      </c>
      <c r="H1341" s="5" t="s">
        <v>17</v>
      </c>
      <c r="I1341" s="5" t="s">
        <v>111</v>
      </c>
      <c r="J1341" s="98" t="s">
        <v>3451</v>
      </c>
    </row>
    <row r="1342" spans="1:10" ht="28.9" customHeight="1" thickTop="1" thickBot="1" x14ac:dyDescent="0.65">
      <c r="A1342" s="3">
        <v>1340</v>
      </c>
      <c r="B1342" s="44" t="str">
        <f>HYPERLINK("https://search.naver.com/search.naver?query=베스트 엑조틱 메리골드 호텔 영화", "베스트 엑조틱 메리골드 호텔")</f>
        <v>베스트 엑조틱 메리골드 호텔</v>
      </c>
      <c r="C1342" s="45">
        <v>8.07</v>
      </c>
      <c r="D1342" s="4" t="s">
        <v>1508</v>
      </c>
      <c r="E1342" s="3" t="s">
        <v>24</v>
      </c>
      <c r="F1342" s="3">
        <v>2011</v>
      </c>
      <c r="G1342" s="3" t="s">
        <v>12</v>
      </c>
      <c r="H1342" s="3" t="s">
        <v>68</v>
      </c>
      <c r="I1342" s="3" t="s">
        <v>134</v>
      </c>
      <c r="J1342" s="97" t="s">
        <v>3454</v>
      </c>
    </row>
    <row r="1343" spans="1:10" ht="28.9" customHeight="1" thickTop="1" thickBot="1" x14ac:dyDescent="0.65">
      <c r="A1343" s="5">
        <v>1341</v>
      </c>
      <c r="B1343" s="46" t="str">
        <f>HYPERLINK("https://search.naver.com/search.naver?query=베스트 엑조틱 메리골드 호텔 2 영화", "베스트 엑조틱 메리골드 호텔 2")</f>
        <v>베스트 엑조틱 메리골드 호텔 2</v>
      </c>
      <c r="C1343" s="47"/>
      <c r="D1343" s="6" t="s">
        <v>1509</v>
      </c>
      <c r="E1343" s="5" t="s">
        <v>24</v>
      </c>
      <c r="F1343" s="5">
        <v>2015</v>
      </c>
      <c r="G1343" s="5" t="s">
        <v>12</v>
      </c>
      <c r="H1343" s="5" t="s">
        <v>68</v>
      </c>
      <c r="I1343" s="5" t="s">
        <v>105</v>
      </c>
      <c r="J1343" s="98" t="s">
        <v>3440</v>
      </c>
    </row>
    <row r="1344" spans="1:10" ht="28.9" customHeight="1" thickTop="1" thickBot="1" x14ac:dyDescent="0.65">
      <c r="A1344" s="3">
        <v>1342</v>
      </c>
      <c r="B1344" s="44" t="str">
        <f>HYPERLINK("https://search.naver.com/search.naver?query=베스트 오퍼 영화", "베스트 오퍼")</f>
        <v>베스트 오퍼</v>
      </c>
      <c r="C1344" s="45">
        <v>8.56</v>
      </c>
      <c r="D1344" s="4" t="s">
        <v>1510</v>
      </c>
      <c r="E1344" s="3" t="s">
        <v>1099</v>
      </c>
      <c r="F1344" s="3">
        <v>2013</v>
      </c>
      <c r="G1344" s="3" t="s">
        <v>12</v>
      </c>
      <c r="H1344" s="3" t="s">
        <v>17</v>
      </c>
      <c r="I1344" s="3" t="s">
        <v>280</v>
      </c>
      <c r="J1344" s="97" t="s">
        <v>3451</v>
      </c>
    </row>
    <row r="1345" spans="1:10" ht="28.9" customHeight="1" thickTop="1" thickBot="1" x14ac:dyDescent="0.65">
      <c r="A1345" s="5">
        <v>1343</v>
      </c>
      <c r="B1345" s="46" t="str">
        <f>HYPERLINK("https://search.naver.com/search.naver?query=베스트셀러 영화", "베스트셀러")</f>
        <v>베스트셀러</v>
      </c>
      <c r="C1345" s="47">
        <v>7.59</v>
      </c>
      <c r="D1345" s="6" t="s">
        <v>1511</v>
      </c>
      <c r="E1345" s="5" t="s">
        <v>11</v>
      </c>
      <c r="F1345" s="5">
        <v>2010</v>
      </c>
      <c r="G1345" s="5" t="s">
        <v>12</v>
      </c>
      <c r="H1345" s="5" t="s">
        <v>43</v>
      </c>
      <c r="I1345" s="5" t="s">
        <v>47</v>
      </c>
      <c r="J1345" s="98" t="s">
        <v>3455</v>
      </c>
    </row>
    <row r="1346" spans="1:10" ht="28.9" customHeight="1" thickTop="1" thickBot="1" x14ac:dyDescent="0.65">
      <c r="A1346" s="3">
        <v>1344</v>
      </c>
      <c r="B1346" s="44" t="str">
        <f>HYPERLINK("https://search.naver.com/search.naver?query=베이 오브 사일런스 영화", "베이 오브 사일런스")</f>
        <v>베이 오브 사일런스</v>
      </c>
      <c r="C1346" s="45"/>
      <c r="D1346" s="4" t="s">
        <v>1512</v>
      </c>
      <c r="E1346" s="3" t="s">
        <v>24</v>
      </c>
      <c r="F1346" s="3">
        <v>2020</v>
      </c>
      <c r="G1346" s="3" t="s">
        <v>12</v>
      </c>
      <c r="H1346" s="3" t="s">
        <v>43</v>
      </c>
      <c r="I1346" s="3" t="s">
        <v>93</v>
      </c>
      <c r="J1346" s="97" t="s">
        <v>3436</v>
      </c>
    </row>
    <row r="1347" spans="1:10" ht="28.9" customHeight="1" thickTop="1" thickBot="1" x14ac:dyDescent="0.65">
      <c r="A1347" s="5">
        <v>1345</v>
      </c>
      <c r="B1347" s="46" t="str">
        <f>HYPERLINK("https://search.naver.com/search.naver?query=베일리 어게인 영화", "베일리 어게인")</f>
        <v>베일리 어게인</v>
      </c>
      <c r="C1347" s="47">
        <v>9.42</v>
      </c>
      <c r="D1347" s="6" t="s">
        <v>1513</v>
      </c>
      <c r="E1347" s="5" t="s">
        <v>20</v>
      </c>
      <c r="F1347" s="5">
        <v>2017</v>
      </c>
      <c r="G1347" s="5" t="s">
        <v>12</v>
      </c>
      <c r="H1347" s="5" t="s">
        <v>17</v>
      </c>
      <c r="I1347" s="5" t="s">
        <v>131</v>
      </c>
      <c r="J1347" s="98" t="s">
        <v>3443</v>
      </c>
    </row>
    <row r="1348" spans="1:10" ht="28.9" customHeight="1" thickTop="1" thickBot="1" x14ac:dyDescent="0.65">
      <c r="A1348" s="3">
        <v>1346</v>
      </c>
      <c r="B1348" s="44" t="str">
        <f>HYPERLINK("https://search.naver.com/search.naver?query=베터 데이즈 영화", "베터 데이즈")</f>
        <v>베터 데이즈</v>
      </c>
      <c r="C1348" s="45">
        <v>8.75</v>
      </c>
      <c r="D1348" s="4" t="s">
        <v>1514</v>
      </c>
      <c r="E1348" s="3" t="s">
        <v>136</v>
      </c>
      <c r="F1348" s="3">
        <v>2019</v>
      </c>
      <c r="G1348" s="3" t="s">
        <v>12</v>
      </c>
      <c r="H1348" s="3" t="s">
        <v>17</v>
      </c>
      <c r="I1348" s="3" t="s">
        <v>41</v>
      </c>
      <c r="J1348" s="97" t="s">
        <v>3444</v>
      </c>
    </row>
    <row r="1349" spans="1:10" ht="28.9" customHeight="1" thickTop="1" thickBot="1" x14ac:dyDescent="0.65">
      <c r="A1349" s="7">
        <v>1347</v>
      </c>
      <c r="B1349" s="48" t="str">
        <f>HYPERLINK("https://search.naver.com/search.naver?query=베터 콜 사울 시즌1", "베터 콜 사울 시즌1")</f>
        <v>베터 콜 사울 시즌1</v>
      </c>
      <c r="C1349" s="49"/>
      <c r="D1349" s="8" t="s">
        <v>1515</v>
      </c>
      <c r="E1349" s="7" t="s">
        <v>20</v>
      </c>
      <c r="F1349" s="7">
        <v>2015</v>
      </c>
      <c r="G1349" s="7" t="s">
        <v>17</v>
      </c>
      <c r="H1349" s="7" t="s">
        <v>85</v>
      </c>
      <c r="I1349" s="7" t="s">
        <v>50</v>
      </c>
      <c r="J1349" s="99" t="s">
        <v>3440</v>
      </c>
    </row>
    <row r="1350" spans="1:10" ht="28.9" customHeight="1" thickTop="1" thickBot="1" x14ac:dyDescent="0.65">
      <c r="A1350" s="7">
        <v>1348</v>
      </c>
      <c r="B1350" s="48" t="str">
        <f>HYPERLINK("https://search.naver.com/search.naver?query=베터 콜 사울 시즌2", "베터 콜 사울 시즌2")</f>
        <v>베터 콜 사울 시즌2</v>
      </c>
      <c r="C1350" s="49"/>
      <c r="D1350" s="8" t="s">
        <v>1515</v>
      </c>
      <c r="E1350" s="7" t="s">
        <v>20</v>
      </c>
      <c r="F1350" s="7">
        <v>2016</v>
      </c>
      <c r="G1350" s="7" t="s">
        <v>17</v>
      </c>
      <c r="H1350" s="7" t="s">
        <v>85</v>
      </c>
      <c r="I1350" s="7" t="s">
        <v>50</v>
      </c>
      <c r="J1350" s="99" t="s">
        <v>3441</v>
      </c>
    </row>
    <row r="1351" spans="1:10" ht="28.9" customHeight="1" thickTop="1" thickBot="1" x14ac:dyDescent="0.65">
      <c r="A1351" s="7">
        <v>1349</v>
      </c>
      <c r="B1351" s="48" t="str">
        <f>HYPERLINK("https://search.naver.com/search.naver?query=베터 콜 사울 시즌3", "베터 콜 사울 시즌3")</f>
        <v>베터 콜 사울 시즌3</v>
      </c>
      <c r="C1351" s="49"/>
      <c r="D1351" s="8" t="s">
        <v>1516</v>
      </c>
      <c r="E1351" s="7" t="s">
        <v>20</v>
      </c>
      <c r="F1351" s="7">
        <v>2017</v>
      </c>
      <c r="G1351" s="7" t="s">
        <v>17</v>
      </c>
      <c r="H1351" s="7" t="s">
        <v>85</v>
      </c>
      <c r="I1351" s="7" t="s">
        <v>50</v>
      </c>
      <c r="J1351" s="99" t="s">
        <v>3443</v>
      </c>
    </row>
    <row r="1352" spans="1:10" ht="28.9" customHeight="1" thickTop="1" thickBot="1" x14ac:dyDescent="0.65">
      <c r="A1352" s="7">
        <v>1350</v>
      </c>
      <c r="B1352" s="48" t="str">
        <f>HYPERLINK("https://search.naver.com/search.naver?query=베터 콜 사울 시즌4", "베터 콜 사울 시즌4")</f>
        <v>베터 콜 사울 시즌4</v>
      </c>
      <c r="C1352" s="49"/>
      <c r="D1352" s="8" t="s">
        <v>1515</v>
      </c>
      <c r="E1352" s="7" t="s">
        <v>20</v>
      </c>
      <c r="F1352" s="7">
        <v>2018</v>
      </c>
      <c r="G1352" s="7" t="s">
        <v>17</v>
      </c>
      <c r="H1352" s="7" t="s">
        <v>85</v>
      </c>
      <c r="I1352" s="7" t="s">
        <v>50</v>
      </c>
      <c r="J1352" s="99" t="s">
        <v>3442</v>
      </c>
    </row>
    <row r="1353" spans="1:10" ht="28.9" customHeight="1" thickTop="1" thickBot="1" x14ac:dyDescent="0.65">
      <c r="A1353" s="7">
        <v>1351</v>
      </c>
      <c r="B1353" s="48" t="str">
        <f>HYPERLINK("https://search.naver.com/search.naver?query=베터 콜 사울 시즌5", "베터 콜 사울 시즌5")</f>
        <v>베터 콜 사울 시즌5</v>
      </c>
      <c r="C1353" s="49"/>
      <c r="D1353" s="8" t="s">
        <v>1515</v>
      </c>
      <c r="E1353" s="7" t="s">
        <v>20</v>
      </c>
      <c r="F1353" s="7">
        <v>2020</v>
      </c>
      <c r="G1353" s="7" t="s">
        <v>17</v>
      </c>
      <c r="H1353" s="7" t="s">
        <v>85</v>
      </c>
      <c r="I1353" s="7" t="s">
        <v>50</v>
      </c>
      <c r="J1353" s="99" t="s">
        <v>3436</v>
      </c>
    </row>
    <row r="1354" spans="1:10" ht="28.9" customHeight="1" thickTop="1" thickBot="1" x14ac:dyDescent="0.65">
      <c r="A1354" s="7">
        <v>1352</v>
      </c>
      <c r="B1354" s="48" t="str">
        <f>HYPERLINK("https://search.naver.com/search.naver?query=베터 콜 사울 시즌6", "베터 콜 사울 시즌6")</f>
        <v>베터 콜 사울 시즌6</v>
      </c>
      <c r="C1354" s="49"/>
      <c r="D1354" s="8" t="s">
        <v>1517</v>
      </c>
      <c r="E1354" s="7" t="s">
        <v>20</v>
      </c>
      <c r="F1354" s="7">
        <v>2022</v>
      </c>
      <c r="G1354" s="7" t="s">
        <v>17</v>
      </c>
      <c r="H1354" s="7" t="s">
        <v>85</v>
      </c>
      <c r="I1354" s="7" t="s">
        <v>893</v>
      </c>
      <c r="J1354" s="99" t="s">
        <v>3445</v>
      </c>
    </row>
    <row r="1355" spans="1:10" ht="28.9" customHeight="1" thickTop="1" thickBot="1" x14ac:dyDescent="0.65">
      <c r="A1355" s="5">
        <v>1353</v>
      </c>
      <c r="B1355" s="46" t="str">
        <f>HYPERLINK("https://search.naver.com/search.naver?query=베테랑1 영화", "베테랑")</f>
        <v>베테랑</v>
      </c>
      <c r="C1355" s="47">
        <v>9.2200000000000006</v>
      </c>
      <c r="D1355" s="6" t="s">
        <v>1518</v>
      </c>
      <c r="E1355" s="5" t="s">
        <v>11</v>
      </c>
      <c r="F1355" s="5">
        <v>2015</v>
      </c>
      <c r="G1355" s="5" t="s">
        <v>12</v>
      </c>
      <c r="H1355" s="5" t="s">
        <v>92</v>
      </c>
      <c r="I1355" s="5" t="s">
        <v>134</v>
      </c>
      <c r="J1355" s="98" t="s">
        <v>3440</v>
      </c>
    </row>
    <row r="1356" spans="1:10" ht="28.9" customHeight="1" thickTop="1" thickBot="1" x14ac:dyDescent="0.65">
      <c r="A1356" s="3">
        <v>1354</v>
      </c>
      <c r="B1356" s="44" t="str">
        <f>HYPERLINK("https://search.naver.com/search.naver?query=베테랑2 영화", "베테랑2")</f>
        <v>베테랑2</v>
      </c>
      <c r="C1356" s="45">
        <v>6.62</v>
      </c>
      <c r="D1356" s="4" t="s">
        <v>1519</v>
      </c>
      <c r="E1356" s="3" t="s">
        <v>11</v>
      </c>
      <c r="F1356" s="3">
        <v>2024</v>
      </c>
      <c r="G1356" s="3" t="s">
        <v>12</v>
      </c>
      <c r="H1356" s="3" t="s">
        <v>92</v>
      </c>
      <c r="I1356" s="3" t="s">
        <v>221</v>
      </c>
      <c r="J1356" s="97" t="s">
        <v>3448</v>
      </c>
    </row>
    <row r="1357" spans="1:10" ht="28.9" customHeight="1" thickTop="1" thickBot="1" x14ac:dyDescent="0.65">
      <c r="A1357" s="5">
        <v>1355</v>
      </c>
      <c r="B1357" s="46" t="str">
        <f>HYPERLINK("https://search.naver.com/search.naver?query=벡키 영화", "벡키")</f>
        <v>벡키</v>
      </c>
      <c r="C1357" s="47">
        <v>6.21</v>
      </c>
      <c r="D1357" s="6" t="s">
        <v>1520</v>
      </c>
      <c r="E1357" s="5" t="s">
        <v>20</v>
      </c>
      <c r="F1357" s="5">
        <v>2020</v>
      </c>
      <c r="G1357" s="5" t="s">
        <v>12</v>
      </c>
      <c r="H1357" s="5" t="s">
        <v>92</v>
      </c>
      <c r="I1357" s="5" t="s">
        <v>93</v>
      </c>
      <c r="J1357" s="98" t="s">
        <v>3436</v>
      </c>
    </row>
    <row r="1358" spans="1:10" ht="28.9" customHeight="1" thickTop="1" thickBot="1" x14ac:dyDescent="0.65">
      <c r="A1358" s="3">
        <v>1356</v>
      </c>
      <c r="B1358" s="44" t="str">
        <f>HYPERLINK("https://search.naver.com/search.naver?query=벤자민 버튼의 시간은 거꾸로 간다 영화", "벤자민 버튼의 시간은 거꾸로 간다")</f>
        <v>벤자민 버튼의 시간은 거꾸로 간다</v>
      </c>
      <c r="C1358" s="45">
        <v>9.52</v>
      </c>
      <c r="D1358" s="4" t="s">
        <v>1521</v>
      </c>
      <c r="E1358" s="3" t="s">
        <v>20</v>
      </c>
      <c r="F1358" s="3">
        <v>2008</v>
      </c>
      <c r="G1358" s="3" t="s">
        <v>12</v>
      </c>
      <c r="H1358" s="3" t="s">
        <v>17</v>
      </c>
      <c r="I1358" s="3" t="s">
        <v>1522</v>
      </c>
      <c r="J1358" s="97" t="s">
        <v>3450</v>
      </c>
    </row>
    <row r="1359" spans="1:10" ht="28.9" customHeight="1" thickTop="1" thickBot="1" x14ac:dyDescent="0.65">
      <c r="A1359" s="5">
        <v>1357</v>
      </c>
      <c r="B1359" s="46" t="str">
        <f>HYPERLINK("https://search.naver.com/search.naver?query=벤쿠버의 아침 영화", "벤쿠버의 아침")</f>
        <v>벤쿠버의 아침</v>
      </c>
      <c r="C1359" s="47"/>
      <c r="D1359" s="6" t="s">
        <v>1523</v>
      </c>
      <c r="E1359" s="5" t="s">
        <v>16</v>
      </c>
      <c r="F1359" s="5">
        <v>2014</v>
      </c>
      <c r="G1359" s="5" t="s">
        <v>12</v>
      </c>
      <c r="H1359" s="5" t="s">
        <v>17</v>
      </c>
      <c r="I1359" s="5" t="s">
        <v>543</v>
      </c>
      <c r="J1359" s="98" t="s">
        <v>3437</v>
      </c>
    </row>
    <row r="1360" spans="1:10" ht="28.9" customHeight="1" thickTop="1" thickBot="1" x14ac:dyDescent="0.65">
      <c r="A1360" s="3">
        <v>1358</v>
      </c>
      <c r="B1360" s="44" t="str">
        <f>HYPERLINK("https://search.naver.com/search.naver?query=벨 칸토 영화", "벨 칸토")</f>
        <v>벨 칸토</v>
      </c>
      <c r="C1360" s="45">
        <v>7.36</v>
      </c>
      <c r="D1360" s="4" t="s">
        <v>1524</v>
      </c>
      <c r="E1360" s="3" t="s">
        <v>20</v>
      </c>
      <c r="F1360" s="3">
        <v>2018</v>
      </c>
      <c r="G1360" s="3" t="s">
        <v>12</v>
      </c>
      <c r="H1360" s="3" t="s">
        <v>17</v>
      </c>
      <c r="I1360" s="3" t="s">
        <v>99</v>
      </c>
      <c r="J1360" s="97" t="s">
        <v>3442</v>
      </c>
    </row>
    <row r="1361" spans="1:10" ht="28.9" customHeight="1" thickTop="1" thickBot="1" x14ac:dyDescent="0.65">
      <c r="A1361" s="5">
        <v>1359</v>
      </c>
      <c r="B1361" s="46" t="str">
        <f>HYPERLINK("https://search.naver.com/search.naver?query=벨과 세바스찬 영화", "벨과 세바스찬")</f>
        <v>벨과 세바스찬</v>
      </c>
      <c r="C1361" s="47">
        <v>8.86</v>
      </c>
      <c r="D1361" s="6" t="s">
        <v>1525</v>
      </c>
      <c r="E1361" s="5" t="s">
        <v>210</v>
      </c>
      <c r="F1361" s="5">
        <v>2013</v>
      </c>
      <c r="G1361" s="5" t="s">
        <v>12</v>
      </c>
      <c r="H1361" s="5" t="s">
        <v>17</v>
      </c>
      <c r="I1361" s="5" t="s">
        <v>170</v>
      </c>
      <c r="J1361" s="98" t="s">
        <v>3451</v>
      </c>
    </row>
    <row r="1362" spans="1:10" ht="28.9" customHeight="1" thickTop="1" thickBot="1" x14ac:dyDescent="0.65">
      <c r="A1362" s="3">
        <v>1360</v>
      </c>
      <c r="B1362" s="44" t="str">
        <f>HYPERLINK("https://search.naver.com/search.naver?query=벨라 영화", "벨라")</f>
        <v>벨라</v>
      </c>
      <c r="C1362" s="45">
        <v>8.4</v>
      </c>
      <c r="D1362" s="4" t="s">
        <v>1526</v>
      </c>
      <c r="E1362" s="3" t="s">
        <v>20</v>
      </c>
      <c r="F1362" s="3">
        <v>2006</v>
      </c>
      <c r="G1362" s="3" t="s">
        <v>12</v>
      </c>
      <c r="H1362" s="3" t="s">
        <v>17</v>
      </c>
      <c r="I1362" s="3" t="s">
        <v>240</v>
      </c>
      <c r="J1362" s="97" t="s">
        <v>3460</v>
      </c>
    </row>
    <row r="1363" spans="1:10" ht="28.9" customHeight="1" thickTop="1" thickBot="1" x14ac:dyDescent="0.65">
      <c r="A1363" s="5">
        <v>1361</v>
      </c>
      <c r="B1363" s="46" t="str">
        <f>HYPERLINK("https://search.naver.com/search.naver?query=벨벳 버즈소 영화", "벨벳 버즈소")</f>
        <v>벨벳 버즈소</v>
      </c>
      <c r="C1363" s="47"/>
      <c r="D1363" s="6" t="s">
        <v>1527</v>
      </c>
      <c r="E1363" s="5" t="s">
        <v>20</v>
      </c>
      <c r="F1363" s="5">
        <v>2019</v>
      </c>
      <c r="G1363" s="5" t="s">
        <v>12</v>
      </c>
      <c r="H1363" s="5" t="s">
        <v>43</v>
      </c>
      <c r="I1363" s="5" t="s">
        <v>73</v>
      </c>
      <c r="J1363" s="98" t="s">
        <v>3444</v>
      </c>
    </row>
    <row r="1364" spans="1:10" ht="28.9" customHeight="1" thickTop="1" thickBot="1" x14ac:dyDescent="0.65">
      <c r="A1364" s="3">
        <v>1362</v>
      </c>
      <c r="B1364" s="44" t="str">
        <f>HYPERLINK("https://search.naver.com/search.naver?query=벨아미 영화", "벨아미")</f>
        <v>벨아미</v>
      </c>
      <c r="C1364" s="45">
        <v>6.66</v>
      </c>
      <c r="D1364" s="4" t="s">
        <v>1528</v>
      </c>
      <c r="E1364" s="3" t="s">
        <v>24</v>
      </c>
      <c r="F1364" s="3">
        <v>2012</v>
      </c>
      <c r="G1364" s="3" t="s">
        <v>12</v>
      </c>
      <c r="H1364" s="3" t="s">
        <v>17</v>
      </c>
      <c r="I1364" s="3" t="s">
        <v>99</v>
      </c>
      <c r="J1364" s="97" t="s">
        <v>3439</v>
      </c>
    </row>
    <row r="1365" spans="1:10" ht="28.9" customHeight="1" thickTop="1" thickBot="1" x14ac:dyDescent="0.65">
      <c r="A1365" s="5">
        <v>1363</v>
      </c>
      <c r="B1365" s="46" t="str">
        <f>HYPERLINK("https://search.naver.com/search.naver?query=변산 영화", "변산")</f>
        <v>변산</v>
      </c>
      <c r="C1365" s="47">
        <v>8.34</v>
      </c>
      <c r="D1365" s="6" t="s">
        <v>1529</v>
      </c>
      <c r="E1365" s="5" t="s">
        <v>11</v>
      </c>
      <c r="F1365" s="5">
        <v>2017</v>
      </c>
      <c r="G1365" s="5" t="s">
        <v>12</v>
      </c>
      <c r="H1365" s="5" t="s">
        <v>17</v>
      </c>
      <c r="I1365" s="5" t="s">
        <v>58</v>
      </c>
      <c r="J1365" s="98" t="s">
        <v>3443</v>
      </c>
    </row>
    <row r="1366" spans="1:10" ht="28.9" customHeight="1" thickTop="1" thickBot="1" x14ac:dyDescent="0.65">
      <c r="A1366" s="3">
        <v>1364</v>
      </c>
      <c r="B1366" s="44" t="str">
        <f>HYPERLINK("https://search.naver.com/search.naver?query=변호인 영화", "변호인")</f>
        <v>변호인</v>
      </c>
      <c r="C1366" s="45">
        <v>9.3000000000000007</v>
      </c>
      <c r="D1366" s="4" t="s">
        <v>1530</v>
      </c>
      <c r="E1366" s="3" t="s">
        <v>11</v>
      </c>
      <c r="F1366" s="3">
        <v>2013</v>
      </c>
      <c r="G1366" s="3" t="s">
        <v>12</v>
      </c>
      <c r="H1366" s="3" t="s">
        <v>17</v>
      </c>
      <c r="I1366" s="3" t="s">
        <v>150</v>
      </c>
      <c r="J1366" s="97" t="s">
        <v>3451</v>
      </c>
    </row>
    <row r="1367" spans="1:10" ht="28.9" customHeight="1" thickTop="1" thickBot="1" x14ac:dyDescent="0.65">
      <c r="A1367" s="5">
        <v>1365</v>
      </c>
      <c r="B1367" s="46" t="str">
        <f>HYPERLINK("https://search.naver.com/search.naver?query=보고타:마지막 기회의 땅 영화", "보고타 - 마지막 기회의 땅")</f>
        <v>보고타 - 마지막 기회의 땅</v>
      </c>
      <c r="C1367" s="47">
        <v>6.23</v>
      </c>
      <c r="D1367" s="6" t="s">
        <v>1531</v>
      </c>
      <c r="E1367" s="5" t="s">
        <v>11</v>
      </c>
      <c r="F1367" s="5">
        <v>2024</v>
      </c>
      <c r="G1367" s="5" t="s">
        <v>12</v>
      </c>
      <c r="H1367" s="5" t="s">
        <v>277</v>
      </c>
      <c r="I1367" s="5" t="s">
        <v>75</v>
      </c>
      <c r="J1367" s="98" t="s">
        <v>3448</v>
      </c>
    </row>
    <row r="1368" spans="1:10" ht="28.9" customHeight="1" thickTop="1" thickBot="1" x14ac:dyDescent="0.65">
      <c r="A1368" s="3">
        <v>1366</v>
      </c>
      <c r="B1368" s="44" t="str">
        <f>HYPERLINK("https://search.naver.com/search.naver?query=보더타운 영화", "보더타운")</f>
        <v>보더타운</v>
      </c>
      <c r="C1368" s="45">
        <v>6.4</v>
      </c>
      <c r="D1368" s="4" t="s">
        <v>1532</v>
      </c>
      <c r="E1368" s="3" t="s">
        <v>20</v>
      </c>
      <c r="F1368" s="3">
        <v>2007</v>
      </c>
      <c r="G1368" s="3" t="s">
        <v>12</v>
      </c>
      <c r="H1368" s="3" t="s">
        <v>17</v>
      </c>
      <c r="I1368" s="3" t="s">
        <v>278</v>
      </c>
      <c r="J1368" s="97" t="s">
        <v>3447</v>
      </c>
    </row>
    <row r="1369" spans="1:10" ht="28.9" customHeight="1" thickTop="1" thickBot="1" x14ac:dyDescent="0.65">
      <c r="A1369" s="5">
        <v>1367</v>
      </c>
      <c r="B1369" s="46" t="str">
        <f>HYPERLINK("https://search.naver.com/search.naver?query=보디가드", "보디가드")</f>
        <v>보디가드</v>
      </c>
      <c r="C1369" s="47">
        <v>4.7300000000000004</v>
      </c>
      <c r="D1369" s="6" t="s">
        <v>777</v>
      </c>
      <c r="E1369" s="5" t="s">
        <v>20</v>
      </c>
      <c r="F1369" s="5">
        <v>1992</v>
      </c>
      <c r="G1369" s="5" t="s">
        <v>12</v>
      </c>
      <c r="H1369" s="5" t="s">
        <v>121</v>
      </c>
      <c r="I1369" s="5" t="s">
        <v>64</v>
      </c>
      <c r="J1369" s="98" t="s">
        <v>3473</v>
      </c>
    </row>
    <row r="1370" spans="1:10" ht="28.9" customHeight="1" thickTop="1" thickBot="1" x14ac:dyDescent="0.65">
      <c r="A1370" s="7">
        <v>1368</v>
      </c>
      <c r="B1370" s="48" t="str">
        <f>HYPERLINK("https://search.naver.com/search.naver?query=보디가드 드라마", "보디가드")</f>
        <v>보디가드</v>
      </c>
      <c r="C1370" s="49"/>
      <c r="D1370" s="8" t="s">
        <v>1533</v>
      </c>
      <c r="E1370" s="7" t="s">
        <v>24</v>
      </c>
      <c r="F1370" s="7">
        <v>2018</v>
      </c>
      <c r="G1370" s="7" t="s">
        <v>17</v>
      </c>
      <c r="H1370" s="7" t="s">
        <v>13</v>
      </c>
      <c r="I1370" s="7" t="s">
        <v>173</v>
      </c>
      <c r="J1370" s="99" t="s">
        <v>3442</v>
      </c>
    </row>
    <row r="1371" spans="1:10" ht="28.9" customHeight="1" thickTop="1" thickBot="1" x14ac:dyDescent="0.65">
      <c r="A1371" s="7">
        <v>1369</v>
      </c>
      <c r="B1371" s="48" t="str">
        <f>HYPERLINK("https://search.naver.com/search.naver?query=보슈 시즌1", "보슈 시즌1")</f>
        <v>보슈 시즌1</v>
      </c>
      <c r="C1371" s="49"/>
      <c r="D1371" s="8" t="s">
        <v>1534</v>
      </c>
      <c r="E1371" s="7" t="s">
        <v>20</v>
      </c>
      <c r="F1371" s="7">
        <v>2014</v>
      </c>
      <c r="G1371" s="7" t="s">
        <v>17</v>
      </c>
      <c r="H1371" s="7" t="s">
        <v>17</v>
      </c>
      <c r="I1371" s="7" t="s">
        <v>50</v>
      </c>
      <c r="J1371" s="99" t="s">
        <v>3437</v>
      </c>
    </row>
    <row r="1372" spans="1:10" ht="28.9" customHeight="1" thickTop="1" thickBot="1" x14ac:dyDescent="0.65">
      <c r="A1372" s="3">
        <v>1370</v>
      </c>
      <c r="B1372" s="44" t="str">
        <f>HYPERLINK("https://search.naver.com/search.naver?query=보스턴 교살자 영화", "보스턴 교살자")</f>
        <v>보스턴 교살자</v>
      </c>
      <c r="C1372" s="45">
        <v>7.77</v>
      </c>
      <c r="D1372" s="4" t="s">
        <v>1535</v>
      </c>
      <c r="E1372" s="3" t="s">
        <v>20</v>
      </c>
      <c r="F1372" s="3">
        <v>2023</v>
      </c>
      <c r="G1372" s="3" t="s">
        <v>12</v>
      </c>
      <c r="H1372" s="3" t="s">
        <v>277</v>
      </c>
      <c r="I1372" s="3" t="s">
        <v>278</v>
      </c>
      <c r="J1372" s="97" t="s">
        <v>3446</v>
      </c>
    </row>
    <row r="1373" spans="1:10" ht="28.9" customHeight="1" thickTop="1" thickBot="1" x14ac:dyDescent="0.65">
      <c r="A1373" s="5">
        <v>1371</v>
      </c>
      <c r="B1373" s="46" t="str">
        <f>HYPERLINK("https://search.naver.com/search.naver?query=보이 이레이즈드 영화", "보이 이레이즈드")</f>
        <v>보이 이레이즈드</v>
      </c>
      <c r="C1373" s="47">
        <v>6.4</v>
      </c>
      <c r="D1373" s="6" t="s">
        <v>1536</v>
      </c>
      <c r="E1373" s="5" t="s">
        <v>20</v>
      </c>
      <c r="F1373" s="5">
        <v>2018</v>
      </c>
      <c r="G1373" s="5" t="s">
        <v>12</v>
      </c>
      <c r="H1373" s="5" t="s">
        <v>17</v>
      </c>
      <c r="I1373" s="5" t="s">
        <v>47</v>
      </c>
      <c r="J1373" s="98" t="s">
        <v>3442</v>
      </c>
    </row>
    <row r="1374" spans="1:10" ht="28.9" customHeight="1" thickTop="1" thickBot="1" x14ac:dyDescent="0.65">
      <c r="A1374" s="7">
        <v>1372</v>
      </c>
      <c r="B1374" s="48" t="str">
        <f>HYPERLINK("https://search.naver.com/search.naver?query=보이스 시즌1", "보이스")</f>
        <v>보이스</v>
      </c>
      <c r="C1374" s="49"/>
      <c r="D1374" s="8" t="s">
        <v>1537</v>
      </c>
      <c r="E1374" s="7" t="s">
        <v>11</v>
      </c>
      <c r="F1374" s="7">
        <v>2017</v>
      </c>
      <c r="G1374" s="7" t="s">
        <v>17</v>
      </c>
      <c r="H1374" s="7" t="s">
        <v>43</v>
      </c>
      <c r="I1374" s="7" t="s">
        <v>491</v>
      </c>
      <c r="J1374" s="99" t="s">
        <v>3443</v>
      </c>
    </row>
    <row r="1375" spans="1:10" ht="28.9" customHeight="1" thickTop="1" thickBot="1" x14ac:dyDescent="0.65">
      <c r="A1375" s="5">
        <v>1373</v>
      </c>
      <c r="B1375" s="46" t="str">
        <f>HYPERLINK("https://search.naver.com/search.naver?query=보이스 영화", "보이스")</f>
        <v>보이스</v>
      </c>
      <c r="C1375" s="47">
        <v>7.84</v>
      </c>
      <c r="D1375" s="6" t="s">
        <v>1538</v>
      </c>
      <c r="E1375" s="5" t="s">
        <v>11</v>
      </c>
      <c r="F1375" s="5">
        <v>2021</v>
      </c>
      <c r="G1375" s="5" t="s">
        <v>12</v>
      </c>
      <c r="H1375" s="5" t="s">
        <v>43</v>
      </c>
      <c r="I1375" s="5" t="s">
        <v>137</v>
      </c>
      <c r="J1375" s="98" t="s">
        <v>3438</v>
      </c>
    </row>
    <row r="1376" spans="1:10" ht="28.9" customHeight="1" thickTop="1" thickBot="1" x14ac:dyDescent="0.65">
      <c r="A1376" s="3">
        <v>1374</v>
      </c>
      <c r="B1376" s="44" t="str">
        <f>HYPERLINK("https://search.naver.com/search.naver?query=보이저스 영화", "보이저스")</f>
        <v>보이저스</v>
      </c>
      <c r="C1376" s="45">
        <v>7.27</v>
      </c>
      <c r="D1376" s="4" t="s">
        <v>1539</v>
      </c>
      <c r="E1376" s="3" t="s">
        <v>20</v>
      </c>
      <c r="F1376" s="3">
        <v>2021</v>
      </c>
      <c r="G1376" s="3" t="s">
        <v>12</v>
      </c>
      <c r="H1376" s="3" t="s">
        <v>520</v>
      </c>
      <c r="I1376" s="3" t="s">
        <v>31</v>
      </c>
      <c r="J1376" s="97" t="s">
        <v>3438</v>
      </c>
    </row>
    <row r="1377" spans="1:10" ht="28.9" customHeight="1" thickTop="1" thickBot="1" x14ac:dyDescent="0.65">
      <c r="A1377" s="5">
        <v>1375</v>
      </c>
      <c r="B1377" s="46" t="str">
        <f>HYPERLINK("https://search.naver.com/search.naver?query=보이카 - 언디스퓨티드 파이널 영화", "보이카 - 언디스퓨티드 파이널")</f>
        <v>보이카 - 언디스퓨티드 파이널</v>
      </c>
      <c r="C1377" s="47">
        <v>6.4</v>
      </c>
      <c r="D1377" s="6" t="s">
        <v>1540</v>
      </c>
      <c r="E1377" s="5" t="s">
        <v>20</v>
      </c>
      <c r="F1377" s="5">
        <v>2016</v>
      </c>
      <c r="G1377" s="5" t="s">
        <v>12</v>
      </c>
      <c r="H1377" s="5" t="s">
        <v>92</v>
      </c>
      <c r="I1377" s="5" t="s">
        <v>661</v>
      </c>
      <c r="J1377" s="98" t="s">
        <v>3441</v>
      </c>
    </row>
    <row r="1378" spans="1:10" ht="28.9" customHeight="1" thickTop="1" thickBot="1" x14ac:dyDescent="0.65">
      <c r="A1378" s="3">
        <v>1376</v>
      </c>
      <c r="B1378" s="44" t="str">
        <f>HYPERLINK("https://search.naver.com/search.naver?query=보이후드 영화", "보이후드")</f>
        <v>보이후드</v>
      </c>
      <c r="C1378" s="45">
        <v>8.9</v>
      </c>
      <c r="D1378" s="4" t="s">
        <v>1541</v>
      </c>
      <c r="E1378" s="3" t="s">
        <v>20</v>
      </c>
      <c r="F1378" s="3">
        <v>2014</v>
      </c>
      <c r="G1378" s="3" t="s">
        <v>12</v>
      </c>
      <c r="H1378" s="3" t="s">
        <v>17</v>
      </c>
      <c r="I1378" s="3" t="s">
        <v>567</v>
      </c>
      <c r="J1378" s="97" t="s">
        <v>3437</v>
      </c>
    </row>
    <row r="1379" spans="1:10" ht="28.9" customHeight="1" thickTop="1" thickBot="1" x14ac:dyDescent="0.65">
      <c r="A1379" s="5">
        <v>1377</v>
      </c>
      <c r="B1379" s="46" t="str">
        <f>HYPERLINK("https://search.naver.com/search.naver?query=보통사람 영화", "보통사람")</f>
        <v>보통사람</v>
      </c>
      <c r="C1379" s="47">
        <v>8.49</v>
      </c>
      <c r="D1379" s="6" t="s">
        <v>1542</v>
      </c>
      <c r="E1379" s="5" t="s">
        <v>11</v>
      </c>
      <c r="F1379" s="5">
        <v>2017</v>
      </c>
      <c r="G1379" s="5" t="s">
        <v>12</v>
      </c>
      <c r="H1379" s="5" t="s">
        <v>17</v>
      </c>
      <c r="I1379" s="5" t="s">
        <v>142</v>
      </c>
      <c r="J1379" s="98" t="s">
        <v>3443</v>
      </c>
    </row>
    <row r="1380" spans="1:10" ht="28.9" customHeight="1" thickTop="1" thickBot="1" x14ac:dyDescent="0.65">
      <c r="A1380" s="3">
        <v>1378</v>
      </c>
      <c r="B1380" s="44" t="str">
        <f>HYPERLINK("https://search.naver.com/search.naver?query=보통의 가족 영화", "보통의 가족")</f>
        <v>보통의 가족</v>
      </c>
      <c r="C1380" s="45">
        <v>8.01</v>
      </c>
      <c r="D1380" s="4" t="s">
        <v>1543</v>
      </c>
      <c r="E1380" s="3" t="s">
        <v>11</v>
      </c>
      <c r="F1380" s="3">
        <v>2024</v>
      </c>
      <c r="G1380" s="3" t="s">
        <v>12</v>
      </c>
      <c r="H1380" s="3" t="s">
        <v>17</v>
      </c>
      <c r="I1380" s="3" t="s">
        <v>137</v>
      </c>
      <c r="J1380" s="97" t="s">
        <v>3448</v>
      </c>
    </row>
    <row r="1381" spans="1:10" ht="28.9" customHeight="1" thickTop="1" thickBot="1" x14ac:dyDescent="0.65">
      <c r="A1381" s="5">
        <v>1379</v>
      </c>
      <c r="B1381" s="46" t="str">
        <f>HYPERLINK("https://search.naver.com/search.naver?query=보헤미안 랩소디 영화", "보헤미안 랩소디")</f>
        <v>보헤미안 랩소디</v>
      </c>
      <c r="C1381" s="47">
        <v>9.4499999999999993</v>
      </c>
      <c r="D1381" s="6" t="s">
        <v>1544</v>
      </c>
      <c r="E1381" s="5" t="s">
        <v>24</v>
      </c>
      <c r="F1381" s="5">
        <v>2018</v>
      </c>
      <c r="G1381" s="5" t="s">
        <v>12</v>
      </c>
      <c r="H1381" s="5" t="s">
        <v>17</v>
      </c>
      <c r="I1381" s="5" t="s">
        <v>543</v>
      </c>
      <c r="J1381" s="98" t="s">
        <v>3442</v>
      </c>
    </row>
    <row r="1382" spans="1:10" ht="28.9" customHeight="1" thickTop="1" thickBot="1" x14ac:dyDescent="0.65">
      <c r="A1382" s="3">
        <v>1380</v>
      </c>
      <c r="B1382" s="44" t="str">
        <f>HYPERLINK("https://search.naver.com/search.naver?query=보호받지 못한 사람들 영화", "보호받지 못한 사람들")</f>
        <v>보호받지 못한 사람들</v>
      </c>
      <c r="C1382" s="45">
        <v>6.4</v>
      </c>
      <c r="D1382" s="4" t="s">
        <v>1545</v>
      </c>
      <c r="E1382" s="3" t="s">
        <v>16</v>
      </c>
      <c r="F1382" s="3">
        <v>2021</v>
      </c>
      <c r="G1382" s="3" t="s">
        <v>12</v>
      </c>
      <c r="H1382" s="3" t="s">
        <v>17</v>
      </c>
      <c r="I1382" s="3" t="s">
        <v>41</v>
      </c>
      <c r="J1382" s="97" t="s">
        <v>3438</v>
      </c>
    </row>
    <row r="1383" spans="1:10" ht="28.9" customHeight="1" thickTop="1" thickBot="1" x14ac:dyDescent="0.65">
      <c r="A1383" s="5">
        <v>1381</v>
      </c>
      <c r="B1383" s="46" t="str">
        <f>HYPERLINK("https://search.naver.com/search.naver?query=보호자 영화", "보호자")</f>
        <v>보호자</v>
      </c>
      <c r="C1383" s="47">
        <v>5.39</v>
      </c>
      <c r="D1383" s="6" t="s">
        <v>1546</v>
      </c>
      <c r="E1383" s="5" t="s">
        <v>11</v>
      </c>
      <c r="F1383" s="5">
        <v>2023</v>
      </c>
      <c r="G1383" s="5" t="s">
        <v>12</v>
      </c>
      <c r="H1383" s="5" t="s">
        <v>92</v>
      </c>
      <c r="I1383" s="5" t="s">
        <v>124</v>
      </c>
      <c r="J1383" s="98" t="s">
        <v>3446</v>
      </c>
    </row>
    <row r="1384" spans="1:10" ht="28.9" customHeight="1" thickTop="1" thickBot="1" x14ac:dyDescent="0.65">
      <c r="A1384" s="3">
        <v>1382</v>
      </c>
      <c r="B1384" s="44" t="str">
        <f>HYPERLINK("https://search.naver.com/search.naver?query=복수는 나의 것 영화", "복수는 나의 것")</f>
        <v>복수는 나의 것</v>
      </c>
      <c r="C1384" s="45">
        <v>8.44</v>
      </c>
      <c r="D1384" s="4" t="s">
        <v>1547</v>
      </c>
      <c r="E1384" s="3" t="s">
        <v>16</v>
      </c>
      <c r="F1384" s="3">
        <v>1979</v>
      </c>
      <c r="G1384" s="3" t="s">
        <v>12</v>
      </c>
      <c r="H1384" s="3" t="s">
        <v>277</v>
      </c>
      <c r="I1384" s="3" t="s">
        <v>550</v>
      </c>
      <c r="J1384" s="97" t="s">
        <v>3480</v>
      </c>
    </row>
    <row r="1385" spans="1:10" ht="28.9" customHeight="1" thickTop="1" thickBot="1" x14ac:dyDescent="0.65">
      <c r="A1385" s="5">
        <v>1383</v>
      </c>
      <c r="B1385" s="46" t="str">
        <f>HYPERLINK("https://search.naver.com/search.naver?query=복수의 사도-어포슬 영화", "복수의 사도-어포슬")</f>
        <v>복수의 사도-어포슬</v>
      </c>
      <c r="C1385" s="47"/>
      <c r="D1385" s="6" t="s">
        <v>1548</v>
      </c>
      <c r="E1385" s="5" t="s">
        <v>24</v>
      </c>
      <c r="F1385" s="5">
        <v>2018</v>
      </c>
      <c r="G1385" s="5" t="s">
        <v>12</v>
      </c>
      <c r="H1385" s="5" t="s">
        <v>252</v>
      </c>
      <c r="I1385" s="5" t="s">
        <v>34</v>
      </c>
      <c r="J1385" s="98" t="s">
        <v>3442</v>
      </c>
    </row>
    <row r="1386" spans="1:10" ht="28.9" customHeight="1" thickTop="1" thickBot="1" x14ac:dyDescent="0.65">
      <c r="A1386" s="3">
        <v>1384</v>
      </c>
      <c r="B1386" s="44" t="str">
        <f>HYPERLINK("https://search.naver.com/search.naver?query=본 슈프리머시 영화", "본 슈프리머시")</f>
        <v>본 슈프리머시</v>
      </c>
      <c r="C1386" s="45">
        <v>8.99</v>
      </c>
      <c r="D1386" s="4" t="s">
        <v>1549</v>
      </c>
      <c r="E1386" s="3" t="s">
        <v>20</v>
      </c>
      <c r="F1386" s="3">
        <v>2004</v>
      </c>
      <c r="G1386" s="3" t="s">
        <v>12</v>
      </c>
      <c r="H1386" s="3" t="s">
        <v>92</v>
      </c>
      <c r="I1386" s="3" t="s">
        <v>31</v>
      </c>
      <c r="J1386" s="97" t="s">
        <v>3462</v>
      </c>
    </row>
    <row r="1387" spans="1:10" ht="28.9" customHeight="1" thickTop="1" thickBot="1" x14ac:dyDescent="0.65">
      <c r="A1387" s="5">
        <v>1385</v>
      </c>
      <c r="B1387" s="46" t="str">
        <f>HYPERLINK("https://search.naver.com/search.naver?query=본 투 비 블루 영화", "본 투 비 블루")</f>
        <v>본 투 비 블루</v>
      </c>
      <c r="C1387" s="47">
        <v>8.85</v>
      </c>
      <c r="D1387" s="6" t="s">
        <v>1550</v>
      </c>
      <c r="E1387" s="5" t="s">
        <v>189</v>
      </c>
      <c r="F1387" s="5">
        <v>2015</v>
      </c>
      <c r="G1387" s="5" t="s">
        <v>12</v>
      </c>
      <c r="H1387" s="5" t="s">
        <v>17</v>
      </c>
      <c r="I1387" s="5" t="s">
        <v>124</v>
      </c>
      <c r="J1387" s="98" t="s">
        <v>3440</v>
      </c>
    </row>
    <row r="1388" spans="1:10" ht="28.9" customHeight="1" thickTop="1" thickBot="1" x14ac:dyDescent="0.65">
      <c r="A1388" s="3">
        <v>1386</v>
      </c>
      <c r="B1388" s="44" t="str">
        <f>HYPERLINK("https://search.naver.com/search.naver?query=볼케이노 영화", "볼케이노")</f>
        <v>볼케이노</v>
      </c>
      <c r="C1388" s="45">
        <v>8.89</v>
      </c>
      <c r="D1388" s="4" t="s">
        <v>1551</v>
      </c>
      <c r="E1388" s="3" t="s">
        <v>20</v>
      </c>
      <c r="F1388" s="3">
        <v>1997</v>
      </c>
      <c r="G1388" s="3" t="s">
        <v>12</v>
      </c>
      <c r="H1388" s="3" t="s">
        <v>92</v>
      </c>
      <c r="I1388" s="3" t="s">
        <v>170</v>
      </c>
      <c r="J1388" s="97" t="s">
        <v>3470</v>
      </c>
    </row>
    <row r="1389" spans="1:10" ht="28.9" customHeight="1" thickTop="1" thickBot="1" x14ac:dyDescent="0.65">
      <c r="A1389" s="5">
        <v>1387</v>
      </c>
      <c r="B1389" s="46" t="str">
        <f>HYPERLINK("https://search.naver.com/search.naver?query=봄날 영화", "봄날")</f>
        <v>봄날</v>
      </c>
      <c r="C1389" s="47">
        <v>7.23</v>
      </c>
      <c r="D1389" s="6" t="s">
        <v>1552</v>
      </c>
      <c r="E1389" s="5" t="s">
        <v>11</v>
      </c>
      <c r="F1389" s="5">
        <v>2022</v>
      </c>
      <c r="G1389" s="5" t="s">
        <v>12</v>
      </c>
      <c r="H1389" s="5" t="s">
        <v>17</v>
      </c>
      <c r="I1389" s="5" t="s">
        <v>99</v>
      </c>
      <c r="J1389" s="98" t="s">
        <v>3445</v>
      </c>
    </row>
    <row r="1390" spans="1:10" ht="28.9" customHeight="1" thickTop="1" thickBot="1" x14ac:dyDescent="0.65">
      <c r="A1390" s="3">
        <v>1388</v>
      </c>
      <c r="B1390" s="44" t="str">
        <f>HYPERLINK("https://search.naver.com/search.naver?query=봄날은 간다 영화", "봄날은 간다")</f>
        <v>봄날은 간다</v>
      </c>
      <c r="C1390" s="45">
        <v>9.15</v>
      </c>
      <c r="D1390" s="4" t="s">
        <v>1553</v>
      </c>
      <c r="E1390" s="3" t="s">
        <v>11</v>
      </c>
      <c r="F1390" s="3">
        <v>2001</v>
      </c>
      <c r="G1390" s="3" t="s">
        <v>12</v>
      </c>
      <c r="H1390" s="3" t="s">
        <v>17</v>
      </c>
      <c r="I1390" s="3" t="s">
        <v>286</v>
      </c>
      <c r="J1390" s="97" t="s">
        <v>3457</v>
      </c>
    </row>
    <row r="1391" spans="1:10" ht="28.9" customHeight="1" thickTop="1" thickBot="1" x14ac:dyDescent="0.65">
      <c r="A1391" s="5">
        <v>1389</v>
      </c>
      <c r="B1391" s="46" t="str">
        <f>HYPERLINK("https://search.naver.com/search.naver?query=봄을 짊어지고 영화", "봄을 짊어지고")</f>
        <v>봄을 짊어지고</v>
      </c>
      <c r="C1391" s="47">
        <v>6.4</v>
      </c>
      <c r="D1391" s="6" t="s">
        <v>1554</v>
      </c>
      <c r="E1391" s="5" t="s">
        <v>16</v>
      </c>
      <c r="F1391" s="5">
        <v>2014</v>
      </c>
      <c r="G1391" s="5" t="s">
        <v>12</v>
      </c>
      <c r="H1391" s="5" t="s">
        <v>17</v>
      </c>
      <c r="I1391" s="5" t="s">
        <v>366</v>
      </c>
      <c r="J1391" s="98" t="s">
        <v>3437</v>
      </c>
    </row>
    <row r="1392" spans="1:10" ht="28.9" customHeight="1" thickTop="1" thickBot="1" x14ac:dyDescent="0.65">
      <c r="A1392" s="3">
        <v>1390</v>
      </c>
      <c r="B1392" s="44" t="str">
        <f>HYPERLINK("https://search.naver.com/search.naver?query=봉오동 전투 영화", "봉오동 전투")</f>
        <v>봉오동 전투</v>
      </c>
      <c r="C1392" s="45">
        <v>9.07</v>
      </c>
      <c r="D1392" s="4" t="s">
        <v>1555</v>
      </c>
      <c r="E1392" s="3" t="s">
        <v>11</v>
      </c>
      <c r="F1392" s="3">
        <v>2019</v>
      </c>
      <c r="G1392" s="3" t="s">
        <v>12</v>
      </c>
      <c r="H1392" s="3" t="s">
        <v>721</v>
      </c>
      <c r="I1392" s="3" t="s">
        <v>41</v>
      </c>
      <c r="J1392" s="97" t="s">
        <v>3444</v>
      </c>
    </row>
    <row r="1393" spans="1:10" ht="28.9" customHeight="1" thickTop="1" thickBot="1" x14ac:dyDescent="0.65">
      <c r="A1393" s="5">
        <v>1391</v>
      </c>
      <c r="B1393" s="46" t="str">
        <f>HYPERLINK("https://search.naver.com/search.naver?query=봉이 김선달 영화", "봉이 김선달")</f>
        <v>봉이 김선달</v>
      </c>
      <c r="C1393" s="47">
        <v>8.27</v>
      </c>
      <c r="D1393" s="6" t="s">
        <v>1556</v>
      </c>
      <c r="E1393" s="5" t="s">
        <v>11</v>
      </c>
      <c r="F1393" s="5">
        <v>2016</v>
      </c>
      <c r="G1393" s="5" t="s">
        <v>12</v>
      </c>
      <c r="H1393" s="5" t="s">
        <v>68</v>
      </c>
      <c r="I1393" s="5" t="s">
        <v>142</v>
      </c>
      <c r="J1393" s="98" t="s">
        <v>3441</v>
      </c>
    </row>
    <row r="1394" spans="1:10" ht="28.9" customHeight="1" thickTop="1" thickBot="1" x14ac:dyDescent="0.65">
      <c r="A1394" s="3">
        <v>1392</v>
      </c>
      <c r="B1394" s="44" t="str">
        <f>HYPERLINK("https://search.naver.com/search.naver?query=부라더 영화", "부라더")</f>
        <v>부라더</v>
      </c>
      <c r="C1394" s="45">
        <v>7.83</v>
      </c>
      <c r="D1394" s="4" t="s">
        <v>1557</v>
      </c>
      <c r="E1394" s="3" t="s">
        <v>11</v>
      </c>
      <c r="F1394" s="3">
        <v>2017</v>
      </c>
      <c r="G1394" s="3" t="s">
        <v>12</v>
      </c>
      <c r="H1394" s="3" t="s">
        <v>68</v>
      </c>
      <c r="I1394" s="3" t="s">
        <v>99</v>
      </c>
      <c r="J1394" s="97" t="s">
        <v>3443</v>
      </c>
    </row>
    <row r="1395" spans="1:10" ht="28.9" customHeight="1" thickTop="1" thickBot="1" x14ac:dyDescent="0.65">
      <c r="A1395" s="5">
        <v>1393</v>
      </c>
      <c r="B1395" s="46" t="str">
        <f>HYPERLINK("https://search.naver.com/search.naver?query=부러진 화살 영화", "부러진 화살")</f>
        <v>부러진 화살</v>
      </c>
      <c r="C1395" s="47">
        <v>8.91</v>
      </c>
      <c r="D1395" s="6" t="s">
        <v>1558</v>
      </c>
      <c r="E1395" s="5" t="s">
        <v>11</v>
      </c>
      <c r="F1395" s="5">
        <v>2011</v>
      </c>
      <c r="G1395" s="5" t="s">
        <v>12</v>
      </c>
      <c r="H1395" s="5" t="s">
        <v>17</v>
      </c>
      <c r="I1395" s="5" t="s">
        <v>131</v>
      </c>
      <c r="J1395" s="98" t="s">
        <v>3454</v>
      </c>
    </row>
    <row r="1396" spans="1:10" ht="28.9" customHeight="1" thickTop="1" thickBot="1" x14ac:dyDescent="0.65">
      <c r="A1396" s="3">
        <v>1394</v>
      </c>
      <c r="B1396" s="44" t="str">
        <f>HYPERLINK("https://search.naver.com/search.naver?query=부모님과 이혼하는 방법 영화", "부모님과 이혼하는 방법")</f>
        <v>부모님과 이혼하는 방법</v>
      </c>
      <c r="C1396" s="45">
        <v>7.78</v>
      </c>
      <c r="D1396" s="4" t="s">
        <v>1559</v>
      </c>
      <c r="E1396" s="3" t="s">
        <v>20</v>
      </c>
      <c r="F1396" s="3">
        <v>2016</v>
      </c>
      <c r="G1396" s="3" t="s">
        <v>12</v>
      </c>
      <c r="H1396" s="3" t="s">
        <v>17</v>
      </c>
      <c r="I1396" s="3" t="s">
        <v>286</v>
      </c>
      <c r="J1396" s="97" t="s">
        <v>3441</v>
      </c>
    </row>
    <row r="1397" spans="1:10" ht="28.9" customHeight="1" thickTop="1" thickBot="1" x14ac:dyDescent="0.65">
      <c r="A1397" s="5">
        <v>1395</v>
      </c>
      <c r="B1397" s="46" t="str">
        <f>HYPERLINK("https://search.naver.com/search.naver?query=부산행 영화", "부산행")</f>
        <v>부산행</v>
      </c>
      <c r="C1397" s="47">
        <v>8.6</v>
      </c>
      <c r="D1397" s="6" t="s">
        <v>1560</v>
      </c>
      <c r="E1397" s="5" t="s">
        <v>11</v>
      </c>
      <c r="F1397" s="5">
        <v>2016</v>
      </c>
      <c r="G1397" s="5" t="s">
        <v>12</v>
      </c>
      <c r="H1397" s="5" t="s">
        <v>92</v>
      </c>
      <c r="I1397" s="5" t="s">
        <v>221</v>
      </c>
      <c r="J1397" s="98" t="s">
        <v>3441</v>
      </c>
    </row>
    <row r="1398" spans="1:10" ht="28.9" customHeight="1" thickTop="1" thickBot="1" x14ac:dyDescent="0.65">
      <c r="A1398" s="3">
        <v>1396</v>
      </c>
      <c r="B1398" s="44" t="str">
        <f>HYPERLINK("https://search.naver.com/search.naver?query=부에나 비스타 소셜 클럽 영화", "부에나 비스타 소셜 클럽")</f>
        <v>부에나 비스타 소셜 클럽</v>
      </c>
      <c r="C1398" s="45">
        <v>8.82</v>
      </c>
      <c r="D1398" s="4" t="s">
        <v>1561</v>
      </c>
      <c r="E1398" s="3" t="s">
        <v>101</v>
      </c>
      <c r="F1398" s="3">
        <v>1999</v>
      </c>
      <c r="G1398" s="3" t="s">
        <v>12</v>
      </c>
      <c r="H1398" s="3" t="s">
        <v>160</v>
      </c>
      <c r="I1398" s="3" t="s">
        <v>128</v>
      </c>
      <c r="J1398" s="97" t="s">
        <v>3456</v>
      </c>
    </row>
    <row r="1399" spans="1:10" ht="28.9" customHeight="1" thickTop="1" thickBot="1" x14ac:dyDescent="0.65">
      <c r="A1399" s="7">
        <v>1397</v>
      </c>
      <c r="B1399" s="48" t="str">
        <f>HYPERLINK("https://search.naver.com/search.naver?query=부인은 취급주의", "부인은 취급주의")</f>
        <v>부인은 취급주의</v>
      </c>
      <c r="C1399" s="49"/>
      <c r="D1399" s="8" t="s">
        <v>1562</v>
      </c>
      <c r="E1399" s="7" t="s">
        <v>16</v>
      </c>
      <c r="F1399" s="7">
        <v>2017</v>
      </c>
      <c r="G1399" s="7" t="s">
        <v>17</v>
      </c>
      <c r="H1399" s="7" t="s">
        <v>17</v>
      </c>
      <c r="I1399" s="7" t="s">
        <v>50</v>
      </c>
      <c r="J1399" s="99" t="s">
        <v>3443</v>
      </c>
    </row>
    <row r="1400" spans="1:10" ht="28.9" customHeight="1" thickTop="1" thickBot="1" x14ac:dyDescent="0.65">
      <c r="A1400" s="3">
        <v>1398</v>
      </c>
      <c r="B1400" s="44" t="str">
        <f>HYPERLINK("https://search.naver.com/search.naver?query=부재양니고단 영화", "부재양니고단")</f>
        <v>부재양니고단</v>
      </c>
      <c r="C1400" s="45">
        <v>8.81</v>
      </c>
      <c r="D1400" s="4" t="s">
        <v>1563</v>
      </c>
      <c r="E1400" s="3" t="s">
        <v>136</v>
      </c>
      <c r="F1400" s="3">
        <v>2011</v>
      </c>
      <c r="G1400" s="3" t="s">
        <v>12</v>
      </c>
      <c r="H1400" s="3" t="s">
        <v>17</v>
      </c>
      <c r="I1400" s="3" t="s">
        <v>134</v>
      </c>
      <c r="J1400" s="97" t="s">
        <v>3454</v>
      </c>
    </row>
    <row r="1401" spans="1:10" ht="28.9" customHeight="1" thickTop="1" thickBot="1" x14ac:dyDescent="0.65">
      <c r="A1401" s="5">
        <v>1399</v>
      </c>
      <c r="B1401" s="46" t="str">
        <f>HYPERLINK("https://search.naver.com/search.naver?query=부탁 하나만 들어줘 영화", "부탁 하나만 들어줘")</f>
        <v>부탁 하나만 들어줘</v>
      </c>
      <c r="C1401" s="47">
        <v>8.16</v>
      </c>
      <c r="D1401" s="6" t="s">
        <v>1564</v>
      </c>
      <c r="E1401" s="5" t="s">
        <v>20</v>
      </c>
      <c r="F1401" s="5">
        <v>2018</v>
      </c>
      <c r="G1401" s="5" t="s">
        <v>12</v>
      </c>
      <c r="H1401" s="5" t="s">
        <v>277</v>
      </c>
      <c r="I1401" s="5" t="s">
        <v>89</v>
      </c>
      <c r="J1401" s="98" t="s">
        <v>3442</v>
      </c>
    </row>
    <row r="1402" spans="1:10" ht="28.9" customHeight="1" thickTop="1" thickBot="1" x14ac:dyDescent="0.65">
      <c r="A1402" s="3">
        <v>1400</v>
      </c>
      <c r="B1402" s="44" t="str">
        <f>HYPERLINK("https://search.naver.com/search.naver?query=부활 영화", "부활")</f>
        <v>부활</v>
      </c>
      <c r="C1402" s="45">
        <v>8.93</v>
      </c>
      <c r="D1402" s="4" t="s">
        <v>1565</v>
      </c>
      <c r="E1402" s="3" t="s">
        <v>20</v>
      </c>
      <c r="F1402" s="3">
        <v>2016</v>
      </c>
      <c r="G1402" s="3" t="s">
        <v>12</v>
      </c>
      <c r="H1402" s="3" t="s">
        <v>17</v>
      </c>
      <c r="I1402" s="3" t="s">
        <v>31</v>
      </c>
      <c r="J1402" s="97" t="s">
        <v>3441</v>
      </c>
    </row>
    <row r="1403" spans="1:10" ht="28.9" customHeight="1" thickTop="1" thickBot="1" x14ac:dyDescent="0.65">
      <c r="A1403" s="5">
        <v>1401</v>
      </c>
      <c r="B1403" s="46" t="str">
        <f>HYPERLINK("https://search.naver.com/search.naver?query=북 오브 러브 영화", "북 오브 러브")</f>
        <v>북 오브 러브</v>
      </c>
      <c r="C1403" s="47">
        <v>8</v>
      </c>
      <c r="D1403" s="6" t="s">
        <v>1566</v>
      </c>
      <c r="E1403" s="5" t="s">
        <v>1567</v>
      </c>
      <c r="F1403" s="5">
        <v>2022</v>
      </c>
      <c r="G1403" s="5" t="s">
        <v>12</v>
      </c>
      <c r="H1403" s="5" t="s">
        <v>68</v>
      </c>
      <c r="I1403" s="5" t="s">
        <v>286</v>
      </c>
      <c r="J1403" s="98" t="s">
        <v>3445</v>
      </c>
    </row>
    <row r="1404" spans="1:10" ht="28.9" customHeight="1" thickTop="1" thickBot="1" x14ac:dyDescent="0.65">
      <c r="A1404" s="7">
        <v>1402</v>
      </c>
      <c r="B1404" s="48" t="str">
        <f>HYPERLINK("https://search.naver.com/search.naver?query=북극성", "북극성")</f>
        <v>북극성</v>
      </c>
      <c r="C1404" s="49"/>
      <c r="D1404" s="8" t="s">
        <v>1568</v>
      </c>
      <c r="E1404" s="7" t="s">
        <v>11</v>
      </c>
      <c r="F1404" s="7">
        <v>2025</v>
      </c>
      <c r="G1404" s="7" t="s">
        <v>17</v>
      </c>
      <c r="H1404" s="7" t="s">
        <v>17</v>
      </c>
      <c r="I1404" s="7" t="s">
        <v>242</v>
      </c>
      <c r="J1404" s="99" t="s">
        <v>3459</v>
      </c>
    </row>
    <row r="1405" spans="1:10" ht="28.9" customHeight="1" thickTop="1" thickBot="1" x14ac:dyDescent="0.65">
      <c r="A1405" s="5">
        <v>1403</v>
      </c>
      <c r="B1405" s="46" t="str">
        <f>HYPERLINK("https://search.naver.com/search.naver?query=북의 영년 영화", "북의 영년")</f>
        <v>북의 영년</v>
      </c>
      <c r="C1405" s="47">
        <v>6.4</v>
      </c>
      <c r="D1405" s="6" t="s">
        <v>1569</v>
      </c>
      <c r="E1405" s="5" t="s">
        <v>16</v>
      </c>
      <c r="F1405" s="5">
        <v>2004</v>
      </c>
      <c r="G1405" s="5" t="s">
        <v>12</v>
      </c>
      <c r="H1405" s="5" t="s">
        <v>17</v>
      </c>
      <c r="I1405" s="5" t="s">
        <v>1570</v>
      </c>
      <c r="J1405" s="98" t="s">
        <v>3462</v>
      </c>
    </row>
    <row r="1406" spans="1:10" ht="28.9" customHeight="1" thickTop="1" thickBot="1" x14ac:dyDescent="0.65">
      <c r="A1406" s="3">
        <v>1404</v>
      </c>
      <c r="B1406" s="44" t="str">
        <f>HYPERLINK("https://search.naver.com/search.naver?query=북쪽의 카나리아들 영화", "북쪽의 카나리아들")</f>
        <v>북쪽의 카나리아들</v>
      </c>
      <c r="C1406" s="45"/>
      <c r="D1406" s="4" t="s">
        <v>1571</v>
      </c>
      <c r="E1406" s="3" t="s">
        <v>16</v>
      </c>
      <c r="F1406" s="3">
        <v>2012</v>
      </c>
      <c r="G1406" s="3" t="s">
        <v>12</v>
      </c>
      <c r="H1406" s="3" t="s">
        <v>17</v>
      </c>
      <c r="I1406" s="3" t="s">
        <v>134</v>
      </c>
      <c r="J1406" s="97" t="s">
        <v>3439</v>
      </c>
    </row>
    <row r="1407" spans="1:10" ht="28.9" customHeight="1" thickTop="1" thickBot="1" x14ac:dyDescent="0.65">
      <c r="A1407" s="5">
        <v>1405</v>
      </c>
      <c r="B1407" s="46" t="str">
        <f>HYPERLINK("https://search.naver.com/search.naver?query=분노 영화", "분노")</f>
        <v>분노</v>
      </c>
      <c r="C1407" s="47">
        <v>8.75</v>
      </c>
      <c r="D1407" s="6" t="s">
        <v>1572</v>
      </c>
      <c r="E1407" s="5" t="s">
        <v>16</v>
      </c>
      <c r="F1407" s="5">
        <v>2017</v>
      </c>
      <c r="G1407" s="5" t="s">
        <v>12</v>
      </c>
      <c r="H1407" s="5" t="s">
        <v>43</v>
      </c>
      <c r="I1407" s="5" t="s">
        <v>237</v>
      </c>
      <c r="J1407" s="98" t="s">
        <v>3443</v>
      </c>
    </row>
    <row r="1408" spans="1:10" ht="28.9" customHeight="1" thickTop="1" thickBot="1" x14ac:dyDescent="0.65">
      <c r="A1408" s="3">
        <v>1406</v>
      </c>
      <c r="B1408" s="44" t="str">
        <f>HYPERLINK("https://search.naver.com/search.naver?query=분노의 역류 영화", "분노의 역류")</f>
        <v>분노의 역류</v>
      </c>
      <c r="C1408" s="45">
        <v>9.2100000000000009</v>
      </c>
      <c r="D1408" s="4" t="s">
        <v>1573</v>
      </c>
      <c r="E1408" s="3" t="s">
        <v>20</v>
      </c>
      <c r="F1408" s="3">
        <v>1991</v>
      </c>
      <c r="G1408" s="3" t="s">
        <v>12</v>
      </c>
      <c r="H1408" s="3" t="s">
        <v>17</v>
      </c>
      <c r="I1408" s="3" t="s">
        <v>350</v>
      </c>
      <c r="J1408" s="97" t="s">
        <v>3465</v>
      </c>
    </row>
    <row r="1409" spans="1:10" ht="28.9" customHeight="1" thickTop="1" thickBot="1" x14ac:dyDescent="0.65">
      <c r="A1409" s="5">
        <v>1407</v>
      </c>
      <c r="B1409" s="46" t="str">
        <f>HYPERLINK("https://search.naver.com/search.naver?query=영화 분노의 역류2019", "분노의 역류-2")</f>
        <v>분노의 역류-2</v>
      </c>
      <c r="C1409" s="47"/>
      <c r="D1409" s="6" t="s">
        <v>1574</v>
      </c>
      <c r="E1409" s="5" t="s">
        <v>20</v>
      </c>
      <c r="F1409" s="5">
        <v>2019</v>
      </c>
      <c r="G1409" s="5" t="s">
        <v>12</v>
      </c>
      <c r="H1409" s="5" t="s">
        <v>17</v>
      </c>
      <c r="I1409" s="5" t="s">
        <v>111</v>
      </c>
      <c r="J1409" s="98" t="s">
        <v>3444</v>
      </c>
    </row>
    <row r="1410" spans="1:10" ht="28.9" customHeight="1" thickTop="1" thickBot="1" x14ac:dyDescent="0.65">
      <c r="A1410" s="3">
        <v>1408</v>
      </c>
      <c r="B1410" s="44" t="str">
        <f>HYPERLINK("https://search.naver.com/search.naver?query=분노의 질주 더 맥시멈 영화", "분노의 질주 - 더 맥시멈")</f>
        <v>분노의 질주 - 더 맥시멈</v>
      </c>
      <c r="C1410" s="45">
        <v>8.82</v>
      </c>
      <c r="D1410" s="4" t="s">
        <v>1575</v>
      </c>
      <c r="E1410" s="3" t="s">
        <v>20</v>
      </c>
      <c r="F1410" s="3">
        <v>2013</v>
      </c>
      <c r="G1410" s="3" t="s">
        <v>12</v>
      </c>
      <c r="H1410" s="3" t="s">
        <v>92</v>
      </c>
      <c r="I1410" s="3" t="s">
        <v>34</v>
      </c>
      <c r="J1410" s="97" t="s">
        <v>3451</v>
      </c>
    </row>
    <row r="1411" spans="1:10" ht="28.9" customHeight="1" thickTop="1" thickBot="1" x14ac:dyDescent="0.65">
      <c r="A1411" s="5">
        <v>1409</v>
      </c>
      <c r="B1411" s="46" t="str">
        <f>HYPERLINK("https://search.naver.com/search.naver?query=분노의 질주 더 세븐 영화", "분노의 질주 - 더 세븐")</f>
        <v>분노의 질주 - 더 세븐</v>
      </c>
      <c r="C1411" s="47">
        <v>9.2100000000000009</v>
      </c>
      <c r="D1411" s="6" t="s">
        <v>1576</v>
      </c>
      <c r="E1411" s="5" t="s">
        <v>20</v>
      </c>
      <c r="F1411" s="5">
        <v>2015</v>
      </c>
      <c r="G1411" s="5" t="s">
        <v>12</v>
      </c>
      <c r="H1411" s="5" t="s">
        <v>92</v>
      </c>
      <c r="I1411" s="5" t="s">
        <v>186</v>
      </c>
      <c r="J1411" s="98" t="s">
        <v>3440</v>
      </c>
    </row>
    <row r="1412" spans="1:10" ht="28.9" customHeight="1" thickTop="1" thickBot="1" x14ac:dyDescent="0.65">
      <c r="A1412" s="3">
        <v>1410</v>
      </c>
      <c r="B1412" s="44" t="str">
        <f>HYPERLINK("https://search.naver.com/search.naver?query=분노의 질주 8 더 익스트림 영화", "분노의 질주 8 더 익스트림")</f>
        <v>분노의 질주 8 더 익스트림</v>
      </c>
      <c r="C1412" s="45">
        <v>6.4</v>
      </c>
      <c r="D1412" s="4" t="s">
        <v>1577</v>
      </c>
      <c r="E1412" s="3" t="s">
        <v>20</v>
      </c>
      <c r="F1412" s="3">
        <v>2017</v>
      </c>
      <c r="G1412" s="3" t="s">
        <v>12</v>
      </c>
      <c r="H1412" s="3" t="s">
        <v>92</v>
      </c>
      <c r="I1412" s="3" t="s">
        <v>359</v>
      </c>
      <c r="J1412" s="97" t="s">
        <v>3443</v>
      </c>
    </row>
    <row r="1413" spans="1:10" ht="28.9" customHeight="1" thickTop="1" thickBot="1" x14ac:dyDescent="0.65">
      <c r="A1413" s="5">
        <v>1411</v>
      </c>
      <c r="B1413" s="46" t="str">
        <f>HYPERLINK("https://search.naver.com/search.naver?query=분노의 질주 더 얼티메이트 영화", "분노의 질주-더 얼티메이트")</f>
        <v>분노의 질주-더 얼티메이트</v>
      </c>
      <c r="C1413" s="47">
        <v>8.74</v>
      </c>
      <c r="D1413" s="6" t="s">
        <v>1578</v>
      </c>
      <c r="E1413" s="5" t="s">
        <v>20</v>
      </c>
      <c r="F1413" s="5">
        <v>2021</v>
      </c>
      <c r="G1413" s="5" t="s">
        <v>12</v>
      </c>
      <c r="H1413" s="5" t="s">
        <v>92</v>
      </c>
      <c r="I1413" s="5" t="s">
        <v>25</v>
      </c>
      <c r="J1413" s="98" t="s">
        <v>3438</v>
      </c>
    </row>
    <row r="1414" spans="1:10" ht="28.9" customHeight="1" thickTop="1" thickBot="1" x14ac:dyDescent="0.65">
      <c r="A1414" s="3">
        <v>1412</v>
      </c>
      <c r="B1414" s="44" t="str">
        <f>HYPERLINK("https://search.naver.com/search.naver?query=분노의 질주 홉스&amp;쇼 영화", "분노의 질주-홉스&amp;쇼")</f>
        <v>분노의 질주-홉스&amp;쇼</v>
      </c>
      <c r="C1414" s="45">
        <v>6.4</v>
      </c>
      <c r="D1414" s="4" t="s">
        <v>1579</v>
      </c>
      <c r="E1414" s="3" t="s">
        <v>20</v>
      </c>
      <c r="F1414" s="3">
        <v>2019</v>
      </c>
      <c r="G1414" s="3" t="s">
        <v>12</v>
      </c>
      <c r="H1414" s="3" t="s">
        <v>92</v>
      </c>
      <c r="I1414" s="3" t="s">
        <v>186</v>
      </c>
      <c r="J1414" s="97" t="s">
        <v>3444</v>
      </c>
    </row>
    <row r="1415" spans="1:10" ht="28.9" customHeight="1" thickTop="1" thickBot="1" x14ac:dyDescent="0.65">
      <c r="A1415" s="5">
        <v>1413</v>
      </c>
      <c r="B1415" s="46" t="str">
        <f>HYPERLINK("https://search.naver.com/search.naver?query=분노의 추격자 영화", "분노의 추격자")</f>
        <v>분노의 추격자</v>
      </c>
      <c r="C1415" s="47">
        <v>4.78</v>
      </c>
      <c r="D1415" s="6" t="s">
        <v>1008</v>
      </c>
      <c r="E1415" s="5" t="s">
        <v>20</v>
      </c>
      <c r="F1415" s="5">
        <v>2022</v>
      </c>
      <c r="G1415" s="5" t="s">
        <v>12</v>
      </c>
      <c r="H1415" s="5" t="s">
        <v>92</v>
      </c>
      <c r="I1415" s="5" t="s">
        <v>111</v>
      </c>
      <c r="J1415" s="98" t="s">
        <v>3445</v>
      </c>
    </row>
    <row r="1416" spans="1:10" ht="28.9" customHeight="1" thickTop="1" thickBot="1" x14ac:dyDescent="0.65">
      <c r="A1416" s="3">
        <v>1414</v>
      </c>
      <c r="B1416" s="44" t="str">
        <f>HYPERLINK("https://search.naver.com/search.naver?query=불능범 영화", "불능범")</f>
        <v>불능범</v>
      </c>
      <c r="C1416" s="45">
        <v>6.4</v>
      </c>
      <c r="D1416" s="4" t="s">
        <v>1580</v>
      </c>
      <c r="E1416" s="3" t="s">
        <v>16</v>
      </c>
      <c r="F1416" s="3">
        <v>2018</v>
      </c>
      <c r="G1416" s="3" t="s">
        <v>12</v>
      </c>
      <c r="H1416" s="3" t="s">
        <v>141</v>
      </c>
      <c r="I1416" s="3" t="s">
        <v>75</v>
      </c>
      <c r="J1416" s="97" t="s">
        <v>3442</v>
      </c>
    </row>
    <row r="1417" spans="1:10" ht="28.9" customHeight="1" thickTop="1" thickBot="1" x14ac:dyDescent="0.65">
      <c r="A1417" s="5">
        <v>1415</v>
      </c>
      <c r="B1417" s="46" t="str">
        <f>HYPERLINK("https://search.naver.com/search.naver?query=불량소녀 너를 응원해 영화", "불량소녀, 너를 응원해")</f>
        <v>불량소녀, 너를 응원해</v>
      </c>
      <c r="C1417" s="47">
        <v>9.0399999999999991</v>
      </c>
      <c r="D1417" s="6" t="s">
        <v>1581</v>
      </c>
      <c r="E1417" s="5" t="s">
        <v>16</v>
      </c>
      <c r="F1417" s="5">
        <v>2015</v>
      </c>
      <c r="G1417" s="5" t="s">
        <v>12</v>
      </c>
      <c r="H1417" s="5" t="s">
        <v>17</v>
      </c>
      <c r="I1417" s="5" t="s">
        <v>89</v>
      </c>
      <c r="J1417" s="98" t="s">
        <v>3440</v>
      </c>
    </row>
    <row r="1418" spans="1:10" ht="28.9" customHeight="1" thickTop="1" thickBot="1" x14ac:dyDescent="0.65">
      <c r="A1418" s="3">
        <v>1416</v>
      </c>
      <c r="B1418" s="44" t="str">
        <f>HYPERLINK("https://search.naver.com/search.naver?query=불쾌한 과거 영화", "불쾌한 과거")</f>
        <v>불쾌한 과거</v>
      </c>
      <c r="C1418" s="45"/>
      <c r="D1418" s="4" t="s">
        <v>1582</v>
      </c>
      <c r="E1418" s="3" t="s">
        <v>16</v>
      </c>
      <c r="F1418" s="3">
        <v>2016</v>
      </c>
      <c r="G1418" s="3" t="s">
        <v>12</v>
      </c>
      <c r="H1418" s="3" t="s">
        <v>17</v>
      </c>
      <c r="I1418" s="3" t="s">
        <v>86</v>
      </c>
      <c r="J1418" s="97" t="s">
        <v>3441</v>
      </c>
    </row>
    <row r="1419" spans="1:10" ht="28.9" customHeight="1" thickTop="1" thickBot="1" x14ac:dyDescent="0.65">
      <c r="A1419" s="5">
        <v>1417</v>
      </c>
      <c r="B1419" s="46" t="str">
        <f>HYPERLINK("https://search.naver.com/search.naver?query=붉은 수수밭 영화", "붉은 수수밭")</f>
        <v>붉은 수수밭</v>
      </c>
      <c r="C1419" s="47">
        <v>8.23</v>
      </c>
      <c r="D1419" s="6" t="s">
        <v>1583</v>
      </c>
      <c r="E1419" s="5" t="s">
        <v>136</v>
      </c>
      <c r="F1419" s="5">
        <v>1987</v>
      </c>
      <c r="G1419" s="5" t="s">
        <v>12</v>
      </c>
      <c r="H1419" s="5" t="s">
        <v>17</v>
      </c>
      <c r="I1419" s="5" t="s">
        <v>240</v>
      </c>
      <c r="J1419" s="98" t="s">
        <v>3481</v>
      </c>
    </row>
    <row r="1420" spans="1:10" ht="28.9" customHeight="1" thickTop="1" thickBot="1" x14ac:dyDescent="0.65">
      <c r="A1420" s="3">
        <v>1418</v>
      </c>
      <c r="B1420" s="44" t="str">
        <f>HYPERLINK("https://search.naver.com/search.naver?query=뷰티 인 더 글라스 영화", "뷰티 인 더 글라스")</f>
        <v>뷰티 인 더 글라스</v>
      </c>
      <c r="C1420" s="45">
        <v>7.73</v>
      </c>
      <c r="D1420" s="4" t="s">
        <v>1584</v>
      </c>
      <c r="E1420" s="3" t="s">
        <v>20</v>
      </c>
      <c r="F1420" s="3">
        <v>2019</v>
      </c>
      <c r="G1420" s="3" t="s">
        <v>12</v>
      </c>
      <c r="H1420" s="3" t="s">
        <v>17</v>
      </c>
      <c r="I1420" s="3" t="s">
        <v>37</v>
      </c>
      <c r="J1420" s="97" t="s">
        <v>3444</v>
      </c>
    </row>
    <row r="1421" spans="1:10" ht="28.9" customHeight="1" thickTop="1" thickBot="1" x14ac:dyDescent="0.65">
      <c r="A1421" s="5">
        <v>1419</v>
      </c>
      <c r="B1421" s="46" t="str">
        <f>HYPERLINK("https://search.naver.com/search.naver?query=뷰티풀 데이즈 영화", "뷰티풀 데이즈")</f>
        <v>뷰티풀 데이즈</v>
      </c>
      <c r="C1421" s="47">
        <v>8.2799999999999994</v>
      </c>
      <c r="D1421" s="6" t="s">
        <v>1585</v>
      </c>
      <c r="E1421" s="5" t="s">
        <v>11</v>
      </c>
      <c r="F1421" s="5">
        <v>2018</v>
      </c>
      <c r="G1421" s="5" t="s">
        <v>12</v>
      </c>
      <c r="H1421" s="5" t="s">
        <v>17</v>
      </c>
      <c r="I1421" s="5" t="s">
        <v>170</v>
      </c>
      <c r="J1421" s="98" t="s">
        <v>3442</v>
      </c>
    </row>
    <row r="1422" spans="1:10" ht="28.9" customHeight="1" thickTop="1" thickBot="1" x14ac:dyDescent="0.65">
      <c r="A1422" s="3">
        <v>1420</v>
      </c>
      <c r="B1422" s="44" t="str">
        <f>HYPERLINK("https://search.naver.com/search.naver?query=뷰티풀 라이 영화", "뷰티풀 라이")</f>
        <v>뷰티풀 라이</v>
      </c>
      <c r="C1422" s="45">
        <v>9.5500000000000007</v>
      </c>
      <c r="D1422" s="4" t="s">
        <v>1586</v>
      </c>
      <c r="E1422" s="3" t="s">
        <v>20</v>
      </c>
      <c r="F1422" s="3">
        <v>2015</v>
      </c>
      <c r="G1422" s="3" t="s">
        <v>12</v>
      </c>
      <c r="H1422" s="3" t="s">
        <v>17</v>
      </c>
      <c r="I1422" s="3" t="s">
        <v>96</v>
      </c>
      <c r="J1422" s="97" t="s">
        <v>3440</v>
      </c>
    </row>
    <row r="1423" spans="1:10" ht="28.9" customHeight="1" thickTop="1" thickBot="1" x14ac:dyDescent="0.65">
      <c r="A1423" s="5">
        <v>1421</v>
      </c>
      <c r="B1423" s="46" t="str">
        <f>HYPERLINK("https://search.naver.com/search.naver?query=뷰티풀 프래니 영화", "뷰티풀 프래니")</f>
        <v>뷰티풀 프래니</v>
      </c>
      <c r="C1423" s="47">
        <v>6.69</v>
      </c>
      <c r="D1423" s="6" t="s">
        <v>1587</v>
      </c>
      <c r="E1423" s="5" t="s">
        <v>20</v>
      </c>
      <c r="F1423" s="5">
        <v>2016</v>
      </c>
      <c r="G1423" s="5" t="s">
        <v>12</v>
      </c>
      <c r="H1423" s="5" t="s">
        <v>17</v>
      </c>
      <c r="I1423" s="5" t="s">
        <v>93</v>
      </c>
      <c r="J1423" s="98" t="s">
        <v>3441</v>
      </c>
    </row>
    <row r="1424" spans="1:10" ht="28.9" customHeight="1" thickTop="1" thickBot="1" x14ac:dyDescent="0.65">
      <c r="A1424" s="3">
        <v>1422</v>
      </c>
      <c r="B1424" s="44" t="str">
        <f>HYPERLINK("https://search.naver.com/search.naver?query=브라더 영화", "브라더")</f>
        <v>브라더</v>
      </c>
      <c r="C1424" s="45">
        <v>3.85</v>
      </c>
      <c r="D1424" s="4" t="s">
        <v>1588</v>
      </c>
      <c r="E1424" s="3" t="s">
        <v>16</v>
      </c>
      <c r="F1424" s="3">
        <v>2000</v>
      </c>
      <c r="G1424" s="3" t="s">
        <v>12</v>
      </c>
      <c r="H1424" s="3" t="s">
        <v>17</v>
      </c>
      <c r="I1424" s="3" t="s">
        <v>207</v>
      </c>
      <c r="J1424" s="97" t="s">
        <v>3458</v>
      </c>
    </row>
    <row r="1425" spans="1:10" ht="28.9" customHeight="1" thickTop="1" thickBot="1" x14ac:dyDescent="0.65">
      <c r="A1425" s="5">
        <v>1423</v>
      </c>
      <c r="B1425" s="46" t="str">
        <f>HYPERLINK("https://search.naver.com/search.naver?query=브라더스 영화", "브라더스")</f>
        <v>브라더스</v>
      </c>
      <c r="C1425" s="47"/>
      <c r="D1425" s="6" t="s">
        <v>1589</v>
      </c>
      <c r="E1425" s="5" t="s">
        <v>20</v>
      </c>
      <c r="F1425" s="5">
        <v>2009</v>
      </c>
      <c r="G1425" s="5" t="s">
        <v>12</v>
      </c>
      <c r="H1425" s="5" t="s">
        <v>17</v>
      </c>
      <c r="I1425" s="5" t="s">
        <v>128</v>
      </c>
      <c r="J1425" s="98" t="s">
        <v>3453</v>
      </c>
    </row>
    <row r="1426" spans="1:10" ht="28.9" customHeight="1" thickTop="1" thickBot="1" x14ac:dyDescent="0.65">
      <c r="A1426" s="3">
        <v>1424</v>
      </c>
      <c r="B1426" s="44" t="str">
        <f>HYPERLINK("https://search.naver.com/search.naver?query=브레이브 언더 파이어 영화", "브레이브 언더 파이어")</f>
        <v>브레이브 언더 파이어</v>
      </c>
      <c r="C1426" s="45">
        <v>7.53</v>
      </c>
      <c r="D1426" s="4" t="s">
        <v>1590</v>
      </c>
      <c r="E1426" s="3" t="s">
        <v>20</v>
      </c>
      <c r="F1426" s="3">
        <v>2021</v>
      </c>
      <c r="G1426" s="3" t="s">
        <v>12</v>
      </c>
      <c r="H1426" s="3" t="s">
        <v>92</v>
      </c>
      <c r="I1426" s="3" t="s">
        <v>111</v>
      </c>
      <c r="J1426" s="97" t="s">
        <v>3438</v>
      </c>
    </row>
    <row r="1427" spans="1:10" ht="28.9" customHeight="1" thickTop="1" thickBot="1" x14ac:dyDescent="0.65">
      <c r="A1427" s="5">
        <v>1425</v>
      </c>
      <c r="B1427" s="46" t="str">
        <f>HYPERLINK("https://search.naver.com/search.naver?query=브레이브 원 영화", "브레이브 원")</f>
        <v>브레이브 원</v>
      </c>
      <c r="C1427" s="47">
        <v>7.62</v>
      </c>
      <c r="D1427" s="6" t="s">
        <v>1591</v>
      </c>
      <c r="E1427" s="5" t="s">
        <v>20</v>
      </c>
      <c r="F1427" s="5">
        <v>2007</v>
      </c>
      <c r="G1427" s="5" t="s">
        <v>12</v>
      </c>
      <c r="H1427" s="5" t="s">
        <v>43</v>
      </c>
      <c r="I1427" s="5" t="s">
        <v>105</v>
      </c>
      <c r="J1427" s="98" t="s">
        <v>3447</v>
      </c>
    </row>
    <row r="1428" spans="1:10" ht="28.9" customHeight="1" thickTop="1" thickBot="1" x14ac:dyDescent="0.65">
      <c r="A1428" s="3">
        <v>1426</v>
      </c>
      <c r="B1428" s="44" t="str">
        <f>HYPERLINK("https://search.naver.com/search.naver?query=브레이브 하트 영화", "브레이브 하트")</f>
        <v>브레이브 하트</v>
      </c>
      <c r="C1428" s="45">
        <v>9.27</v>
      </c>
      <c r="D1428" s="4" t="s">
        <v>1592</v>
      </c>
      <c r="E1428" s="3" t="s">
        <v>20</v>
      </c>
      <c r="F1428" s="3">
        <v>1995</v>
      </c>
      <c r="G1428" s="3" t="s">
        <v>12</v>
      </c>
      <c r="H1428" s="3" t="s">
        <v>17</v>
      </c>
      <c r="I1428" s="3" t="s">
        <v>1593</v>
      </c>
      <c r="J1428" s="97" t="s">
        <v>3475</v>
      </c>
    </row>
    <row r="1429" spans="1:10" ht="28.9" customHeight="1" thickTop="1" thickBot="1" x14ac:dyDescent="0.65">
      <c r="A1429" s="5">
        <v>1427</v>
      </c>
      <c r="B1429" s="46" t="str">
        <f>HYPERLINK("https://search.naver.com/search.naver?query=브레이븐 영화", "브레이븐")</f>
        <v>브레이븐</v>
      </c>
      <c r="C1429" s="47">
        <v>9.6</v>
      </c>
      <c r="D1429" s="6" t="s">
        <v>1594</v>
      </c>
      <c r="E1429" s="5" t="s">
        <v>189</v>
      </c>
      <c r="F1429" s="5">
        <v>2018</v>
      </c>
      <c r="G1429" s="5" t="s">
        <v>12</v>
      </c>
      <c r="H1429" s="5" t="s">
        <v>92</v>
      </c>
      <c r="I1429" s="5" t="s">
        <v>300</v>
      </c>
      <c r="J1429" s="98" t="s">
        <v>3442</v>
      </c>
    </row>
    <row r="1430" spans="1:10" ht="28.9" customHeight="1" thickTop="1" thickBot="1" x14ac:dyDescent="0.65">
      <c r="A1430" s="3">
        <v>1428</v>
      </c>
      <c r="B1430" s="44" t="str">
        <f>HYPERLINK("https://search.naver.com/search.naver?query=브레이즌 영화", "브레이즌")</f>
        <v>브레이즌</v>
      </c>
      <c r="C1430" s="45">
        <v>2.69</v>
      </c>
      <c r="D1430" s="4" t="s">
        <v>1595</v>
      </c>
      <c r="E1430" s="3" t="s">
        <v>20</v>
      </c>
      <c r="F1430" s="3">
        <v>2022</v>
      </c>
      <c r="G1430" s="3" t="s">
        <v>12</v>
      </c>
      <c r="H1430" s="3" t="s">
        <v>43</v>
      </c>
      <c r="I1430" s="3" t="s">
        <v>111</v>
      </c>
      <c r="J1430" s="97" t="s">
        <v>3445</v>
      </c>
    </row>
    <row r="1431" spans="1:10" ht="28.9" customHeight="1" thickTop="1" thickBot="1" x14ac:dyDescent="0.65">
      <c r="A1431" s="5">
        <v>1429</v>
      </c>
      <c r="B1431" s="46" t="str">
        <f>HYPERLINK("https://search.naver.com/search.naver?query=브레이크다운 영화", "브레이크다운")</f>
        <v>브레이크다운</v>
      </c>
      <c r="C1431" s="47">
        <v>9</v>
      </c>
      <c r="D1431" s="6" t="s">
        <v>1596</v>
      </c>
      <c r="E1431" s="5" t="s">
        <v>20</v>
      </c>
      <c r="F1431" s="5">
        <v>1997</v>
      </c>
      <c r="G1431" s="5" t="s">
        <v>12</v>
      </c>
      <c r="H1431" s="5" t="s">
        <v>43</v>
      </c>
      <c r="I1431" s="5" t="s">
        <v>93</v>
      </c>
      <c r="J1431" s="98" t="s">
        <v>3470</v>
      </c>
    </row>
    <row r="1432" spans="1:10" ht="28.9" customHeight="1" thickTop="1" thickBot="1" x14ac:dyDescent="0.65">
      <c r="A1432" s="3">
        <v>1430</v>
      </c>
      <c r="B1432" s="44" t="str">
        <f>HYPERLINK("https://search.naver.com/search.naver?query=브레이크스루 영화", "브레이크스루")</f>
        <v>브레이크스루</v>
      </c>
      <c r="C1432" s="45"/>
      <c r="D1432" s="4" t="s">
        <v>1597</v>
      </c>
      <c r="E1432" s="3" t="s">
        <v>20</v>
      </c>
      <c r="F1432" s="3">
        <v>2019</v>
      </c>
      <c r="G1432" s="3" t="s">
        <v>12</v>
      </c>
      <c r="H1432" s="3" t="s">
        <v>17</v>
      </c>
      <c r="I1432" s="3" t="s">
        <v>366</v>
      </c>
      <c r="J1432" s="97" t="s">
        <v>3444</v>
      </c>
    </row>
    <row r="1433" spans="1:10" ht="28.9" customHeight="1" thickTop="1" thickBot="1" x14ac:dyDescent="0.65">
      <c r="A1433" s="7">
        <v>1431</v>
      </c>
      <c r="B1433" s="48" t="str">
        <f>HYPERLINK("https://search.naver.com/search.naver?query=브레이킹 배드 시즌1", "브레이킹 배드 시즌1")</f>
        <v>브레이킹 배드 시즌1</v>
      </c>
      <c r="C1433" s="49"/>
      <c r="D1433" s="8" t="s">
        <v>1598</v>
      </c>
      <c r="E1433" s="7" t="s">
        <v>20</v>
      </c>
      <c r="F1433" s="7">
        <v>2008</v>
      </c>
      <c r="G1433" s="7" t="s">
        <v>17</v>
      </c>
      <c r="H1433" s="7" t="s">
        <v>85</v>
      </c>
      <c r="I1433" s="7" t="s">
        <v>324</v>
      </c>
      <c r="J1433" s="99" t="s">
        <v>3450</v>
      </c>
    </row>
    <row r="1434" spans="1:10" ht="28.9" customHeight="1" thickTop="1" thickBot="1" x14ac:dyDescent="0.65">
      <c r="A1434" s="7">
        <v>1432</v>
      </c>
      <c r="B1434" s="48" t="str">
        <f>HYPERLINK("https://search.naver.com/search.naver?query=브레이킹 배드 시즌2", "브레이킹 배드 시즌2")</f>
        <v>브레이킹 배드 시즌2</v>
      </c>
      <c r="C1434" s="49"/>
      <c r="D1434" s="8"/>
      <c r="E1434" s="7" t="s">
        <v>20</v>
      </c>
      <c r="F1434" s="7">
        <v>2009</v>
      </c>
      <c r="G1434" s="7" t="s">
        <v>17</v>
      </c>
      <c r="H1434" s="7" t="s">
        <v>85</v>
      </c>
      <c r="I1434" s="7" t="s">
        <v>645</v>
      </c>
      <c r="J1434" s="99" t="s">
        <v>3453</v>
      </c>
    </row>
    <row r="1435" spans="1:10" ht="28.9" customHeight="1" thickTop="1" thickBot="1" x14ac:dyDescent="0.65">
      <c r="A1435" s="7">
        <v>1433</v>
      </c>
      <c r="B1435" s="48" t="str">
        <f>HYPERLINK("https://search.naver.com/search.naver?query=브레이킹 배드 시즌3", "브레이킹 배드 시즌3")</f>
        <v>브레이킹 배드 시즌3</v>
      </c>
      <c r="C1435" s="49"/>
      <c r="D1435" s="8" t="s">
        <v>1598</v>
      </c>
      <c r="E1435" s="7" t="s">
        <v>20</v>
      </c>
      <c r="F1435" s="7">
        <v>2010</v>
      </c>
      <c r="G1435" s="7" t="s">
        <v>17</v>
      </c>
      <c r="H1435" s="7" t="s">
        <v>85</v>
      </c>
      <c r="I1435" s="7" t="s">
        <v>645</v>
      </c>
      <c r="J1435" s="99" t="s">
        <v>3455</v>
      </c>
    </row>
    <row r="1436" spans="1:10" ht="28.9" customHeight="1" thickTop="1" thickBot="1" x14ac:dyDescent="0.65">
      <c r="A1436" s="7">
        <v>1434</v>
      </c>
      <c r="B1436" s="48" t="str">
        <f>HYPERLINK("https://search.naver.com/search.naver?query=브레이킹 배드 시즌4", "브레이킹 배드 시즌4")</f>
        <v>브레이킹 배드 시즌4</v>
      </c>
      <c r="C1436" s="49"/>
      <c r="D1436" s="8" t="s">
        <v>1598</v>
      </c>
      <c r="E1436" s="7" t="s">
        <v>20</v>
      </c>
      <c r="F1436" s="7">
        <v>2011</v>
      </c>
      <c r="G1436" s="7" t="s">
        <v>17</v>
      </c>
      <c r="H1436" s="7" t="s">
        <v>85</v>
      </c>
      <c r="I1436" s="7" t="s">
        <v>645</v>
      </c>
      <c r="J1436" s="99" t="s">
        <v>3454</v>
      </c>
    </row>
    <row r="1437" spans="1:10" ht="28.9" customHeight="1" thickTop="1" thickBot="1" x14ac:dyDescent="0.65">
      <c r="A1437" s="7">
        <v>1435</v>
      </c>
      <c r="B1437" s="48" t="str">
        <f>HYPERLINK("https://search.naver.com/search.naver?query=브레이킹 배드 시즌5", "브레이킹 배드 시즌5")</f>
        <v>브레이킹 배드 시즌5</v>
      </c>
      <c r="C1437" s="49"/>
      <c r="D1437" s="8" t="s">
        <v>1598</v>
      </c>
      <c r="E1437" s="7" t="s">
        <v>20</v>
      </c>
      <c r="F1437" s="7">
        <v>2012</v>
      </c>
      <c r="G1437" s="7" t="s">
        <v>17</v>
      </c>
      <c r="H1437" s="7" t="s">
        <v>85</v>
      </c>
      <c r="I1437" s="7" t="s">
        <v>491</v>
      </c>
      <c r="J1437" s="99" t="s">
        <v>3439</v>
      </c>
    </row>
    <row r="1438" spans="1:10" ht="28.9" customHeight="1" thickTop="1" thickBot="1" x14ac:dyDescent="0.65">
      <c r="A1438" s="3">
        <v>1436</v>
      </c>
      <c r="B1438" s="44" t="str">
        <f>HYPERLINK("https://search.naver.com/search.naver?query=브레이킹 앤 엔터링 영화", "브레이킹 앤 엔터링")</f>
        <v>브레이킹 앤 엔터링</v>
      </c>
      <c r="C1438" s="45"/>
      <c r="D1438" s="4" t="s">
        <v>1599</v>
      </c>
      <c r="E1438" s="3" t="s">
        <v>24</v>
      </c>
      <c r="F1438" s="3">
        <v>2006</v>
      </c>
      <c r="G1438" s="3" t="s">
        <v>12</v>
      </c>
      <c r="H1438" s="3" t="s">
        <v>17</v>
      </c>
      <c r="I1438" s="3" t="s">
        <v>86</v>
      </c>
      <c r="J1438" s="97" t="s">
        <v>3460</v>
      </c>
    </row>
    <row r="1439" spans="1:10" ht="28.9" customHeight="1" thickTop="1" thickBot="1" x14ac:dyDescent="0.65">
      <c r="A1439" s="5">
        <v>1437</v>
      </c>
      <c r="B1439" s="46" t="str">
        <f>HYPERLINK("https://search.naver.com/search.naver?query=브렉시트 치열한 전쟁 영화", "브렉시트-치열한 전쟁")</f>
        <v>브렉시트-치열한 전쟁</v>
      </c>
      <c r="C1439" s="47">
        <v>6.4</v>
      </c>
      <c r="D1439" s="6" t="s">
        <v>1600</v>
      </c>
      <c r="E1439" s="5" t="s">
        <v>24</v>
      </c>
      <c r="F1439" s="5">
        <v>2019</v>
      </c>
      <c r="G1439" s="5" t="s">
        <v>12</v>
      </c>
      <c r="H1439" s="5" t="s">
        <v>17</v>
      </c>
      <c r="I1439" s="5" t="s">
        <v>147</v>
      </c>
      <c r="J1439" s="98" t="s">
        <v>3444</v>
      </c>
    </row>
    <row r="1440" spans="1:10" ht="28.9" customHeight="1" thickTop="1" thickBot="1" x14ac:dyDescent="0.65">
      <c r="A1440" s="3">
        <v>1438</v>
      </c>
      <c r="B1440" s="44" t="str">
        <f>HYPERLINK("https://search.naver.com/search.naver?query=브로커 영화", "브로커")</f>
        <v>브로커</v>
      </c>
      <c r="C1440" s="45">
        <v>6.53</v>
      </c>
      <c r="D1440" s="4" t="s">
        <v>1601</v>
      </c>
      <c r="E1440" s="3" t="s">
        <v>11</v>
      </c>
      <c r="F1440" s="3">
        <v>2022</v>
      </c>
      <c r="G1440" s="3" t="s">
        <v>12</v>
      </c>
      <c r="H1440" s="3" t="s">
        <v>17</v>
      </c>
      <c r="I1440" s="3" t="s">
        <v>64</v>
      </c>
      <c r="J1440" s="97" t="s">
        <v>3445</v>
      </c>
    </row>
    <row r="1441" spans="1:10" ht="28.9" customHeight="1" thickTop="1" thickBot="1" x14ac:dyDescent="0.65">
      <c r="A1441" s="5">
        <v>1439</v>
      </c>
      <c r="B1441" s="46" t="str">
        <f>HYPERLINK("https://search.naver.com/search.naver?query=브로큰 영화", "브로큰")</f>
        <v>브로큰</v>
      </c>
      <c r="C1441" s="47">
        <v>5.39</v>
      </c>
      <c r="D1441" s="6" t="s">
        <v>1602</v>
      </c>
      <c r="E1441" s="5" t="s">
        <v>20</v>
      </c>
      <c r="F1441" s="5">
        <v>2025</v>
      </c>
      <c r="G1441" s="5" t="s">
        <v>12</v>
      </c>
      <c r="H1441" s="5" t="s">
        <v>43</v>
      </c>
      <c r="I1441" s="5" t="s">
        <v>111</v>
      </c>
      <c r="J1441" s="98" t="s">
        <v>3459</v>
      </c>
    </row>
    <row r="1442" spans="1:10" ht="28.9" customHeight="1" thickTop="1" thickBot="1" x14ac:dyDescent="0.65">
      <c r="A1442" s="3">
        <v>1440</v>
      </c>
      <c r="B1442" s="44" t="str">
        <f>HYPERLINK("https://search.naver.com/search.naver?query=브로큰 플라워 영화", "브로큰 플라워")</f>
        <v>브로큰 플라워</v>
      </c>
      <c r="C1442" s="45">
        <v>7.81</v>
      </c>
      <c r="D1442" s="4" t="s">
        <v>1603</v>
      </c>
      <c r="E1442" s="3" t="s">
        <v>20</v>
      </c>
      <c r="F1442" s="3">
        <v>2005</v>
      </c>
      <c r="G1442" s="3" t="s">
        <v>12</v>
      </c>
      <c r="H1442" s="3" t="s">
        <v>68</v>
      </c>
      <c r="I1442" s="3" t="s">
        <v>286</v>
      </c>
      <c r="J1442" s="97" t="s">
        <v>3461</v>
      </c>
    </row>
    <row r="1443" spans="1:10" ht="28.9" customHeight="1" thickTop="1" thickBot="1" x14ac:dyDescent="0.65">
      <c r="A1443" s="5">
        <v>1441</v>
      </c>
      <c r="B1443" s="46" t="str">
        <f>HYPERLINK("https://search.naver.com/search.naver?query=브루스 올마이티 영화", "브루스 올마이티")</f>
        <v>브루스 올마이티</v>
      </c>
      <c r="C1443" s="47">
        <v>9.07</v>
      </c>
      <c r="D1443" s="6" t="s">
        <v>1604</v>
      </c>
      <c r="E1443" s="5" t="s">
        <v>20</v>
      </c>
      <c r="F1443" s="5">
        <v>2003</v>
      </c>
      <c r="G1443" s="5" t="s">
        <v>12</v>
      </c>
      <c r="H1443" s="5" t="s">
        <v>68</v>
      </c>
      <c r="I1443" s="5" t="s">
        <v>70</v>
      </c>
      <c r="J1443" s="98" t="s">
        <v>3449</v>
      </c>
    </row>
    <row r="1444" spans="1:10" ht="28.9" customHeight="1" thickTop="1" thickBot="1" x14ac:dyDescent="0.65">
      <c r="A1444" s="3">
        <v>1442</v>
      </c>
      <c r="B1444" s="44" t="str">
        <f>HYPERLINK("https://search.naver.com/search.naver?query=브루클린 영화", "브루클린")</f>
        <v>브루클린</v>
      </c>
      <c r="C1444" s="45">
        <v>8.42</v>
      </c>
      <c r="D1444" s="4" t="s">
        <v>1605</v>
      </c>
      <c r="E1444" s="3" t="s">
        <v>558</v>
      </c>
      <c r="F1444" s="3">
        <v>2015</v>
      </c>
      <c r="G1444" s="3" t="s">
        <v>12</v>
      </c>
      <c r="H1444" s="3" t="s">
        <v>17</v>
      </c>
      <c r="I1444" s="3" t="s">
        <v>102</v>
      </c>
      <c r="J1444" s="97" t="s">
        <v>3440</v>
      </c>
    </row>
    <row r="1445" spans="1:10" ht="28.9" customHeight="1" thickTop="1" thickBot="1" x14ac:dyDescent="0.65">
      <c r="A1445" s="5">
        <v>1443</v>
      </c>
      <c r="B1445" s="46" t="str">
        <f>HYPERLINK("https://search.naver.com/search.naver?query=브루클린의 멋진 주말 영화", "브루클린의 멋진 주말")</f>
        <v>브루클린의 멋진 주말</v>
      </c>
      <c r="C1445" s="47">
        <v>8.52</v>
      </c>
      <c r="D1445" s="6" t="s">
        <v>1606</v>
      </c>
      <c r="E1445" s="5" t="s">
        <v>20</v>
      </c>
      <c r="F1445" s="5">
        <v>2014</v>
      </c>
      <c r="G1445" s="5" t="s">
        <v>12</v>
      </c>
      <c r="H1445" s="5" t="s">
        <v>68</v>
      </c>
      <c r="I1445" s="5" t="s">
        <v>111</v>
      </c>
      <c r="J1445" s="98" t="s">
        <v>3437</v>
      </c>
    </row>
    <row r="1446" spans="1:10" ht="28.9" customHeight="1" thickTop="1" thickBot="1" x14ac:dyDescent="0.65">
      <c r="A1446" s="3">
        <v>1444</v>
      </c>
      <c r="B1446" s="44" t="str">
        <f>HYPERLINK("https://search.naver.com/search.naver?query=브룩클린스 파이니스트 영화", "브룩클린스 파이니스트")</f>
        <v>브룩클린스 파이니스트</v>
      </c>
      <c r="C1446" s="45">
        <v>7.89</v>
      </c>
      <c r="D1446" s="4" t="s">
        <v>1607</v>
      </c>
      <c r="E1446" s="3" t="s">
        <v>20</v>
      </c>
      <c r="F1446" s="3">
        <v>2009</v>
      </c>
      <c r="G1446" s="3" t="s">
        <v>12</v>
      </c>
      <c r="H1446" s="3" t="s">
        <v>277</v>
      </c>
      <c r="I1446" s="3" t="s">
        <v>350</v>
      </c>
      <c r="J1446" s="97" t="s">
        <v>3453</v>
      </c>
    </row>
    <row r="1447" spans="1:10" ht="28.9" customHeight="1" thickTop="1" thickBot="1" x14ac:dyDescent="0.65">
      <c r="A1447" s="5">
        <v>1445</v>
      </c>
      <c r="B1447" s="46" t="str">
        <f>HYPERLINK("https://search.naver.com/search.naver?query=브룩클린으로 가는 마지막 비상구 영화", "브룩클린으로 가는 마지막 비상구")</f>
        <v>브룩클린으로 가는 마지막 비상구</v>
      </c>
      <c r="C1447" s="47">
        <v>8.66</v>
      </c>
      <c r="D1447" s="6" t="s">
        <v>1608</v>
      </c>
      <c r="E1447" s="5" t="s">
        <v>20</v>
      </c>
      <c r="F1447" s="5">
        <v>1989</v>
      </c>
      <c r="G1447" s="5" t="s">
        <v>12</v>
      </c>
      <c r="H1447" s="5" t="s">
        <v>17</v>
      </c>
      <c r="I1447" s="5" t="s">
        <v>99</v>
      </c>
      <c r="J1447" s="98" t="s">
        <v>3477</v>
      </c>
    </row>
    <row r="1448" spans="1:10" ht="28.9" customHeight="1" thickTop="1" thickBot="1" x14ac:dyDescent="0.65">
      <c r="A1448" s="3">
        <v>1446</v>
      </c>
      <c r="B1448" s="44" t="str">
        <f>HYPERLINK("https://search.naver.com/search.naver?query=브리짓 존스의 베이비 영화", "브리짓 존스의 베이비")</f>
        <v>브리짓 존스의 베이비</v>
      </c>
      <c r="C1448" s="45">
        <v>9.1</v>
      </c>
      <c r="D1448" s="4" t="s">
        <v>1609</v>
      </c>
      <c r="E1448" s="3" t="s">
        <v>24</v>
      </c>
      <c r="F1448" s="3">
        <v>2016</v>
      </c>
      <c r="G1448" s="3" t="s">
        <v>12</v>
      </c>
      <c r="H1448" s="3" t="s">
        <v>68</v>
      </c>
      <c r="I1448" s="3" t="s">
        <v>221</v>
      </c>
      <c r="J1448" s="97" t="s">
        <v>3441</v>
      </c>
    </row>
    <row r="1449" spans="1:10" ht="28.9" customHeight="1" thickTop="1" thickBot="1" x14ac:dyDescent="0.65">
      <c r="A1449" s="5">
        <v>1447</v>
      </c>
      <c r="B1449" s="46" t="str">
        <f>HYPERLINK("https://search.naver.com/search.naver?query=브리치 영화", "브리치")</f>
        <v>브리치</v>
      </c>
      <c r="C1449" s="47">
        <v>6.92</v>
      </c>
      <c r="D1449" s="6" t="s">
        <v>1610</v>
      </c>
      <c r="E1449" s="5" t="s">
        <v>20</v>
      </c>
      <c r="F1449" s="5">
        <v>2007</v>
      </c>
      <c r="G1449" s="5" t="s">
        <v>12</v>
      </c>
      <c r="H1449" s="5" t="s">
        <v>43</v>
      </c>
      <c r="I1449" s="5" t="s">
        <v>96</v>
      </c>
      <c r="J1449" s="98" t="s">
        <v>3447</v>
      </c>
    </row>
    <row r="1450" spans="1:10" ht="28.9" customHeight="1" thickTop="1" thickBot="1" x14ac:dyDescent="0.65">
      <c r="A1450" s="3">
        <v>1448</v>
      </c>
      <c r="B1450" s="44" t="str">
        <f>HYPERLINK("https://search.naver.com/search.naver?query=브릭 영화", "브릭")</f>
        <v>브릭</v>
      </c>
      <c r="C1450" s="45">
        <v>3.84</v>
      </c>
      <c r="D1450" s="4" t="s">
        <v>1611</v>
      </c>
      <c r="E1450" s="3" t="s">
        <v>20</v>
      </c>
      <c r="F1450" s="3">
        <v>2005</v>
      </c>
      <c r="G1450" s="3" t="s">
        <v>12</v>
      </c>
      <c r="H1450" s="3" t="s">
        <v>141</v>
      </c>
      <c r="I1450" s="3" t="s">
        <v>96</v>
      </c>
      <c r="J1450" s="97" t="s">
        <v>3461</v>
      </c>
    </row>
    <row r="1451" spans="1:10" ht="28.9" customHeight="1" thickTop="1" thickBot="1" x14ac:dyDescent="0.65">
      <c r="A1451" s="5">
        <v>1449</v>
      </c>
      <c r="B1451" s="46" t="str">
        <f>HYPERLINK("https://search.naver.com/search.naver?query=브이 포 벤데타 영화", "브이 포 벤데타")</f>
        <v>브이 포 벤데타</v>
      </c>
      <c r="C1451" s="47">
        <v>8.5399999999999991</v>
      </c>
      <c r="D1451" s="6" t="s">
        <v>1612</v>
      </c>
      <c r="E1451" s="5" t="s">
        <v>20</v>
      </c>
      <c r="F1451" s="5">
        <v>2005</v>
      </c>
      <c r="G1451" s="5" t="s">
        <v>12</v>
      </c>
      <c r="H1451" s="5" t="s">
        <v>92</v>
      </c>
      <c r="I1451" s="5" t="s">
        <v>350</v>
      </c>
      <c r="J1451" s="98" t="s">
        <v>3461</v>
      </c>
    </row>
    <row r="1452" spans="1:10" ht="28.9" customHeight="1" thickTop="1" thickBot="1" x14ac:dyDescent="0.65">
      <c r="A1452" s="3">
        <v>1450</v>
      </c>
      <c r="B1452" s="83" t="str">
        <f>HYPERLINK("https://namu.wiki/w/%EB%B8%94%EB%9D%BC%EC%9D%B8%EB%93%9C(2007%EB%85%84%20%EC%98%81%ED%99%94)", "블라인드")</f>
        <v>블라인드</v>
      </c>
      <c r="C1452" s="45">
        <v>4.16</v>
      </c>
      <c r="D1452" s="4" t="s">
        <v>1613</v>
      </c>
      <c r="E1452" s="3" t="s">
        <v>853</v>
      </c>
      <c r="F1452" s="3">
        <v>2007</v>
      </c>
      <c r="G1452" s="3" t="s">
        <v>12</v>
      </c>
      <c r="H1452" s="3" t="s">
        <v>1614</v>
      </c>
      <c r="I1452" s="3" t="s">
        <v>190</v>
      </c>
      <c r="J1452" s="97" t="s">
        <v>3447</v>
      </c>
    </row>
    <row r="1453" spans="1:10" ht="28.9" customHeight="1" thickTop="1" thickBot="1" x14ac:dyDescent="0.65">
      <c r="A1453" s="5">
        <v>1451</v>
      </c>
      <c r="B1453" s="82" t="str">
        <f>HYPERLINK("https://search.naver.com/search.naver?query=블라인드 마운틴 영화", "블라인드 마운틴")</f>
        <v>블라인드 마운틴</v>
      </c>
      <c r="C1453" s="47">
        <v>8.64</v>
      </c>
      <c r="D1453" s="6" t="s">
        <v>1615</v>
      </c>
      <c r="E1453" s="5" t="s">
        <v>136</v>
      </c>
      <c r="F1453" s="5">
        <v>2007</v>
      </c>
      <c r="G1453" s="5" t="s">
        <v>12</v>
      </c>
      <c r="H1453" s="5" t="s">
        <v>17</v>
      </c>
      <c r="I1453" s="5" t="s">
        <v>111</v>
      </c>
      <c r="J1453" s="98" t="s">
        <v>3447</v>
      </c>
    </row>
    <row r="1454" spans="1:10" ht="28.9" customHeight="1" thickTop="1" thickBot="1" x14ac:dyDescent="0.65">
      <c r="A1454" s="3">
        <v>1452</v>
      </c>
      <c r="B1454" s="83" t="str">
        <f>HYPERLINK("https://search.naver.com/search.naver?query=블라인드 맨 영화", "블라인드 맨")</f>
        <v>블라인드 맨</v>
      </c>
      <c r="C1454" s="45">
        <v>6.4</v>
      </c>
      <c r="D1454" s="4" t="s">
        <v>1616</v>
      </c>
      <c r="E1454" s="3" t="s">
        <v>20</v>
      </c>
      <c r="F1454" s="3">
        <v>2012</v>
      </c>
      <c r="G1454" s="3" t="s">
        <v>12</v>
      </c>
      <c r="H1454" s="3" t="s">
        <v>17</v>
      </c>
      <c r="I1454" s="3" t="s">
        <v>128</v>
      </c>
      <c r="J1454" s="97" t="s">
        <v>3439</v>
      </c>
    </row>
    <row r="1455" spans="1:10" ht="28.9" customHeight="1" thickTop="1" thickBot="1" x14ac:dyDescent="0.65">
      <c r="A1455" s="5">
        <v>1453</v>
      </c>
      <c r="B1455" s="82" t="str">
        <f>HYPERLINK("https://search.naver.com/search.naver?query=블라인드 사이드 영화", "블라인드 사이드")</f>
        <v>블라인드 사이드</v>
      </c>
      <c r="C1455" s="47">
        <v>9.33</v>
      </c>
      <c r="D1455" s="6" t="s">
        <v>1617</v>
      </c>
      <c r="E1455" s="5" t="s">
        <v>20</v>
      </c>
      <c r="F1455" s="5">
        <v>2009</v>
      </c>
      <c r="G1455" s="5" t="s">
        <v>12</v>
      </c>
      <c r="H1455" s="5" t="s">
        <v>17</v>
      </c>
      <c r="I1455" s="5" t="s">
        <v>64</v>
      </c>
      <c r="J1455" s="98" t="s">
        <v>3453</v>
      </c>
    </row>
    <row r="1456" spans="1:10" ht="28.9" customHeight="1" thickTop="1" thickBot="1" x14ac:dyDescent="0.65">
      <c r="A1456" s="7">
        <v>1454</v>
      </c>
      <c r="B1456" s="84" t="str">
        <f>HYPERLINK("https://search.naver.com/search.naver?query=블라인드 스팟 시즌1", "블라인드 스팟 시즌1")</f>
        <v>블라인드 스팟 시즌1</v>
      </c>
      <c r="C1456" s="49"/>
      <c r="D1456" s="8" t="s">
        <v>1618</v>
      </c>
      <c r="E1456" s="7" t="s">
        <v>20</v>
      </c>
      <c r="F1456" s="7">
        <v>2015</v>
      </c>
      <c r="G1456" s="7" t="s">
        <v>17</v>
      </c>
      <c r="H1456" s="7" t="s">
        <v>85</v>
      </c>
      <c r="I1456" s="7" t="s">
        <v>355</v>
      </c>
      <c r="J1456" s="99" t="s">
        <v>3440</v>
      </c>
    </row>
    <row r="1457" spans="1:10" ht="28.9" customHeight="1" thickTop="1" thickBot="1" x14ac:dyDescent="0.65">
      <c r="A1457" s="7">
        <v>1455</v>
      </c>
      <c r="B1457" s="84" t="str">
        <f>HYPERLINK("https://search.naver.com/search.naver?query=블라인드 스팟 시즌2", "블라인드 스팟 시즌2")</f>
        <v>블라인드 스팟 시즌2</v>
      </c>
      <c r="C1457" s="49"/>
      <c r="D1457" s="8" t="s">
        <v>1618</v>
      </c>
      <c r="E1457" s="7" t="s">
        <v>20</v>
      </c>
      <c r="F1457" s="7">
        <v>2016</v>
      </c>
      <c r="G1457" s="7" t="s">
        <v>17</v>
      </c>
      <c r="H1457" s="7" t="s">
        <v>85</v>
      </c>
      <c r="I1457" s="7" t="s">
        <v>356</v>
      </c>
      <c r="J1457" s="99" t="s">
        <v>3441</v>
      </c>
    </row>
    <row r="1458" spans="1:10" ht="28.9" customHeight="1" thickTop="1" thickBot="1" x14ac:dyDescent="0.65">
      <c r="A1458" s="7">
        <v>1456</v>
      </c>
      <c r="B1458" s="84" t="str">
        <f>HYPERLINK("https://search.naver.com/search.naver?query=블라인드 스팟 시즌3", "블라인드 스팟 시즌3")</f>
        <v>블라인드 스팟 시즌3</v>
      </c>
      <c r="C1458" s="49"/>
      <c r="D1458" s="8" t="s">
        <v>1618</v>
      </c>
      <c r="E1458" s="7" t="s">
        <v>20</v>
      </c>
      <c r="F1458" s="7">
        <v>2017</v>
      </c>
      <c r="G1458" s="7" t="s">
        <v>17</v>
      </c>
      <c r="H1458" s="7" t="s">
        <v>85</v>
      </c>
      <c r="I1458" s="7" t="s">
        <v>356</v>
      </c>
      <c r="J1458" s="99" t="s">
        <v>3443</v>
      </c>
    </row>
    <row r="1459" spans="1:10" ht="28.9" customHeight="1" thickTop="1" thickBot="1" x14ac:dyDescent="0.65">
      <c r="A1459" s="7">
        <v>1457</v>
      </c>
      <c r="B1459" s="84" t="str">
        <f>HYPERLINK("https://search.naver.com/search.naver?query=블라인드 스팟 시즌4", "블라인드 스팟 시즌4")</f>
        <v>블라인드 스팟 시즌4</v>
      </c>
      <c r="C1459" s="49"/>
      <c r="D1459" s="8" t="s">
        <v>1618</v>
      </c>
      <c r="E1459" s="7" t="s">
        <v>20</v>
      </c>
      <c r="F1459" s="7">
        <v>2018</v>
      </c>
      <c r="G1459" s="7" t="s">
        <v>17</v>
      </c>
      <c r="H1459" s="7" t="s">
        <v>85</v>
      </c>
      <c r="I1459" s="7" t="s">
        <v>1619</v>
      </c>
      <c r="J1459" s="99" t="s">
        <v>3442</v>
      </c>
    </row>
    <row r="1460" spans="1:10" ht="28.9" customHeight="1" thickTop="1" thickBot="1" x14ac:dyDescent="0.65">
      <c r="A1460" s="7">
        <v>1458</v>
      </c>
      <c r="B1460" s="84" t="str">
        <f>HYPERLINK("https://search.naver.com/search.naver?query=블라인드 스팟 시즌5", "블라인드 스팟 시즌5")</f>
        <v>블라인드 스팟 시즌5</v>
      </c>
      <c r="C1460" s="49"/>
      <c r="D1460" s="8" t="s">
        <v>1618</v>
      </c>
      <c r="E1460" s="7" t="s">
        <v>20</v>
      </c>
      <c r="F1460" s="7">
        <v>2020</v>
      </c>
      <c r="G1460" s="7" t="s">
        <v>17</v>
      </c>
      <c r="H1460" s="7" t="s">
        <v>85</v>
      </c>
      <c r="I1460" s="7" t="s">
        <v>527</v>
      </c>
      <c r="J1460" s="99" t="s">
        <v>3436</v>
      </c>
    </row>
    <row r="1461" spans="1:10" ht="28.9" customHeight="1" thickTop="1" thickBot="1" x14ac:dyDescent="0.65">
      <c r="A1461" s="5">
        <v>1459</v>
      </c>
      <c r="B1461" s="82" t="str">
        <f>HYPERLINK("https://search.naver.com/search.naver?query=블랙 영화", "블랙")</f>
        <v>블랙</v>
      </c>
      <c r="C1461" s="47">
        <v>9.42</v>
      </c>
      <c r="D1461" s="6" t="s">
        <v>1620</v>
      </c>
      <c r="E1461" s="5" t="s">
        <v>20</v>
      </c>
      <c r="F1461" s="5">
        <v>2005</v>
      </c>
      <c r="G1461" s="5" t="s">
        <v>12</v>
      </c>
      <c r="H1461" s="5" t="s">
        <v>17</v>
      </c>
      <c r="I1461" s="5" t="s">
        <v>111</v>
      </c>
      <c r="J1461" s="98" t="s">
        <v>3461</v>
      </c>
    </row>
    <row r="1462" spans="1:10" ht="28.9" customHeight="1" thickTop="1" thickBot="1" x14ac:dyDescent="0.65">
      <c r="A1462" s="3">
        <v>1460</v>
      </c>
      <c r="B1462" s="83" t="str">
        <f>HYPERLINK("https://search.naver.com/search.naver?query=블랙 골드 영화", "블랙 골드")</f>
        <v>블랙 골드</v>
      </c>
      <c r="C1462" s="45">
        <v>6.4</v>
      </c>
      <c r="D1462" s="4" t="s">
        <v>1621</v>
      </c>
      <c r="E1462" s="3" t="s">
        <v>20</v>
      </c>
      <c r="F1462" s="3">
        <v>2011</v>
      </c>
      <c r="G1462" s="3" t="s">
        <v>12</v>
      </c>
      <c r="H1462" s="3" t="s">
        <v>17</v>
      </c>
      <c r="I1462" s="3" t="s">
        <v>111</v>
      </c>
      <c r="J1462" s="97" t="s">
        <v>3454</v>
      </c>
    </row>
    <row r="1463" spans="1:10" ht="28.9" customHeight="1" thickTop="1" thickBot="1" x14ac:dyDescent="0.65">
      <c r="A1463" s="7">
        <v>1461</v>
      </c>
      <c r="B1463" s="84" t="str">
        <f>HYPERLINK("https://search.naver.com/search.naver?query=블랙 도브 드라마", "블랙 도브 시즌1")</f>
        <v>블랙 도브 시즌1</v>
      </c>
      <c r="C1463" s="49"/>
      <c r="D1463" s="8" t="s">
        <v>1622</v>
      </c>
      <c r="E1463" s="7" t="s">
        <v>24</v>
      </c>
      <c r="F1463" s="7">
        <v>2024</v>
      </c>
      <c r="G1463" s="7" t="s">
        <v>17</v>
      </c>
      <c r="H1463" s="7" t="s">
        <v>13</v>
      </c>
      <c r="I1463" s="7" t="s">
        <v>173</v>
      </c>
      <c r="J1463" s="99" t="s">
        <v>3448</v>
      </c>
    </row>
    <row r="1464" spans="1:10" ht="28.9" customHeight="1" thickTop="1" thickBot="1" x14ac:dyDescent="0.65">
      <c r="A1464" s="3">
        <v>1462</v>
      </c>
      <c r="B1464" s="83" t="str">
        <f>HYPERLINK("https://search.naver.com/search.naver?query=블랙 매스 영화", "블랙 매스")</f>
        <v>블랙 매스</v>
      </c>
      <c r="C1464" s="45">
        <v>6.4</v>
      </c>
      <c r="D1464" s="4" t="s">
        <v>1623</v>
      </c>
      <c r="E1464" s="3" t="s">
        <v>20</v>
      </c>
      <c r="F1464" s="3">
        <v>2015</v>
      </c>
      <c r="G1464" s="3" t="s">
        <v>12</v>
      </c>
      <c r="H1464" s="3" t="s">
        <v>277</v>
      </c>
      <c r="I1464" s="3" t="s">
        <v>105</v>
      </c>
      <c r="J1464" s="97" t="s">
        <v>3440</v>
      </c>
    </row>
    <row r="1465" spans="1:10" ht="28.9" customHeight="1" thickTop="1" thickBot="1" x14ac:dyDescent="0.65">
      <c r="A1465" s="7">
        <v>1463</v>
      </c>
      <c r="B1465" s="84" t="str">
        <f>HYPERLINK("https://search.naver.com/search.naver?query=블랙 미러 시즌1", "블랙 미러 시즌1")</f>
        <v>블랙 미러 시즌1</v>
      </c>
      <c r="C1465" s="49"/>
      <c r="D1465" s="8" t="s">
        <v>1624</v>
      </c>
      <c r="E1465" s="7" t="s">
        <v>24</v>
      </c>
      <c r="F1465" s="7">
        <v>2011</v>
      </c>
      <c r="G1465" s="7" t="s">
        <v>17</v>
      </c>
      <c r="H1465" s="7" t="s">
        <v>328</v>
      </c>
      <c r="I1465" s="7" t="s">
        <v>1625</v>
      </c>
      <c r="J1465" s="99" t="s">
        <v>3454</v>
      </c>
    </row>
    <row r="1466" spans="1:10" ht="28.9" customHeight="1" thickTop="1" thickBot="1" x14ac:dyDescent="0.65">
      <c r="A1466" s="7">
        <v>1464</v>
      </c>
      <c r="B1466" s="84" t="str">
        <f>HYPERLINK("https://search.naver.com/search.naver?query=블랙 미러 시즌2", "블랙 미러 시즌2")</f>
        <v>블랙 미러 시즌2</v>
      </c>
      <c r="C1466" s="49"/>
      <c r="D1466" s="8" t="s">
        <v>1624</v>
      </c>
      <c r="E1466" s="7" t="s">
        <v>24</v>
      </c>
      <c r="F1466" s="7">
        <v>2013</v>
      </c>
      <c r="G1466" s="7" t="s">
        <v>17</v>
      </c>
      <c r="H1466" s="7" t="s">
        <v>328</v>
      </c>
      <c r="I1466" s="7" t="s">
        <v>1625</v>
      </c>
      <c r="J1466" s="99" t="s">
        <v>3451</v>
      </c>
    </row>
    <row r="1467" spans="1:10" ht="28.9" customHeight="1" thickTop="1" thickBot="1" x14ac:dyDescent="0.65">
      <c r="A1467" s="7">
        <v>1465</v>
      </c>
      <c r="B1467" s="84" t="str">
        <f>HYPERLINK("https://search.naver.com/search.naver?query=블랙 미러 시즌4", "블랙 미러 시즌4")</f>
        <v>블랙 미러 시즌4</v>
      </c>
      <c r="C1467" s="49"/>
      <c r="D1467" s="8" t="s">
        <v>1624</v>
      </c>
      <c r="E1467" s="7" t="s">
        <v>24</v>
      </c>
      <c r="F1467" s="7">
        <v>2017</v>
      </c>
      <c r="G1467" s="7" t="s">
        <v>17</v>
      </c>
      <c r="H1467" s="7" t="s">
        <v>328</v>
      </c>
      <c r="I1467" s="7" t="s">
        <v>173</v>
      </c>
      <c r="J1467" s="99" t="s">
        <v>3443</v>
      </c>
    </row>
    <row r="1468" spans="1:10" ht="28.9" customHeight="1" thickTop="1" thickBot="1" x14ac:dyDescent="0.65">
      <c r="A1468" s="7">
        <v>1466</v>
      </c>
      <c r="B1468" s="84" t="str">
        <f>HYPERLINK("https://search.naver.com/search.naver?query=블랙 미러 시즌5", "블랙 미러 시즌5")</f>
        <v>블랙 미러 시즌5</v>
      </c>
      <c r="C1468" s="49"/>
      <c r="D1468" s="8" t="s">
        <v>1624</v>
      </c>
      <c r="E1468" s="7" t="s">
        <v>24</v>
      </c>
      <c r="F1468" s="7">
        <v>2019</v>
      </c>
      <c r="G1468" s="7" t="s">
        <v>17</v>
      </c>
      <c r="H1468" s="7" t="s">
        <v>328</v>
      </c>
      <c r="I1468" s="7" t="s">
        <v>1625</v>
      </c>
      <c r="J1468" s="99" t="s">
        <v>3444</v>
      </c>
    </row>
    <row r="1469" spans="1:10" ht="28.9" customHeight="1" thickTop="1" thickBot="1" x14ac:dyDescent="0.65">
      <c r="A1469" s="7">
        <v>1467</v>
      </c>
      <c r="B1469" s="84" t="str">
        <f>HYPERLINK("https://search.naver.com/search.naver?query=블랙 미러 시즌6", "블랙 미러 시즌6")</f>
        <v>블랙 미러 시즌6</v>
      </c>
      <c r="C1469" s="49"/>
      <c r="D1469" s="8" t="s">
        <v>1624</v>
      </c>
      <c r="E1469" s="7" t="s">
        <v>24</v>
      </c>
      <c r="F1469" s="7">
        <v>2023</v>
      </c>
      <c r="G1469" s="7" t="s">
        <v>17</v>
      </c>
      <c r="H1469" s="7" t="s">
        <v>328</v>
      </c>
      <c r="I1469" s="7" t="s">
        <v>687</v>
      </c>
      <c r="J1469" s="99" t="s">
        <v>3446</v>
      </c>
    </row>
    <row r="1470" spans="1:10" ht="28.9" customHeight="1" thickTop="1" thickBot="1" x14ac:dyDescent="0.65">
      <c r="A1470" s="7">
        <v>1468</v>
      </c>
      <c r="B1470" s="84" t="str">
        <f>HYPERLINK("https://search.naver.com/search.naver?query=블랙 미러 시즌7", "블랙 미러 시즌7")</f>
        <v>블랙 미러 시즌7</v>
      </c>
      <c r="C1470" s="49"/>
      <c r="D1470" s="8" t="s">
        <v>1624</v>
      </c>
      <c r="E1470" s="7" t="s">
        <v>24</v>
      </c>
      <c r="F1470" s="7">
        <v>2025</v>
      </c>
      <c r="G1470" s="7" t="s">
        <v>17</v>
      </c>
      <c r="H1470" s="7" t="s">
        <v>328</v>
      </c>
      <c r="I1470" s="7" t="s">
        <v>173</v>
      </c>
      <c r="J1470" s="99" t="s">
        <v>3459</v>
      </c>
    </row>
    <row r="1471" spans="1:10" ht="28.9" customHeight="1" thickTop="1" thickBot="1" x14ac:dyDescent="0.65">
      <c r="A1471" s="5">
        <v>1469</v>
      </c>
      <c r="B1471" s="82" t="str">
        <f>HYPERLINK("https://search.naver.com/search.naver?query=블랙 백 영화", "블랙 백")</f>
        <v>블랙 백</v>
      </c>
      <c r="C1471" s="47">
        <v>7.18</v>
      </c>
      <c r="D1471" s="6" t="s">
        <v>1626</v>
      </c>
      <c r="E1471" s="5" t="s">
        <v>20</v>
      </c>
      <c r="F1471" s="5">
        <v>2025</v>
      </c>
      <c r="G1471" s="5" t="s">
        <v>12</v>
      </c>
      <c r="H1471" s="5" t="s">
        <v>43</v>
      </c>
      <c r="I1471" s="5" t="s">
        <v>96</v>
      </c>
      <c r="J1471" s="98" t="s">
        <v>3459</v>
      </c>
    </row>
    <row r="1472" spans="1:10" ht="28.9" customHeight="1" thickTop="1" thickBot="1" x14ac:dyDescent="0.65">
      <c r="A1472" s="7">
        <v>1470</v>
      </c>
      <c r="B1472" s="84" t="str">
        <f>HYPERLINK("https://search.naver.com/search.naver?query=블랙 버드", "블랙 버드")</f>
        <v>블랙 버드</v>
      </c>
      <c r="C1472" s="49"/>
      <c r="D1472" s="8" t="s">
        <v>1627</v>
      </c>
      <c r="E1472" s="7" t="s">
        <v>20</v>
      </c>
      <c r="F1472" s="7">
        <v>2022</v>
      </c>
      <c r="G1472" s="7" t="s">
        <v>17</v>
      </c>
      <c r="H1472" s="7" t="s">
        <v>892</v>
      </c>
      <c r="I1472" s="7" t="s">
        <v>173</v>
      </c>
      <c r="J1472" s="99" t="s">
        <v>3445</v>
      </c>
    </row>
    <row r="1473" spans="1:10" ht="28.9" customHeight="1" thickTop="1" thickBot="1" x14ac:dyDescent="0.65">
      <c r="A1473" s="5">
        <v>1471</v>
      </c>
      <c r="B1473" s="82" t="str">
        <f>HYPERLINK("https://search.naver.com/search.naver?query=블랙 뷰티 영화", "블랙 뷰티")</f>
        <v>블랙 뷰티</v>
      </c>
      <c r="C1473" s="47">
        <v>6.4</v>
      </c>
      <c r="D1473" s="6" t="s">
        <v>1628</v>
      </c>
      <c r="E1473" s="5" t="s">
        <v>20</v>
      </c>
      <c r="F1473" s="5">
        <v>2020</v>
      </c>
      <c r="G1473" s="5" t="s">
        <v>12</v>
      </c>
      <c r="H1473" s="5" t="s">
        <v>17</v>
      </c>
      <c r="I1473" s="5" t="s">
        <v>96</v>
      </c>
      <c r="J1473" s="98" t="s">
        <v>3436</v>
      </c>
    </row>
    <row r="1474" spans="1:10" ht="28.9" customHeight="1" thickTop="1" thickBot="1" x14ac:dyDescent="0.65">
      <c r="A1474" s="3">
        <v>1472</v>
      </c>
      <c r="B1474" s="83" t="str">
        <f>HYPERLINK("https://search.naver.com/search.naver?query=블랙 사이트 영화", "블랙 사이트")</f>
        <v>블랙 사이트</v>
      </c>
      <c r="C1474" s="45">
        <v>4.96</v>
      </c>
      <c r="D1474" s="4" t="s">
        <v>1629</v>
      </c>
      <c r="E1474" s="3" t="s">
        <v>20</v>
      </c>
      <c r="F1474" s="3">
        <v>2022</v>
      </c>
      <c r="G1474" s="3" t="s">
        <v>12</v>
      </c>
      <c r="H1474" s="3" t="s">
        <v>92</v>
      </c>
      <c r="I1474" s="3" t="s">
        <v>111</v>
      </c>
      <c r="J1474" s="97" t="s">
        <v>3445</v>
      </c>
    </row>
    <row r="1475" spans="1:10" ht="28.9" customHeight="1" thickTop="1" thickBot="1" x14ac:dyDescent="0.65">
      <c r="A1475" s="5">
        <v>1473</v>
      </c>
      <c r="B1475" s="82" t="str">
        <f>HYPERLINK("https://search.naver.com/search.naver?query=블랙 스완 영화", "블랙 스완")</f>
        <v>블랙 스완</v>
      </c>
      <c r="C1475" s="47">
        <v>8.9600000000000009</v>
      </c>
      <c r="D1475" s="6" t="s">
        <v>1630</v>
      </c>
      <c r="E1475" s="5" t="s">
        <v>20</v>
      </c>
      <c r="F1475" s="5">
        <v>2010</v>
      </c>
      <c r="G1475" s="5" t="s">
        <v>12</v>
      </c>
      <c r="H1475" s="5" t="s">
        <v>17</v>
      </c>
      <c r="I1475" s="5" t="s">
        <v>31</v>
      </c>
      <c r="J1475" s="98" t="s">
        <v>3455</v>
      </c>
    </row>
    <row r="1476" spans="1:10" ht="28.9" customHeight="1" thickTop="1" thickBot="1" x14ac:dyDescent="0.65">
      <c r="A1476" s="3">
        <v>1474</v>
      </c>
      <c r="B1476" s="83" t="str">
        <f>HYPERLINK("https://search.naver.com/search.naver?query=블랙 씨 영화", "블랙 씨")</f>
        <v>블랙 씨</v>
      </c>
      <c r="C1476" s="45"/>
      <c r="D1476" s="4" t="s">
        <v>1631</v>
      </c>
      <c r="E1476" s="3" t="s">
        <v>24</v>
      </c>
      <c r="F1476" s="3">
        <v>2014</v>
      </c>
      <c r="G1476" s="3" t="s">
        <v>12</v>
      </c>
      <c r="H1476" s="3" t="s">
        <v>43</v>
      </c>
      <c r="I1476" s="3" t="s">
        <v>207</v>
      </c>
      <c r="J1476" s="97" t="s">
        <v>3437</v>
      </c>
    </row>
    <row r="1477" spans="1:10" ht="28.9" customHeight="1" thickTop="1" thickBot="1" x14ac:dyDescent="0.65">
      <c r="A1477" s="5">
        <v>1475</v>
      </c>
      <c r="B1477" s="82" t="str">
        <f>HYPERLINK("https://search.naver.com/search.naver?query=블랙 워터 영화", "블랙 워터")</f>
        <v>블랙 워터</v>
      </c>
      <c r="C1477" s="47">
        <v>3.95</v>
      </c>
      <c r="D1477" s="6" t="s">
        <v>1632</v>
      </c>
      <c r="E1477" s="5" t="s">
        <v>20</v>
      </c>
      <c r="F1477" s="5">
        <v>2018</v>
      </c>
      <c r="G1477" s="5" t="s">
        <v>12</v>
      </c>
      <c r="H1477" s="5" t="s">
        <v>92</v>
      </c>
      <c r="I1477" s="5" t="s">
        <v>111</v>
      </c>
      <c r="J1477" s="98" t="s">
        <v>3442</v>
      </c>
    </row>
    <row r="1478" spans="1:10" ht="28.9" customHeight="1" thickTop="1" thickBot="1" x14ac:dyDescent="0.65">
      <c r="A1478" s="3">
        <v>1476</v>
      </c>
      <c r="B1478" s="83" t="str">
        <f>HYPERLINK("https://search.naver.com/search.naver?query=블랙 워터 아비스 영화", "블랙 워터-아비스")</f>
        <v>블랙 워터-아비스</v>
      </c>
      <c r="C1478" s="45">
        <v>3.95</v>
      </c>
      <c r="D1478" s="4" t="s">
        <v>1633</v>
      </c>
      <c r="E1478" s="3" t="s">
        <v>36</v>
      </c>
      <c r="F1478" s="3">
        <v>2020</v>
      </c>
      <c r="G1478" s="3" t="s">
        <v>12</v>
      </c>
      <c r="H1478" s="3" t="s">
        <v>252</v>
      </c>
      <c r="I1478" s="3" t="s">
        <v>14</v>
      </c>
      <c r="J1478" s="97" t="s">
        <v>3436</v>
      </c>
    </row>
    <row r="1479" spans="1:10" ht="28.9" customHeight="1" thickTop="1" thickBot="1" x14ac:dyDescent="0.65">
      <c r="A1479" s="5">
        <v>1477</v>
      </c>
      <c r="B1479" s="82" t="str">
        <f>HYPERLINK("https://search.naver.com/search.naver?query=블랙 위도우 영화", "블랙 위도우")</f>
        <v>블랙 위도우</v>
      </c>
      <c r="C1479" s="47">
        <v>6.4</v>
      </c>
      <c r="D1479" s="6" t="s">
        <v>1634</v>
      </c>
      <c r="E1479" s="5" t="s">
        <v>20</v>
      </c>
      <c r="F1479" s="5">
        <v>2021</v>
      </c>
      <c r="G1479" s="5" t="s">
        <v>12</v>
      </c>
      <c r="H1479" s="5" t="s">
        <v>92</v>
      </c>
      <c r="I1479" s="5" t="s">
        <v>543</v>
      </c>
      <c r="J1479" s="98" t="s">
        <v>3438</v>
      </c>
    </row>
    <row r="1480" spans="1:10" ht="28.9" customHeight="1" thickTop="1" thickBot="1" x14ac:dyDescent="0.65">
      <c r="A1480" s="3">
        <v>1478</v>
      </c>
      <c r="B1480" s="83" t="str">
        <f>HYPERLINK("https://search.naver.com/search.naver?query=블랙 위도우 파이널 챕터 영화", "블랙 위도우-파이널 챕터")</f>
        <v>블랙 위도우-파이널 챕터</v>
      </c>
      <c r="C1480" s="45">
        <v>6.4</v>
      </c>
      <c r="D1480" s="4" t="s">
        <v>1635</v>
      </c>
      <c r="E1480" s="3" t="s">
        <v>20</v>
      </c>
      <c r="F1480" s="3">
        <v>2019</v>
      </c>
      <c r="G1480" s="3" t="s">
        <v>12</v>
      </c>
      <c r="H1480" s="3" t="s">
        <v>92</v>
      </c>
      <c r="I1480" s="3" t="s">
        <v>111</v>
      </c>
      <c r="J1480" s="97" t="s">
        <v>3444</v>
      </c>
    </row>
    <row r="1481" spans="1:10" ht="28.9" customHeight="1" thickTop="1" thickBot="1" x14ac:dyDescent="0.65">
      <c r="A1481" s="5">
        <v>1479</v>
      </c>
      <c r="B1481" s="82" t="str">
        <f>HYPERLINK("https://search.naver.com/search.naver?query=블랙 크랩 영화", "블랙 크랩")</f>
        <v>블랙 크랩</v>
      </c>
      <c r="C1481" s="47">
        <v>5.03</v>
      </c>
      <c r="D1481" s="6" t="s">
        <v>1636</v>
      </c>
      <c r="E1481" s="5" t="s">
        <v>611</v>
      </c>
      <c r="F1481" s="5">
        <v>2022</v>
      </c>
      <c r="G1481" s="5" t="s">
        <v>12</v>
      </c>
      <c r="H1481" s="5" t="s">
        <v>92</v>
      </c>
      <c r="I1481" s="5" t="s">
        <v>207</v>
      </c>
      <c r="J1481" s="98" t="s">
        <v>3445</v>
      </c>
    </row>
    <row r="1482" spans="1:10" ht="28.9" customHeight="1" thickTop="1" thickBot="1" x14ac:dyDescent="0.65">
      <c r="A1482" s="3">
        <v>1480</v>
      </c>
      <c r="B1482" s="83" t="str">
        <f>HYPERLINK("https://search.naver.com/search.naver?query=블랙 호크 다운 영화", "블랙 호크 다운")</f>
        <v>블랙 호크 다운</v>
      </c>
      <c r="C1482" s="45">
        <v>2</v>
      </c>
      <c r="D1482" s="4" t="s">
        <v>1637</v>
      </c>
      <c r="E1482" s="3" t="s">
        <v>20</v>
      </c>
      <c r="F1482" s="3">
        <v>2001</v>
      </c>
      <c r="G1482" s="3" t="s">
        <v>12</v>
      </c>
      <c r="H1482" s="3" t="s">
        <v>721</v>
      </c>
      <c r="I1482" s="3" t="s">
        <v>45</v>
      </c>
      <c r="J1482" s="97" t="s">
        <v>3457</v>
      </c>
    </row>
    <row r="1483" spans="1:10" ht="28.9" customHeight="1" thickTop="1" thickBot="1" x14ac:dyDescent="0.65">
      <c r="A1483" s="5">
        <v>1481</v>
      </c>
      <c r="B1483" s="82" t="str">
        <f>HYPERLINK("https://search.naver.com/search.naver?query=블랙라이트 영화", "블랙라이트")</f>
        <v>블랙라이트</v>
      </c>
      <c r="C1483" s="47">
        <v>6.49</v>
      </c>
      <c r="D1483" s="6" t="s">
        <v>1638</v>
      </c>
      <c r="E1483" s="5" t="s">
        <v>20</v>
      </c>
      <c r="F1483" s="5">
        <v>2022</v>
      </c>
      <c r="G1483" s="5" t="s">
        <v>12</v>
      </c>
      <c r="H1483" s="5" t="s">
        <v>92</v>
      </c>
      <c r="I1483" s="5" t="s">
        <v>170</v>
      </c>
      <c r="J1483" s="98" t="s">
        <v>3445</v>
      </c>
    </row>
    <row r="1484" spans="1:10" ht="28.9" customHeight="1" thickTop="1" thickBot="1" x14ac:dyDescent="0.65">
      <c r="A1484" s="7">
        <v>1482</v>
      </c>
      <c r="B1484" s="84" t="str">
        <f>HYPERLINK("https://search.naver.com/search.naver?query=블랙리스트 시즌1", "블랙리스트 시즌1")</f>
        <v>블랙리스트 시즌1</v>
      </c>
      <c r="C1484" s="49"/>
      <c r="D1484" s="8" t="s">
        <v>1639</v>
      </c>
      <c r="E1484" s="7" t="s">
        <v>20</v>
      </c>
      <c r="F1484" s="7">
        <v>2013</v>
      </c>
      <c r="G1484" s="7" t="s">
        <v>17</v>
      </c>
      <c r="H1484" s="7" t="s">
        <v>85</v>
      </c>
      <c r="I1484" s="7" t="s">
        <v>356</v>
      </c>
      <c r="J1484" s="99" t="s">
        <v>3451</v>
      </c>
    </row>
    <row r="1485" spans="1:10" ht="28.9" customHeight="1" thickTop="1" thickBot="1" x14ac:dyDescent="0.65">
      <c r="A1485" s="7">
        <v>1483</v>
      </c>
      <c r="B1485" s="84" t="str">
        <f>HYPERLINK("https://search.naver.com/search.naver?query=블랙리스트 시즌2", "블랙리스트 시즌2")</f>
        <v>블랙리스트 시즌2</v>
      </c>
      <c r="C1485" s="49"/>
      <c r="D1485" s="8" t="s">
        <v>1639</v>
      </c>
      <c r="E1485" s="7" t="s">
        <v>20</v>
      </c>
      <c r="F1485" s="7">
        <v>2014</v>
      </c>
      <c r="G1485" s="7" t="s">
        <v>17</v>
      </c>
      <c r="H1485" s="7" t="s">
        <v>85</v>
      </c>
      <c r="I1485" s="7" t="s">
        <v>356</v>
      </c>
      <c r="J1485" s="99" t="s">
        <v>3437</v>
      </c>
    </row>
    <row r="1486" spans="1:10" ht="28.9" customHeight="1" thickTop="1" thickBot="1" x14ac:dyDescent="0.65">
      <c r="A1486" s="7">
        <v>1484</v>
      </c>
      <c r="B1486" s="84" t="str">
        <f>HYPERLINK("https://search.naver.com/search.naver?query=블랙리스트 시즌3", "블랙리스트 시즌3")</f>
        <v>블랙리스트 시즌3</v>
      </c>
      <c r="C1486" s="49"/>
      <c r="D1486" s="8" t="s">
        <v>1639</v>
      </c>
      <c r="E1486" s="7" t="s">
        <v>20</v>
      </c>
      <c r="F1486" s="7">
        <v>2015</v>
      </c>
      <c r="G1486" s="7" t="s">
        <v>17</v>
      </c>
      <c r="H1486" s="7" t="s">
        <v>85</v>
      </c>
      <c r="I1486" s="7" t="s">
        <v>355</v>
      </c>
      <c r="J1486" s="99" t="s">
        <v>3440</v>
      </c>
    </row>
    <row r="1487" spans="1:10" ht="28.9" customHeight="1" thickTop="1" thickBot="1" x14ac:dyDescent="0.65">
      <c r="A1487" s="7">
        <v>1485</v>
      </c>
      <c r="B1487" s="84" t="str">
        <f>HYPERLINK("https://search.naver.com/search.naver?query=블랙리스트 시즌4", "블랙리스트 시즌4")</f>
        <v>블랙리스트 시즌4</v>
      </c>
      <c r="C1487" s="49"/>
      <c r="D1487" s="8" t="s">
        <v>1639</v>
      </c>
      <c r="E1487" s="7" t="s">
        <v>20</v>
      </c>
      <c r="F1487" s="7">
        <v>2016</v>
      </c>
      <c r="G1487" s="7" t="s">
        <v>17</v>
      </c>
      <c r="H1487" s="7" t="s">
        <v>85</v>
      </c>
      <c r="I1487" s="7" t="s">
        <v>356</v>
      </c>
      <c r="J1487" s="99" t="s">
        <v>3441</v>
      </c>
    </row>
    <row r="1488" spans="1:10" ht="28.9" customHeight="1" thickTop="1" thickBot="1" x14ac:dyDescent="0.65">
      <c r="A1488" s="7">
        <v>1486</v>
      </c>
      <c r="B1488" s="84" t="str">
        <f>HYPERLINK("https://search.naver.com/search.naver?query=블랙리스트 시즌5", "블랙리스트 시즌5")</f>
        <v>블랙리스트 시즌5</v>
      </c>
      <c r="C1488" s="49"/>
      <c r="D1488" s="8" t="s">
        <v>1640</v>
      </c>
      <c r="E1488" s="7" t="s">
        <v>20</v>
      </c>
      <c r="F1488" s="7">
        <v>2017</v>
      </c>
      <c r="G1488" s="7" t="s">
        <v>17</v>
      </c>
      <c r="H1488" s="7" t="s">
        <v>85</v>
      </c>
      <c r="I1488" s="7" t="s">
        <v>356</v>
      </c>
      <c r="J1488" s="99" t="s">
        <v>3443</v>
      </c>
    </row>
    <row r="1489" spans="1:10" ht="28.9" customHeight="1" thickTop="1" thickBot="1" x14ac:dyDescent="0.65">
      <c r="A1489" s="7">
        <v>1487</v>
      </c>
      <c r="B1489" s="84" t="str">
        <f>HYPERLINK("https://search.naver.com/search.naver?query=블랙리스트 시즌6", "블랙리스트 시즌6")</f>
        <v>블랙리스트 시즌6</v>
      </c>
      <c r="C1489" s="49"/>
      <c r="D1489" s="8" t="s">
        <v>1639</v>
      </c>
      <c r="E1489" s="7" t="s">
        <v>20</v>
      </c>
      <c r="F1489" s="7">
        <v>2019</v>
      </c>
      <c r="G1489" s="7" t="s">
        <v>17</v>
      </c>
      <c r="H1489" s="7" t="s">
        <v>85</v>
      </c>
      <c r="I1489" s="7" t="s">
        <v>356</v>
      </c>
      <c r="J1489" s="99" t="s">
        <v>3444</v>
      </c>
    </row>
    <row r="1490" spans="1:10" ht="28.9" customHeight="1" thickTop="1" thickBot="1" x14ac:dyDescent="0.65">
      <c r="A1490" s="7">
        <v>1488</v>
      </c>
      <c r="B1490" s="84" t="str">
        <f>HYPERLINK("https://search.naver.com/search.naver?query=블랙리스트 시즌7", "블랙리스트 시즌7")</f>
        <v>블랙리스트 시즌7</v>
      </c>
      <c r="C1490" s="49"/>
      <c r="D1490" s="8" t="s">
        <v>1639</v>
      </c>
      <c r="E1490" s="7" t="s">
        <v>20</v>
      </c>
      <c r="F1490" s="7">
        <v>2019</v>
      </c>
      <c r="G1490" s="7" t="s">
        <v>17</v>
      </c>
      <c r="H1490" s="7" t="s">
        <v>85</v>
      </c>
      <c r="I1490" s="7" t="s">
        <v>1641</v>
      </c>
      <c r="J1490" s="99" t="s">
        <v>3444</v>
      </c>
    </row>
    <row r="1491" spans="1:10" ht="28.9" customHeight="1" thickTop="1" thickBot="1" x14ac:dyDescent="0.65">
      <c r="A1491" s="7">
        <v>1489</v>
      </c>
      <c r="B1491" s="84" t="str">
        <f>HYPERLINK("https://search.naver.com/search.naver?query=블랙리스트 시즌8", "블랙리스트 시즌8")</f>
        <v>블랙리스트 시즌8</v>
      </c>
      <c r="C1491" s="49"/>
      <c r="D1491" s="8" t="s">
        <v>1639</v>
      </c>
      <c r="E1491" s="7" t="s">
        <v>20</v>
      </c>
      <c r="F1491" s="7">
        <v>2020</v>
      </c>
      <c r="G1491" s="7" t="s">
        <v>17</v>
      </c>
      <c r="H1491" s="7" t="s">
        <v>85</v>
      </c>
      <c r="I1491" s="7" t="s">
        <v>356</v>
      </c>
      <c r="J1491" s="99" t="s">
        <v>3436</v>
      </c>
    </row>
    <row r="1492" spans="1:10" ht="28.9" customHeight="1" thickTop="1" thickBot="1" x14ac:dyDescent="0.65">
      <c r="A1492" s="3">
        <v>1490</v>
      </c>
      <c r="B1492" s="83" t="str">
        <f>HYPERLINK("https://search.naver.com/search.naver?query=블랙머니 영화", "블랙머니")</f>
        <v>블랙머니</v>
      </c>
      <c r="C1492" s="45">
        <v>8.75</v>
      </c>
      <c r="D1492" s="4" t="s">
        <v>1642</v>
      </c>
      <c r="E1492" s="3" t="s">
        <v>11</v>
      </c>
      <c r="F1492" s="3">
        <v>2019</v>
      </c>
      <c r="G1492" s="3" t="s">
        <v>12</v>
      </c>
      <c r="H1492" s="3" t="s">
        <v>277</v>
      </c>
      <c r="I1492" s="3" t="s">
        <v>73</v>
      </c>
      <c r="J1492" s="97" t="s">
        <v>3444</v>
      </c>
    </row>
    <row r="1493" spans="1:10" ht="28.9" customHeight="1" thickTop="1" thickBot="1" x14ac:dyDescent="0.65">
      <c r="A1493" s="5">
        <v>1491</v>
      </c>
      <c r="B1493" s="82" t="str">
        <f>HYPERLINK("https://search.naver.com/search.naver?query=블랙미션 영화", "블랙미션")</f>
        <v>블랙미션</v>
      </c>
      <c r="C1493" s="47">
        <v>1.8</v>
      </c>
      <c r="D1493" s="6" t="s">
        <v>1643</v>
      </c>
      <c r="E1493" s="5" t="s">
        <v>20</v>
      </c>
      <c r="F1493" s="5">
        <v>2024</v>
      </c>
      <c r="G1493" s="5" t="s">
        <v>12</v>
      </c>
      <c r="H1493" s="5" t="s">
        <v>92</v>
      </c>
      <c r="I1493" s="5" t="s">
        <v>111</v>
      </c>
      <c r="J1493" s="98" t="s">
        <v>3448</v>
      </c>
    </row>
    <row r="1494" spans="1:10" ht="28.9" customHeight="1" thickTop="1" thickBot="1" x14ac:dyDescent="0.65">
      <c r="A1494" s="3">
        <v>1492</v>
      </c>
      <c r="B1494" s="83" t="str">
        <f>HYPERLINK("https://search.naver.com/search.naver?query=블랙버드 영화", "블랙버드")</f>
        <v>블랙버드</v>
      </c>
      <c r="C1494" s="45">
        <v>7.29</v>
      </c>
      <c r="D1494" s="4" t="s">
        <v>1644</v>
      </c>
      <c r="E1494" s="3" t="s">
        <v>20</v>
      </c>
      <c r="F1494" s="3">
        <v>2019</v>
      </c>
      <c r="G1494" s="3" t="s">
        <v>12</v>
      </c>
      <c r="H1494" s="3" t="s">
        <v>17</v>
      </c>
      <c r="I1494" s="3" t="s">
        <v>14</v>
      </c>
      <c r="J1494" s="97" t="s">
        <v>3444</v>
      </c>
    </row>
    <row r="1495" spans="1:10" ht="28.9" customHeight="1" thickTop="1" thickBot="1" x14ac:dyDescent="0.65">
      <c r="A1495" s="5">
        <v>1493</v>
      </c>
      <c r="B1495" s="82" t="str">
        <f>HYPERLINK("https://search.naver.com/search.naver?query=블랙북 영화", "블랙북")</f>
        <v>블랙북</v>
      </c>
      <c r="C1495" s="47">
        <v>8.82</v>
      </c>
      <c r="D1495" s="6" t="s">
        <v>1645</v>
      </c>
      <c r="E1495" s="5" t="s">
        <v>853</v>
      </c>
      <c r="F1495" s="5">
        <v>2006</v>
      </c>
      <c r="G1495" s="5" t="s">
        <v>12</v>
      </c>
      <c r="H1495" s="5" t="s">
        <v>17</v>
      </c>
      <c r="I1495" s="5" t="s">
        <v>175</v>
      </c>
      <c r="J1495" s="98" t="s">
        <v>3460</v>
      </c>
    </row>
    <row r="1496" spans="1:10" ht="28.9" customHeight="1" thickTop="1" thickBot="1" x14ac:dyDescent="0.65">
      <c r="A1496" s="3">
        <v>1494</v>
      </c>
      <c r="B1496" s="83" t="str">
        <f>HYPERLINK("https://search.naver.com/search.naver?query=블랙웨이 영화", "블랙웨이")</f>
        <v>블랙웨이</v>
      </c>
      <c r="C1496" s="45"/>
      <c r="D1496" s="4" t="s">
        <v>1646</v>
      </c>
      <c r="E1496" s="3" t="s">
        <v>20</v>
      </c>
      <c r="F1496" s="3">
        <v>2015</v>
      </c>
      <c r="G1496" s="3" t="s">
        <v>12</v>
      </c>
      <c r="H1496" s="3" t="s">
        <v>43</v>
      </c>
      <c r="I1496" s="3" t="s">
        <v>115</v>
      </c>
      <c r="J1496" s="97" t="s">
        <v>3440</v>
      </c>
    </row>
    <row r="1497" spans="1:10" ht="28.9" customHeight="1" thickTop="1" thickBot="1" x14ac:dyDescent="0.65">
      <c r="A1497" s="5">
        <v>1495</v>
      </c>
      <c r="B1497" s="82" t="str">
        <f>HYPERLINK("https://search.naver.com/search.naver?query=블랙코드 영화", "블랙코드")</f>
        <v>블랙코드</v>
      </c>
      <c r="C1497" s="47">
        <v>6.4</v>
      </c>
      <c r="D1497" s="6" t="s">
        <v>1647</v>
      </c>
      <c r="E1497" s="5" t="s">
        <v>189</v>
      </c>
      <c r="F1497" s="5">
        <v>2015</v>
      </c>
      <c r="G1497" s="5" t="s">
        <v>12</v>
      </c>
      <c r="H1497" s="5" t="s">
        <v>160</v>
      </c>
      <c r="I1497" s="5" t="s">
        <v>111</v>
      </c>
      <c r="J1497" s="98" t="s">
        <v>3440</v>
      </c>
    </row>
    <row r="1498" spans="1:10" ht="28.9" customHeight="1" thickTop="1" thickBot="1" x14ac:dyDescent="0.65">
      <c r="A1498" s="3">
        <v>1496</v>
      </c>
      <c r="B1498" s="83" t="str">
        <f>HYPERLINK("https://search.naver.com/search.naver?query=블랙폰 영화", "블랙폰")</f>
        <v>블랙폰</v>
      </c>
      <c r="C1498" s="45">
        <v>6.55</v>
      </c>
      <c r="D1498" s="4" t="s">
        <v>1648</v>
      </c>
      <c r="E1498" s="3" t="s">
        <v>20</v>
      </c>
      <c r="F1498" s="3">
        <v>2021</v>
      </c>
      <c r="G1498" s="3" t="s">
        <v>12</v>
      </c>
      <c r="H1498" s="3" t="s">
        <v>252</v>
      </c>
      <c r="I1498" s="3" t="s">
        <v>190</v>
      </c>
      <c r="J1498" s="97" t="s">
        <v>3438</v>
      </c>
    </row>
    <row r="1499" spans="1:10" ht="28.9" customHeight="1" thickTop="1" thickBot="1" x14ac:dyDescent="0.65">
      <c r="A1499" s="5">
        <v>1497</v>
      </c>
      <c r="B1499" s="82" t="str">
        <f>HYPERLINK("https://search.naver.com/search.naver?query=블랜디드 영화", "블랜디드")</f>
        <v>블랜디드</v>
      </c>
      <c r="C1499" s="47"/>
      <c r="D1499" s="6" t="s">
        <v>1649</v>
      </c>
      <c r="E1499" s="5" t="s">
        <v>20</v>
      </c>
      <c r="F1499" s="5">
        <v>2014</v>
      </c>
      <c r="G1499" s="5" t="s">
        <v>12</v>
      </c>
      <c r="H1499" s="5" t="s">
        <v>68</v>
      </c>
      <c r="I1499" s="5" t="s">
        <v>89</v>
      </c>
      <c r="J1499" s="98" t="s">
        <v>3437</v>
      </c>
    </row>
    <row r="1500" spans="1:10" ht="28.9" customHeight="1" thickTop="1" thickBot="1" x14ac:dyDescent="0.65">
      <c r="A1500" s="3">
        <v>1498</v>
      </c>
      <c r="B1500" s="83" t="str">
        <f>HYPERLINK("https://search.naver.com/search.naver?query=블러드 다이아몬드 영화", "블러드 다이아몬드")</f>
        <v>블러드 다이아몬드</v>
      </c>
      <c r="C1500" s="45">
        <v>9.14</v>
      </c>
      <c r="D1500" s="4" t="s">
        <v>1650</v>
      </c>
      <c r="E1500" s="3" t="s">
        <v>20</v>
      </c>
      <c r="F1500" s="3">
        <v>2006</v>
      </c>
      <c r="G1500" s="3" t="s">
        <v>12</v>
      </c>
      <c r="H1500" s="3" t="s">
        <v>92</v>
      </c>
      <c r="I1500" s="3" t="s">
        <v>25</v>
      </c>
      <c r="J1500" s="97" t="s">
        <v>3460</v>
      </c>
    </row>
    <row r="1501" spans="1:10" ht="28.9" customHeight="1" thickTop="1" thickBot="1" x14ac:dyDescent="0.65">
      <c r="A1501" s="5">
        <v>1499</v>
      </c>
      <c r="B1501" s="82" t="str">
        <f>HYPERLINK("https://search.naver.com/search.naver?query=블러드 앤 머니 영화", "블러드 앤 머니")</f>
        <v>블러드 앤 머니</v>
      </c>
      <c r="C1501" s="47"/>
      <c r="D1501" s="6" t="s">
        <v>1651</v>
      </c>
      <c r="E1501" s="5" t="s">
        <v>20</v>
      </c>
      <c r="F1501" s="5">
        <v>2020</v>
      </c>
      <c r="G1501" s="5" t="s">
        <v>12</v>
      </c>
      <c r="H1501" s="5" t="s">
        <v>43</v>
      </c>
      <c r="I1501" s="5" t="s">
        <v>119</v>
      </c>
      <c r="J1501" s="98" t="s">
        <v>3436</v>
      </c>
    </row>
    <row r="1502" spans="1:10" ht="28.9" customHeight="1" thickTop="1" thickBot="1" x14ac:dyDescent="0.65">
      <c r="A1502" s="3">
        <v>1500</v>
      </c>
      <c r="B1502" s="83" t="str">
        <f>HYPERLINK("https://search.naver.com/search.naver?query=블러드 킬 영화", "블러드 킬")</f>
        <v>블러드 킬</v>
      </c>
      <c r="C1502" s="45">
        <v>5.05</v>
      </c>
      <c r="D1502" s="4" t="s">
        <v>1652</v>
      </c>
      <c r="E1502" s="3" t="s">
        <v>20</v>
      </c>
      <c r="F1502" s="3">
        <v>2020</v>
      </c>
      <c r="G1502" s="3" t="s">
        <v>12</v>
      </c>
      <c r="H1502" s="3" t="s">
        <v>92</v>
      </c>
      <c r="I1502" s="3" t="s">
        <v>111</v>
      </c>
      <c r="J1502" s="97" t="s">
        <v>3436</v>
      </c>
    </row>
    <row r="1503" spans="1:10" ht="28.9" customHeight="1" thickTop="1" thickBot="1" x14ac:dyDescent="0.65">
      <c r="A1503" s="5">
        <v>1501</v>
      </c>
      <c r="B1503" s="82" t="str">
        <f>HYPERLINK("https://search.naver.com/search.naver?query=블러드 파더 영화", "블러드 파더")</f>
        <v>블러드 파더</v>
      </c>
      <c r="C1503" s="47"/>
      <c r="D1503" s="6" t="s">
        <v>1653</v>
      </c>
      <c r="E1503" s="5" t="s">
        <v>210</v>
      </c>
      <c r="F1503" s="5">
        <v>2016</v>
      </c>
      <c r="G1503" s="5" t="s">
        <v>12</v>
      </c>
      <c r="H1503" s="5" t="s">
        <v>92</v>
      </c>
      <c r="I1503" s="5" t="s">
        <v>231</v>
      </c>
      <c r="J1503" s="98" t="s">
        <v>3441</v>
      </c>
    </row>
    <row r="1504" spans="1:10" ht="28.9" customHeight="1" thickTop="1" thickBot="1" x14ac:dyDescent="0.65">
      <c r="A1504" s="3">
        <v>1502</v>
      </c>
      <c r="B1504" s="83" t="str">
        <f>HYPERLINK("https://search.naver.com/search.naver?query=블레이드 러너 영화", "블레이드 러너")</f>
        <v>블레이드 러너</v>
      </c>
      <c r="C1504" s="45">
        <v>8.3000000000000007</v>
      </c>
      <c r="D1504" s="4" t="s">
        <v>1654</v>
      </c>
      <c r="E1504" s="3" t="s">
        <v>20</v>
      </c>
      <c r="F1504" s="3">
        <v>2017</v>
      </c>
      <c r="G1504" s="3" t="s">
        <v>12</v>
      </c>
      <c r="H1504" s="3" t="s">
        <v>520</v>
      </c>
      <c r="I1504" s="3" t="s">
        <v>678</v>
      </c>
      <c r="J1504" s="97" t="s">
        <v>3443</v>
      </c>
    </row>
    <row r="1505" spans="1:10" ht="28.9" customHeight="1" thickTop="1" thickBot="1" x14ac:dyDescent="0.65">
      <c r="A1505" s="5">
        <v>1503</v>
      </c>
      <c r="B1505" s="82" t="str">
        <f>HYPERLINK("https://search.naver.com/search.naver?query=블로우 더 맨 다운 영화", "블로우 더 맨 다운")</f>
        <v>블로우 더 맨 다운</v>
      </c>
      <c r="C1505" s="47">
        <v>6.4</v>
      </c>
      <c r="D1505" s="6" t="s">
        <v>1655</v>
      </c>
      <c r="E1505" s="5" t="s">
        <v>20</v>
      </c>
      <c r="F1505" s="5">
        <v>2019</v>
      </c>
      <c r="G1505" s="5" t="s">
        <v>12</v>
      </c>
      <c r="H1505" s="5" t="s">
        <v>68</v>
      </c>
      <c r="I1505" s="5" t="s">
        <v>115</v>
      </c>
      <c r="J1505" s="98" t="s">
        <v>3444</v>
      </c>
    </row>
    <row r="1506" spans="1:10" ht="28.9" customHeight="1" thickTop="1" thickBot="1" x14ac:dyDescent="0.65">
      <c r="A1506" s="3">
        <v>1504</v>
      </c>
      <c r="B1506" s="83" t="str">
        <f>HYPERLINK("https://search.naver.com/search.naver?query=블루 루인 영화", "블루 루인")</f>
        <v>블루 루인</v>
      </c>
      <c r="C1506" s="45">
        <v>6.4</v>
      </c>
      <c r="D1506" s="4" t="s">
        <v>1656</v>
      </c>
      <c r="E1506" s="3" t="s">
        <v>20</v>
      </c>
      <c r="F1506" s="3">
        <v>2013</v>
      </c>
      <c r="G1506" s="3" t="s">
        <v>12</v>
      </c>
      <c r="H1506" s="3" t="s">
        <v>43</v>
      </c>
      <c r="I1506" s="3" t="s">
        <v>115</v>
      </c>
      <c r="J1506" s="97" t="s">
        <v>3451</v>
      </c>
    </row>
    <row r="1507" spans="1:10" ht="28.9" customHeight="1" thickTop="1" thickBot="1" x14ac:dyDescent="0.65">
      <c r="A1507" s="5">
        <v>1505</v>
      </c>
      <c r="B1507" s="82" t="str">
        <f>HYPERLINK("https://search.naver.com/search.naver?query=블루 미라클 영화", "블루 미라클")</f>
        <v>블루 미라클</v>
      </c>
      <c r="C1507" s="47">
        <v>9.67</v>
      </c>
      <c r="D1507" s="6" t="s">
        <v>1657</v>
      </c>
      <c r="E1507" s="5" t="s">
        <v>1567</v>
      </c>
      <c r="F1507" s="5">
        <v>2021</v>
      </c>
      <c r="G1507" s="5" t="s">
        <v>12</v>
      </c>
      <c r="H1507" s="5" t="s">
        <v>17</v>
      </c>
      <c r="I1507" s="5" t="s">
        <v>111</v>
      </c>
      <c r="J1507" s="98" t="s">
        <v>3438</v>
      </c>
    </row>
    <row r="1508" spans="1:10" ht="28.9" customHeight="1" thickTop="1" thickBot="1" x14ac:dyDescent="0.65">
      <c r="A1508" s="3">
        <v>1506</v>
      </c>
      <c r="B1508" s="83" t="str">
        <f>HYPERLINK("https://search.naver.com/search.naver?query=블루 발렌타인 영화", "블루 발렌타인")</f>
        <v>블루 발렌타인</v>
      </c>
      <c r="C1508" s="45">
        <v>8.33</v>
      </c>
      <c r="D1508" s="4" t="s">
        <v>1658</v>
      </c>
      <c r="E1508" s="3" t="s">
        <v>20</v>
      </c>
      <c r="F1508" s="3">
        <v>2010</v>
      </c>
      <c r="G1508" s="3" t="s">
        <v>12</v>
      </c>
      <c r="H1508" s="3" t="s">
        <v>17</v>
      </c>
      <c r="I1508" s="3" t="s">
        <v>278</v>
      </c>
      <c r="J1508" s="97" t="s">
        <v>3455</v>
      </c>
    </row>
    <row r="1509" spans="1:10" ht="28.9" customHeight="1" thickTop="1" thickBot="1" x14ac:dyDescent="0.65">
      <c r="A1509" s="5">
        <v>1507</v>
      </c>
      <c r="B1509" s="82" t="str">
        <f>HYPERLINK("https://search.naver.com/search.naver?query=블루 스톰 영화", "블루 스톰")</f>
        <v>블루 스톰</v>
      </c>
      <c r="C1509" s="47">
        <v>7.15</v>
      </c>
      <c r="D1509" s="6" t="s">
        <v>1659</v>
      </c>
      <c r="E1509" s="5" t="s">
        <v>91</v>
      </c>
      <c r="F1509" s="5">
        <v>2005</v>
      </c>
      <c r="G1509" s="5" t="s">
        <v>12</v>
      </c>
      <c r="H1509" s="5" t="s">
        <v>92</v>
      </c>
      <c r="I1509" s="5" t="s">
        <v>111</v>
      </c>
      <c r="J1509" s="98" t="s">
        <v>3461</v>
      </c>
    </row>
    <row r="1510" spans="1:10" ht="28.9" customHeight="1" thickTop="1" thickBot="1" x14ac:dyDescent="0.65">
      <c r="A1510" s="3">
        <v>1508</v>
      </c>
      <c r="B1510" s="83" t="str">
        <f>HYPERLINK("https://search.naver.com/search.naver?query=블루 재스민 영화", "블루 재스민")</f>
        <v>블루 재스민</v>
      </c>
      <c r="C1510" s="45">
        <v>9.2899999999999991</v>
      </c>
      <c r="D1510" s="4" t="s">
        <v>1660</v>
      </c>
      <c r="E1510" s="3" t="s">
        <v>20</v>
      </c>
      <c r="F1510" s="3">
        <v>2013</v>
      </c>
      <c r="G1510" s="3" t="s">
        <v>12</v>
      </c>
      <c r="H1510" s="3" t="s">
        <v>17</v>
      </c>
      <c r="I1510" s="3" t="s">
        <v>14</v>
      </c>
      <c r="J1510" s="97" t="s">
        <v>3451</v>
      </c>
    </row>
    <row r="1511" spans="1:10" ht="28.9" customHeight="1" thickTop="1" thickBot="1" x14ac:dyDescent="0.65">
      <c r="A1511" s="5">
        <v>1509</v>
      </c>
      <c r="B1511" s="82" t="str">
        <f>HYPERLINK("https://search.naver.com/search.naver?query=블루밍 러브 영화", "블루밍 러브")</f>
        <v>블루밍 러브</v>
      </c>
      <c r="C1511" s="47"/>
      <c r="D1511" s="6" t="s">
        <v>1661</v>
      </c>
      <c r="E1511" s="5" t="s">
        <v>24</v>
      </c>
      <c r="F1511" s="5">
        <v>2014</v>
      </c>
      <c r="G1511" s="5" t="s">
        <v>12</v>
      </c>
      <c r="H1511" s="5" t="s">
        <v>121</v>
      </c>
      <c r="I1511" s="5" t="s">
        <v>89</v>
      </c>
      <c r="J1511" s="98" t="s">
        <v>3437</v>
      </c>
    </row>
    <row r="1512" spans="1:10" ht="28.9" customHeight="1" thickTop="1" thickBot="1" x14ac:dyDescent="0.65">
      <c r="A1512" s="3">
        <v>1510</v>
      </c>
      <c r="B1512" s="83" t="str">
        <f>HYPERLINK("https://search.naver.com/search.naver?query=블루버드 인 마이 하트 영화", "블루버드 인 마이 하트")</f>
        <v>블루버드 인 마이 하트</v>
      </c>
      <c r="C1512" s="45">
        <v>6.83</v>
      </c>
      <c r="D1512" s="4" t="s">
        <v>1662</v>
      </c>
      <c r="E1512" s="3" t="s">
        <v>509</v>
      </c>
      <c r="F1512" s="3">
        <v>2018</v>
      </c>
      <c r="G1512" s="3" t="s">
        <v>12</v>
      </c>
      <c r="H1512" s="3" t="s">
        <v>17</v>
      </c>
      <c r="I1512" s="3" t="s">
        <v>37</v>
      </c>
      <c r="J1512" s="97" t="s">
        <v>3442</v>
      </c>
    </row>
    <row r="1513" spans="1:10" ht="28.9" customHeight="1" thickTop="1" thickBot="1" x14ac:dyDescent="0.65">
      <c r="A1513" s="5">
        <v>1511</v>
      </c>
      <c r="B1513" s="82" t="str">
        <f>HYPERLINK("https://search.naver.com/search.naver?query=블리드 포 디스 영화", "블리드 포 디스")</f>
        <v>블리드 포 디스</v>
      </c>
      <c r="C1513" s="47">
        <v>9.19</v>
      </c>
      <c r="D1513" s="6" t="s">
        <v>1663</v>
      </c>
      <c r="E1513" s="5" t="s">
        <v>20</v>
      </c>
      <c r="F1513" s="5">
        <v>2016</v>
      </c>
      <c r="G1513" s="5" t="s">
        <v>12</v>
      </c>
      <c r="H1513" s="5" t="s">
        <v>17</v>
      </c>
      <c r="I1513" s="5" t="s">
        <v>366</v>
      </c>
      <c r="J1513" s="98" t="s">
        <v>3441</v>
      </c>
    </row>
    <row r="1514" spans="1:10" ht="28.9" customHeight="1" thickTop="1" thickBot="1" x14ac:dyDescent="0.65">
      <c r="A1514" s="3">
        <v>1512</v>
      </c>
      <c r="B1514" s="83" t="str">
        <f>HYPERLINK("https://search.naver.com/search.naver?query=블리츠 영화", "블리츠")</f>
        <v>블리츠</v>
      </c>
      <c r="C1514" s="45">
        <v>6.95</v>
      </c>
      <c r="D1514" s="4" t="s">
        <v>1664</v>
      </c>
      <c r="E1514" s="3" t="s">
        <v>24</v>
      </c>
      <c r="F1514" s="3">
        <v>2011</v>
      </c>
      <c r="G1514" s="3" t="s">
        <v>12</v>
      </c>
      <c r="H1514" s="3" t="s">
        <v>92</v>
      </c>
      <c r="I1514" s="3" t="s">
        <v>124</v>
      </c>
      <c r="J1514" s="97" t="s">
        <v>3454</v>
      </c>
    </row>
    <row r="1515" spans="1:10" ht="28.9" customHeight="1" thickTop="1" thickBot="1" x14ac:dyDescent="0.65">
      <c r="A1515" s="5">
        <v>1513</v>
      </c>
      <c r="B1515" s="82" t="str">
        <f>HYPERLINK("https://search.naver.com/search.naver?query=블링 링 영화", "블링 링")</f>
        <v>블링 링</v>
      </c>
      <c r="C1515" s="47">
        <v>5.38</v>
      </c>
      <c r="D1515" s="6" t="s">
        <v>1665</v>
      </c>
      <c r="E1515" s="5" t="s">
        <v>20</v>
      </c>
      <c r="F1515" s="5">
        <v>2013</v>
      </c>
      <c r="G1515" s="5" t="s">
        <v>12</v>
      </c>
      <c r="H1515" s="5" t="s">
        <v>277</v>
      </c>
      <c r="I1515" s="5" t="s">
        <v>115</v>
      </c>
      <c r="J1515" s="98" t="s">
        <v>3451</v>
      </c>
    </row>
    <row r="1516" spans="1:10" ht="28.9" customHeight="1" thickTop="1" thickBot="1" x14ac:dyDescent="0.65">
      <c r="A1516" s="3">
        <v>1514</v>
      </c>
      <c r="B1516" s="83" t="str">
        <f>HYPERLINK("https://search.naver.com/search.naver?query=비거 스플래쉬 영화", "비거 스플래쉬")</f>
        <v>비거 스플래쉬</v>
      </c>
      <c r="C1516" s="45">
        <v>7.48</v>
      </c>
      <c r="D1516" s="4" t="s">
        <v>1666</v>
      </c>
      <c r="E1516" s="3" t="s">
        <v>1099</v>
      </c>
      <c r="F1516" s="3">
        <v>2015</v>
      </c>
      <c r="G1516" s="3" t="s">
        <v>12</v>
      </c>
      <c r="H1516" s="3" t="s">
        <v>17</v>
      </c>
      <c r="I1516" s="3" t="s">
        <v>134</v>
      </c>
      <c r="J1516" s="97" t="s">
        <v>3440</v>
      </c>
    </row>
    <row r="1517" spans="1:10" ht="28.9" customHeight="1" thickTop="1" thickBot="1" x14ac:dyDescent="0.65">
      <c r="A1517" s="5">
        <v>1515</v>
      </c>
      <c r="B1517" s="82" t="str">
        <f>HYPERLINK("https://search.naver.com/search.naver?query=비공식작전 영화", "비공식작전")</f>
        <v>비공식작전</v>
      </c>
      <c r="C1517" s="47">
        <v>7.74</v>
      </c>
      <c r="D1517" s="6" t="s">
        <v>1667</v>
      </c>
      <c r="E1517" s="5" t="s">
        <v>11</v>
      </c>
      <c r="F1517" s="5">
        <v>2023</v>
      </c>
      <c r="G1517" s="5" t="s">
        <v>12</v>
      </c>
      <c r="H1517" s="5" t="s">
        <v>92</v>
      </c>
      <c r="I1517" s="5" t="s">
        <v>350</v>
      </c>
      <c r="J1517" s="98" t="s">
        <v>3446</v>
      </c>
    </row>
    <row r="1518" spans="1:10" ht="28.9" customHeight="1" thickTop="1" thickBot="1" x14ac:dyDescent="0.65">
      <c r="A1518" s="3">
        <v>1516</v>
      </c>
      <c r="B1518" s="83" t="str">
        <f>HYPERLINK("https://search.naver.com/search.naver?query=비그치다 영화", "비그치다")</f>
        <v>비그치다</v>
      </c>
      <c r="C1518" s="45"/>
      <c r="D1518" s="4"/>
      <c r="E1518" s="3" t="s">
        <v>16</v>
      </c>
      <c r="F1518" s="3">
        <v>1999</v>
      </c>
      <c r="G1518" s="3" t="s">
        <v>12</v>
      </c>
      <c r="H1518" s="3" t="s">
        <v>17</v>
      </c>
      <c r="I1518" s="3" t="s">
        <v>240</v>
      </c>
      <c r="J1518" s="97" t="s">
        <v>3456</v>
      </c>
    </row>
    <row r="1519" spans="1:10" ht="28.9" customHeight="1" thickTop="1" thickBot="1" x14ac:dyDescent="0.65">
      <c r="A1519" s="5">
        <v>1517</v>
      </c>
      <c r="B1519" s="82" t="str">
        <f>HYPERLINK("https://search.naver.com/search.naver?query=비기너스 영화", "비기너스")</f>
        <v>비기너스</v>
      </c>
      <c r="C1519" s="47">
        <v>8.24</v>
      </c>
      <c r="D1519" s="6" t="s">
        <v>1668</v>
      </c>
      <c r="E1519" s="5" t="s">
        <v>20</v>
      </c>
      <c r="F1519" s="5">
        <v>2010</v>
      </c>
      <c r="G1519" s="5" t="s">
        <v>12</v>
      </c>
      <c r="H1519" s="5" t="s">
        <v>68</v>
      </c>
      <c r="I1519" s="5" t="s">
        <v>128</v>
      </c>
      <c r="J1519" s="98" t="s">
        <v>3455</v>
      </c>
    </row>
    <row r="1520" spans="1:10" ht="28.9" customHeight="1" thickTop="1" thickBot="1" x14ac:dyDescent="0.65">
      <c r="A1520" s="3">
        <v>1518</v>
      </c>
      <c r="B1520" s="83" t="str">
        <f>HYPERLINK("https://search.naver.com/search.naver?query=비긴 어게인 영화", "비긴 어게인")</f>
        <v>비긴 어게인</v>
      </c>
      <c r="C1520" s="45">
        <v>9.1</v>
      </c>
      <c r="D1520" s="4" t="s">
        <v>1669</v>
      </c>
      <c r="E1520" s="3" t="s">
        <v>20</v>
      </c>
      <c r="F1520" s="3">
        <v>2013</v>
      </c>
      <c r="G1520" s="3" t="s">
        <v>12</v>
      </c>
      <c r="H1520" s="3" t="s">
        <v>17</v>
      </c>
      <c r="I1520" s="3" t="s">
        <v>170</v>
      </c>
      <c r="J1520" s="97" t="s">
        <v>3451</v>
      </c>
    </row>
    <row r="1521" spans="1:10" ht="28.9" customHeight="1" thickTop="1" thickBot="1" x14ac:dyDescent="0.65">
      <c r="A1521" s="5">
        <v>1519</v>
      </c>
      <c r="B1521" s="82" t="str">
        <f>HYPERLINK("https://search.naver.com/search.naver?query=비눗방울 영화", "비눗방울")</f>
        <v>비눗방울</v>
      </c>
      <c r="C1521" s="47">
        <v>6.4</v>
      </c>
      <c r="D1521" s="6" t="s">
        <v>1670</v>
      </c>
      <c r="E1521" s="5" t="s">
        <v>16</v>
      </c>
      <c r="F1521" s="5">
        <v>2017</v>
      </c>
      <c r="G1521" s="5" t="s">
        <v>12</v>
      </c>
      <c r="H1521" s="5" t="s">
        <v>17</v>
      </c>
      <c r="I1521" s="5" t="s">
        <v>31</v>
      </c>
      <c r="J1521" s="98" t="s">
        <v>3443</v>
      </c>
    </row>
    <row r="1522" spans="1:10" ht="28.9" customHeight="1" thickTop="1" thickBot="1" x14ac:dyDescent="0.65">
      <c r="A1522" s="3">
        <v>1520</v>
      </c>
      <c r="B1522" s="83" t="str">
        <f>HYPERLINK("https://search.naver.com/search.naver?query=비닐하우스 영화", "비닐하우스")</f>
        <v>비닐하우스</v>
      </c>
      <c r="C1522" s="45">
        <v>7.44</v>
      </c>
      <c r="D1522" s="4" t="s">
        <v>1671</v>
      </c>
      <c r="E1522" s="3" t="s">
        <v>11</v>
      </c>
      <c r="F1522" s="3">
        <v>2023</v>
      </c>
      <c r="G1522" s="3" t="s">
        <v>12</v>
      </c>
      <c r="H1522" s="3" t="s">
        <v>17</v>
      </c>
      <c r="I1522" s="3" t="s">
        <v>111</v>
      </c>
      <c r="J1522" s="97" t="s">
        <v>3446</v>
      </c>
    </row>
    <row r="1523" spans="1:10" ht="28.9" customHeight="1" thickTop="1" thickBot="1" x14ac:dyDescent="0.65">
      <c r="A1523" s="5">
        <v>1521</v>
      </c>
      <c r="B1523" s="82" t="str">
        <f>HYPERLINK("https://search.naver.com/search.naver?query=비리갸루 영화", "비리갸루")</f>
        <v>비리갸루</v>
      </c>
      <c r="C1523" s="47"/>
      <c r="D1523" s="6"/>
      <c r="E1523" s="5" t="s">
        <v>16</v>
      </c>
      <c r="F1523" s="5">
        <v>2015</v>
      </c>
      <c r="G1523" s="5" t="s">
        <v>12</v>
      </c>
      <c r="H1523" s="5" t="s">
        <v>17</v>
      </c>
      <c r="I1523" s="5" t="s">
        <v>111</v>
      </c>
      <c r="J1523" s="98" t="s">
        <v>3440</v>
      </c>
    </row>
    <row r="1524" spans="1:10" ht="28.9" customHeight="1" thickTop="1" thickBot="1" x14ac:dyDescent="0.65">
      <c r="A1524" s="3">
        <v>1522</v>
      </c>
      <c r="B1524" s="83" t="str">
        <f>HYPERLINK("https://search.naver.com/search.naver?query=비밀 영화", "비밀")</f>
        <v>비밀</v>
      </c>
      <c r="C1524" s="45">
        <v>9</v>
      </c>
      <c r="D1524" s="4" t="s">
        <v>1672</v>
      </c>
      <c r="E1524" s="3" t="s">
        <v>11</v>
      </c>
      <c r="F1524" s="3">
        <v>1999</v>
      </c>
      <c r="G1524" s="3" t="s">
        <v>12</v>
      </c>
      <c r="H1524" s="3" t="s">
        <v>17</v>
      </c>
      <c r="I1524" s="3" t="s">
        <v>111</v>
      </c>
      <c r="J1524" s="97" t="s">
        <v>3456</v>
      </c>
    </row>
    <row r="1525" spans="1:10" ht="28.9" customHeight="1" thickTop="1" thickBot="1" x14ac:dyDescent="0.65">
      <c r="A1525" s="5">
        <v>1523</v>
      </c>
      <c r="B1525" s="82" t="str">
        <f>HYPERLINK("https://search.naver.com/search.naver?query=비밀과 거짓말 영화", "비밀과 거짓말")</f>
        <v>비밀과 거짓말</v>
      </c>
      <c r="C1525" s="47">
        <v>8.8000000000000007</v>
      </c>
      <c r="D1525" s="6" t="s">
        <v>1673</v>
      </c>
      <c r="E1525" s="5" t="s">
        <v>24</v>
      </c>
      <c r="F1525" s="5">
        <v>1996</v>
      </c>
      <c r="G1525" s="5" t="s">
        <v>12</v>
      </c>
      <c r="H1525" s="5" t="s">
        <v>17</v>
      </c>
      <c r="I1525" s="5" t="s">
        <v>237</v>
      </c>
      <c r="J1525" s="98" t="s">
        <v>3463</v>
      </c>
    </row>
    <row r="1526" spans="1:10" ht="28.9" customHeight="1" thickTop="1" thickBot="1" x14ac:dyDescent="0.65">
      <c r="A1526" s="3">
        <v>1524</v>
      </c>
      <c r="B1526" s="83" t="str">
        <f>HYPERLINK("https://search.naver.com/search.naver?query=비밀과 거짓말의 차이 영화", "비밀과 거짓말의 차이")</f>
        <v>비밀과 거짓말의 차이</v>
      </c>
      <c r="C1526" s="45">
        <v>6.4</v>
      </c>
      <c r="D1526" s="4" t="s">
        <v>1674</v>
      </c>
      <c r="E1526" s="3" t="s">
        <v>20</v>
      </c>
      <c r="F1526" s="3">
        <v>2005</v>
      </c>
      <c r="G1526" s="3" t="s">
        <v>12</v>
      </c>
      <c r="H1526" s="3" t="s">
        <v>121</v>
      </c>
      <c r="I1526" s="3" t="s">
        <v>14</v>
      </c>
      <c r="J1526" s="97" t="s">
        <v>3461</v>
      </c>
    </row>
    <row r="1527" spans="1:10" ht="28.9" customHeight="1" thickTop="1" thickBot="1" x14ac:dyDescent="0.65">
      <c r="A1527" s="5">
        <v>1525</v>
      </c>
      <c r="B1527" s="82" t="str">
        <f>HYPERLINK("https://search.naver.com/search.naver?query=비밀애 영화", "비밀애")</f>
        <v>비밀애</v>
      </c>
      <c r="C1527" s="47">
        <v>4.8600000000000003</v>
      </c>
      <c r="D1527" s="6" t="s">
        <v>1675</v>
      </c>
      <c r="E1527" s="5" t="s">
        <v>11</v>
      </c>
      <c r="F1527" s="5">
        <v>2010</v>
      </c>
      <c r="G1527" s="5" t="s">
        <v>12</v>
      </c>
      <c r="H1527" s="5" t="s">
        <v>121</v>
      </c>
      <c r="I1527" s="5" t="s">
        <v>128</v>
      </c>
      <c r="J1527" s="98" t="s">
        <v>3455</v>
      </c>
    </row>
    <row r="1528" spans="1:10" ht="28.9" customHeight="1" thickTop="1" thickBot="1" x14ac:dyDescent="0.65">
      <c r="A1528" s="7">
        <v>1526</v>
      </c>
      <c r="B1528" s="84" t="str">
        <f>HYPERLINK("https://search.naver.com/search.naver?query=비밀의 비밀 드라마", "비밀의 비밀 시즌1")</f>
        <v>비밀의 비밀 시즌1</v>
      </c>
      <c r="C1528" s="49"/>
      <c r="D1528" s="8" t="s">
        <v>1676</v>
      </c>
      <c r="E1528" s="7" t="s">
        <v>24</v>
      </c>
      <c r="F1528" s="7">
        <v>2024</v>
      </c>
      <c r="G1528" s="7" t="s">
        <v>17</v>
      </c>
      <c r="H1528" s="7" t="s">
        <v>17</v>
      </c>
      <c r="I1528" s="7" t="s">
        <v>55</v>
      </c>
      <c r="J1528" s="99" t="s">
        <v>3448</v>
      </c>
    </row>
    <row r="1529" spans="1:10" ht="28.9" customHeight="1" thickTop="1" thickBot="1" x14ac:dyDescent="0.65">
      <c r="A1529" s="5">
        <v>1527</v>
      </c>
      <c r="B1529" s="82" t="str">
        <f>HYPERLINK("https://search.naver.com/search.naver?query=비밀정보원 인 더 프리즌 영화", "비밀정보원-인 더 프리즌")</f>
        <v>비밀정보원-인 더 프리즌</v>
      </c>
      <c r="C1529" s="47">
        <v>7.56</v>
      </c>
      <c r="D1529" s="6" t="s">
        <v>1677</v>
      </c>
      <c r="E1529" s="5" t="s">
        <v>24</v>
      </c>
      <c r="F1529" s="5">
        <v>2019</v>
      </c>
      <c r="G1529" s="5" t="s">
        <v>12</v>
      </c>
      <c r="H1529" s="5" t="s">
        <v>277</v>
      </c>
      <c r="I1529" s="5" t="s">
        <v>73</v>
      </c>
      <c r="J1529" s="98" t="s">
        <v>3444</v>
      </c>
    </row>
    <row r="1530" spans="1:10" ht="28.9" customHeight="1" thickTop="1" thickBot="1" x14ac:dyDescent="0.65">
      <c r="A1530" s="3">
        <v>1528</v>
      </c>
      <c r="B1530" s="83" t="str">
        <f>HYPERLINK("https://search.naver.com/search.naver?query=비버 영화", "비버")</f>
        <v>비버</v>
      </c>
      <c r="C1530" s="45"/>
      <c r="D1530" s="4" t="s">
        <v>1678</v>
      </c>
      <c r="E1530" s="3" t="s">
        <v>20</v>
      </c>
      <c r="F1530" s="3">
        <v>2011</v>
      </c>
      <c r="G1530" s="3" t="s">
        <v>12</v>
      </c>
      <c r="H1530" s="3" t="s">
        <v>17</v>
      </c>
      <c r="I1530" s="3" t="s">
        <v>240</v>
      </c>
      <c r="J1530" s="97" t="s">
        <v>3454</v>
      </c>
    </row>
    <row r="1531" spans="1:10" ht="28.9" customHeight="1" thickTop="1" thickBot="1" x14ac:dyDescent="0.65">
      <c r="A1531" s="5">
        <v>1529</v>
      </c>
      <c r="B1531" s="82" t="str">
        <f>HYPERLINK("https://search.naver.com/search.naver?query=비상선언 영화", "비상선언")</f>
        <v>비상선언</v>
      </c>
      <c r="C1531" s="47">
        <v>6.17</v>
      </c>
      <c r="D1531" s="6" t="s">
        <v>1679</v>
      </c>
      <c r="E1531" s="5" t="s">
        <v>11</v>
      </c>
      <c r="F1531" s="5">
        <v>2022</v>
      </c>
      <c r="G1531" s="5" t="s">
        <v>12</v>
      </c>
      <c r="H1531" s="5" t="s">
        <v>726</v>
      </c>
      <c r="I1531" s="5" t="s">
        <v>550</v>
      </c>
      <c r="J1531" s="98" t="s">
        <v>3445</v>
      </c>
    </row>
    <row r="1532" spans="1:10" ht="28.9" customHeight="1" thickTop="1" thickBot="1" x14ac:dyDescent="0.65">
      <c r="A1532" s="3">
        <v>1530</v>
      </c>
      <c r="B1532" s="83" t="str">
        <f>HYPERLINK("https://search.naver.com/search.naver?query=비스트 2019", "비스트")</f>
        <v>비스트</v>
      </c>
      <c r="C1532" s="45">
        <v>8.18</v>
      </c>
      <c r="D1532" s="4" t="s">
        <v>1680</v>
      </c>
      <c r="E1532" s="3" t="s">
        <v>11</v>
      </c>
      <c r="F1532" s="3">
        <v>2019</v>
      </c>
      <c r="G1532" s="3" t="s">
        <v>12</v>
      </c>
      <c r="H1532" s="3" t="s">
        <v>277</v>
      </c>
      <c r="I1532" s="3" t="s">
        <v>34</v>
      </c>
      <c r="J1532" s="97" t="s">
        <v>3444</v>
      </c>
    </row>
    <row r="1533" spans="1:10" ht="28.9" customHeight="1" thickTop="1" thickBot="1" x14ac:dyDescent="0.65">
      <c r="A1533" s="5">
        <v>1531</v>
      </c>
      <c r="B1533" s="82" t="str">
        <f>HYPERLINK("https://search.naver.com/search.naver?query=비스트 영화", "비스트")</f>
        <v>비스트</v>
      </c>
      <c r="C1533" s="47">
        <v>6.94</v>
      </c>
      <c r="D1533" s="6" t="s">
        <v>1681</v>
      </c>
      <c r="E1533" s="5" t="s">
        <v>24</v>
      </c>
      <c r="F1533" s="5">
        <v>2017</v>
      </c>
      <c r="G1533" s="5" t="s">
        <v>12</v>
      </c>
      <c r="H1533" s="5" t="s">
        <v>17</v>
      </c>
      <c r="I1533" s="5" t="s">
        <v>286</v>
      </c>
      <c r="J1533" s="98" t="s">
        <v>3443</v>
      </c>
    </row>
    <row r="1534" spans="1:10" ht="28.9" customHeight="1" thickTop="1" thickBot="1" x14ac:dyDescent="0.65">
      <c r="A1534" s="3">
        <v>1532</v>
      </c>
      <c r="B1534" s="83" t="str">
        <f>HYPERLINK("https://search.naver.com/search.naver?query=비스트 오브 노 네이션 영화", "비스트 오브 노 네이션")</f>
        <v>비스트 오브 노 네이션</v>
      </c>
      <c r="C1534" s="45">
        <v>9.15</v>
      </c>
      <c r="D1534" s="4" t="s">
        <v>1682</v>
      </c>
      <c r="E1534" s="3" t="s">
        <v>20</v>
      </c>
      <c r="F1534" s="3">
        <v>2015</v>
      </c>
      <c r="G1534" s="3" t="s">
        <v>12</v>
      </c>
      <c r="H1534" s="3" t="s">
        <v>17</v>
      </c>
      <c r="I1534" s="3" t="s">
        <v>186</v>
      </c>
      <c r="J1534" s="97" t="s">
        <v>3440</v>
      </c>
    </row>
    <row r="1535" spans="1:10" ht="28.9" customHeight="1" thickTop="1" thickBot="1" x14ac:dyDescent="0.65">
      <c r="A1535" s="5">
        <v>1533</v>
      </c>
      <c r="B1535" s="82" t="str">
        <f>HYPERLINK("https://search.naver.com/search.naver?query=비와 당신의 이야기 영화", "비와 당신의 이야기")</f>
        <v>비와 당신의 이야기</v>
      </c>
      <c r="C1535" s="47">
        <v>7.82</v>
      </c>
      <c r="D1535" s="6" t="s">
        <v>1683</v>
      </c>
      <c r="E1535" s="5" t="s">
        <v>11</v>
      </c>
      <c r="F1535" s="5">
        <v>2021</v>
      </c>
      <c r="G1535" s="5" t="s">
        <v>12</v>
      </c>
      <c r="H1535" s="5" t="s">
        <v>121</v>
      </c>
      <c r="I1535" s="5" t="s">
        <v>31</v>
      </c>
      <c r="J1535" s="98" t="s">
        <v>3438</v>
      </c>
    </row>
    <row r="1536" spans="1:10" ht="28.9" customHeight="1" thickTop="1" thickBot="1" x14ac:dyDescent="0.65">
      <c r="A1536" s="3">
        <v>1534</v>
      </c>
      <c r="B1536" s="83" t="str">
        <f>HYPERLINK("https://search.naver.com/search.naver?query=비욘의 아내 영화", "비욘의 아내")</f>
        <v>비욘의 아내</v>
      </c>
      <c r="C1536" s="45">
        <v>6.4</v>
      </c>
      <c r="D1536" s="4" t="s">
        <v>1684</v>
      </c>
      <c r="E1536" s="3" t="s">
        <v>16</v>
      </c>
      <c r="F1536" s="3">
        <v>2009</v>
      </c>
      <c r="G1536" s="3" t="s">
        <v>12</v>
      </c>
      <c r="H1536" s="3" t="s">
        <v>17</v>
      </c>
      <c r="I1536" s="3" t="s">
        <v>207</v>
      </c>
      <c r="J1536" s="97" t="s">
        <v>3453</v>
      </c>
    </row>
    <row r="1537" spans="1:10" ht="28.9" customHeight="1" thickTop="1" thickBot="1" x14ac:dyDescent="0.65">
      <c r="A1537" s="5">
        <v>1535</v>
      </c>
      <c r="B1537" s="82" t="str">
        <f>HYPERLINK("https://search.naver.com/search.naver?query=비우티풀 영화", "비우티풀")</f>
        <v>비우티풀</v>
      </c>
      <c r="C1537" s="47">
        <v>8.44</v>
      </c>
      <c r="D1537" s="6" t="s">
        <v>1685</v>
      </c>
      <c r="E1537" s="5" t="s">
        <v>1567</v>
      </c>
      <c r="F1537" s="5">
        <v>2010</v>
      </c>
      <c r="G1537" s="5" t="s">
        <v>12</v>
      </c>
      <c r="H1537" s="5" t="s">
        <v>17</v>
      </c>
      <c r="I1537" s="5" t="s">
        <v>28</v>
      </c>
      <c r="J1537" s="98" t="s">
        <v>3455</v>
      </c>
    </row>
    <row r="1538" spans="1:10" ht="28.9" customHeight="1" thickTop="1" thickBot="1" x14ac:dyDescent="0.65">
      <c r="A1538" s="3">
        <v>1536</v>
      </c>
      <c r="B1538" s="83" t="str">
        <f>HYPERLINK("https://search.naver.com/search.naver?query=비잉 더 리카도 영화", "비잉 더 리카도")</f>
        <v>비잉 더 리카도</v>
      </c>
      <c r="C1538" s="45">
        <v>6.4</v>
      </c>
      <c r="D1538" s="4" t="s">
        <v>1686</v>
      </c>
      <c r="E1538" s="3" t="s">
        <v>20</v>
      </c>
      <c r="F1538" s="3">
        <v>2021</v>
      </c>
      <c r="G1538" s="3" t="s">
        <v>12</v>
      </c>
      <c r="H1538" s="3" t="s">
        <v>17</v>
      </c>
      <c r="I1538" s="3" t="s">
        <v>280</v>
      </c>
      <c r="J1538" s="97" t="s">
        <v>3438</v>
      </c>
    </row>
    <row r="1539" spans="1:10" ht="28.9" customHeight="1" thickTop="1" thickBot="1" x14ac:dyDescent="0.65">
      <c r="A1539" s="5">
        <v>1537</v>
      </c>
      <c r="B1539" s="82" t="str">
        <f>HYPERLINK("https://search.naver.com/search.naver?query=비치 영화", "비치")</f>
        <v>비치</v>
      </c>
      <c r="C1539" s="47">
        <v>7.97</v>
      </c>
      <c r="D1539" s="6" t="s">
        <v>1687</v>
      </c>
      <c r="E1539" s="5" t="s">
        <v>20</v>
      </c>
      <c r="F1539" s="5">
        <v>2000</v>
      </c>
      <c r="G1539" s="5" t="s">
        <v>12</v>
      </c>
      <c r="H1539" s="5" t="s">
        <v>824</v>
      </c>
      <c r="I1539" s="5" t="s">
        <v>53</v>
      </c>
      <c r="J1539" s="98" t="s">
        <v>3458</v>
      </c>
    </row>
    <row r="1540" spans="1:10" ht="28.9" customHeight="1" thickTop="1" thickBot="1" x14ac:dyDescent="0.65">
      <c r="A1540" s="3">
        <v>1538</v>
      </c>
      <c r="B1540" s="83" t="str">
        <f>HYPERLINK("https://search.naver.com/search.naver?query=비키와 그녀의 미스테리 영화", "비키와 그녀의 미스테리")</f>
        <v>비키와 그녀의 미스테리</v>
      </c>
      <c r="C1540" s="45">
        <v>6.4</v>
      </c>
      <c r="D1540" s="4" t="s">
        <v>1688</v>
      </c>
      <c r="E1540" s="3" t="s">
        <v>210</v>
      </c>
      <c r="F1540" s="3">
        <v>2021</v>
      </c>
      <c r="G1540" s="3" t="s">
        <v>12</v>
      </c>
      <c r="H1540" s="3" t="s">
        <v>17</v>
      </c>
      <c r="I1540" s="3" t="s">
        <v>111</v>
      </c>
      <c r="J1540" s="97" t="s">
        <v>3438</v>
      </c>
    </row>
    <row r="1541" spans="1:10" ht="28.9" customHeight="1" thickTop="1" thickBot="1" x14ac:dyDescent="0.65">
      <c r="A1541" s="5">
        <v>1539</v>
      </c>
      <c r="B1541" s="82" t="str">
        <f>HYPERLINK("https://search.naver.com/search.naver?query=비투스 영화", "비투스")</f>
        <v>비투스</v>
      </c>
      <c r="C1541" s="47">
        <v>8.9600000000000009</v>
      </c>
      <c r="D1541" s="6" t="s">
        <v>1689</v>
      </c>
      <c r="E1541" s="5" t="s">
        <v>247</v>
      </c>
      <c r="F1541" s="5">
        <v>2006</v>
      </c>
      <c r="G1541" s="5" t="s">
        <v>12</v>
      </c>
      <c r="H1541" s="5" t="s">
        <v>17</v>
      </c>
      <c r="I1541" s="5" t="s">
        <v>58</v>
      </c>
      <c r="J1541" s="98" t="s">
        <v>3460</v>
      </c>
    </row>
    <row r="1542" spans="1:10" ht="28.9" customHeight="1" thickTop="1" thickBot="1" x14ac:dyDescent="0.65">
      <c r="A1542" s="3">
        <v>1540</v>
      </c>
      <c r="B1542" s="83" t="str">
        <f>HYPERLINK("https://search.naver.com/search.naver?query=비포 미드나잇 영화", "비포 미드나잇")</f>
        <v>비포 미드나잇</v>
      </c>
      <c r="C1542" s="45">
        <v>8.31</v>
      </c>
      <c r="D1542" s="4" t="s">
        <v>1690</v>
      </c>
      <c r="E1542" s="3" t="s">
        <v>20</v>
      </c>
      <c r="F1542" s="3">
        <v>2013</v>
      </c>
      <c r="G1542" s="3" t="s">
        <v>12</v>
      </c>
      <c r="H1542" s="3" t="s">
        <v>17</v>
      </c>
      <c r="I1542" s="3" t="s">
        <v>137</v>
      </c>
      <c r="J1542" s="97" t="s">
        <v>3451</v>
      </c>
    </row>
    <row r="1543" spans="1:10" ht="28.9" customHeight="1" thickTop="1" thickBot="1" x14ac:dyDescent="0.65">
      <c r="A1543" s="5">
        <v>1541</v>
      </c>
      <c r="B1543" s="82" t="str">
        <f>HYPERLINK("https://search.naver.com/search.naver?query=비포 선라이즈 영화", "비포 선라이즈")</f>
        <v>비포 선라이즈</v>
      </c>
      <c r="C1543" s="47">
        <v>8.94</v>
      </c>
      <c r="D1543" s="6" t="s">
        <v>1691</v>
      </c>
      <c r="E1543" s="5" t="s">
        <v>20</v>
      </c>
      <c r="F1543" s="5">
        <v>1995</v>
      </c>
      <c r="G1543" s="5" t="s">
        <v>12</v>
      </c>
      <c r="H1543" s="5" t="s">
        <v>17</v>
      </c>
      <c r="I1543" s="5" t="s">
        <v>70</v>
      </c>
      <c r="J1543" s="98" t="s">
        <v>3475</v>
      </c>
    </row>
    <row r="1544" spans="1:10" ht="28.9" customHeight="1" thickTop="1" thickBot="1" x14ac:dyDescent="0.65">
      <c r="A1544" s="3">
        <v>1542</v>
      </c>
      <c r="B1544" s="83" t="str">
        <f>HYPERLINK("https://search.naver.com/search.naver?query=비포 선셋 영화", "비포 선셋")</f>
        <v>비포 선셋</v>
      </c>
      <c r="C1544" s="45">
        <v>8.8800000000000008</v>
      </c>
      <c r="D1544" s="4" t="s">
        <v>1692</v>
      </c>
      <c r="E1544" s="3" t="s">
        <v>20</v>
      </c>
      <c r="F1544" s="3">
        <v>2004</v>
      </c>
      <c r="G1544" s="3" t="s">
        <v>12</v>
      </c>
      <c r="H1544" s="3" t="s">
        <v>17</v>
      </c>
      <c r="I1544" s="3" t="s">
        <v>458</v>
      </c>
      <c r="J1544" s="97" t="s">
        <v>3462</v>
      </c>
    </row>
    <row r="1545" spans="1:10" ht="28.9" customHeight="1" thickTop="1" thickBot="1" x14ac:dyDescent="0.65">
      <c r="A1545" s="5">
        <v>1543</v>
      </c>
      <c r="B1545" s="82" t="str">
        <f>HYPERLINK("https://search.naver.com/search.naver?query=비포 위 고 영화", "비포 위 고")</f>
        <v>비포 위 고</v>
      </c>
      <c r="C1545" s="47">
        <v>6.4</v>
      </c>
      <c r="D1545" s="6" t="s">
        <v>1693</v>
      </c>
      <c r="E1545" s="5" t="s">
        <v>20</v>
      </c>
      <c r="F1545" s="5">
        <v>2014</v>
      </c>
      <c r="G1545" s="5" t="s">
        <v>12</v>
      </c>
      <c r="H1545" s="5" t="s">
        <v>17</v>
      </c>
      <c r="I1545" s="5" t="s">
        <v>111</v>
      </c>
      <c r="J1545" s="98" t="s">
        <v>3437</v>
      </c>
    </row>
    <row r="1546" spans="1:10" ht="28.9" customHeight="1" thickTop="1" thickBot="1" x14ac:dyDescent="0.65">
      <c r="A1546" s="3">
        <v>1544</v>
      </c>
      <c r="B1546" s="83" t="str">
        <f>HYPERLINK("https://search.naver.com/search.naver?query=비홀드 마이 하트 영화", "비홀드 마이 하트")</f>
        <v>비홀드 마이 하트</v>
      </c>
      <c r="C1546" s="45">
        <v>9.4499999999999993</v>
      </c>
      <c r="D1546" s="4" t="s">
        <v>1694</v>
      </c>
      <c r="E1546" s="3" t="s">
        <v>20</v>
      </c>
      <c r="F1546" s="3">
        <v>2014</v>
      </c>
      <c r="G1546" s="3" t="s">
        <v>12</v>
      </c>
      <c r="H1546" s="3" t="s">
        <v>252</v>
      </c>
      <c r="I1546" s="3" t="s">
        <v>115</v>
      </c>
      <c r="J1546" s="97" t="s">
        <v>3437</v>
      </c>
    </row>
    <row r="1547" spans="1:10" ht="28.9" customHeight="1" thickTop="1" thickBot="1" x14ac:dyDescent="0.65">
      <c r="A1547" s="5">
        <v>1545</v>
      </c>
      <c r="B1547" s="82" t="str">
        <f>HYPERLINK("https://search.naver.com/search.naver?query=빅 게임 영화", "빅 게임")</f>
        <v>빅 게임</v>
      </c>
      <c r="C1547" s="47"/>
      <c r="D1547" s="6" t="s">
        <v>1695</v>
      </c>
      <c r="E1547" s="5" t="s">
        <v>851</v>
      </c>
      <c r="F1547" s="5">
        <v>2014</v>
      </c>
      <c r="G1547" s="5" t="s">
        <v>12</v>
      </c>
      <c r="H1547" s="5" t="s">
        <v>92</v>
      </c>
      <c r="I1547" s="5" t="s">
        <v>96</v>
      </c>
      <c r="J1547" s="98" t="s">
        <v>3437</v>
      </c>
    </row>
    <row r="1548" spans="1:10" ht="28.9" customHeight="1" thickTop="1" thickBot="1" x14ac:dyDescent="0.65">
      <c r="A1548" s="7">
        <v>1546</v>
      </c>
      <c r="B1548" s="84" t="str">
        <f>HYPERLINK("https://search.naver.com/search.naver?query=빅 리틀 라이즈 시즌1", "빅 리틀 라이즈 시즌1")</f>
        <v>빅 리틀 라이즈 시즌1</v>
      </c>
      <c r="C1548" s="49"/>
      <c r="D1548" s="8" t="s">
        <v>1696</v>
      </c>
      <c r="E1548" s="7" t="s">
        <v>20</v>
      </c>
      <c r="F1548" s="7">
        <v>2017</v>
      </c>
      <c r="G1548" s="7" t="s">
        <v>17</v>
      </c>
      <c r="H1548" s="7" t="s">
        <v>17</v>
      </c>
      <c r="I1548" s="7" t="s">
        <v>324</v>
      </c>
      <c r="J1548" s="99" t="s">
        <v>3443</v>
      </c>
    </row>
    <row r="1549" spans="1:10" ht="28.9" customHeight="1" thickTop="1" thickBot="1" x14ac:dyDescent="0.65">
      <c r="A1549" s="7">
        <v>1547</v>
      </c>
      <c r="B1549" s="84" t="str">
        <f>HYPERLINK("https://search.naver.com/search.naver?query=빅 리틀 라이즈 시즌2", "빅 리틀 라이즈 시즌2")</f>
        <v>빅 리틀 라이즈 시즌2</v>
      </c>
      <c r="C1549" s="49"/>
      <c r="D1549" s="8" t="s">
        <v>1696</v>
      </c>
      <c r="E1549" s="7" t="s">
        <v>20</v>
      </c>
      <c r="F1549" s="7">
        <v>2019</v>
      </c>
      <c r="G1549" s="7" t="s">
        <v>17</v>
      </c>
      <c r="H1549" s="7" t="s">
        <v>17</v>
      </c>
      <c r="I1549" s="7" t="s">
        <v>324</v>
      </c>
      <c r="J1549" s="99" t="s">
        <v>3444</v>
      </c>
    </row>
    <row r="1550" spans="1:10" ht="28.9" customHeight="1" thickTop="1" thickBot="1" x14ac:dyDescent="0.65">
      <c r="A1550" s="3">
        <v>1548</v>
      </c>
      <c r="B1550" s="83" t="str">
        <f>HYPERLINK("https://search.naver.com/search.naver?query=빅 미라클 영화", "빅 미라클")</f>
        <v>빅 미라클</v>
      </c>
      <c r="C1550" s="45">
        <v>8.44</v>
      </c>
      <c r="D1550" s="4" t="s">
        <v>1697</v>
      </c>
      <c r="E1550" s="3" t="s">
        <v>20</v>
      </c>
      <c r="F1550" s="3">
        <v>2012</v>
      </c>
      <c r="G1550" s="3" t="s">
        <v>12</v>
      </c>
      <c r="H1550" s="3" t="s">
        <v>17</v>
      </c>
      <c r="I1550" s="3" t="s">
        <v>75</v>
      </c>
      <c r="J1550" s="97" t="s">
        <v>3439</v>
      </c>
    </row>
    <row r="1551" spans="1:10" ht="28.9" customHeight="1" thickTop="1" thickBot="1" x14ac:dyDescent="0.65">
      <c r="A1551" s="5">
        <v>1549</v>
      </c>
      <c r="B1551" s="82" t="str">
        <f>HYPERLINK("https://search.naver.com/search.naver?query=빅 아이즈 영화", "빅 아이즈")</f>
        <v>빅 아이즈</v>
      </c>
      <c r="C1551" s="47">
        <v>7.99</v>
      </c>
      <c r="D1551" s="6" t="s">
        <v>1698</v>
      </c>
      <c r="E1551" s="5" t="s">
        <v>20</v>
      </c>
      <c r="F1551" s="5">
        <v>2014</v>
      </c>
      <c r="G1551" s="5" t="s">
        <v>12</v>
      </c>
      <c r="H1551" s="5" t="s">
        <v>17</v>
      </c>
      <c r="I1551" s="5" t="s">
        <v>286</v>
      </c>
      <c r="J1551" s="98" t="s">
        <v>3437</v>
      </c>
    </row>
    <row r="1552" spans="1:10" ht="28.9" customHeight="1" thickTop="1" thickBot="1" x14ac:dyDescent="0.65">
      <c r="A1552" s="3">
        <v>1550</v>
      </c>
      <c r="B1552" s="83" t="str">
        <f>HYPERLINK("https://search.naver.com/search.naver?query=빅 웨딩 영화", "빅 웨딩")</f>
        <v>빅 웨딩</v>
      </c>
      <c r="C1552" s="45">
        <v>6.47</v>
      </c>
      <c r="D1552" s="4" t="s">
        <v>1699</v>
      </c>
      <c r="E1552" s="3" t="s">
        <v>20</v>
      </c>
      <c r="F1552" s="3">
        <v>2013</v>
      </c>
      <c r="G1552" s="3" t="s">
        <v>12</v>
      </c>
      <c r="H1552" s="3" t="s">
        <v>68</v>
      </c>
      <c r="I1552" s="3" t="s">
        <v>119</v>
      </c>
      <c r="J1552" s="97" t="s">
        <v>3451</v>
      </c>
    </row>
    <row r="1553" spans="1:10" ht="28.9" customHeight="1" thickTop="1" thickBot="1" x14ac:dyDescent="0.65">
      <c r="A1553" s="5">
        <v>1551</v>
      </c>
      <c r="B1553" s="82" t="str">
        <f>HYPERLINK("https://search.naver.com/search.naver?query=빅쇼트 영화", "빅쇼트")</f>
        <v>빅쇼트</v>
      </c>
      <c r="C1553" s="47">
        <v>8.11</v>
      </c>
      <c r="D1553" s="6" t="s">
        <v>1700</v>
      </c>
      <c r="E1553" s="5" t="s">
        <v>20</v>
      </c>
      <c r="F1553" s="5">
        <v>2015</v>
      </c>
      <c r="G1553" s="5" t="s">
        <v>12</v>
      </c>
      <c r="H1553" s="5" t="s">
        <v>17</v>
      </c>
      <c r="I1553" s="5" t="s">
        <v>34</v>
      </c>
      <c r="J1553" s="98" t="s">
        <v>3440</v>
      </c>
    </row>
    <row r="1554" spans="1:10" ht="28.9" customHeight="1" thickTop="1" thickBot="1" x14ac:dyDescent="0.65">
      <c r="A1554" s="3">
        <v>1552</v>
      </c>
      <c r="B1554" s="83" t="str">
        <f>HYPERLINK("https://search.naver.com/search.naver?query=빅식 영화", "빅식")</f>
        <v>빅식</v>
      </c>
      <c r="C1554" s="45">
        <v>8.66</v>
      </c>
      <c r="D1554" s="4" t="s">
        <v>1701</v>
      </c>
      <c r="E1554" s="3" t="s">
        <v>20</v>
      </c>
      <c r="F1554" s="3">
        <v>2017</v>
      </c>
      <c r="G1554" s="3" t="s">
        <v>12</v>
      </c>
      <c r="H1554" s="3" t="s">
        <v>68</v>
      </c>
      <c r="I1554" s="3" t="s">
        <v>86</v>
      </c>
      <c r="J1554" s="97" t="s">
        <v>3443</v>
      </c>
    </row>
    <row r="1555" spans="1:10" ht="28.9" customHeight="1" thickTop="1" thickBot="1" x14ac:dyDescent="0.65">
      <c r="A1555" s="5">
        <v>1553</v>
      </c>
      <c r="B1555" s="82" t="str">
        <f>HYPERLINK("https://search.naver.com/search.naver?query=빅토리 영화", "빅토리")</f>
        <v>빅토리</v>
      </c>
      <c r="C1555" s="47">
        <v>7.89</v>
      </c>
      <c r="D1555" s="6" t="s">
        <v>1702</v>
      </c>
      <c r="E1555" s="5" t="s">
        <v>11</v>
      </c>
      <c r="F1555" s="5">
        <v>2024</v>
      </c>
      <c r="G1555" s="5" t="s">
        <v>12</v>
      </c>
      <c r="H1555" s="5" t="s">
        <v>17</v>
      </c>
      <c r="I1555" s="5" t="s">
        <v>96</v>
      </c>
      <c r="J1555" s="98" t="s">
        <v>3448</v>
      </c>
    </row>
    <row r="1556" spans="1:10" ht="28.9" customHeight="1" thickTop="1" thickBot="1" x14ac:dyDescent="0.65">
      <c r="A1556" s="3">
        <v>1554</v>
      </c>
      <c r="B1556" s="83" t="str">
        <f>HYPERLINK("https://search.naver.com/search.naver?query=빅토리아 &amp; 압둘 영화", "빅토리아 &amp; 압둘")</f>
        <v>빅토리아 &amp; 압둘</v>
      </c>
      <c r="C1556" s="45">
        <v>4.8899999999999997</v>
      </c>
      <c r="D1556" s="4" t="s">
        <v>1703</v>
      </c>
      <c r="E1556" s="3" t="s">
        <v>24</v>
      </c>
      <c r="F1556" s="3">
        <v>2017</v>
      </c>
      <c r="G1556" s="3" t="s">
        <v>12</v>
      </c>
      <c r="H1556" s="3" t="s">
        <v>17</v>
      </c>
      <c r="I1556" s="3" t="s">
        <v>278</v>
      </c>
      <c r="J1556" s="97" t="s">
        <v>3443</v>
      </c>
    </row>
    <row r="1557" spans="1:10" ht="28.9" customHeight="1" thickTop="1" thickBot="1" x14ac:dyDescent="0.65">
      <c r="A1557" s="5">
        <v>1555</v>
      </c>
      <c r="B1557" s="82" t="str">
        <f>HYPERLINK("https://search.naver.com/search.naver?query=빈 집 영화", "빈 집")</f>
        <v>빈 집</v>
      </c>
      <c r="C1557" s="47">
        <v>7.9</v>
      </c>
      <c r="D1557" s="6" t="s">
        <v>1704</v>
      </c>
      <c r="E1557" s="5" t="s">
        <v>11</v>
      </c>
      <c r="F1557" s="5">
        <v>2004</v>
      </c>
      <c r="G1557" s="5" t="s">
        <v>12</v>
      </c>
      <c r="H1557" s="5" t="s">
        <v>17</v>
      </c>
      <c r="I1557" s="5" t="s">
        <v>111</v>
      </c>
      <c r="J1557" s="98" t="s">
        <v>3462</v>
      </c>
    </row>
    <row r="1558" spans="1:10" ht="28.9" customHeight="1" thickTop="1" thickBot="1" x14ac:dyDescent="0.65">
      <c r="A1558" s="3">
        <v>1556</v>
      </c>
      <c r="B1558" s="83" t="str">
        <f>HYPERLINK("https://cine21.com/movie/info/?movie_id=56427", "빌런")</f>
        <v>빌런</v>
      </c>
      <c r="C1558" s="45"/>
      <c r="D1558" s="4" t="s">
        <v>1705</v>
      </c>
      <c r="E1558" s="3" t="s">
        <v>24</v>
      </c>
      <c r="F1558" s="3">
        <v>2020</v>
      </c>
      <c r="G1558" s="3" t="s">
        <v>12</v>
      </c>
      <c r="H1558" s="3" t="s">
        <v>198</v>
      </c>
      <c r="I1558" s="3" t="s">
        <v>124</v>
      </c>
      <c r="J1558" s="97" t="s">
        <v>3436</v>
      </c>
    </row>
    <row r="1559" spans="1:10" ht="28.9" customHeight="1" thickTop="1" thickBot="1" x14ac:dyDescent="0.65">
      <c r="A1559" s="5">
        <v>1557</v>
      </c>
      <c r="B1559" s="82" t="str">
        <f>HYPERLINK("https://search.naver.com/search.naver?query=빌리 린스 롱 하프타임 워크 영화", "빌리 린스 롱 하프타임 워크")</f>
        <v>빌리 린스 롱 하프타임 워크</v>
      </c>
      <c r="C1559" s="47">
        <v>6.4</v>
      </c>
      <c r="D1559" s="6" t="s">
        <v>1706</v>
      </c>
      <c r="E1559" s="5" t="s">
        <v>20</v>
      </c>
      <c r="F1559" s="5">
        <v>2016</v>
      </c>
      <c r="G1559" s="5" t="s">
        <v>12</v>
      </c>
      <c r="H1559" s="5" t="s">
        <v>17</v>
      </c>
      <c r="I1559" s="5" t="s">
        <v>73</v>
      </c>
      <c r="J1559" s="98" t="s">
        <v>3441</v>
      </c>
    </row>
    <row r="1560" spans="1:10" ht="28.9" customHeight="1" thickTop="1" thickBot="1" x14ac:dyDescent="0.65">
      <c r="A1560" s="3">
        <v>1558</v>
      </c>
      <c r="B1560" s="83" t="str">
        <f>HYPERLINK("https://search.naver.com/search.naver?query=빌리 진 킹 세기의 대결 영화", "빌리 진 킹 - 세기의 대결")</f>
        <v>빌리 진 킹 - 세기의 대결</v>
      </c>
      <c r="C1560" s="45">
        <v>8.7799999999999994</v>
      </c>
      <c r="D1560" s="4" t="s">
        <v>1707</v>
      </c>
      <c r="E1560" s="3" t="s">
        <v>20</v>
      </c>
      <c r="F1560" s="3">
        <v>2017</v>
      </c>
      <c r="G1560" s="3" t="s">
        <v>12</v>
      </c>
      <c r="H1560" s="3" t="s">
        <v>17</v>
      </c>
      <c r="I1560" s="3" t="s">
        <v>142</v>
      </c>
      <c r="J1560" s="97" t="s">
        <v>3443</v>
      </c>
    </row>
    <row r="1561" spans="1:10" ht="28.9" customHeight="1" thickTop="1" thickBot="1" x14ac:dyDescent="0.65">
      <c r="A1561" s="7">
        <v>1559</v>
      </c>
      <c r="B1561" s="84" t="str">
        <f>HYPERLINK("https://search.naver.com/search.naver?query=빌리언스 시즌1", "빌리언스 시즌1")</f>
        <v>빌리언스 시즌1</v>
      </c>
      <c r="C1561" s="49"/>
      <c r="D1561" s="8" t="s">
        <v>1708</v>
      </c>
      <c r="E1561" s="7" t="s">
        <v>20</v>
      </c>
      <c r="F1561" s="7">
        <v>2016</v>
      </c>
      <c r="G1561" s="7" t="s">
        <v>17</v>
      </c>
      <c r="H1561" s="7" t="s">
        <v>17</v>
      </c>
      <c r="I1561" s="7" t="s">
        <v>893</v>
      </c>
      <c r="J1561" s="99" t="s">
        <v>3441</v>
      </c>
    </row>
    <row r="1562" spans="1:10" ht="28.9" customHeight="1" thickTop="1" thickBot="1" x14ac:dyDescent="0.65">
      <c r="A1562" s="7">
        <v>1560</v>
      </c>
      <c r="B1562" s="84" t="str">
        <f>HYPERLINK("https://search.naver.com/search.naver?query=빌리언스 시즌2", "빌리언스 시즌2")</f>
        <v>빌리언스 시즌2</v>
      </c>
      <c r="C1562" s="49"/>
      <c r="D1562" s="8" t="s">
        <v>1708</v>
      </c>
      <c r="E1562" s="7" t="s">
        <v>20</v>
      </c>
      <c r="F1562" s="7">
        <v>2017</v>
      </c>
      <c r="G1562" s="7" t="s">
        <v>17</v>
      </c>
      <c r="H1562" s="7" t="s">
        <v>17</v>
      </c>
      <c r="I1562" s="7" t="s">
        <v>893</v>
      </c>
      <c r="J1562" s="99" t="s">
        <v>3443</v>
      </c>
    </row>
    <row r="1563" spans="1:10" ht="28.9" customHeight="1" thickTop="1" thickBot="1" x14ac:dyDescent="0.65">
      <c r="A1563" s="7">
        <v>1561</v>
      </c>
      <c r="B1563" s="84" t="str">
        <f>HYPERLINK("https://search.naver.com/search.naver?query=빌리언스 시즌3", "빌리언스 시즌3")</f>
        <v>빌리언스 시즌3</v>
      </c>
      <c r="C1563" s="49"/>
      <c r="D1563" s="8" t="s">
        <v>1708</v>
      </c>
      <c r="E1563" s="7" t="s">
        <v>20</v>
      </c>
      <c r="F1563" s="7">
        <v>2018</v>
      </c>
      <c r="G1563" s="7" t="s">
        <v>17</v>
      </c>
      <c r="H1563" s="7" t="s">
        <v>17</v>
      </c>
      <c r="I1563" s="7" t="s">
        <v>893</v>
      </c>
      <c r="J1563" s="99" t="s">
        <v>3442</v>
      </c>
    </row>
    <row r="1564" spans="1:10" ht="28.9" customHeight="1" thickTop="1" thickBot="1" x14ac:dyDescent="0.65">
      <c r="A1564" s="7">
        <v>1562</v>
      </c>
      <c r="B1564" s="84" t="str">
        <f>HYPERLINK("https://search.naver.com/search.naver?query=빌리언스 시즌4", "빌리언스 시즌4")</f>
        <v>빌리언스 시즌4</v>
      </c>
      <c r="C1564" s="49"/>
      <c r="D1564" s="8"/>
      <c r="E1564" s="7" t="s">
        <v>20</v>
      </c>
      <c r="F1564" s="7">
        <v>2019</v>
      </c>
      <c r="G1564" s="7" t="s">
        <v>17</v>
      </c>
      <c r="H1564" s="7" t="s">
        <v>17</v>
      </c>
      <c r="I1564" s="7" t="s">
        <v>893</v>
      </c>
      <c r="J1564" s="99" t="s">
        <v>3444</v>
      </c>
    </row>
    <row r="1565" spans="1:10" ht="28.9" customHeight="1" thickTop="1" thickBot="1" x14ac:dyDescent="0.65">
      <c r="A1565" s="7">
        <v>1563</v>
      </c>
      <c r="B1565" s="84" t="str">
        <f>HYPERLINK("https://search.naver.com/search.naver?query=빌리언스 시즌5", "빌리언스 시즌5")</f>
        <v>빌리언스 시즌5</v>
      </c>
      <c r="C1565" s="49"/>
      <c r="D1565" s="8" t="s">
        <v>1708</v>
      </c>
      <c r="E1565" s="7" t="s">
        <v>20</v>
      </c>
      <c r="F1565" s="7">
        <v>2020</v>
      </c>
      <c r="G1565" s="7" t="s">
        <v>17</v>
      </c>
      <c r="H1565" s="7" t="s">
        <v>17</v>
      </c>
      <c r="I1565" s="7" t="s">
        <v>893</v>
      </c>
      <c r="J1565" s="99" t="s">
        <v>3436</v>
      </c>
    </row>
    <row r="1566" spans="1:10" ht="28.9" customHeight="1" thickTop="1" thickBot="1" x14ac:dyDescent="0.65">
      <c r="A1566" s="7">
        <v>1564</v>
      </c>
      <c r="B1566" s="84" t="str">
        <f>HYPERLINK("https://search.naver.com/search.naver?query=빌리언스 시즌6", "빌리언스 시즌6")</f>
        <v>빌리언스 시즌6</v>
      </c>
      <c r="C1566" s="49"/>
      <c r="D1566" s="8" t="s">
        <v>1708</v>
      </c>
      <c r="E1566" s="7" t="s">
        <v>20</v>
      </c>
      <c r="F1566" s="7">
        <v>2022</v>
      </c>
      <c r="G1566" s="7" t="s">
        <v>17</v>
      </c>
      <c r="H1566" s="7" t="s">
        <v>17</v>
      </c>
      <c r="I1566" s="7" t="s">
        <v>893</v>
      </c>
      <c r="J1566" s="99" t="s">
        <v>3445</v>
      </c>
    </row>
    <row r="1567" spans="1:10" ht="28.9" customHeight="1" thickTop="1" thickBot="1" x14ac:dyDescent="0.65">
      <c r="A1567" s="5">
        <v>1565</v>
      </c>
      <c r="B1567" s="82" t="str">
        <f>HYPERLINK("https://search.naver.com/search.naver?query=빙 플린 영화", "빙 플린")</f>
        <v>빙 플린</v>
      </c>
      <c r="C1567" s="47"/>
      <c r="D1567" s="6" t="s">
        <v>1709</v>
      </c>
      <c r="E1567" s="5" t="s">
        <v>20</v>
      </c>
      <c r="F1567" s="5">
        <v>2012</v>
      </c>
      <c r="G1567" s="5" t="s">
        <v>12</v>
      </c>
      <c r="H1567" s="5" t="s">
        <v>17</v>
      </c>
      <c r="I1567" s="5" t="s">
        <v>99</v>
      </c>
      <c r="J1567" s="98" t="s">
        <v>3439</v>
      </c>
    </row>
    <row r="1568" spans="1:10" ht="28.9" customHeight="1" thickTop="1" thickBot="1" x14ac:dyDescent="0.65">
      <c r="A1568" s="3">
        <v>1566</v>
      </c>
      <c r="B1568" s="83" t="str">
        <f>HYPERLINK("https://search.naver.com/search.naver?query=빛나는 영화", "빛나는")</f>
        <v>빛나는</v>
      </c>
      <c r="C1568" s="45">
        <v>8.2200000000000006</v>
      </c>
      <c r="D1568" s="4" t="s">
        <v>1710</v>
      </c>
      <c r="E1568" s="3" t="s">
        <v>16</v>
      </c>
      <c r="F1568" s="3">
        <v>2017</v>
      </c>
      <c r="G1568" s="3" t="s">
        <v>12</v>
      </c>
      <c r="H1568" s="3" t="s">
        <v>17</v>
      </c>
      <c r="I1568" s="3" t="s">
        <v>99</v>
      </c>
      <c r="J1568" s="97" t="s">
        <v>3443</v>
      </c>
    </row>
    <row r="1569" spans="1:10" ht="28.9" customHeight="1" thickTop="1" thickBot="1" x14ac:dyDescent="0.65">
      <c r="A1569" s="5">
        <v>1567</v>
      </c>
      <c r="B1569" s="82" t="str">
        <f>HYPERLINK("https://search.naver.com/search.naver?query=빠삐용 영화", "빠삐용")</f>
        <v>빠삐용</v>
      </c>
      <c r="C1569" s="47">
        <v>8.86</v>
      </c>
      <c r="D1569" s="6" t="s">
        <v>1711</v>
      </c>
      <c r="E1569" s="5" t="s">
        <v>20</v>
      </c>
      <c r="F1569" s="5">
        <v>2017</v>
      </c>
      <c r="G1569" s="5" t="s">
        <v>12</v>
      </c>
      <c r="H1569" s="5" t="s">
        <v>17</v>
      </c>
      <c r="I1569" s="5" t="s">
        <v>83</v>
      </c>
      <c r="J1569" s="98" t="s">
        <v>3443</v>
      </c>
    </row>
    <row r="1570" spans="1:10" ht="28.9" customHeight="1" thickTop="1" thickBot="1" x14ac:dyDescent="0.65">
      <c r="A1570" s="3">
        <v>1568</v>
      </c>
      <c r="B1570" s="83" t="str">
        <f>HYPERLINK("https://search.naver.com/search.naver?query=뺑반 영화", "뺑반")</f>
        <v>뺑반</v>
      </c>
      <c r="C1570" s="45">
        <v>7.15</v>
      </c>
      <c r="D1570" s="4" t="s">
        <v>1712</v>
      </c>
      <c r="E1570" s="3" t="s">
        <v>11</v>
      </c>
      <c r="F1570" s="3">
        <v>2018</v>
      </c>
      <c r="G1570" s="3" t="s">
        <v>12</v>
      </c>
      <c r="H1570" s="3" t="s">
        <v>92</v>
      </c>
      <c r="I1570" s="3" t="s">
        <v>83</v>
      </c>
      <c r="J1570" s="97" t="s">
        <v>3442</v>
      </c>
    </row>
    <row r="1571" spans="1:10" ht="28.9" customHeight="1" thickTop="1" thickBot="1" x14ac:dyDescent="0.65">
      <c r="A1571" s="5">
        <v>1569</v>
      </c>
      <c r="B1571" s="82" t="str">
        <f>HYPERLINK("https://search.naver.com/search.naver?query=쁘띠 아만다 영화", "쁘띠 아만다")</f>
        <v>쁘띠 아만다</v>
      </c>
      <c r="C1571" s="47">
        <v>8.67</v>
      </c>
      <c r="D1571" s="6" t="s">
        <v>1713</v>
      </c>
      <c r="E1571" s="5" t="s">
        <v>210</v>
      </c>
      <c r="F1571" s="5">
        <v>2018</v>
      </c>
      <c r="G1571" s="5" t="s">
        <v>12</v>
      </c>
      <c r="H1571" s="5" t="s">
        <v>17</v>
      </c>
      <c r="I1571" s="5" t="s">
        <v>75</v>
      </c>
      <c r="J1571" s="98" t="s">
        <v>3442</v>
      </c>
    </row>
    <row r="1572" spans="1:10" ht="28.9" customHeight="1" thickTop="1" thickBot="1" x14ac:dyDescent="0.65">
      <c r="A1572" s="7">
        <v>1570</v>
      </c>
      <c r="B1572" s="84" t="str">
        <f>HYPERLINK("https://search.naver.com/search.naver?query=사나다마루", "사나다마루")</f>
        <v>사나다마루</v>
      </c>
      <c r="C1572" s="49"/>
      <c r="D1572" s="8" t="s">
        <v>1714</v>
      </c>
      <c r="E1572" s="7" t="s">
        <v>16</v>
      </c>
      <c r="F1572" s="7">
        <v>2016</v>
      </c>
      <c r="G1572" s="7" t="s">
        <v>17</v>
      </c>
      <c r="H1572" s="7" t="s">
        <v>346</v>
      </c>
      <c r="I1572" s="7" t="s">
        <v>347</v>
      </c>
      <c r="J1572" s="99" t="s">
        <v>3441</v>
      </c>
    </row>
    <row r="1573" spans="1:10" ht="28.9" customHeight="1" thickTop="1" thickBot="1" x14ac:dyDescent="0.65">
      <c r="A1573" s="5">
        <v>1571</v>
      </c>
      <c r="B1573" s="82" t="str">
        <f>HYPERLINK("https://search.naver.com/search.naver?query=사냥 영화", "사냥")</f>
        <v>사냥</v>
      </c>
      <c r="C1573" s="47">
        <v>5.93</v>
      </c>
      <c r="D1573" s="6" t="s">
        <v>1715</v>
      </c>
      <c r="E1573" s="5" t="s">
        <v>11</v>
      </c>
      <c r="F1573" s="5">
        <v>2016</v>
      </c>
      <c r="G1573" s="5" t="s">
        <v>12</v>
      </c>
      <c r="H1573" s="5" t="s">
        <v>92</v>
      </c>
      <c r="I1573" s="5" t="s">
        <v>111</v>
      </c>
      <c r="J1573" s="98" t="s">
        <v>3441</v>
      </c>
    </row>
    <row r="1574" spans="1:10" ht="28.9" customHeight="1" thickTop="1" thickBot="1" x14ac:dyDescent="0.65">
      <c r="A1574" s="3">
        <v>1572</v>
      </c>
      <c r="B1574" s="83" t="str">
        <f>HYPERLINK("https://cine21.com/movie/info/?movie_id=54142", "사냥의 시간")</f>
        <v>사냥의 시간</v>
      </c>
      <c r="C1574" s="45"/>
      <c r="D1574" s="4" t="s">
        <v>1716</v>
      </c>
      <c r="E1574" s="3" t="s">
        <v>11</v>
      </c>
      <c r="F1574" s="3">
        <v>2020</v>
      </c>
      <c r="G1574" s="3" t="s">
        <v>12</v>
      </c>
      <c r="H1574" s="3" t="s">
        <v>92</v>
      </c>
      <c r="I1574" s="3" t="s">
        <v>543</v>
      </c>
      <c r="J1574" s="97" t="s">
        <v>3436</v>
      </c>
    </row>
    <row r="1575" spans="1:10" ht="28.9" customHeight="1" thickTop="1" thickBot="1" x14ac:dyDescent="0.65">
      <c r="A1575" s="5">
        <v>1573</v>
      </c>
      <c r="B1575" s="82" t="str">
        <f>HYPERLINK("https://search.naver.com/search.naver?query=사도 영화", "사도")</f>
        <v>사도</v>
      </c>
      <c r="C1575" s="47">
        <v>8.49</v>
      </c>
      <c r="D1575" s="6" t="s">
        <v>1717</v>
      </c>
      <c r="E1575" s="5" t="s">
        <v>11</v>
      </c>
      <c r="F1575" s="5">
        <v>2015</v>
      </c>
      <c r="G1575" s="5" t="s">
        <v>12</v>
      </c>
      <c r="H1575" s="5" t="s">
        <v>873</v>
      </c>
      <c r="I1575" s="5" t="s">
        <v>214</v>
      </c>
      <c r="J1575" s="98" t="s">
        <v>3440</v>
      </c>
    </row>
    <row r="1576" spans="1:10" ht="28.9" customHeight="1" thickTop="1" thickBot="1" x14ac:dyDescent="0.65">
      <c r="A1576" s="3">
        <v>1574</v>
      </c>
      <c r="B1576" s="83" t="str">
        <f>HYPERLINK("https://search.naver.com/search.naver?query=사라 영화", "사라")</f>
        <v>사라</v>
      </c>
      <c r="C1576" s="45"/>
      <c r="D1576" s="4" t="s">
        <v>1718</v>
      </c>
      <c r="E1576" s="3" t="s">
        <v>16</v>
      </c>
      <c r="F1576" s="3">
        <v>2014</v>
      </c>
      <c r="G1576" s="3" t="s">
        <v>12</v>
      </c>
      <c r="H1576" s="3" t="s">
        <v>17</v>
      </c>
      <c r="I1576" s="3" t="s">
        <v>111</v>
      </c>
      <c r="J1576" s="97" t="s">
        <v>3437</v>
      </c>
    </row>
    <row r="1577" spans="1:10" ht="28.9" customHeight="1" thickTop="1" thickBot="1" x14ac:dyDescent="0.65">
      <c r="A1577" s="5">
        <v>1575</v>
      </c>
      <c r="B1577" s="82" t="str">
        <f>HYPERLINK("https://search.naver.com/search.naver?query=사라의 열쇠 영화", "사라의 열쇠")</f>
        <v>사라의 열쇠</v>
      </c>
      <c r="C1577" s="47">
        <v>8.43</v>
      </c>
      <c r="D1577" s="6" t="s">
        <v>1718</v>
      </c>
      <c r="E1577" s="5" t="s">
        <v>210</v>
      </c>
      <c r="F1577" s="5">
        <v>2010</v>
      </c>
      <c r="G1577" s="5" t="s">
        <v>12</v>
      </c>
      <c r="H1577" s="5" t="s">
        <v>17</v>
      </c>
      <c r="I1577" s="5" t="s">
        <v>102</v>
      </c>
      <c r="J1577" s="98" t="s">
        <v>3455</v>
      </c>
    </row>
    <row r="1578" spans="1:10" ht="28.9" customHeight="1" thickTop="1" thickBot="1" x14ac:dyDescent="0.65">
      <c r="A1578" s="3">
        <v>1576</v>
      </c>
      <c r="B1578" s="83" t="str">
        <f>HYPERLINK("https://search.naver.com/search.naver?query=사라져버린 영화", "사라져버린")</f>
        <v>사라져버린</v>
      </c>
      <c r="C1578" s="45">
        <v>6.16</v>
      </c>
      <c r="D1578" s="4" t="s">
        <v>1719</v>
      </c>
      <c r="E1578" s="3" t="s">
        <v>20</v>
      </c>
      <c r="F1578" s="3">
        <v>2021</v>
      </c>
      <c r="G1578" s="3" t="s">
        <v>12</v>
      </c>
      <c r="H1578" s="3" t="s">
        <v>92</v>
      </c>
      <c r="I1578" s="3" t="s">
        <v>207</v>
      </c>
      <c r="J1578" s="97" t="s">
        <v>3438</v>
      </c>
    </row>
    <row r="1579" spans="1:10" ht="28.9" customHeight="1" thickTop="1" thickBot="1" x14ac:dyDescent="0.65">
      <c r="A1579" s="5">
        <v>1577</v>
      </c>
      <c r="B1579" s="82" t="str">
        <f>HYPERLINK("https://search.naver.com/search.naver?query=사라진 밤 영화", "사라진 밤")</f>
        <v>사라진 밤</v>
      </c>
      <c r="C1579" s="47">
        <v>7.94</v>
      </c>
      <c r="D1579" s="6" t="s">
        <v>1720</v>
      </c>
      <c r="E1579" s="5" t="s">
        <v>11</v>
      </c>
      <c r="F1579" s="5">
        <v>2018</v>
      </c>
      <c r="G1579" s="5" t="s">
        <v>12</v>
      </c>
      <c r="H1579" s="5" t="s">
        <v>43</v>
      </c>
      <c r="I1579" s="5" t="s">
        <v>70</v>
      </c>
      <c r="J1579" s="98" t="s">
        <v>3442</v>
      </c>
    </row>
    <row r="1580" spans="1:10" ht="28.9" customHeight="1" thickTop="1" thickBot="1" x14ac:dyDescent="0.65">
      <c r="A1580" s="3">
        <v>1578</v>
      </c>
      <c r="B1580" s="83" t="str">
        <f>HYPERLINK("https://f-fox1213.tistory.com/99", "사라진 소녀들")</f>
        <v>사라진 소녀들</v>
      </c>
      <c r="C1580" s="45"/>
      <c r="D1580" s="4" t="s">
        <v>1721</v>
      </c>
      <c r="E1580" s="3" t="s">
        <v>20</v>
      </c>
      <c r="F1580" s="3">
        <v>2020</v>
      </c>
      <c r="G1580" s="3" t="s">
        <v>12</v>
      </c>
      <c r="H1580" s="3" t="s">
        <v>17</v>
      </c>
      <c r="I1580" s="3" t="s">
        <v>111</v>
      </c>
      <c r="J1580" s="97" t="s">
        <v>3436</v>
      </c>
    </row>
    <row r="1581" spans="1:10" ht="28.9" customHeight="1" thickTop="1" thickBot="1" x14ac:dyDescent="0.65">
      <c r="A1581" s="5">
        <v>1579</v>
      </c>
      <c r="B1581" s="82" t="str">
        <f>HYPERLINK("https://search.naver.com/search.naver?query=사라짐의 순서 지옥행 제설차 영화", "사라짐의 순서 - 지옥행 제설차")</f>
        <v>사라짐의 순서 - 지옥행 제설차</v>
      </c>
      <c r="C1581" s="47">
        <v>1</v>
      </c>
      <c r="D1581" s="6" t="s">
        <v>1722</v>
      </c>
      <c r="E1581" s="5" t="s">
        <v>39</v>
      </c>
      <c r="F1581" s="5">
        <v>2014</v>
      </c>
      <c r="G1581" s="5" t="s">
        <v>12</v>
      </c>
      <c r="H1581" s="5" t="s">
        <v>92</v>
      </c>
      <c r="I1581" s="5" t="s">
        <v>366</v>
      </c>
      <c r="J1581" s="98" t="s">
        <v>3437</v>
      </c>
    </row>
    <row r="1582" spans="1:10" ht="28.9" customHeight="1" thickTop="1" thickBot="1" x14ac:dyDescent="0.65">
      <c r="A1582" s="3">
        <v>1580</v>
      </c>
      <c r="B1582" s="83" t="str">
        <f>HYPERLINK("https://search.naver.com/search.naver?query=사랑 후에 남겨진 것들 영화", "사랑 후에 남겨진 것들")</f>
        <v>사랑 후에 남겨진 것들</v>
      </c>
      <c r="C1582" s="45">
        <v>8.9</v>
      </c>
      <c r="D1582" s="4" t="s">
        <v>1723</v>
      </c>
      <c r="E1582" s="3" t="s">
        <v>101</v>
      </c>
      <c r="F1582" s="3">
        <v>2009</v>
      </c>
      <c r="G1582" s="3" t="s">
        <v>12</v>
      </c>
      <c r="H1582" s="3" t="s">
        <v>17</v>
      </c>
      <c r="I1582" s="3" t="s">
        <v>150</v>
      </c>
      <c r="J1582" s="97" t="s">
        <v>3453</v>
      </c>
    </row>
    <row r="1583" spans="1:10" ht="28.9" customHeight="1" thickTop="1" thickBot="1" x14ac:dyDescent="0.65">
      <c r="A1583" s="5">
        <v>1581</v>
      </c>
      <c r="B1583" s="82" t="str">
        <f>HYPERLINK("https://search.naver.com/search.naver?query=사랑 후에 오는 것들", "사랑 후에 오는 것들")</f>
        <v>사랑 후에 오는 것들</v>
      </c>
      <c r="C1583" s="47">
        <v>4.32</v>
      </c>
      <c r="D1583" s="6" t="s">
        <v>1724</v>
      </c>
      <c r="E1583" s="5" t="s">
        <v>11</v>
      </c>
      <c r="F1583" s="5">
        <v>2024</v>
      </c>
      <c r="G1583" s="5" t="s">
        <v>12</v>
      </c>
      <c r="H1583" s="5" t="s">
        <v>121</v>
      </c>
      <c r="I1583" s="5" t="s">
        <v>221</v>
      </c>
      <c r="J1583" s="98" t="s">
        <v>3448</v>
      </c>
    </row>
    <row r="1584" spans="1:10" ht="28.9" customHeight="1" thickTop="1" thickBot="1" x14ac:dyDescent="0.65">
      <c r="A1584" s="3">
        <v>1582</v>
      </c>
      <c r="B1584" s="83" t="str">
        <f>HYPERLINK("https://search.naver.com/search.naver?query=사랑 후의 두 여자 영화", "사랑 후의 두 여자")</f>
        <v>사랑 후의 두 여자</v>
      </c>
      <c r="C1584" s="45">
        <v>8.0399999999999991</v>
      </c>
      <c r="D1584" s="4" t="s">
        <v>1725</v>
      </c>
      <c r="E1584" s="3" t="s">
        <v>210</v>
      </c>
      <c r="F1584" s="3">
        <v>2020</v>
      </c>
      <c r="G1584" s="3" t="s">
        <v>12</v>
      </c>
      <c r="H1584" s="3" t="s">
        <v>17</v>
      </c>
      <c r="I1584" s="3" t="s">
        <v>131</v>
      </c>
      <c r="J1584" s="97" t="s">
        <v>3436</v>
      </c>
    </row>
    <row r="1585" spans="1:10" ht="28.9" customHeight="1" thickTop="1" thickBot="1" x14ac:dyDescent="0.65">
      <c r="A1585" s="5">
        <v>1583</v>
      </c>
      <c r="B1585" s="82" t="str">
        <f>HYPERLINK("https://search.naver.com/search.naver?query=사랑노래 약속의 나쿠히토 영화", "사랑노래 - 약속의 나쿠히토")</f>
        <v>사랑노래 - 약속의 나쿠히토</v>
      </c>
      <c r="C1585" s="47">
        <v>6.4</v>
      </c>
      <c r="D1585" s="6" t="s">
        <v>1726</v>
      </c>
      <c r="E1585" s="5" t="s">
        <v>16</v>
      </c>
      <c r="F1585" s="5">
        <v>2019</v>
      </c>
      <c r="G1585" s="5" t="s">
        <v>12</v>
      </c>
      <c r="H1585" s="5" t="s">
        <v>17</v>
      </c>
      <c r="I1585" s="5" t="s">
        <v>111</v>
      </c>
      <c r="J1585" s="98" t="s">
        <v>3444</v>
      </c>
    </row>
    <row r="1586" spans="1:10" ht="28.9" customHeight="1" thickTop="1" thickBot="1" x14ac:dyDescent="0.65">
      <c r="A1586" s="3">
        <v>1584</v>
      </c>
      <c r="B1586" s="83" t="str">
        <f>HYPERLINK("https://search.naver.com/search.naver?query=사랑도 통역이 되나요 영화", "사랑도 통역이 되나요")</f>
        <v>사랑도 통역이 되나요</v>
      </c>
      <c r="C1586" s="45">
        <v>7.2</v>
      </c>
      <c r="D1586" s="4" t="s">
        <v>1727</v>
      </c>
      <c r="E1586" s="3" t="s">
        <v>20</v>
      </c>
      <c r="F1586" s="3">
        <v>2003</v>
      </c>
      <c r="G1586" s="3" t="s">
        <v>12</v>
      </c>
      <c r="H1586" s="3" t="s">
        <v>17</v>
      </c>
      <c r="I1586" s="3" t="s">
        <v>99</v>
      </c>
      <c r="J1586" s="97" t="s">
        <v>3449</v>
      </c>
    </row>
    <row r="1587" spans="1:10" ht="28.9" customHeight="1" thickTop="1" thickBot="1" x14ac:dyDescent="0.65">
      <c r="A1587" s="5">
        <v>1585</v>
      </c>
      <c r="B1587" s="82" t="str">
        <f>HYPERLINK("https://search.naver.com/search.naver?query=사랑보다 황금 영화", "사랑보다 황금")</f>
        <v>사랑보다 황금</v>
      </c>
      <c r="C1587" s="47">
        <v>6.54</v>
      </c>
      <c r="D1587" s="6" t="s">
        <v>1728</v>
      </c>
      <c r="E1587" s="5" t="s">
        <v>20</v>
      </c>
      <c r="F1587" s="5">
        <v>2008</v>
      </c>
      <c r="G1587" s="5" t="s">
        <v>12</v>
      </c>
      <c r="H1587" s="5" t="s">
        <v>824</v>
      </c>
      <c r="I1587" s="5" t="s">
        <v>278</v>
      </c>
      <c r="J1587" s="98" t="s">
        <v>3450</v>
      </c>
    </row>
    <row r="1588" spans="1:10" ht="28.9" customHeight="1" thickTop="1" thickBot="1" x14ac:dyDescent="0.65">
      <c r="A1588" s="3">
        <v>1586</v>
      </c>
      <c r="B1588" s="83" t="str">
        <f>HYPERLINK("https://search.naver.com/search.naver?query=사랑에 대한 모든 것 영화", "사랑에 대한 모든 것")</f>
        <v>사랑에 대한 모든 것</v>
      </c>
      <c r="C1588" s="45">
        <v>7.98</v>
      </c>
      <c r="D1588" s="4" t="s">
        <v>1729</v>
      </c>
      <c r="E1588" s="3" t="s">
        <v>24</v>
      </c>
      <c r="F1588" s="3">
        <v>2014</v>
      </c>
      <c r="G1588" s="3" t="s">
        <v>12</v>
      </c>
      <c r="H1588" s="3" t="s">
        <v>17</v>
      </c>
      <c r="I1588" s="3" t="s">
        <v>58</v>
      </c>
      <c r="J1588" s="97" t="s">
        <v>3437</v>
      </c>
    </row>
    <row r="1589" spans="1:10" ht="28.9" customHeight="1" thickTop="1" thickBot="1" x14ac:dyDescent="0.65">
      <c r="A1589" s="5">
        <v>1587</v>
      </c>
      <c r="B1589" s="82" t="str">
        <f>HYPERLINK("https://search.naver.com/search.naver?query=사랑에 빠진 것처럼 영화", "사랑에 빠진 것처럼")</f>
        <v>사랑에 빠진 것처럼</v>
      </c>
      <c r="C1589" s="47">
        <v>6.92</v>
      </c>
      <c r="D1589" s="6" t="s">
        <v>1730</v>
      </c>
      <c r="E1589" s="5" t="s">
        <v>210</v>
      </c>
      <c r="F1589" s="5">
        <v>2013</v>
      </c>
      <c r="G1589" s="5" t="s">
        <v>12</v>
      </c>
      <c r="H1589" s="5" t="s">
        <v>17</v>
      </c>
      <c r="I1589" s="5" t="s">
        <v>137</v>
      </c>
      <c r="J1589" s="98" t="s">
        <v>3451</v>
      </c>
    </row>
    <row r="1590" spans="1:10" ht="28.9" customHeight="1" thickTop="1" thickBot="1" x14ac:dyDescent="0.65">
      <c r="A1590" s="3">
        <v>1588</v>
      </c>
      <c r="B1590" s="83" t="str">
        <f>HYPERLINK("https://search.naver.com/search.naver?query=사랑은 너무 복잡해 영화", "사랑은 너무 복잡해")</f>
        <v>사랑은 너무 복잡해</v>
      </c>
      <c r="C1590" s="45">
        <v>8.64</v>
      </c>
      <c r="D1590" s="4" t="s">
        <v>1731</v>
      </c>
      <c r="E1590" s="3" t="s">
        <v>20</v>
      </c>
      <c r="F1590" s="3">
        <v>2010</v>
      </c>
      <c r="G1590" s="3" t="s">
        <v>12</v>
      </c>
      <c r="H1590" s="3" t="s">
        <v>68</v>
      </c>
      <c r="I1590" s="3" t="s">
        <v>86</v>
      </c>
      <c r="J1590" s="97" t="s">
        <v>3455</v>
      </c>
    </row>
    <row r="1591" spans="1:10" ht="28.9" customHeight="1" thickTop="1" thickBot="1" x14ac:dyDescent="0.65">
      <c r="A1591" s="5">
        <v>1589</v>
      </c>
      <c r="B1591" s="82" t="str">
        <f>HYPERLINK("https://search.naver.com/search.naver?query=사랑은 비가 갠 뒤처럼 영화", "사랑은 비가 갠 뒤처럼")</f>
        <v>사랑은 비가 갠 뒤처럼</v>
      </c>
      <c r="C1591" s="47">
        <v>9</v>
      </c>
      <c r="D1591" s="6" t="s">
        <v>1732</v>
      </c>
      <c r="E1591" s="5" t="s">
        <v>16</v>
      </c>
      <c r="F1591" s="5">
        <v>2018</v>
      </c>
      <c r="G1591" s="5" t="s">
        <v>12</v>
      </c>
      <c r="H1591" s="5" t="s">
        <v>17</v>
      </c>
      <c r="I1591" s="5" t="s">
        <v>278</v>
      </c>
      <c r="J1591" s="98" t="s">
        <v>3442</v>
      </c>
    </row>
    <row r="1592" spans="1:10" ht="28.9" customHeight="1" thickTop="1" thickBot="1" x14ac:dyDescent="0.65">
      <c r="A1592" s="3">
        <v>1590</v>
      </c>
      <c r="B1592" s="83" t="str">
        <f>HYPERLINK("https://search.naver.com/search.naver?query=사랑을 놓치다 영화", "사랑을 놓치다")</f>
        <v>사랑을 놓치다</v>
      </c>
      <c r="C1592" s="45">
        <v>8.23</v>
      </c>
      <c r="D1592" s="4" t="s">
        <v>1733</v>
      </c>
      <c r="E1592" s="3" t="s">
        <v>11</v>
      </c>
      <c r="F1592" s="3">
        <v>2006</v>
      </c>
      <c r="G1592" s="3" t="s">
        <v>12</v>
      </c>
      <c r="H1592" s="3" t="s">
        <v>121</v>
      </c>
      <c r="I1592" s="3" t="s">
        <v>111</v>
      </c>
      <c r="J1592" s="97" t="s">
        <v>3460</v>
      </c>
    </row>
    <row r="1593" spans="1:10" ht="28.9" customHeight="1" thickTop="1" thickBot="1" x14ac:dyDescent="0.65">
      <c r="A1593" s="5">
        <v>1591</v>
      </c>
      <c r="B1593" s="82" t="str">
        <f>HYPERLINK("https://search.naver.com/search.naver?query=사랑을 부르는, 파리 영화", "사랑을 부르는, 파리")</f>
        <v>사랑을 부르는, 파리</v>
      </c>
      <c r="C1593" s="47">
        <v>7.45</v>
      </c>
      <c r="D1593" s="6" t="s">
        <v>1734</v>
      </c>
      <c r="E1593" s="5" t="s">
        <v>210</v>
      </c>
      <c r="F1593" s="5">
        <v>2009</v>
      </c>
      <c r="G1593" s="5" t="s">
        <v>12</v>
      </c>
      <c r="H1593" s="5" t="s">
        <v>121</v>
      </c>
      <c r="I1593" s="5" t="s">
        <v>34</v>
      </c>
      <c r="J1593" s="98" t="s">
        <v>3453</v>
      </c>
    </row>
    <row r="1594" spans="1:10" ht="28.9" customHeight="1" thickTop="1" thickBot="1" x14ac:dyDescent="0.65">
      <c r="A1594" s="3">
        <v>1592</v>
      </c>
      <c r="B1594" s="83" t="str">
        <f>HYPERLINK("https://search.naver.com/search.naver?query=사랑을 카피하다 영화", "사랑을 카피하다")</f>
        <v>사랑을 카피하다</v>
      </c>
      <c r="C1594" s="45">
        <v>8.33</v>
      </c>
      <c r="D1594" s="4" t="s">
        <v>1735</v>
      </c>
      <c r="E1594" s="3" t="s">
        <v>210</v>
      </c>
      <c r="F1594" s="3">
        <v>2011</v>
      </c>
      <c r="G1594" s="3" t="s">
        <v>12</v>
      </c>
      <c r="H1594" s="3" t="s">
        <v>17</v>
      </c>
      <c r="I1594" s="3" t="s">
        <v>286</v>
      </c>
      <c r="J1594" s="97" t="s">
        <v>3454</v>
      </c>
    </row>
    <row r="1595" spans="1:10" s="54" customFormat="1" ht="28.9" customHeight="1" thickTop="1" thickBot="1" x14ac:dyDescent="0.65">
      <c r="A1595" s="20">
        <v>1593</v>
      </c>
      <c r="B1595" s="82" t="str">
        <f>HYPERLINK("https://search.naver.com/search.naver?query=%EC%82%AC%EB%9E%91%EC%9D%98%20%EB%B8%94%EB%9E%99%ED%99%80%20%EC%98%81%ED%99%94", "사랑의 블랙홀")</f>
        <v>사랑의 블랙홀</v>
      </c>
      <c r="C1595" s="53">
        <v>8.59</v>
      </c>
      <c r="D1595" s="19" t="s">
        <v>1736</v>
      </c>
      <c r="E1595" s="20" t="s">
        <v>20</v>
      </c>
      <c r="F1595" s="20">
        <v>1993</v>
      </c>
      <c r="G1595" s="20" t="s">
        <v>12</v>
      </c>
      <c r="H1595" s="20" t="s">
        <v>121</v>
      </c>
      <c r="I1595" s="20" t="s">
        <v>70</v>
      </c>
      <c r="J1595" s="98" t="s">
        <v>3469</v>
      </c>
    </row>
    <row r="1596" spans="1:10" s="54" customFormat="1" ht="28.9" customHeight="1" thickTop="1" thickBot="1" x14ac:dyDescent="0.65">
      <c r="A1596" s="18">
        <v>1594</v>
      </c>
      <c r="B1596" s="83" t="str">
        <f>HYPERLINK("https://search.naver.com/search.naver?query=%EC%82%AC%EB%9E%91%EC%9D%98%20%EC%88%9C%EA%B0%84%20%EC%98%81%ED%99%94", "사랑의 순간")</f>
        <v>사랑의 순간</v>
      </c>
      <c r="C1596" s="55">
        <v>9.2100000000000009</v>
      </c>
      <c r="D1596" s="21" t="s">
        <v>1737</v>
      </c>
      <c r="E1596" s="18" t="s">
        <v>24</v>
      </c>
      <c r="F1596" s="18">
        <v>2008</v>
      </c>
      <c r="G1596" s="18" t="s">
        <v>12</v>
      </c>
      <c r="H1596" s="18" t="s">
        <v>17</v>
      </c>
      <c r="I1596" s="18" t="s">
        <v>111</v>
      </c>
      <c r="J1596" s="97" t="s">
        <v>3450</v>
      </c>
    </row>
    <row r="1597" spans="1:10" s="54" customFormat="1" ht="28.9" customHeight="1" thickTop="1" thickBot="1" x14ac:dyDescent="0.65">
      <c r="A1597" s="20">
        <v>1595</v>
      </c>
      <c r="B1597" s="82" t="str">
        <f>HYPERLINK("https://search.naver.com/search.naver?query=%EC%82%AC%EB%9E%91%EC%9D%98%20%EC%9C%A0%ED%98%95%EC%A7%80%20%EC%98%81%ED%99%94", "사랑의 유형지")</f>
        <v>사랑의 유형지</v>
      </c>
      <c r="C1597" s="53"/>
      <c r="D1597" s="19" t="s">
        <v>1738</v>
      </c>
      <c r="E1597" s="20" t="s">
        <v>16</v>
      </c>
      <c r="F1597" s="20">
        <v>2007</v>
      </c>
      <c r="G1597" s="20" t="s">
        <v>12</v>
      </c>
      <c r="H1597" s="20" t="s">
        <v>121</v>
      </c>
      <c r="I1597" s="20" t="s">
        <v>214</v>
      </c>
      <c r="J1597" s="98" t="s">
        <v>3447</v>
      </c>
    </row>
    <row r="1598" spans="1:10" s="54" customFormat="1" ht="28.9" customHeight="1" thickTop="1" thickBot="1" x14ac:dyDescent="0.65">
      <c r="A1598" s="18">
        <v>1596</v>
      </c>
      <c r="B1598" s="83" t="str">
        <f>HYPERLINK("https://search.naver.com/search.naver?query=%EC%82%AC%EB%9E%91%EC%9D%98%20%EC%9C%A0%ED%9A%A8%EA%B8%B0%EA%B0%84%EC%9D%80%203%EB%85%84%20%EC%98%81%ED%99%94", "사랑의 유효기간은 3년")</f>
        <v>사랑의 유효기간은 3년</v>
      </c>
      <c r="C1598" s="55">
        <v>7.89</v>
      </c>
      <c r="D1598" s="21" t="s">
        <v>1739</v>
      </c>
      <c r="E1598" s="18" t="s">
        <v>210</v>
      </c>
      <c r="F1598" s="18">
        <v>2014</v>
      </c>
      <c r="G1598" s="18" t="s">
        <v>12</v>
      </c>
      <c r="H1598" s="18" t="s">
        <v>68</v>
      </c>
      <c r="I1598" s="18" t="s">
        <v>124</v>
      </c>
      <c r="J1598" s="97" t="s">
        <v>3437</v>
      </c>
    </row>
    <row r="1599" spans="1:10" s="54" customFormat="1" ht="28.9" customHeight="1" thickTop="1" thickBot="1" x14ac:dyDescent="0.65">
      <c r="A1599" s="20">
        <v>1597</v>
      </c>
      <c r="B1599" s="82" t="str">
        <f>HYPERLINK("https://search.naver.com/search.naver?query=%EC%82%AC%EB%9E%91%EC%9D%B4%20%EC%9D%B4%EB%81%84%EB%8A%94%20%EB%8C%80%EB%A1%9C%20%EC%98%81%ED%99%94", "사랑이 이끄는 대로")</f>
        <v>사랑이 이끄는 대로</v>
      </c>
      <c r="C1599" s="53">
        <v>6.3</v>
      </c>
      <c r="D1599" s="19" t="s">
        <v>1740</v>
      </c>
      <c r="E1599" s="20" t="s">
        <v>210</v>
      </c>
      <c r="F1599" s="20">
        <v>2016</v>
      </c>
      <c r="G1599" s="20" t="s">
        <v>12</v>
      </c>
      <c r="H1599" s="20" t="s">
        <v>68</v>
      </c>
      <c r="I1599" s="20" t="s">
        <v>73</v>
      </c>
      <c r="J1599" s="98" t="s">
        <v>3441</v>
      </c>
    </row>
    <row r="1600" spans="1:10" s="54" customFormat="1" ht="28.9" customHeight="1" thickTop="1" thickBot="1" x14ac:dyDescent="0.65">
      <c r="A1600" s="18">
        <v>1598</v>
      </c>
      <c r="B1600" s="83" t="str">
        <f>HYPERLINK("https://search.naver.com/search.naver?query=%EC%82%AC%EB%9E%91%EC%9D%B4%20%EC%A7%80%EB%82%98%EA%B0%84%20%EC%9E%90%EB%A6%AC%20%EC%98%81%ED%99%94", "사랑이 지나간 자리")</f>
        <v>사랑이 지나간 자리</v>
      </c>
      <c r="C1600" s="55">
        <v>8.26</v>
      </c>
      <c r="D1600" s="21" t="s">
        <v>1741</v>
      </c>
      <c r="E1600" s="18" t="s">
        <v>20</v>
      </c>
      <c r="F1600" s="18">
        <v>1999</v>
      </c>
      <c r="G1600" s="18" t="s">
        <v>12</v>
      </c>
      <c r="H1600" s="18" t="s">
        <v>17</v>
      </c>
      <c r="I1600" s="18" t="s">
        <v>128</v>
      </c>
      <c r="J1600" s="97" t="s">
        <v>3456</v>
      </c>
    </row>
    <row r="1601" spans="1:10" s="54" customFormat="1" ht="28.9" customHeight="1" thickTop="1" thickBot="1" x14ac:dyDescent="0.65">
      <c r="A1601" s="20">
        <v>1599</v>
      </c>
      <c r="B1601" s="82" t="str">
        <f>HYPERLINK("https://search.naver.com/search.naver?query=%EC%82%AC%EB%9E%91%EC%9D%B4%20%EC%A7%80%EB%82%98%EA%B0%84%20%EC%9E%90%EB%A6%AC%20%EC%98%81%ED%99%94", "사랑이 지나간 자리")</f>
        <v>사랑이 지나간 자리</v>
      </c>
      <c r="C1601" s="53">
        <v>9.01</v>
      </c>
      <c r="D1601" s="19" t="s">
        <v>1742</v>
      </c>
      <c r="E1601" s="20" t="s">
        <v>30</v>
      </c>
      <c r="F1601" s="20">
        <v>2018</v>
      </c>
      <c r="G1601" s="20" t="s">
        <v>12</v>
      </c>
      <c r="H1601" s="20" t="s">
        <v>17</v>
      </c>
      <c r="I1601" s="20" t="s">
        <v>237</v>
      </c>
      <c r="J1601" s="98" t="s">
        <v>3442</v>
      </c>
    </row>
    <row r="1602" spans="1:10" s="54" customFormat="1" ht="28.9" customHeight="1" thickTop="1" thickBot="1" x14ac:dyDescent="0.65">
      <c r="A1602" s="18">
        <v>1600</v>
      </c>
      <c r="B1602" s="83" t="str">
        <f>HYPERLINK("https://search.naver.com/search.naver?query=%EC%82%AC%EB%9E%91%ED%95%98%EB%8A%94%20%EB%88%84%EA%B5%B0%EA%B0%80%20%EC%98%81%ED%99%94", "사랑하는 누군가")</f>
        <v>사랑하는 누군가</v>
      </c>
      <c r="C1602" s="55">
        <v>8.61</v>
      </c>
      <c r="D1602" s="21" t="s">
        <v>1743</v>
      </c>
      <c r="E1602" s="18" t="s">
        <v>118</v>
      </c>
      <c r="F1602" s="18">
        <v>2014</v>
      </c>
      <c r="G1602" s="18" t="s">
        <v>12</v>
      </c>
      <c r="H1602" s="18" t="s">
        <v>17</v>
      </c>
      <c r="I1602" s="18" t="s">
        <v>61</v>
      </c>
      <c r="J1602" s="97" t="s">
        <v>3437</v>
      </c>
    </row>
    <row r="1603" spans="1:10" s="54" customFormat="1" ht="28.9" customHeight="1" thickTop="1" thickBot="1" x14ac:dyDescent="0.65">
      <c r="A1603" s="20">
        <v>1601</v>
      </c>
      <c r="B1603" s="82" t="str">
        <f>HYPERLINK("https://search.naver.com/search.naver?query=%EC%82%AC%EB%9E%91%ED%95%A0%20%EB%95%8C%20%EB%B2%84%EB%A0%A4%EC%95%BC%20%ED%95%A0%20%EC%95%84%EA%B9%8C%EC%9A%B4%20%EA%B2%83%EB%93%A4%20%EC%98%81%ED%99%94", "사랑할 때 버려야 할 아까운 것들")</f>
        <v>사랑할 때 버려야 할 아까운 것들</v>
      </c>
      <c r="C1603" s="53"/>
      <c r="D1603" s="19" t="s">
        <v>1744</v>
      </c>
      <c r="E1603" s="20" t="s">
        <v>20</v>
      </c>
      <c r="F1603" s="20">
        <v>2004</v>
      </c>
      <c r="G1603" s="20" t="s">
        <v>12</v>
      </c>
      <c r="H1603" s="20" t="s">
        <v>68</v>
      </c>
      <c r="I1603" s="20" t="s">
        <v>89</v>
      </c>
      <c r="J1603" s="98" t="s">
        <v>3462</v>
      </c>
    </row>
    <row r="1604" spans="1:10" s="54" customFormat="1" ht="28.9" customHeight="1" thickTop="1" thickBot="1" x14ac:dyDescent="0.65">
      <c r="A1604" s="18">
        <v>1602</v>
      </c>
      <c r="B1604" s="83" t="str">
        <f>HYPERLINK("https://search.naver.com/search.naver?query=%EC%82%AC%EB%9E%91%ED%95%B4%2C%20%EB%A7%A4%EA%B8%B0%20%EC%98%81%ED%99%94", "사랑해, 매기")</f>
        <v>사랑해, 매기</v>
      </c>
      <c r="C1604" s="55">
        <v>8.5399999999999991</v>
      </c>
      <c r="D1604" s="21" t="s">
        <v>1745</v>
      </c>
      <c r="E1604" s="18" t="s">
        <v>1567</v>
      </c>
      <c r="F1604" s="18">
        <v>2016</v>
      </c>
      <c r="G1604" s="18" t="s">
        <v>12</v>
      </c>
      <c r="H1604" s="18" t="s">
        <v>68</v>
      </c>
      <c r="I1604" s="18" t="s">
        <v>75</v>
      </c>
      <c r="J1604" s="97" t="s">
        <v>3441</v>
      </c>
    </row>
    <row r="1605" spans="1:10" s="54" customFormat="1" ht="28.9" customHeight="1" thickTop="1" thickBot="1" x14ac:dyDescent="0.65">
      <c r="A1605" s="20">
        <v>1603</v>
      </c>
      <c r="B1605" s="82" t="str">
        <f>HYPERLINK("https://search.naver.com/search.naver?query=%EC%82%AC%EB%A7%88%EB%A6%AC%EC%95%84%20%EC%98%81%ED%99%94", "사마리아")</f>
        <v>사마리아</v>
      </c>
      <c r="C1605" s="53">
        <v>8.57</v>
      </c>
      <c r="D1605" s="19" t="s">
        <v>1746</v>
      </c>
      <c r="E1605" s="20" t="s">
        <v>11</v>
      </c>
      <c r="F1605" s="20">
        <v>2004</v>
      </c>
      <c r="G1605" s="20" t="s">
        <v>12</v>
      </c>
      <c r="H1605" s="20" t="s">
        <v>17</v>
      </c>
      <c r="I1605" s="20" t="s">
        <v>111</v>
      </c>
      <c r="J1605" s="98" t="s">
        <v>3462</v>
      </c>
    </row>
    <row r="1606" spans="1:10" s="54" customFormat="1" ht="28.9" customHeight="1" thickTop="1" thickBot="1" x14ac:dyDescent="0.65">
      <c r="A1606" s="18">
        <v>1604</v>
      </c>
      <c r="B1606" s="83" t="str">
        <f>HYPERLINK("https://search.naver.com/search.naver?query=%EC%82%AC%EB%A7%89%EC%97%90%EC%84%9C%20%EC%97%B0%EC%96%B4%EB%82%9A%EC%8B%9C%20%EC%98%81%ED%99%94", "사막에서 연어낚시")</f>
        <v>사막에서 연어낚시</v>
      </c>
      <c r="C1606" s="55">
        <v>6.89</v>
      </c>
      <c r="D1606" s="21" t="s">
        <v>1747</v>
      </c>
      <c r="E1606" s="18" t="s">
        <v>24</v>
      </c>
      <c r="F1606" s="18">
        <v>2011</v>
      </c>
      <c r="G1606" s="18" t="s">
        <v>12</v>
      </c>
      <c r="H1606" s="18" t="s">
        <v>17</v>
      </c>
      <c r="I1606" s="18" t="s">
        <v>75</v>
      </c>
      <c r="J1606" s="97" t="s">
        <v>3454</v>
      </c>
    </row>
    <row r="1607" spans="1:10" s="54" customFormat="1" ht="28.9" customHeight="1" thickTop="1" thickBot="1" x14ac:dyDescent="0.65">
      <c r="A1607" s="20">
        <v>1605</v>
      </c>
      <c r="B1607" s="82" t="str">
        <f>HYPERLINK("https://search.naver.com/search.naver?query=%EC%82%AC%EB%AC%B4%EB%9D%BC%EC%9D%B4%20%ED%81%AC%EB%A1%9C%EB%8B%88%ED%81%B4%20%EC%98%81%ED%99%94", "사무라이 크로니클")</f>
        <v>사무라이 크로니클</v>
      </c>
      <c r="C1607" s="53">
        <v>8.0500000000000007</v>
      </c>
      <c r="D1607" s="19" t="s">
        <v>3503</v>
      </c>
      <c r="E1607" s="20" t="s">
        <v>16</v>
      </c>
      <c r="F1607" s="20">
        <v>2014</v>
      </c>
      <c r="G1607" s="20" t="s">
        <v>12</v>
      </c>
      <c r="H1607" s="20" t="s">
        <v>873</v>
      </c>
      <c r="I1607" s="20" t="s">
        <v>31</v>
      </c>
      <c r="J1607" s="98" t="s">
        <v>3437</v>
      </c>
    </row>
    <row r="1608" spans="1:10" s="54" customFormat="1" ht="28.9" customHeight="1" thickTop="1" thickBot="1" x14ac:dyDescent="0.65">
      <c r="A1608" s="18">
        <v>1606</v>
      </c>
      <c r="B1608" s="83" t="str">
        <f>HYPERLINK("https://search.naver.com/search.naver?query=%EC%82%AC%EB%B0%94%ED%95%98%20%EC%98%81%ED%99%94", "사바하")</f>
        <v>사바하</v>
      </c>
      <c r="C1608" s="55"/>
      <c r="D1608" s="21" t="s">
        <v>1748</v>
      </c>
      <c r="E1608" s="18" t="s">
        <v>11</v>
      </c>
      <c r="F1608" s="18">
        <v>2019</v>
      </c>
      <c r="G1608" s="18" t="s">
        <v>12</v>
      </c>
      <c r="H1608" s="18" t="s">
        <v>141</v>
      </c>
      <c r="I1608" s="18" t="s">
        <v>105</v>
      </c>
      <c r="J1608" s="97" t="s">
        <v>3444</v>
      </c>
    </row>
    <row r="1609" spans="1:10" s="54" customFormat="1" ht="28.9" customHeight="1" thickTop="1" thickBot="1" x14ac:dyDescent="0.65">
      <c r="A1609" s="20">
        <v>1607</v>
      </c>
      <c r="B1609" s="82" t="str">
        <f>HYPERLINK("https://search.naver.com/search.naver?query=%EC%82%AC%EB%B3%B4%ED%83%80%EC%A7%80%20%EC%98%81%ED%99%94", "사보타지")</f>
        <v>사보타지</v>
      </c>
      <c r="C1609" s="53">
        <v>7.45</v>
      </c>
      <c r="D1609" s="19" t="s">
        <v>1749</v>
      </c>
      <c r="E1609" s="20" t="s">
        <v>20</v>
      </c>
      <c r="F1609" s="20">
        <v>2014</v>
      </c>
      <c r="G1609" s="20" t="s">
        <v>12</v>
      </c>
      <c r="H1609" s="20" t="s">
        <v>92</v>
      </c>
      <c r="I1609" s="20" t="s">
        <v>137</v>
      </c>
      <c r="J1609" s="98" t="s">
        <v>3437</v>
      </c>
    </row>
    <row r="1610" spans="1:10" s="54" customFormat="1" ht="28.9" customHeight="1" thickTop="1" thickBot="1" x14ac:dyDescent="0.65">
      <c r="A1610" s="18">
        <v>1608</v>
      </c>
      <c r="B1610" s="83" t="str">
        <f>HYPERLINK("https://search.naver.com/search.naver?query=%EC%82%AC%EC%9A%94%EB%82%98%EB%9D%BC%20%EC%9D%B4%EC%B8%A0%EC%B9%B4%20%EC%98%81%ED%99%94", "사요나라 이츠카")</f>
        <v>사요나라 이츠카</v>
      </c>
      <c r="C1610" s="55">
        <v>7.72</v>
      </c>
      <c r="D1610" s="21" t="s">
        <v>1750</v>
      </c>
      <c r="E1610" s="18" t="s">
        <v>16</v>
      </c>
      <c r="F1610" s="18">
        <v>2010</v>
      </c>
      <c r="G1610" s="18" t="s">
        <v>12</v>
      </c>
      <c r="H1610" s="18" t="s">
        <v>121</v>
      </c>
      <c r="I1610" s="18" t="s">
        <v>86</v>
      </c>
      <c r="J1610" s="97" t="s">
        <v>3455</v>
      </c>
    </row>
    <row r="1611" spans="1:10" s="54" customFormat="1" ht="28.9" customHeight="1" thickTop="1" thickBot="1" x14ac:dyDescent="0.65">
      <c r="A1611" s="20">
        <v>1609</v>
      </c>
      <c r="B1611" s="82" t="str">
        <f>HYPERLINK("https://search.naver.com/search.naver?query=%EC%82%AC%EC%9A%B0%EC%8A%A4%EC%82%AC%EC%9D%B4%EB%93%9C%20%EC%9C%84%EB%93%9C%20%EC%9C%A0%20%EC%98%81%ED%99%94", "사우스사이드 위드 유")</f>
        <v>사우스사이드 위드 유</v>
      </c>
      <c r="C1611" s="53">
        <v>7.72</v>
      </c>
      <c r="D1611" s="19" t="s">
        <v>1751</v>
      </c>
      <c r="E1611" s="20" t="s">
        <v>20</v>
      </c>
      <c r="F1611" s="20">
        <v>2016</v>
      </c>
      <c r="G1611" s="20" t="s">
        <v>12</v>
      </c>
      <c r="H1611" s="20" t="s">
        <v>17</v>
      </c>
      <c r="I1611" s="20" t="s">
        <v>952</v>
      </c>
      <c r="J1611" s="98" t="s">
        <v>3441</v>
      </c>
    </row>
    <row r="1612" spans="1:10" s="54" customFormat="1" ht="28.9" customHeight="1" thickTop="1" thickBot="1" x14ac:dyDescent="0.65">
      <c r="A1612" s="18">
        <v>1610</v>
      </c>
      <c r="B1612" s="83" t="str">
        <f>HYPERLINK("https://search.naver.com/search.naver?query=%EC%82%AC%EC%9A%B0%EC%8A%A4%ED%8F%AC%20%EC%98%81%ED%99%94", "사우스포")</f>
        <v>사우스포</v>
      </c>
      <c r="C1612" s="55"/>
      <c r="D1612" s="21" t="s">
        <v>1752</v>
      </c>
      <c r="E1612" s="18" t="s">
        <v>20</v>
      </c>
      <c r="F1612" s="18">
        <v>2015</v>
      </c>
      <c r="G1612" s="18" t="s">
        <v>12</v>
      </c>
      <c r="H1612" s="18" t="s">
        <v>17</v>
      </c>
      <c r="I1612" s="18" t="s">
        <v>134</v>
      </c>
      <c r="J1612" s="97" t="s">
        <v>3440</v>
      </c>
    </row>
    <row r="1613" spans="1:10" s="54" customFormat="1" ht="28.9" customHeight="1" thickTop="1" thickBot="1" x14ac:dyDescent="0.65">
      <c r="A1613" s="20">
        <v>1611</v>
      </c>
      <c r="B1613" s="82" t="str">
        <f>HYPERLINK("https://search.naver.com/search.naver?query=%EC%82%AC%EC%9A%B4%EB%93%9C%20%EC%98%A4%EB%B8%8C%20%ED%94%84%EB%A6%AC%EB%8D%A4%20%EC%98%81%ED%99%94", "사운드 오브 프리덤")</f>
        <v>사운드 오브 프리덤</v>
      </c>
      <c r="C1613" s="53">
        <v>8.5399999999999991</v>
      </c>
      <c r="D1613" s="19" t="s">
        <v>1753</v>
      </c>
      <c r="E1613" s="20" t="s">
        <v>20</v>
      </c>
      <c r="F1613" s="20">
        <v>2023</v>
      </c>
      <c r="G1613" s="20" t="s">
        <v>12</v>
      </c>
      <c r="H1613" s="20" t="s">
        <v>17</v>
      </c>
      <c r="I1613" s="20" t="s">
        <v>280</v>
      </c>
      <c r="J1613" s="98" t="s">
        <v>3446</v>
      </c>
    </row>
    <row r="1614" spans="1:10" s="54" customFormat="1" ht="28.9" customHeight="1" thickTop="1" thickBot="1" x14ac:dyDescent="0.65">
      <c r="A1614" s="18">
        <v>1612</v>
      </c>
      <c r="B1614" s="83" t="str">
        <f>HYPERLINK("https://search.naver.com/search.naver?query=%EC%82%AC%EC%9A%B8%EC%9D%98%20%EC%95%84%EB%93%A4%20%EC%98%81%ED%99%94", "사울의 아들")</f>
        <v>사울의 아들</v>
      </c>
      <c r="C1614" s="55">
        <v>8.67</v>
      </c>
      <c r="D1614" s="21" t="s">
        <v>1754</v>
      </c>
      <c r="E1614" s="18" t="s">
        <v>639</v>
      </c>
      <c r="F1614" s="18">
        <v>2015</v>
      </c>
      <c r="G1614" s="18" t="s">
        <v>12</v>
      </c>
      <c r="H1614" s="18" t="s">
        <v>17</v>
      </c>
      <c r="I1614" s="18" t="s">
        <v>75</v>
      </c>
      <c r="J1614" s="97" t="s">
        <v>3440</v>
      </c>
    </row>
    <row r="1615" spans="1:10" s="54" customFormat="1" ht="28.9" customHeight="1" thickTop="1" thickBot="1" x14ac:dyDescent="0.65">
      <c r="A1615" s="20">
        <v>1613</v>
      </c>
      <c r="B1615" s="82" t="str">
        <f>HYPERLINK("https://search.naver.com/search.naver?query=%EC%82%AC%EC%9D%B4%EB%93%9C%20%EC%9D%B4%ED%8E%99%ED%8A%B8%20%EC%98%81%ED%99%94", "사이드 이펙트")</f>
        <v>사이드 이펙트</v>
      </c>
      <c r="C1615" s="53">
        <v>8.67</v>
      </c>
      <c r="D1615" s="19" t="s">
        <v>1755</v>
      </c>
      <c r="E1615" s="20" t="s">
        <v>20</v>
      </c>
      <c r="F1615" s="20">
        <v>2013</v>
      </c>
      <c r="G1615" s="20" t="s">
        <v>12</v>
      </c>
      <c r="H1615" s="20" t="s">
        <v>43</v>
      </c>
      <c r="I1615" s="20" t="s">
        <v>286</v>
      </c>
      <c r="J1615" s="98" t="s">
        <v>3451</v>
      </c>
    </row>
    <row r="1616" spans="1:10" s="54" customFormat="1" ht="28.9" customHeight="1" thickTop="1" thickBot="1" x14ac:dyDescent="0.65">
      <c r="A1616" s="18">
        <v>1614</v>
      </c>
      <c r="B1616" s="83" t="str">
        <f>HYPERLINK("https://search.naver.com/search.naver?query=%EC%82%AC%EC%9D%B4%EB%93%9C%EC%9B%A8%EC%9D%B4%20%EC%98%81%ED%99%94", "사이드웨이")</f>
        <v>사이드웨이</v>
      </c>
      <c r="C1616" s="55">
        <v>7.6</v>
      </c>
      <c r="D1616" s="21" t="s">
        <v>1756</v>
      </c>
      <c r="E1616" s="18" t="s">
        <v>20</v>
      </c>
      <c r="F1616" s="18">
        <v>2004</v>
      </c>
      <c r="G1616" s="18" t="s">
        <v>12</v>
      </c>
      <c r="H1616" s="18" t="s">
        <v>68</v>
      </c>
      <c r="I1616" s="18" t="s">
        <v>78</v>
      </c>
      <c r="J1616" s="97" t="s">
        <v>3462</v>
      </c>
    </row>
    <row r="1617" spans="1:10" s="54" customFormat="1" ht="28.9" customHeight="1" thickTop="1" thickBot="1" x14ac:dyDescent="0.65">
      <c r="A1617" s="20">
        <v>1615</v>
      </c>
      <c r="B1617" s="82" t="str">
        <f>HYPERLINK("https://search.naver.com/search.naver?query=%EC%82%AC%EC%9D%B4%EB%93%9C%EC%B9%B4%EC%9D%98%20%EA%B0%9C%20%EC%98%81%ED%99%94", "사이드카의 개")</f>
        <v>사이드카의 개</v>
      </c>
      <c r="C1617" s="53">
        <v>8.57</v>
      </c>
      <c r="D1617" s="19" t="s">
        <v>3504</v>
      </c>
      <c r="E1617" s="20" t="s">
        <v>16</v>
      </c>
      <c r="F1617" s="20">
        <v>2007</v>
      </c>
      <c r="G1617" s="20" t="s">
        <v>12</v>
      </c>
      <c r="H1617" s="20" t="s">
        <v>17</v>
      </c>
      <c r="I1617" s="20" t="s">
        <v>111</v>
      </c>
      <c r="J1617" s="98" t="s">
        <v>3447</v>
      </c>
    </row>
    <row r="1618" spans="1:10" s="54" customFormat="1" ht="28.9" customHeight="1" thickTop="1" thickBot="1" x14ac:dyDescent="0.65">
      <c r="A1618" s="23">
        <v>1616</v>
      </c>
      <c r="B1618" s="84" t="str">
        <f>HYPERLINK("https://search.naver.com/search.naver?query=%EC%82%AC%EC%9D%B4%EB%A0%8C%EC%9D%B4%20%EB%85%B8%EB%9E%98%ED%95%A0%20%EB%95%8C%20%EB%93%9C%EB%9D%BC%EB%A7%88", "사이렌이 노래할 때")</f>
        <v>사이렌이 노래할 때</v>
      </c>
      <c r="C1618" s="56"/>
      <c r="D1618" s="22" t="s">
        <v>1757</v>
      </c>
      <c r="E1618" s="23" t="s">
        <v>20</v>
      </c>
      <c r="F1618" s="23">
        <v>2025</v>
      </c>
      <c r="G1618" s="23" t="s">
        <v>17</v>
      </c>
      <c r="H1618" s="23" t="s">
        <v>17</v>
      </c>
      <c r="I1618" s="23" t="s">
        <v>687</v>
      </c>
      <c r="J1618" s="99" t="s">
        <v>3459</v>
      </c>
    </row>
    <row r="1619" spans="1:10" s="54" customFormat="1" ht="28.9" customHeight="1" thickTop="1" thickBot="1" x14ac:dyDescent="0.65">
      <c r="A1619" s="20">
        <v>1617</v>
      </c>
      <c r="B1619" s="82" t="str">
        <f>HYPERLINK("https://search.naver.com/search.naver?query=%EC%82%AC%EC%9D%B4%EC%BD%94%EB%A9%94%ED%8A%B8%EB%A6%AC%20%EC%98%81%ED%99%94", "사이코메트리")</f>
        <v>사이코메트리</v>
      </c>
      <c r="C1619" s="53">
        <v>4.32</v>
      </c>
      <c r="D1619" s="19" t="s">
        <v>1758</v>
      </c>
      <c r="E1619" s="20" t="s">
        <v>11</v>
      </c>
      <c r="F1619" s="20">
        <v>2013</v>
      </c>
      <c r="G1619" s="20" t="s">
        <v>12</v>
      </c>
      <c r="H1619" s="20" t="s">
        <v>43</v>
      </c>
      <c r="I1619" s="20" t="s">
        <v>111</v>
      </c>
      <c r="J1619" s="98" t="s">
        <v>3451</v>
      </c>
    </row>
    <row r="1620" spans="1:10" s="54" customFormat="1" ht="28.9" customHeight="1" thickTop="1" thickBot="1" x14ac:dyDescent="0.65">
      <c r="A1620" s="23">
        <v>1618</v>
      </c>
      <c r="B1620" s="84" t="str">
        <f>HYPERLINK("https://search.naver.com/search.naver?query=%EC%82%AC%EC%9D%BC%EB%9F%B0%ED%8A%B8%20%EB%93%9C%EB%9D%BC%EB%A7%88", "사일런트")</f>
        <v>사일런트</v>
      </c>
      <c r="C1620" s="56"/>
      <c r="D1620" s="22" t="s">
        <v>1759</v>
      </c>
      <c r="E1620" s="23" t="s">
        <v>16</v>
      </c>
      <c r="F1620" s="23">
        <v>2022</v>
      </c>
      <c r="G1620" s="23" t="s">
        <v>17</v>
      </c>
      <c r="H1620" s="23" t="s">
        <v>110</v>
      </c>
      <c r="I1620" s="23" t="s">
        <v>527</v>
      </c>
      <c r="J1620" s="99" t="s">
        <v>3445</v>
      </c>
    </row>
    <row r="1621" spans="1:10" s="54" customFormat="1" ht="28.9" customHeight="1" thickTop="1" thickBot="1" x14ac:dyDescent="0.65">
      <c r="A1621" s="20">
        <v>1619</v>
      </c>
      <c r="B1621" s="82" t="str">
        <f>HYPERLINK("https://search.naver.com/search.naver?query=%EC%82%AC%EC%9D%BC%EB%9F%B0%ED%8A%B8%20%ED%9E%90%20%EC%98%81%ED%99%94", "사일런트 힐")</f>
        <v>사일런트 힐</v>
      </c>
      <c r="C1621" s="53">
        <v>4.84</v>
      </c>
      <c r="D1621" s="19" t="s">
        <v>1760</v>
      </c>
      <c r="E1621" s="20" t="s">
        <v>189</v>
      </c>
      <c r="F1621" s="20">
        <v>2006</v>
      </c>
      <c r="G1621" s="20" t="s">
        <v>12</v>
      </c>
      <c r="H1621" s="20" t="s">
        <v>252</v>
      </c>
      <c r="I1621" s="20" t="s">
        <v>214</v>
      </c>
      <c r="J1621" s="98" t="s">
        <v>3460</v>
      </c>
    </row>
    <row r="1622" spans="1:10" s="54" customFormat="1" ht="28.9" customHeight="1" thickTop="1" thickBot="1" x14ac:dyDescent="0.65">
      <c r="A1622" s="18">
        <v>1620</v>
      </c>
      <c r="B1622" s="83" t="str">
        <f>HYPERLINK("https://search.naver.com/search.naver?query=%EC%82%AC%EC%9E%90%20%EC%98%81%ED%99%94", "사자")</f>
        <v>사자</v>
      </c>
      <c r="C1622" s="55">
        <v>7.74</v>
      </c>
      <c r="D1622" s="21" t="s">
        <v>1761</v>
      </c>
      <c r="E1622" s="18" t="s">
        <v>11</v>
      </c>
      <c r="F1622" s="18">
        <v>2019</v>
      </c>
      <c r="G1622" s="18" t="s">
        <v>12</v>
      </c>
      <c r="H1622" s="18" t="s">
        <v>252</v>
      </c>
      <c r="I1622" s="18" t="s">
        <v>64</v>
      </c>
      <c r="J1622" s="97" t="s">
        <v>3444</v>
      </c>
    </row>
    <row r="1623" spans="1:10" s="54" customFormat="1" ht="28.9" customHeight="1" thickTop="1" thickBot="1" x14ac:dyDescent="0.65">
      <c r="A1623" s="20">
        <v>1621</v>
      </c>
      <c r="B1623" s="82" t="str">
        <f>HYPERLINK("https://search.naver.com/search.naver?query=%EC%82%AC%EC%B1%84%EC%99%95%20%ED%8E%98%EA%B7%B8%20%EC%98%81%ED%99%94", "사채왕 페그")</f>
        <v>사채왕 페그</v>
      </c>
      <c r="C1623" s="53">
        <v>7.89</v>
      </c>
      <c r="D1623" s="19" t="s">
        <v>1762</v>
      </c>
      <c r="E1623" s="20" t="s">
        <v>20</v>
      </c>
      <c r="F1623" s="20">
        <v>2020</v>
      </c>
      <c r="G1623" s="20" t="s">
        <v>12</v>
      </c>
      <c r="H1623" s="20" t="s">
        <v>277</v>
      </c>
      <c r="I1623" s="20" t="s">
        <v>111</v>
      </c>
      <c r="J1623" s="98" t="s">
        <v>3436</v>
      </c>
    </row>
    <row r="1624" spans="1:10" s="54" customFormat="1" ht="28.9" customHeight="1" thickTop="1" thickBot="1" x14ac:dyDescent="0.65">
      <c r="A1624" s="18">
        <v>1622</v>
      </c>
      <c r="B1624" s="83" t="str">
        <f>HYPERLINK("https://search.naver.com/search.naver?query=%EC%82%AC%EC%BF%A0%EB%9E%80%20%EC%98%81%ED%99%94", "사쿠란")</f>
        <v>사쿠란</v>
      </c>
      <c r="C1624" s="55">
        <v>6.71</v>
      </c>
      <c r="D1624" s="21" t="s">
        <v>3505</v>
      </c>
      <c r="E1624" s="18" t="s">
        <v>16</v>
      </c>
      <c r="F1624" s="18">
        <v>2006</v>
      </c>
      <c r="G1624" s="18" t="s">
        <v>12</v>
      </c>
      <c r="H1624" s="18" t="s">
        <v>17</v>
      </c>
      <c r="I1624" s="18" t="s">
        <v>102</v>
      </c>
      <c r="J1624" s="97" t="s">
        <v>3460</v>
      </c>
    </row>
    <row r="1625" spans="1:10" s="54" customFormat="1" ht="28.9" customHeight="1" thickTop="1" thickBot="1" x14ac:dyDescent="0.65">
      <c r="A1625" s="20">
        <v>1623</v>
      </c>
      <c r="B1625" s="82" t="str">
        <f>HYPERLINK("https://search.naver.com/search.naver?query=%EC%82%AC%ED%86%A0%EB%9D%BC%EB%A0%88%20%EC%98%81%ED%99%94", "사토라레")</f>
        <v>사토라레</v>
      </c>
      <c r="C1625" s="53">
        <v>8.42</v>
      </c>
      <c r="D1625" s="19" t="s">
        <v>3506</v>
      </c>
      <c r="E1625" s="20" t="s">
        <v>16</v>
      </c>
      <c r="F1625" s="20">
        <v>2001</v>
      </c>
      <c r="G1625" s="20" t="s">
        <v>12</v>
      </c>
      <c r="H1625" s="20" t="s">
        <v>68</v>
      </c>
      <c r="I1625" s="20" t="s">
        <v>96</v>
      </c>
      <c r="J1625" s="98" t="s">
        <v>3457</v>
      </c>
    </row>
    <row r="1626" spans="1:10" s="54" customFormat="1" ht="28.9" customHeight="1" thickTop="1" thickBot="1" x14ac:dyDescent="0.65">
      <c r="A1626" s="18">
        <v>1624</v>
      </c>
      <c r="B1626" s="85" t="str">
        <f>HYPERLINK("https://search.naver.com/search.naver?query=사형대의 엘리베이터 2010", "사형대의 엘리베이터")</f>
        <v>사형대의 엘리베이터</v>
      </c>
      <c r="C1626" s="55"/>
      <c r="D1626" s="21" t="s">
        <v>3502</v>
      </c>
      <c r="E1626" s="18" t="s">
        <v>3500</v>
      </c>
      <c r="F1626" s="18">
        <v>2010</v>
      </c>
      <c r="G1626" s="18" t="s">
        <v>12</v>
      </c>
      <c r="H1626" s="18" t="s">
        <v>43</v>
      </c>
      <c r="I1626" s="18" t="s">
        <v>3501</v>
      </c>
      <c r="J1626" s="97">
        <v>40543</v>
      </c>
    </row>
    <row r="1627" spans="1:10" s="54" customFormat="1" ht="28.9" customHeight="1" thickTop="1" thickBot="1" x14ac:dyDescent="0.65">
      <c r="A1627" s="20">
        <v>1625</v>
      </c>
      <c r="B1627" s="82" t="str">
        <f>HYPERLINK("https://search.naver.com/search.naver?query=%EC%82%B0%20%EC%98%81%ED%99%94", "산")</f>
        <v>산</v>
      </c>
      <c r="C1627" s="53">
        <v>7.73</v>
      </c>
      <c r="D1627" s="19" t="s">
        <v>1763</v>
      </c>
      <c r="E1627" s="20" t="s">
        <v>16</v>
      </c>
      <c r="F1627" s="20">
        <v>2011</v>
      </c>
      <c r="G1627" s="20" t="s">
        <v>12</v>
      </c>
      <c r="H1627" s="20" t="s">
        <v>17</v>
      </c>
      <c r="I1627" s="20" t="s">
        <v>78</v>
      </c>
      <c r="J1627" s="98" t="s">
        <v>3454</v>
      </c>
    </row>
    <row r="1628" spans="1:10" s="54" customFormat="1" ht="28.9" customHeight="1" thickTop="1" thickBot="1" x14ac:dyDescent="0.65">
      <c r="A1628" s="18">
        <v>1626</v>
      </c>
      <c r="B1628" s="83" t="str">
        <f>HYPERLINK("https://search.naver.com/search.naver?query=%EC%82%B0%EC%82%AC%EB%82%98%EB%AC%B4%20%EC%95%84%EB%9E%98%20%EC%98%81%ED%99%94", "산사나무 아래")</f>
        <v>산사나무 아래</v>
      </c>
      <c r="C1628" s="55">
        <v>9.52</v>
      </c>
      <c r="D1628" s="21" t="s">
        <v>3507</v>
      </c>
      <c r="E1628" s="18" t="s">
        <v>136</v>
      </c>
      <c r="F1628" s="18">
        <v>2010</v>
      </c>
      <c r="G1628" s="18" t="s">
        <v>12</v>
      </c>
      <c r="H1628" s="18" t="s">
        <v>17</v>
      </c>
      <c r="I1628" s="18" t="s">
        <v>47</v>
      </c>
      <c r="J1628" s="97" t="s">
        <v>3455</v>
      </c>
    </row>
    <row r="1629" spans="1:10" s="54" customFormat="1" ht="28.9" customHeight="1" thickTop="1" thickBot="1" x14ac:dyDescent="0.65">
      <c r="A1629" s="20">
        <v>1627</v>
      </c>
      <c r="B1629" s="82" t="str">
        <f>HYPERLINK("https://search.naver.com/search.naver?query=%EC%82%B0%EC%9D%98%20%ED%86%B0%EC%94%A8%20%EC%98%81%ED%99%94", "산의 톰씨")</f>
        <v>산의 톰씨</v>
      </c>
      <c r="C1629" s="53"/>
      <c r="D1629" s="19" t="s">
        <v>3508</v>
      </c>
      <c r="E1629" s="20" t="s">
        <v>16</v>
      </c>
      <c r="F1629" s="20">
        <v>2018</v>
      </c>
      <c r="G1629" s="20" t="s">
        <v>12</v>
      </c>
      <c r="H1629" s="20" t="s">
        <v>17</v>
      </c>
      <c r="I1629" s="20" t="s">
        <v>89</v>
      </c>
      <c r="J1629" s="98" t="s">
        <v>3442</v>
      </c>
    </row>
    <row r="1630" spans="1:10" s="54" customFormat="1" ht="28.9" customHeight="1" thickTop="1" thickBot="1" x14ac:dyDescent="0.65">
      <c r="A1630" s="18">
        <v>1628</v>
      </c>
      <c r="B1630" s="83" t="str">
        <f>HYPERLINK("https://search.naver.com/search.naver?query=%EC%82%B0%EC%9D%B4%20%EC%9A%B8%EB%8B%A4%20%EC%98%81%ED%99%94", "산이 울다")</f>
        <v>산이 울다</v>
      </c>
      <c r="C1630" s="55">
        <v>8.83</v>
      </c>
      <c r="D1630" s="21" t="s">
        <v>3509</v>
      </c>
      <c r="E1630" s="18" t="s">
        <v>136</v>
      </c>
      <c r="F1630" s="18">
        <v>2016</v>
      </c>
      <c r="G1630" s="18" t="s">
        <v>12</v>
      </c>
      <c r="H1630" s="18" t="s">
        <v>17</v>
      </c>
      <c r="I1630" s="18" t="s">
        <v>75</v>
      </c>
      <c r="J1630" s="97" t="s">
        <v>3441</v>
      </c>
    </row>
    <row r="1631" spans="1:10" s="54" customFormat="1" ht="28.9" customHeight="1" thickTop="1" thickBot="1" x14ac:dyDescent="0.65">
      <c r="A1631" s="20">
        <v>1629</v>
      </c>
      <c r="B1631" s="82" t="str">
        <f>HYPERLINK("https://search.naver.com/search.naver?query=%EC%82%B0%ED%83%80%EB%82%98%20%EC%98%81%ED%99%94", "산타나")</f>
        <v>산타나</v>
      </c>
      <c r="C1631" s="53">
        <v>8.83</v>
      </c>
      <c r="D1631" s="19" t="s">
        <v>1764</v>
      </c>
      <c r="E1631" s="20" t="s">
        <v>1316</v>
      </c>
      <c r="F1631" s="20">
        <v>2020</v>
      </c>
      <c r="G1631" s="20" t="s">
        <v>12</v>
      </c>
      <c r="H1631" s="20" t="s">
        <v>92</v>
      </c>
      <c r="I1631" s="20" t="s">
        <v>31</v>
      </c>
      <c r="J1631" s="98" t="s">
        <v>3436</v>
      </c>
    </row>
    <row r="1632" spans="1:10" s="54" customFormat="1" ht="28.9" customHeight="1" thickTop="1" thickBot="1" x14ac:dyDescent="0.65">
      <c r="A1632" s="23">
        <v>1630</v>
      </c>
      <c r="B1632" s="84" t="str">
        <f>HYPERLINK("https://search.naver.com/search.naver?query=%EC%82%B4%EC%95%84%20%EC%9E%88%EB%8A%94%20%EB%AA%A8%EB%93%A0%20%EA%B2%83%20%EB%93%9C%EB%9D%BC%EB%A7%88", "살아 있는 모든 것")</f>
        <v>살아 있는 모든 것</v>
      </c>
      <c r="C1632" s="56"/>
      <c r="D1632" s="22"/>
      <c r="E1632" s="23" t="s">
        <v>16</v>
      </c>
      <c r="F1632" s="23">
        <v>2024</v>
      </c>
      <c r="G1632" s="23" t="s">
        <v>17</v>
      </c>
      <c r="H1632" s="23" t="s">
        <v>17</v>
      </c>
      <c r="I1632" s="23" t="s">
        <v>50</v>
      </c>
      <c r="J1632" s="99" t="s">
        <v>3448</v>
      </c>
    </row>
    <row r="1633" spans="1:10" s="54" customFormat="1" ht="28.9" customHeight="1" thickTop="1" thickBot="1" x14ac:dyDescent="0.65">
      <c r="A1633" s="20">
        <v>1631</v>
      </c>
      <c r="B1633" s="82" t="str">
        <f>HYPERLINK("https://search.naver.com/search.naver?query=%EC%82%B4%EC%95%84%EA%B0%80%EB%8A%94%20%EB%82%98%EB%82%A0%EB%93%A4%20%EC%98%81%ED%99%94", "살아가는 나날들")</f>
        <v>살아가는 나날들</v>
      </c>
      <c r="C1633" s="53"/>
      <c r="D1633" s="19" t="s">
        <v>1765</v>
      </c>
      <c r="E1633" s="20" t="s">
        <v>20</v>
      </c>
      <c r="F1633" s="20">
        <v>1984</v>
      </c>
      <c r="G1633" s="20" t="s">
        <v>12</v>
      </c>
      <c r="H1633" s="20" t="s">
        <v>17</v>
      </c>
      <c r="I1633" s="20" t="s">
        <v>105</v>
      </c>
      <c r="J1633" s="98" t="s">
        <v>3482</v>
      </c>
    </row>
    <row r="1634" spans="1:10" s="54" customFormat="1" ht="28.9" customHeight="1" thickTop="1" thickBot="1" x14ac:dyDescent="0.65">
      <c r="A1634" s="18">
        <v>1632</v>
      </c>
      <c r="B1634" s="83" t="str">
        <f>HYPERLINK("https://search.naver.com/search.naver?query=%EC%82%B4%EC%95%84%EB%82%A8%EC%9D%80%20%EC%82%AC%EB%9E%8C%EB%93%A4%20%EC%98%81%ED%99%94", "살아남은 사람들")</f>
        <v>살아남은 사람들</v>
      </c>
      <c r="C1634" s="55"/>
      <c r="D1634" s="21" t="s">
        <v>1766</v>
      </c>
      <c r="E1634" s="18" t="s">
        <v>639</v>
      </c>
      <c r="F1634" s="18">
        <v>2021</v>
      </c>
      <c r="G1634" s="18" t="s">
        <v>12</v>
      </c>
      <c r="H1634" s="18" t="s">
        <v>17</v>
      </c>
      <c r="I1634" s="18" t="s">
        <v>231</v>
      </c>
      <c r="J1634" s="97" t="s">
        <v>3438</v>
      </c>
    </row>
    <row r="1635" spans="1:10" s="54" customFormat="1" ht="28.9" customHeight="1" thickTop="1" thickBot="1" x14ac:dyDescent="0.65">
      <c r="A1635" s="20">
        <v>1633</v>
      </c>
      <c r="B1635" s="82" t="str">
        <f>HYPERLINK("https://search.naver.com/search.naver?query=%EC%82%B4%EC%9D%B8%20%EC%86%8C%EC%84%A4%20%EC%98%81%ED%99%94", "살인 소설")</f>
        <v>살인 소설</v>
      </c>
      <c r="C1635" s="53">
        <v>8</v>
      </c>
      <c r="D1635" s="19" t="s">
        <v>1767</v>
      </c>
      <c r="E1635" s="20" t="s">
        <v>11</v>
      </c>
      <c r="F1635" s="20">
        <v>2012</v>
      </c>
      <c r="G1635" s="20" t="s">
        <v>12</v>
      </c>
      <c r="H1635" s="20" t="s">
        <v>43</v>
      </c>
      <c r="I1635" s="20" t="s">
        <v>111</v>
      </c>
      <c r="J1635" s="98" t="s">
        <v>3439</v>
      </c>
    </row>
    <row r="1636" spans="1:10" s="54" customFormat="1" ht="28.9" customHeight="1" thickTop="1" thickBot="1" x14ac:dyDescent="0.65">
      <c r="A1636" s="23">
        <v>1634</v>
      </c>
      <c r="B1636" s="84" t="str">
        <f>HYPERLINK("https://search.naver.com/search.naver?query=%EC%82%B4%EC%9D%B8%EC%9D%98%20%EC%97%AD%EC%82%AC%20%EC%8B%9C%EC%A6%8C1%20%EB%93%9C%EB%9D%BC%EB%A7%88", "살인의 역사 시즌1")</f>
        <v>살인의 역사 시즌1</v>
      </c>
      <c r="C1636" s="56"/>
      <c r="D1636" s="22" t="s">
        <v>1768</v>
      </c>
      <c r="E1636" s="23" t="s">
        <v>24</v>
      </c>
      <c r="F1636" s="23">
        <v>2011</v>
      </c>
      <c r="G1636" s="23" t="s">
        <v>17</v>
      </c>
      <c r="H1636" s="23" t="s">
        <v>17</v>
      </c>
      <c r="I1636" s="23" t="s">
        <v>173</v>
      </c>
      <c r="J1636" s="99" t="s">
        <v>3454</v>
      </c>
    </row>
    <row r="1637" spans="1:10" s="54" customFormat="1" ht="28.9" customHeight="1" thickTop="1" thickBot="1" x14ac:dyDescent="0.65">
      <c r="A1637" s="18">
        <v>1635</v>
      </c>
      <c r="B1637" s="83" t="str">
        <f>HYPERLINK("https://search.naver.com/search.naver?query=%EC%82%B4%EC%9D%B8%EC%9D%98%20%EC%B6%94%EC%96%B5%20%EC%98%81%ED%99%94", "살인의 추억")</f>
        <v>살인의 추억</v>
      </c>
      <c r="C1637" s="55">
        <v>6.4</v>
      </c>
      <c r="D1637" s="21" t="s">
        <v>1769</v>
      </c>
      <c r="E1637" s="18" t="s">
        <v>11</v>
      </c>
      <c r="F1637" s="18">
        <v>2003</v>
      </c>
      <c r="G1637" s="18" t="s">
        <v>12</v>
      </c>
      <c r="H1637" s="18" t="s">
        <v>277</v>
      </c>
      <c r="I1637" s="18" t="s">
        <v>350</v>
      </c>
      <c r="J1637" s="97" t="s">
        <v>3449</v>
      </c>
    </row>
    <row r="1638" spans="1:10" s="54" customFormat="1" ht="28.9" customHeight="1" thickTop="1" thickBot="1" x14ac:dyDescent="0.65">
      <c r="A1638" s="20">
        <v>1636</v>
      </c>
      <c r="B1638" s="82" t="str">
        <f>HYPERLINK("https://search.naver.com/search.naver?query=%EC%82%B4%EC%9D%B8%EC%9D%98%EB%A2%B0%20%EC%98%81%ED%99%94", "살인의뢰")</f>
        <v>살인의뢰</v>
      </c>
      <c r="C1638" s="53">
        <v>9.6</v>
      </c>
      <c r="D1638" s="19" t="s">
        <v>1770</v>
      </c>
      <c r="E1638" s="20" t="s">
        <v>11</v>
      </c>
      <c r="F1638" s="20">
        <v>2014</v>
      </c>
      <c r="G1638" s="20" t="s">
        <v>12</v>
      </c>
      <c r="H1638" s="20" t="s">
        <v>43</v>
      </c>
      <c r="I1638" s="20" t="s">
        <v>170</v>
      </c>
      <c r="J1638" s="98" t="s">
        <v>3437</v>
      </c>
    </row>
    <row r="1639" spans="1:10" s="54" customFormat="1" ht="28.9" customHeight="1" thickTop="1" thickBot="1" x14ac:dyDescent="0.65">
      <c r="A1639" s="18">
        <v>1637</v>
      </c>
      <c r="B1639" s="83" t="str">
        <f>HYPERLINK("https://search.naver.com/search.naver?query=%EC%82%B4%EC%9D%B8%EC%9E%90%20%EB%A6%AC%ED%8F%AC%ED%8A%B8%20%EC%98%81%ED%99%94", "살인자 리포트")</f>
        <v>살인자 리포트</v>
      </c>
      <c r="C1639" s="55">
        <v>7.02</v>
      </c>
      <c r="D1639" s="21" t="s">
        <v>1771</v>
      </c>
      <c r="E1639" s="18" t="s">
        <v>11</v>
      </c>
      <c r="F1639" s="18">
        <v>2025</v>
      </c>
      <c r="G1639" s="18" t="s">
        <v>12</v>
      </c>
      <c r="H1639" s="18" t="s">
        <v>43</v>
      </c>
      <c r="I1639" s="18" t="s">
        <v>111</v>
      </c>
      <c r="J1639" s="97" t="s">
        <v>3459</v>
      </c>
    </row>
    <row r="1640" spans="1:10" s="54" customFormat="1" ht="28.9" customHeight="1" thickTop="1" thickBot="1" x14ac:dyDescent="0.65">
      <c r="A1640" s="23">
        <v>1638</v>
      </c>
      <c r="B1640" s="84" t="str">
        <f>HYPERLINK("https://search.naver.com/search.naver?query=%EC%82%B4%EC%9D%B8%EC%9E%90%E3%85%87%EB%82%9C%EA%B0%90%20%EB%93%9C%EB%9D%BC%EB%A7%88", "살인자ㅇ난감")</f>
        <v>살인자ㅇ난감</v>
      </c>
      <c r="C1640" s="56"/>
      <c r="D1640" s="22" t="s">
        <v>1772</v>
      </c>
      <c r="E1640" s="23" t="s">
        <v>11</v>
      </c>
      <c r="F1640" s="23">
        <v>2024</v>
      </c>
      <c r="G1640" s="23" t="s">
        <v>17</v>
      </c>
      <c r="H1640" s="23" t="s">
        <v>892</v>
      </c>
      <c r="I1640" s="23" t="s">
        <v>55</v>
      </c>
      <c r="J1640" s="99" t="s">
        <v>3448</v>
      </c>
    </row>
    <row r="1641" spans="1:10" s="54" customFormat="1" ht="28.9" customHeight="1" thickTop="1" thickBot="1" x14ac:dyDescent="0.65">
      <c r="A1641" s="18">
        <v>1639</v>
      </c>
      <c r="B1641" s="83" t="str">
        <f>HYPERLINK("https://search.naver.com/search.naver?query=%EC%82%B4%EC%9D%B8%EC%9E%90%EC%9D%98%20%EA%B8%B0%EC%96%B5%EB%B2%95%20%EC%98%81%ED%99%94", "살인자의 기억법")</f>
        <v>살인자의 기억법</v>
      </c>
      <c r="C1641" s="55">
        <v>4.32</v>
      </c>
      <c r="D1641" s="21" t="s">
        <v>1773</v>
      </c>
      <c r="E1641" s="18" t="s">
        <v>11</v>
      </c>
      <c r="F1641" s="18">
        <v>2017</v>
      </c>
      <c r="G1641" s="18" t="s">
        <v>12</v>
      </c>
      <c r="H1641" s="18" t="s">
        <v>277</v>
      </c>
      <c r="I1641" s="18" t="s">
        <v>221</v>
      </c>
      <c r="J1641" s="97" t="s">
        <v>3443</v>
      </c>
    </row>
    <row r="1642" spans="1:10" s="54" customFormat="1" ht="28.9" customHeight="1" thickTop="1" thickBot="1" x14ac:dyDescent="0.65">
      <c r="A1642" s="20">
        <v>1640</v>
      </c>
      <c r="B1642" s="82" t="str">
        <f>HYPERLINK("https://search.naver.com/search.naver?query=%EC%82%BC%EC%A7%84%EA%B7%B8%EB%A3%B9%20%EC%98%81%EC%96%B4%ED%86%A0%EC%9D%B5%EB%B0%98%20%EC%98%81%ED%99%94", "삼진그룹 영어토익반")</f>
        <v>삼진그룹 영어토익반</v>
      </c>
      <c r="C1642" s="53">
        <v>8.17</v>
      </c>
      <c r="D1642" s="19" t="s">
        <v>1774</v>
      </c>
      <c r="E1642" s="20" t="s">
        <v>11</v>
      </c>
      <c r="F1642" s="20">
        <v>2020</v>
      </c>
      <c r="G1642" s="20" t="s">
        <v>12</v>
      </c>
      <c r="H1642" s="20" t="s">
        <v>17</v>
      </c>
      <c r="I1642" s="20" t="s">
        <v>96</v>
      </c>
      <c r="J1642" s="98" t="s">
        <v>3436</v>
      </c>
    </row>
    <row r="1643" spans="1:10" s="54" customFormat="1" ht="28.9" customHeight="1" thickTop="1" thickBot="1" x14ac:dyDescent="0.65">
      <c r="A1643" s="23">
        <v>1641</v>
      </c>
      <c r="B1643" s="84" t="str">
        <f>HYPERLINK("https://search.naver.com/search.naver?query=삼체 드라마", "삼체")</f>
        <v>삼체</v>
      </c>
      <c r="C1643" s="56"/>
      <c r="D1643" s="22" t="s">
        <v>1775</v>
      </c>
      <c r="E1643" s="23" t="s">
        <v>20</v>
      </c>
      <c r="F1643" s="23">
        <v>2024</v>
      </c>
      <c r="G1643" s="23" t="s">
        <v>17</v>
      </c>
      <c r="H1643" s="23" t="s">
        <v>328</v>
      </c>
      <c r="I1643" s="23" t="s">
        <v>55</v>
      </c>
      <c r="J1643" s="99" t="s">
        <v>3448</v>
      </c>
    </row>
    <row r="1644" spans="1:10" s="54" customFormat="1" ht="28.9" customHeight="1" thickTop="1" thickBot="1" x14ac:dyDescent="0.65">
      <c r="A1644" s="20">
        <v>1642</v>
      </c>
      <c r="B1644" s="82" t="str">
        <f>HYPERLINK("https://search.naver.com/search.naver?query=%EC%83%81%EB%A5%98%EC%82%AC%ED%9A%8C%20%EC%98%81%ED%99%94", "상류사회")</f>
        <v>상류사회</v>
      </c>
      <c r="C1644" s="53">
        <v>4.32</v>
      </c>
      <c r="D1644" s="19" t="s">
        <v>1776</v>
      </c>
      <c r="E1644" s="20" t="s">
        <v>11</v>
      </c>
      <c r="F1644" s="20">
        <v>2018</v>
      </c>
      <c r="G1644" s="20" t="s">
        <v>12</v>
      </c>
      <c r="H1644" s="20" t="s">
        <v>17</v>
      </c>
      <c r="I1644" s="20" t="s">
        <v>131</v>
      </c>
      <c r="J1644" s="98" t="s">
        <v>3442</v>
      </c>
    </row>
    <row r="1645" spans="1:10" s="54" customFormat="1" ht="28.9" customHeight="1" thickTop="1" thickBot="1" x14ac:dyDescent="0.65">
      <c r="A1645" s="18">
        <v>1643</v>
      </c>
      <c r="B1645" s="83" t="str">
        <f>HYPERLINK("https://search.naver.com/search.naver?query=%EC%83%81%EC%8B%A4%EC%9D%98%20%EC%8B%9C%EB%8C%80%20%EC%98%81%ED%99%94", "상실의 시대")</f>
        <v>상실의 시대</v>
      </c>
      <c r="C1645" s="55">
        <v>5.64</v>
      </c>
      <c r="D1645" s="21" t="s">
        <v>1777</v>
      </c>
      <c r="E1645" s="18" t="s">
        <v>16</v>
      </c>
      <c r="F1645" s="18">
        <v>2010</v>
      </c>
      <c r="G1645" s="18" t="s">
        <v>12</v>
      </c>
      <c r="H1645" s="18" t="s">
        <v>17</v>
      </c>
      <c r="I1645" s="18" t="s">
        <v>83</v>
      </c>
      <c r="J1645" s="97" t="s">
        <v>3455</v>
      </c>
    </row>
    <row r="1646" spans="1:10" s="54" customFormat="1" ht="28.9" customHeight="1" thickTop="1" thickBot="1" x14ac:dyDescent="0.65">
      <c r="A1646" s="20">
        <v>1644</v>
      </c>
      <c r="B1646" s="82" t="str">
        <f>HYPERLINK("https://search.naver.com/search.naver?query=%EC%83%81%EC%9D%98%EC%9B%90%20%EC%98%81%ED%99%94", "상의원")</f>
        <v>상의원</v>
      </c>
      <c r="C1646" s="53">
        <v>4.91</v>
      </c>
      <c r="D1646" s="19" t="s">
        <v>1778</v>
      </c>
      <c r="E1646" s="20" t="s">
        <v>11</v>
      </c>
      <c r="F1646" s="20">
        <v>2014</v>
      </c>
      <c r="G1646" s="20" t="s">
        <v>12</v>
      </c>
      <c r="H1646" s="20" t="s">
        <v>873</v>
      </c>
      <c r="I1646" s="20" t="s">
        <v>150</v>
      </c>
      <c r="J1646" s="98" t="s">
        <v>3437</v>
      </c>
    </row>
    <row r="1647" spans="1:10" s="54" customFormat="1" ht="28.9" customHeight="1" thickTop="1" thickBot="1" x14ac:dyDescent="0.65">
      <c r="A1647" s="18">
        <v>1645</v>
      </c>
      <c r="B1647" s="83" t="str">
        <f>HYPERLINK("https://search.naver.com/search.naver?query=%EC%83%81%ED%95%98%EC%9D%B4%20%EB%82%98%EC%9D%B4%EC%B8%A0%20%EC%98%81%ED%99%94", "상하이 나이츠")</f>
        <v>상하이 나이츠</v>
      </c>
      <c r="C1647" s="55">
        <v>7.79</v>
      </c>
      <c r="D1647" s="21" t="s">
        <v>1779</v>
      </c>
      <c r="E1647" s="18" t="s">
        <v>20</v>
      </c>
      <c r="F1647" s="18">
        <v>2003</v>
      </c>
      <c r="G1647" s="18" t="s">
        <v>12</v>
      </c>
      <c r="H1647" s="18" t="s">
        <v>92</v>
      </c>
      <c r="I1647" s="18" t="s">
        <v>207</v>
      </c>
      <c r="J1647" s="97" t="s">
        <v>3449</v>
      </c>
    </row>
    <row r="1648" spans="1:10" s="54" customFormat="1" ht="28.9" customHeight="1" thickTop="1" thickBot="1" x14ac:dyDescent="0.65">
      <c r="A1648" s="20">
        <v>1646</v>
      </c>
      <c r="B1648" s="82" t="str">
        <f>HYPERLINK("https://search.naver.com/search.naver?query=%EC%83%88%20%EA%B5%AC%EB%91%90%EB%A5%BC%20%EC%82%AC%EC%95%BC%ED%95%B4%20%EC%98%81%ED%99%94", "새 구두를 사야해")</f>
        <v>새 구두를 사야해</v>
      </c>
      <c r="C1648" s="53">
        <v>8.3699999999999992</v>
      </c>
      <c r="D1648" s="19" t="s">
        <v>3510</v>
      </c>
      <c r="E1648" s="20" t="s">
        <v>16</v>
      </c>
      <c r="F1648" s="20">
        <v>2013</v>
      </c>
      <c r="G1648" s="20" t="s">
        <v>12</v>
      </c>
      <c r="H1648" s="20" t="s">
        <v>121</v>
      </c>
      <c r="I1648" s="20" t="s">
        <v>207</v>
      </c>
      <c r="J1648" s="98" t="s">
        <v>3451</v>
      </c>
    </row>
    <row r="1649" spans="1:10" s="54" customFormat="1" ht="28.9" customHeight="1" thickTop="1" thickBot="1" x14ac:dyDescent="0.65">
      <c r="A1649" s="18">
        <v>1647</v>
      </c>
      <c r="B1649" s="83" t="str">
        <f>HYPERLINK("https://search.naver.com/search.naver?query=%EC%83%88%EB%B2%BD%20%EA%B1%B0%EB%A6%AC%EC%97%90%EC%84%9C%20%EC%98%81%ED%99%94", "새벽 거리에서")</f>
        <v>새벽 거리에서</v>
      </c>
      <c r="C1649" s="55">
        <v>8.07</v>
      </c>
      <c r="D1649" s="21" t="s">
        <v>1691</v>
      </c>
      <c r="E1649" s="18" t="s">
        <v>16</v>
      </c>
      <c r="F1649" s="18">
        <v>2011</v>
      </c>
      <c r="G1649" s="18" t="s">
        <v>12</v>
      </c>
      <c r="H1649" s="18" t="s">
        <v>17</v>
      </c>
      <c r="I1649" s="18" t="s">
        <v>64</v>
      </c>
      <c r="J1649" s="97" t="s">
        <v>3454</v>
      </c>
    </row>
    <row r="1650" spans="1:10" s="54" customFormat="1" ht="28.9" customHeight="1" thickTop="1" thickBot="1" x14ac:dyDescent="0.65">
      <c r="A1650" s="20">
        <v>1648</v>
      </c>
      <c r="B1650" s="82" t="str">
        <f>HYPERLINK("https://search.naver.com/search.naver?query=%EC%83%88%EB%B2%BD%EC%9D%98%20%EC%95%BD%EC%86%8D%20%EC%98%81%ED%99%94", "새벽의 약속")</f>
        <v>새벽의 약속</v>
      </c>
      <c r="C1650" s="53"/>
      <c r="D1650" s="19" t="s">
        <v>1780</v>
      </c>
      <c r="E1650" s="20" t="s">
        <v>16</v>
      </c>
      <c r="F1650" s="20">
        <v>2017</v>
      </c>
      <c r="G1650" s="20" t="s">
        <v>12</v>
      </c>
      <c r="H1650" s="20" t="s">
        <v>17</v>
      </c>
      <c r="I1650" s="20" t="s">
        <v>111</v>
      </c>
      <c r="J1650" s="98" t="s">
        <v>3443</v>
      </c>
    </row>
    <row r="1651" spans="1:10" s="54" customFormat="1" ht="28.9" customHeight="1" thickTop="1" thickBot="1" x14ac:dyDescent="0.65">
      <c r="A1651" s="18">
        <v>1649</v>
      </c>
      <c r="B1651" s="83" t="str">
        <f>HYPERLINK("https://search.naver.com/search.naver?query=%EC%83%89%2C%20%EA%B3%84%20%EC%98%81%ED%99%94", "색, 계")</f>
        <v>색, 계</v>
      </c>
      <c r="C1651" s="55">
        <v>8.81</v>
      </c>
      <c r="D1651" s="21" t="s">
        <v>1781</v>
      </c>
      <c r="E1651" s="18" t="s">
        <v>375</v>
      </c>
      <c r="F1651" s="18">
        <v>2007</v>
      </c>
      <c r="G1651" s="18" t="s">
        <v>12</v>
      </c>
      <c r="H1651" s="18" t="s">
        <v>17</v>
      </c>
      <c r="I1651" s="18" t="s">
        <v>1782</v>
      </c>
      <c r="J1651" s="97" t="s">
        <v>3447</v>
      </c>
    </row>
    <row r="1652" spans="1:10" s="54" customFormat="1" ht="28.9" customHeight="1" thickTop="1" thickBot="1" x14ac:dyDescent="0.65">
      <c r="A1652" s="20">
        <v>1650</v>
      </c>
      <c r="B1652" s="82" t="str">
        <f>HYPERLINK("https://search.naver.com/search.naver?query=%EC%83%8C%20%EC%95%88%EB%93%9C%EB%A0%88%EC%95%84%EC%8A%A4%20%EC%98%81%ED%99%94", "샌 안드레아스")</f>
        <v>샌 안드레아스</v>
      </c>
      <c r="C1652" s="53">
        <v>8.81</v>
      </c>
      <c r="D1652" s="19" t="s">
        <v>1783</v>
      </c>
      <c r="E1652" s="20" t="s">
        <v>20</v>
      </c>
      <c r="F1652" s="20">
        <v>2015</v>
      </c>
      <c r="G1652" s="20" t="s">
        <v>12</v>
      </c>
      <c r="H1652" s="20" t="s">
        <v>92</v>
      </c>
      <c r="I1652" s="20" t="s">
        <v>207</v>
      </c>
      <c r="J1652" s="98" t="s">
        <v>3440</v>
      </c>
    </row>
    <row r="1653" spans="1:10" s="54" customFormat="1" ht="28.9" customHeight="1" thickTop="1" thickBot="1" x14ac:dyDescent="0.65">
      <c r="A1653" s="18">
        <v>1651</v>
      </c>
      <c r="B1653" s="83" t="str">
        <f>HYPERLINK("https://search.naver.com/search.naver?query=%EC%83%9D%EC%9D%BC%20%EC%98%81%ED%99%94", "생일")</f>
        <v>생일</v>
      </c>
      <c r="C1653" s="55">
        <v>8.3000000000000007</v>
      </c>
      <c r="D1653" s="21" t="s">
        <v>1784</v>
      </c>
      <c r="E1653" s="18" t="s">
        <v>11</v>
      </c>
      <c r="F1653" s="18">
        <v>2018</v>
      </c>
      <c r="G1653" s="18" t="s">
        <v>12</v>
      </c>
      <c r="H1653" s="18" t="s">
        <v>17</v>
      </c>
      <c r="I1653" s="18" t="s">
        <v>86</v>
      </c>
      <c r="J1653" s="97" t="s">
        <v>3442</v>
      </c>
    </row>
    <row r="1654" spans="1:10" s="54" customFormat="1" ht="28.9" customHeight="1" thickTop="1" thickBot="1" x14ac:dyDescent="0.65">
      <c r="A1654" s="20">
        <v>1652</v>
      </c>
      <c r="B1654" s="82" t="str">
        <f>HYPERLINK("https://search.naver.com/search.naver?query=%EC%83%9D%EC%A1%B4%EC%9E%90%EB%93%A4%20%EC%98%81%ED%99%94", "생존자들")</f>
        <v>생존자들</v>
      </c>
      <c r="C1654" s="53">
        <v>9.01</v>
      </c>
      <c r="D1654" s="19" t="s">
        <v>1785</v>
      </c>
      <c r="E1654" s="20" t="s">
        <v>20</v>
      </c>
      <c r="F1654" s="20">
        <v>2014</v>
      </c>
      <c r="G1654" s="20" t="s">
        <v>12</v>
      </c>
      <c r="H1654" s="20" t="s">
        <v>824</v>
      </c>
      <c r="I1654" s="20" t="s">
        <v>81</v>
      </c>
      <c r="J1654" s="98" t="s">
        <v>3437</v>
      </c>
    </row>
    <row r="1655" spans="1:10" s="54" customFormat="1" ht="28.9" customHeight="1" thickTop="1" thickBot="1" x14ac:dyDescent="0.65">
      <c r="A1655" s="18">
        <v>1653</v>
      </c>
      <c r="B1655" s="83" t="str">
        <f>HYPERLINK("https://search.naver.com/search.naver?query=%EC%83%9D%ED%85%80%20%EC%98%81%ED%99%94", "생텀")</f>
        <v>생텀</v>
      </c>
      <c r="C1655" s="55"/>
      <c r="D1655" s="21" t="s">
        <v>1786</v>
      </c>
      <c r="E1655" s="18" t="s">
        <v>20</v>
      </c>
      <c r="F1655" s="18">
        <v>2011</v>
      </c>
      <c r="G1655" s="18" t="s">
        <v>12</v>
      </c>
      <c r="H1655" s="18" t="s">
        <v>92</v>
      </c>
      <c r="I1655" s="18" t="s">
        <v>31</v>
      </c>
      <c r="J1655" s="97" t="s">
        <v>3454</v>
      </c>
    </row>
    <row r="1656" spans="1:10" s="54" customFormat="1" ht="28.9" customHeight="1" thickTop="1" thickBot="1" x14ac:dyDescent="0.65">
      <c r="A1656" s="20">
        <v>1654</v>
      </c>
      <c r="B1656" s="82" t="str">
        <f>HYPERLINK("https://search.naver.com/search.naver?query=%EC%83%A4%EC%9D%B8%20%EC%98%81%ED%99%94", "샤인")</f>
        <v>샤인</v>
      </c>
      <c r="C1656" s="53">
        <v>9.09</v>
      </c>
      <c r="D1656" s="19" t="s">
        <v>1787</v>
      </c>
      <c r="E1656" s="20" t="s">
        <v>36</v>
      </c>
      <c r="F1656" s="20">
        <v>1996</v>
      </c>
      <c r="G1656" s="20" t="s">
        <v>12</v>
      </c>
      <c r="H1656" s="20" t="s">
        <v>17</v>
      </c>
      <c r="I1656" s="20" t="s">
        <v>128</v>
      </c>
      <c r="J1656" s="98" t="s">
        <v>3463</v>
      </c>
    </row>
    <row r="1657" spans="1:10" s="54" customFormat="1" ht="28.9" customHeight="1" thickTop="1" thickBot="1" x14ac:dyDescent="0.65">
      <c r="A1657" s="18">
        <v>1655</v>
      </c>
      <c r="B1657" s="83" t="str">
        <f>HYPERLINK("https://search.naver.com/search.naver?query=%EC%83%A4%ED%8D%BC%20%EC%98%81%ED%99%94", "샤퍼")</f>
        <v>샤퍼</v>
      </c>
      <c r="C1657" s="55">
        <v>9.09</v>
      </c>
      <c r="D1657" s="21" t="s">
        <v>1788</v>
      </c>
      <c r="E1657" s="18" t="s">
        <v>20</v>
      </c>
      <c r="F1657" s="18">
        <v>2023</v>
      </c>
      <c r="G1657" s="18" t="s">
        <v>12</v>
      </c>
      <c r="H1657" s="18" t="s">
        <v>277</v>
      </c>
      <c r="I1657" s="18" t="s">
        <v>366</v>
      </c>
      <c r="J1657" s="97" t="s">
        <v>3446</v>
      </c>
    </row>
    <row r="1658" spans="1:10" s="54" customFormat="1" ht="28.9" customHeight="1" thickTop="1" thickBot="1" x14ac:dyDescent="0.65">
      <c r="A1658" s="20">
        <v>1656</v>
      </c>
      <c r="B1658" s="82" t="str">
        <f>HYPERLINK("https://search.naver.com/search.naver?query=%EC%83%B7%20%EC%BD%9C%EB%9F%AC%20%EC%98%81%ED%99%94", "샷 콜러")</f>
        <v>샷 콜러</v>
      </c>
      <c r="C1658" s="53">
        <v>7.46</v>
      </c>
      <c r="D1658" s="19" t="s">
        <v>1789</v>
      </c>
      <c r="E1658" s="20" t="s">
        <v>20</v>
      </c>
      <c r="F1658" s="20">
        <v>2017</v>
      </c>
      <c r="G1658" s="20" t="s">
        <v>12</v>
      </c>
      <c r="H1658" s="20" t="s">
        <v>277</v>
      </c>
      <c r="I1658" s="20" t="s">
        <v>142</v>
      </c>
      <c r="J1658" s="98" t="s">
        <v>3443</v>
      </c>
    </row>
    <row r="1659" spans="1:10" s="54" customFormat="1" ht="28.9" customHeight="1" thickTop="1" thickBot="1" x14ac:dyDescent="0.65">
      <c r="A1659" s="18">
        <v>1657</v>
      </c>
      <c r="B1659" s="83" t="str">
        <f>HYPERLINK("https://search.naver.com/search.naver?query=%EC%84%80%EB%8F%84%EC%9A%B0%20%EB%8C%84%EC%84%9C%20%EC%98%81%ED%99%94", "섀도우 댄서")</f>
        <v>섀도우 댄서</v>
      </c>
      <c r="C1659" s="55">
        <v>8.83</v>
      </c>
      <c r="D1659" s="21" t="s">
        <v>1790</v>
      </c>
      <c r="E1659" s="18" t="s">
        <v>24</v>
      </c>
      <c r="F1659" s="18">
        <v>2012</v>
      </c>
      <c r="G1659" s="18" t="s">
        <v>12</v>
      </c>
      <c r="H1659" s="18" t="s">
        <v>43</v>
      </c>
      <c r="I1659" s="18" t="s">
        <v>70</v>
      </c>
      <c r="J1659" s="97" t="s">
        <v>3439</v>
      </c>
    </row>
    <row r="1660" spans="1:10" s="54" customFormat="1" ht="28.9" customHeight="1" thickTop="1" thickBot="1" x14ac:dyDescent="0.65">
      <c r="A1660" s="20">
        <v>1658</v>
      </c>
      <c r="B1660" s="82" t="str">
        <f>HYPERLINK("https://search.naver.com/search.naver?query=%EC%84%9C%EB%A5%B8%EC%95%84%ED%99%89%2C%20%EC%97%B4%EC%95%84%ED%99%89%20%EC%98%81%ED%99%94", "서른아홉, 열아홉")</f>
        <v>서른아홉, 열아홉</v>
      </c>
      <c r="C1660" s="53">
        <v>7.3</v>
      </c>
      <c r="D1660" s="19" t="s">
        <v>1791</v>
      </c>
      <c r="E1660" s="20" t="s">
        <v>210</v>
      </c>
      <c r="F1660" s="20">
        <v>2014</v>
      </c>
      <c r="G1660" s="20" t="s">
        <v>12</v>
      </c>
      <c r="H1660" s="20" t="s">
        <v>68</v>
      </c>
      <c r="I1660" s="20" t="s">
        <v>147</v>
      </c>
      <c r="J1660" s="98" t="s">
        <v>3437</v>
      </c>
    </row>
    <row r="1661" spans="1:10" s="54" customFormat="1" ht="28.9" customHeight="1" thickTop="1" thickBot="1" x14ac:dyDescent="0.65">
      <c r="A1661" s="18">
        <v>1659</v>
      </c>
      <c r="B1661" s="83" t="str">
        <f>HYPERLINK("https://search.naver.com/search.naver?query=%EC%84%9C%EB%B0%94%EC%9D%B4%EB%B2%84%20%EC%98%81%ED%99%94", "서바이버")</f>
        <v>서바이버</v>
      </c>
      <c r="C1661" s="55">
        <v>8.36</v>
      </c>
      <c r="D1661" s="21" t="s">
        <v>1792</v>
      </c>
      <c r="E1661" s="18" t="s">
        <v>20</v>
      </c>
      <c r="F1661" s="18">
        <v>2015</v>
      </c>
      <c r="G1661" s="18" t="s">
        <v>12</v>
      </c>
      <c r="H1661" s="18" t="s">
        <v>92</v>
      </c>
      <c r="I1661" s="18" t="s">
        <v>61</v>
      </c>
      <c r="J1661" s="97" t="s">
        <v>3440</v>
      </c>
    </row>
    <row r="1662" spans="1:10" s="54" customFormat="1" ht="28.9" customHeight="1" thickTop="1" thickBot="1" x14ac:dyDescent="0.65">
      <c r="A1662" s="20">
        <v>1660</v>
      </c>
      <c r="B1662" s="82" t="str">
        <f>HYPERLINK("https://search.naver.com/search.naver?query=%EC%84%9C%EB%B0%94%EC%9D%B4%EB%B2%8C%20%ED%8C%A8%EB%B0%80%EB%A6%AC%20%EC%98%81%ED%99%94", "서바이벌 패밀리")</f>
        <v>서바이벌 패밀리</v>
      </c>
      <c r="C1662" s="53">
        <v>3.32</v>
      </c>
      <c r="D1662" s="19" t="s">
        <v>1793</v>
      </c>
      <c r="E1662" s="20" t="s">
        <v>16</v>
      </c>
      <c r="F1662" s="20">
        <v>2017</v>
      </c>
      <c r="G1662" s="20" t="s">
        <v>12</v>
      </c>
      <c r="H1662" s="20" t="s">
        <v>68</v>
      </c>
      <c r="I1662" s="20" t="s">
        <v>89</v>
      </c>
      <c r="J1662" s="98" t="s">
        <v>3443</v>
      </c>
    </row>
    <row r="1663" spans="1:10" s="54" customFormat="1" ht="28.9" customHeight="1" thickTop="1" thickBot="1" x14ac:dyDescent="0.65">
      <c r="A1663" s="18">
        <v>1661</v>
      </c>
      <c r="B1663" s="83" t="str">
        <f>HYPERLINK("https://search.naver.com/search.naver?query=%EC%84%9C%EB%B2%84%EB%B9%84%EC%BD%98%20%EC%98%81%ED%99%94", "서버비콘")</f>
        <v>서버비콘</v>
      </c>
      <c r="C1663" s="55">
        <v>8.61</v>
      </c>
      <c r="D1663" s="21" t="s">
        <v>1794</v>
      </c>
      <c r="E1663" s="18" t="s">
        <v>20</v>
      </c>
      <c r="F1663" s="18">
        <v>2017</v>
      </c>
      <c r="G1663" s="18" t="s">
        <v>12</v>
      </c>
      <c r="H1663" s="18" t="s">
        <v>68</v>
      </c>
      <c r="I1663" s="18" t="s">
        <v>128</v>
      </c>
      <c r="J1663" s="97" t="s">
        <v>3443</v>
      </c>
    </row>
    <row r="1664" spans="1:10" s="54" customFormat="1" ht="28.9" customHeight="1" thickTop="1" thickBot="1" x14ac:dyDescent="0.65">
      <c r="A1664" s="23">
        <v>1662</v>
      </c>
      <c r="B1664" s="84" t="str">
        <f>HYPERLINK("https://search.naver.com/search.naver?query=%EC%84%9C%EB%B2%88%ED%8A%B8%20%EC%8B%9C%EC%A6%8C1%20%EB%93%9C%EB%9D%BC%EB%A7%88", "서번트 시즌1")</f>
        <v>서번트 시즌1</v>
      </c>
      <c r="C1664" s="56"/>
      <c r="D1664" s="22" t="s">
        <v>1795</v>
      </c>
      <c r="E1664" s="23" t="s">
        <v>20</v>
      </c>
      <c r="F1664" s="23">
        <v>2019</v>
      </c>
      <c r="G1664" s="23" t="s">
        <v>17</v>
      </c>
      <c r="H1664" s="23" t="s">
        <v>13</v>
      </c>
      <c r="I1664" s="23" t="s">
        <v>50</v>
      </c>
      <c r="J1664" s="99" t="s">
        <v>3444</v>
      </c>
    </row>
    <row r="1665" spans="1:10" s="54" customFormat="1" ht="28.9" customHeight="1" thickTop="1" thickBot="1" x14ac:dyDescent="0.65">
      <c r="A1665" s="23">
        <v>1663</v>
      </c>
      <c r="B1665" s="84" t="str">
        <f>HYPERLINK("https://search.naver.com/search.naver?query=%EC%84%9C%EB%B2%88%ED%8A%B8%20%EC%8B%9C%EC%A6%8C21%20%EB%93%9C%EB%9D%BC%EB%A7%88", "서번트 시즌21")</f>
        <v>서번트 시즌21</v>
      </c>
      <c r="C1665" s="56"/>
      <c r="D1665" s="22" t="s">
        <v>1795</v>
      </c>
      <c r="E1665" s="23" t="s">
        <v>20</v>
      </c>
      <c r="F1665" s="23">
        <v>2021</v>
      </c>
      <c r="G1665" s="23" t="s">
        <v>17</v>
      </c>
      <c r="H1665" s="23" t="s">
        <v>13</v>
      </c>
      <c r="I1665" s="23" t="s">
        <v>50</v>
      </c>
      <c r="J1665" s="99" t="s">
        <v>3438</v>
      </c>
    </row>
    <row r="1666" spans="1:10" s="54" customFormat="1" ht="28.9" customHeight="1" thickTop="1" thickBot="1" x14ac:dyDescent="0.65">
      <c r="A1666" s="20">
        <v>1664</v>
      </c>
      <c r="B1666" s="82" t="str">
        <f>HYPERLINK("https://search.naver.com/search.naver?query=%EC%84%9C%EB%B6%80%20%EC%A0%84%EC%84%A0%20%EC%9D%B4%EC%83%81%20%EC%97%86%EB%8B%A4%20%EC%98%81%ED%99%94", "서부 전선 이상 없다")</f>
        <v>서부 전선 이상 없다</v>
      </c>
      <c r="C1666" s="53">
        <v>6.4</v>
      </c>
      <c r="D1666" s="19" t="s">
        <v>1796</v>
      </c>
      <c r="E1666" s="20" t="s">
        <v>101</v>
      </c>
      <c r="F1666" s="20">
        <v>2022</v>
      </c>
      <c r="G1666" s="20" t="s">
        <v>12</v>
      </c>
      <c r="H1666" s="20" t="s">
        <v>721</v>
      </c>
      <c r="I1666" s="20" t="s">
        <v>157</v>
      </c>
      <c r="J1666" s="98" t="s">
        <v>3445</v>
      </c>
    </row>
    <row r="1667" spans="1:10" s="54" customFormat="1" ht="28.9" customHeight="1" thickTop="1" thickBot="1" x14ac:dyDescent="0.65">
      <c r="A1667" s="18">
        <v>1665</v>
      </c>
      <c r="B1667" s="83" t="str">
        <f>HYPERLINK("https://search.naver.com/search.naver?query=%EC%84%9C%EB%B6%80%EC%A0%84%EC%84%A0%20%EC%98%81%ED%99%94", "서부전선")</f>
        <v>서부전선</v>
      </c>
      <c r="C1667" s="55">
        <v>9.0299999999999994</v>
      </c>
      <c r="D1667" s="21" t="s">
        <v>1797</v>
      </c>
      <c r="E1667" s="18" t="s">
        <v>11</v>
      </c>
      <c r="F1667" s="18">
        <v>2015</v>
      </c>
      <c r="G1667" s="18" t="s">
        <v>12</v>
      </c>
      <c r="H1667" s="18" t="s">
        <v>721</v>
      </c>
      <c r="I1667" s="18" t="s">
        <v>278</v>
      </c>
      <c r="J1667" s="97" t="s">
        <v>3440</v>
      </c>
    </row>
    <row r="1668" spans="1:10" s="54" customFormat="1" ht="28.9" customHeight="1" thickTop="1" thickBot="1" x14ac:dyDescent="0.65">
      <c r="A1668" s="20">
        <v>1666</v>
      </c>
      <c r="B1668" s="82" t="str">
        <f>HYPERLINK("https://search.naver.com/search.naver?query=%EC%84%9C%EB%B8%8C%EB%A8%B8%EC%A0%84%EC%8A%A4%20%EC%98%81%ED%99%94", "서브머전스")</f>
        <v>서브머전스</v>
      </c>
      <c r="C1668" s="53">
        <v>7.16</v>
      </c>
      <c r="D1668" s="19" t="s">
        <v>1798</v>
      </c>
      <c r="E1668" s="20" t="s">
        <v>101</v>
      </c>
      <c r="F1668" s="20">
        <v>2017</v>
      </c>
      <c r="G1668" s="20" t="s">
        <v>12</v>
      </c>
      <c r="H1668" s="20" t="s">
        <v>17</v>
      </c>
      <c r="I1668" s="20" t="s">
        <v>278</v>
      </c>
      <c r="J1668" s="98" t="s">
        <v>3443</v>
      </c>
    </row>
    <row r="1669" spans="1:10" s="54" customFormat="1" ht="28.9" customHeight="1" thickTop="1" thickBot="1" x14ac:dyDescent="0.65">
      <c r="A1669" s="18">
        <v>1667</v>
      </c>
      <c r="B1669" s="83" t="str">
        <f>HYPERLINK("https://search.naver.com/search.naver?query=서브스턴스 영화", "서브스턴스")</f>
        <v>서브스턴스</v>
      </c>
      <c r="C1669" s="55">
        <v>8.51</v>
      </c>
      <c r="D1669" s="21" t="s">
        <v>1799</v>
      </c>
      <c r="E1669" s="18" t="s">
        <v>24</v>
      </c>
      <c r="F1669" s="18">
        <v>2024</v>
      </c>
      <c r="G1669" s="18" t="s">
        <v>12</v>
      </c>
      <c r="H1669" s="18" t="s">
        <v>43</v>
      </c>
      <c r="I1669" s="18" t="s">
        <v>455</v>
      </c>
      <c r="J1669" s="97" t="s">
        <v>3448</v>
      </c>
    </row>
    <row r="1670" spans="1:10" ht="28.9" customHeight="1" thickTop="1" thickBot="1" x14ac:dyDescent="0.65">
      <c r="A1670" s="5">
        <v>1668</v>
      </c>
      <c r="B1670" s="82" t="str">
        <f>HYPERLINK("https://search.naver.com/search.naver?query=서약 영화", "서약")</f>
        <v>서약</v>
      </c>
      <c r="C1670" s="47">
        <v>8.2799999999999994</v>
      </c>
      <c r="D1670" s="6" t="s">
        <v>1800</v>
      </c>
      <c r="E1670" s="5" t="s">
        <v>20</v>
      </c>
      <c r="F1670" s="5">
        <v>2012</v>
      </c>
      <c r="G1670" s="5" t="s">
        <v>12</v>
      </c>
      <c r="H1670" s="5" t="s">
        <v>17</v>
      </c>
      <c r="I1670" s="5" t="s">
        <v>170</v>
      </c>
      <c r="J1670" s="98" t="s">
        <v>3439</v>
      </c>
    </row>
    <row r="1671" spans="1:10" ht="28.9" customHeight="1" thickTop="1" thickBot="1" x14ac:dyDescent="0.65">
      <c r="A1671" s="3">
        <v>1669</v>
      </c>
      <c r="B1671" s="83" t="str">
        <f>HYPERLINK("https://search.naver.com/search.naver?query=서울의 봄 영화", "서울의 봄")</f>
        <v>서울의 봄</v>
      </c>
      <c r="C1671" s="45">
        <v>9.39</v>
      </c>
      <c r="D1671" s="4" t="s">
        <v>1801</v>
      </c>
      <c r="E1671" s="3" t="s">
        <v>11</v>
      </c>
      <c r="F1671" s="3">
        <v>2023</v>
      </c>
      <c r="G1671" s="3" t="s">
        <v>12</v>
      </c>
      <c r="H1671" s="3" t="s">
        <v>17</v>
      </c>
      <c r="I1671" s="3" t="s">
        <v>455</v>
      </c>
      <c r="J1671" s="97" t="s">
        <v>3446</v>
      </c>
    </row>
    <row r="1672" spans="1:10" ht="28.9" customHeight="1" thickTop="1" thickBot="1" x14ac:dyDescent="0.65">
      <c r="A1672" s="5">
        <v>1670</v>
      </c>
      <c r="B1672" s="82" t="str">
        <f>HYPERLINK("https://search.naver.com/search.naver?query=서치 영화", "서치")</f>
        <v>서치</v>
      </c>
      <c r="C1672" s="47">
        <v>3.83</v>
      </c>
      <c r="D1672" s="6" t="s">
        <v>1802</v>
      </c>
      <c r="E1672" s="5" t="s">
        <v>20</v>
      </c>
      <c r="F1672" s="5">
        <v>2018</v>
      </c>
      <c r="G1672" s="5" t="s">
        <v>12</v>
      </c>
      <c r="H1672" s="5" t="s">
        <v>43</v>
      </c>
      <c r="I1672" s="5" t="s">
        <v>99</v>
      </c>
      <c r="J1672" s="98" t="s">
        <v>3442</v>
      </c>
    </row>
    <row r="1673" spans="1:10" ht="28.9" customHeight="1" thickTop="1" thickBot="1" x14ac:dyDescent="0.65">
      <c r="A1673" s="3">
        <v>1671</v>
      </c>
      <c r="B1673" s="83" t="str">
        <f>HYPERLINK("https://search.naver.com/search.naver?query=서치 2 영화", "서치 2")</f>
        <v>서치 2</v>
      </c>
      <c r="C1673" s="45">
        <v>8.2100000000000009</v>
      </c>
      <c r="D1673" s="4" t="s">
        <v>1396</v>
      </c>
      <c r="E1673" s="3" t="s">
        <v>20</v>
      </c>
      <c r="F1673" s="3">
        <v>2023</v>
      </c>
      <c r="G1673" s="3" t="s">
        <v>12</v>
      </c>
      <c r="H1673" s="3" t="s">
        <v>43</v>
      </c>
      <c r="I1673" s="3" t="s">
        <v>102</v>
      </c>
      <c r="J1673" s="97" t="s">
        <v>3446</v>
      </c>
    </row>
    <row r="1674" spans="1:10" ht="28.9" customHeight="1" thickTop="1" thickBot="1" x14ac:dyDescent="0.65">
      <c r="A1674" s="5">
        <v>1672</v>
      </c>
      <c r="B1674" s="82" t="str">
        <f>HYPERLINK("https://search.naver.com/search.naver?query=서툴지만, 사랑 영화", "서툴지만, 사랑")</f>
        <v>서툴지만, 사랑</v>
      </c>
      <c r="C1674" s="47">
        <v>8.36</v>
      </c>
      <c r="D1674" s="6" t="s">
        <v>1803</v>
      </c>
      <c r="E1674" s="5" t="s">
        <v>16</v>
      </c>
      <c r="F1674" s="5">
        <v>2015</v>
      </c>
      <c r="G1674" s="5" t="s">
        <v>12</v>
      </c>
      <c r="H1674" s="5" t="s">
        <v>121</v>
      </c>
      <c r="I1674" s="5" t="s">
        <v>47</v>
      </c>
      <c r="J1674" s="98" t="s">
        <v>3440</v>
      </c>
    </row>
    <row r="1675" spans="1:10" ht="28.9" customHeight="1" thickTop="1" thickBot="1" x14ac:dyDescent="0.65">
      <c r="A1675" s="3">
        <v>1673</v>
      </c>
      <c r="B1675" s="83" t="str">
        <f>HYPERLINK("https://search.naver.com/search.naver?query=서펀트 죽음의 협곡 영화", "서펀트 - 죽음의 협곡")</f>
        <v>서펀트 - 죽음의 협곡</v>
      </c>
      <c r="C1675" s="45"/>
      <c r="D1675" s="4" t="s">
        <v>1804</v>
      </c>
      <c r="E1675" s="3" t="s">
        <v>20</v>
      </c>
      <c r="F1675" s="3">
        <v>2017</v>
      </c>
      <c r="G1675" s="3" t="s">
        <v>12</v>
      </c>
      <c r="H1675" s="3" t="s">
        <v>43</v>
      </c>
      <c r="I1675" s="3" t="s">
        <v>111</v>
      </c>
      <c r="J1675" s="97" t="s">
        <v>3443</v>
      </c>
    </row>
    <row r="1676" spans="1:10" ht="28.9" customHeight="1" thickTop="1" thickBot="1" x14ac:dyDescent="0.65">
      <c r="A1676" s="5">
        <v>1674</v>
      </c>
      <c r="B1676" s="82" t="str">
        <f>HYPERLINK("https://search.naver.com/search.naver?query=서프러제트 영화", "서프러제트")</f>
        <v>서프러제트</v>
      </c>
      <c r="C1676" s="47">
        <v>9.07</v>
      </c>
      <c r="D1676" s="6" t="s">
        <v>1805</v>
      </c>
      <c r="E1676" s="5" t="s">
        <v>24</v>
      </c>
      <c r="F1676" s="5">
        <v>2015</v>
      </c>
      <c r="G1676" s="5" t="s">
        <v>12</v>
      </c>
      <c r="H1676" s="5" t="s">
        <v>17</v>
      </c>
      <c r="I1676" s="5" t="s">
        <v>286</v>
      </c>
      <c r="J1676" s="98" t="s">
        <v>3440</v>
      </c>
    </row>
    <row r="1677" spans="1:10" ht="28.9" customHeight="1" thickTop="1" thickBot="1" x14ac:dyDescent="0.65">
      <c r="A1677" s="7">
        <v>1675</v>
      </c>
      <c r="B1677" s="48" t="str">
        <f>HYPERLINK("https://search.naver.com/search.naver?query=석세션 시즌1", "석세션 시즌1")</f>
        <v>석세션 시즌1</v>
      </c>
      <c r="C1677" s="49"/>
      <c r="D1677" s="8" t="s">
        <v>1806</v>
      </c>
      <c r="E1677" s="7" t="s">
        <v>20</v>
      </c>
      <c r="F1677" s="7">
        <v>2018</v>
      </c>
      <c r="G1677" s="7" t="s">
        <v>17</v>
      </c>
      <c r="H1677" s="7" t="s">
        <v>17</v>
      </c>
      <c r="I1677" s="7" t="s">
        <v>50</v>
      </c>
      <c r="J1677" s="99" t="s">
        <v>3442</v>
      </c>
    </row>
    <row r="1678" spans="1:10" ht="28.9" customHeight="1" thickTop="1" thickBot="1" x14ac:dyDescent="0.65">
      <c r="A1678" s="7">
        <v>1676</v>
      </c>
      <c r="B1678" s="48" t="str">
        <f>HYPERLINK("https://search.naver.com/search.naver?query=석세션 시즌2", "석세션 시즌2")</f>
        <v>석세션 시즌2</v>
      </c>
      <c r="C1678" s="49"/>
      <c r="D1678" s="8" t="s">
        <v>1806</v>
      </c>
      <c r="E1678" s="7" t="s">
        <v>20</v>
      </c>
      <c r="F1678" s="7">
        <v>2019</v>
      </c>
      <c r="G1678" s="7" t="s">
        <v>17</v>
      </c>
      <c r="H1678" s="7" t="s">
        <v>17</v>
      </c>
      <c r="I1678" s="7" t="s">
        <v>50</v>
      </c>
      <c r="J1678" s="99" t="s">
        <v>3444</v>
      </c>
    </row>
    <row r="1679" spans="1:10" ht="28.9" customHeight="1" thickTop="1" thickBot="1" x14ac:dyDescent="0.65">
      <c r="A1679" s="7">
        <v>1677</v>
      </c>
      <c r="B1679" s="48" t="str">
        <f>HYPERLINK("https://search.naver.com/search.naver?query=석세션 시즌3", "석세션 시즌3")</f>
        <v>석세션 시즌3</v>
      </c>
      <c r="C1679" s="49"/>
      <c r="D1679" s="8" t="s">
        <v>1806</v>
      </c>
      <c r="E1679" s="7" t="s">
        <v>20</v>
      </c>
      <c r="F1679" s="7">
        <v>2021</v>
      </c>
      <c r="G1679" s="7" t="s">
        <v>17</v>
      </c>
      <c r="H1679" s="7" t="s">
        <v>17</v>
      </c>
      <c r="I1679" s="7" t="s">
        <v>242</v>
      </c>
      <c r="J1679" s="99" t="s">
        <v>3438</v>
      </c>
    </row>
    <row r="1680" spans="1:10" ht="28.9" customHeight="1" thickTop="1" thickBot="1" x14ac:dyDescent="0.65">
      <c r="A1680" s="7">
        <v>1678</v>
      </c>
      <c r="B1680" s="48" t="str">
        <f>HYPERLINK("https://search.naver.com/search.naver?query=선산", "선산")</f>
        <v>선산</v>
      </c>
      <c r="C1680" s="49"/>
      <c r="D1680" s="8" t="s">
        <v>1807</v>
      </c>
      <c r="E1680" s="7" t="s">
        <v>11</v>
      </c>
      <c r="F1680" s="7">
        <v>2024</v>
      </c>
      <c r="G1680" s="7" t="s">
        <v>17</v>
      </c>
      <c r="H1680" s="7" t="s">
        <v>13</v>
      </c>
      <c r="I1680" s="7" t="s">
        <v>173</v>
      </c>
      <c r="J1680" s="99" t="s">
        <v>3448</v>
      </c>
    </row>
    <row r="1681" spans="1:10" ht="28.9" customHeight="1" thickTop="1" thickBot="1" x14ac:dyDescent="0.65">
      <c r="A1681" s="3">
        <v>1679</v>
      </c>
      <c r="B1681" s="44" t="str">
        <f>HYPERLINK("https://search.naver.com/search.naver?query=선생님 내 옆에 앉아줄래요", "선생님, 내 옆에 앉아줄래요")</f>
        <v>선생님, 내 옆에 앉아줄래요</v>
      </c>
      <c r="C1681" s="45">
        <v>6.4</v>
      </c>
      <c r="D1681" s="4" t="s">
        <v>1808</v>
      </c>
      <c r="E1681" s="3" t="s">
        <v>16</v>
      </c>
      <c r="F1681" s="3">
        <v>2021</v>
      </c>
      <c r="G1681" s="3" t="s">
        <v>12</v>
      </c>
      <c r="H1681" s="3" t="s">
        <v>68</v>
      </c>
      <c r="I1681" s="3" t="s">
        <v>53</v>
      </c>
      <c r="J1681" s="97" t="s">
        <v>3438</v>
      </c>
    </row>
    <row r="1682" spans="1:10" ht="28.9" customHeight="1" thickTop="1" thickBot="1" x14ac:dyDescent="0.65">
      <c r="A1682" s="5">
        <v>1680</v>
      </c>
      <c r="B1682" s="46" t="str">
        <f>HYPERLINK("https://search.naver.com/search.naver?query=설계 영화", "설계")</f>
        <v>설계</v>
      </c>
      <c r="C1682" s="47">
        <v>5.9</v>
      </c>
      <c r="D1682" s="6" t="s">
        <v>1809</v>
      </c>
      <c r="E1682" s="5" t="s">
        <v>11</v>
      </c>
      <c r="F1682" s="5">
        <v>2014</v>
      </c>
      <c r="G1682" s="5" t="s">
        <v>12</v>
      </c>
      <c r="H1682" s="5" t="s">
        <v>43</v>
      </c>
      <c r="I1682" s="5" t="s">
        <v>111</v>
      </c>
      <c r="J1682" s="98" t="s">
        <v>3437</v>
      </c>
    </row>
    <row r="1683" spans="1:10" ht="28.9" customHeight="1" thickTop="1" thickBot="1" x14ac:dyDescent="0.65">
      <c r="A1683" s="3">
        <v>1681</v>
      </c>
      <c r="B1683" s="44" t="str">
        <f>HYPERLINK("https://search.naver.com/search.naver?query=설국열차 영화", "설국열차")</f>
        <v>설국열차</v>
      </c>
      <c r="C1683" s="45">
        <v>8.23</v>
      </c>
      <c r="D1683" s="4" t="s">
        <v>1810</v>
      </c>
      <c r="E1683" s="3" t="s">
        <v>11</v>
      </c>
      <c r="F1683" s="3">
        <v>2013</v>
      </c>
      <c r="G1683" s="3" t="s">
        <v>12</v>
      </c>
      <c r="H1683" s="3" t="s">
        <v>520</v>
      </c>
      <c r="I1683" s="3" t="s">
        <v>78</v>
      </c>
      <c r="J1683" s="97" t="s">
        <v>3451</v>
      </c>
    </row>
    <row r="1684" spans="1:10" ht="28.9" customHeight="1" thickTop="1" thickBot="1" x14ac:dyDescent="0.65">
      <c r="A1684" s="5">
        <v>1682</v>
      </c>
      <c r="B1684" s="46" t="str">
        <f>HYPERLINK("https://search.naver.com/search.naver?query=설리 허드슨강의 기적 영화", "설리 - 허드슨강의 기적")</f>
        <v>설리 - 허드슨강의 기적</v>
      </c>
      <c r="C1684" s="47">
        <v>8.92</v>
      </c>
      <c r="D1684" s="6" t="s">
        <v>1811</v>
      </c>
      <c r="E1684" s="5" t="s">
        <v>20</v>
      </c>
      <c r="F1684" s="5">
        <v>2016</v>
      </c>
      <c r="G1684" s="5" t="s">
        <v>12</v>
      </c>
      <c r="H1684" s="5" t="s">
        <v>17</v>
      </c>
      <c r="I1684" s="5" t="s">
        <v>61</v>
      </c>
      <c r="J1684" s="98" t="s">
        <v>3441</v>
      </c>
    </row>
    <row r="1685" spans="1:10" ht="28.9" customHeight="1" thickTop="1" thickBot="1" x14ac:dyDescent="0.65">
      <c r="A1685" s="3">
        <v>1683</v>
      </c>
      <c r="B1685" s="44" t="str">
        <f>HYPERLINK("https://search.naver.com/search.naver?query=섬 사라진 사람들 영화", "섬 사라진 사람들")</f>
        <v>섬 사라진 사람들</v>
      </c>
      <c r="C1685" s="45">
        <v>7.89</v>
      </c>
      <c r="D1685" s="4" t="s">
        <v>1812</v>
      </c>
      <c r="E1685" s="3" t="s">
        <v>11</v>
      </c>
      <c r="F1685" s="3">
        <v>2015</v>
      </c>
      <c r="G1685" s="3" t="s">
        <v>12</v>
      </c>
      <c r="H1685" s="3" t="s">
        <v>17</v>
      </c>
      <c r="I1685" s="3" t="s">
        <v>111</v>
      </c>
      <c r="J1685" s="97" t="s">
        <v>3440</v>
      </c>
    </row>
    <row r="1686" spans="1:10" ht="28.9" customHeight="1" thickTop="1" thickBot="1" x14ac:dyDescent="0.65">
      <c r="A1686" s="5">
        <v>1684</v>
      </c>
      <c r="B1686" s="46" t="str">
        <f>HYPERLINK("https://search.naver.com/search.naver?query=성난 군중으로부터 멀리 영화", "성난 군중으로부터 멀리")</f>
        <v>성난 군중으로부터 멀리</v>
      </c>
      <c r="C1686" s="47">
        <v>6.4</v>
      </c>
      <c r="D1686" s="6" t="s">
        <v>1813</v>
      </c>
      <c r="E1686" s="5" t="s">
        <v>24</v>
      </c>
      <c r="F1686" s="5">
        <v>2015</v>
      </c>
      <c r="G1686" s="5" t="s">
        <v>12</v>
      </c>
      <c r="H1686" s="5" t="s">
        <v>17</v>
      </c>
      <c r="I1686" s="5" t="s">
        <v>53</v>
      </c>
      <c r="J1686" s="98" t="s">
        <v>3440</v>
      </c>
    </row>
    <row r="1687" spans="1:10" ht="28.9" customHeight="1" thickTop="1" thickBot="1" x14ac:dyDescent="0.65">
      <c r="A1687" s="3">
        <v>1685</v>
      </c>
      <c r="B1687" s="44" t="str">
        <f>HYPERLINK("https://search.naver.com/search.naver?query=성난 변호사 영화", "성난 변호사")</f>
        <v>성난 변호사</v>
      </c>
      <c r="C1687" s="45">
        <v>8.48</v>
      </c>
      <c r="D1687" s="4" t="s">
        <v>1814</v>
      </c>
      <c r="E1687" s="3" t="s">
        <v>11</v>
      </c>
      <c r="F1687" s="3">
        <v>2015</v>
      </c>
      <c r="G1687" s="3" t="s">
        <v>12</v>
      </c>
      <c r="H1687" s="3" t="s">
        <v>17</v>
      </c>
      <c r="I1687" s="3" t="s">
        <v>111</v>
      </c>
      <c r="J1687" s="97" t="s">
        <v>3440</v>
      </c>
    </row>
    <row r="1688" spans="1:10" ht="28.9" customHeight="1" thickTop="1" thickBot="1" x14ac:dyDescent="0.65">
      <c r="A1688" s="5">
        <v>1686</v>
      </c>
      <c r="B1688" s="46" t="str">
        <f>HYPERLINK("https://search.naver.com/search.naver?query=성난황소 영화", "성난황소")</f>
        <v>성난황소</v>
      </c>
      <c r="C1688" s="47">
        <v>8.66</v>
      </c>
      <c r="D1688" s="6" t="s">
        <v>1815</v>
      </c>
      <c r="E1688" s="5" t="s">
        <v>11</v>
      </c>
      <c r="F1688" s="5">
        <v>2018</v>
      </c>
      <c r="G1688" s="5" t="s">
        <v>12</v>
      </c>
      <c r="H1688" s="5" t="s">
        <v>92</v>
      </c>
      <c r="I1688" s="5" t="s">
        <v>47</v>
      </c>
      <c r="J1688" s="98" t="s">
        <v>3442</v>
      </c>
    </row>
    <row r="1689" spans="1:10" ht="28.9" customHeight="1" thickTop="1" thickBot="1" x14ac:dyDescent="0.65">
      <c r="A1689" s="3">
        <v>1687</v>
      </c>
      <c r="B1689" s="44" t="str">
        <f>HYPERLINK("https://search.naver.com/search.naver?query=세 도시 이야기 영화", "세 도시 이야기")</f>
        <v>세 도시 이야기</v>
      </c>
      <c r="C1689" s="45"/>
      <c r="D1689" s="4" t="s">
        <v>1816</v>
      </c>
      <c r="E1689" s="3" t="s">
        <v>11</v>
      </c>
      <c r="F1689" s="3">
        <v>2015</v>
      </c>
      <c r="G1689" s="3" t="s">
        <v>12</v>
      </c>
      <c r="H1689" s="3" t="s">
        <v>17</v>
      </c>
      <c r="I1689" s="3" t="s">
        <v>111</v>
      </c>
      <c r="J1689" s="97" t="s">
        <v>3440</v>
      </c>
    </row>
    <row r="1690" spans="1:10" ht="28.9" customHeight="1" thickTop="1" thickBot="1" x14ac:dyDescent="0.65">
      <c r="A1690" s="5">
        <v>1688</v>
      </c>
      <c r="B1690" s="46" t="str">
        <f>HYPERLINK("https://search.naver.com/search.naver?query=세 번째 살인 영화", "세 번째 살인")</f>
        <v>세 번째 살인</v>
      </c>
      <c r="C1690" s="47">
        <v>8.2200000000000006</v>
      </c>
      <c r="D1690" s="6" t="s">
        <v>1817</v>
      </c>
      <c r="E1690" s="5" t="s">
        <v>16</v>
      </c>
      <c r="F1690" s="5">
        <v>2017</v>
      </c>
      <c r="G1690" s="5" t="s">
        <v>12</v>
      </c>
      <c r="H1690" s="5" t="s">
        <v>277</v>
      </c>
      <c r="I1690" s="5" t="s">
        <v>134</v>
      </c>
      <c r="J1690" s="98" t="s">
        <v>3443</v>
      </c>
    </row>
    <row r="1691" spans="1:10" ht="28.9" customHeight="1" thickTop="1" thickBot="1" x14ac:dyDescent="0.65">
      <c r="A1691" s="3">
        <v>1689</v>
      </c>
      <c r="B1691" s="44" t="str">
        <f>HYPERLINK("https://search.naver.com/search.naver?query=세 얼간이 영화", "세 얼간이")</f>
        <v>세 얼간이</v>
      </c>
      <c r="C1691" s="45">
        <v>9.35</v>
      </c>
      <c r="D1691" s="4" t="s">
        <v>1818</v>
      </c>
      <c r="E1691" s="3" t="s">
        <v>361</v>
      </c>
      <c r="F1691" s="3">
        <v>2009</v>
      </c>
      <c r="G1691" s="3" t="s">
        <v>12</v>
      </c>
      <c r="H1691" s="3" t="s">
        <v>68</v>
      </c>
      <c r="I1691" s="3" t="s">
        <v>1570</v>
      </c>
      <c r="J1691" s="97" t="s">
        <v>3453</v>
      </c>
    </row>
    <row r="1692" spans="1:10" ht="28.9" customHeight="1" thickTop="1" thickBot="1" x14ac:dyDescent="0.65">
      <c r="A1692" s="5">
        <v>1690</v>
      </c>
      <c r="B1692" s="46" t="str">
        <f>HYPERLINK("https://search.naver.com/search.naver?query=세기의 매치 영화", "세기의 매치")</f>
        <v>세기의 매치</v>
      </c>
      <c r="C1692" s="47">
        <v>7.97</v>
      </c>
      <c r="D1692" s="6" t="s">
        <v>1819</v>
      </c>
      <c r="E1692" s="5" t="s">
        <v>20</v>
      </c>
      <c r="F1692" s="5">
        <v>2014</v>
      </c>
      <c r="G1692" s="5" t="s">
        <v>12</v>
      </c>
      <c r="H1692" s="5" t="s">
        <v>17</v>
      </c>
      <c r="I1692" s="5" t="s">
        <v>47</v>
      </c>
      <c r="J1692" s="98" t="s">
        <v>3437</v>
      </c>
    </row>
    <row r="1693" spans="1:10" ht="28.9" customHeight="1" thickTop="1" thickBot="1" x14ac:dyDescent="0.65">
      <c r="A1693" s="3">
        <v>1691</v>
      </c>
      <c r="B1693" s="44" t="str">
        <f>HYPERLINK("https://search.naver.com/search.naver?query=세레나 영화", "세레나")</f>
        <v>세레나</v>
      </c>
      <c r="C1693" s="45">
        <v>5.44</v>
      </c>
      <c r="D1693" s="4" t="s">
        <v>1820</v>
      </c>
      <c r="E1693" s="3" t="s">
        <v>20</v>
      </c>
      <c r="F1693" s="3">
        <v>2014</v>
      </c>
      <c r="G1693" s="3" t="s">
        <v>12</v>
      </c>
      <c r="H1693" s="3" t="s">
        <v>17</v>
      </c>
      <c r="I1693" s="3" t="s">
        <v>137</v>
      </c>
      <c r="J1693" s="97" t="s">
        <v>3437</v>
      </c>
    </row>
    <row r="1694" spans="1:10" ht="28.9" customHeight="1" thickTop="1" thickBot="1" x14ac:dyDescent="0.65">
      <c r="A1694" s="5">
        <v>1692</v>
      </c>
      <c r="B1694" s="46" t="str">
        <f>HYPERLINK("https://search.naver.com/search.naver?query=세레니티 영화", "세레니티")</f>
        <v>세레니티</v>
      </c>
      <c r="C1694" s="47"/>
      <c r="D1694" s="6" t="s">
        <v>1821</v>
      </c>
      <c r="E1694" s="5" t="s">
        <v>20</v>
      </c>
      <c r="F1694" s="5">
        <v>2019</v>
      </c>
      <c r="G1694" s="5" t="s">
        <v>12</v>
      </c>
      <c r="H1694" s="5" t="s">
        <v>43</v>
      </c>
      <c r="I1694" s="5" t="s">
        <v>286</v>
      </c>
      <c r="J1694" s="98" t="s">
        <v>3444</v>
      </c>
    </row>
    <row r="1695" spans="1:10" ht="28.9" customHeight="1" thickTop="1" thickBot="1" x14ac:dyDescent="0.65">
      <c r="A1695" s="3">
        <v>1693</v>
      </c>
      <c r="B1695" s="44" t="str">
        <f>HYPERLINK("https://search.naver.com/search.naver?query=세렌디피티 영화", "세렌디피티")</f>
        <v>세렌디피티</v>
      </c>
      <c r="C1695" s="45">
        <v>7.96</v>
      </c>
      <c r="D1695" s="4" t="s">
        <v>1822</v>
      </c>
      <c r="E1695" s="3" t="s">
        <v>20</v>
      </c>
      <c r="F1695" s="3">
        <v>2001</v>
      </c>
      <c r="G1695" s="3" t="s">
        <v>12</v>
      </c>
      <c r="H1695" s="3" t="s">
        <v>121</v>
      </c>
      <c r="I1695" s="3" t="s">
        <v>115</v>
      </c>
      <c r="J1695" s="97" t="s">
        <v>3457</v>
      </c>
    </row>
    <row r="1696" spans="1:10" ht="28.9" customHeight="1" thickTop="1" thickBot="1" x14ac:dyDescent="0.65">
      <c r="A1696" s="5">
        <v>1694</v>
      </c>
      <c r="B1696" s="46" t="str">
        <f>HYPERLINK("https://search.naver.com/search.naver?query=세번째 사랑 영화", "세번째 사랑")</f>
        <v>세번째 사랑</v>
      </c>
      <c r="C1696" s="47">
        <v>8.16</v>
      </c>
      <c r="D1696" s="6" t="s">
        <v>1823</v>
      </c>
      <c r="E1696" s="5" t="s">
        <v>189</v>
      </c>
      <c r="F1696" s="5">
        <v>2012</v>
      </c>
      <c r="G1696" s="5" t="s">
        <v>12</v>
      </c>
      <c r="H1696" s="5" t="s">
        <v>121</v>
      </c>
      <c r="I1696" s="5" t="s">
        <v>543</v>
      </c>
      <c r="J1696" s="98" t="s">
        <v>3439</v>
      </c>
    </row>
    <row r="1697" spans="1:10" ht="28.9" customHeight="1" thickTop="1" thickBot="1" x14ac:dyDescent="0.65">
      <c r="A1697" s="3">
        <v>1695</v>
      </c>
      <c r="B1697" s="44" t="str">
        <f>HYPERLINK("https://search.naver.com/search.naver?query=세븐 데이즈 영화", "세븐 데이즈")</f>
        <v>세븐 데이즈</v>
      </c>
      <c r="C1697" s="45">
        <v>9.0500000000000007</v>
      </c>
      <c r="D1697" s="4"/>
      <c r="E1697" s="3" t="s">
        <v>20</v>
      </c>
      <c r="F1697" s="3">
        <v>2007</v>
      </c>
      <c r="G1697" s="3" t="s">
        <v>12</v>
      </c>
      <c r="H1697" s="3" t="s">
        <v>43</v>
      </c>
      <c r="I1697" s="3" t="s">
        <v>111</v>
      </c>
      <c r="J1697" s="97" t="s">
        <v>3447</v>
      </c>
    </row>
    <row r="1698" spans="1:10" ht="28.9" customHeight="1" thickTop="1" thickBot="1" x14ac:dyDescent="0.65">
      <c r="A1698" s="5">
        <v>1696</v>
      </c>
      <c r="B1698" s="46" t="str">
        <f>HYPERLINK("https://search.naver.com/search.naver?query=세상에서 가장 아름다운 이별 영화", "세상에서 가장 아름다운 이별")</f>
        <v>세상에서 가장 아름다운 이별</v>
      </c>
      <c r="C1698" s="47">
        <v>9.2799999999999994</v>
      </c>
      <c r="D1698" s="6" t="s">
        <v>1824</v>
      </c>
      <c r="E1698" s="5" t="s">
        <v>11</v>
      </c>
      <c r="F1698" s="5">
        <v>2011</v>
      </c>
      <c r="G1698" s="5" t="s">
        <v>12</v>
      </c>
      <c r="H1698" s="5" t="s">
        <v>17</v>
      </c>
      <c r="I1698" s="5" t="s">
        <v>111</v>
      </c>
      <c r="J1698" s="98" t="s">
        <v>3454</v>
      </c>
    </row>
    <row r="1699" spans="1:10" ht="28.9" customHeight="1" thickTop="1" thickBot="1" x14ac:dyDescent="0.65">
      <c r="A1699" s="3">
        <v>1697</v>
      </c>
      <c r="B1699" s="44" t="str">
        <f>HYPERLINK("https://search.naver.com/search.naver?query=세상에서 고양이가 사라진다면 영화", "세상에서 고양이가 사라진다면")</f>
        <v>세상에서 고양이가 사라진다면</v>
      </c>
      <c r="C1699" s="45">
        <v>8.7200000000000006</v>
      </c>
      <c r="D1699" s="4" t="s">
        <v>1825</v>
      </c>
      <c r="E1699" s="3" t="s">
        <v>16</v>
      </c>
      <c r="F1699" s="3">
        <v>2016</v>
      </c>
      <c r="G1699" s="3" t="s">
        <v>12</v>
      </c>
      <c r="H1699" s="3" t="s">
        <v>17</v>
      </c>
      <c r="I1699" s="3" t="s">
        <v>190</v>
      </c>
      <c r="J1699" s="97" t="s">
        <v>3441</v>
      </c>
    </row>
    <row r="1700" spans="1:10" ht="28.9" customHeight="1" thickTop="1" thickBot="1" x14ac:dyDescent="0.65">
      <c r="A1700" s="5">
        <v>1698</v>
      </c>
      <c r="B1700" s="46" t="str">
        <f>HYPERLINK("https://search.naver.com/search.naver?query=세상을 바꾼 변호인 영화", "세상을 바꾼 변호인")</f>
        <v>세상을 바꾼 변호인</v>
      </c>
      <c r="C1700" s="47">
        <v>9.19</v>
      </c>
      <c r="D1700" s="6" t="s">
        <v>1826</v>
      </c>
      <c r="E1700" s="5" t="s">
        <v>20</v>
      </c>
      <c r="F1700" s="5">
        <v>2019</v>
      </c>
      <c r="G1700" s="5" t="s">
        <v>12</v>
      </c>
      <c r="H1700" s="5" t="s">
        <v>17</v>
      </c>
      <c r="I1700" s="5" t="s">
        <v>86</v>
      </c>
      <c r="J1700" s="98" t="s">
        <v>3444</v>
      </c>
    </row>
    <row r="1701" spans="1:10" ht="28.9" customHeight="1" thickTop="1" thickBot="1" x14ac:dyDescent="0.65">
      <c r="A1701" s="3">
        <v>1699</v>
      </c>
      <c r="B1701" s="44" t="str">
        <f>HYPERLINK("https://search.naver.com/search.naver?query=세상의 끝까지 21일 영화", "세상의 끝까지 21일")</f>
        <v>세상의 끝까지 21일</v>
      </c>
      <c r="C1701" s="45">
        <v>8.14</v>
      </c>
      <c r="D1701" s="4" t="s">
        <v>1827</v>
      </c>
      <c r="E1701" s="3" t="s">
        <v>20</v>
      </c>
      <c r="F1701" s="3">
        <v>2013</v>
      </c>
      <c r="G1701" s="3" t="s">
        <v>12</v>
      </c>
      <c r="H1701" s="3" t="s">
        <v>68</v>
      </c>
      <c r="I1701" s="3" t="s">
        <v>70</v>
      </c>
      <c r="J1701" s="97" t="s">
        <v>3451</v>
      </c>
    </row>
    <row r="1702" spans="1:10" ht="28.9" customHeight="1" thickTop="1" thickBot="1" x14ac:dyDescent="0.65">
      <c r="A1702" s="5">
        <v>1700</v>
      </c>
      <c r="B1702" s="46" t="str">
        <f>HYPERLINK("https://search.naver.com/search.naver?query=세상의 끝에서 커피 한 잔 영화", "세상의 끝에서 커피 한 잔")</f>
        <v>세상의 끝에서 커피 한 잔</v>
      </c>
      <c r="C1702" s="47">
        <v>8.66</v>
      </c>
      <c r="D1702" s="6" t="s">
        <v>1828</v>
      </c>
      <c r="E1702" s="5" t="s">
        <v>16</v>
      </c>
      <c r="F1702" s="5">
        <v>2014</v>
      </c>
      <c r="G1702" s="5" t="s">
        <v>12</v>
      </c>
      <c r="H1702" s="5" t="s">
        <v>17</v>
      </c>
      <c r="I1702" s="5" t="s">
        <v>111</v>
      </c>
      <c r="J1702" s="98" t="s">
        <v>3437</v>
      </c>
    </row>
    <row r="1703" spans="1:10" ht="28.9" customHeight="1" thickTop="1" thickBot="1" x14ac:dyDescent="0.65">
      <c r="A1703" s="3">
        <v>1701</v>
      </c>
      <c r="B1703" s="44" t="str">
        <f>HYPERLINK("https://search.naver.com/search.naver?query=세상의 모든 디저트 러브 사라 영화", "세상의 모든 디저트-러브 사라")</f>
        <v>세상의 모든 디저트-러브 사라</v>
      </c>
      <c r="C1703" s="45">
        <v>3</v>
      </c>
      <c r="D1703" s="4" t="s">
        <v>1829</v>
      </c>
      <c r="E1703" s="3" t="s">
        <v>24</v>
      </c>
      <c r="F1703" s="3">
        <v>2020</v>
      </c>
      <c r="G1703" s="3" t="s">
        <v>12</v>
      </c>
      <c r="H1703" s="3" t="s">
        <v>17</v>
      </c>
      <c r="I1703" s="3" t="s">
        <v>131</v>
      </c>
      <c r="J1703" s="97" t="s">
        <v>3436</v>
      </c>
    </row>
    <row r="1704" spans="1:10" ht="28.9" customHeight="1" thickTop="1" thickBot="1" x14ac:dyDescent="0.65">
      <c r="A1704" s="5">
        <v>1702</v>
      </c>
      <c r="B1704" s="46" t="str">
        <f>HYPERLINK("https://search.naver.com/search.naver?query=세션 이 남자가 사랑하는 법 영화", "세션 - 이 남자가 사랑하는 법")</f>
        <v>세션 - 이 남자가 사랑하는 법</v>
      </c>
      <c r="C1704" s="47">
        <v>6.4</v>
      </c>
      <c r="D1704" s="6" t="s">
        <v>1830</v>
      </c>
      <c r="E1704" s="5" t="s">
        <v>20</v>
      </c>
      <c r="F1704" s="5">
        <v>2012</v>
      </c>
      <c r="G1704" s="5" t="s">
        <v>12</v>
      </c>
      <c r="H1704" s="5" t="s">
        <v>17</v>
      </c>
      <c r="I1704" s="5" t="s">
        <v>111</v>
      </c>
      <c r="J1704" s="98" t="s">
        <v>3439</v>
      </c>
    </row>
    <row r="1705" spans="1:10" ht="28.9" customHeight="1" thickTop="1" thickBot="1" x14ac:dyDescent="0.65">
      <c r="A1705" s="3">
        <v>1703</v>
      </c>
      <c r="B1705" s="44" t="str">
        <f>HYPERLINK("https://search.naver.com/search.naver?query=세이브 어 라이프 영화", "세이브 어 라이프")</f>
        <v>세이브 어 라이프</v>
      </c>
      <c r="C1705" s="45">
        <v>8.9</v>
      </c>
      <c r="D1705" s="4" t="s">
        <v>1831</v>
      </c>
      <c r="E1705" s="3" t="s">
        <v>20</v>
      </c>
      <c r="F1705" s="3">
        <v>2010</v>
      </c>
      <c r="G1705" s="3" t="s">
        <v>12</v>
      </c>
      <c r="H1705" s="3" t="s">
        <v>17</v>
      </c>
      <c r="I1705" s="3" t="s">
        <v>86</v>
      </c>
      <c r="J1705" s="97" t="s">
        <v>3455</v>
      </c>
    </row>
    <row r="1706" spans="1:10" ht="28.9" customHeight="1" thickTop="1" thickBot="1" x14ac:dyDescent="0.65">
      <c r="A1706" s="5">
        <v>1704</v>
      </c>
      <c r="B1706" s="46" t="str">
        <f>HYPERLINK("https://search.naver.com/search.naver?query=세이빙 MR.뱅크스 영화", "세이빙 MR.뱅크스")</f>
        <v>세이빙 MR.뱅크스</v>
      </c>
      <c r="C1706" s="47">
        <v>8.5299999999999994</v>
      </c>
      <c r="D1706" s="6" t="s">
        <v>1832</v>
      </c>
      <c r="E1706" s="5" t="s">
        <v>20</v>
      </c>
      <c r="F1706" s="5">
        <v>2013</v>
      </c>
      <c r="G1706" s="5" t="s">
        <v>12</v>
      </c>
      <c r="H1706" s="5" t="s">
        <v>17</v>
      </c>
      <c r="I1706" s="5" t="s">
        <v>214</v>
      </c>
      <c r="J1706" s="98" t="s">
        <v>3451</v>
      </c>
    </row>
    <row r="1707" spans="1:10" ht="28.9" customHeight="1" thickTop="1" thickBot="1" x14ac:dyDescent="0.65">
      <c r="A1707" s="3">
        <v>1705</v>
      </c>
      <c r="B1707" s="44" t="str">
        <f>HYPERLINK("https://search.naver.com/search.naver?query=세이빙 레닌그라드 영화", "세이빙 레닌그라드")</f>
        <v>세이빙 레닌그라드</v>
      </c>
      <c r="C1707" s="45">
        <v>6.4</v>
      </c>
      <c r="D1707" s="4" t="s">
        <v>1833</v>
      </c>
      <c r="E1707" s="3" t="s">
        <v>57</v>
      </c>
      <c r="F1707" s="3">
        <v>2019</v>
      </c>
      <c r="G1707" s="3" t="s">
        <v>12</v>
      </c>
      <c r="H1707" s="3" t="s">
        <v>721</v>
      </c>
      <c r="I1707" s="3" t="s">
        <v>124</v>
      </c>
      <c r="J1707" s="97" t="s">
        <v>3444</v>
      </c>
    </row>
    <row r="1708" spans="1:10" ht="28.9" customHeight="1" thickTop="1" thickBot="1" x14ac:dyDescent="0.65">
      <c r="A1708" s="5">
        <v>1706</v>
      </c>
      <c r="B1708" s="46" t="str">
        <f>HYPERLINK("https://search.naver.com/search.naver?query=세이지 육지의 물고기 영화", "세이지 - 육지의 물고기")</f>
        <v>세이지 - 육지의 물고기</v>
      </c>
      <c r="C1708" s="47">
        <v>6.4</v>
      </c>
      <c r="D1708" s="6"/>
      <c r="E1708" s="5" t="s">
        <v>16</v>
      </c>
      <c r="F1708" s="5">
        <v>2011</v>
      </c>
      <c r="G1708" s="5" t="s">
        <v>12</v>
      </c>
      <c r="H1708" s="5" t="s">
        <v>17</v>
      </c>
      <c r="I1708" s="5" t="s">
        <v>111</v>
      </c>
      <c r="J1708" s="98" t="s">
        <v>3454</v>
      </c>
    </row>
    <row r="1709" spans="1:10" ht="28.9" customHeight="1" thickTop="1" thickBot="1" x14ac:dyDescent="0.65">
      <c r="A1709" s="3">
        <v>1707</v>
      </c>
      <c r="B1709" s="44" t="str">
        <f>HYPERLINK("https://search.naver.com/search.naver?query=세이프 헤이븐 영화", "세이프 헤이븐")</f>
        <v>세이프 헤이븐</v>
      </c>
      <c r="C1709" s="45">
        <v>8.56</v>
      </c>
      <c r="D1709" s="4" t="s">
        <v>1834</v>
      </c>
      <c r="E1709" s="3" t="s">
        <v>20</v>
      </c>
      <c r="F1709" s="3">
        <v>2013</v>
      </c>
      <c r="G1709" s="3" t="s">
        <v>12</v>
      </c>
      <c r="H1709" s="3" t="s">
        <v>17</v>
      </c>
      <c r="I1709" s="3" t="s">
        <v>47</v>
      </c>
      <c r="J1709" s="97" t="s">
        <v>3451</v>
      </c>
    </row>
    <row r="1710" spans="1:10" ht="28.9" customHeight="1" thickTop="1" thickBot="1" x14ac:dyDescent="0.65">
      <c r="A1710" s="5">
        <v>1708</v>
      </c>
      <c r="B1710" s="46" t="str">
        <f>HYPERLINK("https://search.naver.com/search.naver?query=세이프하우스 영화", "세이프하우스")</f>
        <v>세이프하우스</v>
      </c>
      <c r="C1710" s="47"/>
      <c r="D1710" s="6" t="s">
        <v>1835</v>
      </c>
      <c r="E1710" s="5" t="s">
        <v>20</v>
      </c>
      <c r="F1710" s="5">
        <v>2012</v>
      </c>
      <c r="G1710" s="5" t="s">
        <v>12</v>
      </c>
      <c r="H1710" s="5" t="s">
        <v>92</v>
      </c>
      <c r="I1710" s="5" t="s">
        <v>47</v>
      </c>
      <c r="J1710" s="98" t="s">
        <v>3439</v>
      </c>
    </row>
    <row r="1711" spans="1:10" ht="28.9" customHeight="1" thickTop="1" thickBot="1" x14ac:dyDescent="0.65">
      <c r="A1711" s="3">
        <v>1709</v>
      </c>
      <c r="B1711" s="44" t="str">
        <f>HYPERLINK("https://search.naver.com/search.naver?query=세인트 빈센트 영화", "세인트 빈센트")</f>
        <v>세인트 빈센트</v>
      </c>
      <c r="C1711" s="45">
        <v>8.5299999999999994</v>
      </c>
      <c r="D1711" s="4" t="s">
        <v>1836</v>
      </c>
      <c r="E1711" s="3" t="s">
        <v>20</v>
      </c>
      <c r="F1711" s="3">
        <v>2014</v>
      </c>
      <c r="G1711" s="3" t="s">
        <v>12</v>
      </c>
      <c r="H1711" s="3" t="s">
        <v>68</v>
      </c>
      <c r="I1711" s="3" t="s">
        <v>99</v>
      </c>
      <c r="J1711" s="97" t="s">
        <v>3437</v>
      </c>
    </row>
    <row r="1712" spans="1:10" ht="28.9" customHeight="1" thickTop="1" thickBot="1" x14ac:dyDescent="0.65">
      <c r="A1712" s="5">
        <v>1710</v>
      </c>
      <c r="B1712" s="46" t="str">
        <f>HYPERLINK("https://search.naver.com/search.naver?query=세인트 클라우드 영화", "세인트 클라우드")</f>
        <v>세인트 클라우드</v>
      </c>
      <c r="C1712" s="47">
        <v>7.34</v>
      </c>
      <c r="D1712" s="6" t="s">
        <v>1837</v>
      </c>
      <c r="E1712" s="5" t="s">
        <v>20</v>
      </c>
      <c r="F1712" s="5">
        <v>2010</v>
      </c>
      <c r="G1712" s="5" t="s">
        <v>12</v>
      </c>
      <c r="H1712" s="5" t="s">
        <v>17</v>
      </c>
      <c r="I1712" s="5" t="s">
        <v>111</v>
      </c>
      <c r="J1712" s="98" t="s">
        <v>3455</v>
      </c>
    </row>
    <row r="1713" spans="1:10" ht="28.9" customHeight="1" thickTop="1" thickBot="1" x14ac:dyDescent="0.65">
      <c r="A1713" s="3">
        <v>1711</v>
      </c>
      <c r="B1713" s="44" t="str">
        <f>HYPERLINK("https://search.naver.com/search.naver?query=세자매", "세자매")</f>
        <v>세자매</v>
      </c>
      <c r="C1713" s="45">
        <v>8.9499999999999993</v>
      </c>
      <c r="D1713" s="4" t="s">
        <v>1838</v>
      </c>
      <c r="E1713" s="3" t="s">
        <v>11</v>
      </c>
      <c r="F1713" s="3">
        <v>2020</v>
      </c>
      <c r="G1713" s="3" t="s">
        <v>12</v>
      </c>
      <c r="H1713" s="3" t="s">
        <v>17</v>
      </c>
      <c r="I1713" s="3" t="s">
        <v>111</v>
      </c>
      <c r="J1713" s="97" t="s">
        <v>3436</v>
      </c>
    </row>
    <row r="1714" spans="1:10" ht="28.9" customHeight="1" thickTop="1" thickBot="1" x14ac:dyDescent="0.65">
      <c r="A1714" s="5">
        <v>1712</v>
      </c>
      <c r="B1714" s="46" t="str">
        <f>HYPERLINK("https://search.naver.com/search.naver?query=세컨드 마더 영화", "세컨드 마더")</f>
        <v>세컨드 마더</v>
      </c>
      <c r="C1714" s="47">
        <v>9.1300000000000008</v>
      </c>
      <c r="D1714" s="6" t="s">
        <v>1839</v>
      </c>
      <c r="E1714" s="5" t="s">
        <v>502</v>
      </c>
      <c r="F1714" s="5">
        <v>2015</v>
      </c>
      <c r="G1714" s="5" t="s">
        <v>12</v>
      </c>
      <c r="H1714" s="5" t="s">
        <v>17</v>
      </c>
      <c r="I1714" s="5" t="s">
        <v>278</v>
      </c>
      <c r="J1714" s="98" t="s">
        <v>3440</v>
      </c>
    </row>
    <row r="1715" spans="1:10" ht="28.9" customHeight="1" thickTop="1" thickBot="1" x14ac:dyDescent="0.65">
      <c r="A1715" s="3">
        <v>1713</v>
      </c>
      <c r="B1715" s="44" t="str">
        <f>HYPERLINK("https://search.naver.com/search.naver?query=세컨드 액트 영화", "세컨드 액트")</f>
        <v>세컨드 액트</v>
      </c>
      <c r="C1715" s="45"/>
      <c r="D1715" s="4" t="s">
        <v>1840</v>
      </c>
      <c r="E1715" s="3" t="s">
        <v>20</v>
      </c>
      <c r="F1715" s="3">
        <v>2018</v>
      </c>
      <c r="G1715" s="3" t="s">
        <v>12</v>
      </c>
      <c r="H1715" s="3" t="s">
        <v>68</v>
      </c>
      <c r="I1715" s="3" t="s">
        <v>190</v>
      </c>
      <c r="J1715" s="97" t="s">
        <v>3442</v>
      </c>
    </row>
    <row r="1716" spans="1:10" ht="28.9" customHeight="1" thickTop="1" thickBot="1" x14ac:dyDescent="0.65">
      <c r="A1716" s="5">
        <v>1714</v>
      </c>
      <c r="B1716" s="46" t="str">
        <f>HYPERLINK("https://search.naver.com/search.naver?query=세컨핸드 라이온스 영화", "세컨핸드 라이온스")</f>
        <v>세컨핸드 라이온스</v>
      </c>
      <c r="C1716" s="47">
        <v>9.0299999999999994</v>
      </c>
      <c r="D1716" s="6" t="s">
        <v>1841</v>
      </c>
      <c r="E1716" s="5" t="s">
        <v>20</v>
      </c>
      <c r="F1716" s="5">
        <v>2003</v>
      </c>
      <c r="G1716" s="5" t="s">
        <v>12</v>
      </c>
      <c r="H1716" s="5" t="s">
        <v>17</v>
      </c>
      <c r="I1716" s="5" t="s">
        <v>137</v>
      </c>
      <c r="J1716" s="98" t="s">
        <v>3449</v>
      </c>
    </row>
    <row r="1717" spans="1:10" ht="28.9" customHeight="1" thickTop="1" thickBot="1" x14ac:dyDescent="0.65">
      <c r="A1717" s="3">
        <v>1715</v>
      </c>
      <c r="B1717" s="44" t="str">
        <f>HYPERLINK("https://search.naver.com/search.naver?query=세크리테어리엇 영화", "세크리테어리엇")</f>
        <v>세크리테어리엇</v>
      </c>
      <c r="C1717" s="45"/>
      <c r="D1717" s="4" t="s">
        <v>1842</v>
      </c>
      <c r="E1717" s="3" t="s">
        <v>20</v>
      </c>
      <c r="F1717" s="3">
        <v>2010</v>
      </c>
      <c r="G1717" s="3" t="s">
        <v>12</v>
      </c>
      <c r="H1717" s="3" t="s">
        <v>17</v>
      </c>
      <c r="I1717" s="3" t="s">
        <v>366</v>
      </c>
      <c r="J1717" s="97" t="s">
        <v>3455</v>
      </c>
    </row>
    <row r="1718" spans="1:10" ht="28.9" customHeight="1" thickTop="1" thickBot="1" x14ac:dyDescent="0.65">
      <c r="A1718" s="5">
        <v>1716</v>
      </c>
      <c r="B1718" s="46" t="str">
        <f>HYPERLINK("https://search.naver.com/search.naver?query=세키가하라 영화", "세키가하라")</f>
        <v>세키가하라</v>
      </c>
      <c r="C1718" s="47"/>
      <c r="D1718" s="6" t="s">
        <v>1843</v>
      </c>
      <c r="E1718" s="5" t="s">
        <v>16</v>
      </c>
      <c r="F1718" s="5">
        <v>2017</v>
      </c>
      <c r="G1718" s="5" t="s">
        <v>12</v>
      </c>
      <c r="H1718" s="5" t="s">
        <v>873</v>
      </c>
      <c r="I1718" s="5" t="s">
        <v>482</v>
      </c>
      <c r="J1718" s="98" t="s">
        <v>3443</v>
      </c>
    </row>
    <row r="1719" spans="1:10" ht="28.9" customHeight="1" thickTop="1" thickBot="1" x14ac:dyDescent="0.65">
      <c r="A1719" s="7">
        <v>1717</v>
      </c>
      <c r="B1719" s="48" t="str">
        <f>HYPERLINK("https://search.naver.com/search.naver?query=섹스 라이프 시즌1", "섹스 라이프 시즌1")</f>
        <v>섹스 라이프 시즌1</v>
      </c>
      <c r="C1719" s="49"/>
      <c r="D1719" s="8" t="s">
        <v>1844</v>
      </c>
      <c r="E1719" s="7" t="s">
        <v>20</v>
      </c>
      <c r="F1719" s="7">
        <v>2021</v>
      </c>
      <c r="G1719" s="7" t="s">
        <v>17</v>
      </c>
      <c r="H1719" s="7" t="s">
        <v>17</v>
      </c>
      <c r="I1719" s="7" t="s">
        <v>55</v>
      </c>
      <c r="J1719" s="99" t="s">
        <v>3438</v>
      </c>
    </row>
    <row r="1720" spans="1:10" ht="28.9" customHeight="1" thickTop="1" thickBot="1" x14ac:dyDescent="0.65">
      <c r="A1720" s="5">
        <v>1718</v>
      </c>
      <c r="B1720" s="46" t="str">
        <f>HYPERLINK("https://search.naver.com/search.naver?query=센트럴 인텔리전스 영화", "센트럴 인텔리전스")</f>
        <v>센트럴 인텔리전스</v>
      </c>
      <c r="C1720" s="47"/>
      <c r="D1720" s="6" t="s">
        <v>1845</v>
      </c>
      <c r="E1720" s="5" t="s">
        <v>20</v>
      </c>
      <c r="F1720" s="5">
        <v>2016</v>
      </c>
      <c r="G1720" s="5" t="s">
        <v>12</v>
      </c>
      <c r="H1720" s="5" t="s">
        <v>92</v>
      </c>
      <c r="I1720" s="5" t="s">
        <v>75</v>
      </c>
      <c r="J1720" s="98" t="s">
        <v>3441</v>
      </c>
    </row>
    <row r="1721" spans="1:10" ht="28.9" customHeight="1" thickTop="1" thickBot="1" x14ac:dyDescent="0.65">
      <c r="A1721" s="3">
        <v>1719</v>
      </c>
      <c r="B1721" s="44" t="str">
        <f>HYPERLINK("https://search.naver.com/search.naver?query=센티넬 영화", "센티넬")</f>
        <v>센티넬</v>
      </c>
      <c r="C1721" s="45">
        <v>3.83</v>
      </c>
      <c r="D1721" s="4" t="s">
        <v>1846</v>
      </c>
      <c r="E1721" s="3" t="s">
        <v>20</v>
      </c>
      <c r="F1721" s="3">
        <v>2006</v>
      </c>
      <c r="G1721" s="3" t="s">
        <v>12</v>
      </c>
      <c r="H1721" s="3" t="s">
        <v>92</v>
      </c>
      <c r="I1721" s="3" t="s">
        <v>31</v>
      </c>
      <c r="J1721" s="97" t="s">
        <v>3460</v>
      </c>
    </row>
    <row r="1722" spans="1:10" ht="28.9" customHeight="1" thickTop="1" thickBot="1" x14ac:dyDescent="0.65">
      <c r="A1722" s="5">
        <v>1720</v>
      </c>
      <c r="B1722" s="46" t="str">
        <f>HYPERLINK("https://search.naver.com/search.naver?query=셀프 리스 영화", "셀프 리스")</f>
        <v>셀프 리스</v>
      </c>
      <c r="C1722" s="47">
        <v>7.82</v>
      </c>
      <c r="D1722" s="6" t="s">
        <v>1847</v>
      </c>
      <c r="E1722" s="5" t="s">
        <v>20</v>
      </c>
      <c r="F1722" s="5">
        <v>2015</v>
      </c>
      <c r="G1722" s="5" t="s">
        <v>12</v>
      </c>
      <c r="H1722" s="5" t="s">
        <v>520</v>
      </c>
      <c r="I1722" s="5" t="s">
        <v>366</v>
      </c>
      <c r="J1722" s="98" t="s">
        <v>3440</v>
      </c>
    </row>
    <row r="1723" spans="1:10" ht="28.9" customHeight="1" thickTop="1" thickBot="1" x14ac:dyDescent="0.65">
      <c r="A1723" s="3">
        <v>1721</v>
      </c>
      <c r="B1723" s="44" t="str">
        <f>HYPERLINK("https://search.naver.com/search.naver?query=셜록 유령신부 영화", "셜록 - 유령신부")</f>
        <v>셜록 - 유령신부</v>
      </c>
      <c r="C1723" s="45">
        <v>7.5</v>
      </c>
      <c r="D1723" s="4" t="s">
        <v>1848</v>
      </c>
      <c r="E1723" s="3" t="s">
        <v>24</v>
      </c>
      <c r="F1723" s="3">
        <v>2016</v>
      </c>
      <c r="G1723" s="3" t="s">
        <v>12</v>
      </c>
      <c r="H1723" s="3" t="s">
        <v>277</v>
      </c>
      <c r="I1723" s="3" t="s">
        <v>115</v>
      </c>
      <c r="J1723" s="97" t="s">
        <v>3441</v>
      </c>
    </row>
    <row r="1724" spans="1:10" ht="28.9" customHeight="1" thickTop="1" thickBot="1" x14ac:dyDescent="0.65">
      <c r="A1724" s="5">
        <v>1722</v>
      </c>
      <c r="B1724" s="46" t="str">
        <f>HYPERLINK("https://search.naver.com/search.naver?query=셜록홈즈 그림자 게임 영화", "셜록홈즈 그림자 게임")</f>
        <v>셜록홈즈 그림자 게임</v>
      </c>
      <c r="C1724" s="47">
        <v>8.01</v>
      </c>
      <c r="D1724" s="6" t="s">
        <v>1849</v>
      </c>
      <c r="E1724" s="5" t="s">
        <v>20</v>
      </c>
      <c r="F1724" s="5">
        <v>2011</v>
      </c>
      <c r="G1724" s="5" t="s">
        <v>12</v>
      </c>
      <c r="H1724" s="5" t="s">
        <v>92</v>
      </c>
      <c r="I1724" s="5" t="s">
        <v>64</v>
      </c>
      <c r="J1724" s="98" t="s">
        <v>3454</v>
      </c>
    </row>
    <row r="1725" spans="1:10" ht="28.9" customHeight="1" thickTop="1" thickBot="1" x14ac:dyDescent="0.65">
      <c r="A1725" s="3">
        <v>1723</v>
      </c>
      <c r="B1725" s="44" t="str">
        <f>HYPERLINK("https://search.naver.com/search.naver?query=셰이프 오브 워터 사랑의 모양 영화", "셰이프 오브 워터-사랑의 모양")</f>
        <v>셰이프 오브 워터-사랑의 모양</v>
      </c>
      <c r="C1725" s="45">
        <v>8.69</v>
      </c>
      <c r="D1725" s="4" t="s">
        <v>1850</v>
      </c>
      <c r="E1725" s="3" t="s">
        <v>20</v>
      </c>
      <c r="F1725" s="3">
        <v>2017</v>
      </c>
      <c r="G1725" s="3" t="s">
        <v>12</v>
      </c>
      <c r="H1725" s="3" t="s">
        <v>868</v>
      </c>
      <c r="I1725" s="3" t="s">
        <v>58</v>
      </c>
      <c r="J1725" s="97" t="s">
        <v>3443</v>
      </c>
    </row>
    <row r="1726" spans="1:10" ht="28.9" customHeight="1" thickTop="1" thickBot="1" x14ac:dyDescent="0.65">
      <c r="A1726" s="5">
        <v>1724</v>
      </c>
      <c r="B1726" s="46" t="str">
        <f>HYPERLINK("https://search.naver.com/search.naver?query=셰임 영화", "셰임")</f>
        <v>셰임</v>
      </c>
      <c r="C1726" s="47">
        <v>8.67</v>
      </c>
      <c r="D1726" s="6" t="s">
        <v>1851</v>
      </c>
      <c r="E1726" s="5" t="s">
        <v>24</v>
      </c>
      <c r="F1726" s="5">
        <v>2011</v>
      </c>
      <c r="G1726" s="5" t="s">
        <v>12</v>
      </c>
      <c r="H1726" s="5" t="s">
        <v>17</v>
      </c>
      <c r="I1726" s="5" t="s">
        <v>70</v>
      </c>
      <c r="J1726" s="98" t="s">
        <v>3454</v>
      </c>
    </row>
    <row r="1727" spans="1:10" ht="28.9" customHeight="1" thickTop="1" thickBot="1" x14ac:dyDescent="0.65">
      <c r="A1727" s="3">
        <v>1725</v>
      </c>
      <c r="B1727" s="44" t="str">
        <f>HYPERLINK("https://search.naver.com/search.naver?query=셰터드 영화", "셰터드")</f>
        <v>셰터드</v>
      </c>
      <c r="C1727" s="45">
        <v>6.65</v>
      </c>
      <c r="D1727" s="4" t="s">
        <v>1852</v>
      </c>
      <c r="E1727" s="3" t="s">
        <v>20</v>
      </c>
      <c r="F1727" s="3">
        <v>2022</v>
      </c>
      <c r="G1727" s="3" t="s">
        <v>12</v>
      </c>
      <c r="H1727" s="3" t="s">
        <v>43</v>
      </c>
      <c r="I1727" s="3" t="s">
        <v>147</v>
      </c>
      <c r="J1727" s="97" t="s">
        <v>3445</v>
      </c>
    </row>
    <row r="1728" spans="1:10" ht="28.9" customHeight="1" thickTop="1" thickBot="1" x14ac:dyDescent="0.65">
      <c r="A1728" s="5">
        <v>1726</v>
      </c>
      <c r="B1728" s="46" t="str">
        <f>HYPERLINK("https://search.naver.com/search.naver?query=셰프 영화", "셰프")</f>
        <v>셰프</v>
      </c>
      <c r="C1728" s="47"/>
      <c r="D1728" s="6" t="s">
        <v>1853</v>
      </c>
      <c r="E1728" s="5" t="s">
        <v>20</v>
      </c>
      <c r="F1728" s="5">
        <v>2014</v>
      </c>
      <c r="G1728" s="5" t="s">
        <v>12</v>
      </c>
      <c r="H1728" s="5" t="s">
        <v>68</v>
      </c>
      <c r="I1728" s="5" t="s">
        <v>207</v>
      </c>
      <c r="J1728" s="98" t="s">
        <v>3437</v>
      </c>
    </row>
    <row r="1729" spans="1:10" ht="28.9" customHeight="1" thickTop="1" thickBot="1" x14ac:dyDescent="0.65">
      <c r="A1729" s="7">
        <v>1727</v>
      </c>
      <c r="B1729" s="48" t="str">
        <f>HYPERLINK("https://search.naver.com/search.naver?query=소년시대", "소년시대")</f>
        <v>소년시대</v>
      </c>
      <c r="C1729" s="49"/>
      <c r="D1729" s="8" t="s">
        <v>1854</v>
      </c>
      <c r="E1729" s="7" t="s">
        <v>11</v>
      </c>
      <c r="F1729" s="7">
        <v>2023</v>
      </c>
      <c r="G1729" s="7" t="s">
        <v>17</v>
      </c>
      <c r="H1729" s="7" t="s">
        <v>130</v>
      </c>
      <c r="I1729" s="7" t="s">
        <v>50</v>
      </c>
      <c r="J1729" s="99" t="s">
        <v>3446</v>
      </c>
    </row>
    <row r="1730" spans="1:10" ht="28.9" customHeight="1" thickTop="1" thickBot="1" x14ac:dyDescent="0.65">
      <c r="A1730" s="5">
        <v>1728</v>
      </c>
      <c r="B1730" s="46" t="str">
        <f>HYPERLINK("https://search.naver.com/search.naver?query=소년시절의 너 영화", "소년시절의 너")</f>
        <v>소년시절의 너</v>
      </c>
      <c r="C1730" s="47">
        <v>8.75</v>
      </c>
      <c r="D1730" s="6" t="s">
        <v>1514</v>
      </c>
      <c r="E1730" s="5" t="s">
        <v>136</v>
      </c>
      <c r="F1730" s="5">
        <v>2019</v>
      </c>
      <c r="G1730" s="5" t="s">
        <v>12</v>
      </c>
      <c r="H1730" s="5" t="s">
        <v>17</v>
      </c>
      <c r="I1730" s="5" t="s">
        <v>41</v>
      </c>
      <c r="J1730" s="98" t="s">
        <v>3444</v>
      </c>
    </row>
    <row r="1731" spans="1:10" ht="28.9" customHeight="1" thickTop="1" thickBot="1" x14ac:dyDescent="0.65">
      <c r="A1731" s="7">
        <v>1729</v>
      </c>
      <c r="B1731" s="48" t="str">
        <f>HYPERLINK("https://search.naver.com/search.naver?query=소년심판", "소년심판")</f>
        <v>소년심판</v>
      </c>
      <c r="C1731" s="49"/>
      <c r="D1731" s="8" t="s">
        <v>1855</v>
      </c>
      <c r="E1731" s="7" t="s">
        <v>11</v>
      </c>
      <c r="F1731" s="7">
        <v>2022</v>
      </c>
      <c r="G1731" s="7" t="s">
        <v>17</v>
      </c>
      <c r="H1731" s="7" t="s">
        <v>17</v>
      </c>
      <c r="I1731" s="7" t="s">
        <v>50</v>
      </c>
      <c r="J1731" s="99" t="s">
        <v>3445</v>
      </c>
    </row>
    <row r="1732" spans="1:10" ht="28.9" customHeight="1" thickTop="1" thickBot="1" x14ac:dyDescent="0.65">
      <c r="A1732" s="7">
        <v>1730</v>
      </c>
      <c r="B1732" s="48" t="str">
        <f>HYPERLINK("https://search.naver.com/search.naver?query=소년의 시간", "소년의 시간")</f>
        <v>소년의 시간</v>
      </c>
      <c r="C1732" s="49"/>
      <c r="D1732" s="8" t="s">
        <v>1856</v>
      </c>
      <c r="E1732" s="7" t="s">
        <v>24</v>
      </c>
      <c r="F1732" s="7">
        <v>2025</v>
      </c>
      <c r="G1732" s="7" t="s">
        <v>17</v>
      </c>
      <c r="H1732" s="7" t="s">
        <v>17</v>
      </c>
      <c r="I1732" s="7" t="s">
        <v>830</v>
      </c>
      <c r="J1732" s="99" t="s">
        <v>3459</v>
      </c>
    </row>
    <row r="1733" spans="1:10" ht="28.9" customHeight="1" thickTop="1" thickBot="1" x14ac:dyDescent="0.65">
      <c r="A1733" s="3">
        <v>1731</v>
      </c>
      <c r="B1733" s="44" t="str">
        <f>HYPERLINK("https://search.naver.com/search.naver?query=소라닌 영화", "소라닌")</f>
        <v>소라닌</v>
      </c>
      <c r="C1733" s="45">
        <v>8.42</v>
      </c>
      <c r="D1733" s="4" t="s">
        <v>1857</v>
      </c>
      <c r="E1733" s="3" t="s">
        <v>16</v>
      </c>
      <c r="F1733" s="3">
        <v>2010</v>
      </c>
      <c r="G1733" s="3" t="s">
        <v>12</v>
      </c>
      <c r="H1733" s="3" t="s">
        <v>17</v>
      </c>
      <c r="I1733" s="3" t="s">
        <v>78</v>
      </c>
      <c r="J1733" s="97" t="s">
        <v>3455</v>
      </c>
    </row>
    <row r="1734" spans="1:10" ht="28.9" customHeight="1" thickTop="1" thickBot="1" x14ac:dyDescent="0.65">
      <c r="A1734" s="5">
        <v>1732</v>
      </c>
      <c r="B1734" s="46" t="str">
        <f>HYPERLINK("https://search.naver.com/search.naver?query=소리도 없이 영화", "소리도 없이")</f>
        <v>소리도 없이</v>
      </c>
      <c r="C1734" s="47">
        <v>7.8</v>
      </c>
      <c r="D1734" s="6" t="s">
        <v>1858</v>
      </c>
      <c r="E1734" s="5" t="s">
        <v>11</v>
      </c>
      <c r="F1734" s="5">
        <v>2020</v>
      </c>
      <c r="G1734" s="5" t="s">
        <v>12</v>
      </c>
      <c r="H1734" s="5" t="s">
        <v>17</v>
      </c>
      <c r="I1734" s="5" t="s">
        <v>81</v>
      </c>
      <c r="J1734" s="98" t="s">
        <v>3436</v>
      </c>
    </row>
    <row r="1735" spans="1:10" ht="28.9" customHeight="1" thickTop="1" thickBot="1" x14ac:dyDescent="0.65">
      <c r="A1735" s="3">
        <v>1733</v>
      </c>
      <c r="B1735" s="44" t="str">
        <f>HYPERLINK("https://search.naver.com/search.naver?query=소방관 영화", "소방관")</f>
        <v>소방관</v>
      </c>
      <c r="C1735" s="45">
        <v>7.86</v>
      </c>
      <c r="D1735" s="4" t="s">
        <v>1859</v>
      </c>
      <c r="E1735" s="3" t="s">
        <v>11</v>
      </c>
      <c r="F1735" s="3">
        <v>2024</v>
      </c>
      <c r="G1735" s="3" t="s">
        <v>12</v>
      </c>
      <c r="H1735" s="3" t="s">
        <v>17</v>
      </c>
      <c r="I1735" s="3" t="s">
        <v>96</v>
      </c>
      <c r="J1735" s="97" t="s">
        <v>3448</v>
      </c>
    </row>
    <row r="1736" spans="1:10" ht="28.9" customHeight="1" thickTop="1" thickBot="1" x14ac:dyDescent="0.65">
      <c r="A1736" s="5">
        <v>1734</v>
      </c>
      <c r="B1736" s="46" t="str">
        <f>HYPERLINK("https://search.naver.com/search.naver?query=소수의견 영화", "소수의견")</f>
        <v>소수의견</v>
      </c>
      <c r="C1736" s="47">
        <v>8.7100000000000009</v>
      </c>
      <c r="D1736" s="6" t="s">
        <v>1860</v>
      </c>
      <c r="E1736" s="5" t="s">
        <v>11</v>
      </c>
      <c r="F1736" s="5">
        <v>2013</v>
      </c>
      <c r="G1736" s="5" t="s">
        <v>12</v>
      </c>
      <c r="H1736" s="5" t="s">
        <v>17</v>
      </c>
      <c r="I1736" s="5" t="s">
        <v>221</v>
      </c>
      <c r="J1736" s="98" t="s">
        <v>3451</v>
      </c>
    </row>
    <row r="1737" spans="1:10" ht="28.9" customHeight="1" thickTop="1" thickBot="1" x14ac:dyDescent="0.65">
      <c r="A1737" s="3">
        <v>1735</v>
      </c>
      <c r="B1737" s="44" t="str">
        <f>HYPERLINK("https://search.naver.com/search.naver?query=소스 코드 영화", "소스 코드")</f>
        <v>소스 코드</v>
      </c>
      <c r="C1737" s="45">
        <v>9.01</v>
      </c>
      <c r="D1737" s="4" t="s">
        <v>1861</v>
      </c>
      <c r="E1737" s="3" t="s">
        <v>20</v>
      </c>
      <c r="F1737" s="3">
        <v>2011</v>
      </c>
      <c r="G1737" s="3" t="s">
        <v>12</v>
      </c>
      <c r="H1737" s="3" t="s">
        <v>520</v>
      </c>
      <c r="I1737" s="3" t="s">
        <v>93</v>
      </c>
      <c r="J1737" s="97" t="s">
        <v>3454</v>
      </c>
    </row>
    <row r="1738" spans="1:10" ht="28.9" customHeight="1" thickTop="1" thickBot="1" x14ac:dyDescent="0.65">
      <c r="A1738" s="5">
        <v>1736</v>
      </c>
      <c r="B1738" s="46" t="str">
        <f>HYPERLINK("https://search.naver.com/search.naver?query=소울 서퍼 영화", "소울 서퍼")</f>
        <v>소울 서퍼</v>
      </c>
      <c r="C1738" s="47"/>
      <c r="D1738" s="6" t="s">
        <v>1862</v>
      </c>
      <c r="E1738" s="5" t="s">
        <v>20</v>
      </c>
      <c r="F1738" s="5">
        <v>2011</v>
      </c>
      <c r="G1738" s="5" t="s">
        <v>12</v>
      </c>
      <c r="H1738" s="5" t="s">
        <v>17</v>
      </c>
      <c r="I1738" s="5" t="s">
        <v>286</v>
      </c>
      <c r="J1738" s="98" t="s">
        <v>3454</v>
      </c>
    </row>
    <row r="1739" spans="1:10" ht="28.9" customHeight="1" thickTop="1" thickBot="1" x14ac:dyDescent="0.65">
      <c r="A1739" s="3">
        <v>1737</v>
      </c>
      <c r="B1739" s="44" t="str">
        <f>HYPERLINK("https://search.naver.com/search.naver?query=소원 영화", "소원")</f>
        <v>소원</v>
      </c>
      <c r="C1739" s="45">
        <v>9.34</v>
      </c>
      <c r="D1739" s="4" t="s">
        <v>1863</v>
      </c>
      <c r="E1739" s="3" t="s">
        <v>11</v>
      </c>
      <c r="F1739" s="3">
        <v>2013</v>
      </c>
      <c r="G1739" s="3" t="s">
        <v>12</v>
      </c>
      <c r="H1739" s="3" t="s">
        <v>17</v>
      </c>
      <c r="I1739" s="3" t="s">
        <v>111</v>
      </c>
      <c r="J1739" s="97" t="s">
        <v>3451</v>
      </c>
    </row>
    <row r="1740" spans="1:10" ht="28.9" customHeight="1" thickTop="1" thickBot="1" x14ac:dyDescent="0.65">
      <c r="A1740" s="5">
        <v>1738</v>
      </c>
      <c r="B1740" s="46" t="str">
        <f>HYPERLINK("https://search.naver.com/search.naver?query=소프트 보이즈 영화", "소프트 보이즈")</f>
        <v>소프트 보이즈</v>
      </c>
      <c r="C1740" s="47">
        <v>6.5</v>
      </c>
      <c r="D1740" s="6" t="s">
        <v>1864</v>
      </c>
      <c r="E1740" s="5" t="s">
        <v>16</v>
      </c>
      <c r="F1740" s="5">
        <v>2012</v>
      </c>
      <c r="G1740" s="5" t="s">
        <v>12</v>
      </c>
      <c r="H1740" s="5" t="s">
        <v>17</v>
      </c>
      <c r="I1740" s="5" t="s">
        <v>73</v>
      </c>
      <c r="J1740" s="98" t="s">
        <v>3439</v>
      </c>
    </row>
    <row r="1741" spans="1:10" ht="28.9" customHeight="1" thickTop="1" thickBot="1" x14ac:dyDescent="0.65">
      <c r="A1741" s="3">
        <v>1739</v>
      </c>
      <c r="B1741" s="44" t="str">
        <f>HYPERLINK("https://search.naver.com/search.naver?query=소피 숄의 마지막 날들 영화", "소피 숄의 마지막 날들")</f>
        <v>소피 숄의 마지막 날들</v>
      </c>
      <c r="C1741" s="45">
        <v>8.42</v>
      </c>
      <c r="D1741" s="4" t="s">
        <v>1865</v>
      </c>
      <c r="E1741" s="3" t="s">
        <v>101</v>
      </c>
      <c r="F1741" s="3">
        <v>2005</v>
      </c>
      <c r="G1741" s="3" t="s">
        <v>12</v>
      </c>
      <c r="H1741" s="3" t="s">
        <v>17</v>
      </c>
      <c r="I1741" s="3" t="s">
        <v>86</v>
      </c>
      <c r="J1741" s="97" t="s">
        <v>3461</v>
      </c>
    </row>
    <row r="1742" spans="1:10" ht="28.9" customHeight="1" thickTop="1" thickBot="1" x14ac:dyDescent="0.65">
      <c r="A1742" s="5">
        <v>1740</v>
      </c>
      <c r="B1742" s="46" t="str">
        <f>HYPERLINK("https://search.naver.com/search.naver?query=소피아 영화", "소피아")</f>
        <v>소피아</v>
      </c>
      <c r="C1742" s="47"/>
      <c r="D1742" s="6" t="s">
        <v>1866</v>
      </c>
      <c r="E1742" s="5" t="s">
        <v>20</v>
      </c>
      <c r="F1742" s="5">
        <v>2019</v>
      </c>
      <c r="G1742" s="5" t="s">
        <v>12</v>
      </c>
      <c r="H1742" s="5" t="s">
        <v>17</v>
      </c>
      <c r="I1742" s="5" t="s">
        <v>240</v>
      </c>
      <c r="J1742" s="98" t="s">
        <v>3444</v>
      </c>
    </row>
    <row r="1743" spans="1:10" ht="28.9" customHeight="1" thickTop="1" thickBot="1" x14ac:dyDescent="0.65">
      <c r="A1743" s="3">
        <v>1741</v>
      </c>
      <c r="B1743" s="44" t="str">
        <f>HYPERLINK("https://search.naver.com/search.naver?query=솔러스 영화", "솔러스")</f>
        <v>솔러스</v>
      </c>
      <c r="C1743" s="45"/>
      <c r="D1743" s="4" t="s">
        <v>1867</v>
      </c>
      <c r="E1743" s="3" t="s">
        <v>20</v>
      </c>
      <c r="F1743" s="3">
        <v>2002</v>
      </c>
      <c r="G1743" s="3" t="s">
        <v>12</v>
      </c>
      <c r="H1743" s="3" t="s">
        <v>520</v>
      </c>
      <c r="I1743" s="3" t="s">
        <v>81</v>
      </c>
      <c r="J1743" s="97" t="s">
        <v>3466</v>
      </c>
    </row>
    <row r="1744" spans="1:10" ht="28.9" customHeight="1" thickTop="1" thickBot="1" x14ac:dyDescent="0.65">
      <c r="A1744" s="5">
        <v>1742</v>
      </c>
      <c r="B1744" s="46" t="str">
        <f>HYPERLINK("https://search.naver.com/search.naver?query=솔로몬의 위증 전편 사건 영화", "솔로몬의 위증 전편-사건")</f>
        <v>솔로몬의 위증 전편-사건</v>
      </c>
      <c r="C1744" s="47">
        <v>6.07</v>
      </c>
      <c r="D1744" s="6" t="s">
        <v>1868</v>
      </c>
      <c r="E1744" s="5" t="s">
        <v>16</v>
      </c>
      <c r="F1744" s="5">
        <v>2015</v>
      </c>
      <c r="G1744" s="5" t="s">
        <v>12</v>
      </c>
      <c r="H1744" s="5" t="s">
        <v>141</v>
      </c>
      <c r="I1744" s="5" t="s">
        <v>142</v>
      </c>
      <c r="J1744" s="98" t="s">
        <v>3440</v>
      </c>
    </row>
    <row r="1745" spans="1:10" ht="28.9" customHeight="1" thickTop="1" thickBot="1" x14ac:dyDescent="0.65">
      <c r="A1745" s="3">
        <v>1743</v>
      </c>
      <c r="B1745" s="44" t="str">
        <f>HYPERLINK("https://search.naver.com/search.naver?query=솔로몬의 위증 후편 재판 영화", "솔로몬의 위증 후편-재판")</f>
        <v>솔로몬의 위증 후편-재판</v>
      </c>
      <c r="C1745" s="45">
        <v>5.85</v>
      </c>
      <c r="D1745" s="4" t="s">
        <v>1868</v>
      </c>
      <c r="E1745" s="3" t="s">
        <v>16</v>
      </c>
      <c r="F1745" s="3">
        <v>2015</v>
      </c>
      <c r="G1745" s="3" t="s">
        <v>12</v>
      </c>
      <c r="H1745" s="3" t="s">
        <v>141</v>
      </c>
      <c r="I1745" s="3" t="s">
        <v>86</v>
      </c>
      <c r="J1745" s="97" t="s">
        <v>3440</v>
      </c>
    </row>
    <row r="1746" spans="1:10" ht="28.9" customHeight="1" thickTop="1" thickBot="1" x14ac:dyDescent="0.65">
      <c r="A1746" s="5">
        <v>1744</v>
      </c>
      <c r="B1746" s="46" t="str">
        <f>HYPERLINK("https://search.naver.com/search.naver?query=솔로이스트 영화", "솔로이스트")</f>
        <v>솔로이스트</v>
      </c>
      <c r="C1746" s="47">
        <v>6.76</v>
      </c>
      <c r="D1746" s="6" t="s">
        <v>1869</v>
      </c>
      <c r="E1746" s="5" t="s">
        <v>20</v>
      </c>
      <c r="F1746" s="5">
        <v>2009</v>
      </c>
      <c r="G1746" s="5" t="s">
        <v>12</v>
      </c>
      <c r="H1746" s="5" t="s">
        <v>17</v>
      </c>
      <c r="I1746" s="5" t="s">
        <v>89</v>
      </c>
      <c r="J1746" s="98" t="s">
        <v>3453</v>
      </c>
    </row>
    <row r="1747" spans="1:10" ht="28.9" customHeight="1" thickTop="1" thickBot="1" x14ac:dyDescent="0.65">
      <c r="A1747" s="3">
        <v>1745</v>
      </c>
      <c r="B1747" s="44" t="str">
        <f>HYPERLINK("https://search.naver.com/search.naver?query=솔리터리 맨 영화", "솔리터리 맨")</f>
        <v>솔리터리 맨</v>
      </c>
      <c r="C1747" s="45">
        <v>6.4</v>
      </c>
      <c r="D1747" s="4" t="s">
        <v>1870</v>
      </c>
      <c r="E1747" s="3" t="s">
        <v>20</v>
      </c>
      <c r="F1747" s="3">
        <v>2009</v>
      </c>
      <c r="G1747" s="3" t="s">
        <v>12</v>
      </c>
      <c r="H1747" s="3" t="s">
        <v>68</v>
      </c>
      <c r="I1747" s="3" t="s">
        <v>115</v>
      </c>
      <c r="J1747" s="97" t="s">
        <v>3453</v>
      </c>
    </row>
    <row r="1748" spans="1:10" ht="28.9" customHeight="1" thickTop="1" thickBot="1" x14ac:dyDescent="0.65">
      <c r="A1748" s="5">
        <v>1746</v>
      </c>
      <c r="B1748" s="46" t="str">
        <f>HYPERLINK("https://search.naver.com/search.naver?query=송 원 영화", "송 원")</f>
        <v>송 원</v>
      </c>
      <c r="C1748" s="47">
        <v>5.08</v>
      </c>
      <c r="D1748" s="6" t="s">
        <v>1871</v>
      </c>
      <c r="E1748" s="5" t="s">
        <v>20</v>
      </c>
      <c r="F1748" s="5">
        <v>2014</v>
      </c>
      <c r="G1748" s="5" t="s">
        <v>12</v>
      </c>
      <c r="H1748" s="5" t="s">
        <v>17</v>
      </c>
      <c r="I1748" s="5" t="s">
        <v>661</v>
      </c>
      <c r="J1748" s="98" t="s">
        <v>3437</v>
      </c>
    </row>
    <row r="1749" spans="1:10" ht="28.9" customHeight="1" thickTop="1" thickBot="1" x14ac:dyDescent="0.65">
      <c r="A1749" s="3">
        <v>1747</v>
      </c>
      <c r="B1749" s="44" t="str">
        <f>HYPERLINK("https://search.naver.com/search.naver?query=송가황조 영화", "송가황조")</f>
        <v>송가황조</v>
      </c>
      <c r="C1749" s="45">
        <v>8.19</v>
      </c>
      <c r="D1749" s="4" t="s">
        <v>1872</v>
      </c>
      <c r="E1749" s="3" t="s">
        <v>91</v>
      </c>
      <c r="F1749" s="3">
        <v>1997</v>
      </c>
      <c r="G1749" s="3" t="s">
        <v>12</v>
      </c>
      <c r="H1749" s="3" t="s">
        <v>17</v>
      </c>
      <c r="I1749" s="3" t="s">
        <v>175</v>
      </c>
      <c r="J1749" s="97" t="s">
        <v>3470</v>
      </c>
    </row>
    <row r="1750" spans="1:10" ht="28.9" customHeight="1" thickTop="1" thickBot="1" x14ac:dyDescent="0.65">
      <c r="A1750" s="7">
        <v>1748</v>
      </c>
      <c r="B1750" s="48" t="str">
        <f>HYPERLINK("https://search.naver.com/search.naver?query=쇼군", "쇼군")</f>
        <v>쇼군</v>
      </c>
      <c r="C1750" s="49"/>
      <c r="D1750" s="8" t="s">
        <v>1873</v>
      </c>
      <c r="E1750" s="7" t="s">
        <v>20</v>
      </c>
      <c r="F1750" s="7">
        <v>2024</v>
      </c>
      <c r="G1750" s="7" t="s">
        <v>17</v>
      </c>
      <c r="H1750" s="7" t="s">
        <v>346</v>
      </c>
      <c r="I1750" s="7" t="s">
        <v>50</v>
      </c>
      <c r="J1750" s="99" t="s">
        <v>3448</v>
      </c>
    </row>
    <row r="1751" spans="1:10" ht="28.9" customHeight="1" thickTop="1" thickBot="1" x14ac:dyDescent="0.65">
      <c r="A1751" s="3">
        <v>1749</v>
      </c>
      <c r="B1751" s="44" t="str">
        <f>HYPERLINK("https://search.naver.com/search.naver?query=쇼를 사랑한 남자 영화", "쇼를 사랑한 남자")</f>
        <v>쇼를 사랑한 남자</v>
      </c>
      <c r="C1751" s="45">
        <v>7.7</v>
      </c>
      <c r="D1751" s="4" t="s">
        <v>1874</v>
      </c>
      <c r="E1751" s="3" t="s">
        <v>20</v>
      </c>
      <c r="F1751" s="3">
        <v>2013</v>
      </c>
      <c r="G1751" s="3" t="s">
        <v>12</v>
      </c>
      <c r="H1751" s="3" t="s">
        <v>17</v>
      </c>
      <c r="I1751" s="3" t="s">
        <v>221</v>
      </c>
      <c r="J1751" s="97" t="s">
        <v>3451</v>
      </c>
    </row>
    <row r="1752" spans="1:10" ht="28.9" customHeight="1" thickTop="1" thickBot="1" x14ac:dyDescent="0.65">
      <c r="A1752" s="5">
        <v>1750</v>
      </c>
      <c r="B1752" s="46" t="str">
        <f>HYPERLINK("https://search.naver.com/search.naver?query=쇼생크 탈출 영화", "쇼생크 탈출")</f>
        <v>쇼생크 탈출</v>
      </c>
      <c r="C1752" s="47">
        <v>9.51</v>
      </c>
      <c r="D1752" s="6" t="s">
        <v>1875</v>
      </c>
      <c r="E1752" s="5" t="s">
        <v>20</v>
      </c>
      <c r="F1752" s="5">
        <v>1994</v>
      </c>
      <c r="G1752" s="5" t="s">
        <v>12</v>
      </c>
      <c r="H1752" s="5" t="s">
        <v>17</v>
      </c>
      <c r="I1752" s="5" t="s">
        <v>237</v>
      </c>
      <c r="J1752" s="98" t="s">
        <v>3467</v>
      </c>
    </row>
    <row r="1753" spans="1:10" ht="28.9" customHeight="1" thickTop="1" thickBot="1" x14ac:dyDescent="0.65">
      <c r="A1753" s="3">
        <v>1751</v>
      </c>
      <c r="B1753" s="44" t="str">
        <f>HYPERLINK("https://search.naver.com/search.naver?query=숏텀12 영화", "숏텀12")</f>
        <v>숏텀12</v>
      </c>
      <c r="C1753" s="45">
        <v>9</v>
      </c>
      <c r="D1753" s="4" t="s">
        <v>1876</v>
      </c>
      <c r="E1753" s="3" t="s">
        <v>20</v>
      </c>
      <c r="F1753" s="3">
        <v>2013</v>
      </c>
      <c r="G1753" s="3" t="s">
        <v>12</v>
      </c>
      <c r="H1753" s="3" t="s">
        <v>17</v>
      </c>
      <c r="I1753" s="3" t="s">
        <v>61</v>
      </c>
      <c r="J1753" s="97" t="s">
        <v>3451</v>
      </c>
    </row>
    <row r="1754" spans="1:10" ht="28.9" customHeight="1" thickTop="1" thickBot="1" x14ac:dyDescent="0.65">
      <c r="A1754" s="7">
        <v>1752</v>
      </c>
      <c r="B1754" s="48" t="str">
        <f>HYPERLINK("https://search.naver.com/search.naver?query=수리남 드라마", "수리남")</f>
        <v>수리남</v>
      </c>
      <c r="C1754" s="49"/>
      <c r="D1754" s="8" t="s">
        <v>1877</v>
      </c>
      <c r="E1754" s="7" t="s">
        <v>11</v>
      </c>
      <c r="F1754" s="7">
        <v>2022</v>
      </c>
      <c r="G1754" s="7" t="s">
        <v>17</v>
      </c>
      <c r="H1754" s="7" t="s">
        <v>85</v>
      </c>
      <c r="I1754" s="7" t="s">
        <v>173</v>
      </c>
      <c r="J1754" s="99" t="s">
        <v>3445</v>
      </c>
    </row>
    <row r="1755" spans="1:10" ht="28.9" customHeight="1" thickTop="1" thickBot="1" x14ac:dyDescent="0.65">
      <c r="A1755" s="3">
        <v>1753</v>
      </c>
      <c r="B1755" s="44" t="str">
        <f>HYPERLINK("https://search.naver.com/search.naver?query=수부라 게이트 영화", "수부라 게이트")</f>
        <v>수부라 게이트</v>
      </c>
      <c r="C1755" s="45">
        <v>6.91</v>
      </c>
      <c r="D1755" s="4" t="s">
        <v>1878</v>
      </c>
      <c r="E1755" s="3" t="s">
        <v>16</v>
      </c>
      <c r="F1755" s="3">
        <v>2015</v>
      </c>
      <c r="G1755" s="3" t="s">
        <v>12</v>
      </c>
      <c r="H1755" s="3" t="s">
        <v>17</v>
      </c>
      <c r="I1755" s="3" t="s">
        <v>111</v>
      </c>
      <c r="J1755" s="97" t="s">
        <v>3440</v>
      </c>
    </row>
    <row r="1756" spans="1:10" ht="28.9" customHeight="1" thickTop="1" thickBot="1" x14ac:dyDescent="0.65">
      <c r="A1756" s="5">
        <v>1754</v>
      </c>
      <c r="B1756" s="46" t="str">
        <f>HYPERLINK("https://search.naver.com/search.naver?query=수상한 그녀 영화", "수상한 그녀")</f>
        <v>수상한 그녀</v>
      </c>
      <c r="C1756" s="47">
        <v>9.09</v>
      </c>
      <c r="D1756" s="6" t="s">
        <v>1879</v>
      </c>
      <c r="E1756" s="5" t="s">
        <v>11</v>
      </c>
      <c r="F1756" s="5">
        <v>2014</v>
      </c>
      <c r="G1756" s="5" t="s">
        <v>12</v>
      </c>
      <c r="H1756" s="5" t="s">
        <v>68</v>
      </c>
      <c r="I1756" s="5" t="s">
        <v>134</v>
      </c>
      <c r="J1756" s="98" t="s">
        <v>3437</v>
      </c>
    </row>
    <row r="1757" spans="1:10" ht="28.9" customHeight="1" thickTop="1" thickBot="1" x14ac:dyDescent="0.65">
      <c r="A1757" s="3">
        <v>1755</v>
      </c>
      <c r="B1757" s="44" t="str">
        <f>HYPERLINK("https://search.naver.com/search.naver?query=수색자 영화", "수색자")</f>
        <v>수색자</v>
      </c>
      <c r="C1757" s="45">
        <v>7.74</v>
      </c>
      <c r="D1757" s="4" t="s">
        <v>1880</v>
      </c>
      <c r="E1757" s="3" t="s">
        <v>11</v>
      </c>
      <c r="F1757" s="3">
        <v>2021</v>
      </c>
      <c r="G1757" s="3" t="s">
        <v>12</v>
      </c>
      <c r="H1757" s="3" t="s">
        <v>92</v>
      </c>
      <c r="I1757" s="3" t="s">
        <v>111</v>
      </c>
      <c r="J1757" s="97" t="s">
        <v>3438</v>
      </c>
    </row>
    <row r="1758" spans="1:10" ht="28.9" customHeight="1" thickTop="1" thickBot="1" x14ac:dyDescent="0.65">
      <c r="A1758" s="5">
        <v>1756</v>
      </c>
      <c r="B1758" s="46" t="str">
        <f>HYPERLINK("https://search.naver.com/search.naver?query=수영장으로 간 남자들 영화", "수영장으로 간 남자들")</f>
        <v>수영장으로 간 남자들</v>
      </c>
      <c r="C1758" s="47">
        <v>9.06</v>
      </c>
      <c r="D1758" s="6" t="s">
        <v>1881</v>
      </c>
      <c r="E1758" s="5" t="s">
        <v>210</v>
      </c>
      <c r="F1758" s="5">
        <v>2019</v>
      </c>
      <c r="G1758" s="5" t="s">
        <v>12</v>
      </c>
      <c r="H1758" s="5" t="s">
        <v>68</v>
      </c>
      <c r="I1758" s="5" t="s">
        <v>105</v>
      </c>
      <c r="J1758" s="98" t="s">
        <v>3444</v>
      </c>
    </row>
    <row r="1759" spans="1:10" ht="28.9" customHeight="1" thickTop="1" thickBot="1" x14ac:dyDescent="0.65">
      <c r="A1759" s="3">
        <v>1757</v>
      </c>
      <c r="B1759" s="44" t="str">
        <f>HYPERLINK("https://search.naver.com/search.naver?query=순정 영화", "순정")</f>
        <v>순정</v>
      </c>
      <c r="C1759" s="45">
        <v>8.93</v>
      </c>
      <c r="D1759" s="4" t="s">
        <v>1882</v>
      </c>
      <c r="E1759" s="3" t="s">
        <v>11</v>
      </c>
      <c r="F1759" s="3">
        <v>2015</v>
      </c>
      <c r="G1759" s="3" t="s">
        <v>12</v>
      </c>
      <c r="H1759" s="3" t="s">
        <v>121</v>
      </c>
      <c r="I1759" s="3" t="s">
        <v>99</v>
      </c>
      <c r="J1759" s="97" t="s">
        <v>3440</v>
      </c>
    </row>
    <row r="1760" spans="1:10" ht="28.9" customHeight="1" thickTop="1" thickBot="1" x14ac:dyDescent="0.65">
      <c r="A1760" s="5">
        <v>1758</v>
      </c>
      <c r="B1760" s="46" t="str">
        <f>HYPERLINK("https://search.naver.com/search.naver?query=숨바꼭질 영화", "숨바꼭질")</f>
        <v>숨바꼭질</v>
      </c>
      <c r="C1760" s="47">
        <v>6.73</v>
      </c>
      <c r="D1760" s="6" t="s">
        <v>1883</v>
      </c>
      <c r="E1760" s="5" t="s">
        <v>11</v>
      </c>
      <c r="F1760" s="5">
        <v>2013</v>
      </c>
      <c r="G1760" s="5" t="s">
        <v>12</v>
      </c>
      <c r="H1760" s="5" t="s">
        <v>43</v>
      </c>
      <c r="I1760" s="5" t="s">
        <v>75</v>
      </c>
      <c r="J1760" s="98" t="s">
        <v>3451</v>
      </c>
    </row>
    <row r="1761" spans="1:10" ht="28.9" customHeight="1" thickTop="1" thickBot="1" x14ac:dyDescent="0.65">
      <c r="A1761" s="3">
        <v>1759</v>
      </c>
      <c r="B1761" s="44" t="str">
        <f>HYPERLINK("https://search.naver.com/search.naver?query=쉐프 영화", "쉐프")</f>
        <v>쉐프</v>
      </c>
      <c r="C1761" s="45">
        <v>8.85</v>
      </c>
      <c r="D1761" s="4" t="s">
        <v>709</v>
      </c>
      <c r="E1761" s="3" t="s">
        <v>20</v>
      </c>
      <c r="F1761" s="3">
        <v>2012</v>
      </c>
      <c r="G1761" s="3" t="s">
        <v>12</v>
      </c>
      <c r="H1761" s="3" t="s">
        <v>17</v>
      </c>
      <c r="I1761" s="3" t="s">
        <v>111</v>
      </c>
      <c r="J1761" s="97" t="s">
        <v>3439</v>
      </c>
    </row>
    <row r="1762" spans="1:10" ht="28.9" customHeight="1" thickTop="1" thickBot="1" x14ac:dyDescent="0.65">
      <c r="A1762" s="5">
        <v>1760</v>
      </c>
      <c r="B1762" s="46" t="str">
        <f>HYPERLINK("https://search.naver.com/search.naver?query=쉘터 영화", "쉘터")</f>
        <v>쉘터</v>
      </c>
      <c r="C1762" s="47"/>
      <c r="D1762" s="6" t="s">
        <v>1884</v>
      </c>
      <c r="E1762" s="5" t="s">
        <v>20</v>
      </c>
      <c r="F1762" s="5">
        <v>2026</v>
      </c>
      <c r="G1762" s="5" t="s">
        <v>12</v>
      </c>
      <c r="H1762" s="5" t="s">
        <v>17</v>
      </c>
      <c r="I1762" s="5" t="s">
        <v>111</v>
      </c>
      <c r="J1762" s="98">
        <v>46082</v>
      </c>
    </row>
    <row r="1763" spans="1:10" ht="28.9" customHeight="1" thickTop="1" thickBot="1" x14ac:dyDescent="0.65">
      <c r="A1763" s="3">
        <v>1761</v>
      </c>
      <c r="B1763" s="44" t="str">
        <f>HYPERLINK("https://search.naver.com/search.naver?query=쉬핑뉴스 영화", "쉬핑뉴스")</f>
        <v>쉬핑뉴스</v>
      </c>
      <c r="C1763" s="45">
        <v>7.95</v>
      </c>
      <c r="D1763" s="4" t="s">
        <v>1885</v>
      </c>
      <c r="E1763" s="3" t="s">
        <v>20</v>
      </c>
      <c r="F1763" s="3">
        <v>2001</v>
      </c>
      <c r="G1763" s="3" t="s">
        <v>12</v>
      </c>
      <c r="H1763" s="3" t="s">
        <v>17</v>
      </c>
      <c r="I1763" s="3" t="s">
        <v>102</v>
      </c>
      <c r="J1763" s="97" t="s">
        <v>3457</v>
      </c>
    </row>
    <row r="1764" spans="1:10" ht="28.9" customHeight="1" thickTop="1" thickBot="1" x14ac:dyDescent="0.65">
      <c r="A1764" s="7">
        <v>1762</v>
      </c>
      <c r="B1764" s="48" t="str">
        <f>HYPERLINK("https://search.naver.com/search.naver?query=미국드라마 슈츠 시즌1", "슈츠 시즌1")</f>
        <v>슈츠 시즌1</v>
      </c>
      <c r="C1764" s="49"/>
      <c r="D1764" s="8" t="s">
        <v>1886</v>
      </c>
      <c r="E1764" s="7" t="s">
        <v>20</v>
      </c>
      <c r="F1764" s="7">
        <v>2011</v>
      </c>
      <c r="G1764" s="7" t="s">
        <v>17</v>
      </c>
      <c r="H1764" s="7" t="s">
        <v>17</v>
      </c>
      <c r="I1764" s="7" t="s">
        <v>893</v>
      </c>
      <c r="J1764" s="99" t="s">
        <v>3454</v>
      </c>
    </row>
    <row r="1765" spans="1:10" ht="28.9" customHeight="1" thickTop="1" thickBot="1" x14ac:dyDescent="0.65">
      <c r="A1765" s="7">
        <v>1763</v>
      </c>
      <c r="B1765" s="48" t="str">
        <f>HYPERLINK("https://search.naver.com/search.naver?query=미국드라마 슈츠 시즌2", "슈츠 시즌2")</f>
        <v>슈츠 시즌2</v>
      </c>
      <c r="C1765" s="49"/>
      <c r="D1765" s="8" t="s">
        <v>1886</v>
      </c>
      <c r="E1765" s="7" t="s">
        <v>20</v>
      </c>
      <c r="F1765" s="7">
        <v>2012</v>
      </c>
      <c r="G1765" s="7" t="s">
        <v>17</v>
      </c>
      <c r="H1765" s="7" t="s">
        <v>17</v>
      </c>
      <c r="I1765" s="7" t="s">
        <v>491</v>
      </c>
      <c r="J1765" s="99" t="s">
        <v>3439</v>
      </c>
    </row>
    <row r="1766" spans="1:10" ht="28.9" customHeight="1" thickTop="1" thickBot="1" x14ac:dyDescent="0.65">
      <c r="A1766" s="7">
        <v>1764</v>
      </c>
      <c r="B1766" s="48" t="str">
        <f>HYPERLINK("https://search.naver.com/search.naver?query=미국드라마 슈츠 시즌3", "슈츠 시즌3")</f>
        <v>슈츠 시즌3</v>
      </c>
      <c r="C1766" s="49"/>
      <c r="D1766" s="8" t="s">
        <v>1886</v>
      </c>
      <c r="E1766" s="7" t="s">
        <v>20</v>
      </c>
      <c r="F1766" s="7">
        <v>2013</v>
      </c>
      <c r="G1766" s="7" t="s">
        <v>17</v>
      </c>
      <c r="H1766" s="7" t="s">
        <v>17</v>
      </c>
      <c r="I1766" s="7" t="s">
        <v>491</v>
      </c>
      <c r="J1766" s="99" t="s">
        <v>3451</v>
      </c>
    </row>
    <row r="1767" spans="1:10" ht="28.9" customHeight="1" thickTop="1" thickBot="1" x14ac:dyDescent="0.65">
      <c r="A1767" s="7">
        <v>1765</v>
      </c>
      <c r="B1767" s="48" t="str">
        <f>HYPERLINK("https://search.naver.com/search.naver?query=미국드라마 슈츠 시즌4", "슈츠 시즌4")</f>
        <v>슈츠 시즌4</v>
      </c>
      <c r="C1767" s="49"/>
      <c r="D1767" s="8" t="s">
        <v>1886</v>
      </c>
      <c r="E1767" s="7" t="s">
        <v>20</v>
      </c>
      <c r="F1767" s="7">
        <v>2014</v>
      </c>
      <c r="G1767" s="7" t="s">
        <v>17</v>
      </c>
      <c r="H1767" s="7" t="s">
        <v>17</v>
      </c>
      <c r="I1767" s="7" t="s">
        <v>491</v>
      </c>
      <c r="J1767" s="99" t="s">
        <v>3437</v>
      </c>
    </row>
    <row r="1768" spans="1:10" ht="28.9" customHeight="1" thickTop="1" thickBot="1" x14ac:dyDescent="0.65">
      <c r="A1768" s="7">
        <v>1766</v>
      </c>
      <c r="B1768" s="48" t="str">
        <f>HYPERLINK("https://search.naver.com/search.naver?query=미국드라마 슈츠 시즌5", "슈츠 시즌5")</f>
        <v>슈츠 시즌5</v>
      </c>
      <c r="C1768" s="49"/>
      <c r="D1768" s="8" t="s">
        <v>1886</v>
      </c>
      <c r="E1768" s="7" t="s">
        <v>20</v>
      </c>
      <c r="F1768" s="7">
        <v>2015</v>
      </c>
      <c r="G1768" s="7" t="s">
        <v>17</v>
      </c>
      <c r="H1768" s="7" t="s">
        <v>17</v>
      </c>
      <c r="I1768" s="7" t="s">
        <v>491</v>
      </c>
      <c r="J1768" s="99" t="s">
        <v>3440</v>
      </c>
    </row>
    <row r="1769" spans="1:10" ht="28.9" customHeight="1" thickTop="1" thickBot="1" x14ac:dyDescent="0.65">
      <c r="A1769" s="7">
        <v>1767</v>
      </c>
      <c r="B1769" s="48" t="str">
        <f>HYPERLINK("https://search.naver.com/search.naver?query=미국드라마 슈츠 시즌6", "슈츠 시즌6")</f>
        <v>슈츠 시즌6</v>
      </c>
      <c r="C1769" s="49"/>
      <c r="D1769" s="8" t="s">
        <v>1886</v>
      </c>
      <c r="E1769" s="7" t="s">
        <v>20</v>
      </c>
      <c r="F1769" s="7">
        <v>2016</v>
      </c>
      <c r="G1769" s="7" t="s">
        <v>17</v>
      </c>
      <c r="H1769" s="7" t="s">
        <v>17</v>
      </c>
      <c r="I1769" s="7" t="s">
        <v>491</v>
      </c>
      <c r="J1769" s="99" t="s">
        <v>3441</v>
      </c>
    </row>
    <row r="1770" spans="1:10" ht="28.9" customHeight="1" thickTop="1" thickBot="1" x14ac:dyDescent="0.65">
      <c r="A1770" s="7">
        <v>1768</v>
      </c>
      <c r="B1770" s="48" t="str">
        <f>HYPERLINK("https://search.naver.com/search.naver?query=미국드라마 슈츠 시즌7", "슈츠 시즌7")</f>
        <v>슈츠 시즌7</v>
      </c>
      <c r="C1770" s="49"/>
      <c r="D1770" s="8" t="s">
        <v>1886</v>
      </c>
      <c r="E1770" s="7" t="s">
        <v>20</v>
      </c>
      <c r="F1770" s="7">
        <v>2017</v>
      </c>
      <c r="G1770" s="7" t="s">
        <v>17</v>
      </c>
      <c r="H1770" s="7" t="s">
        <v>17</v>
      </c>
      <c r="I1770" s="7" t="s">
        <v>491</v>
      </c>
      <c r="J1770" s="99" t="s">
        <v>3443</v>
      </c>
    </row>
    <row r="1771" spans="1:10" ht="28.9" customHeight="1" thickTop="1" thickBot="1" x14ac:dyDescent="0.65">
      <c r="A1771" s="7">
        <v>1769</v>
      </c>
      <c r="B1771" s="48" t="str">
        <f>HYPERLINK("https://search.naver.com/search.naver?query=미국드라마 슈츠 시즌8", "슈츠 시즌8")</f>
        <v>슈츠 시즌8</v>
      </c>
      <c r="C1771" s="49"/>
      <c r="D1771" s="8" t="s">
        <v>1887</v>
      </c>
      <c r="E1771" s="7" t="s">
        <v>20</v>
      </c>
      <c r="F1771" s="7">
        <v>2018</v>
      </c>
      <c r="G1771" s="7" t="s">
        <v>17</v>
      </c>
      <c r="H1771" s="7" t="s">
        <v>17</v>
      </c>
      <c r="I1771" s="7" t="s">
        <v>491</v>
      </c>
      <c r="J1771" s="99" t="s">
        <v>3442</v>
      </c>
    </row>
    <row r="1772" spans="1:10" ht="28.9" customHeight="1" thickTop="1" thickBot="1" x14ac:dyDescent="0.65">
      <c r="A1772" s="7">
        <v>1770</v>
      </c>
      <c r="B1772" s="48" t="str">
        <f>HYPERLINK("https://search.naver.com/search.naver?query=미국드라마 슈츠 시즌9", "슈츠 시즌9")</f>
        <v>슈츠 시즌9</v>
      </c>
      <c r="C1772" s="49"/>
      <c r="D1772" s="8" t="s">
        <v>1888</v>
      </c>
      <c r="E1772" s="7" t="s">
        <v>20</v>
      </c>
      <c r="F1772" s="7">
        <v>2019</v>
      </c>
      <c r="G1772" s="7" t="s">
        <v>17</v>
      </c>
      <c r="H1772" s="7" t="s">
        <v>17</v>
      </c>
      <c r="I1772" s="7" t="s">
        <v>50</v>
      </c>
      <c r="J1772" s="99" t="s">
        <v>3444</v>
      </c>
    </row>
    <row r="1773" spans="1:10" ht="28.9" customHeight="1" thickTop="1" thickBot="1" x14ac:dyDescent="0.65">
      <c r="A1773" s="3">
        <v>1771</v>
      </c>
      <c r="B1773" s="44" t="str">
        <f>HYPERLINK("https://search.naver.com/search.naver?query=슈퍼노바 영화", "슈퍼노바")</f>
        <v>슈퍼노바</v>
      </c>
      <c r="C1773" s="45">
        <v>7.34</v>
      </c>
      <c r="D1773" s="4" t="s">
        <v>1889</v>
      </c>
      <c r="E1773" s="3" t="s">
        <v>24</v>
      </c>
      <c r="F1773" s="3">
        <v>2020</v>
      </c>
      <c r="G1773" s="3" t="s">
        <v>12</v>
      </c>
      <c r="H1773" s="3" t="s">
        <v>17</v>
      </c>
      <c r="I1773" s="3" t="s">
        <v>93</v>
      </c>
      <c r="J1773" s="97" t="s">
        <v>3436</v>
      </c>
    </row>
    <row r="1774" spans="1:10" ht="28.9" customHeight="1" thickTop="1" thickBot="1" x14ac:dyDescent="0.65">
      <c r="A1774" s="5">
        <v>1772</v>
      </c>
      <c r="B1774" s="46" t="str">
        <f>HYPERLINK("https://search.naver.com/search.naver?query=스기하라 지우네 영화", "스기하라 지우네")</f>
        <v>스기하라 지우네</v>
      </c>
      <c r="C1774" s="47"/>
      <c r="D1774" s="6" t="s">
        <v>1890</v>
      </c>
      <c r="E1774" s="5" t="s">
        <v>16</v>
      </c>
      <c r="F1774" s="5">
        <v>2015</v>
      </c>
      <c r="G1774" s="5" t="s">
        <v>12</v>
      </c>
      <c r="H1774" s="5" t="s">
        <v>17</v>
      </c>
      <c r="I1774" s="5" t="s">
        <v>131</v>
      </c>
      <c r="J1774" s="98" t="s">
        <v>3440</v>
      </c>
    </row>
    <row r="1775" spans="1:10" ht="28.9" customHeight="1" thickTop="1" thickBot="1" x14ac:dyDescent="0.65">
      <c r="A1775" s="3">
        <v>1773</v>
      </c>
      <c r="B1775" s="44" t="str">
        <f>HYPERLINK("https://search.naver.com/search.naver?query=스기하라 치우네 영화", "스기하라 치우네")</f>
        <v>스기하라 치우네</v>
      </c>
      <c r="C1775" s="45">
        <v>6.4</v>
      </c>
      <c r="D1775" s="4" t="s">
        <v>1890</v>
      </c>
      <c r="E1775" s="3" t="s">
        <v>16</v>
      </c>
      <c r="F1775" s="3">
        <v>2015</v>
      </c>
      <c r="G1775" s="3" t="s">
        <v>12</v>
      </c>
      <c r="H1775" s="3" t="s">
        <v>17</v>
      </c>
      <c r="I1775" s="3" t="s">
        <v>131</v>
      </c>
      <c r="J1775" s="97" t="s">
        <v>3440</v>
      </c>
    </row>
    <row r="1776" spans="1:10" ht="28.9" customHeight="1" thickTop="1" thickBot="1" x14ac:dyDescent="0.65">
      <c r="A1776" s="5">
        <v>1774</v>
      </c>
      <c r="B1776" s="46" t="str">
        <f>HYPERLINK("https://search.naver.com/search.naver?query=스나이퍼 얼티밋 킬 영화", "스나이퍼 - 얼티밋 킬")</f>
        <v>스나이퍼 - 얼티밋 킬</v>
      </c>
      <c r="C1776" s="47"/>
      <c r="D1776" s="6" t="s">
        <v>1891</v>
      </c>
      <c r="E1776" s="5" t="s">
        <v>20</v>
      </c>
      <c r="F1776" s="5">
        <v>2017</v>
      </c>
      <c r="G1776" s="5" t="s">
        <v>12</v>
      </c>
      <c r="H1776" s="5" t="s">
        <v>92</v>
      </c>
      <c r="I1776" s="5" t="s">
        <v>93</v>
      </c>
      <c r="J1776" s="98" t="s">
        <v>3443</v>
      </c>
    </row>
    <row r="1777" spans="1:10" ht="28.9" customHeight="1" thickTop="1" thickBot="1" x14ac:dyDescent="0.65">
      <c r="A1777" s="3">
        <v>1775</v>
      </c>
      <c r="B1777" s="44" t="str">
        <f>HYPERLINK("https://search.naver.com/search.naver?query=스나이퍼 특수작전부대 영화", "스나이퍼 - 특수작전부대")</f>
        <v>스나이퍼 - 특수작전부대</v>
      </c>
      <c r="C1777" s="45">
        <v>3.35</v>
      </c>
      <c r="D1777" s="4" t="s">
        <v>1892</v>
      </c>
      <c r="E1777" s="3" t="s">
        <v>20</v>
      </c>
      <c r="F1777" s="3">
        <v>2016</v>
      </c>
      <c r="G1777" s="3" t="s">
        <v>12</v>
      </c>
      <c r="H1777" s="3" t="s">
        <v>92</v>
      </c>
      <c r="I1777" s="3" t="s">
        <v>952</v>
      </c>
      <c r="J1777" s="97" t="s">
        <v>3441</v>
      </c>
    </row>
    <row r="1778" spans="1:10" ht="28.9" customHeight="1" thickTop="1" thickBot="1" x14ac:dyDescent="0.65">
      <c r="A1778" s="5">
        <v>1776</v>
      </c>
      <c r="B1778" s="46" t="str">
        <f>HYPERLINK("https://search.naver.com/search.naver?query=스나이퍼 고스트 슈터 영화", "스나이퍼 고스트 슈터")</f>
        <v>스나이퍼 고스트 슈터</v>
      </c>
      <c r="C1778" s="47">
        <v>5.31</v>
      </c>
      <c r="D1778" s="6" t="s">
        <v>1893</v>
      </c>
      <c r="E1778" s="5" t="s">
        <v>20</v>
      </c>
      <c r="F1778" s="5">
        <v>2016</v>
      </c>
      <c r="G1778" s="5" t="s">
        <v>12</v>
      </c>
      <c r="H1778" s="5" t="s">
        <v>92</v>
      </c>
      <c r="I1778" s="5" t="s">
        <v>81</v>
      </c>
      <c r="J1778" s="98" t="s">
        <v>3441</v>
      </c>
    </row>
    <row r="1779" spans="1:10" ht="28.9" customHeight="1" thickTop="1" thickBot="1" x14ac:dyDescent="0.65">
      <c r="A1779" s="3">
        <v>1777</v>
      </c>
      <c r="B1779" s="44" t="str">
        <f>HYPERLINK("https://search.naver.com/search.naver?query=스나이퍼 라스트 미션 영화", "스나이퍼 라스트 미션")</f>
        <v>스나이퍼 라스트 미션</v>
      </c>
      <c r="C1779" s="45">
        <v>7</v>
      </c>
      <c r="D1779" s="4" t="s">
        <v>1894</v>
      </c>
      <c r="E1779" s="3" t="s">
        <v>20</v>
      </c>
      <c r="F1779" s="3">
        <v>2019</v>
      </c>
      <c r="G1779" s="3" t="s">
        <v>12</v>
      </c>
      <c r="H1779" s="3" t="s">
        <v>92</v>
      </c>
      <c r="I1779" s="3" t="s">
        <v>111</v>
      </c>
      <c r="J1779" s="97" t="s">
        <v>3444</v>
      </c>
    </row>
    <row r="1780" spans="1:10" ht="28.9" customHeight="1" thickTop="1" thickBot="1" x14ac:dyDescent="0.65">
      <c r="A1780" s="5">
        <v>1778</v>
      </c>
      <c r="B1780" s="46" t="str">
        <f>HYPERLINK("https://search.naver.com/search.naver?query=스나이퍼 암살자의 최후 영화", "스나이퍼 암살자의 최후")</f>
        <v>스나이퍼 암살자의 최후</v>
      </c>
      <c r="C1780" s="47">
        <v>5.78</v>
      </c>
      <c r="D1780" s="6" t="s">
        <v>1895</v>
      </c>
      <c r="E1780" s="5" t="s">
        <v>20</v>
      </c>
      <c r="F1780" s="5">
        <v>2020</v>
      </c>
      <c r="G1780" s="5" t="s">
        <v>12</v>
      </c>
      <c r="H1780" s="5" t="s">
        <v>92</v>
      </c>
      <c r="I1780" s="5" t="s">
        <v>111</v>
      </c>
      <c r="J1780" s="98" t="s">
        <v>3436</v>
      </c>
    </row>
    <row r="1781" spans="1:10" ht="28.9" customHeight="1" thickTop="1" thickBot="1" x14ac:dyDescent="0.65">
      <c r="A1781" s="3">
        <v>1779</v>
      </c>
      <c r="B1781" s="44" t="str">
        <f>HYPERLINK("https://search.naver.com/search.naver?query=스노든 영화", "스노든")</f>
        <v>스노든</v>
      </c>
      <c r="C1781" s="45">
        <v>8.86</v>
      </c>
      <c r="D1781" s="4" t="s">
        <v>1896</v>
      </c>
      <c r="E1781" s="3" t="s">
        <v>20</v>
      </c>
      <c r="F1781" s="3">
        <v>2016</v>
      </c>
      <c r="G1781" s="3" t="s">
        <v>12</v>
      </c>
      <c r="H1781" s="3" t="s">
        <v>17</v>
      </c>
      <c r="I1781" s="3" t="s">
        <v>543</v>
      </c>
      <c r="J1781" s="97" t="s">
        <v>3441</v>
      </c>
    </row>
    <row r="1782" spans="1:10" ht="28.9" customHeight="1" thickTop="1" thickBot="1" x14ac:dyDescent="0.65">
      <c r="A1782" s="5">
        <v>1780</v>
      </c>
      <c r="B1782" s="46" t="str">
        <f>HYPERLINK("https://search.naver.com/search.naver?query=스노우맨 영화", "스노우맨")</f>
        <v>스노우맨</v>
      </c>
      <c r="C1782" s="47">
        <v>5.68</v>
      </c>
      <c r="D1782" s="6" t="s">
        <v>1897</v>
      </c>
      <c r="E1782" s="5" t="s">
        <v>24</v>
      </c>
      <c r="F1782" s="5">
        <v>2017</v>
      </c>
      <c r="G1782" s="5" t="s">
        <v>12</v>
      </c>
      <c r="H1782" s="5" t="s">
        <v>277</v>
      </c>
      <c r="I1782" s="5" t="s">
        <v>53</v>
      </c>
      <c r="J1782" s="98" t="s">
        <v>3443</v>
      </c>
    </row>
    <row r="1783" spans="1:10" ht="28.9" customHeight="1" thickTop="1" thickBot="1" x14ac:dyDescent="0.65">
      <c r="A1783" s="3">
        <v>1781</v>
      </c>
      <c r="B1783" s="44" t="str">
        <f>HYPERLINK("https://search.naver.com/search.naver?query=스노우워커 영화", "스노우워커")</f>
        <v>스노우워커</v>
      </c>
      <c r="C1783" s="45">
        <v>8.99</v>
      </c>
      <c r="D1783" s="4" t="s">
        <v>1898</v>
      </c>
      <c r="E1783" s="3" t="s">
        <v>189</v>
      </c>
      <c r="F1783" s="3">
        <v>2003</v>
      </c>
      <c r="G1783" s="3" t="s">
        <v>12</v>
      </c>
      <c r="H1783" s="3" t="s">
        <v>17</v>
      </c>
      <c r="I1783" s="3" t="s">
        <v>190</v>
      </c>
      <c r="J1783" s="97" t="s">
        <v>3449</v>
      </c>
    </row>
    <row r="1784" spans="1:10" ht="28.9" customHeight="1" thickTop="1" thickBot="1" x14ac:dyDescent="0.65">
      <c r="A1784" s="5">
        <v>1782</v>
      </c>
      <c r="B1784" s="46" t="str">
        <f>HYPERLINK("https://search.naver.com/search.naver?query=스니치 영화", "스니치")</f>
        <v>스니치</v>
      </c>
      <c r="C1784" s="47">
        <v>8.41</v>
      </c>
      <c r="D1784" s="6" t="s">
        <v>1899</v>
      </c>
      <c r="E1784" s="5" t="s">
        <v>20</v>
      </c>
      <c r="F1784" s="5">
        <v>2013</v>
      </c>
      <c r="G1784" s="5" t="s">
        <v>12</v>
      </c>
      <c r="H1784" s="5" t="s">
        <v>92</v>
      </c>
      <c r="I1784" s="5" t="s">
        <v>278</v>
      </c>
      <c r="J1784" s="98" t="s">
        <v>3451</v>
      </c>
    </row>
    <row r="1785" spans="1:10" ht="28.9" customHeight="1" thickTop="1" thickBot="1" x14ac:dyDescent="0.65">
      <c r="A1785" s="3">
        <v>1783</v>
      </c>
      <c r="B1785" s="44" t="str">
        <f>HYPERLINK("https://search.naver.com/search.naver?query=스마트폰을 떨어뜨렸을 뿐인데 영화", "스마트폰을 떨어뜨렸을 뿐인데")</f>
        <v>스마트폰을 떨어뜨렸을 뿐인데</v>
      </c>
      <c r="C1785" s="45">
        <v>6.88</v>
      </c>
      <c r="D1785" s="4" t="s">
        <v>1900</v>
      </c>
      <c r="E1785" s="3" t="s">
        <v>16</v>
      </c>
      <c r="F1785" s="3">
        <v>2018</v>
      </c>
      <c r="G1785" s="3" t="s">
        <v>12</v>
      </c>
      <c r="H1785" s="3" t="s">
        <v>43</v>
      </c>
      <c r="I1785" s="3" t="s">
        <v>366</v>
      </c>
      <c r="J1785" s="97" t="s">
        <v>3442</v>
      </c>
    </row>
    <row r="1786" spans="1:10" ht="28.9" customHeight="1" thickTop="1" thickBot="1" x14ac:dyDescent="0.65">
      <c r="A1786" s="5">
        <v>1784</v>
      </c>
      <c r="B1786" s="46" t="str">
        <f>HYPERLINK("https://search.naver.com/search.naver?query=스매쉬드 영화", "스매쉬드")</f>
        <v>스매쉬드</v>
      </c>
      <c r="C1786" s="47">
        <v>6.4</v>
      </c>
      <c r="D1786" s="6" t="s">
        <v>1901</v>
      </c>
      <c r="E1786" s="5" t="s">
        <v>20</v>
      </c>
      <c r="F1786" s="5">
        <v>2012</v>
      </c>
      <c r="G1786" s="5" t="s">
        <v>12</v>
      </c>
      <c r="H1786" s="5" t="s">
        <v>17</v>
      </c>
      <c r="I1786" s="5" t="s">
        <v>536</v>
      </c>
      <c r="J1786" s="98" t="s">
        <v>3439</v>
      </c>
    </row>
    <row r="1787" spans="1:10" ht="28.9" customHeight="1" thickTop="1" thickBot="1" x14ac:dyDescent="0.65">
      <c r="A1787" s="3">
        <v>1785</v>
      </c>
      <c r="B1787" s="44" t="str">
        <f>HYPERLINK("https://search.naver.com/search.naver?query=스시 장인 지로의 꿈 영화", "스시 장인-지로의 꿈")</f>
        <v>스시 장인-지로의 꿈</v>
      </c>
      <c r="C1787" s="45">
        <v>6.4</v>
      </c>
      <c r="D1787" s="4" t="s">
        <v>1902</v>
      </c>
      <c r="E1787" s="3" t="s">
        <v>20</v>
      </c>
      <c r="F1787" s="3">
        <v>2011</v>
      </c>
      <c r="G1787" s="3" t="s">
        <v>12</v>
      </c>
      <c r="H1787" s="3" t="s">
        <v>160</v>
      </c>
      <c r="I1787" s="3" t="s">
        <v>536</v>
      </c>
      <c r="J1787" s="97" t="s">
        <v>3454</v>
      </c>
    </row>
    <row r="1788" spans="1:10" ht="28.9" customHeight="1" thickTop="1" thickBot="1" x14ac:dyDescent="0.65">
      <c r="A1788" s="7">
        <v>1786</v>
      </c>
      <c r="B1788" s="48" t="str">
        <f>HYPERLINK("https://search.naver.com/search.naver?query=스와트 시즌1", "스와트 시즌1")</f>
        <v>스와트 시즌1</v>
      </c>
      <c r="C1788" s="49"/>
      <c r="D1788" s="8" t="s">
        <v>1903</v>
      </c>
      <c r="E1788" s="7" t="s">
        <v>20</v>
      </c>
      <c r="F1788" s="7">
        <v>2017</v>
      </c>
      <c r="G1788" s="7" t="s">
        <v>17</v>
      </c>
      <c r="H1788" s="7" t="s">
        <v>162</v>
      </c>
      <c r="I1788" s="7" t="s">
        <v>356</v>
      </c>
      <c r="J1788" s="99" t="s">
        <v>3443</v>
      </c>
    </row>
    <row r="1789" spans="1:10" ht="28.9" customHeight="1" thickTop="1" thickBot="1" x14ac:dyDescent="0.65">
      <c r="A1789" s="7">
        <v>1787</v>
      </c>
      <c r="B1789" s="48" t="str">
        <f>HYPERLINK("https://search.naver.com/search.naver?query=스와트 시즌2", "스와트 시즌2")</f>
        <v>스와트 시즌2</v>
      </c>
      <c r="C1789" s="49"/>
      <c r="D1789" s="8" t="s">
        <v>1903</v>
      </c>
      <c r="E1789" s="7" t="s">
        <v>20</v>
      </c>
      <c r="F1789" s="7">
        <v>2018</v>
      </c>
      <c r="G1789" s="7" t="s">
        <v>17</v>
      </c>
      <c r="H1789" s="7" t="s">
        <v>162</v>
      </c>
      <c r="I1789" s="7" t="s">
        <v>355</v>
      </c>
      <c r="J1789" s="99" t="s">
        <v>3442</v>
      </c>
    </row>
    <row r="1790" spans="1:10" ht="28.9" customHeight="1" thickTop="1" thickBot="1" x14ac:dyDescent="0.65">
      <c r="A1790" s="7">
        <v>1788</v>
      </c>
      <c r="B1790" s="48" t="str">
        <f>HYPERLINK("https://search.naver.com/search.naver?query=스와트 시즌3", "스와트 시즌3")</f>
        <v>스와트 시즌3</v>
      </c>
      <c r="C1790" s="49"/>
      <c r="D1790" s="8" t="s">
        <v>1903</v>
      </c>
      <c r="E1790" s="7" t="s">
        <v>20</v>
      </c>
      <c r="F1790" s="7">
        <v>2019</v>
      </c>
      <c r="G1790" s="7" t="s">
        <v>17</v>
      </c>
      <c r="H1790" s="7" t="s">
        <v>162</v>
      </c>
      <c r="I1790" s="7" t="s">
        <v>1619</v>
      </c>
      <c r="J1790" s="99" t="s">
        <v>3444</v>
      </c>
    </row>
    <row r="1791" spans="1:10" ht="28.9" customHeight="1" thickTop="1" thickBot="1" x14ac:dyDescent="0.65">
      <c r="A1791" s="7">
        <v>1789</v>
      </c>
      <c r="B1791" s="48" t="str">
        <f>HYPERLINK("https://search.naver.com/search.naver?query=스와트 시즌4", "스와트 시즌4")</f>
        <v>스와트 시즌4</v>
      </c>
      <c r="C1791" s="49"/>
      <c r="D1791" s="8" t="s">
        <v>1903</v>
      </c>
      <c r="E1791" s="7" t="s">
        <v>20</v>
      </c>
      <c r="F1791" s="7">
        <v>2020</v>
      </c>
      <c r="G1791" s="7" t="s">
        <v>17</v>
      </c>
      <c r="H1791" s="7" t="s">
        <v>162</v>
      </c>
      <c r="I1791" s="7" t="s">
        <v>164</v>
      </c>
      <c r="J1791" s="99" t="s">
        <v>3436</v>
      </c>
    </row>
    <row r="1792" spans="1:10" ht="28.9" customHeight="1" thickTop="1" thickBot="1" x14ac:dyDescent="0.65">
      <c r="A1792" s="7">
        <v>1790</v>
      </c>
      <c r="B1792" s="48" t="str">
        <f>HYPERLINK("https://search.naver.com/search.naver?query=스와트 시즌5", "스와트 시즌5")</f>
        <v>스와트 시즌5</v>
      </c>
      <c r="C1792" s="49"/>
      <c r="D1792" s="8" t="s">
        <v>1903</v>
      </c>
      <c r="E1792" s="7" t="s">
        <v>20</v>
      </c>
      <c r="F1792" s="7">
        <v>2022</v>
      </c>
      <c r="G1792" s="7" t="s">
        <v>17</v>
      </c>
      <c r="H1792" s="7" t="s">
        <v>162</v>
      </c>
      <c r="I1792" s="7" t="s">
        <v>356</v>
      </c>
      <c r="J1792" s="99" t="s">
        <v>3445</v>
      </c>
    </row>
    <row r="1793" spans="1:10" ht="28.9" customHeight="1" thickTop="1" thickBot="1" x14ac:dyDescent="0.65">
      <c r="A1793" s="7">
        <v>1791</v>
      </c>
      <c r="B1793" s="48" t="str">
        <f>HYPERLINK("https://search.naver.com/search.naver?query=스와트 시즌7", "스와트 시즌7")</f>
        <v>스와트 시즌7</v>
      </c>
      <c r="C1793" s="49"/>
      <c r="D1793" s="8" t="s">
        <v>1903</v>
      </c>
      <c r="E1793" s="7" t="s">
        <v>20</v>
      </c>
      <c r="F1793" s="7">
        <v>2024</v>
      </c>
      <c r="G1793" s="7" t="s">
        <v>17</v>
      </c>
      <c r="H1793" s="7" t="s">
        <v>162</v>
      </c>
      <c r="I1793" s="7" t="s">
        <v>645</v>
      </c>
      <c r="J1793" s="99" t="s">
        <v>3448</v>
      </c>
    </row>
    <row r="1794" spans="1:10" ht="28.9" customHeight="1" thickTop="1" thickBot="1" x14ac:dyDescent="0.65">
      <c r="A1794" s="5">
        <v>1792</v>
      </c>
      <c r="B1794" s="46" t="str">
        <f>HYPERLINK("https://search.naver.com/search.naver?query=스위칭 로맨스 영화", "스위칭 로맨스")</f>
        <v>스위칭 로맨스</v>
      </c>
      <c r="C1794" s="47">
        <v>6.4</v>
      </c>
      <c r="D1794" s="6" t="s">
        <v>1904</v>
      </c>
      <c r="E1794" s="5" t="s">
        <v>20</v>
      </c>
      <c r="F1794" s="5">
        <v>2023</v>
      </c>
      <c r="G1794" s="5" t="s">
        <v>12</v>
      </c>
      <c r="H1794" s="5" t="s">
        <v>68</v>
      </c>
      <c r="I1794" s="5" t="s">
        <v>111</v>
      </c>
      <c r="J1794" s="98" t="s">
        <v>3446</v>
      </c>
    </row>
    <row r="1795" spans="1:10" ht="28.9" customHeight="1" thickTop="1" thickBot="1" x14ac:dyDescent="0.65">
      <c r="A1795" s="3">
        <v>1793</v>
      </c>
      <c r="B1795" s="44" t="str">
        <f>HYPERLINK("https://search.naver.com/search.naver?query=스위트 리틀 라이즈 영화", "스위트 리틀 라이즈")</f>
        <v>스위트 리틀 라이즈</v>
      </c>
      <c r="C1795" s="45"/>
      <c r="D1795" s="4" t="s">
        <v>1905</v>
      </c>
      <c r="E1795" s="3" t="s">
        <v>101</v>
      </c>
      <c r="F1795" s="3">
        <v>2010</v>
      </c>
      <c r="G1795" s="3" t="s">
        <v>12</v>
      </c>
      <c r="H1795" s="3" t="s">
        <v>68</v>
      </c>
      <c r="I1795" s="3" t="s">
        <v>111</v>
      </c>
      <c r="J1795" s="97" t="s">
        <v>3455</v>
      </c>
    </row>
    <row r="1796" spans="1:10" ht="28.9" customHeight="1" thickTop="1" thickBot="1" x14ac:dyDescent="0.65">
      <c r="A1796" s="5">
        <v>1794</v>
      </c>
      <c r="B1796" s="46" t="str">
        <f>HYPERLINK("https://search.naver.com/search.naver?query=스윗 리틀 라이즈 영화", "스윗 리틀 라이즈")</f>
        <v>스윗 리틀 라이즈</v>
      </c>
      <c r="C1796" s="47">
        <v>6.4</v>
      </c>
      <c r="D1796" s="6" t="s">
        <v>1905</v>
      </c>
      <c r="E1796" s="5" t="s">
        <v>101</v>
      </c>
      <c r="F1796" s="5">
        <v>2010</v>
      </c>
      <c r="G1796" s="5" t="s">
        <v>12</v>
      </c>
      <c r="H1796" s="5" t="s">
        <v>68</v>
      </c>
      <c r="I1796" s="5" t="s">
        <v>111</v>
      </c>
      <c r="J1796" s="98" t="s">
        <v>3455</v>
      </c>
    </row>
    <row r="1797" spans="1:10" ht="28.9" customHeight="1" thickTop="1" thickBot="1" x14ac:dyDescent="0.65">
      <c r="A1797" s="3">
        <v>1795</v>
      </c>
      <c r="B1797" s="44" t="str">
        <f>HYPERLINK("https://search.naver.com/search.naver?query=스윗 프랑세즈 영화", "스윗 프랑세즈")</f>
        <v>스윗 프랑세즈</v>
      </c>
      <c r="C1797" s="45">
        <v>8.8699999999999992</v>
      </c>
      <c r="D1797" s="4" t="s">
        <v>1906</v>
      </c>
      <c r="E1797" s="3" t="s">
        <v>210</v>
      </c>
      <c r="F1797" s="3">
        <v>2014</v>
      </c>
      <c r="G1797" s="3" t="s">
        <v>12</v>
      </c>
      <c r="H1797" s="3" t="s">
        <v>68</v>
      </c>
      <c r="I1797" s="3" t="s">
        <v>111</v>
      </c>
      <c r="J1797" s="97" t="s">
        <v>3437</v>
      </c>
    </row>
    <row r="1798" spans="1:10" ht="28.9" customHeight="1" thickTop="1" thickBot="1" x14ac:dyDescent="0.65">
      <c r="A1798" s="5">
        <v>1796</v>
      </c>
      <c r="B1798" s="46" t="str">
        <f>HYPERLINK("https://search.naver.com/search.naver?query=스윙 보트 영화", "스윙 보트")</f>
        <v>스윙 보트</v>
      </c>
      <c r="C1798" s="47">
        <v>8.57</v>
      </c>
      <c r="D1798" s="6" t="s">
        <v>1907</v>
      </c>
      <c r="E1798" s="5" t="s">
        <v>20</v>
      </c>
      <c r="F1798" s="5">
        <v>2008</v>
      </c>
      <c r="G1798" s="5" t="s">
        <v>12</v>
      </c>
      <c r="H1798" s="5" t="s">
        <v>68</v>
      </c>
      <c r="I1798" s="5" t="s">
        <v>86</v>
      </c>
      <c r="J1798" s="98" t="s">
        <v>3450</v>
      </c>
    </row>
    <row r="1799" spans="1:10" ht="28.9" customHeight="1" thickTop="1" thickBot="1" x14ac:dyDescent="0.65">
      <c r="A1799" s="3">
        <v>1797</v>
      </c>
      <c r="B1799" s="44" t="str">
        <f>HYPERLINK("https://search.naver.com/search.naver?query=스윙키즈 영화", "스윙키즈")</f>
        <v>스윙키즈</v>
      </c>
      <c r="C1799" s="45">
        <v>8.93</v>
      </c>
      <c r="D1799" s="4" t="s">
        <v>1908</v>
      </c>
      <c r="E1799" s="3" t="s">
        <v>11</v>
      </c>
      <c r="F1799" s="3">
        <v>2018</v>
      </c>
      <c r="G1799" s="3" t="s">
        <v>12</v>
      </c>
      <c r="H1799" s="3" t="s">
        <v>17</v>
      </c>
      <c r="I1799" s="3" t="s">
        <v>83</v>
      </c>
      <c r="J1799" s="97" t="s">
        <v>3442</v>
      </c>
    </row>
    <row r="1800" spans="1:10" ht="28.9" customHeight="1" thickTop="1" thickBot="1" x14ac:dyDescent="0.65">
      <c r="A1800" s="5">
        <v>1798</v>
      </c>
      <c r="B1800" s="46" t="str">
        <f>HYPERLINK("https://search.naver.com/search.naver?query=스카이바운드 영화", "스카이바운드")</f>
        <v>스카이바운드</v>
      </c>
      <c r="C1800" s="47">
        <v>4.08</v>
      </c>
      <c r="D1800" s="6" t="s">
        <v>1909</v>
      </c>
      <c r="E1800" s="5" t="s">
        <v>101</v>
      </c>
      <c r="F1800" s="5">
        <v>2017</v>
      </c>
      <c r="G1800" s="5" t="s">
        <v>12</v>
      </c>
      <c r="H1800" s="5" t="s">
        <v>43</v>
      </c>
      <c r="I1800" s="5" t="s">
        <v>1910</v>
      </c>
      <c r="J1800" s="98" t="s">
        <v>3443</v>
      </c>
    </row>
    <row r="1801" spans="1:10" ht="28.9" customHeight="1" thickTop="1" thickBot="1" x14ac:dyDescent="0.65">
      <c r="A1801" s="3">
        <v>1799</v>
      </c>
      <c r="B1801" s="44" t="str">
        <f>HYPERLINK("https://search.naver.com/search.naver?query=스카이스크랩퍼 영화", "스카이스크랩퍼")</f>
        <v>스카이스크랩퍼</v>
      </c>
      <c r="C1801" s="45">
        <v>8.65</v>
      </c>
      <c r="D1801" s="4" t="s">
        <v>1911</v>
      </c>
      <c r="E1801" s="3" t="s">
        <v>20</v>
      </c>
      <c r="F1801" s="3">
        <v>2018</v>
      </c>
      <c r="G1801" s="3" t="s">
        <v>12</v>
      </c>
      <c r="H1801" s="3" t="s">
        <v>92</v>
      </c>
      <c r="I1801" s="3" t="s">
        <v>99</v>
      </c>
      <c r="J1801" s="97" t="s">
        <v>3442</v>
      </c>
    </row>
    <row r="1802" spans="1:10" ht="28.9" customHeight="1" thickTop="1" thickBot="1" x14ac:dyDescent="0.65">
      <c r="A1802" s="5">
        <v>1800</v>
      </c>
      <c r="B1802" s="46" t="str">
        <f>HYPERLINK("https://search.naver.com/search.naver?query=스케이터 걸 영화", "스케이터 걸")</f>
        <v>스케이터 걸</v>
      </c>
      <c r="C1802" s="47">
        <v>6</v>
      </c>
      <c r="D1802" s="6" t="s">
        <v>1912</v>
      </c>
      <c r="E1802" s="5" t="s">
        <v>361</v>
      </c>
      <c r="F1802" s="5">
        <v>2021</v>
      </c>
      <c r="G1802" s="5" t="s">
        <v>12</v>
      </c>
      <c r="H1802" s="5" t="s">
        <v>17</v>
      </c>
      <c r="I1802" s="5" t="s">
        <v>137</v>
      </c>
      <c r="J1802" s="98" t="s">
        <v>3438</v>
      </c>
    </row>
    <row r="1803" spans="1:10" ht="28.9" customHeight="1" thickTop="1" thickBot="1" x14ac:dyDescent="0.65">
      <c r="A1803" s="3">
        <v>1801</v>
      </c>
      <c r="B1803" s="44" t="str">
        <f>HYPERLINK("https://search.naver.com/search.naver?query=스코어 투 셔틀 영화", "스코어 투 셔틀")</f>
        <v>스코어 투 셔틀</v>
      </c>
      <c r="C1803" s="45">
        <v>6.4</v>
      </c>
      <c r="D1803" s="4" t="s">
        <v>1913</v>
      </c>
      <c r="E1803" s="3" t="s">
        <v>20</v>
      </c>
      <c r="F1803" s="3">
        <v>2019</v>
      </c>
      <c r="G1803" s="3" t="s">
        <v>12</v>
      </c>
      <c r="H1803" s="3" t="s">
        <v>92</v>
      </c>
      <c r="I1803" s="3" t="s">
        <v>170</v>
      </c>
      <c r="J1803" s="97" t="s">
        <v>3444</v>
      </c>
    </row>
    <row r="1804" spans="1:10" ht="28.9" customHeight="1" thickTop="1" thickBot="1" x14ac:dyDescent="0.65">
      <c r="A1804" s="5">
        <v>1802</v>
      </c>
      <c r="B1804" s="46" t="str">
        <f>HYPERLINK("https://search.naver.com/search.naver?query=스쿠프 영화", "스쿠프")</f>
        <v>스쿠프</v>
      </c>
      <c r="C1804" s="47">
        <v>7.6</v>
      </c>
      <c r="D1804" s="6" t="s">
        <v>1914</v>
      </c>
      <c r="E1804" s="5" t="s">
        <v>24</v>
      </c>
      <c r="F1804" s="5">
        <v>2006</v>
      </c>
      <c r="G1804" s="5" t="s">
        <v>12</v>
      </c>
      <c r="H1804" s="5" t="s">
        <v>43</v>
      </c>
      <c r="I1804" s="5" t="s">
        <v>61</v>
      </c>
      <c r="J1804" s="98" t="s">
        <v>3460</v>
      </c>
    </row>
    <row r="1805" spans="1:10" ht="28.9" customHeight="1" thickTop="1" thickBot="1" x14ac:dyDescent="0.65">
      <c r="A1805" s="3">
        <v>1803</v>
      </c>
      <c r="B1805" s="44" t="str">
        <f>HYPERLINK("https://search.naver.com/search.naver?query=스쿨 오브 락 영화", "스쿨 오브 락")</f>
        <v>스쿨 오브 락</v>
      </c>
      <c r="C1805" s="45">
        <v>9.2100000000000009</v>
      </c>
      <c r="D1805" s="4" t="s">
        <v>1915</v>
      </c>
      <c r="E1805" s="3" t="s">
        <v>20</v>
      </c>
      <c r="F1805" s="3">
        <v>2003</v>
      </c>
      <c r="G1805" s="3" t="s">
        <v>12</v>
      </c>
      <c r="H1805" s="3" t="s">
        <v>68</v>
      </c>
      <c r="I1805" s="3" t="s">
        <v>31</v>
      </c>
      <c r="J1805" s="97" t="s">
        <v>3449</v>
      </c>
    </row>
    <row r="1806" spans="1:10" ht="28.9" customHeight="1" thickTop="1" thickBot="1" x14ac:dyDescent="0.65">
      <c r="A1806" s="5">
        <v>1804</v>
      </c>
      <c r="B1806" s="46" t="str">
        <f>HYPERLINK("https://search.naver.com/search.naver?query=스크림 영화", "스크림")</f>
        <v>스크림</v>
      </c>
      <c r="C1806" s="47">
        <v>6.12</v>
      </c>
      <c r="D1806" s="6" t="s">
        <v>1916</v>
      </c>
      <c r="E1806" s="5" t="s">
        <v>20</v>
      </c>
      <c r="F1806" s="5">
        <v>2022</v>
      </c>
      <c r="G1806" s="5" t="s">
        <v>12</v>
      </c>
      <c r="H1806" s="5" t="s">
        <v>252</v>
      </c>
      <c r="I1806" s="5" t="s">
        <v>207</v>
      </c>
      <c r="J1806" s="98" t="s">
        <v>3445</v>
      </c>
    </row>
    <row r="1807" spans="1:10" ht="28.9" customHeight="1" thickTop="1" thickBot="1" x14ac:dyDescent="0.65">
      <c r="A1807" s="3">
        <v>1805</v>
      </c>
      <c r="B1807" s="44" t="str">
        <f>HYPERLINK("https://search.naver.com/search.naver?query=스킵트레이스 합동수사 영화", "스킵트레이스 - 합동수사")</f>
        <v>스킵트레이스 - 합동수사</v>
      </c>
      <c r="C1807" s="45">
        <v>8.41</v>
      </c>
      <c r="D1807" s="4" t="s">
        <v>1917</v>
      </c>
      <c r="E1807" s="3" t="s">
        <v>136</v>
      </c>
      <c r="F1807" s="3">
        <v>2016</v>
      </c>
      <c r="G1807" s="3" t="s">
        <v>12</v>
      </c>
      <c r="H1807" s="3" t="s">
        <v>92</v>
      </c>
      <c r="I1807" s="3" t="s">
        <v>75</v>
      </c>
      <c r="J1807" s="97" t="s">
        <v>3441</v>
      </c>
    </row>
    <row r="1808" spans="1:10" ht="28.9" customHeight="1" thickTop="1" thickBot="1" x14ac:dyDescent="0.65">
      <c r="A1808" s="5">
        <v>1806</v>
      </c>
      <c r="B1808" s="46" t="str">
        <f>HYPERLINK("https://search.naver.com/search.naver?query=스타 이즈 본 영화", "스타 이즈 본")</f>
        <v>스타 이즈 본</v>
      </c>
      <c r="C1808" s="47">
        <v>9.11</v>
      </c>
      <c r="D1808" s="6" t="s">
        <v>1918</v>
      </c>
      <c r="E1808" s="5" t="s">
        <v>20</v>
      </c>
      <c r="F1808" s="5">
        <v>2018</v>
      </c>
      <c r="G1808" s="5" t="s">
        <v>12</v>
      </c>
      <c r="H1808" s="5" t="s">
        <v>17</v>
      </c>
      <c r="I1808" s="5" t="s">
        <v>41</v>
      </c>
      <c r="J1808" s="98" t="s">
        <v>3442</v>
      </c>
    </row>
    <row r="1809" spans="1:10" ht="28.9" customHeight="1" thickTop="1" thickBot="1" x14ac:dyDescent="0.65">
      <c r="A1809" s="3">
        <v>1807</v>
      </c>
      <c r="B1809" s="44" t="str">
        <f>HYPERLINK("https://search.naver.com/search.naver?query=스타렛 영화", "스타렛")</f>
        <v>스타렛</v>
      </c>
      <c r="C1809" s="45">
        <v>8.2899999999999991</v>
      </c>
      <c r="D1809" s="4" t="s">
        <v>1919</v>
      </c>
      <c r="E1809" s="3" t="s">
        <v>20</v>
      </c>
      <c r="F1809" s="3">
        <v>2012</v>
      </c>
      <c r="G1809" s="3" t="s">
        <v>12</v>
      </c>
      <c r="H1809" s="3" t="s">
        <v>17</v>
      </c>
      <c r="I1809" s="3" t="s">
        <v>190</v>
      </c>
      <c r="J1809" s="97" t="s">
        <v>3439</v>
      </c>
    </row>
    <row r="1810" spans="1:10" ht="28.9" customHeight="1" thickTop="1" thickBot="1" x14ac:dyDescent="0.65">
      <c r="A1810" s="5">
        <v>1808</v>
      </c>
      <c r="B1810" s="46" t="str">
        <f>HYPERLINK("https://search.naver.com/search.naver?query=스타워즈 깨어난 포스 영화", "스타워즈 깨어난 포스")</f>
        <v>스타워즈 깨어난 포스</v>
      </c>
      <c r="C1810" s="47">
        <v>8.2100000000000009</v>
      </c>
      <c r="D1810" s="6" t="s">
        <v>1920</v>
      </c>
      <c r="E1810" s="5" t="s">
        <v>20</v>
      </c>
      <c r="F1810" s="5">
        <v>2015</v>
      </c>
      <c r="G1810" s="5" t="s">
        <v>12</v>
      </c>
      <c r="H1810" s="5" t="s">
        <v>520</v>
      </c>
      <c r="I1810" s="5" t="s">
        <v>619</v>
      </c>
      <c r="J1810" s="98" t="s">
        <v>3440</v>
      </c>
    </row>
    <row r="1811" spans="1:10" ht="28.9" customHeight="1" thickTop="1" thickBot="1" x14ac:dyDescent="0.65">
      <c r="A1811" s="3">
        <v>1809</v>
      </c>
      <c r="B1811" s="44" t="str">
        <f>HYPERLINK("https://search.naver.com/search.naver?query=스탠딩 업 영화", "스탠딩 업")</f>
        <v>스탠딩 업</v>
      </c>
      <c r="C1811" s="45">
        <v>8.58</v>
      </c>
      <c r="D1811" s="4" t="s">
        <v>1921</v>
      </c>
      <c r="E1811" s="3" t="s">
        <v>20</v>
      </c>
      <c r="F1811" s="3">
        <v>2013</v>
      </c>
      <c r="G1811" s="3" t="s">
        <v>12</v>
      </c>
      <c r="H1811" s="3" t="s">
        <v>17</v>
      </c>
      <c r="I1811" s="3" t="s">
        <v>115</v>
      </c>
      <c r="J1811" s="97" t="s">
        <v>3451</v>
      </c>
    </row>
    <row r="1812" spans="1:10" ht="28.9" customHeight="1" thickTop="1" thickBot="1" x14ac:dyDescent="0.65">
      <c r="A1812" s="5">
        <v>1810</v>
      </c>
      <c r="B1812" s="46" t="str">
        <f>HYPERLINK("https://search.naver.com/search.naver?query=스탠리의 도시락 영화", "스탠리의 도시락")</f>
        <v>스탠리의 도시락</v>
      </c>
      <c r="C1812" s="47">
        <v>8.2799999999999994</v>
      </c>
      <c r="D1812" s="6" t="s">
        <v>1922</v>
      </c>
      <c r="E1812" s="5" t="s">
        <v>361</v>
      </c>
      <c r="F1812" s="5">
        <v>2011</v>
      </c>
      <c r="G1812" s="5" t="s">
        <v>12</v>
      </c>
      <c r="H1812" s="5" t="s">
        <v>17</v>
      </c>
      <c r="I1812" s="5" t="s">
        <v>111</v>
      </c>
      <c r="J1812" s="98" t="s">
        <v>3454</v>
      </c>
    </row>
    <row r="1813" spans="1:10" ht="28.9" customHeight="1" thickTop="1" thickBot="1" x14ac:dyDescent="0.65">
      <c r="A1813" s="3">
        <v>1811</v>
      </c>
      <c r="B1813" s="44" t="str">
        <f>HYPERLINK("https://search.naver.com/search.naver?query=스턱 인 러브 영화", "스턱 인 러브")</f>
        <v>스턱 인 러브</v>
      </c>
      <c r="C1813" s="45">
        <v>7.3</v>
      </c>
      <c r="D1813" s="4" t="s">
        <v>1923</v>
      </c>
      <c r="E1813" s="3" t="s">
        <v>20</v>
      </c>
      <c r="F1813" s="3">
        <v>2012</v>
      </c>
      <c r="G1813" s="3" t="s">
        <v>12</v>
      </c>
      <c r="H1813" s="3" t="s">
        <v>68</v>
      </c>
      <c r="I1813" s="3" t="s">
        <v>124</v>
      </c>
      <c r="J1813" s="97" t="s">
        <v>3439</v>
      </c>
    </row>
    <row r="1814" spans="1:10" ht="28.9" customHeight="1" thickTop="1" thickBot="1" x14ac:dyDescent="0.65">
      <c r="A1814" s="5">
        <v>1812</v>
      </c>
      <c r="B1814" s="46" t="str">
        <f>HYPERLINK("https://search.naver.com/search.naver?query=스테이션 7 영화", "스테이션 7")</f>
        <v>스테이션 7</v>
      </c>
      <c r="C1814" s="47">
        <v>9.16</v>
      </c>
      <c r="D1814" s="6" t="s">
        <v>1924</v>
      </c>
      <c r="E1814" s="5" t="s">
        <v>101</v>
      </c>
      <c r="F1814" s="5">
        <v>2017</v>
      </c>
      <c r="G1814" s="5" t="s">
        <v>12</v>
      </c>
      <c r="H1814" s="5" t="s">
        <v>43</v>
      </c>
      <c r="I1814" s="5" t="s">
        <v>111</v>
      </c>
      <c r="J1814" s="98" t="s">
        <v>3443</v>
      </c>
    </row>
    <row r="1815" spans="1:10" ht="28.9" customHeight="1" thickTop="1" thickBot="1" x14ac:dyDescent="0.65">
      <c r="A1815" s="3">
        <v>1813</v>
      </c>
      <c r="B1815" s="44" t="str">
        <f>HYPERLINK("https://search.naver.com/search.naver?query=스테이트 오브 플레이 영화", "스테이트 오브 플레이")</f>
        <v>스테이트 오브 플레이</v>
      </c>
      <c r="C1815" s="45">
        <v>7.64</v>
      </c>
      <c r="D1815" s="4" t="s">
        <v>1925</v>
      </c>
      <c r="E1815" s="3" t="s">
        <v>20</v>
      </c>
      <c r="F1815" s="3">
        <v>2009</v>
      </c>
      <c r="G1815" s="3" t="s">
        <v>12</v>
      </c>
      <c r="H1815" s="3" t="s">
        <v>43</v>
      </c>
      <c r="I1815" s="3" t="s">
        <v>150</v>
      </c>
      <c r="J1815" s="97" t="s">
        <v>3453</v>
      </c>
    </row>
    <row r="1816" spans="1:10" ht="28.9" customHeight="1" thickTop="1" thickBot="1" x14ac:dyDescent="0.65">
      <c r="A1816" s="5">
        <v>1814</v>
      </c>
      <c r="B1816" s="46" t="str">
        <f>HYPERLINK("https://search.naver.com/search.naver?query=스텔라 영화", "스텔라")</f>
        <v>스텔라</v>
      </c>
      <c r="C1816" s="47">
        <v>3.32</v>
      </c>
      <c r="D1816" s="6" t="s">
        <v>1926</v>
      </c>
      <c r="E1816" s="5" t="s">
        <v>101</v>
      </c>
      <c r="F1816" s="5">
        <v>2023</v>
      </c>
      <c r="G1816" s="5" t="s">
        <v>12</v>
      </c>
      <c r="H1816" s="5" t="s">
        <v>17</v>
      </c>
      <c r="I1816" s="5" t="s">
        <v>47</v>
      </c>
      <c r="J1816" s="98" t="s">
        <v>3446</v>
      </c>
    </row>
    <row r="1817" spans="1:10" ht="28.9" customHeight="1" thickTop="1" thickBot="1" x14ac:dyDescent="0.65">
      <c r="A1817" s="3">
        <v>1815</v>
      </c>
      <c r="B1817" s="44" t="str">
        <f>HYPERLINK("https://search.naver.com/search.naver?query=스텝 업 영화", "스텝 업")</f>
        <v>스텝 업</v>
      </c>
      <c r="C1817" s="45">
        <v>3.83</v>
      </c>
      <c r="D1817" s="4" t="s">
        <v>1927</v>
      </c>
      <c r="E1817" s="3" t="s">
        <v>20</v>
      </c>
      <c r="F1817" s="3">
        <v>2006</v>
      </c>
      <c r="G1817" s="3" t="s">
        <v>12</v>
      </c>
      <c r="H1817" s="3" t="s">
        <v>17</v>
      </c>
      <c r="I1817" s="3" t="s">
        <v>170</v>
      </c>
      <c r="J1817" s="97" t="s">
        <v>3460</v>
      </c>
    </row>
    <row r="1818" spans="1:10" ht="28.9" customHeight="1" thickTop="1" thickBot="1" x14ac:dyDescent="0.65">
      <c r="A1818" s="5">
        <v>1816</v>
      </c>
      <c r="B1818" s="46" t="str">
        <f>HYPERLINK("https://search.naver.com/search.naver?query=스텝 업 3 영화", "스텝 업 3")</f>
        <v>스텝 업 3</v>
      </c>
      <c r="C1818" s="47">
        <v>9.14</v>
      </c>
      <c r="D1818" s="6" t="s">
        <v>1928</v>
      </c>
      <c r="E1818" s="5" t="s">
        <v>20</v>
      </c>
      <c r="F1818" s="5">
        <v>2010</v>
      </c>
      <c r="G1818" s="5" t="s">
        <v>12</v>
      </c>
      <c r="H1818" s="5" t="s">
        <v>17</v>
      </c>
      <c r="I1818" s="5" t="s">
        <v>75</v>
      </c>
      <c r="J1818" s="98" t="s">
        <v>3455</v>
      </c>
    </row>
    <row r="1819" spans="1:10" ht="28.9" customHeight="1" thickTop="1" thickBot="1" x14ac:dyDescent="0.65">
      <c r="A1819" s="3">
        <v>1817</v>
      </c>
      <c r="B1819" s="44" t="str">
        <f>HYPERLINK("https://search.naver.com/search.naver?query=스텝업 올인 영화", "스텝업 - 올인")</f>
        <v>스텝업 - 올인</v>
      </c>
      <c r="C1819" s="45">
        <v>8.3000000000000007</v>
      </c>
      <c r="D1819" s="4" t="s">
        <v>1929</v>
      </c>
      <c r="E1819" s="3" t="s">
        <v>20</v>
      </c>
      <c r="F1819" s="3">
        <v>2014</v>
      </c>
      <c r="G1819" s="3" t="s">
        <v>12</v>
      </c>
      <c r="H1819" s="3" t="s">
        <v>17</v>
      </c>
      <c r="I1819" s="3" t="s">
        <v>278</v>
      </c>
      <c r="J1819" s="97" t="s">
        <v>3437</v>
      </c>
    </row>
    <row r="1820" spans="1:10" ht="28.9" customHeight="1" thickTop="1" thickBot="1" x14ac:dyDescent="0.65">
      <c r="A1820" s="5">
        <v>1818</v>
      </c>
      <c r="B1820" s="46" t="str">
        <f>HYPERLINK("https://search.naver.com/search.naver?query=스텝업4 레볼루션 영화", "스텝업4 - 레볼루션")</f>
        <v>스텝업4 - 레볼루션</v>
      </c>
      <c r="C1820" s="47">
        <v>8.7899999999999991</v>
      </c>
      <c r="D1820" s="6" t="s">
        <v>1930</v>
      </c>
      <c r="E1820" s="5" t="s">
        <v>20</v>
      </c>
      <c r="F1820" s="5">
        <v>2012</v>
      </c>
      <c r="G1820" s="5" t="s">
        <v>12</v>
      </c>
      <c r="H1820" s="5" t="s">
        <v>17</v>
      </c>
      <c r="I1820" s="5" t="s">
        <v>81</v>
      </c>
      <c r="J1820" s="98" t="s">
        <v>3439</v>
      </c>
    </row>
    <row r="1821" spans="1:10" ht="28.9" customHeight="1" thickTop="1" thickBot="1" x14ac:dyDescent="0.65">
      <c r="A1821" s="3">
        <v>1819</v>
      </c>
      <c r="B1821" s="44" t="str">
        <f>HYPERLINK("https://search.naver.com/search.naver?query=스토커 영화", "스토커")</f>
        <v>스토커</v>
      </c>
      <c r="C1821" s="45">
        <v>7.6</v>
      </c>
      <c r="D1821" s="4" t="s">
        <v>1931</v>
      </c>
      <c r="E1821" s="3" t="s">
        <v>20</v>
      </c>
      <c r="F1821" s="3">
        <v>2013</v>
      </c>
      <c r="G1821" s="3" t="s">
        <v>12</v>
      </c>
      <c r="H1821" s="3" t="s">
        <v>43</v>
      </c>
      <c r="I1821" s="3" t="s">
        <v>81</v>
      </c>
      <c r="J1821" s="97" t="s">
        <v>3451</v>
      </c>
    </row>
    <row r="1822" spans="1:10" ht="28.9" customHeight="1" thickTop="1" thickBot="1" x14ac:dyDescent="0.65">
      <c r="A1822" s="5">
        <v>1820</v>
      </c>
      <c r="B1822" s="46" t="str">
        <f>HYPERLINK("https://search.naver.com/search.naver?query=스톡홀름 영화", "스톡홀름")</f>
        <v>스톡홀름</v>
      </c>
      <c r="C1822" s="47"/>
      <c r="D1822" s="6" t="s">
        <v>1932</v>
      </c>
      <c r="E1822" s="5" t="s">
        <v>20</v>
      </c>
      <c r="F1822" s="5">
        <v>2018</v>
      </c>
      <c r="G1822" s="5" t="s">
        <v>12</v>
      </c>
      <c r="H1822" s="5" t="s">
        <v>68</v>
      </c>
      <c r="I1822" s="5" t="s">
        <v>147</v>
      </c>
      <c r="J1822" s="98" t="s">
        <v>3442</v>
      </c>
    </row>
    <row r="1823" spans="1:10" ht="28.9" customHeight="1" thickTop="1" thickBot="1" x14ac:dyDescent="0.65">
      <c r="A1823" s="3">
        <v>1821</v>
      </c>
      <c r="B1823" s="44" t="str">
        <f>HYPERLINK("https://search.naver.com/search.naver?query=스톤 영화", "스톤")</f>
        <v>스톤</v>
      </c>
      <c r="C1823" s="45">
        <v>6.92</v>
      </c>
      <c r="D1823" s="4" t="s">
        <v>1933</v>
      </c>
      <c r="E1823" s="3" t="s">
        <v>20</v>
      </c>
      <c r="F1823" s="3">
        <v>2010</v>
      </c>
      <c r="G1823" s="3" t="s">
        <v>12</v>
      </c>
      <c r="H1823" s="3" t="s">
        <v>17</v>
      </c>
      <c r="I1823" s="3" t="s">
        <v>128</v>
      </c>
      <c r="J1823" s="97" t="s">
        <v>3455</v>
      </c>
    </row>
    <row r="1824" spans="1:10" ht="28.9" customHeight="1" thickTop="1" thickBot="1" x14ac:dyDescent="0.65">
      <c r="A1824" s="5">
        <v>1822</v>
      </c>
      <c r="B1824" s="46" t="str">
        <f>HYPERLINK("https://search.naver.com/search.naver?query=스톤 영화", "스톤")</f>
        <v>스톤</v>
      </c>
      <c r="C1824" s="47">
        <v>6.92</v>
      </c>
      <c r="D1824" s="6" t="s">
        <v>1933</v>
      </c>
      <c r="E1824" s="5" t="s">
        <v>16</v>
      </c>
      <c r="F1824" s="5">
        <v>2013</v>
      </c>
      <c r="G1824" s="5" t="s">
        <v>12</v>
      </c>
      <c r="H1824" s="5" t="s">
        <v>17</v>
      </c>
      <c r="I1824" s="5" t="s">
        <v>111</v>
      </c>
      <c r="J1824" s="98" t="s">
        <v>3451</v>
      </c>
    </row>
    <row r="1825" spans="1:10" ht="28.9" customHeight="1" thickTop="1" thickBot="1" x14ac:dyDescent="0.65">
      <c r="A1825" s="3">
        <v>1823</v>
      </c>
      <c r="B1825" s="44" t="str">
        <f>HYPERLINK("https://search.naver.com/search.naver?query=스톨런 영화", "스톨런")</f>
        <v>스톨런</v>
      </c>
      <c r="C1825" s="45">
        <v>6</v>
      </c>
      <c r="D1825" s="4" t="s">
        <v>1934</v>
      </c>
      <c r="E1825" s="3" t="s">
        <v>20</v>
      </c>
      <c r="F1825" s="3">
        <v>2012</v>
      </c>
      <c r="G1825" s="3" t="s">
        <v>12</v>
      </c>
      <c r="H1825" s="3" t="s">
        <v>92</v>
      </c>
      <c r="I1825" s="3" t="s">
        <v>61</v>
      </c>
      <c r="J1825" s="97" t="s">
        <v>3439</v>
      </c>
    </row>
    <row r="1826" spans="1:10" ht="28.9" customHeight="1" thickTop="1" thickBot="1" x14ac:dyDescent="0.65">
      <c r="A1826" s="5">
        <v>1824</v>
      </c>
      <c r="B1826" s="46" t="str">
        <f>HYPERLINK("https://search.naver.com/search.naver?query=스톰 보이 영화", "스톰 보이")</f>
        <v>스톰 보이</v>
      </c>
      <c r="C1826" s="47">
        <v>7.14</v>
      </c>
      <c r="D1826" s="6" t="s">
        <v>1935</v>
      </c>
      <c r="E1826" s="5" t="s">
        <v>36</v>
      </c>
      <c r="F1826" s="5">
        <v>2019</v>
      </c>
      <c r="G1826" s="5" t="s">
        <v>12</v>
      </c>
      <c r="H1826" s="5" t="s">
        <v>17</v>
      </c>
      <c r="I1826" s="5" t="s">
        <v>81</v>
      </c>
      <c r="J1826" s="98" t="s">
        <v>3444</v>
      </c>
    </row>
    <row r="1827" spans="1:10" ht="28.9" customHeight="1" thickTop="1" thickBot="1" x14ac:dyDescent="0.65">
      <c r="A1827" s="3">
        <v>1825</v>
      </c>
      <c r="B1827" s="44" t="str">
        <f>HYPERLINK("https://search.naver.com/search.naver?query=스톱로스 영화", "스톱로스")</f>
        <v>스톱로스</v>
      </c>
      <c r="C1827" s="45"/>
      <c r="D1827" s="4" t="s">
        <v>1936</v>
      </c>
      <c r="E1827" s="3" t="s">
        <v>20</v>
      </c>
      <c r="F1827" s="3">
        <v>2008</v>
      </c>
      <c r="G1827" s="3" t="s">
        <v>12</v>
      </c>
      <c r="H1827" s="3" t="s">
        <v>17</v>
      </c>
      <c r="I1827" s="3" t="s">
        <v>278</v>
      </c>
      <c r="J1827" s="97" t="s">
        <v>3450</v>
      </c>
    </row>
    <row r="1828" spans="1:10" ht="28.9" customHeight="1" thickTop="1" thickBot="1" x14ac:dyDescent="0.65">
      <c r="A1828" s="5">
        <v>1826</v>
      </c>
      <c r="B1828" s="46" t="str">
        <f>HYPERLINK("https://search.naver.com/search.naver?query=스트라튼 영화", "스트라튼")</f>
        <v>스트라튼</v>
      </c>
      <c r="C1828" s="47"/>
      <c r="D1828" s="6" t="s">
        <v>1937</v>
      </c>
      <c r="E1828" s="5" t="s">
        <v>24</v>
      </c>
      <c r="F1828" s="5">
        <v>2017</v>
      </c>
      <c r="G1828" s="5" t="s">
        <v>12</v>
      </c>
      <c r="H1828" s="5" t="s">
        <v>92</v>
      </c>
      <c r="I1828" s="5" t="s">
        <v>300</v>
      </c>
      <c r="J1828" s="98" t="s">
        <v>3443</v>
      </c>
    </row>
    <row r="1829" spans="1:10" ht="28.9" customHeight="1" thickTop="1" thickBot="1" x14ac:dyDescent="0.65">
      <c r="A1829" s="3">
        <v>1827</v>
      </c>
      <c r="B1829" s="44" t="str">
        <f>HYPERLINK("https://search.naver.com/search.naver?query=스트레인저랜드 영화", "스트레인저랜드")</f>
        <v>스트레인저랜드</v>
      </c>
      <c r="C1829" s="45">
        <v>5.48</v>
      </c>
      <c r="D1829" s="4" t="s">
        <v>1938</v>
      </c>
      <c r="E1829" s="3" t="s">
        <v>36</v>
      </c>
      <c r="F1829" s="3">
        <v>2015</v>
      </c>
      <c r="G1829" s="3" t="s">
        <v>12</v>
      </c>
      <c r="H1829" s="3" t="s">
        <v>17</v>
      </c>
      <c r="I1829" s="3" t="s">
        <v>278</v>
      </c>
      <c r="J1829" s="97" t="s">
        <v>3440</v>
      </c>
    </row>
    <row r="1830" spans="1:10" ht="28.9" customHeight="1" thickTop="1" thickBot="1" x14ac:dyDescent="0.65">
      <c r="A1830" s="5">
        <v>1828</v>
      </c>
      <c r="B1830" s="46" t="str">
        <f>HYPERLINK("https://search.naver.com/search.naver?query=스트로베리 나이트 극장판 영화", "스트로베리 나이트 극장판")</f>
        <v>스트로베리 나이트 극장판</v>
      </c>
      <c r="C1830" s="47">
        <v>6.4</v>
      </c>
      <c r="D1830" s="6" t="s">
        <v>1939</v>
      </c>
      <c r="E1830" s="5" t="s">
        <v>16</v>
      </c>
      <c r="F1830" s="5">
        <v>2013</v>
      </c>
      <c r="G1830" s="5" t="s">
        <v>12</v>
      </c>
      <c r="H1830" s="5" t="s">
        <v>277</v>
      </c>
      <c r="I1830" s="5" t="s">
        <v>142</v>
      </c>
      <c r="J1830" s="98" t="s">
        <v>3451</v>
      </c>
    </row>
    <row r="1831" spans="1:10" ht="28.9" customHeight="1" thickTop="1" thickBot="1" x14ac:dyDescent="0.65">
      <c r="A1831" s="3">
        <v>1829</v>
      </c>
      <c r="B1831" s="44" t="str">
        <f>HYPERLINK("https://search.naver.com/search.naver?query=스트롱거 영화", "스트롱거")</f>
        <v>스트롱거</v>
      </c>
      <c r="C1831" s="45">
        <v>8.6300000000000008</v>
      </c>
      <c r="D1831" s="4" t="s">
        <v>1940</v>
      </c>
      <c r="E1831" s="3" t="s">
        <v>20</v>
      </c>
      <c r="F1831" s="3">
        <v>2017</v>
      </c>
      <c r="G1831" s="3" t="s">
        <v>12</v>
      </c>
      <c r="H1831" s="3" t="s">
        <v>17</v>
      </c>
      <c r="I1831" s="3" t="s">
        <v>53</v>
      </c>
      <c r="J1831" s="97" t="s">
        <v>3443</v>
      </c>
    </row>
    <row r="1832" spans="1:10" ht="28.9" customHeight="1" thickTop="1" thickBot="1" x14ac:dyDescent="0.65">
      <c r="A1832" s="5">
        <v>1830</v>
      </c>
      <c r="B1832" s="46" t="str">
        <f>HYPERLINK("https://search.naver.com/search.naver?query=스티브 잡스 영화", "스티브 잡스")</f>
        <v>스티브 잡스</v>
      </c>
      <c r="C1832" s="47">
        <v>7.81</v>
      </c>
      <c r="D1832" s="6" t="s">
        <v>1941</v>
      </c>
      <c r="E1832" s="5" t="s">
        <v>20</v>
      </c>
      <c r="F1832" s="5">
        <v>2015</v>
      </c>
      <c r="G1832" s="5" t="s">
        <v>12</v>
      </c>
      <c r="H1832" s="5" t="s">
        <v>17</v>
      </c>
      <c r="I1832" s="5" t="s">
        <v>105</v>
      </c>
      <c r="J1832" s="98" t="s">
        <v>3440</v>
      </c>
    </row>
    <row r="1833" spans="1:10" ht="28.9" customHeight="1" thickTop="1" thickBot="1" x14ac:dyDescent="0.65">
      <c r="A1833" s="3">
        <v>1831</v>
      </c>
      <c r="B1833" s="44" t="str">
        <f>HYPERLINK("https://search.naver.com/search.naver?query=스티브 잡스 미래를 읽는 천재 영화", "스티브 잡스 미래를 읽는 천재")</f>
        <v>스티브 잡스 미래를 읽는 천재</v>
      </c>
      <c r="C1833" s="45"/>
      <c r="D1833" s="4" t="s">
        <v>1942</v>
      </c>
      <c r="E1833" s="3" t="s">
        <v>20</v>
      </c>
      <c r="F1833" s="3">
        <v>2015</v>
      </c>
      <c r="G1833" s="3" t="s">
        <v>12</v>
      </c>
      <c r="H1833" s="3" t="s">
        <v>160</v>
      </c>
      <c r="I1833" s="3" t="s">
        <v>108</v>
      </c>
      <c r="J1833" s="97" t="s">
        <v>3440</v>
      </c>
    </row>
    <row r="1834" spans="1:10" ht="28.9" customHeight="1" thickTop="1" thickBot="1" x14ac:dyDescent="0.65">
      <c r="A1834" s="5">
        <v>1832</v>
      </c>
      <c r="B1834" s="46" t="str">
        <f>HYPERLINK("https://search.naver.com/search.naver?query=스티븐 시걸의 제네럴 커맨더 영화", "스티븐 시걸의 제네럴 커맨더")</f>
        <v>스티븐 시걸의 제네럴 커맨더</v>
      </c>
      <c r="C1834" s="47"/>
      <c r="D1834" s="6" t="s">
        <v>1943</v>
      </c>
      <c r="E1834" s="5" t="s">
        <v>20</v>
      </c>
      <c r="F1834" s="5">
        <v>2019</v>
      </c>
      <c r="G1834" s="5" t="s">
        <v>12</v>
      </c>
      <c r="H1834" s="5" t="s">
        <v>92</v>
      </c>
      <c r="I1834" s="5" t="s">
        <v>231</v>
      </c>
      <c r="J1834" s="98" t="s">
        <v>3444</v>
      </c>
    </row>
    <row r="1835" spans="1:10" ht="28.9" customHeight="1" thickTop="1" thickBot="1" x14ac:dyDescent="0.65">
      <c r="A1835" s="3">
        <v>1833</v>
      </c>
      <c r="B1835" s="44" t="str">
        <f>HYPERLINK("https://search.naver.com/search.naver?query=스틸 영화", "스틸")</f>
        <v>스틸</v>
      </c>
      <c r="C1835" s="45">
        <v>7.54</v>
      </c>
      <c r="D1835" s="4" t="s">
        <v>1944</v>
      </c>
      <c r="E1835" s="3" t="s">
        <v>20</v>
      </c>
      <c r="F1835" s="3">
        <v>2012</v>
      </c>
      <c r="G1835" s="3" t="s">
        <v>12</v>
      </c>
      <c r="H1835" s="3" t="s">
        <v>92</v>
      </c>
      <c r="I1835" s="3" t="s">
        <v>111</v>
      </c>
      <c r="J1835" s="97" t="s">
        <v>3439</v>
      </c>
    </row>
    <row r="1836" spans="1:10" ht="28.9" customHeight="1" thickTop="1" thickBot="1" x14ac:dyDescent="0.65">
      <c r="A1836" s="5">
        <v>1834</v>
      </c>
      <c r="B1836" s="46" t="str">
        <f>HYPERLINK("https://search.naver.com/search.naver?query=스틸 라이프 영화", "스틸 라이프")</f>
        <v>스틸 라이프</v>
      </c>
      <c r="C1836" s="47">
        <v>8.4700000000000006</v>
      </c>
      <c r="D1836" s="6" t="s">
        <v>1945</v>
      </c>
      <c r="E1836" s="5" t="s">
        <v>24</v>
      </c>
      <c r="F1836" s="5">
        <v>2013</v>
      </c>
      <c r="G1836" s="5" t="s">
        <v>12</v>
      </c>
      <c r="H1836" s="5" t="s">
        <v>17</v>
      </c>
      <c r="I1836" s="5" t="s">
        <v>625</v>
      </c>
      <c r="J1836" s="98" t="s">
        <v>3451</v>
      </c>
    </row>
    <row r="1837" spans="1:10" ht="28.9" customHeight="1" thickTop="1" thickBot="1" x14ac:dyDescent="0.65">
      <c r="A1837" s="3">
        <v>1835</v>
      </c>
      <c r="B1837" s="44" t="str">
        <f>HYPERLINK("https://search.naver.com/search.naver?query=스틸 앨리스 영화", "스틸 앨리스")</f>
        <v>스틸 앨리스</v>
      </c>
      <c r="C1837" s="45">
        <v>8.43</v>
      </c>
      <c r="D1837" s="4" t="s">
        <v>1946</v>
      </c>
      <c r="E1837" s="3" t="s">
        <v>20</v>
      </c>
      <c r="F1837" s="3">
        <v>2014</v>
      </c>
      <c r="G1837" s="3" t="s">
        <v>12</v>
      </c>
      <c r="H1837" s="3" t="s">
        <v>17</v>
      </c>
      <c r="I1837" s="3" t="s">
        <v>70</v>
      </c>
      <c r="J1837" s="97" t="s">
        <v>3437</v>
      </c>
    </row>
    <row r="1838" spans="1:10" ht="28.9" customHeight="1" thickTop="1" thickBot="1" x14ac:dyDescent="0.65">
      <c r="A1838" s="5">
        <v>1836</v>
      </c>
      <c r="B1838" s="46" t="str">
        <f>HYPERLINK("https://search.naver.com/search.naver?query=스틸워터 영화", "스틸워터")</f>
        <v>스틸워터</v>
      </c>
      <c r="C1838" s="47">
        <v>7.35</v>
      </c>
      <c r="D1838" s="6" t="s">
        <v>1947</v>
      </c>
      <c r="E1838" s="5" t="s">
        <v>20</v>
      </c>
      <c r="F1838" s="5">
        <v>2021</v>
      </c>
      <c r="G1838" s="5" t="s">
        <v>12</v>
      </c>
      <c r="H1838" s="5" t="s">
        <v>17</v>
      </c>
      <c r="I1838" s="5" t="s">
        <v>305</v>
      </c>
      <c r="J1838" s="98" t="s">
        <v>3438</v>
      </c>
    </row>
    <row r="1839" spans="1:10" ht="28.9" customHeight="1" thickTop="1" thickBot="1" x14ac:dyDescent="0.65">
      <c r="A1839" s="3">
        <v>1837</v>
      </c>
      <c r="B1839" s="44" t="str">
        <f>HYPERLINK("https://search.naver.com/search.naver?query=한국영화 스파이", "스파이")</f>
        <v>스파이</v>
      </c>
      <c r="C1839" s="45">
        <v>6.93</v>
      </c>
      <c r="D1839" s="4" t="s">
        <v>1948</v>
      </c>
      <c r="E1839" s="3" t="s">
        <v>11</v>
      </c>
      <c r="F1839" s="3">
        <v>2013</v>
      </c>
      <c r="G1839" s="3" t="s">
        <v>12</v>
      </c>
      <c r="H1839" s="3" t="s">
        <v>68</v>
      </c>
      <c r="I1839" s="3" t="s">
        <v>142</v>
      </c>
      <c r="J1839" s="97" t="s">
        <v>3451</v>
      </c>
    </row>
    <row r="1840" spans="1:10" ht="28.9" customHeight="1" thickTop="1" thickBot="1" x14ac:dyDescent="0.65">
      <c r="A1840" s="5">
        <v>1838</v>
      </c>
      <c r="B1840" s="46" t="str">
        <f>HYPERLINK("https://search.naver.com/search.naver?query=스파이 영화", "스파이")</f>
        <v>스파이</v>
      </c>
      <c r="C1840" s="47">
        <v>3.83</v>
      </c>
      <c r="D1840" s="6" t="s">
        <v>1949</v>
      </c>
      <c r="E1840" s="5" t="s">
        <v>20</v>
      </c>
      <c r="F1840" s="5">
        <v>2015</v>
      </c>
      <c r="G1840" s="5" t="s">
        <v>12</v>
      </c>
      <c r="H1840" s="5" t="s">
        <v>92</v>
      </c>
      <c r="I1840" s="5" t="s">
        <v>53</v>
      </c>
      <c r="J1840" s="98" t="s">
        <v>3440</v>
      </c>
    </row>
    <row r="1841" spans="1:10" ht="28.9" customHeight="1" thickTop="1" thickBot="1" x14ac:dyDescent="0.65">
      <c r="A1841" s="3">
        <v>1839</v>
      </c>
      <c r="B1841" s="44" t="str">
        <f>HYPERLINK("https://search.naver.com/search.naver?query=스파이 게임 영화", "스파이 게임")</f>
        <v>스파이 게임</v>
      </c>
      <c r="C1841" s="45">
        <v>8.92</v>
      </c>
      <c r="D1841" s="4" t="s">
        <v>1948</v>
      </c>
      <c r="E1841" s="3" t="s">
        <v>20</v>
      </c>
      <c r="F1841" s="3">
        <v>2001</v>
      </c>
      <c r="G1841" s="3" t="s">
        <v>12</v>
      </c>
      <c r="H1841" s="3" t="s">
        <v>92</v>
      </c>
      <c r="I1841" s="3" t="s">
        <v>78</v>
      </c>
      <c r="J1841" s="97" t="s">
        <v>3457</v>
      </c>
    </row>
    <row r="1842" spans="1:10" ht="28.9" customHeight="1" thickTop="1" thickBot="1" x14ac:dyDescent="0.65">
      <c r="A1842" s="5">
        <v>1840</v>
      </c>
      <c r="B1842" s="46" t="str">
        <f>HYPERLINK("https://search.naver.com/search.naver?query=스파이 게임 영화", "스파이 게임")</f>
        <v>스파이 게임</v>
      </c>
      <c r="C1842" s="47">
        <v>8.92</v>
      </c>
      <c r="D1842" s="6" t="s">
        <v>1948</v>
      </c>
      <c r="E1842" s="5" t="s">
        <v>20</v>
      </c>
      <c r="F1842" s="5">
        <v>2017</v>
      </c>
      <c r="G1842" s="5" t="s">
        <v>12</v>
      </c>
      <c r="H1842" s="5" t="s">
        <v>92</v>
      </c>
      <c r="I1842" s="5" t="s">
        <v>111</v>
      </c>
      <c r="J1842" s="98" t="s">
        <v>3443</v>
      </c>
    </row>
    <row r="1843" spans="1:10" ht="28.9" customHeight="1" thickTop="1" thickBot="1" x14ac:dyDescent="0.65">
      <c r="A1843" s="3">
        <v>1841</v>
      </c>
      <c r="B1843" s="44" t="str">
        <f>HYPERLINK("https://search.naver.com/search.naver?query=스파이 브릿지 영화", "스파이 브릿지")</f>
        <v>스파이 브릿지</v>
      </c>
      <c r="C1843" s="45">
        <v>8.67</v>
      </c>
      <c r="D1843" s="4" t="s">
        <v>1950</v>
      </c>
      <c r="E1843" s="3" t="s">
        <v>20</v>
      </c>
      <c r="F1843" s="3">
        <v>2015</v>
      </c>
      <c r="G1843" s="3" t="s">
        <v>12</v>
      </c>
      <c r="H1843" s="3" t="s">
        <v>17</v>
      </c>
      <c r="I1843" s="3" t="s">
        <v>237</v>
      </c>
      <c r="J1843" s="97" t="s">
        <v>3440</v>
      </c>
    </row>
    <row r="1844" spans="1:10" ht="28.9" customHeight="1" thickTop="1" thickBot="1" x14ac:dyDescent="0.65">
      <c r="A1844" s="7">
        <v>1842</v>
      </c>
      <c r="B1844" s="48" t="str">
        <f>HYPERLINK("https://search.naver.com/search.naver?query=스파이가 된 남자 시즌1", "스파이가 된 남자 시즌1")</f>
        <v>스파이가 된 남자 시즌1</v>
      </c>
      <c r="C1844" s="49"/>
      <c r="D1844" s="8" t="s">
        <v>1951</v>
      </c>
      <c r="E1844" s="7" t="s">
        <v>20</v>
      </c>
      <c r="F1844" s="7">
        <v>2024</v>
      </c>
      <c r="G1844" s="7" t="s">
        <v>17</v>
      </c>
      <c r="H1844" s="7" t="s">
        <v>17</v>
      </c>
      <c r="I1844" s="7" t="s">
        <v>55</v>
      </c>
      <c r="J1844" s="99" t="s">
        <v>3448</v>
      </c>
    </row>
    <row r="1845" spans="1:10" ht="28.9" customHeight="1" thickTop="1" thickBot="1" x14ac:dyDescent="0.65">
      <c r="A1845" s="3">
        <v>1843</v>
      </c>
      <c r="B1845" s="44" t="str">
        <f>HYPERLINK("https://search.naver.com/search.naver?query=스파이럴 영화", "스파이럴")</f>
        <v>스파이럴</v>
      </c>
      <c r="C1845" s="45"/>
      <c r="D1845" s="4" t="s">
        <v>1952</v>
      </c>
      <c r="E1845" s="3" t="s">
        <v>20</v>
      </c>
      <c r="F1845" s="3">
        <v>2021</v>
      </c>
      <c r="G1845" s="3" t="s">
        <v>12</v>
      </c>
      <c r="H1845" s="3" t="s">
        <v>252</v>
      </c>
      <c r="I1845" s="3" t="s">
        <v>93</v>
      </c>
      <c r="J1845" s="97" t="s">
        <v>3438</v>
      </c>
    </row>
    <row r="1846" spans="1:10" ht="28.9" customHeight="1" thickTop="1" thickBot="1" x14ac:dyDescent="0.65">
      <c r="A1846" s="5">
        <v>1844</v>
      </c>
      <c r="B1846" s="46" t="str">
        <f>HYPERLINK("https://search.naver.com/search.naver?query=스파이의 아내 영화", "스파이의 아내")</f>
        <v>스파이의 아내</v>
      </c>
      <c r="C1846" s="47">
        <v>8.69</v>
      </c>
      <c r="D1846" s="6" t="s">
        <v>1953</v>
      </c>
      <c r="E1846" s="5" t="s">
        <v>16</v>
      </c>
      <c r="F1846" s="5">
        <v>2020</v>
      </c>
      <c r="G1846" s="5" t="s">
        <v>12</v>
      </c>
      <c r="H1846" s="5" t="s">
        <v>17</v>
      </c>
      <c r="I1846" s="5" t="s">
        <v>47</v>
      </c>
      <c r="J1846" s="98" t="s">
        <v>3436</v>
      </c>
    </row>
    <row r="1847" spans="1:10" ht="28.9" customHeight="1" thickTop="1" thickBot="1" x14ac:dyDescent="0.65">
      <c r="A1847" s="3">
        <v>1845</v>
      </c>
      <c r="B1847" s="44" t="str">
        <f>HYPERLINK("https://search.naver.com/search.naver?query=스페셜 포스 블러드 마운틴 영화", "스페셜 포스：블러드 마운틴")</f>
        <v>스페셜 포스：블러드 마운틴</v>
      </c>
      <c r="C1847" s="45">
        <v>6.4</v>
      </c>
      <c r="D1847" s="4"/>
      <c r="E1847" s="3" t="s">
        <v>20</v>
      </c>
      <c r="F1847" s="3">
        <v>2021</v>
      </c>
      <c r="G1847" s="3" t="s">
        <v>12</v>
      </c>
      <c r="H1847" s="3" t="s">
        <v>92</v>
      </c>
      <c r="I1847" s="3" t="s">
        <v>115</v>
      </c>
      <c r="J1847" s="97" t="s">
        <v>3438</v>
      </c>
    </row>
    <row r="1848" spans="1:10" ht="28.9" customHeight="1" thickTop="1" thickBot="1" x14ac:dyDescent="0.65">
      <c r="A1848" s="5">
        <v>1846</v>
      </c>
      <c r="B1848" s="46" t="str">
        <f>HYPERLINK("https://search.naver.com/search.naver?query=스페이스 비트윈 어스 영화", "스페이스 비트윈 어스")</f>
        <v>스페이스 비트윈 어스</v>
      </c>
      <c r="C1848" s="47">
        <v>8.34</v>
      </c>
      <c r="D1848" s="6" t="s">
        <v>1954</v>
      </c>
      <c r="E1848" s="5" t="s">
        <v>20</v>
      </c>
      <c r="F1848" s="5">
        <v>2017</v>
      </c>
      <c r="G1848" s="5" t="s">
        <v>12</v>
      </c>
      <c r="H1848" s="5" t="s">
        <v>520</v>
      </c>
      <c r="I1848" s="5" t="s">
        <v>86</v>
      </c>
      <c r="J1848" s="98" t="s">
        <v>3443</v>
      </c>
    </row>
    <row r="1849" spans="1:10" ht="28.9" customHeight="1" thickTop="1" thickBot="1" x14ac:dyDescent="0.65">
      <c r="A1849" s="3">
        <v>1847</v>
      </c>
      <c r="B1849" s="44" t="str">
        <f>HYPERLINK("https://search.naver.com/search.naver?query=스페이스 워커 영화", "스페이스 워커")</f>
        <v>스페이스 워커</v>
      </c>
      <c r="C1849" s="45">
        <v>6.4</v>
      </c>
      <c r="D1849" s="4" t="s">
        <v>1955</v>
      </c>
      <c r="E1849" s="3" t="s">
        <v>57</v>
      </c>
      <c r="F1849" s="3">
        <v>2017</v>
      </c>
      <c r="G1849" s="3" t="s">
        <v>12</v>
      </c>
      <c r="H1849" s="3" t="s">
        <v>17</v>
      </c>
      <c r="I1849" s="3" t="s">
        <v>102</v>
      </c>
      <c r="J1849" s="97" t="s">
        <v>3443</v>
      </c>
    </row>
    <row r="1850" spans="1:10" ht="28.9" customHeight="1" thickTop="1" thickBot="1" x14ac:dyDescent="0.65">
      <c r="A1850" s="5">
        <v>1848</v>
      </c>
      <c r="B1850" s="46" t="str">
        <f>HYPERLINK("https://search.naver.com/search.naver?query=스페이스 카우보이 영화", "스페이스 카우보이")</f>
        <v>스페이스 카우보이</v>
      </c>
      <c r="C1850" s="47">
        <v>8.5</v>
      </c>
      <c r="D1850" s="6" t="s">
        <v>1956</v>
      </c>
      <c r="E1850" s="5" t="s">
        <v>20</v>
      </c>
      <c r="F1850" s="5">
        <v>2000</v>
      </c>
      <c r="G1850" s="5" t="s">
        <v>12</v>
      </c>
      <c r="H1850" s="5" t="s">
        <v>92</v>
      </c>
      <c r="I1850" s="5" t="s">
        <v>34</v>
      </c>
      <c r="J1850" s="98" t="s">
        <v>3458</v>
      </c>
    </row>
    <row r="1851" spans="1:10" ht="28.9" customHeight="1" thickTop="1" thickBot="1" x14ac:dyDescent="0.65">
      <c r="A1851" s="3">
        <v>1849</v>
      </c>
      <c r="B1851" s="44" t="str">
        <f>HYPERLINK("https://search.naver.com/search.naver?query=스펜서 영화", "스펜서")</f>
        <v>스펜서</v>
      </c>
      <c r="C1851" s="45">
        <v>7.78</v>
      </c>
      <c r="D1851" s="4" t="s">
        <v>1957</v>
      </c>
      <c r="E1851" s="3" t="s">
        <v>24</v>
      </c>
      <c r="F1851" s="3">
        <v>2021</v>
      </c>
      <c r="G1851" s="3" t="s">
        <v>12</v>
      </c>
      <c r="H1851" s="3" t="s">
        <v>17</v>
      </c>
      <c r="I1851" s="3" t="s">
        <v>102</v>
      </c>
      <c r="J1851" s="97" t="s">
        <v>3438</v>
      </c>
    </row>
    <row r="1852" spans="1:10" ht="28.9" customHeight="1" thickTop="1" thickBot="1" x14ac:dyDescent="0.65">
      <c r="A1852" s="5">
        <v>1850</v>
      </c>
      <c r="B1852" s="46" t="str">
        <f>HYPERLINK("https://search.naver.com/search.naver?query=스펜서 컨피덴셜 영화", "스펜서 컨피덴셜")</f>
        <v>스펜서 컨피덴셜</v>
      </c>
      <c r="C1852" s="47">
        <v>6.79</v>
      </c>
      <c r="D1852" s="6" t="s">
        <v>1958</v>
      </c>
      <c r="E1852" s="5" t="s">
        <v>20</v>
      </c>
      <c r="F1852" s="5">
        <v>2020</v>
      </c>
      <c r="G1852" s="5" t="s">
        <v>12</v>
      </c>
      <c r="H1852" s="5" t="s">
        <v>92</v>
      </c>
      <c r="I1852" s="5" t="s">
        <v>102</v>
      </c>
      <c r="J1852" s="98" t="s">
        <v>3436</v>
      </c>
    </row>
    <row r="1853" spans="1:10" ht="28.9" customHeight="1" thickTop="1" thickBot="1" x14ac:dyDescent="0.65">
      <c r="A1853" s="3">
        <v>1851</v>
      </c>
      <c r="B1853" s="44" t="str">
        <f>HYPERLINK("https://search.naver.com/search.naver?query=스포트라이트 영화", "스포트라이트")</f>
        <v>스포트라이트</v>
      </c>
      <c r="C1853" s="45">
        <v>8.91</v>
      </c>
      <c r="D1853" s="4" t="s">
        <v>1959</v>
      </c>
      <c r="E1853" s="3" t="s">
        <v>20</v>
      </c>
      <c r="F1853" s="3">
        <v>2015</v>
      </c>
      <c r="G1853" s="3" t="s">
        <v>12</v>
      </c>
      <c r="H1853" s="3" t="s">
        <v>17</v>
      </c>
      <c r="I1853" s="3" t="s">
        <v>108</v>
      </c>
      <c r="J1853" s="97" t="s">
        <v>3440</v>
      </c>
    </row>
    <row r="1854" spans="1:10" ht="28.9" customHeight="1" thickTop="1" thickBot="1" x14ac:dyDescent="0.65">
      <c r="A1854" s="5">
        <v>1852</v>
      </c>
      <c r="B1854" s="46" t="str">
        <f>HYPERLINK("https://search.naver.com/search.naver?query=스푹스 더 그레이터 굿 영화", "스푹스 - 더 그레이터 굿")</f>
        <v>스푹스 - 더 그레이터 굿</v>
      </c>
      <c r="C1854" s="47">
        <v>6.4</v>
      </c>
      <c r="D1854" s="6" t="s">
        <v>1960</v>
      </c>
      <c r="E1854" s="5" t="s">
        <v>24</v>
      </c>
      <c r="F1854" s="5">
        <v>2015</v>
      </c>
      <c r="G1854" s="5" t="s">
        <v>12</v>
      </c>
      <c r="H1854" s="5" t="s">
        <v>92</v>
      </c>
      <c r="I1854" s="5" t="s">
        <v>170</v>
      </c>
      <c r="J1854" s="98" t="s">
        <v>3440</v>
      </c>
    </row>
    <row r="1855" spans="1:10" ht="28.9" customHeight="1" thickTop="1" thickBot="1" x14ac:dyDescent="0.65">
      <c r="A1855" s="3">
        <v>1853</v>
      </c>
      <c r="B1855" s="44" t="str">
        <f>HYPERLINK("https://search.naver.com/search.naver?query=스플릿 영화", "스플릿")</f>
        <v>스플릿</v>
      </c>
      <c r="C1855" s="45">
        <v>9.16</v>
      </c>
      <c r="D1855" s="4" t="s">
        <v>87</v>
      </c>
      <c r="E1855" s="3" t="s">
        <v>20</v>
      </c>
      <c r="F1855" s="3">
        <v>2016</v>
      </c>
      <c r="G1855" s="3" t="s">
        <v>12</v>
      </c>
      <c r="H1855" s="3" t="s">
        <v>43</v>
      </c>
      <c r="I1855" s="3" t="s">
        <v>89</v>
      </c>
      <c r="J1855" s="97" t="s">
        <v>3441</v>
      </c>
    </row>
    <row r="1856" spans="1:10" ht="28.9" customHeight="1" thickTop="1" thickBot="1" x14ac:dyDescent="0.65">
      <c r="A1856" s="5">
        <v>1854</v>
      </c>
      <c r="B1856" s="46" t="str">
        <f>HYPERLINK("https://search.naver.com/search.naver?query=스피닝 맨 영화", "스피닝 맨")</f>
        <v>스피닝 맨</v>
      </c>
      <c r="C1856" s="47">
        <v>6.09</v>
      </c>
      <c r="D1856" s="6" t="s">
        <v>1961</v>
      </c>
      <c r="E1856" s="5" t="s">
        <v>20</v>
      </c>
      <c r="F1856" s="5">
        <v>2018</v>
      </c>
      <c r="G1856" s="5" t="s">
        <v>12</v>
      </c>
      <c r="H1856" s="5" t="s">
        <v>43</v>
      </c>
      <c r="I1856" s="5" t="s">
        <v>131</v>
      </c>
      <c r="J1856" s="98" t="s">
        <v>3442</v>
      </c>
    </row>
    <row r="1857" spans="1:10" ht="28.9" customHeight="1" thickTop="1" thickBot="1" x14ac:dyDescent="0.65">
      <c r="A1857" s="3">
        <v>1855</v>
      </c>
      <c r="B1857" s="44" t="str">
        <f>HYPERLINK("https://search.naver.com/search.naver?query=스픽 노 이블 영화", "스픽 노 이블")</f>
        <v>스픽 노 이블</v>
      </c>
      <c r="C1857" s="45">
        <v>7.9</v>
      </c>
      <c r="D1857" s="4" t="s">
        <v>1962</v>
      </c>
      <c r="E1857" s="3" t="s">
        <v>118</v>
      </c>
      <c r="F1857" s="3">
        <v>2022</v>
      </c>
      <c r="G1857" s="3" t="s">
        <v>12</v>
      </c>
      <c r="H1857" s="3" t="s">
        <v>252</v>
      </c>
      <c r="I1857" s="3" t="s">
        <v>124</v>
      </c>
      <c r="J1857" s="97" t="s">
        <v>3445</v>
      </c>
    </row>
    <row r="1858" spans="1:10" ht="28.9" customHeight="1" thickTop="1" thickBot="1" x14ac:dyDescent="0.65">
      <c r="A1858" s="5">
        <v>1856</v>
      </c>
      <c r="B1858" s="46" t="str">
        <f>HYPERLINK("https://search.naver.com/search.naver?query=슬럼독 밀리어네어 영화", "슬럼독 밀리어네어")</f>
        <v>슬럼독 밀리어네어</v>
      </c>
      <c r="C1858" s="47">
        <v>9.1300000000000008</v>
      </c>
      <c r="D1858" s="6" t="s">
        <v>1963</v>
      </c>
      <c r="E1858" s="5" t="s">
        <v>24</v>
      </c>
      <c r="F1858" s="5">
        <v>2008</v>
      </c>
      <c r="G1858" s="5" t="s">
        <v>12</v>
      </c>
      <c r="H1858" s="5" t="s">
        <v>17</v>
      </c>
      <c r="I1858" s="5" t="s">
        <v>86</v>
      </c>
      <c r="J1858" s="98" t="s">
        <v>3450</v>
      </c>
    </row>
    <row r="1859" spans="1:10" ht="28.9" customHeight="1" thickTop="1" thickBot="1" x14ac:dyDescent="0.65">
      <c r="A1859" s="7">
        <v>1857</v>
      </c>
      <c r="B1859" s="48" t="str">
        <f>HYPERLINK("https://search.naver.com/search.naver?query=슬로 호시스 시즌1", "슬로 호시스 시즌1")</f>
        <v>슬로 호시스 시즌1</v>
      </c>
      <c r="C1859" s="49"/>
      <c r="D1859" s="8" t="s">
        <v>1964</v>
      </c>
      <c r="E1859" s="7" t="s">
        <v>24</v>
      </c>
      <c r="F1859" s="7">
        <v>2021</v>
      </c>
      <c r="G1859" s="7" t="s">
        <v>17</v>
      </c>
      <c r="H1859" s="7" t="s">
        <v>13</v>
      </c>
      <c r="I1859" s="7" t="s">
        <v>1400</v>
      </c>
      <c r="J1859" s="99" t="s">
        <v>3438</v>
      </c>
    </row>
    <row r="1860" spans="1:10" ht="28.9" customHeight="1" thickTop="1" thickBot="1" x14ac:dyDescent="0.65">
      <c r="A1860" s="7">
        <v>1858</v>
      </c>
      <c r="B1860" s="48" t="str">
        <f>HYPERLINK("https://search.naver.com/search.naver?query=슬로 호시스 시즌2", "슬로 호시스 시즌2")</f>
        <v>슬로 호시스 시즌2</v>
      </c>
      <c r="C1860" s="49"/>
      <c r="D1860" s="8" t="s">
        <v>1964</v>
      </c>
      <c r="E1860" s="7" t="s">
        <v>24</v>
      </c>
      <c r="F1860" s="7">
        <v>2022</v>
      </c>
      <c r="G1860" s="7" t="s">
        <v>17</v>
      </c>
      <c r="H1860" s="7" t="s">
        <v>13</v>
      </c>
      <c r="I1860" s="7" t="s">
        <v>173</v>
      </c>
      <c r="J1860" s="99" t="s">
        <v>3445</v>
      </c>
    </row>
    <row r="1861" spans="1:10" ht="28.9" customHeight="1" thickTop="1" thickBot="1" x14ac:dyDescent="0.65">
      <c r="A1861" s="7">
        <v>1859</v>
      </c>
      <c r="B1861" s="48" t="str">
        <f>HYPERLINK("https://search.naver.com/search.naver?query=슬로 호시스 시즌3", "슬로 호시스 시즌3")</f>
        <v>슬로 호시스 시즌3</v>
      </c>
      <c r="C1861" s="49"/>
      <c r="D1861" s="8" t="s">
        <v>1964</v>
      </c>
      <c r="E1861" s="7" t="s">
        <v>24</v>
      </c>
      <c r="F1861" s="7">
        <v>2023</v>
      </c>
      <c r="G1861" s="7" t="s">
        <v>17</v>
      </c>
      <c r="H1861" s="7" t="s">
        <v>13</v>
      </c>
      <c r="I1861" s="7" t="s">
        <v>173</v>
      </c>
      <c r="J1861" s="99" t="s">
        <v>3446</v>
      </c>
    </row>
    <row r="1862" spans="1:10" ht="28.9" customHeight="1" thickTop="1" thickBot="1" x14ac:dyDescent="0.65">
      <c r="A1862" s="7">
        <v>1860</v>
      </c>
      <c r="B1862" s="48" t="str">
        <f>HYPERLINK("https://search.naver.com/search.naver?query=슬로 호시스 시즌4", "슬로 호시스 시즌4")</f>
        <v>슬로 호시스 시즌4</v>
      </c>
      <c r="C1862" s="49"/>
      <c r="D1862" s="8" t="s">
        <v>1964</v>
      </c>
      <c r="E1862" s="7" t="s">
        <v>24</v>
      </c>
      <c r="F1862" s="7">
        <v>2024</v>
      </c>
      <c r="G1862" s="7" t="s">
        <v>17</v>
      </c>
      <c r="H1862" s="7" t="s">
        <v>13</v>
      </c>
      <c r="I1862" s="7" t="s">
        <v>173</v>
      </c>
      <c r="J1862" s="99" t="s">
        <v>3448</v>
      </c>
    </row>
    <row r="1863" spans="1:10" ht="28.9" customHeight="1" thickTop="1" thickBot="1" x14ac:dyDescent="0.65">
      <c r="A1863" s="7">
        <v>1861</v>
      </c>
      <c r="B1863" s="48" t="str">
        <f>HYPERLINK("https://search.naver.com/search.naver?query=슬로 호시스 시즌5", "슬로 호시스 시즌5")</f>
        <v>슬로 호시스 시즌5</v>
      </c>
      <c r="C1863" s="49"/>
      <c r="D1863" s="8" t="s">
        <v>1964</v>
      </c>
      <c r="E1863" s="7" t="s">
        <v>24</v>
      </c>
      <c r="F1863" s="7">
        <v>2025</v>
      </c>
      <c r="G1863" s="7" t="s">
        <v>17</v>
      </c>
      <c r="H1863" s="7" t="s">
        <v>13</v>
      </c>
      <c r="I1863" s="7" t="s">
        <v>173</v>
      </c>
      <c r="J1863" s="99" t="s">
        <v>3459</v>
      </c>
    </row>
    <row r="1864" spans="1:10" ht="28.9" customHeight="1" thickTop="1" thickBot="1" x14ac:dyDescent="0.65">
      <c r="A1864" s="3">
        <v>1862</v>
      </c>
      <c r="B1864" s="44" t="str">
        <f>HYPERLINK("https://search.naver.com/search.naver?query=슬로우 비디오 영화", "슬로우 비디오")</f>
        <v>슬로우 비디오</v>
      </c>
      <c r="C1864" s="45">
        <v>7.78</v>
      </c>
      <c r="D1864" s="4" t="s">
        <v>1965</v>
      </c>
      <c r="E1864" s="3" t="s">
        <v>11</v>
      </c>
      <c r="F1864" s="3">
        <v>2014</v>
      </c>
      <c r="G1864" s="3" t="s">
        <v>12</v>
      </c>
      <c r="H1864" s="3" t="s">
        <v>68</v>
      </c>
      <c r="I1864" s="3" t="s">
        <v>128</v>
      </c>
      <c r="J1864" s="97" t="s">
        <v>3437</v>
      </c>
    </row>
    <row r="1865" spans="1:10" ht="28.9" customHeight="1" thickTop="1" thickBot="1" x14ac:dyDescent="0.65">
      <c r="A1865" s="5">
        <v>1863</v>
      </c>
      <c r="B1865" s="46" t="str">
        <f>HYPERLINK("https://search.naver.com/search.naver?query=슬리핑 위드 아더 피플 영화", "슬리핑 위드 아더 피플")</f>
        <v>슬리핑 위드 아더 피플</v>
      </c>
      <c r="C1865" s="47">
        <v>7.73</v>
      </c>
      <c r="D1865" s="6" t="s">
        <v>1966</v>
      </c>
      <c r="E1865" s="5" t="s">
        <v>20</v>
      </c>
      <c r="F1865" s="5">
        <v>2015</v>
      </c>
      <c r="G1865" s="5" t="s">
        <v>12</v>
      </c>
      <c r="H1865" s="5" t="s">
        <v>68</v>
      </c>
      <c r="I1865" s="5" t="s">
        <v>70</v>
      </c>
      <c r="J1865" s="98" t="s">
        <v>3440</v>
      </c>
    </row>
    <row r="1866" spans="1:10" ht="28.9" customHeight="1" thickTop="1" thickBot="1" x14ac:dyDescent="0.65">
      <c r="A1866" s="3">
        <v>1864</v>
      </c>
      <c r="B1866" s="44" t="str">
        <f>HYPERLINK("https://search.naver.com/search.naver?query=슬픔보다 더 슬픈이야기 영화", "슬픔보다 더 슬픈이야기")</f>
        <v>슬픔보다 더 슬픈이야기</v>
      </c>
      <c r="C1866" s="45">
        <v>8.42</v>
      </c>
      <c r="D1866" s="4" t="s">
        <v>1967</v>
      </c>
      <c r="E1866" s="3" t="s">
        <v>11</v>
      </c>
      <c r="F1866" s="3">
        <v>2009</v>
      </c>
      <c r="G1866" s="3" t="s">
        <v>12</v>
      </c>
      <c r="H1866" s="3" t="s">
        <v>121</v>
      </c>
      <c r="I1866" s="3" t="s">
        <v>128</v>
      </c>
      <c r="J1866" s="97" t="s">
        <v>3453</v>
      </c>
    </row>
    <row r="1867" spans="1:10" ht="28.9" customHeight="1" thickTop="1" thickBot="1" x14ac:dyDescent="0.65">
      <c r="A1867" s="5">
        <v>1865</v>
      </c>
      <c r="B1867" s="46" t="str">
        <f>HYPERLINK("https://search.naver.com/search.naver?query=승부 영화", "승부")</f>
        <v>승부</v>
      </c>
      <c r="C1867" s="47">
        <v>8.4600000000000009</v>
      </c>
      <c r="D1867" s="6" t="s">
        <v>1968</v>
      </c>
      <c r="E1867" s="5" t="s">
        <v>11</v>
      </c>
      <c r="F1867" s="5">
        <v>2025</v>
      </c>
      <c r="G1867" s="5" t="s">
        <v>12</v>
      </c>
      <c r="H1867" s="5" t="s">
        <v>17</v>
      </c>
      <c r="I1867" s="5" t="s">
        <v>47</v>
      </c>
      <c r="J1867" s="98" t="s">
        <v>3459</v>
      </c>
    </row>
    <row r="1868" spans="1:10" ht="28.9" customHeight="1" thickTop="1" thickBot="1" x14ac:dyDescent="0.65">
      <c r="A1868" s="3">
        <v>1866</v>
      </c>
      <c r="B1868" s="44" t="str">
        <f>HYPERLINK("https://search.naver.com/search.naver?query=시간 여행자의 아내 영화", "시간 여행자의 아내")</f>
        <v>시간 여행자의 아내</v>
      </c>
      <c r="C1868" s="45">
        <v>8.3000000000000007</v>
      </c>
      <c r="D1868" s="4" t="s">
        <v>1969</v>
      </c>
      <c r="E1868" s="3" t="s">
        <v>20</v>
      </c>
      <c r="F1868" s="3">
        <v>2009</v>
      </c>
      <c r="G1868" s="3" t="s">
        <v>12</v>
      </c>
      <c r="H1868" s="3" t="s">
        <v>17</v>
      </c>
      <c r="I1868" s="3" t="s">
        <v>75</v>
      </c>
      <c r="J1868" s="97" t="s">
        <v>3453</v>
      </c>
    </row>
    <row r="1869" spans="1:10" ht="28.9" customHeight="1" thickTop="1" thickBot="1" x14ac:dyDescent="0.65">
      <c r="A1869" s="5">
        <v>1867</v>
      </c>
      <c r="B1869" s="46" t="str">
        <f>HYPERLINK("https://search.naver.com/search.naver?query=시간을 달리는 소녀 영화", "시간을 달리는 소녀")</f>
        <v>시간을 달리는 소녀</v>
      </c>
      <c r="C1869" s="47">
        <v>8.86</v>
      </c>
      <c r="D1869" s="6" t="s">
        <v>1970</v>
      </c>
      <c r="E1869" s="5" t="s">
        <v>16</v>
      </c>
      <c r="F1869" s="5">
        <v>2006</v>
      </c>
      <c r="G1869" s="5" t="s">
        <v>12</v>
      </c>
      <c r="H1869" s="5" t="s">
        <v>1971</v>
      </c>
      <c r="I1869" s="5" t="s">
        <v>14</v>
      </c>
      <c r="J1869" s="98" t="s">
        <v>3460</v>
      </c>
    </row>
    <row r="1870" spans="1:10" ht="28.9" customHeight="1" thickTop="1" thickBot="1" x14ac:dyDescent="0.65">
      <c r="A1870" s="7">
        <v>1868</v>
      </c>
      <c r="B1870" s="48" t="str">
        <f>HYPERLINK("https://search.naver.com/search.naver?query=시그널1", "시그널1")</f>
        <v>시그널1</v>
      </c>
      <c r="C1870" s="49"/>
      <c r="D1870" s="8" t="s">
        <v>1972</v>
      </c>
      <c r="E1870" s="7" t="s">
        <v>11</v>
      </c>
      <c r="F1870" s="7">
        <v>2016</v>
      </c>
      <c r="G1870" s="7" t="s">
        <v>17</v>
      </c>
      <c r="H1870" s="7" t="s">
        <v>892</v>
      </c>
      <c r="I1870" s="7" t="s">
        <v>491</v>
      </c>
      <c r="J1870" s="99" t="s">
        <v>3441</v>
      </c>
    </row>
    <row r="1871" spans="1:10" ht="28.9" customHeight="1" thickTop="1" thickBot="1" x14ac:dyDescent="0.65">
      <c r="A1871" s="5">
        <v>1869</v>
      </c>
      <c r="B1871" s="46" t="str">
        <f>HYPERLINK("https://search.naver.com/search.naver?query=시동 영화", "시동")</f>
        <v>시동</v>
      </c>
      <c r="C1871" s="47">
        <v>8.61</v>
      </c>
      <c r="D1871" s="6" t="s">
        <v>1973</v>
      </c>
      <c r="E1871" s="5" t="s">
        <v>11</v>
      </c>
      <c r="F1871" s="5">
        <v>2019</v>
      </c>
      <c r="G1871" s="5" t="s">
        <v>12</v>
      </c>
      <c r="H1871" s="5" t="s">
        <v>17</v>
      </c>
      <c r="I1871" s="5" t="s">
        <v>99</v>
      </c>
      <c r="J1871" s="98" t="s">
        <v>3444</v>
      </c>
    </row>
    <row r="1872" spans="1:10" ht="28.9" customHeight="1" thickTop="1" thickBot="1" x14ac:dyDescent="0.65">
      <c r="A1872" s="3">
        <v>1870</v>
      </c>
      <c r="B1872" s="44" t="str">
        <f>HYPERLINK("https://search.naver.com/search.naver?query=시라노 연애조작단 영화", "시라노-연애조작단")</f>
        <v>시라노-연애조작단</v>
      </c>
      <c r="C1872" s="45">
        <v>8.73</v>
      </c>
      <c r="D1872" s="4" t="s">
        <v>1974</v>
      </c>
      <c r="E1872" s="3" t="s">
        <v>11</v>
      </c>
      <c r="F1872" s="3">
        <v>2010</v>
      </c>
      <c r="G1872" s="3" t="s">
        <v>12</v>
      </c>
      <c r="H1872" s="3" t="s">
        <v>68</v>
      </c>
      <c r="I1872" s="3" t="s">
        <v>221</v>
      </c>
      <c r="J1872" s="97" t="s">
        <v>3455</v>
      </c>
    </row>
    <row r="1873" spans="1:10" ht="28.9" customHeight="1" thickTop="1" thickBot="1" x14ac:dyDescent="0.65">
      <c r="A1873" s="5">
        <v>1871</v>
      </c>
      <c r="B1873" s="46" t="str">
        <f>HYPERLINK("https://search.naver.com/search.naver?query=시리아나 영화", "시리아나")</f>
        <v>시리아나</v>
      </c>
      <c r="C1873" s="47">
        <v>7.42</v>
      </c>
      <c r="D1873" s="6" t="s">
        <v>1975</v>
      </c>
      <c r="E1873" s="5" t="s">
        <v>20</v>
      </c>
      <c r="F1873" s="5">
        <v>2005</v>
      </c>
      <c r="G1873" s="5" t="s">
        <v>12</v>
      </c>
      <c r="H1873" s="5" t="s">
        <v>17</v>
      </c>
      <c r="I1873" s="5" t="s">
        <v>108</v>
      </c>
      <c r="J1873" s="98" t="s">
        <v>3461</v>
      </c>
    </row>
    <row r="1874" spans="1:10" ht="28.9" customHeight="1" thickTop="1" thickBot="1" x14ac:dyDescent="0.65">
      <c r="A1874" s="3">
        <v>1872</v>
      </c>
      <c r="B1874" s="44" t="str">
        <f>HYPERLINK("https://search.naver.com/search.naver?query=시빌 영화", "시빌")</f>
        <v>시빌</v>
      </c>
      <c r="C1874" s="45">
        <v>9</v>
      </c>
      <c r="D1874" s="4" t="s">
        <v>1976</v>
      </c>
      <c r="E1874" s="3" t="s">
        <v>210</v>
      </c>
      <c r="F1874" s="3">
        <v>2019</v>
      </c>
      <c r="G1874" s="3" t="s">
        <v>12</v>
      </c>
      <c r="H1874" s="3" t="s">
        <v>17</v>
      </c>
      <c r="I1874" s="3" t="s">
        <v>70</v>
      </c>
      <c r="J1874" s="97" t="s">
        <v>3444</v>
      </c>
    </row>
    <row r="1875" spans="1:10" ht="28.9" customHeight="1" thickTop="1" thickBot="1" x14ac:dyDescent="0.65">
      <c r="A1875" s="5">
        <v>1873</v>
      </c>
      <c r="B1875" s="46" t="str">
        <f>HYPERLINK("https://search.naver.com/search.naver?query=시빌워 영화", "시빌워")</f>
        <v>시빌워</v>
      </c>
      <c r="C1875" s="47">
        <v>8.2799999999999994</v>
      </c>
      <c r="D1875" s="6" t="s">
        <v>1977</v>
      </c>
      <c r="E1875" s="5" t="s">
        <v>20</v>
      </c>
      <c r="F1875" s="5">
        <v>2024</v>
      </c>
      <c r="G1875" s="5" t="s">
        <v>12</v>
      </c>
      <c r="H1875" s="5" t="s">
        <v>92</v>
      </c>
      <c r="I1875" s="5" t="s">
        <v>137</v>
      </c>
      <c r="J1875" s="98" t="s">
        <v>3448</v>
      </c>
    </row>
    <row r="1876" spans="1:10" ht="28.9" customHeight="1" thickTop="1" thickBot="1" x14ac:dyDescent="0.65">
      <c r="A1876" s="3">
        <v>1874</v>
      </c>
      <c r="B1876" s="44" t="str">
        <f>HYPERLINK("https://search.naver.com/search.naver?query=시선 영화", "시선")</f>
        <v>시선</v>
      </c>
      <c r="C1876" s="45">
        <v>8.82</v>
      </c>
      <c r="D1876" s="4" t="s">
        <v>1978</v>
      </c>
      <c r="E1876" s="3" t="s">
        <v>11</v>
      </c>
      <c r="F1876" s="3">
        <v>2013</v>
      </c>
      <c r="G1876" s="3" t="s">
        <v>12</v>
      </c>
      <c r="H1876" s="3" t="s">
        <v>17</v>
      </c>
      <c r="I1876" s="3" t="s">
        <v>111</v>
      </c>
      <c r="J1876" s="97" t="s">
        <v>3451</v>
      </c>
    </row>
    <row r="1877" spans="1:10" ht="28.9" customHeight="1" thickTop="1" thickBot="1" x14ac:dyDescent="0.65">
      <c r="A1877" s="5">
        <v>1875</v>
      </c>
      <c r="B1877" s="46" t="str">
        <f>HYPERLINK("https://search.naver.com/search.naver?query=시스터스 브라더스 영화", "시스터스 브라더스")</f>
        <v>시스터스 브라더스</v>
      </c>
      <c r="C1877" s="47"/>
      <c r="D1877" s="6" t="s">
        <v>1979</v>
      </c>
      <c r="E1877" s="5" t="s">
        <v>210</v>
      </c>
      <c r="F1877" s="5">
        <v>2018</v>
      </c>
      <c r="G1877" s="5" t="s">
        <v>12</v>
      </c>
      <c r="H1877" s="5" t="s">
        <v>864</v>
      </c>
      <c r="I1877" s="5" t="s">
        <v>105</v>
      </c>
      <c r="J1877" s="98" t="s">
        <v>3442</v>
      </c>
    </row>
    <row r="1878" spans="1:10" ht="28.9" customHeight="1" thickTop="1" thickBot="1" x14ac:dyDescent="0.65">
      <c r="A1878" s="3">
        <v>1876</v>
      </c>
      <c r="B1878" s="44" t="str">
        <f>HYPERLINK("https://search.naver.com/search.naver?query=시스터즈 영화", "시스터즈")</f>
        <v>시스터즈</v>
      </c>
      <c r="C1878" s="45"/>
      <c r="D1878" s="4" t="s">
        <v>1980</v>
      </c>
      <c r="E1878" s="3" t="s">
        <v>20</v>
      </c>
      <c r="F1878" s="3">
        <v>2015</v>
      </c>
      <c r="G1878" s="3" t="s">
        <v>12</v>
      </c>
      <c r="H1878" s="3" t="s">
        <v>68</v>
      </c>
      <c r="I1878" s="3" t="s">
        <v>221</v>
      </c>
      <c r="J1878" s="97" t="s">
        <v>3440</v>
      </c>
    </row>
    <row r="1879" spans="1:10" ht="28.9" customHeight="1" thickTop="1" thickBot="1" x14ac:dyDescent="0.65">
      <c r="A1879" s="5">
        <v>1877</v>
      </c>
      <c r="B1879" s="46" t="str">
        <f>HYPERLINK("https://search.naver.com/search.naver?query=시월애 영화", "시월애")</f>
        <v>시월애</v>
      </c>
      <c r="C1879" s="47">
        <v>8.14</v>
      </c>
      <c r="D1879" s="6" t="s">
        <v>1981</v>
      </c>
      <c r="E1879" s="5" t="s">
        <v>11</v>
      </c>
      <c r="F1879" s="5">
        <v>2000</v>
      </c>
      <c r="G1879" s="5" t="s">
        <v>12</v>
      </c>
      <c r="H1879" s="5" t="s">
        <v>121</v>
      </c>
      <c r="I1879" s="5" t="s">
        <v>61</v>
      </c>
      <c r="J1879" s="98" t="s">
        <v>3458</v>
      </c>
    </row>
    <row r="1880" spans="1:10" ht="28.9" customHeight="1" thickTop="1" thickBot="1" x14ac:dyDescent="0.65">
      <c r="A1880" s="3">
        <v>1878</v>
      </c>
      <c r="B1880" s="44" t="str">
        <f>HYPERLINK("https://search.naver.com/search.naver?query=영화 시작은 키스", "시작은 키스")</f>
        <v>시작은 키스</v>
      </c>
      <c r="C1880" s="45">
        <v>8.4</v>
      </c>
      <c r="D1880" s="4" t="s">
        <v>1982</v>
      </c>
      <c r="E1880" s="3" t="s">
        <v>210</v>
      </c>
      <c r="F1880" s="3">
        <v>2012</v>
      </c>
      <c r="G1880" s="3" t="s">
        <v>12</v>
      </c>
      <c r="H1880" s="3" t="s">
        <v>68</v>
      </c>
      <c r="I1880" s="3" t="s">
        <v>31</v>
      </c>
      <c r="J1880" s="97" t="s">
        <v>3439</v>
      </c>
    </row>
    <row r="1881" spans="1:10" ht="28.9" customHeight="1" thickTop="1" thickBot="1" x14ac:dyDescent="0.65">
      <c r="A1881" s="5">
        <v>1879</v>
      </c>
      <c r="B1881" s="46" t="str">
        <f>HYPERLINK("https://search.naver.com/search.naver?query=시작의 길 영화", "시작의 길")</f>
        <v>시작의 길</v>
      </c>
      <c r="C1881" s="47">
        <v>6.4</v>
      </c>
      <c r="D1881" s="6" t="s">
        <v>1983</v>
      </c>
      <c r="E1881" s="5" t="s">
        <v>16</v>
      </c>
      <c r="F1881" s="5">
        <v>2013</v>
      </c>
      <c r="G1881" s="5" t="s">
        <v>12</v>
      </c>
      <c r="H1881" s="5" t="s">
        <v>17</v>
      </c>
      <c r="I1881" s="5" t="s">
        <v>111</v>
      </c>
      <c r="J1881" s="98" t="s">
        <v>3451</v>
      </c>
    </row>
    <row r="1882" spans="1:10" ht="28.9" customHeight="1" thickTop="1" thickBot="1" x14ac:dyDescent="0.65">
      <c r="A1882" s="3">
        <v>1880</v>
      </c>
      <c r="B1882" s="44" t="str">
        <f>HYPERLINK("https://search.naver.com/search.naver?query=시절인연 영화", "시절인연")</f>
        <v>시절인연</v>
      </c>
      <c r="C1882" s="45">
        <v>8.56</v>
      </c>
      <c r="D1882" s="4" t="s">
        <v>1984</v>
      </c>
      <c r="E1882" s="3" t="s">
        <v>136</v>
      </c>
      <c r="F1882" s="3">
        <v>2013</v>
      </c>
      <c r="G1882" s="3" t="s">
        <v>12</v>
      </c>
      <c r="H1882" s="3" t="s">
        <v>121</v>
      </c>
      <c r="I1882" s="3" t="s">
        <v>134</v>
      </c>
      <c r="J1882" s="97" t="s">
        <v>3451</v>
      </c>
    </row>
    <row r="1883" spans="1:10" ht="28.9" customHeight="1" thickTop="1" thickBot="1" x14ac:dyDescent="0.65">
      <c r="A1883" s="5">
        <v>1881</v>
      </c>
      <c r="B1883" s="46" t="str">
        <f>HYPERLINK("https://search.naver.com/search.naver?query=시절인연 2 북 오브 러브 영화", "시절인연 2 (북 오브 러브)")</f>
        <v>시절인연 2 (북 오브 러브)</v>
      </c>
      <c r="C1883" s="47">
        <v>6.4</v>
      </c>
      <c r="D1883" s="6" t="s">
        <v>1985</v>
      </c>
      <c r="E1883" s="5" t="s">
        <v>20</v>
      </c>
      <c r="F1883" s="5">
        <v>2016</v>
      </c>
      <c r="G1883" s="5" t="s">
        <v>12</v>
      </c>
      <c r="H1883" s="5" t="s">
        <v>68</v>
      </c>
      <c r="I1883" s="5" t="s">
        <v>286</v>
      </c>
      <c r="J1883" s="98" t="s">
        <v>3441</v>
      </c>
    </row>
    <row r="1884" spans="1:10" ht="28.9" customHeight="1" thickTop="1" thickBot="1" x14ac:dyDescent="0.65">
      <c r="A1884" s="3">
        <v>1882</v>
      </c>
      <c r="B1884" s="44" t="str">
        <f>HYPERLINK("https://search.naver.com/search.naver?query=시체가 돌아왔다 영화", "시체가 돌아왔다")</f>
        <v>시체가 돌아왔다</v>
      </c>
      <c r="C1884" s="45">
        <v>7.42</v>
      </c>
      <c r="D1884" s="4" t="s">
        <v>1986</v>
      </c>
      <c r="E1884" s="3" t="s">
        <v>11</v>
      </c>
      <c r="F1884" s="3">
        <v>2012</v>
      </c>
      <c r="G1884" s="3" t="s">
        <v>12</v>
      </c>
      <c r="H1884" s="3" t="s">
        <v>68</v>
      </c>
      <c r="I1884" s="3" t="s">
        <v>111</v>
      </c>
      <c r="J1884" s="97" t="s">
        <v>3439</v>
      </c>
    </row>
    <row r="1885" spans="1:10" ht="28.9" customHeight="1" thickTop="1" thickBot="1" x14ac:dyDescent="0.65">
      <c r="A1885" s="5">
        <v>1883</v>
      </c>
      <c r="B1885" s="46" t="str">
        <f>HYPERLINK("https://search.naver.com/search.naver?query=시카고 하이스트 영화", "시카고 하이스트")</f>
        <v>시카고 하이스트</v>
      </c>
      <c r="C1885" s="47">
        <v>6.6</v>
      </c>
      <c r="D1885" s="6" t="s">
        <v>1987</v>
      </c>
      <c r="E1885" s="5" t="s">
        <v>20</v>
      </c>
      <c r="F1885" s="5">
        <v>2023</v>
      </c>
      <c r="G1885" s="5" t="s">
        <v>12</v>
      </c>
      <c r="H1885" s="5" t="s">
        <v>277</v>
      </c>
      <c r="I1885" s="5" t="s">
        <v>96</v>
      </c>
      <c r="J1885" s="98" t="s">
        <v>3446</v>
      </c>
    </row>
    <row r="1886" spans="1:10" ht="28.9" customHeight="1" thickTop="1" thickBot="1" x14ac:dyDescent="0.65">
      <c r="A1886" s="3">
        <v>1884</v>
      </c>
      <c r="B1886" s="44" t="str">
        <f>HYPERLINK("https://search.naver.com/search.naver?query=시카리오 암살자의 도시 영화", "시카리오 - 암살자의 도시")</f>
        <v>시카리오 - 암살자의 도시</v>
      </c>
      <c r="C1886" s="45"/>
      <c r="D1886" s="4" t="s">
        <v>1988</v>
      </c>
      <c r="E1886" s="3" t="s">
        <v>20</v>
      </c>
      <c r="F1886" s="3">
        <v>2015</v>
      </c>
      <c r="G1886" s="3" t="s">
        <v>12</v>
      </c>
      <c r="H1886" s="3" t="s">
        <v>92</v>
      </c>
      <c r="I1886" s="3" t="s">
        <v>142</v>
      </c>
      <c r="J1886" s="97" t="s">
        <v>3440</v>
      </c>
    </row>
    <row r="1887" spans="1:10" ht="28.9" customHeight="1" thickTop="1" thickBot="1" x14ac:dyDescent="0.65">
      <c r="A1887" s="5">
        <v>1885</v>
      </c>
      <c r="B1887" s="46" t="str">
        <f>HYPERLINK("https://search.naver.com/search.naver?query=시카리오 데이 오브 솔다도 영화", "시카리오-데이 오브 솔다도")</f>
        <v>시카리오-데이 오브 솔다도</v>
      </c>
      <c r="C1887" s="47">
        <v>8.8699999999999992</v>
      </c>
      <c r="D1887" s="6" t="s">
        <v>1989</v>
      </c>
      <c r="E1887" s="5" t="s">
        <v>20</v>
      </c>
      <c r="F1887" s="5">
        <v>2018</v>
      </c>
      <c r="G1887" s="5" t="s">
        <v>12</v>
      </c>
      <c r="H1887" s="5" t="s">
        <v>92</v>
      </c>
      <c r="I1887" s="5" t="s">
        <v>105</v>
      </c>
      <c r="J1887" s="98" t="s">
        <v>3442</v>
      </c>
    </row>
    <row r="1888" spans="1:10" ht="28.9" customHeight="1" thickTop="1" thickBot="1" x14ac:dyDescent="0.65">
      <c r="A1888" s="3">
        <v>1886</v>
      </c>
      <c r="B1888" s="44" t="str">
        <f>HYPERLINK("https://search.naver.com/search.naver?query=시크릿 레터 영화", "시크릿 레터")</f>
        <v>시크릿 레터</v>
      </c>
      <c r="C1888" s="45">
        <v>8</v>
      </c>
      <c r="D1888" s="4" t="s">
        <v>1990</v>
      </c>
      <c r="E1888" s="3" t="s">
        <v>1099</v>
      </c>
      <c r="F1888" s="3">
        <v>2017</v>
      </c>
      <c r="G1888" s="3" t="s">
        <v>12</v>
      </c>
      <c r="H1888" s="3" t="s">
        <v>17</v>
      </c>
      <c r="I1888" s="3" t="s">
        <v>105</v>
      </c>
      <c r="J1888" s="97" t="s">
        <v>3443</v>
      </c>
    </row>
    <row r="1889" spans="1:10" ht="28.9" customHeight="1" thickTop="1" thickBot="1" x14ac:dyDescent="0.65">
      <c r="A1889" s="5">
        <v>1887</v>
      </c>
      <c r="B1889" s="46" t="str">
        <f>HYPERLINK("https://search.naver.com/search.naver?query=시크릿 슈퍼스타 영화", "시크릿 슈퍼스타")</f>
        <v>시크릿 슈퍼스타</v>
      </c>
      <c r="C1889" s="47">
        <v>9.14</v>
      </c>
      <c r="D1889" s="6" t="s">
        <v>1991</v>
      </c>
      <c r="E1889" s="5" t="s">
        <v>361</v>
      </c>
      <c r="F1889" s="5">
        <v>2017</v>
      </c>
      <c r="G1889" s="5" t="s">
        <v>12</v>
      </c>
      <c r="H1889" s="5" t="s">
        <v>17</v>
      </c>
      <c r="I1889" s="5" t="s">
        <v>523</v>
      </c>
      <c r="J1889" s="98" t="s">
        <v>3443</v>
      </c>
    </row>
    <row r="1890" spans="1:10" ht="28.9" customHeight="1" thickTop="1" thickBot="1" x14ac:dyDescent="0.65">
      <c r="A1890" s="3">
        <v>1888</v>
      </c>
      <c r="B1890" s="44" t="str">
        <f>HYPERLINK("https://search.naver.com/search.naver?query=시크릿 에이전트 영화", "시크릿 에이전트")</f>
        <v>시크릿 에이전트</v>
      </c>
      <c r="C1890" s="45">
        <v>6.4</v>
      </c>
      <c r="D1890" s="4" t="s">
        <v>1992</v>
      </c>
      <c r="E1890" s="3" t="s">
        <v>24</v>
      </c>
      <c r="F1890" s="3">
        <v>2021</v>
      </c>
      <c r="G1890" s="3" t="s">
        <v>12</v>
      </c>
      <c r="H1890" s="3" t="s">
        <v>17</v>
      </c>
      <c r="I1890" s="3" t="s">
        <v>58</v>
      </c>
      <c r="J1890" s="97" t="s">
        <v>3438</v>
      </c>
    </row>
    <row r="1891" spans="1:10" ht="28.9" customHeight="1" thickTop="1" thickBot="1" x14ac:dyDescent="0.65">
      <c r="A1891" s="5">
        <v>1889</v>
      </c>
      <c r="B1891" s="46" t="str">
        <f>HYPERLINK("https://search.naver.com/search.naver?query=시크릿 인 데어 아이즈 영화", "시크릿 인 데어 아이즈")</f>
        <v>시크릿 인 데어 아이즈</v>
      </c>
      <c r="C1891" s="47">
        <v>7.44</v>
      </c>
      <c r="D1891" s="6" t="s">
        <v>1993</v>
      </c>
      <c r="E1891" s="5" t="s">
        <v>20</v>
      </c>
      <c r="F1891" s="5">
        <v>2015</v>
      </c>
      <c r="G1891" s="5" t="s">
        <v>12</v>
      </c>
      <c r="H1891" s="5" t="s">
        <v>277</v>
      </c>
      <c r="I1891" s="5" t="s">
        <v>102</v>
      </c>
      <c r="J1891" s="98" t="s">
        <v>3440</v>
      </c>
    </row>
    <row r="1892" spans="1:10" ht="28.9" customHeight="1" thickTop="1" thickBot="1" x14ac:dyDescent="0.65">
      <c r="A1892" s="7">
        <v>1890</v>
      </c>
      <c r="B1892" s="48" t="str">
        <f>HYPERLINK("https://search.naver.com/search.naver?query=시타델 시즌1", "시타델 시즌1")</f>
        <v>시타델 시즌1</v>
      </c>
      <c r="C1892" s="49"/>
      <c r="D1892" s="8" t="s">
        <v>1994</v>
      </c>
      <c r="E1892" s="7" t="s">
        <v>20</v>
      </c>
      <c r="F1892" s="7">
        <v>2023</v>
      </c>
      <c r="G1892" s="7" t="s">
        <v>17</v>
      </c>
      <c r="H1892" s="7" t="s">
        <v>162</v>
      </c>
      <c r="I1892" s="7" t="s">
        <v>173</v>
      </c>
      <c r="J1892" s="99" t="s">
        <v>3446</v>
      </c>
    </row>
    <row r="1893" spans="1:10" ht="28.9" customHeight="1" thickTop="1" thickBot="1" x14ac:dyDescent="0.65">
      <c r="A1893" s="5">
        <v>1891</v>
      </c>
      <c r="B1893" s="46" t="str">
        <f>HYPERLINK("https://search.naver.com/search.naver?query=시티 오브 엠버 빛의 도시를 찾아서 영화", "시티 오브 엠버- 빛의 도시를 찾아서")</f>
        <v>시티 오브 엠버- 빛의 도시를 찾아서</v>
      </c>
      <c r="C1893" s="47">
        <v>6.4</v>
      </c>
      <c r="D1893" s="6" t="s">
        <v>1995</v>
      </c>
      <c r="E1893" s="5" t="s">
        <v>20</v>
      </c>
      <c r="F1893" s="5">
        <v>2008</v>
      </c>
      <c r="G1893" s="5" t="s">
        <v>12</v>
      </c>
      <c r="H1893" s="5" t="s">
        <v>824</v>
      </c>
      <c r="I1893" s="5" t="s">
        <v>111</v>
      </c>
      <c r="J1893" s="98" t="s">
        <v>3450</v>
      </c>
    </row>
    <row r="1894" spans="1:10" ht="28.9" customHeight="1" thickTop="1" thickBot="1" x14ac:dyDescent="0.65">
      <c r="A1894" s="3">
        <v>1892</v>
      </c>
      <c r="B1894" s="44" t="str">
        <f>HYPERLINK("https://search.naver.com/search.naver?query=영화 식스 빌로우", "식스 빌로우 빌로우 - 미라클 온 더 마운틴")</f>
        <v>식스 빌로우 빌로우 - 미라클 온 더 마운틴</v>
      </c>
      <c r="C1894" s="45">
        <v>7.52</v>
      </c>
      <c r="D1894" s="4" t="s">
        <v>1996</v>
      </c>
      <c r="E1894" s="3" t="s">
        <v>20</v>
      </c>
      <c r="F1894" s="3">
        <v>2018</v>
      </c>
      <c r="G1894" s="3" t="s">
        <v>12</v>
      </c>
      <c r="H1894" s="3" t="s">
        <v>162</v>
      </c>
      <c r="I1894" s="3" t="s">
        <v>14</v>
      </c>
      <c r="J1894" s="97" t="s">
        <v>3442</v>
      </c>
    </row>
    <row r="1895" spans="1:10" ht="28.9" customHeight="1" thickTop="1" thickBot="1" x14ac:dyDescent="0.65">
      <c r="A1895" s="5">
        <v>1893</v>
      </c>
      <c r="B1895" s="46" t="str">
        <f>HYPERLINK("https://search.naver.com/search.naver?query=식스틴 블럭 영화", "식스틴 블럭")</f>
        <v>식스틴 블럭</v>
      </c>
      <c r="C1895" s="47">
        <v>7.94</v>
      </c>
      <c r="D1895" s="6" t="s">
        <v>1997</v>
      </c>
      <c r="E1895" s="5" t="s">
        <v>20</v>
      </c>
      <c r="F1895" s="5">
        <v>2006</v>
      </c>
      <c r="G1895" s="5" t="s">
        <v>12</v>
      </c>
      <c r="H1895" s="5" t="s">
        <v>92</v>
      </c>
      <c r="I1895" s="5" t="s">
        <v>99</v>
      </c>
      <c r="J1895" s="98" t="s">
        <v>3460</v>
      </c>
    </row>
    <row r="1896" spans="1:10" ht="28.9" customHeight="1" thickTop="1" thickBot="1" x14ac:dyDescent="0.65">
      <c r="A1896" s="3">
        <v>1894</v>
      </c>
      <c r="B1896" s="44" t="str">
        <f>HYPERLINK("https://search.naver.com/search.naver?query=신과 나눈 이야기 영화", "신과 나눈 이야기")</f>
        <v>신과 나눈 이야기</v>
      </c>
      <c r="C1896" s="45">
        <v>8.06</v>
      </c>
      <c r="D1896" s="4" t="s">
        <v>1998</v>
      </c>
      <c r="E1896" s="3" t="s">
        <v>20</v>
      </c>
      <c r="F1896" s="3">
        <v>2006</v>
      </c>
      <c r="G1896" s="3" t="s">
        <v>12</v>
      </c>
      <c r="H1896" s="3" t="s">
        <v>17</v>
      </c>
      <c r="I1896" s="3" t="s">
        <v>137</v>
      </c>
      <c r="J1896" s="97" t="s">
        <v>3460</v>
      </c>
    </row>
    <row r="1897" spans="1:10" ht="28.9" customHeight="1" thickTop="1" thickBot="1" x14ac:dyDescent="0.65">
      <c r="A1897" s="5">
        <v>1895</v>
      </c>
      <c r="B1897" s="46" t="str">
        <f>HYPERLINK("https://search.naver.com/search.naver?query=신과 인간 영화", "신과 인간")</f>
        <v>신과 인간</v>
      </c>
      <c r="C1897" s="47">
        <v>8.1999999999999993</v>
      </c>
      <c r="D1897" s="6" t="s">
        <v>1999</v>
      </c>
      <c r="E1897" s="5" t="s">
        <v>210</v>
      </c>
      <c r="F1897" s="5">
        <v>2010</v>
      </c>
      <c r="G1897" s="5" t="s">
        <v>12</v>
      </c>
      <c r="H1897" s="5" t="s">
        <v>17</v>
      </c>
      <c r="I1897" s="5" t="s">
        <v>105</v>
      </c>
      <c r="J1897" s="98" t="s">
        <v>3455</v>
      </c>
    </row>
    <row r="1898" spans="1:10" ht="28.9" customHeight="1" thickTop="1" thickBot="1" x14ac:dyDescent="0.65">
      <c r="A1898" s="3">
        <v>1896</v>
      </c>
      <c r="B1898" s="44" t="str">
        <f>HYPERLINK("https://search.naver.com/search.naver?query=신과 인간 사이 영화", "신과 인간 사이")</f>
        <v>신과 인간 사이</v>
      </c>
      <c r="C1898" s="45">
        <v>6.4</v>
      </c>
      <c r="D1898" s="4" t="s">
        <v>2000</v>
      </c>
      <c r="E1898" s="3" t="s">
        <v>16</v>
      </c>
      <c r="F1898" s="3">
        <v>2017</v>
      </c>
      <c r="G1898" s="3" t="s">
        <v>12</v>
      </c>
      <c r="H1898" s="3" t="s">
        <v>17</v>
      </c>
      <c r="I1898" s="3" t="s">
        <v>119</v>
      </c>
      <c r="J1898" s="97" t="s">
        <v>3443</v>
      </c>
    </row>
    <row r="1899" spans="1:10" ht="28.9" customHeight="1" thickTop="1" thickBot="1" x14ac:dyDescent="0.65">
      <c r="A1899" s="5">
        <v>1897</v>
      </c>
      <c r="B1899" s="46" t="str">
        <f>HYPERLINK("https://search.naver.com/search.naver?query=신과 함께 가라 영화", "신과 함께 가라")</f>
        <v>신과 함께 가라</v>
      </c>
      <c r="C1899" s="47">
        <v>9.08</v>
      </c>
      <c r="D1899" s="6" t="s">
        <v>2001</v>
      </c>
      <c r="E1899" s="5" t="s">
        <v>101</v>
      </c>
      <c r="F1899" s="5">
        <v>2002</v>
      </c>
      <c r="G1899" s="5" t="s">
        <v>12</v>
      </c>
      <c r="H1899" s="5" t="s">
        <v>68</v>
      </c>
      <c r="I1899" s="5" t="s">
        <v>286</v>
      </c>
      <c r="J1899" s="98" t="s">
        <v>3466</v>
      </c>
    </row>
    <row r="1900" spans="1:10" ht="28.9" customHeight="1" thickTop="1" thickBot="1" x14ac:dyDescent="0.65">
      <c r="A1900" s="3">
        <v>1898</v>
      </c>
      <c r="B1900" s="44" t="str">
        <f>HYPERLINK("https://search.naver.com/search.naver?query=신과 함께 죄와 벌 영화", "신과 함께-죄와 벌")</f>
        <v>신과 함께-죄와 벌</v>
      </c>
      <c r="C1900" s="45">
        <v>8.73</v>
      </c>
      <c r="D1900" s="4" t="s">
        <v>2002</v>
      </c>
      <c r="E1900" s="3" t="s">
        <v>11</v>
      </c>
      <c r="F1900" s="3">
        <v>2017</v>
      </c>
      <c r="G1900" s="3" t="s">
        <v>12</v>
      </c>
      <c r="H1900" s="3" t="s">
        <v>868</v>
      </c>
      <c r="I1900" s="3" t="s">
        <v>305</v>
      </c>
      <c r="J1900" s="97" t="s">
        <v>3443</v>
      </c>
    </row>
    <row r="1901" spans="1:10" ht="28.9" customHeight="1" thickTop="1" thickBot="1" x14ac:dyDescent="0.65">
      <c r="A1901" s="5">
        <v>1899</v>
      </c>
      <c r="B1901" s="46" t="str">
        <f>HYPERLINK("https://search.naver.com/search.naver?query=신과함께 인과 연 영화", "신과함께-인과 연")</f>
        <v>신과함께-인과 연</v>
      </c>
      <c r="C1901" s="47">
        <v>8.6300000000000008</v>
      </c>
      <c r="D1901" s="6" t="s">
        <v>2003</v>
      </c>
      <c r="E1901" s="5" t="s">
        <v>11</v>
      </c>
      <c r="F1901" s="5">
        <v>2018</v>
      </c>
      <c r="G1901" s="5" t="s">
        <v>12</v>
      </c>
      <c r="H1901" s="5" t="s">
        <v>868</v>
      </c>
      <c r="I1901" s="5" t="s">
        <v>455</v>
      </c>
      <c r="J1901" s="98" t="s">
        <v>3442</v>
      </c>
    </row>
    <row r="1902" spans="1:10" ht="28.9" customHeight="1" thickTop="1" thickBot="1" x14ac:dyDescent="0.65">
      <c r="A1902" s="3">
        <v>1900</v>
      </c>
      <c r="B1902" s="44" t="str">
        <f>HYPERLINK("https://search.naver.com/search.naver?query=신기전 영화", "신기전")</f>
        <v>신기전</v>
      </c>
      <c r="C1902" s="45">
        <v>8.2799999999999994</v>
      </c>
      <c r="D1902" s="4" t="s">
        <v>2004</v>
      </c>
      <c r="E1902" s="3" t="s">
        <v>11</v>
      </c>
      <c r="F1902" s="3">
        <v>2008</v>
      </c>
      <c r="G1902" s="3" t="s">
        <v>12</v>
      </c>
      <c r="H1902" s="3" t="s">
        <v>873</v>
      </c>
      <c r="I1902" s="3" t="s">
        <v>221</v>
      </c>
      <c r="J1902" s="97" t="s">
        <v>3450</v>
      </c>
    </row>
    <row r="1903" spans="1:10" ht="28.9" customHeight="1" thickTop="1" thickBot="1" x14ac:dyDescent="0.65">
      <c r="A1903" s="5">
        <v>1901</v>
      </c>
      <c r="B1903" s="46" t="str">
        <f>HYPERLINK("https://search.naver.com/search.naver?query=신데렐라 맨 영화", "신데렐라 맨")</f>
        <v>신데렐라 맨</v>
      </c>
      <c r="C1903" s="47">
        <v>9.26</v>
      </c>
      <c r="D1903" s="6" t="s">
        <v>2005</v>
      </c>
      <c r="E1903" s="5" t="s">
        <v>20</v>
      </c>
      <c r="F1903" s="5">
        <v>2005</v>
      </c>
      <c r="G1903" s="5" t="s">
        <v>12</v>
      </c>
      <c r="H1903" s="5" t="s">
        <v>17</v>
      </c>
      <c r="I1903" s="5" t="s">
        <v>45</v>
      </c>
      <c r="J1903" s="98" t="s">
        <v>3461</v>
      </c>
    </row>
    <row r="1904" spans="1:10" ht="28.9" customHeight="1" thickTop="1" thickBot="1" x14ac:dyDescent="0.65">
      <c r="A1904" s="3">
        <v>1902</v>
      </c>
      <c r="B1904" s="44" t="str">
        <f>HYPERLINK("https://search.naver.com/search.naver?query=신문기자", "신문기자")</f>
        <v>신문기자</v>
      </c>
      <c r="C1904" s="45">
        <v>7.53</v>
      </c>
      <c r="D1904" s="4" t="s">
        <v>2006</v>
      </c>
      <c r="E1904" s="3" t="s">
        <v>16</v>
      </c>
      <c r="F1904" s="3">
        <v>2019</v>
      </c>
      <c r="G1904" s="3" t="s">
        <v>12</v>
      </c>
      <c r="H1904" s="3" t="s">
        <v>17</v>
      </c>
      <c r="I1904" s="3" t="s">
        <v>73</v>
      </c>
      <c r="J1904" s="97" t="s">
        <v>3444</v>
      </c>
    </row>
    <row r="1905" spans="1:10" ht="28.9" customHeight="1" thickTop="1" thickBot="1" x14ac:dyDescent="0.65">
      <c r="A1905" s="7">
        <v>1903</v>
      </c>
      <c r="B1905" s="48" t="str">
        <f>HYPERLINK("https://search.naver.com/search.naver?query=신문기자 드라마", "신문기자")</f>
        <v>신문기자</v>
      </c>
      <c r="C1905" s="49"/>
      <c r="D1905" s="8" t="s">
        <v>2007</v>
      </c>
      <c r="E1905" s="7" t="s">
        <v>16</v>
      </c>
      <c r="F1905" s="7">
        <v>2022</v>
      </c>
      <c r="G1905" s="7" t="s">
        <v>17</v>
      </c>
      <c r="H1905" s="7" t="s">
        <v>17</v>
      </c>
      <c r="I1905" s="7" t="s">
        <v>173</v>
      </c>
      <c r="J1905" s="99" t="s">
        <v>3445</v>
      </c>
    </row>
    <row r="1906" spans="1:10" ht="28.9" customHeight="1" thickTop="1" thickBot="1" x14ac:dyDescent="0.65">
      <c r="A1906" s="3">
        <v>1904</v>
      </c>
      <c r="B1906" s="44" t="str">
        <f>HYPERLINK("https://search.naver.com/search.naver?query=신부가 된 복서 영화", "신부가 된 복서")</f>
        <v>신부가 된 복서</v>
      </c>
      <c r="C1906" s="45">
        <v>6.4</v>
      </c>
      <c r="D1906" s="4" t="s">
        <v>2008</v>
      </c>
      <c r="E1906" s="3" t="s">
        <v>20</v>
      </c>
      <c r="F1906" s="3">
        <v>2022</v>
      </c>
      <c r="G1906" s="3" t="s">
        <v>12</v>
      </c>
      <c r="H1906" s="3" t="s">
        <v>17</v>
      </c>
      <c r="I1906" s="3" t="s">
        <v>134</v>
      </c>
      <c r="J1906" s="97" t="s">
        <v>3445</v>
      </c>
    </row>
    <row r="1907" spans="1:10" ht="28.9" customHeight="1" thickTop="1" thickBot="1" x14ac:dyDescent="0.65">
      <c r="A1907" s="5">
        <v>1905</v>
      </c>
      <c r="B1907" s="46" t="str">
        <f>HYPERLINK("https://search.naver.com/search.naver?query=신세계 영화", "신세계")</f>
        <v>신세계</v>
      </c>
      <c r="C1907" s="47">
        <v>8.9499999999999993</v>
      </c>
      <c r="D1907" s="6" t="s">
        <v>2009</v>
      </c>
      <c r="E1907" s="5" t="s">
        <v>11</v>
      </c>
      <c r="F1907" s="5">
        <v>2012</v>
      </c>
      <c r="G1907" s="5" t="s">
        <v>12</v>
      </c>
      <c r="H1907" s="5" t="s">
        <v>277</v>
      </c>
      <c r="I1907" s="5" t="s">
        <v>543</v>
      </c>
      <c r="J1907" s="98" t="s">
        <v>3439</v>
      </c>
    </row>
    <row r="1908" spans="1:10" ht="28.9" customHeight="1" thickTop="1" thickBot="1" x14ac:dyDescent="0.65">
      <c r="A1908" s="3">
        <v>1906</v>
      </c>
      <c r="B1908" s="44" t="str">
        <f>HYPERLINK("https://search.naver.com/search.naver?query=신은 죽지 않았다 2 영화", "신은 죽지 않았다 2")</f>
        <v>신은 죽지 않았다 2</v>
      </c>
      <c r="C1908" s="45">
        <v>9.56</v>
      </c>
      <c r="D1908" s="4" t="s">
        <v>2010</v>
      </c>
      <c r="E1908" s="3" t="s">
        <v>20</v>
      </c>
      <c r="F1908" s="3">
        <v>2016</v>
      </c>
      <c r="G1908" s="3" t="s">
        <v>12</v>
      </c>
      <c r="H1908" s="3" t="s">
        <v>17</v>
      </c>
      <c r="I1908" s="3" t="s">
        <v>142</v>
      </c>
      <c r="J1908" s="97" t="s">
        <v>3441</v>
      </c>
    </row>
    <row r="1909" spans="1:10" ht="28.9" customHeight="1" thickTop="1" thickBot="1" x14ac:dyDescent="0.65">
      <c r="A1909" s="5">
        <v>1907</v>
      </c>
      <c r="B1909" s="46" t="str">
        <f>HYPERLINK("https://search.naver.com/search.naver?query=신은 죽지 않았다 3 어둠 속의 빛 영화", "신은 죽지 않았다 3-어둠 속의 빛")</f>
        <v>신은 죽지 않았다 3-어둠 속의 빛</v>
      </c>
      <c r="C1909" s="47">
        <v>8.9700000000000006</v>
      </c>
      <c r="D1909" s="6" t="s">
        <v>2011</v>
      </c>
      <c r="E1909" s="5" t="s">
        <v>20</v>
      </c>
      <c r="F1909" s="5">
        <v>2018</v>
      </c>
      <c r="G1909" s="5" t="s">
        <v>12</v>
      </c>
      <c r="H1909" s="5" t="s">
        <v>17</v>
      </c>
      <c r="I1909" s="5" t="s">
        <v>170</v>
      </c>
      <c r="J1909" s="98" t="s">
        <v>3442</v>
      </c>
    </row>
    <row r="1910" spans="1:10" ht="28.9" customHeight="1" thickTop="1" thickBot="1" x14ac:dyDescent="0.65">
      <c r="A1910" s="3">
        <v>1908</v>
      </c>
      <c r="B1910" s="44" t="str">
        <f>HYPERLINK("https://search.naver.com/search.naver?query=신을 믿습니까 영화", "신을 믿습니까")</f>
        <v>신을 믿습니까</v>
      </c>
      <c r="C1910" s="45">
        <v>9.11</v>
      </c>
      <c r="D1910" s="4" t="s">
        <v>2012</v>
      </c>
      <c r="E1910" s="3" t="s">
        <v>20</v>
      </c>
      <c r="F1910" s="3">
        <v>2015</v>
      </c>
      <c r="G1910" s="3" t="s">
        <v>12</v>
      </c>
      <c r="H1910" s="3" t="s">
        <v>17</v>
      </c>
      <c r="I1910" s="3" t="s">
        <v>47</v>
      </c>
      <c r="J1910" s="97" t="s">
        <v>3440</v>
      </c>
    </row>
    <row r="1911" spans="1:10" ht="28.9" customHeight="1" thickTop="1" thickBot="1" x14ac:dyDescent="0.65">
      <c r="A1911" s="5">
        <v>1909</v>
      </c>
      <c r="B1911" s="46" t="str">
        <f>HYPERLINK("https://search.naver.com/search.naver?query=신의 기적 영화", "신의 기적")</f>
        <v>신의 기적</v>
      </c>
      <c r="C1911" s="47">
        <v>5.78</v>
      </c>
      <c r="D1911" s="6" t="s">
        <v>2013</v>
      </c>
      <c r="E1911" s="5" t="s">
        <v>20</v>
      </c>
      <c r="F1911" s="5">
        <v>2017</v>
      </c>
      <c r="G1911" s="5" t="s">
        <v>12</v>
      </c>
      <c r="H1911" s="5" t="s">
        <v>17</v>
      </c>
      <c r="I1911" s="5" t="s">
        <v>93</v>
      </c>
      <c r="J1911" s="98" t="s">
        <v>3443</v>
      </c>
    </row>
    <row r="1912" spans="1:10" ht="28.9" customHeight="1" thickTop="1" thickBot="1" x14ac:dyDescent="0.65">
      <c r="A1912" s="3">
        <v>1910</v>
      </c>
      <c r="B1912" s="44" t="str">
        <f>HYPERLINK("https://search.naver.com/search.naver?query=신의 나라 영화", "신의 나라")</f>
        <v>신의 나라</v>
      </c>
      <c r="C1912" s="45">
        <v>7.5</v>
      </c>
      <c r="D1912" s="4" t="s">
        <v>2014</v>
      </c>
      <c r="E1912" s="3" t="s">
        <v>24</v>
      </c>
      <c r="F1912" s="3">
        <v>2017</v>
      </c>
      <c r="G1912" s="3" t="s">
        <v>12</v>
      </c>
      <c r="H1912" s="3" t="s">
        <v>17</v>
      </c>
      <c r="I1912" s="3" t="s">
        <v>170</v>
      </c>
      <c r="J1912" s="97" t="s">
        <v>3443</v>
      </c>
    </row>
    <row r="1913" spans="1:10" ht="28.9" customHeight="1" thickTop="1" thickBot="1" x14ac:dyDescent="0.65">
      <c r="A1913" s="7">
        <v>1911</v>
      </c>
      <c r="B1913" s="48" t="str">
        <f>HYPERLINK("https://search.naver.com/search.naver?query=신의 물방울 시즌1", "신의 물방울 시즌1")</f>
        <v>신의 물방울 시즌1</v>
      </c>
      <c r="C1913" s="49"/>
      <c r="D1913" s="8" t="s">
        <v>2015</v>
      </c>
      <c r="E1913" s="7" t="s">
        <v>210</v>
      </c>
      <c r="F1913" s="7">
        <v>2023</v>
      </c>
      <c r="G1913" s="7" t="s">
        <v>17</v>
      </c>
      <c r="H1913" s="7" t="s">
        <v>17</v>
      </c>
      <c r="I1913" s="7" t="s">
        <v>55</v>
      </c>
      <c r="J1913" s="99" t="s">
        <v>3446</v>
      </c>
    </row>
    <row r="1914" spans="1:10" ht="28.9" customHeight="1" thickTop="1" thickBot="1" x14ac:dyDescent="0.65">
      <c r="A1914" s="3">
        <v>1912</v>
      </c>
      <c r="B1914" s="44" t="str">
        <f>HYPERLINK("https://search.naver.com/search.naver?query=신의 카르테 영화", "신의 카르테")</f>
        <v>신의 카르테</v>
      </c>
      <c r="C1914" s="45"/>
      <c r="D1914" s="4" t="s">
        <v>2016</v>
      </c>
      <c r="E1914" s="3" t="s">
        <v>16</v>
      </c>
      <c r="F1914" s="3">
        <v>2011</v>
      </c>
      <c r="G1914" s="3" t="s">
        <v>12</v>
      </c>
      <c r="H1914" s="3" t="s">
        <v>17</v>
      </c>
      <c r="I1914" s="3" t="s">
        <v>111</v>
      </c>
      <c r="J1914" s="97" t="s">
        <v>3454</v>
      </c>
    </row>
    <row r="1915" spans="1:10" ht="28.9" customHeight="1" thickTop="1" thickBot="1" x14ac:dyDescent="0.65">
      <c r="A1915" s="5">
        <v>1913</v>
      </c>
      <c r="B1915" s="46" t="str">
        <f>HYPERLINK("https://search.naver.com/search.naver?query=신의 카르테 2 영화", "신의 카르테 2")</f>
        <v>신의 카르테 2</v>
      </c>
      <c r="C1915" s="47">
        <v>6.4</v>
      </c>
      <c r="D1915" s="6" t="s">
        <v>2017</v>
      </c>
      <c r="E1915" s="5" t="s">
        <v>16</v>
      </c>
      <c r="F1915" s="5">
        <v>2014</v>
      </c>
      <c r="G1915" s="5" t="s">
        <v>12</v>
      </c>
      <c r="H1915" s="5" t="s">
        <v>17</v>
      </c>
      <c r="I1915" s="5" t="s">
        <v>111</v>
      </c>
      <c r="J1915" s="98" t="s">
        <v>3437</v>
      </c>
    </row>
    <row r="1916" spans="1:10" ht="28.9" customHeight="1" thickTop="1" thickBot="1" x14ac:dyDescent="0.65">
      <c r="A1916" s="3">
        <v>1914</v>
      </c>
      <c r="B1916" s="44" t="str">
        <f>HYPERLINK("https://search.naver.com/search.naver?query=신의 한 수 영화", "신의 한 수")</f>
        <v>신의 한 수</v>
      </c>
      <c r="C1916" s="45">
        <v>8.41</v>
      </c>
      <c r="D1916" s="4" t="s">
        <v>2018</v>
      </c>
      <c r="E1916" s="3" t="s">
        <v>11</v>
      </c>
      <c r="F1916" s="3">
        <v>2014</v>
      </c>
      <c r="G1916" s="3" t="s">
        <v>12</v>
      </c>
      <c r="H1916" s="3" t="s">
        <v>92</v>
      </c>
      <c r="I1916" s="3" t="s">
        <v>221</v>
      </c>
      <c r="J1916" s="97" t="s">
        <v>3437</v>
      </c>
    </row>
    <row r="1917" spans="1:10" ht="28.9" customHeight="1" thickTop="1" thickBot="1" x14ac:dyDescent="0.65">
      <c r="A1917" s="5">
        <v>1915</v>
      </c>
      <c r="B1917" s="46" t="str">
        <f>HYPERLINK("https://search.naver.com/search.naver?query=신의 한 수 귀수편 영화", "신의 한 수 귀수편")</f>
        <v>신의 한 수 귀수편</v>
      </c>
      <c r="C1917" s="47">
        <v>8.66</v>
      </c>
      <c r="D1917" s="6" t="s">
        <v>2019</v>
      </c>
      <c r="E1917" s="5" t="s">
        <v>11</v>
      </c>
      <c r="F1917" s="5">
        <v>2019</v>
      </c>
      <c r="G1917" s="5" t="s">
        <v>12</v>
      </c>
      <c r="H1917" s="5" t="s">
        <v>92</v>
      </c>
      <c r="I1917" s="5" t="s">
        <v>286</v>
      </c>
      <c r="J1917" s="98" t="s">
        <v>3444</v>
      </c>
    </row>
    <row r="1918" spans="1:10" ht="28.9" customHeight="1" thickTop="1" thickBot="1" x14ac:dyDescent="0.65">
      <c r="A1918" s="3">
        <v>1916</v>
      </c>
      <c r="B1918" s="44" t="str">
        <f>HYPERLINK("https://search.naver.com/search.naver?query=신이 보낸 사람 영화", "신이 보낸 사람")</f>
        <v>신이 보낸 사람</v>
      </c>
      <c r="C1918" s="45">
        <v>8.57</v>
      </c>
      <c r="D1918" s="4" t="s">
        <v>2020</v>
      </c>
      <c r="E1918" s="3" t="s">
        <v>11</v>
      </c>
      <c r="F1918" s="3">
        <v>2014</v>
      </c>
      <c r="G1918" s="3" t="s">
        <v>12</v>
      </c>
      <c r="H1918" s="3" t="s">
        <v>17</v>
      </c>
      <c r="I1918" s="3" t="s">
        <v>111</v>
      </c>
      <c r="J1918" s="97" t="s">
        <v>3437</v>
      </c>
    </row>
    <row r="1919" spans="1:10" ht="28.9" customHeight="1" thickTop="1" thickBot="1" x14ac:dyDescent="0.65">
      <c r="A1919" s="5">
        <v>1917</v>
      </c>
      <c r="B1919" s="46" t="str">
        <f>HYPERLINK("https://search.naver.com/search.naver?query=실고 영화", "실고")</f>
        <v>실고</v>
      </c>
      <c r="C1919" s="47">
        <v>8.65</v>
      </c>
      <c r="D1919" s="6" t="s">
        <v>2021</v>
      </c>
      <c r="E1919" s="5" t="s">
        <v>136</v>
      </c>
      <c r="F1919" s="5">
        <v>2015</v>
      </c>
      <c r="G1919" s="5" t="s">
        <v>12</v>
      </c>
      <c r="H1919" s="5" t="s">
        <v>17</v>
      </c>
      <c r="I1919" s="5" t="s">
        <v>31</v>
      </c>
      <c r="J1919" s="98" t="s">
        <v>3440</v>
      </c>
    </row>
    <row r="1920" spans="1:10" ht="28.9" customHeight="1" thickTop="1" thickBot="1" x14ac:dyDescent="0.65">
      <c r="A1920" s="3">
        <v>1918</v>
      </c>
      <c r="B1920" s="44" t="str">
        <f>HYPERLINK("https://search.naver.com/search.naver?query=실락원 영화", "실락원")</f>
        <v>실락원</v>
      </c>
      <c r="C1920" s="45">
        <v>7.48</v>
      </c>
      <c r="D1920" s="4" t="s">
        <v>2022</v>
      </c>
      <c r="E1920" s="3" t="s">
        <v>20</v>
      </c>
      <c r="F1920" s="3">
        <v>1997</v>
      </c>
      <c r="G1920" s="3" t="s">
        <v>12</v>
      </c>
      <c r="H1920" s="3" t="s">
        <v>17</v>
      </c>
      <c r="I1920" s="3" t="s">
        <v>111</v>
      </c>
      <c r="J1920" s="97" t="s">
        <v>3470</v>
      </c>
    </row>
    <row r="1921" spans="1:10" ht="28.9" customHeight="1" thickTop="1" thickBot="1" x14ac:dyDescent="0.65">
      <c r="A1921" s="5">
        <v>1919</v>
      </c>
      <c r="B1921" s="46" t="str">
        <f>HYPERLINK("https://search.naver.com/search.naver?query=실미도 영화", "실미도")</f>
        <v>실미도</v>
      </c>
      <c r="C1921" s="47">
        <v>8.39</v>
      </c>
      <c r="D1921" s="6" t="s">
        <v>2023</v>
      </c>
      <c r="E1921" s="5" t="s">
        <v>11</v>
      </c>
      <c r="F1921" s="5">
        <v>2003</v>
      </c>
      <c r="G1921" s="5" t="s">
        <v>12</v>
      </c>
      <c r="H1921" s="5" t="s">
        <v>17</v>
      </c>
      <c r="I1921" s="5" t="s">
        <v>41</v>
      </c>
      <c r="J1921" s="98" t="s">
        <v>3449</v>
      </c>
    </row>
    <row r="1922" spans="1:10" ht="28.9" customHeight="1" thickTop="1" thickBot="1" x14ac:dyDescent="0.65">
      <c r="A1922" s="3">
        <v>1920</v>
      </c>
      <c r="B1922" s="44" t="str">
        <f>HYPERLINK("https://search.naver.com/search.naver?query=실버라이닝 플레이북 영화", "실버라이닝 플레이북")</f>
        <v>실버라이닝 플레이북</v>
      </c>
      <c r="C1922" s="45">
        <v>8.6300000000000008</v>
      </c>
      <c r="D1922" s="4" t="s">
        <v>2024</v>
      </c>
      <c r="E1922" s="3" t="s">
        <v>20</v>
      </c>
      <c r="F1922" s="3">
        <v>2012</v>
      </c>
      <c r="G1922" s="3" t="s">
        <v>12</v>
      </c>
      <c r="H1922" s="3" t="s">
        <v>68</v>
      </c>
      <c r="I1922" s="3" t="s">
        <v>105</v>
      </c>
      <c r="J1922" s="97" t="s">
        <v>3439</v>
      </c>
    </row>
    <row r="1923" spans="1:10" ht="28.9" customHeight="1" thickTop="1" thickBot="1" x14ac:dyDescent="0.65">
      <c r="A1923" s="5">
        <v>1921</v>
      </c>
      <c r="B1923" s="46" t="str">
        <f>HYPERLINK("https://search.naver.com/search.naver?query=실 인연의 시작 영화", "실-인연의 시작")</f>
        <v>실-인연의 시작</v>
      </c>
      <c r="C1923" s="47">
        <v>7.71</v>
      </c>
      <c r="D1923" s="6" t="s">
        <v>2025</v>
      </c>
      <c r="E1923" s="5" t="s">
        <v>16</v>
      </c>
      <c r="F1923" s="5">
        <v>2021</v>
      </c>
      <c r="G1923" s="5" t="s">
        <v>12</v>
      </c>
      <c r="H1923" s="5" t="s">
        <v>17</v>
      </c>
      <c r="I1923" s="5" t="s">
        <v>111</v>
      </c>
      <c r="J1923" s="98" t="s">
        <v>3438</v>
      </c>
    </row>
    <row r="1924" spans="1:10" ht="28.9" customHeight="1" thickTop="1" thickBot="1" x14ac:dyDescent="0.65">
      <c r="A1924" s="3">
        <v>1922</v>
      </c>
      <c r="B1924" s="44" t="str">
        <f>HYPERLINK("https://search.naver.com/search.naver?query=실종 영화", "실종")</f>
        <v>실종</v>
      </c>
      <c r="C1924" s="45">
        <v>7.74</v>
      </c>
      <c r="D1924" s="4" t="s">
        <v>2026</v>
      </c>
      <c r="E1924" s="3" t="s">
        <v>16</v>
      </c>
      <c r="F1924" s="3">
        <v>2022</v>
      </c>
      <c r="G1924" s="3" t="s">
        <v>12</v>
      </c>
      <c r="H1924" s="3" t="s">
        <v>43</v>
      </c>
      <c r="I1924" s="3" t="s">
        <v>58</v>
      </c>
      <c r="J1924" s="97" t="s">
        <v>3445</v>
      </c>
    </row>
    <row r="1925" spans="1:10" ht="28.9" customHeight="1" thickTop="1" thickBot="1" x14ac:dyDescent="0.65">
      <c r="A1925" s="5">
        <v>1923</v>
      </c>
      <c r="B1925" s="46" t="str">
        <f>HYPERLINK("https://search.naver.com/search.naver?query=실크 로드 영화", "실크 로드")</f>
        <v>실크 로드</v>
      </c>
      <c r="C1925" s="47">
        <v>7.24</v>
      </c>
      <c r="D1925" s="6" t="s">
        <v>2027</v>
      </c>
      <c r="E1925" s="5" t="s">
        <v>20</v>
      </c>
      <c r="F1925" s="5">
        <v>2021</v>
      </c>
      <c r="G1925" s="5" t="s">
        <v>12</v>
      </c>
      <c r="H1925" s="5" t="s">
        <v>277</v>
      </c>
      <c r="I1925" s="5" t="s">
        <v>278</v>
      </c>
      <c r="J1925" s="98" t="s">
        <v>3438</v>
      </c>
    </row>
    <row r="1926" spans="1:10" ht="28.9" customHeight="1" thickTop="1" thickBot="1" x14ac:dyDescent="0.65">
      <c r="A1926" s="7">
        <v>1924</v>
      </c>
      <c r="B1926" s="48" t="str">
        <f>HYPERLINK("https://search.naver.com/search.naver?query=실크 시즌1", "실크 시즌1")</f>
        <v>실크 시즌1</v>
      </c>
      <c r="C1926" s="49"/>
      <c r="D1926" s="8" t="s">
        <v>2028</v>
      </c>
      <c r="E1926" s="7" t="s">
        <v>24</v>
      </c>
      <c r="F1926" s="7">
        <v>2011</v>
      </c>
      <c r="G1926" s="7" t="s">
        <v>17</v>
      </c>
      <c r="H1926" s="7" t="s">
        <v>17</v>
      </c>
      <c r="I1926" s="7" t="s">
        <v>173</v>
      </c>
      <c r="J1926" s="99" t="s">
        <v>3454</v>
      </c>
    </row>
    <row r="1927" spans="1:10" ht="28.9" customHeight="1" thickTop="1" thickBot="1" x14ac:dyDescent="0.65">
      <c r="A1927" s="7">
        <v>1925</v>
      </c>
      <c r="B1927" s="48" t="str">
        <f>HYPERLINK("https://search.naver.com/search.naver?query=실크 시즌2", "실크 시즌2")</f>
        <v>실크 시즌2</v>
      </c>
      <c r="C1927" s="49"/>
      <c r="D1927" s="8" t="s">
        <v>2029</v>
      </c>
      <c r="E1927" s="7" t="s">
        <v>24</v>
      </c>
      <c r="F1927" s="7">
        <v>2012</v>
      </c>
      <c r="G1927" s="7" t="s">
        <v>17</v>
      </c>
      <c r="H1927" s="7" t="s">
        <v>17</v>
      </c>
      <c r="I1927" s="7" t="s">
        <v>173</v>
      </c>
      <c r="J1927" s="99" t="s">
        <v>3439</v>
      </c>
    </row>
    <row r="1928" spans="1:10" ht="28.9" customHeight="1" thickTop="1" thickBot="1" x14ac:dyDescent="0.65">
      <c r="A1928" s="3">
        <v>1926</v>
      </c>
      <c r="B1928" s="44" t="str">
        <f>HYPERLINK("https://search.naver.com/search.naver?query=실화 숨겨진 비밀 영화", "실화-숨겨진 비밀")</f>
        <v>실화-숨겨진 비밀</v>
      </c>
      <c r="C1928" s="45">
        <v>5.1100000000000003</v>
      </c>
      <c r="D1928" s="4" t="s">
        <v>2030</v>
      </c>
      <c r="E1928" s="3" t="s">
        <v>210</v>
      </c>
      <c r="F1928" s="3">
        <v>2019</v>
      </c>
      <c r="G1928" s="3" t="s">
        <v>12</v>
      </c>
      <c r="H1928" s="3" t="s">
        <v>43</v>
      </c>
      <c r="I1928" s="3" t="s">
        <v>111</v>
      </c>
      <c r="J1928" s="97" t="s">
        <v>3444</v>
      </c>
    </row>
    <row r="1929" spans="1:10" ht="28.9" customHeight="1" thickTop="1" thickBot="1" x14ac:dyDescent="0.65">
      <c r="A1929" s="5">
        <v>1927</v>
      </c>
      <c r="B1929" s="46" t="str">
        <f>HYPERLINK("https://search.naver.com/search.naver?query=심야식당 영화", "심야식당")</f>
        <v>심야식당</v>
      </c>
      <c r="C1929" s="47">
        <v>8.7899999999999991</v>
      </c>
      <c r="D1929" s="6" t="s">
        <v>2031</v>
      </c>
      <c r="E1929" s="5" t="s">
        <v>16</v>
      </c>
      <c r="F1929" s="5">
        <v>2015</v>
      </c>
      <c r="G1929" s="5" t="s">
        <v>12</v>
      </c>
      <c r="H1929" s="5" t="s">
        <v>17</v>
      </c>
      <c r="I1929" s="5" t="s">
        <v>53</v>
      </c>
      <c r="J1929" s="98" t="s">
        <v>3440</v>
      </c>
    </row>
    <row r="1930" spans="1:10" ht="28.9" customHeight="1" thickTop="1" thickBot="1" x14ac:dyDescent="0.65">
      <c r="A1930" s="3">
        <v>1928</v>
      </c>
      <c r="B1930" s="44" t="str">
        <f>HYPERLINK("https://search.naver.com/search.naver?query=심야식당 2 영화", "심야식당 2")</f>
        <v>심야식당 2</v>
      </c>
      <c r="C1930" s="45">
        <v>8.7899999999999991</v>
      </c>
      <c r="D1930" s="4" t="s">
        <v>2032</v>
      </c>
      <c r="E1930" s="3" t="s">
        <v>16</v>
      </c>
      <c r="F1930" s="3">
        <v>2016</v>
      </c>
      <c r="G1930" s="3" t="s">
        <v>12</v>
      </c>
      <c r="H1930" s="3" t="s">
        <v>17</v>
      </c>
      <c r="I1930" s="3" t="s">
        <v>31</v>
      </c>
      <c r="J1930" s="97" t="s">
        <v>3441</v>
      </c>
    </row>
    <row r="1931" spans="1:10" ht="28.9" customHeight="1" thickTop="1" thickBot="1" x14ac:dyDescent="0.65">
      <c r="A1931" s="5">
        <v>1929</v>
      </c>
      <c r="B1931" s="46" t="str">
        <f>HYPERLINK("https://search.naver.com/search.naver?query=심야의 FM 영화", "심야의 FM")</f>
        <v>심야의 FM</v>
      </c>
      <c r="C1931" s="47">
        <v>6.83</v>
      </c>
      <c r="D1931" s="6" t="s">
        <v>2033</v>
      </c>
      <c r="E1931" s="5" t="s">
        <v>11</v>
      </c>
      <c r="F1931" s="5">
        <v>2010</v>
      </c>
      <c r="G1931" s="5" t="s">
        <v>12</v>
      </c>
      <c r="H1931" s="5" t="s">
        <v>43</v>
      </c>
      <c r="I1931" s="5" t="s">
        <v>131</v>
      </c>
      <c r="J1931" s="98" t="s">
        <v>3455</v>
      </c>
    </row>
    <row r="1932" spans="1:10" ht="28.9" customHeight="1" thickTop="1" thickBot="1" x14ac:dyDescent="0.65">
      <c r="A1932" s="3">
        <v>1930</v>
      </c>
      <c r="B1932" s="44" t="str">
        <f>HYPERLINK("https://search.naver.com/search.naver?query=심장이 뛴다 영화", "심장이 뛴다")</f>
        <v>심장이 뛴다</v>
      </c>
      <c r="C1932" s="45">
        <v>7.53</v>
      </c>
      <c r="D1932" s="4" t="s">
        <v>2034</v>
      </c>
      <c r="E1932" s="3" t="s">
        <v>11</v>
      </c>
      <c r="F1932" s="3">
        <v>2011</v>
      </c>
      <c r="G1932" s="3" t="s">
        <v>12</v>
      </c>
      <c r="H1932" s="3" t="s">
        <v>92</v>
      </c>
      <c r="I1932" s="3" t="s">
        <v>111</v>
      </c>
      <c r="J1932" s="97" t="s">
        <v>3454</v>
      </c>
    </row>
    <row r="1933" spans="1:10" ht="28.9" customHeight="1" thickTop="1" thickBot="1" x14ac:dyDescent="0.65">
      <c r="A1933" s="5">
        <v>1931</v>
      </c>
      <c r="B1933" s="46" t="str">
        <f>HYPERLINK("https://search.naver.com/search.naver?query=심판 영화", "심판")</f>
        <v>심판</v>
      </c>
      <c r="C1933" s="47">
        <v>8.2899999999999991</v>
      </c>
      <c r="D1933" s="6" t="s">
        <v>2035</v>
      </c>
      <c r="E1933" s="5" t="s">
        <v>101</v>
      </c>
      <c r="F1933" s="5">
        <v>2019</v>
      </c>
      <c r="G1933" s="5" t="s">
        <v>12</v>
      </c>
      <c r="H1933" s="5" t="s">
        <v>17</v>
      </c>
      <c r="I1933" s="5" t="s">
        <v>286</v>
      </c>
      <c r="J1933" s="98" t="s">
        <v>3444</v>
      </c>
    </row>
    <row r="1934" spans="1:10" ht="28.9" customHeight="1" thickTop="1" thickBot="1" x14ac:dyDescent="0.65">
      <c r="A1934" s="3">
        <v>1932</v>
      </c>
      <c r="B1934" s="44" t="str">
        <f>HYPERLINK("https://search.naver.com/search.naver?query=심플 라이프 영화", "심플 라이프")</f>
        <v>심플 라이프</v>
      </c>
      <c r="C1934" s="45">
        <v>8.93</v>
      </c>
      <c r="D1934" s="4" t="s">
        <v>2036</v>
      </c>
      <c r="E1934" s="3" t="s">
        <v>91</v>
      </c>
      <c r="F1934" s="3">
        <v>2011</v>
      </c>
      <c r="G1934" s="3" t="s">
        <v>12</v>
      </c>
      <c r="H1934" s="3" t="s">
        <v>17</v>
      </c>
      <c r="I1934" s="3" t="s">
        <v>221</v>
      </c>
      <c r="J1934" s="97" t="s">
        <v>3454</v>
      </c>
    </row>
    <row r="1935" spans="1:10" ht="28.9" customHeight="1" thickTop="1" thickBot="1" x14ac:dyDescent="0.65">
      <c r="A1935" s="5">
        <v>1933</v>
      </c>
      <c r="B1935" s="46" t="str">
        <f>HYPERLINK("https://search.naver.com/search.naver?query=싱글 맨 영화", "싱글 맨")</f>
        <v>싱글 맨</v>
      </c>
      <c r="C1935" s="47">
        <v>8.77</v>
      </c>
      <c r="D1935" s="6" t="s">
        <v>2037</v>
      </c>
      <c r="E1935" s="5" t="s">
        <v>20</v>
      </c>
      <c r="F1935" s="5">
        <v>2009</v>
      </c>
      <c r="G1935" s="5" t="s">
        <v>12</v>
      </c>
      <c r="H1935" s="5" t="s">
        <v>17</v>
      </c>
      <c r="I1935" s="5" t="s">
        <v>81</v>
      </c>
      <c r="J1935" s="98" t="s">
        <v>3453</v>
      </c>
    </row>
    <row r="1936" spans="1:10" ht="28.9" customHeight="1" thickTop="1" thickBot="1" x14ac:dyDescent="0.65">
      <c r="A1936" s="3">
        <v>1934</v>
      </c>
      <c r="B1936" s="44" t="str">
        <f>HYPERLINK("https://search.naver.com/search.naver?query=싱글라이더 영화", "싱글라이더")</f>
        <v>싱글라이더</v>
      </c>
      <c r="C1936" s="45">
        <v>8</v>
      </c>
      <c r="D1936" s="4" t="s">
        <v>2038</v>
      </c>
      <c r="E1936" s="3" t="s">
        <v>11</v>
      </c>
      <c r="F1936" s="3">
        <v>2017</v>
      </c>
      <c r="G1936" s="3" t="s">
        <v>12</v>
      </c>
      <c r="H1936" s="3" t="s">
        <v>17</v>
      </c>
      <c r="I1936" s="3" t="s">
        <v>61</v>
      </c>
      <c r="J1936" s="97" t="s">
        <v>3443</v>
      </c>
    </row>
    <row r="1937" spans="1:10" ht="28.9" customHeight="1" thickTop="1" thickBot="1" x14ac:dyDescent="0.65">
      <c r="A1937" s="5">
        <v>1935</v>
      </c>
      <c r="B1937" s="46" t="str">
        <f>HYPERLINK("https://search.naver.com/search.naver?query=싱크로닉 영화", "싱크로닉")</f>
        <v>싱크로닉</v>
      </c>
      <c r="C1937" s="47">
        <v>5.55</v>
      </c>
      <c r="D1937" s="6" t="s">
        <v>2039</v>
      </c>
      <c r="E1937" s="5" t="s">
        <v>20</v>
      </c>
      <c r="F1937" s="5">
        <v>2019</v>
      </c>
      <c r="G1937" s="5" t="s">
        <v>12</v>
      </c>
      <c r="H1937" s="5" t="s">
        <v>520</v>
      </c>
      <c r="I1937" s="5" t="s">
        <v>61</v>
      </c>
      <c r="J1937" s="98" t="s">
        <v>3444</v>
      </c>
    </row>
    <row r="1938" spans="1:10" ht="28.9" customHeight="1" thickTop="1" thickBot="1" x14ac:dyDescent="0.65">
      <c r="A1938" s="3">
        <v>1936</v>
      </c>
      <c r="B1938" s="44" t="str">
        <f>HYPERLINK("https://search.naver.com/search.naver?query=싱크홀 영화", "싱크홀")</f>
        <v>싱크홀</v>
      </c>
      <c r="C1938" s="45">
        <v>6.81</v>
      </c>
      <c r="D1938" s="4" t="s">
        <v>2040</v>
      </c>
      <c r="E1938" s="3" t="s">
        <v>11</v>
      </c>
      <c r="F1938" s="3">
        <v>2021</v>
      </c>
      <c r="G1938" s="3" t="s">
        <v>12</v>
      </c>
      <c r="H1938" s="3" t="s">
        <v>726</v>
      </c>
      <c r="I1938" s="3" t="s">
        <v>73</v>
      </c>
      <c r="J1938" s="97" t="s">
        <v>3438</v>
      </c>
    </row>
    <row r="1939" spans="1:10" ht="28.9" customHeight="1" thickTop="1" thickBot="1" x14ac:dyDescent="0.65">
      <c r="A1939" s="5">
        <v>1937</v>
      </c>
      <c r="B1939" s="46" t="str">
        <f>HYPERLINK("https://search.naver.com/search.naver?query=싸이보그 그녀 영화", "싸이보그 그녀")</f>
        <v>싸이보그 그녀</v>
      </c>
      <c r="C1939" s="47">
        <v>8.5500000000000007</v>
      </c>
      <c r="D1939" s="6" t="s">
        <v>2041</v>
      </c>
      <c r="E1939" s="5" t="s">
        <v>16</v>
      </c>
      <c r="F1939" s="5">
        <v>2008</v>
      </c>
      <c r="G1939" s="5" t="s">
        <v>12</v>
      </c>
      <c r="H1939" s="5" t="s">
        <v>520</v>
      </c>
      <c r="I1939" s="5" t="s">
        <v>47</v>
      </c>
      <c r="J1939" s="98" t="s">
        <v>3450</v>
      </c>
    </row>
    <row r="1940" spans="1:10" ht="28.9" customHeight="1" thickTop="1" thickBot="1" x14ac:dyDescent="0.65">
      <c r="A1940" s="3">
        <v>1938</v>
      </c>
      <c r="B1940" s="44" t="str">
        <f>HYPERLINK("https://search.naver.com/search.naver?query=싸인 영화", "싸인")</f>
        <v>싸인</v>
      </c>
      <c r="C1940" s="45">
        <v>7.44</v>
      </c>
      <c r="D1940" s="4" t="s">
        <v>2042</v>
      </c>
      <c r="E1940" s="3" t="s">
        <v>20</v>
      </c>
      <c r="F1940" s="3">
        <v>2002</v>
      </c>
      <c r="G1940" s="3" t="s">
        <v>12</v>
      </c>
      <c r="H1940" s="3" t="s">
        <v>520</v>
      </c>
      <c r="I1940" s="3" t="s">
        <v>286</v>
      </c>
      <c r="J1940" s="97" t="s">
        <v>3466</v>
      </c>
    </row>
    <row r="1941" spans="1:10" ht="28.9" customHeight="1" thickTop="1" thickBot="1" x14ac:dyDescent="0.65">
      <c r="A1941" s="5">
        <v>1939</v>
      </c>
      <c r="B1941" s="46" t="str">
        <f>HYPERLINK("https://search.naver.com/search.naver?query=쌍화점 영화", "쌍화점")</f>
        <v>쌍화점</v>
      </c>
      <c r="C1941" s="47">
        <v>7.28</v>
      </c>
      <c r="D1941" s="6" t="s">
        <v>2043</v>
      </c>
      <c r="E1941" s="5" t="s">
        <v>11</v>
      </c>
      <c r="F1941" s="5">
        <v>2008</v>
      </c>
      <c r="G1941" s="5" t="s">
        <v>12</v>
      </c>
      <c r="H1941" s="5" t="s">
        <v>873</v>
      </c>
      <c r="I1941" s="5" t="s">
        <v>350</v>
      </c>
      <c r="J1941" s="98" t="s">
        <v>3450</v>
      </c>
    </row>
    <row r="1942" spans="1:10" ht="28.9" customHeight="1" thickTop="1" thickBot="1" x14ac:dyDescent="0.65">
      <c r="A1942" s="3">
        <v>1940</v>
      </c>
      <c r="B1942" s="44" t="str">
        <f>HYPERLINK("https://search.naver.com/search.naver?query=써니2011", "써니")</f>
        <v>써니</v>
      </c>
      <c r="C1942" s="45">
        <v>9.1199999999999992</v>
      </c>
      <c r="D1942" s="4" t="s">
        <v>2044</v>
      </c>
      <c r="E1942" s="3" t="s">
        <v>11</v>
      </c>
      <c r="F1942" s="3">
        <v>2011</v>
      </c>
      <c r="G1942" s="3" t="s">
        <v>12</v>
      </c>
      <c r="H1942" s="3" t="s">
        <v>17</v>
      </c>
      <c r="I1942" s="3" t="s">
        <v>134</v>
      </c>
      <c r="J1942" s="97" t="s">
        <v>3454</v>
      </c>
    </row>
    <row r="1943" spans="1:10" ht="28.9" customHeight="1" thickTop="1" thickBot="1" x14ac:dyDescent="0.65">
      <c r="A1943" s="5">
        <v>1941</v>
      </c>
      <c r="B1943" s="46" t="str">
        <f>HYPERLINK("https://search.naver.com/search.naver?query=써니 강한 마음, 강한 사랑", "써니 강한 마음, 강한 사랑")</f>
        <v>써니 강한 마음, 강한 사랑</v>
      </c>
      <c r="C1943" s="47">
        <v>3.83</v>
      </c>
      <c r="D1943" s="6"/>
      <c r="E1943" s="5" t="s">
        <v>16</v>
      </c>
      <c r="F1943" s="5">
        <v>2021</v>
      </c>
      <c r="G1943" s="5" t="s">
        <v>12</v>
      </c>
      <c r="H1943" s="5" t="s">
        <v>17</v>
      </c>
      <c r="I1943" s="5" t="s">
        <v>53</v>
      </c>
      <c r="J1943" s="98" t="s">
        <v>3438</v>
      </c>
    </row>
    <row r="1944" spans="1:10" ht="28.9" customHeight="1" thickTop="1" thickBot="1" x14ac:dyDescent="0.65">
      <c r="A1944" s="3">
        <v>1942</v>
      </c>
      <c r="B1944" s="44" t="str">
        <f>HYPERLINK("https://search.naver.com/search.naver?query=써드 퍼슨 영화", "써드 퍼슨")</f>
        <v>써드 퍼슨</v>
      </c>
      <c r="C1944" s="45">
        <v>6.89</v>
      </c>
      <c r="D1944" s="4" t="s">
        <v>2045</v>
      </c>
      <c r="E1944" s="3" t="s">
        <v>20</v>
      </c>
      <c r="F1944" s="3">
        <v>2013</v>
      </c>
      <c r="G1944" s="3" t="s">
        <v>12</v>
      </c>
      <c r="H1944" s="3" t="s">
        <v>17</v>
      </c>
      <c r="I1944" s="3" t="s">
        <v>186</v>
      </c>
      <c r="J1944" s="97" t="s">
        <v>3451</v>
      </c>
    </row>
    <row r="1945" spans="1:10" ht="28.9" customHeight="1" thickTop="1" thickBot="1" x14ac:dyDescent="0.65">
      <c r="A1945" s="5">
        <v>1943</v>
      </c>
      <c r="B1945" s="46" t="str">
        <f>HYPERLINK("https://search.naver.com/search.naver?query=써머스비 영화", "써머스비")</f>
        <v>써머스비</v>
      </c>
      <c r="C1945" s="47">
        <v>8.82</v>
      </c>
      <c r="D1945" s="6" t="s">
        <v>2046</v>
      </c>
      <c r="E1945" s="5" t="s">
        <v>20</v>
      </c>
      <c r="F1945" s="5">
        <v>1993</v>
      </c>
      <c r="G1945" s="5" t="s">
        <v>12</v>
      </c>
      <c r="H1945" s="5" t="s">
        <v>17</v>
      </c>
      <c r="I1945" s="5" t="s">
        <v>207</v>
      </c>
      <c r="J1945" s="98" t="s">
        <v>3469</v>
      </c>
    </row>
    <row r="1946" spans="1:10" ht="28.9" customHeight="1" thickTop="1" thickBot="1" x14ac:dyDescent="0.65">
      <c r="A1946" s="3">
        <v>1944</v>
      </c>
      <c r="B1946" s="44" t="str">
        <f>HYPERLINK("https://search.naver.com/search.naver?query=썸원 썸웨어 영화", "썸원 썸웨어")</f>
        <v>썸원 썸웨어</v>
      </c>
      <c r="C1946" s="45">
        <v>9.14</v>
      </c>
      <c r="D1946" s="4" t="s">
        <v>2047</v>
      </c>
      <c r="E1946" s="3" t="s">
        <v>210</v>
      </c>
      <c r="F1946" s="3">
        <v>2019</v>
      </c>
      <c r="G1946" s="3" t="s">
        <v>12</v>
      </c>
      <c r="H1946" s="3" t="s">
        <v>68</v>
      </c>
      <c r="I1946" s="3" t="s">
        <v>111</v>
      </c>
      <c r="J1946" s="97" t="s">
        <v>3444</v>
      </c>
    </row>
    <row r="1947" spans="1:10" ht="28.9" customHeight="1" thickTop="1" thickBot="1" x14ac:dyDescent="0.65">
      <c r="A1947" s="5">
        <v>1945</v>
      </c>
      <c r="B1947" s="46" t="str">
        <f>HYPERLINK("https://search.naver.com/search.naver?query=쎄시봉 영화", "쎄시봉")</f>
        <v>쎄시봉</v>
      </c>
      <c r="C1947" s="47">
        <v>7.95</v>
      </c>
      <c r="D1947" s="6" t="s">
        <v>2048</v>
      </c>
      <c r="E1947" s="5" t="s">
        <v>11</v>
      </c>
      <c r="F1947" s="5">
        <v>2015</v>
      </c>
      <c r="G1947" s="5" t="s">
        <v>12</v>
      </c>
      <c r="H1947" s="5" t="s">
        <v>17</v>
      </c>
      <c r="I1947" s="5" t="s">
        <v>105</v>
      </c>
      <c r="J1947" s="98" t="s">
        <v>3440</v>
      </c>
    </row>
    <row r="1948" spans="1:10" ht="28.9" customHeight="1" thickTop="1" thickBot="1" x14ac:dyDescent="0.65">
      <c r="A1948" s="3">
        <v>1946</v>
      </c>
      <c r="B1948" s="44" t="str">
        <f>HYPERLINK("https://search.naver.com/search.naver?query=쏘리 투 바더 유 영화", "쏘리 투 바더 유")</f>
        <v>쏘리 투 바더 유</v>
      </c>
      <c r="C1948" s="45"/>
      <c r="D1948" s="4" t="s">
        <v>2049</v>
      </c>
      <c r="E1948" s="3" t="s">
        <v>20</v>
      </c>
      <c r="F1948" s="3">
        <v>2018</v>
      </c>
      <c r="G1948" s="3" t="s">
        <v>12</v>
      </c>
      <c r="H1948" s="3" t="s">
        <v>68</v>
      </c>
      <c r="I1948" s="3" t="s">
        <v>102</v>
      </c>
      <c r="J1948" s="97" t="s">
        <v>3442</v>
      </c>
    </row>
    <row r="1949" spans="1:10" ht="28.9" customHeight="1" thickTop="1" thickBot="1" x14ac:dyDescent="0.65">
      <c r="A1949" s="5">
        <v>1947</v>
      </c>
      <c r="B1949" s="46" t="str">
        <f>HYPERLINK("https://search.naver.com/search.naver?query=쓰리 데이즈 영화", "쓰리 데이즈")</f>
        <v>쓰리 데이즈</v>
      </c>
      <c r="C1949" s="47">
        <v>8.32</v>
      </c>
      <c r="D1949" s="6" t="s">
        <v>2050</v>
      </c>
      <c r="E1949" s="5" t="s">
        <v>20</v>
      </c>
      <c r="F1949" s="5">
        <v>2010</v>
      </c>
      <c r="G1949" s="5" t="s">
        <v>12</v>
      </c>
      <c r="H1949" s="5" t="s">
        <v>43</v>
      </c>
      <c r="I1949" s="5" t="s">
        <v>111</v>
      </c>
      <c r="J1949" s="98" t="s">
        <v>3455</v>
      </c>
    </row>
    <row r="1950" spans="1:10" ht="28.9" customHeight="1" thickTop="1" thickBot="1" x14ac:dyDescent="0.65">
      <c r="A1950" s="3">
        <v>1948</v>
      </c>
      <c r="B1950" s="44" t="str">
        <f>HYPERLINK("https://search.naver.com/search.naver?query=쓰리 빌보드 영화", "쓰리 빌보드")</f>
        <v>쓰리 빌보드</v>
      </c>
      <c r="C1950" s="45">
        <v>9</v>
      </c>
      <c r="D1950" s="4" t="s">
        <v>2051</v>
      </c>
      <c r="E1950" s="3" t="s">
        <v>24</v>
      </c>
      <c r="F1950" s="3">
        <v>2017</v>
      </c>
      <c r="G1950" s="3" t="s">
        <v>12</v>
      </c>
      <c r="H1950" s="3" t="s">
        <v>17</v>
      </c>
      <c r="I1950" s="3" t="s">
        <v>47</v>
      </c>
      <c r="J1950" s="97" t="s">
        <v>3443</v>
      </c>
    </row>
    <row r="1951" spans="1:10" ht="28.9" customHeight="1" thickTop="1" thickBot="1" x14ac:dyDescent="0.65">
      <c r="A1951" s="5">
        <v>1949</v>
      </c>
      <c r="B1951" s="46" t="str">
        <f>HYPERLINK("https://search.naver.com/search.naver?query=쓰리 세컨즈 영화", "쓰리 세컨즈")</f>
        <v>쓰리 세컨즈</v>
      </c>
      <c r="C1951" s="47">
        <v>9.8000000000000007</v>
      </c>
      <c r="D1951" s="6" t="s">
        <v>2052</v>
      </c>
      <c r="E1951" s="5" t="s">
        <v>611</v>
      </c>
      <c r="F1951" s="5">
        <v>2017</v>
      </c>
      <c r="G1951" s="5" t="s">
        <v>12</v>
      </c>
      <c r="H1951" s="5" t="s">
        <v>43</v>
      </c>
      <c r="I1951" s="5" t="s">
        <v>111</v>
      </c>
      <c r="J1951" s="98" t="s">
        <v>3443</v>
      </c>
    </row>
    <row r="1952" spans="1:10" ht="28.9" customHeight="1" thickTop="1" thickBot="1" x14ac:dyDescent="0.65">
      <c r="A1952" s="3">
        <v>1950</v>
      </c>
      <c r="B1952" s="44" t="str">
        <f>HYPERLINK("https://search.naver.com/search.naver?query=쓰리데이즈 투 킬 영화", "쓰리데이즈 투 킬")</f>
        <v>쓰리데이즈 투 킬</v>
      </c>
      <c r="C1952" s="45">
        <v>7.6</v>
      </c>
      <c r="D1952" s="4" t="s">
        <v>2053</v>
      </c>
      <c r="E1952" s="3" t="s">
        <v>20</v>
      </c>
      <c r="F1952" s="3">
        <v>2014</v>
      </c>
      <c r="G1952" s="3" t="s">
        <v>12</v>
      </c>
      <c r="H1952" s="3" t="s">
        <v>92</v>
      </c>
      <c r="I1952" s="3" t="s">
        <v>89</v>
      </c>
      <c r="J1952" s="97" t="s">
        <v>3437</v>
      </c>
    </row>
    <row r="1953" spans="1:10" ht="28.9" customHeight="1" thickTop="1" thickBot="1" x14ac:dyDescent="0.65">
      <c r="A1953" s="5">
        <v>1951</v>
      </c>
      <c r="B1953" s="46" t="str">
        <f>HYPERLINK("https://search.naver.com/search.naver?query=씨 오브 트리스 영화", "씨 오브 트리스")</f>
        <v>씨 오브 트리스</v>
      </c>
      <c r="C1953" s="47">
        <v>7</v>
      </c>
      <c r="D1953" s="6" t="s">
        <v>2054</v>
      </c>
      <c r="E1953" s="5" t="s">
        <v>20</v>
      </c>
      <c r="F1953" s="5">
        <v>2015</v>
      </c>
      <c r="G1953" s="5" t="s">
        <v>12</v>
      </c>
      <c r="H1953" s="5" t="s">
        <v>17</v>
      </c>
      <c r="I1953" s="5" t="s">
        <v>96</v>
      </c>
      <c r="J1953" s="98" t="s">
        <v>3440</v>
      </c>
    </row>
    <row r="1954" spans="1:10" ht="28.9" customHeight="1" thickTop="1" thickBot="1" x14ac:dyDescent="0.65">
      <c r="A1954" s="3">
        <v>1952</v>
      </c>
      <c r="B1954" s="44" t="str">
        <f>HYPERLINK("https://search.naver.com/search.naver?query=씨.바이퍼 영화", "씨.바이퍼")</f>
        <v>씨.바이퍼</v>
      </c>
      <c r="C1954" s="45"/>
      <c r="D1954" s="4" t="s">
        <v>2055</v>
      </c>
      <c r="E1954" s="3" t="s">
        <v>20</v>
      </c>
      <c r="F1954" s="3">
        <v>2012</v>
      </c>
      <c r="G1954" s="3" t="s">
        <v>12</v>
      </c>
      <c r="H1954" s="3" t="s">
        <v>92</v>
      </c>
      <c r="I1954" s="3" t="s">
        <v>111</v>
      </c>
      <c r="J1954" s="97" t="s">
        <v>3439</v>
      </c>
    </row>
    <row r="1955" spans="1:10" ht="28.9" customHeight="1" thickTop="1" thickBot="1" x14ac:dyDescent="0.65">
      <c r="A1955" s="5">
        <v>1953</v>
      </c>
      <c r="B1955" s="46" t="str">
        <f>HYPERLINK("https://search.naver.com/search.naver?query=씨민과 나데르의 별거 영화", "씨민과 나데르의 별거")</f>
        <v>씨민과 나데르의 별거</v>
      </c>
      <c r="C1955" s="47">
        <v>9.01</v>
      </c>
      <c r="D1955" s="6" t="s">
        <v>2056</v>
      </c>
      <c r="E1955" s="5" t="s">
        <v>2057</v>
      </c>
      <c r="F1955" s="5">
        <v>2011</v>
      </c>
      <c r="G1955" s="5" t="s">
        <v>12</v>
      </c>
      <c r="H1955" s="5" t="s">
        <v>17</v>
      </c>
      <c r="I1955" s="5" t="s">
        <v>58</v>
      </c>
      <c r="J1955" s="98" t="s">
        <v>3454</v>
      </c>
    </row>
    <row r="1956" spans="1:10" ht="28.9" customHeight="1" thickTop="1" thickBot="1" x14ac:dyDescent="0.65">
      <c r="A1956" s="3">
        <v>1954</v>
      </c>
      <c r="B1956" s="44" t="str">
        <f>HYPERLINK("https://search.naver.com/search.naver?query=씨비스킷 영화", "씨비스킷")</f>
        <v>씨비스킷</v>
      </c>
      <c r="C1956" s="45">
        <v>8.99</v>
      </c>
      <c r="D1956" s="4" t="s">
        <v>2058</v>
      </c>
      <c r="E1956" s="3" t="s">
        <v>20</v>
      </c>
      <c r="F1956" s="3">
        <v>2003</v>
      </c>
      <c r="G1956" s="3" t="s">
        <v>12</v>
      </c>
      <c r="H1956" s="3" t="s">
        <v>17</v>
      </c>
      <c r="I1956" s="3" t="s">
        <v>550</v>
      </c>
      <c r="J1956" s="97" t="s">
        <v>3449</v>
      </c>
    </row>
    <row r="1957" spans="1:10" ht="28.9" customHeight="1" thickTop="1" thickBot="1" x14ac:dyDescent="0.65">
      <c r="A1957" s="5">
        <v>1955</v>
      </c>
      <c r="B1957" s="46" t="str">
        <f>HYPERLINK("https://search.naver.com/search.naver?query=씬 레드 라인 영화", "씬 레드 라인")</f>
        <v>씬 레드 라인</v>
      </c>
      <c r="C1957" s="47">
        <v>8.1199999999999992</v>
      </c>
      <c r="D1957" s="6" t="s">
        <v>2059</v>
      </c>
      <c r="E1957" s="5" t="s">
        <v>20</v>
      </c>
      <c r="F1957" s="5">
        <v>1998</v>
      </c>
      <c r="G1957" s="5" t="s">
        <v>12</v>
      </c>
      <c r="H1957" s="5" t="s">
        <v>721</v>
      </c>
      <c r="I1957" s="5" t="s">
        <v>1570</v>
      </c>
      <c r="J1957" s="98" t="s">
        <v>3452</v>
      </c>
    </row>
    <row r="1958" spans="1:10" ht="28.9" customHeight="1" thickTop="1" thickBot="1" x14ac:dyDescent="0.65">
      <c r="A1958" s="7">
        <v>1956</v>
      </c>
      <c r="B1958" s="48" t="str">
        <f>HYPERLINK("https://search.naver.com/search.naver?query=씰 팀 시즌1", "씰 팀 시즌1")</f>
        <v>씰 팀 시즌1</v>
      </c>
      <c r="C1958" s="49"/>
      <c r="D1958" s="8" t="s">
        <v>2060</v>
      </c>
      <c r="E1958" s="7" t="s">
        <v>20</v>
      </c>
      <c r="F1958" s="7">
        <v>2017</v>
      </c>
      <c r="G1958" s="7" t="s">
        <v>17</v>
      </c>
      <c r="H1958" s="7" t="s">
        <v>162</v>
      </c>
      <c r="I1958" s="7" t="s">
        <v>356</v>
      </c>
      <c r="J1958" s="99" t="s">
        <v>3443</v>
      </c>
    </row>
    <row r="1959" spans="1:10" ht="28.9" customHeight="1" thickTop="1" thickBot="1" x14ac:dyDescent="0.65">
      <c r="A1959" s="7">
        <v>1957</v>
      </c>
      <c r="B1959" s="48" t="str">
        <f>HYPERLINK("https://search.naver.com/search.naver?query=씰 팀 시즌2", "씰 팀 시즌2")</f>
        <v>씰 팀 시즌2</v>
      </c>
      <c r="C1959" s="49"/>
      <c r="D1959" s="8" t="s">
        <v>2060</v>
      </c>
      <c r="E1959" s="7" t="s">
        <v>20</v>
      </c>
      <c r="F1959" s="7">
        <v>2018</v>
      </c>
      <c r="G1959" s="7" t="s">
        <v>17</v>
      </c>
      <c r="H1959" s="7" t="s">
        <v>162</v>
      </c>
      <c r="I1959" s="7" t="s">
        <v>356</v>
      </c>
      <c r="J1959" s="99" t="s">
        <v>3442</v>
      </c>
    </row>
    <row r="1960" spans="1:10" ht="28.9" customHeight="1" thickTop="1" thickBot="1" x14ac:dyDescent="0.65">
      <c r="A1960" s="7">
        <v>1958</v>
      </c>
      <c r="B1960" s="48" t="str">
        <f>HYPERLINK("https://search.naver.com/search.naver?query=씰 팀 시즌4", "씰 팀 시즌4")</f>
        <v>씰 팀 시즌4</v>
      </c>
      <c r="C1960" s="49"/>
      <c r="D1960" s="8" t="s">
        <v>2060</v>
      </c>
      <c r="E1960" s="7" t="s">
        <v>20</v>
      </c>
      <c r="F1960" s="7">
        <v>2020</v>
      </c>
      <c r="G1960" s="7" t="s">
        <v>17</v>
      </c>
      <c r="H1960" s="7" t="s">
        <v>162</v>
      </c>
      <c r="I1960" s="7" t="s">
        <v>491</v>
      </c>
      <c r="J1960" s="99" t="s">
        <v>3436</v>
      </c>
    </row>
    <row r="1961" spans="1:10" ht="28.9" customHeight="1" thickTop="1" thickBot="1" x14ac:dyDescent="0.65">
      <c r="A1961" s="7">
        <v>1959</v>
      </c>
      <c r="B1961" s="48" t="str">
        <f>HYPERLINK("https://search.naver.com/search.naver?query=씰 팀 시즌5", "씰 팀 시즌5")</f>
        <v>씰 팀 시즌5</v>
      </c>
      <c r="C1961" s="49"/>
      <c r="D1961" s="8" t="s">
        <v>2060</v>
      </c>
      <c r="E1961" s="7" t="s">
        <v>20</v>
      </c>
      <c r="F1961" s="7">
        <v>2021</v>
      </c>
      <c r="G1961" s="7" t="s">
        <v>17</v>
      </c>
      <c r="H1961" s="7" t="s">
        <v>162</v>
      </c>
      <c r="I1961" s="7" t="s">
        <v>163</v>
      </c>
      <c r="J1961" s="99" t="s">
        <v>3438</v>
      </c>
    </row>
    <row r="1962" spans="1:10" ht="28.9" customHeight="1" thickTop="1" thickBot="1" x14ac:dyDescent="0.65">
      <c r="A1962" s="7">
        <v>1960</v>
      </c>
      <c r="B1962" s="48" t="str">
        <f>HYPERLINK("https://search.naver.com/search.naver?query=씰 팀 시즌6", "씰 팀 시즌6")</f>
        <v>씰 팀 시즌6</v>
      </c>
      <c r="C1962" s="49"/>
      <c r="D1962" s="8" t="s">
        <v>2060</v>
      </c>
      <c r="E1962" s="7" t="s">
        <v>20</v>
      </c>
      <c r="F1962" s="7">
        <v>2022</v>
      </c>
      <c r="G1962" s="7" t="s">
        <v>17</v>
      </c>
      <c r="H1962" s="7" t="s">
        <v>162</v>
      </c>
      <c r="I1962" s="7" t="s">
        <v>50</v>
      </c>
      <c r="J1962" s="99" t="s">
        <v>3445</v>
      </c>
    </row>
    <row r="1963" spans="1:10" ht="28.9" customHeight="1" thickTop="1" thickBot="1" x14ac:dyDescent="0.65">
      <c r="A1963" s="5">
        <v>1961</v>
      </c>
      <c r="B1963" s="46" t="str">
        <f>HYPERLINK("https://search.naver.com/search.naver?query=아가씨 영화", "아가씨")</f>
        <v>아가씨</v>
      </c>
      <c r="C1963" s="47">
        <v>7.69</v>
      </c>
      <c r="D1963" s="6" t="s">
        <v>2061</v>
      </c>
      <c r="E1963" s="5" t="s">
        <v>11</v>
      </c>
      <c r="F1963" s="5">
        <v>2016</v>
      </c>
      <c r="G1963" s="5" t="s">
        <v>12</v>
      </c>
      <c r="H1963" s="5" t="s">
        <v>17</v>
      </c>
      <c r="I1963" s="5" t="s">
        <v>45</v>
      </c>
      <c r="J1963" s="98" t="s">
        <v>3441</v>
      </c>
    </row>
    <row r="1964" spans="1:10" ht="28.9" customHeight="1" thickTop="1" thickBot="1" x14ac:dyDescent="0.65">
      <c r="A1964" s="7">
        <v>1962</v>
      </c>
      <c r="B1964" s="48" t="str">
        <f>HYPERLINK("https://search.naver.com/search.naver?query=아나토미 오브 스캔들", "아나토미 오브 스캔들")</f>
        <v>아나토미 오브 스캔들</v>
      </c>
      <c r="C1964" s="49"/>
      <c r="D1964" s="8" t="s">
        <v>2062</v>
      </c>
      <c r="E1964" s="7" t="s">
        <v>24</v>
      </c>
      <c r="F1964" s="7">
        <v>2022</v>
      </c>
      <c r="G1964" s="7" t="s">
        <v>17</v>
      </c>
      <c r="H1964" s="7" t="s">
        <v>17</v>
      </c>
      <c r="I1964" s="7" t="s">
        <v>173</v>
      </c>
      <c r="J1964" s="99" t="s">
        <v>3445</v>
      </c>
    </row>
    <row r="1965" spans="1:10" ht="28.9" customHeight="1" thickTop="1" thickBot="1" x14ac:dyDescent="0.65">
      <c r="A1965" s="5">
        <v>1963</v>
      </c>
      <c r="B1965" s="46" t="str">
        <f>HYPERLINK("https://search.naver.com/search.naver?query=아내의 애인을 만나다 영화", "아내의 애인을 만나다")</f>
        <v>아내의 애인을 만나다</v>
      </c>
      <c r="C1965" s="47">
        <v>7.67</v>
      </c>
      <c r="D1965" s="6" t="s">
        <v>2063</v>
      </c>
      <c r="E1965" s="5" t="s">
        <v>11</v>
      </c>
      <c r="F1965" s="5">
        <v>2007</v>
      </c>
      <c r="G1965" s="5" t="s">
        <v>12</v>
      </c>
      <c r="H1965" s="5" t="s">
        <v>17</v>
      </c>
      <c r="I1965" s="5" t="s">
        <v>111</v>
      </c>
      <c r="J1965" s="98" t="s">
        <v>3447</v>
      </c>
    </row>
    <row r="1966" spans="1:10" ht="28.9" customHeight="1" thickTop="1" thickBot="1" x14ac:dyDescent="0.65">
      <c r="A1966" s="3">
        <v>1964</v>
      </c>
      <c r="B1966" s="44" t="str">
        <f>HYPERLINK("https://search.naver.com/search.naver?query=아논 영화", "아논")</f>
        <v>아논</v>
      </c>
      <c r="C1966" s="45">
        <v>6.4</v>
      </c>
      <c r="D1966" s="4" t="s">
        <v>2064</v>
      </c>
      <c r="E1966" s="3" t="s">
        <v>101</v>
      </c>
      <c r="F1966" s="3">
        <v>2018</v>
      </c>
      <c r="G1966" s="3" t="s">
        <v>12</v>
      </c>
      <c r="H1966" s="3" t="s">
        <v>520</v>
      </c>
      <c r="I1966" s="3" t="s">
        <v>131</v>
      </c>
      <c r="J1966" s="97" t="s">
        <v>3442</v>
      </c>
    </row>
    <row r="1967" spans="1:10" ht="28.9" customHeight="1" thickTop="1" thickBot="1" x14ac:dyDescent="0.65">
      <c r="A1967" s="5">
        <v>1965</v>
      </c>
      <c r="B1967" s="46" t="str">
        <f>HYPERLINK("https://search.naver.com/search.naver?query=아델라인 멈춰진 시간 영화", "아델라인 - 멈춰진 시간")</f>
        <v>아델라인 - 멈춰진 시간</v>
      </c>
      <c r="C1967" s="47">
        <v>7.7</v>
      </c>
      <c r="D1967" s="6" t="s">
        <v>2065</v>
      </c>
      <c r="E1967" s="5" t="s">
        <v>20</v>
      </c>
      <c r="F1967" s="5">
        <v>2015</v>
      </c>
      <c r="G1967" s="5" t="s">
        <v>12</v>
      </c>
      <c r="H1967" s="5" t="s">
        <v>121</v>
      </c>
      <c r="I1967" s="5" t="s">
        <v>278</v>
      </c>
      <c r="J1967" s="98" t="s">
        <v>3440</v>
      </c>
    </row>
    <row r="1968" spans="1:10" ht="28.9" customHeight="1" thickTop="1" thickBot="1" x14ac:dyDescent="0.65">
      <c r="A1968" s="3">
        <v>1966</v>
      </c>
      <c r="B1968" s="44" t="str">
        <f>HYPERLINK("https://search.naver.com/search.naver?query=아르고 영화", "아르고")</f>
        <v>아르고</v>
      </c>
      <c r="C1968" s="45">
        <v>8.25</v>
      </c>
      <c r="D1968" s="4" t="s">
        <v>2066</v>
      </c>
      <c r="E1968" s="3" t="s">
        <v>20</v>
      </c>
      <c r="F1968" s="3">
        <v>2012</v>
      </c>
      <c r="G1968" s="3" t="s">
        <v>12</v>
      </c>
      <c r="H1968" s="3" t="s">
        <v>17</v>
      </c>
      <c r="I1968" s="3" t="s">
        <v>86</v>
      </c>
      <c r="J1968" s="97" t="s">
        <v>3439</v>
      </c>
    </row>
    <row r="1969" spans="1:10" ht="28.9" customHeight="1" thickTop="1" thickBot="1" x14ac:dyDescent="0.65">
      <c r="A1969" s="5">
        <v>1967</v>
      </c>
      <c r="B1969" s="46" t="str">
        <f>HYPERLINK("https://search.naver.com/search.naver?query=아르키메데스의 대전 영화", "아르키메데스의 대전")</f>
        <v>아르키메데스의 대전</v>
      </c>
      <c r="C1969" s="47">
        <v>5.94</v>
      </c>
      <c r="D1969" s="6" t="s">
        <v>2067</v>
      </c>
      <c r="E1969" s="5" t="s">
        <v>16</v>
      </c>
      <c r="F1969" s="5">
        <v>2019</v>
      </c>
      <c r="G1969" s="5" t="s">
        <v>12</v>
      </c>
      <c r="H1969" s="5" t="s">
        <v>721</v>
      </c>
      <c r="I1969" s="5" t="s">
        <v>34</v>
      </c>
      <c r="J1969" s="98" t="s">
        <v>3444</v>
      </c>
    </row>
    <row r="1970" spans="1:10" ht="28.9" customHeight="1" thickTop="1" thickBot="1" x14ac:dyDescent="0.65">
      <c r="A1970" s="3">
        <v>1968</v>
      </c>
      <c r="B1970" s="44" t="str">
        <f>HYPERLINK("https://search.naver.com/search.naver?query=아름다운 세상을 위하여 영화", "아름다운 세상을 위하여")</f>
        <v>아름다운 세상을 위하여</v>
      </c>
      <c r="C1970" s="45">
        <v>9.14</v>
      </c>
      <c r="D1970" s="4" t="s">
        <v>2068</v>
      </c>
      <c r="E1970" s="3" t="s">
        <v>20</v>
      </c>
      <c r="F1970" s="3">
        <v>2000</v>
      </c>
      <c r="G1970" s="3" t="s">
        <v>12</v>
      </c>
      <c r="H1970" s="3" t="s">
        <v>17</v>
      </c>
      <c r="I1970" s="3" t="s">
        <v>58</v>
      </c>
      <c r="J1970" s="97" t="s">
        <v>3458</v>
      </c>
    </row>
    <row r="1971" spans="1:10" ht="28.9" customHeight="1" thickTop="1" thickBot="1" x14ac:dyDescent="0.65">
      <c r="A1971" s="7">
        <v>1969</v>
      </c>
      <c r="B1971" s="48" t="str">
        <f>HYPERLINK("https://search.naver.com/search.naver?query=아리스 인 보더랜드 시즌1", "아리스 인 보더랜드 시즌1")</f>
        <v>아리스 인 보더랜드 시즌1</v>
      </c>
      <c r="C1971" s="49"/>
      <c r="D1971" s="8" t="s">
        <v>2069</v>
      </c>
      <c r="E1971" s="7" t="s">
        <v>16</v>
      </c>
      <c r="F1971" s="7">
        <v>2020</v>
      </c>
      <c r="G1971" s="7" t="s">
        <v>17</v>
      </c>
      <c r="H1971" s="7" t="s">
        <v>2070</v>
      </c>
      <c r="I1971" s="7" t="s">
        <v>55</v>
      </c>
      <c r="J1971" s="99" t="s">
        <v>3436</v>
      </c>
    </row>
    <row r="1972" spans="1:10" ht="28.9" customHeight="1" thickTop="1" thickBot="1" x14ac:dyDescent="0.65">
      <c r="A1972" s="7">
        <v>1970</v>
      </c>
      <c r="B1972" s="48" t="str">
        <f>HYPERLINK("https://search.naver.com/search.naver?query=아리스 인 보더랜드 시즌2", "아리스 인 보더랜드 시즌2")</f>
        <v>아리스 인 보더랜드 시즌2</v>
      </c>
      <c r="C1972" s="49"/>
      <c r="D1972" s="8" t="s">
        <v>2069</v>
      </c>
      <c r="E1972" s="7" t="s">
        <v>16</v>
      </c>
      <c r="F1972" s="7">
        <v>2022</v>
      </c>
      <c r="G1972" s="7" t="s">
        <v>17</v>
      </c>
      <c r="H1972" s="7" t="s">
        <v>2070</v>
      </c>
      <c r="I1972" s="7" t="s">
        <v>55</v>
      </c>
      <c r="J1972" s="99" t="s">
        <v>3445</v>
      </c>
    </row>
    <row r="1973" spans="1:10" ht="28.9" customHeight="1" thickTop="1" thickBot="1" x14ac:dyDescent="0.65">
      <c r="A1973" s="5">
        <v>1971</v>
      </c>
      <c r="B1973" s="46" t="str">
        <f>HYPERLINK("https://search.naver.com/search.naver?query=아마겟돈 타임 영화", "아마겟돈 타임")</f>
        <v>아마겟돈 타임</v>
      </c>
      <c r="C1973" s="47">
        <v>7.53</v>
      </c>
      <c r="D1973" s="6" t="s">
        <v>2071</v>
      </c>
      <c r="E1973" s="5" t="s">
        <v>20</v>
      </c>
      <c r="F1973" s="5">
        <v>2022</v>
      </c>
      <c r="G1973" s="5" t="s">
        <v>12</v>
      </c>
      <c r="H1973" s="5" t="s">
        <v>17</v>
      </c>
      <c r="I1973" s="5" t="s">
        <v>207</v>
      </c>
      <c r="J1973" s="98" t="s">
        <v>3445</v>
      </c>
    </row>
    <row r="1974" spans="1:10" ht="28.9" customHeight="1" thickTop="1" thickBot="1" x14ac:dyDescent="0.65">
      <c r="A1974" s="3">
        <v>1972</v>
      </c>
      <c r="B1974" s="44" t="str">
        <f>HYPERLINK("https://search.naver.com/search.naver?query=아말피 여신의 보수 영화", "아말피 여신의 보수")</f>
        <v>아말피 여신의 보수</v>
      </c>
      <c r="C1974" s="45"/>
      <c r="D1974" s="4" t="s">
        <v>2072</v>
      </c>
      <c r="E1974" s="3" t="s">
        <v>16</v>
      </c>
      <c r="F1974" s="3">
        <v>2009</v>
      </c>
      <c r="G1974" s="3" t="s">
        <v>12</v>
      </c>
      <c r="H1974" s="3" t="s">
        <v>141</v>
      </c>
      <c r="I1974" s="3" t="s">
        <v>86</v>
      </c>
      <c r="J1974" s="97" t="s">
        <v>3453</v>
      </c>
    </row>
    <row r="1975" spans="1:10" ht="28.9" customHeight="1" thickTop="1" thickBot="1" x14ac:dyDescent="0.65">
      <c r="A1975" s="5">
        <v>1973</v>
      </c>
      <c r="B1975" s="46" t="str">
        <f>HYPERLINK("https://search.naver.com/search.naver?query=아메리칸 영화", "아메리칸")</f>
        <v>아메리칸</v>
      </c>
      <c r="C1975" s="47">
        <v>6.53</v>
      </c>
      <c r="D1975" s="6" t="s">
        <v>2073</v>
      </c>
      <c r="E1975" s="5" t="s">
        <v>20</v>
      </c>
      <c r="F1975" s="5">
        <v>2010</v>
      </c>
      <c r="G1975" s="5" t="s">
        <v>12</v>
      </c>
      <c r="H1975" s="5" t="s">
        <v>92</v>
      </c>
      <c r="I1975" s="5" t="s">
        <v>128</v>
      </c>
      <c r="J1975" s="98" t="s">
        <v>3455</v>
      </c>
    </row>
    <row r="1976" spans="1:10" ht="28.9" customHeight="1" thickTop="1" thickBot="1" x14ac:dyDescent="0.65">
      <c r="A1976" s="3">
        <v>1974</v>
      </c>
      <c r="B1976" s="44" t="str">
        <f>HYPERLINK("https://search.naver.com/search.naver?query=아메리칸 갱스터 영화", "아메리칸 갱스터")</f>
        <v>아메리칸 갱스터</v>
      </c>
      <c r="C1976" s="45">
        <v>8.49</v>
      </c>
      <c r="D1976" s="4" t="s">
        <v>2074</v>
      </c>
      <c r="E1976" s="3" t="s">
        <v>20</v>
      </c>
      <c r="F1976" s="3">
        <v>2007</v>
      </c>
      <c r="G1976" s="3" t="s">
        <v>12</v>
      </c>
      <c r="H1976" s="3" t="s">
        <v>277</v>
      </c>
      <c r="I1976" s="3" t="s">
        <v>1782</v>
      </c>
      <c r="J1976" s="97" t="s">
        <v>3447</v>
      </c>
    </row>
    <row r="1977" spans="1:10" ht="28.9" customHeight="1" thickTop="1" thickBot="1" x14ac:dyDescent="0.65">
      <c r="A1977" s="5">
        <v>1975</v>
      </c>
      <c r="B1977" s="46" t="str">
        <f>HYPERLINK("https://search.naver.com/search.naver?query=아메리칸 메이드 영화", "아메리칸 메이드")</f>
        <v>아메리칸 메이드</v>
      </c>
      <c r="C1977" s="47">
        <v>7.72</v>
      </c>
      <c r="D1977" s="6" t="s">
        <v>2075</v>
      </c>
      <c r="E1977" s="5" t="s">
        <v>20</v>
      </c>
      <c r="F1977" s="5">
        <v>2017</v>
      </c>
      <c r="G1977" s="5" t="s">
        <v>12</v>
      </c>
      <c r="H1977" s="5" t="s">
        <v>92</v>
      </c>
      <c r="I1977" s="5" t="s">
        <v>47</v>
      </c>
      <c r="J1977" s="98" t="s">
        <v>3443</v>
      </c>
    </row>
    <row r="1978" spans="1:10" ht="28.9" customHeight="1" thickTop="1" thickBot="1" x14ac:dyDescent="0.65">
      <c r="A1978" s="3">
        <v>1976</v>
      </c>
      <c r="B1978" s="44" t="str">
        <f>HYPERLINK("https://search.naver.com/search.naver?query=아메리칸 뷰티 영화", "아메리칸 뷰티")</f>
        <v>아메리칸 뷰티</v>
      </c>
      <c r="C1978" s="45">
        <v>9.01</v>
      </c>
      <c r="D1978" s="4" t="s">
        <v>2076</v>
      </c>
      <c r="E1978" s="3" t="s">
        <v>20</v>
      </c>
      <c r="F1978" s="3">
        <v>1999</v>
      </c>
      <c r="G1978" s="3" t="s">
        <v>12</v>
      </c>
      <c r="H1978" s="3" t="s">
        <v>17</v>
      </c>
      <c r="I1978" s="3" t="s">
        <v>105</v>
      </c>
      <c r="J1978" s="97" t="s">
        <v>3456</v>
      </c>
    </row>
    <row r="1979" spans="1:10" ht="28.9" customHeight="1" thickTop="1" thickBot="1" x14ac:dyDescent="0.65">
      <c r="A1979" s="5">
        <v>1977</v>
      </c>
      <c r="B1979" s="46" t="str">
        <f>HYPERLINK("https://search.naver.com/search.naver?query=아메리칸 스나이퍼 영화", "아메리칸 스나이퍼")</f>
        <v>아메리칸 스나이퍼</v>
      </c>
      <c r="C1979" s="47">
        <v>8.7200000000000006</v>
      </c>
      <c r="D1979" s="6" t="s">
        <v>2077</v>
      </c>
      <c r="E1979" s="5" t="s">
        <v>20</v>
      </c>
      <c r="F1979" s="5">
        <v>2014</v>
      </c>
      <c r="G1979" s="5" t="s">
        <v>12</v>
      </c>
      <c r="H1979" s="5" t="s">
        <v>721</v>
      </c>
      <c r="I1979" s="5" t="s">
        <v>350</v>
      </c>
      <c r="J1979" s="98" t="s">
        <v>3437</v>
      </c>
    </row>
    <row r="1980" spans="1:10" ht="28.9" customHeight="1" thickTop="1" thickBot="1" x14ac:dyDescent="0.65">
      <c r="A1980" s="3">
        <v>1978</v>
      </c>
      <c r="B1980" s="44" t="str">
        <f>HYPERLINK("https://search.naver.com/search.naver?query=아메리칸 우먼 영화", "아메리칸 우먼")</f>
        <v>아메리칸 우먼</v>
      </c>
      <c r="C1980" s="45">
        <v>6.4</v>
      </c>
      <c r="D1980" s="4" t="s">
        <v>2078</v>
      </c>
      <c r="E1980" s="3" t="s">
        <v>20</v>
      </c>
      <c r="F1980" s="3">
        <v>2018</v>
      </c>
      <c r="G1980" s="3" t="s">
        <v>12</v>
      </c>
      <c r="H1980" s="3" t="s">
        <v>17</v>
      </c>
      <c r="I1980" s="3" t="s">
        <v>102</v>
      </c>
      <c r="J1980" s="97" t="s">
        <v>3442</v>
      </c>
    </row>
    <row r="1981" spans="1:10" ht="28.9" customHeight="1" thickTop="1" thickBot="1" x14ac:dyDescent="0.65">
      <c r="A1981" s="5">
        <v>1979</v>
      </c>
      <c r="B1981" s="46" t="str">
        <f>HYPERLINK("https://search.naver.com/search.naver?query=아메리칸 크라임 영화", "아메리칸 크라임")</f>
        <v>아메리칸 크라임</v>
      </c>
      <c r="C1981" s="47">
        <v>6.4</v>
      </c>
      <c r="D1981" s="6" t="s">
        <v>2079</v>
      </c>
      <c r="E1981" s="5" t="s">
        <v>20</v>
      </c>
      <c r="F1981" s="5">
        <v>2007</v>
      </c>
      <c r="G1981" s="5" t="s">
        <v>12</v>
      </c>
      <c r="H1981" s="5" t="s">
        <v>277</v>
      </c>
      <c r="I1981" s="5" t="s">
        <v>124</v>
      </c>
      <c r="J1981" s="98" t="s">
        <v>3447</v>
      </c>
    </row>
    <row r="1982" spans="1:10" ht="28.9" customHeight="1" thickTop="1" thickBot="1" x14ac:dyDescent="0.65">
      <c r="A1982" s="3">
        <v>1980</v>
      </c>
      <c r="B1982" s="44" t="str">
        <f>HYPERLINK("https://search.naver.com/search.naver?query=아메리칸 트레이터 영화", "아메리칸 트레이터")</f>
        <v>아메리칸 트레이터</v>
      </c>
      <c r="C1982" s="45">
        <v>6.4</v>
      </c>
      <c r="D1982" s="4" t="s">
        <v>2080</v>
      </c>
      <c r="E1982" s="3" t="s">
        <v>20</v>
      </c>
      <c r="F1982" s="3">
        <v>2021</v>
      </c>
      <c r="G1982" s="3" t="s">
        <v>12</v>
      </c>
      <c r="H1982" s="3" t="s">
        <v>17</v>
      </c>
      <c r="I1982" s="3" t="s">
        <v>31</v>
      </c>
      <c r="J1982" s="97" t="s">
        <v>3438</v>
      </c>
    </row>
    <row r="1983" spans="1:10" ht="28.9" customHeight="1" thickTop="1" thickBot="1" x14ac:dyDescent="0.65">
      <c r="A1983" s="5">
        <v>1981</v>
      </c>
      <c r="B1983" s="46" t="str">
        <f>HYPERLINK("https://search.naver.com/search.naver?query=아메리칸 패스토럴 영화", "아메리칸 패스토럴")</f>
        <v>아메리칸 패스토럴</v>
      </c>
      <c r="C1983" s="47">
        <v>7.58</v>
      </c>
      <c r="D1983" s="6" t="s">
        <v>2081</v>
      </c>
      <c r="E1983" s="5" t="s">
        <v>20</v>
      </c>
      <c r="F1983" s="5">
        <v>2016</v>
      </c>
      <c r="G1983" s="5" t="s">
        <v>12</v>
      </c>
      <c r="H1983" s="5" t="s">
        <v>17</v>
      </c>
      <c r="I1983" s="5" t="s">
        <v>31</v>
      </c>
      <c r="J1983" s="98" t="s">
        <v>3441</v>
      </c>
    </row>
    <row r="1984" spans="1:10" ht="28.9" customHeight="1" thickTop="1" thickBot="1" x14ac:dyDescent="0.65">
      <c r="A1984" s="3">
        <v>1982</v>
      </c>
      <c r="B1984" s="44" t="str">
        <f>HYPERLINK("https://search.naver.com/search.naver?query=아메리칸 허슬 영화", "아메리칸 허슬")</f>
        <v>아메리칸 허슬</v>
      </c>
      <c r="C1984" s="45">
        <v>7.73</v>
      </c>
      <c r="D1984" s="4" t="s">
        <v>2082</v>
      </c>
      <c r="E1984" s="3" t="s">
        <v>20</v>
      </c>
      <c r="F1984" s="3">
        <v>2013</v>
      </c>
      <c r="G1984" s="3" t="s">
        <v>12</v>
      </c>
      <c r="H1984" s="3" t="s">
        <v>277</v>
      </c>
      <c r="I1984" s="3" t="s">
        <v>619</v>
      </c>
      <c r="J1984" s="97" t="s">
        <v>3451</v>
      </c>
    </row>
    <row r="1985" spans="1:10" ht="28.9" customHeight="1" thickTop="1" thickBot="1" x14ac:dyDescent="0.65">
      <c r="A1985" s="5">
        <v>1983</v>
      </c>
      <c r="B1985" s="46" t="str">
        <f>HYPERLINK("https://search.naver.com/search.naver?query=아멜리에 하늘을 사랑한 여인 영화", "아멜리에 - 하늘을 사랑한 여인")</f>
        <v>아멜리에 - 하늘을 사랑한 여인</v>
      </c>
      <c r="C1985" s="47">
        <v>6.4</v>
      </c>
      <c r="D1985" s="6" t="s">
        <v>2083</v>
      </c>
      <c r="E1985" s="5" t="s">
        <v>20</v>
      </c>
      <c r="F1985" s="5">
        <v>2009</v>
      </c>
      <c r="G1985" s="5" t="s">
        <v>12</v>
      </c>
      <c r="H1985" s="5" t="s">
        <v>17</v>
      </c>
      <c r="I1985" s="5" t="s">
        <v>102</v>
      </c>
      <c r="J1985" s="98" t="s">
        <v>3453</v>
      </c>
    </row>
    <row r="1986" spans="1:10" ht="28.9" customHeight="1" thickTop="1" thickBot="1" x14ac:dyDescent="0.65">
      <c r="A1986" s="3">
        <v>1984</v>
      </c>
      <c r="B1986" s="44" t="str">
        <f>HYPERLINK("https://search.naver.com/search.naver?query=아무도 모른다 영화", "아무도 모른다")</f>
        <v>아무도 모른다</v>
      </c>
      <c r="C1986" s="45">
        <v>8.75</v>
      </c>
      <c r="D1986" s="4" t="s">
        <v>2084</v>
      </c>
      <c r="E1986" s="3" t="s">
        <v>16</v>
      </c>
      <c r="F1986" s="3">
        <v>2004</v>
      </c>
      <c r="G1986" s="3" t="s">
        <v>12</v>
      </c>
      <c r="H1986" s="3" t="s">
        <v>17</v>
      </c>
      <c r="I1986" s="3" t="s">
        <v>455</v>
      </c>
      <c r="J1986" s="97" t="s">
        <v>3462</v>
      </c>
    </row>
    <row r="1987" spans="1:10" ht="28.9" customHeight="1" thickTop="1" thickBot="1" x14ac:dyDescent="0.65">
      <c r="A1987" s="5">
        <v>1985</v>
      </c>
      <c r="B1987" s="46" t="str">
        <f>HYPERLINK("https://search.naver.com/search.naver?query=아무르 영화", "아무르")</f>
        <v>아무르</v>
      </c>
      <c r="C1987" s="47">
        <v>8.9</v>
      </c>
      <c r="D1987" s="6" t="s">
        <v>2085</v>
      </c>
      <c r="E1987" s="5" t="s">
        <v>210</v>
      </c>
      <c r="F1987" s="5">
        <v>2012</v>
      </c>
      <c r="G1987" s="5" t="s">
        <v>12</v>
      </c>
      <c r="H1987" s="5" t="s">
        <v>17</v>
      </c>
      <c r="I1987" s="5" t="s">
        <v>150</v>
      </c>
      <c r="J1987" s="98" t="s">
        <v>3439</v>
      </c>
    </row>
    <row r="1988" spans="1:10" ht="28.9" customHeight="1" thickTop="1" thickBot="1" x14ac:dyDescent="0.65">
      <c r="A1988" s="3">
        <v>1986</v>
      </c>
      <c r="B1988" s="44" t="str">
        <f>HYPERLINK("https://search.naver.com/search.naver?query=아미스타드 영화", "아미스타드")</f>
        <v>아미스타드</v>
      </c>
      <c r="C1988" s="45">
        <v>8.69</v>
      </c>
      <c r="D1988" s="4" t="s">
        <v>2086</v>
      </c>
      <c r="E1988" s="3" t="s">
        <v>20</v>
      </c>
      <c r="F1988" s="3">
        <v>1997</v>
      </c>
      <c r="G1988" s="3" t="s">
        <v>12</v>
      </c>
      <c r="H1988" s="3" t="s">
        <v>17</v>
      </c>
      <c r="I1988" s="3" t="s">
        <v>182</v>
      </c>
      <c r="J1988" s="97" t="s">
        <v>3470</v>
      </c>
    </row>
    <row r="1989" spans="1:10" ht="28.9" customHeight="1" thickTop="1" thickBot="1" x14ac:dyDescent="0.65">
      <c r="A1989" s="5">
        <v>1987</v>
      </c>
      <c r="B1989" s="46" t="str">
        <f>HYPERLINK("https://search.naver.com/search.naver?query=아버지와 이토씨 영화", "아버지와 이토씨")</f>
        <v>아버지와 이토씨</v>
      </c>
      <c r="C1989" s="47">
        <v>8.27</v>
      </c>
      <c r="D1989" s="6" t="s">
        <v>2087</v>
      </c>
      <c r="E1989" s="5" t="s">
        <v>16</v>
      </c>
      <c r="F1989" s="5">
        <v>2017</v>
      </c>
      <c r="G1989" s="5" t="s">
        <v>12</v>
      </c>
      <c r="H1989" s="5" t="s">
        <v>17</v>
      </c>
      <c r="I1989" s="5" t="s">
        <v>53</v>
      </c>
      <c r="J1989" s="98" t="s">
        <v>3443</v>
      </c>
    </row>
    <row r="1990" spans="1:10" ht="28.9" customHeight="1" thickTop="1" thickBot="1" x14ac:dyDescent="0.65">
      <c r="A1990" s="3">
        <v>1988</v>
      </c>
      <c r="B1990" s="44" t="str">
        <f>HYPERLINK("https://search.naver.com/search.naver?query=아버지의 깃발 영화", "아버지의 깃발")</f>
        <v>아버지의 깃발</v>
      </c>
      <c r="C1990" s="45">
        <v>7.47</v>
      </c>
      <c r="D1990" s="4" t="s">
        <v>2088</v>
      </c>
      <c r="E1990" s="3" t="s">
        <v>20</v>
      </c>
      <c r="F1990" s="3">
        <v>2006</v>
      </c>
      <c r="G1990" s="3" t="s">
        <v>12</v>
      </c>
      <c r="H1990" s="3" t="s">
        <v>721</v>
      </c>
      <c r="I1990" s="3" t="s">
        <v>350</v>
      </c>
      <c r="J1990" s="97" t="s">
        <v>3460</v>
      </c>
    </row>
    <row r="1991" spans="1:10" ht="28.9" customHeight="1" thickTop="1" thickBot="1" x14ac:dyDescent="0.65">
      <c r="A1991" s="5">
        <v>1989</v>
      </c>
      <c r="B1991" s="46" t="str">
        <f>HYPERLINK("https://search.naver.com/search.naver?query=아비트라지 영화", "아비트라지")</f>
        <v>아비트라지</v>
      </c>
      <c r="C1991" s="47"/>
      <c r="D1991" s="6" t="s">
        <v>2089</v>
      </c>
      <c r="E1991" s="5" t="s">
        <v>20</v>
      </c>
      <c r="F1991" s="5">
        <v>2012</v>
      </c>
      <c r="G1991" s="5" t="s">
        <v>12</v>
      </c>
      <c r="H1991" s="5" t="s">
        <v>17</v>
      </c>
      <c r="I1991" s="5" t="s">
        <v>75</v>
      </c>
      <c r="J1991" s="98" t="s">
        <v>3439</v>
      </c>
    </row>
    <row r="1992" spans="1:10" ht="28.9" customHeight="1" thickTop="1" thickBot="1" x14ac:dyDescent="0.65">
      <c r="A1992" s="3">
        <v>1990</v>
      </c>
      <c r="B1992" s="44" t="str">
        <f>HYPERLINK("https://search.naver.com/search.naver?query=아빠가 되는 중 영화", "아빠가 되는 중")</f>
        <v>아빠가 되는 중</v>
      </c>
      <c r="C1992" s="45">
        <v>9.1199999999999992</v>
      </c>
      <c r="D1992" s="4" t="s">
        <v>2090</v>
      </c>
      <c r="E1992" s="3" t="s">
        <v>20</v>
      </c>
      <c r="F1992" s="3">
        <v>2021</v>
      </c>
      <c r="G1992" s="3" t="s">
        <v>12</v>
      </c>
      <c r="H1992" s="3" t="s">
        <v>68</v>
      </c>
      <c r="I1992" s="3" t="s">
        <v>137</v>
      </c>
      <c r="J1992" s="97" t="s">
        <v>3438</v>
      </c>
    </row>
    <row r="1993" spans="1:10" ht="28.9" customHeight="1" thickTop="1" thickBot="1" x14ac:dyDescent="0.65">
      <c r="A1993" s="5">
        <v>1991</v>
      </c>
      <c r="B1993" s="46" t="str">
        <f>HYPERLINK("https://search.naver.com/search.naver?query=아빠는 딸 영화", "아빠는 딸")</f>
        <v>아빠는 딸</v>
      </c>
      <c r="C1993" s="47">
        <v>8.56</v>
      </c>
      <c r="D1993" s="6" t="s">
        <v>2091</v>
      </c>
      <c r="E1993" s="5" t="s">
        <v>11</v>
      </c>
      <c r="F1993" s="5">
        <v>2017</v>
      </c>
      <c r="G1993" s="5" t="s">
        <v>12</v>
      </c>
      <c r="H1993" s="5" t="s">
        <v>68</v>
      </c>
      <c r="I1993" s="5" t="s">
        <v>111</v>
      </c>
      <c r="J1993" s="98" t="s">
        <v>3443</v>
      </c>
    </row>
    <row r="1994" spans="1:10" ht="28.9" customHeight="1" thickTop="1" thickBot="1" x14ac:dyDescent="0.65">
      <c r="A1994" s="3">
        <v>1992</v>
      </c>
      <c r="B1994" s="44" t="str">
        <f>HYPERLINK("https://search.naver.com/search.naver?query=아빠의 바이올린 영화", "아빠의 바이올린")</f>
        <v>아빠의 바이올린</v>
      </c>
      <c r="C1994" s="45">
        <v>9.5</v>
      </c>
      <c r="D1994" s="4" t="s">
        <v>2092</v>
      </c>
      <c r="E1994" s="3" t="s">
        <v>1370</v>
      </c>
      <c r="F1994" s="3">
        <v>2022</v>
      </c>
      <c r="G1994" s="3" t="s">
        <v>12</v>
      </c>
      <c r="H1994" s="3" t="s">
        <v>17</v>
      </c>
      <c r="I1994" s="3" t="s">
        <v>278</v>
      </c>
      <c r="J1994" s="97" t="s">
        <v>3445</v>
      </c>
    </row>
    <row r="1995" spans="1:10" ht="28.9" customHeight="1" thickTop="1" thickBot="1" x14ac:dyDescent="0.65">
      <c r="A1995" s="5">
        <v>1993</v>
      </c>
      <c r="B1995" s="46" t="str">
        <f>HYPERLINK("https://search.naver.com/search.naver?query=아사코 영화", "아사코")</f>
        <v>아사코</v>
      </c>
      <c r="C1995" s="47">
        <v>8.36</v>
      </c>
      <c r="D1995" s="6" t="s">
        <v>2093</v>
      </c>
      <c r="E1995" s="5" t="s">
        <v>16</v>
      </c>
      <c r="F1995" s="5">
        <v>2018</v>
      </c>
      <c r="G1995" s="5" t="s">
        <v>12</v>
      </c>
      <c r="H1995" s="5" t="s">
        <v>17</v>
      </c>
      <c r="I1995" s="5" t="s">
        <v>53</v>
      </c>
      <c r="J1995" s="98" t="s">
        <v>3442</v>
      </c>
    </row>
    <row r="1996" spans="1:10" ht="28.9" customHeight="1" thickTop="1" thickBot="1" x14ac:dyDescent="0.65">
      <c r="A1996" s="3">
        <v>1994</v>
      </c>
      <c r="B1996" s="44" t="str">
        <f>HYPERLINK("https://search.naver.com/search.naver?query=아서 영화", "아서")</f>
        <v>아서</v>
      </c>
      <c r="C1996" s="45">
        <v>8.07</v>
      </c>
      <c r="D1996" s="4" t="s">
        <v>2094</v>
      </c>
      <c r="E1996" s="3" t="s">
        <v>20</v>
      </c>
      <c r="F1996" s="3">
        <v>2024</v>
      </c>
      <c r="G1996" s="3" t="s">
        <v>12</v>
      </c>
      <c r="H1996" s="3" t="s">
        <v>824</v>
      </c>
      <c r="I1996" s="3" t="s">
        <v>75</v>
      </c>
      <c r="J1996" s="97" t="s">
        <v>3448</v>
      </c>
    </row>
    <row r="1997" spans="1:10" ht="28.9" customHeight="1" thickTop="1" thickBot="1" x14ac:dyDescent="0.65">
      <c r="A1997" s="5">
        <v>1995</v>
      </c>
      <c r="B1997" s="46" t="str">
        <f>HYPERLINK("https://search.naver.com/search.naver?query=아수라 영화", "아수라")</f>
        <v>아수라</v>
      </c>
      <c r="C1997" s="47">
        <v>6.54</v>
      </c>
      <c r="D1997" s="6" t="s">
        <v>2095</v>
      </c>
      <c r="E1997" s="5" t="s">
        <v>11</v>
      </c>
      <c r="F1997" s="5">
        <v>2016</v>
      </c>
      <c r="G1997" s="5" t="s">
        <v>12</v>
      </c>
      <c r="H1997" s="5" t="s">
        <v>92</v>
      </c>
      <c r="I1997" s="5" t="s">
        <v>350</v>
      </c>
      <c r="J1997" s="98" t="s">
        <v>3441</v>
      </c>
    </row>
    <row r="1998" spans="1:10" ht="28.9" customHeight="1" thickTop="1" thickBot="1" x14ac:dyDescent="0.65">
      <c r="A1998" s="7">
        <v>1996</v>
      </c>
      <c r="B1998" s="48" t="str">
        <f>HYPERLINK("https://search.naver.com/search.naver?query=아웃랜더 시즌1", "아웃랜더 시즌1")</f>
        <v>아웃랜더 시즌1</v>
      </c>
      <c r="C1998" s="49"/>
      <c r="D1998" s="8" t="s">
        <v>2096</v>
      </c>
      <c r="E1998" s="7" t="s">
        <v>24</v>
      </c>
      <c r="F1998" s="7">
        <v>2014</v>
      </c>
      <c r="G1998" s="7" t="s">
        <v>17</v>
      </c>
      <c r="H1998" s="7" t="s">
        <v>414</v>
      </c>
      <c r="I1998" s="7" t="s">
        <v>491</v>
      </c>
      <c r="J1998" s="99" t="s">
        <v>3437</v>
      </c>
    </row>
    <row r="1999" spans="1:10" ht="28.9" customHeight="1" thickTop="1" thickBot="1" x14ac:dyDescent="0.65">
      <c r="A1999" s="7">
        <v>1997</v>
      </c>
      <c r="B1999" s="48" t="str">
        <f>HYPERLINK("https://search.naver.com/search.naver?query=아웃랜더 시즌2", "아웃랜더 시즌2")</f>
        <v>아웃랜더 시즌2</v>
      </c>
      <c r="C1999" s="49"/>
      <c r="D1999" s="8" t="s">
        <v>2096</v>
      </c>
      <c r="E1999" s="7" t="s">
        <v>24</v>
      </c>
      <c r="F1999" s="7">
        <v>2016</v>
      </c>
      <c r="G1999" s="7" t="s">
        <v>17</v>
      </c>
      <c r="H1999" s="7" t="s">
        <v>414</v>
      </c>
      <c r="I1999" s="7" t="s">
        <v>645</v>
      </c>
      <c r="J1999" s="99" t="s">
        <v>3441</v>
      </c>
    </row>
    <row r="2000" spans="1:10" ht="28.9" customHeight="1" thickTop="1" thickBot="1" x14ac:dyDescent="0.65">
      <c r="A2000" s="7">
        <v>1998</v>
      </c>
      <c r="B2000" s="48" t="str">
        <f>HYPERLINK("https://search.naver.com/search.naver?query=아웃랜더 시즌3", "아웃랜더 시즌3")</f>
        <v>아웃랜더 시즌3</v>
      </c>
      <c r="C2000" s="49"/>
      <c r="D2000" s="8" t="s">
        <v>2096</v>
      </c>
      <c r="E2000" s="7" t="s">
        <v>24</v>
      </c>
      <c r="F2000" s="7">
        <v>2017</v>
      </c>
      <c r="G2000" s="7" t="s">
        <v>17</v>
      </c>
      <c r="H2000" s="7" t="s">
        <v>414</v>
      </c>
      <c r="I2000" s="7" t="s">
        <v>645</v>
      </c>
      <c r="J2000" s="99" t="s">
        <v>3443</v>
      </c>
    </row>
    <row r="2001" spans="1:10" ht="28.9" customHeight="1" thickTop="1" thickBot="1" x14ac:dyDescent="0.65">
      <c r="A2001" s="7">
        <v>1999</v>
      </c>
      <c r="B2001" s="48" t="str">
        <f>HYPERLINK("https://search.naver.com/search.naver?query=아웃랜더 시즌4", "아웃랜더 시즌4")</f>
        <v>아웃랜더 시즌4</v>
      </c>
      <c r="C2001" s="49"/>
      <c r="D2001" s="8" t="s">
        <v>2096</v>
      </c>
      <c r="E2001" s="7" t="s">
        <v>24</v>
      </c>
      <c r="F2001" s="7">
        <v>2019</v>
      </c>
      <c r="G2001" s="7" t="s">
        <v>17</v>
      </c>
      <c r="H2001" s="7" t="s">
        <v>414</v>
      </c>
      <c r="I2001" s="7" t="s">
        <v>645</v>
      </c>
      <c r="J2001" s="99" t="s">
        <v>3444</v>
      </c>
    </row>
    <row r="2002" spans="1:10" ht="28.9" customHeight="1" thickTop="1" thickBot="1" x14ac:dyDescent="0.65">
      <c r="A2002" s="7">
        <v>2000</v>
      </c>
      <c r="B2002" s="48" t="str">
        <f>HYPERLINK("https://search.naver.com/search.naver?query=아웃랜더 시즌5", "아웃랜더 시즌5")</f>
        <v>아웃랜더 시즌5</v>
      </c>
      <c r="C2002" s="49"/>
      <c r="D2002" s="8" t="s">
        <v>2096</v>
      </c>
      <c r="E2002" s="7" t="s">
        <v>24</v>
      </c>
      <c r="F2002" s="7">
        <v>2020</v>
      </c>
      <c r="G2002" s="7" t="s">
        <v>17</v>
      </c>
      <c r="H2002" s="7" t="s">
        <v>414</v>
      </c>
      <c r="I2002" s="7" t="s">
        <v>893</v>
      </c>
      <c r="J2002" s="99" t="s">
        <v>3436</v>
      </c>
    </row>
    <row r="2003" spans="1:10" ht="28.9" customHeight="1" thickTop="1" thickBot="1" x14ac:dyDescent="0.65">
      <c r="A2003" s="7">
        <v>2001</v>
      </c>
      <c r="B2003" s="48" t="str">
        <f>HYPERLINK("https://search.naver.com/search.naver?query=아웃랜더 시즌6", "아웃랜더 시즌6")</f>
        <v>아웃랜더 시즌6</v>
      </c>
      <c r="C2003" s="49"/>
      <c r="D2003" s="8" t="s">
        <v>2096</v>
      </c>
      <c r="E2003" s="7" t="s">
        <v>24</v>
      </c>
      <c r="F2003" s="7">
        <v>2022</v>
      </c>
      <c r="G2003" s="7" t="s">
        <v>17</v>
      </c>
      <c r="H2003" s="7" t="s">
        <v>414</v>
      </c>
      <c r="I2003" s="7" t="s">
        <v>55</v>
      </c>
      <c r="J2003" s="99" t="s">
        <v>3445</v>
      </c>
    </row>
    <row r="2004" spans="1:10" ht="28.9" customHeight="1" thickTop="1" thickBot="1" x14ac:dyDescent="0.65">
      <c r="A2004" s="7">
        <v>2002</v>
      </c>
      <c r="B2004" s="48" t="str">
        <f>HYPERLINK("https://search.naver.com/search.naver?query=아웃랜더 시즌7", "아웃랜더 시즌7")</f>
        <v>아웃랜더 시즌7</v>
      </c>
      <c r="C2004" s="49"/>
      <c r="D2004" s="8" t="s">
        <v>2096</v>
      </c>
      <c r="E2004" s="7" t="s">
        <v>24</v>
      </c>
      <c r="F2004" s="7">
        <v>2024</v>
      </c>
      <c r="G2004" s="7" t="s">
        <v>17</v>
      </c>
      <c r="H2004" s="7" t="s">
        <v>414</v>
      </c>
      <c r="I2004" s="7" t="s">
        <v>491</v>
      </c>
      <c r="J2004" s="99" t="s">
        <v>3448</v>
      </c>
    </row>
    <row r="2005" spans="1:10" ht="28.9" customHeight="1" thickTop="1" thickBot="1" x14ac:dyDescent="0.65">
      <c r="A2005" s="5">
        <v>2003</v>
      </c>
      <c r="B2005" s="46" t="str">
        <f>HYPERLINK("https://search.naver.com/search.naver?query=아웃레이지 영화", "아웃레이지")</f>
        <v>아웃레이지</v>
      </c>
      <c r="C2005" s="47">
        <v>7.92</v>
      </c>
      <c r="D2005" s="6" t="s">
        <v>2097</v>
      </c>
      <c r="E2005" s="5" t="s">
        <v>16</v>
      </c>
      <c r="F2005" s="5">
        <v>2010</v>
      </c>
      <c r="G2005" s="5" t="s">
        <v>12</v>
      </c>
      <c r="H2005" s="5" t="s">
        <v>277</v>
      </c>
      <c r="I2005" s="5" t="s">
        <v>137</v>
      </c>
      <c r="J2005" s="98" t="s">
        <v>3455</v>
      </c>
    </row>
    <row r="2006" spans="1:10" ht="28.9" customHeight="1" thickTop="1" thickBot="1" x14ac:dyDescent="0.65">
      <c r="A2006" s="3">
        <v>2004</v>
      </c>
      <c r="B2006" s="44" t="str">
        <f>HYPERLINK("https://search.naver.com/search.naver?query=아웃레이지 파이널 영화", "아웃레이지 파이널")</f>
        <v>아웃레이지 파이널</v>
      </c>
      <c r="C2006" s="45">
        <v>6.4</v>
      </c>
      <c r="D2006" s="4" t="s">
        <v>2098</v>
      </c>
      <c r="E2006" s="3" t="s">
        <v>16</v>
      </c>
      <c r="F2006" s="3">
        <v>2017</v>
      </c>
      <c r="G2006" s="3" t="s">
        <v>12</v>
      </c>
      <c r="H2006" s="3" t="s">
        <v>277</v>
      </c>
      <c r="I2006" s="3" t="s">
        <v>170</v>
      </c>
      <c r="J2006" s="97" t="s">
        <v>3443</v>
      </c>
    </row>
    <row r="2007" spans="1:10" ht="28.9" customHeight="1" thickTop="1" thickBot="1" x14ac:dyDescent="0.65">
      <c r="A2007" s="5">
        <v>2005</v>
      </c>
      <c r="B2007" s="46" t="str">
        <f>HYPERLINK("https://search.naver.com/search.naver?query=아웃로 킹 영화", "아웃로 킹")</f>
        <v>아웃로 킹</v>
      </c>
      <c r="C2007" s="47">
        <v>8.4700000000000006</v>
      </c>
      <c r="D2007" s="6" t="s">
        <v>2099</v>
      </c>
      <c r="E2007" s="5" t="s">
        <v>24</v>
      </c>
      <c r="F2007" s="5">
        <v>2018</v>
      </c>
      <c r="G2007" s="5" t="s">
        <v>12</v>
      </c>
      <c r="H2007" s="5" t="s">
        <v>92</v>
      </c>
      <c r="I2007" s="5" t="s">
        <v>186</v>
      </c>
      <c r="J2007" s="98" t="s">
        <v>3442</v>
      </c>
    </row>
    <row r="2008" spans="1:10" ht="28.9" customHeight="1" thickTop="1" thickBot="1" x14ac:dyDescent="0.65">
      <c r="A2008" s="3">
        <v>2006</v>
      </c>
      <c r="B2008" s="44" t="str">
        <f>HYPERLINK("https://search.naver.com/search.naver?query=아웃브레이크 영화", "아웃브레이크")</f>
        <v>아웃브레이크</v>
      </c>
      <c r="C2008" s="45">
        <v>6.4</v>
      </c>
      <c r="D2008" s="4" t="s">
        <v>2100</v>
      </c>
      <c r="E2008" s="3" t="s">
        <v>20</v>
      </c>
      <c r="F2008" s="3">
        <v>1995</v>
      </c>
      <c r="G2008" s="3" t="s">
        <v>12</v>
      </c>
      <c r="H2008" s="3" t="s">
        <v>92</v>
      </c>
      <c r="I2008" s="3" t="s">
        <v>150</v>
      </c>
      <c r="J2008" s="97" t="s">
        <v>3475</v>
      </c>
    </row>
    <row r="2009" spans="1:10" ht="28.9" customHeight="1" thickTop="1" thickBot="1" x14ac:dyDescent="0.65">
      <c r="A2009" s="5">
        <v>2007</v>
      </c>
      <c r="B2009" s="46" t="str">
        <f>HYPERLINK("https://search.naver.com/search.naver?query=아웃사이더 영화", "아웃사이더")</f>
        <v>아웃사이더</v>
      </c>
      <c r="C2009" s="47"/>
      <c r="D2009" s="6" t="s">
        <v>2101</v>
      </c>
      <c r="E2009" s="5" t="s">
        <v>20</v>
      </c>
      <c r="F2009" s="5">
        <v>2018</v>
      </c>
      <c r="G2009" s="5" t="s">
        <v>12</v>
      </c>
      <c r="H2009" s="5" t="s">
        <v>277</v>
      </c>
      <c r="I2009" s="5" t="s">
        <v>86</v>
      </c>
      <c r="J2009" s="98" t="s">
        <v>3442</v>
      </c>
    </row>
    <row r="2010" spans="1:10" ht="28.9" customHeight="1" thickTop="1" thickBot="1" x14ac:dyDescent="0.65">
      <c r="A2010" s="3">
        <v>2008</v>
      </c>
      <c r="B2010" s="44" t="str">
        <f>HYPERLINK("https://search.naver.com/search.naver?query=아웃사이드 더 와이어 영화", "아웃사이드 더 와이어")</f>
        <v>아웃사이드 더 와이어</v>
      </c>
      <c r="C2010" s="45">
        <v>7.07</v>
      </c>
      <c r="D2010" s="4" t="s">
        <v>2102</v>
      </c>
      <c r="E2010" s="3" t="s">
        <v>20</v>
      </c>
      <c r="F2010" s="3">
        <v>2021</v>
      </c>
      <c r="G2010" s="3" t="s">
        <v>12</v>
      </c>
      <c r="H2010" s="3" t="s">
        <v>92</v>
      </c>
      <c r="I2010" s="3" t="s">
        <v>207</v>
      </c>
      <c r="J2010" s="97" t="s">
        <v>3438</v>
      </c>
    </row>
    <row r="2011" spans="1:10" ht="28.9" customHeight="1" thickTop="1" thickBot="1" x14ac:dyDescent="0.65">
      <c r="A2011" s="5">
        <v>2009</v>
      </c>
      <c r="B2011" s="46" t="str">
        <f>HYPERLINK("https://search.naver.com/search.naver?query=아웃오브타임 영화", "아웃오브타임")</f>
        <v>아웃오브타임</v>
      </c>
      <c r="C2011" s="47">
        <v>8.01</v>
      </c>
      <c r="D2011" s="6" t="s">
        <v>2103</v>
      </c>
      <c r="E2011" s="5" t="s">
        <v>20</v>
      </c>
      <c r="F2011" s="5">
        <v>2003</v>
      </c>
      <c r="G2011" s="5" t="s">
        <v>12</v>
      </c>
      <c r="H2011" s="5" t="s">
        <v>277</v>
      </c>
      <c r="I2011" s="5" t="s">
        <v>128</v>
      </c>
      <c r="J2011" s="98" t="s">
        <v>3449</v>
      </c>
    </row>
    <row r="2012" spans="1:10" ht="28.9" customHeight="1" thickTop="1" thickBot="1" x14ac:dyDescent="0.65">
      <c r="A2012" s="7">
        <v>2010</v>
      </c>
      <c r="B2012" s="48" t="str">
        <f>HYPERLINK("https://search.naver.com/search.naver?query=아워 걸 시즌2", "아워 걸 시즌2")</f>
        <v>아워 걸 시즌2</v>
      </c>
      <c r="C2012" s="49"/>
      <c r="D2012" s="8" t="s">
        <v>2104</v>
      </c>
      <c r="E2012" s="7" t="s">
        <v>24</v>
      </c>
      <c r="F2012" s="7">
        <v>2016</v>
      </c>
      <c r="G2012" s="7" t="s">
        <v>17</v>
      </c>
      <c r="H2012" s="7" t="s">
        <v>17</v>
      </c>
      <c r="I2012" s="7" t="s">
        <v>687</v>
      </c>
      <c r="J2012" s="99" t="s">
        <v>3441</v>
      </c>
    </row>
    <row r="2013" spans="1:10" ht="28.9" customHeight="1" thickTop="1" thickBot="1" x14ac:dyDescent="0.65">
      <c r="A2013" s="5">
        <v>2011</v>
      </c>
      <c r="B2013" s="46" t="str">
        <f>HYPERLINK("https://search.naver.com/search.naver?query=아워 이디엇 브라더 영화", "아워 이디엇 브라더")</f>
        <v>아워 이디엇 브라더</v>
      </c>
      <c r="C2013" s="47">
        <v>8.5299999999999994</v>
      </c>
      <c r="D2013" s="6" t="s">
        <v>2105</v>
      </c>
      <c r="E2013" s="5" t="s">
        <v>20</v>
      </c>
      <c r="F2013" s="5">
        <v>2011</v>
      </c>
      <c r="G2013" s="5" t="s">
        <v>12</v>
      </c>
      <c r="H2013" s="5" t="s">
        <v>68</v>
      </c>
      <c r="I2013" s="5" t="s">
        <v>115</v>
      </c>
      <c r="J2013" s="98" t="s">
        <v>3454</v>
      </c>
    </row>
    <row r="2014" spans="1:10" ht="28.9" customHeight="1" thickTop="1" thickBot="1" x14ac:dyDescent="0.65">
      <c r="A2014" s="3">
        <v>2012</v>
      </c>
      <c r="B2014" s="44" t="str">
        <f>HYPERLINK("https://search.naver.com/search.naver?query=아워즈 영화", "아워즈")</f>
        <v>아워즈</v>
      </c>
      <c r="C2014" s="45">
        <v>7.41</v>
      </c>
      <c r="D2014" s="4" t="s">
        <v>2106</v>
      </c>
      <c r="E2014" s="3" t="s">
        <v>20</v>
      </c>
      <c r="F2014" s="3">
        <v>2002</v>
      </c>
      <c r="G2014" s="3" t="s">
        <v>12</v>
      </c>
      <c r="H2014" s="3" t="s">
        <v>17</v>
      </c>
      <c r="I2014" s="3" t="s">
        <v>207</v>
      </c>
      <c r="J2014" s="97" t="s">
        <v>3466</v>
      </c>
    </row>
    <row r="2015" spans="1:10" ht="28.9" customHeight="1" thickTop="1" thickBot="1" x14ac:dyDescent="0.65">
      <c r="A2015" s="5">
        <v>2013</v>
      </c>
      <c r="B2015" s="46" t="str">
        <f>HYPERLINK("https://search.naver.com/search.naver?query=아이2021", "아이")</f>
        <v>아이</v>
      </c>
      <c r="C2015" s="47">
        <v>9.2200000000000006</v>
      </c>
      <c r="D2015" s="6" t="s">
        <v>2107</v>
      </c>
      <c r="E2015" s="5" t="s">
        <v>11</v>
      </c>
      <c r="F2015" s="5">
        <v>2021</v>
      </c>
      <c r="G2015" s="5" t="s">
        <v>12</v>
      </c>
      <c r="H2015" s="5" t="s">
        <v>17</v>
      </c>
      <c r="I2015" s="5" t="s">
        <v>111</v>
      </c>
      <c r="J2015" s="98" t="s">
        <v>3438</v>
      </c>
    </row>
    <row r="2016" spans="1:10" ht="28.9" customHeight="1" thickTop="1" thickBot="1" x14ac:dyDescent="0.65">
      <c r="A2016" s="7">
        <v>2014</v>
      </c>
      <c r="B2016" s="48" t="str">
        <f>HYPERLINK("https://search.naver.com/search.naver?query=아이 러브 유", "아이 러브 유")</f>
        <v>아이 러브 유</v>
      </c>
      <c r="C2016" s="49"/>
      <c r="D2016" s="8" t="s">
        <v>2108</v>
      </c>
      <c r="E2016" s="7" t="s">
        <v>16</v>
      </c>
      <c r="F2016" s="7">
        <v>2024</v>
      </c>
      <c r="G2016" s="7" t="s">
        <v>17</v>
      </c>
      <c r="H2016" s="7" t="s">
        <v>110</v>
      </c>
      <c r="I2016" s="7" t="s">
        <v>50</v>
      </c>
      <c r="J2016" s="99" t="s">
        <v>3448</v>
      </c>
    </row>
    <row r="2017" spans="1:10" ht="28.9" customHeight="1" thickTop="1" thickBot="1" x14ac:dyDescent="0.65">
      <c r="A2017" s="5">
        <v>2015</v>
      </c>
      <c r="B2017" s="46" t="str">
        <f>HYPERLINK("https://search.naver.com/search.naver?query=아이 소우 더 라이트 영화", "아이 소우 더 라이트")</f>
        <v>아이 소우 더 라이트</v>
      </c>
      <c r="C2017" s="47">
        <v>6.4</v>
      </c>
      <c r="D2017" s="6" t="s">
        <v>2109</v>
      </c>
      <c r="E2017" s="5" t="s">
        <v>20</v>
      </c>
      <c r="F2017" s="5">
        <v>2016</v>
      </c>
      <c r="G2017" s="5" t="s">
        <v>12</v>
      </c>
      <c r="H2017" s="5" t="s">
        <v>17</v>
      </c>
      <c r="I2017" s="5" t="s">
        <v>58</v>
      </c>
      <c r="J2017" s="98" t="s">
        <v>3441</v>
      </c>
    </row>
    <row r="2018" spans="1:10" ht="28.9" customHeight="1" thickTop="1" thickBot="1" x14ac:dyDescent="0.65">
      <c r="A2018" s="3">
        <v>2016</v>
      </c>
      <c r="B2018" s="44" t="str">
        <f>HYPERLINK("https://search.naver.com/search.naver?query=아이 씨 유 영화", "아이 씨 유")</f>
        <v>아이 씨 유</v>
      </c>
      <c r="C2018" s="45">
        <v>7.5</v>
      </c>
      <c r="D2018" s="4" t="s">
        <v>2110</v>
      </c>
      <c r="E2018" s="3" t="s">
        <v>20</v>
      </c>
      <c r="F2018" s="3">
        <v>2019</v>
      </c>
      <c r="G2018" s="3" t="s">
        <v>12</v>
      </c>
      <c r="H2018" s="3" t="s">
        <v>43</v>
      </c>
      <c r="I2018" s="3" t="s">
        <v>14</v>
      </c>
      <c r="J2018" s="97" t="s">
        <v>3444</v>
      </c>
    </row>
    <row r="2019" spans="1:10" ht="28.9" customHeight="1" thickTop="1" thickBot="1" x14ac:dyDescent="0.65">
      <c r="A2019" s="5">
        <v>2017</v>
      </c>
      <c r="B2019" s="46" t="str">
        <f>HYPERLINK("https://search.naver.com/search.naver?query=아이 엠 러브 영화", "아이 엠 러브")</f>
        <v>아이 엠 러브</v>
      </c>
      <c r="C2019" s="47">
        <v>8.01</v>
      </c>
      <c r="D2019" s="6" t="s">
        <v>2111</v>
      </c>
      <c r="E2019" s="5" t="s">
        <v>1099</v>
      </c>
      <c r="F2019" s="5">
        <v>2009</v>
      </c>
      <c r="G2019" s="5" t="s">
        <v>12</v>
      </c>
      <c r="H2019" s="5" t="s">
        <v>17</v>
      </c>
      <c r="I2019" s="5" t="s">
        <v>86</v>
      </c>
      <c r="J2019" s="98" t="s">
        <v>3453</v>
      </c>
    </row>
    <row r="2020" spans="1:10" ht="28.9" customHeight="1" thickTop="1" thickBot="1" x14ac:dyDescent="0.65">
      <c r="A2020" s="3">
        <v>2018</v>
      </c>
      <c r="B2020" s="44" t="str">
        <f>HYPERLINK("https://search.naver.com/search.naver?query=아이 엠 마더 영화", "아이 엠 마더")</f>
        <v>아이 엠 마더</v>
      </c>
      <c r="C2020" s="45">
        <v>8.6199999999999992</v>
      </c>
      <c r="D2020" s="4" t="s">
        <v>2112</v>
      </c>
      <c r="E2020" s="3" t="s">
        <v>36</v>
      </c>
      <c r="F2020" s="3">
        <v>2019</v>
      </c>
      <c r="G2020" s="3" t="s">
        <v>12</v>
      </c>
      <c r="H2020" s="3" t="s">
        <v>520</v>
      </c>
      <c r="I2020" s="3" t="s">
        <v>73</v>
      </c>
      <c r="J2020" s="97" t="s">
        <v>3444</v>
      </c>
    </row>
    <row r="2021" spans="1:10" ht="28.9" customHeight="1" thickTop="1" thickBot="1" x14ac:dyDescent="0.65">
      <c r="A2021" s="5">
        <v>2019</v>
      </c>
      <c r="B2021" s="46" t="str">
        <f>HYPERLINK("https://search.naver.com/search.naver?query=아이 오리진스 영화", "아이 오리진스")</f>
        <v>아이 오리진스</v>
      </c>
      <c r="C2021" s="47"/>
      <c r="D2021" s="6" t="s">
        <v>2113</v>
      </c>
      <c r="E2021" s="5" t="s">
        <v>20</v>
      </c>
      <c r="F2021" s="5">
        <v>2014</v>
      </c>
      <c r="G2021" s="5" t="s">
        <v>12</v>
      </c>
      <c r="H2021" s="5" t="s">
        <v>520</v>
      </c>
      <c r="I2021" s="5" t="s">
        <v>286</v>
      </c>
      <c r="J2021" s="98" t="s">
        <v>3437</v>
      </c>
    </row>
    <row r="2022" spans="1:10" ht="28.9" customHeight="1" thickTop="1" thickBot="1" x14ac:dyDescent="0.65">
      <c r="A2022" s="3">
        <v>2020</v>
      </c>
      <c r="B2022" s="44" t="str">
        <f>HYPERLINK("https://search.naver.com/search.naver?query=아이 인 더 스카이 영화", "아이 인 더 스카이")</f>
        <v>아이 인 더 스카이</v>
      </c>
      <c r="C2022" s="45">
        <v>8.5299999999999994</v>
      </c>
      <c r="D2022" s="4" t="s">
        <v>2114</v>
      </c>
      <c r="E2022" s="3" t="s">
        <v>24</v>
      </c>
      <c r="F2022" s="3">
        <v>2015</v>
      </c>
      <c r="G2022" s="3" t="s">
        <v>12</v>
      </c>
      <c r="H2022" s="3" t="s">
        <v>43</v>
      </c>
      <c r="I2022" s="3" t="s">
        <v>99</v>
      </c>
      <c r="J2022" s="97" t="s">
        <v>3440</v>
      </c>
    </row>
    <row r="2023" spans="1:10" ht="28.9" customHeight="1" thickTop="1" thickBot="1" x14ac:dyDescent="0.65">
      <c r="A2023" s="5">
        <v>2021</v>
      </c>
      <c r="B2023" s="46" t="str">
        <f>HYPERLINK("https://search.naver.com/search.naver?query=아이 캔 스피크 영화", "아이 캔 스피크")</f>
        <v>아이 캔 스피크</v>
      </c>
      <c r="C2023" s="47">
        <v>9.24</v>
      </c>
      <c r="D2023" s="6" t="s">
        <v>2115</v>
      </c>
      <c r="E2023" s="5" t="s">
        <v>11</v>
      </c>
      <c r="F2023" s="5">
        <v>2017</v>
      </c>
      <c r="G2023" s="5" t="s">
        <v>12</v>
      </c>
      <c r="H2023" s="5" t="s">
        <v>17</v>
      </c>
      <c r="I2023" s="5" t="s">
        <v>53</v>
      </c>
      <c r="J2023" s="98" t="s">
        <v>3443</v>
      </c>
    </row>
    <row r="2024" spans="1:10" ht="28.9" customHeight="1" thickTop="1" thickBot="1" x14ac:dyDescent="0.65">
      <c r="A2024" s="3">
        <v>2022</v>
      </c>
      <c r="B2024" s="44" t="str">
        <f>HYPERLINK("https://search.naver.com/search.naver?query=아이 캔 온리 이매진 영화", "아이 캔 온리 이매진")</f>
        <v>아이 캔 온리 이매진</v>
      </c>
      <c r="C2024" s="45">
        <v>9.08</v>
      </c>
      <c r="D2024" s="4" t="s">
        <v>2116</v>
      </c>
      <c r="E2024" s="3" t="s">
        <v>20</v>
      </c>
      <c r="F2024" s="3">
        <v>2018</v>
      </c>
      <c r="G2024" s="3" t="s">
        <v>12</v>
      </c>
      <c r="H2024" s="3" t="s">
        <v>17</v>
      </c>
      <c r="I2024" s="3" t="s">
        <v>96</v>
      </c>
      <c r="J2024" s="97" t="s">
        <v>3442</v>
      </c>
    </row>
    <row r="2025" spans="1:10" ht="28.9" customHeight="1" thickTop="1" thickBot="1" x14ac:dyDescent="0.65">
      <c r="A2025" s="5">
        <v>2023</v>
      </c>
      <c r="B2025" s="46" t="str">
        <f>HYPERLINK("https://search.naver.com/search.naver?query=아이 필 프리티 영화", "아이 필 프리티")</f>
        <v>아이 필 프리티</v>
      </c>
      <c r="C2025" s="47">
        <v>9.0299999999999994</v>
      </c>
      <c r="D2025" s="6" t="s">
        <v>2117</v>
      </c>
      <c r="E2025" s="5" t="s">
        <v>20</v>
      </c>
      <c r="F2025" s="5">
        <v>2018</v>
      </c>
      <c r="G2025" s="5" t="s">
        <v>12</v>
      </c>
      <c r="H2025" s="5" t="s">
        <v>68</v>
      </c>
      <c r="I2025" s="5" t="s">
        <v>96</v>
      </c>
      <c r="J2025" s="98" t="s">
        <v>3442</v>
      </c>
    </row>
    <row r="2026" spans="1:10" ht="28.9" customHeight="1" thickTop="1" thickBot="1" x14ac:dyDescent="0.65">
      <c r="A2026" s="3">
        <v>2024</v>
      </c>
      <c r="B2026" s="44" t="str">
        <f>HYPERLINK("https://search.naver.com/search.naver?query=아이, 토냐 영화", "아이, 토냐")</f>
        <v>아이, 토냐</v>
      </c>
      <c r="C2026" s="45">
        <v>8.73</v>
      </c>
      <c r="D2026" s="4" t="s">
        <v>2118</v>
      </c>
      <c r="E2026" s="3" t="s">
        <v>20</v>
      </c>
      <c r="F2026" s="3">
        <v>2017</v>
      </c>
      <c r="G2026" s="3" t="s">
        <v>12</v>
      </c>
      <c r="H2026" s="3" t="s">
        <v>17</v>
      </c>
      <c r="I2026" s="3" t="s">
        <v>53</v>
      </c>
      <c r="J2026" s="97" t="s">
        <v>3443</v>
      </c>
    </row>
    <row r="2027" spans="1:10" ht="28.9" customHeight="1" thickTop="1" thickBot="1" x14ac:dyDescent="0.65">
      <c r="A2027" s="5">
        <v>2025</v>
      </c>
      <c r="B2027" s="46" t="str">
        <f>HYPERLINK("https://search.naver.com/search.naver?query=아이덴티티 영화", "아이덴티티")</f>
        <v>아이덴티티</v>
      </c>
      <c r="C2027" s="47"/>
      <c r="D2027" s="6" t="s">
        <v>2119</v>
      </c>
      <c r="E2027" s="5" t="s">
        <v>20</v>
      </c>
      <c r="F2027" s="5">
        <v>2003</v>
      </c>
      <c r="G2027" s="5" t="s">
        <v>12</v>
      </c>
      <c r="H2027" s="5" t="s">
        <v>141</v>
      </c>
      <c r="I2027" s="5" t="s">
        <v>115</v>
      </c>
      <c r="J2027" s="98" t="s">
        <v>3449</v>
      </c>
    </row>
    <row r="2028" spans="1:10" ht="28.9" customHeight="1" thickTop="1" thickBot="1" x14ac:dyDescent="0.65">
      <c r="A2028" s="3">
        <v>2026</v>
      </c>
      <c r="B2028" s="44" t="str">
        <f>HYPERLINK("https://search.naver.com/search.naver?query=아이리시맨 영화", "아이리시맨")</f>
        <v>아이리시맨</v>
      </c>
      <c r="C2028" s="45">
        <v>8.83</v>
      </c>
      <c r="D2028" s="4" t="s">
        <v>2120</v>
      </c>
      <c r="E2028" s="3" t="s">
        <v>20</v>
      </c>
      <c r="F2028" s="3">
        <v>2019</v>
      </c>
      <c r="G2028" s="3" t="s">
        <v>12</v>
      </c>
      <c r="H2028" s="3" t="s">
        <v>277</v>
      </c>
      <c r="I2028" s="3" t="s">
        <v>2121</v>
      </c>
      <c r="J2028" s="97" t="s">
        <v>3444</v>
      </c>
    </row>
    <row r="2029" spans="1:10" ht="28.9" customHeight="1" thickTop="1" thickBot="1" x14ac:dyDescent="0.65">
      <c r="A2029" s="5">
        <v>2027</v>
      </c>
      <c r="B2029" s="46" t="str">
        <f>HYPERLINK("https://search.naver.com/search.naver?query=아이스 로드 영화", "아이스 로드")</f>
        <v>아이스 로드</v>
      </c>
      <c r="C2029" s="47">
        <v>7.91</v>
      </c>
      <c r="D2029" s="6" t="s">
        <v>2122</v>
      </c>
      <c r="E2029" s="5" t="s">
        <v>20</v>
      </c>
      <c r="F2029" s="5">
        <v>2021</v>
      </c>
      <c r="G2029" s="5" t="s">
        <v>12</v>
      </c>
      <c r="H2029" s="5" t="s">
        <v>92</v>
      </c>
      <c r="I2029" s="5" t="s">
        <v>31</v>
      </c>
      <c r="J2029" s="98" t="s">
        <v>3438</v>
      </c>
    </row>
    <row r="2030" spans="1:10" ht="28.9" customHeight="1" thickTop="1" thickBot="1" x14ac:dyDescent="0.65">
      <c r="A2030" s="3">
        <v>2028</v>
      </c>
      <c r="B2030" s="44" t="str">
        <f>HYPERLINK("https://search.naver.com/search.naver?query=아이스 로드 벤전스 영화", "아이스 로드-벤전스")</f>
        <v>아이스 로드-벤전스</v>
      </c>
      <c r="C2030" s="45">
        <v>6.4</v>
      </c>
      <c r="D2030" s="4" t="s">
        <v>2123</v>
      </c>
      <c r="E2030" s="3" t="s">
        <v>20</v>
      </c>
      <c r="F2030" s="3">
        <v>2025</v>
      </c>
      <c r="G2030" s="3" t="s">
        <v>12</v>
      </c>
      <c r="H2030" s="3" t="s">
        <v>92</v>
      </c>
      <c r="I2030" s="3" t="s">
        <v>131</v>
      </c>
      <c r="J2030" s="97" t="s">
        <v>3459</v>
      </c>
    </row>
    <row r="2031" spans="1:10" ht="28.9" customHeight="1" thickTop="1" thickBot="1" x14ac:dyDescent="0.65">
      <c r="A2031" s="5">
        <v>2029</v>
      </c>
      <c r="B2031" s="46" t="str">
        <f>HYPERLINK("https://search.naver.com/search.naver?query=아이엠히어 영화", "아이엠히어")</f>
        <v>아이엠히어</v>
      </c>
      <c r="C2031" s="47"/>
      <c r="D2031" s="6" t="s">
        <v>2124</v>
      </c>
      <c r="E2031" s="5" t="s">
        <v>210</v>
      </c>
      <c r="F2031" s="5">
        <v>2020</v>
      </c>
      <c r="G2031" s="5" t="s">
        <v>12</v>
      </c>
      <c r="H2031" s="5" t="s">
        <v>17</v>
      </c>
      <c r="I2031" s="5" t="s">
        <v>111</v>
      </c>
      <c r="J2031" s="98" t="s">
        <v>3436</v>
      </c>
    </row>
    <row r="2032" spans="1:10" ht="28.9" customHeight="1" thickTop="1" thickBot="1" x14ac:dyDescent="0.65">
      <c r="A2032" s="3">
        <v>2030</v>
      </c>
      <c r="B2032" s="44" t="str">
        <f>HYPERLINK("https://search.naver.com/search.naver?query=아이즈 와이드 셧 영화", "아이즈 와이드 셧")</f>
        <v>아이즈 와이드 셧</v>
      </c>
      <c r="C2032" s="45">
        <v>8.1</v>
      </c>
      <c r="D2032" s="4" t="s">
        <v>2125</v>
      </c>
      <c r="E2032" s="3" t="s">
        <v>20</v>
      </c>
      <c r="F2032" s="3">
        <v>1999</v>
      </c>
      <c r="G2032" s="3" t="s">
        <v>12</v>
      </c>
      <c r="H2032" s="3" t="s">
        <v>17</v>
      </c>
      <c r="I2032" s="3" t="s">
        <v>2126</v>
      </c>
      <c r="J2032" s="97" t="s">
        <v>3456</v>
      </c>
    </row>
    <row r="2033" spans="1:10" ht="28.9" customHeight="1" thickTop="1" thickBot="1" x14ac:dyDescent="0.65">
      <c r="A2033" s="5">
        <v>2031</v>
      </c>
      <c r="B2033" s="46" t="str">
        <f>HYPERLINK("https://search.naver.com/search.naver?query=아일라 영화", "아일라")</f>
        <v>아일라</v>
      </c>
      <c r="C2033" s="47">
        <v>9.1300000000000008</v>
      </c>
      <c r="D2033" s="6" t="s">
        <v>2127</v>
      </c>
      <c r="E2033" s="5" t="s">
        <v>1370</v>
      </c>
      <c r="F2033" s="5">
        <v>2017</v>
      </c>
      <c r="G2033" s="5" t="s">
        <v>12</v>
      </c>
      <c r="H2033" s="5" t="s">
        <v>17</v>
      </c>
      <c r="I2033" s="5" t="s">
        <v>214</v>
      </c>
      <c r="J2033" s="98" t="s">
        <v>3443</v>
      </c>
    </row>
    <row r="2034" spans="1:10" ht="28.9" customHeight="1" thickTop="1" thickBot="1" x14ac:dyDescent="0.65">
      <c r="A2034" s="3">
        <v>2032</v>
      </c>
      <c r="B2034" s="44" t="str">
        <f>HYPERLINK("https://search.naver.com/search.naver?query=아임 유어 우먼 영화", "아임 유어 우먼")</f>
        <v>아임 유어 우먼</v>
      </c>
      <c r="C2034" s="45">
        <v>6.4</v>
      </c>
      <c r="D2034" s="4" t="s">
        <v>2128</v>
      </c>
      <c r="E2034" s="3" t="s">
        <v>20</v>
      </c>
      <c r="F2034" s="3">
        <v>2020</v>
      </c>
      <c r="G2034" s="3" t="s">
        <v>12</v>
      </c>
      <c r="H2034" s="3" t="s">
        <v>277</v>
      </c>
      <c r="I2034" s="3" t="s">
        <v>86</v>
      </c>
      <c r="J2034" s="97" t="s">
        <v>3436</v>
      </c>
    </row>
    <row r="2035" spans="1:10" ht="28.9" customHeight="1" thickTop="1" thickBot="1" x14ac:dyDescent="0.65">
      <c r="A2035" s="5">
        <v>2033</v>
      </c>
      <c r="B2035" s="46" t="str">
        <f>HYPERLINK("https://search.naver.com/search.naver?query=아주 긴 변명 영화", "아주 긴 변명")</f>
        <v>아주 긴 변명</v>
      </c>
      <c r="C2035" s="47">
        <v>8.66</v>
      </c>
      <c r="D2035" s="6" t="s">
        <v>2129</v>
      </c>
      <c r="E2035" s="5" t="s">
        <v>16</v>
      </c>
      <c r="F2035" s="5">
        <v>2016</v>
      </c>
      <c r="G2035" s="5" t="s">
        <v>12</v>
      </c>
      <c r="H2035" s="5" t="s">
        <v>17</v>
      </c>
      <c r="I2035" s="5" t="s">
        <v>134</v>
      </c>
      <c r="J2035" s="98" t="s">
        <v>3441</v>
      </c>
    </row>
    <row r="2036" spans="1:10" ht="28.9" customHeight="1" thickTop="1" thickBot="1" x14ac:dyDescent="0.65">
      <c r="A2036" s="3">
        <v>2034</v>
      </c>
      <c r="B2036" s="44" t="str">
        <f>HYPERLINK("https://search.naver.com/search.naver?query=아직 끝나지 않았다 영화", "아직 끝나지 않았다")</f>
        <v>아직 끝나지 않았다</v>
      </c>
      <c r="C2036" s="45">
        <v>7.94</v>
      </c>
      <c r="D2036" s="4" t="s">
        <v>2130</v>
      </c>
      <c r="E2036" s="3" t="s">
        <v>210</v>
      </c>
      <c r="F2036" s="3">
        <v>2018</v>
      </c>
      <c r="G2036" s="3" t="s">
        <v>12</v>
      </c>
      <c r="H2036" s="3" t="s">
        <v>17</v>
      </c>
      <c r="I2036" s="3" t="s">
        <v>93</v>
      </c>
      <c r="J2036" s="97" t="s">
        <v>3442</v>
      </c>
    </row>
    <row r="2037" spans="1:10" ht="28.9" customHeight="1" thickTop="1" thickBot="1" x14ac:dyDescent="0.65">
      <c r="A2037" s="5">
        <v>2035</v>
      </c>
      <c r="B2037" s="46" t="str">
        <f>HYPERLINK("https://search.naver.com/search.naver?query=아쿠아맨 영화", "아쿠아맨")</f>
        <v>아쿠아맨</v>
      </c>
      <c r="C2037" s="47">
        <v>7.45</v>
      </c>
      <c r="D2037" s="6" t="s">
        <v>2131</v>
      </c>
      <c r="E2037" s="5" t="s">
        <v>20</v>
      </c>
      <c r="F2037" s="5">
        <v>2018</v>
      </c>
      <c r="G2037" s="5" t="s">
        <v>12</v>
      </c>
      <c r="H2037" s="5" t="s">
        <v>92</v>
      </c>
      <c r="I2037" s="5" t="s">
        <v>25</v>
      </c>
      <c r="J2037" s="98" t="s">
        <v>3442</v>
      </c>
    </row>
    <row r="2038" spans="1:10" ht="28.9" customHeight="1" thickTop="1" thickBot="1" x14ac:dyDescent="0.65">
      <c r="A2038" s="3">
        <v>2036</v>
      </c>
      <c r="B2038" s="44" t="str">
        <f>HYPERLINK("https://search.naver.com/search.naver?query=아킬레스와 거북이 영화", "아킬레스와 거북이")</f>
        <v>아킬레스와 거북이</v>
      </c>
      <c r="C2038" s="45">
        <v>6.4</v>
      </c>
      <c r="D2038" s="4" t="s">
        <v>2132</v>
      </c>
      <c r="E2038" s="3" t="s">
        <v>16</v>
      </c>
      <c r="F2038" s="3">
        <v>2008</v>
      </c>
      <c r="G2038" s="3" t="s">
        <v>12</v>
      </c>
      <c r="H2038" s="3" t="s">
        <v>68</v>
      </c>
      <c r="I2038" s="3" t="s">
        <v>53</v>
      </c>
      <c r="J2038" s="97" t="s">
        <v>3450</v>
      </c>
    </row>
    <row r="2039" spans="1:10" ht="28.9" customHeight="1" thickTop="1" thickBot="1" x14ac:dyDescent="0.65">
      <c r="A2039" s="5">
        <v>2037</v>
      </c>
      <c r="B2039" s="46" t="str">
        <f>HYPERLINK("https://search.naver.com/search.naver?query=아트 오브 레이싱 인 더 레인 영화", "아트 오브 레이싱 인 더 레인")</f>
        <v>아트 오브 레이싱 인 더 레인</v>
      </c>
      <c r="C2039" s="47"/>
      <c r="D2039" s="6" t="s">
        <v>2133</v>
      </c>
      <c r="E2039" s="5" t="s">
        <v>20</v>
      </c>
      <c r="F2039" s="5">
        <v>2019</v>
      </c>
      <c r="G2039" s="5" t="s">
        <v>12</v>
      </c>
      <c r="H2039" s="5" t="s">
        <v>17</v>
      </c>
      <c r="I2039" s="5" t="s">
        <v>137</v>
      </c>
      <c r="J2039" s="98" t="s">
        <v>3444</v>
      </c>
    </row>
    <row r="2040" spans="1:10" ht="28.9" customHeight="1" thickTop="1" thickBot="1" x14ac:dyDescent="0.65">
      <c r="A2040" s="3">
        <v>2038</v>
      </c>
      <c r="B2040" s="44" t="str">
        <f>HYPERLINK("https://search.naver.com/search.naver?query=아티스트 영화", "아티스트")</f>
        <v>아티스트</v>
      </c>
      <c r="C2040" s="45">
        <v>8.33</v>
      </c>
      <c r="D2040" s="4" t="s">
        <v>2134</v>
      </c>
      <c r="E2040" s="3" t="s">
        <v>210</v>
      </c>
      <c r="F2040" s="3">
        <v>2011</v>
      </c>
      <c r="G2040" s="3" t="s">
        <v>12</v>
      </c>
      <c r="H2040" s="3" t="s">
        <v>68</v>
      </c>
      <c r="I2040" s="3" t="s">
        <v>131</v>
      </c>
      <c r="J2040" s="97" t="s">
        <v>3454</v>
      </c>
    </row>
    <row r="2041" spans="1:10" ht="28.9" customHeight="1" thickTop="1" thickBot="1" x14ac:dyDescent="0.65">
      <c r="A2041" s="5">
        <v>2039</v>
      </c>
      <c r="B2041" s="46" t="str">
        <f>HYPERLINK("https://search.naver.com/search.naver?query=아틱 영화", "아틱")</f>
        <v>아틱</v>
      </c>
      <c r="C2041" s="47">
        <v>8.91</v>
      </c>
      <c r="D2041" s="6" t="s">
        <v>2135</v>
      </c>
      <c r="E2041" s="5" t="s">
        <v>2136</v>
      </c>
      <c r="F2041" s="5">
        <v>2018</v>
      </c>
      <c r="G2041" s="5" t="s">
        <v>12</v>
      </c>
      <c r="H2041" s="5" t="s">
        <v>17</v>
      </c>
      <c r="I2041" s="5" t="s">
        <v>14</v>
      </c>
      <c r="J2041" s="98" t="s">
        <v>3442</v>
      </c>
    </row>
    <row r="2042" spans="1:10" ht="28.9" customHeight="1" thickTop="1" thickBot="1" x14ac:dyDescent="0.65">
      <c r="A2042" s="3">
        <v>2040</v>
      </c>
      <c r="B2042" s="44" t="str">
        <f>HYPERLINK("https://search.naver.com/search.naver?query=악녀 영화", "악녀")</f>
        <v>악녀</v>
      </c>
      <c r="C2042" s="45">
        <v>7.82</v>
      </c>
      <c r="D2042" s="4" t="s">
        <v>2137</v>
      </c>
      <c r="E2042" s="3" t="s">
        <v>11</v>
      </c>
      <c r="F2042" s="3">
        <v>2017</v>
      </c>
      <c r="G2042" s="3" t="s">
        <v>12</v>
      </c>
      <c r="H2042" s="3" t="s">
        <v>92</v>
      </c>
      <c r="I2042" s="3" t="s">
        <v>58</v>
      </c>
      <c r="J2042" s="97" t="s">
        <v>3443</v>
      </c>
    </row>
    <row r="2043" spans="1:10" ht="28.9" customHeight="1" thickTop="1" thickBot="1" x14ac:dyDescent="0.65">
      <c r="A2043" s="5">
        <v>2041</v>
      </c>
      <c r="B2043" s="46" t="str">
        <f>HYPERLINK("https://search.naver.com/search.naver?query=악마가 너의 죽음을 알기 전에 영화", "악마가 너의 죽음을 알기 전에")</f>
        <v>악마가 너의 죽음을 알기 전에</v>
      </c>
      <c r="C2043" s="47">
        <v>8</v>
      </c>
      <c r="D2043" s="6" t="s">
        <v>2138</v>
      </c>
      <c r="E2043" s="5" t="s">
        <v>20</v>
      </c>
      <c r="F2043" s="5">
        <v>2007</v>
      </c>
      <c r="G2043" s="5" t="s">
        <v>12</v>
      </c>
      <c r="H2043" s="5" t="s">
        <v>277</v>
      </c>
      <c r="I2043" s="5" t="s">
        <v>89</v>
      </c>
      <c r="J2043" s="98" t="s">
        <v>3447</v>
      </c>
    </row>
    <row r="2044" spans="1:10" ht="28.9" customHeight="1" thickTop="1" thickBot="1" x14ac:dyDescent="0.65">
      <c r="A2044" s="3">
        <v>2042</v>
      </c>
      <c r="B2044" s="44" t="str">
        <f>HYPERLINK("https://search.naver.com/search.naver?query=악마는 프라다를 입는다 영화", "악마는 프라다를 입는다")</f>
        <v>악마는 프라다를 입는다</v>
      </c>
      <c r="C2044" s="45">
        <v>4.32</v>
      </c>
      <c r="D2044" s="4" t="s">
        <v>2139</v>
      </c>
      <c r="E2044" s="3" t="s">
        <v>20</v>
      </c>
      <c r="F2044" s="3">
        <v>2006</v>
      </c>
      <c r="G2044" s="3" t="s">
        <v>12</v>
      </c>
      <c r="H2044" s="3" t="s">
        <v>68</v>
      </c>
      <c r="I2044" s="3" t="s">
        <v>137</v>
      </c>
      <c r="J2044" s="97" t="s">
        <v>3460</v>
      </c>
    </row>
    <row r="2045" spans="1:10" ht="28.9" customHeight="1" thickTop="1" thickBot="1" x14ac:dyDescent="0.65">
      <c r="A2045" s="5">
        <v>2043</v>
      </c>
      <c r="B2045" s="46" t="str">
        <f>HYPERLINK("https://search.naver.com/search.naver?query=악마를 보았다 영화", "악마를 보았다")</f>
        <v>악마를 보았다</v>
      </c>
      <c r="C2045" s="47">
        <v>8.07</v>
      </c>
      <c r="D2045" s="6" t="s">
        <v>2140</v>
      </c>
      <c r="E2045" s="5" t="s">
        <v>11</v>
      </c>
      <c r="F2045" s="5">
        <v>2010</v>
      </c>
      <c r="G2045" s="5" t="s">
        <v>12</v>
      </c>
      <c r="H2045" s="5" t="s">
        <v>43</v>
      </c>
      <c r="I2045" s="5" t="s">
        <v>455</v>
      </c>
      <c r="J2045" s="98" t="s">
        <v>3455</v>
      </c>
    </row>
    <row r="2046" spans="1:10" ht="28.9" customHeight="1" thickTop="1" thickBot="1" x14ac:dyDescent="0.65">
      <c r="A2046" s="3">
        <v>2044</v>
      </c>
      <c r="B2046" s="44" t="str">
        <f>HYPERLINK("https://search.naver.com/search.naver?query=악은 존재하지 않는다 영화", "악은 존재하지 않는다")</f>
        <v>악은 존재하지 않는다</v>
      </c>
      <c r="C2046" s="45">
        <v>7.94</v>
      </c>
      <c r="D2046" s="4" t="s">
        <v>2141</v>
      </c>
      <c r="E2046" s="3" t="s">
        <v>16</v>
      </c>
      <c r="F2046" s="3">
        <v>2023</v>
      </c>
      <c r="G2046" s="3" t="s">
        <v>12</v>
      </c>
      <c r="H2046" s="3" t="s">
        <v>17</v>
      </c>
      <c r="I2046" s="3" t="s">
        <v>286</v>
      </c>
      <c r="J2046" s="97" t="s">
        <v>3446</v>
      </c>
    </row>
    <row r="2047" spans="1:10" ht="28.9" customHeight="1" thickTop="1" thickBot="1" x14ac:dyDescent="0.65">
      <c r="A2047" s="5">
        <v>2045</v>
      </c>
      <c r="B2047" s="46" t="str">
        <f>HYPERLINK("https://search.naver.com/search.naver?query=악의 도시 영화", "악의 도시")</f>
        <v>악의 도시</v>
      </c>
      <c r="C2047" s="47">
        <v>6.81</v>
      </c>
      <c r="D2047" s="6" t="s">
        <v>2142</v>
      </c>
      <c r="E2047" s="5" t="s">
        <v>11</v>
      </c>
      <c r="F2047" s="5">
        <v>2015</v>
      </c>
      <c r="G2047" s="5" t="s">
        <v>12</v>
      </c>
      <c r="H2047" s="5" t="s">
        <v>277</v>
      </c>
      <c r="I2047" s="5" t="s">
        <v>111</v>
      </c>
      <c r="J2047" s="98" t="s">
        <v>3440</v>
      </c>
    </row>
    <row r="2048" spans="1:10" ht="28.9" customHeight="1" thickTop="1" thickBot="1" x14ac:dyDescent="0.65">
      <c r="A2048" s="3">
        <v>2046</v>
      </c>
      <c r="B2048" s="44" t="str">
        <f>HYPERLINK("https://search.naver.com/search.naver?query=악의 연대기 영화", "악의 연대기")</f>
        <v>악의 연대기</v>
      </c>
      <c r="C2048" s="45">
        <v>8.2200000000000006</v>
      </c>
      <c r="D2048" s="4" t="s">
        <v>2143</v>
      </c>
      <c r="E2048" s="3" t="s">
        <v>11</v>
      </c>
      <c r="F2048" s="3">
        <v>2015</v>
      </c>
      <c r="G2048" s="3" t="s">
        <v>12</v>
      </c>
      <c r="H2048" s="3" t="s">
        <v>43</v>
      </c>
      <c r="I2048" s="3" t="s">
        <v>99</v>
      </c>
      <c r="J2048" s="97" t="s">
        <v>3440</v>
      </c>
    </row>
    <row r="2049" spans="1:10" ht="28.9" customHeight="1" thickTop="1" thickBot="1" x14ac:dyDescent="0.65">
      <c r="A2049" s="5">
        <v>2047</v>
      </c>
      <c r="B2049" s="46" t="str">
        <f>HYPERLINK("https://search.naver.com/search.naver?query=악인 영화", "악인")</f>
        <v>악인</v>
      </c>
      <c r="C2049" s="47">
        <v>7.73</v>
      </c>
      <c r="D2049" s="6" t="s">
        <v>2144</v>
      </c>
      <c r="E2049" s="5" t="s">
        <v>16</v>
      </c>
      <c r="F2049" s="5">
        <v>2011</v>
      </c>
      <c r="G2049" s="5" t="s">
        <v>12</v>
      </c>
      <c r="H2049" s="5" t="s">
        <v>17</v>
      </c>
      <c r="I2049" s="5" t="s">
        <v>305</v>
      </c>
      <c r="J2049" s="98" t="s">
        <v>3454</v>
      </c>
    </row>
    <row r="2050" spans="1:10" ht="28.9" customHeight="1" thickTop="1" thickBot="1" x14ac:dyDescent="0.65">
      <c r="A2050" s="3">
        <v>2048</v>
      </c>
      <c r="B2050" s="44" t="str">
        <f>HYPERLINK("https://search.naver.com/search.naver?query=악인전 영화", "악인전")</f>
        <v>악인전</v>
      </c>
      <c r="C2050" s="45">
        <v>8.5299999999999994</v>
      </c>
      <c r="D2050" s="4" t="s">
        <v>2145</v>
      </c>
      <c r="E2050" s="3" t="s">
        <v>11</v>
      </c>
      <c r="F2050" s="3">
        <v>2018</v>
      </c>
      <c r="G2050" s="3" t="s">
        <v>12</v>
      </c>
      <c r="H2050" s="3" t="s">
        <v>92</v>
      </c>
      <c r="I2050" s="3" t="s">
        <v>111</v>
      </c>
      <c r="J2050" s="97" t="s">
        <v>3442</v>
      </c>
    </row>
    <row r="2051" spans="1:10" ht="28.9" customHeight="1" thickTop="1" thickBot="1" x14ac:dyDescent="0.65">
      <c r="A2051" s="5">
        <v>2049</v>
      </c>
      <c r="B2051" s="46" t="str">
        <f>HYPERLINK("https://search.naver.com/search.naver?query=악질경찰", "악질경찰")</f>
        <v>악질경찰</v>
      </c>
      <c r="C2051" s="47">
        <v>7.18</v>
      </c>
      <c r="D2051" s="6" t="s">
        <v>2146</v>
      </c>
      <c r="E2051" s="5" t="s">
        <v>11</v>
      </c>
      <c r="F2051" s="5">
        <v>2019</v>
      </c>
      <c r="G2051" s="5" t="s">
        <v>12</v>
      </c>
      <c r="H2051" s="5" t="s">
        <v>277</v>
      </c>
      <c r="I2051" s="5" t="s">
        <v>111</v>
      </c>
      <c r="J2051" s="98" t="s">
        <v>3444</v>
      </c>
    </row>
    <row r="2052" spans="1:10" ht="28.9" customHeight="1" thickTop="1" thickBot="1" x14ac:dyDescent="0.65">
      <c r="A2052" s="3">
        <v>2050</v>
      </c>
      <c r="B2052" s="44" t="str">
        <f>HYPERLINK("https://search.naver.com/search.naver?query=안개 속 소녀 영화", "안개 속 소녀")</f>
        <v>안개 속 소녀</v>
      </c>
      <c r="C2052" s="45">
        <v>6.73</v>
      </c>
      <c r="D2052" s="4" t="s">
        <v>2147</v>
      </c>
      <c r="E2052" s="3" t="s">
        <v>1099</v>
      </c>
      <c r="F2052" s="3">
        <v>2017</v>
      </c>
      <c r="G2052" s="3" t="s">
        <v>12</v>
      </c>
      <c r="H2052" s="3" t="s">
        <v>43</v>
      </c>
      <c r="I2052" s="3" t="s">
        <v>150</v>
      </c>
      <c r="J2052" s="97" t="s">
        <v>3443</v>
      </c>
    </row>
    <row r="2053" spans="1:10" ht="28.9" customHeight="1" thickTop="1" thickBot="1" x14ac:dyDescent="0.65">
      <c r="A2053" s="5">
        <v>2051</v>
      </c>
      <c r="B2053" s="46" t="str">
        <f>HYPERLINK("https://search.naver.com/search.naver?query=안개 속의 풍경 영화", "안개 속의 풍경")</f>
        <v>안개 속의 풍경</v>
      </c>
      <c r="C2053" s="47">
        <v>8.83</v>
      </c>
      <c r="D2053" s="6" t="s">
        <v>2148</v>
      </c>
      <c r="E2053" s="5" t="s">
        <v>504</v>
      </c>
      <c r="F2053" s="5">
        <v>1988</v>
      </c>
      <c r="G2053" s="5" t="s">
        <v>12</v>
      </c>
      <c r="H2053" s="5" t="s">
        <v>17</v>
      </c>
      <c r="I2053" s="5" t="s">
        <v>150</v>
      </c>
      <c r="J2053" s="98" t="s">
        <v>3483</v>
      </c>
    </row>
    <row r="2054" spans="1:10" ht="28.9" customHeight="1" thickTop="1" thickBot="1" x14ac:dyDescent="0.65">
      <c r="A2054" s="3">
        <v>2052</v>
      </c>
      <c r="B2054" s="44" t="str">
        <f>HYPERLINK("https://search.naver.com/search.naver?query=안나 영화", "안나")</f>
        <v>안나</v>
      </c>
      <c r="C2054" s="45">
        <v>8.2100000000000009</v>
      </c>
      <c r="D2054" s="4" t="s">
        <v>2149</v>
      </c>
      <c r="E2054" s="3" t="s">
        <v>210</v>
      </c>
      <c r="F2054" s="3">
        <v>2019</v>
      </c>
      <c r="G2054" s="3" t="s">
        <v>12</v>
      </c>
      <c r="H2054" s="3" t="s">
        <v>92</v>
      </c>
      <c r="I2054" s="3" t="s">
        <v>53</v>
      </c>
      <c r="J2054" s="97" t="s">
        <v>3444</v>
      </c>
    </row>
    <row r="2055" spans="1:10" ht="28.9" customHeight="1" thickTop="1" thickBot="1" x14ac:dyDescent="0.65">
      <c r="A2055" s="5">
        <v>2053</v>
      </c>
      <c r="B2055" s="46" t="str">
        <f>HYPERLINK("https://search.naver.com/search.naver?query=안나푸르나 비욘드 써밋 영화", "안나푸르나 비욘드 써밋")</f>
        <v>안나푸르나 비욘드 써밋</v>
      </c>
      <c r="C2055" s="47">
        <v>8.89</v>
      </c>
      <c r="D2055" s="6" t="s">
        <v>2150</v>
      </c>
      <c r="E2055" s="5" t="s">
        <v>20</v>
      </c>
      <c r="F2055" s="5">
        <v>2022</v>
      </c>
      <c r="G2055" s="5" t="s">
        <v>12</v>
      </c>
      <c r="H2055" s="5" t="s">
        <v>160</v>
      </c>
      <c r="I2055" s="5" t="s">
        <v>111</v>
      </c>
      <c r="J2055" s="98" t="s">
        <v>3445</v>
      </c>
    </row>
    <row r="2056" spans="1:10" ht="28.9" customHeight="1" thickTop="1" thickBot="1" x14ac:dyDescent="0.65">
      <c r="A2056" s="7">
        <v>2054</v>
      </c>
      <c r="B2056" s="48" t="str">
        <f>HYPERLINK("https://search.naver.com/search.naver?query=안녕 마에스트로", "안녕 마에스트로")</f>
        <v>안녕 마에스트로</v>
      </c>
      <c r="C2056" s="49"/>
      <c r="D2056" s="8" t="s">
        <v>2151</v>
      </c>
      <c r="E2056" s="7" t="s">
        <v>16</v>
      </c>
      <c r="F2056" s="7">
        <v>2024</v>
      </c>
      <c r="G2056" s="7" t="s">
        <v>17</v>
      </c>
      <c r="H2056" s="7" t="s">
        <v>17</v>
      </c>
      <c r="I2056" s="7" t="s">
        <v>50</v>
      </c>
      <c r="J2056" s="99" t="s">
        <v>3448</v>
      </c>
    </row>
    <row r="2057" spans="1:10" ht="28.9" customHeight="1" thickTop="1" thickBot="1" x14ac:dyDescent="0.65">
      <c r="A2057" s="5">
        <v>2055</v>
      </c>
      <c r="B2057" s="46" t="str">
        <f>HYPERLINK("https://search.naver.com/search.naver?query=안녕 베일리 영화", "안녕 베일리")</f>
        <v>안녕 베일리</v>
      </c>
      <c r="C2057" s="47">
        <v>9.1999999999999993</v>
      </c>
      <c r="D2057" s="6" t="s">
        <v>2152</v>
      </c>
      <c r="E2057" s="5" t="s">
        <v>20</v>
      </c>
      <c r="F2057" s="5">
        <v>2019</v>
      </c>
      <c r="G2057" s="5" t="s">
        <v>12</v>
      </c>
      <c r="H2057" s="5" t="s">
        <v>17</v>
      </c>
      <c r="I2057" s="5" t="s">
        <v>31</v>
      </c>
      <c r="J2057" s="98" t="s">
        <v>3444</v>
      </c>
    </row>
    <row r="2058" spans="1:10" ht="28.9" customHeight="1" thickTop="1" thickBot="1" x14ac:dyDescent="0.65">
      <c r="A2058" s="3">
        <v>2056</v>
      </c>
      <c r="B2058" s="44" t="str">
        <f>HYPERLINK("https://search.naver.com/search.naver?query=안녕, 나의 소울메이트2017", "안녕, 나의 소울메이트")</f>
        <v>안녕, 나의 소울메이트</v>
      </c>
      <c r="C2058" s="45">
        <v>8.81</v>
      </c>
      <c r="D2058" s="4" t="s">
        <v>2153</v>
      </c>
      <c r="E2058" s="3" t="s">
        <v>136</v>
      </c>
      <c r="F2058" s="3">
        <v>2017</v>
      </c>
      <c r="G2058" s="3" t="s">
        <v>12</v>
      </c>
      <c r="H2058" s="3" t="s">
        <v>121</v>
      </c>
      <c r="I2058" s="3" t="s">
        <v>96</v>
      </c>
      <c r="J2058" s="97" t="s">
        <v>3443</v>
      </c>
    </row>
    <row r="2059" spans="1:10" ht="28.9" customHeight="1" thickTop="1" thickBot="1" x14ac:dyDescent="0.65">
      <c r="A2059" s="5">
        <v>2057</v>
      </c>
      <c r="B2059" s="46" t="str">
        <f>HYPERLINK("https://search.naver.com/search.naver?query=안녕,헤이즐 영화", "안녕,헤이즐")</f>
        <v>안녕,헤이즐</v>
      </c>
      <c r="C2059" s="47">
        <v>8.48</v>
      </c>
      <c r="D2059" s="6" t="s">
        <v>2154</v>
      </c>
      <c r="E2059" s="5" t="s">
        <v>20</v>
      </c>
      <c r="F2059" s="5">
        <v>2014</v>
      </c>
      <c r="G2059" s="5" t="s">
        <v>12</v>
      </c>
      <c r="H2059" s="5" t="s">
        <v>17</v>
      </c>
      <c r="I2059" s="5" t="s">
        <v>78</v>
      </c>
      <c r="J2059" s="98" t="s">
        <v>3437</v>
      </c>
    </row>
    <row r="2060" spans="1:10" ht="28.9" customHeight="1" thickTop="1" thickBot="1" x14ac:dyDescent="0.65">
      <c r="A2060" s="3">
        <v>2058</v>
      </c>
      <c r="B2060" s="44" t="str">
        <f>HYPERLINK("https://search.naver.com/search.naver?query=안녕까지 30분 영화", "안녕까지 30분")</f>
        <v>안녕까지 30분</v>
      </c>
      <c r="C2060" s="45">
        <v>9.14</v>
      </c>
      <c r="D2060" s="4" t="s">
        <v>2155</v>
      </c>
      <c r="E2060" s="3" t="s">
        <v>16</v>
      </c>
      <c r="F2060" s="3">
        <v>2020</v>
      </c>
      <c r="G2060" s="3" t="s">
        <v>12</v>
      </c>
      <c r="H2060" s="3" t="s">
        <v>868</v>
      </c>
      <c r="I2060" s="3" t="s">
        <v>207</v>
      </c>
      <c r="J2060" s="97" t="s">
        <v>3436</v>
      </c>
    </row>
    <row r="2061" spans="1:10" ht="28.9" customHeight="1" thickTop="1" thickBot="1" x14ac:dyDescent="0.65">
      <c r="A2061" s="5">
        <v>2059</v>
      </c>
      <c r="B2061" s="46" t="str">
        <f>HYPERLINK("https://search.naver.com/search.naver?query=안시성 영화", "안시성")</f>
        <v>안시성</v>
      </c>
      <c r="C2061" s="47">
        <v>8.64</v>
      </c>
      <c r="D2061" s="6" t="s">
        <v>2156</v>
      </c>
      <c r="E2061" s="5" t="s">
        <v>11</v>
      </c>
      <c r="F2061" s="5">
        <v>2018</v>
      </c>
      <c r="G2061" s="5" t="s">
        <v>12</v>
      </c>
      <c r="H2061" s="5" t="s">
        <v>721</v>
      </c>
      <c r="I2061" s="5" t="s">
        <v>41</v>
      </c>
      <c r="J2061" s="98" t="s">
        <v>3442</v>
      </c>
    </row>
    <row r="2062" spans="1:10" ht="28.9" customHeight="1" thickTop="1" thickBot="1" x14ac:dyDescent="0.65">
      <c r="A2062" s="3">
        <v>2060</v>
      </c>
      <c r="B2062" s="44" t="str">
        <f>HYPERLINK("https://search.naver.com/search.naver?query=안전은 보장할 수 없음 영화", "안전은 보장할 수 없음")</f>
        <v>안전은 보장할 수 없음</v>
      </c>
      <c r="C2062" s="45">
        <v>7.89</v>
      </c>
      <c r="D2062" s="4" t="s">
        <v>2157</v>
      </c>
      <c r="E2062" s="3" t="s">
        <v>20</v>
      </c>
      <c r="F2062" s="3">
        <v>2012</v>
      </c>
      <c r="G2062" s="3" t="s">
        <v>12</v>
      </c>
      <c r="H2062" s="3" t="s">
        <v>68</v>
      </c>
      <c r="I2062" s="3" t="s">
        <v>661</v>
      </c>
      <c r="J2062" s="97" t="s">
        <v>3439</v>
      </c>
    </row>
    <row r="2063" spans="1:10" ht="28.9" customHeight="1" thickTop="1" thickBot="1" x14ac:dyDescent="0.65">
      <c r="A2063" s="5">
        <v>2061</v>
      </c>
      <c r="B2063" s="46" t="str">
        <f>HYPERLINK("https://search.naver.com/search.naver?query=안테벨룸 영화", "안테벨룸")</f>
        <v>안테벨룸</v>
      </c>
      <c r="C2063" s="47">
        <v>7.32</v>
      </c>
      <c r="D2063" s="6" t="s">
        <v>2158</v>
      </c>
      <c r="E2063" s="5" t="s">
        <v>20</v>
      </c>
      <c r="F2063" s="5">
        <v>2020</v>
      </c>
      <c r="G2063" s="5" t="s">
        <v>12</v>
      </c>
      <c r="H2063" s="5" t="s">
        <v>252</v>
      </c>
      <c r="I2063" s="5" t="s">
        <v>128</v>
      </c>
      <c r="J2063" s="98" t="s">
        <v>3436</v>
      </c>
    </row>
    <row r="2064" spans="1:10" ht="28.9" customHeight="1" thickTop="1" thickBot="1" x14ac:dyDescent="0.65">
      <c r="A2064" s="7">
        <v>2062</v>
      </c>
      <c r="B2064" s="48" t="str">
        <f>HYPERLINK("https://search.naver.com/search.naver?query=알렉스 라이더 시즌1", "알렉스 라이더 시즌1")</f>
        <v>알렉스 라이더 시즌1</v>
      </c>
      <c r="C2064" s="49"/>
      <c r="D2064" s="8" t="s">
        <v>2159</v>
      </c>
      <c r="E2064" s="7" t="s">
        <v>24</v>
      </c>
      <c r="F2064" s="7">
        <v>2020</v>
      </c>
      <c r="G2064" s="7" t="s">
        <v>17</v>
      </c>
      <c r="H2064" s="7" t="s">
        <v>162</v>
      </c>
      <c r="I2064" s="7" t="s">
        <v>55</v>
      </c>
      <c r="J2064" s="99" t="s">
        <v>3436</v>
      </c>
    </row>
    <row r="2065" spans="1:10" ht="28.9" customHeight="1" thickTop="1" thickBot="1" x14ac:dyDescent="0.65">
      <c r="A2065" s="5">
        <v>2063</v>
      </c>
      <c r="B2065" s="46" t="str">
        <f>HYPERLINK("https://search.naver.com/search.naver?query=알투비:리턴투베이스 영화", "알투비-리턴투베이스")</f>
        <v>알투비-리턴투베이스</v>
      </c>
      <c r="C2065" s="47">
        <v>7.43</v>
      </c>
      <c r="D2065" s="6" t="s">
        <v>2160</v>
      </c>
      <c r="E2065" s="5" t="s">
        <v>11</v>
      </c>
      <c r="F2065" s="5">
        <v>2012</v>
      </c>
      <c r="G2065" s="5" t="s">
        <v>12</v>
      </c>
      <c r="H2065" s="5" t="s">
        <v>92</v>
      </c>
      <c r="I2065" s="5" t="s">
        <v>73</v>
      </c>
      <c r="J2065" s="98" t="s">
        <v>3439</v>
      </c>
    </row>
    <row r="2066" spans="1:10" ht="28.9" customHeight="1" thickTop="1" thickBot="1" x14ac:dyDescent="0.65">
      <c r="A2066" s="3">
        <v>2064</v>
      </c>
      <c r="B2066" s="44" t="str">
        <f>HYPERLINK("https://search.naver.com/search.naver?query=알파 위대한 여정 영화", "알파-위대한 여정")</f>
        <v>알파-위대한 여정</v>
      </c>
      <c r="C2066" s="45"/>
      <c r="D2066" s="4" t="s">
        <v>2161</v>
      </c>
      <c r="E2066" s="3" t="s">
        <v>20</v>
      </c>
      <c r="F2066" s="3">
        <v>2018</v>
      </c>
      <c r="G2066" s="3" t="s">
        <v>12</v>
      </c>
      <c r="H2066" s="3" t="s">
        <v>824</v>
      </c>
      <c r="I2066" s="3" t="s">
        <v>61</v>
      </c>
      <c r="J2066" s="97" t="s">
        <v>3442</v>
      </c>
    </row>
    <row r="2067" spans="1:10" ht="28.9" customHeight="1" thickTop="1" thickBot="1" x14ac:dyDescent="0.65">
      <c r="A2067" s="5">
        <v>2065</v>
      </c>
      <c r="B2067" s="46" t="str">
        <f>HYPERLINK("https://search.naver.com/search.naver?query=암살 영화", "암살")</f>
        <v>암살</v>
      </c>
      <c r="C2067" s="47">
        <v>9.1</v>
      </c>
      <c r="D2067" s="6" t="s">
        <v>2162</v>
      </c>
      <c r="E2067" s="5" t="s">
        <v>11</v>
      </c>
      <c r="F2067" s="5">
        <v>2015</v>
      </c>
      <c r="G2067" s="5" t="s">
        <v>12</v>
      </c>
      <c r="H2067" s="5" t="s">
        <v>92</v>
      </c>
      <c r="I2067" s="5" t="s">
        <v>550</v>
      </c>
      <c r="J2067" s="98" t="s">
        <v>3440</v>
      </c>
    </row>
    <row r="2068" spans="1:10" ht="28.9" customHeight="1" thickTop="1" thickBot="1" x14ac:dyDescent="0.65">
      <c r="A2068" s="3">
        <v>2066</v>
      </c>
      <c r="B2068" s="44" t="str">
        <f>HYPERLINK("https://search.naver.com/search.naver?query=암수살인 영화", "암수살인")</f>
        <v>암수살인</v>
      </c>
      <c r="C2068" s="45">
        <v>8.58</v>
      </c>
      <c r="D2068" s="4" t="s">
        <v>2163</v>
      </c>
      <c r="E2068" s="3" t="s">
        <v>11</v>
      </c>
      <c r="F2068" s="3">
        <v>2018</v>
      </c>
      <c r="G2068" s="3" t="s">
        <v>12</v>
      </c>
      <c r="H2068" s="3" t="s">
        <v>277</v>
      </c>
      <c r="I2068" s="3" t="s">
        <v>96</v>
      </c>
      <c r="J2068" s="97" t="s">
        <v>3442</v>
      </c>
    </row>
    <row r="2069" spans="1:10" ht="28.9" customHeight="1" thickTop="1" thickBot="1" x14ac:dyDescent="0.65">
      <c r="A2069" s="5">
        <v>2067</v>
      </c>
      <c r="B2069" s="46" t="str">
        <f>HYPERLINK("https://search.naver.com/search.naver?query=앙 단팥 인생 이야기 영화", "앙 - 단팥 인생 이야기")</f>
        <v>앙 - 단팥 인생 이야기</v>
      </c>
      <c r="C2069" s="47">
        <v>8.64</v>
      </c>
      <c r="D2069" s="6" t="s">
        <v>2164</v>
      </c>
      <c r="E2069" s="5" t="s">
        <v>16</v>
      </c>
      <c r="F2069" s="5">
        <v>2015</v>
      </c>
      <c r="G2069" s="5" t="s">
        <v>12</v>
      </c>
      <c r="H2069" s="5" t="s">
        <v>17</v>
      </c>
      <c r="I2069" s="5" t="s">
        <v>73</v>
      </c>
      <c r="J2069" s="98" t="s">
        <v>3440</v>
      </c>
    </row>
    <row r="2070" spans="1:10" ht="28.9" customHeight="1" thickTop="1" thickBot="1" x14ac:dyDescent="0.65">
      <c r="A2070" s="3">
        <v>2068</v>
      </c>
      <c r="B2070" s="44" t="str">
        <f>HYPERLINK("https://search.naver.com/search.naver?query=앙투라지 영화", "앙투라지")</f>
        <v>앙투라지</v>
      </c>
      <c r="C2070" s="45">
        <v>6.4</v>
      </c>
      <c r="D2070" s="4" t="s">
        <v>2165</v>
      </c>
      <c r="E2070" s="3" t="s">
        <v>20</v>
      </c>
      <c r="F2070" s="3">
        <v>2015</v>
      </c>
      <c r="G2070" s="3" t="s">
        <v>12</v>
      </c>
      <c r="H2070" s="3" t="s">
        <v>68</v>
      </c>
      <c r="I2070" s="3" t="s">
        <v>170</v>
      </c>
      <c r="J2070" s="97" t="s">
        <v>3440</v>
      </c>
    </row>
    <row r="2071" spans="1:10" ht="28.9" customHeight="1" thickTop="1" thickBot="1" x14ac:dyDescent="0.65">
      <c r="A2071" s="5">
        <v>2069</v>
      </c>
      <c r="B2071" s="46" t="str">
        <f>HYPERLINK("https://search.naver.com/search.naver?query=애나 앤드 킹 영화", "애나 앤드 킹")</f>
        <v>애나 앤드 킹</v>
      </c>
      <c r="C2071" s="47">
        <v>8.3699999999999992</v>
      </c>
      <c r="D2071" s="6" t="s">
        <v>2166</v>
      </c>
      <c r="E2071" s="5" t="s">
        <v>20</v>
      </c>
      <c r="F2071" s="5">
        <v>1999</v>
      </c>
      <c r="G2071" s="5" t="s">
        <v>12</v>
      </c>
      <c r="H2071" s="5" t="s">
        <v>17</v>
      </c>
      <c r="I2071" s="5" t="s">
        <v>28</v>
      </c>
      <c r="J2071" s="98" t="s">
        <v>3456</v>
      </c>
    </row>
    <row r="2072" spans="1:10" ht="28.9" customHeight="1" thickTop="1" thickBot="1" x14ac:dyDescent="0.65">
      <c r="A2072" s="3">
        <v>2070</v>
      </c>
      <c r="B2072" s="44" t="str">
        <f>HYPERLINK("https://search.naver.com/search.naver?query=애더럴 다이어리 영화", "애더럴 다이어리")</f>
        <v>애더럴 다이어리</v>
      </c>
      <c r="C2072" s="45">
        <v>3.9</v>
      </c>
      <c r="D2072" s="4" t="s">
        <v>2167</v>
      </c>
      <c r="E2072" s="3" t="s">
        <v>20</v>
      </c>
      <c r="F2072" s="3">
        <v>2015</v>
      </c>
      <c r="G2072" s="3" t="s">
        <v>12</v>
      </c>
      <c r="H2072" s="3" t="s">
        <v>17</v>
      </c>
      <c r="I2072" s="3" t="s">
        <v>625</v>
      </c>
      <c r="J2072" s="97" t="s">
        <v>3440</v>
      </c>
    </row>
    <row r="2073" spans="1:10" ht="28.9" customHeight="1" thickTop="1" thickBot="1" x14ac:dyDescent="0.65">
      <c r="A2073" s="5">
        <v>2071</v>
      </c>
      <c r="B2073" s="46" t="str">
        <f>HYPERLINK("https://search.naver.com/search.naver?query=애드 아스트라 영화", "애드 아스트라")</f>
        <v>애드 아스트라</v>
      </c>
      <c r="C2073" s="47">
        <v>8.23</v>
      </c>
      <c r="D2073" s="6" t="s">
        <v>2168</v>
      </c>
      <c r="E2073" s="5" t="s">
        <v>20</v>
      </c>
      <c r="F2073" s="5">
        <v>2019</v>
      </c>
      <c r="G2073" s="5" t="s">
        <v>12</v>
      </c>
      <c r="H2073" s="5" t="s">
        <v>520</v>
      </c>
      <c r="I2073" s="5" t="s">
        <v>58</v>
      </c>
      <c r="J2073" s="98" t="s">
        <v>3444</v>
      </c>
    </row>
    <row r="2074" spans="1:10" ht="28.9" customHeight="1" thickTop="1" thickBot="1" x14ac:dyDescent="0.65">
      <c r="A2074" s="3">
        <v>2072</v>
      </c>
      <c r="B2074" s="44" t="str">
        <f>HYPERLINK("https://search.naver.com/search.naver?query=애쉬 영화", "애쉬")</f>
        <v>애쉬</v>
      </c>
      <c r="C2074" s="45"/>
      <c r="D2074" s="4" t="s">
        <v>2169</v>
      </c>
      <c r="E2074" s="3" t="s">
        <v>20</v>
      </c>
      <c r="F2074" s="3">
        <v>2022</v>
      </c>
      <c r="G2074" s="3" t="s">
        <v>12</v>
      </c>
      <c r="H2074" s="3" t="s">
        <v>520</v>
      </c>
      <c r="I2074" s="3" t="s">
        <v>111</v>
      </c>
      <c r="J2074" s="97" t="s">
        <v>3445</v>
      </c>
    </row>
    <row r="2075" spans="1:10" ht="28.9" customHeight="1" thickTop="1" thickBot="1" x14ac:dyDescent="0.65">
      <c r="A2075" s="5">
        <v>2073</v>
      </c>
      <c r="B2075" s="46" t="str">
        <f>HYPERLINK("https://search.naver.com/search.naver?query=애스크 미 애니씽 영화", "애스크 미 애니씽")</f>
        <v>애스크 미 애니씽</v>
      </c>
      <c r="C2075" s="47">
        <v>6.4</v>
      </c>
      <c r="D2075" s="6" t="s">
        <v>2170</v>
      </c>
      <c r="E2075" s="5" t="s">
        <v>20</v>
      </c>
      <c r="F2075" s="5">
        <v>2014</v>
      </c>
      <c r="G2075" s="5" t="s">
        <v>12</v>
      </c>
      <c r="H2075" s="5" t="s">
        <v>17</v>
      </c>
      <c r="I2075" s="5" t="s">
        <v>131</v>
      </c>
      <c r="J2075" s="98" t="s">
        <v>3437</v>
      </c>
    </row>
    <row r="2076" spans="1:10" ht="28.9" customHeight="1" thickTop="1" thickBot="1" x14ac:dyDescent="0.65">
      <c r="A2076" s="3">
        <v>2074</v>
      </c>
      <c r="B2076" s="44" t="str">
        <f>HYPERLINK("https://search.naver.com/search.naver?query=애스트로너트 영화", "애스트로너트")</f>
        <v>애스트로너트</v>
      </c>
      <c r="C2076" s="45"/>
      <c r="D2076" s="4" t="s">
        <v>2171</v>
      </c>
      <c r="E2076" s="3" t="s">
        <v>20</v>
      </c>
      <c r="F2076" s="3">
        <v>2025</v>
      </c>
      <c r="G2076" s="3" t="s">
        <v>12</v>
      </c>
      <c r="H2076" s="3" t="s">
        <v>17</v>
      </c>
      <c r="I2076" s="3" t="s">
        <v>96</v>
      </c>
      <c r="J2076" s="97" t="s">
        <v>3459</v>
      </c>
    </row>
    <row r="2077" spans="1:10" ht="28.9" customHeight="1" thickTop="1" thickBot="1" x14ac:dyDescent="0.65">
      <c r="A2077" s="5">
        <v>2075</v>
      </c>
      <c r="B2077" s="46" t="str">
        <f>HYPERLINK("https://search.naver.com/search.naver?query=애적면포혼 영화", "애적면포혼")</f>
        <v>애적면포혼</v>
      </c>
      <c r="C2077" s="47">
        <v>7.42</v>
      </c>
      <c r="D2077" s="6" t="s">
        <v>2172</v>
      </c>
      <c r="E2077" s="5" t="s">
        <v>136</v>
      </c>
      <c r="F2077" s="5">
        <v>2013</v>
      </c>
      <c r="G2077" s="5" t="s">
        <v>12</v>
      </c>
      <c r="H2077" s="5" t="s">
        <v>17</v>
      </c>
      <c r="I2077" s="5" t="s">
        <v>34</v>
      </c>
      <c r="J2077" s="98" t="s">
        <v>3451</v>
      </c>
    </row>
    <row r="2078" spans="1:10" ht="28.9" customHeight="1" thickTop="1" thickBot="1" x14ac:dyDescent="0.65">
      <c r="A2078" s="3">
        <v>2076</v>
      </c>
      <c r="B2078" s="44" t="str">
        <f>HYPERLINK("https://search.naver.com/search.naver?query=애처가 미야모토 영화", "애처가 미야모토")</f>
        <v>애처가 미야모토</v>
      </c>
      <c r="C2078" s="45"/>
      <c r="D2078" s="4" t="s">
        <v>2173</v>
      </c>
      <c r="E2078" s="3" t="s">
        <v>16</v>
      </c>
      <c r="F2078" s="3">
        <v>2016</v>
      </c>
      <c r="G2078" s="3" t="s">
        <v>12</v>
      </c>
      <c r="H2078" s="3" t="s">
        <v>17</v>
      </c>
      <c r="I2078" s="3" t="s">
        <v>111</v>
      </c>
      <c r="J2078" s="97" t="s">
        <v>3441</v>
      </c>
    </row>
    <row r="2079" spans="1:10" ht="28.9" customHeight="1" thickTop="1" thickBot="1" x14ac:dyDescent="0.65">
      <c r="A2079" s="5">
        <v>2077</v>
      </c>
      <c r="B2079" s="46" t="str">
        <f>HYPERLINK("https://search.naver.com/search.naver?query=애프터 영화", "애프터")</f>
        <v>애프터</v>
      </c>
      <c r="C2079" s="47">
        <v>5.13</v>
      </c>
      <c r="D2079" s="6" t="s">
        <v>2174</v>
      </c>
      <c r="E2079" s="5" t="s">
        <v>20</v>
      </c>
      <c r="F2079" s="5">
        <v>2019</v>
      </c>
      <c r="G2079" s="5" t="s">
        <v>12</v>
      </c>
      <c r="H2079" s="5" t="s">
        <v>121</v>
      </c>
      <c r="I2079" s="5" t="s">
        <v>128</v>
      </c>
      <c r="J2079" s="98" t="s">
        <v>3444</v>
      </c>
    </row>
    <row r="2080" spans="1:10" ht="28.9" customHeight="1" thickTop="1" thickBot="1" x14ac:dyDescent="0.65">
      <c r="A2080" s="3">
        <v>2078</v>
      </c>
      <c r="B2080" s="44" t="str">
        <f>HYPERLINK("https://search.naver.com/search.naver?query=애프터 더 헌트 영화", "애프터 더 헌트")</f>
        <v>애프터 더 헌트</v>
      </c>
      <c r="C2080" s="45">
        <v>6.4</v>
      </c>
      <c r="D2080" s="4" t="s">
        <v>2175</v>
      </c>
      <c r="E2080" s="3" t="s">
        <v>20</v>
      </c>
      <c r="F2080" s="3">
        <v>2025</v>
      </c>
      <c r="G2080" s="3" t="s">
        <v>12</v>
      </c>
      <c r="H2080" s="3" t="s">
        <v>17</v>
      </c>
      <c r="I2080" s="3" t="s">
        <v>96</v>
      </c>
      <c r="J2080" s="97" t="s">
        <v>3459</v>
      </c>
    </row>
    <row r="2081" spans="1:10" ht="28.9" customHeight="1" thickTop="1" thickBot="1" x14ac:dyDescent="0.65">
      <c r="A2081" s="5">
        <v>2079</v>
      </c>
      <c r="B2081" s="46" t="str">
        <f>HYPERLINK("https://search.naver.com/search.naver?query=애프터 라이프 영화", "애프터 라이프")</f>
        <v>애프터 라이프</v>
      </c>
      <c r="C2081" s="47">
        <v>6.46</v>
      </c>
      <c r="D2081" s="6" t="s">
        <v>2176</v>
      </c>
      <c r="E2081" s="5" t="s">
        <v>20</v>
      </c>
      <c r="F2081" s="5">
        <v>2009</v>
      </c>
      <c r="G2081" s="5" t="s">
        <v>12</v>
      </c>
      <c r="H2081" s="5" t="s">
        <v>17</v>
      </c>
      <c r="I2081" s="5" t="s">
        <v>75</v>
      </c>
      <c r="J2081" s="98" t="s">
        <v>3453</v>
      </c>
    </row>
    <row r="2082" spans="1:10" ht="28.9" customHeight="1" thickTop="1" thickBot="1" x14ac:dyDescent="0.65">
      <c r="A2082" s="3">
        <v>2080</v>
      </c>
      <c r="B2082" s="44" t="str">
        <f>HYPERLINK("https://search.naver.com/search.naver?query=애프터 그 후 영화", "애프터-그 후")</f>
        <v>애프터-그 후</v>
      </c>
      <c r="C2082" s="45">
        <v>8</v>
      </c>
      <c r="D2082" s="4" t="s">
        <v>2177</v>
      </c>
      <c r="E2082" s="3" t="s">
        <v>20</v>
      </c>
      <c r="F2082" s="3">
        <v>2020</v>
      </c>
      <c r="G2082" s="3" t="s">
        <v>12</v>
      </c>
      <c r="H2082" s="3" t="s">
        <v>121</v>
      </c>
      <c r="I2082" s="3" t="s">
        <v>128</v>
      </c>
      <c r="J2082" s="97" t="s">
        <v>3436</v>
      </c>
    </row>
    <row r="2083" spans="1:10" ht="28.9" customHeight="1" thickTop="1" thickBot="1" x14ac:dyDescent="0.65">
      <c r="A2083" s="5">
        <v>2081</v>
      </c>
      <c r="B2083" s="46" t="str">
        <f>HYPERLINK("https://search.naver.com/search.naver?query=애프터매스 영화", "애프터매스")</f>
        <v>애프터매스</v>
      </c>
      <c r="C2083" s="47">
        <v>3.83</v>
      </c>
      <c r="D2083" s="6" t="s">
        <v>2178</v>
      </c>
      <c r="E2083" s="5" t="s">
        <v>20</v>
      </c>
      <c r="F2083" s="5">
        <v>2017</v>
      </c>
      <c r="G2083" s="5" t="s">
        <v>12</v>
      </c>
      <c r="H2083" s="5" t="s">
        <v>17</v>
      </c>
      <c r="I2083" s="5" t="s">
        <v>300</v>
      </c>
      <c r="J2083" s="98" t="s">
        <v>3443</v>
      </c>
    </row>
    <row r="2084" spans="1:10" ht="28.9" customHeight="1" thickTop="1" thickBot="1" x14ac:dyDescent="0.65">
      <c r="A2084" s="3">
        <v>2082</v>
      </c>
      <c r="B2084" s="44" t="str">
        <f>HYPERLINK("https://search.naver.com/search.naver?query=액츠 오브 바이올런스 영화", "액츠 오브 바이올런스")</f>
        <v>액츠 오브 바이올런스</v>
      </c>
      <c r="C2084" s="45">
        <v>6.29</v>
      </c>
      <c r="D2084" s="4" t="s">
        <v>2179</v>
      </c>
      <c r="E2084" s="3" t="s">
        <v>20</v>
      </c>
      <c r="F2084" s="3">
        <v>2018</v>
      </c>
      <c r="G2084" s="3" t="s">
        <v>12</v>
      </c>
      <c r="H2084" s="3" t="s">
        <v>92</v>
      </c>
      <c r="I2084" s="3" t="s">
        <v>661</v>
      </c>
      <c r="J2084" s="97" t="s">
        <v>3442</v>
      </c>
    </row>
    <row r="2085" spans="1:10" ht="28.9" customHeight="1" thickTop="1" thickBot="1" x14ac:dyDescent="0.65">
      <c r="A2085" s="5">
        <v>2083</v>
      </c>
      <c r="B2085" s="46" t="str">
        <f>HYPERLINK("https://search.naver.com/search.naver?query=액트 오브 밸러 영화", "액트 오브 밸러")</f>
        <v>액트 오브 밸러</v>
      </c>
      <c r="C2085" s="47">
        <v>8.39</v>
      </c>
      <c r="D2085" s="6" t="s">
        <v>2180</v>
      </c>
      <c r="E2085" s="5" t="s">
        <v>20</v>
      </c>
      <c r="F2085" s="5">
        <v>2012</v>
      </c>
      <c r="G2085" s="5" t="s">
        <v>12</v>
      </c>
      <c r="H2085" s="5" t="s">
        <v>92</v>
      </c>
      <c r="I2085" s="5" t="s">
        <v>96</v>
      </c>
      <c r="J2085" s="98" t="s">
        <v>3439</v>
      </c>
    </row>
    <row r="2086" spans="1:10" ht="28.9" customHeight="1" thickTop="1" thickBot="1" x14ac:dyDescent="0.65">
      <c r="A2086" s="3">
        <v>2084</v>
      </c>
      <c r="B2086" s="44" t="str">
        <f>HYPERLINK("https://search.naver.com/search.naver?query=앤드 오브 워 영화", "앤드 오브 워")</f>
        <v>앤드 오브 워</v>
      </c>
      <c r="C2086" s="45">
        <v>7.14</v>
      </c>
      <c r="D2086" s="4" t="s">
        <v>2181</v>
      </c>
      <c r="E2086" s="3" t="s">
        <v>16</v>
      </c>
      <c r="F2086" s="3">
        <v>2009</v>
      </c>
      <c r="G2086" s="3" t="s">
        <v>12</v>
      </c>
      <c r="H2086" s="3" t="s">
        <v>721</v>
      </c>
      <c r="I2086" s="3" t="s">
        <v>111</v>
      </c>
      <c r="J2086" s="97" t="s">
        <v>3453</v>
      </c>
    </row>
    <row r="2087" spans="1:10" ht="28.9" customHeight="1" thickTop="1" thickBot="1" x14ac:dyDescent="0.65">
      <c r="A2087" s="5">
        <v>2085</v>
      </c>
      <c r="B2087" s="46" t="str">
        <f>HYPERLINK("https://search.naver.com/search.naver?query=앤트맨 영화", "앤트맨")</f>
        <v>앤트맨</v>
      </c>
      <c r="C2087" s="47">
        <v>6.74</v>
      </c>
      <c r="D2087" s="6" t="s">
        <v>2164</v>
      </c>
      <c r="E2087" s="5" t="s">
        <v>20</v>
      </c>
      <c r="F2087" s="5">
        <v>2015</v>
      </c>
      <c r="G2087" s="5" t="s">
        <v>12</v>
      </c>
      <c r="H2087" s="5" t="s">
        <v>92</v>
      </c>
      <c r="I2087" s="5" t="s">
        <v>89</v>
      </c>
      <c r="J2087" s="98" t="s">
        <v>3440</v>
      </c>
    </row>
    <row r="2088" spans="1:10" ht="28.9" customHeight="1" thickTop="1" thickBot="1" x14ac:dyDescent="0.65">
      <c r="A2088" s="3">
        <v>2086</v>
      </c>
      <c r="B2088" s="44" t="str">
        <f>HYPERLINK("https://search.naver.com/search.naver?query=앤트맨과 와스프 영화", "앤트맨과 와스프")</f>
        <v>앤트맨과 와스프</v>
      </c>
      <c r="C2088" s="45">
        <v>6.74</v>
      </c>
      <c r="D2088" s="4" t="s">
        <v>2182</v>
      </c>
      <c r="E2088" s="3" t="s">
        <v>20</v>
      </c>
      <c r="F2088" s="3">
        <v>2018</v>
      </c>
      <c r="G2088" s="3" t="s">
        <v>12</v>
      </c>
      <c r="H2088" s="3" t="s">
        <v>92</v>
      </c>
      <c r="I2088" s="3" t="s">
        <v>221</v>
      </c>
      <c r="J2088" s="97" t="s">
        <v>3442</v>
      </c>
    </row>
    <row r="2089" spans="1:10" ht="28.9" customHeight="1" thickTop="1" thickBot="1" x14ac:dyDescent="0.65">
      <c r="A2089" s="5">
        <v>2087</v>
      </c>
      <c r="B2089" s="46" t="str">
        <f>HYPERLINK("https://search.naver.com/search.naver?query=앤트원 피셔 영화", "앤트원 피셔")</f>
        <v>앤트원 피셔</v>
      </c>
      <c r="C2089" s="47">
        <v>8.81</v>
      </c>
      <c r="D2089" s="6" t="s">
        <v>2183</v>
      </c>
      <c r="E2089" s="5" t="s">
        <v>20</v>
      </c>
      <c r="F2089" s="5">
        <v>2002</v>
      </c>
      <c r="G2089" s="5" t="s">
        <v>12</v>
      </c>
      <c r="H2089" s="5" t="s">
        <v>17</v>
      </c>
      <c r="I2089" s="5" t="s">
        <v>86</v>
      </c>
      <c r="J2089" s="98" t="s">
        <v>3466</v>
      </c>
    </row>
    <row r="2090" spans="1:10" ht="28.9" customHeight="1" thickTop="1" thickBot="1" x14ac:dyDescent="0.65">
      <c r="A2090" s="3">
        <v>2088</v>
      </c>
      <c r="B2090" s="44" t="str">
        <f>HYPERLINK("https://search.naver.com/search.naver?query=앨버트 놉스 영화", "앨버트 놉스")</f>
        <v>앨버트 놉스</v>
      </c>
      <c r="C2090" s="45">
        <v>6.4</v>
      </c>
      <c r="D2090" s="4" t="s">
        <v>2184</v>
      </c>
      <c r="E2090" s="3" t="s">
        <v>558</v>
      </c>
      <c r="F2090" s="3">
        <v>2011</v>
      </c>
      <c r="G2090" s="3" t="s">
        <v>12</v>
      </c>
      <c r="H2090" s="3" t="s">
        <v>17</v>
      </c>
      <c r="I2090" s="3" t="s">
        <v>73</v>
      </c>
      <c r="J2090" s="97" t="s">
        <v>3454</v>
      </c>
    </row>
    <row r="2091" spans="1:10" ht="28.9" customHeight="1" thickTop="1" thickBot="1" x14ac:dyDescent="0.65">
      <c r="A2091" s="5">
        <v>2089</v>
      </c>
      <c r="B2091" s="46" t="str">
        <f>HYPERLINK("https://search.naver.com/search.naver?query=앰뷸런스 영화", "앰뷸런스")</f>
        <v>앰뷸런스</v>
      </c>
      <c r="C2091" s="47">
        <v>7.35</v>
      </c>
      <c r="D2091" s="6" t="s">
        <v>2185</v>
      </c>
      <c r="E2091" s="5" t="s">
        <v>118</v>
      </c>
      <c r="F2091" s="5">
        <v>2005</v>
      </c>
      <c r="G2091" s="5" t="s">
        <v>12</v>
      </c>
      <c r="H2091" s="5" t="s">
        <v>92</v>
      </c>
      <c r="I2091" s="5" t="s">
        <v>458</v>
      </c>
      <c r="J2091" s="98" t="s">
        <v>3461</v>
      </c>
    </row>
    <row r="2092" spans="1:10" ht="28.9" customHeight="1" thickTop="1" thickBot="1" x14ac:dyDescent="0.65">
      <c r="A2092" s="3">
        <v>2090</v>
      </c>
      <c r="B2092" s="44" t="str">
        <f>HYPERLINK("https://search.naver.com/search.naver?query=앰뷸런스 영화", "앰뷸런스")</f>
        <v>앰뷸런스</v>
      </c>
      <c r="C2092" s="45">
        <v>7.35</v>
      </c>
      <c r="D2092" s="4" t="s">
        <v>2186</v>
      </c>
      <c r="E2092" s="3" t="s">
        <v>20</v>
      </c>
      <c r="F2092" s="3">
        <v>2022</v>
      </c>
      <c r="G2092" s="3" t="s">
        <v>12</v>
      </c>
      <c r="H2092" s="3" t="s">
        <v>92</v>
      </c>
      <c r="I2092" s="3" t="s">
        <v>359</v>
      </c>
      <c r="J2092" s="97" t="s">
        <v>3445</v>
      </c>
    </row>
    <row r="2093" spans="1:10" ht="28.9" customHeight="1" thickTop="1" thickBot="1" x14ac:dyDescent="0.65">
      <c r="A2093" s="5">
        <v>2091</v>
      </c>
      <c r="B2093" s="46" t="str">
        <f>HYPERLINK("https://search.naver.com/search.naver?query=앱솔루션 영화", "앱솔루션")</f>
        <v>앱솔루션</v>
      </c>
      <c r="C2093" s="47"/>
      <c r="D2093" s="6" t="s">
        <v>2187</v>
      </c>
      <c r="E2093" s="5" t="s">
        <v>20</v>
      </c>
      <c r="F2093" s="5">
        <v>2024</v>
      </c>
      <c r="G2093" s="5" t="s">
        <v>12</v>
      </c>
      <c r="H2093" s="5" t="s">
        <v>92</v>
      </c>
      <c r="I2093" s="5" t="s">
        <v>131</v>
      </c>
      <c r="J2093" s="98" t="s">
        <v>3448</v>
      </c>
    </row>
    <row r="2094" spans="1:10" ht="28.9" customHeight="1" thickTop="1" thickBot="1" x14ac:dyDescent="0.65">
      <c r="A2094" s="3">
        <v>2092</v>
      </c>
      <c r="B2094" s="44" t="str">
        <f>HYPERLINK("https://search.naver.com/search.naver?query=앳 홈 2014", "앳 홈")</f>
        <v>앳 홈</v>
      </c>
      <c r="C2094" s="45"/>
      <c r="D2094" s="4" t="s">
        <v>3526</v>
      </c>
      <c r="E2094" s="3" t="s">
        <v>16</v>
      </c>
      <c r="F2094" s="3">
        <v>2014</v>
      </c>
      <c r="G2094" s="3" t="s">
        <v>12</v>
      </c>
      <c r="H2094" s="3" t="s">
        <v>17</v>
      </c>
      <c r="I2094" s="3" t="s">
        <v>3527</v>
      </c>
      <c r="J2094" s="97">
        <v>42004</v>
      </c>
    </row>
    <row r="2095" spans="1:10" ht="28.9" customHeight="1" thickTop="1" thickBot="1" x14ac:dyDescent="0.65">
      <c r="A2095" s="5">
        <v>2093</v>
      </c>
      <c r="B2095" s="46" t="str">
        <f>HYPERLINK("https://search.naver.com/search.naver?query=앵그리스트맨 영화", "앵그리스트맨")</f>
        <v>앵그리스트맨</v>
      </c>
      <c r="C2095" s="47">
        <v>8.58</v>
      </c>
      <c r="D2095" s="6" t="s">
        <v>2188</v>
      </c>
      <c r="E2095" s="5" t="s">
        <v>20</v>
      </c>
      <c r="F2095" s="5">
        <v>2014</v>
      </c>
      <c r="G2095" s="5" t="s">
        <v>12</v>
      </c>
      <c r="H2095" s="5" t="s">
        <v>68</v>
      </c>
      <c r="I2095" s="5" t="s">
        <v>1245</v>
      </c>
      <c r="J2095" s="98" t="s">
        <v>3437</v>
      </c>
    </row>
    <row r="2096" spans="1:10" ht="28.9" customHeight="1" thickTop="1" thickBot="1" x14ac:dyDescent="0.65">
      <c r="A2096" s="3">
        <v>2094</v>
      </c>
      <c r="B2096" s="44" t="str">
        <f>HYPERLINK("https://search.naver.com/search.naver?query=야구소녀 영화", "야구소녀")</f>
        <v>야구소녀</v>
      </c>
      <c r="C2096" s="45">
        <v>9.15</v>
      </c>
      <c r="D2096" s="4" t="s">
        <v>2189</v>
      </c>
      <c r="E2096" s="3" t="s">
        <v>11</v>
      </c>
      <c r="F2096" s="3">
        <v>2019</v>
      </c>
      <c r="G2096" s="3" t="s">
        <v>12</v>
      </c>
      <c r="H2096" s="3" t="s">
        <v>17</v>
      </c>
      <c r="I2096" s="3" t="s">
        <v>300</v>
      </c>
      <c r="J2096" s="97" t="s">
        <v>3444</v>
      </c>
    </row>
    <row r="2097" spans="1:10" ht="28.9" customHeight="1" thickTop="1" thickBot="1" x14ac:dyDescent="0.65">
      <c r="A2097" s="5">
        <v>2095</v>
      </c>
      <c r="B2097" s="46" t="str">
        <f>HYPERLINK("https://search.naver.com/search.naver?query=야당 영화", "야당")</f>
        <v>야당</v>
      </c>
      <c r="C2097" s="47">
        <v>8.5500000000000007</v>
      </c>
      <c r="D2097" s="6" t="s">
        <v>2190</v>
      </c>
      <c r="E2097" s="5" t="s">
        <v>11</v>
      </c>
      <c r="F2097" s="5">
        <v>2025</v>
      </c>
      <c r="G2097" s="5" t="s">
        <v>12</v>
      </c>
      <c r="H2097" s="5" t="s">
        <v>92</v>
      </c>
      <c r="I2097" s="5" t="s">
        <v>96</v>
      </c>
      <c r="J2097" s="98" t="s">
        <v>3459</v>
      </c>
    </row>
    <row r="2098" spans="1:10" ht="28.9" customHeight="1" thickTop="1" thickBot="1" x14ac:dyDescent="0.65">
      <c r="A2098" s="3">
        <v>2096</v>
      </c>
      <c r="B2098" s="44" t="str">
        <f>HYPERLINK("https://search.naver.com/search.naver?query=야차 영화", "야차")</f>
        <v>야차</v>
      </c>
      <c r="C2098" s="45">
        <v>5.81</v>
      </c>
      <c r="D2098" s="4" t="s">
        <v>2191</v>
      </c>
      <c r="E2098" s="3" t="s">
        <v>11</v>
      </c>
      <c r="F2098" s="3">
        <v>2022</v>
      </c>
      <c r="G2098" s="3" t="s">
        <v>12</v>
      </c>
      <c r="H2098" s="3" t="s">
        <v>92</v>
      </c>
      <c r="I2098" s="3" t="s">
        <v>214</v>
      </c>
      <c r="J2098" s="97" t="s">
        <v>3445</v>
      </c>
    </row>
    <row r="2099" spans="1:10" ht="28.9" customHeight="1" thickTop="1" thickBot="1" x14ac:dyDescent="0.65">
      <c r="A2099" s="5">
        <v>2097</v>
      </c>
      <c r="B2099" s="46" t="str">
        <f>HYPERLINK("https://search.naver.com/search.naver?query=야쿠자와 가족 영화", "야쿠자와 가족")</f>
        <v>야쿠자와 가족</v>
      </c>
      <c r="C2099" s="47">
        <v>9.26</v>
      </c>
      <c r="D2099" s="6" t="s">
        <v>2192</v>
      </c>
      <c r="E2099" s="5" t="s">
        <v>16</v>
      </c>
      <c r="F2099" s="5">
        <v>2021</v>
      </c>
      <c r="G2099" s="5" t="s">
        <v>12</v>
      </c>
      <c r="H2099" s="5" t="s">
        <v>277</v>
      </c>
      <c r="I2099" s="5" t="s">
        <v>359</v>
      </c>
      <c r="J2099" s="98" t="s">
        <v>3438</v>
      </c>
    </row>
    <row r="2100" spans="1:10" ht="28.9" customHeight="1" thickTop="1" thickBot="1" x14ac:dyDescent="0.65">
      <c r="A2100" s="3">
        <v>2098</v>
      </c>
      <c r="B2100" s="44" t="str">
        <f>HYPERLINK("https://search.naver.com/search.naver?query=약속의 땅 영화", "약속의 땅")</f>
        <v>약속의 땅</v>
      </c>
      <c r="C2100" s="45">
        <v>9.27</v>
      </c>
      <c r="D2100" s="4" t="s">
        <v>2193</v>
      </c>
      <c r="E2100" s="3" t="s">
        <v>118</v>
      </c>
      <c r="F2100" s="3">
        <v>2023</v>
      </c>
      <c r="G2100" s="3" t="s">
        <v>12</v>
      </c>
      <c r="H2100" s="3" t="s">
        <v>17</v>
      </c>
      <c r="I2100" s="3" t="s">
        <v>150</v>
      </c>
      <c r="J2100" s="97" t="s">
        <v>3446</v>
      </c>
    </row>
    <row r="2101" spans="1:10" ht="28.9" customHeight="1" thickTop="1" thickBot="1" x14ac:dyDescent="0.65">
      <c r="A2101" s="5">
        <v>2099</v>
      </c>
      <c r="B2101" s="46" t="str">
        <f>HYPERLINK("https://search.naver.com/search.naver?query=양귀비 왕조의 여인 영화", "양귀비 - 왕조의 여인")</f>
        <v>양귀비 - 왕조의 여인</v>
      </c>
      <c r="C2101" s="47">
        <v>6</v>
      </c>
      <c r="D2101" s="6" t="s">
        <v>3493</v>
      </c>
      <c r="E2101" s="5" t="s">
        <v>136</v>
      </c>
      <c r="F2101" s="5">
        <v>2015</v>
      </c>
      <c r="G2101" s="5" t="s">
        <v>12</v>
      </c>
      <c r="H2101" s="5" t="s">
        <v>873</v>
      </c>
      <c r="I2101" s="5" t="s">
        <v>111</v>
      </c>
      <c r="J2101" s="98" t="s">
        <v>3440</v>
      </c>
    </row>
    <row r="2102" spans="1:10" ht="28.9" customHeight="1" thickTop="1" thickBot="1" x14ac:dyDescent="0.65">
      <c r="A2102" s="3">
        <v>2100</v>
      </c>
      <c r="B2102" s="44" t="str">
        <f>HYPERLINK("https://search.naver.com/search.naver?query=양들의 침묵 영화", "양들의 침묵")</f>
        <v>양들의 침묵</v>
      </c>
      <c r="C2102" s="45">
        <v>9.2100000000000009</v>
      </c>
      <c r="D2102" s="4" t="s">
        <v>2194</v>
      </c>
      <c r="E2102" s="3" t="s">
        <v>20</v>
      </c>
      <c r="F2102" s="3">
        <v>1991</v>
      </c>
      <c r="G2102" s="3" t="s">
        <v>12</v>
      </c>
      <c r="H2102" s="3" t="s">
        <v>43</v>
      </c>
      <c r="I2102" s="3" t="s">
        <v>221</v>
      </c>
      <c r="J2102" s="97" t="s">
        <v>3465</v>
      </c>
    </row>
    <row r="2103" spans="1:10" ht="28.9" customHeight="1" thickTop="1" thickBot="1" x14ac:dyDescent="0.65">
      <c r="A2103" s="5">
        <v>2101</v>
      </c>
      <c r="B2103" s="46" t="str">
        <f>HYPERLINK("https://search.naver.com/search.naver?query=양봉꾼 영화", "양봉꾼")</f>
        <v>양봉꾼</v>
      </c>
      <c r="C2103" s="47">
        <v>7.57</v>
      </c>
      <c r="D2103" s="6" t="s">
        <v>2195</v>
      </c>
      <c r="E2103" s="5" t="s">
        <v>20</v>
      </c>
      <c r="F2103" s="5">
        <v>2024</v>
      </c>
      <c r="G2103" s="5" t="s">
        <v>12</v>
      </c>
      <c r="H2103" s="5" t="s">
        <v>92</v>
      </c>
      <c r="I2103" s="5" t="s">
        <v>128</v>
      </c>
      <c r="J2103" s="98" t="s">
        <v>3448</v>
      </c>
    </row>
    <row r="2104" spans="1:10" ht="28.9" customHeight="1" thickTop="1" thickBot="1" x14ac:dyDescent="0.65">
      <c r="A2104" s="3">
        <v>2102</v>
      </c>
      <c r="B2104" s="44" t="str">
        <f>HYPERLINK("https://search.naver.com/search.naver?query=양의 나무 영화", "양의 나무")</f>
        <v>양의 나무</v>
      </c>
      <c r="C2104" s="45">
        <v>7.33</v>
      </c>
      <c r="D2104" s="4" t="s">
        <v>2196</v>
      </c>
      <c r="E2104" s="3" t="s">
        <v>16</v>
      </c>
      <c r="F2104" s="3">
        <v>2018</v>
      </c>
      <c r="G2104" s="3" t="s">
        <v>12</v>
      </c>
      <c r="H2104" s="3" t="s">
        <v>43</v>
      </c>
      <c r="I2104" s="3" t="s">
        <v>78</v>
      </c>
      <c r="J2104" s="97" t="s">
        <v>3442</v>
      </c>
    </row>
    <row r="2105" spans="1:10" ht="28.9" customHeight="1" thickTop="1" thickBot="1" x14ac:dyDescent="0.65">
      <c r="A2105" s="5">
        <v>2103</v>
      </c>
      <c r="B2105" s="46" t="str">
        <f>HYPERLINK("https://search.naver.com/search.naver?query=양지의 그녀 영화", "양지의 그녀")</f>
        <v>양지의 그녀</v>
      </c>
      <c r="C2105" s="47">
        <v>9.07</v>
      </c>
      <c r="D2105" s="6" t="s">
        <v>2197</v>
      </c>
      <c r="E2105" s="5" t="s">
        <v>16</v>
      </c>
      <c r="F2105" s="5">
        <v>2013</v>
      </c>
      <c r="G2105" s="5" t="s">
        <v>12</v>
      </c>
      <c r="H2105" s="5" t="s">
        <v>17</v>
      </c>
      <c r="I2105" s="5" t="s">
        <v>111</v>
      </c>
      <c r="J2105" s="98" t="s">
        <v>3451</v>
      </c>
    </row>
    <row r="2106" spans="1:10" ht="28.9" customHeight="1" thickTop="1" thickBot="1" x14ac:dyDescent="0.65">
      <c r="A2106" s="3">
        <v>2104</v>
      </c>
      <c r="B2106" s="44" t="str">
        <f>HYPERLINK("https://search.naver.com/search.naver?query=어 독스 웨이 홈 영화", "어 독스 웨이 홈")</f>
        <v>어 독스 웨이 홈</v>
      </c>
      <c r="C2106" s="45">
        <v>9.57</v>
      </c>
      <c r="D2106" s="4" t="s">
        <v>2198</v>
      </c>
      <c r="E2106" s="3" t="s">
        <v>20</v>
      </c>
      <c r="F2106" s="3">
        <v>2019</v>
      </c>
      <c r="G2106" s="3" t="s">
        <v>12</v>
      </c>
      <c r="H2106" s="3" t="s">
        <v>17</v>
      </c>
      <c r="I2106" s="3" t="s">
        <v>61</v>
      </c>
      <c r="J2106" s="97" t="s">
        <v>3444</v>
      </c>
    </row>
    <row r="2107" spans="1:10" ht="28.9" customHeight="1" thickTop="1" thickBot="1" x14ac:dyDescent="0.65">
      <c r="A2107" s="5">
        <v>2105</v>
      </c>
      <c r="B2107" s="46" t="str">
        <f>HYPERLINK("https://search.naver.com/search.naver?query=어 리틀 빗 오브 헤븐 영화", "어 리틀 빗 오브 헤븐")</f>
        <v>어 리틀 빗 오브 헤븐</v>
      </c>
      <c r="C2107" s="47">
        <v>8.16</v>
      </c>
      <c r="D2107" s="6" t="s">
        <v>2199</v>
      </c>
      <c r="E2107" s="5" t="s">
        <v>20</v>
      </c>
      <c r="F2107" s="5">
        <v>2011</v>
      </c>
      <c r="G2107" s="5" t="s">
        <v>12</v>
      </c>
      <c r="H2107" s="5" t="s">
        <v>68</v>
      </c>
      <c r="I2107" s="5" t="s">
        <v>286</v>
      </c>
      <c r="J2107" s="98" t="s">
        <v>3454</v>
      </c>
    </row>
    <row r="2108" spans="1:10" ht="28.9" customHeight="1" thickTop="1" thickBot="1" x14ac:dyDescent="0.65">
      <c r="A2108" s="3">
        <v>2106</v>
      </c>
      <c r="B2108" s="44" t="str">
        <f>HYPERLINK("https://search.naver.com/search.naver?query=어 뷰티풀 데이 인 더 네이버후드 영화", "어 뷰티풀 데이 인 더 네이버후드")</f>
        <v>어 뷰티풀 데이 인 더 네이버후드</v>
      </c>
      <c r="C2108" s="45">
        <v>9.3800000000000008</v>
      </c>
      <c r="D2108" s="4" t="s">
        <v>2200</v>
      </c>
      <c r="E2108" s="3" t="s">
        <v>20</v>
      </c>
      <c r="F2108" s="3">
        <v>2019</v>
      </c>
      <c r="G2108" s="3" t="s">
        <v>12</v>
      </c>
      <c r="H2108" s="3" t="s">
        <v>17</v>
      </c>
      <c r="I2108" s="3" t="s">
        <v>75</v>
      </c>
      <c r="J2108" s="97" t="s">
        <v>3444</v>
      </c>
    </row>
    <row r="2109" spans="1:10" ht="28.9" customHeight="1" thickTop="1" thickBot="1" x14ac:dyDescent="0.65">
      <c r="A2109" s="5">
        <v>2107</v>
      </c>
      <c r="B2109" s="46" t="str">
        <f>HYPERLINK("https://search.naver.com/search.naver?query=어 워크 인 더 우즈 영화", "어 워크 인 더 우즈")</f>
        <v>어 워크 인 더 우즈</v>
      </c>
      <c r="C2109" s="47"/>
      <c r="D2109" s="6" t="s">
        <v>2201</v>
      </c>
      <c r="E2109" s="5" t="s">
        <v>20</v>
      </c>
      <c r="F2109" s="5">
        <v>2015</v>
      </c>
      <c r="G2109" s="5" t="s">
        <v>12</v>
      </c>
      <c r="H2109" s="5" t="s">
        <v>824</v>
      </c>
      <c r="I2109" s="5" t="s">
        <v>170</v>
      </c>
      <c r="J2109" s="98" t="s">
        <v>3440</v>
      </c>
    </row>
    <row r="2110" spans="1:10" ht="28.9" customHeight="1" thickTop="1" thickBot="1" x14ac:dyDescent="0.65">
      <c r="A2110" s="3">
        <v>2108</v>
      </c>
      <c r="B2110" s="44" t="str">
        <f>HYPERLINK("https://search.naver.com/search.naver?query=어 퍼펙트 데이 영화", "어 퍼펙트 데이")</f>
        <v>어 퍼펙트 데이</v>
      </c>
      <c r="C2110" s="45">
        <v>8.08</v>
      </c>
      <c r="D2110" s="4" t="s">
        <v>2202</v>
      </c>
      <c r="E2110" s="3" t="s">
        <v>30</v>
      </c>
      <c r="F2110" s="3">
        <v>2015</v>
      </c>
      <c r="G2110" s="3" t="s">
        <v>12</v>
      </c>
      <c r="H2110" s="3" t="s">
        <v>68</v>
      </c>
      <c r="I2110" s="3" t="s">
        <v>286</v>
      </c>
      <c r="J2110" s="97" t="s">
        <v>3440</v>
      </c>
    </row>
    <row r="2111" spans="1:10" ht="28.9" customHeight="1" thickTop="1" thickBot="1" x14ac:dyDescent="0.65">
      <c r="A2111" s="5">
        <v>2109</v>
      </c>
      <c r="B2111" s="46" t="str">
        <f>HYPERLINK("https://search.naver.com/search.naver?query=어 프라이빗 워 영화", "어 프라이빗 워")</f>
        <v>어 프라이빗 워</v>
      </c>
      <c r="C2111" s="47">
        <v>7.33</v>
      </c>
      <c r="D2111" s="6" t="s">
        <v>2203</v>
      </c>
      <c r="E2111" s="5" t="s">
        <v>24</v>
      </c>
      <c r="F2111" s="5">
        <v>2018</v>
      </c>
      <c r="G2111" s="5" t="s">
        <v>12</v>
      </c>
      <c r="H2111" s="5" t="s">
        <v>17</v>
      </c>
      <c r="I2111" s="5" t="s">
        <v>96</v>
      </c>
      <c r="J2111" s="98" t="s">
        <v>3442</v>
      </c>
    </row>
    <row r="2112" spans="1:10" ht="28.9" customHeight="1" thickTop="1" thickBot="1" x14ac:dyDescent="0.65">
      <c r="A2112" s="3">
        <v>2110</v>
      </c>
      <c r="B2112" s="44" t="str">
        <f>HYPERLINK("https://search.naver.com/search.naver?query=어거스트 가족의 초상 영화", "어거스트 - 가족의 초상")</f>
        <v>어거스트 - 가족의 초상</v>
      </c>
      <c r="C2112" s="45">
        <v>7.87</v>
      </c>
      <c r="D2112" s="4" t="s">
        <v>2204</v>
      </c>
      <c r="E2112" s="3" t="s">
        <v>20</v>
      </c>
      <c r="F2112" s="3">
        <v>2013</v>
      </c>
      <c r="G2112" s="3" t="s">
        <v>12</v>
      </c>
      <c r="H2112" s="3" t="s">
        <v>17</v>
      </c>
      <c r="I2112" s="3" t="s">
        <v>221</v>
      </c>
      <c r="J2112" s="97" t="s">
        <v>3451</v>
      </c>
    </row>
    <row r="2113" spans="1:10" ht="28.9" customHeight="1" thickTop="1" thickBot="1" x14ac:dyDescent="0.65">
      <c r="A2113" s="5">
        <v>2111</v>
      </c>
      <c r="B2113" s="46" t="str">
        <f>HYPERLINK("https://search.naver.com/search.naver?query=어거스트 러쉬 영화", "어거스트 러쉬")</f>
        <v>어거스트 러쉬</v>
      </c>
      <c r="C2113" s="47">
        <v>8.51</v>
      </c>
      <c r="D2113" s="6" t="s">
        <v>2205</v>
      </c>
      <c r="E2113" s="5" t="s">
        <v>20</v>
      </c>
      <c r="F2113" s="5">
        <v>2007</v>
      </c>
      <c r="G2113" s="5" t="s">
        <v>12</v>
      </c>
      <c r="H2113" s="5" t="s">
        <v>17</v>
      </c>
      <c r="I2113" s="5" t="s">
        <v>207</v>
      </c>
      <c r="J2113" s="98" t="s">
        <v>3447</v>
      </c>
    </row>
    <row r="2114" spans="1:10" ht="28.9" customHeight="1" thickTop="1" thickBot="1" x14ac:dyDescent="0.65">
      <c r="A2114" s="3">
        <v>2112</v>
      </c>
      <c r="B2114" s="44" t="str">
        <f>HYPERLINK("https://search.naver.com/search.naver?query=어게인 끝없는 도전 영화", "어게인 - 끝없는 도전")</f>
        <v>어게인 - 끝없는 도전</v>
      </c>
      <c r="C2114" s="45">
        <v>8.35</v>
      </c>
      <c r="D2114" s="4" t="s">
        <v>1669</v>
      </c>
      <c r="E2114" s="3" t="s">
        <v>16</v>
      </c>
      <c r="F2114" s="3">
        <v>2015</v>
      </c>
      <c r="G2114" s="3" t="s">
        <v>12</v>
      </c>
      <c r="H2114" s="3" t="s">
        <v>17</v>
      </c>
      <c r="I2114" s="3" t="s">
        <v>86</v>
      </c>
      <c r="J2114" s="97" t="s">
        <v>3440</v>
      </c>
    </row>
    <row r="2115" spans="1:10" ht="28.9" customHeight="1" thickTop="1" thickBot="1" x14ac:dyDescent="0.65">
      <c r="A2115" s="5">
        <v>2113</v>
      </c>
      <c r="B2115" s="46" t="str">
        <f>HYPERLINK("https://search.naver.com/search.naver?query=어글리 트루스 영화", "어글리 트루스")</f>
        <v>어글리 트루스</v>
      </c>
      <c r="C2115" s="47">
        <v>8.41</v>
      </c>
      <c r="D2115" s="6" t="s">
        <v>2206</v>
      </c>
      <c r="E2115" s="5" t="s">
        <v>20</v>
      </c>
      <c r="F2115" s="5">
        <v>2009</v>
      </c>
      <c r="G2115" s="5" t="s">
        <v>12</v>
      </c>
      <c r="H2115" s="5" t="s">
        <v>68</v>
      </c>
      <c r="I2115" s="5" t="s">
        <v>61</v>
      </c>
      <c r="J2115" s="98" t="s">
        <v>3453</v>
      </c>
    </row>
    <row r="2116" spans="1:10" ht="28.9" customHeight="1" thickTop="1" thickBot="1" x14ac:dyDescent="0.65">
      <c r="A2116" s="3">
        <v>2114</v>
      </c>
      <c r="B2116" s="44" t="str">
        <f>HYPERLINK("https://search.naver.com/search.naver?query=어나더 어스 영화", "어나더 어스")</f>
        <v>어나더 어스</v>
      </c>
      <c r="C2116" s="45">
        <v>7.69</v>
      </c>
      <c r="D2116" s="4" t="s">
        <v>2207</v>
      </c>
      <c r="E2116" s="3" t="s">
        <v>20</v>
      </c>
      <c r="F2116" s="3">
        <v>2011</v>
      </c>
      <c r="G2116" s="3" t="s">
        <v>12</v>
      </c>
      <c r="H2116" s="3" t="s">
        <v>520</v>
      </c>
      <c r="I2116" s="3" t="s">
        <v>147</v>
      </c>
      <c r="J2116" s="97" t="s">
        <v>3454</v>
      </c>
    </row>
    <row r="2117" spans="1:10" ht="28.9" customHeight="1" thickTop="1" thickBot="1" x14ac:dyDescent="0.65">
      <c r="A2117" s="5">
        <v>2115</v>
      </c>
      <c r="B2117" s="46" t="str">
        <f>HYPERLINK("https://search.naver.com/search.naver?query=어느 가족 영화", "어느 가족")</f>
        <v>어느 가족</v>
      </c>
      <c r="C2117" s="47">
        <v>9.24</v>
      </c>
      <c r="D2117" s="6" t="s">
        <v>2208</v>
      </c>
      <c r="E2117" s="5" t="s">
        <v>16</v>
      </c>
      <c r="F2117" s="5">
        <v>2018</v>
      </c>
      <c r="G2117" s="5" t="s">
        <v>12</v>
      </c>
      <c r="H2117" s="5" t="s">
        <v>17</v>
      </c>
      <c r="I2117" s="5" t="s">
        <v>142</v>
      </c>
      <c r="J2117" s="98" t="s">
        <v>3442</v>
      </c>
    </row>
    <row r="2118" spans="1:10" ht="28.9" customHeight="1" thickTop="1" thickBot="1" x14ac:dyDescent="0.65">
      <c r="A2118" s="7">
        <v>2116</v>
      </c>
      <c r="B2118" s="48" t="str">
        <f>HYPERLINK("https://search.naver.com/search.naver?query=어느 날", "어느 날")</f>
        <v>어느 날</v>
      </c>
      <c r="C2118" s="49"/>
      <c r="D2118" s="8" t="s">
        <v>2209</v>
      </c>
      <c r="E2118" s="7" t="s">
        <v>11</v>
      </c>
      <c r="F2118" s="7">
        <v>2021</v>
      </c>
      <c r="G2118" s="7" t="s">
        <v>17</v>
      </c>
      <c r="H2118" s="7" t="s">
        <v>17</v>
      </c>
      <c r="I2118" s="7" t="s">
        <v>55</v>
      </c>
      <c r="J2118" s="99" t="s">
        <v>3438</v>
      </c>
    </row>
    <row r="2119" spans="1:10" ht="28.9" customHeight="1" thickTop="1" thickBot="1" x14ac:dyDescent="0.65">
      <c r="A2119" s="5">
        <v>2117</v>
      </c>
      <c r="B2119" s="46" t="str">
        <f>HYPERLINK("https://search.naver.com/search.naver?query=어느 날 인생이 엉켰다 영화", "어느 날 인생이 엉켰다")</f>
        <v>어느 날 인생이 엉켰다</v>
      </c>
      <c r="C2119" s="47">
        <v>8.6</v>
      </c>
      <c r="D2119" s="6" t="s">
        <v>2210</v>
      </c>
      <c r="E2119" s="5" t="s">
        <v>20</v>
      </c>
      <c r="F2119" s="5">
        <v>2018</v>
      </c>
      <c r="G2119" s="5" t="s">
        <v>12</v>
      </c>
      <c r="H2119" s="5" t="s">
        <v>17</v>
      </c>
      <c r="I2119" s="5" t="s">
        <v>14</v>
      </c>
      <c r="J2119" s="98" t="s">
        <v>3442</v>
      </c>
    </row>
    <row r="2120" spans="1:10" ht="28.9" customHeight="1" thickTop="1" thickBot="1" x14ac:dyDescent="0.65">
      <c r="A2120" s="3">
        <v>2118</v>
      </c>
      <c r="B2120" s="44" t="str">
        <f>HYPERLINK("https://search.naver.com/search.naver?query=어느 날, 사랑이 걸어왔다 영화", "어느 날, 사랑이 걸어왔다")</f>
        <v>어느 날, 사랑이 걸어왔다</v>
      </c>
      <c r="C2120" s="45">
        <v>8.86</v>
      </c>
      <c r="D2120" s="4" t="s">
        <v>2211</v>
      </c>
      <c r="E2120" s="3" t="s">
        <v>210</v>
      </c>
      <c r="F2120" s="3">
        <v>2012</v>
      </c>
      <c r="G2120" s="3" t="s">
        <v>12</v>
      </c>
      <c r="H2120" s="3" t="s">
        <v>121</v>
      </c>
      <c r="I2120" s="3" t="s">
        <v>99</v>
      </c>
      <c r="J2120" s="97" t="s">
        <v>3439</v>
      </c>
    </row>
    <row r="2121" spans="1:10" ht="28.9" customHeight="1" thickTop="1" thickBot="1" x14ac:dyDescent="0.65">
      <c r="A2121" s="5">
        <v>2119</v>
      </c>
      <c r="B2121" s="46" t="str">
        <f>HYPERLINK("https://search.naver.com/search.naver?query=어느 멋진 순간 영화", "어느 멋진 순간")</f>
        <v>어느 멋진 순간</v>
      </c>
      <c r="C2121" s="47">
        <v>7.82</v>
      </c>
      <c r="D2121" s="6" t="s">
        <v>2212</v>
      </c>
      <c r="E2121" s="5" t="s">
        <v>20</v>
      </c>
      <c r="F2121" s="5">
        <v>2006</v>
      </c>
      <c r="G2121" s="5" t="s">
        <v>12</v>
      </c>
      <c r="H2121" s="5" t="s">
        <v>121</v>
      </c>
      <c r="I2121" s="5" t="s">
        <v>89</v>
      </c>
      <c r="J2121" s="98" t="s">
        <v>3460</v>
      </c>
    </row>
    <row r="2122" spans="1:10" ht="28.9" customHeight="1" thickTop="1" thickBot="1" x14ac:dyDescent="0.65">
      <c r="A2122" s="3">
        <v>2120</v>
      </c>
      <c r="B2122" s="44" t="str">
        <f>HYPERLINK("https://search.naver.com/search.naver?query=어느날 영화", "어느날")</f>
        <v>어느날</v>
      </c>
      <c r="C2122" s="45">
        <v>8.3000000000000007</v>
      </c>
      <c r="D2122" s="4" t="s">
        <v>2213</v>
      </c>
      <c r="E2122" s="3" t="s">
        <v>11</v>
      </c>
      <c r="F2122" s="3">
        <v>2016</v>
      </c>
      <c r="G2122" s="3" t="s">
        <v>12</v>
      </c>
      <c r="H2122" s="3" t="s">
        <v>17</v>
      </c>
      <c r="I2122" s="3" t="s">
        <v>111</v>
      </c>
      <c r="J2122" s="97" t="s">
        <v>3441</v>
      </c>
    </row>
    <row r="2123" spans="1:10" ht="28.9" customHeight="1" thickTop="1" thickBot="1" x14ac:dyDescent="0.65">
      <c r="A2123" s="5">
        <v>2121</v>
      </c>
      <c r="B2123" s="46" t="str">
        <f>HYPERLINK("https://search.naver.com/search.naver?query=어니스트 씨프 영화", "어니스트 씨프")</f>
        <v>어니스트 씨프</v>
      </c>
      <c r="C2123" s="47">
        <v>8.65</v>
      </c>
      <c r="D2123" s="6" t="s">
        <v>2214</v>
      </c>
      <c r="E2123" s="5" t="s">
        <v>20</v>
      </c>
      <c r="F2123" s="5">
        <v>2020</v>
      </c>
      <c r="G2123" s="5" t="s">
        <v>12</v>
      </c>
      <c r="H2123" s="5" t="s">
        <v>92</v>
      </c>
      <c r="I2123" s="5" t="s">
        <v>81</v>
      </c>
      <c r="J2123" s="98" t="s">
        <v>3436</v>
      </c>
    </row>
    <row r="2124" spans="1:10" ht="28.9" customHeight="1" thickTop="1" thickBot="1" x14ac:dyDescent="0.65">
      <c r="A2124" s="3">
        <v>2122</v>
      </c>
      <c r="B2124" s="44" t="str">
        <f>HYPERLINK("https://search.naver.com/search.naver?query=어답트 어 하이웨이 영화", "어답트 어 하이웨이")</f>
        <v>어답트 어 하이웨이</v>
      </c>
      <c r="C2124" s="45">
        <v>8.65</v>
      </c>
      <c r="D2124" s="4" t="s">
        <v>2215</v>
      </c>
      <c r="E2124" s="3" t="s">
        <v>20</v>
      </c>
      <c r="F2124" s="3">
        <v>2019</v>
      </c>
      <c r="G2124" s="3" t="s">
        <v>12</v>
      </c>
      <c r="H2124" s="3" t="s">
        <v>17</v>
      </c>
      <c r="I2124" s="3" t="s">
        <v>536</v>
      </c>
      <c r="J2124" s="97" t="s">
        <v>3444</v>
      </c>
    </row>
    <row r="2125" spans="1:10" ht="28.9" customHeight="1" thickTop="1" thickBot="1" x14ac:dyDescent="0.65">
      <c r="A2125" s="5">
        <v>2123</v>
      </c>
      <c r="B2125" s="46" t="str">
        <f>HYPERLINK("https://search.naver.com/search.naver?query=어덜트 월드 영화", "어덜트 월드")</f>
        <v>어덜트 월드</v>
      </c>
      <c r="C2125" s="47">
        <v>7.87</v>
      </c>
      <c r="D2125" s="6" t="s">
        <v>2216</v>
      </c>
      <c r="E2125" s="5" t="s">
        <v>20</v>
      </c>
      <c r="F2125" s="5">
        <v>2013</v>
      </c>
      <c r="G2125" s="5" t="s">
        <v>12</v>
      </c>
      <c r="H2125" s="5" t="s">
        <v>68</v>
      </c>
      <c r="I2125" s="5" t="s">
        <v>124</v>
      </c>
      <c r="J2125" s="98" t="s">
        <v>3451</v>
      </c>
    </row>
    <row r="2126" spans="1:10" ht="28.9" customHeight="1" thickTop="1" thickBot="1" x14ac:dyDescent="0.65">
      <c r="A2126" s="3">
        <v>2124</v>
      </c>
      <c r="B2126" s="44" t="str">
        <f>HYPERLINK("https://search.naver.com/search.naver?query=어둠 속의 빛 영화", "어둠 속의 빛")</f>
        <v>어둠 속의 빛</v>
      </c>
      <c r="C2126" s="45">
        <v>8.31</v>
      </c>
      <c r="D2126" s="4" t="s">
        <v>2217</v>
      </c>
      <c r="E2126" s="3" t="s">
        <v>101</v>
      </c>
      <c r="F2126" s="3">
        <v>2013</v>
      </c>
      <c r="G2126" s="3" t="s">
        <v>12</v>
      </c>
      <c r="H2126" s="3" t="s">
        <v>17</v>
      </c>
      <c r="I2126" s="3" t="s">
        <v>25</v>
      </c>
      <c r="J2126" s="97" t="s">
        <v>3451</v>
      </c>
    </row>
    <row r="2127" spans="1:10" ht="28.9" customHeight="1" thickTop="1" thickBot="1" x14ac:dyDescent="0.65">
      <c r="A2127" s="5">
        <v>2125</v>
      </c>
      <c r="B2127" s="46" t="str">
        <f>HYPERLINK("https://search.naver.com/search.naver?query=어둠의 아이들 영화", "어둠의 아이들")</f>
        <v>어둠의 아이들</v>
      </c>
      <c r="C2127" s="47">
        <v>7.08</v>
      </c>
      <c r="D2127" s="6" t="s">
        <v>2218</v>
      </c>
      <c r="E2127" s="5" t="s">
        <v>16</v>
      </c>
      <c r="F2127" s="5">
        <v>2008</v>
      </c>
      <c r="G2127" s="5" t="s">
        <v>12</v>
      </c>
      <c r="H2127" s="5" t="s">
        <v>17</v>
      </c>
      <c r="I2127" s="5" t="s">
        <v>111</v>
      </c>
      <c r="J2127" s="98" t="s">
        <v>3450</v>
      </c>
    </row>
    <row r="2128" spans="1:10" ht="28.9" customHeight="1" thickTop="1" thickBot="1" x14ac:dyDescent="0.65">
      <c r="A2128" s="3">
        <v>2126</v>
      </c>
      <c r="B2128" s="44" t="str">
        <f>HYPERLINK("https://search.naver.com/search.naver?query=어드리프트 우리가 함께한 바다 영화", "어드리프트-우리가 함께한 바다")</f>
        <v>어드리프트-우리가 함께한 바다</v>
      </c>
      <c r="C2128" s="45">
        <v>8.8000000000000007</v>
      </c>
      <c r="D2128" s="4" t="s">
        <v>2219</v>
      </c>
      <c r="E2128" s="3" t="s">
        <v>20</v>
      </c>
      <c r="F2128" s="3">
        <v>2018</v>
      </c>
      <c r="G2128" s="3" t="s">
        <v>12</v>
      </c>
      <c r="H2128" s="3" t="s">
        <v>17</v>
      </c>
      <c r="I2128" s="3" t="s">
        <v>61</v>
      </c>
      <c r="J2128" s="97" t="s">
        <v>3442</v>
      </c>
    </row>
    <row r="2129" spans="1:10" ht="28.9" customHeight="1" thickTop="1" thickBot="1" x14ac:dyDescent="0.65">
      <c r="A2129" s="5">
        <v>2127</v>
      </c>
      <c r="B2129" s="46" t="str">
        <f>HYPERLINK("https://search.naver.com/search.naver?query=어떤 만남 영화", "어떤 만남")</f>
        <v>어떤 만남</v>
      </c>
      <c r="C2129" s="47">
        <v>7.97</v>
      </c>
      <c r="D2129" s="6" t="s">
        <v>2220</v>
      </c>
      <c r="E2129" s="5" t="s">
        <v>210</v>
      </c>
      <c r="F2129" s="5">
        <v>2014</v>
      </c>
      <c r="G2129" s="5" t="s">
        <v>12</v>
      </c>
      <c r="H2129" s="5" t="s">
        <v>17</v>
      </c>
      <c r="I2129" s="5" t="s">
        <v>536</v>
      </c>
      <c r="J2129" s="98" t="s">
        <v>3437</v>
      </c>
    </row>
    <row r="2130" spans="1:10" ht="28.9" customHeight="1" thickTop="1" thickBot="1" x14ac:dyDescent="0.65">
      <c r="A2130" s="3">
        <v>2128</v>
      </c>
      <c r="B2130" s="44" t="str">
        <f>HYPERLINK("https://search.naver.com/search.naver?query=어머니와 살면 영화", "어머니와 살면")</f>
        <v>어머니와 살면</v>
      </c>
      <c r="C2130" s="45"/>
      <c r="D2130" s="4" t="s">
        <v>2221</v>
      </c>
      <c r="E2130" s="3" t="s">
        <v>16</v>
      </c>
      <c r="F2130" s="3">
        <v>2015</v>
      </c>
      <c r="G2130" s="3" t="s">
        <v>12</v>
      </c>
      <c r="H2130" s="3" t="s">
        <v>17</v>
      </c>
      <c r="I2130" s="3" t="s">
        <v>111</v>
      </c>
      <c r="J2130" s="97" t="s">
        <v>3440</v>
      </c>
    </row>
    <row r="2131" spans="1:10" ht="28.9" customHeight="1" thickTop="1" thickBot="1" x14ac:dyDescent="0.65">
      <c r="A2131" s="5">
        <v>2129</v>
      </c>
      <c r="B2131" s="46" t="str">
        <f>HYPERLINK("https://search.naver.com/search.naver?query=어메이징 스파이더맨 영화", "어메이징 스파이더맨")</f>
        <v>어메이징 스파이더맨</v>
      </c>
      <c r="C2131" s="47">
        <v>8.06</v>
      </c>
      <c r="D2131" s="6" t="s">
        <v>2222</v>
      </c>
      <c r="E2131" s="5" t="s">
        <v>20</v>
      </c>
      <c r="F2131" s="5">
        <v>2012</v>
      </c>
      <c r="G2131" s="5" t="s">
        <v>12</v>
      </c>
      <c r="H2131" s="5" t="s">
        <v>92</v>
      </c>
      <c r="I2131" s="5" t="s">
        <v>359</v>
      </c>
      <c r="J2131" s="98" t="s">
        <v>3439</v>
      </c>
    </row>
    <row r="2132" spans="1:10" ht="28.9" customHeight="1" thickTop="1" thickBot="1" x14ac:dyDescent="0.65">
      <c r="A2132" s="3">
        <v>2130</v>
      </c>
      <c r="B2132" s="44" t="str">
        <f>HYPERLINK("https://search.naver.com/search.naver?query=어메이징 스파이더맨2 영화", "어메이징 스파이더맨2")</f>
        <v>어메이징 스파이더맨2</v>
      </c>
      <c r="C2132" s="45">
        <v>8.06</v>
      </c>
      <c r="D2132" s="4" t="s">
        <v>2223</v>
      </c>
      <c r="E2132" s="3" t="s">
        <v>20</v>
      </c>
      <c r="F2132" s="3">
        <v>2014</v>
      </c>
      <c r="G2132" s="3" t="s">
        <v>12</v>
      </c>
      <c r="H2132" s="3" t="s">
        <v>92</v>
      </c>
      <c r="I2132" s="3" t="s">
        <v>237</v>
      </c>
      <c r="J2132" s="97" t="s">
        <v>3437</v>
      </c>
    </row>
    <row r="2133" spans="1:10" ht="28.9" customHeight="1" thickTop="1" thickBot="1" x14ac:dyDescent="0.65">
      <c r="A2133" s="5">
        <v>2131</v>
      </c>
      <c r="B2133" s="46" t="str">
        <f>HYPERLINK("https://search.naver.com/search.naver?query=어바웃 리키 영화", "어바웃 리키")</f>
        <v>어바웃 리키</v>
      </c>
      <c r="C2133" s="47">
        <v>8.08</v>
      </c>
      <c r="D2133" s="6" t="s">
        <v>2224</v>
      </c>
      <c r="E2133" s="5" t="s">
        <v>20</v>
      </c>
      <c r="F2133" s="5">
        <v>2015</v>
      </c>
      <c r="G2133" s="5" t="s">
        <v>12</v>
      </c>
      <c r="H2133" s="5" t="s">
        <v>17</v>
      </c>
      <c r="I2133" s="5" t="s">
        <v>111</v>
      </c>
      <c r="J2133" s="98" t="s">
        <v>3440</v>
      </c>
    </row>
    <row r="2134" spans="1:10" ht="28.9" customHeight="1" thickTop="1" thickBot="1" x14ac:dyDescent="0.65">
      <c r="A2134" s="3">
        <v>2132</v>
      </c>
      <c r="B2134" s="44" t="str">
        <f>HYPERLINK("https://search.naver.com/search.naver?query=어바웃 타임 영화", "어바웃 타임")</f>
        <v>어바웃 타임</v>
      </c>
      <c r="C2134" s="45">
        <v>9.25</v>
      </c>
      <c r="D2134" s="4" t="s">
        <v>2225</v>
      </c>
      <c r="E2134" s="3" t="s">
        <v>24</v>
      </c>
      <c r="F2134" s="3">
        <v>2013</v>
      </c>
      <c r="G2134" s="3" t="s">
        <v>12</v>
      </c>
      <c r="H2134" s="3" t="s">
        <v>121</v>
      </c>
      <c r="I2134" s="3" t="s">
        <v>58</v>
      </c>
      <c r="J2134" s="97" t="s">
        <v>3451</v>
      </c>
    </row>
    <row r="2135" spans="1:10" ht="28.9" customHeight="1" thickTop="1" thickBot="1" x14ac:dyDescent="0.65">
      <c r="A2135" s="5">
        <v>2133</v>
      </c>
      <c r="B2135" s="46" t="str">
        <f>HYPERLINK("https://search.naver.com/search.naver?query=어쌔신 더 비기닝 영화", "어쌔신 - 더 비기닝")</f>
        <v>어쌔신 - 더 비기닝</v>
      </c>
      <c r="C2135" s="47">
        <v>8.07</v>
      </c>
      <c r="D2135" s="6" t="s">
        <v>2226</v>
      </c>
      <c r="E2135" s="5" t="s">
        <v>136</v>
      </c>
      <c r="F2135" s="5">
        <v>2017</v>
      </c>
      <c r="G2135" s="5" t="s">
        <v>12</v>
      </c>
      <c r="H2135" s="5" t="s">
        <v>92</v>
      </c>
      <c r="I2135" s="5" t="s">
        <v>111</v>
      </c>
      <c r="J2135" s="98" t="s">
        <v>3443</v>
      </c>
    </row>
    <row r="2136" spans="1:10" ht="28.9" customHeight="1" thickTop="1" thickBot="1" x14ac:dyDescent="0.65">
      <c r="A2136" s="3">
        <v>2134</v>
      </c>
      <c r="B2136" s="44" t="str">
        <f>HYPERLINK("https://search.naver.com/search.naver?query=어웨이 프롬 허 영화", "어웨이 프롬 허")</f>
        <v>어웨이 프롬 허</v>
      </c>
      <c r="C2136" s="45">
        <v>7.87</v>
      </c>
      <c r="D2136" s="4" t="s">
        <v>2227</v>
      </c>
      <c r="E2136" s="3" t="s">
        <v>189</v>
      </c>
      <c r="F2136" s="3">
        <v>2006</v>
      </c>
      <c r="G2136" s="3" t="s">
        <v>12</v>
      </c>
      <c r="H2136" s="3" t="s">
        <v>17</v>
      </c>
      <c r="I2136" s="3" t="s">
        <v>96</v>
      </c>
      <c r="J2136" s="97" t="s">
        <v>3460</v>
      </c>
    </row>
    <row r="2137" spans="1:10" ht="28.9" customHeight="1" thickTop="1" thickBot="1" x14ac:dyDescent="0.65">
      <c r="A2137" s="5">
        <v>2135</v>
      </c>
      <c r="B2137" s="46" t="str">
        <f>HYPERLINK("https://search.naver.com/search.naver?query=어쩔수가없다 영화", "어쩔수가없다")</f>
        <v>어쩔수가없다</v>
      </c>
      <c r="C2137" s="47">
        <v>7.34</v>
      </c>
      <c r="D2137" s="6" t="s">
        <v>2228</v>
      </c>
      <c r="E2137" s="5" t="s">
        <v>11</v>
      </c>
      <c r="F2137" s="5">
        <v>2025</v>
      </c>
      <c r="G2137" s="5" t="s">
        <v>12</v>
      </c>
      <c r="H2137" s="5" t="s">
        <v>17</v>
      </c>
      <c r="I2137" s="5" t="s">
        <v>96</v>
      </c>
      <c r="J2137" s="98" t="s">
        <v>3459</v>
      </c>
    </row>
    <row r="2138" spans="1:10" ht="28.9" customHeight="1" thickTop="1" thickBot="1" x14ac:dyDescent="0.65">
      <c r="A2138" s="3">
        <v>2136</v>
      </c>
      <c r="B2138" s="44" t="str">
        <f>HYPERLINK("https://search.naver.com/search.naver?query=어카운턴트 영화", "어카운턴트")</f>
        <v>어카운턴트</v>
      </c>
      <c r="C2138" s="45">
        <v>8.15</v>
      </c>
      <c r="D2138" s="4" t="s">
        <v>2229</v>
      </c>
      <c r="E2138" s="3" t="s">
        <v>20</v>
      </c>
      <c r="F2138" s="3">
        <v>2016</v>
      </c>
      <c r="G2138" s="3" t="s">
        <v>12</v>
      </c>
      <c r="H2138" s="3" t="s">
        <v>92</v>
      </c>
      <c r="I2138" s="3" t="s">
        <v>108</v>
      </c>
      <c r="J2138" s="97" t="s">
        <v>3441</v>
      </c>
    </row>
    <row r="2139" spans="1:10" ht="28.9" customHeight="1" thickTop="1" thickBot="1" x14ac:dyDescent="0.65">
      <c r="A2139" s="5">
        <v>2137</v>
      </c>
      <c r="B2139" s="46" t="str">
        <f>HYPERLINK("https://search.naver.com/search.naver?query=어톤먼트 영화", "어톤먼트")</f>
        <v>어톤먼트</v>
      </c>
      <c r="C2139" s="47">
        <v>8.51</v>
      </c>
      <c r="D2139" s="6" t="s">
        <v>2230</v>
      </c>
      <c r="E2139" s="5" t="s">
        <v>24</v>
      </c>
      <c r="F2139" s="5">
        <v>2007</v>
      </c>
      <c r="G2139" s="5" t="s">
        <v>12</v>
      </c>
      <c r="H2139" s="5" t="s">
        <v>17</v>
      </c>
      <c r="I2139" s="5" t="s">
        <v>58</v>
      </c>
      <c r="J2139" s="98" t="s">
        <v>3447</v>
      </c>
    </row>
    <row r="2140" spans="1:10" ht="28.9" customHeight="1" thickTop="1" thickBot="1" x14ac:dyDescent="0.65">
      <c r="A2140" s="3">
        <v>2138</v>
      </c>
      <c r="B2140" s="44" t="str">
        <f>HYPERLINK("https://search.naver.com/search.naver?query=언노운 우먼 영화", "언노운 우먼")</f>
        <v>언노운 우먼</v>
      </c>
      <c r="C2140" s="45">
        <v>8.7200000000000006</v>
      </c>
      <c r="D2140" s="4" t="s">
        <v>2231</v>
      </c>
      <c r="E2140" s="3" t="s">
        <v>57</v>
      </c>
      <c r="F2140" s="3">
        <v>2006</v>
      </c>
      <c r="G2140" s="3" t="s">
        <v>12</v>
      </c>
      <c r="H2140" s="3" t="s">
        <v>17</v>
      </c>
      <c r="I2140" s="3" t="s">
        <v>111</v>
      </c>
      <c r="J2140" s="97" t="s">
        <v>3460</v>
      </c>
    </row>
    <row r="2141" spans="1:10" ht="28.9" customHeight="1" thickTop="1" thickBot="1" x14ac:dyDescent="0.65">
      <c r="A2141" s="5">
        <v>2139</v>
      </c>
      <c r="B2141" s="46" t="str">
        <f>HYPERLINK("https://search.naver.com/search.naver?query=언니 영화", "언니")</f>
        <v>언니</v>
      </c>
      <c r="C2141" s="47">
        <v>7.25</v>
      </c>
      <c r="D2141" s="6" t="s">
        <v>2232</v>
      </c>
      <c r="E2141" s="5" t="s">
        <v>11</v>
      </c>
      <c r="F2141" s="5">
        <v>2018</v>
      </c>
      <c r="G2141" s="5" t="s">
        <v>12</v>
      </c>
      <c r="H2141" s="5" t="s">
        <v>92</v>
      </c>
      <c r="I2141" s="5" t="s">
        <v>111</v>
      </c>
      <c r="J2141" s="98" t="s">
        <v>3442</v>
      </c>
    </row>
    <row r="2142" spans="1:10" ht="28.9" customHeight="1" thickTop="1" thickBot="1" x14ac:dyDescent="0.65">
      <c r="A2142" s="3">
        <v>2140</v>
      </c>
      <c r="B2142" s="44" t="str">
        <f>HYPERLINK("https://search.naver.com/search.naver?query=언더워터2016", "언더 워터")</f>
        <v>언더 워터</v>
      </c>
      <c r="C2142" s="45">
        <v>8.2200000000000006</v>
      </c>
      <c r="D2142" s="4" t="s">
        <v>3567</v>
      </c>
      <c r="E2142" s="3" t="s">
        <v>20</v>
      </c>
      <c r="F2142" s="3">
        <v>2016</v>
      </c>
      <c r="G2142" s="3" t="s">
        <v>12</v>
      </c>
      <c r="H2142" s="3" t="s">
        <v>3568</v>
      </c>
      <c r="I2142" s="3" t="s">
        <v>3569</v>
      </c>
      <c r="J2142" s="97">
        <v>42735</v>
      </c>
    </row>
    <row r="2143" spans="1:10" ht="28.9" customHeight="1" thickTop="1" thickBot="1" x14ac:dyDescent="0.65">
      <c r="A2143" s="5">
        <v>2141</v>
      </c>
      <c r="B2143" s="46" t="str">
        <f>HYPERLINK("https://gamsgopromocode.com/movie/view.php?id=640090&amp;type=movie", "언더 유어 베드")</f>
        <v>언더 유어 베드</v>
      </c>
      <c r="C2143" s="47">
        <v>3.22</v>
      </c>
      <c r="D2143" s="6" t="s">
        <v>2234</v>
      </c>
      <c r="E2143" s="5" t="s">
        <v>16</v>
      </c>
      <c r="F2143" s="5">
        <v>2019</v>
      </c>
      <c r="G2143" s="5" t="s">
        <v>12</v>
      </c>
      <c r="H2143" s="5" t="s">
        <v>17</v>
      </c>
      <c r="I2143" s="5" t="s">
        <v>81</v>
      </c>
      <c r="J2143" s="98" t="s">
        <v>3444</v>
      </c>
    </row>
    <row r="2144" spans="1:10" ht="28.9" customHeight="1" thickTop="1" thickBot="1" x14ac:dyDescent="0.65">
      <c r="A2144" s="3">
        <v>2142</v>
      </c>
      <c r="B2144" s="44" t="str">
        <f>HYPERLINK("https://search.naver.com/search.naver?query=언더 파이어 영화", "언더 파이어")</f>
        <v>언더 파이어</v>
      </c>
      <c r="C2144" s="45">
        <v>6.4</v>
      </c>
      <c r="D2144" s="4"/>
      <c r="E2144" s="3" t="s">
        <v>20</v>
      </c>
      <c r="F2144" s="3">
        <v>2017</v>
      </c>
      <c r="G2144" s="3" t="s">
        <v>12</v>
      </c>
      <c r="H2144" s="3" t="s">
        <v>92</v>
      </c>
      <c r="I2144" s="3" t="s">
        <v>111</v>
      </c>
      <c r="J2144" s="97" t="s">
        <v>3443</v>
      </c>
    </row>
    <row r="2145" spans="1:10" ht="28.9" customHeight="1" thickTop="1" thickBot="1" x14ac:dyDescent="0.65">
      <c r="A2145" s="5">
        <v>2143</v>
      </c>
      <c r="B2145" s="46" t="str">
        <f>HYPERLINK("https://search.naver.com/search.naver?query=언더워터 영화", "언더워터")</f>
        <v>언더워터</v>
      </c>
      <c r="C2145" s="47">
        <v>7.57</v>
      </c>
      <c r="D2145" s="6" t="s">
        <v>2233</v>
      </c>
      <c r="E2145" s="5" t="s">
        <v>20</v>
      </c>
      <c r="F2145" s="5">
        <v>2020</v>
      </c>
      <c r="G2145" s="5" t="s">
        <v>12</v>
      </c>
      <c r="H2145" s="5" t="s">
        <v>92</v>
      </c>
      <c r="I2145" s="5" t="s">
        <v>111</v>
      </c>
      <c r="J2145" s="98" t="s">
        <v>3436</v>
      </c>
    </row>
    <row r="2146" spans="1:10" ht="28.9" customHeight="1" thickTop="1" thickBot="1" x14ac:dyDescent="0.65">
      <c r="A2146" s="3">
        <v>2144</v>
      </c>
      <c r="B2146" s="44" t="str">
        <f>HYPERLINK("https://search.naver.com/search.naver?query=언덕길의 아폴론 영화", "언덕길의 아폴론")</f>
        <v>언덕길의 아폴론</v>
      </c>
      <c r="C2146" s="45">
        <v>9.2899999999999991</v>
      </c>
      <c r="D2146" s="4" t="s">
        <v>2235</v>
      </c>
      <c r="E2146" s="3" t="s">
        <v>16</v>
      </c>
      <c r="F2146" s="3">
        <v>2018</v>
      </c>
      <c r="G2146" s="3" t="s">
        <v>12</v>
      </c>
      <c r="H2146" s="3" t="s">
        <v>17</v>
      </c>
      <c r="I2146" s="3" t="s">
        <v>86</v>
      </c>
      <c r="J2146" s="97" t="s">
        <v>3442</v>
      </c>
    </row>
    <row r="2147" spans="1:10" ht="28.9" customHeight="1" thickTop="1" thickBot="1" x14ac:dyDescent="0.65">
      <c r="A2147" s="7">
        <v>2145</v>
      </c>
      <c r="B2147" s="48" t="str">
        <f>HYPERLINK("https://search.naver.com/search.naver?query=언두잉", "언두잉")</f>
        <v>언두잉</v>
      </c>
      <c r="C2147" s="49"/>
      <c r="D2147" s="8" t="s">
        <v>2236</v>
      </c>
      <c r="E2147" s="7" t="s">
        <v>20</v>
      </c>
      <c r="F2147" s="7">
        <v>2021</v>
      </c>
      <c r="G2147" s="7" t="s">
        <v>17</v>
      </c>
      <c r="H2147" s="7" t="s">
        <v>17</v>
      </c>
      <c r="I2147" s="7" t="s">
        <v>173</v>
      </c>
      <c r="J2147" s="99" t="s">
        <v>3438</v>
      </c>
    </row>
    <row r="2148" spans="1:10" ht="28.9" customHeight="1" thickTop="1" thickBot="1" x14ac:dyDescent="0.65">
      <c r="A2148" s="3">
        <v>2146</v>
      </c>
      <c r="B2148" s="44" t="str">
        <f>HYPERLINK("https://search.naver.com/search.naver?query=언브로큰 영화", "언브로큰")</f>
        <v>언브로큰</v>
      </c>
      <c r="C2148" s="45">
        <v>8.06</v>
      </c>
      <c r="D2148" s="4" t="s">
        <v>2237</v>
      </c>
      <c r="E2148" s="3" t="s">
        <v>20</v>
      </c>
      <c r="F2148" s="3">
        <v>2014</v>
      </c>
      <c r="G2148" s="3" t="s">
        <v>12</v>
      </c>
      <c r="H2148" s="3" t="s">
        <v>17</v>
      </c>
      <c r="I2148" s="3" t="s">
        <v>186</v>
      </c>
      <c r="J2148" s="97" t="s">
        <v>3437</v>
      </c>
    </row>
    <row r="2149" spans="1:10" ht="28.9" customHeight="1" thickTop="1" thickBot="1" x14ac:dyDescent="0.65">
      <c r="A2149" s="5">
        <v>2147</v>
      </c>
      <c r="B2149" s="46" t="str">
        <f>HYPERLINK("https://search.naver.com/search.naver?query=언세인 영화", "언세인")</f>
        <v>언세인</v>
      </c>
      <c r="C2149" s="47">
        <v>6.4</v>
      </c>
      <c r="D2149" s="6" t="s">
        <v>2238</v>
      </c>
      <c r="E2149" s="5" t="s">
        <v>20</v>
      </c>
      <c r="F2149" s="5">
        <v>2018</v>
      </c>
      <c r="G2149" s="5" t="s">
        <v>12</v>
      </c>
      <c r="H2149" s="5" t="s">
        <v>43</v>
      </c>
      <c r="I2149" s="5" t="s">
        <v>14</v>
      </c>
      <c r="J2149" s="98" t="s">
        <v>3442</v>
      </c>
    </row>
    <row r="2150" spans="1:10" ht="28.9" customHeight="1" thickTop="1" thickBot="1" x14ac:dyDescent="0.65">
      <c r="A2150" s="3">
        <v>2148</v>
      </c>
      <c r="B2150" s="44" t="str">
        <f>HYPERLINK("https://search.naver.com/search.naver?query=언싱커블 영화", "언싱커블")</f>
        <v>언싱커블</v>
      </c>
      <c r="C2150" s="45">
        <v>8.6</v>
      </c>
      <c r="D2150" s="4" t="s">
        <v>2239</v>
      </c>
      <c r="E2150" s="3" t="s">
        <v>20</v>
      </c>
      <c r="F2150" s="3">
        <v>2010</v>
      </c>
      <c r="G2150" s="3" t="s">
        <v>12</v>
      </c>
      <c r="H2150" s="3" t="s">
        <v>43</v>
      </c>
      <c r="I2150" s="3" t="s">
        <v>124</v>
      </c>
      <c r="J2150" s="97" t="s">
        <v>3455</v>
      </c>
    </row>
    <row r="2151" spans="1:10" ht="28.9" customHeight="1" thickTop="1" thickBot="1" x14ac:dyDescent="0.65">
      <c r="A2151" s="5">
        <v>2149</v>
      </c>
      <c r="B2151" s="46" t="str">
        <f>HYPERLINK("https://search.naver.com/search.naver?query=언차티드 영화", "언차티드")</f>
        <v>언차티드</v>
      </c>
      <c r="C2151" s="47">
        <v>7.01</v>
      </c>
      <c r="D2151" s="6" t="s">
        <v>2240</v>
      </c>
      <c r="E2151" s="5" t="s">
        <v>20</v>
      </c>
      <c r="F2151" s="5">
        <v>2022</v>
      </c>
      <c r="G2151" s="5" t="s">
        <v>12</v>
      </c>
      <c r="H2151" s="5" t="s">
        <v>92</v>
      </c>
      <c r="I2151" s="5" t="s">
        <v>366</v>
      </c>
      <c r="J2151" s="98" t="s">
        <v>3445</v>
      </c>
    </row>
    <row r="2152" spans="1:10" ht="28.9" customHeight="1" thickTop="1" thickBot="1" x14ac:dyDescent="0.65">
      <c r="A2152" s="3">
        <v>2150</v>
      </c>
      <c r="B2152" s="44" t="str">
        <f>HYPERLINK("https://search.naver.com/search.naver?query=언컷 젬스 영화", "언컷 젬스")</f>
        <v>언컷 젬스</v>
      </c>
      <c r="C2152" s="45">
        <v>7.65</v>
      </c>
      <c r="D2152" s="4" t="s">
        <v>2241</v>
      </c>
      <c r="E2152" s="3" t="s">
        <v>20</v>
      </c>
      <c r="F2152" s="3">
        <v>2019</v>
      </c>
      <c r="G2152" s="3" t="s">
        <v>12</v>
      </c>
      <c r="H2152" s="3" t="s">
        <v>277</v>
      </c>
      <c r="I2152" s="3" t="s">
        <v>41</v>
      </c>
      <c r="J2152" s="97" t="s">
        <v>3444</v>
      </c>
    </row>
    <row r="2153" spans="1:10" ht="28.9" customHeight="1" thickTop="1" thickBot="1" x14ac:dyDescent="0.65">
      <c r="A2153" s="5">
        <v>2151</v>
      </c>
      <c r="B2153" s="46" t="str">
        <f>HYPERLINK("https://search.naver.com/search.naver?query=언터처블: 1%의 우정 영화", "언터처블: 1%의 우정")</f>
        <v>언터처블: 1%의 우정</v>
      </c>
      <c r="C2153" s="47">
        <v>9.34</v>
      </c>
      <c r="D2153" s="6" t="s">
        <v>2242</v>
      </c>
      <c r="E2153" s="5" t="s">
        <v>210</v>
      </c>
      <c r="F2153" s="5">
        <v>2011</v>
      </c>
      <c r="G2153" s="5" t="s">
        <v>12</v>
      </c>
      <c r="H2153" s="5" t="s">
        <v>68</v>
      </c>
      <c r="I2153" s="5" t="s">
        <v>278</v>
      </c>
      <c r="J2153" s="98" t="s">
        <v>3454</v>
      </c>
    </row>
    <row r="2154" spans="1:10" ht="28.9" customHeight="1" thickTop="1" thickBot="1" x14ac:dyDescent="0.65">
      <c r="A2154" s="3">
        <v>2152</v>
      </c>
      <c r="B2154" s="44" t="str">
        <f>HYPERLINK("https://search.naver.com/search.naver?query=언페이스풀 영화", "언페이스풀")</f>
        <v>언페이스풀</v>
      </c>
      <c r="C2154" s="45">
        <v>8.58</v>
      </c>
      <c r="D2154" s="4" t="s">
        <v>2243</v>
      </c>
      <c r="E2154" s="3" t="s">
        <v>20</v>
      </c>
      <c r="F2154" s="3">
        <v>2002</v>
      </c>
      <c r="G2154" s="3" t="s">
        <v>12</v>
      </c>
      <c r="H2154" s="3" t="s">
        <v>17</v>
      </c>
      <c r="I2154" s="3" t="s">
        <v>134</v>
      </c>
      <c r="J2154" s="97" t="s">
        <v>3466</v>
      </c>
    </row>
    <row r="2155" spans="1:10" ht="28.9" customHeight="1" thickTop="1" thickBot="1" x14ac:dyDescent="0.65">
      <c r="A2155" s="5">
        <v>2153</v>
      </c>
      <c r="B2155" s="46" t="str">
        <f>HYPERLINK("https://search.naver.com/search.naver?query=언포기버블 영화", "언포기버블")</f>
        <v>언포기버블</v>
      </c>
      <c r="C2155" s="47">
        <v>7.95</v>
      </c>
      <c r="D2155" s="6" t="s">
        <v>2244</v>
      </c>
      <c r="E2155" s="5" t="s">
        <v>24</v>
      </c>
      <c r="F2155" s="5">
        <v>2021</v>
      </c>
      <c r="G2155" s="5" t="s">
        <v>12</v>
      </c>
      <c r="H2155" s="5" t="s">
        <v>17</v>
      </c>
      <c r="I2155" s="5" t="s">
        <v>278</v>
      </c>
      <c r="J2155" s="98" t="s">
        <v>3438</v>
      </c>
    </row>
    <row r="2156" spans="1:10" ht="28.9" customHeight="1" thickTop="1" thickBot="1" x14ac:dyDescent="0.65">
      <c r="A2156" s="3">
        <v>2154</v>
      </c>
      <c r="B2156" s="44" t="str">
        <f>HYPERLINK("https://search.naver.com/search.naver?query=언프렌디드 다크 웹 영화", "언프렌디드 다크 웹")</f>
        <v>언프렌디드 다크 웹</v>
      </c>
      <c r="C2156" s="45">
        <v>6.8</v>
      </c>
      <c r="D2156" s="4" t="s">
        <v>2245</v>
      </c>
      <c r="E2156" s="3" t="s">
        <v>20</v>
      </c>
      <c r="F2156" s="3">
        <v>2018</v>
      </c>
      <c r="G2156" s="3" t="s">
        <v>12</v>
      </c>
      <c r="H2156" s="3" t="s">
        <v>252</v>
      </c>
      <c r="I2156" s="3" t="s">
        <v>147</v>
      </c>
      <c r="J2156" s="97" t="s">
        <v>3442</v>
      </c>
    </row>
    <row r="2157" spans="1:10" ht="28.9" customHeight="1" thickTop="1" thickBot="1" x14ac:dyDescent="0.65">
      <c r="A2157" s="5">
        <v>2155</v>
      </c>
      <c r="B2157" s="46" t="str">
        <f>HYPERLINK("https://search.naver.com/search.naver?query=언피니쉬드 라이프 영화", "언피니쉬드 라이프")</f>
        <v>언피니쉬드 라이프</v>
      </c>
      <c r="C2157" s="47">
        <v>6.4</v>
      </c>
      <c r="D2157" s="6" t="s">
        <v>2246</v>
      </c>
      <c r="E2157" s="5" t="s">
        <v>20</v>
      </c>
      <c r="F2157" s="5">
        <v>2005</v>
      </c>
      <c r="G2157" s="5" t="s">
        <v>12</v>
      </c>
      <c r="H2157" s="5" t="s">
        <v>17</v>
      </c>
      <c r="I2157" s="5" t="s">
        <v>31</v>
      </c>
      <c r="J2157" s="98" t="s">
        <v>3461</v>
      </c>
    </row>
    <row r="2158" spans="1:10" ht="28.9" customHeight="1" thickTop="1" thickBot="1" x14ac:dyDescent="0.65">
      <c r="A2158" s="3">
        <v>2156</v>
      </c>
      <c r="B2158" s="44" t="str">
        <f>HYPERLINK("https://search.naver.com/search.naver?query=언힌지드 영화", "언힌지드")</f>
        <v>언힌지드</v>
      </c>
      <c r="C2158" s="45">
        <v>7.76</v>
      </c>
      <c r="D2158" s="4" t="s">
        <v>2247</v>
      </c>
      <c r="E2158" s="3" t="s">
        <v>20</v>
      </c>
      <c r="F2158" s="3">
        <v>2020</v>
      </c>
      <c r="G2158" s="3" t="s">
        <v>12</v>
      </c>
      <c r="H2158" s="3" t="s">
        <v>92</v>
      </c>
      <c r="I2158" s="3" t="s">
        <v>115</v>
      </c>
      <c r="J2158" s="97" t="s">
        <v>3436</v>
      </c>
    </row>
    <row r="2159" spans="1:10" ht="28.9" customHeight="1" thickTop="1" thickBot="1" x14ac:dyDescent="0.65">
      <c r="A2159" s="5">
        <v>2157</v>
      </c>
      <c r="B2159" s="46" t="str">
        <f>HYPERLINK("https://search.naver.com/search.naver?query=얼굴 도둑 영화", "얼굴 도둑")</f>
        <v>얼굴 도둑</v>
      </c>
      <c r="C2159" s="47">
        <v>7.93</v>
      </c>
      <c r="D2159" s="6" t="s">
        <v>2248</v>
      </c>
      <c r="E2159" s="5" t="s">
        <v>210</v>
      </c>
      <c r="F2159" s="5">
        <v>2016</v>
      </c>
      <c r="G2159" s="5" t="s">
        <v>12</v>
      </c>
      <c r="H2159" s="5" t="s">
        <v>277</v>
      </c>
      <c r="I2159" s="5" t="s">
        <v>89</v>
      </c>
      <c r="J2159" s="98" t="s">
        <v>3441</v>
      </c>
    </row>
    <row r="2160" spans="1:10" ht="28.9" customHeight="1" thickTop="1" thickBot="1" x14ac:dyDescent="0.65">
      <c r="A2160" s="3">
        <v>2158</v>
      </c>
      <c r="B2160" s="44" t="str">
        <f>HYPERLINK("https://search.naver.com/search.naver?query=얼라이드 영화", "얼라이드")</f>
        <v>얼라이드</v>
      </c>
      <c r="C2160" s="45">
        <v>8.58</v>
      </c>
      <c r="D2160" s="4" t="s">
        <v>2249</v>
      </c>
      <c r="E2160" s="3" t="s">
        <v>20</v>
      </c>
      <c r="F2160" s="3">
        <v>2016</v>
      </c>
      <c r="G2160" s="3" t="s">
        <v>12</v>
      </c>
      <c r="H2160" s="3" t="s">
        <v>92</v>
      </c>
      <c r="I2160" s="3" t="s">
        <v>134</v>
      </c>
      <c r="J2160" s="97" t="s">
        <v>3441</v>
      </c>
    </row>
    <row r="2161" spans="1:10" ht="28.9" customHeight="1" thickTop="1" thickBot="1" x14ac:dyDescent="0.65">
      <c r="A2161" s="5">
        <v>2159</v>
      </c>
      <c r="B2161" s="46" t="str">
        <f>HYPERLINK("https://search.naver.com/search.naver?query=얼라이브 영화", "얼라이브")</f>
        <v>얼라이브</v>
      </c>
      <c r="C2161" s="47">
        <v>9.07</v>
      </c>
      <c r="D2161" s="6" t="s">
        <v>2250</v>
      </c>
      <c r="E2161" s="5" t="s">
        <v>16</v>
      </c>
      <c r="F2161" s="5">
        <v>2015</v>
      </c>
      <c r="G2161" s="5" t="s">
        <v>12</v>
      </c>
      <c r="H2161" s="5" t="s">
        <v>17</v>
      </c>
      <c r="I2161" s="5" t="s">
        <v>111</v>
      </c>
      <c r="J2161" s="98" t="s">
        <v>3440</v>
      </c>
    </row>
    <row r="2162" spans="1:10" ht="28.9" customHeight="1" thickTop="1" thickBot="1" x14ac:dyDescent="0.65">
      <c r="A2162" s="3">
        <v>2160</v>
      </c>
      <c r="B2162" s="44" t="str">
        <f>HYPERLINK("https://search.naver.com/search.naver?query=얼어버린 시간 속에서 영화", "얼어버린 시간 속에서")</f>
        <v>얼어버린 시간 속에서</v>
      </c>
      <c r="C2162" s="45">
        <v>8.51</v>
      </c>
      <c r="D2162" s="4" t="s">
        <v>2251</v>
      </c>
      <c r="E2162" s="3" t="s">
        <v>2136</v>
      </c>
      <c r="F2162" s="3">
        <v>2022</v>
      </c>
      <c r="G2162" s="3" t="s">
        <v>12</v>
      </c>
      <c r="H2162" s="3" t="s">
        <v>824</v>
      </c>
      <c r="I2162" s="3" t="s">
        <v>70</v>
      </c>
      <c r="J2162" s="97" t="s">
        <v>3445</v>
      </c>
    </row>
    <row r="2163" spans="1:10" ht="28.9" customHeight="1" thickTop="1" thickBot="1" x14ac:dyDescent="0.65">
      <c r="A2163" s="5">
        <v>2161</v>
      </c>
      <c r="B2163" s="46" t="str">
        <f>HYPERLINK("https://search.naver.com/search.naver?query=엄마 시집 보내기 영화", "엄마 시집 보내기")</f>
        <v>엄마 시집 보내기</v>
      </c>
      <c r="C2163" s="47"/>
      <c r="D2163" s="6" t="s">
        <v>2252</v>
      </c>
      <c r="E2163" s="5" t="s">
        <v>16</v>
      </c>
      <c r="F2163" s="5">
        <v>2010</v>
      </c>
      <c r="G2163" s="5" t="s">
        <v>12</v>
      </c>
      <c r="H2163" s="5" t="s">
        <v>17</v>
      </c>
      <c r="I2163" s="5" t="s">
        <v>96</v>
      </c>
      <c r="J2163" s="98" t="s">
        <v>3455</v>
      </c>
    </row>
    <row r="2164" spans="1:10" ht="28.9" customHeight="1" thickTop="1" thickBot="1" x14ac:dyDescent="0.65">
      <c r="A2164" s="3">
        <v>2162</v>
      </c>
      <c r="B2164" s="44" t="str">
        <f>HYPERLINK("https://search.naver.com/search.naver?query=엄마의 레시피 영화", "엄마의 레시피")</f>
        <v>엄마의 레시피</v>
      </c>
      <c r="C2164" s="45">
        <v>6.81</v>
      </c>
      <c r="D2164" s="4" t="s">
        <v>2253</v>
      </c>
      <c r="E2164" s="3" t="s">
        <v>16</v>
      </c>
      <c r="F2164" s="3">
        <v>2018</v>
      </c>
      <c r="G2164" s="3" t="s">
        <v>12</v>
      </c>
      <c r="H2164" s="3" t="s">
        <v>17</v>
      </c>
      <c r="I2164" s="3" t="s">
        <v>89</v>
      </c>
      <c r="J2164" s="97" t="s">
        <v>3442</v>
      </c>
    </row>
    <row r="2165" spans="1:10" ht="28.9" customHeight="1" thickTop="1" thickBot="1" x14ac:dyDescent="0.65">
      <c r="A2165" s="5">
        <v>2163</v>
      </c>
      <c r="B2165" s="46" t="str">
        <f>HYPERLINK("https://search.naver.com/search.naver?query=엄청나게 시끄럽고 믿을 수 없게 가까운 영화", "엄청나게 시끄럽고 믿을 수 없게 가까운")</f>
        <v>엄청나게 시끄럽고 믿을 수 없게 가까운</v>
      </c>
      <c r="C2165" s="47">
        <v>6.4</v>
      </c>
      <c r="D2165" s="6" t="s">
        <v>2254</v>
      </c>
      <c r="E2165" s="5" t="s">
        <v>20</v>
      </c>
      <c r="F2165" s="5">
        <v>2011</v>
      </c>
      <c r="G2165" s="5" t="s">
        <v>12</v>
      </c>
      <c r="H2165" s="5" t="s">
        <v>17</v>
      </c>
      <c r="I2165" s="5" t="s">
        <v>64</v>
      </c>
      <c r="J2165" s="98" t="s">
        <v>3454</v>
      </c>
    </row>
    <row r="2166" spans="1:10" ht="28.9" customHeight="1" thickTop="1" thickBot="1" x14ac:dyDescent="0.65">
      <c r="A2166" s="3">
        <v>2164</v>
      </c>
      <c r="B2166" s="44" t="str">
        <f>HYPERLINK("https://search.naver.com/search.naver?query=업 포 러브 영화", "업 포 러브")</f>
        <v>업 포 러브</v>
      </c>
      <c r="C2166" s="45">
        <v>8.7799999999999994</v>
      </c>
      <c r="D2166" s="4" t="s">
        <v>2255</v>
      </c>
      <c r="E2166" s="3" t="s">
        <v>210</v>
      </c>
      <c r="F2166" s="3">
        <v>2016</v>
      </c>
      <c r="G2166" s="3" t="s">
        <v>12</v>
      </c>
      <c r="H2166" s="3" t="s">
        <v>68</v>
      </c>
      <c r="I2166" s="3" t="s">
        <v>14</v>
      </c>
      <c r="J2166" s="97" t="s">
        <v>3441</v>
      </c>
    </row>
    <row r="2167" spans="1:10" ht="28.9" customHeight="1" thickTop="1" thickBot="1" x14ac:dyDescent="0.65">
      <c r="A2167" s="5">
        <v>2165</v>
      </c>
      <c r="B2167" s="46" t="str">
        <f>HYPERLINK("https://search.naver.com/search.naver?query=업그레이드 영화", "업그레이드")</f>
        <v>업그레이드</v>
      </c>
      <c r="C2167" s="47">
        <v>9.1</v>
      </c>
      <c r="D2167" s="6" t="s">
        <v>2256</v>
      </c>
      <c r="E2167" s="5" t="s">
        <v>20</v>
      </c>
      <c r="F2167" s="5">
        <v>2018</v>
      </c>
      <c r="G2167" s="5" t="s">
        <v>12</v>
      </c>
      <c r="H2167" s="5" t="s">
        <v>92</v>
      </c>
      <c r="I2167" s="5" t="s">
        <v>131</v>
      </c>
      <c r="J2167" s="98" t="s">
        <v>3442</v>
      </c>
    </row>
    <row r="2168" spans="1:10" ht="28.9" customHeight="1" thickTop="1" thickBot="1" x14ac:dyDescent="0.65">
      <c r="A2168" s="3">
        <v>2166</v>
      </c>
      <c r="B2168" s="44" t="str">
        <f>HYPERLINK("https://search.naver.com/search.naver?query=업사이드 영화", "업사이드")</f>
        <v>업사이드</v>
      </c>
      <c r="C2168" s="45">
        <v>9.68</v>
      </c>
      <c r="D2168" s="4" t="s">
        <v>2257</v>
      </c>
      <c r="E2168" s="3" t="s">
        <v>20</v>
      </c>
      <c r="F2168" s="3">
        <v>2017</v>
      </c>
      <c r="G2168" s="3" t="s">
        <v>12</v>
      </c>
      <c r="H2168" s="3" t="s">
        <v>68</v>
      </c>
      <c r="I2168" s="3" t="s">
        <v>78</v>
      </c>
      <c r="J2168" s="97" t="s">
        <v>3443</v>
      </c>
    </row>
    <row r="2169" spans="1:10" ht="28.9" customHeight="1" thickTop="1" thickBot="1" x14ac:dyDescent="0.65">
      <c r="A2169" s="5">
        <v>2167</v>
      </c>
      <c r="B2169" s="46" t="str">
        <f>HYPERLINK("https://search.naver.com/search.naver?query=에곤 쉴레 욕망이 그린 그림 영화", "에곤 쉴레-욕망이 그린 그림")</f>
        <v>에곤 쉴레-욕망이 그린 그림</v>
      </c>
      <c r="C2169" s="47">
        <v>8.07</v>
      </c>
      <c r="D2169" s="6" t="s">
        <v>2258</v>
      </c>
      <c r="E2169" s="5" t="s">
        <v>2259</v>
      </c>
      <c r="F2169" s="5">
        <v>2016</v>
      </c>
      <c r="G2169" s="5" t="s">
        <v>12</v>
      </c>
      <c r="H2169" s="5" t="s">
        <v>17</v>
      </c>
      <c r="I2169" s="5" t="s">
        <v>96</v>
      </c>
      <c r="J2169" s="98" t="s">
        <v>3441</v>
      </c>
    </row>
    <row r="2170" spans="1:10" ht="28.9" customHeight="1" thickTop="1" thickBot="1" x14ac:dyDescent="0.65">
      <c r="A2170" s="3">
        <v>2168</v>
      </c>
      <c r="B2170" s="44" t="str">
        <f>HYPERLINK("https://search.naver.com/search.naver?query=에너미 영화", "에너미")</f>
        <v>에너미</v>
      </c>
      <c r="C2170" s="45">
        <v>7.12</v>
      </c>
      <c r="D2170" s="4" t="s">
        <v>2260</v>
      </c>
      <c r="E2170" s="3" t="s">
        <v>189</v>
      </c>
      <c r="F2170" s="3">
        <v>2013</v>
      </c>
      <c r="G2170" s="3" t="s">
        <v>12</v>
      </c>
      <c r="H2170" s="3" t="s">
        <v>43</v>
      </c>
      <c r="I2170" s="3" t="s">
        <v>240</v>
      </c>
      <c r="J2170" s="97" t="s">
        <v>3451</v>
      </c>
    </row>
    <row r="2171" spans="1:10" ht="28.9" customHeight="1" thickTop="1" thickBot="1" x14ac:dyDescent="0.65">
      <c r="A2171" s="5">
        <v>2169</v>
      </c>
      <c r="B2171" s="46" t="str">
        <f>HYPERLINK("https://search.naver.com/search.naver?query=에놀라 홈즈 영화", "에놀라 홈즈")</f>
        <v>에놀라 홈즈</v>
      </c>
      <c r="C2171" s="47"/>
      <c r="D2171" s="6" t="s">
        <v>2261</v>
      </c>
      <c r="E2171" s="5" t="s">
        <v>24</v>
      </c>
      <c r="F2171" s="5">
        <v>2020</v>
      </c>
      <c r="G2171" s="5" t="s">
        <v>12</v>
      </c>
      <c r="H2171" s="5" t="s">
        <v>141</v>
      </c>
      <c r="I2171" s="5" t="s">
        <v>58</v>
      </c>
      <c r="J2171" s="98" t="s">
        <v>3436</v>
      </c>
    </row>
    <row r="2172" spans="1:10" ht="28.9" customHeight="1" thickTop="1" thickBot="1" x14ac:dyDescent="0.65">
      <c r="A2172" s="3">
        <v>2170</v>
      </c>
      <c r="B2172" s="44" t="str">
        <f>HYPERLINK("https://search.naver.com/search.naver?query=에놀라 홈즈 2 영화", "에놀라 홈즈 2")</f>
        <v>에놀라 홈즈 2</v>
      </c>
      <c r="C2172" s="45">
        <v>8.3000000000000007</v>
      </c>
      <c r="D2172" s="4" t="s">
        <v>2262</v>
      </c>
      <c r="E2172" s="3" t="s">
        <v>24</v>
      </c>
      <c r="F2172" s="3">
        <v>2022</v>
      </c>
      <c r="G2172" s="3" t="s">
        <v>12</v>
      </c>
      <c r="H2172" s="3" t="s">
        <v>141</v>
      </c>
      <c r="I2172" s="3" t="s">
        <v>58</v>
      </c>
      <c r="J2172" s="97" t="s">
        <v>3445</v>
      </c>
    </row>
    <row r="2173" spans="1:10" ht="28.9" customHeight="1" thickTop="1" thickBot="1" x14ac:dyDescent="0.65">
      <c r="A2173" s="5">
        <v>2171</v>
      </c>
      <c r="B2173" s="46" t="str">
        <f>HYPERLINK("https://search.naver.com/search.naver?query=에드워드 영화", "에드워드")</f>
        <v>에드워드</v>
      </c>
      <c r="C2173" s="47">
        <v>8.11</v>
      </c>
      <c r="D2173" s="6" t="s">
        <v>2263</v>
      </c>
      <c r="E2173" s="5" t="s">
        <v>20</v>
      </c>
      <c r="F2173" s="5">
        <v>2015</v>
      </c>
      <c r="G2173" s="5" t="s">
        <v>12</v>
      </c>
      <c r="H2173" s="5" t="s">
        <v>17</v>
      </c>
      <c r="I2173" s="5" t="s">
        <v>111</v>
      </c>
      <c r="J2173" s="98" t="s">
        <v>3440</v>
      </c>
    </row>
    <row r="2174" spans="1:10" ht="28.9" customHeight="1" thickTop="1" thickBot="1" x14ac:dyDescent="0.65">
      <c r="A2174" s="7">
        <v>2172</v>
      </c>
      <c r="B2174" s="48" t="str">
        <f>HYPERLINK("https://search.naver.com/search.naver?query=에밀리 파리에 가다 시즌1", "에밀리 파리에 가다 시즌1")</f>
        <v>에밀리 파리에 가다 시즌1</v>
      </c>
      <c r="C2174" s="49"/>
      <c r="D2174" s="8" t="s">
        <v>2264</v>
      </c>
      <c r="E2174" s="7" t="s">
        <v>20</v>
      </c>
      <c r="F2174" s="7">
        <v>2020</v>
      </c>
      <c r="G2174" s="7" t="s">
        <v>17</v>
      </c>
      <c r="H2174" s="7" t="s">
        <v>17</v>
      </c>
      <c r="I2174" s="7" t="s">
        <v>50</v>
      </c>
      <c r="J2174" s="99" t="s">
        <v>3436</v>
      </c>
    </row>
    <row r="2175" spans="1:10" ht="28.9" customHeight="1" thickTop="1" thickBot="1" x14ac:dyDescent="0.65">
      <c r="A2175" s="7">
        <v>2173</v>
      </c>
      <c r="B2175" s="48" t="str">
        <f>HYPERLINK("https://search.naver.com/search.naver?query=에밀리 파리에 가다 시즌2", "에밀리 파리에 가다 시즌2")</f>
        <v>에밀리 파리에 가다 시즌2</v>
      </c>
      <c r="C2175" s="49"/>
      <c r="D2175" s="8" t="s">
        <v>2264</v>
      </c>
      <c r="E2175" s="7" t="s">
        <v>20</v>
      </c>
      <c r="F2175" s="7">
        <v>2021</v>
      </c>
      <c r="G2175" s="7" t="s">
        <v>17</v>
      </c>
      <c r="H2175" s="7" t="s">
        <v>17</v>
      </c>
      <c r="I2175" s="7" t="s">
        <v>50</v>
      </c>
      <c r="J2175" s="99" t="s">
        <v>3438</v>
      </c>
    </row>
    <row r="2176" spans="1:10" ht="28.9" customHeight="1" thickTop="1" thickBot="1" x14ac:dyDescent="0.65">
      <c r="A2176" s="7">
        <v>2174</v>
      </c>
      <c r="B2176" s="48" t="str">
        <f>HYPERLINK("https://search.naver.com/search.naver?query=에밀리 파리에 가다 시즌3", "에밀리 파리에 가다 시즌3")</f>
        <v>에밀리 파리에 가다 시즌3</v>
      </c>
      <c r="C2176" s="49"/>
      <c r="D2176" s="8" t="s">
        <v>2264</v>
      </c>
      <c r="E2176" s="7" t="s">
        <v>20</v>
      </c>
      <c r="F2176" s="7">
        <v>2022</v>
      </c>
      <c r="G2176" s="7" t="s">
        <v>17</v>
      </c>
      <c r="H2176" s="7" t="s">
        <v>17</v>
      </c>
      <c r="I2176" s="7" t="s">
        <v>50</v>
      </c>
      <c r="J2176" s="99" t="s">
        <v>3445</v>
      </c>
    </row>
    <row r="2177" spans="1:10" ht="28.9" customHeight="1" thickTop="1" thickBot="1" x14ac:dyDescent="0.65">
      <c r="A2177" s="5">
        <v>2175</v>
      </c>
      <c r="B2177" s="46" t="str">
        <f>HYPERLINK("https://search.naver.com/search.naver?query=에반 올마이티 영화", "에반 올마이티")</f>
        <v>에반 올마이티</v>
      </c>
      <c r="C2177" s="47">
        <v>8</v>
      </c>
      <c r="D2177" s="6" t="s">
        <v>2265</v>
      </c>
      <c r="E2177" s="5" t="s">
        <v>20</v>
      </c>
      <c r="F2177" s="5">
        <v>2007</v>
      </c>
      <c r="G2177" s="5" t="s">
        <v>12</v>
      </c>
      <c r="H2177" s="5" t="s">
        <v>68</v>
      </c>
      <c r="I2177" s="5" t="s">
        <v>61</v>
      </c>
      <c r="J2177" s="98" t="s">
        <v>3447</v>
      </c>
    </row>
    <row r="2178" spans="1:10" ht="28.9" customHeight="1" thickTop="1" thickBot="1" x14ac:dyDescent="0.65">
      <c r="A2178" s="3">
        <v>2176</v>
      </c>
      <c r="B2178" s="44" t="str">
        <f>HYPERLINK("https://search.naver.com/search.naver?query=에버 애프터 영화", "에버 애프터")</f>
        <v>에버 애프터</v>
      </c>
      <c r="C2178" s="45">
        <v>8.9499999999999993</v>
      </c>
      <c r="D2178" s="4" t="s">
        <v>2266</v>
      </c>
      <c r="E2178" s="3" t="s">
        <v>20</v>
      </c>
      <c r="F2178" s="3">
        <v>1998</v>
      </c>
      <c r="G2178" s="3" t="s">
        <v>12</v>
      </c>
      <c r="H2178" s="3" t="s">
        <v>17</v>
      </c>
      <c r="I2178" s="3" t="s">
        <v>142</v>
      </c>
      <c r="J2178" s="97" t="s">
        <v>3452</v>
      </c>
    </row>
    <row r="2179" spans="1:10" ht="28.9" customHeight="1" thickTop="1" thickBot="1" x14ac:dyDescent="0.65">
      <c r="A2179" s="5">
        <v>2177</v>
      </c>
      <c r="B2179" s="46" t="str">
        <f>HYPERLINK("https://search.naver.com/search.naver?query=에베레스트 영화", "에베레스트")</f>
        <v>에베레스트</v>
      </c>
      <c r="C2179" s="47">
        <v>7.81</v>
      </c>
      <c r="D2179" s="6" t="s">
        <v>2267</v>
      </c>
      <c r="E2179" s="5" t="s">
        <v>24</v>
      </c>
      <c r="F2179" s="5">
        <v>2015</v>
      </c>
      <c r="G2179" s="5" t="s">
        <v>12</v>
      </c>
      <c r="H2179" s="5" t="s">
        <v>92</v>
      </c>
      <c r="I2179" s="5" t="s">
        <v>142</v>
      </c>
      <c r="J2179" s="98" t="s">
        <v>3440</v>
      </c>
    </row>
    <row r="2180" spans="1:10" ht="28.9" customHeight="1" thickTop="1" thickBot="1" x14ac:dyDescent="0.65">
      <c r="A2180" s="3">
        <v>2178</v>
      </c>
      <c r="B2180" s="44" t="str">
        <f>HYPERLINK("https://search.naver.com/search.naver?query=에베레스트 신들의 봉우리 영화", "에베레스트 신들의 봉우리")</f>
        <v>에베레스트 신들의 봉우리</v>
      </c>
      <c r="C2180" s="45">
        <v>6.4</v>
      </c>
      <c r="D2180" s="4" t="s">
        <v>2268</v>
      </c>
      <c r="E2180" s="3" t="s">
        <v>16</v>
      </c>
      <c r="F2180" s="3">
        <v>2018</v>
      </c>
      <c r="G2180" s="3" t="s">
        <v>12</v>
      </c>
      <c r="H2180" s="3" t="s">
        <v>824</v>
      </c>
      <c r="I2180" s="3" t="s">
        <v>111</v>
      </c>
      <c r="J2180" s="97" t="s">
        <v>3442</v>
      </c>
    </row>
    <row r="2181" spans="1:10" ht="28.9" customHeight="1" thickTop="1" thickBot="1" x14ac:dyDescent="0.65">
      <c r="A2181" s="5">
        <v>2179</v>
      </c>
      <c r="B2181" s="46" t="str">
        <f>HYPERLINK("https://search.naver.com/search.naver?query=에스코바르 영화", "에스코바르")</f>
        <v>에스코바르</v>
      </c>
      <c r="C2181" s="47">
        <v>8.6300000000000008</v>
      </c>
      <c r="D2181" s="6" t="s">
        <v>2269</v>
      </c>
      <c r="E2181" s="5" t="s">
        <v>20</v>
      </c>
      <c r="F2181" s="5">
        <v>2017</v>
      </c>
      <c r="G2181" s="5" t="s">
        <v>12</v>
      </c>
      <c r="H2181" s="5" t="s">
        <v>277</v>
      </c>
      <c r="I2181" s="5" t="s">
        <v>58</v>
      </c>
      <c r="J2181" s="98" t="s">
        <v>3443</v>
      </c>
    </row>
    <row r="2182" spans="1:10" ht="28.9" customHeight="1" thickTop="1" thickBot="1" x14ac:dyDescent="0.65">
      <c r="A2182" s="3">
        <v>2180</v>
      </c>
      <c r="B2182" s="44" t="str">
        <f>HYPERLINK("https://search.naver.com/search.naver?query=에어 영화", "에어")</f>
        <v>에어</v>
      </c>
      <c r="C2182" s="45">
        <v>8.07</v>
      </c>
      <c r="D2182" s="4" t="s">
        <v>2270</v>
      </c>
      <c r="E2182" s="3" t="s">
        <v>20</v>
      </c>
      <c r="F2182" s="3">
        <v>2023</v>
      </c>
      <c r="G2182" s="3" t="s">
        <v>12</v>
      </c>
      <c r="H2182" s="3" t="s">
        <v>17</v>
      </c>
      <c r="I2182" s="3" t="s">
        <v>278</v>
      </c>
      <c r="J2182" s="97" t="s">
        <v>3446</v>
      </c>
    </row>
    <row r="2183" spans="1:10" ht="28.9" customHeight="1" thickTop="1" thickBot="1" x14ac:dyDescent="0.65">
      <c r="A2183" s="5">
        <v>2181</v>
      </c>
      <c r="B2183" s="46" t="str">
        <f>HYPERLINK("https://search.naver.com/search.naver?query=에이리언 커버넌트 영화", "에이리언 - 커버넌트")</f>
        <v>에이리언 - 커버넌트</v>
      </c>
      <c r="C2183" s="47">
        <v>8.19</v>
      </c>
      <c r="D2183" s="6" t="s">
        <v>2271</v>
      </c>
      <c r="E2183" s="5" t="s">
        <v>20</v>
      </c>
      <c r="F2183" s="5">
        <v>2017</v>
      </c>
      <c r="G2183" s="5" t="s">
        <v>12</v>
      </c>
      <c r="H2183" s="5" t="s">
        <v>252</v>
      </c>
      <c r="I2183" s="5" t="s">
        <v>105</v>
      </c>
      <c r="J2183" s="98" t="s">
        <v>3443</v>
      </c>
    </row>
    <row r="2184" spans="1:10" ht="28.9" customHeight="1" thickTop="1" thickBot="1" x14ac:dyDescent="0.65">
      <c r="A2184" s="3">
        <v>2182</v>
      </c>
      <c r="B2184" s="44" t="str">
        <f>HYPERLINK("https://search.naver.com/search.naver?query=에이바 영화", "에이바")</f>
        <v>에이바</v>
      </c>
      <c r="C2184" s="45">
        <v>7.54</v>
      </c>
      <c r="D2184" s="4" t="s">
        <v>2272</v>
      </c>
      <c r="E2184" s="3" t="s">
        <v>20</v>
      </c>
      <c r="F2184" s="3">
        <v>2020</v>
      </c>
      <c r="G2184" s="3" t="s">
        <v>12</v>
      </c>
      <c r="H2184" s="3" t="s">
        <v>92</v>
      </c>
      <c r="I2184" s="3" t="s">
        <v>61</v>
      </c>
      <c r="J2184" s="97" t="s">
        <v>3436</v>
      </c>
    </row>
    <row r="2185" spans="1:10" ht="28.9" customHeight="1" thickTop="1" thickBot="1" x14ac:dyDescent="0.65">
      <c r="A2185" s="5">
        <v>2183</v>
      </c>
      <c r="B2185" s="46" t="str">
        <f>HYPERLINK("https://search.naver.com/search.naver?query=에코 벨리 영화", "에코 벨리")</f>
        <v>에코 벨리</v>
      </c>
      <c r="C2185" s="47">
        <v>5.86</v>
      </c>
      <c r="D2185" s="6" t="s">
        <v>2273</v>
      </c>
      <c r="E2185" s="5" t="s">
        <v>20</v>
      </c>
      <c r="F2185" s="5">
        <v>2025</v>
      </c>
      <c r="G2185" s="5" t="s">
        <v>12</v>
      </c>
      <c r="H2185" s="5" t="s">
        <v>43</v>
      </c>
      <c r="I2185" s="5" t="s">
        <v>3492</v>
      </c>
      <c r="J2185" s="98" t="s">
        <v>3459</v>
      </c>
    </row>
    <row r="2186" spans="1:10" ht="28.9" customHeight="1" thickTop="1" thickBot="1" x14ac:dyDescent="0.65">
      <c r="A2186" s="7">
        <v>2184</v>
      </c>
      <c r="B2186" s="48" t="str">
        <f>HYPERLINK("https://search.naver.com/search.naver?query=에코3", "에코3")</f>
        <v>에코3</v>
      </c>
      <c r="C2186" s="49"/>
      <c r="D2186" s="8" t="s">
        <v>2274</v>
      </c>
      <c r="E2186" s="7" t="s">
        <v>20</v>
      </c>
      <c r="F2186" s="7">
        <v>2022</v>
      </c>
      <c r="G2186" s="7" t="s">
        <v>17</v>
      </c>
      <c r="H2186" s="7" t="s">
        <v>162</v>
      </c>
      <c r="I2186" s="7" t="s">
        <v>55</v>
      </c>
      <c r="J2186" s="99" t="s">
        <v>3445</v>
      </c>
    </row>
    <row r="2187" spans="1:10" ht="28.9" customHeight="1" thickTop="1" thickBot="1" x14ac:dyDescent="0.65">
      <c r="A2187" s="5">
        <v>2185</v>
      </c>
      <c r="B2187" s="46" t="str">
        <f>HYPERLINK("https://search.naver.com/search.naver?query=에펠 영화", "에펠")</f>
        <v>에펠</v>
      </c>
      <c r="C2187" s="47">
        <v>6.24</v>
      </c>
      <c r="D2187" s="6" t="s">
        <v>2275</v>
      </c>
      <c r="E2187" s="5" t="s">
        <v>210</v>
      </c>
      <c r="F2187" s="5">
        <v>2021</v>
      </c>
      <c r="G2187" s="5" t="s">
        <v>12</v>
      </c>
      <c r="H2187" s="5" t="s">
        <v>17</v>
      </c>
      <c r="I2187" s="5" t="s">
        <v>31</v>
      </c>
      <c r="J2187" s="98" t="s">
        <v>3438</v>
      </c>
    </row>
    <row r="2188" spans="1:10" ht="28.9" customHeight="1" thickTop="1" thickBot="1" x14ac:dyDescent="0.65">
      <c r="A2188" s="3">
        <v>2186</v>
      </c>
      <c r="B2188" s="44" t="str">
        <f>HYPERLINK("https://search.naver.com/search.naver?query=엑스페리먼트 영화", "엑스페리먼트")</f>
        <v>엑스페리먼트</v>
      </c>
      <c r="C2188" s="45">
        <v>6.31</v>
      </c>
      <c r="D2188" s="4" t="s">
        <v>2276</v>
      </c>
      <c r="E2188" s="3" t="s">
        <v>20</v>
      </c>
      <c r="F2188" s="3">
        <v>2010</v>
      </c>
      <c r="G2188" s="3" t="s">
        <v>12</v>
      </c>
      <c r="H2188" s="3" t="s">
        <v>43</v>
      </c>
      <c r="I2188" s="3" t="s">
        <v>61</v>
      </c>
      <c r="J2188" s="97" t="s">
        <v>3455</v>
      </c>
    </row>
    <row r="2189" spans="1:10" ht="28.9" customHeight="1" thickTop="1" thickBot="1" x14ac:dyDescent="0.65">
      <c r="A2189" s="5">
        <v>2187</v>
      </c>
      <c r="B2189" s="46" t="str">
        <f>HYPERLINK("https://search.naver.com/search.naver?query=엑시트", "엑시트")</f>
        <v>엑시트</v>
      </c>
      <c r="C2189" s="47">
        <v>8.99</v>
      </c>
      <c r="D2189" s="6" t="s">
        <v>2277</v>
      </c>
      <c r="E2189" s="5" t="s">
        <v>11</v>
      </c>
      <c r="F2189" s="5">
        <v>2019</v>
      </c>
      <c r="G2189" s="5" t="s">
        <v>12</v>
      </c>
      <c r="H2189" s="5" t="s">
        <v>92</v>
      </c>
      <c r="I2189" s="5" t="s">
        <v>190</v>
      </c>
      <c r="J2189" s="98" t="s">
        <v>3444</v>
      </c>
    </row>
    <row r="2190" spans="1:10" ht="28.9" customHeight="1" thickTop="1" thickBot="1" x14ac:dyDescent="0.65">
      <c r="A2190" s="3">
        <v>2188</v>
      </c>
      <c r="B2190" s="44" t="str">
        <f>HYPERLINK("https://search.naver.com/search.naver?query=엔더스 게임 영화", "엔더스 게임")</f>
        <v>엔더스 게임</v>
      </c>
      <c r="C2190" s="45">
        <v>7.19</v>
      </c>
      <c r="D2190" s="4" t="s">
        <v>2278</v>
      </c>
      <c r="E2190" s="3" t="s">
        <v>20</v>
      </c>
      <c r="F2190" s="3">
        <v>2013</v>
      </c>
      <c r="G2190" s="3" t="s">
        <v>12</v>
      </c>
      <c r="H2190" s="3" t="s">
        <v>520</v>
      </c>
      <c r="I2190" s="3" t="s">
        <v>207</v>
      </c>
      <c r="J2190" s="97" t="s">
        <v>3451</v>
      </c>
    </row>
    <row r="2191" spans="1:10" ht="28.9" customHeight="1" thickTop="1" thickBot="1" x14ac:dyDescent="0.65">
      <c r="A2191" s="5">
        <v>2189</v>
      </c>
      <c r="B2191" s="46" t="str">
        <f>HYPERLINK("https://search.naver.com/search.naver?query=엔드게임 나는 킬러다 영화", "엔드게임 나는 킬러다")</f>
        <v>엔드게임 나는 킬러다</v>
      </c>
      <c r="C2191" s="47">
        <v>8.1</v>
      </c>
      <c r="D2191" s="6" t="s">
        <v>2279</v>
      </c>
      <c r="E2191" s="5" t="s">
        <v>20</v>
      </c>
      <c r="F2191" s="5">
        <v>2022</v>
      </c>
      <c r="G2191" s="5" t="s">
        <v>12</v>
      </c>
      <c r="H2191" s="5" t="s">
        <v>160</v>
      </c>
      <c r="I2191" s="5" t="s">
        <v>111</v>
      </c>
      <c r="J2191" s="98" t="s">
        <v>3445</v>
      </c>
    </row>
    <row r="2192" spans="1:10" ht="28.9" customHeight="1" thickTop="1" thickBot="1" x14ac:dyDescent="0.65">
      <c r="A2192" s="3">
        <v>2190</v>
      </c>
      <c r="B2192" s="44" t="str">
        <f>HYPERLINK("https://search.naver.com/search.naver?query=엔들리스 러브 영화", "엔들리스 러브")</f>
        <v>엔들리스 러브</v>
      </c>
      <c r="C2192" s="45">
        <v>8.1300000000000008</v>
      </c>
      <c r="D2192" s="4" t="s">
        <v>2280</v>
      </c>
      <c r="E2192" s="3" t="s">
        <v>20</v>
      </c>
      <c r="F2192" s="3">
        <v>2014</v>
      </c>
      <c r="G2192" s="3" t="s">
        <v>12</v>
      </c>
      <c r="H2192" s="3" t="s">
        <v>121</v>
      </c>
      <c r="I2192" s="3" t="s">
        <v>170</v>
      </c>
      <c r="J2192" s="97" t="s">
        <v>3437</v>
      </c>
    </row>
    <row r="2193" spans="1:10" ht="28.9" customHeight="1" thickTop="1" thickBot="1" x14ac:dyDescent="0.65">
      <c r="A2193" s="5">
        <v>2191</v>
      </c>
      <c r="B2193" s="46" t="str">
        <f>HYPERLINK("https://search.naver.com/search.naver?query=엔젤 오브 마인 영화", "엔젤 오브 마인")</f>
        <v>엔젤 오브 마인</v>
      </c>
      <c r="C2193" s="47">
        <v>8.49</v>
      </c>
      <c r="D2193" s="6" t="s">
        <v>2281</v>
      </c>
      <c r="E2193" s="5" t="s">
        <v>36</v>
      </c>
      <c r="F2193" s="5">
        <v>2019</v>
      </c>
      <c r="G2193" s="5" t="s">
        <v>12</v>
      </c>
      <c r="H2193" s="5" t="s">
        <v>17</v>
      </c>
      <c r="I2193" s="5" t="s">
        <v>14</v>
      </c>
      <c r="J2193" s="98" t="s">
        <v>3444</v>
      </c>
    </row>
    <row r="2194" spans="1:10" ht="28.9" customHeight="1" thickTop="1" thickBot="1" x14ac:dyDescent="0.65">
      <c r="A2194" s="3">
        <v>2192</v>
      </c>
      <c r="B2194" s="44" t="str">
        <f>HYPERLINK("https://search.naver.com/search.naver?query=엔젤 해즈 폴른 영화", "엔젤 해즈 폴른")</f>
        <v>엔젤 해즈 폴른</v>
      </c>
      <c r="C2194" s="45">
        <v>8.92</v>
      </c>
      <c r="D2194" s="4" t="s">
        <v>2282</v>
      </c>
      <c r="E2194" s="3" t="s">
        <v>20</v>
      </c>
      <c r="F2194" s="3">
        <v>2019</v>
      </c>
      <c r="G2194" s="3" t="s">
        <v>12</v>
      </c>
      <c r="H2194" s="3" t="s">
        <v>92</v>
      </c>
      <c r="I2194" s="3" t="s">
        <v>142</v>
      </c>
      <c r="J2194" s="97" t="s">
        <v>3444</v>
      </c>
    </row>
    <row r="2195" spans="1:10" ht="28.9" customHeight="1" thickTop="1" thickBot="1" x14ac:dyDescent="0.65">
      <c r="A2195" s="5">
        <v>2193</v>
      </c>
      <c r="B2195" s="46" t="str">
        <f>HYPERLINK("https://search.naver.com/search.naver?query=엔터 노웨어 영화", "엔터 노웨어")</f>
        <v>엔터 노웨어</v>
      </c>
      <c r="C2195" s="47">
        <v>6.4</v>
      </c>
      <c r="D2195" s="6" t="s">
        <v>2283</v>
      </c>
      <c r="E2195" s="5" t="s">
        <v>20</v>
      </c>
      <c r="F2195" s="5">
        <v>2011</v>
      </c>
      <c r="G2195" s="5" t="s">
        <v>12</v>
      </c>
      <c r="H2195" s="5" t="s">
        <v>43</v>
      </c>
      <c r="I2195" s="5" t="s">
        <v>115</v>
      </c>
      <c r="J2195" s="98" t="s">
        <v>3454</v>
      </c>
    </row>
    <row r="2196" spans="1:10" ht="28.9" customHeight="1" thickTop="1" thickBot="1" x14ac:dyDescent="0.65">
      <c r="A2196" s="3">
        <v>2194</v>
      </c>
      <c r="B2196" s="44" t="str">
        <f>HYPERLINK("https://search.naver.com/search.naver?query=엘 시크레토 비밀의 눈동자 영화", "엘 시크레토 - 비밀의 눈동자")</f>
        <v>엘 시크레토 - 비밀의 눈동자</v>
      </c>
      <c r="C2196" s="45">
        <v>8.7200000000000006</v>
      </c>
      <c r="D2196" s="4" t="s">
        <v>2284</v>
      </c>
      <c r="E2196" s="3" t="s">
        <v>2285</v>
      </c>
      <c r="F2196" s="3">
        <v>2009</v>
      </c>
      <c r="G2196" s="3" t="s">
        <v>12</v>
      </c>
      <c r="H2196" s="3" t="s">
        <v>277</v>
      </c>
      <c r="I2196" s="3" t="s">
        <v>64</v>
      </c>
      <c r="J2196" s="97" t="s">
        <v>3453</v>
      </c>
    </row>
    <row r="2197" spans="1:10" ht="28.9" customHeight="1" thickTop="1" thickBot="1" x14ac:dyDescent="0.65">
      <c r="A2197" s="5">
        <v>2195</v>
      </c>
      <c r="B2197" s="46" t="str">
        <f>HYPERLINK("https://search.naver.com/search.naver?query=엘라의 계곡 영화", "엘라의 계곡")</f>
        <v>엘라의 계곡</v>
      </c>
      <c r="C2197" s="47">
        <v>8.3800000000000008</v>
      </c>
      <c r="D2197" s="6" t="s">
        <v>2286</v>
      </c>
      <c r="E2197" s="5" t="s">
        <v>20</v>
      </c>
      <c r="F2197" s="5">
        <v>2007</v>
      </c>
      <c r="G2197" s="5" t="s">
        <v>12</v>
      </c>
      <c r="H2197" s="5" t="s">
        <v>277</v>
      </c>
      <c r="I2197" s="5" t="s">
        <v>142</v>
      </c>
      <c r="J2197" s="98" t="s">
        <v>3447</v>
      </c>
    </row>
    <row r="2198" spans="1:10" ht="28.9" customHeight="1" thickTop="1" thickBot="1" x14ac:dyDescent="0.65">
      <c r="A2198" s="3">
        <v>2196</v>
      </c>
      <c r="B2198" s="44" t="str">
        <f>HYPERLINK("https://search.naver.com/search.naver?query=엘레지 영화", "엘레지")</f>
        <v>엘레지</v>
      </c>
      <c r="C2198" s="45">
        <v>7.71</v>
      </c>
      <c r="D2198" s="4" t="s">
        <v>2287</v>
      </c>
      <c r="E2198" s="3" t="s">
        <v>20</v>
      </c>
      <c r="F2198" s="3">
        <v>2008</v>
      </c>
      <c r="G2198" s="3" t="s">
        <v>12</v>
      </c>
      <c r="H2198" s="3" t="s">
        <v>17</v>
      </c>
      <c r="I2198" s="3" t="s">
        <v>278</v>
      </c>
      <c r="J2198" s="97" t="s">
        <v>3450</v>
      </c>
    </row>
    <row r="2199" spans="1:10" ht="28.9" customHeight="1" thickTop="1" thickBot="1" x14ac:dyDescent="0.65">
      <c r="A2199" s="5">
        <v>2197</v>
      </c>
      <c r="B2199" s="46" t="str">
        <f>HYPERLINK("https://search.naver.com/search.naver?query=엘로이즈 영화", "엘로이즈")</f>
        <v>엘로이즈</v>
      </c>
      <c r="C2199" s="47">
        <v>7</v>
      </c>
      <c r="D2199" s="6" t="s">
        <v>2288</v>
      </c>
      <c r="E2199" s="5" t="s">
        <v>20</v>
      </c>
      <c r="F2199" s="5">
        <v>2017</v>
      </c>
      <c r="G2199" s="5" t="s">
        <v>12</v>
      </c>
      <c r="H2199" s="5" t="s">
        <v>252</v>
      </c>
      <c r="I2199" s="5" t="s">
        <v>147</v>
      </c>
      <c r="J2199" s="98" t="s">
        <v>3443</v>
      </c>
    </row>
    <row r="2200" spans="1:10" ht="28.9" customHeight="1" thickTop="1" thickBot="1" x14ac:dyDescent="0.65">
      <c r="A2200" s="3">
        <v>2198</v>
      </c>
      <c r="B2200" s="44" t="str">
        <f>HYPERLINK("https://search.naver.com/search.naver?query=엘르 영화", "엘르")</f>
        <v>엘르</v>
      </c>
      <c r="C2200" s="45">
        <v>8.36</v>
      </c>
      <c r="D2200" s="4" t="s">
        <v>2289</v>
      </c>
      <c r="E2200" s="3" t="s">
        <v>210</v>
      </c>
      <c r="F2200" s="3">
        <v>2016</v>
      </c>
      <c r="G2200" s="3" t="s">
        <v>12</v>
      </c>
      <c r="H2200" s="3" t="s">
        <v>17</v>
      </c>
      <c r="I2200" s="3" t="s">
        <v>34</v>
      </c>
      <c r="J2200" s="97" t="s">
        <v>3441</v>
      </c>
    </row>
    <row r="2201" spans="1:10" ht="28.9" customHeight="1" thickTop="1" thickBot="1" x14ac:dyDescent="0.65">
      <c r="A2201" s="5">
        <v>2199</v>
      </c>
      <c r="B2201" s="46" t="str">
        <f>HYPERLINK("https://search.naver.com/search.naver?query=엘르 영화", "엘르")</f>
        <v>엘르</v>
      </c>
      <c r="C2201" s="47">
        <v>8.36</v>
      </c>
      <c r="D2201" s="6" t="s">
        <v>2289</v>
      </c>
      <c r="E2201" s="5" t="s">
        <v>210</v>
      </c>
      <c r="F2201" s="5">
        <v>2016</v>
      </c>
      <c r="G2201" s="5" t="s">
        <v>12</v>
      </c>
      <c r="H2201" s="5" t="s">
        <v>17</v>
      </c>
      <c r="I2201" s="5" t="s">
        <v>34</v>
      </c>
      <c r="J2201" s="98" t="s">
        <v>3441</v>
      </c>
    </row>
    <row r="2202" spans="1:10" ht="28.9" customHeight="1" thickTop="1" thickBot="1" x14ac:dyDescent="0.65">
      <c r="A2202" s="7">
        <v>2200</v>
      </c>
      <c r="B2202" s="48" t="str">
        <f>HYPERLINK("https://search.naver.com/search.naver?query=엘리멘트리 시즌1", "엘리멘트리 시즌1")</f>
        <v>엘리멘트리 시즌1</v>
      </c>
      <c r="C2202" s="49"/>
      <c r="D2202" s="8" t="s">
        <v>2290</v>
      </c>
      <c r="E2202" s="7" t="s">
        <v>20</v>
      </c>
      <c r="F2202" s="7">
        <v>2012</v>
      </c>
      <c r="G2202" s="7" t="s">
        <v>17</v>
      </c>
      <c r="H2202" s="7" t="s">
        <v>85</v>
      </c>
      <c r="I2202" s="7" t="s">
        <v>2291</v>
      </c>
      <c r="J2202" s="99" t="s">
        <v>3439</v>
      </c>
    </row>
    <row r="2203" spans="1:10" ht="28.9" customHeight="1" thickTop="1" thickBot="1" x14ac:dyDescent="0.65">
      <c r="A2203" s="7">
        <v>2201</v>
      </c>
      <c r="B2203" s="48" t="str">
        <f>HYPERLINK("https://search.naver.com/search.naver?query=엘리멘트리 시즌2", "엘리멘트리 시즌2")</f>
        <v>엘리멘트리 시즌2</v>
      </c>
      <c r="C2203" s="49"/>
      <c r="D2203" s="8" t="s">
        <v>2290</v>
      </c>
      <c r="E2203" s="7" t="s">
        <v>20</v>
      </c>
      <c r="F2203" s="7">
        <v>2013</v>
      </c>
      <c r="G2203" s="7" t="s">
        <v>17</v>
      </c>
      <c r="H2203" s="7" t="s">
        <v>85</v>
      </c>
      <c r="I2203" s="7" t="s">
        <v>2291</v>
      </c>
      <c r="J2203" s="99" t="s">
        <v>3451</v>
      </c>
    </row>
    <row r="2204" spans="1:10" ht="28.9" customHeight="1" thickTop="1" thickBot="1" x14ac:dyDescent="0.65">
      <c r="A2204" s="7">
        <v>2202</v>
      </c>
      <c r="B2204" s="48" t="str">
        <f>HYPERLINK("https://search.naver.com/search.naver?query=엘리멘트리 시즌3", "엘리멘트리 시즌3")</f>
        <v>엘리멘트리 시즌3</v>
      </c>
      <c r="C2204" s="49"/>
      <c r="D2204" s="8" t="s">
        <v>2290</v>
      </c>
      <c r="E2204" s="7" t="s">
        <v>20</v>
      </c>
      <c r="F2204" s="7">
        <v>2014</v>
      </c>
      <c r="G2204" s="7" t="s">
        <v>17</v>
      </c>
      <c r="H2204" s="7" t="s">
        <v>85</v>
      </c>
      <c r="I2204" s="7" t="s">
        <v>2291</v>
      </c>
      <c r="J2204" s="99" t="s">
        <v>3437</v>
      </c>
    </row>
    <row r="2205" spans="1:10" ht="28.9" customHeight="1" thickTop="1" thickBot="1" x14ac:dyDescent="0.65">
      <c r="A2205" s="7">
        <v>2203</v>
      </c>
      <c r="B2205" s="48" t="str">
        <f>HYPERLINK("https://search.naver.com/search.naver?query=엘리멘트리 시즌4", "엘리멘트리 시즌4")</f>
        <v>엘리멘트리 시즌4</v>
      </c>
      <c r="C2205" s="49"/>
      <c r="D2205" s="8" t="s">
        <v>2290</v>
      </c>
      <c r="E2205" s="7" t="s">
        <v>20</v>
      </c>
      <c r="F2205" s="7">
        <v>2015</v>
      </c>
      <c r="G2205" s="7" t="s">
        <v>17</v>
      </c>
      <c r="H2205" s="7" t="s">
        <v>85</v>
      </c>
      <c r="I2205" s="7" t="s">
        <v>2291</v>
      </c>
      <c r="J2205" s="99" t="s">
        <v>3440</v>
      </c>
    </row>
    <row r="2206" spans="1:10" ht="28.9" customHeight="1" thickTop="1" thickBot="1" x14ac:dyDescent="0.65">
      <c r="A2206" s="7">
        <v>2204</v>
      </c>
      <c r="B2206" s="48" t="str">
        <f>HYPERLINK("https://search.naver.com/search.naver?query=엘리멘트리 시즌5", "엘리멘트리 시즌5")</f>
        <v>엘리멘트리 시즌5</v>
      </c>
      <c r="C2206" s="49"/>
      <c r="D2206" s="8" t="s">
        <v>2290</v>
      </c>
      <c r="E2206" s="7" t="s">
        <v>20</v>
      </c>
      <c r="F2206" s="7">
        <v>2016</v>
      </c>
      <c r="G2206" s="7" t="s">
        <v>17</v>
      </c>
      <c r="H2206" s="7" t="s">
        <v>85</v>
      </c>
      <c r="I2206" s="7" t="s">
        <v>2291</v>
      </c>
      <c r="J2206" s="99" t="s">
        <v>3441</v>
      </c>
    </row>
    <row r="2207" spans="1:10" ht="28.9" customHeight="1" thickTop="1" thickBot="1" x14ac:dyDescent="0.65">
      <c r="A2207" s="7">
        <v>2205</v>
      </c>
      <c r="B2207" s="48" t="str">
        <f>HYPERLINK("https://search.naver.com/search.naver?query=엘리멘트리 시즌6", "엘리멘트리 시즌6")</f>
        <v>엘리멘트리 시즌6</v>
      </c>
      <c r="C2207" s="49"/>
      <c r="D2207" s="8" t="s">
        <v>2290</v>
      </c>
      <c r="E2207" s="7" t="s">
        <v>20</v>
      </c>
      <c r="F2207" s="7">
        <v>2018</v>
      </c>
      <c r="G2207" s="7" t="s">
        <v>17</v>
      </c>
      <c r="H2207" s="7" t="s">
        <v>85</v>
      </c>
      <c r="I2207" s="7" t="s">
        <v>1619</v>
      </c>
      <c r="J2207" s="99" t="s">
        <v>3442</v>
      </c>
    </row>
    <row r="2208" spans="1:10" ht="28.9" customHeight="1" thickTop="1" thickBot="1" x14ac:dyDescent="0.65">
      <c r="A2208" s="7">
        <v>2206</v>
      </c>
      <c r="B2208" s="48" t="str">
        <f>HYPERLINK("https://search.naver.com/search.naver?query=엘리멘트리 시즌7", "엘리멘트리 시즌7")</f>
        <v>엘리멘트리 시즌7</v>
      </c>
      <c r="C2208" s="49"/>
      <c r="D2208" s="8" t="s">
        <v>2290</v>
      </c>
      <c r="E2208" s="7" t="s">
        <v>20</v>
      </c>
      <c r="F2208" s="7">
        <v>2019</v>
      </c>
      <c r="G2208" s="7" t="s">
        <v>17</v>
      </c>
      <c r="H2208" s="7" t="s">
        <v>85</v>
      </c>
      <c r="I2208" s="7" t="s">
        <v>645</v>
      </c>
      <c r="J2208" s="99" t="s">
        <v>3444</v>
      </c>
    </row>
    <row r="2209" spans="1:10" ht="28.9" customHeight="1" thickTop="1" thickBot="1" x14ac:dyDescent="0.65">
      <c r="A2209" s="5">
        <v>2207</v>
      </c>
      <c r="B2209" s="46" t="str">
        <f>HYPERLINK("https://search.naver.com/search.naver?query=엘리스 영화", "엘리스")</f>
        <v>엘리스</v>
      </c>
      <c r="C2209" s="47">
        <v>2.5</v>
      </c>
      <c r="D2209" s="6" t="s">
        <v>2292</v>
      </c>
      <c r="E2209" s="5" t="s">
        <v>20</v>
      </c>
      <c r="F2209" s="5">
        <v>2020</v>
      </c>
      <c r="G2209" s="5" t="s">
        <v>12</v>
      </c>
      <c r="H2209" s="5" t="s">
        <v>17</v>
      </c>
      <c r="I2209" s="5" t="s">
        <v>111</v>
      </c>
      <c r="J2209" s="98" t="s">
        <v>3436</v>
      </c>
    </row>
    <row r="2210" spans="1:10" ht="28.9" customHeight="1" thickTop="1" thickBot="1" x14ac:dyDescent="0.65">
      <c r="A2210" s="3">
        <v>2208</v>
      </c>
      <c r="B2210" s="44" t="str">
        <f>HYPERLINK("https://search.naver.com/search.naver?query=엘리시움 영화", "엘리시움")</f>
        <v>엘리시움</v>
      </c>
      <c r="C2210" s="45">
        <v>7.24</v>
      </c>
      <c r="D2210" s="4" t="s">
        <v>2293</v>
      </c>
      <c r="E2210" s="3" t="s">
        <v>20</v>
      </c>
      <c r="F2210" s="3">
        <v>2013</v>
      </c>
      <c r="G2210" s="3" t="s">
        <v>12</v>
      </c>
      <c r="H2210" s="3" t="s">
        <v>520</v>
      </c>
      <c r="I2210" s="3" t="s">
        <v>137</v>
      </c>
      <c r="J2210" s="97" t="s">
        <v>3451</v>
      </c>
    </row>
    <row r="2211" spans="1:10" ht="28.9" customHeight="1" thickTop="1" thickBot="1" x14ac:dyDescent="0.65">
      <c r="A2211" s="5">
        <v>2209</v>
      </c>
      <c r="B2211" s="46" t="str">
        <f>HYPERLINK("https://search.naver.com/search.naver?query=엘리자의 내일 영화", "엘리자의 내일")</f>
        <v>엘리자의 내일</v>
      </c>
      <c r="C2211" s="47">
        <v>8.33</v>
      </c>
      <c r="D2211" s="6" t="s">
        <v>2294</v>
      </c>
      <c r="E2211" s="5" t="s">
        <v>2295</v>
      </c>
      <c r="F2211" s="5">
        <v>2017</v>
      </c>
      <c r="G2211" s="5" t="s">
        <v>12</v>
      </c>
      <c r="H2211" s="5" t="s">
        <v>17</v>
      </c>
      <c r="I2211" s="5" t="s">
        <v>150</v>
      </c>
      <c r="J2211" s="98" t="s">
        <v>3443</v>
      </c>
    </row>
    <row r="2212" spans="1:10" ht="28.9" customHeight="1" thickTop="1" thickBot="1" x14ac:dyDescent="0.65">
      <c r="A2212" s="3">
        <v>2210</v>
      </c>
      <c r="B2212" s="44" t="str">
        <f>HYPERLINK("https://search.naver.com/search.naver?query=엘비스 영화", "엘비스")</f>
        <v>엘비스</v>
      </c>
      <c r="C2212" s="45">
        <v>8.74</v>
      </c>
      <c r="D2212" s="4" t="s">
        <v>2296</v>
      </c>
      <c r="E2212" s="3" t="s">
        <v>20</v>
      </c>
      <c r="F2212" s="3">
        <v>2022</v>
      </c>
      <c r="G2212" s="3" t="s">
        <v>12</v>
      </c>
      <c r="H2212" s="3" t="s">
        <v>17</v>
      </c>
      <c r="I2212" s="3" t="s">
        <v>2126</v>
      </c>
      <c r="J2212" s="97" t="s">
        <v>3445</v>
      </c>
    </row>
    <row r="2213" spans="1:10" ht="28.9" customHeight="1" thickTop="1" thickBot="1" x14ac:dyDescent="0.65">
      <c r="A2213" s="7">
        <v>2211</v>
      </c>
      <c r="B2213" s="48" t="str">
        <f>HYPERLINK("https://search.naver.com/search.naver?query=엘피스-희망, 혹은 재앙 드라마", "엘피스-희망, 혹은 재앙")</f>
        <v>엘피스-희망, 혹은 재앙</v>
      </c>
      <c r="C2213" s="49"/>
      <c r="D2213" s="8" t="s">
        <v>2297</v>
      </c>
      <c r="E2213" s="7" t="s">
        <v>16</v>
      </c>
      <c r="F2213" s="7">
        <v>2022</v>
      </c>
      <c r="G2213" s="7" t="s">
        <v>17</v>
      </c>
      <c r="H2213" s="7" t="s">
        <v>17</v>
      </c>
      <c r="I2213" s="7" t="s">
        <v>50</v>
      </c>
      <c r="J2213" s="99" t="s">
        <v>3445</v>
      </c>
    </row>
    <row r="2214" spans="1:10" ht="28.9" customHeight="1" thickTop="1" thickBot="1" x14ac:dyDescent="0.65">
      <c r="A2214" s="3">
        <v>2212</v>
      </c>
      <c r="B2214" s="44" t="str">
        <f>HYPERLINK("https://search.naver.com/search.naver?query=엣지 오브 투모로우 영화", "엣지 오브 투모로우")</f>
        <v>엣지 오브 투모로우</v>
      </c>
      <c r="C2214" s="45">
        <v>8.74</v>
      </c>
      <c r="D2214" s="4" t="s">
        <v>2298</v>
      </c>
      <c r="E2214" s="3" t="s">
        <v>20</v>
      </c>
      <c r="F2214" s="3">
        <v>2014</v>
      </c>
      <c r="G2214" s="3" t="s">
        <v>12</v>
      </c>
      <c r="H2214" s="3" t="s">
        <v>520</v>
      </c>
      <c r="I2214" s="3" t="s">
        <v>73</v>
      </c>
      <c r="J2214" s="97" t="s">
        <v>3437</v>
      </c>
    </row>
    <row r="2215" spans="1:10" ht="28.9" customHeight="1" thickTop="1" thickBot="1" x14ac:dyDescent="0.65">
      <c r="A2215" s="5">
        <v>2213</v>
      </c>
      <c r="B2215" s="46" t="str">
        <f>HYPERLINK("https://chulinbone.tistory.com/5358", "여기에 고요한 노을이")</f>
        <v>여기에 고요한 노을이</v>
      </c>
      <c r="C2215" s="47"/>
      <c r="D2215" s="6" t="s">
        <v>2299</v>
      </c>
      <c r="E2215" s="5" t="s">
        <v>57</v>
      </c>
      <c r="F2215" s="5">
        <v>2015</v>
      </c>
      <c r="G2215" s="5" t="s">
        <v>12</v>
      </c>
      <c r="H2215" s="5" t="s">
        <v>721</v>
      </c>
      <c r="I2215" s="5" t="s">
        <v>53</v>
      </c>
      <c r="J2215" s="98" t="s">
        <v>3440</v>
      </c>
    </row>
    <row r="2216" spans="1:10" ht="28.9" customHeight="1" thickTop="1" thickBot="1" x14ac:dyDescent="0.65">
      <c r="A2216" s="3">
        <v>2214</v>
      </c>
      <c r="B2216" s="44" t="str">
        <f>HYPERLINK("https://search.naver.com/search.naver?query=여름의 끝 영화", "여름의 끝")</f>
        <v>여름의 끝</v>
      </c>
      <c r="C2216" s="45"/>
      <c r="D2216" s="4" t="s">
        <v>2300</v>
      </c>
      <c r="E2216" s="3" t="s">
        <v>16</v>
      </c>
      <c r="F2216" s="3">
        <v>2017</v>
      </c>
      <c r="G2216" s="3" t="s">
        <v>12</v>
      </c>
      <c r="H2216" s="3" t="s">
        <v>17</v>
      </c>
      <c r="I2216" s="3" t="s">
        <v>207</v>
      </c>
      <c r="J2216" s="97" t="s">
        <v>3443</v>
      </c>
    </row>
    <row r="2217" spans="1:10" ht="28.9" customHeight="1" thickTop="1" thickBot="1" x14ac:dyDescent="0.65">
      <c r="A2217" s="3">
        <v>2215</v>
      </c>
      <c r="B2217" s="44" t="str">
        <f>HYPERLINK("https://www.themoviedb.org/movie/1446033?language=ko-KR?query=여름의 모래 위 영화", "여름의 모래 위")</f>
        <v>여름의 모래 위</v>
      </c>
      <c r="C2217" s="45"/>
      <c r="D2217" s="4" t="s">
        <v>2301</v>
      </c>
      <c r="E2217" s="3" t="s">
        <v>16</v>
      </c>
      <c r="F2217" s="3">
        <v>2025</v>
      </c>
      <c r="G2217" s="3" t="s">
        <v>12</v>
      </c>
      <c r="H2217" s="3" t="s">
        <v>17</v>
      </c>
      <c r="I2217" s="3" t="s">
        <v>99</v>
      </c>
      <c r="J2217" s="97">
        <v>46099</v>
      </c>
    </row>
    <row r="2218" spans="1:10" ht="28.9" customHeight="1" thickTop="1" thickBot="1" x14ac:dyDescent="0.65">
      <c r="A2218" s="5">
        <v>2216</v>
      </c>
      <c r="B2218" s="46" t="str">
        <f>HYPERLINK("https://search.naver.com/search.naver?query=여름이 끝날 무렵의 라트라비아타 영화", "여름이 끝날 무렵의 라트라비아타")</f>
        <v>여름이 끝날 무렵의 라트라비아타</v>
      </c>
      <c r="C2218" s="47">
        <v>8.17</v>
      </c>
      <c r="D2218" s="6" t="s">
        <v>2302</v>
      </c>
      <c r="E2218" s="5" t="s">
        <v>16</v>
      </c>
      <c r="F2218" s="5">
        <v>2024</v>
      </c>
      <c r="G2218" s="5" t="s">
        <v>12</v>
      </c>
      <c r="H2218" s="5" t="s">
        <v>17</v>
      </c>
      <c r="I2218" s="5" t="s">
        <v>96</v>
      </c>
      <c r="J2218" s="98" t="s">
        <v>3448</v>
      </c>
    </row>
    <row r="2219" spans="1:10" ht="28.9" customHeight="1" thickTop="1" thickBot="1" x14ac:dyDescent="0.65">
      <c r="A2219" s="3">
        <v>2217</v>
      </c>
      <c r="B2219" s="44" t="str">
        <f>HYPERLINK("https://search.naver.com/search.naver?query=여행자 영화", "여행자")</f>
        <v>여행자</v>
      </c>
      <c r="C2219" s="45">
        <v>8.94</v>
      </c>
      <c r="D2219" s="4" t="s">
        <v>2303</v>
      </c>
      <c r="E2219" s="3" t="s">
        <v>11</v>
      </c>
      <c r="F2219" s="3">
        <v>2009</v>
      </c>
      <c r="G2219" s="3" t="s">
        <v>12</v>
      </c>
      <c r="H2219" s="3" t="s">
        <v>17</v>
      </c>
      <c r="I2219" s="3" t="s">
        <v>111</v>
      </c>
      <c r="J2219" s="97" t="s">
        <v>3453</v>
      </c>
    </row>
    <row r="2220" spans="1:10" ht="28.9" customHeight="1" thickTop="1" thickBot="1" x14ac:dyDescent="0.65">
      <c r="A2220" s="5">
        <v>2218</v>
      </c>
      <c r="B2220" s="46" t="str">
        <f>HYPERLINK("https://search.naver.com/search.naver?query=역린 영화", "역린")</f>
        <v>역린</v>
      </c>
      <c r="C2220" s="47">
        <v>7.43</v>
      </c>
      <c r="D2220" s="6" t="s">
        <v>2304</v>
      </c>
      <c r="E2220" s="5" t="s">
        <v>11</v>
      </c>
      <c r="F2220" s="5">
        <v>2014</v>
      </c>
      <c r="G2220" s="5" t="s">
        <v>12</v>
      </c>
      <c r="H2220" s="5" t="s">
        <v>873</v>
      </c>
      <c r="I2220" s="5" t="s">
        <v>41</v>
      </c>
      <c r="J2220" s="98" t="s">
        <v>3437</v>
      </c>
    </row>
    <row r="2221" spans="1:10" ht="28.9" customHeight="1" thickTop="1" thickBot="1" x14ac:dyDescent="0.65">
      <c r="A2221" s="3">
        <v>2219</v>
      </c>
      <c r="B2221" s="44" t="str">
        <f>HYPERLINK("https://search.naver.com/search.naver?query=역모 반란의 시대 영화", "역모 - 반란의 시대")</f>
        <v>역모 - 반란의 시대</v>
      </c>
      <c r="C2221" s="45">
        <v>6.67</v>
      </c>
      <c r="D2221" s="4" t="s">
        <v>2305</v>
      </c>
      <c r="E2221" s="3" t="s">
        <v>11</v>
      </c>
      <c r="F2221" s="3">
        <v>2016</v>
      </c>
      <c r="G2221" s="3" t="s">
        <v>12</v>
      </c>
      <c r="H2221" s="3" t="s">
        <v>873</v>
      </c>
      <c r="I2221" s="3" t="s">
        <v>111</v>
      </c>
      <c r="J2221" s="97" t="s">
        <v>3441</v>
      </c>
    </row>
    <row r="2222" spans="1:10" ht="28.9" customHeight="1" thickTop="1" thickBot="1" x14ac:dyDescent="0.65">
      <c r="A2222" s="5">
        <v>2220</v>
      </c>
      <c r="B2222" s="46" t="str">
        <f>HYPERLINK("https://search.naver.com/search.naver?query=역으로 가는 길을 알려줘 영화", "역으로 가는 길을 알려줘")</f>
        <v>역으로 가는 길을 알려줘</v>
      </c>
      <c r="C2222" s="47">
        <v>7.7</v>
      </c>
      <c r="D2222" s="6" t="s">
        <v>2306</v>
      </c>
      <c r="E2222" s="5" t="s">
        <v>16</v>
      </c>
      <c r="F2222" s="5">
        <v>2019</v>
      </c>
      <c r="G2222" s="5" t="s">
        <v>12</v>
      </c>
      <c r="H2222" s="5" t="s">
        <v>17</v>
      </c>
      <c r="I2222" s="5" t="s">
        <v>111</v>
      </c>
      <c r="J2222" s="98" t="s">
        <v>3444</v>
      </c>
    </row>
    <row r="2223" spans="1:10" ht="28.9" customHeight="1" thickTop="1" thickBot="1" x14ac:dyDescent="0.65">
      <c r="A2223" s="3">
        <v>2221</v>
      </c>
      <c r="B2223" s="44" t="str">
        <f>HYPERLINK("https://search.naver.com/search.naver?query=연애 빠진 로맨스 영화", "연애 빠진 로맨스")</f>
        <v>연애 빠진 로맨스</v>
      </c>
      <c r="C2223" s="45">
        <v>7.92</v>
      </c>
      <c r="D2223" s="4" t="s">
        <v>2307</v>
      </c>
      <c r="E2223" s="3" t="s">
        <v>11</v>
      </c>
      <c r="F2223" s="3">
        <v>2021</v>
      </c>
      <c r="G2223" s="3" t="s">
        <v>12</v>
      </c>
      <c r="H2223" s="3" t="s">
        <v>121</v>
      </c>
      <c r="I2223" s="3" t="s">
        <v>111</v>
      </c>
      <c r="J2223" s="97" t="s">
        <v>3438</v>
      </c>
    </row>
    <row r="2224" spans="1:10" ht="28.9" customHeight="1" thickTop="1" thickBot="1" x14ac:dyDescent="0.65">
      <c r="A2224" s="5">
        <v>2222</v>
      </c>
      <c r="B2224" s="46" t="str">
        <f>HYPERLINK("https://search.naver.com/search.naver?query=연애, 그 참을 수 없는 가벼움 영화", "연애, 그 참을 수 없는 가벼움")</f>
        <v>연애, 그 참을 수 없는 가벼움</v>
      </c>
      <c r="C2224" s="47">
        <v>8.26</v>
      </c>
      <c r="D2224" s="6" t="s">
        <v>2308</v>
      </c>
      <c r="E2224" s="5" t="s">
        <v>11</v>
      </c>
      <c r="F2224" s="5">
        <v>2006</v>
      </c>
      <c r="G2224" s="5" t="s">
        <v>12</v>
      </c>
      <c r="H2224" s="5" t="s">
        <v>121</v>
      </c>
      <c r="I2224" s="5" t="s">
        <v>111</v>
      </c>
      <c r="J2224" s="98" t="s">
        <v>3460</v>
      </c>
    </row>
    <row r="2225" spans="1:10" ht="28.9" customHeight="1" thickTop="1" thickBot="1" x14ac:dyDescent="0.65">
      <c r="A2225" s="3">
        <v>2223</v>
      </c>
      <c r="B2225" s="44" t="str">
        <f>HYPERLINK("https://search.naver.com/search.naver?query=연의 황후 영화", "연의 황후")</f>
        <v>연의 황후</v>
      </c>
      <c r="C2225" s="45">
        <v>6.36</v>
      </c>
      <c r="D2225" s="4" t="s">
        <v>2309</v>
      </c>
      <c r="E2225" s="3" t="s">
        <v>91</v>
      </c>
      <c r="F2225" s="3">
        <v>2008</v>
      </c>
      <c r="G2225" s="3" t="s">
        <v>12</v>
      </c>
      <c r="H2225" s="3" t="s">
        <v>873</v>
      </c>
      <c r="I2225" s="3" t="s">
        <v>300</v>
      </c>
      <c r="J2225" s="97" t="s">
        <v>3450</v>
      </c>
    </row>
    <row r="2226" spans="1:10" ht="28.9" customHeight="1" thickTop="1" thickBot="1" x14ac:dyDescent="0.65">
      <c r="A2226" s="5">
        <v>2224</v>
      </c>
      <c r="B2226" s="46" t="str">
        <f>HYPERLINK("https://search.naver.com/search.naver?query=연인들 영화", "연인들")</f>
        <v>연인들</v>
      </c>
      <c r="C2226" s="47">
        <v>6.83</v>
      </c>
      <c r="D2226" s="6" t="s">
        <v>2310</v>
      </c>
      <c r="E2226" s="5" t="s">
        <v>101</v>
      </c>
      <c r="F2226" s="5">
        <v>2014</v>
      </c>
      <c r="G2226" s="5" t="s">
        <v>12</v>
      </c>
      <c r="H2226" s="5" t="s">
        <v>17</v>
      </c>
      <c r="I2226" s="5" t="s">
        <v>305</v>
      </c>
      <c r="J2226" s="98" t="s">
        <v>3437</v>
      </c>
    </row>
    <row r="2227" spans="1:10" ht="28.9" customHeight="1" thickTop="1" thickBot="1" x14ac:dyDescent="0.65">
      <c r="A2227" s="3">
        <v>2225</v>
      </c>
      <c r="B2227" s="44" t="str">
        <f>HYPERLINK("https://search.naver.com/search.naver?query=연평해전 영화", "연평해전")</f>
        <v>연평해전</v>
      </c>
      <c r="C2227" s="45">
        <v>9.14</v>
      </c>
      <c r="D2227" s="4" t="s">
        <v>2311</v>
      </c>
      <c r="E2227" s="3" t="s">
        <v>11</v>
      </c>
      <c r="F2227" s="3">
        <v>2015</v>
      </c>
      <c r="G2227" s="3" t="s">
        <v>12</v>
      </c>
      <c r="H2227" s="3" t="s">
        <v>721</v>
      </c>
      <c r="I2227" s="3" t="s">
        <v>34</v>
      </c>
      <c r="J2227" s="97" t="s">
        <v>3440</v>
      </c>
    </row>
    <row r="2228" spans="1:10" ht="28.9" customHeight="1" thickTop="1" thickBot="1" x14ac:dyDescent="0.65">
      <c r="A2228" s="5">
        <v>2226</v>
      </c>
      <c r="B2228" s="46" t="str">
        <f>HYPERLINK("https://search.naver.com/search.naver?query=열두 달 흙을 먹다 영화", "열두 달 흙을 먹다")</f>
        <v>열두 달 흙을 먹다</v>
      </c>
      <c r="C2228" s="47">
        <v>6.4</v>
      </c>
      <c r="D2228" s="6" t="s">
        <v>2312</v>
      </c>
      <c r="E2228" s="5" t="s">
        <v>16</v>
      </c>
      <c r="F2228" s="5">
        <v>2023</v>
      </c>
      <c r="G2228" s="5" t="s">
        <v>12</v>
      </c>
      <c r="H2228" s="5" t="s">
        <v>17</v>
      </c>
      <c r="I2228" s="5" t="s">
        <v>111</v>
      </c>
      <c r="J2228" s="98" t="s">
        <v>3446</v>
      </c>
    </row>
    <row r="2229" spans="1:10" ht="28.9" customHeight="1" thickTop="1" thickBot="1" x14ac:dyDescent="0.65">
      <c r="A2229" s="3">
        <v>2227</v>
      </c>
      <c r="B2229" s="44" t="str">
        <f>HYPERLINK("https://search.naver.com/search.naver?query=열쇠 도둑의 방법 영화", "열쇠 도둑의 방법")</f>
        <v>열쇠 도둑의 방법</v>
      </c>
      <c r="C2229" s="45"/>
      <c r="D2229" s="4" t="s">
        <v>2313</v>
      </c>
      <c r="E2229" s="3" t="s">
        <v>16</v>
      </c>
      <c r="F2229" s="3">
        <v>2012</v>
      </c>
      <c r="G2229" s="3" t="s">
        <v>12</v>
      </c>
      <c r="H2229" s="3" t="s">
        <v>68</v>
      </c>
      <c r="I2229" s="3" t="s">
        <v>111</v>
      </c>
      <c r="J2229" s="97" t="s">
        <v>3439</v>
      </c>
    </row>
    <row r="2230" spans="1:10" ht="28.9" customHeight="1" thickTop="1" thickBot="1" x14ac:dyDescent="0.65">
      <c r="A2230" s="5">
        <v>2228</v>
      </c>
      <c r="B2230" s="46" t="str">
        <f>HYPERLINK("https://search.naver.com/search.naver?query=열여덟번의 선물 영화", "열여덟번의 선물")</f>
        <v>열여덟번의 선물</v>
      </c>
      <c r="C2230" s="47">
        <v>10</v>
      </c>
      <c r="D2230" s="6" t="s">
        <v>2314</v>
      </c>
      <c r="E2230" s="5" t="s">
        <v>1099</v>
      </c>
      <c r="F2230" s="5">
        <v>2020</v>
      </c>
      <c r="G2230" s="5" t="s">
        <v>12</v>
      </c>
      <c r="H2230" s="5" t="s">
        <v>17</v>
      </c>
      <c r="I2230" s="5" t="s">
        <v>207</v>
      </c>
      <c r="J2230" s="98" t="s">
        <v>3436</v>
      </c>
    </row>
    <row r="2231" spans="1:10" ht="28.9" customHeight="1" thickTop="1" thickBot="1" x14ac:dyDescent="0.65">
      <c r="A2231" s="3">
        <v>2229</v>
      </c>
      <c r="B2231" s="44" t="str">
        <f>HYPERLINK("https://search.naver.com/search.naver?query=열정 같은 소리하고 있네 영화", "열정 같은 소리하고 있네")</f>
        <v>열정 같은 소리하고 있네</v>
      </c>
      <c r="C2231" s="45">
        <v>7.98</v>
      </c>
      <c r="D2231" s="4" t="s">
        <v>2315</v>
      </c>
      <c r="E2231" s="3" t="s">
        <v>11</v>
      </c>
      <c r="F2231" s="3">
        <v>2015</v>
      </c>
      <c r="G2231" s="3" t="s">
        <v>12</v>
      </c>
      <c r="H2231" s="3" t="s">
        <v>17</v>
      </c>
      <c r="I2231" s="3" t="s">
        <v>111</v>
      </c>
      <c r="J2231" s="97" t="s">
        <v>3440</v>
      </c>
    </row>
    <row r="2232" spans="1:10" ht="28.9" customHeight="1" thickTop="1" thickBot="1" x14ac:dyDescent="0.65">
      <c r="A2232" s="5">
        <v>2230</v>
      </c>
      <c r="B2232" s="46" t="str">
        <f>HYPERLINK("https://search.naver.com/search.naver?query=염력 영화", "염력")</f>
        <v>염력</v>
      </c>
      <c r="C2232" s="47">
        <v>6.16</v>
      </c>
      <c r="D2232" s="6" t="s">
        <v>2316</v>
      </c>
      <c r="E2232" s="5" t="s">
        <v>11</v>
      </c>
      <c r="F2232" s="5">
        <v>2018</v>
      </c>
      <c r="G2232" s="5" t="s">
        <v>12</v>
      </c>
      <c r="H2232" s="5" t="s">
        <v>92</v>
      </c>
      <c r="I2232" s="5" t="s">
        <v>70</v>
      </c>
      <c r="J2232" s="98" t="s">
        <v>3442</v>
      </c>
    </row>
    <row r="2233" spans="1:10" ht="28.9" customHeight="1" thickTop="1" thickBot="1" x14ac:dyDescent="0.65">
      <c r="A2233" s="3">
        <v>2231</v>
      </c>
      <c r="B2233" s="44" t="str">
        <f>HYPERLINK("https://search.naver.com/search.naver?query=엽문 영화", "엽문")</f>
        <v>엽문</v>
      </c>
      <c r="C2233" s="45">
        <v>7.32</v>
      </c>
      <c r="D2233" s="4" t="s">
        <v>2317</v>
      </c>
      <c r="E2233" s="3" t="s">
        <v>91</v>
      </c>
      <c r="F2233" s="3">
        <v>2008</v>
      </c>
      <c r="G2233" s="3" t="s">
        <v>12</v>
      </c>
      <c r="H2233" s="3" t="s">
        <v>92</v>
      </c>
      <c r="I2233" s="3" t="s">
        <v>286</v>
      </c>
      <c r="J2233" s="97" t="s">
        <v>3450</v>
      </c>
    </row>
    <row r="2234" spans="1:10" ht="28.9" customHeight="1" thickTop="1" thickBot="1" x14ac:dyDescent="0.65">
      <c r="A2234" s="5">
        <v>2232</v>
      </c>
      <c r="B2234" s="46" t="str">
        <f>HYPERLINK("https://search.naver.com/search.naver?query=엽문 외전 영화", "엽문 외전")</f>
        <v>엽문 외전</v>
      </c>
      <c r="C2234" s="47">
        <v>6.4</v>
      </c>
      <c r="D2234" s="6" t="s">
        <v>2318</v>
      </c>
      <c r="E2234" s="5" t="s">
        <v>91</v>
      </c>
      <c r="F2234" s="5">
        <v>2018</v>
      </c>
      <c r="G2234" s="5" t="s">
        <v>12</v>
      </c>
      <c r="H2234" s="5" t="s">
        <v>92</v>
      </c>
      <c r="I2234" s="5" t="s">
        <v>111</v>
      </c>
      <c r="J2234" s="98" t="s">
        <v>3442</v>
      </c>
    </row>
    <row r="2235" spans="1:10" ht="28.9" customHeight="1" thickTop="1" thickBot="1" x14ac:dyDescent="0.65">
      <c r="A2235" s="3">
        <v>2233</v>
      </c>
      <c r="B2235" s="44" t="str">
        <f>HYPERLINK("https://search.naver.com/search.naver?query=엽문3 최후의 대결 영화", "엽문3 - 최후의 대결")</f>
        <v>엽문3 - 최후의 대결</v>
      </c>
      <c r="C2235" s="45">
        <v>8.51</v>
      </c>
      <c r="D2235" s="4" t="s">
        <v>2319</v>
      </c>
      <c r="E2235" s="3" t="s">
        <v>91</v>
      </c>
      <c r="F2235" s="3">
        <v>2015</v>
      </c>
      <c r="G2235" s="3" t="s">
        <v>12</v>
      </c>
      <c r="H2235" s="3" t="s">
        <v>92</v>
      </c>
      <c r="I2235" s="3" t="s">
        <v>128</v>
      </c>
      <c r="J2235" s="97" t="s">
        <v>3440</v>
      </c>
    </row>
    <row r="2236" spans="1:10" ht="28.9" customHeight="1" thickTop="1" thickBot="1" x14ac:dyDescent="0.65">
      <c r="A2236" s="5">
        <v>2234</v>
      </c>
      <c r="B2236" s="46" t="str">
        <f>HYPERLINK("https://search.naver.com/search.naver?query=엽문4 더 파이널 영화", "엽문4-더 파이널")</f>
        <v>엽문4-더 파이널</v>
      </c>
      <c r="C2236" s="47">
        <v>7.32</v>
      </c>
      <c r="D2236" s="6" t="s">
        <v>2320</v>
      </c>
      <c r="E2236" s="5" t="s">
        <v>91</v>
      </c>
      <c r="F2236" s="5">
        <v>2019</v>
      </c>
      <c r="G2236" s="5" t="s">
        <v>12</v>
      </c>
      <c r="H2236" s="5" t="s">
        <v>92</v>
      </c>
      <c r="I2236" s="5" t="s">
        <v>128</v>
      </c>
      <c r="J2236" s="98" t="s">
        <v>3444</v>
      </c>
    </row>
    <row r="2237" spans="1:10" ht="28.9" customHeight="1" thickTop="1" thickBot="1" x14ac:dyDescent="0.65">
      <c r="A2237" s="3">
        <v>2235</v>
      </c>
      <c r="B2237" s="44" t="str">
        <f>HYPERLINK("https://search.naver.com/search.naver?query=영 어덜트 영화", "영 어덜트")</f>
        <v>영 어덜트</v>
      </c>
      <c r="C2237" s="45">
        <v>7.25</v>
      </c>
      <c r="D2237" s="4" t="s">
        <v>2321</v>
      </c>
      <c r="E2237" s="3" t="s">
        <v>20</v>
      </c>
      <c r="F2237" s="3">
        <v>2011</v>
      </c>
      <c r="G2237" s="3" t="s">
        <v>12</v>
      </c>
      <c r="H2237" s="3" t="s">
        <v>68</v>
      </c>
      <c r="I2237" s="3" t="s">
        <v>300</v>
      </c>
      <c r="J2237" s="97" t="s">
        <v>3454</v>
      </c>
    </row>
    <row r="2238" spans="1:10" ht="28.9" customHeight="1" thickTop="1" thickBot="1" x14ac:dyDescent="0.65">
      <c r="A2238" s="5">
        <v>2236</v>
      </c>
      <c r="B2238" s="46" t="str">
        <f>HYPERLINK("https://search.naver.com/search.naver?query=영광의 날들 영화", "영광의 날들")</f>
        <v>영광의 날들</v>
      </c>
      <c r="C2238" s="47">
        <v>8.36</v>
      </c>
      <c r="D2238" s="6" t="s">
        <v>2322</v>
      </c>
      <c r="E2238" s="5" t="s">
        <v>210</v>
      </c>
      <c r="F2238" s="5">
        <v>2006</v>
      </c>
      <c r="G2238" s="5" t="s">
        <v>12</v>
      </c>
      <c r="H2238" s="5" t="s">
        <v>17</v>
      </c>
      <c r="I2238" s="5" t="s">
        <v>108</v>
      </c>
      <c r="J2238" s="98" t="s">
        <v>3460</v>
      </c>
    </row>
    <row r="2239" spans="1:10" ht="28.9" customHeight="1" thickTop="1" thickBot="1" x14ac:dyDescent="0.65">
      <c r="A2239" s="3">
        <v>2237</v>
      </c>
      <c r="B2239" s="44" t="str">
        <f>HYPERLINK("https://search.naver.com/search.naver?query=영국 남자처럼 사랑하는 법 영화", "영국 남자처럼 사랑하는 법")</f>
        <v>영국 남자처럼 사랑하는 법</v>
      </c>
      <c r="C2239" s="45">
        <v>6.4</v>
      </c>
      <c r="D2239" s="4" t="s">
        <v>2323</v>
      </c>
      <c r="E2239" s="3" t="s">
        <v>20</v>
      </c>
      <c r="F2239" s="3">
        <v>2015</v>
      </c>
      <c r="G2239" s="3" t="s">
        <v>12</v>
      </c>
      <c r="H2239" s="3" t="s">
        <v>121</v>
      </c>
      <c r="I2239" s="3" t="s">
        <v>124</v>
      </c>
      <c r="J2239" s="97" t="s">
        <v>3440</v>
      </c>
    </row>
    <row r="2240" spans="1:10" ht="28.9" customHeight="1" thickTop="1" thickBot="1" x14ac:dyDescent="0.65">
      <c r="A2240" s="5">
        <v>2238</v>
      </c>
      <c r="B2240" s="46" t="str">
        <f>HYPERLINK("https://search.naver.com/search.naver?query=영웅본색 영화", "영웅본색")</f>
        <v>영웅본색</v>
      </c>
      <c r="C2240" s="47">
        <v>8.7899999999999991</v>
      </c>
      <c r="D2240" s="6" t="s">
        <v>2324</v>
      </c>
      <c r="E2240" s="5" t="s">
        <v>91</v>
      </c>
      <c r="F2240" s="5">
        <v>1986</v>
      </c>
      <c r="G2240" s="5" t="s">
        <v>12</v>
      </c>
      <c r="H2240" s="5" t="s">
        <v>92</v>
      </c>
      <c r="I2240" s="5" t="s">
        <v>111</v>
      </c>
      <c r="J2240" s="98" t="s">
        <v>3468</v>
      </c>
    </row>
    <row r="2241" spans="1:10" ht="28.9" customHeight="1" thickTop="1" thickBot="1" x14ac:dyDescent="0.65">
      <c r="A2241" s="3">
        <v>2239</v>
      </c>
      <c r="B2241" s="44" t="str">
        <f>HYPERLINK("https://search.naver.com/search.naver?query=영웅본색 2 영화", "영웅본색 2")</f>
        <v>영웅본색 2</v>
      </c>
      <c r="C2241" s="45">
        <v>8.32</v>
      </c>
      <c r="D2241" s="4" t="s">
        <v>2325</v>
      </c>
      <c r="E2241" s="3" t="s">
        <v>91</v>
      </c>
      <c r="F2241" s="3">
        <v>1987</v>
      </c>
      <c r="G2241" s="3" t="s">
        <v>12</v>
      </c>
      <c r="H2241" s="3" t="s">
        <v>92</v>
      </c>
      <c r="I2241" s="3" t="s">
        <v>128</v>
      </c>
      <c r="J2241" s="97" t="s">
        <v>3481</v>
      </c>
    </row>
    <row r="2242" spans="1:10" ht="28.9" customHeight="1" thickTop="1" thickBot="1" x14ac:dyDescent="0.65">
      <c r="A2242" s="5">
        <v>2240</v>
      </c>
      <c r="B2242" s="46" t="str">
        <f>HYPERLINK("https://search.naver.com/search.naver?query=영웅본색 3 영화", "영웅본색 3")</f>
        <v>영웅본색 3</v>
      </c>
      <c r="C2242" s="47">
        <v>6.04</v>
      </c>
      <c r="D2242" s="6" t="s">
        <v>2326</v>
      </c>
      <c r="E2242" s="5" t="s">
        <v>91</v>
      </c>
      <c r="F2242" s="5">
        <v>1989</v>
      </c>
      <c r="G2242" s="5" t="s">
        <v>12</v>
      </c>
      <c r="H2242" s="5" t="s">
        <v>92</v>
      </c>
      <c r="I2242" s="5" t="s">
        <v>128</v>
      </c>
      <c r="J2242" s="98" t="s">
        <v>3477</v>
      </c>
    </row>
    <row r="2243" spans="1:10" ht="28.9" customHeight="1" thickTop="1" thickBot="1" x14ac:dyDescent="0.65">
      <c r="A2243" s="3">
        <v>2241</v>
      </c>
      <c r="B2243" s="44" t="str">
        <f>HYPERLINK("https://search.naver.com/search.naver?query=영화는 영화다 영화", "영화는 영화다")</f>
        <v>영화는 영화다</v>
      </c>
      <c r="C2243" s="45">
        <v>8.85</v>
      </c>
      <c r="D2243" s="4" t="s">
        <v>2327</v>
      </c>
      <c r="E2243" s="3" t="s">
        <v>11</v>
      </c>
      <c r="F2243" s="3">
        <v>2008</v>
      </c>
      <c r="G2243" s="3" t="s">
        <v>12</v>
      </c>
      <c r="H2243" s="3" t="s">
        <v>17</v>
      </c>
      <c r="I2243" s="3" t="s">
        <v>278</v>
      </c>
      <c r="J2243" s="97" t="s">
        <v>3450</v>
      </c>
    </row>
    <row r="2244" spans="1:10" ht="28.9" customHeight="1" thickTop="1" thickBot="1" x14ac:dyDescent="0.65">
      <c r="A2244" s="5">
        <v>2242</v>
      </c>
      <c r="B2244" s="46" t="str">
        <f>HYPERLINK("https://search.naver.com/search.naver?query=예감은 틀리지 않는다 영화", "예감은 틀리지 않는다")</f>
        <v>예감은 틀리지 않는다</v>
      </c>
      <c r="C2244" s="47">
        <v>7.8</v>
      </c>
      <c r="D2244" s="6" t="s">
        <v>2328</v>
      </c>
      <c r="E2244" s="5" t="s">
        <v>24</v>
      </c>
      <c r="F2244" s="5">
        <v>2017</v>
      </c>
      <c r="G2244" s="5" t="s">
        <v>12</v>
      </c>
      <c r="H2244" s="5" t="s">
        <v>17</v>
      </c>
      <c r="I2244" s="5" t="s">
        <v>31</v>
      </c>
      <c r="J2244" s="98" t="s">
        <v>3443</v>
      </c>
    </row>
    <row r="2245" spans="1:10" ht="28.9" customHeight="1" thickTop="1" thickBot="1" x14ac:dyDescent="0.65">
      <c r="A2245" s="3">
        <v>2243</v>
      </c>
      <c r="B2245" s="44" t="str">
        <f>HYPERLINK("https://search.naver.com/search.naver?query=예고범 영화", "예고범")</f>
        <v>예고범</v>
      </c>
      <c r="C2245" s="45">
        <v>6.4</v>
      </c>
      <c r="D2245" s="4" t="s">
        <v>2329</v>
      </c>
      <c r="E2245" s="3" t="s">
        <v>16</v>
      </c>
      <c r="F2245" s="3">
        <v>2015</v>
      </c>
      <c r="G2245" s="3" t="s">
        <v>12</v>
      </c>
      <c r="H2245" s="3" t="s">
        <v>141</v>
      </c>
      <c r="I2245" s="3" t="s">
        <v>53</v>
      </c>
      <c r="J2245" s="97" t="s">
        <v>3440</v>
      </c>
    </row>
    <row r="2246" spans="1:10" ht="28.9" customHeight="1" thickTop="1" thickBot="1" x14ac:dyDescent="0.65">
      <c r="A2246" s="5">
        <v>2244</v>
      </c>
      <c r="B2246" s="46" t="str">
        <f>HYPERLINK("https://search.naver.com/search.naver?query=예스터데이 영화", "예스터데이")</f>
        <v>예스터데이</v>
      </c>
      <c r="C2246" s="47">
        <v>7.97</v>
      </c>
      <c r="D2246" s="6" t="s">
        <v>2330</v>
      </c>
      <c r="E2246" s="5" t="s">
        <v>24</v>
      </c>
      <c r="F2246" s="5">
        <v>2019</v>
      </c>
      <c r="G2246" s="5" t="s">
        <v>12</v>
      </c>
      <c r="H2246" s="5" t="s">
        <v>68</v>
      </c>
      <c r="I2246" s="5" t="s">
        <v>366</v>
      </c>
      <c r="J2246" s="98" t="s">
        <v>3444</v>
      </c>
    </row>
    <row r="2247" spans="1:10" ht="28.9" customHeight="1" thickTop="1" thickBot="1" x14ac:dyDescent="0.65">
      <c r="A2247" s="3">
        <v>2245</v>
      </c>
      <c r="B2247" s="44" t="str">
        <f>HYPERLINK("https://search.naver.com/search.naver?query=예언자 영화", "예언자")</f>
        <v>예언자</v>
      </c>
      <c r="C2247" s="45">
        <v>7.88</v>
      </c>
      <c r="D2247" s="4" t="s">
        <v>2331</v>
      </c>
      <c r="E2247" s="3" t="s">
        <v>210</v>
      </c>
      <c r="F2247" s="3">
        <v>2009</v>
      </c>
      <c r="G2247" s="3" t="s">
        <v>12</v>
      </c>
      <c r="H2247" s="3" t="s">
        <v>277</v>
      </c>
      <c r="I2247" s="3" t="s">
        <v>182</v>
      </c>
      <c r="J2247" s="97" t="s">
        <v>3453</v>
      </c>
    </row>
    <row r="2248" spans="1:10" ht="28.9" customHeight="1" thickTop="1" thickBot="1" x14ac:dyDescent="0.65">
      <c r="A2248" s="7">
        <v>2246</v>
      </c>
      <c r="B2248" s="48" t="str">
        <f>HYPERLINK("https://search.naver.com/search.naver?query=옐로우스톤 시즌1", "옐로우스톤 시즌1")</f>
        <v>옐로우스톤 시즌1</v>
      </c>
      <c r="C2248" s="49"/>
      <c r="D2248" s="8" t="s">
        <v>2332</v>
      </c>
      <c r="E2248" s="7" t="s">
        <v>20</v>
      </c>
      <c r="F2248" s="7">
        <v>2018</v>
      </c>
      <c r="G2248" s="7" t="s">
        <v>17</v>
      </c>
      <c r="H2248" s="7" t="s">
        <v>17</v>
      </c>
      <c r="I2248" s="7" t="s">
        <v>242</v>
      </c>
      <c r="J2248" s="99" t="s">
        <v>3442</v>
      </c>
    </row>
    <row r="2249" spans="1:10" ht="28.9" customHeight="1" thickTop="1" thickBot="1" x14ac:dyDescent="0.65">
      <c r="A2249" s="7">
        <v>2247</v>
      </c>
      <c r="B2249" s="48" t="str">
        <f>HYPERLINK("https://search.naver.com/search.naver?query=옐로우스톤 시즌2", "옐로우스톤 시즌2")</f>
        <v>옐로우스톤 시즌2</v>
      </c>
      <c r="C2249" s="49"/>
      <c r="D2249" s="8" t="s">
        <v>2333</v>
      </c>
      <c r="E2249" s="7" t="s">
        <v>20</v>
      </c>
      <c r="F2249" s="7">
        <v>2019</v>
      </c>
      <c r="G2249" s="7" t="s">
        <v>17</v>
      </c>
      <c r="H2249" s="7" t="s">
        <v>17</v>
      </c>
      <c r="I2249" s="7" t="s">
        <v>50</v>
      </c>
      <c r="J2249" s="99" t="s">
        <v>3444</v>
      </c>
    </row>
    <row r="2250" spans="1:10" ht="28.9" customHeight="1" thickTop="1" thickBot="1" x14ac:dyDescent="0.65">
      <c r="A2250" s="7">
        <v>2248</v>
      </c>
      <c r="B2250" s="48" t="str">
        <f>HYPERLINK("https://search.naver.com/search.naver?query=옐로우스톤 시즌3", "옐로우스톤 시즌3")</f>
        <v>옐로우스톤 시즌3</v>
      </c>
      <c r="C2250" s="49"/>
      <c r="D2250" s="8" t="s">
        <v>2334</v>
      </c>
      <c r="E2250" s="7" t="s">
        <v>20</v>
      </c>
      <c r="F2250" s="7">
        <v>2020</v>
      </c>
      <c r="G2250" s="7" t="s">
        <v>17</v>
      </c>
      <c r="H2250" s="7" t="s">
        <v>17</v>
      </c>
      <c r="I2250" s="7" t="s">
        <v>50</v>
      </c>
      <c r="J2250" s="99" t="s">
        <v>3436</v>
      </c>
    </row>
    <row r="2251" spans="1:10" ht="28.9" customHeight="1" thickTop="1" thickBot="1" x14ac:dyDescent="0.65">
      <c r="A2251" s="7">
        <v>2249</v>
      </c>
      <c r="B2251" s="48" t="str">
        <f>HYPERLINK("https://search.naver.com/search.naver?query=옐로우스톤 시즌4", "옐로우스톤 시즌4")</f>
        <v>옐로우스톤 시즌4</v>
      </c>
      <c r="C2251" s="49"/>
      <c r="D2251" s="8" t="s">
        <v>2335</v>
      </c>
      <c r="E2251" s="7" t="s">
        <v>20</v>
      </c>
      <c r="F2251" s="7">
        <v>2022</v>
      </c>
      <c r="G2251" s="7" t="s">
        <v>17</v>
      </c>
      <c r="H2251" s="7" t="s">
        <v>17</v>
      </c>
      <c r="I2251" s="7" t="s">
        <v>50</v>
      </c>
      <c r="J2251" s="99" t="s">
        <v>3445</v>
      </c>
    </row>
    <row r="2252" spans="1:10" ht="28.9" customHeight="1" thickTop="1" thickBot="1" x14ac:dyDescent="0.65">
      <c r="A2252" s="7">
        <v>2250</v>
      </c>
      <c r="B2252" s="48" t="str">
        <f>HYPERLINK("https://search.naver.com/search.naver?query=옐로우스톤 시즌5", "옐로우스톤 시즌5")</f>
        <v>옐로우스톤 시즌5</v>
      </c>
      <c r="C2252" s="49"/>
      <c r="D2252" s="8"/>
      <c r="E2252" s="7" t="s">
        <v>20</v>
      </c>
      <c r="F2252" s="7">
        <v>2024</v>
      </c>
      <c r="G2252" s="7" t="s">
        <v>17</v>
      </c>
      <c r="H2252" s="7" t="s">
        <v>17</v>
      </c>
      <c r="I2252" s="7" t="s">
        <v>163</v>
      </c>
      <c r="J2252" s="99" t="s">
        <v>3448</v>
      </c>
    </row>
    <row r="2253" spans="1:10" ht="28.9" customHeight="1" thickTop="1" thickBot="1" x14ac:dyDescent="0.65">
      <c r="A2253" s="3">
        <v>2251</v>
      </c>
      <c r="B2253" s="44" t="str">
        <f>HYPERLINK("https://search.naver.com/search.naver?query=오 루시 영화", "오 루시")</f>
        <v>오 루시</v>
      </c>
      <c r="C2253" s="45">
        <v>8.06</v>
      </c>
      <c r="D2253" s="4" t="s">
        <v>2336</v>
      </c>
      <c r="E2253" s="3" t="s">
        <v>16</v>
      </c>
      <c r="F2253" s="3">
        <v>2017</v>
      </c>
      <c r="G2253" s="3" t="s">
        <v>12</v>
      </c>
      <c r="H2253" s="3" t="s">
        <v>17</v>
      </c>
      <c r="I2253" s="3" t="s">
        <v>111</v>
      </c>
      <c r="J2253" s="97" t="s">
        <v>3443</v>
      </c>
    </row>
    <row r="2254" spans="1:10" ht="28.9" customHeight="1" thickTop="1" thickBot="1" x14ac:dyDescent="0.65">
      <c r="A2254" s="5">
        <v>2252</v>
      </c>
      <c r="B2254" s="46" t="str">
        <f>HYPERLINK("https://search.naver.com/search.naver?query=오 마이 그랜파 영화", "오 마이 그랜파")</f>
        <v>오 마이 그랜파</v>
      </c>
      <c r="C2254" s="47">
        <v>8.24</v>
      </c>
      <c r="D2254" s="6" t="s">
        <v>2337</v>
      </c>
      <c r="E2254" s="5" t="s">
        <v>20</v>
      </c>
      <c r="F2254" s="5">
        <v>2016</v>
      </c>
      <c r="G2254" s="5" t="s">
        <v>12</v>
      </c>
      <c r="H2254" s="5" t="s">
        <v>68</v>
      </c>
      <c r="I2254" s="5" t="s">
        <v>131</v>
      </c>
      <c r="J2254" s="98" t="s">
        <v>3441</v>
      </c>
    </row>
    <row r="2255" spans="1:10" ht="28.9" customHeight="1" thickTop="1" thickBot="1" x14ac:dyDescent="0.65">
      <c r="A2255" s="3">
        <v>2253</v>
      </c>
      <c r="B2255" s="44" t="str">
        <f>HYPERLINK("https://search.naver.com/search.naver?query=오 브라더, 오 시스터 영화", "오 브라더, 오 시스터")</f>
        <v>오 브라더, 오 시스터</v>
      </c>
      <c r="C2255" s="45"/>
      <c r="D2255" s="4" t="s">
        <v>2338</v>
      </c>
      <c r="E2255" s="3" t="s">
        <v>16</v>
      </c>
      <c r="F2255" s="3">
        <v>2014</v>
      </c>
      <c r="G2255" s="3" t="s">
        <v>12</v>
      </c>
      <c r="H2255" s="3" t="s">
        <v>17</v>
      </c>
      <c r="I2255" s="3" t="s">
        <v>111</v>
      </c>
      <c r="J2255" s="97" t="s">
        <v>3437</v>
      </c>
    </row>
    <row r="2256" spans="1:10" ht="28.9" customHeight="1" thickTop="1" thickBot="1" x14ac:dyDescent="0.65">
      <c r="A2256" s="5">
        <v>2254</v>
      </c>
      <c r="B2256" s="46" t="str">
        <f>HYPERLINK("https://search.naver.com/search.naver?query=오! 문희 영화", "오! 문희")</f>
        <v>오! 문희</v>
      </c>
      <c r="C2256" s="47">
        <v>9.15</v>
      </c>
      <c r="D2256" s="6" t="s">
        <v>2339</v>
      </c>
      <c r="E2256" s="5" t="s">
        <v>11</v>
      </c>
      <c r="F2256" s="5">
        <v>2020</v>
      </c>
      <c r="G2256" s="5" t="s">
        <v>12</v>
      </c>
      <c r="H2256" s="5" t="s">
        <v>17</v>
      </c>
      <c r="I2256" s="5" t="s">
        <v>96</v>
      </c>
      <c r="J2256" s="98" t="s">
        <v>3436</v>
      </c>
    </row>
    <row r="2257" spans="1:10" ht="28.9" customHeight="1" thickTop="1" thickBot="1" x14ac:dyDescent="0.65">
      <c r="A2257" s="3">
        <v>2255</v>
      </c>
      <c r="B2257" s="44" t="str">
        <f>HYPERLINK("https://search.naver.com/search.naver?query=오!파더 영화", "오!파더")</f>
        <v>오!파더</v>
      </c>
      <c r="C2257" s="45">
        <v>6.4</v>
      </c>
      <c r="D2257" s="4" t="s">
        <v>2340</v>
      </c>
      <c r="E2257" s="3" t="s">
        <v>16</v>
      </c>
      <c r="F2257" s="3">
        <v>2014</v>
      </c>
      <c r="G2257" s="3" t="s">
        <v>12</v>
      </c>
      <c r="H2257" s="3" t="s">
        <v>68</v>
      </c>
      <c r="I2257" s="3" t="s">
        <v>111</v>
      </c>
      <c r="J2257" s="97" t="s">
        <v>3437</v>
      </c>
    </row>
    <row r="2258" spans="1:10" ht="28.9" customHeight="1" thickTop="1" thickBot="1" x14ac:dyDescent="0.65">
      <c r="A2258" s="5">
        <v>2256</v>
      </c>
      <c r="B2258" s="46" t="str">
        <f>HYPERLINK("https://search.naver.com/search.naver?query=오늘2011", "오늘")</f>
        <v>오늘</v>
      </c>
      <c r="C2258" s="47">
        <v>8.0399999999999991</v>
      </c>
      <c r="D2258" s="6" t="s">
        <v>2341</v>
      </c>
      <c r="E2258" s="5" t="s">
        <v>11</v>
      </c>
      <c r="F2258" s="5">
        <v>2011</v>
      </c>
      <c r="G2258" s="5" t="s">
        <v>12</v>
      </c>
      <c r="H2258" s="5" t="s">
        <v>17</v>
      </c>
      <c r="I2258" s="5" t="s">
        <v>111</v>
      </c>
      <c r="J2258" s="98" t="s">
        <v>3454</v>
      </c>
    </row>
    <row r="2259" spans="1:10" ht="28.9" customHeight="1" thickTop="1" thickBot="1" x14ac:dyDescent="0.65">
      <c r="A2259" s="3">
        <v>2257</v>
      </c>
      <c r="B2259" s="44" t="str">
        <f>HYPERLINK("https://search.naver.com/search.naver?query=오렌지 영화", "오렌지")</f>
        <v>오렌지</v>
      </c>
      <c r="C2259" s="45">
        <v>8.59</v>
      </c>
      <c r="D2259" s="4" t="s">
        <v>2342</v>
      </c>
      <c r="E2259" s="3" t="s">
        <v>16</v>
      </c>
      <c r="F2259" s="3">
        <v>2015</v>
      </c>
      <c r="G2259" s="3" t="s">
        <v>12</v>
      </c>
      <c r="H2259" s="3" t="s">
        <v>17</v>
      </c>
      <c r="I2259" s="3" t="s">
        <v>305</v>
      </c>
      <c r="J2259" s="97" t="s">
        <v>3440</v>
      </c>
    </row>
    <row r="2260" spans="1:10" ht="28.9" customHeight="1" thickTop="1" thickBot="1" x14ac:dyDescent="0.65">
      <c r="A2260" s="5">
        <v>2258</v>
      </c>
      <c r="B2260" s="46" t="str">
        <f>HYPERLINK("https://search.naver.com/search.naver?query=오로라 공주 영화", "오로라 공주")</f>
        <v>오로라 공주</v>
      </c>
      <c r="C2260" s="47">
        <v>8.15</v>
      </c>
      <c r="D2260" s="6" t="s">
        <v>2343</v>
      </c>
      <c r="E2260" s="5" t="s">
        <v>11</v>
      </c>
      <c r="F2260" s="5">
        <v>2005</v>
      </c>
      <c r="G2260" s="5" t="s">
        <v>12</v>
      </c>
      <c r="H2260" s="5" t="s">
        <v>43</v>
      </c>
      <c r="I2260" s="5" t="s">
        <v>286</v>
      </c>
      <c r="J2260" s="98" t="s">
        <v>3461</v>
      </c>
    </row>
    <row r="2261" spans="1:10" ht="28.9" customHeight="1" thickTop="1" thickBot="1" x14ac:dyDescent="0.65">
      <c r="A2261" s="3">
        <v>2259</v>
      </c>
      <c r="B2261" s="44" t="str">
        <f>HYPERLINK("https://search.naver.com/search.naver?query=오르페브르 36번가 영화", "오르페브르 36번가")</f>
        <v>오르페브르 36번가</v>
      </c>
      <c r="C2261" s="45">
        <v>7.83</v>
      </c>
      <c r="D2261" s="4" t="s">
        <v>2344</v>
      </c>
      <c r="E2261" s="3" t="s">
        <v>210</v>
      </c>
      <c r="F2261" s="3">
        <v>2004</v>
      </c>
      <c r="G2261" s="3" t="s">
        <v>12</v>
      </c>
      <c r="H2261" s="3" t="s">
        <v>277</v>
      </c>
      <c r="I2261" s="3" t="s">
        <v>96</v>
      </c>
      <c r="J2261" s="97" t="s">
        <v>3462</v>
      </c>
    </row>
    <row r="2262" spans="1:10" ht="28.9" customHeight="1" thickTop="1" thickBot="1" x14ac:dyDescent="0.65">
      <c r="A2262" s="5">
        <v>2260</v>
      </c>
      <c r="B2262" s="46" t="str">
        <f>HYPERLINK("https://search.naver.com/search.naver?query=오리엔트 특급 살인 영화", "오리엔트 특급 살인")</f>
        <v>오리엔트 특급 살인</v>
      </c>
      <c r="C2262" s="47">
        <v>7.11</v>
      </c>
      <c r="D2262" s="6" t="s">
        <v>2345</v>
      </c>
      <c r="E2262" s="5" t="s">
        <v>20</v>
      </c>
      <c r="F2262" s="5">
        <v>2017</v>
      </c>
      <c r="G2262" s="5" t="s">
        <v>12</v>
      </c>
      <c r="H2262" s="5" t="s">
        <v>277</v>
      </c>
      <c r="I2262" s="5" t="s">
        <v>207</v>
      </c>
      <c r="J2262" s="98" t="s">
        <v>3443</v>
      </c>
    </row>
    <row r="2263" spans="1:10" ht="28.9" customHeight="1" thickTop="1" thickBot="1" x14ac:dyDescent="0.65">
      <c r="A2263" s="7">
        <v>2261</v>
      </c>
      <c r="B2263" s="48" t="str">
        <f>HYPERLINK("https://search.naver.com/search.naver?query=오만과 편견1995 영국드라마", "오만과 편견")</f>
        <v>오만과 편견</v>
      </c>
      <c r="C2263" s="49"/>
      <c r="D2263" s="8" t="s">
        <v>2346</v>
      </c>
      <c r="E2263" s="7" t="s">
        <v>24</v>
      </c>
      <c r="F2263" s="7">
        <v>1995</v>
      </c>
      <c r="G2263" s="7" t="s">
        <v>17</v>
      </c>
      <c r="H2263" s="7" t="s">
        <v>17</v>
      </c>
      <c r="I2263" s="7" t="s">
        <v>173</v>
      </c>
      <c r="J2263" s="99" t="s">
        <v>3475</v>
      </c>
    </row>
    <row r="2264" spans="1:10" ht="28.9" customHeight="1" thickTop="1" thickBot="1" x14ac:dyDescent="0.65">
      <c r="A2264" s="5">
        <v>2262</v>
      </c>
      <c r="B2264" s="46" t="str">
        <f>HYPERLINK("https://search.naver.com/search.naver?query=오만과 편견 영화", "오만과 편견")</f>
        <v>오만과 편견</v>
      </c>
      <c r="C2264" s="47">
        <v>8.9700000000000006</v>
      </c>
      <c r="D2264" s="6" t="s">
        <v>2347</v>
      </c>
      <c r="E2264" s="5" t="s">
        <v>24</v>
      </c>
      <c r="F2264" s="5">
        <v>2005</v>
      </c>
      <c r="G2264" s="5" t="s">
        <v>12</v>
      </c>
      <c r="H2264" s="5" t="s">
        <v>121</v>
      </c>
      <c r="I2264" s="5" t="s">
        <v>64</v>
      </c>
      <c r="J2264" s="98" t="s">
        <v>3461</v>
      </c>
    </row>
    <row r="2265" spans="1:10" ht="28.9" customHeight="1" thickTop="1" thickBot="1" x14ac:dyDescent="0.65">
      <c r="A2265" s="3">
        <v>2263</v>
      </c>
      <c r="B2265" s="44" t="str">
        <f>HYPERLINK("https://search.naver.com/search.naver?query=오버로드 영화", "오버로드")</f>
        <v>오버로드</v>
      </c>
      <c r="C2265" s="45">
        <v>8.01</v>
      </c>
      <c r="D2265" s="4" t="s">
        <v>2348</v>
      </c>
      <c r="E2265" s="3" t="s">
        <v>20</v>
      </c>
      <c r="F2265" s="3">
        <v>2018</v>
      </c>
      <c r="G2265" s="3" t="s">
        <v>12</v>
      </c>
      <c r="H2265" s="3" t="s">
        <v>92</v>
      </c>
      <c r="I2265" s="3" t="s">
        <v>96</v>
      </c>
      <c r="J2265" s="97" t="s">
        <v>3442</v>
      </c>
    </row>
    <row r="2266" spans="1:10" ht="28.9" customHeight="1" thickTop="1" thickBot="1" x14ac:dyDescent="0.65">
      <c r="A2266" s="5">
        <v>2264</v>
      </c>
      <c r="B2266" s="46" t="str">
        <f>HYPERLINK("https://search.naver.com/search.naver?query=오베라는 남자 영화", "오베라는 남자")</f>
        <v>오베라는 남자</v>
      </c>
      <c r="C2266" s="47">
        <v>9.06</v>
      </c>
      <c r="D2266" s="6" t="s">
        <v>2349</v>
      </c>
      <c r="E2266" s="5" t="s">
        <v>611</v>
      </c>
      <c r="F2266" s="5">
        <v>2015</v>
      </c>
      <c r="G2266" s="5" t="s">
        <v>12</v>
      </c>
      <c r="H2266" s="5" t="s">
        <v>17</v>
      </c>
      <c r="I2266" s="5" t="s">
        <v>366</v>
      </c>
      <c r="J2266" s="98" t="s">
        <v>3440</v>
      </c>
    </row>
    <row r="2267" spans="1:10" ht="28.9" customHeight="1" thickTop="1" thickBot="1" x14ac:dyDescent="0.65">
      <c r="A2267" s="3">
        <v>2265</v>
      </c>
      <c r="B2267" s="44" t="str">
        <f>HYPERLINK("https://search.naver.com/search.naver?query=오블리비언 영화", "오블리비언")</f>
        <v>오블리비언</v>
      </c>
      <c r="C2267" s="45">
        <v>8.27</v>
      </c>
      <c r="D2267" s="4" t="s">
        <v>2350</v>
      </c>
      <c r="E2267" s="3" t="s">
        <v>20</v>
      </c>
      <c r="F2267" s="3">
        <v>2013</v>
      </c>
      <c r="G2267" s="3" t="s">
        <v>12</v>
      </c>
      <c r="H2267" s="3" t="s">
        <v>520</v>
      </c>
      <c r="I2267" s="3" t="s">
        <v>134</v>
      </c>
      <c r="J2267" s="97" t="s">
        <v>3451</v>
      </c>
    </row>
    <row r="2268" spans="1:10" ht="28.9" customHeight="1" thickTop="1" thickBot="1" x14ac:dyDescent="0.65">
      <c r="A2268" s="5">
        <v>2266</v>
      </c>
      <c r="B2268" s="46" t="str">
        <f>HYPERLINK("https://search.naver.com/search.naver?query=오빠생각 영화", "오빠생각")</f>
        <v>오빠생각</v>
      </c>
      <c r="C2268" s="47">
        <v>8.51</v>
      </c>
      <c r="D2268" s="6" t="s">
        <v>2351</v>
      </c>
      <c r="E2268" s="5" t="s">
        <v>11</v>
      </c>
      <c r="F2268" s="5">
        <v>2016</v>
      </c>
      <c r="G2268" s="5" t="s">
        <v>12</v>
      </c>
      <c r="H2268" s="5" t="s">
        <v>17</v>
      </c>
      <c r="I2268" s="5" t="s">
        <v>207</v>
      </c>
      <c r="J2268" s="98" t="s">
        <v>3441</v>
      </c>
    </row>
    <row r="2269" spans="1:10" ht="28.9" customHeight="1" thickTop="1" thickBot="1" x14ac:dyDescent="0.65">
      <c r="A2269" s="3">
        <v>2267</v>
      </c>
      <c r="B2269" s="44" t="str">
        <f>HYPERLINK("https://search.naver.com/search.naver?query=오살 영화", "오살")</f>
        <v>오살</v>
      </c>
      <c r="C2269" s="45">
        <v>8.44</v>
      </c>
      <c r="D2269" s="4" t="s">
        <v>2352</v>
      </c>
      <c r="E2269" s="3" t="s">
        <v>136</v>
      </c>
      <c r="F2269" s="3">
        <v>2020</v>
      </c>
      <c r="G2269" s="3" t="s">
        <v>12</v>
      </c>
      <c r="H2269" s="3" t="s">
        <v>43</v>
      </c>
      <c r="I2269" s="3" t="s">
        <v>170</v>
      </c>
      <c r="J2269" s="97" t="s">
        <v>3436</v>
      </c>
    </row>
    <row r="2270" spans="1:10" ht="28.9" customHeight="1" thickTop="1" thickBot="1" x14ac:dyDescent="0.65">
      <c r="A2270" s="5">
        <v>2268</v>
      </c>
      <c r="B2270" s="46" t="str">
        <f>HYPERLINK("https://search.naver.com/search.naver?query=오션스8 영화", "오션스8")</f>
        <v>오션스8</v>
      </c>
      <c r="C2270" s="47">
        <v>8.3699999999999992</v>
      </c>
      <c r="D2270" s="6" t="s">
        <v>2353</v>
      </c>
      <c r="E2270" s="5" t="s">
        <v>20</v>
      </c>
      <c r="F2270" s="5">
        <v>2018</v>
      </c>
      <c r="G2270" s="5" t="s">
        <v>12</v>
      </c>
      <c r="H2270" s="5" t="s">
        <v>277</v>
      </c>
      <c r="I2270" s="5" t="s">
        <v>96</v>
      </c>
      <c r="J2270" s="98" t="s">
        <v>3442</v>
      </c>
    </row>
    <row r="2271" spans="1:10" ht="28.9" customHeight="1" thickTop="1" thickBot="1" x14ac:dyDescent="0.65">
      <c r="A2271" s="3">
        <v>2269</v>
      </c>
      <c r="B2271" s="44" t="str">
        <f>HYPERLINK("https://search.naver.com/search.naver?query=오스카 그랜트의 어떤 하루 영화", "오스카 그랜트의 어떤 하루")</f>
        <v>오스카 그랜트의 어떤 하루</v>
      </c>
      <c r="C2271" s="45">
        <v>8.5</v>
      </c>
      <c r="D2271" s="4" t="s">
        <v>2354</v>
      </c>
      <c r="E2271" s="3" t="s">
        <v>20</v>
      </c>
      <c r="F2271" s="3">
        <v>2013</v>
      </c>
      <c r="G2271" s="3" t="s">
        <v>12</v>
      </c>
      <c r="H2271" s="3" t="s">
        <v>17</v>
      </c>
      <c r="I2271" s="3" t="s">
        <v>37</v>
      </c>
      <c r="J2271" s="97" t="s">
        <v>3451</v>
      </c>
    </row>
    <row r="2272" spans="1:10" ht="28.9" customHeight="1" thickTop="1" thickBot="1" x14ac:dyDescent="0.65">
      <c r="A2272" s="5">
        <v>2270</v>
      </c>
      <c r="B2272" s="46" t="str">
        <f>HYPERLINK("https://search.naver.com/search.naver?query=오싱 영화", "오싱")</f>
        <v>오싱</v>
      </c>
      <c r="C2272" s="47">
        <v>7.95</v>
      </c>
      <c r="D2272" s="6" t="s">
        <v>2355</v>
      </c>
      <c r="E2272" s="5" t="s">
        <v>16</v>
      </c>
      <c r="F2272" s="5">
        <v>2013</v>
      </c>
      <c r="G2272" s="5" t="s">
        <v>12</v>
      </c>
      <c r="H2272" s="5" t="s">
        <v>17</v>
      </c>
      <c r="I2272" s="5" t="s">
        <v>96</v>
      </c>
      <c r="J2272" s="98" t="s">
        <v>3451</v>
      </c>
    </row>
    <row r="2273" spans="1:10" ht="28.9" customHeight="1" thickTop="1" thickBot="1" x14ac:dyDescent="0.65">
      <c r="A2273" s="3">
        <v>2271</v>
      </c>
      <c r="B2273" s="44" t="str">
        <f>HYPERLINK("https://search.naver.com/search.naver?query=오이시맨 영화", "오이시맨")</f>
        <v>오이시맨</v>
      </c>
      <c r="C2273" s="45">
        <v>7.21</v>
      </c>
      <c r="D2273" s="4" t="s">
        <v>2356</v>
      </c>
      <c r="E2273" s="3" t="s">
        <v>16</v>
      </c>
      <c r="F2273" s="3">
        <v>2008</v>
      </c>
      <c r="G2273" s="3" t="s">
        <v>12</v>
      </c>
      <c r="H2273" s="3" t="s">
        <v>17</v>
      </c>
      <c r="I2273" s="3" t="s">
        <v>111</v>
      </c>
      <c r="J2273" s="97" t="s">
        <v>3450</v>
      </c>
    </row>
    <row r="2274" spans="1:10" ht="28.9" customHeight="1" thickTop="1" thickBot="1" x14ac:dyDescent="0.65">
      <c r="A2274" s="7">
        <v>2272</v>
      </c>
      <c r="B2274" s="48" t="str">
        <f>HYPERLINK("https://search.naver.com/search.naver?query=오자크 시즌1", "오자크 시즌1")</f>
        <v>오자크 시즌1</v>
      </c>
      <c r="C2274" s="49"/>
      <c r="D2274" s="8" t="s">
        <v>2357</v>
      </c>
      <c r="E2274" s="7" t="s">
        <v>20</v>
      </c>
      <c r="F2274" s="7">
        <v>2017</v>
      </c>
      <c r="G2274" s="7" t="s">
        <v>17</v>
      </c>
      <c r="H2274" s="7" t="s">
        <v>85</v>
      </c>
      <c r="I2274" s="7" t="s">
        <v>50</v>
      </c>
      <c r="J2274" s="99" t="s">
        <v>3443</v>
      </c>
    </row>
    <row r="2275" spans="1:10" ht="28.9" customHeight="1" thickTop="1" thickBot="1" x14ac:dyDescent="0.65">
      <c r="A2275" s="7">
        <v>2273</v>
      </c>
      <c r="B2275" s="48" t="str">
        <f>HYPERLINK("https://search.naver.com/search.naver?query=오자크 시즌2", "오자크 시즌2")</f>
        <v>오자크 시즌2</v>
      </c>
      <c r="C2275" s="49"/>
      <c r="D2275" s="8" t="s">
        <v>2357</v>
      </c>
      <c r="E2275" s="7" t="s">
        <v>20</v>
      </c>
      <c r="F2275" s="7">
        <v>2018</v>
      </c>
      <c r="G2275" s="7" t="s">
        <v>17</v>
      </c>
      <c r="H2275" s="7" t="s">
        <v>85</v>
      </c>
      <c r="I2275" s="7" t="s">
        <v>50</v>
      </c>
      <c r="J2275" s="99" t="s">
        <v>3442</v>
      </c>
    </row>
    <row r="2276" spans="1:10" ht="28.9" customHeight="1" thickTop="1" thickBot="1" x14ac:dyDescent="0.65">
      <c r="A2276" s="7">
        <v>2274</v>
      </c>
      <c r="B2276" s="48" t="str">
        <f>HYPERLINK("https://search.naver.com/search.naver?query=오자크 시즌3", "오자크 시즌3")</f>
        <v>오자크 시즌3</v>
      </c>
      <c r="C2276" s="49"/>
      <c r="D2276" s="8" t="s">
        <v>2357</v>
      </c>
      <c r="E2276" s="7" t="s">
        <v>20</v>
      </c>
      <c r="F2276" s="7">
        <v>2019</v>
      </c>
      <c r="G2276" s="7" t="s">
        <v>17</v>
      </c>
      <c r="H2276" s="7" t="s">
        <v>85</v>
      </c>
      <c r="I2276" s="7" t="s">
        <v>527</v>
      </c>
      <c r="J2276" s="99" t="s">
        <v>3444</v>
      </c>
    </row>
    <row r="2277" spans="1:10" ht="28.9" customHeight="1" thickTop="1" thickBot="1" x14ac:dyDescent="0.65">
      <c r="A2277" s="7">
        <v>2275</v>
      </c>
      <c r="B2277" s="48" t="str">
        <f>HYPERLINK("https://search.naver.com/search.naver?query=오자크 시즌4", "오자크 시즌4")</f>
        <v>오자크 시즌4</v>
      </c>
      <c r="C2277" s="49"/>
      <c r="D2277" s="8" t="s">
        <v>2357</v>
      </c>
      <c r="E2277" s="7" t="s">
        <v>20</v>
      </c>
      <c r="F2277" s="7">
        <v>2022</v>
      </c>
      <c r="G2277" s="7" t="s">
        <v>17</v>
      </c>
      <c r="H2277" s="7" t="s">
        <v>85</v>
      </c>
      <c r="I2277" s="7" t="s">
        <v>163</v>
      </c>
      <c r="J2277" s="99" t="s">
        <v>3445</v>
      </c>
    </row>
    <row r="2278" spans="1:10" ht="28.9" customHeight="1" thickTop="1" thickBot="1" x14ac:dyDescent="0.65">
      <c r="A2278" s="5">
        <v>2276</v>
      </c>
      <c r="B2278" s="46" t="str">
        <f>HYPERLINK("https://search.naver.com/search.naver?query=오즈랜드 웃음의 마법을 가르칩니다 영화", "오즈랜드 웃음의 마법을 가르칩니다")</f>
        <v>오즈랜드 웃음의 마법을 가르칩니다</v>
      </c>
      <c r="C2278" s="47"/>
      <c r="D2278" s="6" t="s">
        <v>2358</v>
      </c>
      <c r="E2278" s="5" t="s">
        <v>16</v>
      </c>
      <c r="F2278" s="5">
        <v>2018</v>
      </c>
      <c r="G2278" s="5" t="s">
        <v>12</v>
      </c>
      <c r="H2278" s="5" t="s">
        <v>17</v>
      </c>
      <c r="I2278" s="5" t="s">
        <v>111</v>
      </c>
      <c r="J2278" s="98" t="s">
        <v>3442</v>
      </c>
    </row>
    <row r="2279" spans="1:10" ht="28.9" customHeight="1" thickTop="1" thickBot="1" x14ac:dyDescent="0.65">
      <c r="A2279" s="3">
        <v>2277</v>
      </c>
      <c r="B2279" s="44" t="str">
        <f>HYPERLINK("https://search.naver.com/search.naver?query=오직 그대만 영화", "오직 그대만")</f>
        <v>오직 그대만</v>
      </c>
      <c r="C2279" s="45">
        <v>9.16</v>
      </c>
      <c r="D2279" s="4" t="s">
        <v>2359</v>
      </c>
      <c r="E2279" s="3" t="s">
        <v>11</v>
      </c>
      <c r="F2279" s="3">
        <v>2011</v>
      </c>
      <c r="G2279" s="3" t="s">
        <v>12</v>
      </c>
      <c r="H2279" s="3" t="s">
        <v>121</v>
      </c>
      <c r="I2279" s="3" t="s">
        <v>128</v>
      </c>
      <c r="J2279" s="97" t="s">
        <v>3454</v>
      </c>
    </row>
    <row r="2280" spans="1:10" ht="28.9" customHeight="1" thickTop="1" thickBot="1" x14ac:dyDescent="0.65">
      <c r="A2280" s="5">
        <v>2278</v>
      </c>
      <c r="B2280" s="46" t="str">
        <f>HYPERLINK("https://search.naver.com/search.naver?query=오직 사랑뿐 영화", "오직 사랑뿐")</f>
        <v>오직 사랑뿐</v>
      </c>
      <c r="C2280" s="47">
        <v>8.56</v>
      </c>
      <c r="D2280" s="6" t="s">
        <v>2360</v>
      </c>
      <c r="E2280" s="5" t="s">
        <v>24</v>
      </c>
      <c r="F2280" s="5">
        <v>2018</v>
      </c>
      <c r="G2280" s="5" t="s">
        <v>12</v>
      </c>
      <c r="H2280" s="5" t="s">
        <v>17</v>
      </c>
      <c r="I2280" s="5" t="s">
        <v>102</v>
      </c>
      <c r="J2280" s="98" t="s">
        <v>3442</v>
      </c>
    </row>
    <row r="2281" spans="1:10" ht="28.9" customHeight="1" thickTop="1" thickBot="1" x14ac:dyDescent="0.65">
      <c r="A2281" s="7">
        <v>2279</v>
      </c>
      <c r="B2281" s="48" t="str">
        <f>HYPERLINK("https://search.naver.com/search.naver?query=오징어 게임 시즌1", "오징어 게임 시즌1")</f>
        <v>오징어 게임 시즌1</v>
      </c>
      <c r="C2281" s="49"/>
      <c r="D2281" s="8" t="s">
        <v>2361</v>
      </c>
      <c r="E2281" s="7" t="s">
        <v>11</v>
      </c>
      <c r="F2281" s="7">
        <v>2021</v>
      </c>
      <c r="G2281" s="7" t="s">
        <v>17</v>
      </c>
      <c r="H2281" s="7" t="s">
        <v>13</v>
      </c>
      <c r="I2281" s="7" t="s">
        <v>242</v>
      </c>
      <c r="J2281" s="99" t="s">
        <v>3438</v>
      </c>
    </row>
    <row r="2282" spans="1:10" ht="28.9" customHeight="1" thickTop="1" thickBot="1" x14ac:dyDescent="0.65">
      <c r="A2282" s="7">
        <v>2280</v>
      </c>
      <c r="B2282" s="48" t="str">
        <f>HYPERLINK("https://search.naver.com/search.naver?query=오징어 게임 시즌2", "오징어 게임 시즌2")</f>
        <v>오징어 게임 시즌2</v>
      </c>
      <c r="C2282" s="49"/>
      <c r="D2282" s="8" t="s">
        <v>2362</v>
      </c>
      <c r="E2282" s="7" t="s">
        <v>11</v>
      </c>
      <c r="F2282" s="7">
        <v>2024</v>
      </c>
      <c r="G2282" s="7" t="s">
        <v>17</v>
      </c>
      <c r="H2282" s="7" t="s">
        <v>13</v>
      </c>
      <c r="I2282" s="7" t="s">
        <v>324</v>
      </c>
      <c r="J2282" s="99" t="s">
        <v>3448</v>
      </c>
    </row>
    <row r="2283" spans="1:10" ht="28.9" customHeight="1" thickTop="1" thickBot="1" x14ac:dyDescent="0.65">
      <c r="A2283" s="7">
        <v>2281</v>
      </c>
      <c r="B2283" s="48" t="str">
        <f>HYPERLINK("https://search.naver.com/search.naver?query=오징어 게임 시즌3", "오징어 게임 시즌3")</f>
        <v>오징어 게임 시즌3</v>
      </c>
      <c r="C2283" s="49"/>
      <c r="D2283" s="8" t="s">
        <v>2362</v>
      </c>
      <c r="E2283" s="7" t="s">
        <v>11</v>
      </c>
      <c r="F2283" s="7">
        <v>2025</v>
      </c>
      <c r="G2283" s="7" t="s">
        <v>17</v>
      </c>
      <c r="H2283" s="7" t="s">
        <v>13</v>
      </c>
      <c r="I2283" s="7" t="s">
        <v>173</v>
      </c>
      <c r="J2283" s="99" t="s">
        <v>3459</v>
      </c>
    </row>
    <row r="2284" spans="1:10" ht="28.9" customHeight="1" thickTop="1" thickBot="1" x14ac:dyDescent="0.65">
      <c r="A2284" s="5">
        <v>2282</v>
      </c>
      <c r="B2284" s="46" t="str">
        <f>HYPERLINK("https://search.naver.com/search.naver?query=오케이 마담 영화", "오케이 마담")</f>
        <v>오케이 마담</v>
      </c>
      <c r="C2284" s="47"/>
      <c r="D2284" s="6" t="s">
        <v>2363</v>
      </c>
      <c r="E2284" s="5" t="s">
        <v>11</v>
      </c>
      <c r="F2284" s="5">
        <v>2020</v>
      </c>
      <c r="G2284" s="5" t="s">
        <v>12</v>
      </c>
      <c r="H2284" s="5" t="s">
        <v>68</v>
      </c>
      <c r="I2284" s="5" t="s">
        <v>81</v>
      </c>
      <c r="J2284" s="98" t="s">
        <v>3436</v>
      </c>
    </row>
    <row r="2285" spans="1:10" ht="28.9" customHeight="1" thickTop="1" thickBot="1" x14ac:dyDescent="0.65">
      <c r="A2285" s="3">
        <v>2283</v>
      </c>
      <c r="B2285" s="44" t="str">
        <f>HYPERLINK("https://search.naver.com/search.naver?query=오토라는 남자 영화", "오토라는 남자")</f>
        <v>오토라는 남자</v>
      </c>
      <c r="C2285" s="45">
        <v>8.2100000000000009</v>
      </c>
      <c r="D2285" s="4" t="s">
        <v>2364</v>
      </c>
      <c r="E2285" s="3" t="s">
        <v>20</v>
      </c>
      <c r="F2285" s="3">
        <v>2022</v>
      </c>
      <c r="G2285" s="3" t="s">
        <v>12</v>
      </c>
      <c r="H2285" s="3" t="s">
        <v>17</v>
      </c>
      <c r="I2285" s="3" t="s">
        <v>78</v>
      </c>
      <c r="J2285" s="97" t="s">
        <v>3445</v>
      </c>
    </row>
    <row r="2286" spans="1:10" ht="28.9" customHeight="1" thickTop="1" thickBot="1" x14ac:dyDescent="0.65">
      <c r="A2286" s="5">
        <v>2284</v>
      </c>
      <c r="B2286" s="46" t="str">
        <f>HYPERLINK("https://search.naver.com/search.naver?query=오토만 루테넌트 영화", "오토만 루테넌트")</f>
        <v>오토만 루테넌트</v>
      </c>
      <c r="C2286" s="47"/>
      <c r="D2286" s="6" t="s">
        <v>2365</v>
      </c>
      <c r="E2286" s="5" t="s">
        <v>20</v>
      </c>
      <c r="F2286" s="5">
        <v>2017</v>
      </c>
      <c r="G2286" s="5" t="s">
        <v>12</v>
      </c>
      <c r="H2286" s="5" t="s">
        <v>17</v>
      </c>
      <c r="I2286" s="5" t="s">
        <v>286</v>
      </c>
      <c r="J2286" s="98" t="s">
        <v>3443</v>
      </c>
    </row>
    <row r="2287" spans="1:10" ht="28.9" customHeight="1" thickTop="1" thickBot="1" x14ac:dyDescent="0.65">
      <c r="A2287" s="7">
        <v>2285</v>
      </c>
      <c r="B2287" s="48" t="str">
        <f>HYPERLINK("https://search.naver.com/search.naver?query=오티스의 비밀 상담소 시즌1", "오티스의 비밀 상담소 시즌1")</f>
        <v>오티스의 비밀 상담소 시즌1</v>
      </c>
      <c r="C2287" s="49"/>
      <c r="D2287" s="8" t="s">
        <v>2366</v>
      </c>
      <c r="E2287" s="7" t="s">
        <v>24</v>
      </c>
      <c r="F2287" s="7">
        <v>2019</v>
      </c>
      <c r="G2287" s="7" t="s">
        <v>17</v>
      </c>
      <c r="H2287" s="7" t="s">
        <v>130</v>
      </c>
      <c r="I2287" s="7" t="s">
        <v>55</v>
      </c>
      <c r="J2287" s="99" t="s">
        <v>3444</v>
      </c>
    </row>
    <row r="2288" spans="1:10" ht="28.9" customHeight="1" thickTop="1" thickBot="1" x14ac:dyDescent="0.65">
      <c r="A2288" s="7">
        <v>2286</v>
      </c>
      <c r="B2288" s="48" t="str">
        <f>HYPERLINK("https://search.naver.com/search.naver?query=오티스의 비밀 상담소 시즌2", "오티스의 비밀 상담소 시즌2")</f>
        <v>오티스의 비밀 상담소 시즌2</v>
      </c>
      <c r="C2288" s="49"/>
      <c r="D2288" s="8" t="s">
        <v>2366</v>
      </c>
      <c r="E2288" s="7" t="s">
        <v>24</v>
      </c>
      <c r="F2288" s="7">
        <v>2020</v>
      </c>
      <c r="G2288" s="7" t="s">
        <v>17</v>
      </c>
      <c r="H2288" s="7" t="s">
        <v>130</v>
      </c>
      <c r="I2288" s="7" t="s">
        <v>55</v>
      </c>
      <c r="J2288" s="99" t="s">
        <v>3436</v>
      </c>
    </row>
    <row r="2289" spans="1:10" ht="28.9" customHeight="1" thickTop="1" thickBot="1" x14ac:dyDescent="0.65">
      <c r="A2289" s="7">
        <v>2287</v>
      </c>
      <c r="B2289" s="48" t="str">
        <f>HYPERLINK("https://search.naver.com/search.naver?query=오티스의 비밀 상담소 시즌3", "오티스의 비밀 상담소 시즌3")</f>
        <v>오티스의 비밀 상담소 시즌3</v>
      </c>
      <c r="C2289" s="49"/>
      <c r="D2289" s="8" t="s">
        <v>2366</v>
      </c>
      <c r="E2289" s="7" t="s">
        <v>24</v>
      </c>
      <c r="F2289" s="7">
        <v>2021</v>
      </c>
      <c r="G2289" s="7" t="s">
        <v>17</v>
      </c>
      <c r="H2289" s="7" t="s">
        <v>130</v>
      </c>
      <c r="I2289" s="7" t="s">
        <v>55</v>
      </c>
      <c r="J2289" s="99" t="s">
        <v>3438</v>
      </c>
    </row>
    <row r="2290" spans="1:10" ht="28.9" customHeight="1" thickTop="1" thickBot="1" x14ac:dyDescent="0.65">
      <c r="A2290" s="7">
        <v>2288</v>
      </c>
      <c r="B2290" s="48" t="str">
        <f>HYPERLINK("https://search.naver.com/search.naver?query=오티스의 비밀 상담소 시즌4", "오티스의 비밀 상담소 시즌4")</f>
        <v>오티스의 비밀 상담소 시즌4</v>
      </c>
      <c r="C2290" s="49"/>
      <c r="D2290" s="8" t="s">
        <v>2367</v>
      </c>
      <c r="E2290" s="7" t="s">
        <v>24</v>
      </c>
      <c r="F2290" s="7">
        <v>2023</v>
      </c>
      <c r="G2290" s="7" t="s">
        <v>17</v>
      </c>
      <c r="H2290" s="7" t="s">
        <v>130</v>
      </c>
      <c r="I2290" s="7" t="s">
        <v>55</v>
      </c>
      <c r="J2290" s="99" t="s">
        <v>3446</v>
      </c>
    </row>
    <row r="2291" spans="1:10" ht="28.9" customHeight="1" thickTop="1" thickBot="1" x14ac:dyDescent="0.65">
      <c r="A2291" s="3">
        <v>2289</v>
      </c>
      <c r="B2291" s="44" t="str">
        <f>HYPERLINK("https://search.naver.com/search.naver?query=오퍼레이션 레드 씨 영화", "오퍼레이션 레드 씨")</f>
        <v>오퍼레이션 레드 씨</v>
      </c>
      <c r="C2291" s="45">
        <v>6.4</v>
      </c>
      <c r="D2291" s="4" t="s">
        <v>2368</v>
      </c>
      <c r="E2291" s="3" t="s">
        <v>136</v>
      </c>
      <c r="F2291" s="3">
        <v>2018</v>
      </c>
      <c r="G2291" s="3" t="s">
        <v>12</v>
      </c>
      <c r="H2291" s="3" t="s">
        <v>92</v>
      </c>
      <c r="I2291" s="3" t="s">
        <v>619</v>
      </c>
      <c r="J2291" s="97" t="s">
        <v>3442</v>
      </c>
    </row>
    <row r="2292" spans="1:10" ht="28.9" customHeight="1" thickTop="1" thickBot="1" x14ac:dyDescent="0.65">
      <c r="A2292" s="5">
        <v>2290</v>
      </c>
      <c r="B2292" s="46" t="str">
        <f>HYPERLINK("https://search.naver.com/search.naver?query=오퍼레이션 피날레 영화", "오퍼레이션 피날레")</f>
        <v>오퍼레이션 피날레</v>
      </c>
      <c r="C2292" s="47">
        <v>8.24</v>
      </c>
      <c r="D2292" s="6" t="s">
        <v>2369</v>
      </c>
      <c r="E2292" s="5" t="s">
        <v>20</v>
      </c>
      <c r="F2292" s="5">
        <v>2018</v>
      </c>
      <c r="G2292" s="5" t="s">
        <v>12</v>
      </c>
      <c r="H2292" s="5" t="s">
        <v>17</v>
      </c>
      <c r="I2292" s="5" t="s">
        <v>105</v>
      </c>
      <c r="J2292" s="98" t="s">
        <v>3442</v>
      </c>
    </row>
    <row r="2293" spans="1:10" ht="28.9" customHeight="1" thickTop="1" thickBot="1" x14ac:dyDescent="0.65">
      <c r="A2293" s="3">
        <v>2291</v>
      </c>
      <c r="B2293" s="44" t="str">
        <f>HYPERLINK("https://search.naver.com/search.naver?query=오펜하이머 영화", "오펜하이머")</f>
        <v>오펜하이머</v>
      </c>
      <c r="C2293" s="45">
        <v>8.51</v>
      </c>
      <c r="D2293" s="4" t="s">
        <v>2370</v>
      </c>
      <c r="E2293" s="3" t="s">
        <v>20</v>
      </c>
      <c r="F2293" s="3">
        <v>2023</v>
      </c>
      <c r="G2293" s="3" t="s">
        <v>12</v>
      </c>
      <c r="H2293" s="3" t="s">
        <v>17</v>
      </c>
      <c r="I2293" s="3" t="s">
        <v>801</v>
      </c>
      <c r="J2293" s="97" t="s">
        <v>3446</v>
      </c>
    </row>
    <row r="2294" spans="1:10" ht="28.9" customHeight="1" thickTop="1" thickBot="1" x14ac:dyDescent="0.65">
      <c r="A2294" s="5">
        <v>2292</v>
      </c>
      <c r="B2294" s="46" t="str">
        <f>HYPERLINK("https://search.naver.com/search.naver?query=오피셜 시크릿 영화", "오피셜 시크릿")</f>
        <v>오피셜 시크릿</v>
      </c>
      <c r="C2294" s="47">
        <v>9.3800000000000008</v>
      </c>
      <c r="D2294" s="6" t="s">
        <v>2371</v>
      </c>
      <c r="E2294" s="5" t="s">
        <v>24</v>
      </c>
      <c r="F2294" s="5">
        <v>2019</v>
      </c>
      <c r="G2294" s="5" t="s">
        <v>12</v>
      </c>
      <c r="H2294" s="5" t="s">
        <v>17</v>
      </c>
      <c r="I2294" s="5" t="s">
        <v>278</v>
      </c>
      <c r="J2294" s="98" t="s">
        <v>3444</v>
      </c>
    </row>
    <row r="2295" spans="1:10" ht="28.9" customHeight="1" thickTop="1" thickBot="1" x14ac:dyDescent="0.65">
      <c r="A2295" s="3">
        <v>2293</v>
      </c>
      <c r="B2295" s="44" t="str">
        <f>HYPERLINK("https://search.naver.com/search.naver?query=오필리아 영화", "오필리아")</f>
        <v>오필리아</v>
      </c>
      <c r="C2295" s="45">
        <v>7.49</v>
      </c>
      <c r="D2295" s="4" t="s">
        <v>2372</v>
      </c>
      <c r="E2295" s="3" t="s">
        <v>24</v>
      </c>
      <c r="F2295" s="3">
        <v>2018</v>
      </c>
      <c r="G2295" s="3" t="s">
        <v>12</v>
      </c>
      <c r="H2295" s="3" t="s">
        <v>17</v>
      </c>
      <c r="I2295" s="3" t="s">
        <v>286</v>
      </c>
      <c r="J2295" s="97" t="s">
        <v>3442</v>
      </c>
    </row>
    <row r="2296" spans="1:10" ht="28.9" customHeight="1" thickTop="1" thickBot="1" x14ac:dyDescent="0.65">
      <c r="A2296" s="5">
        <v>2294</v>
      </c>
      <c r="B2296" s="46" t="str">
        <f>HYPERLINK("https://search.naver.com/search.naver?query=오하이오 삿포로 영화", "오하이오 삿포로")</f>
        <v>오하이오 삿포로</v>
      </c>
      <c r="C2296" s="47">
        <v>8.6</v>
      </c>
      <c r="D2296" s="6" t="s">
        <v>2373</v>
      </c>
      <c r="E2296" s="5" t="s">
        <v>11</v>
      </c>
      <c r="F2296" s="5">
        <v>2011</v>
      </c>
      <c r="G2296" s="5" t="s">
        <v>12</v>
      </c>
      <c r="H2296" s="5" t="s">
        <v>17</v>
      </c>
      <c r="I2296" s="5" t="s">
        <v>111</v>
      </c>
      <c r="J2296" s="98" t="s">
        <v>3454</v>
      </c>
    </row>
    <row r="2297" spans="1:10" ht="28.9" customHeight="1" thickTop="1" thickBot="1" x14ac:dyDescent="0.65">
      <c r="A2297" s="3">
        <v>2295</v>
      </c>
      <c r="B2297" s="44" t="str">
        <f>HYPERLINK("https://search.naver.com/search.naver?query=옥자 영화", "옥자")</f>
        <v>옥자</v>
      </c>
      <c r="C2297" s="45">
        <v>8.77</v>
      </c>
      <c r="D2297" s="4" t="s">
        <v>2374</v>
      </c>
      <c r="E2297" s="3" t="s">
        <v>11</v>
      </c>
      <c r="F2297" s="3">
        <v>2017</v>
      </c>
      <c r="G2297" s="3" t="s">
        <v>12</v>
      </c>
      <c r="H2297" s="3" t="s">
        <v>824</v>
      </c>
      <c r="I2297" s="3" t="s">
        <v>86</v>
      </c>
      <c r="J2297" s="97" t="s">
        <v>3443</v>
      </c>
    </row>
    <row r="2298" spans="1:10" ht="28.9" customHeight="1" thickTop="1" thickBot="1" x14ac:dyDescent="0.65">
      <c r="A2298" s="5">
        <v>2296</v>
      </c>
      <c r="B2298" s="46" t="str">
        <f>HYPERLINK("https://search.naver.com/search.naver?query=옥토버 스카이 영화", "옥토버 스카이")</f>
        <v>옥토버 스카이</v>
      </c>
      <c r="C2298" s="47">
        <v>9.7100000000000009</v>
      </c>
      <c r="D2298" s="6" t="s">
        <v>2375</v>
      </c>
      <c r="E2298" s="5" t="s">
        <v>20</v>
      </c>
      <c r="F2298" s="5">
        <v>1999</v>
      </c>
      <c r="G2298" s="5" t="s">
        <v>12</v>
      </c>
      <c r="H2298" s="5" t="s">
        <v>17</v>
      </c>
      <c r="I2298" s="5" t="s">
        <v>31</v>
      </c>
      <c r="J2298" s="98" t="s">
        <v>3456</v>
      </c>
    </row>
    <row r="2299" spans="1:10" ht="28.9" customHeight="1" thickTop="1" thickBot="1" x14ac:dyDescent="0.65">
      <c r="A2299" s="3">
        <v>2297</v>
      </c>
      <c r="B2299" s="44" t="str">
        <f>HYPERLINK("https://search.naver.com/search.naver?query=온 더 락스 영화", "온 더 락스")</f>
        <v>온 더 락스</v>
      </c>
      <c r="C2299" s="45">
        <v>6.33</v>
      </c>
      <c r="D2299" s="4" t="s">
        <v>2376</v>
      </c>
      <c r="E2299" s="3" t="s">
        <v>20</v>
      </c>
      <c r="F2299" s="3">
        <v>2020</v>
      </c>
      <c r="G2299" s="3" t="s">
        <v>12</v>
      </c>
      <c r="H2299" s="3" t="s">
        <v>68</v>
      </c>
      <c r="I2299" s="3" t="s">
        <v>61</v>
      </c>
      <c r="J2299" s="97" t="s">
        <v>3436</v>
      </c>
    </row>
    <row r="2300" spans="1:10" ht="28.9" customHeight="1" thickTop="1" thickBot="1" x14ac:dyDescent="0.65">
      <c r="A2300" s="5">
        <v>2298</v>
      </c>
      <c r="B2300" s="46" t="str">
        <f>HYPERLINK("https://search.naver.com/search.naver?query=온리 더 브레이브 영화", "온리 더 브레이브")</f>
        <v>온리 더 브레이브</v>
      </c>
      <c r="C2300" s="47">
        <v>9.2200000000000006</v>
      </c>
      <c r="D2300" s="6" t="s">
        <v>2377</v>
      </c>
      <c r="E2300" s="5" t="s">
        <v>20</v>
      </c>
      <c r="F2300" s="5">
        <v>2017</v>
      </c>
      <c r="G2300" s="5" t="s">
        <v>12</v>
      </c>
      <c r="H2300" s="5" t="s">
        <v>17</v>
      </c>
      <c r="I2300" s="5" t="s">
        <v>83</v>
      </c>
      <c r="J2300" s="98" t="s">
        <v>3443</v>
      </c>
    </row>
    <row r="2301" spans="1:10" ht="28.9" customHeight="1" thickTop="1" thickBot="1" x14ac:dyDescent="0.65">
      <c r="A2301" s="3">
        <v>2299</v>
      </c>
      <c r="B2301" s="44" t="str">
        <f>HYPERLINK("https://search.naver.com/search.naver?query=올 굿 에브리씽 영화", "올 굿 에브리씽")</f>
        <v>올 굿 에브리씽</v>
      </c>
      <c r="C2301" s="45"/>
      <c r="D2301" s="4" t="s">
        <v>2378</v>
      </c>
      <c r="E2301" s="3" t="s">
        <v>20</v>
      </c>
      <c r="F2301" s="3">
        <v>2010</v>
      </c>
      <c r="G2301" s="3" t="s">
        <v>12</v>
      </c>
      <c r="H2301" s="3" t="s">
        <v>17</v>
      </c>
      <c r="I2301" s="3" t="s">
        <v>70</v>
      </c>
      <c r="J2301" s="97" t="s">
        <v>3455</v>
      </c>
    </row>
    <row r="2302" spans="1:10" ht="28.9" customHeight="1" thickTop="1" thickBot="1" x14ac:dyDescent="0.65">
      <c r="A2302" s="5">
        <v>2300</v>
      </c>
      <c r="B2302" s="46" t="str">
        <f>HYPERLINK("https://search.naver.com/search.naver?query=올 더 머니 영화", "올 더 머니")</f>
        <v>올 더 머니</v>
      </c>
      <c r="C2302" s="47">
        <v>8.52</v>
      </c>
      <c r="D2302" s="6" t="s">
        <v>2379</v>
      </c>
      <c r="E2302" s="5" t="s">
        <v>20</v>
      </c>
      <c r="F2302" s="5">
        <v>2017</v>
      </c>
      <c r="G2302" s="5" t="s">
        <v>12</v>
      </c>
      <c r="H2302" s="5" t="s">
        <v>17</v>
      </c>
      <c r="I2302" s="5" t="s">
        <v>350</v>
      </c>
      <c r="J2302" s="98" t="s">
        <v>3443</v>
      </c>
    </row>
    <row r="2303" spans="1:10" ht="28.9" customHeight="1" thickTop="1" thickBot="1" x14ac:dyDescent="0.65">
      <c r="A2303" s="3">
        <v>2301</v>
      </c>
      <c r="B2303" s="44" t="str">
        <f>HYPERLINK("https://search.naver.com/search.naver?query=올 디 올드 나이브스 영화", "올 디 올드 나이브스")</f>
        <v>올 디 올드 나이브스</v>
      </c>
      <c r="C2303" s="45">
        <v>6.4</v>
      </c>
      <c r="D2303" s="4" t="s">
        <v>2380</v>
      </c>
      <c r="E2303" s="3" t="s">
        <v>20</v>
      </c>
      <c r="F2303" s="3">
        <v>2022</v>
      </c>
      <c r="G2303" s="3" t="s">
        <v>12</v>
      </c>
      <c r="H2303" s="3" t="s">
        <v>43</v>
      </c>
      <c r="I2303" s="3" t="s">
        <v>70</v>
      </c>
      <c r="J2303" s="97" t="s">
        <v>3445</v>
      </c>
    </row>
    <row r="2304" spans="1:10" ht="28.9" customHeight="1" thickTop="1" thickBot="1" x14ac:dyDescent="0.65">
      <c r="A2304" s="5">
        <v>2302</v>
      </c>
      <c r="B2304" s="46" t="str">
        <f>HYPERLINK("https://search.naver.com/search.naver?query=올 마이 라이프 영화", "올 마이 라이프")</f>
        <v>올 마이 라이프</v>
      </c>
      <c r="C2304" s="47">
        <v>6.4</v>
      </c>
      <c r="D2304" s="6" t="s">
        <v>2381</v>
      </c>
      <c r="E2304" s="5" t="s">
        <v>20</v>
      </c>
      <c r="F2304" s="5">
        <v>2020</v>
      </c>
      <c r="G2304" s="5" t="s">
        <v>12</v>
      </c>
      <c r="H2304" s="5" t="s">
        <v>17</v>
      </c>
      <c r="I2304" s="5" t="s">
        <v>93</v>
      </c>
      <c r="J2304" s="98" t="s">
        <v>3436</v>
      </c>
    </row>
    <row r="2305" spans="1:10" ht="28.9" customHeight="1" thickTop="1" thickBot="1" x14ac:dyDescent="0.65">
      <c r="A2305" s="7">
        <v>2303</v>
      </c>
      <c r="B2305" s="48" t="str">
        <f>HYPERLINK("https://search.naver.com/search.naver?query=올 허 폴트: 그날의 책임", "올 허 폴트: 그날의 책임")</f>
        <v>올 허 폴트: 그날의 책임</v>
      </c>
      <c r="C2305" s="49"/>
      <c r="D2305" s="8" t="s">
        <v>2382</v>
      </c>
      <c r="E2305" s="7" t="s">
        <v>20</v>
      </c>
      <c r="F2305" s="7">
        <v>2025</v>
      </c>
      <c r="G2305" s="7" t="s">
        <v>17</v>
      </c>
      <c r="H2305" s="7" t="s">
        <v>17</v>
      </c>
      <c r="I2305" s="7" t="s">
        <v>55</v>
      </c>
      <c r="J2305" s="99" t="s">
        <v>3459</v>
      </c>
    </row>
    <row r="2306" spans="1:10" ht="28.9" customHeight="1" thickTop="1" thickBot="1" x14ac:dyDescent="0.65">
      <c r="A2306" s="5">
        <v>2304</v>
      </c>
      <c r="B2306" s="46" t="str">
        <f>HYPERLINK("https://search.naver.com/search.naver?query=올드 영화", "올드")</f>
        <v>올드</v>
      </c>
      <c r="C2306" s="47">
        <v>6.9</v>
      </c>
      <c r="D2306" s="6" t="s">
        <v>2383</v>
      </c>
      <c r="E2306" s="5" t="s">
        <v>20</v>
      </c>
      <c r="F2306" s="5">
        <v>2021</v>
      </c>
      <c r="G2306" s="5" t="s">
        <v>12</v>
      </c>
      <c r="H2306" s="5" t="s">
        <v>43</v>
      </c>
      <c r="I2306" s="5" t="s">
        <v>31</v>
      </c>
      <c r="J2306" s="98" t="s">
        <v>3438</v>
      </c>
    </row>
    <row r="2307" spans="1:10" ht="28.9" customHeight="1" thickTop="1" thickBot="1" x14ac:dyDescent="0.65">
      <c r="A2307" s="7">
        <v>2305</v>
      </c>
      <c r="B2307" s="48" t="str">
        <f>HYPERLINK("https://search.naver.com/search.naver?query=올드 맨 시즌2", "올드 맨 시즌2")</f>
        <v>올드 맨 시즌2</v>
      </c>
      <c r="C2307" s="49"/>
      <c r="D2307" s="8" t="s">
        <v>2384</v>
      </c>
      <c r="E2307" s="7" t="s">
        <v>20</v>
      </c>
      <c r="F2307" s="7">
        <v>2024</v>
      </c>
      <c r="G2307" s="7" t="s">
        <v>17</v>
      </c>
      <c r="H2307" s="7" t="s">
        <v>162</v>
      </c>
      <c r="I2307" s="7" t="s">
        <v>55</v>
      </c>
      <c r="J2307" s="99" t="s">
        <v>3448</v>
      </c>
    </row>
    <row r="2308" spans="1:10" ht="28.9" customHeight="1" thickTop="1" thickBot="1" x14ac:dyDescent="0.65">
      <c r="A2308" s="5">
        <v>2306</v>
      </c>
      <c r="B2308" s="46" t="str">
        <f>HYPERLINK("https://search.naver.com/search.naver?query=올드가드 영화", "올드가드")</f>
        <v>올드가드</v>
      </c>
      <c r="C2308" s="47">
        <v>2.5499999999999998</v>
      </c>
      <c r="D2308" s="6" t="s">
        <v>2385</v>
      </c>
      <c r="E2308" s="5" t="s">
        <v>20</v>
      </c>
      <c r="F2308" s="5">
        <v>2020</v>
      </c>
      <c r="G2308" s="5" t="s">
        <v>12</v>
      </c>
      <c r="H2308" s="5" t="s">
        <v>92</v>
      </c>
      <c r="I2308" s="5" t="s">
        <v>214</v>
      </c>
      <c r="J2308" s="98" t="s">
        <v>3436</v>
      </c>
    </row>
    <row r="2309" spans="1:10" ht="28.9" customHeight="1" thickTop="1" thickBot="1" x14ac:dyDescent="0.65">
      <c r="A2309" s="7">
        <v>2307</v>
      </c>
      <c r="B2309" s="48" t="str">
        <f>HYPERLINK("https://search.naver.com/search.naver?query=올드 맨 시즌1", "올드 맨 시즌1")</f>
        <v>올드 맨 시즌1</v>
      </c>
      <c r="C2309" s="49"/>
      <c r="D2309" s="8" t="s">
        <v>2386</v>
      </c>
      <c r="E2309" s="7" t="s">
        <v>20</v>
      </c>
      <c r="F2309" s="7">
        <v>2022</v>
      </c>
      <c r="G2309" s="7" t="s">
        <v>17</v>
      </c>
      <c r="H2309" s="7" t="s">
        <v>162</v>
      </c>
      <c r="I2309" s="7" t="s">
        <v>324</v>
      </c>
      <c r="J2309" s="99" t="s">
        <v>3445</v>
      </c>
    </row>
    <row r="2310" spans="1:10" ht="28.9" customHeight="1" thickTop="1" thickBot="1" x14ac:dyDescent="0.65">
      <c r="A2310" s="5">
        <v>2308</v>
      </c>
      <c r="B2310" s="46" t="str">
        <f>HYPERLINK("https://search.naver.com/search.naver?query=올레 영화", "올레")</f>
        <v>올레</v>
      </c>
      <c r="C2310" s="47">
        <v>8.3699999999999992</v>
      </c>
      <c r="D2310" s="6" t="s">
        <v>2387</v>
      </c>
      <c r="E2310" s="5" t="s">
        <v>11</v>
      </c>
      <c r="F2310" s="5">
        <v>2016</v>
      </c>
      <c r="G2310" s="5" t="s">
        <v>12</v>
      </c>
      <c r="H2310" s="5" t="s">
        <v>17</v>
      </c>
      <c r="I2310" s="5" t="s">
        <v>111</v>
      </c>
      <c r="J2310" s="98" t="s">
        <v>3441</v>
      </c>
    </row>
    <row r="2311" spans="1:10" ht="28.9" customHeight="1" thickTop="1" thickBot="1" x14ac:dyDescent="0.65">
      <c r="A2311" s="3">
        <v>2309</v>
      </c>
      <c r="B2311" s="44" t="str">
        <f>HYPERLINK("https://search.naver.com/search.naver?query=올리버 트위스트 영화", "올리버 트위스트")</f>
        <v>올리버 트위스트</v>
      </c>
      <c r="C2311" s="45">
        <v>7.98</v>
      </c>
      <c r="D2311" s="4" t="s">
        <v>2388</v>
      </c>
      <c r="E2311" s="3" t="s">
        <v>24</v>
      </c>
      <c r="F2311" s="3">
        <v>2005</v>
      </c>
      <c r="G2311" s="3" t="s">
        <v>12</v>
      </c>
      <c r="H2311" s="3" t="s">
        <v>17</v>
      </c>
      <c r="I2311" s="3" t="s">
        <v>34</v>
      </c>
      <c r="J2311" s="97" t="s">
        <v>3461</v>
      </c>
    </row>
    <row r="2312" spans="1:10" ht="28.9" customHeight="1" thickTop="1" thickBot="1" x14ac:dyDescent="0.65">
      <c r="A2312" s="5">
        <v>2310</v>
      </c>
      <c r="B2312" s="46" t="str">
        <f>HYPERLINK("https://search.naver.com/search.naver?query=올빼미 영화", "올빼미")</f>
        <v>올빼미</v>
      </c>
      <c r="C2312" s="47">
        <v>8.6999999999999993</v>
      </c>
      <c r="D2312" s="6" t="s">
        <v>2389</v>
      </c>
      <c r="E2312" s="5" t="s">
        <v>11</v>
      </c>
      <c r="F2312" s="5">
        <v>2022</v>
      </c>
      <c r="G2312" s="5" t="s">
        <v>12</v>
      </c>
      <c r="H2312" s="5" t="s">
        <v>873</v>
      </c>
      <c r="I2312" s="5" t="s">
        <v>221</v>
      </c>
      <c r="J2312" s="98" t="s">
        <v>3445</v>
      </c>
    </row>
    <row r="2313" spans="1:10" ht="28.9" customHeight="1" thickTop="1" thickBot="1" x14ac:dyDescent="0.65">
      <c r="A2313" s="3">
        <v>2311</v>
      </c>
      <c r="B2313" s="44" t="str">
        <f>HYPERLINK("https://search.naver.com/search.naver?query=올웨이즈 3번가의 석양 영화", "올웨이즈 - 3번가의 석양")</f>
        <v>올웨이즈 - 3번가의 석양</v>
      </c>
      <c r="C2313" s="45"/>
      <c r="D2313" s="4" t="s">
        <v>2390</v>
      </c>
      <c r="E2313" s="3" t="s">
        <v>16</v>
      </c>
      <c r="F2313" s="3">
        <v>2005</v>
      </c>
      <c r="G2313" s="3" t="s">
        <v>12</v>
      </c>
      <c r="H2313" s="3" t="s">
        <v>17</v>
      </c>
      <c r="I2313" s="3" t="s">
        <v>83</v>
      </c>
      <c r="J2313" s="97" t="s">
        <v>3461</v>
      </c>
    </row>
    <row r="2314" spans="1:10" ht="28.9" customHeight="1" thickTop="1" thickBot="1" x14ac:dyDescent="0.65">
      <c r="A2314" s="7">
        <v>2312</v>
      </c>
      <c r="B2314" s="48" t="str">
        <f>HYPERLINK("https://search.naver.com/search.naver?query=와이 우먼 킬 시즌1", "와이 우먼 킬 시즌1")</f>
        <v>와이 우먼 킬 시즌1</v>
      </c>
      <c r="C2314" s="49"/>
      <c r="D2314" s="8" t="s">
        <v>2391</v>
      </c>
      <c r="E2314" s="7" t="s">
        <v>20</v>
      </c>
      <c r="F2314" s="7">
        <v>2019</v>
      </c>
      <c r="G2314" s="7" t="s">
        <v>17</v>
      </c>
      <c r="H2314" s="7" t="s">
        <v>17</v>
      </c>
      <c r="I2314" s="7" t="s">
        <v>50</v>
      </c>
      <c r="J2314" s="99" t="s">
        <v>3444</v>
      </c>
    </row>
    <row r="2315" spans="1:10" ht="28.9" customHeight="1" thickTop="1" thickBot="1" x14ac:dyDescent="0.65">
      <c r="A2315" s="7">
        <v>2313</v>
      </c>
      <c r="B2315" s="48" t="str">
        <f>HYPERLINK("https://search.naver.com/search.naver?query=와이 우먼 킬 시즌2", "와이 우먼 킬 시즌2")</f>
        <v>와이 우먼 킬 시즌2</v>
      </c>
      <c r="C2315" s="49"/>
      <c r="D2315" s="8" t="s">
        <v>2391</v>
      </c>
      <c r="E2315" s="7" t="s">
        <v>20</v>
      </c>
      <c r="F2315" s="7">
        <v>2021</v>
      </c>
      <c r="G2315" s="7" t="s">
        <v>17</v>
      </c>
      <c r="H2315" s="7" t="s">
        <v>17</v>
      </c>
      <c r="I2315" s="7" t="s">
        <v>50</v>
      </c>
      <c r="J2315" s="99" t="s">
        <v>3438</v>
      </c>
    </row>
    <row r="2316" spans="1:10" s="58" customFormat="1" ht="28.9" customHeight="1" thickTop="1" thickBot="1" x14ac:dyDescent="0.65">
      <c r="A2316" s="26">
        <v>2314</v>
      </c>
      <c r="B2316" s="87" t="str">
        <f>HYPERLINK("https://search.naver.com/search.naver?query=와인을 향한 열정 영화", "와인을 향한 열정")</f>
        <v>와인을 향한 열정</v>
      </c>
      <c r="C2316" s="57"/>
      <c r="D2316" s="30" t="s">
        <v>3530</v>
      </c>
      <c r="E2316" s="26" t="s">
        <v>3528</v>
      </c>
      <c r="F2316" s="26">
        <v>2013</v>
      </c>
      <c r="G2316" s="26" t="s">
        <v>3518</v>
      </c>
      <c r="H2316" s="26" t="s">
        <v>3518</v>
      </c>
      <c r="I2316" s="26" t="s">
        <v>3529</v>
      </c>
      <c r="J2316" s="104" t="s">
        <v>3451</v>
      </c>
    </row>
    <row r="2317" spans="1:10" ht="28.9" customHeight="1" thickTop="1" thickBot="1" x14ac:dyDescent="0.65">
      <c r="A2317" s="3">
        <v>2315</v>
      </c>
      <c r="B2317" s="44" t="str">
        <f>HYPERLINK("https://search.naver.com/search.naver?query=와일드 영화", "와일드")</f>
        <v>와일드</v>
      </c>
      <c r="C2317" s="45">
        <v>8.66</v>
      </c>
      <c r="D2317" s="4" t="s">
        <v>2392</v>
      </c>
      <c r="E2317" s="3" t="s">
        <v>20</v>
      </c>
      <c r="F2317" s="3">
        <v>2014</v>
      </c>
      <c r="G2317" s="3" t="s">
        <v>12</v>
      </c>
      <c r="H2317" s="3" t="s">
        <v>17</v>
      </c>
      <c r="I2317" s="3" t="s">
        <v>47</v>
      </c>
      <c r="J2317" s="97" t="s">
        <v>3437</v>
      </c>
    </row>
    <row r="2318" spans="1:10" ht="28.9" customHeight="1" thickTop="1" thickBot="1" x14ac:dyDescent="0.65">
      <c r="A2318" s="5">
        <v>2316</v>
      </c>
      <c r="B2318" s="46" t="str">
        <f>HYPERLINK("https://search.naver.com/search.naver?query=와일드 로즈 영화", "와일드 로즈")</f>
        <v>와일드 로즈</v>
      </c>
      <c r="C2318" s="47">
        <v>8.9</v>
      </c>
      <c r="D2318" s="6" t="s">
        <v>2393</v>
      </c>
      <c r="E2318" s="5" t="s">
        <v>24</v>
      </c>
      <c r="F2318" s="5">
        <v>2018</v>
      </c>
      <c r="G2318" s="5" t="s">
        <v>12</v>
      </c>
      <c r="H2318" s="5" t="s">
        <v>17</v>
      </c>
      <c r="I2318" s="5" t="s">
        <v>70</v>
      </c>
      <c r="J2318" s="98" t="s">
        <v>3442</v>
      </c>
    </row>
    <row r="2319" spans="1:10" ht="28.9" customHeight="1" thickTop="1" thickBot="1" x14ac:dyDescent="0.65">
      <c r="A2319" s="3">
        <v>2317</v>
      </c>
      <c r="B2319" s="44" t="str">
        <f>HYPERLINK("https://search.naver.com/search.naver?query=와일드 마운틴 타임 영화", "와일드 마운틴 타임")</f>
        <v>와일드 마운틴 타임</v>
      </c>
      <c r="C2319" s="45">
        <v>8.02</v>
      </c>
      <c r="D2319" s="4" t="s">
        <v>2394</v>
      </c>
      <c r="E2319" s="3" t="s">
        <v>24</v>
      </c>
      <c r="F2319" s="3">
        <v>2020</v>
      </c>
      <c r="G2319" s="3" t="s">
        <v>12</v>
      </c>
      <c r="H2319" s="3" t="s">
        <v>121</v>
      </c>
      <c r="I2319" s="3" t="s">
        <v>99</v>
      </c>
      <c r="J2319" s="97" t="s">
        <v>3436</v>
      </c>
    </row>
    <row r="2320" spans="1:10" ht="28.9" customHeight="1" thickTop="1" thickBot="1" x14ac:dyDescent="0.65">
      <c r="A2320" s="5">
        <v>2318</v>
      </c>
      <c r="B2320" s="46" t="str">
        <f>HYPERLINK("https://search.naver.com/search.naver?query=와일드 카드 영화", "와일드 카드")</f>
        <v>와일드 카드</v>
      </c>
      <c r="C2320" s="47">
        <v>6.49</v>
      </c>
      <c r="D2320" s="6" t="s">
        <v>2395</v>
      </c>
      <c r="E2320" s="5" t="s">
        <v>20</v>
      </c>
      <c r="F2320" s="5">
        <v>2015</v>
      </c>
      <c r="G2320" s="5" t="s">
        <v>12</v>
      </c>
      <c r="H2320" s="5" t="s">
        <v>92</v>
      </c>
      <c r="I2320" s="5" t="s">
        <v>147</v>
      </c>
      <c r="J2320" s="98" t="s">
        <v>3440</v>
      </c>
    </row>
    <row r="2321" spans="1:10" ht="28.9" customHeight="1" thickTop="1" thickBot="1" x14ac:dyDescent="0.65">
      <c r="A2321" s="3">
        <v>2319</v>
      </c>
      <c r="B2321" s="44" t="str">
        <f>HYPERLINK("https://search.naver.com/search.naver?query=와일드라이프 영화", "와일드라이프")</f>
        <v>와일드라이프</v>
      </c>
      <c r="C2321" s="45">
        <v>6.4</v>
      </c>
      <c r="D2321" s="4" t="s">
        <v>2396</v>
      </c>
      <c r="E2321" s="3" t="s">
        <v>20</v>
      </c>
      <c r="F2321" s="3">
        <v>2018</v>
      </c>
      <c r="G2321" s="3" t="s">
        <v>12</v>
      </c>
      <c r="H2321" s="3" t="s">
        <v>17</v>
      </c>
      <c r="I2321" s="3" t="s">
        <v>128</v>
      </c>
      <c r="J2321" s="97" t="s">
        <v>3442</v>
      </c>
    </row>
    <row r="2322" spans="1:10" ht="28.9" customHeight="1" thickTop="1" thickBot="1" x14ac:dyDescent="0.65">
      <c r="A2322" s="5">
        <v>2320</v>
      </c>
      <c r="B2322" s="46" t="str">
        <f>HYPERLINK("https://search.naver.com/search.naver?query=완득이 영화", "완득이")</f>
        <v>완득이</v>
      </c>
      <c r="C2322" s="47">
        <v>8.8000000000000007</v>
      </c>
      <c r="D2322" s="6" t="s">
        <v>2397</v>
      </c>
      <c r="E2322" s="5" t="s">
        <v>11</v>
      </c>
      <c r="F2322" s="5">
        <v>2011</v>
      </c>
      <c r="G2322" s="5" t="s">
        <v>12</v>
      </c>
      <c r="H2322" s="5" t="s">
        <v>17</v>
      </c>
      <c r="I2322" s="5" t="s">
        <v>75</v>
      </c>
      <c r="J2322" s="98" t="s">
        <v>3454</v>
      </c>
    </row>
    <row r="2323" spans="1:10" ht="28.9" customHeight="1" thickTop="1" thickBot="1" x14ac:dyDescent="0.65">
      <c r="A2323" s="3">
        <v>2321</v>
      </c>
      <c r="B2323" s="44" t="str">
        <f>HYPERLINK("https://search.naver.com/search.naver?query=완벽한 가족 영화", "완벽한 가족")</f>
        <v>완벽한 가족</v>
      </c>
      <c r="C2323" s="45">
        <v>7.19</v>
      </c>
      <c r="D2323" s="4" t="s">
        <v>1644</v>
      </c>
      <c r="E2323" s="3" t="s">
        <v>20</v>
      </c>
      <c r="F2323" s="3">
        <v>2019</v>
      </c>
      <c r="G2323" s="3" t="s">
        <v>12</v>
      </c>
      <c r="H2323" s="3" t="s">
        <v>17</v>
      </c>
      <c r="I2323" s="3" t="s">
        <v>14</v>
      </c>
      <c r="J2323" s="97" t="s">
        <v>3444</v>
      </c>
    </row>
    <row r="2324" spans="1:10" ht="28.9" customHeight="1" thickTop="1" thickBot="1" x14ac:dyDescent="0.65">
      <c r="A2324" s="5">
        <v>2322</v>
      </c>
      <c r="B2324" s="46" t="str">
        <f>HYPERLINK("https://search.naver.com/search.naver?query=완벽한 타인 영화", "완벽한 타인")</f>
        <v>완벽한 타인</v>
      </c>
      <c r="C2324" s="47">
        <v>9.08</v>
      </c>
      <c r="D2324" s="6" t="s">
        <v>2398</v>
      </c>
      <c r="E2324" s="5" t="s">
        <v>11</v>
      </c>
      <c r="F2324" s="5">
        <v>2018</v>
      </c>
      <c r="G2324" s="5" t="s">
        <v>12</v>
      </c>
      <c r="H2324" s="5" t="s">
        <v>68</v>
      </c>
      <c r="I2324" s="5" t="s">
        <v>47</v>
      </c>
      <c r="J2324" s="98" t="s">
        <v>3442</v>
      </c>
    </row>
    <row r="2325" spans="1:10" ht="28.9" customHeight="1" thickTop="1" thickBot="1" x14ac:dyDescent="0.65">
      <c r="A2325" s="3">
        <v>2323</v>
      </c>
      <c r="B2325" s="44" t="str">
        <f>HYPERLINK("https://search.naver.com/search.naver?query=완벽한 파트너 영화", "완벽한 파트너")</f>
        <v>완벽한 파트너</v>
      </c>
      <c r="C2325" s="45">
        <v>6.89</v>
      </c>
      <c r="D2325" s="4" t="s">
        <v>2399</v>
      </c>
      <c r="E2325" s="3" t="s">
        <v>11</v>
      </c>
      <c r="F2325" s="3">
        <v>2011</v>
      </c>
      <c r="G2325" s="3" t="s">
        <v>12</v>
      </c>
      <c r="H2325" s="3" t="s">
        <v>121</v>
      </c>
      <c r="I2325" s="3" t="s">
        <v>111</v>
      </c>
      <c r="J2325" s="97" t="s">
        <v>3454</v>
      </c>
    </row>
    <row r="2326" spans="1:10" ht="28.9" customHeight="1" thickTop="1" thickBot="1" x14ac:dyDescent="0.65">
      <c r="A2326" s="7">
        <v>2324</v>
      </c>
      <c r="B2326" s="48" t="str">
        <f>HYPERLINK("https://search.naver.com/search.naver?query=완전무결한 커플", "완전무결한 커플")</f>
        <v>완전무결한 커플</v>
      </c>
      <c r="C2326" s="49"/>
      <c r="D2326" s="8" t="s">
        <v>2400</v>
      </c>
      <c r="E2326" s="7" t="s">
        <v>20</v>
      </c>
      <c r="F2326" s="7">
        <v>2024</v>
      </c>
      <c r="G2326" s="7" t="s">
        <v>17</v>
      </c>
      <c r="H2326" s="7" t="s">
        <v>17</v>
      </c>
      <c r="I2326" s="7" t="s">
        <v>173</v>
      </c>
      <c r="J2326" s="99" t="s">
        <v>3448</v>
      </c>
    </row>
    <row r="2327" spans="1:10" ht="28.9" customHeight="1" thickTop="1" thickBot="1" x14ac:dyDescent="0.65">
      <c r="A2327" s="3">
        <v>2325</v>
      </c>
      <c r="B2327" s="44" t="str">
        <f>HYPERLINK("https://search.naver.com/search.naver?query=완전범죄 프로젝트 영화", "완전범죄 프로젝트")</f>
        <v>완전범죄 프로젝트</v>
      </c>
      <c r="C2327" s="45">
        <v>7.68</v>
      </c>
      <c r="D2327" s="4" t="s">
        <v>270</v>
      </c>
      <c r="E2327" s="3" t="s">
        <v>20</v>
      </c>
      <c r="F2327" s="3">
        <v>2013</v>
      </c>
      <c r="G2327" s="3" t="s">
        <v>12</v>
      </c>
      <c r="H2327" s="3" t="s">
        <v>92</v>
      </c>
      <c r="I2327" s="3" t="s">
        <v>111</v>
      </c>
      <c r="J2327" s="97" t="s">
        <v>3451</v>
      </c>
    </row>
    <row r="2328" spans="1:10" ht="28.9" customHeight="1" thickTop="1" thickBot="1" x14ac:dyDescent="0.65">
      <c r="A2328" s="5">
        <v>2326</v>
      </c>
      <c r="B2328" s="46" t="str">
        <f>HYPERLINK("https://search.naver.com/search.naver?query=왓 데이 해드 영화", "왓 데이 해드")</f>
        <v>왓 데이 해드</v>
      </c>
      <c r="C2328" s="47">
        <v>7.43</v>
      </c>
      <c r="D2328" s="6" t="s">
        <v>2401</v>
      </c>
      <c r="E2328" s="5" t="s">
        <v>20</v>
      </c>
      <c r="F2328" s="5">
        <v>2018</v>
      </c>
      <c r="G2328" s="5" t="s">
        <v>12</v>
      </c>
      <c r="H2328" s="5" t="s">
        <v>17</v>
      </c>
      <c r="I2328" s="5" t="s">
        <v>70</v>
      </c>
      <c r="J2328" s="98" t="s">
        <v>3442</v>
      </c>
    </row>
    <row r="2329" spans="1:10" ht="28.9" customHeight="1" thickTop="1" thickBot="1" x14ac:dyDescent="0.65">
      <c r="A2329" s="3">
        <v>2327</v>
      </c>
      <c r="B2329" s="44" t="str">
        <f>HYPERLINK("https://search.naver.com/search.naver?query=왓치 영화", "왓치")</f>
        <v>왓치</v>
      </c>
      <c r="C2329" s="45"/>
      <c r="D2329" s="4" t="s">
        <v>2402</v>
      </c>
      <c r="E2329" s="3" t="s">
        <v>20</v>
      </c>
      <c r="F2329" s="3">
        <v>2012</v>
      </c>
      <c r="G2329" s="3" t="s">
        <v>12</v>
      </c>
      <c r="H2329" s="3" t="s">
        <v>68</v>
      </c>
      <c r="I2329" s="3" t="s">
        <v>99</v>
      </c>
      <c r="J2329" s="97" t="s">
        <v>3439</v>
      </c>
    </row>
    <row r="2330" spans="1:10" ht="28.9" customHeight="1" thickTop="1" thickBot="1" x14ac:dyDescent="0.65">
      <c r="A2330" s="5">
        <v>2328</v>
      </c>
      <c r="B2330" s="46" t="str">
        <f>HYPERLINK("https://search.naver.com/search.naver?query=왕을 위한 홀로그램 영화", "왕을 위한 홀로그램")</f>
        <v>왕을 위한 홀로그램</v>
      </c>
      <c r="C2330" s="47">
        <v>6.4</v>
      </c>
      <c r="D2330" s="6" t="s">
        <v>2403</v>
      </c>
      <c r="E2330" s="5" t="s">
        <v>24</v>
      </c>
      <c r="F2330" s="5">
        <v>2016</v>
      </c>
      <c r="G2330" s="5" t="s">
        <v>12</v>
      </c>
      <c r="H2330" s="5" t="s">
        <v>17</v>
      </c>
      <c r="I2330" s="5" t="s">
        <v>14</v>
      </c>
      <c r="J2330" s="98" t="s">
        <v>3441</v>
      </c>
    </row>
    <row r="2331" spans="1:10" ht="28.9" customHeight="1" thickTop="1" thickBot="1" x14ac:dyDescent="0.65">
      <c r="A2331" s="7">
        <v>2329</v>
      </c>
      <c r="B2331" s="48" t="str">
        <f>HYPERLINK("https://search.naver.com/search.naver?query=왕자의게임 시즌1", "왕자의게임 시즌1")</f>
        <v>왕자의게임 시즌1</v>
      </c>
      <c r="C2331" s="49"/>
      <c r="D2331" s="8" t="s">
        <v>2404</v>
      </c>
      <c r="E2331" s="7" t="s">
        <v>20</v>
      </c>
      <c r="F2331" s="7">
        <v>2011</v>
      </c>
      <c r="G2331" s="7" t="s">
        <v>17</v>
      </c>
      <c r="H2331" s="7" t="s">
        <v>414</v>
      </c>
      <c r="I2331" s="7" t="s">
        <v>50</v>
      </c>
      <c r="J2331" s="99" t="s">
        <v>3454</v>
      </c>
    </row>
    <row r="2332" spans="1:10" ht="28.9" customHeight="1" thickTop="1" thickBot="1" x14ac:dyDescent="0.65">
      <c r="A2332" s="7">
        <v>2330</v>
      </c>
      <c r="B2332" s="48" t="str">
        <f>HYPERLINK("https://search.naver.com/search.naver?query=왕자의게임 시즌2", "왕자의게임 시즌2")</f>
        <v>왕자의게임 시즌2</v>
      </c>
      <c r="C2332" s="49"/>
      <c r="D2332" s="8" t="s">
        <v>2404</v>
      </c>
      <c r="E2332" s="7" t="s">
        <v>20</v>
      </c>
      <c r="F2332" s="7">
        <v>2012</v>
      </c>
      <c r="G2332" s="7" t="s">
        <v>17</v>
      </c>
      <c r="H2332" s="7" t="s">
        <v>414</v>
      </c>
      <c r="I2332" s="7" t="s">
        <v>50</v>
      </c>
      <c r="J2332" s="99" t="s">
        <v>3439</v>
      </c>
    </row>
    <row r="2333" spans="1:10" ht="28.9" customHeight="1" thickTop="1" thickBot="1" x14ac:dyDescent="0.65">
      <c r="A2333" s="7">
        <v>2331</v>
      </c>
      <c r="B2333" s="48" t="str">
        <f>HYPERLINK("https://search.naver.com/search.naver?query=왕자의게임 시즌3", "왕자의게임 시즌3")</f>
        <v>왕자의게임 시즌3</v>
      </c>
      <c r="C2333" s="49"/>
      <c r="D2333" s="8" t="s">
        <v>2404</v>
      </c>
      <c r="E2333" s="7" t="s">
        <v>20</v>
      </c>
      <c r="F2333" s="7">
        <v>2013</v>
      </c>
      <c r="G2333" s="7" t="s">
        <v>17</v>
      </c>
      <c r="H2333" s="7" t="s">
        <v>414</v>
      </c>
      <c r="I2333" s="7" t="s">
        <v>50</v>
      </c>
      <c r="J2333" s="99" t="s">
        <v>3451</v>
      </c>
    </row>
    <row r="2334" spans="1:10" ht="28.9" customHeight="1" thickTop="1" thickBot="1" x14ac:dyDescent="0.65">
      <c r="A2334" s="7">
        <v>2332</v>
      </c>
      <c r="B2334" s="48" t="str">
        <f>HYPERLINK("https://search.naver.com/search.naver?query=왕자의게임 시즌4", "왕자의게임 시즌4")</f>
        <v>왕자의게임 시즌4</v>
      </c>
      <c r="C2334" s="49"/>
      <c r="D2334" s="8" t="s">
        <v>2404</v>
      </c>
      <c r="E2334" s="7" t="s">
        <v>20</v>
      </c>
      <c r="F2334" s="7">
        <v>2014</v>
      </c>
      <c r="G2334" s="7" t="s">
        <v>17</v>
      </c>
      <c r="H2334" s="7" t="s">
        <v>414</v>
      </c>
      <c r="I2334" s="7" t="s">
        <v>50</v>
      </c>
      <c r="J2334" s="99" t="s">
        <v>3437</v>
      </c>
    </row>
    <row r="2335" spans="1:10" ht="28.9" customHeight="1" thickTop="1" thickBot="1" x14ac:dyDescent="0.65">
      <c r="A2335" s="7">
        <v>2333</v>
      </c>
      <c r="B2335" s="48" t="str">
        <f>HYPERLINK("https://search.naver.com/search.naver?query=왕자의게임 시즌5", "왕자의게임 시즌5")</f>
        <v>왕자의게임 시즌5</v>
      </c>
      <c r="C2335" s="49"/>
      <c r="D2335" s="8" t="s">
        <v>2404</v>
      </c>
      <c r="E2335" s="7" t="s">
        <v>20</v>
      </c>
      <c r="F2335" s="7">
        <v>2015</v>
      </c>
      <c r="G2335" s="7" t="s">
        <v>17</v>
      </c>
      <c r="H2335" s="7" t="s">
        <v>414</v>
      </c>
      <c r="I2335" s="7" t="s">
        <v>50</v>
      </c>
      <c r="J2335" s="99" t="s">
        <v>3440</v>
      </c>
    </row>
    <row r="2336" spans="1:10" ht="28.9" customHeight="1" thickTop="1" thickBot="1" x14ac:dyDescent="0.65">
      <c r="A2336" s="7">
        <v>2334</v>
      </c>
      <c r="B2336" s="48" t="str">
        <f>HYPERLINK("https://search.naver.com/search.naver?query=왕자의게임 시즌6", "왕자의게임 시즌6")</f>
        <v>왕자의게임 시즌6</v>
      </c>
      <c r="C2336" s="49"/>
      <c r="D2336" s="8" t="s">
        <v>2404</v>
      </c>
      <c r="E2336" s="7" t="s">
        <v>20</v>
      </c>
      <c r="F2336" s="7">
        <v>2016</v>
      </c>
      <c r="G2336" s="7" t="s">
        <v>17</v>
      </c>
      <c r="H2336" s="7" t="s">
        <v>414</v>
      </c>
      <c r="I2336" s="7" t="s">
        <v>50</v>
      </c>
      <c r="J2336" s="99" t="s">
        <v>3441</v>
      </c>
    </row>
    <row r="2337" spans="1:10" ht="28.9" customHeight="1" thickTop="1" thickBot="1" x14ac:dyDescent="0.65">
      <c r="A2337" s="7">
        <v>2335</v>
      </c>
      <c r="B2337" s="48" t="str">
        <f>HYPERLINK("https://search.naver.com/search.naver?query=왕자의게임 시즌7", "왕자의게임 시즌7")</f>
        <v>왕자의게임 시즌7</v>
      </c>
      <c r="C2337" s="49"/>
      <c r="D2337" s="8" t="s">
        <v>2404</v>
      </c>
      <c r="E2337" s="7" t="s">
        <v>20</v>
      </c>
      <c r="F2337" s="7">
        <v>2017</v>
      </c>
      <c r="G2337" s="7" t="s">
        <v>17</v>
      </c>
      <c r="H2337" s="7" t="s">
        <v>414</v>
      </c>
      <c r="I2337" s="7" t="s">
        <v>324</v>
      </c>
      <c r="J2337" s="99" t="s">
        <v>3443</v>
      </c>
    </row>
    <row r="2338" spans="1:10" ht="28.9" customHeight="1" thickTop="1" thickBot="1" x14ac:dyDescent="0.65">
      <c r="A2338" s="7">
        <v>2336</v>
      </c>
      <c r="B2338" s="48" t="str">
        <f>HYPERLINK("https://search.naver.com/search.naver?query=왕자의게임 시즌8", "왕자의게임 시즌8")</f>
        <v>왕자의게임 시즌8</v>
      </c>
      <c r="C2338" s="49"/>
      <c r="D2338" s="8" t="s">
        <v>2404</v>
      </c>
      <c r="E2338" s="7" t="s">
        <v>20</v>
      </c>
      <c r="F2338" s="7">
        <v>2019</v>
      </c>
      <c r="G2338" s="7" t="s">
        <v>17</v>
      </c>
      <c r="H2338" s="7" t="s">
        <v>414</v>
      </c>
      <c r="I2338" s="7" t="s">
        <v>173</v>
      </c>
      <c r="J2338" s="99" t="s">
        <v>3444</v>
      </c>
    </row>
    <row r="2339" spans="1:10" ht="28.9" customHeight="1" thickTop="1" thickBot="1" x14ac:dyDescent="0.65">
      <c r="A2339" s="7">
        <v>2337</v>
      </c>
      <c r="B2339" s="48" t="str">
        <f>HYPERLINK("https://search.naver.com/search.naver?query=외교관 시즌1", "외교관 시즌1")</f>
        <v>외교관 시즌1</v>
      </c>
      <c r="C2339" s="49"/>
      <c r="D2339" s="8" t="s">
        <v>2405</v>
      </c>
      <c r="E2339" s="7" t="s">
        <v>20</v>
      </c>
      <c r="F2339" s="7">
        <v>2023</v>
      </c>
      <c r="G2339" s="7" t="s">
        <v>17</v>
      </c>
      <c r="H2339" s="7" t="s">
        <v>17</v>
      </c>
      <c r="I2339" s="7" t="s">
        <v>55</v>
      </c>
      <c r="J2339" s="99" t="s">
        <v>3446</v>
      </c>
    </row>
    <row r="2340" spans="1:10" ht="28.9" customHeight="1" thickTop="1" thickBot="1" x14ac:dyDescent="0.65">
      <c r="A2340" s="7">
        <v>2338</v>
      </c>
      <c r="B2340" s="48" t="str">
        <f>HYPERLINK("https://search.naver.com/search.naver?query=외교관 시즌2", "외교관 시즌2")</f>
        <v>외교관 시즌2</v>
      </c>
      <c r="C2340" s="49"/>
      <c r="D2340" s="8" t="s">
        <v>2405</v>
      </c>
      <c r="E2340" s="7" t="s">
        <v>20</v>
      </c>
      <c r="F2340" s="7">
        <v>2024</v>
      </c>
      <c r="G2340" s="7" t="s">
        <v>17</v>
      </c>
      <c r="H2340" s="7" t="s">
        <v>17</v>
      </c>
      <c r="I2340" s="7" t="s">
        <v>173</v>
      </c>
      <c r="J2340" s="99" t="s">
        <v>3448</v>
      </c>
    </row>
    <row r="2341" spans="1:10" ht="28.9" customHeight="1" thickTop="1" thickBot="1" x14ac:dyDescent="0.65">
      <c r="A2341" s="7">
        <v>2339</v>
      </c>
      <c r="B2341" s="48" t="str">
        <f>HYPERLINK("https://search.naver.com/search.naver?query=외교관 시즌3", "외교관 시즌3")</f>
        <v>외교관 시즌3</v>
      </c>
      <c r="C2341" s="49"/>
      <c r="D2341" s="8" t="s">
        <v>2405</v>
      </c>
      <c r="E2341" s="7" t="s">
        <v>20</v>
      </c>
      <c r="F2341" s="7">
        <v>2025</v>
      </c>
      <c r="G2341" s="7" t="s">
        <v>17</v>
      </c>
      <c r="H2341" s="7" t="s">
        <v>17</v>
      </c>
      <c r="I2341" s="7" t="s">
        <v>55</v>
      </c>
      <c r="J2341" s="99" t="s">
        <v>3459</v>
      </c>
    </row>
    <row r="2342" spans="1:10" ht="28.9" customHeight="1" thickTop="1" thickBot="1" x14ac:dyDescent="0.65">
      <c r="A2342" s="5">
        <v>2340</v>
      </c>
      <c r="B2342" s="46" t="str">
        <f>HYPERLINK("https://search.naver.com/search.naver?query=욕망의 대지 영화", "욕망의 대지")</f>
        <v>욕망의 대지</v>
      </c>
      <c r="C2342" s="47">
        <v>8.7799999999999994</v>
      </c>
      <c r="D2342" s="6" t="s">
        <v>1480</v>
      </c>
      <c r="E2342" s="5" t="s">
        <v>20</v>
      </c>
      <c r="F2342" s="5">
        <v>2008</v>
      </c>
      <c r="G2342" s="5" t="s">
        <v>12</v>
      </c>
      <c r="H2342" s="5" t="s">
        <v>277</v>
      </c>
      <c r="I2342" s="5" t="s">
        <v>102</v>
      </c>
      <c r="J2342" s="98" t="s">
        <v>3450</v>
      </c>
    </row>
    <row r="2343" spans="1:10" ht="28.9" customHeight="1" thickTop="1" thickBot="1" x14ac:dyDescent="0.65">
      <c r="A2343" s="3">
        <v>2341</v>
      </c>
      <c r="B2343" s="44" t="str">
        <f>HYPERLINK("https://search.naver.com/search.naver?query=용기와 구원 영화", "용기와 구원")</f>
        <v>용기와 구원</v>
      </c>
      <c r="C2343" s="45">
        <v>10</v>
      </c>
      <c r="D2343" s="4" t="s">
        <v>2406</v>
      </c>
      <c r="E2343" s="3" t="s">
        <v>20</v>
      </c>
      <c r="F2343" s="3">
        <v>2011</v>
      </c>
      <c r="G2343" s="3" t="s">
        <v>12</v>
      </c>
      <c r="H2343" s="3" t="s">
        <v>17</v>
      </c>
      <c r="I2343" s="3" t="s">
        <v>111</v>
      </c>
      <c r="J2343" s="97" t="s">
        <v>3454</v>
      </c>
    </row>
    <row r="2344" spans="1:10" ht="28.9" customHeight="1" thickTop="1" thickBot="1" x14ac:dyDescent="0.65">
      <c r="A2344" s="5">
        <v>2342</v>
      </c>
      <c r="B2344" s="46" t="str">
        <f>HYPERLINK("https://search.naver.com/search.naver?query=용길이네 곱창집 영화", "용길이네 곱창집")</f>
        <v>용길이네 곱창집</v>
      </c>
      <c r="C2344" s="47">
        <v>7.8</v>
      </c>
      <c r="D2344" s="6" t="s">
        <v>2407</v>
      </c>
      <c r="E2344" s="5" t="s">
        <v>11</v>
      </c>
      <c r="F2344" s="5">
        <v>2020</v>
      </c>
      <c r="G2344" s="5" t="s">
        <v>12</v>
      </c>
      <c r="H2344" s="5" t="s">
        <v>525</v>
      </c>
      <c r="I2344" s="5" t="s">
        <v>150</v>
      </c>
      <c r="J2344" s="98" t="s">
        <v>3436</v>
      </c>
    </row>
    <row r="2345" spans="1:10" ht="28.9" customHeight="1" thickTop="1" thickBot="1" x14ac:dyDescent="0.65">
      <c r="A2345" s="3">
        <v>2343</v>
      </c>
      <c r="B2345" s="44" t="str">
        <f>HYPERLINK("https://search.naver.com/search.naver?query=클린트이스트우드의 용서받지 못한 자", "용서받지 못한 자")</f>
        <v>용서받지 못한 자</v>
      </c>
      <c r="C2345" s="45">
        <v>9.11</v>
      </c>
      <c r="D2345" s="4" t="s">
        <v>2408</v>
      </c>
      <c r="E2345" s="3" t="s">
        <v>20</v>
      </c>
      <c r="F2345" s="3">
        <v>1993</v>
      </c>
      <c r="G2345" s="3" t="s">
        <v>12</v>
      </c>
      <c r="H2345" s="3" t="s">
        <v>17</v>
      </c>
      <c r="I2345" s="3" t="s">
        <v>280</v>
      </c>
      <c r="J2345" s="97" t="s">
        <v>3469</v>
      </c>
    </row>
    <row r="2346" spans="1:10" ht="28.9" customHeight="1" thickTop="1" thickBot="1" x14ac:dyDescent="0.65">
      <c r="A2346" s="5">
        <v>2344</v>
      </c>
      <c r="B2346" s="46" t="str">
        <f>HYPERLINK("https://search.naver.com/search.naver?query=용서받지 못한 자 영화", "용서받지 못한 자")</f>
        <v>용서받지 못한 자</v>
      </c>
      <c r="C2346" s="47"/>
      <c r="D2346" s="6" t="s">
        <v>3494</v>
      </c>
      <c r="E2346" s="5" t="s">
        <v>16</v>
      </c>
      <c r="F2346" s="5">
        <v>2013</v>
      </c>
      <c r="G2346" s="5" t="s">
        <v>12</v>
      </c>
      <c r="H2346" s="5" t="s">
        <v>17</v>
      </c>
      <c r="I2346" s="5" t="s">
        <v>53</v>
      </c>
      <c r="J2346" s="98" t="s">
        <v>3451</v>
      </c>
    </row>
    <row r="2347" spans="1:10" ht="28.9" customHeight="1" thickTop="1" thickBot="1" x14ac:dyDescent="0.65">
      <c r="A2347" s="3">
        <v>2345</v>
      </c>
      <c r="B2347" s="44" t="str">
        <f>HYPERLINK("https://search.naver.com/search.naver?query=용의자 영화", "용의자")</f>
        <v>용의자</v>
      </c>
      <c r="C2347" s="45">
        <v>8.27</v>
      </c>
      <c r="D2347" s="4" t="s">
        <v>2409</v>
      </c>
      <c r="E2347" s="3" t="s">
        <v>11</v>
      </c>
      <c r="F2347" s="3">
        <v>2013</v>
      </c>
      <c r="G2347" s="3" t="s">
        <v>12</v>
      </c>
      <c r="H2347" s="3" t="s">
        <v>92</v>
      </c>
      <c r="I2347" s="3" t="s">
        <v>186</v>
      </c>
      <c r="J2347" s="97" t="s">
        <v>3451</v>
      </c>
    </row>
    <row r="2348" spans="1:10" ht="28.9" customHeight="1" thickTop="1" thickBot="1" x14ac:dyDescent="0.65">
      <c r="A2348" s="5">
        <v>2346</v>
      </c>
      <c r="B2348" s="46" t="str">
        <f>HYPERLINK("https://search.naver.com/search.naver?query=용의자 X 영화", "용의자 X")</f>
        <v>용의자 X</v>
      </c>
      <c r="C2348" s="47">
        <v>6.4</v>
      </c>
      <c r="D2348" s="6" t="s">
        <v>2410</v>
      </c>
      <c r="E2348" s="5" t="s">
        <v>16</v>
      </c>
      <c r="F2348" s="5">
        <v>2008</v>
      </c>
      <c r="G2348" s="5" t="s">
        <v>12</v>
      </c>
      <c r="H2348" s="5" t="s">
        <v>141</v>
      </c>
      <c r="I2348" s="5" t="s">
        <v>108</v>
      </c>
      <c r="J2348" s="98" t="s">
        <v>3450</v>
      </c>
    </row>
    <row r="2349" spans="1:10" ht="28.9" customHeight="1" thickTop="1" thickBot="1" x14ac:dyDescent="0.65">
      <c r="A2349" s="3">
        <v>2347</v>
      </c>
      <c r="B2349" s="44" t="str">
        <f>HYPERLINK("https://search.naver.com/search.naver?query=용의자 X의 헌신 영화", "용의자 X의 헌신")</f>
        <v>용의자 X의 헌신</v>
      </c>
      <c r="C2349" s="45">
        <v>8.68</v>
      </c>
      <c r="D2349" s="4" t="s">
        <v>2411</v>
      </c>
      <c r="E2349" s="3" t="s">
        <v>16</v>
      </c>
      <c r="F2349" s="3">
        <v>2009</v>
      </c>
      <c r="G2349" s="3" t="s">
        <v>12</v>
      </c>
      <c r="H2349" s="3" t="s">
        <v>141</v>
      </c>
      <c r="I2349" s="3" t="s">
        <v>108</v>
      </c>
      <c r="J2349" s="97" t="s">
        <v>3453</v>
      </c>
    </row>
    <row r="2350" spans="1:10" ht="28.9" customHeight="1" thickTop="1" thickBot="1" x14ac:dyDescent="0.65">
      <c r="A2350" s="7">
        <v>2348</v>
      </c>
      <c r="B2350" s="48" t="str">
        <f>HYPERLINK("https://search.naver.com/search.naver?query=용의자들 드라마", "용의자들 시즌1")</f>
        <v>용의자들 시즌1</v>
      </c>
      <c r="C2350" s="49"/>
      <c r="D2350" s="8" t="s">
        <v>2412</v>
      </c>
      <c r="E2350" s="7" t="s">
        <v>24</v>
      </c>
      <c r="F2350" s="7">
        <v>2022</v>
      </c>
      <c r="G2350" s="7" t="s">
        <v>17</v>
      </c>
      <c r="H2350" s="7" t="s">
        <v>17</v>
      </c>
      <c r="I2350" s="7" t="s">
        <v>55</v>
      </c>
      <c r="J2350" s="99" t="s">
        <v>3445</v>
      </c>
    </row>
    <row r="2351" spans="1:10" ht="28.9" customHeight="1" thickTop="1" thickBot="1" x14ac:dyDescent="0.65">
      <c r="A2351" s="3">
        <v>2349</v>
      </c>
      <c r="B2351" s="44" t="str">
        <f>HYPERLINK("https://search.naver.com/search.naver?query=우나기 영화", "우나기")</f>
        <v>우나기</v>
      </c>
      <c r="C2351" s="45">
        <v>7.95</v>
      </c>
      <c r="D2351" s="4" t="s">
        <v>2413</v>
      </c>
      <c r="E2351" s="3" t="s">
        <v>16</v>
      </c>
      <c r="F2351" s="3">
        <v>1997</v>
      </c>
      <c r="G2351" s="3" t="s">
        <v>12</v>
      </c>
      <c r="H2351" s="3" t="s">
        <v>17</v>
      </c>
      <c r="I2351" s="3" t="s">
        <v>89</v>
      </c>
      <c r="J2351" s="97" t="s">
        <v>3470</v>
      </c>
    </row>
    <row r="2352" spans="1:10" ht="28.9" customHeight="1" thickTop="1" thickBot="1" x14ac:dyDescent="0.65">
      <c r="A2352" s="5">
        <v>2350</v>
      </c>
      <c r="B2352" s="46" t="str">
        <f>HYPERLINK("https://search.naver.com/search.naver?query=우동 영화", "우동")</f>
        <v>우동</v>
      </c>
      <c r="C2352" s="47">
        <v>6.4</v>
      </c>
      <c r="D2352" s="6" t="s">
        <v>2414</v>
      </c>
      <c r="E2352" s="5" t="s">
        <v>16</v>
      </c>
      <c r="F2352" s="5">
        <v>2006</v>
      </c>
      <c r="G2352" s="5" t="s">
        <v>12</v>
      </c>
      <c r="H2352" s="5" t="s">
        <v>68</v>
      </c>
      <c r="I2352" s="5" t="s">
        <v>543</v>
      </c>
      <c r="J2352" s="98" t="s">
        <v>3460</v>
      </c>
    </row>
    <row r="2353" spans="1:10" ht="28.9" customHeight="1" thickTop="1" thickBot="1" x14ac:dyDescent="0.65">
      <c r="A2353" s="3">
        <v>2351</v>
      </c>
      <c r="B2353" s="44" t="str">
        <f>HYPERLINK("https://search.naver.com/search.naver?query=우드잡 영화", "우드잡")</f>
        <v>우드잡</v>
      </c>
      <c r="C2353" s="45">
        <v>8.43</v>
      </c>
      <c r="D2353" s="4" t="s">
        <v>2415</v>
      </c>
      <c r="E2353" s="3" t="s">
        <v>16</v>
      </c>
      <c r="F2353" s="3">
        <v>2014</v>
      </c>
      <c r="G2353" s="3" t="s">
        <v>12</v>
      </c>
      <c r="H2353" s="3" t="s">
        <v>68</v>
      </c>
      <c r="I2353" s="3" t="s">
        <v>53</v>
      </c>
      <c r="J2353" s="97" t="s">
        <v>3437</v>
      </c>
    </row>
    <row r="2354" spans="1:10" ht="28.9" customHeight="1" thickTop="1" thickBot="1" x14ac:dyDescent="0.65">
      <c r="A2354" s="5">
        <v>2352</v>
      </c>
      <c r="B2354" s="46" t="str">
        <f>HYPERLINK("https://search.naver.com/search.naver?query=우리 사이 어쩌면 영화", "우리 사이 어쩌면")</f>
        <v>우리 사이 어쩌면</v>
      </c>
      <c r="C2354" s="47">
        <v>7.97</v>
      </c>
      <c r="D2354" s="6" t="s">
        <v>2416</v>
      </c>
      <c r="E2354" s="5" t="s">
        <v>20</v>
      </c>
      <c r="F2354" s="5">
        <v>2019</v>
      </c>
      <c r="G2354" s="5" t="s">
        <v>12</v>
      </c>
      <c r="H2354" s="5" t="s">
        <v>68</v>
      </c>
      <c r="I2354" s="5" t="s">
        <v>70</v>
      </c>
      <c r="J2354" s="98" t="s">
        <v>3444</v>
      </c>
    </row>
    <row r="2355" spans="1:10" ht="28.9" customHeight="1" thickTop="1" thickBot="1" x14ac:dyDescent="0.65">
      <c r="A2355" s="3">
        <v>2353</v>
      </c>
      <c r="B2355" s="44" t="str">
        <f>HYPERLINK("https://search.naver.com/search.naver?query=우리 사이의 거대한 산 영화", "우리 사이의 거대한 산")</f>
        <v>우리 사이의 거대한 산</v>
      </c>
      <c r="C2355" s="45">
        <v>8.76</v>
      </c>
      <c r="D2355" s="4" t="s">
        <v>2417</v>
      </c>
      <c r="E2355" s="3" t="s">
        <v>20</v>
      </c>
      <c r="F2355" s="3">
        <v>2017</v>
      </c>
      <c r="G2355" s="3" t="s">
        <v>12</v>
      </c>
      <c r="H2355" s="3" t="s">
        <v>17</v>
      </c>
      <c r="I2355" s="3" t="s">
        <v>278</v>
      </c>
      <c r="J2355" s="97" t="s">
        <v>3443</v>
      </c>
    </row>
    <row r="2356" spans="1:10" ht="28.9" customHeight="1" thickTop="1" thickBot="1" x14ac:dyDescent="0.65">
      <c r="A2356" s="5">
        <v>2354</v>
      </c>
      <c r="B2356" s="46" t="str">
        <f>HYPERLINK("https://search.naver.com/search.naver?query=우리 의사 선생님 영화", "우리 의사 선생님")</f>
        <v>우리 의사 선생님</v>
      </c>
      <c r="C2356" s="47">
        <v>7.97</v>
      </c>
      <c r="D2356" s="6" t="s">
        <v>2418</v>
      </c>
      <c r="E2356" s="5" t="s">
        <v>16</v>
      </c>
      <c r="F2356" s="5">
        <v>2009</v>
      </c>
      <c r="G2356" s="5" t="s">
        <v>12</v>
      </c>
      <c r="H2356" s="5" t="s">
        <v>17</v>
      </c>
      <c r="I2356" s="5" t="s">
        <v>150</v>
      </c>
      <c r="J2356" s="98" t="s">
        <v>3453</v>
      </c>
    </row>
    <row r="2357" spans="1:10" ht="28.9" customHeight="1" thickTop="1" thickBot="1" x14ac:dyDescent="0.65">
      <c r="A2357" s="3">
        <v>2355</v>
      </c>
      <c r="B2357" s="44" t="str">
        <f>HYPERLINK("https://search.naver.com/search.naver?query=우리 집에 왜 왔니 영화", "우리 집에 왜 왔니")</f>
        <v>우리 집에 왜 왔니</v>
      </c>
      <c r="C2357" s="45">
        <v>8.33</v>
      </c>
      <c r="D2357" s="4" t="s">
        <v>2419</v>
      </c>
      <c r="E2357" s="3" t="s">
        <v>11</v>
      </c>
      <c r="F2357" s="3">
        <v>2009</v>
      </c>
      <c r="G2357" s="3" t="s">
        <v>12</v>
      </c>
      <c r="H2357" s="3" t="s">
        <v>68</v>
      </c>
      <c r="I2357" s="3" t="s">
        <v>111</v>
      </c>
      <c r="J2357" s="97" t="s">
        <v>3453</v>
      </c>
    </row>
    <row r="2358" spans="1:10" ht="28.9" customHeight="1" thickTop="1" thickBot="1" x14ac:dyDescent="0.65">
      <c r="A2358" s="5">
        <v>2356</v>
      </c>
      <c r="B2358" s="46" t="str">
        <f>HYPERLINK("https://search.naver.com/search.naver?query=우리, 둘 영화", "우리, 둘")</f>
        <v>우리, 둘</v>
      </c>
      <c r="C2358" s="47">
        <v>8.0500000000000007</v>
      </c>
      <c r="D2358" s="6" t="s">
        <v>2420</v>
      </c>
      <c r="E2358" s="5" t="s">
        <v>210</v>
      </c>
      <c r="F2358" s="5">
        <v>2019</v>
      </c>
      <c r="G2358" s="5" t="s">
        <v>12</v>
      </c>
      <c r="H2358" s="5" t="s">
        <v>17</v>
      </c>
      <c r="I2358" s="5" t="s">
        <v>111</v>
      </c>
      <c r="J2358" s="98" t="s">
        <v>3444</v>
      </c>
    </row>
    <row r="2359" spans="1:10" ht="28.9" customHeight="1" thickTop="1" thickBot="1" x14ac:dyDescent="0.65">
      <c r="A2359" s="3">
        <v>2357</v>
      </c>
      <c r="B2359" s="44" t="str">
        <f>HYPERLINK("https://search.naver.com/search.naver?query=우리, 사랑일까요 영화", "우리, 사랑일까요")</f>
        <v>우리, 사랑일까요</v>
      </c>
      <c r="C2359" s="45">
        <v>8.52</v>
      </c>
      <c r="D2359" s="4" t="s">
        <v>2421</v>
      </c>
      <c r="E2359" s="3" t="s">
        <v>20</v>
      </c>
      <c r="F2359" s="3">
        <v>2005</v>
      </c>
      <c r="G2359" s="3" t="s">
        <v>12</v>
      </c>
      <c r="H2359" s="3" t="s">
        <v>68</v>
      </c>
      <c r="I2359" s="3" t="s">
        <v>286</v>
      </c>
      <c r="J2359" s="97" t="s">
        <v>3461</v>
      </c>
    </row>
    <row r="2360" spans="1:10" ht="28.9" customHeight="1" thickTop="1" thickBot="1" x14ac:dyDescent="0.65">
      <c r="A2360" s="5">
        <v>2358</v>
      </c>
      <c r="B2360" s="46" t="str">
        <f>HYPERLINK("https://search.naver.com/search.naver?query=우리가 끝이야 영화", "우리가 끝이야")</f>
        <v>우리가 끝이야</v>
      </c>
      <c r="C2360" s="47">
        <v>7.48</v>
      </c>
      <c r="D2360" s="6" t="s">
        <v>2422</v>
      </c>
      <c r="E2360" s="5" t="s">
        <v>20</v>
      </c>
      <c r="F2360" s="5">
        <v>2024</v>
      </c>
      <c r="G2360" s="5" t="s">
        <v>12</v>
      </c>
      <c r="H2360" s="5" t="s">
        <v>17</v>
      </c>
      <c r="I2360" s="5" t="s">
        <v>31</v>
      </c>
      <c r="J2360" s="98" t="s">
        <v>3448</v>
      </c>
    </row>
    <row r="2361" spans="1:10" ht="28.9" customHeight="1" thickTop="1" thickBot="1" x14ac:dyDescent="0.65">
      <c r="A2361" s="3">
        <v>2359</v>
      </c>
      <c r="B2361" s="44" t="str">
        <f>HYPERLINK("https://search.naver.com/search.naver?query=우리가 사랑한 시간 영화", "우리가 사랑한 시간")</f>
        <v>우리가 사랑한 시간</v>
      </c>
      <c r="C2361" s="45">
        <v>7.08</v>
      </c>
      <c r="D2361" s="4" t="s">
        <v>2423</v>
      </c>
      <c r="E2361" s="3" t="s">
        <v>136</v>
      </c>
      <c r="F2361" s="3">
        <v>2023</v>
      </c>
      <c r="G2361" s="3" t="s">
        <v>12</v>
      </c>
      <c r="H2361" s="3" t="s">
        <v>17</v>
      </c>
      <c r="I2361" s="3" t="s">
        <v>61</v>
      </c>
      <c r="J2361" s="97" t="s">
        <v>3446</v>
      </c>
    </row>
    <row r="2362" spans="1:10" ht="28.9" customHeight="1" thickTop="1" thickBot="1" x14ac:dyDescent="0.65">
      <c r="A2362" s="5">
        <v>2360</v>
      </c>
      <c r="B2362" s="46" t="str">
        <f>HYPERLINK("https://search.naver.com/search.naver?query=우리는 동물원을 샀다 영화", "우리는 동물원을 샀다")</f>
        <v>우리는 동물원을 샀다</v>
      </c>
      <c r="C2362" s="47">
        <v>8.9</v>
      </c>
      <c r="D2362" s="6" t="s">
        <v>2424</v>
      </c>
      <c r="E2362" s="5" t="s">
        <v>20</v>
      </c>
      <c r="F2362" s="5">
        <v>2011</v>
      </c>
      <c r="G2362" s="5" t="s">
        <v>12</v>
      </c>
      <c r="H2362" s="5" t="s">
        <v>17</v>
      </c>
      <c r="I2362" s="5" t="s">
        <v>134</v>
      </c>
      <c r="J2362" s="98" t="s">
        <v>3454</v>
      </c>
    </row>
    <row r="2363" spans="1:10" ht="28.9" customHeight="1" thickTop="1" thickBot="1" x14ac:dyDescent="0.65">
      <c r="A2363" s="3">
        <v>2361</v>
      </c>
      <c r="B2363" s="44" t="str">
        <f>HYPERLINK("https://search.naver.com/search.naver?query=우리는 형제입니다 영화", "우리는 형제입니다")</f>
        <v>우리는 형제입니다</v>
      </c>
      <c r="C2363" s="45">
        <v>7.66</v>
      </c>
      <c r="D2363" s="4" t="s">
        <v>2425</v>
      </c>
      <c r="E2363" s="3" t="s">
        <v>11</v>
      </c>
      <c r="F2363" s="3">
        <v>2014</v>
      </c>
      <c r="G2363" s="3" t="s">
        <v>12</v>
      </c>
      <c r="H2363" s="3" t="s">
        <v>68</v>
      </c>
      <c r="I2363" s="3" t="s">
        <v>99</v>
      </c>
      <c r="J2363" s="97" t="s">
        <v>3437</v>
      </c>
    </row>
    <row r="2364" spans="1:10" ht="28.9" customHeight="1" thickTop="1" thickBot="1" x14ac:dyDescent="0.65">
      <c r="A2364" s="5">
        <v>2362</v>
      </c>
      <c r="B2364" s="46" t="str">
        <f>HYPERLINK("https://search.naver.com/search.naver?query=우리도 사랑일까 영화", "우리도 사랑일까")</f>
        <v>우리도 사랑일까</v>
      </c>
      <c r="C2364" s="47">
        <v>8.6199999999999992</v>
      </c>
      <c r="D2364" s="6" t="s">
        <v>2426</v>
      </c>
      <c r="E2364" s="5" t="s">
        <v>189</v>
      </c>
      <c r="F2364" s="5">
        <v>2012</v>
      </c>
      <c r="G2364" s="5" t="s">
        <v>12</v>
      </c>
      <c r="H2364" s="5" t="s">
        <v>17</v>
      </c>
      <c r="I2364" s="5" t="s">
        <v>366</v>
      </c>
      <c r="J2364" s="98" t="s">
        <v>3439</v>
      </c>
    </row>
    <row r="2365" spans="1:10" ht="28.9" customHeight="1" thickTop="1" thickBot="1" x14ac:dyDescent="0.65">
      <c r="A2365" s="3">
        <v>2363</v>
      </c>
      <c r="B2365" s="44" t="str">
        <f>HYPERLINK("https://search.naver.com/search.naver?query=우리들의 행복한 시간 영화", "우리들의 행복한 시간")</f>
        <v>우리들의 행복한 시간</v>
      </c>
      <c r="C2365" s="45">
        <v>8.6999999999999993</v>
      </c>
      <c r="D2365" s="4" t="s">
        <v>2427</v>
      </c>
      <c r="E2365" s="3" t="s">
        <v>11</v>
      </c>
      <c r="F2365" s="3">
        <v>2006</v>
      </c>
      <c r="G2365" s="3" t="s">
        <v>12</v>
      </c>
      <c r="H2365" s="3" t="s">
        <v>17</v>
      </c>
      <c r="I2365" s="3" t="s">
        <v>86</v>
      </c>
      <c r="J2365" s="97" t="s">
        <v>3460</v>
      </c>
    </row>
    <row r="2366" spans="1:10" ht="28.9" customHeight="1" thickTop="1" thickBot="1" x14ac:dyDescent="0.65">
      <c r="A2366" s="5">
        <v>2364</v>
      </c>
      <c r="B2366" s="46" t="str">
        <f>HYPERLINK("https://search.naver.com/search.naver?query=우리들이 있었다 전편 영화", "우리들이 있었다 전편")</f>
        <v>우리들이 있었다 전편</v>
      </c>
      <c r="C2366" s="47"/>
      <c r="D2366" s="6" t="s">
        <v>2428</v>
      </c>
      <c r="E2366" s="5" t="s">
        <v>16</v>
      </c>
      <c r="F2366" s="5">
        <v>2011</v>
      </c>
      <c r="G2366" s="5" t="s">
        <v>12</v>
      </c>
      <c r="H2366" s="5" t="s">
        <v>121</v>
      </c>
      <c r="I2366" s="5" t="s">
        <v>58</v>
      </c>
      <c r="J2366" s="98" t="s">
        <v>3454</v>
      </c>
    </row>
    <row r="2367" spans="1:10" ht="28.9" customHeight="1" thickTop="1" thickBot="1" x14ac:dyDescent="0.65">
      <c r="A2367" s="3">
        <v>2365</v>
      </c>
      <c r="B2367" s="44" t="str">
        <f>HYPERLINK("https://search.naver.com/search.naver?query=우리의 20세기 영화", "우리의 20세기")</f>
        <v>우리의 20세기</v>
      </c>
      <c r="C2367" s="45">
        <v>8.44</v>
      </c>
      <c r="D2367" s="4" t="s">
        <v>2429</v>
      </c>
      <c r="E2367" s="3" t="s">
        <v>20</v>
      </c>
      <c r="F2367" s="3">
        <v>2017</v>
      </c>
      <c r="G2367" s="3" t="s">
        <v>12</v>
      </c>
      <c r="H2367" s="3" t="s">
        <v>17</v>
      </c>
      <c r="I2367" s="3" t="s">
        <v>53</v>
      </c>
      <c r="J2367" s="97" t="s">
        <v>3443</v>
      </c>
    </row>
    <row r="2368" spans="1:10" ht="28.9" customHeight="1" thickTop="1" thickBot="1" x14ac:dyDescent="0.65">
      <c r="A2368" s="5">
        <v>2366</v>
      </c>
      <c r="B2368" s="46" t="str">
        <f>HYPERLINK("https://search.naver.com/search.naver?query=우리집 개를 찾습니다 영화", "우리집 개를 찾습니다")</f>
        <v>우리집 개를 찾습니다</v>
      </c>
      <c r="C2368" s="47">
        <v>9.1199999999999992</v>
      </c>
      <c r="D2368" s="6" t="s">
        <v>2430</v>
      </c>
      <c r="E2368" s="5" t="s">
        <v>20</v>
      </c>
      <c r="F2368" s="5">
        <v>2023</v>
      </c>
      <c r="G2368" s="5" t="s">
        <v>12</v>
      </c>
      <c r="H2368" s="5" t="s">
        <v>17</v>
      </c>
      <c r="I2368" s="5" t="s">
        <v>111</v>
      </c>
      <c r="J2368" s="98" t="s">
        <v>3446</v>
      </c>
    </row>
    <row r="2369" spans="1:10" ht="28.9" customHeight="1" thickTop="1" thickBot="1" x14ac:dyDescent="0.65">
      <c r="A2369" s="3">
        <v>2367</v>
      </c>
      <c r="B2369" s="44" t="str">
        <f>HYPERLINK("https://search.naver.com/search.naver?query=우리집 똥멍청이 영화", "우리집 똥멍청이")</f>
        <v>우리집 똥멍청이</v>
      </c>
      <c r="C2369" s="45">
        <v>7.88</v>
      </c>
      <c r="D2369" s="4" t="s">
        <v>2431</v>
      </c>
      <c r="E2369" s="3" t="s">
        <v>210</v>
      </c>
      <c r="F2369" s="3">
        <v>2020</v>
      </c>
      <c r="G2369" s="3" t="s">
        <v>12</v>
      </c>
      <c r="H2369" s="3" t="s">
        <v>68</v>
      </c>
      <c r="I2369" s="3" t="s">
        <v>286</v>
      </c>
      <c r="J2369" s="97" t="s">
        <v>3436</v>
      </c>
    </row>
    <row r="2370" spans="1:10" ht="28.9" customHeight="1" thickTop="1" thickBot="1" x14ac:dyDescent="0.65">
      <c r="A2370" s="5">
        <v>2368</v>
      </c>
      <c r="B2370" s="46" t="str">
        <f>HYPERLINK("https://search.naver.com/search.naver?query=우먼 인 골드 영화", "우먼 인 골드")</f>
        <v>우먼 인 골드</v>
      </c>
      <c r="C2370" s="47">
        <v>8.9</v>
      </c>
      <c r="D2370" s="6" t="s">
        <v>2432</v>
      </c>
      <c r="E2370" s="5" t="s">
        <v>24</v>
      </c>
      <c r="F2370" s="5">
        <v>2015</v>
      </c>
      <c r="G2370" s="5" t="s">
        <v>12</v>
      </c>
      <c r="H2370" s="5" t="s">
        <v>17</v>
      </c>
      <c r="I2370" s="5" t="s">
        <v>137</v>
      </c>
      <c r="J2370" s="98" t="s">
        <v>3440</v>
      </c>
    </row>
    <row r="2371" spans="1:10" ht="28.9" customHeight="1" thickTop="1" thickBot="1" x14ac:dyDescent="0.65">
      <c r="A2371" s="3">
        <v>2369</v>
      </c>
      <c r="B2371" s="44" t="str">
        <f>HYPERLINK("https://search.naver.com/search.naver?query=우먼 인 블랙 영화", "우먼 인 블랙")</f>
        <v>우먼 인 블랙</v>
      </c>
      <c r="C2371" s="45">
        <v>6.71</v>
      </c>
      <c r="D2371" s="4" t="s">
        <v>2433</v>
      </c>
      <c r="E2371" s="3" t="s">
        <v>24</v>
      </c>
      <c r="F2371" s="3">
        <v>2012</v>
      </c>
      <c r="G2371" s="3" t="s">
        <v>12</v>
      </c>
      <c r="H2371" s="3" t="s">
        <v>252</v>
      </c>
      <c r="I2371" s="3" t="s">
        <v>111</v>
      </c>
      <c r="J2371" s="97" t="s">
        <v>3439</v>
      </c>
    </row>
    <row r="2372" spans="1:10" ht="28.9" customHeight="1" thickTop="1" thickBot="1" x14ac:dyDescent="0.65">
      <c r="A2372" s="5">
        <v>2370</v>
      </c>
      <c r="B2372" s="46" t="str">
        <f>HYPERLINK("https://search.naver.com/search.naver?query=우먼 인 윈도 영화", "우먼 인 윈도")</f>
        <v>우먼 인 윈도</v>
      </c>
      <c r="C2372" s="47">
        <v>6.73</v>
      </c>
      <c r="D2372" s="6" t="s">
        <v>2434</v>
      </c>
      <c r="E2372" s="5" t="s">
        <v>20</v>
      </c>
      <c r="F2372" s="5">
        <v>2021</v>
      </c>
      <c r="G2372" s="5" t="s">
        <v>12</v>
      </c>
      <c r="H2372" s="5" t="s">
        <v>43</v>
      </c>
      <c r="I2372" s="5" t="s">
        <v>131</v>
      </c>
      <c r="J2372" s="98" t="s">
        <v>3438</v>
      </c>
    </row>
    <row r="2373" spans="1:10" ht="28.9" customHeight="1" thickTop="1" thickBot="1" x14ac:dyDescent="0.65">
      <c r="A2373" s="3">
        <v>2371</v>
      </c>
      <c r="B2373" s="44" t="str">
        <f>HYPERLINK("https://search.naver.com/search.naver?query=우먼 인 캐빈10 영화", "우먼 인 캐빈10")</f>
        <v>우먼 인 캐빈10</v>
      </c>
      <c r="C2373" s="45">
        <v>6.74</v>
      </c>
      <c r="D2373" s="4" t="s">
        <v>2435</v>
      </c>
      <c r="E2373" s="3" t="s">
        <v>24</v>
      </c>
      <c r="F2373" s="3">
        <v>2025</v>
      </c>
      <c r="G2373" s="3" t="s">
        <v>12</v>
      </c>
      <c r="H2373" s="3" t="s">
        <v>43</v>
      </c>
      <c r="I2373" s="3" t="s">
        <v>131</v>
      </c>
      <c r="J2373" s="97" t="s">
        <v>3459</v>
      </c>
    </row>
    <row r="2374" spans="1:10" ht="28.9" customHeight="1" thickTop="1" thickBot="1" x14ac:dyDescent="0.65">
      <c r="A2374" s="5">
        <v>2372</v>
      </c>
      <c r="B2374" s="46" t="str">
        <f>HYPERLINK("https://search.naver.com/search.naver?query=우미자루 4 브레이브 하츠 영화", "우미자루 4 브레이브 하츠")</f>
        <v>우미자루 4 브레이브 하츠</v>
      </c>
      <c r="C2374" s="47">
        <v>6.4</v>
      </c>
      <c r="D2374" s="6" t="s">
        <v>2436</v>
      </c>
      <c r="E2374" s="5" t="s">
        <v>16</v>
      </c>
      <c r="F2374" s="5">
        <v>2012</v>
      </c>
      <c r="G2374" s="5" t="s">
        <v>12</v>
      </c>
      <c r="H2374" s="5" t="s">
        <v>92</v>
      </c>
      <c r="I2374" s="5" t="s">
        <v>278</v>
      </c>
      <c r="J2374" s="98" t="s">
        <v>3439</v>
      </c>
    </row>
    <row r="2375" spans="1:10" ht="28.9" customHeight="1" thickTop="1" thickBot="1" x14ac:dyDescent="0.65">
      <c r="A2375" s="3">
        <v>2373</v>
      </c>
      <c r="B2375" s="44" t="str">
        <f>HYPERLINK("https://search.naver.com/search.naver?query=우상 영화", "우상")</f>
        <v>우상</v>
      </c>
      <c r="C2375" s="45">
        <v>6.6</v>
      </c>
      <c r="D2375" s="4" t="s">
        <v>2437</v>
      </c>
      <c r="E2375" s="3" t="s">
        <v>11</v>
      </c>
      <c r="F2375" s="3">
        <v>2019</v>
      </c>
      <c r="G2375" s="3" t="s">
        <v>12</v>
      </c>
      <c r="H2375" s="3" t="s">
        <v>17</v>
      </c>
      <c r="I2375" s="3" t="s">
        <v>111</v>
      </c>
      <c r="J2375" s="97" t="s">
        <v>3444</v>
      </c>
    </row>
    <row r="2376" spans="1:10" ht="28.9" customHeight="1" thickTop="1" thickBot="1" x14ac:dyDescent="0.65">
      <c r="A2376" s="5">
        <v>2374</v>
      </c>
      <c r="B2376" s="46" t="str">
        <f>HYPERLINK("https://search.naver.com/search.naver?query=우아한 거짓말 영화", "우아한 거짓말")</f>
        <v>우아한 거짓말</v>
      </c>
      <c r="C2376" s="47">
        <v>8.24</v>
      </c>
      <c r="D2376" s="6" t="s">
        <v>2438</v>
      </c>
      <c r="E2376" s="5" t="s">
        <v>11</v>
      </c>
      <c r="F2376" s="5">
        <v>2014</v>
      </c>
      <c r="G2376" s="5" t="s">
        <v>12</v>
      </c>
      <c r="H2376" s="5" t="s">
        <v>17</v>
      </c>
      <c r="I2376" s="5" t="s">
        <v>75</v>
      </c>
      <c r="J2376" s="98" t="s">
        <v>3437</v>
      </c>
    </row>
    <row r="2377" spans="1:10" ht="28.9" customHeight="1" thickTop="1" thickBot="1" x14ac:dyDescent="0.65">
      <c r="A2377" s="3">
        <v>2375</v>
      </c>
      <c r="B2377" s="44" t="str">
        <f>HYPERLINK("https://search.naver.com/search.naver?query=우연한 납치범 영화", "우연한 납치범")</f>
        <v>우연한 납치범</v>
      </c>
      <c r="C2377" s="45"/>
      <c r="D2377" s="4" t="s">
        <v>2439</v>
      </c>
      <c r="E2377" s="3" t="s">
        <v>16</v>
      </c>
      <c r="F2377" s="3">
        <v>2010</v>
      </c>
      <c r="G2377" s="3" t="s">
        <v>12</v>
      </c>
      <c r="H2377" s="3" t="s">
        <v>17</v>
      </c>
      <c r="I2377" s="3" t="s">
        <v>102</v>
      </c>
      <c r="J2377" s="97" t="s">
        <v>3455</v>
      </c>
    </row>
    <row r="2378" spans="1:10" ht="28.9" customHeight="1" thickTop="1" thickBot="1" x14ac:dyDescent="0.65">
      <c r="A2378" s="5">
        <v>2376</v>
      </c>
      <c r="B2378" s="46" t="str">
        <f>HYPERLINK("https://search.naver.com/search.naver?query=우행록 영화", "우행록")</f>
        <v>우행록</v>
      </c>
      <c r="C2378" s="47">
        <v>7.92</v>
      </c>
      <c r="D2378" s="6" t="s">
        <v>2440</v>
      </c>
      <c r="E2378" s="5" t="s">
        <v>16</v>
      </c>
      <c r="F2378" s="5">
        <v>2019</v>
      </c>
      <c r="G2378" s="5" t="s">
        <v>12</v>
      </c>
      <c r="H2378" s="5" t="s">
        <v>17</v>
      </c>
      <c r="I2378" s="5" t="s">
        <v>86</v>
      </c>
      <c r="J2378" s="98" t="s">
        <v>3444</v>
      </c>
    </row>
    <row r="2379" spans="1:10" ht="28.9" customHeight="1" thickTop="1" thickBot="1" x14ac:dyDescent="0.65">
      <c r="A2379" s="3">
        <v>2377</v>
      </c>
      <c r="B2379" s="44" t="str">
        <f>HYPERLINK("https://search.naver.com/search.naver?query=운디네 영화", "운디네")</f>
        <v>운디네</v>
      </c>
      <c r="C2379" s="45">
        <v>8.25</v>
      </c>
      <c r="D2379" s="4" t="s">
        <v>2441</v>
      </c>
      <c r="E2379" s="3" t="s">
        <v>101</v>
      </c>
      <c r="F2379" s="3">
        <v>2020</v>
      </c>
      <c r="G2379" s="3" t="s">
        <v>12</v>
      </c>
      <c r="H2379" s="3" t="s">
        <v>17</v>
      </c>
      <c r="I2379" s="3" t="s">
        <v>115</v>
      </c>
      <c r="J2379" s="97" t="s">
        <v>3436</v>
      </c>
    </row>
    <row r="2380" spans="1:10" ht="28.9" customHeight="1" thickTop="1" thickBot="1" x14ac:dyDescent="0.65">
      <c r="A2380" s="7">
        <v>2378</v>
      </c>
      <c r="B2380" s="48" t="str">
        <f>HYPERLINK("https://search.naver.com/search.naver?query=운명을 닮은 사랑 드라마", "운명을 닮은 사랑")</f>
        <v>운명을 닮은 사랑</v>
      </c>
      <c r="C2380" s="49"/>
      <c r="D2380" s="8" t="s">
        <v>2442</v>
      </c>
      <c r="E2380" s="7" t="s">
        <v>16</v>
      </c>
      <c r="F2380" s="7">
        <v>2016</v>
      </c>
      <c r="G2380" s="7" t="s">
        <v>17</v>
      </c>
      <c r="H2380" s="7" t="s">
        <v>110</v>
      </c>
      <c r="I2380" s="7" t="s">
        <v>55</v>
      </c>
      <c r="J2380" s="99" t="s">
        <v>3441</v>
      </c>
    </row>
    <row r="2381" spans="1:10" ht="28.9" customHeight="1" thickTop="1" thickBot="1" x14ac:dyDescent="0.65">
      <c r="A2381" s="3">
        <v>2379</v>
      </c>
      <c r="B2381" s="44" t="str">
        <f>HYPERLINK("https://search.naver.com/search.naver?query=운명의 하루 영화", "운명의 하루")</f>
        <v>운명의 하루</v>
      </c>
      <c r="C2381" s="45">
        <v>6.4</v>
      </c>
      <c r="D2381" s="4" t="s">
        <v>2443</v>
      </c>
      <c r="E2381" s="3" t="s">
        <v>20</v>
      </c>
      <c r="F2381" s="3">
        <v>2019</v>
      </c>
      <c r="G2381" s="3" t="s">
        <v>12</v>
      </c>
      <c r="H2381" s="3" t="s">
        <v>17</v>
      </c>
      <c r="I2381" s="3" t="s">
        <v>99</v>
      </c>
      <c r="J2381" s="97" t="s">
        <v>3444</v>
      </c>
    </row>
    <row r="2382" spans="1:10" ht="28.9" customHeight="1" thickTop="1" thickBot="1" x14ac:dyDescent="0.65">
      <c r="A2382" s="5">
        <v>2380</v>
      </c>
      <c r="B2382" s="46" t="str">
        <f>HYPERLINK("https://search.naver.com/search.naver?query=울프 콜 영화", "울프 콜")</f>
        <v>울프 콜</v>
      </c>
      <c r="C2382" s="47">
        <v>8.6300000000000008</v>
      </c>
      <c r="D2382" s="6" t="s">
        <v>2444</v>
      </c>
      <c r="E2382" s="5" t="s">
        <v>210</v>
      </c>
      <c r="F2382" s="5">
        <v>2019</v>
      </c>
      <c r="G2382" s="5" t="s">
        <v>12</v>
      </c>
      <c r="H2382" s="5" t="s">
        <v>92</v>
      </c>
      <c r="I2382" s="5" t="s">
        <v>47</v>
      </c>
      <c r="J2382" s="98" t="s">
        <v>3444</v>
      </c>
    </row>
    <row r="2383" spans="1:10" ht="28.9" customHeight="1" thickTop="1" thickBot="1" x14ac:dyDescent="0.65">
      <c r="A2383" s="3">
        <v>2381</v>
      </c>
      <c r="B2383" s="44" t="str">
        <f>HYPERLINK("https://search.naver.com/search.naver?query=울프 토템 영화", "울프 토템")</f>
        <v>울프 토템</v>
      </c>
      <c r="C2383" s="45"/>
      <c r="D2383" s="4" t="s">
        <v>2445</v>
      </c>
      <c r="E2383" s="3" t="s">
        <v>136</v>
      </c>
      <c r="F2383" s="3">
        <v>2015</v>
      </c>
      <c r="G2383" s="3" t="s">
        <v>12</v>
      </c>
      <c r="H2383" s="3" t="s">
        <v>824</v>
      </c>
      <c r="I2383" s="3" t="s">
        <v>142</v>
      </c>
      <c r="J2383" s="97" t="s">
        <v>3440</v>
      </c>
    </row>
    <row r="2384" spans="1:10" ht="28.9" customHeight="1" thickTop="1" thickBot="1" x14ac:dyDescent="0.65">
      <c r="A2384" s="5">
        <v>2382</v>
      </c>
      <c r="B2384" s="46" t="str">
        <f>HYPERLINK("https://search.naver.com/search.naver?query=울프스 영화", "울프스")</f>
        <v>울프스</v>
      </c>
      <c r="C2384" s="47">
        <v>6.91</v>
      </c>
      <c r="D2384" s="6" t="s">
        <v>2446</v>
      </c>
      <c r="E2384" s="5" t="s">
        <v>20</v>
      </c>
      <c r="F2384" s="5">
        <v>2024</v>
      </c>
      <c r="G2384" s="5" t="s">
        <v>12</v>
      </c>
      <c r="H2384" s="5" t="s">
        <v>92</v>
      </c>
      <c r="I2384" s="5" t="s">
        <v>31</v>
      </c>
      <c r="J2384" s="98" t="s">
        <v>3448</v>
      </c>
    </row>
    <row r="2385" spans="1:10" ht="28.9" customHeight="1" thickTop="1" thickBot="1" x14ac:dyDescent="0.65">
      <c r="A2385" s="3">
        <v>2383</v>
      </c>
      <c r="B2385" s="44" t="str">
        <f>HYPERLINK("https://search.naver.com/search.naver?query=워 룸 영화", "워 룸")</f>
        <v>워 룸</v>
      </c>
      <c r="C2385" s="45"/>
      <c r="D2385" s="4" t="s">
        <v>2447</v>
      </c>
      <c r="E2385" s="3" t="s">
        <v>20</v>
      </c>
      <c r="F2385" s="3">
        <v>2015</v>
      </c>
      <c r="G2385" s="3" t="s">
        <v>12</v>
      </c>
      <c r="H2385" s="3" t="s">
        <v>17</v>
      </c>
      <c r="I2385" s="3" t="s">
        <v>86</v>
      </c>
      <c r="J2385" s="97" t="s">
        <v>3440</v>
      </c>
    </row>
    <row r="2386" spans="1:10" ht="28.9" customHeight="1" thickTop="1" thickBot="1" x14ac:dyDescent="0.65">
      <c r="A2386" s="5">
        <v>2384</v>
      </c>
      <c r="B2386" s="46" t="str">
        <f>HYPERLINK("https://search.naver.com/search.naver?query=워 머신 영화", "워 머신")</f>
        <v>워 머신</v>
      </c>
      <c r="C2386" s="47">
        <v>8.6999999999999993</v>
      </c>
      <c r="D2386" s="6" t="s">
        <v>2448</v>
      </c>
      <c r="E2386" s="5" t="s">
        <v>20</v>
      </c>
      <c r="F2386" s="5">
        <v>2017</v>
      </c>
      <c r="G2386" s="5" t="s">
        <v>12</v>
      </c>
      <c r="H2386" s="5" t="s">
        <v>68</v>
      </c>
      <c r="I2386" s="5" t="s">
        <v>105</v>
      </c>
      <c r="J2386" s="98" t="s">
        <v>3443</v>
      </c>
    </row>
    <row r="2387" spans="1:10" ht="28.9" customHeight="1" thickTop="1" thickBot="1" x14ac:dyDescent="0.65">
      <c r="A2387" s="3">
        <v>2385</v>
      </c>
      <c r="B2387" s="44" t="str">
        <f>HYPERLINK("https://search.naver.com/search.naver?query=워 위드 그랜파 영화", "워 위드 그랜파")</f>
        <v>워 위드 그랜파</v>
      </c>
      <c r="C2387" s="45">
        <v>7.88</v>
      </c>
      <c r="D2387" s="4" t="s">
        <v>2449</v>
      </c>
      <c r="E2387" s="3" t="s">
        <v>20</v>
      </c>
      <c r="F2387" s="3">
        <v>2020</v>
      </c>
      <c r="G2387" s="3" t="s">
        <v>12</v>
      </c>
      <c r="H2387" s="3" t="s">
        <v>68</v>
      </c>
      <c r="I2387" s="3" t="s">
        <v>300</v>
      </c>
      <c r="J2387" s="97" t="s">
        <v>3436</v>
      </c>
    </row>
    <row r="2388" spans="1:10" ht="28.9" customHeight="1" thickTop="1" thickBot="1" x14ac:dyDescent="0.65">
      <c r="A2388" s="5">
        <v>2386</v>
      </c>
      <c r="B2388" s="46" t="str">
        <f>HYPERLINK("https://search.naver.com/search.naver?query=워리어 영화", "워리어")</f>
        <v>워리어</v>
      </c>
      <c r="C2388" s="47">
        <v>8.7100000000000009</v>
      </c>
      <c r="D2388" s="6" t="s">
        <v>2450</v>
      </c>
      <c r="E2388" s="5" t="s">
        <v>20</v>
      </c>
      <c r="F2388" s="5">
        <v>2011</v>
      </c>
      <c r="G2388" s="5" t="s">
        <v>12</v>
      </c>
      <c r="H2388" s="5" t="s">
        <v>92</v>
      </c>
      <c r="I2388" s="5" t="s">
        <v>550</v>
      </c>
      <c r="J2388" s="98" t="s">
        <v>3454</v>
      </c>
    </row>
    <row r="2389" spans="1:10" ht="28.9" customHeight="1" thickTop="1" thickBot="1" x14ac:dyDescent="0.65">
      <c r="A2389" s="3">
        <v>2387</v>
      </c>
      <c r="B2389" s="44" t="str">
        <f>HYPERLINK("https://search.naver.com/search.naver?query=워스 영화", "워스")</f>
        <v>워스</v>
      </c>
      <c r="C2389" s="45">
        <v>8.2200000000000006</v>
      </c>
      <c r="D2389" s="4" t="s">
        <v>2451</v>
      </c>
      <c r="E2389" s="3" t="s">
        <v>20</v>
      </c>
      <c r="F2389" s="3">
        <v>2020</v>
      </c>
      <c r="G2389" s="3" t="s">
        <v>12</v>
      </c>
      <c r="H2389" s="3" t="s">
        <v>17</v>
      </c>
      <c r="I2389" s="3" t="s">
        <v>221</v>
      </c>
      <c r="J2389" s="97" t="s">
        <v>3436</v>
      </c>
    </row>
    <row r="2390" spans="1:10" ht="28.9" customHeight="1" thickTop="1" thickBot="1" x14ac:dyDescent="0.65">
      <c r="A2390" s="5">
        <v>2388</v>
      </c>
      <c r="B2390" s="46" t="str">
        <f>HYPERLINK("https://search.naver.com/search.naver?query=워크 오브 셰임 영화", "워크 오브 셰임")</f>
        <v>워크 오브 셰임</v>
      </c>
      <c r="C2390" s="47">
        <v>7.03</v>
      </c>
      <c r="D2390" s="6" t="s">
        <v>2452</v>
      </c>
      <c r="E2390" s="5" t="s">
        <v>20</v>
      </c>
      <c r="F2390" s="5">
        <v>2014</v>
      </c>
      <c r="G2390" s="5" t="s">
        <v>12</v>
      </c>
      <c r="H2390" s="5" t="s">
        <v>68</v>
      </c>
      <c r="I2390" s="5" t="s">
        <v>111</v>
      </c>
      <c r="J2390" s="98" t="s">
        <v>3437</v>
      </c>
    </row>
    <row r="2391" spans="1:10" ht="28.9" customHeight="1" thickTop="1" thickBot="1" x14ac:dyDescent="0.65">
      <c r="A2391" s="3">
        <v>2389</v>
      </c>
      <c r="B2391" s="44" t="str">
        <f>HYPERLINK("https://search.naver.com/search.naver?query=워크 투 리멤버 영화", "워크 투 리멤버")</f>
        <v>워크 투 리멤버</v>
      </c>
      <c r="C2391" s="45">
        <v>8.7899999999999991</v>
      </c>
      <c r="D2391" s="4" t="s">
        <v>2453</v>
      </c>
      <c r="E2391" s="3" t="s">
        <v>20</v>
      </c>
      <c r="F2391" s="3">
        <v>2002</v>
      </c>
      <c r="G2391" s="3" t="s">
        <v>12</v>
      </c>
      <c r="H2391" s="3" t="s">
        <v>17</v>
      </c>
      <c r="I2391" s="3" t="s">
        <v>70</v>
      </c>
      <c r="J2391" s="97" t="s">
        <v>3466</v>
      </c>
    </row>
    <row r="2392" spans="1:10" ht="28.9" customHeight="1" thickTop="1" thickBot="1" x14ac:dyDescent="0.65">
      <c r="A2392" s="5">
        <v>2390</v>
      </c>
      <c r="B2392" s="46" t="str">
        <f>HYPERLINK("https://search.naver.com/search.naver?query=워킹 맨 영화", "워킹 맨")</f>
        <v>워킹 맨</v>
      </c>
      <c r="C2392" s="47">
        <v>6.49</v>
      </c>
      <c r="D2392" s="6" t="s">
        <v>2454</v>
      </c>
      <c r="E2392" s="5" t="s">
        <v>20</v>
      </c>
      <c r="F2392" s="5">
        <v>2025</v>
      </c>
      <c r="G2392" s="5" t="s">
        <v>12</v>
      </c>
      <c r="H2392" s="5" t="s">
        <v>92</v>
      </c>
      <c r="I2392" s="5" t="s">
        <v>96</v>
      </c>
      <c r="J2392" s="98" t="s">
        <v>3459</v>
      </c>
    </row>
    <row r="2393" spans="1:10" ht="28.9" customHeight="1" thickTop="1" thickBot="1" x14ac:dyDescent="0.65">
      <c r="A2393" s="3">
        <v>2391</v>
      </c>
      <c r="B2393" s="44" t="str">
        <f>HYPERLINK("https://search.naver.com/search.naver?query=워터 디바이너 영화", "워터 디바이너")</f>
        <v>워터 디바이너</v>
      </c>
      <c r="C2393" s="45">
        <v>7.97</v>
      </c>
      <c r="D2393" s="4" t="s">
        <v>2455</v>
      </c>
      <c r="E2393" s="3" t="s">
        <v>36</v>
      </c>
      <c r="F2393" s="3">
        <v>2014</v>
      </c>
      <c r="G2393" s="3" t="s">
        <v>12</v>
      </c>
      <c r="H2393" s="3" t="s">
        <v>17</v>
      </c>
      <c r="I2393" s="3" t="s">
        <v>102</v>
      </c>
      <c r="J2393" s="97" t="s">
        <v>3437</v>
      </c>
    </row>
    <row r="2394" spans="1:10" ht="28.9" customHeight="1" thickTop="1" thickBot="1" x14ac:dyDescent="0.65">
      <c r="A2394" s="5">
        <v>2392</v>
      </c>
      <c r="B2394" s="46" t="str">
        <f>HYPERLINK("https://search.naver.com/search.naver?query=워터보이즈 영화", "워터보이즈")</f>
        <v>워터보이즈</v>
      </c>
      <c r="C2394" s="47">
        <v>8.67</v>
      </c>
      <c r="D2394" s="6" t="s">
        <v>2456</v>
      </c>
      <c r="E2394" s="5" t="s">
        <v>16</v>
      </c>
      <c r="F2394" s="5">
        <v>2001</v>
      </c>
      <c r="G2394" s="5" t="s">
        <v>12</v>
      </c>
      <c r="H2394" s="5" t="s">
        <v>68</v>
      </c>
      <c r="I2394" s="5" t="s">
        <v>240</v>
      </c>
      <c r="J2394" s="98" t="s">
        <v>3457</v>
      </c>
    </row>
    <row r="2395" spans="1:10" ht="28.9" customHeight="1" thickTop="1" thickBot="1" x14ac:dyDescent="0.65">
      <c r="A2395" s="3">
        <v>2393</v>
      </c>
      <c r="B2395" s="44" t="str">
        <f>HYPERLINK("https://search.naver.com/search.naver?query=워호스 영화", "워호스")</f>
        <v>워호스</v>
      </c>
      <c r="C2395" s="45">
        <v>9.1999999999999993</v>
      </c>
      <c r="D2395" s="4" t="s">
        <v>2457</v>
      </c>
      <c r="E2395" s="3" t="s">
        <v>20</v>
      </c>
      <c r="F2395" s="3">
        <v>2011</v>
      </c>
      <c r="G2395" s="3" t="s">
        <v>12</v>
      </c>
      <c r="H2395" s="3" t="s">
        <v>721</v>
      </c>
      <c r="I2395" s="3" t="s">
        <v>923</v>
      </c>
      <c r="J2395" s="97" t="s">
        <v>3454</v>
      </c>
    </row>
    <row r="2396" spans="1:10" ht="28.9" customHeight="1" thickTop="1" thickBot="1" x14ac:dyDescent="0.65">
      <c r="A2396" s="5">
        <v>2394</v>
      </c>
      <c r="B2396" s="46" t="str">
        <f>HYPERLINK("https://search.naver.com/search.naver?query=원 배틀 애프터 어나더 영화", "원 배틀 애프터 어나더")</f>
        <v>원 배틀 애프터 어나더</v>
      </c>
      <c r="C2396" s="47">
        <v>8.5</v>
      </c>
      <c r="D2396" s="6" t="s">
        <v>2458</v>
      </c>
      <c r="E2396" s="5" t="s">
        <v>20</v>
      </c>
      <c r="F2396" s="5">
        <v>2025</v>
      </c>
      <c r="G2396" s="5" t="s">
        <v>12</v>
      </c>
      <c r="H2396" s="5" t="s">
        <v>92</v>
      </c>
      <c r="I2396" s="5" t="s">
        <v>86</v>
      </c>
      <c r="J2396" s="98" t="s">
        <v>3459</v>
      </c>
    </row>
    <row r="2397" spans="1:10" ht="28.9" customHeight="1" thickTop="1" thickBot="1" x14ac:dyDescent="0.65">
      <c r="A2397" s="3">
        <v>2395</v>
      </c>
      <c r="B2397" s="44" t="str">
        <f>HYPERLINK("https://search.naver.com/search.naver?query=원 와일드 모먼트 영화", "원 와일드 모먼트")</f>
        <v>원 와일드 모먼트</v>
      </c>
      <c r="C2397" s="45">
        <v>8.75</v>
      </c>
      <c r="D2397" s="4" t="s">
        <v>2459</v>
      </c>
      <c r="E2397" s="3" t="s">
        <v>210</v>
      </c>
      <c r="F2397" s="3">
        <v>2015</v>
      </c>
      <c r="G2397" s="3" t="s">
        <v>12</v>
      </c>
      <c r="H2397" s="3" t="s">
        <v>68</v>
      </c>
      <c r="I2397" s="3" t="s">
        <v>128</v>
      </c>
      <c r="J2397" s="97" t="s">
        <v>3440</v>
      </c>
    </row>
    <row r="2398" spans="1:10" ht="28.9" customHeight="1" thickTop="1" thickBot="1" x14ac:dyDescent="0.65">
      <c r="A2398" s="5">
        <v>2396</v>
      </c>
      <c r="B2398" s="46" t="str">
        <f>HYPERLINK("https://search.naver.com/search.naver?query=원더 영화", "원더")</f>
        <v>원더</v>
      </c>
      <c r="C2398" s="47">
        <v>9.1999999999999993</v>
      </c>
      <c r="D2398" s="6" t="s">
        <v>2460</v>
      </c>
      <c r="E2398" s="5" t="s">
        <v>20</v>
      </c>
      <c r="F2398" s="5">
        <v>2017</v>
      </c>
      <c r="G2398" s="5" t="s">
        <v>12</v>
      </c>
      <c r="H2398" s="5" t="s">
        <v>17</v>
      </c>
      <c r="I2398" s="5" t="s">
        <v>73</v>
      </c>
      <c r="J2398" s="98" t="s">
        <v>3443</v>
      </c>
    </row>
    <row r="2399" spans="1:10" ht="28.9" customHeight="1" thickTop="1" thickBot="1" x14ac:dyDescent="0.65">
      <c r="A2399" s="3">
        <v>2397</v>
      </c>
      <c r="B2399" s="44" t="str">
        <f>HYPERLINK("https://search.naver.com/search.naver?query=원더 우먼 영화", "원더 우먼")</f>
        <v>원더 우먼</v>
      </c>
      <c r="C2399" s="45">
        <v>8.24</v>
      </c>
      <c r="D2399" s="4" t="s">
        <v>2461</v>
      </c>
      <c r="E2399" s="3" t="s">
        <v>20</v>
      </c>
      <c r="F2399" s="3">
        <v>2017</v>
      </c>
      <c r="G2399" s="3" t="s">
        <v>12</v>
      </c>
      <c r="H2399" s="3" t="s">
        <v>92</v>
      </c>
      <c r="I2399" s="3" t="s">
        <v>455</v>
      </c>
      <c r="J2399" s="97" t="s">
        <v>3443</v>
      </c>
    </row>
    <row r="2400" spans="1:10" ht="28.9" customHeight="1" thickTop="1" thickBot="1" x14ac:dyDescent="0.65">
      <c r="A2400" s="5">
        <v>2398</v>
      </c>
      <c r="B2400" s="46" t="str">
        <f>HYPERLINK("https://search.naver.com/search.naver?query=원더 힐 영화", "원더 힐")</f>
        <v>원더 힐</v>
      </c>
      <c r="C2400" s="47">
        <v>7.98</v>
      </c>
      <c r="D2400" s="6" t="s">
        <v>2462</v>
      </c>
      <c r="E2400" s="5" t="s">
        <v>20</v>
      </c>
      <c r="F2400" s="5">
        <v>2017</v>
      </c>
      <c r="G2400" s="5" t="s">
        <v>12</v>
      </c>
      <c r="H2400" s="5" t="s">
        <v>17</v>
      </c>
      <c r="I2400" s="5" t="s">
        <v>111</v>
      </c>
      <c r="J2400" s="98" t="s">
        <v>3443</v>
      </c>
    </row>
    <row r="2401" spans="1:10" ht="28.9" customHeight="1" thickTop="1" thickBot="1" x14ac:dyDescent="0.65">
      <c r="A2401" s="3">
        <v>2399</v>
      </c>
      <c r="B2401" s="44" t="str">
        <f>HYPERLINK("https://search.naver.com/search.naver?query=원더우먼 스토리 영화", "원더우먼 스토리")</f>
        <v>원더우먼 스토리</v>
      </c>
      <c r="C2401" s="45">
        <v>6.4</v>
      </c>
      <c r="D2401" s="4" t="s">
        <v>2463</v>
      </c>
      <c r="E2401" s="3" t="s">
        <v>20</v>
      </c>
      <c r="F2401" s="3">
        <v>2017</v>
      </c>
      <c r="G2401" s="3" t="s">
        <v>12</v>
      </c>
      <c r="H2401" s="3" t="s">
        <v>92</v>
      </c>
      <c r="I2401" s="3" t="s">
        <v>111</v>
      </c>
      <c r="J2401" s="97" t="s">
        <v>3443</v>
      </c>
    </row>
    <row r="2402" spans="1:10" ht="28.9" customHeight="1" thickTop="1" thickBot="1" x14ac:dyDescent="0.65">
      <c r="A2402" s="5">
        <v>2400</v>
      </c>
      <c r="B2402" s="46" t="str">
        <f>HYPERLINK("https://search.naver.com/search.naver?query=원더풀 고스트 영화", "원더풀 고스트")</f>
        <v>원더풀 고스트</v>
      </c>
      <c r="C2402" s="47">
        <v>7.98</v>
      </c>
      <c r="D2402" s="6" t="s">
        <v>2464</v>
      </c>
      <c r="E2402" s="5" t="s">
        <v>11</v>
      </c>
      <c r="F2402" s="5">
        <v>2018</v>
      </c>
      <c r="G2402" s="5" t="s">
        <v>12</v>
      </c>
      <c r="H2402" s="5" t="s">
        <v>68</v>
      </c>
      <c r="I2402" s="5" t="s">
        <v>14</v>
      </c>
      <c r="J2402" s="98" t="s">
        <v>3442</v>
      </c>
    </row>
    <row r="2403" spans="1:10" ht="28.9" customHeight="1" thickTop="1" thickBot="1" x14ac:dyDescent="0.65">
      <c r="A2403" s="3">
        <v>2401</v>
      </c>
      <c r="B2403" s="44" t="str">
        <f>HYPERLINK("https://search.naver.com/search.naver?query=원더풀 라디오 영화", "원더풀 라디오")</f>
        <v>원더풀 라디오</v>
      </c>
      <c r="C2403" s="45">
        <v>7.58</v>
      </c>
      <c r="D2403" s="4" t="s">
        <v>2465</v>
      </c>
      <c r="E2403" s="3" t="s">
        <v>11</v>
      </c>
      <c r="F2403" s="3">
        <v>2011</v>
      </c>
      <c r="G2403" s="3" t="s">
        <v>12</v>
      </c>
      <c r="H2403" s="3" t="s">
        <v>17</v>
      </c>
      <c r="I2403" s="3" t="s">
        <v>111</v>
      </c>
      <c r="J2403" s="97" t="s">
        <v>3454</v>
      </c>
    </row>
    <row r="2404" spans="1:10" ht="28.9" customHeight="1" thickTop="1" thickBot="1" x14ac:dyDescent="0.65">
      <c r="A2404" s="5">
        <v>2402</v>
      </c>
      <c r="B2404" s="46" t="str">
        <f>HYPERLINK("https://search.naver.com/search.naver?query=원데이 영화", "원데이")</f>
        <v>원데이</v>
      </c>
      <c r="C2404" s="47">
        <v>8.35</v>
      </c>
      <c r="D2404" s="6" t="s">
        <v>2466</v>
      </c>
      <c r="E2404" s="5" t="s">
        <v>24</v>
      </c>
      <c r="F2404" s="5">
        <v>2011</v>
      </c>
      <c r="G2404" s="5" t="s">
        <v>12</v>
      </c>
      <c r="H2404" s="5" t="s">
        <v>121</v>
      </c>
      <c r="I2404" s="5" t="s">
        <v>75</v>
      </c>
      <c r="J2404" s="98" t="s">
        <v>3454</v>
      </c>
    </row>
    <row r="2405" spans="1:10" ht="28.9" customHeight="1" thickTop="1" thickBot="1" x14ac:dyDescent="0.65">
      <c r="A2405" s="3">
        <v>2403</v>
      </c>
      <c r="B2405" s="44" t="str">
        <f>HYPERLINK("https://search.naver.com/search.naver?query=원라인 영화", "원라인")</f>
        <v>원라인</v>
      </c>
      <c r="C2405" s="45">
        <v>8.67</v>
      </c>
      <c r="D2405" s="4" t="s">
        <v>2467</v>
      </c>
      <c r="E2405" s="3" t="s">
        <v>11</v>
      </c>
      <c r="F2405" s="3">
        <v>2016</v>
      </c>
      <c r="G2405" s="3" t="s">
        <v>12</v>
      </c>
      <c r="H2405" s="3" t="s">
        <v>277</v>
      </c>
      <c r="I2405" s="3" t="s">
        <v>99</v>
      </c>
      <c r="J2405" s="97" t="s">
        <v>3441</v>
      </c>
    </row>
    <row r="2406" spans="1:10" ht="28.9" customHeight="1" thickTop="1" thickBot="1" x14ac:dyDescent="0.65">
      <c r="A2406" s="5">
        <v>2404</v>
      </c>
      <c r="B2406" s="46" t="str">
        <f>HYPERLINK("https://search.naver.com/search.naver?query=원샷 영화", "원샷")</f>
        <v>원샷</v>
      </c>
      <c r="C2406" s="47"/>
      <c r="D2406" s="6" t="s">
        <v>2468</v>
      </c>
      <c r="E2406" s="5" t="s">
        <v>20</v>
      </c>
      <c r="F2406" s="5">
        <v>2021</v>
      </c>
      <c r="G2406" s="5" t="s">
        <v>12</v>
      </c>
      <c r="H2406" s="5" t="s">
        <v>92</v>
      </c>
      <c r="I2406" s="5" t="s">
        <v>61</v>
      </c>
      <c r="J2406" s="98" t="s">
        <v>3438</v>
      </c>
    </row>
    <row r="2407" spans="1:10" ht="28.9" customHeight="1" thickTop="1" thickBot="1" x14ac:dyDescent="0.65">
      <c r="A2407" s="3">
        <v>2405</v>
      </c>
      <c r="B2407" s="44" t="str">
        <f>HYPERLINK("https://search.naver.com/search.naver?query=원스 영화", "원스")</f>
        <v>원스</v>
      </c>
      <c r="C2407" s="45">
        <v>8.75</v>
      </c>
      <c r="D2407" s="4" t="s">
        <v>2469</v>
      </c>
      <c r="E2407" s="3" t="s">
        <v>558</v>
      </c>
      <c r="F2407" s="3">
        <v>2007</v>
      </c>
      <c r="G2407" s="3" t="s">
        <v>12</v>
      </c>
      <c r="H2407" s="3" t="s">
        <v>17</v>
      </c>
      <c r="I2407" s="3" t="s">
        <v>37</v>
      </c>
      <c r="J2407" s="97" t="s">
        <v>3447</v>
      </c>
    </row>
    <row r="2408" spans="1:10" ht="28.9" customHeight="1" thickTop="1" thickBot="1" x14ac:dyDescent="0.65">
      <c r="A2408" s="5">
        <v>2406</v>
      </c>
      <c r="B2408" s="46" t="str">
        <f>HYPERLINK("https://search.naver.com/search.naver?query=원스 어폰 어 타임 인 아메리카 영화", "원스 어폰 어 타임 인 아메리카")</f>
        <v>원스 어폰 어 타임 인 아메리카</v>
      </c>
      <c r="C2408" s="47">
        <v>9.36</v>
      </c>
      <c r="D2408" s="6" t="s">
        <v>2470</v>
      </c>
      <c r="E2408" s="5" t="s">
        <v>20</v>
      </c>
      <c r="F2408" s="5">
        <v>1984</v>
      </c>
      <c r="G2408" s="5" t="s">
        <v>12</v>
      </c>
      <c r="H2408" s="5" t="s">
        <v>277</v>
      </c>
      <c r="I2408" s="5" t="s">
        <v>2471</v>
      </c>
      <c r="J2408" s="98" t="s">
        <v>3482</v>
      </c>
    </row>
    <row r="2409" spans="1:10" ht="28.9" customHeight="1" thickTop="1" thickBot="1" x14ac:dyDescent="0.65">
      <c r="A2409" s="3">
        <v>2407</v>
      </c>
      <c r="B2409" s="44" t="str">
        <f>HYPERLINK("https://search.naver.com/search.naver?query=원위크 영화", "원위크")</f>
        <v>원위크</v>
      </c>
      <c r="C2409" s="45">
        <v>8.0299999999999994</v>
      </c>
      <c r="D2409" s="4" t="s">
        <v>2472</v>
      </c>
      <c r="E2409" s="3" t="s">
        <v>189</v>
      </c>
      <c r="F2409" s="3">
        <v>2008</v>
      </c>
      <c r="G2409" s="3" t="s">
        <v>12</v>
      </c>
      <c r="H2409" s="3" t="s">
        <v>17</v>
      </c>
      <c r="I2409" s="3" t="s">
        <v>300</v>
      </c>
      <c r="J2409" s="97" t="s">
        <v>3450</v>
      </c>
    </row>
    <row r="2410" spans="1:10" ht="28.9" customHeight="1" thickTop="1" thickBot="1" x14ac:dyDescent="0.65">
      <c r="A2410" s="5">
        <v>2408</v>
      </c>
      <c r="B2410" s="46" t="str">
        <f>HYPERLINK("https://search.naver.com/search.naver?query=원첸스 영화", "원첸스")</f>
        <v>원첸스</v>
      </c>
      <c r="C2410" s="47">
        <v>8.7100000000000009</v>
      </c>
      <c r="D2410" s="6" t="s">
        <v>2473</v>
      </c>
      <c r="E2410" s="5" t="s">
        <v>24</v>
      </c>
      <c r="F2410" s="5">
        <v>2013</v>
      </c>
      <c r="G2410" s="5" t="s">
        <v>12</v>
      </c>
      <c r="H2410" s="5" t="s">
        <v>17</v>
      </c>
      <c r="I2410" s="5" t="s">
        <v>190</v>
      </c>
      <c r="J2410" s="98" t="s">
        <v>3451</v>
      </c>
    </row>
    <row r="2411" spans="1:10" ht="28.9" customHeight="1" thickTop="1" thickBot="1" x14ac:dyDescent="0.65">
      <c r="A2411" s="3">
        <v>2409</v>
      </c>
      <c r="B2411" s="44" t="str">
        <f>HYPERLINK("https://search.naver.com/search.naver?query=원트 백 다운 영화", "원트 백 다운")</f>
        <v>원트 백 다운</v>
      </c>
      <c r="C2411" s="45"/>
      <c r="D2411" s="4" t="s">
        <v>2474</v>
      </c>
      <c r="E2411" s="3" t="s">
        <v>20</v>
      </c>
      <c r="F2411" s="3">
        <v>2012</v>
      </c>
      <c r="G2411" s="3" t="s">
        <v>12</v>
      </c>
      <c r="H2411" s="3" t="s">
        <v>17</v>
      </c>
      <c r="I2411" s="3" t="s">
        <v>142</v>
      </c>
      <c r="J2411" s="97" t="s">
        <v>3439</v>
      </c>
    </row>
    <row r="2412" spans="1:10" ht="28.9" customHeight="1" thickTop="1" thickBot="1" x14ac:dyDescent="0.65">
      <c r="A2412" s="5">
        <v>2410</v>
      </c>
      <c r="B2412" s="46" t="str">
        <f>HYPERLINK("https://search.naver.com/search.naver?query=월드 인베이젼 영화", "월드 인베이젼")</f>
        <v>월드 인베이젼</v>
      </c>
      <c r="C2412" s="47">
        <v>7.56</v>
      </c>
      <c r="D2412" s="6" t="s">
        <v>2475</v>
      </c>
      <c r="E2412" s="5" t="s">
        <v>20</v>
      </c>
      <c r="F2412" s="5">
        <v>2011</v>
      </c>
      <c r="G2412" s="5" t="s">
        <v>12</v>
      </c>
      <c r="H2412" s="5" t="s">
        <v>92</v>
      </c>
      <c r="I2412" s="5" t="s">
        <v>128</v>
      </c>
      <c r="J2412" s="98" t="s">
        <v>3454</v>
      </c>
    </row>
    <row r="2413" spans="1:10" ht="28.9" customHeight="1" thickTop="1" thickBot="1" x14ac:dyDescent="0.65">
      <c r="A2413" s="3">
        <v>2411</v>
      </c>
      <c r="B2413" s="44" t="str">
        <f>HYPERLINK("https://search.naver.com/search.naver?query=월드워 Z 영화", "월드워 Z")</f>
        <v>월드워 Z</v>
      </c>
      <c r="C2413" s="45">
        <v>9</v>
      </c>
      <c r="D2413" s="4" t="s">
        <v>2476</v>
      </c>
      <c r="E2413" s="3" t="s">
        <v>20</v>
      </c>
      <c r="F2413" s="3">
        <v>2013</v>
      </c>
      <c r="G2413" s="3" t="s">
        <v>12</v>
      </c>
      <c r="H2413" s="3" t="s">
        <v>92</v>
      </c>
      <c r="I2413" s="3" t="s">
        <v>366</v>
      </c>
      <c r="J2413" s="97" t="s">
        <v>3451</v>
      </c>
    </row>
    <row r="2414" spans="1:10" ht="28.9" customHeight="1" thickTop="1" thickBot="1" x14ac:dyDescent="0.65">
      <c r="A2414" s="5">
        <v>2412</v>
      </c>
      <c r="B2414" s="46" t="str">
        <f>HYPERLINK("https://search.naver.com/search.naver?query=월스트리트 분노의 복수 영화", "월스트리트-분노의 복수")</f>
        <v>월스트리트-분노의 복수</v>
      </c>
      <c r="C2414" s="47">
        <v>8.23</v>
      </c>
      <c r="D2414" s="6" t="s">
        <v>2477</v>
      </c>
      <c r="E2414" s="5" t="s">
        <v>20</v>
      </c>
      <c r="F2414" s="5">
        <v>2010</v>
      </c>
      <c r="G2414" s="5" t="s">
        <v>12</v>
      </c>
      <c r="H2414" s="5" t="s">
        <v>17</v>
      </c>
      <c r="I2414" s="5" t="s">
        <v>83</v>
      </c>
      <c r="J2414" s="98" t="s">
        <v>3455</v>
      </c>
    </row>
    <row r="2415" spans="1:10" ht="28.9" customHeight="1" thickTop="1" thickBot="1" x14ac:dyDescent="0.65">
      <c r="A2415" s="3">
        <v>2413</v>
      </c>
      <c r="B2415" s="44" t="str">
        <f>HYPERLINK("https://search.naver.com/search.naver?query=월요일이 사라졌다 영화", "월요일이 사라졌다")</f>
        <v>월요일이 사라졌다</v>
      </c>
      <c r="C2415" s="45">
        <v>8.4600000000000009</v>
      </c>
      <c r="D2415" s="4" t="s">
        <v>2478</v>
      </c>
      <c r="E2415" s="3" t="s">
        <v>24</v>
      </c>
      <c r="F2415" s="3">
        <v>2017</v>
      </c>
      <c r="G2415" s="3" t="s">
        <v>12</v>
      </c>
      <c r="H2415" s="3" t="s">
        <v>92</v>
      </c>
      <c r="I2415" s="3" t="s">
        <v>58</v>
      </c>
      <c r="J2415" s="97" t="s">
        <v>3443</v>
      </c>
    </row>
    <row r="2416" spans="1:10" ht="28.9" customHeight="1" thickTop="1" thickBot="1" x14ac:dyDescent="0.65">
      <c r="A2416" s="5">
        <v>2414</v>
      </c>
      <c r="B2416" s="46" t="str">
        <f>HYPERLINK("https://search.naver.com/search.naver?query=월터 교수의 마지막 강의 영화", "월터 교수의 마지막 강의")</f>
        <v>월터 교수의 마지막 강의</v>
      </c>
      <c r="C2416" s="47">
        <v>9.25</v>
      </c>
      <c r="D2416" s="6" t="s">
        <v>2479</v>
      </c>
      <c r="E2416" s="5" t="s">
        <v>20</v>
      </c>
      <c r="F2416" s="5">
        <v>2016</v>
      </c>
      <c r="G2416" s="5" t="s">
        <v>12</v>
      </c>
      <c r="H2416" s="5" t="s">
        <v>17</v>
      </c>
      <c r="I2416" s="5" t="s">
        <v>111</v>
      </c>
      <c r="J2416" s="98" t="s">
        <v>3441</v>
      </c>
    </row>
    <row r="2417" spans="1:10" ht="28.9" customHeight="1" thickTop="1" thickBot="1" x14ac:dyDescent="0.65">
      <c r="A2417" s="3">
        <v>2415</v>
      </c>
      <c r="B2417" s="44" t="str">
        <f>HYPERLINK("https://search.naver.com/search.naver?query=월플라워 영화", "월플라워")</f>
        <v>월플라워</v>
      </c>
      <c r="C2417" s="45">
        <v>9.1</v>
      </c>
      <c r="D2417" s="4" t="s">
        <v>2480</v>
      </c>
      <c r="E2417" s="3" t="s">
        <v>20</v>
      </c>
      <c r="F2417" s="3">
        <v>2012</v>
      </c>
      <c r="G2417" s="3" t="s">
        <v>12</v>
      </c>
      <c r="H2417" s="3" t="s">
        <v>17</v>
      </c>
      <c r="I2417" s="3" t="s">
        <v>99</v>
      </c>
      <c r="J2417" s="97" t="s">
        <v>3439</v>
      </c>
    </row>
    <row r="2418" spans="1:10" ht="28.9" customHeight="1" thickTop="1" thickBot="1" x14ac:dyDescent="0.65">
      <c r="A2418" s="5">
        <v>2416</v>
      </c>
      <c r="B2418" s="46" t="str">
        <f>HYPERLINK("https://search.naver.com/search.naver?query=웨더 맨 영화", "웨더 맨")</f>
        <v>웨더 맨</v>
      </c>
      <c r="C2418" s="47">
        <v>8</v>
      </c>
      <c r="D2418" s="6" t="s">
        <v>2481</v>
      </c>
      <c r="E2418" s="5" t="s">
        <v>20</v>
      </c>
      <c r="F2418" s="5">
        <v>2005</v>
      </c>
      <c r="G2418" s="5" t="s">
        <v>12</v>
      </c>
      <c r="H2418" s="5" t="s">
        <v>68</v>
      </c>
      <c r="I2418" s="5" t="s">
        <v>99</v>
      </c>
      <c r="J2418" s="98" t="s">
        <v>3461</v>
      </c>
    </row>
    <row r="2419" spans="1:10" ht="28.9" customHeight="1" thickTop="1" thickBot="1" x14ac:dyDescent="0.65">
      <c r="A2419" s="3">
        <v>2417</v>
      </c>
      <c r="B2419" s="44" t="str">
        <f>HYPERLINK("https://search.naver.com/search.naver?query=웨딩 드레스 영화", "웨딩 드레스")</f>
        <v>웨딩 드레스</v>
      </c>
      <c r="C2419" s="45">
        <v>9.09</v>
      </c>
      <c r="D2419" s="4" t="s">
        <v>2482</v>
      </c>
      <c r="E2419" s="3" t="s">
        <v>11</v>
      </c>
      <c r="F2419" s="3">
        <v>2009</v>
      </c>
      <c r="G2419" s="3" t="s">
        <v>12</v>
      </c>
      <c r="H2419" s="3" t="s">
        <v>17</v>
      </c>
      <c r="I2419" s="3" t="s">
        <v>137</v>
      </c>
      <c r="J2419" s="97" t="s">
        <v>3453</v>
      </c>
    </row>
    <row r="2420" spans="1:10" ht="28.9" customHeight="1" thickTop="1" thickBot="1" x14ac:dyDescent="0.65">
      <c r="A2420" s="5">
        <v>2418</v>
      </c>
      <c r="B2420" s="46" t="str">
        <f>HYPERLINK("https://search.naver.com/search.naver?query=웨스턴 리벤지 영화", "웨스턴 리벤지")</f>
        <v>웨스턴 리벤지</v>
      </c>
      <c r="C2420" s="47">
        <v>7.31</v>
      </c>
      <c r="D2420" s="6" t="s">
        <v>2483</v>
      </c>
      <c r="E2420" s="5" t="s">
        <v>20</v>
      </c>
      <c r="F2420" s="5">
        <v>2014</v>
      </c>
      <c r="G2420" s="5" t="s">
        <v>12</v>
      </c>
      <c r="H2420" s="5" t="s">
        <v>864</v>
      </c>
      <c r="I2420" s="5" t="s">
        <v>111</v>
      </c>
      <c r="J2420" s="98" t="s">
        <v>3437</v>
      </c>
    </row>
    <row r="2421" spans="1:10" ht="28.9" customHeight="1" thickTop="1" thickBot="1" x14ac:dyDescent="0.65">
      <c r="A2421" s="7">
        <v>2419</v>
      </c>
      <c r="B2421" s="48" t="str">
        <f>HYPERLINK("https://search.naver.com/search.naver?query=웨스트월드 시즌1", "웨스트월드 시즌1")</f>
        <v>웨스트월드 시즌1</v>
      </c>
      <c r="C2421" s="49"/>
      <c r="D2421" s="8" t="s">
        <v>2484</v>
      </c>
      <c r="E2421" s="7" t="s">
        <v>20</v>
      </c>
      <c r="F2421" s="7">
        <v>2016</v>
      </c>
      <c r="G2421" s="7" t="s">
        <v>17</v>
      </c>
      <c r="H2421" s="7" t="s">
        <v>328</v>
      </c>
      <c r="I2421" s="7" t="s">
        <v>50</v>
      </c>
      <c r="J2421" s="99" t="s">
        <v>3441</v>
      </c>
    </row>
    <row r="2422" spans="1:10" ht="28.9" customHeight="1" thickTop="1" thickBot="1" x14ac:dyDescent="0.65">
      <c r="A2422" s="7">
        <v>2420</v>
      </c>
      <c r="B2422" s="48" t="str">
        <f>HYPERLINK("https://search.naver.com/search.naver?query=웨스트월드 시즌2", "웨스트월드 시즌2")</f>
        <v>웨스트월드 시즌2</v>
      </c>
      <c r="C2422" s="49"/>
      <c r="D2422" s="8" t="s">
        <v>2484</v>
      </c>
      <c r="E2422" s="7" t="s">
        <v>20</v>
      </c>
      <c r="F2422" s="7">
        <v>2018</v>
      </c>
      <c r="G2422" s="7" t="s">
        <v>17</v>
      </c>
      <c r="H2422" s="7" t="s">
        <v>328</v>
      </c>
      <c r="I2422" s="7" t="s">
        <v>50</v>
      </c>
      <c r="J2422" s="99" t="s">
        <v>3442</v>
      </c>
    </row>
    <row r="2423" spans="1:10" ht="28.9" customHeight="1" thickTop="1" thickBot="1" x14ac:dyDescent="0.65">
      <c r="A2423" s="7">
        <v>2421</v>
      </c>
      <c r="B2423" s="48" t="str">
        <f>HYPERLINK("https://search.naver.com/search.naver?query=웨스트월드 시즌3", "웨스트월드 시즌3")</f>
        <v>웨스트월드 시즌3</v>
      </c>
      <c r="C2423" s="49"/>
      <c r="D2423" s="8" t="s">
        <v>2484</v>
      </c>
      <c r="E2423" s="7" t="s">
        <v>20</v>
      </c>
      <c r="F2423" s="7">
        <v>2020</v>
      </c>
      <c r="G2423" s="7" t="s">
        <v>17</v>
      </c>
      <c r="H2423" s="7" t="s">
        <v>328</v>
      </c>
      <c r="I2423" s="7" t="s">
        <v>55</v>
      </c>
      <c r="J2423" s="99" t="s">
        <v>3436</v>
      </c>
    </row>
    <row r="2424" spans="1:10" ht="28.9" customHeight="1" thickTop="1" thickBot="1" x14ac:dyDescent="0.65">
      <c r="A2424" s="7">
        <v>2422</v>
      </c>
      <c r="B2424" s="48" t="str">
        <f>HYPERLINK("https://search.naver.com/search.naver?query=웨스트월드 시즌4", "웨스트월드 시즌4")</f>
        <v>웨스트월드 시즌4</v>
      </c>
      <c r="C2424" s="49"/>
      <c r="D2424" s="8" t="s">
        <v>2484</v>
      </c>
      <c r="E2424" s="7" t="s">
        <v>20</v>
      </c>
      <c r="F2424" s="7">
        <v>2022</v>
      </c>
      <c r="G2424" s="7" t="s">
        <v>17</v>
      </c>
      <c r="H2424" s="7" t="s">
        <v>328</v>
      </c>
      <c r="I2424" s="7" t="s">
        <v>55</v>
      </c>
      <c r="J2424" s="99" t="s">
        <v>3445</v>
      </c>
    </row>
    <row r="2425" spans="1:10" ht="28.9" customHeight="1" thickTop="1" thickBot="1" x14ac:dyDescent="0.65">
      <c r="A2425" s="3">
        <v>2423</v>
      </c>
      <c r="B2425" s="44" t="str">
        <f>HYPERLINK("https://search.naver.com/search.naver?query=웨어 핸즈 터치 영화", "웨어 핸즈 터치")</f>
        <v>웨어 핸즈 터치</v>
      </c>
      <c r="C2425" s="45">
        <v>6.4</v>
      </c>
      <c r="D2425" s="4" t="s">
        <v>2485</v>
      </c>
      <c r="E2425" s="3" t="s">
        <v>24</v>
      </c>
      <c r="F2425" s="3">
        <v>2018</v>
      </c>
      <c r="G2425" s="3" t="s">
        <v>12</v>
      </c>
      <c r="H2425" s="3" t="s">
        <v>17</v>
      </c>
      <c r="I2425" s="3" t="s">
        <v>105</v>
      </c>
      <c r="J2425" s="97" t="s">
        <v>3442</v>
      </c>
    </row>
    <row r="2426" spans="1:10" ht="28.9" customHeight="1" thickTop="1" thickBot="1" x14ac:dyDescent="0.65">
      <c r="A2426" s="5">
        <v>2424</v>
      </c>
      <c r="B2426" s="46" t="str">
        <f>HYPERLINK("https://search.naver.com/search.naver?query=웨이다운 영화", "웨이다운")</f>
        <v>웨이다운</v>
      </c>
      <c r="C2426" s="47">
        <v>9</v>
      </c>
      <c r="D2426" s="6" t="s">
        <v>2486</v>
      </c>
      <c r="E2426" s="5" t="s">
        <v>30</v>
      </c>
      <c r="F2426" s="5">
        <v>2021</v>
      </c>
      <c r="G2426" s="5" t="s">
        <v>12</v>
      </c>
      <c r="H2426" s="5" t="s">
        <v>92</v>
      </c>
      <c r="I2426" s="5" t="s">
        <v>221</v>
      </c>
      <c r="J2426" s="98" t="s">
        <v>3438</v>
      </c>
    </row>
    <row r="2427" spans="1:10" ht="28.9" customHeight="1" thickTop="1" thickBot="1" x14ac:dyDescent="0.65">
      <c r="A2427" s="3">
        <v>2425</v>
      </c>
      <c r="B2427" s="44" t="str">
        <f>HYPERLINK("https://search.naver.com/search.naver?query=웰컴 미스터 맥도날드 영화", "웰컴 미스터 맥도날드")</f>
        <v>웰컴 미스터 맥도날드</v>
      </c>
      <c r="C2427" s="45">
        <v>8.3800000000000008</v>
      </c>
      <c r="D2427" s="4" t="s">
        <v>2487</v>
      </c>
      <c r="E2427" s="3" t="s">
        <v>16</v>
      </c>
      <c r="F2427" s="3">
        <v>1997</v>
      </c>
      <c r="G2427" s="3" t="s">
        <v>12</v>
      </c>
      <c r="H2427" s="3" t="s">
        <v>68</v>
      </c>
      <c r="I2427" s="3" t="s">
        <v>111</v>
      </c>
      <c r="J2427" s="97" t="s">
        <v>3470</v>
      </c>
    </row>
    <row r="2428" spans="1:10" ht="28.9" customHeight="1" thickTop="1" thickBot="1" x14ac:dyDescent="0.65">
      <c r="A2428" s="5">
        <v>2426</v>
      </c>
      <c r="B2428" s="46" t="str">
        <f>HYPERLINK("https://search.naver.com/search.naver?query=웰컴 투 마이 하트 영화", "웰컴 투 마이 하트")</f>
        <v>웰컴 투 마이 하트</v>
      </c>
      <c r="C2428" s="47">
        <v>8.31</v>
      </c>
      <c r="D2428" s="6" t="s">
        <v>2488</v>
      </c>
      <c r="E2428" s="5" t="s">
        <v>24</v>
      </c>
      <c r="F2428" s="5">
        <v>2012</v>
      </c>
      <c r="G2428" s="5" t="s">
        <v>12</v>
      </c>
      <c r="H2428" s="5" t="s">
        <v>121</v>
      </c>
      <c r="I2428" s="5" t="s">
        <v>96</v>
      </c>
      <c r="J2428" s="98" t="s">
        <v>3439</v>
      </c>
    </row>
    <row r="2429" spans="1:10" ht="28.9" customHeight="1" thickTop="1" thickBot="1" x14ac:dyDescent="0.65">
      <c r="A2429" s="3">
        <v>2427</v>
      </c>
      <c r="B2429" s="44" t="str">
        <f>HYPERLINK("https://search.naver.com/search.naver?query=위 아 더 밀러스 영화", "위 아 더 밀러스")</f>
        <v>위 아 더 밀러스</v>
      </c>
      <c r="C2429" s="45">
        <v>8.5</v>
      </c>
      <c r="D2429" s="4" t="s">
        <v>2489</v>
      </c>
      <c r="E2429" s="3" t="s">
        <v>20</v>
      </c>
      <c r="F2429" s="3">
        <v>2013</v>
      </c>
      <c r="G2429" s="3" t="s">
        <v>12</v>
      </c>
      <c r="H2429" s="3" t="s">
        <v>68</v>
      </c>
      <c r="I2429" s="3" t="s">
        <v>96</v>
      </c>
      <c r="J2429" s="97" t="s">
        <v>3451</v>
      </c>
    </row>
    <row r="2430" spans="1:10" ht="28.9" customHeight="1" thickTop="1" thickBot="1" x14ac:dyDescent="0.65">
      <c r="A2430" s="5">
        <v>2428</v>
      </c>
      <c r="B2430" s="46" t="str">
        <f>HYPERLINK("https://search.naver.com/search.naver?query=위국 일기 영화", "위국 일기")</f>
        <v>위국 일기</v>
      </c>
      <c r="C2430" s="47">
        <v>7.25</v>
      </c>
      <c r="D2430" s="6" t="s">
        <v>2490</v>
      </c>
      <c r="E2430" s="5" t="s">
        <v>118</v>
      </c>
      <c r="F2430" s="5">
        <v>2024</v>
      </c>
      <c r="G2430" s="5" t="s">
        <v>12</v>
      </c>
      <c r="H2430" s="5" t="s">
        <v>17</v>
      </c>
      <c r="I2430" s="5" t="s">
        <v>131</v>
      </c>
      <c r="J2430" s="98" t="s">
        <v>3448</v>
      </c>
    </row>
    <row r="2431" spans="1:10" ht="28.9" customHeight="1" thickTop="1" thickBot="1" x14ac:dyDescent="0.65">
      <c r="A2431" s="3">
        <v>2429</v>
      </c>
      <c r="B2431" s="44" t="str">
        <f>HYPERLINK("https://search.naver.com/search.naver?query=위대한 개츠비 영화", "위대한 개츠비")</f>
        <v>위대한 개츠비</v>
      </c>
      <c r="C2431" s="45">
        <v>7.64</v>
      </c>
      <c r="D2431" s="4" t="s">
        <v>2491</v>
      </c>
      <c r="E2431" s="3" t="s">
        <v>20</v>
      </c>
      <c r="F2431" s="3">
        <v>2013</v>
      </c>
      <c r="G2431" s="3" t="s">
        <v>12</v>
      </c>
      <c r="H2431" s="3" t="s">
        <v>17</v>
      </c>
      <c r="I2431" s="3" t="s">
        <v>25</v>
      </c>
      <c r="J2431" s="97" t="s">
        <v>3451</v>
      </c>
    </row>
    <row r="2432" spans="1:10" ht="28.9" customHeight="1" thickTop="1" thickBot="1" x14ac:dyDescent="0.65">
      <c r="A2432" s="5">
        <v>2430</v>
      </c>
      <c r="B2432" s="46" t="str">
        <f>HYPERLINK("https://search.naver.com/search.naver?query=위대한 비밀 영화", "위대한 비밀")</f>
        <v>위대한 비밀</v>
      </c>
      <c r="C2432" s="47">
        <v>3.32</v>
      </c>
      <c r="D2432" s="6" t="s">
        <v>2492</v>
      </c>
      <c r="E2432" s="5" t="s">
        <v>24</v>
      </c>
      <c r="F2432" s="5">
        <v>2011</v>
      </c>
      <c r="G2432" s="5" t="s">
        <v>12</v>
      </c>
      <c r="H2432" s="5" t="s">
        <v>17</v>
      </c>
      <c r="I2432" s="5" t="s">
        <v>34</v>
      </c>
      <c r="J2432" s="98" t="s">
        <v>3454</v>
      </c>
    </row>
    <row r="2433" spans="1:10" ht="28.9" customHeight="1" thickTop="1" thickBot="1" x14ac:dyDescent="0.65">
      <c r="A2433" s="3">
        <v>2431</v>
      </c>
      <c r="B2433" s="44" t="str">
        <f>HYPERLINK("https://search.naver.com/search.naver?query=위대한 쇼맨 영화", "위대한 쇼맨")</f>
        <v>위대한 쇼맨</v>
      </c>
      <c r="C2433" s="45">
        <v>9.2799999999999994</v>
      </c>
      <c r="D2433" s="4" t="s">
        <v>2493</v>
      </c>
      <c r="E2433" s="3" t="s">
        <v>20</v>
      </c>
      <c r="F2433" s="3">
        <v>2017</v>
      </c>
      <c r="G2433" s="3" t="s">
        <v>12</v>
      </c>
      <c r="H2433" s="3" t="s">
        <v>17</v>
      </c>
      <c r="I2433" s="3" t="s">
        <v>128</v>
      </c>
      <c r="J2433" s="97" t="s">
        <v>3443</v>
      </c>
    </row>
    <row r="2434" spans="1:10" ht="28.9" customHeight="1" thickTop="1" thickBot="1" x14ac:dyDescent="0.65">
      <c r="A2434" s="5">
        <v>2432</v>
      </c>
      <c r="B2434" s="46" t="str">
        <f>HYPERLINK("https://search.naver.com/search.naver?query=위대한 유산 더 베리얼 영화", "위대한 유산 더 베리얼")</f>
        <v>위대한 유산 더 베리얼</v>
      </c>
      <c r="C2434" s="47">
        <v>6.4</v>
      </c>
      <c r="D2434" s="6" t="s">
        <v>2494</v>
      </c>
      <c r="E2434" s="5" t="s">
        <v>20</v>
      </c>
      <c r="F2434" s="5">
        <v>2023</v>
      </c>
      <c r="G2434" s="5" t="s">
        <v>12</v>
      </c>
      <c r="H2434" s="5" t="s">
        <v>17</v>
      </c>
      <c r="I2434" s="5" t="s">
        <v>221</v>
      </c>
      <c r="J2434" s="98" t="s">
        <v>3446</v>
      </c>
    </row>
    <row r="2435" spans="1:10" ht="28.9" customHeight="1" thickTop="1" thickBot="1" x14ac:dyDescent="0.65">
      <c r="A2435" s="3">
        <v>2433</v>
      </c>
      <c r="B2435" s="44" t="str">
        <f>HYPERLINK("https://search.naver.com/search.naver?query=위도우즈 영화", "위도우즈")</f>
        <v>위도우즈</v>
      </c>
      <c r="C2435" s="45">
        <v>3.32</v>
      </c>
      <c r="D2435" s="4" t="s">
        <v>2495</v>
      </c>
      <c r="E2435" s="3" t="s">
        <v>24</v>
      </c>
      <c r="F2435" s="3">
        <v>2018</v>
      </c>
      <c r="G2435" s="3" t="s">
        <v>12</v>
      </c>
      <c r="H2435" s="3" t="s">
        <v>277</v>
      </c>
      <c r="I2435" s="3" t="s">
        <v>64</v>
      </c>
      <c r="J2435" s="97" t="s">
        <v>3442</v>
      </c>
    </row>
    <row r="2436" spans="1:10" ht="28.9" customHeight="1" thickTop="1" thickBot="1" x14ac:dyDescent="0.65">
      <c r="A2436" s="5">
        <v>2434</v>
      </c>
      <c r="B2436" s="46" t="str">
        <f>HYPERLINK("https://search.naver.com/search.naver?query=위스키 탱고 폭스트롯 영화", "위스키 탱고 폭스트롯")</f>
        <v>위스키 탱고 폭스트롯</v>
      </c>
      <c r="C2436" s="47">
        <v>8</v>
      </c>
      <c r="D2436" s="6" t="s">
        <v>2496</v>
      </c>
      <c r="E2436" s="5" t="s">
        <v>20</v>
      </c>
      <c r="F2436" s="5">
        <v>2016</v>
      </c>
      <c r="G2436" s="5" t="s">
        <v>12</v>
      </c>
      <c r="H2436" s="5" t="s">
        <v>68</v>
      </c>
      <c r="I2436" s="5" t="s">
        <v>278</v>
      </c>
      <c r="J2436" s="98" t="s">
        <v>3441</v>
      </c>
    </row>
    <row r="2437" spans="1:10" ht="28.9" customHeight="1" thickTop="1" thickBot="1" x14ac:dyDescent="0.65">
      <c r="A2437" s="3">
        <v>2435</v>
      </c>
      <c r="B2437" s="44" t="str">
        <f>HYPERLINK("https://search.naver.com/search.naver?query=위시 아이 워즈 히어 영화", "위시 아이 워즈 히어")</f>
        <v>위시 아이 워즈 히어</v>
      </c>
      <c r="C2437" s="45">
        <v>8.3000000000000007</v>
      </c>
      <c r="D2437" s="4" t="s">
        <v>2497</v>
      </c>
      <c r="E2437" s="3" t="s">
        <v>20</v>
      </c>
      <c r="F2437" s="3">
        <v>2014</v>
      </c>
      <c r="G2437" s="3" t="s">
        <v>12</v>
      </c>
      <c r="H2437" s="3" t="s">
        <v>68</v>
      </c>
      <c r="I2437" s="3" t="s">
        <v>286</v>
      </c>
      <c r="J2437" s="97" t="s">
        <v>3437</v>
      </c>
    </row>
    <row r="2438" spans="1:10" ht="28.9" customHeight="1" thickTop="1" thickBot="1" x14ac:dyDescent="0.65">
      <c r="A2438" s="5">
        <v>2436</v>
      </c>
      <c r="B2438" s="46" t="str">
        <f>HYPERLINK("https://search.naver.com/search.naver?query=위아 유어 프렌즈 영화", "위아 유어 프렌즈")</f>
        <v>위아 유어 프렌즈</v>
      </c>
      <c r="C2438" s="47">
        <v>8.93</v>
      </c>
      <c r="D2438" s="6" t="s">
        <v>2498</v>
      </c>
      <c r="E2438" s="5" t="s">
        <v>20</v>
      </c>
      <c r="F2438" s="5">
        <v>2015</v>
      </c>
      <c r="G2438" s="5" t="s">
        <v>12</v>
      </c>
      <c r="H2438" s="5" t="s">
        <v>17</v>
      </c>
      <c r="I2438" s="5" t="s">
        <v>61</v>
      </c>
      <c r="J2438" s="98" t="s">
        <v>3440</v>
      </c>
    </row>
    <row r="2439" spans="1:10" ht="28.9" customHeight="1" thickTop="1" thickBot="1" x14ac:dyDescent="0.65">
      <c r="A2439" s="3">
        <v>2437</v>
      </c>
      <c r="B2439" s="44" t="str">
        <f>HYPERLINK("https://search.naver.com/search.naver?query=위아영 영화", "위아영")</f>
        <v>위아영</v>
      </c>
      <c r="C2439" s="45">
        <v>7.65</v>
      </c>
      <c r="D2439" s="4" t="s">
        <v>2499</v>
      </c>
      <c r="E2439" s="3" t="s">
        <v>20</v>
      </c>
      <c r="F2439" s="3">
        <v>2015</v>
      </c>
      <c r="G2439" s="3" t="s">
        <v>12</v>
      </c>
      <c r="H2439" s="3" t="s">
        <v>68</v>
      </c>
      <c r="I2439" s="3" t="s">
        <v>124</v>
      </c>
      <c r="J2439" s="97" t="s">
        <v>3440</v>
      </c>
    </row>
    <row r="2440" spans="1:10" ht="28.9" customHeight="1" thickTop="1" thickBot="1" x14ac:dyDescent="0.65">
      <c r="A2440" s="5">
        <v>2438</v>
      </c>
      <c r="B2440" s="46" t="str">
        <f>HYPERLINK("https://search.naver.com/search.naver?query=위크엔드 어웨이 영화", "위크엔드 어웨이")</f>
        <v>위크엔드 어웨이</v>
      </c>
      <c r="C2440" s="47">
        <v>6.69</v>
      </c>
      <c r="D2440" s="6" t="s">
        <v>2500</v>
      </c>
      <c r="E2440" s="5" t="s">
        <v>24</v>
      </c>
      <c r="F2440" s="5">
        <v>2022</v>
      </c>
      <c r="G2440" s="5" t="s">
        <v>12</v>
      </c>
      <c r="H2440" s="5" t="s">
        <v>43</v>
      </c>
      <c r="I2440" s="5" t="s">
        <v>119</v>
      </c>
      <c r="J2440" s="98" t="s">
        <v>3445</v>
      </c>
    </row>
    <row r="2441" spans="1:10" ht="28.9" customHeight="1" thickTop="1" thickBot="1" x14ac:dyDescent="0.65">
      <c r="A2441" s="3">
        <v>2439</v>
      </c>
      <c r="B2441" s="44" t="str">
        <f>HYPERLINK("https://search.naver.com/search.naver?query=위크엔드 인 파리 영화", "위크엔드 인 파리")</f>
        <v>위크엔드 인 파리</v>
      </c>
      <c r="C2441" s="45">
        <v>8.27</v>
      </c>
      <c r="D2441" s="4" t="s">
        <v>2501</v>
      </c>
      <c r="E2441" s="3" t="s">
        <v>20</v>
      </c>
      <c r="F2441" s="3">
        <v>2013</v>
      </c>
      <c r="G2441" s="3" t="s">
        <v>12</v>
      </c>
      <c r="H2441" s="3" t="s">
        <v>121</v>
      </c>
      <c r="I2441" s="3" t="s">
        <v>111</v>
      </c>
      <c r="J2441" s="97" t="s">
        <v>3451</v>
      </c>
    </row>
    <row r="2442" spans="1:10" ht="28.9" customHeight="1" thickTop="1" thickBot="1" x14ac:dyDescent="0.65">
      <c r="A2442" s="5">
        <v>2440</v>
      </c>
      <c r="B2442" s="46" t="str">
        <f>HYPERLINK("https://search.naver.com/search.naver?query=위플래쉬 영화", "위플래쉬")</f>
        <v>위플래쉬</v>
      </c>
      <c r="C2442" s="47">
        <v>8.94</v>
      </c>
      <c r="D2442" s="6" t="s">
        <v>2502</v>
      </c>
      <c r="E2442" s="5" t="s">
        <v>20</v>
      </c>
      <c r="F2442" s="5">
        <v>2014</v>
      </c>
      <c r="G2442" s="5" t="s">
        <v>12</v>
      </c>
      <c r="H2442" s="5" t="s">
        <v>17</v>
      </c>
      <c r="I2442" s="5" t="s">
        <v>286</v>
      </c>
      <c r="J2442" s="98" t="s">
        <v>3437</v>
      </c>
    </row>
    <row r="2443" spans="1:10" ht="28.9" customHeight="1" thickTop="1" thickBot="1" x14ac:dyDescent="0.65">
      <c r="A2443" s="3">
        <v>2441</v>
      </c>
      <c r="B2443" s="44" t="str">
        <f>HYPERLINK("https://search.naver.com/search.naver?query=위험한 관계 영화", "위험한 관계")</f>
        <v>위험한 관계</v>
      </c>
      <c r="C2443" s="45">
        <v>8.01</v>
      </c>
      <c r="D2443" s="4" t="s">
        <v>2503</v>
      </c>
      <c r="E2443" s="3" t="s">
        <v>136</v>
      </c>
      <c r="F2443" s="3">
        <v>2012</v>
      </c>
      <c r="G2443" s="3" t="s">
        <v>12</v>
      </c>
      <c r="H2443" s="3" t="s">
        <v>17</v>
      </c>
      <c r="I2443" s="3" t="s">
        <v>75</v>
      </c>
      <c r="J2443" s="97" t="s">
        <v>3439</v>
      </c>
    </row>
    <row r="2444" spans="1:10" ht="28.9" customHeight="1" thickTop="1" thickBot="1" x14ac:dyDescent="0.65">
      <c r="A2444" s="5">
        <v>2442</v>
      </c>
      <c r="B2444" s="46" t="str">
        <f>HYPERLINK("https://search.naver.com/search.naver?query=위험한 동거 영화", "위험한 동거")</f>
        <v>위험한 동거</v>
      </c>
      <c r="C2444" s="47">
        <v>3.32</v>
      </c>
      <c r="D2444" s="6" t="s">
        <v>2504</v>
      </c>
      <c r="E2444" s="5" t="s">
        <v>24</v>
      </c>
      <c r="F2444" s="5">
        <v>2020</v>
      </c>
      <c r="G2444" s="5" t="s">
        <v>12</v>
      </c>
      <c r="H2444" s="5" t="s">
        <v>17</v>
      </c>
      <c r="I2444" s="5" t="s">
        <v>75</v>
      </c>
      <c r="J2444" s="98" t="s">
        <v>3436</v>
      </c>
    </row>
    <row r="2445" spans="1:10" ht="28.9" customHeight="1" thickTop="1" thickBot="1" x14ac:dyDescent="0.65">
      <c r="A2445" s="3">
        <v>2443</v>
      </c>
      <c r="B2445" s="44" t="str">
        <f>HYPERLINK("https://search.naver.com/search.naver?query=위험한 패밀리 영화", "위험한 패밀리")</f>
        <v>위험한 패밀리</v>
      </c>
      <c r="C2445" s="45">
        <v>7.43</v>
      </c>
      <c r="D2445" s="4" t="s">
        <v>2505</v>
      </c>
      <c r="E2445" s="3" t="s">
        <v>20</v>
      </c>
      <c r="F2445" s="3">
        <v>2014</v>
      </c>
      <c r="G2445" s="3" t="s">
        <v>12</v>
      </c>
      <c r="H2445" s="3" t="s">
        <v>68</v>
      </c>
      <c r="I2445" s="3" t="s">
        <v>102</v>
      </c>
      <c r="J2445" s="97" t="s">
        <v>3437</v>
      </c>
    </row>
    <row r="2446" spans="1:10" ht="28.9" customHeight="1" thickTop="1" thickBot="1" x14ac:dyDescent="0.65">
      <c r="A2446" s="5">
        <v>2444</v>
      </c>
      <c r="B2446" s="46" t="str">
        <f>HYPERLINK("https://search.naver.com/search.naver?query=윈드리버 영화", "윈드리버")</f>
        <v>윈드리버</v>
      </c>
      <c r="C2446" s="47">
        <v>8.51</v>
      </c>
      <c r="D2446" s="6" t="s">
        <v>2506</v>
      </c>
      <c r="E2446" s="5" t="s">
        <v>20</v>
      </c>
      <c r="F2446" s="5">
        <v>2017</v>
      </c>
      <c r="G2446" s="5" t="s">
        <v>12</v>
      </c>
      <c r="H2446" s="5" t="s">
        <v>277</v>
      </c>
      <c r="I2446" s="5" t="s">
        <v>75</v>
      </c>
      <c r="J2446" s="98" t="s">
        <v>3443</v>
      </c>
    </row>
    <row r="2447" spans="1:10" ht="28.9" customHeight="1" thickTop="1" thickBot="1" x14ac:dyDescent="0.65">
      <c r="A2447" s="3">
        <v>2445</v>
      </c>
      <c r="B2447" s="44" t="str">
        <f>HYPERLINK("https://search.naver.com/search.naver?query=윈터스 테일 영화", "윈터스 테일")</f>
        <v>윈터스 테일</v>
      </c>
      <c r="C2447" s="45">
        <v>6.4</v>
      </c>
      <c r="D2447" s="4" t="s">
        <v>2507</v>
      </c>
      <c r="E2447" s="3" t="s">
        <v>20</v>
      </c>
      <c r="F2447" s="3">
        <v>2014</v>
      </c>
      <c r="G2447" s="3" t="s">
        <v>12</v>
      </c>
      <c r="H2447" s="3" t="s">
        <v>17</v>
      </c>
      <c r="I2447" s="3" t="s">
        <v>221</v>
      </c>
      <c r="J2447" s="97" t="s">
        <v>3437</v>
      </c>
    </row>
    <row r="2448" spans="1:10" ht="28.9" customHeight="1" thickTop="1" thickBot="1" x14ac:dyDescent="0.65">
      <c r="A2448" s="5">
        <v>2446</v>
      </c>
      <c r="B2448" s="46" t="str">
        <f>HYPERLINK("https://search.naver.com/search.naver?query=유레루 영화", "유레루")</f>
        <v>유레루</v>
      </c>
      <c r="C2448" s="47">
        <v>8.2899999999999991</v>
      </c>
      <c r="D2448" s="6" t="s">
        <v>2508</v>
      </c>
      <c r="E2448" s="5" t="s">
        <v>16</v>
      </c>
      <c r="F2448" s="5">
        <v>2006</v>
      </c>
      <c r="G2448" s="5" t="s">
        <v>12</v>
      </c>
      <c r="H2448" s="5" t="s">
        <v>17</v>
      </c>
      <c r="I2448" s="5" t="s">
        <v>53</v>
      </c>
      <c r="J2448" s="98" t="s">
        <v>3460</v>
      </c>
    </row>
    <row r="2449" spans="1:10" ht="28.9" customHeight="1" thickTop="1" thickBot="1" x14ac:dyDescent="0.65">
      <c r="A2449" s="3">
        <v>2447</v>
      </c>
      <c r="B2449" s="44" t="str">
        <f>HYPERLINK("https://search.naver.com/search.naver?query=유령 작가 영화", "유령 작가")</f>
        <v>유령 작가</v>
      </c>
      <c r="C2449" s="45">
        <v>7.13</v>
      </c>
      <c r="D2449" s="4" t="s">
        <v>2509</v>
      </c>
      <c r="E2449" s="3" t="s">
        <v>210</v>
      </c>
      <c r="F2449" s="3">
        <v>2010</v>
      </c>
      <c r="G2449" s="3" t="s">
        <v>12</v>
      </c>
      <c r="H2449" s="3" t="s">
        <v>43</v>
      </c>
      <c r="I2449" s="3" t="s">
        <v>108</v>
      </c>
      <c r="J2449" s="97" t="s">
        <v>3455</v>
      </c>
    </row>
    <row r="2450" spans="1:10" ht="28.9" customHeight="1" thickTop="1" thickBot="1" x14ac:dyDescent="0.65">
      <c r="A2450" s="5">
        <v>2448</v>
      </c>
      <c r="B2450" s="46" t="str">
        <f>HYPERLINK("https://search.naver.com/search.naver?query=유리고코로 영화", "유리고코로")</f>
        <v>유리고코로</v>
      </c>
      <c r="C2450" s="47">
        <v>7.45</v>
      </c>
      <c r="D2450" s="6" t="s">
        <v>2510</v>
      </c>
      <c r="E2450" s="5" t="s">
        <v>16</v>
      </c>
      <c r="F2450" s="5">
        <v>2017</v>
      </c>
      <c r="G2450" s="5" t="s">
        <v>12</v>
      </c>
      <c r="H2450" s="5" t="s">
        <v>17</v>
      </c>
      <c r="I2450" s="5" t="s">
        <v>108</v>
      </c>
      <c r="J2450" s="98" t="s">
        <v>3443</v>
      </c>
    </row>
    <row r="2451" spans="1:10" ht="28.9" customHeight="1" thickTop="1" thickBot="1" x14ac:dyDescent="0.65">
      <c r="A2451" s="3">
        <v>2449</v>
      </c>
      <c r="B2451" s="44" t="str">
        <f>HYPERLINK("https://search.naver.com/search.naver?query=유리정원 영화", "유리정원")</f>
        <v>유리정원</v>
      </c>
      <c r="C2451" s="45">
        <v>8.2200000000000006</v>
      </c>
      <c r="D2451" s="4" t="s">
        <v>2511</v>
      </c>
      <c r="E2451" s="3" t="s">
        <v>11</v>
      </c>
      <c r="F2451" s="3">
        <v>2017</v>
      </c>
      <c r="G2451" s="3" t="s">
        <v>12</v>
      </c>
      <c r="H2451" s="3" t="s">
        <v>17</v>
      </c>
      <c r="I2451" s="3" t="s">
        <v>207</v>
      </c>
      <c r="J2451" s="97" t="s">
        <v>3443</v>
      </c>
    </row>
    <row r="2452" spans="1:10" ht="28.9" customHeight="1" thickTop="1" thickBot="1" x14ac:dyDescent="0.65">
      <c r="A2452" s="5">
        <v>2450</v>
      </c>
      <c r="B2452" s="46" t="str">
        <f>HYPERLINK("https://search.naver.com/search.naver?query=유스 영화", "유스")</f>
        <v>유스</v>
      </c>
      <c r="C2452" s="47">
        <v>8.4700000000000006</v>
      </c>
      <c r="D2452" s="6" t="s">
        <v>2512</v>
      </c>
      <c r="E2452" s="5" t="s">
        <v>1099</v>
      </c>
      <c r="F2452" s="5">
        <v>2015</v>
      </c>
      <c r="G2452" s="5" t="s">
        <v>12</v>
      </c>
      <c r="H2452" s="5" t="s">
        <v>17</v>
      </c>
      <c r="I2452" s="5" t="s">
        <v>134</v>
      </c>
      <c r="J2452" s="98" t="s">
        <v>3440</v>
      </c>
    </row>
    <row r="2453" spans="1:10" ht="28.9" customHeight="1" thickTop="1" thickBot="1" x14ac:dyDescent="0.65">
      <c r="A2453" s="3">
        <v>2451</v>
      </c>
      <c r="B2453" s="44" t="str">
        <f>HYPERLINK("https://search.naver.com/search.naver?query=유아 낫 유 영화", "유아 낫 유")</f>
        <v>유아 낫 유</v>
      </c>
      <c r="C2453" s="45">
        <v>8.86</v>
      </c>
      <c r="D2453" s="4" t="s">
        <v>2513</v>
      </c>
      <c r="E2453" s="3" t="s">
        <v>20</v>
      </c>
      <c r="F2453" s="3">
        <v>2014</v>
      </c>
      <c r="G2453" s="3" t="s">
        <v>12</v>
      </c>
      <c r="H2453" s="3" t="s">
        <v>17</v>
      </c>
      <c r="I2453" s="3" t="s">
        <v>99</v>
      </c>
      <c r="J2453" s="97" t="s">
        <v>3437</v>
      </c>
    </row>
    <row r="2454" spans="1:10" ht="28.9" customHeight="1" thickTop="1" thickBot="1" x14ac:dyDescent="0.65">
      <c r="A2454" s="7">
        <v>2452</v>
      </c>
      <c r="B2454" s="48" t="str">
        <f>HYPERLINK("https://search.naver.com/search.naver?query=포 올 맨카인드 시즌1", "포 올 맨카인드 시즌1")</f>
        <v>포 올 맨카인드 시즌1</v>
      </c>
      <c r="C2454" s="49"/>
      <c r="D2454" s="8" t="s">
        <v>2514</v>
      </c>
      <c r="E2454" s="7" t="s">
        <v>20</v>
      </c>
      <c r="F2454" s="7">
        <v>2019</v>
      </c>
      <c r="G2454" s="7" t="s">
        <v>17</v>
      </c>
      <c r="H2454" s="7" t="s">
        <v>520</v>
      </c>
      <c r="I2454" s="7" t="s">
        <v>2515</v>
      </c>
      <c r="J2454" s="99" t="s">
        <v>3444</v>
      </c>
    </row>
    <row r="2455" spans="1:10" ht="28.9" customHeight="1" thickTop="1" thickBot="1" x14ac:dyDescent="0.65">
      <c r="A2455" s="7">
        <v>2453</v>
      </c>
      <c r="B2455" s="48" t="str">
        <f>HYPERLINK("https://search.naver.com/search.naver?query=유어 아너", "유어 아너")</f>
        <v>유어 아너</v>
      </c>
      <c r="C2455" s="49"/>
      <c r="D2455" s="8" t="s">
        <v>2516</v>
      </c>
      <c r="E2455" s="7" t="s">
        <v>11</v>
      </c>
      <c r="F2455" s="7">
        <v>2024</v>
      </c>
      <c r="G2455" s="7" t="s">
        <v>17</v>
      </c>
      <c r="H2455" s="7" t="s">
        <v>17</v>
      </c>
      <c r="I2455" s="7" t="s">
        <v>50</v>
      </c>
      <c r="J2455" s="99" t="s">
        <v>3448</v>
      </c>
    </row>
    <row r="2456" spans="1:10" ht="28.9" customHeight="1" thickTop="1" thickBot="1" x14ac:dyDescent="0.65">
      <c r="A2456" s="5">
        <v>2454</v>
      </c>
      <c r="B2456" s="46" t="str">
        <f>HYPERLINK("https://search.naver.com/search.naver?query=유주얼 서스펙트 영화", "유주얼 서스펙트")</f>
        <v>유주얼 서스펙트</v>
      </c>
      <c r="C2456" s="47">
        <v>8.66</v>
      </c>
      <c r="D2456" s="6" t="s">
        <v>2517</v>
      </c>
      <c r="E2456" s="5" t="s">
        <v>20</v>
      </c>
      <c r="F2456" s="5">
        <v>1995</v>
      </c>
      <c r="G2456" s="5" t="s">
        <v>12</v>
      </c>
      <c r="H2456" s="5" t="s">
        <v>277</v>
      </c>
      <c r="I2456" s="5" t="s">
        <v>286</v>
      </c>
      <c r="J2456" s="98" t="s">
        <v>3475</v>
      </c>
    </row>
    <row r="2457" spans="1:10" ht="28.9" customHeight="1" thickTop="1" thickBot="1" x14ac:dyDescent="0.65">
      <c r="A2457" s="3">
        <v>2455</v>
      </c>
      <c r="B2457" s="44" t="str">
        <f>HYPERLINK("https://search.naver.com/search.naver?query=유체이탈자 영화", "유체이탈자")</f>
        <v>유체이탈자</v>
      </c>
      <c r="C2457" s="45">
        <v>7.46</v>
      </c>
      <c r="D2457" s="4" t="s">
        <v>2518</v>
      </c>
      <c r="E2457" s="3" t="s">
        <v>11</v>
      </c>
      <c r="F2457" s="3">
        <v>2021</v>
      </c>
      <c r="G2457" s="3" t="s">
        <v>12</v>
      </c>
      <c r="H2457" s="3" t="s">
        <v>43</v>
      </c>
      <c r="I2457" s="3" t="s">
        <v>31</v>
      </c>
      <c r="J2457" s="97" t="s">
        <v>3438</v>
      </c>
    </row>
    <row r="2458" spans="1:10" ht="28.9" customHeight="1" thickTop="1" thickBot="1" x14ac:dyDescent="0.65">
      <c r="A2458" s="5">
        <v>2456</v>
      </c>
      <c r="B2458" s="46" t="str">
        <f>HYPERLINK("https://search.naver.com/search.naver?query=유혹의 계절 영화", "유혹의 계절")</f>
        <v>유혹의 계절</v>
      </c>
      <c r="C2458" s="47">
        <v>7.67</v>
      </c>
      <c r="D2458" s="6" t="s">
        <v>2519</v>
      </c>
      <c r="E2458" s="5" t="s">
        <v>558</v>
      </c>
      <c r="F2458" s="5">
        <v>2018</v>
      </c>
      <c r="G2458" s="5" t="s">
        <v>12</v>
      </c>
      <c r="H2458" s="5" t="s">
        <v>121</v>
      </c>
      <c r="I2458" s="5" t="s">
        <v>190</v>
      </c>
      <c r="J2458" s="98" t="s">
        <v>3442</v>
      </c>
    </row>
    <row r="2459" spans="1:10" ht="28.9" customHeight="1" thickTop="1" thickBot="1" x14ac:dyDescent="0.65">
      <c r="A2459" s="3">
        <v>2457</v>
      </c>
      <c r="B2459" s="44" t="str">
        <f>HYPERLINK("https://search.naver.com/search.naver?query=육사오 645 영화", "육사오 645")</f>
        <v>육사오 645</v>
      </c>
      <c r="C2459" s="45">
        <v>8.0399999999999991</v>
      </c>
      <c r="D2459" s="4" t="s">
        <v>2520</v>
      </c>
      <c r="E2459" s="3" t="s">
        <v>11</v>
      </c>
      <c r="F2459" s="3">
        <v>2022</v>
      </c>
      <c r="G2459" s="3" t="s">
        <v>12</v>
      </c>
      <c r="H2459" s="3" t="s">
        <v>68</v>
      </c>
      <c r="I2459" s="3" t="s">
        <v>111</v>
      </c>
      <c r="J2459" s="97" t="s">
        <v>3445</v>
      </c>
    </row>
    <row r="2460" spans="1:10" ht="28.9" customHeight="1" thickTop="1" thickBot="1" x14ac:dyDescent="0.65">
      <c r="A2460" s="5">
        <v>2458</v>
      </c>
      <c r="B2460" s="46" t="str">
        <f>HYPERLINK("https://search.naver.com/search.naver?query=윤희에게 영화", "윤희에게")</f>
        <v>윤희에게</v>
      </c>
      <c r="C2460" s="47">
        <v>9.2200000000000006</v>
      </c>
      <c r="D2460" s="6" t="s">
        <v>2521</v>
      </c>
      <c r="E2460" s="5" t="s">
        <v>11</v>
      </c>
      <c r="F2460" s="5">
        <v>2019</v>
      </c>
      <c r="G2460" s="5" t="s">
        <v>12</v>
      </c>
      <c r="H2460" s="5" t="s">
        <v>17</v>
      </c>
      <c r="I2460" s="5" t="s">
        <v>128</v>
      </c>
      <c r="J2460" s="98" t="s">
        <v>3444</v>
      </c>
    </row>
    <row r="2461" spans="1:10" ht="28.9" customHeight="1" thickTop="1" thickBot="1" x14ac:dyDescent="0.65">
      <c r="A2461" s="3">
        <v>2459</v>
      </c>
      <c r="B2461" s="44" t="str">
        <f>HYPERLINK("https://search.naver.com/search.naver?query=은교 영화", "은교")</f>
        <v>은교</v>
      </c>
      <c r="C2461" s="45">
        <v>7.04</v>
      </c>
      <c r="D2461" s="4" t="s">
        <v>2522</v>
      </c>
      <c r="E2461" s="3" t="s">
        <v>11</v>
      </c>
      <c r="F2461" s="3">
        <v>2012</v>
      </c>
      <c r="G2461" s="3" t="s">
        <v>12</v>
      </c>
      <c r="H2461" s="3" t="s">
        <v>17</v>
      </c>
      <c r="I2461" s="3" t="s">
        <v>64</v>
      </c>
      <c r="J2461" s="97" t="s">
        <v>3439</v>
      </c>
    </row>
    <row r="2462" spans="1:10" ht="28.9" customHeight="1" thickTop="1" thickBot="1" x14ac:dyDescent="0.65">
      <c r="A2462" s="5">
        <v>2460</v>
      </c>
      <c r="B2462" s="46" t="str">
        <f>HYPERLINK("https://search.naver.com/search.naver?query=은밀하게 위대하게 영화", "은밀하게 위대하게")</f>
        <v>은밀하게 위대하게</v>
      </c>
      <c r="C2462" s="47">
        <v>7.13</v>
      </c>
      <c r="D2462" s="6" t="s">
        <v>2523</v>
      </c>
      <c r="E2462" s="5" t="s">
        <v>11</v>
      </c>
      <c r="F2462" s="5">
        <v>2013</v>
      </c>
      <c r="G2462" s="5" t="s">
        <v>12</v>
      </c>
      <c r="H2462" s="5" t="s">
        <v>92</v>
      </c>
      <c r="I2462" s="5" t="s">
        <v>58</v>
      </c>
      <c r="J2462" s="98" t="s">
        <v>3451</v>
      </c>
    </row>
    <row r="2463" spans="1:10" ht="28.9" customHeight="1" thickTop="1" thickBot="1" x14ac:dyDescent="0.65">
      <c r="A2463" s="3">
        <v>2461</v>
      </c>
      <c r="B2463" s="44" t="str">
        <f>HYPERLINK("https://search.naver.com/search.naver?query=은밀한 유혹 영화", "은밀한 유혹")</f>
        <v>은밀한 유혹</v>
      </c>
      <c r="C2463" s="45">
        <v>6.87</v>
      </c>
      <c r="D2463" s="4" t="s">
        <v>2524</v>
      </c>
      <c r="E2463" s="3" t="s">
        <v>11</v>
      </c>
      <c r="F2463" s="3">
        <v>2015</v>
      </c>
      <c r="G2463" s="3" t="s">
        <v>12</v>
      </c>
      <c r="H2463" s="3" t="s">
        <v>43</v>
      </c>
      <c r="I2463" s="3" t="s">
        <v>111</v>
      </c>
      <c r="J2463" s="97" t="s">
        <v>3440</v>
      </c>
    </row>
    <row r="2464" spans="1:10" ht="28.9" customHeight="1" thickTop="1" thickBot="1" x14ac:dyDescent="0.65">
      <c r="A2464" s="5">
        <v>2462</v>
      </c>
      <c r="B2464" s="46" t="str">
        <f>HYPERLINK("https://search.naver.com/search.naver?query=음란서생 영화", "음란서생")</f>
        <v>음란서생</v>
      </c>
      <c r="C2464" s="47">
        <v>7.02</v>
      </c>
      <c r="D2464" s="6" t="s">
        <v>2525</v>
      </c>
      <c r="E2464" s="5" t="s">
        <v>11</v>
      </c>
      <c r="F2464" s="5">
        <v>2006</v>
      </c>
      <c r="G2464" s="5" t="s">
        <v>12</v>
      </c>
      <c r="H2464" s="5" t="s">
        <v>17</v>
      </c>
      <c r="I2464" s="5" t="s">
        <v>128</v>
      </c>
      <c r="J2464" s="98" t="s">
        <v>3460</v>
      </c>
    </row>
    <row r="2465" spans="1:10" ht="28.9" customHeight="1" thickTop="1" thickBot="1" x14ac:dyDescent="0.65">
      <c r="A2465" s="3">
        <v>2463</v>
      </c>
      <c r="B2465" s="44" t="str">
        <f>HYPERLINK("https://search.naver.com/search.naver?query=음모자 영화", "음모자")</f>
        <v>음모자</v>
      </c>
      <c r="C2465" s="45">
        <v>8.1300000000000008</v>
      </c>
      <c r="D2465" s="4" t="s">
        <v>2526</v>
      </c>
      <c r="E2465" s="3" t="s">
        <v>20</v>
      </c>
      <c r="F2465" s="3">
        <v>2010</v>
      </c>
      <c r="G2465" s="3" t="s">
        <v>12</v>
      </c>
      <c r="H2465" s="3" t="s">
        <v>17</v>
      </c>
      <c r="I2465" s="3" t="s">
        <v>105</v>
      </c>
      <c r="J2465" s="97" t="s">
        <v>3455</v>
      </c>
    </row>
    <row r="2466" spans="1:10" ht="28.9" customHeight="1" thickTop="1" thickBot="1" x14ac:dyDescent="0.65">
      <c r="A2466" s="5">
        <v>2464</v>
      </c>
      <c r="B2466" s="46" t="str">
        <f>HYPERLINK("https://search.naver.com/search.naver?query=음치클리닉 영화", "음치클리닉")</f>
        <v>음치클리닉</v>
      </c>
      <c r="C2466" s="47">
        <v>6.92</v>
      </c>
      <c r="D2466" s="6" t="s">
        <v>2527</v>
      </c>
      <c r="E2466" s="5" t="s">
        <v>11</v>
      </c>
      <c r="F2466" s="5">
        <v>2012</v>
      </c>
      <c r="G2466" s="5" t="s">
        <v>12</v>
      </c>
      <c r="H2466" s="5" t="s">
        <v>68</v>
      </c>
      <c r="I2466" s="5" t="s">
        <v>111</v>
      </c>
      <c r="J2466" s="98" t="s">
        <v>3439</v>
      </c>
    </row>
    <row r="2467" spans="1:10" ht="28.9" customHeight="1" thickTop="1" thickBot="1" x14ac:dyDescent="0.65">
      <c r="A2467" s="3">
        <v>2465</v>
      </c>
      <c r="B2467" s="44" t="str">
        <f>HYPERLINK("https://search.naver.com/search.naver?query=응징자 영화", "응징자")</f>
        <v>응징자</v>
      </c>
      <c r="C2467" s="45">
        <v>6.1</v>
      </c>
      <c r="D2467" s="4" t="s">
        <v>2528</v>
      </c>
      <c r="E2467" s="3" t="s">
        <v>20</v>
      </c>
      <c r="F2467" s="3">
        <v>2004</v>
      </c>
      <c r="G2467" s="3" t="s">
        <v>12</v>
      </c>
      <c r="H2467" s="3" t="s">
        <v>92</v>
      </c>
      <c r="I2467" s="3" t="s">
        <v>134</v>
      </c>
      <c r="J2467" s="97" t="s">
        <v>3462</v>
      </c>
    </row>
    <row r="2468" spans="1:10" ht="28.9" customHeight="1" thickTop="1" thickBot="1" x14ac:dyDescent="0.65">
      <c r="A2468" s="5">
        <v>2466</v>
      </c>
      <c r="B2468" s="46" t="str">
        <f>HYPERLINK("https://search.naver.com/search.naver?query=의뢰인 영화", "의뢰인")</f>
        <v>의뢰인</v>
      </c>
      <c r="C2468" s="47">
        <v>8.07</v>
      </c>
      <c r="D2468" s="6" t="s">
        <v>2529</v>
      </c>
      <c r="E2468" s="5" t="s">
        <v>11</v>
      </c>
      <c r="F2468" s="5">
        <v>2011</v>
      </c>
      <c r="G2468" s="5" t="s">
        <v>12</v>
      </c>
      <c r="H2468" s="5" t="s">
        <v>43</v>
      </c>
      <c r="I2468" s="5" t="s">
        <v>58</v>
      </c>
      <c r="J2468" s="98" t="s">
        <v>3454</v>
      </c>
    </row>
    <row r="2469" spans="1:10" ht="28.9" customHeight="1" thickTop="1" thickBot="1" x14ac:dyDescent="0.65">
      <c r="A2469" s="3">
        <v>2467</v>
      </c>
      <c r="B2469" s="44" t="str">
        <f>HYPERLINK("https://search.naver.com/search.naver?query=이글아이 영화", "이글아이")</f>
        <v>이글아이</v>
      </c>
      <c r="C2469" s="45">
        <v>7.98</v>
      </c>
      <c r="D2469" s="4" t="s">
        <v>2530</v>
      </c>
      <c r="E2469" s="3" t="s">
        <v>20</v>
      </c>
      <c r="F2469" s="3">
        <v>2008</v>
      </c>
      <c r="G2469" s="3" t="s">
        <v>12</v>
      </c>
      <c r="H2469" s="3" t="s">
        <v>92</v>
      </c>
      <c r="I2469" s="3" t="s">
        <v>221</v>
      </c>
      <c r="J2469" s="97" t="s">
        <v>3450</v>
      </c>
    </row>
    <row r="2470" spans="1:10" ht="28.9" customHeight="1" thickTop="1" thickBot="1" x14ac:dyDescent="0.65">
      <c r="A2470" s="5">
        <v>2468</v>
      </c>
      <c r="B2470" s="46" t="str">
        <f>HYPERLINK("https://search.naver.com/search.naver?query=이너 시티 영화", "이너 시티")</f>
        <v>이너 시티</v>
      </c>
      <c r="C2470" s="47">
        <v>6.4</v>
      </c>
      <c r="D2470" s="6" t="s">
        <v>2531</v>
      </c>
      <c r="E2470" s="5" t="s">
        <v>20</v>
      </c>
      <c r="F2470" s="5">
        <v>2017</v>
      </c>
      <c r="G2470" s="5" t="s">
        <v>12</v>
      </c>
      <c r="H2470" s="5" t="s">
        <v>17</v>
      </c>
      <c r="I2470" s="5" t="s">
        <v>111</v>
      </c>
      <c r="J2470" s="98" t="s">
        <v>3443</v>
      </c>
    </row>
    <row r="2471" spans="1:10" ht="28.9" customHeight="1" thickTop="1" thickBot="1" x14ac:dyDescent="0.65">
      <c r="A2471" s="3">
        <v>2469</v>
      </c>
      <c r="B2471" s="44" t="str">
        <f>HYPERLINK("https://search.naver.com/search.naver?query=이너프 세드 영화", "이너프 세드")</f>
        <v>이너프 세드</v>
      </c>
      <c r="C2471" s="45">
        <v>6.4</v>
      </c>
      <c r="D2471" s="4" t="s">
        <v>2532</v>
      </c>
      <c r="E2471" s="3" t="s">
        <v>20</v>
      </c>
      <c r="F2471" s="3">
        <v>2013</v>
      </c>
      <c r="G2471" s="3" t="s">
        <v>12</v>
      </c>
      <c r="H2471" s="3" t="s">
        <v>68</v>
      </c>
      <c r="I2471" s="3" t="s">
        <v>93</v>
      </c>
      <c r="J2471" s="97" t="s">
        <v>3451</v>
      </c>
    </row>
    <row r="2472" spans="1:10" ht="28.9" customHeight="1" thickTop="1" thickBot="1" x14ac:dyDescent="0.65">
      <c r="A2472" s="5">
        <v>2470</v>
      </c>
      <c r="B2472" s="46" t="str">
        <f>HYPERLINK("https://search.naver.com/search.naver?query=이레셔널 맨 영화", "이레셔널 맨")</f>
        <v>이레셔널 맨</v>
      </c>
      <c r="C2472" s="47">
        <v>8.0500000000000007</v>
      </c>
      <c r="D2472" s="6" t="s">
        <v>2533</v>
      </c>
      <c r="E2472" s="5" t="s">
        <v>20</v>
      </c>
      <c r="F2472" s="5">
        <v>2015</v>
      </c>
      <c r="G2472" s="5" t="s">
        <v>12</v>
      </c>
      <c r="H2472" s="5" t="s">
        <v>17</v>
      </c>
      <c r="I2472" s="5" t="s">
        <v>111</v>
      </c>
      <c r="J2472" s="98" t="s">
        <v>3440</v>
      </c>
    </row>
    <row r="2473" spans="1:10" ht="28.9" customHeight="1" thickTop="1" thickBot="1" x14ac:dyDescent="0.65">
      <c r="A2473" s="3">
        <v>2471</v>
      </c>
      <c r="B2473" s="44" t="str">
        <f>HYPERLINK("https://search.naver.com/search.naver?query=이름없는 새 영화", "이름없는 새")</f>
        <v>이름없는 새</v>
      </c>
      <c r="C2473" s="45">
        <v>6.43</v>
      </c>
      <c r="D2473" s="4" t="s">
        <v>2534</v>
      </c>
      <c r="E2473" s="3" t="s">
        <v>16</v>
      </c>
      <c r="F2473" s="3">
        <v>2018</v>
      </c>
      <c r="G2473" s="3" t="s">
        <v>12</v>
      </c>
      <c r="H2473" s="3" t="s">
        <v>121</v>
      </c>
      <c r="I2473" s="3" t="s">
        <v>58</v>
      </c>
      <c r="J2473" s="97" t="s">
        <v>3442</v>
      </c>
    </row>
    <row r="2474" spans="1:10" ht="28.9" customHeight="1" thickTop="1" thickBot="1" x14ac:dyDescent="0.65">
      <c r="A2474" s="5">
        <v>2472</v>
      </c>
      <c r="B2474" s="46" t="str">
        <f>HYPERLINK("https://search.naver.com/search.naver?query=이미테이션 게임 영화", "이미테이션 게임")</f>
        <v>이미테이션 게임</v>
      </c>
      <c r="C2474" s="47">
        <v>8.7100000000000009</v>
      </c>
      <c r="D2474" s="6" t="s">
        <v>2535</v>
      </c>
      <c r="E2474" s="5" t="s">
        <v>24</v>
      </c>
      <c r="F2474" s="5">
        <v>2014</v>
      </c>
      <c r="G2474" s="5" t="s">
        <v>12</v>
      </c>
      <c r="H2474" s="5" t="s">
        <v>17</v>
      </c>
      <c r="I2474" s="5" t="s">
        <v>207</v>
      </c>
      <c r="J2474" s="98" t="s">
        <v>3437</v>
      </c>
    </row>
    <row r="2475" spans="1:10" ht="28.9" customHeight="1" thickTop="1" thickBot="1" x14ac:dyDescent="0.65">
      <c r="A2475" s="3">
        <v>2473</v>
      </c>
      <c r="B2475" s="44" t="str">
        <f>HYPERLINK("https://search.naver.com/search.naver?query=이민자 영화", "이민자")</f>
        <v>이민자</v>
      </c>
      <c r="C2475" s="45">
        <v>8.23</v>
      </c>
      <c r="D2475" s="4" t="s">
        <v>524</v>
      </c>
      <c r="E2475" s="3" t="s">
        <v>20</v>
      </c>
      <c r="F2475" s="3">
        <v>2013</v>
      </c>
      <c r="G2475" s="3" t="s">
        <v>12</v>
      </c>
      <c r="H2475" s="3" t="s">
        <v>17</v>
      </c>
      <c r="I2475" s="3" t="s">
        <v>89</v>
      </c>
      <c r="J2475" s="97" t="s">
        <v>3451</v>
      </c>
    </row>
    <row r="2476" spans="1:10" ht="28.9" customHeight="1" thickTop="1" thickBot="1" x14ac:dyDescent="0.65">
      <c r="A2476" s="5">
        <v>2474</v>
      </c>
      <c r="B2476" s="46" t="str">
        <f>HYPERLINK("https://search.naver.com/search.naver?query=이번 일요일에 영화", "이번 일요일에")</f>
        <v>이번 일요일에</v>
      </c>
      <c r="C2476" s="47">
        <v>8.7899999999999991</v>
      </c>
      <c r="D2476" s="6" t="s">
        <v>2536</v>
      </c>
      <c r="E2476" s="5" t="s">
        <v>16</v>
      </c>
      <c r="F2476" s="5">
        <v>2010</v>
      </c>
      <c r="G2476" s="5" t="s">
        <v>12</v>
      </c>
      <c r="H2476" s="5" t="s">
        <v>17</v>
      </c>
      <c r="I2476" s="5" t="s">
        <v>128</v>
      </c>
      <c r="J2476" s="98" t="s">
        <v>3455</v>
      </c>
    </row>
    <row r="2477" spans="1:10" ht="28.9" customHeight="1" thickTop="1" thickBot="1" x14ac:dyDescent="0.65">
      <c r="A2477" s="3">
        <v>2475</v>
      </c>
      <c r="B2477" s="44" t="str">
        <f>HYPERLINK("https://search.naver.com/search.naver?query=이별까지 7일 영화", "이별까지 7일")</f>
        <v>이별까지 7일</v>
      </c>
      <c r="C2477" s="45">
        <v>8.18</v>
      </c>
      <c r="D2477" s="4" t="s">
        <v>2537</v>
      </c>
      <c r="E2477" s="3" t="s">
        <v>16</v>
      </c>
      <c r="F2477" s="3">
        <v>2015</v>
      </c>
      <c r="G2477" s="3" t="s">
        <v>12</v>
      </c>
      <c r="H2477" s="3" t="s">
        <v>121</v>
      </c>
      <c r="I2477" s="3" t="s">
        <v>89</v>
      </c>
      <c r="J2477" s="97" t="s">
        <v>3440</v>
      </c>
    </row>
    <row r="2478" spans="1:10" ht="28.9" customHeight="1" thickTop="1" thickBot="1" x14ac:dyDescent="0.65">
      <c r="A2478" s="5">
        <v>2476</v>
      </c>
      <c r="B2478" s="46" t="str">
        <f>HYPERLINK("https://search.naver.com/search.naver?query=이브 생 로랑 영화", "이브 생 로랑")</f>
        <v>이브 생 로랑</v>
      </c>
      <c r="C2478" s="47">
        <v>7.98</v>
      </c>
      <c r="D2478" s="6" t="s">
        <v>2538</v>
      </c>
      <c r="E2478" s="5" t="s">
        <v>210</v>
      </c>
      <c r="F2478" s="5">
        <v>2014</v>
      </c>
      <c r="G2478" s="5" t="s">
        <v>12</v>
      </c>
      <c r="H2478" s="5" t="s">
        <v>17</v>
      </c>
      <c r="I2478" s="5" t="s">
        <v>286</v>
      </c>
      <c r="J2478" s="98" t="s">
        <v>3437</v>
      </c>
    </row>
    <row r="2479" spans="1:10" ht="28.9" customHeight="1" thickTop="1" thickBot="1" x14ac:dyDescent="0.65">
      <c r="A2479" s="3">
        <v>2477</v>
      </c>
      <c r="B2479" s="44" t="str">
        <f>HYPERLINK("https://search.naver.com/search.naver?query=이상한 곶 이야기 영화", "이상한 곶 이야기")</f>
        <v>이상한 곶 이야기</v>
      </c>
      <c r="C2479" s="45">
        <v>6.4</v>
      </c>
      <c r="D2479" s="4"/>
      <c r="E2479" s="3" t="s">
        <v>16</v>
      </c>
      <c r="F2479" s="3">
        <v>2014</v>
      </c>
      <c r="G2479" s="3" t="s">
        <v>12</v>
      </c>
      <c r="H2479" s="3" t="s">
        <v>17</v>
      </c>
      <c r="I2479" s="3" t="s">
        <v>111</v>
      </c>
      <c r="J2479" s="97" t="s">
        <v>3437</v>
      </c>
    </row>
    <row r="2480" spans="1:10" ht="28.9" customHeight="1" thickTop="1" thickBot="1" x14ac:dyDescent="0.65">
      <c r="A2480" s="5">
        <v>2478</v>
      </c>
      <c r="B2480" s="46" t="str">
        <f>HYPERLINK("https://search.naver.com/search.naver?query=이상한 나라의 수학자 영화", "이상한 나라의 수학자")</f>
        <v>이상한 나라의 수학자</v>
      </c>
      <c r="C2480" s="47">
        <v>7.84</v>
      </c>
      <c r="D2480" s="6" t="s">
        <v>2539</v>
      </c>
      <c r="E2480" s="5" t="s">
        <v>11</v>
      </c>
      <c r="F2480" s="5">
        <v>2022</v>
      </c>
      <c r="G2480" s="5" t="s">
        <v>12</v>
      </c>
      <c r="H2480" s="5" t="s">
        <v>17</v>
      </c>
      <c r="I2480" s="5" t="s">
        <v>89</v>
      </c>
      <c r="J2480" s="98" t="s">
        <v>3445</v>
      </c>
    </row>
    <row r="2481" spans="1:10" ht="28.9" customHeight="1" thickTop="1" thickBot="1" x14ac:dyDescent="0.65">
      <c r="A2481" s="3">
        <v>2479</v>
      </c>
      <c r="B2481" s="44" t="str">
        <f>HYPERLINK("https://search.naver.com/search.naver?query=이스케이프 영화", "이스케이프")</f>
        <v>이스케이프</v>
      </c>
      <c r="C2481" s="45">
        <v>8.24</v>
      </c>
      <c r="D2481" s="4" t="s">
        <v>2540</v>
      </c>
      <c r="E2481" s="3" t="s">
        <v>20</v>
      </c>
      <c r="F2481" s="3">
        <v>2015</v>
      </c>
      <c r="G2481" s="3" t="s">
        <v>12</v>
      </c>
      <c r="H2481" s="3" t="s">
        <v>92</v>
      </c>
      <c r="I2481" s="3" t="s">
        <v>111</v>
      </c>
      <c r="J2481" s="97" t="s">
        <v>3440</v>
      </c>
    </row>
    <row r="2482" spans="1:10" ht="28.9" customHeight="1" thickTop="1" thickBot="1" x14ac:dyDescent="0.65">
      <c r="A2482" s="5">
        <v>2480</v>
      </c>
      <c r="B2482" s="46" t="str">
        <f>HYPERLINK("https://search.naver.com/search.naver?query=이스케이프 룸 영화", "이스케이프 룸")</f>
        <v>이스케이프 룸</v>
      </c>
      <c r="C2482" s="47">
        <v>8.06</v>
      </c>
      <c r="D2482" s="6" t="s">
        <v>2541</v>
      </c>
      <c r="E2482" s="5" t="s">
        <v>20</v>
      </c>
      <c r="F2482" s="5">
        <v>2019</v>
      </c>
      <c r="G2482" s="5" t="s">
        <v>12</v>
      </c>
      <c r="H2482" s="5" t="s">
        <v>252</v>
      </c>
      <c r="I2482" s="5" t="s">
        <v>81</v>
      </c>
      <c r="J2482" s="98" t="s">
        <v>3444</v>
      </c>
    </row>
    <row r="2483" spans="1:10" ht="28.9" customHeight="1" thickTop="1" thickBot="1" x14ac:dyDescent="0.65">
      <c r="A2483" s="3">
        <v>2481</v>
      </c>
      <c r="B2483" s="44" t="str">
        <f>HYPERLINK("https://search.naver.com/search.naver?query=이스케이프 룸 2 노웨이 아웃 영화", "이스케이프 룸 2 노웨이 아웃")</f>
        <v>이스케이프 룸 2 노웨이 아웃</v>
      </c>
      <c r="C2483" s="45">
        <v>8.06</v>
      </c>
      <c r="D2483" s="4" t="s">
        <v>2542</v>
      </c>
      <c r="E2483" s="3" t="s">
        <v>20</v>
      </c>
      <c r="F2483" s="3">
        <v>2021</v>
      </c>
      <c r="G2483" s="3" t="s">
        <v>12</v>
      </c>
      <c r="H2483" s="3" t="s">
        <v>252</v>
      </c>
      <c r="I2483" s="3" t="s">
        <v>231</v>
      </c>
      <c r="J2483" s="97" t="s">
        <v>3438</v>
      </c>
    </row>
    <row r="2484" spans="1:10" ht="28.9" customHeight="1" thickTop="1" thickBot="1" x14ac:dyDescent="0.65">
      <c r="A2484" s="5">
        <v>2482</v>
      </c>
      <c r="B2484" s="46" t="str">
        <f>HYPERLINK("https://search.naver.com/search.naver?query=이스케이프 프롬 프리토리아 영화", "이스케이프 프롬 프리토리아")</f>
        <v>이스케이프 프롬 프리토리아</v>
      </c>
      <c r="C2484" s="47">
        <v>6.4</v>
      </c>
      <c r="D2484" s="6" t="s">
        <v>2543</v>
      </c>
      <c r="E2484" s="5" t="s">
        <v>24</v>
      </c>
      <c r="F2484" s="5">
        <v>2020</v>
      </c>
      <c r="G2484" s="5" t="s">
        <v>12</v>
      </c>
      <c r="H2484" s="5" t="s">
        <v>43</v>
      </c>
      <c r="I2484" s="5" t="s">
        <v>286</v>
      </c>
      <c r="J2484" s="98" t="s">
        <v>3436</v>
      </c>
    </row>
    <row r="2485" spans="1:10" ht="28.9" customHeight="1" thickTop="1" thickBot="1" x14ac:dyDescent="0.65">
      <c r="A2485" s="3">
        <v>2483</v>
      </c>
      <c r="B2485" s="44" t="str">
        <f>HYPERLINK("https://search.naver.com/search.naver?query=이스케이프 플랜 영화", "이스케이프 플랜")</f>
        <v>이스케이프 플랜</v>
      </c>
      <c r="C2485" s="45">
        <v>2.4500000000000002</v>
      </c>
      <c r="D2485" s="4" t="s">
        <v>2544</v>
      </c>
      <c r="E2485" s="3" t="s">
        <v>20</v>
      </c>
      <c r="F2485" s="3">
        <v>2013</v>
      </c>
      <c r="G2485" s="3" t="s">
        <v>12</v>
      </c>
      <c r="H2485" s="3" t="s">
        <v>92</v>
      </c>
      <c r="I2485" s="3" t="s">
        <v>47</v>
      </c>
      <c r="J2485" s="97" t="s">
        <v>3451</v>
      </c>
    </row>
    <row r="2486" spans="1:10" ht="28.9" customHeight="1" thickTop="1" thickBot="1" x14ac:dyDescent="0.65">
      <c r="A2486" s="5">
        <v>2484</v>
      </c>
      <c r="B2486" s="46" t="str">
        <f>HYPERLINK("https://search.naver.com/search.naver?query=이스케이프파이터 영화", "이스케이프파이터")</f>
        <v>이스케이프파이터</v>
      </c>
      <c r="C2486" s="47">
        <v>6.4</v>
      </c>
      <c r="D2486" s="6" t="s">
        <v>2545</v>
      </c>
      <c r="E2486" s="5" t="s">
        <v>20</v>
      </c>
      <c r="F2486" s="5">
        <v>2017</v>
      </c>
      <c r="G2486" s="5" t="s">
        <v>12</v>
      </c>
      <c r="H2486" s="5" t="s">
        <v>92</v>
      </c>
      <c r="I2486" s="5" t="s">
        <v>111</v>
      </c>
      <c r="J2486" s="98" t="s">
        <v>3443</v>
      </c>
    </row>
    <row r="2487" spans="1:10" ht="28.9" customHeight="1" thickTop="1" thickBot="1" x14ac:dyDescent="0.65">
      <c r="A2487" s="3">
        <v>2485</v>
      </c>
      <c r="B2487" s="44" t="str">
        <f>HYPERLINK("https://search.naver.com/search.naver?query=이스턴 프라미스 영화", "이스턴 프라미스")</f>
        <v>이스턴 프라미스</v>
      </c>
      <c r="C2487" s="45">
        <v>8.2100000000000009</v>
      </c>
      <c r="D2487" s="4" t="s">
        <v>2546</v>
      </c>
      <c r="E2487" s="3" t="s">
        <v>24</v>
      </c>
      <c r="F2487" s="3">
        <v>2007</v>
      </c>
      <c r="G2487" s="3" t="s">
        <v>12</v>
      </c>
      <c r="H2487" s="3" t="s">
        <v>277</v>
      </c>
      <c r="I2487" s="3" t="s">
        <v>131</v>
      </c>
      <c r="J2487" s="97" t="s">
        <v>3447</v>
      </c>
    </row>
    <row r="2488" spans="1:10" ht="28.9" customHeight="1" thickTop="1" thickBot="1" x14ac:dyDescent="0.65">
      <c r="A2488" s="5">
        <v>2486</v>
      </c>
      <c r="B2488" s="46" t="str">
        <f>HYPERLINK("https://search.naver.com/search.naver?query=이스트 영화", "이스트")</f>
        <v>이스트</v>
      </c>
      <c r="C2488" s="47">
        <v>7.33</v>
      </c>
      <c r="D2488" s="6" t="s">
        <v>2547</v>
      </c>
      <c r="E2488" s="5" t="s">
        <v>20</v>
      </c>
      <c r="F2488" s="5">
        <v>2013</v>
      </c>
      <c r="G2488" s="5" t="s">
        <v>12</v>
      </c>
      <c r="H2488" s="5" t="s">
        <v>17</v>
      </c>
      <c r="I2488" s="5" t="s">
        <v>366</v>
      </c>
      <c r="J2488" s="98" t="s">
        <v>3451</v>
      </c>
    </row>
    <row r="2489" spans="1:10" ht="28.9" customHeight="1" thickTop="1" thickBot="1" x14ac:dyDescent="0.65">
      <c r="A2489" s="3">
        <v>2487</v>
      </c>
      <c r="B2489" s="44" t="str">
        <f>HYPERLINK("https://search.naver.com/search.naver?query=이스트 오브 더 마운틴스 영화", "이스트 오브 더 마운틴스")</f>
        <v>이스트 오브 더 마운틴스</v>
      </c>
      <c r="C2489" s="45">
        <v>6.4</v>
      </c>
      <c r="D2489" s="4" t="s">
        <v>2548</v>
      </c>
      <c r="E2489" s="3" t="s">
        <v>20</v>
      </c>
      <c r="F2489" s="3">
        <v>2021</v>
      </c>
      <c r="G2489" s="3" t="s">
        <v>12</v>
      </c>
      <c r="H2489" s="3" t="s">
        <v>17</v>
      </c>
      <c r="I2489" s="3" t="s">
        <v>111</v>
      </c>
      <c r="J2489" s="97" t="s">
        <v>3438</v>
      </c>
    </row>
    <row r="2490" spans="1:10" ht="28.9" customHeight="1" thickTop="1" thickBot="1" x14ac:dyDescent="0.65">
      <c r="A2490" s="5">
        <v>2488</v>
      </c>
      <c r="B2490" s="46" t="str">
        <f>HYPERLINK("https://search.naver.com/search.naver?query=이스트 워 영화", "이스트 워")</f>
        <v>이스트 워</v>
      </c>
      <c r="C2490" s="47">
        <v>6.4</v>
      </c>
      <c r="D2490" s="6" t="s">
        <v>2549</v>
      </c>
      <c r="E2490" s="5" t="s">
        <v>20</v>
      </c>
      <c r="F2490" s="5">
        <v>2020</v>
      </c>
      <c r="G2490" s="5" t="s">
        <v>12</v>
      </c>
      <c r="H2490" s="5" t="s">
        <v>92</v>
      </c>
      <c r="I2490" s="5" t="s">
        <v>111</v>
      </c>
      <c r="J2490" s="98" t="s">
        <v>3436</v>
      </c>
    </row>
    <row r="2491" spans="1:10" ht="28.9" customHeight="1" thickTop="1" thickBot="1" x14ac:dyDescent="0.65">
      <c r="A2491" s="3">
        <v>2489</v>
      </c>
      <c r="B2491" s="44" t="str">
        <f>HYPERLINK("https://search.naver.com/search.naver?query=이야기 영화", "이야기")</f>
        <v>이야기</v>
      </c>
      <c r="C2491" s="45">
        <v>6.4</v>
      </c>
      <c r="D2491" s="4" t="s">
        <v>2550</v>
      </c>
      <c r="E2491" s="3" t="s">
        <v>20</v>
      </c>
      <c r="F2491" s="3">
        <v>2018</v>
      </c>
      <c r="G2491" s="3" t="s">
        <v>12</v>
      </c>
      <c r="H2491" s="3" t="s">
        <v>17</v>
      </c>
      <c r="I2491" s="3" t="s">
        <v>207</v>
      </c>
      <c r="J2491" s="97" t="s">
        <v>3442</v>
      </c>
    </row>
    <row r="2492" spans="1:10" ht="28.9" customHeight="1" thickTop="1" thickBot="1" x14ac:dyDescent="0.65">
      <c r="A2492" s="7">
        <v>2490</v>
      </c>
      <c r="B2492" s="48" t="str">
        <f>HYPERLINK("https://search.naver.com/search.naver?query=이어즈 &amp; 이어즈 드라마", "이어즈 &amp; 이어즈")</f>
        <v>이어즈 &amp; 이어즈</v>
      </c>
      <c r="C2492" s="49"/>
      <c r="D2492" s="8" t="s">
        <v>2551</v>
      </c>
      <c r="E2492" s="7" t="s">
        <v>24</v>
      </c>
      <c r="F2492" s="7">
        <v>2019</v>
      </c>
      <c r="G2492" s="7" t="s">
        <v>17</v>
      </c>
      <c r="H2492" s="7" t="s">
        <v>328</v>
      </c>
      <c r="I2492" s="7" t="s">
        <v>173</v>
      </c>
      <c r="J2492" s="99" t="s">
        <v>3444</v>
      </c>
    </row>
    <row r="2493" spans="1:10" ht="28.9" customHeight="1" thickTop="1" thickBot="1" x14ac:dyDescent="0.65">
      <c r="A2493" s="3">
        <v>2491</v>
      </c>
      <c r="B2493" s="44" t="str">
        <f>HYPERLINK("https://search.naver.com/search.naver?query=이오지마에서 온 편지 영화", "이오지마에서 온 편지")</f>
        <v>이오지마에서 온 편지</v>
      </c>
      <c r="C2493" s="45">
        <v>6.89</v>
      </c>
      <c r="D2493" s="4" t="s">
        <v>2552</v>
      </c>
      <c r="E2493" s="3" t="s">
        <v>20</v>
      </c>
      <c r="F2493" s="3">
        <v>2006</v>
      </c>
      <c r="G2493" s="3" t="s">
        <v>12</v>
      </c>
      <c r="H2493" s="3" t="s">
        <v>721</v>
      </c>
      <c r="I2493" s="3" t="s">
        <v>455</v>
      </c>
      <c r="J2493" s="97" t="s">
        <v>3460</v>
      </c>
    </row>
    <row r="2494" spans="1:10" ht="28.9" customHeight="1" thickTop="1" thickBot="1" x14ac:dyDescent="0.65">
      <c r="A2494" s="5">
        <v>2492</v>
      </c>
      <c r="B2494" s="46" t="str">
        <f>HYPERLINK("https://search.naver.com/search.naver?query=이웃사람 영화", "이웃사람")</f>
        <v>이웃사람</v>
      </c>
      <c r="C2494" s="47">
        <v>7.53</v>
      </c>
      <c r="D2494" s="6" t="s">
        <v>2553</v>
      </c>
      <c r="E2494" s="5" t="s">
        <v>11</v>
      </c>
      <c r="F2494" s="5">
        <v>2012</v>
      </c>
      <c r="G2494" s="5" t="s">
        <v>12</v>
      </c>
      <c r="H2494" s="5" t="s">
        <v>43</v>
      </c>
      <c r="I2494" s="5" t="s">
        <v>96</v>
      </c>
      <c r="J2494" s="98" t="s">
        <v>3439</v>
      </c>
    </row>
    <row r="2495" spans="1:10" ht="28.9" customHeight="1" thickTop="1" thickBot="1" x14ac:dyDescent="0.65">
      <c r="A2495" s="3">
        <v>2493</v>
      </c>
      <c r="B2495" s="44" t="str">
        <f>HYPERLINK("https://search.naver.com/search.naver?query=이웃사촌 영화", "이웃사촌")</f>
        <v>이웃사촌</v>
      </c>
      <c r="C2495" s="45">
        <v>8.3000000000000007</v>
      </c>
      <c r="D2495" s="4" t="s">
        <v>2554</v>
      </c>
      <c r="E2495" s="3" t="s">
        <v>11</v>
      </c>
      <c r="F2495" s="3">
        <v>2020</v>
      </c>
      <c r="G2495" s="3" t="s">
        <v>12</v>
      </c>
      <c r="H2495" s="3" t="s">
        <v>68</v>
      </c>
      <c r="I2495" s="3" t="s">
        <v>111</v>
      </c>
      <c r="J2495" s="97" t="s">
        <v>3436</v>
      </c>
    </row>
    <row r="2496" spans="1:10" ht="28.9" customHeight="1" thickTop="1" thickBot="1" x14ac:dyDescent="0.65">
      <c r="A2496" s="5">
        <v>2494</v>
      </c>
      <c r="B2496" s="46" t="str">
        <f>HYPERLINK("https://search.naver.com/search.naver?query=이중생활 2016", "이중생활")</f>
        <v>이중생활</v>
      </c>
      <c r="C2496" s="47"/>
      <c r="D2496" s="6" t="s">
        <v>2555</v>
      </c>
      <c r="E2496" s="5" t="s">
        <v>16</v>
      </c>
      <c r="F2496" s="5">
        <v>2016</v>
      </c>
      <c r="G2496" s="5" t="s">
        <v>12</v>
      </c>
      <c r="H2496" s="5" t="s">
        <v>17</v>
      </c>
      <c r="I2496" s="5" t="s">
        <v>78</v>
      </c>
      <c r="J2496" s="98" t="s">
        <v>3441</v>
      </c>
    </row>
    <row r="2497" spans="1:10" ht="28.9" customHeight="1" thickTop="1" thickBot="1" x14ac:dyDescent="0.65">
      <c r="A2497" s="3">
        <v>2495</v>
      </c>
      <c r="B2497" s="44" t="str">
        <f>HYPERLINK("https://search.naver.com/search.naver?query=이치 영화", "이치")</f>
        <v>이치</v>
      </c>
      <c r="C2497" s="45"/>
      <c r="D2497" s="4" t="s">
        <v>2556</v>
      </c>
      <c r="E2497" s="3" t="s">
        <v>16</v>
      </c>
      <c r="F2497" s="3">
        <v>2008</v>
      </c>
      <c r="G2497" s="3" t="s">
        <v>12</v>
      </c>
      <c r="H2497" s="3" t="s">
        <v>92</v>
      </c>
      <c r="I2497" s="3" t="s">
        <v>86</v>
      </c>
      <c r="J2497" s="97" t="s">
        <v>3450</v>
      </c>
    </row>
    <row r="2498" spans="1:10" ht="28.9" customHeight="1" thickTop="1" thickBot="1" x14ac:dyDescent="0.65">
      <c r="A2498" s="5">
        <v>2496</v>
      </c>
      <c r="B2498" s="46" t="str">
        <f>HYPERLINK("https://search.naver.com/search.naver?query=이터널 윈터 여자 포로수용소 영화", "이터널 윈터 여자 포로수용소")</f>
        <v>이터널 윈터 여자 포로수용소</v>
      </c>
      <c r="C2498" s="47">
        <v>8</v>
      </c>
      <c r="D2498" s="6" t="s">
        <v>2557</v>
      </c>
      <c r="E2498" s="5" t="s">
        <v>39</v>
      </c>
      <c r="F2498" s="5">
        <v>2019</v>
      </c>
      <c r="G2498" s="5" t="s">
        <v>12</v>
      </c>
      <c r="H2498" s="5" t="s">
        <v>17</v>
      </c>
      <c r="I2498" s="5" t="s">
        <v>111</v>
      </c>
      <c r="J2498" s="98" t="s">
        <v>3444</v>
      </c>
    </row>
    <row r="2499" spans="1:10" ht="28.9" customHeight="1" thickTop="1" thickBot="1" x14ac:dyDescent="0.65">
      <c r="A2499" s="3">
        <v>2497</v>
      </c>
      <c r="B2499" s="44" t="str">
        <f>HYPERLINK("https://search.naver.com/search.naver?query=이터널스 영화", "이터널스")</f>
        <v>이터널스</v>
      </c>
      <c r="C2499" s="45">
        <v>6.35</v>
      </c>
      <c r="D2499" s="4" t="s">
        <v>2558</v>
      </c>
      <c r="E2499" s="3" t="s">
        <v>20</v>
      </c>
      <c r="F2499" s="3">
        <v>2021</v>
      </c>
      <c r="G2499" s="3" t="s">
        <v>12</v>
      </c>
      <c r="H2499" s="3" t="s">
        <v>92</v>
      </c>
      <c r="I2499" s="3" t="s">
        <v>298</v>
      </c>
      <c r="J2499" s="97" t="s">
        <v>3438</v>
      </c>
    </row>
    <row r="2500" spans="1:10" ht="28.9" customHeight="1" thickTop="1" thickBot="1" x14ac:dyDescent="0.65">
      <c r="A2500" s="7">
        <v>2498</v>
      </c>
      <c r="B2500" s="48" t="str">
        <f>HYPERLINK("https://search.naver.com/search.naver?query=이토록 친밀한 배신자", "이토록 친밀한 배신자")</f>
        <v>이토록 친밀한 배신자</v>
      </c>
      <c r="C2500" s="49"/>
      <c r="D2500" s="8" t="s">
        <v>2559</v>
      </c>
      <c r="E2500" s="7" t="s">
        <v>11</v>
      </c>
      <c r="F2500" s="7">
        <v>2024</v>
      </c>
      <c r="G2500" s="7" t="s">
        <v>17</v>
      </c>
      <c r="H2500" s="7" t="s">
        <v>17</v>
      </c>
      <c r="I2500" s="7" t="s">
        <v>50</v>
      </c>
      <c r="J2500" s="99" t="s">
        <v>3448</v>
      </c>
    </row>
    <row r="2501" spans="1:10" ht="28.9" customHeight="1" thickTop="1" thickBot="1" x14ac:dyDescent="0.65">
      <c r="A2501" s="3">
        <v>2499</v>
      </c>
      <c r="B2501" s="44" t="str">
        <f>HYPERLINK("https://search.naver.com/search.naver?query=이프 아이 스테이 영화", "이프 아이 스테이")</f>
        <v>이프 아이 스테이</v>
      </c>
      <c r="C2501" s="45">
        <v>6.4</v>
      </c>
      <c r="D2501" s="4" t="s">
        <v>2560</v>
      </c>
      <c r="E2501" s="3" t="s">
        <v>20</v>
      </c>
      <c r="F2501" s="3">
        <v>2014</v>
      </c>
      <c r="G2501" s="3" t="s">
        <v>12</v>
      </c>
      <c r="H2501" s="3" t="s">
        <v>17</v>
      </c>
      <c r="I2501" s="3" t="s">
        <v>286</v>
      </c>
      <c r="J2501" s="97" t="s">
        <v>3437</v>
      </c>
    </row>
    <row r="2502" spans="1:10" ht="28.9" customHeight="1" thickTop="1" thickBot="1" x14ac:dyDescent="0.65">
      <c r="A2502" s="5">
        <v>2500</v>
      </c>
      <c r="B2502" s="46" t="str">
        <f>HYPERLINK("https://search.naver.com/search.naver?query=이프 온리 영화", "이프 온리")</f>
        <v>이프 온리</v>
      </c>
      <c r="C2502" s="47">
        <v>8.99</v>
      </c>
      <c r="D2502" s="6" t="s">
        <v>2561</v>
      </c>
      <c r="E2502" s="5" t="s">
        <v>20</v>
      </c>
      <c r="F2502" s="5">
        <v>2004</v>
      </c>
      <c r="G2502" s="5" t="s">
        <v>12</v>
      </c>
      <c r="H2502" s="5" t="s">
        <v>17</v>
      </c>
      <c r="I2502" s="5" t="s">
        <v>147</v>
      </c>
      <c r="J2502" s="98" t="s">
        <v>3462</v>
      </c>
    </row>
    <row r="2503" spans="1:10" ht="28.9" customHeight="1" thickTop="1" thickBot="1" x14ac:dyDescent="0.65">
      <c r="A2503" s="3">
        <v>2501</v>
      </c>
      <c r="B2503" s="44" t="str">
        <f>HYPERLINK("https://search.naver.com/search.naver?query=익스토션 영화", "익스토션")</f>
        <v>익스토션</v>
      </c>
      <c r="C2503" s="45">
        <v>9.2100000000000009</v>
      </c>
      <c r="D2503" s="4" t="s">
        <v>2562</v>
      </c>
      <c r="E2503" s="3" t="s">
        <v>20</v>
      </c>
      <c r="F2503" s="3">
        <v>2017</v>
      </c>
      <c r="G2503" s="3" t="s">
        <v>12</v>
      </c>
      <c r="H2503" s="3" t="s">
        <v>43</v>
      </c>
      <c r="I2503" s="3" t="s">
        <v>96</v>
      </c>
      <c r="J2503" s="97" t="s">
        <v>3443</v>
      </c>
    </row>
    <row r="2504" spans="1:10" ht="28.9" customHeight="1" thickTop="1" thickBot="1" x14ac:dyDescent="0.65">
      <c r="A2504" s="5">
        <v>2502</v>
      </c>
      <c r="B2504" s="46" t="str">
        <f>HYPERLINK("https://search.naver.com/search.naver?query=익스트랙티드 영화", "익스트랙티드")</f>
        <v>익스트랙티드</v>
      </c>
      <c r="C2504" s="47">
        <v>8.0500000000000007</v>
      </c>
      <c r="D2504" s="6" t="s">
        <v>2563</v>
      </c>
      <c r="E2504" s="5" t="s">
        <v>20</v>
      </c>
      <c r="F2504" s="5">
        <v>2012</v>
      </c>
      <c r="G2504" s="5" t="s">
        <v>12</v>
      </c>
      <c r="H2504" s="5" t="s">
        <v>520</v>
      </c>
      <c r="I2504" s="5" t="s">
        <v>37</v>
      </c>
      <c r="J2504" s="98" t="s">
        <v>3439</v>
      </c>
    </row>
    <row r="2505" spans="1:10" ht="28.9" customHeight="1" thickTop="1" thickBot="1" x14ac:dyDescent="0.65">
      <c r="A2505" s="3">
        <v>2503</v>
      </c>
      <c r="B2505" s="44" t="str">
        <f>HYPERLINK("https://search.naver.com/search.naver?query=익스트렉션 영화", "익스트렉션")</f>
        <v>익스트렉션</v>
      </c>
      <c r="C2505" s="45">
        <v>8.49</v>
      </c>
      <c r="D2505" s="4" t="s">
        <v>2564</v>
      </c>
      <c r="E2505" s="3" t="s">
        <v>20</v>
      </c>
      <c r="F2505" s="3">
        <v>2015</v>
      </c>
      <c r="G2505" s="3" t="s">
        <v>12</v>
      </c>
      <c r="H2505" s="3" t="s">
        <v>92</v>
      </c>
      <c r="I2505" s="3" t="s">
        <v>1245</v>
      </c>
      <c r="J2505" s="97" t="s">
        <v>3440</v>
      </c>
    </row>
    <row r="2506" spans="1:10" ht="28.9" customHeight="1" thickTop="1" thickBot="1" x14ac:dyDescent="0.65">
      <c r="A2506" s="5">
        <v>2504</v>
      </c>
      <c r="B2506" s="46" t="str">
        <f>HYPERLINK("https://search.naver.com/search.naver?query=익스펜더블 2 영화", "익스펜더블 2")</f>
        <v>익스펜더블 2</v>
      </c>
      <c r="C2506" s="47">
        <v>7.69</v>
      </c>
      <c r="D2506" s="6" t="s">
        <v>2565</v>
      </c>
      <c r="E2506" s="5" t="s">
        <v>20</v>
      </c>
      <c r="F2506" s="5">
        <v>2012</v>
      </c>
      <c r="G2506" s="5" t="s">
        <v>12</v>
      </c>
      <c r="H2506" s="5" t="s">
        <v>92</v>
      </c>
      <c r="I2506" s="5" t="s">
        <v>190</v>
      </c>
      <c r="J2506" s="98" t="s">
        <v>3439</v>
      </c>
    </row>
    <row r="2507" spans="1:10" ht="28.9" customHeight="1" thickTop="1" thickBot="1" x14ac:dyDescent="0.65">
      <c r="A2507" s="3">
        <v>2505</v>
      </c>
      <c r="B2507" s="44" t="str">
        <f>HYPERLINK("https://search.naver.com/search.naver?query=인 굿 컴퍼니 영화", "인 굿 컴퍼니")</f>
        <v>인 굿 컴퍼니</v>
      </c>
      <c r="C2507" s="45">
        <v>7.82</v>
      </c>
      <c r="D2507" s="4" t="s">
        <v>2566</v>
      </c>
      <c r="E2507" s="3" t="s">
        <v>20</v>
      </c>
      <c r="F2507" s="3">
        <v>2004</v>
      </c>
      <c r="G2507" s="3" t="s">
        <v>12</v>
      </c>
      <c r="H2507" s="3" t="s">
        <v>68</v>
      </c>
      <c r="I2507" s="3" t="s">
        <v>137</v>
      </c>
      <c r="J2507" s="97" t="s">
        <v>3462</v>
      </c>
    </row>
    <row r="2508" spans="1:10" ht="28.9" customHeight="1" thickTop="1" thickBot="1" x14ac:dyDescent="0.65">
      <c r="A2508" s="5">
        <v>2506</v>
      </c>
      <c r="B2508" s="46" t="str">
        <f>HYPERLINK("https://search.naver.com/search.naver?query=인 더 더스트 영화", "인 더 더스트")</f>
        <v>인 더 더스트</v>
      </c>
      <c r="C2508" s="47">
        <v>5.58</v>
      </c>
      <c r="D2508" s="6" t="s">
        <v>2567</v>
      </c>
      <c r="E2508" s="5" t="s">
        <v>210</v>
      </c>
      <c r="F2508" s="5">
        <v>2018</v>
      </c>
      <c r="G2508" s="5" t="s">
        <v>12</v>
      </c>
      <c r="H2508" s="5" t="s">
        <v>17</v>
      </c>
      <c r="I2508" s="5" t="s">
        <v>111</v>
      </c>
      <c r="J2508" s="98" t="s">
        <v>3442</v>
      </c>
    </row>
    <row r="2509" spans="1:10" ht="28.9" customHeight="1" thickTop="1" thickBot="1" x14ac:dyDescent="0.65">
      <c r="A2509" s="3">
        <v>2507</v>
      </c>
      <c r="B2509" s="44" t="str">
        <f>HYPERLINK("https://search.naver.com/search.naver?query=인 더 랜드 오브 세인츠 앤드 시너스 영화", "인 더 랜드 오브 세인츠 앤드 시너스")</f>
        <v>인 더 랜드 오브 세인츠 앤드 시너스</v>
      </c>
      <c r="C2509" s="45"/>
      <c r="D2509" s="4" t="s">
        <v>2568</v>
      </c>
      <c r="E2509" s="3" t="s">
        <v>558</v>
      </c>
      <c r="F2509" s="3">
        <v>2023</v>
      </c>
      <c r="G2509" s="3" t="s">
        <v>12</v>
      </c>
      <c r="H2509" s="3" t="s">
        <v>92</v>
      </c>
      <c r="I2509" s="3" t="s">
        <v>286</v>
      </c>
      <c r="J2509" s="97" t="s">
        <v>3446</v>
      </c>
    </row>
    <row r="2510" spans="1:10" ht="28.9" customHeight="1" thickTop="1" thickBot="1" x14ac:dyDescent="0.65">
      <c r="A2510" s="5">
        <v>2508</v>
      </c>
      <c r="B2510" s="46" t="str">
        <f>HYPERLINK("https://search.naver.com/search.naver?query=인 더 하우스 영화", "인 더 하우스")</f>
        <v>인 더 하우스</v>
      </c>
      <c r="C2510" s="47">
        <v>8.3800000000000008</v>
      </c>
      <c r="D2510" s="6" t="s">
        <v>2569</v>
      </c>
      <c r="E2510" s="5" t="s">
        <v>210</v>
      </c>
      <c r="F2510" s="5">
        <v>2012</v>
      </c>
      <c r="G2510" s="5" t="s">
        <v>12</v>
      </c>
      <c r="H2510" s="5" t="s">
        <v>17</v>
      </c>
      <c r="I2510" s="5" t="s">
        <v>128</v>
      </c>
      <c r="J2510" s="98" t="s">
        <v>3439</v>
      </c>
    </row>
    <row r="2511" spans="1:10" ht="28.9" customHeight="1" thickTop="1" thickBot="1" x14ac:dyDescent="0.65">
      <c r="A2511" s="3">
        <v>2509</v>
      </c>
      <c r="B2511" s="44" t="str">
        <f>HYPERLINK("https://search.naver.com/search.naver?query=인 디 아일 영화", "인 디 아일")</f>
        <v>인 디 아일</v>
      </c>
      <c r="C2511" s="45">
        <v>8.65</v>
      </c>
      <c r="D2511" s="4" t="s">
        <v>2570</v>
      </c>
      <c r="E2511" s="3" t="s">
        <v>101</v>
      </c>
      <c r="F2511" s="3">
        <v>2018</v>
      </c>
      <c r="G2511" s="3" t="s">
        <v>12</v>
      </c>
      <c r="H2511" s="3" t="s">
        <v>17</v>
      </c>
      <c r="I2511" s="3" t="s">
        <v>214</v>
      </c>
      <c r="J2511" s="97" t="s">
        <v>3442</v>
      </c>
    </row>
    <row r="2512" spans="1:10" ht="28.9" customHeight="1" thickTop="1" thickBot="1" x14ac:dyDescent="0.65">
      <c r="A2512" s="5">
        <v>2510</v>
      </c>
      <c r="B2512" s="46" t="str">
        <f>HYPERLINK("https://search.naver.com/search.naver?query=인 어 베러 월드 영화", "인 어 베러 월드")</f>
        <v>인 어 베러 월드</v>
      </c>
      <c r="C2512" s="47">
        <v>8.81</v>
      </c>
      <c r="D2512" s="6" t="s">
        <v>2571</v>
      </c>
      <c r="E2512" s="5" t="s">
        <v>118</v>
      </c>
      <c r="F2512" s="5">
        <v>2010</v>
      </c>
      <c r="G2512" s="5" t="s">
        <v>12</v>
      </c>
      <c r="H2512" s="5" t="s">
        <v>17</v>
      </c>
      <c r="I2512" s="5" t="s">
        <v>221</v>
      </c>
      <c r="J2512" s="98" t="s">
        <v>3455</v>
      </c>
    </row>
    <row r="2513" spans="1:10" ht="28.9" customHeight="1" thickTop="1" thickBot="1" x14ac:dyDescent="0.65">
      <c r="A2513" s="3">
        <v>2511</v>
      </c>
      <c r="B2513" s="44" t="str">
        <f>HYPERLINK("https://search.naver.com/search.naver?query=인 유어 아이즈 영화", "인 유어 아이즈")</f>
        <v>인 유어 아이즈</v>
      </c>
      <c r="C2513" s="45"/>
      <c r="D2513" s="4" t="s">
        <v>2572</v>
      </c>
      <c r="E2513" s="3" t="s">
        <v>20</v>
      </c>
      <c r="F2513" s="3">
        <v>2014</v>
      </c>
      <c r="G2513" s="3" t="s">
        <v>12</v>
      </c>
      <c r="H2513" s="3" t="s">
        <v>121</v>
      </c>
      <c r="I2513" s="3" t="s">
        <v>286</v>
      </c>
      <c r="J2513" s="97" t="s">
        <v>3437</v>
      </c>
    </row>
    <row r="2514" spans="1:10" ht="28.9" customHeight="1" thickTop="1" thickBot="1" x14ac:dyDescent="0.65">
      <c r="A2514" s="7">
        <v>2512</v>
      </c>
      <c r="B2514" s="48" t="str">
        <f>HYPERLINK("https://search.naver.com/search.naver?query=인간실격 드라마", "인간실격")</f>
        <v>인간실격</v>
      </c>
      <c r="C2514" s="49"/>
      <c r="D2514" s="8" t="s">
        <v>2573</v>
      </c>
      <c r="E2514" s="7" t="s">
        <v>11</v>
      </c>
      <c r="F2514" s="7">
        <v>2021</v>
      </c>
      <c r="G2514" s="7" t="s">
        <v>17</v>
      </c>
      <c r="H2514" s="7" t="s">
        <v>17</v>
      </c>
      <c r="I2514" s="7" t="s">
        <v>491</v>
      </c>
      <c r="J2514" s="99" t="s">
        <v>3438</v>
      </c>
    </row>
    <row r="2515" spans="1:10" ht="28.9" customHeight="1" thickTop="1" thickBot="1" x14ac:dyDescent="0.65">
      <c r="A2515" s="3">
        <v>2513</v>
      </c>
      <c r="B2515" s="44" t="str">
        <f>HYPERLINK("https://search.naver.com/search.naver?query=인간중독 영화", "인간중독")</f>
        <v>인간중독</v>
      </c>
      <c r="C2515" s="45">
        <v>6.65</v>
      </c>
      <c r="D2515" s="4" t="s">
        <v>2574</v>
      </c>
      <c r="E2515" s="3" t="s">
        <v>11</v>
      </c>
      <c r="F2515" s="3">
        <v>2014</v>
      </c>
      <c r="G2515" s="3" t="s">
        <v>12</v>
      </c>
      <c r="H2515" s="3" t="s">
        <v>17</v>
      </c>
      <c r="I2515" s="3" t="s">
        <v>111</v>
      </c>
      <c r="J2515" s="97" t="s">
        <v>3437</v>
      </c>
    </row>
    <row r="2516" spans="1:10" s="58" customFormat="1" ht="28.9" customHeight="1" thickTop="1" thickBot="1" x14ac:dyDescent="0.65">
      <c r="A2516" s="26">
        <v>2514</v>
      </c>
      <c r="B2516" s="87" t="str">
        <f>HYPERLINK("https://search.naver.com/search.naver?query=일곱 개의 대륙, 하나의 지구 다큐", "일곱 개의 대륙, 하나의 지구")</f>
        <v>일곱 개의 대륙, 하나의 지구</v>
      </c>
      <c r="C2516" s="57"/>
      <c r="D2516" s="30" t="s">
        <v>2575</v>
      </c>
      <c r="E2516" s="26" t="s">
        <v>24</v>
      </c>
      <c r="F2516" s="26">
        <v>2019</v>
      </c>
      <c r="G2516" s="26" t="s">
        <v>2576</v>
      </c>
      <c r="H2516" s="26" t="s">
        <v>2576</v>
      </c>
      <c r="I2516" s="26" t="s">
        <v>2577</v>
      </c>
      <c r="J2516" s="104" t="s">
        <v>3444</v>
      </c>
    </row>
    <row r="2517" spans="1:10" ht="28.9" customHeight="1" thickTop="1" thickBot="1" x14ac:dyDescent="0.65">
      <c r="A2517" s="3">
        <v>2515</v>
      </c>
      <c r="B2517" s="44" t="str">
        <f>HYPERLINK("https://search.naver.com/search.naver?query=인디아나 존스 운명의 다이얼 영화", "인디아나 존스-운명의 다이얼")</f>
        <v>인디아나 존스-운명의 다이얼</v>
      </c>
      <c r="C2517" s="45">
        <v>7.28</v>
      </c>
      <c r="D2517" s="4" t="s">
        <v>2578</v>
      </c>
      <c r="E2517" s="3" t="s">
        <v>20</v>
      </c>
      <c r="F2517" s="3">
        <v>2023</v>
      </c>
      <c r="G2517" s="3" t="s">
        <v>12</v>
      </c>
      <c r="H2517" s="3" t="s">
        <v>92</v>
      </c>
      <c r="I2517" s="3" t="s">
        <v>429</v>
      </c>
      <c r="J2517" s="97" t="s">
        <v>3446</v>
      </c>
    </row>
    <row r="2518" spans="1:10" ht="28.9" customHeight="1" thickTop="1" thickBot="1" x14ac:dyDescent="0.65">
      <c r="A2518" s="5">
        <v>2516</v>
      </c>
      <c r="B2518" s="46" t="str">
        <f>HYPERLINK("https://search.naver.com/search.naver?query=인디펜던스 데이 리써전스 영화", "인디펜던스 데이 - 리써전스")</f>
        <v>인디펜던스 데이 - 리써전스</v>
      </c>
      <c r="C2518" s="47">
        <v>7.35</v>
      </c>
      <c r="D2518" s="6" t="s">
        <v>2579</v>
      </c>
      <c r="E2518" s="5" t="s">
        <v>20</v>
      </c>
      <c r="F2518" s="5">
        <v>2016</v>
      </c>
      <c r="G2518" s="5" t="s">
        <v>12</v>
      </c>
      <c r="H2518" s="5" t="s">
        <v>520</v>
      </c>
      <c r="I2518" s="5" t="s">
        <v>86</v>
      </c>
      <c r="J2518" s="98" t="s">
        <v>3441</v>
      </c>
    </row>
    <row r="2519" spans="1:10" ht="28.9" customHeight="1" thickTop="1" thickBot="1" x14ac:dyDescent="0.65">
      <c r="A2519" s="3">
        <v>2517</v>
      </c>
      <c r="B2519" s="44" t="str">
        <f>HYPERLINK("https://search.naver.com/search.naver?query=인베이젼 영화", "인베이젼")</f>
        <v>인베이젼</v>
      </c>
      <c r="C2519" s="45">
        <v>7.4</v>
      </c>
      <c r="D2519" s="4" t="s">
        <v>2580</v>
      </c>
      <c r="E2519" s="3" t="s">
        <v>20</v>
      </c>
      <c r="F2519" s="3">
        <v>2007</v>
      </c>
      <c r="G2519" s="3" t="s">
        <v>12</v>
      </c>
      <c r="H2519" s="3" t="s">
        <v>520</v>
      </c>
      <c r="I2519" s="3" t="s">
        <v>81</v>
      </c>
      <c r="J2519" s="97" t="s">
        <v>3447</v>
      </c>
    </row>
    <row r="2520" spans="1:10" ht="28.9" customHeight="1" thickTop="1" thickBot="1" x14ac:dyDescent="0.65">
      <c r="A2520" s="5">
        <v>2518</v>
      </c>
      <c r="B2520" s="46" t="str">
        <f>HYPERLINK("https://search.naver.com/search.naver?query=인비저블 게스트 영화", "인비저블 게스트")</f>
        <v>인비저블 게스트</v>
      </c>
      <c r="C2520" s="47">
        <v>8.81</v>
      </c>
      <c r="D2520" s="6" t="s">
        <v>2581</v>
      </c>
      <c r="E2520" s="5" t="s">
        <v>30</v>
      </c>
      <c r="F2520" s="5">
        <v>2016</v>
      </c>
      <c r="G2520" s="5" t="s">
        <v>12</v>
      </c>
      <c r="H2520" s="5" t="s">
        <v>43</v>
      </c>
      <c r="I2520" s="5" t="s">
        <v>286</v>
      </c>
      <c r="J2520" s="98" t="s">
        <v>3441</v>
      </c>
    </row>
    <row r="2521" spans="1:10" ht="28.9" customHeight="1" thickTop="1" thickBot="1" x14ac:dyDescent="0.65">
      <c r="A2521" s="3">
        <v>2519</v>
      </c>
      <c r="B2521" s="44" t="str">
        <f>HYPERLINK("https://search.naver.com/search.naver?query=인비저블맨 영화", "인비저블맨")</f>
        <v>인비저블맨</v>
      </c>
      <c r="C2521" s="45">
        <v>6.4</v>
      </c>
      <c r="D2521" s="4" t="s">
        <v>2582</v>
      </c>
      <c r="E2521" s="3" t="s">
        <v>20</v>
      </c>
      <c r="F2521" s="3">
        <v>2020</v>
      </c>
      <c r="G2521" s="3" t="s">
        <v>12</v>
      </c>
      <c r="H2521" s="3" t="s">
        <v>252</v>
      </c>
      <c r="I2521" s="3" t="s">
        <v>134</v>
      </c>
      <c r="J2521" s="97" t="s">
        <v>3436</v>
      </c>
    </row>
    <row r="2522" spans="1:10" ht="28.9" customHeight="1" thickTop="1" thickBot="1" x14ac:dyDescent="0.65">
      <c r="A2522" s="5">
        <v>2520</v>
      </c>
      <c r="B2522" s="46" t="str">
        <f>HYPERLINK("https://search.naver.com/search.naver?query=인빈서블 영화", "인빈서블")</f>
        <v>인빈서블</v>
      </c>
      <c r="C2522" s="47">
        <v>8.67</v>
      </c>
      <c r="D2522" s="6" t="s">
        <v>2583</v>
      </c>
      <c r="E2522" s="5" t="s">
        <v>20</v>
      </c>
      <c r="F2522" s="5">
        <v>2006</v>
      </c>
      <c r="G2522" s="5" t="s">
        <v>12</v>
      </c>
      <c r="H2522" s="5" t="s">
        <v>17</v>
      </c>
      <c r="I2522" s="5" t="s">
        <v>170</v>
      </c>
      <c r="J2522" s="98" t="s">
        <v>3460</v>
      </c>
    </row>
    <row r="2523" spans="1:10" ht="28.9" customHeight="1" thickTop="1" thickBot="1" x14ac:dyDescent="0.65">
      <c r="A2523" s="3">
        <v>2521</v>
      </c>
      <c r="B2523" s="44" t="str">
        <f>HYPERLINK("https://search.naver.com/search.naver?query=인사이드 링 항공기를 훔쳐라 영화", "인사이드 링 - 항공기를 훔쳐라")</f>
        <v>인사이드 링 - 항공기를 훔쳐라</v>
      </c>
      <c r="C2523" s="45">
        <v>5.17</v>
      </c>
      <c r="D2523" s="4" t="s">
        <v>2584</v>
      </c>
      <c r="E2523" s="3" t="s">
        <v>20</v>
      </c>
      <c r="F2523" s="3">
        <v>2009</v>
      </c>
      <c r="G2523" s="3" t="s">
        <v>12</v>
      </c>
      <c r="H2523" s="3" t="s">
        <v>92</v>
      </c>
      <c r="I2523" s="3" t="s">
        <v>111</v>
      </c>
      <c r="J2523" s="97" t="s">
        <v>3453</v>
      </c>
    </row>
    <row r="2524" spans="1:10" ht="28.9" customHeight="1" thickTop="1" thickBot="1" x14ac:dyDescent="0.65">
      <c r="A2524" s="5">
        <v>2522</v>
      </c>
      <c r="B2524" s="46" t="str">
        <f>HYPERLINK("https://search.naver.com/search.naver?query=인사이드 맨 영화", "인사이드 맨")</f>
        <v>인사이드 맨</v>
      </c>
      <c r="C2524" s="47">
        <v>7.65</v>
      </c>
      <c r="D2524" s="6" t="s">
        <v>2585</v>
      </c>
      <c r="E2524" s="5" t="s">
        <v>20</v>
      </c>
      <c r="F2524" s="5">
        <v>2006</v>
      </c>
      <c r="G2524" s="5" t="s">
        <v>12</v>
      </c>
      <c r="H2524" s="5" t="s">
        <v>277</v>
      </c>
      <c r="I2524" s="5" t="s">
        <v>64</v>
      </c>
      <c r="J2524" s="98" t="s">
        <v>3460</v>
      </c>
    </row>
    <row r="2525" spans="1:10" ht="28.9" customHeight="1" thickTop="1" thickBot="1" x14ac:dyDescent="0.65">
      <c r="A2525" s="7">
        <v>2523</v>
      </c>
      <c r="B2525" s="48" t="str">
        <f>HYPERLINK("https://search.naver.com/search.naver?query=인사이드 맨 드라마", "인사이드 맨")</f>
        <v>인사이드 맨</v>
      </c>
      <c r="C2525" s="49"/>
      <c r="D2525" s="8" t="s">
        <v>2586</v>
      </c>
      <c r="E2525" s="7" t="s">
        <v>24</v>
      </c>
      <c r="F2525" s="7">
        <v>2022</v>
      </c>
      <c r="G2525" s="7" t="s">
        <v>17</v>
      </c>
      <c r="H2525" s="7" t="s">
        <v>17</v>
      </c>
      <c r="I2525" s="7" t="s">
        <v>830</v>
      </c>
      <c r="J2525" s="99" t="s">
        <v>3445</v>
      </c>
    </row>
    <row r="2526" spans="1:10" ht="28.9" customHeight="1" thickTop="1" thickBot="1" x14ac:dyDescent="0.65">
      <c r="A2526" s="5">
        <v>2524</v>
      </c>
      <c r="B2526" s="46" t="str">
        <f>HYPERLINK("https://search.naver.com/search.naver?query=인생1994", "인생")</f>
        <v>인생</v>
      </c>
      <c r="C2526" s="47">
        <v>9.43</v>
      </c>
      <c r="D2526" s="6" t="s">
        <v>2587</v>
      </c>
      <c r="E2526" s="5" t="s">
        <v>136</v>
      </c>
      <c r="F2526" s="5">
        <v>1995</v>
      </c>
      <c r="G2526" s="5" t="s">
        <v>12</v>
      </c>
      <c r="H2526" s="5" t="s">
        <v>17</v>
      </c>
      <c r="I2526" s="5" t="s">
        <v>350</v>
      </c>
      <c r="J2526" s="98" t="s">
        <v>3475</v>
      </c>
    </row>
    <row r="2527" spans="1:10" ht="28.9" customHeight="1" thickTop="1" thickBot="1" x14ac:dyDescent="0.65">
      <c r="A2527" s="3">
        <v>2525</v>
      </c>
      <c r="B2527" s="44" t="str">
        <f>HYPERLINK("https://search.naver.com/search.naver?query=인생대사 영화", "인생대사")</f>
        <v>인생대사</v>
      </c>
      <c r="C2527" s="45">
        <v>9.58</v>
      </c>
      <c r="D2527" s="4" t="s">
        <v>2588</v>
      </c>
      <c r="E2527" s="3" t="s">
        <v>136</v>
      </c>
      <c r="F2527" s="3">
        <v>2022</v>
      </c>
      <c r="G2527" s="3" t="s">
        <v>12</v>
      </c>
      <c r="H2527" s="3" t="s">
        <v>17</v>
      </c>
      <c r="I2527" s="3" t="s">
        <v>278</v>
      </c>
      <c r="J2527" s="97" t="s">
        <v>3445</v>
      </c>
    </row>
    <row r="2528" spans="1:10" ht="28.9" customHeight="1" thickTop="1" thickBot="1" x14ac:dyDescent="0.65">
      <c r="A2528" s="5">
        <v>2526</v>
      </c>
      <c r="B2528" s="46" t="str">
        <f>HYPERLINK("https://search.naver.com/search.naver?query=인생은 아름다워 영화", "인생은 아름다워")</f>
        <v>인생은 아름다워</v>
      </c>
      <c r="C2528" s="47">
        <v>9.1999999999999993</v>
      </c>
      <c r="D2528" s="6" t="s">
        <v>2589</v>
      </c>
      <c r="E2528" s="5" t="s">
        <v>1099</v>
      </c>
      <c r="F2528" s="5">
        <v>1997</v>
      </c>
      <c r="G2528" s="5" t="s">
        <v>12</v>
      </c>
      <c r="H2528" s="5" t="s">
        <v>17</v>
      </c>
      <c r="I2528" s="5" t="s">
        <v>366</v>
      </c>
      <c r="J2528" s="98" t="s">
        <v>3470</v>
      </c>
    </row>
    <row r="2529" spans="1:10" ht="28.9" customHeight="1" thickTop="1" thickBot="1" x14ac:dyDescent="0.65">
      <c r="A2529" s="3">
        <v>2527</v>
      </c>
      <c r="B2529" s="44" t="str">
        <f>HYPERLINK("https://search.naver.com/search.naver?query=인센디어리 영화", "인센디어리")</f>
        <v>인센디어리</v>
      </c>
      <c r="C2529" s="45"/>
      <c r="D2529" s="4" t="s">
        <v>2590</v>
      </c>
      <c r="E2529" s="3" t="s">
        <v>24</v>
      </c>
      <c r="F2529" s="3">
        <v>2008</v>
      </c>
      <c r="G2529" s="3" t="s">
        <v>12</v>
      </c>
      <c r="H2529" s="3" t="s">
        <v>17</v>
      </c>
      <c r="I2529" s="3" t="s">
        <v>61</v>
      </c>
      <c r="J2529" s="97" t="s">
        <v>3450</v>
      </c>
    </row>
    <row r="2530" spans="1:10" ht="28.9" customHeight="1" thickTop="1" thickBot="1" x14ac:dyDescent="0.65">
      <c r="A2530" s="5">
        <v>2528</v>
      </c>
      <c r="B2530" s="46" t="str">
        <f>HYPERLINK("https://search.naver.com/search.naver?query=인셉션 영화", "인셉션")</f>
        <v>인셉션</v>
      </c>
      <c r="C2530" s="47">
        <v>9.4600000000000009</v>
      </c>
      <c r="D2530" s="6" t="s">
        <v>2591</v>
      </c>
      <c r="E2530" s="5" t="s">
        <v>20</v>
      </c>
      <c r="F2530" s="5">
        <v>2010</v>
      </c>
      <c r="G2530" s="5" t="s">
        <v>12</v>
      </c>
      <c r="H2530" s="5" t="s">
        <v>92</v>
      </c>
      <c r="I2530" s="5" t="s">
        <v>28</v>
      </c>
      <c r="J2530" s="98" t="s">
        <v>3455</v>
      </c>
    </row>
    <row r="2531" spans="1:10" ht="28.9" customHeight="1" thickTop="1" thickBot="1" x14ac:dyDescent="0.65">
      <c r="A2531" s="3">
        <v>2529</v>
      </c>
      <c r="B2531" s="44" t="str">
        <f>HYPERLINK("https://search.naver.com/search.naver?query=인스턴트 패밀리 영화", "인스턴트 패밀리")</f>
        <v>인스턴트 패밀리</v>
      </c>
      <c r="C2531" s="45">
        <v>9.58</v>
      </c>
      <c r="D2531" s="4" t="s">
        <v>2592</v>
      </c>
      <c r="E2531" s="3" t="s">
        <v>20</v>
      </c>
      <c r="F2531" s="3">
        <v>2018</v>
      </c>
      <c r="G2531" s="3" t="s">
        <v>12</v>
      </c>
      <c r="H2531" s="3" t="s">
        <v>68</v>
      </c>
      <c r="I2531" s="3" t="s">
        <v>221</v>
      </c>
      <c r="J2531" s="97" t="s">
        <v>3442</v>
      </c>
    </row>
    <row r="2532" spans="1:10" ht="28.9" customHeight="1" thickTop="1" thickBot="1" x14ac:dyDescent="0.65">
      <c r="A2532" s="5">
        <v>2530</v>
      </c>
      <c r="B2532" s="46" t="str">
        <f>HYPERLINK("https://search.naver.com/search.naver?query=인썸니아 영화", "인썸니아")</f>
        <v>인썸니아</v>
      </c>
      <c r="C2532" s="47">
        <v>8.09</v>
      </c>
      <c r="D2532" s="6" t="s">
        <v>2593</v>
      </c>
      <c r="E2532" s="5" t="s">
        <v>20</v>
      </c>
      <c r="F2532" s="5">
        <v>2002</v>
      </c>
      <c r="G2532" s="5" t="s">
        <v>12</v>
      </c>
      <c r="H2532" s="5" t="s">
        <v>43</v>
      </c>
      <c r="I2532" s="5" t="s">
        <v>221</v>
      </c>
      <c r="J2532" s="98" t="s">
        <v>3466</v>
      </c>
    </row>
    <row r="2533" spans="1:10" ht="28.9" customHeight="1" thickTop="1" thickBot="1" x14ac:dyDescent="0.65">
      <c r="A2533" s="3">
        <v>2531</v>
      </c>
      <c r="B2533" s="44" t="str">
        <f>HYPERLINK("https://search.naver.com/search.naver?query=인어가 잠든 집 영화", "인어가 잠든 집")</f>
        <v>인어가 잠든 집</v>
      </c>
      <c r="C2533" s="45">
        <v>7.08</v>
      </c>
      <c r="D2533" s="4" t="s">
        <v>2594</v>
      </c>
      <c r="E2533" s="3" t="s">
        <v>16</v>
      </c>
      <c r="F2533" s="3">
        <v>2022</v>
      </c>
      <c r="G2533" s="3" t="s">
        <v>12</v>
      </c>
      <c r="H2533" s="3" t="s">
        <v>17</v>
      </c>
      <c r="I2533" s="3" t="s">
        <v>111</v>
      </c>
      <c r="J2533" s="97" t="s">
        <v>3445</v>
      </c>
    </row>
    <row r="2534" spans="1:10" ht="28.9" customHeight="1" thickTop="1" thickBot="1" x14ac:dyDescent="0.65">
      <c r="A2534" s="5">
        <v>2532</v>
      </c>
      <c r="B2534" s="46" t="str">
        <f>HYPERLINK("https://search.naver.com/search.naver?query=인질 영화", "인질")</f>
        <v>인질</v>
      </c>
      <c r="C2534" s="47">
        <v>7.01</v>
      </c>
      <c r="D2534" s="6" t="s">
        <v>2595</v>
      </c>
      <c r="E2534" s="5" t="s">
        <v>11</v>
      </c>
      <c r="F2534" s="5">
        <v>2021</v>
      </c>
      <c r="G2534" s="5" t="s">
        <v>12</v>
      </c>
      <c r="H2534" s="5" t="s">
        <v>92</v>
      </c>
      <c r="I2534" s="5" t="s">
        <v>300</v>
      </c>
      <c r="J2534" s="98" t="s">
        <v>3438</v>
      </c>
    </row>
    <row r="2535" spans="1:10" ht="28.9" customHeight="1" thickTop="1" thickBot="1" x14ac:dyDescent="0.65">
      <c r="A2535" s="3">
        <v>2533</v>
      </c>
      <c r="B2535" s="44" t="str">
        <f>HYPERLINK("https://search.naver.com/search.naver?query=인타임 영화", "인타임")</f>
        <v>인타임</v>
      </c>
      <c r="C2535" s="45">
        <v>7.42</v>
      </c>
      <c r="D2535" s="4" t="s">
        <v>2596</v>
      </c>
      <c r="E2535" s="3" t="s">
        <v>20</v>
      </c>
      <c r="F2535" s="3">
        <v>2011</v>
      </c>
      <c r="G2535" s="3" t="s">
        <v>12</v>
      </c>
      <c r="H2535" s="3" t="s">
        <v>520</v>
      </c>
      <c r="I2535" s="3" t="s">
        <v>137</v>
      </c>
      <c r="J2535" s="97" t="s">
        <v>3454</v>
      </c>
    </row>
    <row r="2536" spans="1:10" ht="28.9" customHeight="1" thickTop="1" thickBot="1" x14ac:dyDescent="0.65">
      <c r="A2536" s="5">
        <v>2534</v>
      </c>
      <c r="B2536" s="46" t="str">
        <f>HYPERLINK("https://search.naver.com/search.naver?query=인터섹션 영화", "인터섹션")</f>
        <v>인터섹션</v>
      </c>
      <c r="C2536" s="47">
        <v>7.7</v>
      </c>
      <c r="D2536" s="6" t="s">
        <v>2597</v>
      </c>
      <c r="E2536" s="5" t="s">
        <v>20</v>
      </c>
      <c r="F2536" s="5">
        <v>2013</v>
      </c>
      <c r="G2536" s="5" t="s">
        <v>12</v>
      </c>
      <c r="H2536" s="5" t="s">
        <v>17</v>
      </c>
      <c r="I2536" s="5" t="s">
        <v>111</v>
      </c>
      <c r="J2536" s="98" t="s">
        <v>3451</v>
      </c>
    </row>
    <row r="2537" spans="1:10" ht="28.9" customHeight="1" thickTop="1" thickBot="1" x14ac:dyDescent="0.65">
      <c r="A2537" s="3">
        <v>2535</v>
      </c>
      <c r="B2537" s="44" t="str">
        <f>HYPERLINK("https://search.naver.com/search.naver?query=인터셉터 영화", "인터셉터")</f>
        <v>인터셉터</v>
      </c>
      <c r="C2537" s="45">
        <v>4.0199999999999996</v>
      </c>
      <c r="D2537" s="4" t="s">
        <v>2598</v>
      </c>
      <c r="E2537" s="3" t="s">
        <v>20</v>
      </c>
      <c r="F2537" s="3">
        <v>2022</v>
      </c>
      <c r="G2537" s="3" t="s">
        <v>12</v>
      </c>
      <c r="H2537" s="3" t="s">
        <v>92</v>
      </c>
      <c r="I2537" s="3" t="s">
        <v>14</v>
      </c>
      <c r="J2537" s="97" t="s">
        <v>3445</v>
      </c>
    </row>
    <row r="2538" spans="1:10" ht="28.9" customHeight="1" thickTop="1" thickBot="1" x14ac:dyDescent="0.65">
      <c r="A2538" s="5">
        <v>2536</v>
      </c>
      <c r="B2538" s="46" t="str">
        <f>HYPERLINK("https://search.naver.com/search.naver?query=인터스텔라 영화", "인터스텔라")</f>
        <v>인터스텔라</v>
      </c>
      <c r="C2538" s="47">
        <v>9</v>
      </c>
      <c r="D2538" s="6" t="s">
        <v>2599</v>
      </c>
      <c r="E2538" s="5" t="s">
        <v>20</v>
      </c>
      <c r="F2538" s="5">
        <v>2014</v>
      </c>
      <c r="G2538" s="5" t="s">
        <v>12</v>
      </c>
      <c r="H2538" s="5" t="s">
        <v>520</v>
      </c>
      <c r="I2538" s="5" t="s">
        <v>1014</v>
      </c>
      <c r="J2538" s="98" t="s">
        <v>3437</v>
      </c>
    </row>
    <row r="2539" spans="1:10" ht="28.9" customHeight="1" thickTop="1" thickBot="1" x14ac:dyDescent="0.65">
      <c r="A2539" s="3">
        <v>2537</v>
      </c>
      <c r="B2539" s="44" t="str">
        <f>HYPERLINK("https://search.naver.com/search.naver?query=인터프리터 영화", "인터프리터")</f>
        <v>인터프리터</v>
      </c>
      <c r="C2539" s="45">
        <v>7</v>
      </c>
      <c r="D2539" s="4" t="s">
        <v>2600</v>
      </c>
      <c r="E2539" s="3" t="s">
        <v>20</v>
      </c>
      <c r="F2539" s="3">
        <v>2005</v>
      </c>
      <c r="G2539" s="3" t="s">
        <v>12</v>
      </c>
      <c r="H2539" s="3" t="s">
        <v>43</v>
      </c>
      <c r="I2539" s="3" t="s">
        <v>108</v>
      </c>
      <c r="J2539" s="97" t="s">
        <v>3461</v>
      </c>
    </row>
    <row r="2540" spans="1:10" ht="28.9" customHeight="1" thickTop="1" thickBot="1" x14ac:dyDescent="0.65">
      <c r="A2540" s="5">
        <v>2538</v>
      </c>
      <c r="B2540" s="46" t="str">
        <f>HYPERLINK("https://search.naver.com/search.naver?query=인턴 영화", "인턴")</f>
        <v>인턴</v>
      </c>
      <c r="C2540" s="47">
        <v>9.0399999999999991</v>
      </c>
      <c r="D2540" s="6" t="s">
        <v>2601</v>
      </c>
      <c r="E2540" s="5" t="s">
        <v>20</v>
      </c>
      <c r="F2540" s="5">
        <v>2015</v>
      </c>
      <c r="G2540" s="5" t="s">
        <v>12</v>
      </c>
      <c r="H2540" s="5" t="s">
        <v>68</v>
      </c>
      <c r="I2540" s="5" t="s">
        <v>142</v>
      </c>
      <c r="J2540" s="98" t="s">
        <v>3440</v>
      </c>
    </row>
    <row r="2541" spans="1:10" ht="28.9" customHeight="1" thickTop="1" thickBot="1" x14ac:dyDescent="0.65">
      <c r="A2541" s="3">
        <v>2539</v>
      </c>
      <c r="B2541" s="44" t="str">
        <f>HYPERLINK("https://search.naver.com/search.naver?query=인턴십 영화", "인턴십")</f>
        <v>인턴십</v>
      </c>
      <c r="C2541" s="45">
        <v>7.81</v>
      </c>
      <c r="D2541" s="4" t="s">
        <v>2602</v>
      </c>
      <c r="E2541" s="3" t="s">
        <v>20</v>
      </c>
      <c r="F2541" s="3">
        <v>2013</v>
      </c>
      <c r="G2541" s="3" t="s">
        <v>12</v>
      </c>
      <c r="H2541" s="3" t="s">
        <v>68</v>
      </c>
      <c r="I2541" s="3" t="s">
        <v>53</v>
      </c>
      <c r="J2541" s="97" t="s">
        <v>3451</v>
      </c>
    </row>
    <row r="2542" spans="1:10" ht="28.9" customHeight="1" thickTop="1" thickBot="1" x14ac:dyDescent="0.65">
      <c r="A2542" s="5">
        <v>2540</v>
      </c>
      <c r="B2542" s="46" t="str">
        <f>HYPERLINK("https://search.naver.com/search.naver?query=인투 더 스톰 영화", "인투 더 스톰")</f>
        <v>인투 더 스톰</v>
      </c>
      <c r="C2542" s="47">
        <v>8.27</v>
      </c>
      <c r="D2542" s="6" t="s">
        <v>2603</v>
      </c>
      <c r="E2542" s="5" t="s">
        <v>20</v>
      </c>
      <c r="F2542" s="5">
        <v>2014</v>
      </c>
      <c r="G2542" s="5" t="s">
        <v>12</v>
      </c>
      <c r="H2542" s="5" t="s">
        <v>92</v>
      </c>
      <c r="I2542" s="5" t="s">
        <v>119</v>
      </c>
      <c r="J2542" s="98" t="s">
        <v>3437</v>
      </c>
    </row>
    <row r="2543" spans="1:10" ht="28.9" customHeight="1" thickTop="1" thickBot="1" x14ac:dyDescent="0.65">
      <c r="A2543" s="3">
        <v>2541</v>
      </c>
      <c r="B2543" s="44" t="str">
        <f>HYPERLINK("https://search.naver.com/search.naver?query=인투 더 화이트", "인투 더 화이트")</f>
        <v>인투 더 화이트</v>
      </c>
      <c r="C2543" s="45">
        <v>8.36</v>
      </c>
      <c r="D2543" s="4" t="s">
        <v>2604</v>
      </c>
      <c r="E2543" s="3" t="s">
        <v>39</v>
      </c>
      <c r="F2543" s="3">
        <v>2012</v>
      </c>
      <c r="G2543" s="3" t="s">
        <v>12</v>
      </c>
      <c r="H2543" s="3" t="s">
        <v>17</v>
      </c>
      <c r="I2543" s="3" t="s">
        <v>170</v>
      </c>
      <c r="J2543" s="97" t="s">
        <v>3439</v>
      </c>
    </row>
    <row r="2544" spans="1:10" ht="28.9" customHeight="1" thickTop="1" thickBot="1" x14ac:dyDescent="0.65">
      <c r="A2544" s="5">
        <v>2542</v>
      </c>
      <c r="B2544" s="46" t="str">
        <f>HYPERLINK("https://search.naver.com/search.naver?query=인페르노 영화", "인페르노")</f>
        <v>인페르노</v>
      </c>
      <c r="C2544" s="47">
        <v>8.11</v>
      </c>
      <c r="D2544" s="6" t="s">
        <v>2605</v>
      </c>
      <c r="E2544" s="5" t="s">
        <v>20</v>
      </c>
      <c r="F2544" s="5">
        <v>2016</v>
      </c>
      <c r="G2544" s="5" t="s">
        <v>12</v>
      </c>
      <c r="H2544" s="5" t="s">
        <v>43</v>
      </c>
      <c r="I2544" s="5" t="s">
        <v>142</v>
      </c>
      <c r="J2544" s="98" t="s">
        <v>3441</v>
      </c>
    </row>
    <row r="2545" spans="1:10" ht="28.9" customHeight="1" thickTop="1" thickBot="1" x14ac:dyDescent="0.65">
      <c r="A2545" s="3">
        <v>2543</v>
      </c>
      <c r="B2545" s="44" t="str">
        <f>HYPERLINK("https://search.naver.com/search.naver?query=인피니트 영화", "인피니트")</f>
        <v>인피니트</v>
      </c>
      <c r="C2545" s="45">
        <v>6.94</v>
      </c>
      <c r="D2545" s="4" t="s">
        <v>2606</v>
      </c>
      <c r="E2545" s="3" t="s">
        <v>20</v>
      </c>
      <c r="F2545" s="3">
        <v>2021</v>
      </c>
      <c r="G2545" s="3" t="s">
        <v>12</v>
      </c>
      <c r="H2545" s="3" t="s">
        <v>92</v>
      </c>
      <c r="I2545" s="3" t="s">
        <v>286</v>
      </c>
      <c r="J2545" s="97" t="s">
        <v>3438</v>
      </c>
    </row>
    <row r="2546" spans="1:10" ht="28.9" customHeight="1" thickTop="1" thickBot="1" x14ac:dyDescent="0.65">
      <c r="A2546" s="5">
        <v>2544</v>
      </c>
      <c r="B2546" s="46" t="str">
        <f>HYPERLINK("https://search.naver.com/search.naver?query=인피니트 스톰 영화", "인피니트 스톰")</f>
        <v>인피니트 스톰</v>
      </c>
      <c r="C2546" s="47">
        <v>6.54</v>
      </c>
      <c r="D2546" s="6" t="s">
        <v>2607</v>
      </c>
      <c r="E2546" s="5" t="s">
        <v>20</v>
      </c>
      <c r="F2546" s="5">
        <v>2022</v>
      </c>
      <c r="G2546" s="5" t="s">
        <v>12</v>
      </c>
      <c r="H2546" s="5" t="s">
        <v>17</v>
      </c>
      <c r="I2546" s="5" t="s">
        <v>124</v>
      </c>
      <c r="J2546" s="98" t="s">
        <v>3445</v>
      </c>
    </row>
    <row r="2547" spans="1:10" ht="28.9" customHeight="1" thickTop="1" thickBot="1" x14ac:dyDescent="0.65">
      <c r="A2547" s="3">
        <v>2545</v>
      </c>
      <c r="B2547" s="44" t="str">
        <f>HYPERLINK("https://search.naver.com/search.naver?query=인헤리턴스 영화", "인헤리턴스")</f>
        <v>인헤리턴스</v>
      </c>
      <c r="C2547" s="45">
        <v>7.4</v>
      </c>
      <c r="D2547" s="4" t="s">
        <v>2608</v>
      </c>
      <c r="E2547" s="3" t="s">
        <v>20</v>
      </c>
      <c r="F2547" s="3">
        <v>2020</v>
      </c>
      <c r="G2547" s="3" t="s">
        <v>12</v>
      </c>
      <c r="H2547" s="3" t="s">
        <v>43</v>
      </c>
      <c r="I2547" s="3" t="s">
        <v>102</v>
      </c>
      <c r="J2547" s="97" t="s">
        <v>3436</v>
      </c>
    </row>
    <row r="2548" spans="1:10" ht="28.9" customHeight="1" thickTop="1" thickBot="1" x14ac:dyDescent="0.65">
      <c r="A2548" s="5">
        <v>2546</v>
      </c>
      <c r="B2548" s="46" t="str">
        <f>HYPERLINK("https://search.naver.com/search.naver?query=일개인적무림 영화", "일개인적무림")</f>
        <v>일개인적무림</v>
      </c>
      <c r="C2548" s="47">
        <v>6.4</v>
      </c>
      <c r="D2548" s="6" t="s">
        <v>2609</v>
      </c>
      <c r="E2548" s="5" t="s">
        <v>136</v>
      </c>
      <c r="F2548" s="5">
        <v>2014</v>
      </c>
      <c r="G2548" s="5" t="s">
        <v>12</v>
      </c>
      <c r="H2548" s="5" t="s">
        <v>92</v>
      </c>
      <c r="I2548" s="5" t="s">
        <v>111</v>
      </c>
      <c r="J2548" s="98" t="s">
        <v>3437</v>
      </c>
    </row>
    <row r="2549" spans="1:10" ht="28.9" customHeight="1" thickTop="1" thickBot="1" x14ac:dyDescent="0.65">
      <c r="A2549" s="3">
        <v>2547</v>
      </c>
      <c r="B2549" s="44" t="str">
        <f>HYPERLINK("https://search.naver.com/search.naver?query=일급 살인 영화", "일급 살인")</f>
        <v>일급 살인</v>
      </c>
      <c r="C2549" s="45">
        <v>9.3000000000000007</v>
      </c>
      <c r="D2549" s="4" t="s">
        <v>2610</v>
      </c>
      <c r="E2549" s="3" t="s">
        <v>20</v>
      </c>
      <c r="F2549" s="3">
        <v>1995</v>
      </c>
      <c r="G2549" s="3" t="s">
        <v>12</v>
      </c>
      <c r="H2549" s="3" t="s">
        <v>17</v>
      </c>
      <c r="I2549" s="3" t="s">
        <v>105</v>
      </c>
      <c r="J2549" s="97" t="s">
        <v>3475</v>
      </c>
    </row>
    <row r="2550" spans="1:10" ht="28.9" customHeight="1" thickTop="1" thickBot="1" x14ac:dyDescent="0.65">
      <c r="A2550" s="5">
        <v>2548</v>
      </c>
      <c r="B2550" s="46" t="str">
        <f>HYPERLINK("https://search.naver.com/search.naver?query=일대일 영화", "일대일")</f>
        <v>일대일</v>
      </c>
      <c r="C2550" s="47">
        <v>6.76</v>
      </c>
      <c r="D2550" s="6" t="s">
        <v>2611</v>
      </c>
      <c r="E2550" s="5" t="s">
        <v>11</v>
      </c>
      <c r="F2550" s="5">
        <v>2014</v>
      </c>
      <c r="G2550" s="5" t="s">
        <v>12</v>
      </c>
      <c r="H2550" s="5" t="s">
        <v>17</v>
      </c>
      <c r="I2550" s="5" t="s">
        <v>105</v>
      </c>
      <c r="J2550" s="98" t="s">
        <v>3437</v>
      </c>
    </row>
    <row r="2551" spans="1:10" ht="28.9" customHeight="1" thickTop="1" thickBot="1" x14ac:dyDescent="0.65">
      <c r="A2551" s="3">
        <v>2549</v>
      </c>
      <c r="B2551" s="44" t="str">
        <f>HYPERLINK("https://search.naver.com/search.naver?query=일라이저 그레이브스 영화", "일라이저 그레이브스")</f>
        <v>일라이저 그레이브스</v>
      </c>
      <c r="C2551" s="45">
        <v>7.7</v>
      </c>
      <c r="D2551" s="4"/>
      <c r="E2551" s="3" t="s">
        <v>20</v>
      </c>
      <c r="F2551" s="3">
        <v>2014</v>
      </c>
      <c r="G2551" s="3" t="s">
        <v>12</v>
      </c>
      <c r="H2551" s="3" t="s">
        <v>43</v>
      </c>
      <c r="I2551" s="3" t="s">
        <v>111</v>
      </c>
      <c r="J2551" s="97" t="s">
        <v>3437</v>
      </c>
    </row>
    <row r="2552" spans="1:10" ht="28.9" customHeight="1" thickTop="1" thickBot="1" x14ac:dyDescent="0.65">
      <c r="A2552" s="5">
        <v>2550</v>
      </c>
      <c r="B2552" s="46" t="str">
        <f>HYPERLINK("https://search.naver.com/search.naver?query=일만명의 성자들 영화", "일만명의 성자들")</f>
        <v>일만명의 성자들</v>
      </c>
      <c r="C2552" s="47">
        <v>7.48</v>
      </c>
      <c r="D2552" s="6" t="s">
        <v>2612</v>
      </c>
      <c r="E2552" s="5" t="s">
        <v>20</v>
      </c>
      <c r="F2552" s="5">
        <v>2015</v>
      </c>
      <c r="G2552" s="5" t="s">
        <v>12</v>
      </c>
      <c r="H2552" s="5" t="s">
        <v>17</v>
      </c>
      <c r="I2552" s="5" t="s">
        <v>73</v>
      </c>
      <c r="J2552" s="98" t="s">
        <v>3440</v>
      </c>
    </row>
    <row r="2553" spans="1:10" ht="28.9" customHeight="1" thickTop="1" thickBot="1" x14ac:dyDescent="0.65">
      <c r="A2553" s="3">
        <v>2551</v>
      </c>
      <c r="B2553" s="44" t="str">
        <f>HYPERLINK("https://search.naver.com/search.naver?query=일분만 더 영화", "일분만 더")</f>
        <v>일분만 더</v>
      </c>
      <c r="C2553" s="45">
        <v>8.48</v>
      </c>
      <c r="D2553" s="4" t="s">
        <v>2613</v>
      </c>
      <c r="E2553" s="3" t="s">
        <v>375</v>
      </c>
      <c r="F2553" s="3">
        <v>2015</v>
      </c>
      <c r="G2553" s="3" t="s">
        <v>12</v>
      </c>
      <c r="H2553" s="3" t="s">
        <v>17</v>
      </c>
      <c r="I2553" s="3" t="s">
        <v>96</v>
      </c>
      <c r="J2553" s="97" t="s">
        <v>3440</v>
      </c>
    </row>
    <row r="2554" spans="1:10" ht="28.9" customHeight="1" thickTop="1" thickBot="1" x14ac:dyDescent="0.65">
      <c r="A2554" s="5">
        <v>2552</v>
      </c>
      <c r="B2554" s="46" t="str">
        <f>HYPERLINK("https://search.naver.com/search.naver?query=일일시호일 영화", "일일시호일")</f>
        <v>일일시호일</v>
      </c>
      <c r="C2554" s="47">
        <v>8.92</v>
      </c>
      <c r="D2554" s="6" t="s">
        <v>2614</v>
      </c>
      <c r="E2554" s="5" t="s">
        <v>16</v>
      </c>
      <c r="F2554" s="5">
        <v>2018</v>
      </c>
      <c r="G2554" s="5" t="s">
        <v>12</v>
      </c>
      <c r="H2554" s="5" t="s">
        <v>17</v>
      </c>
      <c r="I2554" s="5" t="s">
        <v>111</v>
      </c>
      <c r="J2554" s="98" t="s">
        <v>3442</v>
      </c>
    </row>
    <row r="2555" spans="1:10" ht="28.9" customHeight="1" thickTop="1" thickBot="1" x14ac:dyDescent="0.65">
      <c r="A2555" s="3">
        <v>2553</v>
      </c>
      <c r="B2555" s="44" t="str">
        <f>HYPERLINK("https://search.naver.com/search.naver?query=일장춘몽 영화", "일장춘몽")</f>
        <v>일장춘몽</v>
      </c>
      <c r="C2555" s="45"/>
      <c r="D2555" s="4" t="s">
        <v>2615</v>
      </c>
      <c r="E2555" s="3" t="s">
        <v>11</v>
      </c>
      <c r="F2555" s="3">
        <v>2022</v>
      </c>
      <c r="G2555" s="3" t="s">
        <v>12</v>
      </c>
      <c r="H2555" s="3" t="s">
        <v>17</v>
      </c>
      <c r="I2555" s="3" t="s">
        <v>111</v>
      </c>
      <c r="J2555" s="97" t="s">
        <v>3445</v>
      </c>
    </row>
    <row r="2556" spans="1:10" ht="28.9" customHeight="1" thickTop="1" thickBot="1" x14ac:dyDescent="0.65">
      <c r="A2556" s="5">
        <v>2554</v>
      </c>
      <c r="B2556" s="46" t="str">
        <f>HYPERLINK("https://search.naver.com/search.naver?query=일주일간 친구 영화", "일주일간 친구")</f>
        <v>일주일간 친구</v>
      </c>
      <c r="C2556" s="47">
        <v>6.83</v>
      </c>
      <c r="D2556" s="6" t="s">
        <v>2616</v>
      </c>
      <c r="E2556" s="5" t="s">
        <v>16</v>
      </c>
      <c r="F2556" s="5">
        <v>2017</v>
      </c>
      <c r="G2556" s="5" t="s">
        <v>12</v>
      </c>
      <c r="H2556" s="5" t="s">
        <v>17</v>
      </c>
      <c r="I2556" s="5" t="s">
        <v>86</v>
      </c>
      <c r="J2556" s="98" t="s">
        <v>3443</v>
      </c>
    </row>
    <row r="2557" spans="1:10" ht="28.9" customHeight="1" thickTop="1" thickBot="1" x14ac:dyDescent="0.65">
      <c r="A2557" s="3">
        <v>2555</v>
      </c>
      <c r="B2557" s="44" t="str">
        <f>HYPERLINK("https://search.naver.com/search.naver?query=임금님의 사건수첩 영화", "임금님의 사건수첩")</f>
        <v>임금님의 사건수첩</v>
      </c>
      <c r="C2557" s="45">
        <v>8.0500000000000007</v>
      </c>
      <c r="D2557" s="4" t="s">
        <v>2617</v>
      </c>
      <c r="E2557" s="3" t="s">
        <v>11</v>
      </c>
      <c r="F2557" s="3">
        <v>2016</v>
      </c>
      <c r="G2557" s="3" t="s">
        <v>12</v>
      </c>
      <c r="H2557" s="3" t="s">
        <v>68</v>
      </c>
      <c r="I2557" s="3" t="s">
        <v>207</v>
      </c>
      <c r="J2557" s="97" t="s">
        <v>3441</v>
      </c>
    </row>
    <row r="2558" spans="1:10" ht="28.9" customHeight="1" thickTop="1" thickBot="1" x14ac:dyDescent="0.65">
      <c r="A2558" s="5">
        <v>2556</v>
      </c>
      <c r="B2558" s="46" t="str">
        <f>HYPERLINK("https://search.naver.com/search.naver?query=입술에 노래를 영화", "입술에 노래를")</f>
        <v>입술에 노래를</v>
      </c>
      <c r="C2558" s="47"/>
      <c r="D2558" s="6" t="s">
        <v>2618</v>
      </c>
      <c r="E2558" s="5" t="s">
        <v>16</v>
      </c>
      <c r="F2558" s="5">
        <v>2015</v>
      </c>
      <c r="G2558" s="5" t="s">
        <v>12</v>
      </c>
      <c r="H2558" s="5" t="s">
        <v>17</v>
      </c>
      <c r="I2558" s="5" t="s">
        <v>350</v>
      </c>
      <c r="J2558" s="98" t="s">
        <v>3440</v>
      </c>
    </row>
    <row r="2559" spans="1:10" ht="28.9" customHeight="1" thickTop="1" thickBot="1" x14ac:dyDescent="0.65">
      <c r="A2559" s="3">
        <v>2557</v>
      </c>
      <c r="B2559" s="44" t="str">
        <f>HYPERLINK("https://search.naver.com/search.naver?query=잉글리쉬 티처 영화", "잉글리쉬 티처")</f>
        <v>잉글리쉬 티처</v>
      </c>
      <c r="C2559" s="45">
        <v>3.32</v>
      </c>
      <c r="D2559" s="4" t="s">
        <v>2619</v>
      </c>
      <c r="E2559" s="3" t="s">
        <v>20</v>
      </c>
      <c r="F2559" s="3">
        <v>2012</v>
      </c>
      <c r="G2559" s="3" t="s">
        <v>12</v>
      </c>
      <c r="H2559" s="3" t="s">
        <v>68</v>
      </c>
      <c r="I2559" s="3" t="s">
        <v>93</v>
      </c>
      <c r="J2559" s="97" t="s">
        <v>3439</v>
      </c>
    </row>
    <row r="2560" spans="1:10" ht="28.9" customHeight="1" thickTop="1" thickBot="1" x14ac:dyDescent="0.65">
      <c r="A2560" s="5">
        <v>2558</v>
      </c>
      <c r="B2560" s="46" t="str">
        <f>HYPERLINK("https://search.naver.com/search.naver?query=자백 영화", "자백")</f>
        <v>자백</v>
      </c>
      <c r="C2560" s="47">
        <v>8.07</v>
      </c>
      <c r="D2560" s="6" t="s">
        <v>2620</v>
      </c>
      <c r="E2560" s="5" t="s">
        <v>11</v>
      </c>
      <c r="F2560" s="5">
        <v>2022</v>
      </c>
      <c r="G2560" s="5" t="s">
        <v>12</v>
      </c>
      <c r="H2560" s="5" t="s">
        <v>43</v>
      </c>
      <c r="I2560" s="5" t="s">
        <v>128</v>
      </c>
      <c r="J2560" s="98" t="s">
        <v>3445</v>
      </c>
    </row>
    <row r="2561" spans="1:10" ht="28.9" customHeight="1" thickTop="1" thickBot="1" x14ac:dyDescent="0.65">
      <c r="A2561" s="7">
        <v>2559</v>
      </c>
      <c r="B2561" s="48" t="str">
        <f>HYPERLINK("https://search.naver.com/search.naver?query=자백의 대가 드라마", "자백의 대가")</f>
        <v>자백의 대가</v>
      </c>
      <c r="C2561" s="49"/>
      <c r="D2561" s="8" t="s">
        <v>2621</v>
      </c>
      <c r="E2561" s="7" t="s">
        <v>11</v>
      </c>
      <c r="F2561" s="7">
        <v>2025</v>
      </c>
      <c r="G2561" s="7" t="s">
        <v>17</v>
      </c>
      <c r="H2561" s="7" t="s">
        <v>17</v>
      </c>
      <c r="I2561" s="7" t="s">
        <v>893</v>
      </c>
      <c r="J2561" s="99" t="s">
        <v>3459</v>
      </c>
    </row>
    <row r="2562" spans="1:10" ht="28.9" customHeight="1" thickTop="1" thickBot="1" x14ac:dyDescent="0.65">
      <c r="A2562" s="5">
        <v>2560</v>
      </c>
      <c r="B2562" s="46" t="str">
        <f>HYPERLINK("https://search.naver.com/search.naver?query=자산어보 영화", "자산어보")</f>
        <v>자산어보</v>
      </c>
      <c r="C2562" s="47">
        <v>8.9700000000000006</v>
      </c>
      <c r="D2562" s="6" t="s">
        <v>2622</v>
      </c>
      <c r="E2562" s="5" t="s">
        <v>11</v>
      </c>
      <c r="F2562" s="5">
        <v>2021</v>
      </c>
      <c r="G2562" s="5" t="s">
        <v>12</v>
      </c>
      <c r="H2562" s="5" t="s">
        <v>873</v>
      </c>
      <c r="I2562" s="5" t="s">
        <v>78</v>
      </c>
      <c r="J2562" s="98" t="s">
        <v>3438</v>
      </c>
    </row>
    <row r="2563" spans="1:10" ht="28.9" customHeight="1" thickTop="1" thickBot="1" x14ac:dyDescent="0.65">
      <c r="A2563" s="3">
        <v>2561</v>
      </c>
      <c r="B2563" s="44" t="str">
        <f>HYPERLINK("https://search.naver.com/search.naver?query=자전차왕 엄복동 영화", "자전차왕 엄복동")</f>
        <v>자전차왕 엄복동</v>
      </c>
      <c r="C2563" s="45">
        <v>7.4</v>
      </c>
      <c r="D2563" s="4" t="s">
        <v>2623</v>
      </c>
      <c r="E2563" s="3" t="s">
        <v>11</v>
      </c>
      <c r="F2563" s="3">
        <v>2018</v>
      </c>
      <c r="G2563" s="3" t="s">
        <v>12</v>
      </c>
      <c r="H2563" s="3" t="s">
        <v>17</v>
      </c>
      <c r="I2563" s="3" t="s">
        <v>128</v>
      </c>
      <c r="J2563" s="97" t="s">
        <v>3442</v>
      </c>
    </row>
    <row r="2564" spans="1:10" ht="28.9" customHeight="1" thickTop="1" thickBot="1" x14ac:dyDescent="0.65">
      <c r="A2564" s="7">
        <v>2562</v>
      </c>
      <c r="B2564" s="48" t="str">
        <f>HYPERLINK("https://search.naver.com/search.naver?query=자칼의 날 시즌1", "자칼의 날 시즌1")</f>
        <v>자칼의 날 시즌1</v>
      </c>
      <c r="C2564" s="49"/>
      <c r="D2564" s="8" t="s">
        <v>2624</v>
      </c>
      <c r="E2564" s="7" t="s">
        <v>24</v>
      </c>
      <c r="F2564" s="7">
        <v>2024</v>
      </c>
      <c r="G2564" s="7" t="s">
        <v>17</v>
      </c>
      <c r="H2564" s="7" t="s">
        <v>13</v>
      </c>
      <c r="I2564" s="7" t="s">
        <v>50</v>
      </c>
      <c r="J2564" s="99" t="s">
        <v>3448</v>
      </c>
    </row>
    <row r="2565" spans="1:10" ht="28.9" customHeight="1" thickTop="1" thickBot="1" x14ac:dyDescent="0.65">
      <c r="A2565" s="3">
        <v>2563</v>
      </c>
      <c r="B2565" s="44" t="str">
        <f>HYPERLINK("https://search.naver.com/search.naver?query=작가 미상 영화", "작가 미상")</f>
        <v>작가 미상</v>
      </c>
      <c r="C2565" s="45">
        <v>8.6199999999999992</v>
      </c>
      <c r="D2565" s="4" t="s">
        <v>2625</v>
      </c>
      <c r="E2565" s="3" t="s">
        <v>101</v>
      </c>
      <c r="F2565" s="3">
        <v>2020</v>
      </c>
      <c r="G2565" s="3" t="s">
        <v>12</v>
      </c>
      <c r="H2565" s="3" t="s">
        <v>17</v>
      </c>
      <c r="I2565" s="3" t="s">
        <v>2626</v>
      </c>
      <c r="J2565" s="97" t="s">
        <v>3436</v>
      </c>
    </row>
    <row r="2566" spans="1:10" ht="28.9" customHeight="1" thickTop="1" thickBot="1" x14ac:dyDescent="0.65">
      <c r="A2566" s="5">
        <v>2564</v>
      </c>
      <c r="B2566" s="46" t="str">
        <f>HYPERLINK("https://search.naver.com/search.naver?query=작년 겨울, 너와 이별 영화", "작년 겨울, 너와 이별")</f>
        <v>작년 겨울, 너와 이별</v>
      </c>
      <c r="C2566" s="47">
        <v>8.52</v>
      </c>
      <c r="D2566" s="6" t="s">
        <v>2627</v>
      </c>
      <c r="E2566" s="5" t="s">
        <v>16</v>
      </c>
      <c r="F2566" s="5">
        <v>2018</v>
      </c>
      <c r="G2566" s="5" t="s">
        <v>12</v>
      </c>
      <c r="H2566" s="5" t="s">
        <v>121</v>
      </c>
      <c r="I2566" s="5" t="s">
        <v>221</v>
      </c>
      <c r="J2566" s="98" t="s">
        <v>3442</v>
      </c>
    </row>
    <row r="2567" spans="1:10" ht="28.9" customHeight="1" thickTop="1" thickBot="1" x14ac:dyDescent="0.65">
      <c r="A2567" s="3">
        <v>2565</v>
      </c>
      <c r="B2567" s="44" t="str">
        <f>HYPERLINK("https://search.naver.com/search.naver?query=작은 아씨들 영화", "작은 아씨들")</f>
        <v>작은 아씨들</v>
      </c>
      <c r="C2567" s="45">
        <v>9.02</v>
      </c>
      <c r="D2567" s="4" t="s">
        <v>2628</v>
      </c>
      <c r="E2567" s="3" t="s">
        <v>20</v>
      </c>
      <c r="F2567" s="3">
        <v>2019</v>
      </c>
      <c r="G2567" s="3" t="s">
        <v>12</v>
      </c>
      <c r="H2567" s="3" t="s">
        <v>17</v>
      </c>
      <c r="I2567" s="3" t="s">
        <v>41</v>
      </c>
      <c r="J2567" s="97" t="s">
        <v>3444</v>
      </c>
    </row>
    <row r="2568" spans="1:10" ht="28.9" customHeight="1" thickTop="1" thickBot="1" x14ac:dyDescent="0.65">
      <c r="A2568" s="5">
        <v>2566</v>
      </c>
      <c r="B2568" s="46" t="str">
        <f>HYPERLINK("https://search.naver.com/search.naver?query=작은 집 영화", "작은 집")</f>
        <v>작은 집</v>
      </c>
      <c r="C2568" s="47">
        <v>6.4</v>
      </c>
      <c r="D2568" s="6" t="s">
        <v>2629</v>
      </c>
      <c r="E2568" s="5" t="s">
        <v>16</v>
      </c>
      <c r="F2568" s="5">
        <v>2014</v>
      </c>
      <c r="G2568" s="5" t="s">
        <v>12</v>
      </c>
      <c r="H2568" s="5" t="s">
        <v>17</v>
      </c>
      <c r="I2568" s="5" t="s">
        <v>186</v>
      </c>
      <c r="J2568" s="98" t="s">
        <v>3437</v>
      </c>
    </row>
    <row r="2569" spans="1:10" ht="28.9" customHeight="1" thickTop="1" thickBot="1" x14ac:dyDescent="0.65">
      <c r="A2569" s="3">
        <v>2567</v>
      </c>
      <c r="B2569" s="44" t="str">
        <f>HYPERLINK("https://search.naver.com/search.naver?query=작전 영화", "작전")</f>
        <v>작전</v>
      </c>
      <c r="C2569" s="45">
        <v>8.64</v>
      </c>
      <c r="D2569" s="4" t="s">
        <v>2630</v>
      </c>
      <c r="E2569" s="3" t="s">
        <v>11</v>
      </c>
      <c r="F2569" s="3">
        <v>2009</v>
      </c>
      <c r="G2569" s="3" t="s">
        <v>12</v>
      </c>
      <c r="H2569" s="3" t="s">
        <v>277</v>
      </c>
      <c r="I2569" s="3" t="s">
        <v>111</v>
      </c>
      <c r="J2569" s="97" t="s">
        <v>3453</v>
      </c>
    </row>
    <row r="2570" spans="1:10" ht="28.9" customHeight="1" thickTop="1" thickBot="1" x14ac:dyDescent="0.65">
      <c r="A2570" s="5">
        <v>2568</v>
      </c>
      <c r="B2570" s="46" t="str">
        <f>HYPERLINK("https://search.naver.com/search.naver?query=작전명 발키리 영화", "작전명 발키리")</f>
        <v>작전명 발키리</v>
      </c>
      <c r="C2570" s="47">
        <v>8.19</v>
      </c>
      <c r="D2570" s="6" t="s">
        <v>2631</v>
      </c>
      <c r="E2570" s="5" t="s">
        <v>20</v>
      </c>
      <c r="F2570" s="5">
        <v>2008</v>
      </c>
      <c r="G2570" s="5" t="s">
        <v>12</v>
      </c>
      <c r="H2570" s="5" t="s">
        <v>17</v>
      </c>
      <c r="I2570" s="5" t="s">
        <v>142</v>
      </c>
      <c r="J2570" s="98" t="s">
        <v>3450</v>
      </c>
    </row>
    <row r="2571" spans="1:10" ht="28.9" customHeight="1" thickTop="1" thickBot="1" x14ac:dyDescent="0.65">
      <c r="A2571" s="3">
        <v>2569</v>
      </c>
      <c r="B2571" s="44" t="str">
        <f>HYPERLINK("https://search.naver.com/search.naver?query=잠 영화", "잠")</f>
        <v>잠</v>
      </c>
      <c r="C2571" s="45">
        <v>7.79</v>
      </c>
      <c r="D2571" s="4" t="s">
        <v>2632</v>
      </c>
      <c r="E2571" s="3" t="s">
        <v>11</v>
      </c>
      <c r="F2571" s="3">
        <v>2023</v>
      </c>
      <c r="G2571" s="3" t="s">
        <v>12</v>
      </c>
      <c r="H2571" s="3" t="s">
        <v>43</v>
      </c>
      <c r="I2571" s="3" t="s">
        <v>300</v>
      </c>
      <c r="J2571" s="97" t="s">
        <v>3446</v>
      </c>
    </row>
    <row r="2572" spans="1:10" ht="28.9" customHeight="1" thickTop="1" thickBot="1" x14ac:dyDescent="0.65">
      <c r="A2572" s="5">
        <v>2570</v>
      </c>
      <c r="B2572" s="46" t="str">
        <f>HYPERLINK("https://search.naver.com/search.naver?query=잠깐만 회사 좀 관두고 올게 영화", "잠깐만 회사 좀 관두고 올게")</f>
        <v>잠깐만 회사 좀 관두고 올게</v>
      </c>
      <c r="C2572" s="47">
        <v>8.2200000000000006</v>
      </c>
      <c r="D2572" s="6" t="s">
        <v>2633</v>
      </c>
      <c r="E2572" s="5" t="s">
        <v>16</v>
      </c>
      <c r="F2572" s="5">
        <v>2017</v>
      </c>
      <c r="G2572" s="5" t="s">
        <v>12</v>
      </c>
      <c r="H2572" s="5" t="s">
        <v>17</v>
      </c>
      <c r="I2572" s="5" t="s">
        <v>207</v>
      </c>
      <c r="J2572" s="98" t="s">
        <v>3443</v>
      </c>
    </row>
    <row r="2573" spans="1:10" ht="28.9" customHeight="1" thickTop="1" thickBot="1" x14ac:dyDescent="0.65">
      <c r="A2573" s="3">
        <v>2571</v>
      </c>
      <c r="B2573" s="44" t="str">
        <f>HYPERLINK("https://search.naver.com/search.naver?query=잠든 여인 영화", "잠든 여인")</f>
        <v>잠든 여인</v>
      </c>
      <c r="C2573" s="45">
        <v>5.88</v>
      </c>
      <c r="D2573" s="4" t="s">
        <v>2634</v>
      </c>
      <c r="E2573" s="3" t="s">
        <v>20</v>
      </c>
      <c r="F2573" s="3">
        <v>2021</v>
      </c>
      <c r="G2573" s="3" t="s">
        <v>12</v>
      </c>
      <c r="H2573" s="3" t="s">
        <v>92</v>
      </c>
      <c r="I2573" s="3" t="s">
        <v>231</v>
      </c>
      <c r="J2573" s="97" t="s">
        <v>3438</v>
      </c>
    </row>
    <row r="2574" spans="1:10" ht="28.9" customHeight="1" thickTop="1" thickBot="1" x14ac:dyDescent="0.65">
      <c r="A2574" s="5">
        <v>2572</v>
      </c>
      <c r="B2574" s="46" t="str">
        <f>HYPERLINK("https://search.naver.com/search.naver?query=잠수종과 나비 영화", "잠수종과 나비")</f>
        <v>잠수종과 나비</v>
      </c>
      <c r="C2574" s="47">
        <v>8.65</v>
      </c>
      <c r="D2574" s="6" t="s">
        <v>2635</v>
      </c>
      <c r="E2574" s="5" t="s">
        <v>210</v>
      </c>
      <c r="F2574" s="5">
        <v>2007</v>
      </c>
      <c r="G2574" s="5" t="s">
        <v>12</v>
      </c>
      <c r="H2574" s="5" t="s">
        <v>17</v>
      </c>
      <c r="I2574" s="5" t="s">
        <v>278</v>
      </c>
      <c r="J2574" s="98" t="s">
        <v>3447</v>
      </c>
    </row>
    <row r="2575" spans="1:10" ht="28.9" customHeight="1" thickTop="1" thickBot="1" x14ac:dyDescent="0.65">
      <c r="A2575" s="3">
        <v>2573</v>
      </c>
      <c r="B2575" s="44" t="str">
        <f>HYPERLINK("https://search.naver.com/search.naver?query=장르만 로맨스 영화", "장르만 로맨스")</f>
        <v>장르만 로맨스</v>
      </c>
      <c r="C2575" s="45">
        <v>7.04</v>
      </c>
      <c r="D2575" s="4" t="s">
        <v>2636</v>
      </c>
      <c r="E2575" s="3" t="s">
        <v>11</v>
      </c>
      <c r="F2575" s="3">
        <v>2021</v>
      </c>
      <c r="G2575" s="3" t="s">
        <v>12</v>
      </c>
      <c r="H2575" s="3" t="s">
        <v>68</v>
      </c>
      <c r="I2575" s="3" t="s">
        <v>96</v>
      </c>
      <c r="J2575" s="97" t="s">
        <v>3438</v>
      </c>
    </row>
    <row r="2576" spans="1:10" ht="28.9" customHeight="1" thickTop="1" thickBot="1" x14ac:dyDescent="0.65">
      <c r="A2576" s="5">
        <v>2574</v>
      </c>
      <c r="B2576" s="46" t="str">
        <f>HYPERLINK("https://search.naver.com/search.naver?query=장사리 잊혀진 영웅들 영화", "장사리-잊혀진 영웅들")</f>
        <v>장사리-잊혀진 영웅들</v>
      </c>
      <c r="C2576" s="47">
        <v>8.4</v>
      </c>
      <c r="D2576" s="6" t="s">
        <v>852</v>
      </c>
      <c r="E2576" s="5" t="s">
        <v>11</v>
      </c>
      <c r="F2576" s="5">
        <v>2019</v>
      </c>
      <c r="G2576" s="5" t="s">
        <v>12</v>
      </c>
      <c r="H2576" s="5" t="s">
        <v>721</v>
      </c>
      <c r="I2576" s="5" t="s">
        <v>170</v>
      </c>
      <c r="J2576" s="98" t="s">
        <v>3444</v>
      </c>
    </row>
    <row r="2577" spans="1:10" ht="28.9" customHeight="1" thickTop="1" thickBot="1" x14ac:dyDescent="0.65">
      <c r="A2577" s="3">
        <v>2575</v>
      </c>
      <c r="B2577" s="44" t="str">
        <f>HYPERLINK("https://search.naver.com/search.naver?query=장산범 영화", "장산범")</f>
        <v>장산범</v>
      </c>
      <c r="C2577" s="45">
        <v>7.42</v>
      </c>
      <c r="D2577" s="4" t="s">
        <v>2637</v>
      </c>
      <c r="E2577" s="3" t="s">
        <v>11</v>
      </c>
      <c r="F2577" s="3">
        <v>2017</v>
      </c>
      <c r="G2577" s="3" t="s">
        <v>12</v>
      </c>
      <c r="H2577" s="3" t="s">
        <v>252</v>
      </c>
      <c r="I2577" s="3" t="s">
        <v>111</v>
      </c>
      <c r="J2577" s="97" t="s">
        <v>3443</v>
      </c>
    </row>
    <row r="2578" spans="1:10" ht="28.9" customHeight="1" thickTop="1" thickBot="1" x14ac:dyDescent="0.65">
      <c r="A2578" s="5">
        <v>2576</v>
      </c>
      <c r="B2578" s="46" t="str">
        <f>HYPERLINK("https://search.naver.com/search.naver?query=장수상회 영화", "장수상회")</f>
        <v>장수상회</v>
      </c>
      <c r="C2578" s="47">
        <v>8.6999999999999993</v>
      </c>
      <c r="D2578" s="6" t="s">
        <v>2638</v>
      </c>
      <c r="E2578" s="5" t="s">
        <v>11</v>
      </c>
      <c r="F2578" s="5">
        <v>2014</v>
      </c>
      <c r="G2578" s="5" t="s">
        <v>12</v>
      </c>
      <c r="H2578" s="5" t="s">
        <v>17</v>
      </c>
      <c r="I2578" s="5" t="s">
        <v>128</v>
      </c>
      <c r="J2578" s="98" t="s">
        <v>3437</v>
      </c>
    </row>
    <row r="2579" spans="1:10" ht="28.9" customHeight="1" thickTop="1" thickBot="1" x14ac:dyDescent="0.65">
      <c r="A2579" s="7">
        <v>2577</v>
      </c>
      <c r="B2579" s="48" t="str">
        <f>HYPERLINK("https://search.naver.com/search.naver?query=재난 그 이후 드라마", "재난 그 이후")</f>
        <v>재난 그 이후</v>
      </c>
      <c r="C2579" s="49"/>
      <c r="D2579" s="8" t="s">
        <v>2639</v>
      </c>
      <c r="E2579" s="7" t="s">
        <v>20</v>
      </c>
      <c r="F2579" s="7">
        <v>2022</v>
      </c>
      <c r="G2579" s="7" t="s">
        <v>17</v>
      </c>
      <c r="H2579" s="7" t="s">
        <v>17</v>
      </c>
      <c r="I2579" s="7" t="s">
        <v>55</v>
      </c>
      <c r="J2579" s="99" t="s">
        <v>3445</v>
      </c>
    </row>
    <row r="2580" spans="1:10" ht="28.9" customHeight="1" thickTop="1" thickBot="1" x14ac:dyDescent="0.65">
      <c r="A2580" s="5">
        <v>2578</v>
      </c>
      <c r="B2580" s="46" t="str">
        <f>HYPERLINK("https://search.naver.com/search.naver?query=재심 영화", "재심")</f>
        <v>재심</v>
      </c>
      <c r="C2580" s="47">
        <v>8.7100000000000009</v>
      </c>
      <c r="D2580" s="6" t="s">
        <v>2640</v>
      </c>
      <c r="E2580" s="5" t="s">
        <v>11</v>
      </c>
      <c r="F2580" s="5">
        <v>2016</v>
      </c>
      <c r="G2580" s="5" t="s">
        <v>12</v>
      </c>
      <c r="H2580" s="5" t="s">
        <v>17</v>
      </c>
      <c r="I2580" s="5" t="s">
        <v>53</v>
      </c>
      <c r="J2580" s="98" t="s">
        <v>3441</v>
      </c>
    </row>
    <row r="2581" spans="1:10" ht="28.9" customHeight="1" thickTop="1" thickBot="1" x14ac:dyDescent="0.65">
      <c r="A2581" s="3">
        <v>2579</v>
      </c>
      <c r="B2581" s="44" t="str">
        <f>HYPERLINK("https://search.naver.com/search.naver?query=재키의 링 영화", "재키의 링")</f>
        <v>재키의 링</v>
      </c>
      <c r="C2581" s="45">
        <v>8.5500000000000007</v>
      </c>
      <c r="D2581" s="4" t="s">
        <v>2641</v>
      </c>
      <c r="E2581" s="3" t="s">
        <v>20</v>
      </c>
      <c r="F2581" s="3">
        <v>2020</v>
      </c>
      <c r="G2581" s="3" t="s">
        <v>12</v>
      </c>
      <c r="H2581" s="3" t="s">
        <v>17</v>
      </c>
      <c r="I2581" s="3" t="s">
        <v>64</v>
      </c>
      <c r="J2581" s="97" t="s">
        <v>3436</v>
      </c>
    </row>
    <row r="2582" spans="1:10" ht="28.9" customHeight="1" thickTop="1" thickBot="1" x14ac:dyDescent="0.65">
      <c r="A2582" s="5">
        <v>2580</v>
      </c>
      <c r="B2582" s="46" t="str">
        <f>HYPERLINK("https://search.naver.com/search.naver?query=잭 라이언 코드네임 쉐도우 영화", "잭 라이언 - 코드네임 쉐도우")</f>
        <v>잭 라이언 - 코드네임 쉐도우</v>
      </c>
      <c r="C2582" s="47">
        <v>6.65</v>
      </c>
      <c r="D2582" s="6" t="s">
        <v>2642</v>
      </c>
      <c r="E2582" s="5" t="s">
        <v>20</v>
      </c>
      <c r="F2582" s="5">
        <v>2014</v>
      </c>
      <c r="G2582" s="5" t="s">
        <v>12</v>
      </c>
      <c r="H2582" s="5" t="s">
        <v>92</v>
      </c>
      <c r="I2582" s="5" t="s">
        <v>128</v>
      </c>
      <c r="J2582" s="98" t="s">
        <v>3437</v>
      </c>
    </row>
    <row r="2583" spans="1:10" ht="28.9" customHeight="1" thickTop="1" thickBot="1" x14ac:dyDescent="0.65">
      <c r="A2583" s="3">
        <v>2581</v>
      </c>
      <c r="B2583" s="44" t="str">
        <f>HYPERLINK("https://search.naver.com/search.naver?query=잭 리처 영화", "잭 리처")</f>
        <v>잭 리처</v>
      </c>
      <c r="C2583" s="45">
        <v>8.14</v>
      </c>
      <c r="D2583" s="4" t="s">
        <v>2643</v>
      </c>
      <c r="E2583" s="3" t="s">
        <v>20</v>
      </c>
      <c r="F2583" s="3">
        <v>2012</v>
      </c>
      <c r="G2583" s="3" t="s">
        <v>12</v>
      </c>
      <c r="H2583" s="3" t="s">
        <v>92</v>
      </c>
      <c r="I2583" s="3" t="s">
        <v>34</v>
      </c>
      <c r="J2583" s="97" t="s">
        <v>3439</v>
      </c>
    </row>
    <row r="2584" spans="1:10" ht="28.9" customHeight="1" thickTop="1" thickBot="1" x14ac:dyDescent="0.65">
      <c r="A2584" s="5">
        <v>2582</v>
      </c>
      <c r="B2584" s="46" t="str">
        <f>HYPERLINK("https://search.naver.com/search.naver?query=잭 리처 네버 고 백 영화", "잭 리처 - 네버 고 백")</f>
        <v>잭 리처 - 네버 고 백</v>
      </c>
      <c r="C2584" s="47">
        <v>8.14</v>
      </c>
      <c r="D2584" s="6" t="s">
        <v>2644</v>
      </c>
      <c r="E2584" s="5" t="s">
        <v>20</v>
      </c>
      <c r="F2584" s="5">
        <v>2016</v>
      </c>
      <c r="G2584" s="5" t="s">
        <v>12</v>
      </c>
      <c r="H2584" s="5" t="s">
        <v>92</v>
      </c>
      <c r="I2584" s="5" t="s">
        <v>221</v>
      </c>
      <c r="J2584" s="98" t="s">
        <v>3441</v>
      </c>
    </row>
    <row r="2585" spans="1:10" ht="28.9" customHeight="1" thickTop="1" thickBot="1" x14ac:dyDescent="0.65">
      <c r="A2585" s="3">
        <v>2583</v>
      </c>
      <c r="B2585" s="44" t="str">
        <f>HYPERLINK("https://search.naver.com/search.naver?query=쟈니 잉글리쉬 스트라이크 어게인 영화", "쟈니 잉글리쉬 스트라이크 어게인")</f>
        <v>쟈니 잉글리쉬 스트라이크 어게인</v>
      </c>
      <c r="C2585" s="45">
        <v>6.4</v>
      </c>
      <c r="D2585" s="4" t="s">
        <v>2645</v>
      </c>
      <c r="E2585" s="3" t="s">
        <v>24</v>
      </c>
      <c r="F2585" s="3">
        <v>2018</v>
      </c>
      <c r="G2585" s="3" t="s">
        <v>12</v>
      </c>
      <c r="H2585" s="3" t="s">
        <v>68</v>
      </c>
      <c r="I2585" s="3" t="s">
        <v>119</v>
      </c>
      <c r="J2585" s="97" t="s">
        <v>3442</v>
      </c>
    </row>
    <row r="2586" spans="1:10" ht="28.9" customHeight="1" thickTop="1" thickBot="1" x14ac:dyDescent="0.65">
      <c r="A2586" s="5">
        <v>2584</v>
      </c>
      <c r="B2586" s="46" t="str">
        <f>HYPERLINK("https://search.naver.com/search.naver?query=저널 포 조던 영화", "저널 포 조던")</f>
        <v>저널 포 조던</v>
      </c>
      <c r="C2586" s="47">
        <v>8.83</v>
      </c>
      <c r="D2586" s="6" t="s">
        <v>2646</v>
      </c>
      <c r="E2586" s="5" t="s">
        <v>20</v>
      </c>
      <c r="F2586" s="5">
        <v>2021</v>
      </c>
      <c r="G2586" s="5" t="s">
        <v>12</v>
      </c>
      <c r="H2586" s="5" t="s">
        <v>17</v>
      </c>
      <c r="I2586" s="5" t="s">
        <v>280</v>
      </c>
      <c r="J2586" s="98" t="s">
        <v>3438</v>
      </c>
    </row>
    <row r="2587" spans="1:10" ht="28.9" customHeight="1" thickTop="1" thickBot="1" x14ac:dyDescent="0.65">
      <c r="A2587" s="3">
        <v>2585</v>
      </c>
      <c r="B2587" s="44" t="str">
        <f>HYPERLINK("https://search.naver.com/search.naver?query=저니스 엔드 영화", "저니스 엔드")</f>
        <v>저니스 엔드</v>
      </c>
      <c r="C2587" s="45">
        <v>9.5</v>
      </c>
      <c r="D2587" s="4" t="s">
        <v>2647</v>
      </c>
      <c r="E2587" s="3" t="s">
        <v>24</v>
      </c>
      <c r="F2587" s="3">
        <v>2017</v>
      </c>
      <c r="G2587" s="3" t="s">
        <v>12</v>
      </c>
      <c r="H2587" s="3" t="s">
        <v>17</v>
      </c>
      <c r="I2587" s="3" t="s">
        <v>75</v>
      </c>
      <c r="J2587" s="97" t="s">
        <v>3443</v>
      </c>
    </row>
    <row r="2588" spans="1:10" ht="28.9" customHeight="1" thickTop="1" thickBot="1" x14ac:dyDescent="0.65">
      <c r="A2588" s="5">
        <v>2586</v>
      </c>
      <c r="B2588" s="46" t="str">
        <f>HYPERLINK("https://search.naver.com/search.naver?query=저스트 라이크 헤븐 영화", "저스트 라이크 헤븐")</f>
        <v>저스트 라이크 헤븐</v>
      </c>
      <c r="C2588" s="47">
        <v>8.17</v>
      </c>
      <c r="D2588" s="6" t="s">
        <v>2648</v>
      </c>
      <c r="E2588" s="5" t="s">
        <v>20</v>
      </c>
      <c r="F2588" s="5">
        <v>2005</v>
      </c>
      <c r="G2588" s="5" t="s">
        <v>12</v>
      </c>
      <c r="H2588" s="5" t="s">
        <v>68</v>
      </c>
      <c r="I2588" s="5" t="s">
        <v>111</v>
      </c>
      <c r="J2588" s="98" t="s">
        <v>3461</v>
      </c>
    </row>
    <row r="2589" spans="1:10" ht="28.9" customHeight="1" thickTop="1" thickBot="1" x14ac:dyDescent="0.65">
      <c r="A2589" s="3">
        <v>2587</v>
      </c>
      <c r="B2589" s="44" t="str">
        <f>HYPERLINK("https://search.naver.com/search.naver?query=저스트 렛 고 영화", "저스트 렛 고")</f>
        <v>저스트 렛 고</v>
      </c>
      <c r="C2589" s="45">
        <v>6.4</v>
      </c>
      <c r="D2589" s="4" t="s">
        <v>2649</v>
      </c>
      <c r="E2589" s="3" t="s">
        <v>20</v>
      </c>
      <c r="F2589" s="3">
        <v>2016</v>
      </c>
      <c r="G2589" s="3" t="s">
        <v>12</v>
      </c>
      <c r="H2589" s="3" t="s">
        <v>17</v>
      </c>
      <c r="I2589" s="3" t="s">
        <v>128</v>
      </c>
      <c r="J2589" s="97" t="s">
        <v>3441</v>
      </c>
    </row>
    <row r="2590" spans="1:10" ht="28.9" customHeight="1" thickTop="1" thickBot="1" x14ac:dyDescent="0.65">
      <c r="A2590" s="5">
        <v>2588</v>
      </c>
      <c r="B2590" s="46" t="str">
        <f>HYPERLINK("https://search.naver.com/search.naver?query=저스트 머시 영화", "저스트 머시")</f>
        <v>저스트 머시</v>
      </c>
      <c r="C2590" s="47">
        <v>9.4</v>
      </c>
      <c r="D2590" s="6" t="s">
        <v>2650</v>
      </c>
      <c r="E2590" s="5" t="s">
        <v>20</v>
      </c>
      <c r="F2590" s="5">
        <v>2019</v>
      </c>
      <c r="G2590" s="5" t="s">
        <v>12</v>
      </c>
      <c r="H2590" s="5" t="s">
        <v>17</v>
      </c>
      <c r="I2590" s="5" t="s">
        <v>359</v>
      </c>
      <c r="J2590" s="98" t="s">
        <v>3444</v>
      </c>
    </row>
    <row r="2591" spans="1:10" ht="28.9" customHeight="1" thickTop="1" thickBot="1" x14ac:dyDescent="0.65">
      <c r="A2591" s="3">
        <v>2589</v>
      </c>
      <c r="B2591" s="44" t="str">
        <f>HYPERLINK("https://search.naver.com/search.naver?query=저스티스 영화", "저스티스")</f>
        <v>저스티스</v>
      </c>
      <c r="C2591" s="45">
        <v>7.1</v>
      </c>
      <c r="D2591" s="4" t="s">
        <v>2651</v>
      </c>
      <c r="E2591" s="3" t="s">
        <v>20</v>
      </c>
      <c r="F2591" s="3">
        <v>2012</v>
      </c>
      <c r="G2591" s="3" t="s">
        <v>12</v>
      </c>
      <c r="H2591" s="3" t="s">
        <v>17</v>
      </c>
      <c r="I2591" s="3" t="s">
        <v>111</v>
      </c>
      <c r="J2591" s="97" t="s">
        <v>3439</v>
      </c>
    </row>
    <row r="2592" spans="1:10" ht="28.9" customHeight="1" thickTop="1" thickBot="1" x14ac:dyDescent="0.65">
      <c r="A2592" s="5">
        <v>2590</v>
      </c>
      <c r="B2592" s="46" t="str">
        <f>HYPERLINK("https://search.naver.com/search.naver?query=적과의 동침1991", "적과의 동침")</f>
        <v>적과의 동침</v>
      </c>
      <c r="C2592" s="47">
        <v>8.09</v>
      </c>
      <c r="D2592" s="6" t="s">
        <v>2652</v>
      </c>
      <c r="E2592" s="5" t="s">
        <v>20</v>
      </c>
      <c r="F2592" s="5">
        <v>1991</v>
      </c>
      <c r="G2592" s="5" t="s">
        <v>12</v>
      </c>
      <c r="H2592" s="5" t="s">
        <v>43</v>
      </c>
      <c r="I2592" s="5" t="s">
        <v>81</v>
      </c>
      <c r="J2592" s="98" t="s">
        <v>3465</v>
      </c>
    </row>
    <row r="2593" spans="1:10" ht="28.9" customHeight="1" thickTop="1" thickBot="1" x14ac:dyDescent="0.65">
      <c r="A2593" s="3">
        <v>2591</v>
      </c>
      <c r="B2593" s="44" t="str">
        <f>HYPERLINK("https://search.naver.com/search.naver?query=전,란 영화", "전,란")</f>
        <v>전,란</v>
      </c>
      <c r="C2593" s="45">
        <v>8.35</v>
      </c>
      <c r="D2593" s="4" t="s">
        <v>2653</v>
      </c>
      <c r="E2593" s="3" t="s">
        <v>11</v>
      </c>
      <c r="F2593" s="3">
        <v>2024</v>
      </c>
      <c r="G2593" s="3" t="s">
        <v>12</v>
      </c>
      <c r="H2593" s="3" t="s">
        <v>873</v>
      </c>
      <c r="I2593" s="3" t="s">
        <v>96</v>
      </c>
      <c r="J2593" s="97" t="s">
        <v>3448</v>
      </c>
    </row>
    <row r="2594" spans="1:10" ht="28.9" customHeight="1" thickTop="1" thickBot="1" x14ac:dyDescent="0.65">
      <c r="A2594" s="7">
        <v>2592</v>
      </c>
      <c r="B2594" s="48" t="str">
        <f>HYPERLINK("https://search.naver.com/search.naver?query=전과자 신참 보호사 아가와 카요 드라마", "전과자- 신참 보호사 아가와 카요")</f>
        <v>전과자- 신참 보호사 아가와 카요</v>
      </c>
      <c r="C2594" s="49"/>
      <c r="D2594" s="8" t="s">
        <v>2654</v>
      </c>
      <c r="E2594" s="7" t="s">
        <v>16</v>
      </c>
      <c r="F2594" s="7">
        <v>2021</v>
      </c>
      <c r="G2594" s="7" t="s">
        <v>17</v>
      </c>
      <c r="H2594" s="7" t="s">
        <v>17</v>
      </c>
      <c r="I2594" s="7" t="s">
        <v>55</v>
      </c>
      <c r="J2594" s="99" t="s">
        <v>3438</v>
      </c>
    </row>
    <row r="2595" spans="1:10" ht="28.9" customHeight="1" thickTop="1" thickBot="1" x14ac:dyDescent="0.65">
      <c r="A2595" s="3">
        <v>2593</v>
      </c>
      <c r="B2595" s="44" t="str">
        <f>HYPERLINK("https://search.naver.com/search.naver?query=전국노래자랑 영화", "전국노래자랑")</f>
        <v>전국노래자랑</v>
      </c>
      <c r="C2595" s="45">
        <v>8.01</v>
      </c>
      <c r="D2595" s="4" t="s">
        <v>2655</v>
      </c>
      <c r="E2595" s="3" t="s">
        <v>11</v>
      </c>
      <c r="F2595" s="3">
        <v>2013</v>
      </c>
      <c r="G2595" s="3" t="s">
        <v>12</v>
      </c>
      <c r="H2595" s="3" t="s">
        <v>68</v>
      </c>
      <c r="I2595" s="3" t="s">
        <v>111</v>
      </c>
      <c r="J2595" s="97" t="s">
        <v>3451</v>
      </c>
    </row>
    <row r="2596" spans="1:10" ht="28.9" customHeight="1" thickTop="1" thickBot="1" x14ac:dyDescent="0.65">
      <c r="A2596" s="5">
        <v>2594</v>
      </c>
      <c r="B2596" s="46" t="str">
        <f>HYPERLINK("https://search.naver.com/search.naver?query=전망 좋은 집 영화", "전망 좋은 집")</f>
        <v>전망 좋은 집</v>
      </c>
      <c r="C2596" s="47">
        <v>5.96</v>
      </c>
      <c r="D2596" s="6" t="s">
        <v>2656</v>
      </c>
      <c r="E2596" s="5" t="s">
        <v>11</v>
      </c>
      <c r="F2596" s="5">
        <v>2012</v>
      </c>
      <c r="G2596" s="5" t="s">
        <v>12</v>
      </c>
      <c r="H2596" s="5" t="s">
        <v>17</v>
      </c>
      <c r="I2596" s="5" t="s">
        <v>111</v>
      </c>
      <c r="J2596" s="98" t="s">
        <v>3439</v>
      </c>
    </row>
    <row r="2597" spans="1:10" ht="28.9" customHeight="1" thickTop="1" thickBot="1" x14ac:dyDescent="0.65">
      <c r="A2597" s="3">
        <v>2595</v>
      </c>
      <c r="B2597" s="44" t="str">
        <f>HYPERLINK("https://search.naver.com/search.naver?query=전설의 주먹 영화", "전설의 주먹")</f>
        <v>전설의 주먹</v>
      </c>
      <c r="C2597" s="45">
        <v>7.55</v>
      </c>
      <c r="D2597" s="4" t="s">
        <v>2657</v>
      </c>
      <c r="E2597" s="3" t="s">
        <v>11</v>
      </c>
      <c r="F2597" s="3">
        <v>2012</v>
      </c>
      <c r="G2597" s="3" t="s">
        <v>12</v>
      </c>
      <c r="H2597" s="3" t="s">
        <v>17</v>
      </c>
      <c r="I2597" s="3" t="s">
        <v>207</v>
      </c>
      <c r="J2597" s="97" t="s">
        <v>3439</v>
      </c>
    </row>
    <row r="2598" spans="1:10" ht="28.9" customHeight="1" thickTop="1" thickBot="1" x14ac:dyDescent="0.65">
      <c r="A2598" s="5">
        <v>2596</v>
      </c>
      <c r="B2598" s="46" t="str">
        <f>HYPERLINK("https://search.naver.com/search.naver?query=전장의 피아니스트 영화", "전장의 피아니스트")</f>
        <v>전장의 피아니스트</v>
      </c>
      <c r="C2598" s="47">
        <v>7.33</v>
      </c>
      <c r="D2598" s="6" t="s">
        <v>2658</v>
      </c>
      <c r="E2598" s="5" t="s">
        <v>204</v>
      </c>
      <c r="F2598" s="5">
        <v>2022</v>
      </c>
      <c r="G2598" s="5" t="s">
        <v>12</v>
      </c>
      <c r="H2598" s="5" t="s">
        <v>17</v>
      </c>
      <c r="I2598" s="5" t="s">
        <v>111</v>
      </c>
      <c r="J2598" s="98" t="s">
        <v>3445</v>
      </c>
    </row>
    <row r="2599" spans="1:10" ht="28.9" customHeight="1" thickTop="1" thickBot="1" x14ac:dyDescent="0.65">
      <c r="A2599" s="7">
        <v>2597</v>
      </c>
      <c r="B2599" s="48" t="str">
        <f>HYPERLINK("https://search.naver.com/search.naver?query=전쟁과 평화 드라마","전쟁과평화")</f>
        <v>전쟁과평화</v>
      </c>
      <c r="C2599" s="49"/>
      <c r="D2599" s="8" t="s">
        <v>2659</v>
      </c>
      <c r="E2599" s="7" t="s">
        <v>24</v>
      </c>
      <c r="F2599" s="7">
        <v>2016</v>
      </c>
      <c r="G2599" s="7" t="s">
        <v>17</v>
      </c>
      <c r="H2599" s="7" t="s">
        <v>17</v>
      </c>
      <c r="I2599" s="7" t="s">
        <v>173</v>
      </c>
      <c r="J2599" s="99" t="s">
        <v>3441</v>
      </c>
    </row>
    <row r="2600" spans="1:10" ht="28.9" customHeight="1" thickTop="1" thickBot="1" x14ac:dyDescent="0.65">
      <c r="A2600" s="5">
        <v>2598</v>
      </c>
      <c r="B2600" s="46" t="str">
        <f>HYPERLINK("https://search.naver.com/search.naver?query=전쟁의 사상자들 영화", "전쟁의 사상자들")</f>
        <v>전쟁의 사상자들</v>
      </c>
      <c r="C2600" s="47">
        <v>6.4</v>
      </c>
      <c r="D2600" s="6" t="s">
        <v>2660</v>
      </c>
      <c r="E2600" s="5" t="s">
        <v>20</v>
      </c>
      <c r="F2600" s="5">
        <v>1989</v>
      </c>
      <c r="G2600" s="5" t="s">
        <v>12</v>
      </c>
      <c r="H2600" s="5" t="s">
        <v>721</v>
      </c>
      <c r="I2600" s="5" t="s">
        <v>73</v>
      </c>
      <c r="J2600" s="98" t="s">
        <v>3477</v>
      </c>
    </row>
    <row r="2601" spans="1:10" ht="28.9" customHeight="1" thickTop="1" thickBot="1" x14ac:dyDescent="0.65">
      <c r="A2601" s="3">
        <v>2599</v>
      </c>
      <c r="B2601" s="44" t="str">
        <f>HYPERLINK("https://search.naver.com/search.naver?query=전차남 영화", "전차남")</f>
        <v>전차남</v>
      </c>
      <c r="C2601" s="45">
        <v>7.82</v>
      </c>
      <c r="D2601" s="4" t="s">
        <v>2661</v>
      </c>
      <c r="E2601" s="3" t="s">
        <v>16</v>
      </c>
      <c r="F2601" s="3">
        <v>2005</v>
      </c>
      <c r="G2601" s="3" t="s">
        <v>12</v>
      </c>
      <c r="H2601" s="3" t="s">
        <v>121</v>
      </c>
      <c r="I2601" s="3" t="s">
        <v>128</v>
      </c>
      <c r="J2601" s="97" t="s">
        <v>3461</v>
      </c>
    </row>
    <row r="2602" spans="1:10" ht="28.9" customHeight="1" thickTop="1" thickBot="1" x14ac:dyDescent="0.65">
      <c r="A2602" s="5">
        <v>2600</v>
      </c>
      <c r="B2602" s="46" t="str">
        <f>HYPERLINK("https://search.naver.com/search.naver?query=점쟁이들 영화", "점쟁이들")</f>
        <v>점쟁이들</v>
      </c>
      <c r="C2602" s="47">
        <v>5.85</v>
      </c>
      <c r="D2602" s="6" t="s">
        <v>2662</v>
      </c>
      <c r="E2602" s="5" t="s">
        <v>11</v>
      </c>
      <c r="F2602" s="5">
        <v>2012</v>
      </c>
      <c r="G2602" s="5" t="s">
        <v>12</v>
      </c>
      <c r="H2602" s="5" t="s">
        <v>68</v>
      </c>
      <c r="I2602" s="5" t="s">
        <v>111</v>
      </c>
      <c r="J2602" s="98" t="s">
        <v>3439</v>
      </c>
    </row>
    <row r="2603" spans="1:10" ht="28.9" customHeight="1" thickTop="1" thickBot="1" x14ac:dyDescent="0.65">
      <c r="A2603" s="3">
        <v>2601</v>
      </c>
      <c r="B2603" s="44" t="str">
        <f>HYPERLINK("https://search.naver.com/search.naver?query=정글 영화", "정글")</f>
        <v>정글</v>
      </c>
      <c r="C2603" s="45">
        <v>8.51</v>
      </c>
      <c r="D2603" s="4" t="s">
        <v>2663</v>
      </c>
      <c r="E2603" s="3" t="s">
        <v>36</v>
      </c>
      <c r="F2603" s="3">
        <v>2017</v>
      </c>
      <c r="G2603" s="3" t="s">
        <v>12</v>
      </c>
      <c r="H2603" s="3" t="s">
        <v>824</v>
      </c>
      <c r="I2603" s="3" t="s">
        <v>47</v>
      </c>
      <c r="J2603" s="97" t="s">
        <v>3443</v>
      </c>
    </row>
    <row r="2604" spans="1:10" ht="28.9" customHeight="1" thickTop="1" thickBot="1" x14ac:dyDescent="0.65">
      <c r="A2604" s="5">
        <v>2602</v>
      </c>
      <c r="B2604" s="46" t="str">
        <f>HYPERLINK("https://search.naver.com/search.naver?query=정글 크루즈 영화", "정글 크루즈")</f>
        <v>정글 크루즈</v>
      </c>
      <c r="C2604" s="47">
        <v>7.49</v>
      </c>
      <c r="D2604" s="6" t="s">
        <v>2664</v>
      </c>
      <c r="E2604" s="5" t="s">
        <v>20</v>
      </c>
      <c r="F2604" s="5">
        <v>2021</v>
      </c>
      <c r="G2604" s="5" t="s">
        <v>12</v>
      </c>
      <c r="H2604" s="5" t="s">
        <v>824</v>
      </c>
      <c r="I2604" s="5" t="s">
        <v>150</v>
      </c>
      <c r="J2604" s="98" t="s">
        <v>3438</v>
      </c>
    </row>
    <row r="2605" spans="1:10" ht="28.9" customHeight="1" thickTop="1" thickBot="1" x14ac:dyDescent="0.65">
      <c r="A2605" s="3">
        <v>2603</v>
      </c>
      <c r="B2605" s="44" t="str">
        <f>HYPERLINK("https://search.naver.com/search.naver?query=정글북 영화", "정글북")</f>
        <v>정글북</v>
      </c>
      <c r="C2605" s="45">
        <v>5.14</v>
      </c>
      <c r="D2605" s="4" t="s">
        <v>2665</v>
      </c>
      <c r="E2605" s="3" t="s">
        <v>20</v>
      </c>
      <c r="F2605" s="3">
        <v>2016</v>
      </c>
      <c r="G2605" s="3" t="s">
        <v>12</v>
      </c>
      <c r="H2605" s="3" t="s">
        <v>824</v>
      </c>
      <c r="I2605" s="3" t="s">
        <v>286</v>
      </c>
      <c r="J2605" s="97" t="s">
        <v>3441</v>
      </c>
    </row>
    <row r="2606" spans="1:10" ht="28.9" customHeight="1" thickTop="1" thickBot="1" x14ac:dyDescent="0.65">
      <c r="A2606" s="5">
        <v>2604</v>
      </c>
      <c r="B2606" s="46" t="str">
        <f>HYPERLINK("https://search.naver.com/search.naver?query=정직한 후보 영화", "정직한 후보")</f>
        <v>정직한 후보</v>
      </c>
      <c r="C2606" s="47">
        <v>6.87</v>
      </c>
      <c r="D2606" s="6" t="s">
        <v>2666</v>
      </c>
      <c r="E2606" s="5" t="s">
        <v>11</v>
      </c>
      <c r="F2606" s="5">
        <v>2020</v>
      </c>
      <c r="G2606" s="5" t="s">
        <v>12</v>
      </c>
      <c r="H2606" s="5" t="s">
        <v>68</v>
      </c>
      <c r="I2606" s="5" t="s">
        <v>170</v>
      </c>
      <c r="J2606" s="98" t="s">
        <v>3436</v>
      </c>
    </row>
    <row r="2607" spans="1:10" ht="28.9" customHeight="1" thickTop="1" thickBot="1" x14ac:dyDescent="0.65">
      <c r="A2607" s="3">
        <v>2605</v>
      </c>
      <c r="B2607" s="44" t="str">
        <f>HYPERLINK("https://search.naver.com/search.naver?query=제3의 사랑 영화", "제3의 사랑")</f>
        <v>제3의 사랑</v>
      </c>
      <c r="C2607" s="45">
        <v>8.3800000000000008</v>
      </c>
      <c r="D2607" s="4" t="s">
        <v>2667</v>
      </c>
      <c r="E2607" s="3" t="s">
        <v>136</v>
      </c>
      <c r="F2607" s="3">
        <v>2014</v>
      </c>
      <c r="G2607" s="3" t="s">
        <v>12</v>
      </c>
      <c r="H2607" s="3" t="s">
        <v>121</v>
      </c>
      <c r="I2607" s="3" t="s">
        <v>111</v>
      </c>
      <c r="J2607" s="97" t="s">
        <v>3437</v>
      </c>
    </row>
    <row r="2608" spans="1:10" ht="28.9" customHeight="1" thickTop="1" thickBot="1" x14ac:dyDescent="0.65">
      <c r="A2608" s="5">
        <v>2606</v>
      </c>
      <c r="B2608" s="46" t="str">
        <f>HYPERLINK("https://search.naver.com/search.naver?query=제5계급 영화", "제5계급")</f>
        <v>제5계급</v>
      </c>
      <c r="C2608" s="47">
        <v>6.4</v>
      </c>
      <c r="D2608" s="6" t="s">
        <v>2668</v>
      </c>
      <c r="E2608" s="5" t="s">
        <v>20</v>
      </c>
      <c r="F2608" s="5">
        <v>2013</v>
      </c>
      <c r="G2608" s="5" t="s">
        <v>12</v>
      </c>
      <c r="H2608" s="5" t="s">
        <v>17</v>
      </c>
      <c r="I2608" s="5" t="s">
        <v>108</v>
      </c>
      <c r="J2608" s="98" t="s">
        <v>3451</v>
      </c>
    </row>
    <row r="2609" spans="1:10" ht="28.9" customHeight="1" thickTop="1" thickBot="1" x14ac:dyDescent="0.65">
      <c r="A2609" s="3">
        <v>2607</v>
      </c>
      <c r="B2609" s="44" t="str">
        <f>HYPERLINK("https://search.naver.com/search.naver?query=제8요일 영화", "제8요일")</f>
        <v>제8요일</v>
      </c>
      <c r="C2609" s="45">
        <v>8.94</v>
      </c>
      <c r="D2609" s="4" t="s">
        <v>2669</v>
      </c>
      <c r="E2609" s="3" t="s">
        <v>509</v>
      </c>
      <c r="F2609" s="3">
        <v>1996</v>
      </c>
      <c r="G2609" s="3" t="s">
        <v>12</v>
      </c>
      <c r="H2609" s="3" t="s">
        <v>17</v>
      </c>
      <c r="I2609" s="3" t="s">
        <v>221</v>
      </c>
      <c r="J2609" s="97" t="s">
        <v>3463</v>
      </c>
    </row>
    <row r="2610" spans="1:10" ht="28.9" customHeight="1" thickTop="1" thickBot="1" x14ac:dyDescent="0.65">
      <c r="A2610" s="5">
        <v>2608</v>
      </c>
      <c r="B2610" s="46" t="str">
        <f>HYPERLINK("https://search.naver.com/search.naver?query=제8일의 밤 영화", "제8일의 밤")</f>
        <v>제8일의 밤</v>
      </c>
      <c r="C2610" s="47">
        <v>4.49</v>
      </c>
      <c r="D2610" s="6" t="s">
        <v>2670</v>
      </c>
      <c r="E2610" s="5" t="s">
        <v>11</v>
      </c>
      <c r="F2610" s="5">
        <v>2021</v>
      </c>
      <c r="G2610" s="5" t="s">
        <v>12</v>
      </c>
      <c r="H2610" s="5" t="s">
        <v>252</v>
      </c>
      <c r="I2610" s="5" t="s">
        <v>47</v>
      </c>
      <c r="J2610" s="98" t="s">
        <v>3438</v>
      </c>
    </row>
    <row r="2611" spans="1:10" ht="28.9" customHeight="1" thickTop="1" thickBot="1" x14ac:dyDescent="0.65">
      <c r="A2611" s="3">
        <v>2609</v>
      </c>
      <c r="B2611" s="44" t="str">
        <f>HYPERLINK("https://search.naver.com/search.naver?query=제너럴 루주의 개선 영화", "제너럴 루주의 개선")</f>
        <v>제너럴 루주의 개선</v>
      </c>
      <c r="C2611" s="45"/>
      <c r="D2611" s="4" t="s">
        <v>2671</v>
      </c>
      <c r="E2611" s="3" t="s">
        <v>16</v>
      </c>
      <c r="F2611" s="3">
        <v>2009</v>
      </c>
      <c r="G2611" s="3" t="s">
        <v>12</v>
      </c>
      <c r="H2611" s="3" t="s">
        <v>17</v>
      </c>
      <c r="I2611" s="3" t="s">
        <v>142</v>
      </c>
      <c r="J2611" s="97" t="s">
        <v>3453</v>
      </c>
    </row>
    <row r="2612" spans="1:10" ht="28.9" customHeight="1" thickTop="1" thickBot="1" x14ac:dyDescent="0.65">
      <c r="A2612" s="7">
        <v>2610</v>
      </c>
      <c r="B2612" s="48" t="str">
        <f>HYPERLINK("https://search.naver.com/search.naver?query=제너레이션 워 드라마", "제너레이션 워")</f>
        <v>제너레이션 워</v>
      </c>
      <c r="C2612" s="49"/>
      <c r="D2612" s="8" t="s">
        <v>2672</v>
      </c>
      <c r="E2612" s="7" t="s">
        <v>101</v>
      </c>
      <c r="F2612" s="7">
        <v>2013</v>
      </c>
      <c r="G2612" s="7" t="s">
        <v>17</v>
      </c>
      <c r="H2612" s="7" t="s">
        <v>17</v>
      </c>
      <c r="I2612" s="7" t="s">
        <v>1625</v>
      </c>
      <c r="J2612" s="99" t="s">
        <v>3451</v>
      </c>
    </row>
    <row r="2613" spans="1:10" ht="28.9" customHeight="1" thickTop="1" thickBot="1" x14ac:dyDescent="0.65">
      <c r="A2613" s="3">
        <v>2611</v>
      </c>
      <c r="B2613" s="44" t="str">
        <f>HYPERLINK("https://search.naver.com/search.naver?query=제노바 영화", "제노바")</f>
        <v>제노바</v>
      </c>
      <c r="C2613" s="45">
        <v>6.68</v>
      </c>
      <c r="D2613" s="4" t="s">
        <v>2673</v>
      </c>
      <c r="E2613" s="3" t="s">
        <v>24</v>
      </c>
      <c r="F2613" s="3">
        <v>2008</v>
      </c>
      <c r="G2613" s="3" t="s">
        <v>12</v>
      </c>
      <c r="H2613" s="3" t="s">
        <v>17</v>
      </c>
      <c r="I2613" s="3" t="s">
        <v>93</v>
      </c>
      <c r="J2613" s="97" t="s">
        <v>3450</v>
      </c>
    </row>
    <row r="2614" spans="1:10" ht="28.9" customHeight="1" thickTop="1" thickBot="1" x14ac:dyDescent="0.65">
      <c r="A2614" s="5">
        <v>2612</v>
      </c>
      <c r="B2614" s="46" t="str">
        <f>HYPERLINK("https://search.naver.com/search.naver?query=제로 다크 서티 영화", "제로 다크 서티")</f>
        <v>제로 다크 서티</v>
      </c>
      <c r="C2614" s="47">
        <v>8.2799999999999994</v>
      </c>
      <c r="D2614" s="6" t="s">
        <v>2674</v>
      </c>
      <c r="E2614" s="5" t="s">
        <v>20</v>
      </c>
      <c r="F2614" s="5">
        <v>2012</v>
      </c>
      <c r="G2614" s="5" t="s">
        <v>12</v>
      </c>
      <c r="H2614" s="5" t="s">
        <v>17</v>
      </c>
      <c r="I2614" s="5" t="s">
        <v>1782</v>
      </c>
      <c r="J2614" s="98" t="s">
        <v>3439</v>
      </c>
    </row>
    <row r="2615" spans="1:10" ht="28.9" customHeight="1" thickTop="1" thickBot="1" x14ac:dyDescent="0.65">
      <c r="A2615" s="7">
        <v>2613</v>
      </c>
      <c r="B2615" s="48" t="str">
        <f>HYPERLINK("https://search.naver.com/search.naver?query=제로데이 드라마", "제로데이")</f>
        <v>제로데이</v>
      </c>
      <c r="C2615" s="49"/>
      <c r="D2615" s="8" t="s">
        <v>2675</v>
      </c>
      <c r="E2615" s="7" t="s">
        <v>20</v>
      </c>
      <c r="F2615" s="7">
        <v>2025</v>
      </c>
      <c r="G2615" s="7" t="s">
        <v>17</v>
      </c>
      <c r="H2615" s="7" t="s">
        <v>17</v>
      </c>
      <c r="I2615" s="7" t="s">
        <v>173</v>
      </c>
      <c r="J2615" s="99" t="s">
        <v>3459</v>
      </c>
    </row>
    <row r="2616" spans="1:10" ht="28.9" customHeight="1" thickTop="1" thickBot="1" x14ac:dyDescent="0.65">
      <c r="A2616" s="5">
        <v>2614</v>
      </c>
      <c r="B2616" s="46" t="str">
        <f>HYPERLINK("https://search.naver.com/search.naver?query=제로포커스 영화", "제로포커스")</f>
        <v>제로포커스</v>
      </c>
      <c r="C2616" s="47">
        <v>6.91</v>
      </c>
      <c r="D2616" s="6" t="s">
        <v>2676</v>
      </c>
      <c r="E2616" s="5" t="s">
        <v>16</v>
      </c>
      <c r="F2616" s="5">
        <v>2009</v>
      </c>
      <c r="G2616" s="5" t="s">
        <v>12</v>
      </c>
      <c r="H2616" s="5" t="s">
        <v>141</v>
      </c>
      <c r="I2616" s="5" t="s">
        <v>111</v>
      </c>
      <c r="J2616" s="98" t="s">
        <v>3453</v>
      </c>
    </row>
    <row r="2617" spans="1:10" ht="28.9" customHeight="1" thickTop="1" thickBot="1" x14ac:dyDescent="0.65">
      <c r="A2617" s="3">
        <v>2615</v>
      </c>
      <c r="B2617" s="44" t="str">
        <f>HYPERLINK("https://search.naver.com/search.naver?query=제리 &amp; 마지 고 라지 영화", "제리 &amp; 마지 고 라지")</f>
        <v>제리 &amp; 마지 고 라지</v>
      </c>
      <c r="C2617" s="45">
        <v>4.8099999999999996</v>
      </c>
      <c r="D2617" s="4" t="s">
        <v>2677</v>
      </c>
      <c r="E2617" s="3" t="s">
        <v>20</v>
      </c>
      <c r="F2617" s="3">
        <v>2022</v>
      </c>
      <c r="G2617" s="3" t="s">
        <v>12</v>
      </c>
      <c r="H2617" s="3" t="s">
        <v>17</v>
      </c>
      <c r="I2617" s="3" t="s">
        <v>61</v>
      </c>
      <c r="J2617" s="97" t="s">
        <v>3445</v>
      </c>
    </row>
    <row r="2618" spans="1:10" ht="28.9" customHeight="1" thickTop="1" thickBot="1" x14ac:dyDescent="0.65">
      <c r="A2618" s="5">
        <v>2616</v>
      </c>
      <c r="B2618" s="46" t="str">
        <f>HYPERLINK("https://search.naver.com/search.naver?query=제멋대로 떨고 있어 영화", "제멋대로 떨고 있어")</f>
        <v>제멋대로 떨고 있어</v>
      </c>
      <c r="C2618" s="47">
        <v>6.4</v>
      </c>
      <c r="D2618" s="6" t="s">
        <v>2678</v>
      </c>
      <c r="E2618" s="5" t="s">
        <v>16</v>
      </c>
      <c r="F2618" s="5">
        <v>2017</v>
      </c>
      <c r="G2618" s="5" t="s">
        <v>12</v>
      </c>
      <c r="H2618" s="5" t="s">
        <v>68</v>
      </c>
      <c r="I2618" s="5" t="s">
        <v>89</v>
      </c>
      <c r="J2618" s="98" t="s">
        <v>3443</v>
      </c>
    </row>
    <row r="2619" spans="1:10" ht="28.9" customHeight="1" thickTop="1" thickBot="1" x14ac:dyDescent="0.65">
      <c r="A2619" s="3">
        <v>2617</v>
      </c>
      <c r="B2619" s="44" t="str">
        <f>HYPERLINK("https://search.naver.com/search.naver?query=제미니 맨 영화", "제미니 맨")</f>
        <v>제미니 맨</v>
      </c>
      <c r="C2619" s="45">
        <v>8.5500000000000007</v>
      </c>
      <c r="D2619" s="4" t="s">
        <v>2679</v>
      </c>
      <c r="E2619" s="3" t="s">
        <v>20</v>
      </c>
      <c r="F2619" s="3">
        <v>2019</v>
      </c>
      <c r="G2619" s="3" t="s">
        <v>12</v>
      </c>
      <c r="H2619" s="3" t="s">
        <v>92</v>
      </c>
      <c r="I2619" s="3" t="s">
        <v>89</v>
      </c>
      <c r="J2619" s="97" t="s">
        <v>3444</v>
      </c>
    </row>
    <row r="2620" spans="1:10" ht="28.9" customHeight="1" thickTop="1" thickBot="1" x14ac:dyDescent="0.65">
      <c r="A2620" s="5">
        <v>2618</v>
      </c>
      <c r="B2620" s="46" t="str">
        <f>HYPERLINK("https://search.naver.com/search.naver?query=제이 켈리 영화", "제이 켈리")</f>
        <v>제이 켈리</v>
      </c>
      <c r="C2620" s="47">
        <v>8.1199999999999992</v>
      </c>
      <c r="D2620" s="6" t="s">
        <v>2680</v>
      </c>
      <c r="E2620" s="5" t="s">
        <v>20</v>
      </c>
      <c r="F2620" s="5">
        <v>2025</v>
      </c>
      <c r="G2620" s="5" t="s">
        <v>12</v>
      </c>
      <c r="H2620" s="5" t="s">
        <v>17</v>
      </c>
      <c r="I2620" s="5" t="s">
        <v>96</v>
      </c>
      <c r="J2620" s="98" t="s">
        <v>3459</v>
      </c>
    </row>
    <row r="2621" spans="1:10" ht="28.9" customHeight="1" thickTop="1" thickBot="1" x14ac:dyDescent="0.65">
      <c r="A2621" s="3">
        <v>2619</v>
      </c>
      <c r="B2621" s="44" t="str">
        <f>HYPERLINK("https://search.naver.com/search.naver?query=제이니 존스 영화", "제이니 존스")</f>
        <v>제이니 존스</v>
      </c>
      <c r="C2621" s="45">
        <v>8.52</v>
      </c>
      <c r="D2621" s="4" t="s">
        <v>2681</v>
      </c>
      <c r="E2621" s="3" t="s">
        <v>20</v>
      </c>
      <c r="F2621" s="3">
        <v>2010</v>
      </c>
      <c r="G2621" s="3" t="s">
        <v>12</v>
      </c>
      <c r="H2621" s="3" t="s">
        <v>17</v>
      </c>
      <c r="I2621" s="3" t="s">
        <v>75</v>
      </c>
      <c r="J2621" s="97" t="s">
        <v>3455</v>
      </c>
    </row>
    <row r="2622" spans="1:10" ht="28.9" customHeight="1" thickTop="1" thickBot="1" x14ac:dyDescent="0.65">
      <c r="A2622" s="5">
        <v>2620</v>
      </c>
      <c r="B2622" s="46" t="str">
        <f>HYPERLINK("https://search.naver.com/search.naver?query=제이슨 본 영화", "제이슨 본")</f>
        <v>제이슨 본</v>
      </c>
      <c r="C2622" s="47">
        <v>8.31</v>
      </c>
      <c r="D2622" s="6" t="s">
        <v>2682</v>
      </c>
      <c r="E2622" s="5" t="s">
        <v>20</v>
      </c>
      <c r="F2622" s="5">
        <v>2016</v>
      </c>
      <c r="G2622" s="5" t="s">
        <v>12</v>
      </c>
      <c r="H2622" s="5" t="s">
        <v>92</v>
      </c>
      <c r="I2622" s="5" t="s">
        <v>58</v>
      </c>
      <c r="J2622" s="98" t="s">
        <v>3441</v>
      </c>
    </row>
    <row r="2623" spans="1:10" ht="28.9" customHeight="1" thickTop="1" thickBot="1" x14ac:dyDescent="0.65">
      <c r="A2623" s="3">
        <v>2621</v>
      </c>
      <c r="B2623" s="44" t="str">
        <f>HYPERLINK("https://search.naver.com/search.naver?query=제이콥의 거짓말 영화", "제이콥의 거짓말")</f>
        <v>제이콥의 거짓말</v>
      </c>
      <c r="C2623" s="45">
        <v>8.43</v>
      </c>
      <c r="D2623" s="4" t="s">
        <v>2683</v>
      </c>
      <c r="E2623" s="3" t="s">
        <v>20</v>
      </c>
      <c r="F2623" s="3">
        <v>1999</v>
      </c>
      <c r="G2623" s="3" t="s">
        <v>12</v>
      </c>
      <c r="H2623" s="3" t="s">
        <v>17</v>
      </c>
      <c r="I2623" s="3" t="s">
        <v>86</v>
      </c>
      <c r="J2623" s="97" t="s">
        <v>3456</v>
      </c>
    </row>
    <row r="2624" spans="1:10" ht="28.9" customHeight="1" thickTop="1" thickBot="1" x14ac:dyDescent="0.65">
      <c r="A2624" s="5">
        <v>2622</v>
      </c>
      <c r="B2624" s="46" t="str">
        <f>HYPERLINK("https://search.naver.com/search.naver?query=제인 에어 영화", "제인 에어")</f>
        <v>제인 에어</v>
      </c>
      <c r="C2624" s="47">
        <v>3.83</v>
      </c>
      <c r="D2624" s="6" t="s">
        <v>2684</v>
      </c>
      <c r="E2624" s="5" t="s">
        <v>24</v>
      </c>
      <c r="F2624" s="5">
        <v>2011</v>
      </c>
      <c r="G2624" s="5" t="s">
        <v>12</v>
      </c>
      <c r="H2624" s="5" t="s">
        <v>17</v>
      </c>
      <c r="I2624" s="5" t="s">
        <v>86</v>
      </c>
      <c r="J2624" s="98" t="s">
        <v>3454</v>
      </c>
    </row>
    <row r="2625" spans="1:10" ht="28.9" customHeight="1" thickTop="1" thickBot="1" x14ac:dyDescent="0.65">
      <c r="A2625" s="3">
        <v>2623</v>
      </c>
      <c r="B2625" s="44" t="str">
        <f>HYPERLINK("https://search.naver.com/search.naver?query=젠틀맨 영화", "젠틀맨")</f>
        <v>젠틀맨</v>
      </c>
      <c r="C2625" s="45">
        <v>6.56</v>
      </c>
      <c r="D2625" s="4" t="s">
        <v>2685</v>
      </c>
      <c r="E2625" s="3" t="s">
        <v>24</v>
      </c>
      <c r="F2625" s="3">
        <v>2019</v>
      </c>
      <c r="G2625" s="3" t="s">
        <v>12</v>
      </c>
      <c r="H2625" s="3" t="s">
        <v>92</v>
      </c>
      <c r="I2625" s="3" t="s">
        <v>73</v>
      </c>
      <c r="J2625" s="97" t="s">
        <v>3444</v>
      </c>
    </row>
    <row r="2626" spans="1:10" ht="28.9" customHeight="1" thickTop="1" thickBot="1" x14ac:dyDescent="0.65">
      <c r="A2626" s="7">
        <v>2624</v>
      </c>
      <c r="B2626" s="48" t="str">
        <f>HYPERLINK("https://search.naver.com/search.naver?query=젠틀맨: 더 시리즈 시즌1", "젠틀맨: 더 시리즈 시즌1")</f>
        <v>젠틀맨: 더 시리즈 시즌1</v>
      </c>
      <c r="C2626" s="49"/>
      <c r="D2626" s="8" t="s">
        <v>2686</v>
      </c>
      <c r="E2626" s="7" t="s">
        <v>24</v>
      </c>
      <c r="F2626" s="7">
        <v>2024</v>
      </c>
      <c r="G2626" s="7" t="s">
        <v>17</v>
      </c>
      <c r="H2626" s="7" t="s">
        <v>162</v>
      </c>
      <c r="I2626" s="7" t="s">
        <v>55</v>
      </c>
      <c r="J2626" s="99" t="s">
        <v>3448</v>
      </c>
    </row>
    <row r="2627" spans="1:10" ht="28.9" customHeight="1" thickTop="1" thickBot="1" x14ac:dyDescent="0.65">
      <c r="A2627" s="3">
        <v>2625</v>
      </c>
      <c r="B2627" s="44" t="str">
        <f>HYPERLINK("https://cine21.com/movie/info/?movie_id=41821", "조")</f>
        <v>조</v>
      </c>
      <c r="C2627" s="45">
        <v>7.67</v>
      </c>
      <c r="D2627" s="4" t="s">
        <v>2687</v>
      </c>
      <c r="E2627" s="3" t="s">
        <v>20</v>
      </c>
      <c r="F2627" s="3">
        <v>2013</v>
      </c>
      <c r="G2627" s="3" t="s">
        <v>12</v>
      </c>
      <c r="H2627" s="3" t="s">
        <v>17</v>
      </c>
      <c r="I2627" s="3" t="s">
        <v>89</v>
      </c>
      <c r="J2627" s="97" t="s">
        <v>3451</v>
      </c>
    </row>
    <row r="2628" spans="1:10" ht="28.9" customHeight="1" thickTop="1" thickBot="1" x14ac:dyDescent="0.65">
      <c r="A2628" s="5">
        <v>2626</v>
      </c>
      <c r="B2628" s="46" t="str">
        <f>HYPERLINK("https://search.naver.com/search.naver?query=조금씩, 천천히 안녕 영화", "조금씩, 천천히 안녕")</f>
        <v>조금씩, 천천히 안녕</v>
      </c>
      <c r="C2628" s="47">
        <v>8</v>
      </c>
      <c r="D2628" s="6" t="s">
        <v>2688</v>
      </c>
      <c r="E2628" s="5" t="s">
        <v>16</v>
      </c>
      <c r="F2628" s="5">
        <v>2019</v>
      </c>
      <c r="G2628" s="5" t="s">
        <v>12</v>
      </c>
      <c r="H2628" s="5" t="s">
        <v>17</v>
      </c>
      <c r="I2628" s="5" t="s">
        <v>111</v>
      </c>
      <c r="J2628" s="98" t="s">
        <v>3444</v>
      </c>
    </row>
    <row r="2629" spans="1:10" ht="28.9" customHeight="1" thickTop="1" thickBot="1" x14ac:dyDescent="0.65">
      <c r="A2629" s="3">
        <v>2627</v>
      </c>
      <c r="B2629" s="44" t="str">
        <f>HYPERLINK("https://search.naver.com/search.naver?query=조난자들 영화", "조난자들")</f>
        <v>조난자들</v>
      </c>
      <c r="C2629" s="45">
        <v>8.44</v>
      </c>
      <c r="D2629" s="4" t="s">
        <v>2689</v>
      </c>
      <c r="E2629" s="3" t="s">
        <v>11</v>
      </c>
      <c r="F2629" s="3">
        <v>2013</v>
      </c>
      <c r="G2629" s="3" t="s">
        <v>12</v>
      </c>
      <c r="H2629" s="3" t="s">
        <v>17</v>
      </c>
      <c r="I2629" s="3" t="s">
        <v>111</v>
      </c>
      <c r="J2629" s="97" t="s">
        <v>3451</v>
      </c>
    </row>
    <row r="2630" spans="1:10" ht="28.9" customHeight="1" thickTop="1" thickBot="1" x14ac:dyDescent="0.65">
      <c r="A2630" s="3">
        <v>2628</v>
      </c>
      <c r="B2630" s="44" t="str">
        <f>HYPERLINK("https://search.naver.com/search.naver?query=조선명탐정 사라진 놉의 딸 영화", "조선명탐정 - 사라진 놉의 딸")</f>
        <v>조선명탐정 - 사라진 놉의 딸</v>
      </c>
      <c r="C2630" s="45">
        <v>8.07</v>
      </c>
      <c r="D2630" s="4" t="s">
        <v>2690</v>
      </c>
      <c r="E2630" s="3" t="s">
        <v>11</v>
      </c>
      <c r="F2630" s="3">
        <v>2014</v>
      </c>
      <c r="G2630" s="3" t="s">
        <v>12</v>
      </c>
      <c r="H2630" s="3" t="s">
        <v>68</v>
      </c>
      <c r="I2630" s="3" t="s">
        <v>214</v>
      </c>
      <c r="J2630" s="97" t="s">
        <v>3437</v>
      </c>
    </row>
    <row r="2631" spans="1:10" ht="28.9" customHeight="1" thickTop="1" thickBot="1" x14ac:dyDescent="0.65">
      <c r="A2631" s="5">
        <v>2629</v>
      </c>
      <c r="B2631" s="46" t="str">
        <f>HYPERLINK("https://search.naver.com/search.naver?query=조선명탐정:각시투구꽃의 비밀 영화", "조선명탐정 각시투구꽃의 비밀")</f>
        <v>조선명탐정 각시투구꽃의 비밀</v>
      </c>
      <c r="C2631" s="47">
        <v>8.1300000000000008</v>
      </c>
      <c r="D2631" s="6" t="s">
        <v>2691</v>
      </c>
      <c r="E2631" s="5" t="s">
        <v>11</v>
      </c>
      <c r="F2631" s="5">
        <v>2011</v>
      </c>
      <c r="G2631" s="5" t="s">
        <v>12</v>
      </c>
      <c r="H2631" s="5" t="s">
        <v>68</v>
      </c>
      <c r="I2631" s="5" t="s">
        <v>47</v>
      </c>
      <c r="J2631" s="98" t="s">
        <v>3454</v>
      </c>
    </row>
    <row r="2632" spans="1:10" ht="28.9" customHeight="1" thickTop="1" thickBot="1" x14ac:dyDescent="0.65">
      <c r="A2632" s="5">
        <v>2630</v>
      </c>
      <c r="B2632" s="46" t="str">
        <f>HYPERLINK("https://search.naver.com/search.naver?query=조선명탐정 흡혈 괴마의 비밀 영화", "조선명탐정-흡혈 괴마의 비밀")</f>
        <v>조선명탐정-흡혈 괴마의 비밀</v>
      </c>
      <c r="C2632" s="47">
        <v>7.51</v>
      </c>
      <c r="D2632" s="6" t="s">
        <v>2692</v>
      </c>
      <c r="E2632" s="5" t="s">
        <v>11</v>
      </c>
      <c r="F2632" s="5">
        <v>2017</v>
      </c>
      <c r="G2632" s="5" t="s">
        <v>12</v>
      </c>
      <c r="H2632" s="5" t="s">
        <v>68</v>
      </c>
      <c r="I2632" s="5" t="s">
        <v>86</v>
      </c>
      <c r="J2632" s="98" t="s">
        <v>3443</v>
      </c>
    </row>
    <row r="2633" spans="1:10" ht="28.9" customHeight="1" thickTop="1" thickBot="1" x14ac:dyDescent="0.65">
      <c r="A2633" s="3">
        <v>2631</v>
      </c>
      <c r="B2633" s="44" t="str">
        <f>HYPERLINK("https://search.naver.com/search.naver?query=조이 영화", "조이")</f>
        <v>조이</v>
      </c>
      <c r="C2633" s="45">
        <v>7.94</v>
      </c>
      <c r="D2633" s="4" t="s">
        <v>2693</v>
      </c>
      <c r="E2633" s="3" t="s">
        <v>20</v>
      </c>
      <c r="F2633" s="3">
        <v>2015</v>
      </c>
      <c r="G2633" s="3" t="s">
        <v>12</v>
      </c>
      <c r="H2633" s="3" t="s">
        <v>17</v>
      </c>
      <c r="I2633" s="3" t="s">
        <v>134</v>
      </c>
      <c r="J2633" s="97" t="s">
        <v>3440</v>
      </c>
    </row>
    <row r="2634" spans="1:10" ht="28.9" customHeight="1" thickTop="1" thickBot="1" x14ac:dyDescent="0.65">
      <c r="A2634" s="5">
        <v>2632</v>
      </c>
      <c r="B2634" s="46" t="str">
        <f>HYPERLINK("https://search.naver.com/search.naver?query=조제, 호랑이 그리고 물고기들 영화", "조제, 호랑이 그리고 물고기들")</f>
        <v>조제, 호랑이 그리고 물고기들</v>
      </c>
      <c r="C2634" s="47">
        <v>9.1300000000000008</v>
      </c>
      <c r="D2634" s="6" t="s">
        <v>2694</v>
      </c>
      <c r="E2634" s="5" t="s">
        <v>16</v>
      </c>
      <c r="F2634" s="5">
        <v>2020</v>
      </c>
      <c r="G2634" s="5" t="s">
        <v>12</v>
      </c>
      <c r="H2634" s="5" t="s">
        <v>121</v>
      </c>
      <c r="I2634" s="5" t="s">
        <v>14</v>
      </c>
      <c r="J2634" s="98" t="s">
        <v>3436</v>
      </c>
    </row>
    <row r="2635" spans="1:10" ht="28.9" customHeight="1" thickTop="1" thickBot="1" x14ac:dyDescent="0.65">
      <c r="A2635" s="3">
        <v>2633</v>
      </c>
      <c r="B2635" s="44" t="str">
        <f>HYPERLINK("https://search.naver.com/search.naver?query=조조 래빗 영화", "조조 래빗")</f>
        <v>조조 래빗</v>
      </c>
      <c r="C2635" s="45">
        <v>9.0399999999999991</v>
      </c>
      <c r="D2635" s="4" t="s">
        <v>2695</v>
      </c>
      <c r="E2635" s="3" t="s">
        <v>20</v>
      </c>
      <c r="F2635" s="3">
        <v>2019</v>
      </c>
      <c r="G2635" s="3" t="s">
        <v>12</v>
      </c>
      <c r="H2635" s="3" t="s">
        <v>68</v>
      </c>
      <c r="I2635" s="3" t="s">
        <v>31</v>
      </c>
      <c r="J2635" s="97" t="s">
        <v>3444</v>
      </c>
    </row>
    <row r="2636" spans="1:10" ht="28.9" customHeight="1" thickTop="1" thickBot="1" x14ac:dyDescent="0.65">
      <c r="A2636" s="5">
        <v>2634</v>
      </c>
      <c r="B2636" s="46" t="str">
        <f>HYPERLINK("https://search.naver.com/search.naver?query=조지타운 영화", "조지타운")</f>
        <v>조지타운</v>
      </c>
      <c r="C2636" s="47">
        <v>6.4</v>
      </c>
      <c r="D2636" s="6" t="s">
        <v>2696</v>
      </c>
      <c r="E2636" s="5" t="s">
        <v>20</v>
      </c>
      <c r="F2636" s="5">
        <v>2019</v>
      </c>
      <c r="G2636" s="5" t="s">
        <v>12</v>
      </c>
      <c r="H2636" s="5" t="s">
        <v>17</v>
      </c>
      <c r="I2636" s="5" t="s">
        <v>81</v>
      </c>
      <c r="J2636" s="98" t="s">
        <v>3444</v>
      </c>
    </row>
    <row r="2637" spans="1:10" ht="28.9" customHeight="1" thickTop="1" thickBot="1" x14ac:dyDescent="0.65">
      <c r="A2637" s="3">
        <v>2635</v>
      </c>
      <c r="B2637" s="44" t="str">
        <f>HYPERLINK("https://search.naver.com/search.naver?query=조커 영화", "조커")</f>
        <v>조커</v>
      </c>
      <c r="C2637" s="45">
        <v>6.54</v>
      </c>
      <c r="D2637" s="4" t="s">
        <v>2697</v>
      </c>
      <c r="E2637" s="3" t="s">
        <v>20</v>
      </c>
      <c r="F2637" s="3">
        <v>2019</v>
      </c>
      <c r="G2637" s="3" t="s">
        <v>12</v>
      </c>
      <c r="H2637" s="3" t="s">
        <v>17</v>
      </c>
      <c r="I2637" s="3" t="s">
        <v>105</v>
      </c>
      <c r="J2637" s="97" t="s">
        <v>3444</v>
      </c>
    </row>
    <row r="2638" spans="1:10" ht="28.9" customHeight="1" thickTop="1" thickBot="1" x14ac:dyDescent="0.65">
      <c r="A2638" s="5">
        <v>2636</v>
      </c>
      <c r="B2638" s="46" t="str">
        <f>HYPERLINK("https://search.naver.com/search.naver?query=존 라베 난징 대학살 영화", "존 라베 - 난징 대학살")</f>
        <v>존 라베 - 난징 대학살</v>
      </c>
      <c r="C2638" s="47">
        <v>8.43</v>
      </c>
      <c r="D2638" s="6" t="s">
        <v>2698</v>
      </c>
      <c r="E2638" s="5" t="s">
        <v>136</v>
      </c>
      <c r="F2638" s="5">
        <v>2009</v>
      </c>
      <c r="G2638" s="5" t="s">
        <v>12</v>
      </c>
      <c r="H2638" s="5" t="s">
        <v>17</v>
      </c>
      <c r="I2638" s="5" t="s">
        <v>543</v>
      </c>
      <c r="J2638" s="98" t="s">
        <v>3453</v>
      </c>
    </row>
    <row r="2639" spans="1:10" ht="28.9" customHeight="1" thickTop="1" thickBot="1" x14ac:dyDescent="0.65">
      <c r="A2639" s="3">
        <v>2637</v>
      </c>
      <c r="B2639" s="44" t="str">
        <f>HYPERLINK("https://search.naver.com/search.naver?query=존 오브 인터레스트 영화", "존 오브 인터레스트")</f>
        <v>존 오브 인터레스트</v>
      </c>
      <c r="C2639" s="45">
        <v>8.83</v>
      </c>
      <c r="D2639" s="4" t="s">
        <v>2699</v>
      </c>
      <c r="E2639" s="3" t="s">
        <v>24</v>
      </c>
      <c r="F2639" s="3">
        <v>2023</v>
      </c>
      <c r="G2639" s="3" t="s">
        <v>12</v>
      </c>
      <c r="H2639" s="3" t="s">
        <v>17</v>
      </c>
      <c r="I2639" s="3" t="s">
        <v>128</v>
      </c>
      <c r="J2639" s="97" t="s">
        <v>3446</v>
      </c>
    </row>
    <row r="2640" spans="1:10" ht="28.9" customHeight="1" thickTop="1" thickBot="1" x14ac:dyDescent="0.65">
      <c r="A2640" s="5">
        <v>2638</v>
      </c>
      <c r="B2640" s="46" t="str">
        <f>HYPERLINK("https://search.naver.com/search.naver?query=존 윅 영화", "존 윅")</f>
        <v>존 윅</v>
      </c>
      <c r="C2640" s="47">
        <v>8.26</v>
      </c>
      <c r="D2640" s="6" t="s">
        <v>2700</v>
      </c>
      <c r="E2640" s="5" t="s">
        <v>20</v>
      </c>
      <c r="F2640" s="5">
        <v>2014</v>
      </c>
      <c r="G2640" s="5" t="s">
        <v>12</v>
      </c>
      <c r="H2640" s="5" t="s">
        <v>92</v>
      </c>
      <c r="I2640" s="5" t="s">
        <v>70</v>
      </c>
      <c r="J2640" s="98" t="s">
        <v>3437</v>
      </c>
    </row>
    <row r="2641" spans="1:10" ht="28.9" customHeight="1" thickTop="1" thickBot="1" x14ac:dyDescent="0.65">
      <c r="A2641" s="3">
        <v>2639</v>
      </c>
      <c r="B2641" s="44" t="str">
        <f>HYPERLINK("https://search.naver.com/search.naver?query=존시스 영화", "존시스")</f>
        <v>존시스</v>
      </c>
      <c r="C2641" s="45">
        <v>6.4</v>
      </c>
      <c r="D2641" s="4"/>
      <c r="E2641" s="3" t="s">
        <v>20</v>
      </c>
      <c r="F2641" s="3">
        <v>2009</v>
      </c>
      <c r="G2641" s="3" t="s">
        <v>12</v>
      </c>
      <c r="H2641" s="3" t="s">
        <v>17</v>
      </c>
      <c r="I2641" s="3" t="s">
        <v>111</v>
      </c>
      <c r="J2641" s="97" t="s">
        <v>3453</v>
      </c>
    </row>
    <row r="2642" spans="1:10" ht="28.9" customHeight="1" thickTop="1" thickBot="1" x14ac:dyDescent="0.65">
      <c r="A2642" s="5">
        <v>2640</v>
      </c>
      <c r="B2642" s="46" t="str">
        <f>HYPERLINK("https://search.naver.com/search.naver?query=종의 신탁 영화", "종의 신탁")</f>
        <v>종의 신탁</v>
      </c>
      <c r="C2642" s="47">
        <v>6.4</v>
      </c>
      <c r="D2642" s="6" t="s">
        <v>2701</v>
      </c>
      <c r="E2642" s="5" t="s">
        <v>16</v>
      </c>
      <c r="F2642" s="5">
        <v>2012</v>
      </c>
      <c r="G2642" s="5" t="s">
        <v>12</v>
      </c>
      <c r="H2642" s="5" t="s">
        <v>17</v>
      </c>
      <c r="I2642" s="5" t="s">
        <v>952</v>
      </c>
      <c r="J2642" s="98" t="s">
        <v>3439</v>
      </c>
    </row>
    <row r="2643" spans="1:10" ht="28.9" customHeight="1" thickTop="1" thickBot="1" x14ac:dyDescent="0.65">
      <c r="A2643" s="3">
        <v>2641</v>
      </c>
      <c r="B2643" s="44" t="str">
        <f>HYPERLINK("https://search.naver.com/search.naver?query=종이 달 영화", "종이 달")</f>
        <v>종이 달</v>
      </c>
      <c r="C2643" s="45">
        <v>8.1999999999999993</v>
      </c>
      <c r="D2643" s="4" t="s">
        <v>2702</v>
      </c>
      <c r="E2643" s="3" t="s">
        <v>16</v>
      </c>
      <c r="F2643" s="3">
        <v>2014</v>
      </c>
      <c r="G2643" s="3" t="s">
        <v>12</v>
      </c>
      <c r="H2643" s="3" t="s">
        <v>17</v>
      </c>
      <c r="I2643" s="3" t="s">
        <v>78</v>
      </c>
      <c r="J2643" s="97" t="s">
        <v>3437</v>
      </c>
    </row>
    <row r="2644" spans="1:10" ht="28.9" customHeight="1" thickTop="1" thickBot="1" x14ac:dyDescent="0.65">
      <c r="A2644" s="5">
        <v>2642</v>
      </c>
      <c r="B2644" s="46" t="str">
        <f>HYPERLINK("https://search.naver.com/search.naver?query=종이꽃 영화", "종이꽃")</f>
        <v>종이꽃</v>
      </c>
      <c r="C2644" s="47">
        <v>9.6</v>
      </c>
      <c r="D2644" s="6" t="s">
        <v>2703</v>
      </c>
      <c r="E2644" s="5" t="s">
        <v>11</v>
      </c>
      <c r="F2644" s="5">
        <v>2019</v>
      </c>
      <c r="G2644" s="5" t="s">
        <v>12</v>
      </c>
      <c r="H2644" s="5" t="s">
        <v>17</v>
      </c>
      <c r="I2644" s="5" t="s">
        <v>111</v>
      </c>
      <c r="J2644" s="98" t="s">
        <v>3444</v>
      </c>
    </row>
    <row r="2645" spans="1:10" ht="28.9" customHeight="1" thickTop="1" thickBot="1" x14ac:dyDescent="0.65">
      <c r="A2645" s="7">
        <v>2643</v>
      </c>
      <c r="B2645" s="48" t="str">
        <f>HYPERLINK("https://search.naver.com/search.naver?query=종이의 집 시즌1", "종이의 집 시즌1")</f>
        <v>종이의 집 시즌1</v>
      </c>
      <c r="C2645" s="49"/>
      <c r="D2645" s="8" t="s">
        <v>2704</v>
      </c>
      <c r="E2645" s="7" t="s">
        <v>30</v>
      </c>
      <c r="F2645" s="7">
        <v>2017</v>
      </c>
      <c r="G2645" s="7" t="s">
        <v>17</v>
      </c>
      <c r="H2645" s="7" t="s">
        <v>162</v>
      </c>
      <c r="I2645" s="7" t="s">
        <v>242</v>
      </c>
      <c r="J2645" s="99" t="s">
        <v>3443</v>
      </c>
    </row>
    <row r="2646" spans="1:10" ht="28.9" customHeight="1" thickTop="1" thickBot="1" x14ac:dyDescent="0.65">
      <c r="A2646" s="7">
        <v>2644</v>
      </c>
      <c r="B2646" s="48" t="str">
        <f>HYPERLINK("https://search.naver.com/search.naver?query=종이의 집 시즌2", "종이의 집 시즌2")</f>
        <v>종이의 집 시즌2</v>
      </c>
      <c r="C2646" s="49"/>
      <c r="D2646" s="8" t="s">
        <v>2704</v>
      </c>
      <c r="E2646" s="7" t="s">
        <v>30</v>
      </c>
      <c r="F2646" s="7">
        <v>2017</v>
      </c>
      <c r="G2646" s="7" t="s">
        <v>17</v>
      </c>
      <c r="H2646" s="7" t="s">
        <v>162</v>
      </c>
      <c r="I2646" s="7" t="s">
        <v>173</v>
      </c>
      <c r="J2646" s="99" t="s">
        <v>3443</v>
      </c>
    </row>
    <row r="2647" spans="1:10" ht="28.9" customHeight="1" thickTop="1" thickBot="1" x14ac:dyDescent="0.65">
      <c r="A2647" s="7">
        <v>2645</v>
      </c>
      <c r="B2647" s="48" t="str">
        <f>HYPERLINK("https://search.naver.com/search.naver?query=종이의 집 시즌3", "종이의 집 시즌3")</f>
        <v>종이의 집 시즌3</v>
      </c>
      <c r="C2647" s="49"/>
      <c r="D2647" s="8" t="s">
        <v>2704</v>
      </c>
      <c r="E2647" s="7" t="s">
        <v>30</v>
      </c>
      <c r="F2647" s="7">
        <v>2019</v>
      </c>
      <c r="G2647" s="7" t="s">
        <v>17</v>
      </c>
      <c r="H2647" s="7" t="s">
        <v>162</v>
      </c>
      <c r="I2647" s="7" t="s">
        <v>55</v>
      </c>
      <c r="J2647" s="99" t="s">
        <v>3444</v>
      </c>
    </row>
    <row r="2648" spans="1:10" ht="28.9" customHeight="1" thickTop="1" thickBot="1" x14ac:dyDescent="0.65">
      <c r="A2648" s="7">
        <v>2646</v>
      </c>
      <c r="B2648" s="48" t="str">
        <f>HYPERLINK("https://search.naver.com/search.naver?query=종이의 집 시즌4", "종이의 집 시즌4")</f>
        <v>종이의 집 시즌4</v>
      </c>
      <c r="C2648" s="49"/>
      <c r="D2648" s="8" t="s">
        <v>2704</v>
      </c>
      <c r="E2648" s="7" t="s">
        <v>30</v>
      </c>
      <c r="F2648" s="7">
        <v>2020</v>
      </c>
      <c r="G2648" s="7" t="s">
        <v>17</v>
      </c>
      <c r="H2648" s="7" t="s">
        <v>162</v>
      </c>
      <c r="I2648" s="7" t="s">
        <v>55</v>
      </c>
      <c r="J2648" s="99" t="s">
        <v>3436</v>
      </c>
    </row>
    <row r="2649" spans="1:10" ht="28.9" customHeight="1" thickTop="1" thickBot="1" x14ac:dyDescent="0.65">
      <c r="A2649" s="7">
        <v>2647</v>
      </c>
      <c r="B2649" s="48" t="str">
        <f>HYPERLINK("https://search.naver.com/search.naver?query=종이의 집 시즌5", "종이의 집 시즌5")</f>
        <v>종이의 집 시즌5</v>
      </c>
      <c r="C2649" s="49"/>
      <c r="D2649" s="8" t="s">
        <v>2705</v>
      </c>
      <c r="E2649" s="7" t="s">
        <v>30</v>
      </c>
      <c r="F2649" s="7">
        <v>2021</v>
      </c>
      <c r="G2649" s="7" t="s">
        <v>17</v>
      </c>
      <c r="H2649" s="7" t="s">
        <v>162</v>
      </c>
      <c r="I2649" s="7" t="s">
        <v>50</v>
      </c>
      <c r="J2649" s="99" t="s">
        <v>3438</v>
      </c>
    </row>
    <row r="2650" spans="1:10" ht="28.9" customHeight="1" thickTop="1" thickBot="1" x14ac:dyDescent="0.65">
      <c r="A2650" s="5">
        <v>2648</v>
      </c>
      <c r="B2650" s="46" t="str">
        <f>HYPERLINK("https://search.naver.com/search.naver?query=좋은 날 영화", "좋은 날")</f>
        <v>좋은 날</v>
      </c>
      <c r="C2650" s="47">
        <v>6.5</v>
      </c>
      <c r="D2650" s="6" t="s">
        <v>2706</v>
      </c>
      <c r="E2650" s="5" t="s">
        <v>11</v>
      </c>
      <c r="F2650" s="5">
        <v>2014</v>
      </c>
      <c r="G2650" s="5" t="s">
        <v>12</v>
      </c>
      <c r="H2650" s="5" t="s">
        <v>17</v>
      </c>
      <c r="I2650" s="5" t="s">
        <v>111</v>
      </c>
      <c r="J2650" s="98" t="s">
        <v>3437</v>
      </c>
    </row>
    <row r="2651" spans="1:10" ht="28.9" customHeight="1" thickTop="1" thickBot="1" x14ac:dyDescent="0.65">
      <c r="A2651" s="3">
        <v>2649</v>
      </c>
      <c r="B2651" s="44" t="str">
        <f>HYPERLINK("https://search.naver.com/search.naver?query=좋은 놈, 나쁜 놈, 이상한 놈 영화", "좋은 놈, 나쁜 놈, 이상한 놈")</f>
        <v>좋은 놈, 나쁜 놈, 이상한 놈</v>
      </c>
      <c r="C2651" s="45">
        <v>7.75</v>
      </c>
      <c r="D2651" s="4" t="s">
        <v>2707</v>
      </c>
      <c r="E2651" s="3" t="s">
        <v>11</v>
      </c>
      <c r="F2651" s="3">
        <v>2008</v>
      </c>
      <c r="G2651" s="3" t="s">
        <v>12</v>
      </c>
      <c r="H2651" s="3" t="s">
        <v>92</v>
      </c>
      <c r="I2651" s="3" t="s">
        <v>305</v>
      </c>
      <c r="J2651" s="97" t="s">
        <v>3450</v>
      </c>
    </row>
    <row r="2652" spans="1:10" ht="28.9" customHeight="1" thickTop="1" thickBot="1" x14ac:dyDescent="0.65">
      <c r="A2652" s="5">
        <v>2650</v>
      </c>
      <c r="B2652" s="46" t="str">
        <f>HYPERLINK("https://search.naver.com/search.naver?query=주디 영화", "주디")</f>
        <v>주디</v>
      </c>
      <c r="C2652" s="47">
        <v>9.2200000000000006</v>
      </c>
      <c r="D2652" s="6" t="s">
        <v>2708</v>
      </c>
      <c r="E2652" s="5" t="s">
        <v>24</v>
      </c>
      <c r="F2652" s="5">
        <v>2019</v>
      </c>
      <c r="G2652" s="5" t="s">
        <v>12</v>
      </c>
      <c r="H2652" s="5" t="s">
        <v>17</v>
      </c>
      <c r="I2652" s="5" t="s">
        <v>221</v>
      </c>
      <c r="J2652" s="98" t="s">
        <v>3444</v>
      </c>
    </row>
    <row r="2653" spans="1:10" ht="28.9" customHeight="1" thickTop="1" thickBot="1" x14ac:dyDescent="0.65">
      <c r="A2653" s="7">
        <v>2651</v>
      </c>
      <c r="B2653" s="48" t="str">
        <f>HYPERLINK("https://search.naver.com/search.naver?query=주재원 시즌1", "주재원")</f>
        <v>주재원</v>
      </c>
      <c r="C2653" s="49"/>
      <c r="D2653" s="8" t="s">
        <v>2709</v>
      </c>
      <c r="E2653" s="7" t="s">
        <v>20</v>
      </c>
      <c r="F2653" s="7">
        <v>2024</v>
      </c>
      <c r="G2653" s="7" t="s">
        <v>17</v>
      </c>
      <c r="H2653" s="7" t="s">
        <v>17</v>
      </c>
      <c r="I2653" s="7" t="s">
        <v>173</v>
      </c>
      <c r="J2653" s="99" t="s">
        <v>3448</v>
      </c>
    </row>
    <row r="2654" spans="1:10" ht="28.9" customHeight="1" thickTop="1" thickBot="1" x14ac:dyDescent="0.65">
      <c r="A2654" s="5">
        <v>2652</v>
      </c>
      <c r="B2654" s="46" t="str">
        <f>HYPERLINK("https://search.naver.com/search.naver?query=주키퍼스 와이프 영화", "주키퍼스 와이프")</f>
        <v>주키퍼스 와이프</v>
      </c>
      <c r="C2654" s="47">
        <v>8.58</v>
      </c>
      <c r="D2654" s="6" t="s">
        <v>2710</v>
      </c>
      <c r="E2654" s="5" t="s">
        <v>20</v>
      </c>
      <c r="F2654" s="5">
        <v>2017</v>
      </c>
      <c r="G2654" s="5" t="s">
        <v>12</v>
      </c>
      <c r="H2654" s="5" t="s">
        <v>17</v>
      </c>
      <c r="I2654" s="5" t="s">
        <v>78</v>
      </c>
      <c r="J2654" s="98" t="s">
        <v>3443</v>
      </c>
    </row>
    <row r="2655" spans="1:10" ht="28.9" customHeight="1" thickTop="1" thickBot="1" x14ac:dyDescent="0.65">
      <c r="A2655" s="3">
        <v>2653</v>
      </c>
      <c r="B2655" s="44" t="str">
        <f>HYPERLINK("https://search.naver.com/search.naver?query=죽은 시인의 사회 영화", "죽은 시인의 사회")</f>
        <v>죽은 시인의 사회</v>
      </c>
      <c r="C2655" s="45">
        <v>9.19</v>
      </c>
      <c r="D2655" s="4" t="s">
        <v>2711</v>
      </c>
      <c r="E2655" s="3" t="s">
        <v>20</v>
      </c>
      <c r="F2655" s="3">
        <v>1989</v>
      </c>
      <c r="G2655" s="3" t="s">
        <v>12</v>
      </c>
      <c r="H2655" s="3" t="s">
        <v>17</v>
      </c>
      <c r="I2655" s="3" t="s">
        <v>108</v>
      </c>
      <c r="J2655" s="97" t="s">
        <v>3477</v>
      </c>
    </row>
    <row r="2656" spans="1:10" ht="28.9" customHeight="1" thickTop="1" thickBot="1" x14ac:dyDescent="0.65">
      <c r="A2656" s="5">
        <v>2654</v>
      </c>
      <c r="B2656" s="46" t="str">
        <f>HYPERLINK("https://search.naver.com/search.naver?query=죽을 때까지 영화", "죽을 때까지")</f>
        <v>죽을 때까지</v>
      </c>
      <c r="C2656" s="47">
        <v>6.45</v>
      </c>
      <c r="D2656" s="6" t="s">
        <v>2712</v>
      </c>
      <c r="E2656" s="5" t="s">
        <v>20</v>
      </c>
      <c r="F2656" s="5">
        <v>2021</v>
      </c>
      <c r="G2656" s="5" t="s">
        <v>12</v>
      </c>
      <c r="H2656" s="5" t="s">
        <v>43</v>
      </c>
      <c r="I2656" s="5" t="s">
        <v>231</v>
      </c>
      <c r="J2656" s="98" t="s">
        <v>3438</v>
      </c>
    </row>
    <row r="2657" spans="1:10" ht="28.9" customHeight="1" thickTop="1" thickBot="1" x14ac:dyDescent="0.65">
      <c r="A2657" s="3">
        <v>2655</v>
      </c>
      <c r="B2657" s="44" t="str">
        <f>HYPERLINK("https://search.naver.com/search.naver?query=줄다리기2012 일본영화", "줄다리기")</f>
        <v>줄다리기</v>
      </c>
      <c r="C2657" s="45"/>
      <c r="D2657" s="4" t="s">
        <v>2713</v>
      </c>
      <c r="E2657" s="3" t="s">
        <v>16</v>
      </c>
      <c r="F2657" s="3">
        <v>2012</v>
      </c>
      <c r="G2657" s="3" t="s">
        <v>12</v>
      </c>
      <c r="H2657" s="3" t="s">
        <v>17</v>
      </c>
      <c r="I2657" s="3" t="s">
        <v>111</v>
      </c>
      <c r="J2657" s="97" t="s">
        <v>3439</v>
      </c>
    </row>
    <row r="2658" spans="1:10" ht="28.9" customHeight="1" thickTop="1" thickBot="1" x14ac:dyDescent="0.65">
      <c r="A2658" s="5">
        <v>2656</v>
      </c>
      <c r="B2658" s="46" t="str">
        <f>HYPERLINK("https://search.naver.com/search.naver?query=줄리&amp; 줄리아 영화", "줄리 &amp; 줄리아")</f>
        <v>줄리 &amp; 줄리아</v>
      </c>
      <c r="C2658" s="47">
        <v>8.69</v>
      </c>
      <c r="D2658" s="6" t="s">
        <v>2714</v>
      </c>
      <c r="E2658" s="5" t="s">
        <v>20</v>
      </c>
      <c r="F2658" s="5">
        <v>2009</v>
      </c>
      <c r="G2658" s="5" t="s">
        <v>12</v>
      </c>
      <c r="H2658" s="5" t="s">
        <v>17</v>
      </c>
      <c r="I2658" s="5" t="s">
        <v>58</v>
      </c>
      <c r="J2658" s="98" t="s">
        <v>3453</v>
      </c>
    </row>
    <row r="2659" spans="1:10" ht="28.9" customHeight="1" thickTop="1" thickBot="1" x14ac:dyDescent="0.65">
      <c r="A2659" s="3">
        <v>2657</v>
      </c>
      <c r="B2659" s="44" t="str">
        <f>HYPERLINK("https://search.naver.com/search.naver?query=줄리아의 눈 영화", "줄리아의 눈")</f>
        <v>줄리아의 눈</v>
      </c>
      <c r="C2659" s="45">
        <v>7.9</v>
      </c>
      <c r="D2659" s="4" t="s">
        <v>2715</v>
      </c>
      <c r="E2659" s="3" t="s">
        <v>30</v>
      </c>
      <c r="F2659" s="3">
        <v>2010</v>
      </c>
      <c r="G2659" s="3" t="s">
        <v>12</v>
      </c>
      <c r="H2659" s="3" t="s">
        <v>43</v>
      </c>
      <c r="I2659" s="3" t="s">
        <v>278</v>
      </c>
      <c r="J2659" s="97" t="s">
        <v>3455</v>
      </c>
    </row>
    <row r="2660" spans="1:10" ht="28.9" customHeight="1" thickTop="1" thickBot="1" x14ac:dyDescent="0.65">
      <c r="A2660" s="5">
        <v>2658</v>
      </c>
      <c r="B2660" s="46" t="str">
        <f>HYPERLINK("https://search.naver.com/search.naver?query=줄무늬 파자마를 입은 소년 영화", "줄무늬 파자마를 입은 소년")</f>
        <v>줄무늬 파자마를 입은 소년</v>
      </c>
      <c r="C2660" s="47">
        <v>3</v>
      </c>
      <c r="D2660" s="6" t="s">
        <v>2716</v>
      </c>
      <c r="E2660" s="5" t="s">
        <v>24</v>
      </c>
      <c r="F2660" s="5">
        <v>2008</v>
      </c>
      <c r="G2660" s="5" t="s">
        <v>12</v>
      </c>
      <c r="H2660" s="5" t="s">
        <v>17</v>
      </c>
      <c r="I2660" s="5" t="s">
        <v>300</v>
      </c>
      <c r="J2660" s="98" t="s">
        <v>3450</v>
      </c>
    </row>
    <row r="2661" spans="1:10" ht="28.9" customHeight="1" thickTop="1" thickBot="1" x14ac:dyDescent="0.65">
      <c r="A2661" s="7">
        <v>2659</v>
      </c>
      <c r="B2661" s="48" t="str">
        <f>HYPERLINK("https://search.naver.com/search.naver?query=중증외상센터 드라마", "중증외상센터")</f>
        <v>중증외상센터</v>
      </c>
      <c r="C2661" s="49"/>
      <c r="D2661" s="8" t="s">
        <v>2717</v>
      </c>
      <c r="E2661" s="7" t="s">
        <v>11</v>
      </c>
      <c r="F2661" s="7">
        <v>2025</v>
      </c>
      <c r="G2661" s="7" t="s">
        <v>17</v>
      </c>
      <c r="H2661" s="7" t="s">
        <v>17</v>
      </c>
      <c r="I2661" s="7" t="s">
        <v>55</v>
      </c>
      <c r="J2661" s="99" t="s">
        <v>3459</v>
      </c>
    </row>
    <row r="2662" spans="1:10" ht="28.9" customHeight="1" thickTop="1" thickBot="1" x14ac:dyDescent="0.65">
      <c r="A2662" s="5">
        <v>2660</v>
      </c>
      <c r="B2662" s="46" t="str">
        <f>HYPERLINK("https://search.naver.com/search.naver?query=쥬라기 월드 영화", "쥬라기 월드")</f>
        <v>쥬라기 월드</v>
      </c>
      <c r="C2662" s="47">
        <v>6.66</v>
      </c>
      <c r="D2662" s="6" t="s">
        <v>2718</v>
      </c>
      <c r="E2662" s="5" t="s">
        <v>20</v>
      </c>
      <c r="F2662" s="5">
        <v>2015</v>
      </c>
      <c r="G2662" s="5" t="s">
        <v>12</v>
      </c>
      <c r="H2662" s="5" t="s">
        <v>92</v>
      </c>
      <c r="I2662" s="5" t="s">
        <v>134</v>
      </c>
      <c r="J2662" s="98" t="s">
        <v>3440</v>
      </c>
    </row>
    <row r="2663" spans="1:10" ht="28.9" customHeight="1" thickTop="1" thickBot="1" x14ac:dyDescent="0.65">
      <c r="A2663" s="3">
        <v>2661</v>
      </c>
      <c r="B2663" s="44" t="str">
        <f>HYPERLINK("https://search.naver.com/search.naver?query=쥬라기 월드 도미니언 영화", "쥬라기 월드-도미니언")</f>
        <v>쥬라기 월드-도미니언</v>
      </c>
      <c r="C2663" s="45">
        <v>6.76</v>
      </c>
      <c r="D2663" s="4" t="s">
        <v>2719</v>
      </c>
      <c r="E2663" s="3" t="s">
        <v>20</v>
      </c>
      <c r="F2663" s="3">
        <v>2022</v>
      </c>
      <c r="G2663" s="3" t="s">
        <v>12</v>
      </c>
      <c r="H2663" s="3" t="s">
        <v>92</v>
      </c>
      <c r="I2663" s="3" t="s">
        <v>157</v>
      </c>
      <c r="J2663" s="97" t="s">
        <v>3445</v>
      </c>
    </row>
    <row r="2664" spans="1:10" ht="28.9" customHeight="1" thickTop="1" thickBot="1" x14ac:dyDescent="0.65">
      <c r="A2664" s="5">
        <v>2662</v>
      </c>
      <c r="B2664" s="46" t="str">
        <f>HYPERLINK("https://search.naver.com/search.naver?query=쥬라기 월드 새로운 시작 영화", "쥬라기 월드-새로운 시작")</f>
        <v>쥬라기 월드-새로운 시작</v>
      </c>
      <c r="C2664" s="47">
        <v>6.66</v>
      </c>
      <c r="D2664" s="6" t="s">
        <v>2720</v>
      </c>
      <c r="E2664" s="5" t="s">
        <v>20</v>
      </c>
      <c r="F2664" s="5">
        <v>2025</v>
      </c>
      <c r="G2664" s="5" t="s">
        <v>12</v>
      </c>
      <c r="H2664" s="5" t="s">
        <v>92</v>
      </c>
      <c r="I2664" s="5" t="s">
        <v>86</v>
      </c>
      <c r="J2664" s="98" t="s">
        <v>3459</v>
      </c>
    </row>
    <row r="2665" spans="1:10" ht="28.9" customHeight="1" thickTop="1" thickBot="1" x14ac:dyDescent="0.65">
      <c r="A2665" s="3">
        <v>2663</v>
      </c>
      <c r="B2665" s="44" t="str">
        <f>HYPERLINK("https://search.naver.com/search.naver?query=쥬라기 월드 폴른 킹덤 영화", "쥬라기 월드-폴른 킹덤")</f>
        <v>쥬라기 월드-폴른 킹덤</v>
      </c>
      <c r="C2665" s="45">
        <v>8.5500000000000007</v>
      </c>
      <c r="D2665" s="4" t="s">
        <v>2721</v>
      </c>
      <c r="E2665" s="3" t="s">
        <v>20</v>
      </c>
      <c r="F2665" s="3">
        <v>2018</v>
      </c>
      <c r="G2665" s="3" t="s">
        <v>12</v>
      </c>
      <c r="H2665" s="3" t="s">
        <v>92</v>
      </c>
      <c r="I2665" s="3" t="s">
        <v>108</v>
      </c>
      <c r="J2665" s="97" t="s">
        <v>3442</v>
      </c>
    </row>
    <row r="2666" spans="1:10" ht="28.9" customHeight="1" thickTop="1" thickBot="1" x14ac:dyDescent="0.65">
      <c r="A2666" s="5">
        <v>2664</v>
      </c>
      <c r="B2666" s="46" t="str">
        <f>HYPERLINK("https://search.naver.com/search.naver?query=쥬만지 넥스트 레벨 영화", "쥬만지-넥스트 레벨")</f>
        <v>쥬만지-넥스트 레벨</v>
      </c>
      <c r="C2666" s="47">
        <v>7.81</v>
      </c>
      <c r="D2666" s="6" t="s">
        <v>2722</v>
      </c>
      <c r="E2666" s="5" t="s">
        <v>20</v>
      </c>
      <c r="F2666" s="5">
        <v>2019</v>
      </c>
      <c r="G2666" s="5" t="s">
        <v>12</v>
      </c>
      <c r="H2666" s="5" t="s">
        <v>824</v>
      </c>
      <c r="I2666" s="5" t="s">
        <v>58</v>
      </c>
      <c r="J2666" s="98" t="s">
        <v>3444</v>
      </c>
    </row>
    <row r="2667" spans="1:10" ht="28.9" customHeight="1" thickTop="1" thickBot="1" x14ac:dyDescent="0.65">
      <c r="A2667" s="3">
        <v>2665</v>
      </c>
      <c r="B2667" s="44" t="str">
        <f>HYPERLINK("https://search.naver.com/search.naver?query=쥬만지 새로운 세계 영화", "쥬만지-새로운 세계")</f>
        <v>쥬만지-새로운 세계</v>
      </c>
      <c r="C2667" s="45">
        <v>8.4499999999999993</v>
      </c>
      <c r="D2667" s="4" t="s">
        <v>2722</v>
      </c>
      <c r="E2667" s="3" t="s">
        <v>20</v>
      </c>
      <c r="F2667" s="3">
        <v>2017</v>
      </c>
      <c r="G2667" s="3" t="s">
        <v>12</v>
      </c>
      <c r="H2667" s="3" t="s">
        <v>824</v>
      </c>
      <c r="I2667" s="3" t="s">
        <v>53</v>
      </c>
      <c r="J2667" s="97" t="s">
        <v>3443</v>
      </c>
    </row>
    <row r="2668" spans="1:10" ht="28.9" customHeight="1" thickTop="1" thickBot="1" x14ac:dyDescent="0.65">
      <c r="A2668" s="5">
        <v>2666</v>
      </c>
      <c r="B2668" s="46" t="str">
        <f>HYPERLINK("https://search.naver.com/search.naver?query=증인 영화", "증인")</f>
        <v>증인</v>
      </c>
      <c r="C2668" s="47">
        <v>9.16</v>
      </c>
      <c r="D2668" s="6" t="s">
        <v>2723</v>
      </c>
      <c r="E2668" s="5" t="s">
        <v>11</v>
      </c>
      <c r="F2668" s="5">
        <v>2018</v>
      </c>
      <c r="G2668" s="5" t="s">
        <v>12</v>
      </c>
      <c r="H2668" s="5" t="s">
        <v>17</v>
      </c>
      <c r="I2668" s="5" t="s">
        <v>64</v>
      </c>
      <c r="J2668" s="98" t="s">
        <v>3442</v>
      </c>
    </row>
    <row r="2669" spans="1:10" ht="28.9" customHeight="1" thickTop="1" thickBot="1" x14ac:dyDescent="0.65">
      <c r="A2669" s="3">
        <v>2667</v>
      </c>
      <c r="B2669" s="44" t="str">
        <f>HYPERLINK("https://search.naver.com/search.naver?query=지골로 인 뉴욕 영화", "지골로 인 뉴욕")</f>
        <v>지골로 인 뉴욕</v>
      </c>
      <c r="C2669" s="45">
        <v>7.92</v>
      </c>
      <c r="D2669" s="4" t="s">
        <v>2724</v>
      </c>
      <c r="E2669" s="3" t="s">
        <v>20</v>
      </c>
      <c r="F2669" s="3">
        <v>2013</v>
      </c>
      <c r="G2669" s="3" t="s">
        <v>12</v>
      </c>
      <c r="H2669" s="3" t="s">
        <v>68</v>
      </c>
      <c r="I2669" s="3" t="s">
        <v>115</v>
      </c>
      <c r="J2669" s="97" t="s">
        <v>3451</v>
      </c>
    </row>
    <row r="2670" spans="1:10" ht="28.9" customHeight="1" thickTop="1" thickBot="1" x14ac:dyDescent="0.65">
      <c r="A2670" s="5">
        <v>2668</v>
      </c>
      <c r="B2670" s="46" t="str">
        <f>HYPERLINK("https://search.naver.com/search.naver?query=지구 최후의 밤 영화", "지구 최후의 밤")</f>
        <v>지구 최후의 밤</v>
      </c>
      <c r="C2670" s="47">
        <v>7.87</v>
      </c>
      <c r="D2670" s="6" t="s">
        <v>2725</v>
      </c>
      <c r="E2670" s="5" t="s">
        <v>20</v>
      </c>
      <c r="F2670" s="5">
        <v>2018</v>
      </c>
      <c r="G2670" s="5" t="s">
        <v>12</v>
      </c>
      <c r="H2670" s="5" t="s">
        <v>520</v>
      </c>
      <c r="I2670" s="5" t="s">
        <v>111</v>
      </c>
      <c r="J2670" s="98" t="s">
        <v>3442</v>
      </c>
    </row>
    <row r="2671" spans="1:10" ht="28.9" customHeight="1" thickTop="1" thickBot="1" x14ac:dyDescent="0.65">
      <c r="A2671" s="3">
        <v>2669</v>
      </c>
      <c r="B2671" s="44" t="str">
        <f>HYPERLINK("https://search.naver.com/search.naver?query=영화 지금 만나러 갑니다2018", "지금 만나러 갑니다")</f>
        <v>지금 만나러 갑니다</v>
      </c>
      <c r="C2671" s="45">
        <v>6.4</v>
      </c>
      <c r="D2671" s="4" t="s">
        <v>2726</v>
      </c>
      <c r="E2671" s="3" t="s">
        <v>11</v>
      </c>
      <c r="F2671" s="3">
        <v>2018</v>
      </c>
      <c r="G2671" s="3" t="s">
        <v>12</v>
      </c>
      <c r="H2671" s="3" t="s">
        <v>121</v>
      </c>
      <c r="I2671" s="3" t="s">
        <v>350</v>
      </c>
      <c r="J2671" s="97" t="s">
        <v>3442</v>
      </c>
    </row>
    <row r="2672" spans="1:10" ht="28.9" customHeight="1" thickTop="1" thickBot="1" x14ac:dyDescent="0.65">
      <c r="A2672" s="5">
        <v>2670</v>
      </c>
      <c r="B2672" s="46" t="str">
        <f>HYPERLINK("https://search.naver.com/search.naver?query=지금, 만나러 갑니다 영화", "지금, 만나러 갑니다")</f>
        <v>지금, 만나러 갑니다</v>
      </c>
      <c r="C2672" s="47">
        <v>9</v>
      </c>
      <c r="D2672" s="6" t="s">
        <v>2727</v>
      </c>
      <c r="E2672" s="5" t="s">
        <v>16</v>
      </c>
      <c r="F2672" s="5">
        <v>2004</v>
      </c>
      <c r="G2672" s="5" t="s">
        <v>12</v>
      </c>
      <c r="H2672" s="5" t="s">
        <v>121</v>
      </c>
      <c r="I2672" s="5" t="s">
        <v>53</v>
      </c>
      <c r="J2672" s="98" t="s">
        <v>3462</v>
      </c>
    </row>
    <row r="2673" spans="1:10" ht="28.9" customHeight="1" thickTop="1" thickBot="1" x14ac:dyDescent="0.65">
      <c r="A2673" s="3">
        <v>2671</v>
      </c>
      <c r="B2673" s="44" t="str">
        <f>HYPERLINK("https://search.naver.com/search.naver?query=지금, 이대로가 좋아요", "지금, 이대로가 좋아요")</f>
        <v>지금, 이대로가 좋아요</v>
      </c>
      <c r="C2673" s="45">
        <v>7.86</v>
      </c>
      <c r="D2673" s="4" t="s">
        <v>2728</v>
      </c>
      <c r="E2673" s="3" t="s">
        <v>11</v>
      </c>
      <c r="F2673" s="3">
        <v>2008</v>
      </c>
      <c r="G2673" s="3" t="s">
        <v>12</v>
      </c>
      <c r="H2673" s="3" t="s">
        <v>121</v>
      </c>
      <c r="I2673" s="3" t="s">
        <v>111</v>
      </c>
      <c r="J2673" s="97" t="s">
        <v>3450</v>
      </c>
    </row>
    <row r="2674" spans="1:10" ht="28.9" customHeight="1" thickTop="1" thickBot="1" x14ac:dyDescent="0.65">
      <c r="A2674" s="5">
        <v>2672</v>
      </c>
      <c r="B2674" s="46" t="str">
        <f>HYPERLINK("https://search.naver.com/search.naver?query=지니어스 영화", "지니어스")</f>
        <v>지니어스</v>
      </c>
      <c r="C2674" s="47">
        <v>8.11</v>
      </c>
      <c r="D2674" s="6" t="s">
        <v>2729</v>
      </c>
      <c r="E2674" s="5" t="s">
        <v>20</v>
      </c>
      <c r="F2674" s="5">
        <v>2016</v>
      </c>
      <c r="G2674" s="5" t="s">
        <v>12</v>
      </c>
      <c r="H2674" s="5" t="s">
        <v>17</v>
      </c>
      <c r="I2674" s="5" t="s">
        <v>170</v>
      </c>
      <c r="J2674" s="98" t="s">
        <v>3441</v>
      </c>
    </row>
    <row r="2675" spans="1:10" ht="28.9" customHeight="1" thickTop="1" thickBot="1" x14ac:dyDescent="0.65">
      <c r="A2675" s="3">
        <v>2673</v>
      </c>
      <c r="B2675" s="44" t="str">
        <f>HYPERLINK("https://search.naver.com/search.naver?query=지미스 홀 영화", "지미스 홀")</f>
        <v>지미스 홀</v>
      </c>
      <c r="C2675" s="45">
        <v>8.4499999999999993</v>
      </c>
      <c r="D2675" s="4" t="s">
        <v>2730</v>
      </c>
      <c r="E2675" s="3" t="s">
        <v>558</v>
      </c>
      <c r="F2675" s="3">
        <v>2014</v>
      </c>
      <c r="G2675" s="3" t="s">
        <v>12</v>
      </c>
      <c r="H2675" s="3" t="s">
        <v>17</v>
      </c>
      <c r="I2675" s="3" t="s">
        <v>137</v>
      </c>
      <c r="J2675" s="97" t="s">
        <v>3437</v>
      </c>
    </row>
    <row r="2676" spans="1:10" ht="28.9" customHeight="1" thickTop="1" thickBot="1" x14ac:dyDescent="0.65">
      <c r="A2676" s="7">
        <v>2674</v>
      </c>
      <c r="B2676" s="48" t="str">
        <f>HYPERLINK("https://search.naver.com/search.naver?query=지배종 드라마", "지배종")</f>
        <v>지배종</v>
      </c>
      <c r="C2676" s="49"/>
      <c r="D2676" s="8" t="s">
        <v>2731</v>
      </c>
      <c r="E2676" s="7" t="s">
        <v>11</v>
      </c>
      <c r="F2676" s="7">
        <v>2024</v>
      </c>
      <c r="G2676" s="7" t="s">
        <v>17</v>
      </c>
      <c r="H2676" s="7" t="s">
        <v>179</v>
      </c>
      <c r="I2676" s="7" t="s">
        <v>50</v>
      </c>
      <c r="J2676" s="99" t="s">
        <v>3448</v>
      </c>
    </row>
    <row r="2677" spans="1:10" ht="28.9" customHeight="1" thickTop="1" thickBot="1" x14ac:dyDescent="0.65">
      <c r="A2677" s="3">
        <v>2675</v>
      </c>
      <c r="B2677" s="44" t="str">
        <f>HYPERLINK("https://search.naver.com/search.naver?query=지상 최대 맥주배달 작전 영화", "지상 최대 맥주배달 작전")</f>
        <v>지상 최대 맥주배달 작전</v>
      </c>
      <c r="C2677" s="45">
        <v>8.31</v>
      </c>
      <c r="D2677" s="4" t="s">
        <v>2732</v>
      </c>
      <c r="E2677" s="3" t="s">
        <v>20</v>
      </c>
      <c r="F2677" s="3">
        <v>2022</v>
      </c>
      <c r="G2677" s="3" t="s">
        <v>12</v>
      </c>
      <c r="H2677" s="3" t="s">
        <v>721</v>
      </c>
      <c r="I2677" s="3" t="s">
        <v>78</v>
      </c>
      <c r="J2677" s="97" t="s">
        <v>3445</v>
      </c>
    </row>
    <row r="2678" spans="1:10" ht="28.9" customHeight="1" thickTop="1" thickBot="1" x14ac:dyDescent="0.65">
      <c r="A2678" s="5">
        <v>2676</v>
      </c>
      <c r="B2678" s="46" t="str">
        <f>HYPERLINK("https://search.naver.com/search.naver?query=지상의 별처럼 영화", "지상의 별처럼")</f>
        <v>지상의 별처럼</v>
      </c>
      <c r="C2678" s="47">
        <v>9.3699999999999992</v>
      </c>
      <c r="D2678" s="6" t="s">
        <v>2733</v>
      </c>
      <c r="E2678" s="5" t="s">
        <v>361</v>
      </c>
      <c r="F2678" s="5">
        <v>2007</v>
      </c>
      <c r="G2678" s="5" t="s">
        <v>12</v>
      </c>
      <c r="H2678" s="5" t="s">
        <v>17</v>
      </c>
      <c r="I2678" s="5" t="s">
        <v>567</v>
      </c>
      <c r="J2678" s="98" t="s">
        <v>3447</v>
      </c>
    </row>
    <row r="2679" spans="1:10" ht="28.9" customHeight="1" thickTop="1" thickBot="1" x14ac:dyDescent="0.65">
      <c r="A2679" s="3">
        <v>2677</v>
      </c>
      <c r="B2679" s="44" t="str">
        <f>HYPERLINK("https://search.naver.com/search.naver?query=지오스톰 영화", "지오스톰")</f>
        <v>지오스톰</v>
      </c>
      <c r="C2679" s="45">
        <v>8.11</v>
      </c>
      <c r="D2679" s="4" t="s">
        <v>2734</v>
      </c>
      <c r="E2679" s="3" t="s">
        <v>20</v>
      </c>
      <c r="F2679" s="3">
        <v>2017</v>
      </c>
      <c r="G2679" s="3" t="s">
        <v>12</v>
      </c>
      <c r="H2679" s="3" t="s">
        <v>92</v>
      </c>
      <c r="I2679" s="3" t="s">
        <v>137</v>
      </c>
      <c r="J2679" s="97" t="s">
        <v>3443</v>
      </c>
    </row>
    <row r="2680" spans="1:10" ht="28.9" customHeight="1" thickTop="1" thickBot="1" x14ac:dyDescent="0.65">
      <c r="A2680" s="7">
        <v>2678</v>
      </c>
      <c r="B2680" s="48" t="str">
        <f>HYPERLINK("https://search.naver.com/search.naver?query=지옥 시즌1", "지옥 시즌1")</f>
        <v>지옥 시즌1</v>
      </c>
      <c r="C2680" s="49"/>
      <c r="D2680" s="8" t="s">
        <v>2735</v>
      </c>
      <c r="E2680" s="7" t="s">
        <v>11</v>
      </c>
      <c r="F2680" s="7">
        <v>2021</v>
      </c>
      <c r="G2680" s="7" t="s">
        <v>17</v>
      </c>
      <c r="H2680" s="7" t="s">
        <v>2736</v>
      </c>
      <c r="I2680" s="7" t="s">
        <v>173</v>
      </c>
      <c r="J2680" s="99" t="s">
        <v>3438</v>
      </c>
    </row>
    <row r="2681" spans="1:10" ht="28.9" customHeight="1" thickTop="1" thickBot="1" x14ac:dyDescent="0.65">
      <c r="A2681" s="7">
        <v>2679</v>
      </c>
      <c r="B2681" s="48" t="str">
        <f>HYPERLINK("https://search.naver.com/search.naver?query=지옥 시즌2", "지옥 시즌2")</f>
        <v>지옥 시즌2</v>
      </c>
      <c r="C2681" s="49"/>
      <c r="D2681" s="8" t="s">
        <v>2735</v>
      </c>
      <c r="E2681" s="7" t="s">
        <v>11</v>
      </c>
      <c r="F2681" s="7">
        <v>2024</v>
      </c>
      <c r="G2681" s="7" t="s">
        <v>17</v>
      </c>
      <c r="H2681" s="7" t="s">
        <v>2736</v>
      </c>
      <c r="I2681" s="7" t="s">
        <v>173</v>
      </c>
      <c r="J2681" s="99" t="s">
        <v>3448</v>
      </c>
    </row>
    <row r="2682" spans="1:10" ht="28.9" customHeight="1" thickTop="1" thickBot="1" x14ac:dyDescent="0.65">
      <c r="A2682" s="5">
        <v>2680</v>
      </c>
      <c r="B2682" s="46" t="str">
        <f>HYPERLINK("https://search.naver.com/search.naver?query=지옥의 묵시록 영화", "지옥의 묵시록")</f>
        <v>지옥의 묵시록</v>
      </c>
      <c r="C2682" s="47">
        <v>9.06</v>
      </c>
      <c r="D2682" s="6" t="s">
        <v>2737</v>
      </c>
      <c r="E2682" s="5" t="s">
        <v>20</v>
      </c>
      <c r="F2682" s="5">
        <v>1979</v>
      </c>
      <c r="G2682" s="5" t="s">
        <v>12</v>
      </c>
      <c r="H2682" s="5" t="s">
        <v>721</v>
      </c>
      <c r="I2682" s="5" t="s">
        <v>606</v>
      </c>
      <c r="J2682" s="98" t="s">
        <v>3480</v>
      </c>
    </row>
    <row r="2683" spans="1:10" ht="28.9" customHeight="1" thickTop="1" thickBot="1" x14ac:dyDescent="0.65">
      <c r="A2683" s="7">
        <v>2681</v>
      </c>
      <c r="B2683" s="48" t="str">
        <f>HYPERLINK("https://search.naver.com/search.naver?query=지정생존자 시즌1", "지정생존자 시즌1")</f>
        <v>지정생존자 시즌1</v>
      </c>
      <c r="C2683" s="49"/>
      <c r="D2683" s="8" t="s">
        <v>2738</v>
      </c>
      <c r="E2683" s="7" t="s">
        <v>20</v>
      </c>
      <c r="F2683" s="7">
        <v>2016</v>
      </c>
      <c r="G2683" s="7" t="s">
        <v>17</v>
      </c>
      <c r="H2683" s="7" t="s">
        <v>17</v>
      </c>
      <c r="I2683" s="7" t="s">
        <v>1619</v>
      </c>
      <c r="J2683" s="99" t="s">
        <v>3441</v>
      </c>
    </row>
    <row r="2684" spans="1:10" ht="28.9" customHeight="1" thickTop="1" thickBot="1" x14ac:dyDescent="0.65">
      <c r="A2684" s="7">
        <v>2682</v>
      </c>
      <c r="B2684" s="48" t="str">
        <f>HYPERLINK("https://search.naver.com/search.naver?query=지정생존자 시즌2", "지정생존자 시즌2")</f>
        <v>지정생존자 시즌2</v>
      </c>
      <c r="C2684" s="49"/>
      <c r="D2684" s="8" t="s">
        <v>2738</v>
      </c>
      <c r="E2684" s="7" t="s">
        <v>20</v>
      </c>
      <c r="F2684" s="7">
        <v>2017</v>
      </c>
      <c r="G2684" s="7" t="s">
        <v>17</v>
      </c>
      <c r="H2684" s="7" t="s">
        <v>17</v>
      </c>
      <c r="I2684" s="7" t="s">
        <v>356</v>
      </c>
      <c r="J2684" s="99" t="s">
        <v>3443</v>
      </c>
    </row>
    <row r="2685" spans="1:10" ht="28.9" customHeight="1" thickTop="1" thickBot="1" x14ac:dyDescent="0.65">
      <c r="A2685" s="7">
        <v>2683</v>
      </c>
      <c r="B2685" s="48" t="str">
        <f>HYPERLINK("https://search.naver.com/search.naver?query=지정생존자 시즌3", "지정생존자 시즌3")</f>
        <v>지정생존자 시즌3</v>
      </c>
      <c r="C2685" s="49"/>
      <c r="D2685" s="8" t="s">
        <v>2739</v>
      </c>
      <c r="E2685" s="7" t="s">
        <v>20</v>
      </c>
      <c r="F2685" s="7">
        <v>2019</v>
      </c>
      <c r="G2685" s="7" t="s">
        <v>17</v>
      </c>
      <c r="H2685" s="7" t="s">
        <v>17</v>
      </c>
      <c r="I2685" s="7" t="s">
        <v>50</v>
      </c>
      <c r="J2685" s="99" t="s">
        <v>3444</v>
      </c>
    </row>
    <row r="2686" spans="1:10" ht="28.9" customHeight="1" thickTop="1" thickBot="1" x14ac:dyDescent="0.65">
      <c r="A2686" s="5">
        <v>2684</v>
      </c>
      <c r="B2686" s="46" t="str">
        <f>HYPERLINK("https://search.naver.com/search.naver?query=지지않는 태양 영화", "지지않는 태양")</f>
        <v>지지않는 태양</v>
      </c>
      <c r="C2686" s="47">
        <v>6.4</v>
      </c>
      <c r="D2686" s="6" t="s">
        <v>2740</v>
      </c>
      <c r="E2686" s="5" t="s">
        <v>16</v>
      </c>
      <c r="F2686" s="5">
        <v>2009</v>
      </c>
      <c r="G2686" s="5" t="s">
        <v>12</v>
      </c>
      <c r="H2686" s="5" t="s">
        <v>17</v>
      </c>
      <c r="I2686" s="5" t="s">
        <v>2741</v>
      </c>
      <c r="J2686" s="98" t="s">
        <v>3453</v>
      </c>
    </row>
    <row r="2687" spans="1:10" ht="28.9" customHeight="1" thickTop="1" thickBot="1" x14ac:dyDescent="0.65">
      <c r="A2687" s="3">
        <v>2685</v>
      </c>
      <c r="B2687" s="44" t="str">
        <f>HYPERLINK("https://search.naver.com/search.naver?query=지푸라기라도 잡고 싶은 짐승들 영화", "지푸라기라도 잡고 싶은 짐승들")</f>
        <v>지푸라기라도 잡고 싶은 짐승들</v>
      </c>
      <c r="C2687" s="45">
        <v>8</v>
      </c>
      <c r="D2687" s="4" t="s">
        <v>2742</v>
      </c>
      <c r="E2687" s="3" t="s">
        <v>11</v>
      </c>
      <c r="F2687" s="3">
        <v>2020</v>
      </c>
      <c r="G2687" s="3" t="s">
        <v>12</v>
      </c>
      <c r="H2687" s="3" t="s">
        <v>277</v>
      </c>
      <c r="I2687" s="3" t="s">
        <v>31</v>
      </c>
      <c r="J2687" s="97" t="s">
        <v>3436</v>
      </c>
    </row>
    <row r="2688" spans="1:10" ht="28.9" customHeight="1" thickTop="1" thickBot="1" x14ac:dyDescent="0.65">
      <c r="A2688" s="5">
        <v>2686</v>
      </c>
      <c r="B2688" s="46" t="str">
        <f>HYPERLINK("https://search.naver.com/search.naver?query=지하철을 타고 영화", "지하철을 타고")</f>
        <v>지하철을 타고</v>
      </c>
      <c r="C2688" s="47"/>
      <c r="D2688" s="6" t="s">
        <v>2743</v>
      </c>
      <c r="E2688" s="5" t="s">
        <v>16</v>
      </c>
      <c r="F2688" s="5">
        <v>2006</v>
      </c>
      <c r="G2688" s="5" t="s">
        <v>12</v>
      </c>
      <c r="H2688" s="5" t="s">
        <v>17</v>
      </c>
      <c r="I2688" s="5" t="s">
        <v>142</v>
      </c>
      <c r="J2688" s="98" t="s">
        <v>3460</v>
      </c>
    </row>
    <row r="2689" spans="1:10" ht="28.9" customHeight="1" thickTop="1" thickBot="1" x14ac:dyDescent="0.65">
      <c r="A2689" s="3">
        <v>2687</v>
      </c>
      <c r="B2689" s="44" t="str">
        <f>HYPERLINK("https://search.naver.com/search.naver?query=진링의 13소녀 영화", "진링의 13소녀")</f>
        <v>진링의 13소녀</v>
      </c>
      <c r="C2689" s="45">
        <v>9.02</v>
      </c>
      <c r="D2689" s="4" t="s">
        <v>2744</v>
      </c>
      <c r="E2689" s="3" t="s">
        <v>136</v>
      </c>
      <c r="F2689" s="3">
        <v>2011</v>
      </c>
      <c r="G2689" s="3" t="s">
        <v>12</v>
      </c>
      <c r="H2689" s="3" t="s">
        <v>17</v>
      </c>
      <c r="I2689" s="3" t="s">
        <v>923</v>
      </c>
      <c r="J2689" s="97" t="s">
        <v>3454</v>
      </c>
    </row>
    <row r="2690" spans="1:10" ht="28.9" customHeight="1" thickTop="1" thickBot="1" x14ac:dyDescent="0.65">
      <c r="A2690" s="5">
        <v>2688</v>
      </c>
      <c r="B2690" s="46" t="str">
        <f>HYPERLINK("https://search.naver.com/search.naver?query=진저 앤 로사 영화", "진저 앤 로사")</f>
        <v>진저 앤 로사</v>
      </c>
      <c r="C2690" s="47">
        <v>7.95</v>
      </c>
      <c r="D2690" s="6" t="s">
        <v>2745</v>
      </c>
      <c r="E2690" s="5" t="s">
        <v>24</v>
      </c>
      <c r="F2690" s="5">
        <v>2012</v>
      </c>
      <c r="G2690" s="5" t="s">
        <v>12</v>
      </c>
      <c r="H2690" s="5" t="s">
        <v>17</v>
      </c>
      <c r="I2690" s="5" t="s">
        <v>115</v>
      </c>
      <c r="J2690" s="98" t="s">
        <v>3439</v>
      </c>
    </row>
    <row r="2691" spans="1:10" ht="28.9" customHeight="1" thickTop="1" thickBot="1" x14ac:dyDescent="0.65">
      <c r="A2691" s="3">
        <v>2689</v>
      </c>
      <c r="B2691" s="44" t="str">
        <f>HYPERLINK("https://search.naver.com/search.naver?query=진주만 영화", "진주만")</f>
        <v>진주만</v>
      </c>
      <c r="C2691" s="45">
        <v>8.6</v>
      </c>
      <c r="D2691" s="4" t="s">
        <v>2746</v>
      </c>
      <c r="E2691" s="3" t="s">
        <v>20</v>
      </c>
      <c r="F2691" s="3">
        <v>2001</v>
      </c>
      <c r="G2691" s="3" t="s">
        <v>12</v>
      </c>
      <c r="H2691" s="3" t="s">
        <v>721</v>
      </c>
      <c r="I2691" s="3" t="s">
        <v>2747</v>
      </c>
      <c r="J2691" s="97" t="s">
        <v>3457</v>
      </c>
    </row>
    <row r="2692" spans="1:10" ht="28.9" customHeight="1" thickTop="1" thickBot="1" x14ac:dyDescent="0.65">
      <c r="A2692" s="5">
        <v>2690</v>
      </c>
      <c r="B2692" s="46" t="str">
        <f>HYPERLINK("https://search.naver.com/search.naver?query=진짜로 일어날지도 몰라 기적 영화", "진짜로 일어날지도 몰라 기적")</f>
        <v>진짜로 일어날지도 몰라 기적</v>
      </c>
      <c r="C2692" s="47">
        <v>9.07</v>
      </c>
      <c r="D2692" s="6" t="s">
        <v>2748</v>
      </c>
      <c r="E2692" s="5" t="s">
        <v>16</v>
      </c>
      <c r="F2692" s="5">
        <v>2011</v>
      </c>
      <c r="G2692" s="5" t="s">
        <v>12</v>
      </c>
      <c r="H2692" s="5" t="s">
        <v>17</v>
      </c>
      <c r="I2692" s="5" t="s">
        <v>111</v>
      </c>
      <c r="J2692" s="98" t="s">
        <v>3454</v>
      </c>
    </row>
    <row r="2693" spans="1:10" ht="28.9" customHeight="1" thickTop="1" thickBot="1" x14ac:dyDescent="0.65">
      <c r="A2693" s="3">
        <v>2691</v>
      </c>
      <c r="B2693" s="44" t="str">
        <f>HYPERLINK("https://search.naver.com/search.naver?query=짐작보다 따뜻하게 영화", "짐작보다 따뜻하게")</f>
        <v>짐작보다 따뜻하게</v>
      </c>
      <c r="C2693" s="45">
        <v>9.77</v>
      </c>
      <c r="D2693" s="4" t="s">
        <v>2749</v>
      </c>
      <c r="E2693" s="3" t="s">
        <v>11</v>
      </c>
      <c r="F2693" s="3">
        <v>2016</v>
      </c>
      <c r="G2693" s="3" t="s">
        <v>12</v>
      </c>
      <c r="H2693" s="3" t="s">
        <v>17</v>
      </c>
      <c r="I2693" s="3" t="s">
        <v>111</v>
      </c>
      <c r="J2693" s="97" t="s">
        <v>3441</v>
      </c>
    </row>
    <row r="2694" spans="1:10" ht="28.9" customHeight="1" thickTop="1" thickBot="1" x14ac:dyDescent="0.65">
      <c r="A2694" s="5">
        <v>2692</v>
      </c>
      <c r="B2694" s="46" t="str">
        <f>HYPERLINK("https://search.naver.com/search.naver?query=집 이야기 영화", "집 이야기")</f>
        <v>집 이야기</v>
      </c>
      <c r="C2694" s="47">
        <v>9.3800000000000008</v>
      </c>
      <c r="D2694" s="6" t="s">
        <v>2750</v>
      </c>
      <c r="E2694" s="5" t="s">
        <v>11</v>
      </c>
      <c r="F2694" s="5">
        <v>2019</v>
      </c>
      <c r="G2694" s="5" t="s">
        <v>12</v>
      </c>
      <c r="H2694" s="5" t="s">
        <v>17</v>
      </c>
      <c r="I2694" s="5" t="s">
        <v>111</v>
      </c>
      <c r="J2694" s="98" t="s">
        <v>3444</v>
      </c>
    </row>
    <row r="2695" spans="1:10" ht="28.9" customHeight="1" thickTop="1" thickBot="1" x14ac:dyDescent="0.65">
      <c r="A2695" s="3">
        <v>2693</v>
      </c>
      <c r="B2695" s="44" t="str">
        <f>HYPERLINK("https://search.naver.com/search.naver?query=집에 돌아오면, 언제나 아내가 죽은 척을 하고 있다 영화", "집에 돌아오면, 언제나 아내가 죽은 척을 하고 있다")</f>
        <v>집에 돌아오면, 언제나 아내가 죽은 척을 하고 있다</v>
      </c>
      <c r="C2695" s="45">
        <v>7.57</v>
      </c>
      <c r="D2695" s="4" t="s">
        <v>2751</v>
      </c>
      <c r="E2695" s="3" t="s">
        <v>16</v>
      </c>
      <c r="F2695" s="3">
        <v>2018</v>
      </c>
      <c r="G2695" s="3" t="s">
        <v>12</v>
      </c>
      <c r="H2695" s="3" t="s">
        <v>68</v>
      </c>
      <c r="I2695" s="3" t="s">
        <v>111</v>
      </c>
      <c r="J2695" s="97" t="s">
        <v>3442</v>
      </c>
    </row>
    <row r="2696" spans="1:10" ht="28.9" customHeight="1" thickTop="1" thickBot="1" x14ac:dyDescent="0.65">
      <c r="A2696" s="5">
        <v>2694</v>
      </c>
      <c r="B2696" s="46" t="str">
        <f>HYPERLINK("https://search.naver.com/search.naver?query=집으로 가는 길 영화", "집으로 가는 길")</f>
        <v>집으로 가는 길</v>
      </c>
      <c r="C2696" s="47">
        <v>8.82</v>
      </c>
      <c r="D2696" s="6" t="s">
        <v>2752</v>
      </c>
      <c r="E2696" s="5" t="s">
        <v>11</v>
      </c>
      <c r="F2696" s="5">
        <v>2013</v>
      </c>
      <c r="G2696" s="5" t="s">
        <v>12</v>
      </c>
      <c r="H2696" s="5" t="s">
        <v>17</v>
      </c>
      <c r="I2696" s="5" t="s">
        <v>280</v>
      </c>
      <c r="J2696" s="98" t="s">
        <v>3451</v>
      </c>
    </row>
    <row r="2697" spans="1:10" ht="28.9" customHeight="1" thickTop="1" thickBot="1" x14ac:dyDescent="0.65">
      <c r="A2697" s="3">
        <v>2695</v>
      </c>
      <c r="B2697" s="44" t="str">
        <f>HYPERLINK("https://namu.wiki/w/%EC%A7%91%EC%9C%BC%EB%A1%9C%20%EA%B0%80%EB%8A%94%20%EA%B8%B8(%EC%A4%91%EA%B5%AD%20%EC%98%81%ED%99%94)", "집으로 가는 길")</f>
        <v>집으로 가는 길</v>
      </c>
      <c r="C2697" s="45">
        <v>9.26</v>
      </c>
      <c r="D2697" s="4" t="s">
        <v>2753</v>
      </c>
      <c r="E2697" s="3" t="s">
        <v>136</v>
      </c>
      <c r="F2697" s="3">
        <v>2000</v>
      </c>
      <c r="G2697" s="3" t="s">
        <v>12</v>
      </c>
      <c r="H2697" s="3" t="s">
        <v>17</v>
      </c>
      <c r="I2697" s="3" t="s">
        <v>119</v>
      </c>
      <c r="J2697" s="97" t="s">
        <v>3458</v>
      </c>
    </row>
    <row r="2698" spans="1:10" ht="28.9" customHeight="1" thickTop="1" thickBot="1" x14ac:dyDescent="0.65">
      <c r="A2698" s="5">
        <v>2696</v>
      </c>
      <c r="B2698" s="46" t="str">
        <f>HYPERLINK("https://search.naver.com/search.naver?query=집행자 영화", "집행자")</f>
        <v>집행자</v>
      </c>
      <c r="C2698" s="47">
        <v>7.49</v>
      </c>
      <c r="D2698" s="6" t="s">
        <v>2754</v>
      </c>
      <c r="E2698" s="5" t="s">
        <v>11</v>
      </c>
      <c r="F2698" s="5">
        <v>2009</v>
      </c>
      <c r="G2698" s="5" t="s">
        <v>12</v>
      </c>
      <c r="H2698" s="5" t="s">
        <v>17</v>
      </c>
      <c r="I2698" s="5" t="s">
        <v>111</v>
      </c>
      <c r="J2698" s="98" t="s">
        <v>3453</v>
      </c>
    </row>
    <row r="2699" spans="1:10" ht="28.9" customHeight="1" thickTop="1" thickBot="1" x14ac:dyDescent="0.65">
      <c r="A2699" s="3">
        <v>2697</v>
      </c>
      <c r="B2699" s="44" t="str">
        <f>HYPERLINK("https://search.naver.com/search.naver?query=짓 영화", "짓")</f>
        <v>짓</v>
      </c>
      <c r="C2699" s="45">
        <v>5.24</v>
      </c>
      <c r="D2699" s="4" t="s">
        <v>2755</v>
      </c>
      <c r="E2699" s="3" t="s">
        <v>11</v>
      </c>
      <c r="F2699" s="3">
        <v>2013</v>
      </c>
      <c r="G2699" s="3" t="s">
        <v>12</v>
      </c>
      <c r="H2699" s="3" t="s">
        <v>17</v>
      </c>
      <c r="I2699" s="3" t="s">
        <v>111</v>
      </c>
      <c r="J2699" s="97" t="s">
        <v>3451</v>
      </c>
    </row>
    <row r="2700" spans="1:10" ht="28.9" customHeight="1" thickTop="1" thickBot="1" x14ac:dyDescent="0.65">
      <c r="A2700" s="5">
        <v>2698</v>
      </c>
      <c r="B2700" s="46" t="str">
        <f>HYPERLINK("https://search.naver.com/search.naver?query=짚의 방패 영화", "짚의 방패")</f>
        <v>짚의 방패</v>
      </c>
      <c r="C2700" s="47">
        <v>5.92</v>
      </c>
      <c r="D2700" s="6" t="s">
        <v>2756</v>
      </c>
      <c r="E2700" s="5" t="s">
        <v>16</v>
      </c>
      <c r="F2700" s="5">
        <v>2013</v>
      </c>
      <c r="G2700" s="5" t="s">
        <v>12</v>
      </c>
      <c r="H2700" s="5" t="s">
        <v>92</v>
      </c>
      <c r="I2700" s="5" t="s">
        <v>96</v>
      </c>
      <c r="J2700" s="98" t="s">
        <v>3451</v>
      </c>
    </row>
    <row r="2701" spans="1:10" ht="28.9" customHeight="1" thickTop="1" thickBot="1" x14ac:dyDescent="0.65">
      <c r="A2701" s="3">
        <v>2699</v>
      </c>
      <c r="B2701" s="44" t="str">
        <f>HYPERLINK("https://search.naver.com/search.naver?query=쩨쩨한 로맨스 영화", "쩨쩨한 로맨스")</f>
        <v>쩨쩨한 로맨스</v>
      </c>
      <c r="C2701" s="45">
        <v>8.52</v>
      </c>
      <c r="D2701" s="4" t="s">
        <v>2757</v>
      </c>
      <c r="E2701" s="3" t="s">
        <v>11</v>
      </c>
      <c r="F2701" s="3">
        <v>2010</v>
      </c>
      <c r="G2701" s="3" t="s">
        <v>12</v>
      </c>
      <c r="H2701" s="3" t="s">
        <v>68</v>
      </c>
      <c r="I2701" s="3" t="s">
        <v>31</v>
      </c>
      <c r="J2701" s="97" t="s">
        <v>3455</v>
      </c>
    </row>
    <row r="2702" spans="1:10" ht="28.9" customHeight="1" thickTop="1" thickBot="1" x14ac:dyDescent="0.65">
      <c r="A2702" s="5">
        <v>2700</v>
      </c>
      <c r="B2702" s="46" t="str">
        <f>HYPERLINK("https://search.naver.com/search.naver?query=찌라시 위험한 소문 영화", "찌라시-위험한 소문")</f>
        <v>찌라시-위험한 소문</v>
      </c>
      <c r="C2702" s="47">
        <v>7.56</v>
      </c>
      <c r="D2702" s="6" t="s">
        <v>2758</v>
      </c>
      <c r="E2702" s="5" t="s">
        <v>11</v>
      </c>
      <c r="F2702" s="5">
        <v>2013</v>
      </c>
      <c r="G2702" s="5" t="s">
        <v>12</v>
      </c>
      <c r="H2702" s="5" t="s">
        <v>43</v>
      </c>
      <c r="I2702" s="5" t="s">
        <v>131</v>
      </c>
      <c r="J2702" s="98" t="s">
        <v>3451</v>
      </c>
    </row>
    <row r="2703" spans="1:10" ht="28.9" customHeight="1" thickTop="1" thickBot="1" x14ac:dyDescent="0.65">
      <c r="A2703" s="3">
        <v>2701</v>
      </c>
      <c r="B2703" s="44" t="str">
        <f>HYPERLINK("https://search.naver.com/search.naver?query=차이나타운 영화", "차이나타운")</f>
        <v>차이나타운</v>
      </c>
      <c r="C2703" s="45">
        <v>7.57</v>
      </c>
      <c r="D2703" s="4" t="s">
        <v>2759</v>
      </c>
      <c r="E2703" s="3" t="s">
        <v>11</v>
      </c>
      <c r="F2703" s="3">
        <v>2014</v>
      </c>
      <c r="G2703" s="3" t="s">
        <v>12</v>
      </c>
      <c r="H2703" s="3" t="s">
        <v>277</v>
      </c>
      <c r="I2703" s="3" t="s">
        <v>96</v>
      </c>
      <c r="J2703" s="97" t="s">
        <v>3437</v>
      </c>
    </row>
    <row r="2704" spans="1:10" ht="28.9" customHeight="1" thickTop="1" thickBot="1" x14ac:dyDescent="0.65">
      <c r="A2704" s="5">
        <v>2702</v>
      </c>
      <c r="B2704" s="46" t="str">
        <f>HYPERLINK("https://search.naver.com/search.naver?query=차이니즈 조디악 영화", "차이니즈 조디악")</f>
        <v>차이니즈 조디악</v>
      </c>
      <c r="C2704" s="47">
        <v>7.81</v>
      </c>
      <c r="D2704" s="6" t="s">
        <v>2760</v>
      </c>
      <c r="E2704" s="5" t="s">
        <v>136</v>
      </c>
      <c r="F2704" s="5">
        <v>2012</v>
      </c>
      <c r="G2704" s="5" t="s">
        <v>12</v>
      </c>
      <c r="H2704" s="5" t="s">
        <v>92</v>
      </c>
      <c r="I2704" s="5" t="s">
        <v>58</v>
      </c>
      <c r="J2704" s="98" t="s">
        <v>3439</v>
      </c>
    </row>
    <row r="2705" spans="1:10" ht="28.9" customHeight="1" thickTop="1" thickBot="1" x14ac:dyDescent="0.65">
      <c r="A2705" s="3">
        <v>2703</v>
      </c>
      <c r="B2705" s="44" t="str">
        <f>HYPERLINK("https://search.naver.com/search.naver?query=차일드 인 타임 영화", "차일드 인 타임")</f>
        <v>차일드 인 타임</v>
      </c>
      <c r="C2705" s="45">
        <v>8.11</v>
      </c>
      <c r="D2705" s="4" t="s">
        <v>2761</v>
      </c>
      <c r="E2705" s="3" t="s">
        <v>24</v>
      </c>
      <c r="F2705" s="3">
        <v>2017</v>
      </c>
      <c r="G2705" s="3" t="s">
        <v>12</v>
      </c>
      <c r="H2705" s="3" t="s">
        <v>17</v>
      </c>
      <c r="I2705" s="3" t="s">
        <v>115</v>
      </c>
      <c r="J2705" s="97" t="s">
        <v>3443</v>
      </c>
    </row>
    <row r="2706" spans="1:10" ht="28.9" customHeight="1" thickTop="1" thickBot="1" x14ac:dyDescent="0.65">
      <c r="A2706" s="5">
        <v>2704</v>
      </c>
      <c r="B2706" s="46" t="str">
        <f>HYPERLINK("https://search.naver.com/search.naver?query=차일드44 영화", "차일드44")</f>
        <v>차일드44</v>
      </c>
      <c r="C2706" s="47">
        <v>8</v>
      </c>
      <c r="D2706" s="6" t="s">
        <v>2762</v>
      </c>
      <c r="E2706" s="5" t="s">
        <v>20</v>
      </c>
      <c r="F2706" s="5">
        <v>2015</v>
      </c>
      <c r="G2706" s="5" t="s">
        <v>12</v>
      </c>
      <c r="H2706" s="5" t="s">
        <v>277</v>
      </c>
      <c r="I2706" s="5" t="s">
        <v>186</v>
      </c>
      <c r="J2706" s="98" t="s">
        <v>3440</v>
      </c>
    </row>
    <row r="2707" spans="1:10" ht="28.9" customHeight="1" thickTop="1" thickBot="1" x14ac:dyDescent="0.65">
      <c r="A2707" s="3">
        <v>2705</v>
      </c>
      <c r="B2707" s="44" t="str">
        <f>HYPERLINK("https://search.naver.com/search.naver?query=찬실이는 복도 많지 영화", "찬실이는 복도 많지")</f>
        <v>찬실이는 복도 많지</v>
      </c>
      <c r="C2707" s="45">
        <v>9.11</v>
      </c>
      <c r="D2707" s="4" t="s">
        <v>2763</v>
      </c>
      <c r="E2707" s="3" t="s">
        <v>11</v>
      </c>
      <c r="F2707" s="3">
        <v>2019</v>
      </c>
      <c r="G2707" s="3" t="s">
        <v>12</v>
      </c>
      <c r="H2707" s="3" t="s">
        <v>17</v>
      </c>
      <c r="I2707" s="3" t="s">
        <v>128</v>
      </c>
      <c r="J2707" s="97" t="s">
        <v>3444</v>
      </c>
    </row>
    <row r="2708" spans="1:10" ht="28.9" customHeight="1" thickTop="1" thickBot="1" x14ac:dyDescent="0.65">
      <c r="A2708" s="5">
        <v>2706</v>
      </c>
      <c r="B2708" s="46" t="str">
        <f>HYPERLINK("https://search.naver.com/search.naver?query=찰리 윌슨의 전쟁 영화", "찰리 윌슨의 전쟁")</f>
        <v>찰리 윌슨의 전쟁</v>
      </c>
      <c r="C2708" s="47">
        <v>5.75</v>
      </c>
      <c r="D2708" s="6" t="s">
        <v>2764</v>
      </c>
      <c r="E2708" s="5" t="s">
        <v>20</v>
      </c>
      <c r="F2708" s="5">
        <v>2007</v>
      </c>
      <c r="G2708" s="5" t="s">
        <v>12</v>
      </c>
      <c r="H2708" s="5" t="s">
        <v>17</v>
      </c>
      <c r="I2708" s="5" t="s">
        <v>99</v>
      </c>
      <c r="J2708" s="98" t="s">
        <v>3447</v>
      </c>
    </row>
    <row r="2709" spans="1:10" ht="28.9" customHeight="1" thickTop="1" thickBot="1" x14ac:dyDescent="0.65">
      <c r="A2709" s="3">
        <v>2707</v>
      </c>
      <c r="B2709" s="44" t="str">
        <f>HYPERLINK("https://search.naver.com/search.naver?query=찰리 컨트리맨 영화", "찰리 컨트리맨")</f>
        <v>찰리 컨트리맨</v>
      </c>
      <c r="C2709" s="45">
        <v>6.86</v>
      </c>
      <c r="D2709" s="4" t="s">
        <v>2765</v>
      </c>
      <c r="E2709" s="3" t="s">
        <v>20</v>
      </c>
      <c r="F2709" s="3">
        <v>2013</v>
      </c>
      <c r="G2709" s="3" t="s">
        <v>12</v>
      </c>
      <c r="H2709" s="3" t="s">
        <v>92</v>
      </c>
      <c r="I2709" s="3" t="s">
        <v>31</v>
      </c>
      <c r="J2709" s="97" t="s">
        <v>3451</v>
      </c>
    </row>
    <row r="2710" spans="1:10" ht="28.9" customHeight="1" thickTop="1" thickBot="1" x14ac:dyDescent="0.65">
      <c r="A2710" s="5">
        <v>2708</v>
      </c>
      <c r="B2710" s="46" t="str">
        <f>HYPERLINK("https://search.naver.com/search.naver?query=창궐 영화", "창궐")</f>
        <v>창궐</v>
      </c>
      <c r="C2710" s="47">
        <v>6.46</v>
      </c>
      <c r="D2710" s="6" t="s">
        <v>2766</v>
      </c>
      <c r="E2710" s="5" t="s">
        <v>11</v>
      </c>
      <c r="F2710" s="5">
        <v>2018</v>
      </c>
      <c r="G2710" s="5" t="s">
        <v>12</v>
      </c>
      <c r="H2710" s="5" t="s">
        <v>92</v>
      </c>
      <c r="I2710" s="5" t="s">
        <v>142</v>
      </c>
      <c r="J2710" s="98" t="s">
        <v>3442</v>
      </c>
    </row>
    <row r="2711" spans="1:10" ht="28.9" customHeight="1" thickTop="1" thickBot="1" x14ac:dyDescent="0.65">
      <c r="A2711" s="3">
        <v>2709</v>
      </c>
      <c r="B2711" s="44" t="str">
        <f>HYPERLINK("https://search.naver.com/search.naver?query=창문넘어 도망친 100세 노인 영화", "창문넘어 도망친 100세 노인")</f>
        <v>창문넘어 도망친 100세 노인</v>
      </c>
      <c r="C2711" s="45">
        <v>8.16</v>
      </c>
      <c r="D2711" s="4" t="s">
        <v>2767</v>
      </c>
      <c r="E2711" s="3" t="s">
        <v>611</v>
      </c>
      <c r="F2711" s="3">
        <v>2013</v>
      </c>
      <c r="G2711" s="3" t="s">
        <v>12</v>
      </c>
      <c r="H2711" s="3" t="s">
        <v>68</v>
      </c>
      <c r="I2711" s="3" t="s">
        <v>207</v>
      </c>
      <c r="J2711" s="97" t="s">
        <v>3451</v>
      </c>
    </row>
    <row r="2712" spans="1:10" ht="28.9" customHeight="1" thickTop="1" thickBot="1" x14ac:dyDescent="0.65">
      <c r="A2712" s="5">
        <v>2710</v>
      </c>
      <c r="B2712" s="46" t="str">
        <f>HYPERLINK("https://search.naver.com/search.naver?query=창수 영화", "창수")</f>
        <v>창수</v>
      </c>
      <c r="C2712" s="47">
        <v>7.13</v>
      </c>
      <c r="D2712" s="6" t="s">
        <v>2768</v>
      </c>
      <c r="E2712" s="5" t="s">
        <v>11</v>
      </c>
      <c r="F2712" s="5">
        <v>2013</v>
      </c>
      <c r="G2712" s="5" t="s">
        <v>12</v>
      </c>
      <c r="H2712" s="5" t="s">
        <v>17</v>
      </c>
      <c r="I2712" s="5" t="s">
        <v>111</v>
      </c>
      <c r="J2712" s="98" t="s">
        <v>3451</v>
      </c>
    </row>
    <row r="2713" spans="1:10" ht="28.9" customHeight="1" thickTop="1" thickBot="1" x14ac:dyDescent="0.65">
      <c r="A2713" s="3">
        <v>2711</v>
      </c>
      <c r="B2713" s="44" t="str">
        <f>HYPERLINK("https://search.naver.com/search.naver?query=채비 영화", "채비")</f>
        <v>채비</v>
      </c>
      <c r="C2713" s="45">
        <v>8.81</v>
      </c>
      <c r="D2713" s="4" t="s">
        <v>2769</v>
      </c>
      <c r="E2713" s="3" t="s">
        <v>11</v>
      </c>
      <c r="F2713" s="3">
        <v>2017</v>
      </c>
      <c r="G2713" s="3" t="s">
        <v>12</v>
      </c>
      <c r="H2713" s="3" t="s">
        <v>17</v>
      </c>
      <c r="I2713" s="3" t="s">
        <v>131</v>
      </c>
      <c r="J2713" s="97" t="s">
        <v>3443</v>
      </c>
    </row>
    <row r="2714" spans="1:10" ht="28.9" customHeight="1" thickTop="1" thickBot="1" x14ac:dyDescent="0.65">
      <c r="A2714" s="5">
        <v>2712</v>
      </c>
      <c r="B2714" s="46" t="str">
        <f>HYPERLINK("https://search.naver.com/search.naver?query=책도둑 영화", "책도둑")</f>
        <v>책도둑</v>
      </c>
      <c r="C2714" s="47">
        <v>6.4</v>
      </c>
      <c r="D2714" s="6" t="s">
        <v>2770</v>
      </c>
      <c r="E2714" s="5" t="s">
        <v>20</v>
      </c>
      <c r="F2714" s="5">
        <v>2013</v>
      </c>
      <c r="G2714" s="5" t="s">
        <v>12</v>
      </c>
      <c r="H2714" s="5" t="s">
        <v>17</v>
      </c>
      <c r="I2714" s="5" t="s">
        <v>280</v>
      </c>
      <c r="J2714" s="98" t="s">
        <v>3451</v>
      </c>
    </row>
    <row r="2715" spans="1:10" ht="28.9" customHeight="1" thickTop="1" thickBot="1" x14ac:dyDescent="0.65">
      <c r="A2715" s="3">
        <v>2713</v>
      </c>
      <c r="B2715" s="44" t="str">
        <f>HYPERLINK("https://search.naver.com/search.naver?query=챌린저스 영화", "챌린저스")</f>
        <v>챌린저스</v>
      </c>
      <c r="C2715" s="45">
        <v>8.5</v>
      </c>
      <c r="D2715" s="4" t="s">
        <v>2771</v>
      </c>
      <c r="E2715" s="3" t="s">
        <v>20</v>
      </c>
      <c r="F2715" s="3">
        <v>2024</v>
      </c>
      <c r="G2715" s="3" t="s">
        <v>12</v>
      </c>
      <c r="H2715" s="3" t="s">
        <v>17</v>
      </c>
      <c r="I2715" s="3" t="s">
        <v>280</v>
      </c>
      <c r="J2715" s="97" t="s">
        <v>3448</v>
      </c>
    </row>
    <row r="2716" spans="1:10" ht="28.9" customHeight="1" thickTop="1" thickBot="1" x14ac:dyDescent="0.65">
      <c r="A2716" s="5">
        <v>2714</v>
      </c>
      <c r="B2716" s="46" t="str">
        <f>HYPERLINK("https://search.naver.com/search.naver?query=챔피언2018", "챔피언")</f>
        <v>챔피언</v>
      </c>
      <c r="C2716" s="47">
        <v>7.47</v>
      </c>
      <c r="D2716" s="6" t="s">
        <v>2772</v>
      </c>
      <c r="E2716" s="5" t="s">
        <v>11</v>
      </c>
      <c r="F2716" s="5">
        <v>2018</v>
      </c>
      <c r="G2716" s="5" t="s">
        <v>12</v>
      </c>
      <c r="H2716" s="5" t="s">
        <v>17</v>
      </c>
      <c r="I2716" s="5" t="s">
        <v>31</v>
      </c>
      <c r="J2716" s="98" t="s">
        <v>3442</v>
      </c>
    </row>
    <row r="2717" spans="1:10" ht="28.9" customHeight="1" thickTop="1" thickBot="1" x14ac:dyDescent="0.65">
      <c r="A2717" s="3">
        <v>2715</v>
      </c>
      <c r="B2717" s="44" t="str">
        <f>HYPERLINK("https://search.naver.com/search.naver?query=천국에 다녀온 소년 영화", "천국에 다녀온 소년")</f>
        <v>천국에 다녀온 소년</v>
      </c>
      <c r="C2717" s="45">
        <v>8.25</v>
      </c>
      <c r="D2717" s="4" t="s">
        <v>2773</v>
      </c>
      <c r="E2717" s="3" t="s">
        <v>20</v>
      </c>
      <c r="F2717" s="3">
        <v>2014</v>
      </c>
      <c r="G2717" s="3" t="s">
        <v>12</v>
      </c>
      <c r="H2717" s="3" t="s">
        <v>17</v>
      </c>
      <c r="I2717" s="3" t="s">
        <v>81</v>
      </c>
      <c r="J2717" s="97" t="s">
        <v>3437</v>
      </c>
    </row>
    <row r="2718" spans="1:10" ht="28.9" customHeight="1" thickTop="1" thickBot="1" x14ac:dyDescent="0.65">
      <c r="A2718" s="5">
        <v>2716</v>
      </c>
      <c r="B2718" s="46" t="str">
        <f>HYPERLINK("https://search.naver.com/search.naver?query=천국에서 너를 만나면 영화", "천국에서 너를 만나면")</f>
        <v>천국에서 너를 만나면</v>
      </c>
      <c r="C2718" s="47">
        <v>6.4</v>
      </c>
      <c r="D2718" s="6" t="s">
        <v>2774</v>
      </c>
      <c r="E2718" s="5" t="s">
        <v>16</v>
      </c>
      <c r="F2718" s="5">
        <v>2007</v>
      </c>
      <c r="G2718" s="5" t="s">
        <v>12</v>
      </c>
      <c r="H2718" s="5" t="s">
        <v>17</v>
      </c>
      <c r="I2718" s="5" t="s">
        <v>221</v>
      </c>
      <c r="J2718" s="98" t="s">
        <v>3447</v>
      </c>
    </row>
    <row r="2719" spans="1:10" ht="28.9" customHeight="1" thickTop="1" thickBot="1" x14ac:dyDescent="0.65">
      <c r="A2719" s="3">
        <v>2717</v>
      </c>
      <c r="B2719" s="44" t="str">
        <f>HYPERLINK("https://search.naver.com/search.naver?query=천국에서의 응원 영화", "천국에서의 응원")</f>
        <v>천국에서의 응원</v>
      </c>
      <c r="C2719" s="45"/>
      <c r="D2719" s="4" t="s">
        <v>2775</v>
      </c>
      <c r="E2719" s="3" t="s">
        <v>16</v>
      </c>
      <c r="F2719" s="3">
        <v>2011</v>
      </c>
      <c r="G2719" s="3" t="s">
        <v>12</v>
      </c>
      <c r="H2719" s="3" t="s">
        <v>17</v>
      </c>
      <c r="I2719" s="3" t="s">
        <v>111</v>
      </c>
      <c r="J2719" s="97" t="s">
        <v>3454</v>
      </c>
    </row>
    <row r="2720" spans="1:10" ht="28.9" customHeight="1" thickTop="1" thickBot="1" x14ac:dyDescent="0.65">
      <c r="A2720" s="5">
        <v>2718</v>
      </c>
      <c r="B2720" s="46" t="str">
        <f>HYPERLINK("https://search.naver.com/search.naver?query=천국은 아직 먼 곳에 영화", "천국은 아직 먼 곳에")</f>
        <v>천국은 아직 먼 곳에</v>
      </c>
      <c r="C2720" s="47">
        <v>6.4</v>
      </c>
      <c r="D2720" s="6" t="s">
        <v>2776</v>
      </c>
      <c r="E2720" s="5" t="s">
        <v>16</v>
      </c>
      <c r="F2720" s="5">
        <v>2008</v>
      </c>
      <c r="G2720" s="5" t="s">
        <v>12</v>
      </c>
      <c r="H2720" s="5" t="s">
        <v>17</v>
      </c>
      <c r="I2720" s="5" t="s">
        <v>89</v>
      </c>
      <c r="J2720" s="98" t="s">
        <v>3450</v>
      </c>
    </row>
    <row r="2721" spans="1:10" ht="28.9" customHeight="1" thickTop="1" thickBot="1" x14ac:dyDescent="0.65">
      <c r="A2721" s="3">
        <v>2719</v>
      </c>
      <c r="B2721" s="44" t="str">
        <f>HYPERLINK("https://search.naver.com/search.naver?query=천국의 책방-연화", "천국의 책방 - 연화")</f>
        <v>천국의 책방 - 연화</v>
      </c>
      <c r="C2721" s="45">
        <v>8.06</v>
      </c>
      <c r="D2721" s="4" t="s">
        <v>2777</v>
      </c>
      <c r="E2721" s="3" t="s">
        <v>16</v>
      </c>
      <c r="F2721" s="3">
        <v>2004</v>
      </c>
      <c r="G2721" s="3" t="s">
        <v>12</v>
      </c>
      <c r="H2721" s="3" t="s">
        <v>17</v>
      </c>
      <c r="I2721" s="3" t="s">
        <v>131</v>
      </c>
      <c r="J2721" s="97" t="s">
        <v>3462</v>
      </c>
    </row>
    <row r="2722" spans="1:10" ht="28.9" customHeight="1" thickTop="1" thickBot="1" x14ac:dyDescent="0.65">
      <c r="A2722" s="5">
        <v>2720</v>
      </c>
      <c r="B2722" s="46" t="str">
        <f>HYPERLINK("https://search.naver.com/search.naver?query=천군 영화", "천군")</f>
        <v>천군</v>
      </c>
      <c r="C2722" s="47">
        <v>7.13</v>
      </c>
      <c r="D2722" s="6" t="s">
        <v>2778</v>
      </c>
      <c r="E2722" s="5" t="s">
        <v>11</v>
      </c>
      <c r="F2722" s="5">
        <v>2005</v>
      </c>
      <c r="G2722" s="5" t="s">
        <v>12</v>
      </c>
      <c r="H2722" s="5" t="s">
        <v>92</v>
      </c>
      <c r="I2722" s="5" t="s">
        <v>111</v>
      </c>
      <c r="J2722" s="98" t="s">
        <v>3461</v>
      </c>
    </row>
    <row r="2723" spans="1:10" ht="28.9" customHeight="1" thickTop="1" thickBot="1" x14ac:dyDescent="0.65">
      <c r="A2723" s="3">
        <v>2721</v>
      </c>
      <c r="B2723" s="44" t="str">
        <f>HYPERLINK("https://search.naver.com/search.naver?query=천년을 흐르는 사랑 영화", "천년을 흐르는 사랑")</f>
        <v>천년을 흐르는 사랑</v>
      </c>
      <c r="C2723" s="45">
        <v>6.97</v>
      </c>
      <c r="D2723" s="4" t="s">
        <v>2779</v>
      </c>
      <c r="E2723" s="3" t="s">
        <v>20</v>
      </c>
      <c r="F2723" s="3">
        <v>2007</v>
      </c>
      <c r="G2723" s="3" t="s">
        <v>12</v>
      </c>
      <c r="H2723" s="3" t="s">
        <v>121</v>
      </c>
      <c r="I2723" s="3" t="s">
        <v>61</v>
      </c>
      <c r="J2723" s="97" t="s">
        <v>3447</v>
      </c>
    </row>
    <row r="2724" spans="1:10" ht="28.9" customHeight="1" thickTop="1" thickBot="1" x14ac:dyDescent="0.65">
      <c r="A2724" s="5">
        <v>2722</v>
      </c>
      <c r="B2724" s="46" t="str">
        <f>HYPERLINK("https://search.naver.com/search.naver?query=천문 하늘에 묻는다 영화", "천문-하늘에 묻는다")</f>
        <v>천문-하늘에 묻는다</v>
      </c>
      <c r="C2724" s="47">
        <v>8.7899999999999991</v>
      </c>
      <c r="D2724" s="6" t="s">
        <v>2780</v>
      </c>
      <c r="E2724" s="5" t="s">
        <v>11</v>
      </c>
      <c r="F2724" s="5">
        <v>2018</v>
      </c>
      <c r="G2724" s="5" t="s">
        <v>12</v>
      </c>
      <c r="H2724" s="5" t="s">
        <v>873</v>
      </c>
      <c r="I2724" s="5" t="s">
        <v>350</v>
      </c>
      <c r="J2724" s="98" t="s">
        <v>3442</v>
      </c>
    </row>
    <row r="2725" spans="1:10" ht="28.9" customHeight="1" thickTop="1" thickBot="1" x14ac:dyDescent="0.65">
      <c r="A2725" s="3">
        <v>2723</v>
      </c>
      <c r="B2725" s="44" t="str">
        <f>HYPERLINK("https://search.naver.com/search.naver?query=천번의 굿나잇 영화", "천번의 굿나잇")</f>
        <v>천번의 굿나잇</v>
      </c>
      <c r="C2725" s="45">
        <v>8.85</v>
      </c>
      <c r="D2725" s="4" t="s">
        <v>2781</v>
      </c>
      <c r="E2725" s="3" t="s">
        <v>39</v>
      </c>
      <c r="F2725" s="3">
        <v>2013</v>
      </c>
      <c r="G2725" s="3" t="s">
        <v>12</v>
      </c>
      <c r="H2725" s="3" t="s">
        <v>17</v>
      </c>
      <c r="I2725" s="3" t="s">
        <v>89</v>
      </c>
      <c r="J2725" s="97" t="s">
        <v>3451</v>
      </c>
    </row>
    <row r="2726" spans="1:10" ht="28.9" customHeight="1" thickTop="1" thickBot="1" x14ac:dyDescent="0.65">
      <c r="A2726" s="5">
        <v>2724</v>
      </c>
      <c r="B2726" s="46" t="str">
        <f>HYPERLINK("https://search.naver.com/search.naver?query=천사의 사랑 영화", "천사의 사랑")</f>
        <v>천사의 사랑</v>
      </c>
      <c r="C2726" s="47">
        <v>8.83</v>
      </c>
      <c r="D2726" s="6" t="s">
        <v>2782</v>
      </c>
      <c r="E2726" s="5" t="s">
        <v>16</v>
      </c>
      <c r="F2726" s="5">
        <v>2009</v>
      </c>
      <c r="G2726" s="5" t="s">
        <v>12</v>
      </c>
      <c r="H2726" s="5" t="s">
        <v>17</v>
      </c>
      <c r="I2726" s="5" t="s">
        <v>53</v>
      </c>
      <c r="J2726" s="98" t="s">
        <v>3453</v>
      </c>
    </row>
    <row r="2727" spans="1:10" ht="28.9" customHeight="1" thickTop="1" thickBot="1" x14ac:dyDescent="0.65">
      <c r="A2727" s="3">
        <v>2725</v>
      </c>
      <c r="B2727" s="44" t="str">
        <f>HYPERLINK("https://search.naver.com/search.naver?query=천일의 스캔들 영화", "천일의 스캔들")</f>
        <v>천일의 스캔들</v>
      </c>
      <c r="C2727" s="45">
        <v>8.2100000000000009</v>
      </c>
      <c r="D2727" s="4" t="s">
        <v>2783</v>
      </c>
      <c r="E2727" s="3" t="s">
        <v>24</v>
      </c>
      <c r="F2727" s="3">
        <v>2008</v>
      </c>
      <c r="G2727" s="3" t="s">
        <v>12</v>
      </c>
      <c r="H2727" s="3" t="s">
        <v>17</v>
      </c>
      <c r="I2727" s="3" t="s">
        <v>47</v>
      </c>
      <c r="J2727" s="97" t="s">
        <v>3450</v>
      </c>
    </row>
    <row r="2728" spans="1:10" ht="28.9" customHeight="1" thickTop="1" thickBot="1" x14ac:dyDescent="0.65">
      <c r="A2728" s="5">
        <v>2726</v>
      </c>
      <c r="B2728" s="46" t="str">
        <f>HYPERLINK("https://search.naver.com/search.naver?query=Don 2", "천재 사기꾼 돈-세상을 속여라")</f>
        <v>천재 사기꾼 돈-세상을 속여라</v>
      </c>
      <c r="C2728" s="47">
        <v>6.4</v>
      </c>
      <c r="D2728" s="6" t="s">
        <v>2784</v>
      </c>
      <c r="E2728" s="5" t="s">
        <v>361</v>
      </c>
      <c r="F2728" s="5">
        <v>2011</v>
      </c>
      <c r="G2728" s="5" t="s">
        <v>12</v>
      </c>
      <c r="H2728" s="5" t="s">
        <v>68</v>
      </c>
      <c r="I2728" s="5" t="s">
        <v>28</v>
      </c>
      <c r="J2728" s="98" t="s">
        <v>3454</v>
      </c>
    </row>
    <row r="2729" spans="1:10" ht="28.9" customHeight="1" thickTop="1" thickBot="1" x14ac:dyDescent="0.65">
      <c r="A2729" s="3">
        <v>2727</v>
      </c>
      <c r="B2729" s="44" t="str">
        <f>HYPERLINK("https://search.naver.com/search.naver?query=천재탐정 미타라이 살인사건의 진실 영화", "천재탐정 미타라이-살인사건의 진실")</f>
        <v>천재탐정 미타라이-살인사건의 진실</v>
      </c>
      <c r="C2729" s="45">
        <v>6.5</v>
      </c>
      <c r="D2729" s="4" t="s">
        <v>2785</v>
      </c>
      <c r="E2729" s="3" t="s">
        <v>16</v>
      </c>
      <c r="F2729" s="3">
        <v>2016</v>
      </c>
      <c r="G2729" s="3" t="s">
        <v>12</v>
      </c>
      <c r="H2729" s="3" t="s">
        <v>141</v>
      </c>
      <c r="I2729" s="3" t="s">
        <v>96</v>
      </c>
      <c r="J2729" s="97" t="s">
        <v>3441</v>
      </c>
    </row>
    <row r="2730" spans="1:10" ht="28.9" customHeight="1" thickTop="1" thickBot="1" x14ac:dyDescent="0.65">
      <c r="A2730" s="5">
        <v>2728</v>
      </c>
      <c r="B2730" s="46" t="str">
        <f>HYPERLINK("https://search.naver.com/search.naver?query=천주정 영화", "천주정")</f>
        <v>천주정</v>
      </c>
      <c r="C2730" s="47">
        <v>8.06</v>
      </c>
      <c r="D2730" s="6" t="s">
        <v>2172</v>
      </c>
      <c r="E2730" s="5" t="s">
        <v>136</v>
      </c>
      <c r="F2730" s="5">
        <v>2014</v>
      </c>
      <c r="G2730" s="5" t="s">
        <v>12</v>
      </c>
      <c r="H2730" s="5" t="s">
        <v>17</v>
      </c>
      <c r="I2730" s="5" t="s">
        <v>34</v>
      </c>
      <c r="J2730" s="98" t="s">
        <v>3437</v>
      </c>
    </row>
    <row r="2731" spans="1:10" ht="28.9" customHeight="1" thickTop="1" thickBot="1" x14ac:dyDescent="0.65">
      <c r="A2731" s="3">
        <v>2729</v>
      </c>
      <c r="B2731" s="44" t="str">
        <f>HYPERLINK("https://search.naver.com/search.naver?query=천하장사 마돈나 영화", "천하장사 마돈나")</f>
        <v>천하장사 마돈나</v>
      </c>
      <c r="C2731" s="45">
        <v>8.16</v>
      </c>
      <c r="D2731" s="4" t="s">
        <v>2786</v>
      </c>
      <c r="E2731" s="3" t="s">
        <v>11</v>
      </c>
      <c r="F2731" s="3">
        <v>2006</v>
      </c>
      <c r="G2731" s="3" t="s">
        <v>12</v>
      </c>
      <c r="H2731" s="3" t="s">
        <v>17</v>
      </c>
      <c r="I2731" s="3" t="s">
        <v>207</v>
      </c>
      <c r="J2731" s="97" t="s">
        <v>3460</v>
      </c>
    </row>
    <row r="2732" spans="1:10" ht="28.9" customHeight="1" thickTop="1" thickBot="1" x14ac:dyDescent="0.65">
      <c r="A2732" s="5">
        <v>2730</v>
      </c>
      <c r="B2732" s="46" t="str">
        <f>HYPERLINK("https://search.naver.com/search.naver?query=철도원 영화", "철도원")</f>
        <v>철도원</v>
      </c>
      <c r="C2732" s="47">
        <v>8.34</v>
      </c>
      <c r="D2732" s="6" t="s">
        <v>2787</v>
      </c>
      <c r="E2732" s="5" t="s">
        <v>16</v>
      </c>
      <c r="F2732" s="5">
        <v>1999</v>
      </c>
      <c r="G2732" s="5" t="s">
        <v>12</v>
      </c>
      <c r="H2732" s="5" t="s">
        <v>17</v>
      </c>
      <c r="I2732" s="5" t="s">
        <v>137</v>
      </c>
      <c r="J2732" s="98" t="s">
        <v>3456</v>
      </c>
    </row>
    <row r="2733" spans="1:10" ht="28.9" customHeight="1" thickTop="1" thickBot="1" x14ac:dyDescent="0.65">
      <c r="A2733" s="3">
        <v>2731</v>
      </c>
      <c r="B2733" s="44" t="str">
        <f>HYPERLINK("https://search.naver.com/search.naver?query=영화철로", "철로")</f>
        <v>철로</v>
      </c>
      <c r="C2733" s="45"/>
      <c r="D2733" s="4" t="s">
        <v>2788</v>
      </c>
      <c r="E2733" s="3" t="s">
        <v>16</v>
      </c>
      <c r="F2733" s="3">
        <v>2010</v>
      </c>
      <c r="G2733" s="3" t="s">
        <v>12</v>
      </c>
      <c r="H2733" s="3" t="s">
        <v>17</v>
      </c>
      <c r="I2733" s="3" t="s">
        <v>34</v>
      </c>
      <c r="J2733" s="97" t="s">
        <v>3455</v>
      </c>
    </row>
    <row r="2734" spans="1:10" ht="28.9" customHeight="1" thickTop="1" thickBot="1" x14ac:dyDescent="0.65">
      <c r="A2734" s="5">
        <v>2732</v>
      </c>
      <c r="B2734" s="46" t="str">
        <f>HYPERLINK("https://search.naver.com/search.naver?query=첫 번째 키스 1 영화", "첫 번째 키스 1")</f>
        <v>첫 번째 키스 1</v>
      </c>
      <c r="C2734" s="47">
        <v>3.32</v>
      </c>
      <c r="D2734" s="6" t="s">
        <v>2789</v>
      </c>
      <c r="E2734" s="5" t="s">
        <v>16</v>
      </c>
      <c r="F2734" s="5">
        <v>2025</v>
      </c>
      <c r="G2734" s="5" t="s">
        <v>12</v>
      </c>
      <c r="H2734" s="5" t="s">
        <v>121</v>
      </c>
      <c r="I2734" s="5" t="s">
        <v>131</v>
      </c>
      <c r="J2734" s="98" t="s">
        <v>3459</v>
      </c>
    </row>
    <row r="2735" spans="1:10" ht="28.9" customHeight="1" thickTop="1" thickBot="1" x14ac:dyDescent="0.65">
      <c r="A2735" s="3">
        <v>2733</v>
      </c>
      <c r="B2735" s="44" t="str">
        <f>HYPERLINK("https://search.naver.com/search.naver?query=청견하우적성음", "청견하우적성음")</f>
        <v>청견하우적성음</v>
      </c>
      <c r="C2735" s="45"/>
      <c r="D2735" s="4" t="s">
        <v>2790</v>
      </c>
      <c r="E2735" s="3" t="s">
        <v>375</v>
      </c>
      <c r="F2735" s="3">
        <v>2014</v>
      </c>
      <c r="G2735" s="3" t="s">
        <v>12</v>
      </c>
      <c r="H2735" s="3" t="s">
        <v>17</v>
      </c>
      <c r="I2735" s="3" t="s">
        <v>221</v>
      </c>
      <c r="J2735" s="97" t="s">
        <v>3437</v>
      </c>
    </row>
    <row r="2736" spans="1:10" ht="28.9" customHeight="1" thickTop="1" thickBot="1" x14ac:dyDescent="0.65">
      <c r="A2736" s="5">
        <v>2734</v>
      </c>
      <c r="B2736" s="46" t="str">
        <f>HYPERLINK("https://search.naver.com/search.naver?query=청년경찰 영화", "청년경찰")</f>
        <v>청년경찰</v>
      </c>
      <c r="C2736" s="47">
        <v>9.0299999999999994</v>
      </c>
      <c r="D2736" s="6" t="s">
        <v>2791</v>
      </c>
      <c r="E2736" s="5" t="s">
        <v>11</v>
      </c>
      <c r="F2736" s="5">
        <v>2017</v>
      </c>
      <c r="G2736" s="5" t="s">
        <v>12</v>
      </c>
      <c r="H2736" s="5" t="s">
        <v>92</v>
      </c>
      <c r="I2736" s="5" t="s">
        <v>137</v>
      </c>
      <c r="J2736" s="98" t="s">
        <v>3443</v>
      </c>
    </row>
    <row r="2737" spans="1:10" ht="28.9" customHeight="1" thickTop="1" thickBot="1" x14ac:dyDescent="0.65">
      <c r="A2737" s="3">
        <v>2735</v>
      </c>
      <c r="B2737" s="44" t="str">
        <f>HYPERLINK("https://search.naver.com/search.naver?query=청바지 돌려입기 영화", "청바지 돌려입기")</f>
        <v>청바지 돌려입기</v>
      </c>
      <c r="C2737" s="45">
        <v>6.4</v>
      </c>
      <c r="D2737" s="4" t="s">
        <v>2792</v>
      </c>
      <c r="E2737" s="3" t="s">
        <v>20</v>
      </c>
      <c r="F2737" s="3">
        <v>2005</v>
      </c>
      <c r="G2737" s="3" t="s">
        <v>12</v>
      </c>
      <c r="H2737" s="3" t="s">
        <v>17</v>
      </c>
      <c r="I2737" s="3" t="s">
        <v>53</v>
      </c>
      <c r="J2737" s="97" t="s">
        <v>3461</v>
      </c>
    </row>
    <row r="2738" spans="1:10" ht="28.9" customHeight="1" thickTop="1" thickBot="1" x14ac:dyDescent="0.65">
      <c r="A2738" s="5">
        <v>2736</v>
      </c>
      <c r="B2738" s="46" t="str">
        <f>HYPERLINK("https://search.naver.com/search.naver?query=청설 영화", "청설")</f>
        <v>청설</v>
      </c>
      <c r="C2738" s="47">
        <v>8.02</v>
      </c>
      <c r="D2738" s="6" t="s">
        <v>2793</v>
      </c>
      <c r="E2738" s="5" t="s">
        <v>11</v>
      </c>
      <c r="F2738" s="5">
        <v>2009</v>
      </c>
      <c r="G2738" s="5" t="s">
        <v>12</v>
      </c>
      <c r="H2738" s="5" t="s">
        <v>17</v>
      </c>
      <c r="I2738" s="5" t="s">
        <v>31</v>
      </c>
      <c r="J2738" s="98" t="s">
        <v>3453</v>
      </c>
    </row>
    <row r="2739" spans="1:10" ht="28.9" customHeight="1" thickTop="1" thickBot="1" x14ac:dyDescent="0.65">
      <c r="A2739" s="3">
        <v>2737</v>
      </c>
      <c r="B2739" s="44" t="str">
        <f>HYPERLINK("https://search.naver.com/search.naver?query=청원 영화", "청원")</f>
        <v>청원</v>
      </c>
      <c r="C2739" s="45">
        <v>8.8699999999999992</v>
      </c>
      <c r="D2739" s="4" t="s">
        <v>2794</v>
      </c>
      <c r="E2739" s="3" t="s">
        <v>361</v>
      </c>
      <c r="F2739" s="3">
        <v>2011</v>
      </c>
      <c r="G2739" s="3" t="s">
        <v>12</v>
      </c>
      <c r="H2739" s="3" t="s">
        <v>17</v>
      </c>
      <c r="I2739" s="3" t="s">
        <v>78</v>
      </c>
      <c r="J2739" s="97" t="s">
        <v>3454</v>
      </c>
    </row>
    <row r="2740" spans="1:10" ht="28.9" customHeight="1" thickTop="1" thickBot="1" x14ac:dyDescent="0.65">
      <c r="A2740" s="5">
        <v>2738</v>
      </c>
      <c r="B2740" s="46" t="str">
        <f>HYPERLINK("https://search.naver.com/search.naver?query=청춘의 증언 영화", "청춘의 증언")</f>
        <v>청춘의 증언</v>
      </c>
      <c r="C2740" s="47">
        <v>9.24</v>
      </c>
      <c r="D2740" s="6" t="s">
        <v>2795</v>
      </c>
      <c r="E2740" s="5" t="s">
        <v>24</v>
      </c>
      <c r="F2740" s="5">
        <v>2015</v>
      </c>
      <c r="G2740" s="5" t="s">
        <v>12</v>
      </c>
      <c r="H2740" s="5" t="s">
        <v>17</v>
      </c>
      <c r="I2740" s="5" t="s">
        <v>64</v>
      </c>
      <c r="J2740" s="98" t="s">
        <v>3440</v>
      </c>
    </row>
    <row r="2741" spans="1:10" ht="28.9" customHeight="1" thickTop="1" thickBot="1" x14ac:dyDescent="0.65">
      <c r="A2741" s="3">
        <v>2739</v>
      </c>
      <c r="B2741" s="44" t="str">
        <f>HYPERLINK("https://search.naver.com/search.naver?query=청포도 사탕 17년 전의 약속 영화", "청포도 사탕-17년 전의 약속")</f>
        <v>청포도 사탕-17년 전의 약속</v>
      </c>
      <c r="C2741" s="45">
        <v>6.4</v>
      </c>
      <c r="D2741" s="4" t="s">
        <v>2796</v>
      </c>
      <c r="E2741" s="3" t="s">
        <v>11</v>
      </c>
      <c r="F2741" s="3">
        <v>2011</v>
      </c>
      <c r="G2741" s="3" t="s">
        <v>12</v>
      </c>
      <c r="H2741" s="3" t="s">
        <v>121</v>
      </c>
      <c r="I2741" s="3" t="s">
        <v>111</v>
      </c>
      <c r="J2741" s="97" t="s">
        <v>3454</v>
      </c>
    </row>
    <row r="2742" spans="1:10" ht="28.9" customHeight="1" thickTop="1" thickBot="1" x14ac:dyDescent="0.65">
      <c r="A2742" s="7">
        <v>2740</v>
      </c>
      <c r="B2742" s="48" t="str">
        <f>HYPERLINK("https://search.naver.com/search.naver?query=체르노빌 드라마", "체르노빌")</f>
        <v>체르노빌</v>
      </c>
      <c r="C2742" s="49"/>
      <c r="D2742" s="8" t="s">
        <v>2797</v>
      </c>
      <c r="E2742" s="7" t="s">
        <v>20</v>
      </c>
      <c r="F2742" s="7">
        <v>2019</v>
      </c>
      <c r="G2742" s="7" t="s">
        <v>17</v>
      </c>
      <c r="H2742" s="7" t="s">
        <v>17</v>
      </c>
      <c r="I2742" s="7" t="s">
        <v>687</v>
      </c>
      <c r="J2742" s="99" t="s">
        <v>3444</v>
      </c>
    </row>
    <row r="2743" spans="1:10" ht="28.9" customHeight="1" thickTop="1" thickBot="1" x14ac:dyDescent="0.65">
      <c r="A2743" s="3">
        <v>2741</v>
      </c>
      <c r="B2743" s="44" t="str">
        <f>HYPERLINK("https://search.naver.com/search.naver?query=체인지 업 영화", "체인지 업")</f>
        <v>체인지 업</v>
      </c>
      <c r="C2743" s="45">
        <v>7.79</v>
      </c>
      <c r="D2743" s="4" t="s">
        <v>2798</v>
      </c>
      <c r="E2743" s="3" t="s">
        <v>20</v>
      </c>
      <c r="F2743" s="3">
        <v>2011</v>
      </c>
      <c r="G2743" s="3" t="s">
        <v>12</v>
      </c>
      <c r="H2743" s="3" t="s">
        <v>68</v>
      </c>
      <c r="I2743" s="3" t="s">
        <v>278</v>
      </c>
      <c r="J2743" s="97" t="s">
        <v>3454</v>
      </c>
    </row>
    <row r="2744" spans="1:10" ht="28.9" customHeight="1" thickTop="1" thickBot="1" x14ac:dyDescent="0.65">
      <c r="A2744" s="5">
        <v>2742</v>
      </c>
      <c r="B2744" s="46" t="str">
        <f>HYPERLINK("https://search.naver.com/search.naver?query=초이스 영화", "초이스")</f>
        <v>초이스</v>
      </c>
      <c r="C2744" s="47">
        <v>8.42</v>
      </c>
      <c r="D2744" s="6" t="s">
        <v>2799</v>
      </c>
      <c r="E2744" s="5" t="s">
        <v>20</v>
      </c>
      <c r="F2744" s="5">
        <v>2016</v>
      </c>
      <c r="G2744" s="5" t="s">
        <v>12</v>
      </c>
      <c r="H2744" s="5" t="s">
        <v>121</v>
      </c>
      <c r="I2744" s="5" t="s">
        <v>102</v>
      </c>
      <c r="J2744" s="98" t="s">
        <v>3441</v>
      </c>
    </row>
    <row r="2745" spans="1:10" ht="28.9" customHeight="1" thickTop="1" thickBot="1" x14ac:dyDescent="0.65">
      <c r="A2745" s="3">
        <v>2743</v>
      </c>
      <c r="B2745" s="44" t="str">
        <f>HYPERLINK("https://search.naver.com/search.naver?query=초콜릿 영화", "초콜릿")</f>
        <v>초콜릿</v>
      </c>
      <c r="C2745" s="45">
        <v>7.05</v>
      </c>
      <c r="D2745" s="4" t="s">
        <v>2800</v>
      </c>
      <c r="E2745" s="3" t="s">
        <v>24</v>
      </c>
      <c r="F2745" s="3">
        <v>2000</v>
      </c>
      <c r="G2745" s="3" t="s">
        <v>12</v>
      </c>
      <c r="H2745" s="3" t="s">
        <v>17</v>
      </c>
      <c r="I2745" s="3" t="s">
        <v>142</v>
      </c>
      <c r="J2745" s="97" t="s">
        <v>3458</v>
      </c>
    </row>
    <row r="2746" spans="1:10" ht="28.9" customHeight="1" thickTop="1" thickBot="1" x14ac:dyDescent="0.65">
      <c r="A2746" s="5">
        <v>2744</v>
      </c>
      <c r="B2746" s="46" t="str">
        <f>HYPERLINK("https://search.naver.com/search.naver?query=촌마게푸딩 영화", "촌마게푸딩")</f>
        <v>촌마게푸딩</v>
      </c>
      <c r="C2746" s="47">
        <v>6.4</v>
      </c>
      <c r="D2746" s="6" t="s">
        <v>2801</v>
      </c>
      <c r="E2746" s="5" t="s">
        <v>16</v>
      </c>
      <c r="F2746" s="5">
        <v>2010</v>
      </c>
      <c r="G2746" s="5" t="s">
        <v>12</v>
      </c>
      <c r="H2746" s="5" t="s">
        <v>68</v>
      </c>
      <c r="I2746" s="5" t="s">
        <v>111</v>
      </c>
      <c r="J2746" s="98" t="s">
        <v>3455</v>
      </c>
    </row>
    <row r="2747" spans="1:10" ht="28.9" customHeight="1" thickTop="1" thickBot="1" x14ac:dyDescent="0.65">
      <c r="A2747" s="3">
        <v>2745</v>
      </c>
      <c r="B2747" s="44" t="str">
        <f>HYPERLINK("https://search.naver.com/search.naver?query=총을 든 스님 영화", "총을 든 스님")</f>
        <v>총을 든 스님</v>
      </c>
      <c r="C2747" s="45">
        <v>8.2899999999999991</v>
      </c>
      <c r="D2747" s="4" t="s">
        <v>2802</v>
      </c>
      <c r="E2747" s="3" t="s">
        <v>2803</v>
      </c>
      <c r="F2747" s="3">
        <v>2023</v>
      </c>
      <c r="G2747" s="3" t="s">
        <v>12</v>
      </c>
      <c r="H2747" s="3" t="s">
        <v>68</v>
      </c>
      <c r="I2747" s="3" t="s">
        <v>75</v>
      </c>
      <c r="J2747" s="97" t="s">
        <v>3446</v>
      </c>
    </row>
    <row r="2748" spans="1:10" ht="28.9" customHeight="1" thickTop="1" thickBot="1" x14ac:dyDescent="0.65">
      <c r="A2748" s="5">
        <v>2746</v>
      </c>
      <c r="B2748" s="46" t="str">
        <f>HYPERLINK("https://search.naver.com/search.naver?query=최악의 이웃과 사랑에 빠지는 방법 영화", "최악의 이웃과 사랑에 빠지는 방법")</f>
        <v>최악의 이웃과 사랑에 빠지는 방법</v>
      </c>
      <c r="C2748" s="47">
        <v>8.06</v>
      </c>
      <c r="D2748" s="6" t="s">
        <v>2804</v>
      </c>
      <c r="E2748" s="5" t="s">
        <v>210</v>
      </c>
      <c r="F2748" s="5">
        <v>2016</v>
      </c>
      <c r="G2748" s="5" t="s">
        <v>12</v>
      </c>
      <c r="H2748" s="5" t="s">
        <v>121</v>
      </c>
      <c r="I2748" s="5" t="s">
        <v>240</v>
      </c>
      <c r="J2748" s="98" t="s">
        <v>3441</v>
      </c>
    </row>
    <row r="2749" spans="1:10" ht="28.9" customHeight="1" thickTop="1" thickBot="1" x14ac:dyDescent="0.65">
      <c r="A2749" s="3">
        <v>2747</v>
      </c>
      <c r="B2749" s="44" t="str">
        <f>HYPERLINK("https://search.naver.com/search.naver?query=최종 분석 영화", "최종 분석")</f>
        <v>최종 분석</v>
      </c>
      <c r="C2749" s="45">
        <v>7.54</v>
      </c>
      <c r="D2749" s="4" t="s">
        <v>2805</v>
      </c>
      <c r="E2749" s="3" t="s">
        <v>20</v>
      </c>
      <c r="F2749" s="3">
        <v>1992</v>
      </c>
      <c r="G2749" s="3" t="s">
        <v>12</v>
      </c>
      <c r="H2749" s="3" t="s">
        <v>43</v>
      </c>
      <c r="I2749" s="3" t="s">
        <v>134</v>
      </c>
      <c r="J2749" s="97" t="s">
        <v>3473</v>
      </c>
    </row>
    <row r="2750" spans="1:10" ht="28.9" customHeight="1" thickTop="1" thickBot="1" x14ac:dyDescent="0.65">
      <c r="A2750" s="5">
        <v>2748</v>
      </c>
      <c r="B2750" s="46" t="str">
        <f>HYPERLINK("https://search.naver.com/search.naver?query=최종병기 활 영화", "최종병기 활")</f>
        <v>최종병기 활</v>
      </c>
      <c r="C2750" s="47">
        <v>7.86</v>
      </c>
      <c r="D2750" s="6" t="s">
        <v>2806</v>
      </c>
      <c r="E2750" s="5" t="s">
        <v>11</v>
      </c>
      <c r="F2750" s="5">
        <v>2011</v>
      </c>
      <c r="G2750" s="5" t="s">
        <v>12</v>
      </c>
      <c r="H2750" s="5" t="s">
        <v>92</v>
      </c>
      <c r="I2750" s="5" t="s">
        <v>105</v>
      </c>
      <c r="J2750" s="98" t="s">
        <v>3454</v>
      </c>
    </row>
    <row r="2751" spans="1:10" ht="28.9" customHeight="1" thickTop="1" thickBot="1" x14ac:dyDescent="0.65">
      <c r="A2751" s="3">
        <v>2749</v>
      </c>
      <c r="B2751" s="44" t="str">
        <f>HYPERLINK("https://search.naver.com/search.naver?query=최후의 추신구라 영화", "최후의 추신구라")</f>
        <v>최후의 추신구라</v>
      </c>
      <c r="C2751" s="45"/>
      <c r="D2751" s="4" t="s">
        <v>2807</v>
      </c>
      <c r="E2751" s="3" t="s">
        <v>16</v>
      </c>
      <c r="F2751" s="3">
        <v>2010</v>
      </c>
      <c r="G2751" s="3" t="s">
        <v>12</v>
      </c>
      <c r="H2751" s="3" t="s">
        <v>873</v>
      </c>
      <c r="I2751" s="3" t="s">
        <v>78</v>
      </c>
      <c r="J2751" s="97" t="s">
        <v>3455</v>
      </c>
    </row>
    <row r="2752" spans="1:10" ht="28.9" customHeight="1" thickTop="1" thickBot="1" x14ac:dyDescent="0.65">
      <c r="A2752" s="5">
        <v>2750</v>
      </c>
      <c r="B2752" s="46" t="str">
        <f>HYPERLINK("https://search.naver.com/search.naver?query=추락의 해부 영화", "추락의 해부")</f>
        <v>추락의 해부</v>
      </c>
      <c r="C2752" s="47">
        <v>8.4600000000000009</v>
      </c>
      <c r="D2752" s="6" t="s">
        <v>2808</v>
      </c>
      <c r="E2752" s="5" t="s">
        <v>210</v>
      </c>
      <c r="F2752" s="5">
        <v>2023</v>
      </c>
      <c r="G2752" s="5" t="s">
        <v>12</v>
      </c>
      <c r="H2752" s="5" t="s">
        <v>17</v>
      </c>
      <c r="I2752" s="5" t="s">
        <v>967</v>
      </c>
      <c r="J2752" s="98" t="s">
        <v>3446</v>
      </c>
    </row>
    <row r="2753" spans="1:10" ht="28.9" customHeight="1" thickTop="1" thickBot="1" x14ac:dyDescent="0.65">
      <c r="A2753" s="3">
        <v>2751</v>
      </c>
      <c r="B2753" s="44" t="str">
        <f>HYPERLINK("https://search.naver.com/search.naver?query=추리닝의 두사람 영화", "추리닝의 두사람")</f>
        <v>추리닝의 두사람</v>
      </c>
      <c r="C2753" s="45">
        <v>6.4</v>
      </c>
      <c r="D2753" s="4" t="s">
        <v>2809</v>
      </c>
      <c r="E2753" s="3" t="s">
        <v>16</v>
      </c>
      <c r="F2753" s="3">
        <v>2008</v>
      </c>
      <c r="G2753" s="3" t="s">
        <v>12</v>
      </c>
      <c r="H2753" s="3" t="s">
        <v>68</v>
      </c>
      <c r="I2753" s="3" t="s">
        <v>93</v>
      </c>
      <c r="J2753" s="97" t="s">
        <v>3450</v>
      </c>
    </row>
    <row r="2754" spans="1:10" ht="28.9" customHeight="1" thickTop="1" thickBot="1" x14ac:dyDescent="0.65">
      <c r="A2754" s="5">
        <v>2752</v>
      </c>
      <c r="B2754" s="46" t="str">
        <f>HYPERLINK("https://search.naver.com/search.naver?query=추억1973", "추억")</f>
        <v>추억</v>
      </c>
      <c r="C2754" s="47">
        <v>10</v>
      </c>
      <c r="D2754" s="6" t="s">
        <v>2810</v>
      </c>
      <c r="E2754" s="5" t="s">
        <v>20</v>
      </c>
      <c r="F2754" s="5">
        <v>1973</v>
      </c>
      <c r="G2754" s="5" t="s">
        <v>12</v>
      </c>
      <c r="H2754" s="5" t="s">
        <v>17</v>
      </c>
      <c r="I2754" s="5" t="s">
        <v>221</v>
      </c>
      <c r="J2754" s="98" t="s">
        <v>3484</v>
      </c>
    </row>
    <row r="2755" spans="1:10" ht="28.9" customHeight="1" thickTop="1" thickBot="1" x14ac:dyDescent="0.65">
      <c r="A2755" s="3">
        <v>2753</v>
      </c>
      <c r="B2755" s="44" t="str">
        <f>HYPERLINK("https://search.naver.com/search.naver?query=추적2007", "추적")</f>
        <v>추적</v>
      </c>
      <c r="C2755" s="45">
        <v>7.21</v>
      </c>
      <c r="D2755" s="4" t="s">
        <v>2811</v>
      </c>
      <c r="E2755" s="3" t="s">
        <v>20</v>
      </c>
      <c r="F2755" s="3">
        <v>2008</v>
      </c>
      <c r="G2755" s="3" t="s">
        <v>12</v>
      </c>
      <c r="H2755" s="3" t="s">
        <v>43</v>
      </c>
      <c r="I2755" s="3" t="s">
        <v>231</v>
      </c>
      <c r="J2755" s="97" t="s">
        <v>3450</v>
      </c>
    </row>
    <row r="2756" spans="1:10" ht="28.9" customHeight="1" thickTop="1" thickBot="1" x14ac:dyDescent="0.65">
      <c r="A2756" s="5">
        <v>2754</v>
      </c>
      <c r="B2756" s="46" t="str">
        <f>HYPERLINK("https://search.naver.com/search.naver?query=출국 영화", "출국")</f>
        <v>출국</v>
      </c>
      <c r="C2756" s="47">
        <v>9.31</v>
      </c>
      <c r="D2756" s="6" t="s">
        <v>2812</v>
      </c>
      <c r="E2756" s="5" t="s">
        <v>11</v>
      </c>
      <c r="F2756" s="5">
        <v>2018</v>
      </c>
      <c r="G2756" s="5" t="s">
        <v>12</v>
      </c>
      <c r="H2756" s="5" t="s">
        <v>17</v>
      </c>
      <c r="I2756" s="5" t="s">
        <v>111</v>
      </c>
      <c r="J2756" s="98" t="s">
        <v>3442</v>
      </c>
    </row>
    <row r="2757" spans="1:10" ht="28.9" customHeight="1" thickTop="1" thickBot="1" x14ac:dyDescent="0.65">
      <c r="A2757" s="3">
        <v>2755</v>
      </c>
      <c r="B2757" s="44" t="str">
        <f>HYPERLINK("https://search.naver.com/search.naver?query=충격과 공포 영화", "충격과 공포")</f>
        <v>충격과 공포</v>
      </c>
      <c r="C2757" s="45">
        <v>6.74</v>
      </c>
      <c r="D2757" s="4" t="s">
        <v>2813</v>
      </c>
      <c r="E2757" s="3" t="s">
        <v>20</v>
      </c>
      <c r="F2757" s="3">
        <v>2017</v>
      </c>
      <c r="G2757" s="3" t="s">
        <v>12</v>
      </c>
      <c r="H2757" s="3" t="s">
        <v>17</v>
      </c>
      <c r="I2757" s="3" t="s">
        <v>115</v>
      </c>
      <c r="J2757" s="97" t="s">
        <v>3443</v>
      </c>
    </row>
    <row r="2758" spans="1:10" ht="28.9" customHeight="1" thickTop="1" thickBot="1" x14ac:dyDescent="0.65">
      <c r="A2758" s="5">
        <v>2756</v>
      </c>
      <c r="B2758" s="46" t="str">
        <f>HYPERLINK("https://search.naver.com/search.naver?query=취화선 영화", "취화선")</f>
        <v>취화선</v>
      </c>
      <c r="C2758" s="47">
        <v>8.7100000000000009</v>
      </c>
      <c r="D2758" s="6" t="s">
        <v>2814</v>
      </c>
      <c r="E2758" s="5" t="s">
        <v>11</v>
      </c>
      <c r="F2758" s="5">
        <v>2002</v>
      </c>
      <c r="G2758" s="5" t="s">
        <v>12</v>
      </c>
      <c r="H2758" s="5" t="s">
        <v>17</v>
      </c>
      <c r="I2758" s="5" t="s">
        <v>89</v>
      </c>
      <c r="J2758" s="98" t="s">
        <v>3466</v>
      </c>
    </row>
    <row r="2759" spans="1:10" ht="28.9" customHeight="1" thickTop="1" thickBot="1" x14ac:dyDescent="0.65">
      <c r="A2759" s="3">
        <v>2757</v>
      </c>
      <c r="B2759" s="44" t="str">
        <f>HYPERLINK("https://search.naver.com/search.naver?query=츠나구 영화", "츠나구")</f>
        <v>츠나구</v>
      </c>
      <c r="C2759" s="45"/>
      <c r="D2759" s="4" t="s">
        <v>2815</v>
      </c>
      <c r="E2759" s="3" t="s">
        <v>16</v>
      </c>
      <c r="F2759" s="3">
        <v>2012</v>
      </c>
      <c r="G2759" s="3" t="s">
        <v>12</v>
      </c>
      <c r="H2759" s="3" t="s">
        <v>17</v>
      </c>
      <c r="I2759" s="3" t="s">
        <v>86</v>
      </c>
      <c r="J2759" s="97" t="s">
        <v>3439</v>
      </c>
    </row>
    <row r="2760" spans="1:10" ht="28.9" customHeight="1" thickTop="1" thickBot="1" x14ac:dyDescent="0.65">
      <c r="A2760" s="5">
        <v>2758</v>
      </c>
      <c r="B2760" s="46" t="str">
        <f>HYPERLINK("https://search.naver.com/search.naver?query=츠레가 우울증에 걸려서 영화", "츠레가 우울증에 걸려서")</f>
        <v>츠레가 우울증에 걸려서</v>
      </c>
      <c r="C2760" s="47">
        <v>6.4</v>
      </c>
      <c r="D2760" s="6" t="s">
        <v>2816</v>
      </c>
      <c r="E2760" s="5" t="s">
        <v>16</v>
      </c>
      <c r="F2760" s="5">
        <v>2011</v>
      </c>
      <c r="G2760" s="5" t="s">
        <v>12</v>
      </c>
      <c r="H2760" s="5" t="s">
        <v>17</v>
      </c>
      <c r="I2760" s="5" t="s">
        <v>142</v>
      </c>
      <c r="J2760" s="98" t="s">
        <v>3454</v>
      </c>
    </row>
    <row r="2761" spans="1:10" ht="28.9" customHeight="1" thickTop="1" thickBot="1" x14ac:dyDescent="0.65">
      <c r="A2761" s="3">
        <v>2759</v>
      </c>
      <c r="B2761" s="44" t="str">
        <f>HYPERLINK("https://search.naver.com/search.naver?query=치어 댄스 영화", "치어 댄스")</f>
        <v>치어 댄스</v>
      </c>
      <c r="C2761" s="45">
        <v>8.19</v>
      </c>
      <c r="D2761" s="4" t="s">
        <v>2817</v>
      </c>
      <c r="E2761" s="3" t="s">
        <v>16</v>
      </c>
      <c r="F2761" s="3">
        <v>2017</v>
      </c>
      <c r="G2761" s="3" t="s">
        <v>12</v>
      </c>
      <c r="H2761" s="3" t="s">
        <v>17</v>
      </c>
      <c r="I2761" s="3" t="s">
        <v>142</v>
      </c>
      <c r="J2761" s="97" t="s">
        <v>3443</v>
      </c>
    </row>
    <row r="2762" spans="1:10" ht="28.9" customHeight="1" thickTop="1" thickBot="1" x14ac:dyDescent="0.65">
      <c r="A2762" s="5">
        <v>2760</v>
      </c>
      <c r="B2762" s="46" t="str">
        <f>HYPERLINK("https://search.naver.com/search.naver?query=치어리딩 클럽 영화", "치어리딩 클럽")</f>
        <v>치어리딩 클럽</v>
      </c>
      <c r="C2762" s="47">
        <v>8</v>
      </c>
      <c r="D2762" s="6" t="s">
        <v>2818</v>
      </c>
      <c r="E2762" s="5" t="s">
        <v>16</v>
      </c>
      <c r="F2762" s="5">
        <v>2019</v>
      </c>
      <c r="G2762" s="5" t="s">
        <v>12</v>
      </c>
      <c r="H2762" s="5" t="s">
        <v>17</v>
      </c>
      <c r="I2762" s="5" t="s">
        <v>111</v>
      </c>
      <c r="J2762" s="98" t="s">
        <v>3444</v>
      </c>
    </row>
    <row r="2763" spans="1:10" ht="28.9" customHeight="1" thickTop="1" thickBot="1" x14ac:dyDescent="0.65">
      <c r="A2763" s="3">
        <v>2761</v>
      </c>
      <c r="B2763" s="44" t="str">
        <f>HYPERLINK("https://search.naver.com/search.naver?query=치와법권 영화", "치와법권")</f>
        <v>치와법권</v>
      </c>
      <c r="C2763" s="45">
        <v>7.22</v>
      </c>
      <c r="D2763" s="4" t="s">
        <v>2819</v>
      </c>
      <c r="E2763" s="3" t="s">
        <v>11</v>
      </c>
      <c r="F2763" s="3">
        <v>2015</v>
      </c>
      <c r="G2763" s="3" t="s">
        <v>12</v>
      </c>
      <c r="H2763" s="3" t="s">
        <v>17</v>
      </c>
      <c r="I2763" s="3" t="s">
        <v>111</v>
      </c>
      <c r="J2763" s="97" t="s">
        <v>3440</v>
      </c>
    </row>
    <row r="2764" spans="1:10" ht="28.9" customHeight="1" thickTop="1" thickBot="1" x14ac:dyDescent="0.65">
      <c r="A2764" s="5">
        <v>2762</v>
      </c>
      <c r="B2764" s="46" t="str">
        <f>HYPERLINK("https://search.naver.com/search.naver?query=치프 플라이트 영화", "치프 플라이트")</f>
        <v>치프 플라이트</v>
      </c>
      <c r="C2764" s="47"/>
      <c r="D2764" s="6" t="s">
        <v>2820</v>
      </c>
      <c r="E2764" s="5" t="s">
        <v>16</v>
      </c>
      <c r="F2764" s="5">
        <v>2013</v>
      </c>
      <c r="G2764" s="5" t="s">
        <v>12</v>
      </c>
      <c r="H2764" s="5" t="s">
        <v>17</v>
      </c>
      <c r="I2764" s="5" t="s">
        <v>111</v>
      </c>
      <c r="J2764" s="98" t="s">
        <v>3451</v>
      </c>
    </row>
    <row r="2765" spans="1:10" ht="28.9" customHeight="1" thickTop="1" thickBot="1" x14ac:dyDescent="0.65">
      <c r="A2765" s="3">
        <v>2763</v>
      </c>
      <c r="B2765" s="44" t="str">
        <f>HYPERLINK("https://search.naver.com/search.naver?query=친구1 영화", "친구1")</f>
        <v>친구1</v>
      </c>
      <c r="C2765" s="45">
        <v>8.7100000000000009</v>
      </c>
      <c r="D2765" s="4" t="s">
        <v>2821</v>
      </c>
      <c r="E2765" s="3" t="s">
        <v>11</v>
      </c>
      <c r="F2765" s="3">
        <v>2001</v>
      </c>
      <c r="G2765" s="3" t="s">
        <v>12</v>
      </c>
      <c r="H2765" s="3" t="s">
        <v>277</v>
      </c>
      <c r="I2765" s="3" t="s">
        <v>47</v>
      </c>
      <c r="J2765" s="97" t="s">
        <v>3457</v>
      </c>
    </row>
    <row r="2766" spans="1:10" ht="28.9" customHeight="1" thickTop="1" thickBot="1" x14ac:dyDescent="0.65">
      <c r="A2766" s="5">
        <v>2764</v>
      </c>
      <c r="B2766" s="46" t="str">
        <f>HYPERLINK("https://search.naver.com/search.naver?query=친구2 영화", "친구2")</f>
        <v>친구2</v>
      </c>
      <c r="C2766" s="47">
        <v>6.2</v>
      </c>
      <c r="D2766" s="6" t="s">
        <v>2822</v>
      </c>
      <c r="E2766" s="5" t="s">
        <v>11</v>
      </c>
      <c r="F2766" s="5">
        <v>2013</v>
      </c>
      <c r="G2766" s="5" t="s">
        <v>12</v>
      </c>
      <c r="H2766" s="5" t="s">
        <v>277</v>
      </c>
      <c r="I2766" s="5" t="s">
        <v>134</v>
      </c>
      <c r="J2766" s="98" t="s">
        <v>3451</v>
      </c>
    </row>
    <row r="2767" spans="1:10" ht="28.9" customHeight="1" thickTop="1" thickBot="1" x14ac:dyDescent="0.65">
      <c r="A2767" s="3">
        <v>2765</v>
      </c>
      <c r="B2767" s="44" t="str">
        <f>HYPERLINK("https://search.naver.com/search.naver?query=친애하는 우리아이 영화", "친애하는 우리아이")</f>
        <v>친애하는 우리아이</v>
      </c>
      <c r="C2767" s="45">
        <v>7.92</v>
      </c>
      <c r="D2767" s="4" t="s">
        <v>2823</v>
      </c>
      <c r="E2767" s="3" t="s">
        <v>16</v>
      </c>
      <c r="F2767" s="3">
        <v>2018</v>
      </c>
      <c r="G2767" s="3" t="s">
        <v>12</v>
      </c>
      <c r="H2767" s="3" t="s">
        <v>17</v>
      </c>
      <c r="I2767" s="3" t="s">
        <v>150</v>
      </c>
      <c r="J2767" s="97" t="s">
        <v>3442</v>
      </c>
    </row>
    <row r="2768" spans="1:10" ht="28.9" customHeight="1" thickTop="1" thickBot="1" x14ac:dyDescent="0.65">
      <c r="A2768" s="5">
        <v>2766</v>
      </c>
      <c r="B2768" s="46" t="str">
        <f>HYPERLINK("https://search.naver.com/search.naver?query=친정엄마 영화", "친정엄마")</f>
        <v>친정엄마</v>
      </c>
      <c r="C2768" s="47">
        <v>9.26</v>
      </c>
      <c r="D2768" s="6" t="s">
        <v>2824</v>
      </c>
      <c r="E2768" s="5" t="s">
        <v>11</v>
      </c>
      <c r="F2768" s="5">
        <v>2012</v>
      </c>
      <c r="G2768" s="5" t="s">
        <v>12</v>
      </c>
      <c r="H2768" s="5" t="s">
        <v>17</v>
      </c>
      <c r="I2768" s="5" t="s">
        <v>111</v>
      </c>
      <c r="J2768" s="98" t="s">
        <v>3439</v>
      </c>
    </row>
    <row r="2769" spans="1:10" ht="28.9" customHeight="1" thickTop="1" thickBot="1" x14ac:dyDescent="0.65">
      <c r="A2769" s="3">
        <v>2767</v>
      </c>
      <c r="B2769" s="44" t="str">
        <f>HYPERLINK("https://search.naver.com/search.naver?query=칠드런 액트 영화", "칠드런 액트")</f>
        <v>칠드런 액트</v>
      </c>
      <c r="C2769" s="45">
        <v>9.0500000000000007</v>
      </c>
      <c r="D2769" s="4" t="s">
        <v>2825</v>
      </c>
      <c r="E2769" s="3" t="s">
        <v>24</v>
      </c>
      <c r="F2769" s="3">
        <v>2017</v>
      </c>
      <c r="G2769" s="3" t="s">
        <v>12</v>
      </c>
      <c r="H2769" s="3" t="s">
        <v>17</v>
      </c>
      <c r="I2769" s="3" t="s">
        <v>128</v>
      </c>
      <c r="J2769" s="97" t="s">
        <v>3443</v>
      </c>
    </row>
    <row r="2770" spans="1:10" ht="28.9" customHeight="1" thickTop="1" thickBot="1" x14ac:dyDescent="0.65">
      <c r="A2770" s="5">
        <v>2768</v>
      </c>
      <c r="B2770" s="46" t="str">
        <f>HYPERLINK("https://search.naver.com/search.naver?query=침묵 영화", "침묵")</f>
        <v>침묵</v>
      </c>
      <c r="C2770" s="47">
        <v>8.24</v>
      </c>
      <c r="D2770" s="6" t="s">
        <v>2826</v>
      </c>
      <c r="E2770" s="5" t="s">
        <v>20</v>
      </c>
      <c r="F2770" s="5">
        <v>2016</v>
      </c>
      <c r="G2770" s="5" t="s">
        <v>12</v>
      </c>
      <c r="H2770" s="5" t="s">
        <v>17</v>
      </c>
      <c r="I2770" s="5" t="s">
        <v>696</v>
      </c>
      <c r="J2770" s="98" t="s">
        <v>3441</v>
      </c>
    </row>
    <row r="2771" spans="1:10" ht="28.9" customHeight="1" thickTop="1" thickBot="1" x14ac:dyDescent="0.65">
      <c r="A2771" s="3">
        <v>2769</v>
      </c>
      <c r="B2771" s="44" t="str">
        <f>HYPERLINK("https://search.naver.com/search.naver?query=침묵의 목격자 영화", "침묵의 목격자")</f>
        <v>침묵의 목격자</v>
      </c>
      <c r="C2771" s="45">
        <v>8.51</v>
      </c>
      <c r="D2771" s="4" t="s">
        <v>2827</v>
      </c>
      <c r="E2771" s="3" t="s">
        <v>136</v>
      </c>
      <c r="F2771" s="3">
        <v>2014</v>
      </c>
      <c r="G2771" s="3" t="s">
        <v>12</v>
      </c>
      <c r="H2771" s="3" t="s">
        <v>277</v>
      </c>
      <c r="I2771" s="3" t="s">
        <v>86</v>
      </c>
      <c r="J2771" s="97" t="s">
        <v>3437</v>
      </c>
    </row>
    <row r="2772" spans="1:10" ht="28.9" customHeight="1" thickTop="1" thickBot="1" x14ac:dyDescent="0.65">
      <c r="A2772" s="5">
        <v>2770</v>
      </c>
      <c r="B2772" s="46" t="str">
        <f>HYPERLINK("https://search.naver.com/search.naver?query=침묵의 퍼레이드 영화", "침묵의 퍼레이드")</f>
        <v>침묵의 퍼레이드</v>
      </c>
      <c r="C2772" s="47">
        <v>6.4</v>
      </c>
      <c r="D2772" s="6" t="s">
        <v>2410</v>
      </c>
      <c r="E2772" s="5" t="s">
        <v>16</v>
      </c>
      <c r="F2772" s="5">
        <v>2022</v>
      </c>
      <c r="G2772" s="5" t="s">
        <v>12</v>
      </c>
      <c r="H2772" s="5" t="s">
        <v>141</v>
      </c>
      <c r="I2772" s="5" t="s">
        <v>34</v>
      </c>
      <c r="J2772" s="98" t="s">
        <v>3445</v>
      </c>
    </row>
    <row r="2773" spans="1:10" ht="28.9" customHeight="1" thickTop="1" thickBot="1" x14ac:dyDescent="0.65">
      <c r="A2773" s="3">
        <v>2771</v>
      </c>
      <c r="B2773" s="44" t="str">
        <f>HYPERLINK("https://search.naver.com/search.naver?query=침입자 영화", "침입자")</f>
        <v>침입자</v>
      </c>
      <c r="C2773" s="45">
        <v>5.3</v>
      </c>
      <c r="D2773" s="4" t="s">
        <v>2828</v>
      </c>
      <c r="E2773" s="3" t="s">
        <v>11</v>
      </c>
      <c r="F2773" s="3">
        <v>2020</v>
      </c>
      <c r="G2773" s="3" t="s">
        <v>12</v>
      </c>
      <c r="H2773" s="3" t="s">
        <v>43</v>
      </c>
      <c r="I2773" s="3" t="s">
        <v>99</v>
      </c>
      <c r="J2773" s="97" t="s">
        <v>3436</v>
      </c>
    </row>
    <row r="2774" spans="1:10" ht="28.9" customHeight="1" thickTop="1" thickBot="1" x14ac:dyDescent="0.65">
      <c r="A2774" s="5">
        <v>2772</v>
      </c>
      <c r="B2774" s="46" t="str">
        <f>HYPERLINK("https://search.naver.com/search.naver?query=카나리 블랙 영화", "카나리 블랙")</f>
        <v>카나리 블랙</v>
      </c>
      <c r="C2774" s="47">
        <v>6.4</v>
      </c>
      <c r="D2774" s="6" t="s">
        <v>2829</v>
      </c>
      <c r="E2774" s="5" t="s">
        <v>24</v>
      </c>
      <c r="F2774" s="5">
        <v>2024</v>
      </c>
      <c r="G2774" s="5" t="s">
        <v>12</v>
      </c>
      <c r="H2774" s="5" t="s">
        <v>92</v>
      </c>
      <c r="I2774" s="5" t="s">
        <v>131</v>
      </c>
      <c r="J2774" s="98" t="s">
        <v>3448</v>
      </c>
    </row>
    <row r="2775" spans="1:10" ht="28.9" customHeight="1" thickTop="1" thickBot="1" x14ac:dyDescent="0.65">
      <c r="A2775" s="3">
        <v>2773</v>
      </c>
      <c r="B2775" s="44" t="str">
        <f>HYPERLINK("https://search.naver.com/search.naver?query=카니발 영화", "카니발")</f>
        <v>카니발</v>
      </c>
      <c r="C2775" s="45">
        <v>6.9</v>
      </c>
      <c r="D2775" s="4" t="s">
        <v>2830</v>
      </c>
      <c r="E2775" s="3" t="s">
        <v>20</v>
      </c>
      <c r="F2775" s="3">
        <v>2013</v>
      </c>
      <c r="G2775" s="3" t="s">
        <v>12</v>
      </c>
      <c r="H2775" s="3" t="s">
        <v>252</v>
      </c>
      <c r="I2775" s="3" t="s">
        <v>111</v>
      </c>
      <c r="J2775" s="97" t="s">
        <v>3451</v>
      </c>
    </row>
    <row r="2776" spans="1:10" ht="28.9" customHeight="1" thickTop="1" thickBot="1" x14ac:dyDescent="0.65">
      <c r="A2776" s="5">
        <v>2774</v>
      </c>
      <c r="B2776" s="46" t="str">
        <f>HYPERLINK("https://search.naver.com/search.naver?query=카모메 식당 영화", "카모메 식당")</f>
        <v>카모메 식당</v>
      </c>
      <c r="C2776" s="47">
        <v>8.06</v>
      </c>
      <c r="D2776" s="6" t="s">
        <v>2831</v>
      </c>
      <c r="E2776" s="5" t="s">
        <v>16</v>
      </c>
      <c r="F2776" s="5">
        <v>2006</v>
      </c>
      <c r="G2776" s="5" t="s">
        <v>12</v>
      </c>
      <c r="H2776" s="5" t="s">
        <v>17</v>
      </c>
      <c r="I2776" s="5" t="s">
        <v>99</v>
      </c>
      <c r="J2776" s="98" t="s">
        <v>3460</v>
      </c>
    </row>
    <row r="2777" spans="1:10" ht="28.9" customHeight="1" thickTop="1" thickBot="1" x14ac:dyDescent="0.65">
      <c r="A2777" s="3">
        <v>2775</v>
      </c>
      <c r="B2777" s="44" t="str">
        <f>HYPERLINK("https://search.naver.com/search.naver?query=카센타 영화", "카센타")</f>
        <v>카센타</v>
      </c>
      <c r="C2777" s="45">
        <v>7.2</v>
      </c>
      <c r="D2777" s="4" t="s">
        <v>2832</v>
      </c>
      <c r="E2777" s="3" t="s">
        <v>11</v>
      </c>
      <c r="F2777" s="3">
        <v>2019</v>
      </c>
      <c r="G2777" s="3" t="s">
        <v>12</v>
      </c>
      <c r="H2777" s="3" t="s">
        <v>277</v>
      </c>
      <c r="I2777" s="3" t="s">
        <v>124</v>
      </c>
      <c r="J2777" s="97" t="s">
        <v>3444</v>
      </c>
    </row>
    <row r="2778" spans="1:10" ht="28.9" customHeight="1" thickTop="1" thickBot="1" x14ac:dyDescent="0.65">
      <c r="A2778" s="5">
        <v>2776</v>
      </c>
      <c r="B2778" s="46" t="str">
        <f>HYPERLINK("https://search.naver.com/search.naver?query=카오스 이론 영화", "카오스 이론")</f>
        <v>카오스 이론</v>
      </c>
      <c r="C2778" s="47"/>
      <c r="D2778" s="6" t="s">
        <v>2833</v>
      </c>
      <c r="E2778" s="5" t="s">
        <v>20</v>
      </c>
      <c r="F2778" s="5">
        <v>2008</v>
      </c>
      <c r="G2778" s="5" t="s">
        <v>12</v>
      </c>
      <c r="H2778" s="5" t="s">
        <v>68</v>
      </c>
      <c r="I2778" s="5" t="s">
        <v>625</v>
      </c>
      <c r="J2778" s="98" t="s">
        <v>3450</v>
      </c>
    </row>
    <row r="2779" spans="1:10" ht="28.9" customHeight="1" thickTop="1" thickBot="1" x14ac:dyDescent="0.65">
      <c r="A2779" s="3">
        <v>2777</v>
      </c>
      <c r="B2779" s="44" t="str">
        <f>HYPERLINK("https://search.naver.com/search.naver?query=카운슬러 영화", "카운슬러")</f>
        <v>카운슬러</v>
      </c>
      <c r="C2779" s="45">
        <v>7.18</v>
      </c>
      <c r="D2779" s="4" t="s">
        <v>2834</v>
      </c>
      <c r="E2779" s="3" t="s">
        <v>20</v>
      </c>
      <c r="F2779" s="3">
        <v>2013</v>
      </c>
      <c r="G2779" s="3" t="s">
        <v>12</v>
      </c>
      <c r="H2779" s="3" t="s">
        <v>277</v>
      </c>
      <c r="I2779" s="3" t="s">
        <v>89</v>
      </c>
      <c r="J2779" s="97" t="s">
        <v>3451</v>
      </c>
    </row>
    <row r="2780" spans="1:10" ht="28.9" customHeight="1" thickTop="1" thickBot="1" x14ac:dyDescent="0.65">
      <c r="A2780" s="5">
        <v>2778</v>
      </c>
      <c r="B2780" s="46" t="str">
        <f>HYPERLINK("https://search.naver.com/search.naver?query=카운터페이터 영화", "카운터페이터")</f>
        <v>카운터페이터</v>
      </c>
      <c r="C2780" s="47">
        <v>8.17</v>
      </c>
      <c r="D2780" s="6" t="s">
        <v>2835</v>
      </c>
      <c r="E2780" s="5" t="s">
        <v>101</v>
      </c>
      <c r="F2780" s="5">
        <v>2007</v>
      </c>
      <c r="G2780" s="5" t="s">
        <v>12</v>
      </c>
      <c r="H2780" s="5" t="s">
        <v>277</v>
      </c>
      <c r="I2780" s="5" t="s">
        <v>14</v>
      </c>
      <c r="J2780" s="98" t="s">
        <v>3447</v>
      </c>
    </row>
    <row r="2781" spans="1:10" ht="28.9" customHeight="1" thickTop="1" thickBot="1" x14ac:dyDescent="0.65">
      <c r="A2781" s="3">
        <v>2779</v>
      </c>
      <c r="B2781" s="44" t="str">
        <f>HYPERLINK("https://search.naver.com/search.naver?query=카운트다운 영화", "카운트다운")</f>
        <v>카운트다운</v>
      </c>
      <c r="C2781" s="45">
        <v>5.4</v>
      </c>
      <c r="D2781" s="4" t="s">
        <v>2836</v>
      </c>
      <c r="E2781" s="3" t="s">
        <v>20</v>
      </c>
      <c r="F2781" s="3">
        <v>2019</v>
      </c>
      <c r="G2781" s="3" t="s">
        <v>12</v>
      </c>
      <c r="H2781" s="3" t="s">
        <v>252</v>
      </c>
      <c r="I2781" s="3" t="s">
        <v>115</v>
      </c>
      <c r="J2781" s="97" t="s">
        <v>3444</v>
      </c>
    </row>
    <row r="2782" spans="1:10" ht="28.9" customHeight="1" thickTop="1" thickBot="1" x14ac:dyDescent="0.65">
      <c r="A2782" s="5">
        <v>2780</v>
      </c>
      <c r="B2782" s="46" t="str">
        <f>HYPERLINK("https://search.naver.com/search.naver?query=카인드 오브 머더 영화", "카인드 오브 머더")</f>
        <v>카인드 오브 머더</v>
      </c>
      <c r="C2782" s="47">
        <v>5.63</v>
      </c>
      <c r="D2782" s="6" t="s">
        <v>2837</v>
      </c>
      <c r="E2782" s="5" t="s">
        <v>20</v>
      </c>
      <c r="F2782" s="5">
        <v>2016</v>
      </c>
      <c r="G2782" s="5" t="s">
        <v>12</v>
      </c>
      <c r="H2782" s="5" t="s">
        <v>43</v>
      </c>
      <c r="I2782" s="5" t="s">
        <v>111</v>
      </c>
      <c r="J2782" s="98" t="s">
        <v>3441</v>
      </c>
    </row>
    <row r="2783" spans="1:10" ht="28.9" customHeight="1" thickTop="1" thickBot="1" x14ac:dyDescent="0.65">
      <c r="A2783" s="7">
        <v>2781</v>
      </c>
      <c r="B2783" s="48" t="str">
        <f>HYPERLINK("https://search.naver.com/search.naver?query=카지노 시즌1", "카지노 시즌1")</f>
        <v>카지노 시즌1</v>
      </c>
      <c r="C2783" s="49"/>
      <c r="D2783" s="8" t="s">
        <v>2838</v>
      </c>
      <c r="E2783" s="7" t="s">
        <v>11</v>
      </c>
      <c r="F2783" s="7">
        <v>2022</v>
      </c>
      <c r="G2783" s="7" t="s">
        <v>17</v>
      </c>
      <c r="H2783" s="7" t="s">
        <v>85</v>
      </c>
      <c r="I2783" s="7" t="s">
        <v>55</v>
      </c>
      <c r="J2783" s="99" t="s">
        <v>3445</v>
      </c>
    </row>
    <row r="2784" spans="1:10" ht="28.9" customHeight="1" thickTop="1" thickBot="1" x14ac:dyDescent="0.65">
      <c r="A2784" s="7">
        <v>2782</v>
      </c>
      <c r="B2784" s="48" t="str">
        <f>HYPERLINK("https://search.naver.com/search.naver?query=카지노 시즌2", "카지노 시즌2")</f>
        <v>카지노 시즌2</v>
      </c>
      <c r="C2784" s="49"/>
      <c r="D2784" s="8" t="s">
        <v>2838</v>
      </c>
      <c r="E2784" s="7" t="s">
        <v>11</v>
      </c>
      <c r="F2784" s="7">
        <v>2023</v>
      </c>
      <c r="G2784" s="7" t="s">
        <v>17</v>
      </c>
      <c r="H2784" s="7" t="s">
        <v>85</v>
      </c>
      <c r="I2784" s="7" t="s">
        <v>55</v>
      </c>
      <c r="J2784" s="99" t="s">
        <v>3446</v>
      </c>
    </row>
    <row r="2785" spans="1:10" ht="28.9" customHeight="1" thickTop="1" thickBot="1" x14ac:dyDescent="0.65">
      <c r="A2785" s="3">
        <v>2783</v>
      </c>
      <c r="B2785" s="44" t="str">
        <f>HYPERLINK("https://search.naver.com/search.naver?query=카터 영화", "카터")</f>
        <v>카터</v>
      </c>
      <c r="C2785" s="45">
        <v>4.2300000000000004</v>
      </c>
      <c r="D2785" s="4" t="s">
        <v>2839</v>
      </c>
      <c r="E2785" s="3" t="s">
        <v>11</v>
      </c>
      <c r="F2785" s="3">
        <v>2022</v>
      </c>
      <c r="G2785" s="3" t="s">
        <v>12</v>
      </c>
      <c r="H2785" s="3" t="s">
        <v>92</v>
      </c>
      <c r="I2785" s="3" t="s">
        <v>350</v>
      </c>
      <c r="J2785" s="97" t="s">
        <v>3445</v>
      </c>
    </row>
    <row r="2786" spans="1:10" ht="28.9" customHeight="1" thickTop="1" thickBot="1" x14ac:dyDescent="0.65">
      <c r="A2786" s="5">
        <v>2784</v>
      </c>
      <c r="B2786" s="46" t="str">
        <f>HYPERLINK("https://search.naver.com/search.naver?query=카트 영화", "카트")</f>
        <v>카트</v>
      </c>
      <c r="C2786" s="47">
        <v>8.61</v>
      </c>
      <c r="D2786" s="6" t="s">
        <v>2840</v>
      </c>
      <c r="E2786" s="5" t="s">
        <v>11</v>
      </c>
      <c r="F2786" s="5">
        <v>2014</v>
      </c>
      <c r="G2786" s="5" t="s">
        <v>12</v>
      </c>
      <c r="H2786" s="5" t="s">
        <v>17</v>
      </c>
      <c r="I2786" s="5" t="s">
        <v>96</v>
      </c>
      <c r="J2786" s="98" t="s">
        <v>3437</v>
      </c>
    </row>
    <row r="2787" spans="1:10" ht="28.9" customHeight="1" thickTop="1" thickBot="1" x14ac:dyDescent="0.65">
      <c r="A2787" s="3">
        <v>2785</v>
      </c>
      <c r="B2787" s="44" t="str">
        <f>HYPERLINK("https://search.naver.com/search.naver?query=칵테일 영화", "칵테일")</f>
        <v>칵테일</v>
      </c>
      <c r="C2787" s="45">
        <v>6.4</v>
      </c>
      <c r="D2787" s="4" t="s">
        <v>2841</v>
      </c>
      <c r="E2787" s="3" t="s">
        <v>20</v>
      </c>
      <c r="F2787" s="3">
        <v>1988</v>
      </c>
      <c r="G2787" s="3" t="s">
        <v>12</v>
      </c>
      <c r="H2787" s="3" t="s">
        <v>17</v>
      </c>
      <c r="I2787" s="3" t="s">
        <v>190</v>
      </c>
      <c r="J2787" s="97" t="s">
        <v>3483</v>
      </c>
    </row>
    <row r="2788" spans="1:10" ht="28.9" customHeight="1" thickTop="1" thickBot="1" x14ac:dyDescent="0.65">
      <c r="A2788" s="5">
        <v>2786</v>
      </c>
      <c r="B2788" s="46" t="str">
        <f>HYPERLINK("https://search.naver.com/search.naver?query=칸다하 영화", "칸다하")</f>
        <v>칸다하</v>
      </c>
      <c r="C2788" s="47">
        <v>7</v>
      </c>
      <c r="D2788" s="6" t="s">
        <v>2842</v>
      </c>
      <c r="E2788" s="5" t="s">
        <v>20</v>
      </c>
      <c r="F2788" s="5">
        <v>2023</v>
      </c>
      <c r="G2788" s="5" t="s">
        <v>12</v>
      </c>
      <c r="H2788" s="5" t="s">
        <v>92</v>
      </c>
      <c r="I2788" s="5" t="s">
        <v>53</v>
      </c>
      <c r="J2788" s="98" t="s">
        <v>3446</v>
      </c>
    </row>
    <row r="2789" spans="1:10" ht="28.9" customHeight="1" thickTop="1" thickBot="1" x14ac:dyDescent="0.65">
      <c r="A2789" s="3">
        <v>2787</v>
      </c>
      <c r="B2789" s="44" t="str">
        <f>HYPERLINK("https://search.naver.com/search.naver?query=캐롤 영화", "캐롤")</f>
        <v>캐롤</v>
      </c>
      <c r="C2789" s="45">
        <v>8.74</v>
      </c>
      <c r="D2789" s="4" t="s">
        <v>2843</v>
      </c>
      <c r="E2789" s="3" t="s">
        <v>24</v>
      </c>
      <c r="F2789" s="3">
        <v>2015</v>
      </c>
      <c r="G2789" s="3" t="s">
        <v>12</v>
      </c>
      <c r="H2789" s="3" t="s">
        <v>17</v>
      </c>
      <c r="I2789" s="3" t="s">
        <v>221</v>
      </c>
      <c r="J2789" s="97" t="s">
        <v>3440</v>
      </c>
    </row>
    <row r="2790" spans="1:10" ht="28.9" customHeight="1" thickTop="1" thickBot="1" x14ac:dyDescent="0.65">
      <c r="A2790" s="5">
        <v>2788</v>
      </c>
      <c r="B2790" s="46" t="str">
        <f>HYPERLINK("https://search.naver.com/search.naver?query=캐리온 영화", "캐리온")</f>
        <v>캐리온</v>
      </c>
      <c r="C2790" s="47">
        <v>7.28</v>
      </c>
      <c r="D2790" s="6" t="s">
        <v>2844</v>
      </c>
      <c r="E2790" s="5" t="s">
        <v>20</v>
      </c>
      <c r="F2790" s="5">
        <v>2024</v>
      </c>
      <c r="G2790" s="5" t="s">
        <v>12</v>
      </c>
      <c r="H2790" s="5" t="s">
        <v>92</v>
      </c>
      <c r="I2790" s="5" t="s">
        <v>53</v>
      </c>
      <c r="J2790" s="98" t="s">
        <v>3448</v>
      </c>
    </row>
    <row r="2791" spans="1:10" ht="28.9" customHeight="1" thickTop="1" thickBot="1" x14ac:dyDescent="0.65">
      <c r="A2791" s="3">
        <v>2789</v>
      </c>
      <c r="B2791" s="44" t="str">
        <f>HYPERLINK("https://search.naver.com/search.naver?query=캐쉬백 영화", "캐쉬백")</f>
        <v>캐쉬백</v>
      </c>
      <c r="C2791" s="45">
        <v>8.61</v>
      </c>
      <c r="D2791" s="4" t="s">
        <v>2845</v>
      </c>
      <c r="E2791" s="3" t="s">
        <v>24</v>
      </c>
      <c r="F2791" s="3">
        <v>2006</v>
      </c>
      <c r="G2791" s="3" t="s">
        <v>12</v>
      </c>
      <c r="H2791" s="3" t="s">
        <v>68</v>
      </c>
      <c r="I2791" s="3" t="s">
        <v>99</v>
      </c>
      <c r="J2791" s="97" t="s">
        <v>3460</v>
      </c>
    </row>
    <row r="2792" spans="1:10" ht="28.9" customHeight="1" thickTop="1" thickBot="1" x14ac:dyDescent="0.65">
      <c r="A2792" s="5">
        <v>2790</v>
      </c>
      <c r="B2792" s="46" t="str">
        <f>HYPERLINK("https://search.naver.com/search.naver?query=캐스트 어웨이 영화", "캐스트 어웨이")</f>
        <v>캐스트 어웨이</v>
      </c>
      <c r="C2792" s="47">
        <v>9.41</v>
      </c>
      <c r="D2792" s="6" t="s">
        <v>2846</v>
      </c>
      <c r="E2792" s="5" t="s">
        <v>24</v>
      </c>
      <c r="F2792" s="5">
        <v>1986</v>
      </c>
      <c r="G2792" s="5" t="s">
        <v>12</v>
      </c>
      <c r="H2792" s="5" t="s">
        <v>824</v>
      </c>
      <c r="I2792" s="5" t="s">
        <v>221</v>
      </c>
      <c r="J2792" s="98" t="s">
        <v>3468</v>
      </c>
    </row>
    <row r="2793" spans="1:10" ht="28.9" customHeight="1" thickTop="1" thickBot="1" x14ac:dyDescent="0.65">
      <c r="A2793" s="3">
        <v>2791</v>
      </c>
      <c r="B2793" s="44" t="str">
        <f>HYPERLINK("https://search.naver.com/search.naver?query=캐시트럭 영화", "캐시트럭")</f>
        <v>캐시트럭</v>
      </c>
      <c r="C2793" s="45">
        <v>7.87</v>
      </c>
      <c r="D2793" s="4" t="s">
        <v>2847</v>
      </c>
      <c r="E2793" s="3" t="s">
        <v>20</v>
      </c>
      <c r="F2793" s="3">
        <v>2021</v>
      </c>
      <c r="G2793" s="3" t="s">
        <v>12</v>
      </c>
      <c r="H2793" s="3" t="s">
        <v>92</v>
      </c>
      <c r="I2793" s="3" t="s">
        <v>53</v>
      </c>
      <c r="J2793" s="97" t="s">
        <v>3438</v>
      </c>
    </row>
    <row r="2794" spans="1:10" ht="28.9" customHeight="1" thickTop="1" thickBot="1" x14ac:dyDescent="0.65">
      <c r="A2794" s="5">
        <v>2792</v>
      </c>
      <c r="B2794" s="46" t="str">
        <f>HYPERLINK("https://search.naver.com/search.naver?query=캐치미 영화", "캐치미")</f>
        <v>캐치미</v>
      </c>
      <c r="C2794" s="47">
        <v>6.67</v>
      </c>
      <c r="D2794" s="6" t="s">
        <v>2848</v>
      </c>
      <c r="E2794" s="5" t="s">
        <v>11</v>
      </c>
      <c r="F2794" s="5">
        <v>2013</v>
      </c>
      <c r="G2794" s="5" t="s">
        <v>12</v>
      </c>
      <c r="H2794" s="5" t="s">
        <v>68</v>
      </c>
      <c r="I2794" s="5" t="s">
        <v>47</v>
      </c>
      <c r="J2794" s="98" t="s">
        <v>3451</v>
      </c>
    </row>
    <row r="2795" spans="1:10" ht="28.9" customHeight="1" thickTop="1" thickBot="1" x14ac:dyDescent="0.65">
      <c r="A2795" s="3">
        <v>2793</v>
      </c>
      <c r="B2795" s="44" t="str">
        <f>HYPERLINK("https://search.naver.com/search.naver?query=캔디 영화", "캔디")</f>
        <v>캔디</v>
      </c>
      <c r="C2795" s="45">
        <v>8.5399999999999991</v>
      </c>
      <c r="D2795" s="4" t="s">
        <v>2849</v>
      </c>
      <c r="E2795" s="3" t="s">
        <v>36</v>
      </c>
      <c r="F2795" s="3">
        <v>2006</v>
      </c>
      <c r="G2795" s="3" t="s">
        <v>12</v>
      </c>
      <c r="H2795" s="3" t="s">
        <v>17</v>
      </c>
      <c r="I2795" s="3" t="s">
        <v>31</v>
      </c>
      <c r="J2795" s="97" t="s">
        <v>3460</v>
      </c>
    </row>
    <row r="2796" spans="1:10" ht="28.9" customHeight="1" thickTop="1" thickBot="1" x14ac:dyDescent="0.65">
      <c r="A2796" s="7">
        <v>2794</v>
      </c>
      <c r="B2796" s="48" t="str">
        <f>HYPERLINK("https://search.naver.com/search.naver?query=캘리포니케이션 시즌1", "캘리포니케이션 시즌1")</f>
        <v>캘리포니케이션 시즌1</v>
      </c>
      <c r="C2796" s="49"/>
      <c r="D2796" s="8" t="s">
        <v>2850</v>
      </c>
      <c r="E2796" s="7" t="s">
        <v>20</v>
      </c>
      <c r="F2796" s="7">
        <v>2007</v>
      </c>
      <c r="G2796" s="7" t="s">
        <v>17</v>
      </c>
      <c r="H2796" s="7" t="s">
        <v>17</v>
      </c>
      <c r="I2796" s="7" t="s">
        <v>893</v>
      </c>
      <c r="J2796" s="99" t="s">
        <v>3447</v>
      </c>
    </row>
    <row r="2797" spans="1:10" ht="28.9" customHeight="1" thickTop="1" thickBot="1" x14ac:dyDescent="0.65">
      <c r="A2797" s="7">
        <v>2795</v>
      </c>
      <c r="B2797" s="48" t="str">
        <f>HYPERLINK("https://search.naver.com/search.naver?query=캘리포니케이션 시즌2", "캘리포니케이션 시즌2")</f>
        <v>캘리포니케이션 시즌2</v>
      </c>
      <c r="C2797" s="49"/>
      <c r="D2797" s="8" t="s">
        <v>2850</v>
      </c>
      <c r="E2797" s="7" t="s">
        <v>20</v>
      </c>
      <c r="F2797" s="7">
        <v>2008</v>
      </c>
      <c r="G2797" s="7" t="s">
        <v>17</v>
      </c>
      <c r="H2797" s="7" t="s">
        <v>17</v>
      </c>
      <c r="I2797" s="7" t="s">
        <v>893</v>
      </c>
      <c r="J2797" s="99" t="s">
        <v>3450</v>
      </c>
    </row>
    <row r="2798" spans="1:10" ht="28.9" customHeight="1" thickTop="1" thickBot="1" x14ac:dyDescent="0.65">
      <c r="A2798" s="7">
        <v>2796</v>
      </c>
      <c r="B2798" s="48" t="str">
        <f>HYPERLINK("https://search.naver.com/search.naver?query=캘리포니케이션 시즌3", "캘리포니케이션 시즌3")</f>
        <v>캘리포니케이션 시즌3</v>
      </c>
      <c r="C2798" s="49"/>
      <c r="D2798" s="8" t="s">
        <v>2850</v>
      </c>
      <c r="E2798" s="7" t="s">
        <v>20</v>
      </c>
      <c r="F2798" s="7">
        <v>2009</v>
      </c>
      <c r="G2798" s="7" t="s">
        <v>17</v>
      </c>
      <c r="H2798" s="7" t="s">
        <v>17</v>
      </c>
      <c r="I2798" s="7" t="s">
        <v>893</v>
      </c>
      <c r="J2798" s="99" t="s">
        <v>3453</v>
      </c>
    </row>
    <row r="2799" spans="1:10" ht="28.9" customHeight="1" thickTop="1" thickBot="1" x14ac:dyDescent="0.65">
      <c r="A2799" s="7">
        <v>2797</v>
      </c>
      <c r="B2799" s="48" t="str">
        <f>HYPERLINK("https://search.naver.com/search.naver?query=캘리포니케이션 시즌4", "캘리포니케이션 시즌4")</f>
        <v>캘리포니케이션 시즌4</v>
      </c>
      <c r="C2799" s="49"/>
      <c r="D2799" s="8" t="s">
        <v>2850</v>
      </c>
      <c r="E2799" s="7" t="s">
        <v>20</v>
      </c>
      <c r="F2799" s="7">
        <v>2011</v>
      </c>
      <c r="G2799" s="7" t="s">
        <v>17</v>
      </c>
      <c r="H2799" s="7" t="s">
        <v>17</v>
      </c>
      <c r="I2799" s="7" t="s">
        <v>893</v>
      </c>
      <c r="J2799" s="99" t="s">
        <v>3454</v>
      </c>
    </row>
    <row r="2800" spans="1:10" ht="28.9" customHeight="1" thickTop="1" thickBot="1" x14ac:dyDescent="0.65">
      <c r="A2800" s="7">
        <v>2798</v>
      </c>
      <c r="B2800" s="48" t="str">
        <f>HYPERLINK("https://search.naver.com/search.naver?query=캘리포니케이션 시즌5", "캘리포니케이션 시즌5")</f>
        <v>캘리포니케이션 시즌5</v>
      </c>
      <c r="C2800" s="49"/>
      <c r="D2800" s="8" t="s">
        <v>2850</v>
      </c>
      <c r="E2800" s="7" t="s">
        <v>20</v>
      </c>
      <c r="F2800" s="7">
        <v>2012</v>
      </c>
      <c r="G2800" s="7" t="s">
        <v>17</v>
      </c>
      <c r="H2800" s="7" t="s">
        <v>17</v>
      </c>
      <c r="I2800" s="7" t="s">
        <v>893</v>
      </c>
      <c r="J2800" s="99" t="s">
        <v>3439</v>
      </c>
    </row>
    <row r="2801" spans="1:10" ht="28.9" customHeight="1" thickTop="1" thickBot="1" x14ac:dyDescent="0.65">
      <c r="A2801" s="7">
        <v>2799</v>
      </c>
      <c r="B2801" s="48" t="str">
        <f>HYPERLINK("https://search.naver.com/search.naver?query=캘리포니케이션 시즌6", "캘리포니케이션 시즌6")</f>
        <v>캘리포니케이션 시즌6</v>
      </c>
      <c r="C2801" s="49"/>
      <c r="D2801" s="8" t="s">
        <v>2850</v>
      </c>
      <c r="E2801" s="7" t="s">
        <v>20</v>
      </c>
      <c r="F2801" s="7">
        <v>2013</v>
      </c>
      <c r="G2801" s="7" t="s">
        <v>17</v>
      </c>
      <c r="H2801" s="7" t="s">
        <v>17</v>
      </c>
      <c r="I2801" s="7" t="s">
        <v>893</v>
      </c>
      <c r="J2801" s="99" t="s">
        <v>3451</v>
      </c>
    </row>
    <row r="2802" spans="1:10" ht="28.9" customHeight="1" thickTop="1" thickBot="1" x14ac:dyDescent="0.65">
      <c r="A2802" s="7">
        <v>2800</v>
      </c>
      <c r="B2802" s="48" t="str">
        <f>HYPERLINK("https://search.naver.com/search.naver?query=캘리포니케이션 시즌7", "캘리포니케이션 시즌7")</f>
        <v>캘리포니케이션 시즌7</v>
      </c>
      <c r="C2802" s="49"/>
      <c r="D2802" s="8" t="s">
        <v>2850</v>
      </c>
      <c r="E2802" s="7" t="s">
        <v>20</v>
      </c>
      <c r="F2802" s="7">
        <v>2014</v>
      </c>
      <c r="G2802" s="7" t="s">
        <v>17</v>
      </c>
      <c r="H2802" s="7" t="s">
        <v>17</v>
      </c>
      <c r="I2802" s="7" t="s">
        <v>893</v>
      </c>
      <c r="J2802" s="99" t="s">
        <v>3437</v>
      </c>
    </row>
    <row r="2803" spans="1:10" ht="28.9" customHeight="1" thickTop="1" thickBot="1" x14ac:dyDescent="0.65">
      <c r="A2803" s="3">
        <v>2801</v>
      </c>
      <c r="B2803" s="44" t="str">
        <f>HYPERLINK("https://search.naver.com/search.naver?query=%EC%BA%98%EB%B2%84%EB%A6%AC%20%EC%98%81%ED%99%94", "캘버리")</f>
        <v>캘버리</v>
      </c>
      <c r="C2803" s="45"/>
      <c r="D2803" s="4" t="s">
        <v>2851</v>
      </c>
      <c r="E2803" s="3" t="s">
        <v>558</v>
      </c>
      <c r="F2803" s="3">
        <v>2014</v>
      </c>
      <c r="G2803" s="3" t="s">
        <v>12</v>
      </c>
      <c r="H2803" s="3" t="s">
        <v>17</v>
      </c>
      <c r="I2803" s="3" t="s">
        <v>99</v>
      </c>
      <c r="J2803" s="97" t="s">
        <v>3437</v>
      </c>
    </row>
    <row r="2804" spans="1:10" ht="28.9" customHeight="1" thickTop="1" thickBot="1" x14ac:dyDescent="0.65">
      <c r="A2804" s="5">
        <v>2802</v>
      </c>
      <c r="B2804" s="46" t="str">
        <f>HYPERLINK("https://search.naver.com/search.naver?query=캠걸스 영화", "캠걸스")</f>
        <v>캠걸스</v>
      </c>
      <c r="C2804" s="47">
        <v>4.53</v>
      </c>
      <c r="D2804" s="6" t="s">
        <v>2852</v>
      </c>
      <c r="E2804" s="5" t="s">
        <v>20</v>
      </c>
      <c r="F2804" s="5">
        <v>2018</v>
      </c>
      <c r="G2804" s="5" t="s">
        <v>12</v>
      </c>
      <c r="H2804" s="5" t="s">
        <v>252</v>
      </c>
      <c r="I2804" s="5" t="s">
        <v>300</v>
      </c>
      <c r="J2804" s="98" t="s">
        <v>3442</v>
      </c>
    </row>
    <row r="2805" spans="1:10" ht="28.9" customHeight="1" thickTop="1" thickBot="1" x14ac:dyDescent="0.65">
      <c r="A2805" s="3">
        <v>2803</v>
      </c>
      <c r="B2805" s="44" t="str">
        <f>HYPERLINK("https://search.naver.com/search.naver?query=캠프 엑스레이 영화", "캠프 엑스레이")</f>
        <v>캠프 엑스레이</v>
      </c>
      <c r="C2805" s="45">
        <v>6.4</v>
      </c>
      <c r="D2805" s="4" t="s">
        <v>2853</v>
      </c>
      <c r="E2805" s="3" t="s">
        <v>20</v>
      </c>
      <c r="F2805" s="3">
        <v>2014</v>
      </c>
      <c r="G2805" s="3" t="s">
        <v>12</v>
      </c>
      <c r="H2805" s="3" t="s">
        <v>17</v>
      </c>
      <c r="I2805" s="3" t="s">
        <v>89</v>
      </c>
      <c r="J2805" s="97" t="s">
        <v>3437</v>
      </c>
    </row>
    <row r="2806" spans="1:10" ht="28.9" customHeight="1" thickTop="1" thickBot="1" x14ac:dyDescent="0.65">
      <c r="A2806" s="5">
        <v>2804</v>
      </c>
      <c r="B2806" s="46" t="str">
        <f>HYPERLINK("https://search.naver.com/search.naver?query=캡처링 대디 영화", "캡처링 대디")</f>
        <v>캡처링 대디</v>
      </c>
      <c r="C2806" s="47">
        <v>6.89</v>
      </c>
      <c r="D2806" s="6" t="s">
        <v>2854</v>
      </c>
      <c r="E2806" s="5" t="s">
        <v>16</v>
      </c>
      <c r="F2806" s="5">
        <v>2012</v>
      </c>
      <c r="G2806" s="5" t="s">
        <v>12</v>
      </c>
      <c r="H2806" s="5" t="s">
        <v>17</v>
      </c>
      <c r="I2806" s="5" t="s">
        <v>111</v>
      </c>
      <c r="J2806" s="98" t="s">
        <v>3439</v>
      </c>
    </row>
    <row r="2807" spans="1:10" ht="28.9" customHeight="1" thickTop="1" thickBot="1" x14ac:dyDescent="0.65">
      <c r="A2807" s="3">
        <v>2805</v>
      </c>
      <c r="B2807" s="44" t="str">
        <f>HYPERLINK("https://search.naver.com/search.naver?query=캡틴 아메리카 윈터 솔져 영화", "캡틴 아메리카 - 윈터 솔져")</f>
        <v>캡틴 아메리카 - 윈터 솔져</v>
      </c>
      <c r="C2807" s="45">
        <v>8.84</v>
      </c>
      <c r="D2807" s="4" t="s">
        <v>2855</v>
      </c>
      <c r="E2807" s="3" t="s">
        <v>20</v>
      </c>
      <c r="F2807" s="3">
        <v>2014</v>
      </c>
      <c r="G2807" s="3" t="s">
        <v>12</v>
      </c>
      <c r="H2807" s="3" t="s">
        <v>92</v>
      </c>
      <c r="I2807" s="3" t="s">
        <v>359</v>
      </c>
      <c r="J2807" s="97" t="s">
        <v>3437</v>
      </c>
    </row>
    <row r="2808" spans="1:10" ht="28.9" customHeight="1" thickTop="1" thickBot="1" x14ac:dyDescent="0.65">
      <c r="A2808" s="5">
        <v>2806</v>
      </c>
      <c r="B2808" s="46" t="str">
        <f>HYPERLINK("https://search.naver.com/search.naver?query=캡틴 파일럿 영화", "캡틴 파일럿")</f>
        <v>캡틴 파일럿</v>
      </c>
      <c r="C2808" s="47">
        <v>7.5</v>
      </c>
      <c r="D2808" s="6" t="s">
        <v>816</v>
      </c>
      <c r="E2808" s="5" t="s">
        <v>136</v>
      </c>
      <c r="F2808" s="5">
        <v>2019</v>
      </c>
      <c r="G2808" s="5" t="s">
        <v>12</v>
      </c>
      <c r="H2808" s="5" t="s">
        <v>17</v>
      </c>
      <c r="I2808" s="5" t="s">
        <v>96</v>
      </c>
      <c r="J2808" s="98" t="s">
        <v>3444</v>
      </c>
    </row>
    <row r="2809" spans="1:10" ht="28.9" customHeight="1" thickTop="1" thickBot="1" x14ac:dyDescent="0.65">
      <c r="A2809" s="3">
        <v>2807</v>
      </c>
      <c r="B2809" s="44" t="str">
        <f>HYPERLINK("https://search.naver.com/search.naver?query=캡틴 필립스 영화", "캡틴 필립스")</f>
        <v>캡틴 필립스</v>
      </c>
      <c r="C2809" s="45">
        <v>9.07</v>
      </c>
      <c r="D2809" s="4" t="s">
        <v>2856</v>
      </c>
      <c r="E2809" s="3" t="s">
        <v>20</v>
      </c>
      <c r="F2809" s="3">
        <v>2013</v>
      </c>
      <c r="G2809" s="3" t="s">
        <v>12</v>
      </c>
      <c r="H2809" s="3" t="s">
        <v>92</v>
      </c>
      <c r="I2809" s="3" t="s">
        <v>543</v>
      </c>
      <c r="J2809" s="97" t="s">
        <v>3451</v>
      </c>
    </row>
    <row r="2810" spans="1:10" ht="28.9" customHeight="1" thickTop="1" thickBot="1" x14ac:dyDescent="0.65">
      <c r="A2810" s="5">
        <v>2808</v>
      </c>
      <c r="B2810" s="46" t="str">
        <f>HYPERLINK("https://search.naver.com/search.naver?query=커런트 워 영화", "커런트 워")</f>
        <v>커런트 워</v>
      </c>
      <c r="C2810" s="47">
        <v>7.47</v>
      </c>
      <c r="D2810" s="6" t="s">
        <v>2857</v>
      </c>
      <c r="E2810" s="5" t="s">
        <v>20</v>
      </c>
      <c r="F2810" s="5">
        <v>2017</v>
      </c>
      <c r="G2810" s="5" t="s">
        <v>12</v>
      </c>
      <c r="H2810" s="5" t="s">
        <v>17</v>
      </c>
      <c r="I2810" s="5" t="s">
        <v>75</v>
      </c>
      <c r="J2810" s="98" t="s">
        <v>3443</v>
      </c>
    </row>
    <row r="2811" spans="1:10" ht="28.9" customHeight="1" thickTop="1" thickBot="1" x14ac:dyDescent="0.65">
      <c r="A2811" s="3">
        <v>2809</v>
      </c>
      <c r="B2811" s="44" t="str">
        <f>HYPERLINK("https://search.naver.com/search.naver?query=커뮤터 영화", "커뮤터")</f>
        <v>커뮤터</v>
      </c>
      <c r="C2811" s="45">
        <v>8.7899999999999991</v>
      </c>
      <c r="D2811" s="4" t="s">
        <v>2858</v>
      </c>
      <c r="E2811" s="3" t="s">
        <v>20</v>
      </c>
      <c r="F2811" s="3">
        <v>2018</v>
      </c>
      <c r="G2811" s="3" t="s">
        <v>12</v>
      </c>
      <c r="H2811" s="3" t="s">
        <v>92</v>
      </c>
      <c r="I2811" s="3" t="s">
        <v>170</v>
      </c>
      <c r="J2811" s="97" t="s">
        <v>3442</v>
      </c>
    </row>
    <row r="2812" spans="1:10" ht="28.9" customHeight="1" thickTop="1" thickBot="1" x14ac:dyDescent="0.65">
      <c r="A2812" s="5">
        <v>2810</v>
      </c>
      <c r="B2812" s="46" t="str">
        <f>HYPERLINK("https://search.naver.com/search.naver?query=커터헤드 영화", "커터헤드")</f>
        <v>커터헤드</v>
      </c>
      <c r="C2812" s="47">
        <v>6.4</v>
      </c>
      <c r="D2812" s="6" t="s">
        <v>2859</v>
      </c>
      <c r="E2812" s="5" t="s">
        <v>118</v>
      </c>
      <c r="F2812" s="5">
        <v>2018</v>
      </c>
      <c r="G2812" s="5" t="s">
        <v>12</v>
      </c>
      <c r="H2812" s="5" t="s">
        <v>43</v>
      </c>
      <c r="I2812" s="5" t="s">
        <v>37</v>
      </c>
      <c r="J2812" s="98" t="s">
        <v>3442</v>
      </c>
    </row>
    <row r="2813" spans="1:10" ht="28.9" customHeight="1" thickTop="1" thickBot="1" x14ac:dyDescent="0.65">
      <c r="A2813" s="3">
        <v>2811</v>
      </c>
      <c r="B2813" s="44" t="str">
        <f>HYPERLINK("https://search.naver.com/search.naver?query=커플즈 영화", "커플즈")</f>
        <v>커플즈</v>
      </c>
      <c r="C2813" s="45">
        <v>7.96</v>
      </c>
      <c r="D2813" s="4" t="s">
        <v>2860</v>
      </c>
      <c r="E2813" s="3" t="s">
        <v>16</v>
      </c>
      <c r="F2813" s="3">
        <v>2011</v>
      </c>
      <c r="G2813" s="3" t="s">
        <v>12</v>
      </c>
      <c r="H2813" s="3" t="s">
        <v>17</v>
      </c>
      <c r="I2813" s="3" t="s">
        <v>111</v>
      </c>
      <c r="J2813" s="97" t="s">
        <v>3454</v>
      </c>
    </row>
    <row r="2814" spans="1:10" ht="28.9" customHeight="1" thickTop="1" thickBot="1" x14ac:dyDescent="0.65">
      <c r="A2814" s="5">
        <v>2812</v>
      </c>
      <c r="B2814" s="46" t="str">
        <f>HYPERLINK("https://search.naver.com/search.naver?query=커피 한잔이 섹스에 미치는 영향 영화", "커피 한잔이 섹스에 미치는 영향")</f>
        <v>커피 한잔이 섹스에 미치는 영향</v>
      </c>
      <c r="C2814" s="47">
        <v>7.82</v>
      </c>
      <c r="D2814" s="6" t="s">
        <v>2861</v>
      </c>
      <c r="E2814" s="5" t="s">
        <v>20</v>
      </c>
      <c r="F2814" s="5">
        <v>2014</v>
      </c>
      <c r="G2814" s="5" t="s">
        <v>12</v>
      </c>
      <c r="H2814" s="5" t="s">
        <v>68</v>
      </c>
      <c r="I2814" s="5" t="s">
        <v>111</v>
      </c>
      <c r="J2814" s="98" t="s">
        <v>3437</v>
      </c>
    </row>
    <row r="2815" spans="1:10" ht="28.9" customHeight="1" thickTop="1" thickBot="1" x14ac:dyDescent="0.65">
      <c r="A2815" s="3">
        <v>2813</v>
      </c>
      <c r="B2815" s="44" t="str">
        <f>HYPERLINK("https://search.naver.com/search.naver?query=커피가 식기 전에 영화", "커피가 식기 전에")</f>
        <v>커피가 식기 전에</v>
      </c>
      <c r="C2815" s="45">
        <v>8.2899999999999991</v>
      </c>
      <c r="D2815" s="4" t="s">
        <v>2862</v>
      </c>
      <c r="E2815" s="3" t="s">
        <v>16</v>
      </c>
      <c r="F2815" s="3">
        <v>2018</v>
      </c>
      <c r="G2815" s="3" t="s">
        <v>12</v>
      </c>
      <c r="H2815" s="3" t="s">
        <v>17</v>
      </c>
      <c r="I2815" s="3" t="s">
        <v>89</v>
      </c>
      <c r="J2815" s="97" t="s">
        <v>3442</v>
      </c>
    </row>
    <row r="2816" spans="1:10" ht="28.9" customHeight="1" thickTop="1" thickBot="1" x14ac:dyDescent="0.65">
      <c r="A2816" s="5">
        <v>2814</v>
      </c>
      <c r="B2816" s="46" t="str">
        <f>HYPERLINK("https://search.naver.com/search.naver?query=컨빅션 영화", "컨빅션")</f>
        <v>컨빅션</v>
      </c>
      <c r="C2816" s="47">
        <v>8.4700000000000006</v>
      </c>
      <c r="D2816" s="6" t="s">
        <v>2863</v>
      </c>
      <c r="E2816" s="5" t="s">
        <v>20</v>
      </c>
      <c r="F2816" s="5">
        <v>2010</v>
      </c>
      <c r="G2816" s="5" t="s">
        <v>12</v>
      </c>
      <c r="H2816" s="5" t="s">
        <v>17</v>
      </c>
      <c r="I2816" s="5" t="s">
        <v>75</v>
      </c>
      <c r="J2816" s="98" t="s">
        <v>3455</v>
      </c>
    </row>
    <row r="2817" spans="1:10" ht="28.9" customHeight="1" thickTop="1" thickBot="1" x14ac:dyDescent="0.65">
      <c r="A2817" s="3">
        <v>2815</v>
      </c>
      <c r="B2817" s="44" t="str">
        <f>HYPERLINK("https://search.naver.com/search.naver?query=컨스피러시 영화", "컨스피러시")</f>
        <v>컨스피러시</v>
      </c>
      <c r="C2817" s="45">
        <v>8.57</v>
      </c>
      <c r="D2817" s="4" t="s">
        <v>2864</v>
      </c>
      <c r="E2817" s="3" t="s">
        <v>20</v>
      </c>
      <c r="F2817" s="3">
        <v>1997</v>
      </c>
      <c r="G2817" s="3" t="s">
        <v>12</v>
      </c>
      <c r="H2817" s="3" t="s">
        <v>92</v>
      </c>
      <c r="I2817" s="3" t="s">
        <v>41</v>
      </c>
      <c r="J2817" s="97" t="s">
        <v>3470</v>
      </c>
    </row>
    <row r="2818" spans="1:10" ht="28.9" customHeight="1" thickTop="1" thickBot="1" x14ac:dyDescent="0.65">
      <c r="A2818" s="5">
        <v>2816</v>
      </c>
      <c r="B2818" s="46" t="str">
        <f>HYPERLINK("https://search.naver.com/search.naver?query=컨저링 영화", "컨저링")</f>
        <v>컨저링</v>
      </c>
      <c r="C2818" s="47">
        <v>7.5</v>
      </c>
      <c r="D2818" s="6" t="s">
        <v>2865</v>
      </c>
      <c r="E2818" s="5" t="s">
        <v>20</v>
      </c>
      <c r="F2818" s="5">
        <v>2013</v>
      </c>
      <c r="G2818" s="5" t="s">
        <v>12</v>
      </c>
      <c r="H2818" s="5" t="s">
        <v>252</v>
      </c>
      <c r="I2818" s="5" t="s">
        <v>278</v>
      </c>
      <c r="J2818" s="98" t="s">
        <v>3451</v>
      </c>
    </row>
    <row r="2819" spans="1:10" ht="28.9" customHeight="1" thickTop="1" thickBot="1" x14ac:dyDescent="0.65">
      <c r="A2819" s="3">
        <v>2817</v>
      </c>
      <c r="B2819" s="44" t="str">
        <f>HYPERLINK("https://search.naver.com/search.naver?query=컨저링2 영화", "컨저링2")</f>
        <v>컨저링2</v>
      </c>
      <c r="C2819" s="45">
        <v>8.34</v>
      </c>
      <c r="D2819" s="4" t="s">
        <v>2866</v>
      </c>
      <c r="E2819" s="3" t="s">
        <v>20</v>
      </c>
      <c r="F2819" s="3">
        <v>2016</v>
      </c>
      <c r="G2819" s="3" t="s">
        <v>12</v>
      </c>
      <c r="H2819" s="3" t="s">
        <v>252</v>
      </c>
      <c r="I2819" s="3" t="s">
        <v>543</v>
      </c>
      <c r="J2819" s="97" t="s">
        <v>3441</v>
      </c>
    </row>
    <row r="2820" spans="1:10" ht="28.9" customHeight="1" thickTop="1" thickBot="1" x14ac:dyDescent="0.65">
      <c r="A2820" s="5">
        <v>2818</v>
      </c>
      <c r="B2820" s="46" t="str">
        <f>HYPERLINK("https://search.naver.com/search.naver?query=컨저링3 악마가 시켰다 영화", "컨저링3-악마가 시켰다")</f>
        <v>컨저링3-악마가 시켰다</v>
      </c>
      <c r="C2820" s="47">
        <v>8.09</v>
      </c>
      <c r="D2820" s="6" t="s">
        <v>2867</v>
      </c>
      <c r="E2820" s="5" t="s">
        <v>20</v>
      </c>
      <c r="F2820" s="5">
        <v>2021</v>
      </c>
      <c r="G2820" s="5" t="s">
        <v>12</v>
      </c>
      <c r="H2820" s="5" t="s">
        <v>252</v>
      </c>
      <c r="I2820" s="5" t="s">
        <v>278</v>
      </c>
      <c r="J2820" s="98" t="s">
        <v>3438</v>
      </c>
    </row>
    <row r="2821" spans="1:10" ht="28.9" customHeight="1" thickTop="1" thickBot="1" x14ac:dyDescent="0.65">
      <c r="A2821" s="3">
        <v>2819</v>
      </c>
      <c r="B2821" s="44" t="str">
        <f>HYPERLINK("https://search.naver.com/search.naver?query=컨커션 영화", "컨커션")</f>
        <v>컨커션</v>
      </c>
      <c r="C2821" s="45">
        <v>7.82</v>
      </c>
      <c r="D2821" s="4" t="s">
        <v>2868</v>
      </c>
      <c r="E2821" s="3" t="s">
        <v>20</v>
      </c>
      <c r="F2821" s="3">
        <v>2015</v>
      </c>
      <c r="G2821" s="3" t="s">
        <v>12</v>
      </c>
      <c r="H2821" s="3" t="s">
        <v>17</v>
      </c>
      <c r="I2821" s="3" t="s">
        <v>58</v>
      </c>
      <c r="J2821" s="97" t="s">
        <v>3440</v>
      </c>
    </row>
    <row r="2822" spans="1:10" ht="28.9" customHeight="1" thickTop="1" thickBot="1" x14ac:dyDescent="0.65">
      <c r="A2822" s="3">
        <v>2820</v>
      </c>
      <c r="B2822" s="44" t="str">
        <f>HYPERLINK("https://search.naver.com/search.naver?query=컨택트 영화", "컨택트")</f>
        <v>컨택트</v>
      </c>
      <c r="C2822" s="45">
        <v>8.57</v>
      </c>
      <c r="D2822" s="4" t="s">
        <v>2869</v>
      </c>
      <c r="E2822" s="3" t="s">
        <v>20</v>
      </c>
      <c r="F2822" s="3">
        <v>2016</v>
      </c>
      <c r="G2822" s="3" t="s">
        <v>12</v>
      </c>
      <c r="H2822" s="3" t="s">
        <v>520</v>
      </c>
      <c r="I2822" s="3" t="s">
        <v>366</v>
      </c>
      <c r="J2822" s="97" t="s">
        <v>3441</v>
      </c>
    </row>
    <row r="2823" spans="1:10" ht="28.9" customHeight="1" thickTop="1" thickBot="1" x14ac:dyDescent="0.65">
      <c r="A2823" s="5">
        <v>2821</v>
      </c>
      <c r="B2823" s="46" t="str">
        <f>HYPERLINK("https://search.naver.com/search.naver?query=컨테이젼 영화", "컨테이젼")</f>
        <v>컨테이젼</v>
      </c>
      <c r="C2823" s="47">
        <v>2.8</v>
      </c>
      <c r="D2823" s="6" t="s">
        <v>2870</v>
      </c>
      <c r="E2823" s="5" t="s">
        <v>20</v>
      </c>
      <c r="F2823" s="5">
        <v>2011</v>
      </c>
      <c r="G2823" s="5" t="s">
        <v>12</v>
      </c>
      <c r="H2823" s="5" t="s">
        <v>43</v>
      </c>
      <c r="I2823" s="5" t="s">
        <v>286</v>
      </c>
      <c r="J2823" s="98" t="s">
        <v>3454</v>
      </c>
    </row>
    <row r="2824" spans="1:10" ht="28.9" customHeight="1" thickTop="1" thickBot="1" x14ac:dyDescent="0.65">
      <c r="A2824" s="3">
        <v>2822</v>
      </c>
      <c r="B2824" s="44" t="str">
        <f>HYPERLINK("https://search.naver.com/search.naver?query=컨텐더 영화", "컨텐더")</f>
        <v>컨텐더</v>
      </c>
      <c r="C2824" s="45">
        <v>7.48</v>
      </c>
      <c r="D2824" s="4" t="s">
        <v>2871</v>
      </c>
      <c r="E2824" s="3" t="s">
        <v>20</v>
      </c>
      <c r="F2824" s="3">
        <v>2000</v>
      </c>
      <c r="G2824" s="3" t="s">
        <v>12</v>
      </c>
      <c r="H2824" s="3" t="s">
        <v>17</v>
      </c>
      <c r="I2824" s="3" t="s">
        <v>78</v>
      </c>
      <c r="J2824" s="97" t="s">
        <v>3458</v>
      </c>
    </row>
    <row r="2825" spans="1:10" ht="28.9" customHeight="1" thickTop="1" thickBot="1" x14ac:dyDescent="0.65">
      <c r="A2825" s="5">
        <v>2823</v>
      </c>
      <c r="B2825" s="46" t="str">
        <f>HYPERLINK("https://search.naver.com/search.naver?query=컨피던스 맨 JP 영화", "컨피던스 맨 JP")</f>
        <v>컨피던스 맨 JP</v>
      </c>
      <c r="C2825" s="47">
        <v>6.4</v>
      </c>
      <c r="D2825" s="6" t="s">
        <v>2872</v>
      </c>
      <c r="E2825" s="5" t="s">
        <v>16</v>
      </c>
      <c r="F2825" s="5">
        <v>2019</v>
      </c>
      <c r="G2825" s="5" t="s">
        <v>12</v>
      </c>
      <c r="H2825" s="5" t="s">
        <v>68</v>
      </c>
      <c r="I2825" s="5" t="s">
        <v>366</v>
      </c>
      <c r="J2825" s="98" t="s">
        <v>3444</v>
      </c>
    </row>
    <row r="2826" spans="1:10" ht="28.9" customHeight="1" thickTop="1" thickBot="1" x14ac:dyDescent="0.65">
      <c r="A2826" s="3">
        <v>2824</v>
      </c>
      <c r="B2826" s="44" t="str">
        <f>HYPERLINK("https://search.naver.com/search.naver?query=컬러 아웃 오브 스페이스 영화", "컬러 아웃 오브 스페이스")</f>
        <v>컬러 아웃 오브 스페이스</v>
      </c>
      <c r="C2826" s="45">
        <v>5.75</v>
      </c>
      <c r="D2826" s="4" t="s">
        <v>2873</v>
      </c>
      <c r="E2826" s="3" t="s">
        <v>20</v>
      </c>
      <c r="F2826" s="3">
        <v>2019</v>
      </c>
      <c r="G2826" s="3" t="s">
        <v>12</v>
      </c>
      <c r="H2826" s="3" t="s">
        <v>252</v>
      </c>
      <c r="I2826" s="3" t="s">
        <v>102</v>
      </c>
      <c r="J2826" s="97" t="s">
        <v>3444</v>
      </c>
    </row>
    <row r="2827" spans="1:10" ht="28.9" customHeight="1" thickTop="1" thickBot="1" x14ac:dyDescent="0.65">
      <c r="A2827" s="5">
        <v>2825</v>
      </c>
      <c r="B2827" s="46" t="str">
        <f>HYPERLINK("https://search.naver.com/search.naver?query=컬러 오브 나이트 영화", "컬러 오브 나이트")</f>
        <v>컬러 오브 나이트</v>
      </c>
      <c r="C2827" s="47">
        <v>7.82</v>
      </c>
      <c r="D2827" s="6" t="s">
        <v>2874</v>
      </c>
      <c r="E2827" s="5" t="s">
        <v>20</v>
      </c>
      <c r="F2827" s="5">
        <v>1994</v>
      </c>
      <c r="G2827" s="5" t="s">
        <v>12</v>
      </c>
      <c r="H2827" s="5" t="s">
        <v>43</v>
      </c>
      <c r="I2827" s="5" t="s">
        <v>142</v>
      </c>
      <c r="J2827" s="98" t="s">
        <v>3467</v>
      </c>
    </row>
    <row r="2828" spans="1:10" ht="28.9" customHeight="1" thickTop="1" thickBot="1" x14ac:dyDescent="0.65">
      <c r="A2828" s="3">
        <v>2826</v>
      </c>
      <c r="B2828" s="44" t="str">
        <f>HYPERLINK("https://search.naver.com/search.naver?query=컴퍼니 유 킵 영화", "컴퍼니 유 킵")</f>
        <v>컴퍼니 유 킵</v>
      </c>
      <c r="C2828" s="45">
        <v>6.95</v>
      </c>
      <c r="D2828" s="4" t="s">
        <v>2875</v>
      </c>
      <c r="E2828" s="3" t="s">
        <v>20</v>
      </c>
      <c r="F2828" s="3">
        <v>2012</v>
      </c>
      <c r="G2828" s="3" t="s">
        <v>12</v>
      </c>
      <c r="H2828" s="3" t="s">
        <v>43</v>
      </c>
      <c r="I2828" s="3" t="s">
        <v>142</v>
      </c>
      <c r="J2828" s="97" t="s">
        <v>3439</v>
      </c>
    </row>
    <row r="2829" spans="1:10" ht="28.9" customHeight="1" thickTop="1" thickBot="1" x14ac:dyDescent="0.65">
      <c r="A2829" s="5">
        <v>2827</v>
      </c>
      <c r="B2829" s="46" t="str">
        <f>HYPERLINK("https://search.naver.com/search.naver?query=컴플라이언스 영화", "컴플라이언스")</f>
        <v>컴플라이언스</v>
      </c>
      <c r="C2829" s="47">
        <v>6.78</v>
      </c>
      <c r="D2829" s="6" t="s">
        <v>2876</v>
      </c>
      <c r="E2829" s="5" t="s">
        <v>20</v>
      </c>
      <c r="F2829" s="5">
        <v>2012</v>
      </c>
      <c r="G2829" s="5" t="s">
        <v>12</v>
      </c>
      <c r="H2829" s="5" t="s">
        <v>17</v>
      </c>
      <c r="I2829" s="5" t="s">
        <v>115</v>
      </c>
      <c r="J2829" s="98" t="s">
        <v>3439</v>
      </c>
    </row>
    <row r="2830" spans="1:10" ht="28.9" customHeight="1" thickTop="1" thickBot="1" x14ac:dyDescent="0.65">
      <c r="A2830" s="3">
        <v>2828</v>
      </c>
      <c r="B2830" s="44" t="str">
        <f>HYPERLINK("https://search.naver.com/search.naver?query=케이 팩스 영화", "케이 팩스")</f>
        <v>케이 팩스</v>
      </c>
      <c r="C2830" s="45">
        <v>9.0399999999999991</v>
      </c>
      <c r="D2830" s="4" t="s">
        <v>2877</v>
      </c>
      <c r="E2830" s="3" t="s">
        <v>20</v>
      </c>
      <c r="F2830" s="3">
        <v>2001</v>
      </c>
      <c r="G2830" s="3" t="s">
        <v>12</v>
      </c>
      <c r="H2830" s="3" t="s">
        <v>520</v>
      </c>
      <c r="I2830" s="3" t="s">
        <v>86</v>
      </c>
      <c r="J2830" s="97" t="s">
        <v>3457</v>
      </c>
    </row>
    <row r="2831" spans="1:10" ht="28.9" customHeight="1" thickTop="1" thickBot="1" x14ac:dyDescent="0.65">
      <c r="A2831" s="5">
        <v>2829</v>
      </c>
      <c r="B2831" s="46" t="str">
        <f>HYPERLINK("https://search.naver.com/search.naver?query=케이트 맥콜 영화", "케이트 맥콜")</f>
        <v>케이트 맥콜</v>
      </c>
      <c r="C2831" s="47">
        <v>6.83</v>
      </c>
      <c r="D2831" s="6" t="s">
        <v>2878</v>
      </c>
      <c r="E2831" s="5" t="s">
        <v>20</v>
      </c>
      <c r="F2831" s="5">
        <v>2013</v>
      </c>
      <c r="G2831" s="5" t="s">
        <v>12</v>
      </c>
      <c r="H2831" s="5" t="s">
        <v>17</v>
      </c>
      <c r="I2831" s="5" t="s">
        <v>111</v>
      </c>
      <c r="J2831" s="98" t="s">
        <v>3451</v>
      </c>
    </row>
    <row r="2832" spans="1:10" ht="28.9" customHeight="1" thickTop="1" thickBot="1" x14ac:dyDescent="0.65">
      <c r="A2832" s="3">
        <v>2830</v>
      </c>
      <c r="B2832" s="44" t="str">
        <f>HYPERLINK("https://search.naver.com/search.naver?query=코끼리의 등 영화", "코끼리의 등")</f>
        <v>코끼리의 등</v>
      </c>
      <c r="C2832" s="45">
        <v>6.4</v>
      </c>
      <c r="D2832" s="4" t="s">
        <v>2879</v>
      </c>
      <c r="E2832" s="3" t="s">
        <v>16</v>
      </c>
      <c r="F2832" s="3">
        <v>2007</v>
      </c>
      <c r="G2832" s="3" t="s">
        <v>12</v>
      </c>
      <c r="H2832" s="3" t="s">
        <v>17</v>
      </c>
      <c r="I2832" s="3" t="s">
        <v>111</v>
      </c>
      <c r="J2832" s="97" t="s">
        <v>3447</v>
      </c>
    </row>
    <row r="2833" spans="1:10" ht="28.9" customHeight="1" thickTop="1" thickBot="1" x14ac:dyDescent="0.65">
      <c r="A2833" s="5">
        <v>2831</v>
      </c>
      <c r="B2833" s="46" t="str">
        <f>HYPERLINK("https://search.naver.com/search.naver?query=코다 영화", "코다")</f>
        <v>코다</v>
      </c>
      <c r="C2833" s="47">
        <v>8.77</v>
      </c>
      <c r="D2833" s="6" t="s">
        <v>2880</v>
      </c>
      <c r="E2833" s="5" t="s">
        <v>20</v>
      </c>
      <c r="F2833" s="5">
        <v>2021</v>
      </c>
      <c r="G2833" s="5" t="s">
        <v>12</v>
      </c>
      <c r="H2833" s="5" t="s">
        <v>17</v>
      </c>
      <c r="I2833" s="5" t="s">
        <v>102</v>
      </c>
      <c r="J2833" s="98" t="s">
        <v>3438</v>
      </c>
    </row>
    <row r="2834" spans="1:10" ht="28.9" customHeight="1" thickTop="1" thickBot="1" x14ac:dyDescent="0.65">
      <c r="A2834" s="3">
        <v>2832</v>
      </c>
      <c r="B2834" s="44" t="str">
        <f>HYPERLINK("https://search.naver.com/search.naver?query=코드 영화", "코드")</f>
        <v>코드</v>
      </c>
      <c r="C2834" s="45">
        <v>3.6</v>
      </c>
      <c r="D2834" s="4" t="s">
        <v>2881</v>
      </c>
      <c r="E2834" s="3" t="s">
        <v>20</v>
      </c>
      <c r="F2834" s="3">
        <v>2009</v>
      </c>
      <c r="G2834" s="3" t="s">
        <v>12</v>
      </c>
      <c r="H2834" s="3" t="s">
        <v>92</v>
      </c>
      <c r="I2834" s="3" t="s">
        <v>111</v>
      </c>
      <c r="J2834" s="97" t="s">
        <v>3453</v>
      </c>
    </row>
    <row r="2835" spans="1:10" ht="28.9" customHeight="1" thickTop="1" thickBot="1" x14ac:dyDescent="0.65">
      <c r="A2835" s="5">
        <v>2833</v>
      </c>
      <c r="B2835" s="46" t="str">
        <f>HYPERLINK("https://search.naver.com/search.naver?query=코드네임 제로니모 영화", "코드네임 제로니모")</f>
        <v>코드네임 제로니모</v>
      </c>
      <c r="C2835" s="47">
        <v>6.26</v>
      </c>
      <c r="D2835" s="6" t="s">
        <v>2882</v>
      </c>
      <c r="E2835" s="5" t="s">
        <v>20</v>
      </c>
      <c r="F2835" s="5">
        <v>2012</v>
      </c>
      <c r="G2835" s="5" t="s">
        <v>12</v>
      </c>
      <c r="H2835" s="5" t="s">
        <v>92</v>
      </c>
      <c r="I2835" s="5" t="s">
        <v>99</v>
      </c>
      <c r="J2835" s="98" t="s">
        <v>3439</v>
      </c>
    </row>
    <row r="2836" spans="1:10" ht="28.9" customHeight="1" thickTop="1" thickBot="1" x14ac:dyDescent="0.65">
      <c r="A2836" s="3">
        <v>2834</v>
      </c>
      <c r="B2836" s="44" t="str">
        <f>HYPERLINK("https://search.naver.com/search.naver?query=코드명 엔젤 영화", "코드명 엔젤")</f>
        <v>코드명 엔젤</v>
      </c>
      <c r="C2836" s="45"/>
      <c r="D2836" s="4" t="s">
        <v>2883</v>
      </c>
      <c r="E2836" s="3" t="s">
        <v>20</v>
      </c>
      <c r="F2836" s="3">
        <v>2018</v>
      </c>
      <c r="G2836" s="3" t="s">
        <v>12</v>
      </c>
      <c r="H2836" s="3" t="s">
        <v>92</v>
      </c>
      <c r="I2836" s="3" t="s">
        <v>111</v>
      </c>
      <c r="J2836" s="97" t="s">
        <v>3442</v>
      </c>
    </row>
    <row r="2837" spans="1:10" ht="28.9" customHeight="1" thickTop="1" thickBot="1" x14ac:dyDescent="0.65">
      <c r="A2837" s="5">
        <v>2835</v>
      </c>
      <c r="B2837" s="46" t="str">
        <f>HYPERLINK("https://search.naver.com/search.naver?query=코러스 영화", "코러스")</f>
        <v>코러스</v>
      </c>
      <c r="C2837" s="47">
        <v>9.31</v>
      </c>
      <c r="D2837" s="6" t="s">
        <v>2884</v>
      </c>
      <c r="E2837" s="5" t="s">
        <v>210</v>
      </c>
      <c r="F2837" s="5">
        <v>2004</v>
      </c>
      <c r="G2837" s="5" t="s">
        <v>12</v>
      </c>
      <c r="H2837" s="5" t="s">
        <v>17</v>
      </c>
      <c r="I2837" s="5" t="s">
        <v>61</v>
      </c>
      <c r="J2837" s="98" t="s">
        <v>3462</v>
      </c>
    </row>
    <row r="2838" spans="1:10" ht="28.9" customHeight="1" thickTop="1" thickBot="1" x14ac:dyDescent="0.65">
      <c r="A2838" s="3">
        <v>2836</v>
      </c>
      <c r="B2838" s="44" t="str">
        <f>HYPERLINK("https://search.naver.com/search.naver?query=코렐리의 만돌린 영화", "코렐리의 만돌린")</f>
        <v>코렐리의 만돌린</v>
      </c>
      <c r="C2838" s="45">
        <v>7.2</v>
      </c>
      <c r="D2838" s="4" t="s">
        <v>2885</v>
      </c>
      <c r="E2838" s="3" t="s">
        <v>24</v>
      </c>
      <c r="F2838" s="3">
        <v>2001</v>
      </c>
      <c r="G2838" s="3" t="s">
        <v>12</v>
      </c>
      <c r="H2838" s="3" t="s">
        <v>17</v>
      </c>
      <c r="I2838" s="3" t="s">
        <v>280</v>
      </c>
      <c r="J2838" s="97" t="s">
        <v>3457</v>
      </c>
    </row>
    <row r="2839" spans="1:10" ht="28.9" customHeight="1" thickTop="1" thickBot="1" x14ac:dyDescent="0.65">
      <c r="A2839" s="5">
        <v>2837</v>
      </c>
      <c r="B2839" s="46" t="str">
        <f>HYPERLINK("https://search.naver.com/search.naver?query=코리아 영화", "코리아")</f>
        <v>코리아</v>
      </c>
      <c r="C2839" s="47">
        <v>8.56</v>
      </c>
      <c r="D2839" s="6" t="s">
        <v>2886</v>
      </c>
      <c r="E2839" s="5" t="s">
        <v>11</v>
      </c>
      <c r="F2839" s="5">
        <v>2012</v>
      </c>
      <c r="G2839" s="5" t="s">
        <v>12</v>
      </c>
      <c r="H2839" s="5" t="s">
        <v>17</v>
      </c>
      <c r="I2839" s="5" t="s">
        <v>86</v>
      </c>
      <c r="J2839" s="98" t="s">
        <v>3439</v>
      </c>
    </row>
    <row r="2840" spans="1:10" ht="28.9" customHeight="1" thickTop="1" thickBot="1" x14ac:dyDescent="0.65">
      <c r="A2840" s="3">
        <v>2838</v>
      </c>
      <c r="B2840" s="44" t="str">
        <f>HYPERLINK("https://search.naver.com/search.naver?query=코블러 영화", "코블러")</f>
        <v>코블러</v>
      </c>
      <c r="C2840" s="45">
        <v>7.84</v>
      </c>
      <c r="D2840" s="4" t="s">
        <v>2887</v>
      </c>
      <c r="E2840" s="3" t="s">
        <v>20</v>
      </c>
      <c r="F2840" s="3">
        <v>2014</v>
      </c>
      <c r="G2840" s="3" t="s">
        <v>12</v>
      </c>
      <c r="H2840" s="3" t="s">
        <v>68</v>
      </c>
      <c r="I2840" s="3" t="s">
        <v>81</v>
      </c>
      <c r="J2840" s="97" t="s">
        <v>3437</v>
      </c>
    </row>
    <row r="2841" spans="1:10" ht="28.9" customHeight="1" thickTop="1" thickBot="1" x14ac:dyDescent="0.65">
      <c r="A2841" s="5">
        <v>2839</v>
      </c>
      <c r="B2841" s="46" t="str">
        <f>HYPERLINK("https://search.naver.com/search.naver?query=코뿔소의 계절 영화", "코뿔소의 계절")</f>
        <v>코뿔소의 계절</v>
      </c>
      <c r="C2841" s="47">
        <v>7.56</v>
      </c>
      <c r="D2841" s="6" t="s">
        <v>2888</v>
      </c>
      <c r="E2841" s="5" t="s">
        <v>1370</v>
      </c>
      <c r="F2841" s="5">
        <v>2012</v>
      </c>
      <c r="G2841" s="5" t="s">
        <v>12</v>
      </c>
      <c r="H2841" s="5" t="s">
        <v>17</v>
      </c>
      <c r="I2841" s="5" t="s">
        <v>14</v>
      </c>
      <c r="J2841" s="98" t="s">
        <v>3439</v>
      </c>
    </row>
    <row r="2842" spans="1:10" ht="28.9" customHeight="1" thickTop="1" thickBot="1" x14ac:dyDescent="0.65">
      <c r="A2842" s="3">
        <v>2840</v>
      </c>
      <c r="B2842" s="44" t="str">
        <f>HYPERLINK("https://search.naver.com/search.naver?query=코어 영화", "코어")</f>
        <v>코어</v>
      </c>
      <c r="C2842" s="45">
        <v>8.15</v>
      </c>
      <c r="D2842" s="4" t="s">
        <v>2889</v>
      </c>
      <c r="E2842" s="3" t="s">
        <v>20</v>
      </c>
      <c r="F2842" s="3">
        <v>2003</v>
      </c>
      <c r="G2842" s="3" t="s">
        <v>12</v>
      </c>
      <c r="H2842" s="3" t="s">
        <v>92</v>
      </c>
      <c r="I2842" s="3" t="s">
        <v>41</v>
      </c>
      <c r="J2842" s="97" t="s">
        <v>3449</v>
      </c>
    </row>
    <row r="2843" spans="1:10" ht="28.9" customHeight="1" thickTop="1" thickBot="1" x14ac:dyDescent="0.65">
      <c r="A2843" s="5">
        <v>2841</v>
      </c>
      <c r="B2843" s="46" t="str">
        <f>HYPERLINK("https://search.naver.com/search.naver?query=코치 카터 영화", "코치 카터")</f>
        <v>코치 카터</v>
      </c>
      <c r="C2843" s="47">
        <v>9.18</v>
      </c>
      <c r="D2843" s="6" t="s">
        <v>2890</v>
      </c>
      <c r="E2843" s="5" t="s">
        <v>20</v>
      </c>
      <c r="F2843" s="5">
        <v>2005</v>
      </c>
      <c r="G2843" s="5" t="s">
        <v>12</v>
      </c>
      <c r="H2843" s="5" t="s">
        <v>17</v>
      </c>
      <c r="I2843" s="5" t="s">
        <v>359</v>
      </c>
      <c r="J2843" s="98" t="s">
        <v>3461</v>
      </c>
    </row>
    <row r="2844" spans="1:10" ht="28.9" customHeight="1" thickTop="1" thickBot="1" x14ac:dyDescent="0.65">
      <c r="A2844" s="3">
        <v>2842</v>
      </c>
      <c r="B2844" s="44" t="str">
        <f>HYPERLINK("https://search.naver.com/search.naver?query=코카인 베어 영화", "코카인 베어")</f>
        <v>코카인 베어</v>
      </c>
      <c r="C2844" s="45">
        <v>6.17</v>
      </c>
      <c r="D2844" s="4" t="s">
        <v>2891</v>
      </c>
      <c r="E2844" s="3" t="s">
        <v>20</v>
      </c>
      <c r="F2844" s="3">
        <v>2023</v>
      </c>
      <c r="G2844" s="3" t="s">
        <v>12</v>
      </c>
      <c r="H2844" s="3" t="s">
        <v>68</v>
      </c>
      <c r="I2844" s="3" t="s">
        <v>111</v>
      </c>
      <c r="J2844" s="97" t="s">
        <v>3446</v>
      </c>
    </row>
    <row r="2845" spans="1:10" ht="28.9" customHeight="1" thickTop="1" thickBot="1" x14ac:dyDescent="0.65">
      <c r="A2845" s="5">
        <v>2843</v>
      </c>
      <c r="B2845" s="46" t="str">
        <f>HYPERLINK("https://search.naver.com/search.naver?query=콘스탄트 가드너 영화", "콘스탄트 가드너")</f>
        <v>콘스탄트 가드너</v>
      </c>
      <c r="C2845" s="47">
        <v>8.59</v>
      </c>
      <c r="D2845" s="6" t="s">
        <v>2892</v>
      </c>
      <c r="E2845" s="5" t="s">
        <v>24</v>
      </c>
      <c r="F2845" s="5">
        <v>2005</v>
      </c>
      <c r="G2845" s="5" t="s">
        <v>12</v>
      </c>
      <c r="H2845" s="5" t="s">
        <v>17</v>
      </c>
      <c r="I2845" s="5" t="s">
        <v>64</v>
      </c>
      <c r="J2845" s="98" t="s">
        <v>3461</v>
      </c>
    </row>
    <row r="2846" spans="1:10" ht="28.9" customHeight="1" thickTop="1" thickBot="1" x14ac:dyDescent="0.65">
      <c r="A2846" s="3">
        <v>2844</v>
      </c>
      <c r="B2846" s="44" t="str">
        <f>HYPERLINK("https://search.naver.com/search.naver?query=콘크리트 유토피아 영화", "콘크리트 유토피아")</f>
        <v>콘크리트 유토피아</v>
      </c>
      <c r="C2846" s="45">
        <v>8.16</v>
      </c>
      <c r="D2846" s="4" t="s">
        <v>2893</v>
      </c>
      <c r="E2846" s="3" t="s">
        <v>11</v>
      </c>
      <c r="F2846" s="3">
        <v>2023</v>
      </c>
      <c r="G2846" s="3" t="s">
        <v>12</v>
      </c>
      <c r="H2846" s="3" t="s">
        <v>17</v>
      </c>
      <c r="I2846" s="3" t="s">
        <v>34</v>
      </c>
      <c r="J2846" s="97" t="s">
        <v>3446</v>
      </c>
    </row>
    <row r="2847" spans="1:10" ht="28.9" customHeight="1" thickTop="1" thickBot="1" x14ac:dyDescent="0.65">
      <c r="A2847" s="5">
        <v>2845</v>
      </c>
      <c r="B2847" s="46" t="str">
        <f>HYPERLINK("https://search.naver.com/search.naver?query=콘택트1997", "콘택트")</f>
        <v>콘택트</v>
      </c>
      <c r="C2847" s="47">
        <v>9.23</v>
      </c>
      <c r="D2847" s="6" t="s">
        <v>2894</v>
      </c>
      <c r="E2847" s="5" t="s">
        <v>20</v>
      </c>
      <c r="F2847" s="5">
        <v>1997</v>
      </c>
      <c r="G2847" s="5" t="s">
        <v>12</v>
      </c>
      <c r="H2847" s="5" t="s">
        <v>520</v>
      </c>
      <c r="I2847" s="5" t="s">
        <v>523</v>
      </c>
      <c r="J2847" s="98" t="s">
        <v>3470</v>
      </c>
    </row>
    <row r="2848" spans="1:10" ht="28.9" customHeight="1" thickTop="1" thickBot="1" x14ac:dyDescent="0.65">
      <c r="A2848" s="5">
        <v>2846</v>
      </c>
      <c r="B2848" s="46" t="str">
        <f>HYPERLINK("https://search.naver.com/search.naver?query=콘트라밴드 영화", "콘트라밴드")</f>
        <v>콘트라밴드</v>
      </c>
      <c r="C2848" s="47">
        <v>7.3</v>
      </c>
      <c r="D2848" s="6" t="s">
        <v>2895</v>
      </c>
      <c r="E2848" s="5" t="s">
        <v>20</v>
      </c>
      <c r="F2848" s="5">
        <v>2012</v>
      </c>
      <c r="G2848" s="5" t="s">
        <v>12</v>
      </c>
      <c r="H2848" s="5" t="s">
        <v>92</v>
      </c>
      <c r="I2848" s="5" t="s">
        <v>137</v>
      </c>
      <c r="J2848" s="98" t="s">
        <v>3439</v>
      </c>
    </row>
    <row r="2849" spans="1:10" ht="27.6" customHeight="1" thickTop="1" thickBot="1" x14ac:dyDescent="0.65">
      <c r="A2849" s="26">
        <v>2847</v>
      </c>
      <c r="B2849" s="87" t="str">
        <f>HYPERLINK("https://search.naver.com/search.naver?query=아마존의 눈물 다큐", "아마존의 눈물")</f>
        <v>아마존의 눈물</v>
      </c>
      <c r="C2849" s="57">
        <v>8.48</v>
      </c>
      <c r="D2849" s="30" t="s">
        <v>2896</v>
      </c>
      <c r="E2849" s="26" t="s">
        <v>2897</v>
      </c>
      <c r="F2849" s="26">
        <v>2010</v>
      </c>
      <c r="G2849" s="26" t="s">
        <v>2576</v>
      </c>
      <c r="H2849" s="26" t="s">
        <v>2576</v>
      </c>
      <c r="I2849" s="26" t="s">
        <v>231</v>
      </c>
      <c r="J2849" s="104" t="s">
        <v>3455</v>
      </c>
    </row>
    <row r="2850" spans="1:10" ht="28.9" customHeight="1" thickTop="1" thickBot="1" x14ac:dyDescent="0.65">
      <c r="A2850" s="5">
        <v>2848</v>
      </c>
      <c r="B2850" s="46" t="str">
        <f>HYPERLINK("https://search.naver.com/search.naver?query=콘티키 위대한 항해 영화", "콘티키-위대한 항해")</f>
        <v>콘티키-위대한 항해</v>
      </c>
      <c r="C2850" s="47">
        <v>7.8</v>
      </c>
      <c r="D2850" s="6" t="s">
        <v>2898</v>
      </c>
      <c r="E2850" s="5" t="s">
        <v>39</v>
      </c>
      <c r="F2850" s="5">
        <v>2012</v>
      </c>
      <c r="G2850" s="5" t="s">
        <v>12</v>
      </c>
      <c r="H2850" s="5" t="s">
        <v>824</v>
      </c>
      <c r="I2850" s="5" t="s">
        <v>221</v>
      </c>
      <c r="J2850" s="98" t="s">
        <v>3439</v>
      </c>
    </row>
    <row r="2851" spans="1:10" ht="28.9" customHeight="1" thickTop="1" thickBot="1" x14ac:dyDescent="0.65">
      <c r="A2851" s="3">
        <v>2849</v>
      </c>
      <c r="B2851" s="44" t="str">
        <f>HYPERLINK("https://search.naver.com/search.naver?query=콜 영화", "콜")</f>
        <v>콜</v>
      </c>
      <c r="C2851" s="45">
        <v>7.5</v>
      </c>
      <c r="D2851" s="4" t="s">
        <v>2899</v>
      </c>
      <c r="E2851" s="3" t="s">
        <v>20</v>
      </c>
      <c r="F2851" s="3">
        <v>2020</v>
      </c>
      <c r="G2851" s="3" t="s">
        <v>12</v>
      </c>
      <c r="H2851" s="3" t="s">
        <v>43</v>
      </c>
      <c r="I2851" s="3" t="s">
        <v>300</v>
      </c>
      <c r="J2851" s="97" t="s">
        <v>3436</v>
      </c>
    </row>
    <row r="2852" spans="1:10" ht="28.9" customHeight="1" thickTop="1" thickBot="1" x14ac:dyDescent="0.65">
      <c r="A2852" s="5">
        <v>2850</v>
      </c>
      <c r="B2852" s="46" t="str">
        <f>HYPERLINK("https://search.naver.com/search.naver?query=콜드 마운틴 영화", "콜드 마운틴")</f>
        <v>콜드 마운틴</v>
      </c>
      <c r="C2852" s="47">
        <v>9.0399999999999991</v>
      </c>
      <c r="D2852" s="6" t="s">
        <v>2900</v>
      </c>
      <c r="E2852" s="5" t="s">
        <v>20</v>
      </c>
      <c r="F2852" s="5">
        <v>2003</v>
      </c>
      <c r="G2852" s="5" t="s">
        <v>12</v>
      </c>
      <c r="H2852" s="5" t="s">
        <v>17</v>
      </c>
      <c r="I2852" s="5" t="s">
        <v>429</v>
      </c>
      <c r="J2852" s="98" t="s">
        <v>3449</v>
      </c>
    </row>
    <row r="2853" spans="1:10" ht="28.9" customHeight="1" thickTop="1" thickBot="1" x14ac:dyDescent="0.65">
      <c r="A2853" s="3">
        <v>2851</v>
      </c>
      <c r="B2853" s="44" t="str">
        <f>HYPERLINK("https://search.naver.com/search.naver?query=콜드 블러드 레거시 영화", "콜드 블러드 레거시")</f>
        <v>콜드 블러드 레거시</v>
      </c>
      <c r="C2853" s="45">
        <v>6.4</v>
      </c>
      <c r="D2853" s="4" t="s">
        <v>2901</v>
      </c>
      <c r="E2853" s="3" t="s">
        <v>210</v>
      </c>
      <c r="F2853" s="3">
        <v>2019</v>
      </c>
      <c r="G2853" s="3" t="s">
        <v>12</v>
      </c>
      <c r="H2853" s="3" t="s">
        <v>92</v>
      </c>
      <c r="I2853" s="3" t="s">
        <v>240</v>
      </c>
      <c r="J2853" s="97" t="s">
        <v>3444</v>
      </c>
    </row>
    <row r="2854" spans="1:10" ht="28.9" customHeight="1" thickTop="1" thickBot="1" x14ac:dyDescent="0.65">
      <c r="A2854" s="5">
        <v>2852</v>
      </c>
      <c r="B2854" s="46" t="str">
        <f>HYPERLINK("https://search.naver.com/search.naver?query=콜드체이싱 영화", "콜드체이싱")</f>
        <v>콜드체이싱</v>
      </c>
      <c r="C2854" s="47">
        <v>7.32</v>
      </c>
      <c r="D2854" s="6" t="s">
        <v>2902</v>
      </c>
      <c r="E2854" s="5" t="s">
        <v>39</v>
      </c>
      <c r="F2854" s="5">
        <v>2019</v>
      </c>
      <c r="G2854" s="5" t="s">
        <v>12</v>
      </c>
      <c r="H2854" s="5" t="s">
        <v>92</v>
      </c>
      <c r="I2854" s="5" t="s">
        <v>53</v>
      </c>
      <c r="J2854" s="98" t="s">
        <v>3444</v>
      </c>
    </row>
    <row r="2855" spans="1:10" ht="28.9" customHeight="1" thickTop="1" thickBot="1" x14ac:dyDescent="0.65">
      <c r="A2855" s="3">
        <v>2853</v>
      </c>
      <c r="B2855" s="44" t="str">
        <f>HYPERLINK("https://search.naver.com/search.naver?query=콜디스트 게임 영화", "콜디스트 게임")</f>
        <v>콜디스트 게임</v>
      </c>
      <c r="C2855" s="45">
        <v>7.6</v>
      </c>
      <c r="D2855" s="4" t="s">
        <v>2903</v>
      </c>
      <c r="E2855" s="3" t="s">
        <v>1199</v>
      </c>
      <c r="F2855" s="3">
        <v>2019</v>
      </c>
      <c r="G2855" s="3" t="s">
        <v>12</v>
      </c>
      <c r="H2855" s="3" t="s">
        <v>43</v>
      </c>
      <c r="I2855" s="3" t="s">
        <v>99</v>
      </c>
      <c r="J2855" s="97" t="s">
        <v>3444</v>
      </c>
    </row>
    <row r="2856" spans="1:10" ht="28.9" customHeight="1" thickTop="1" thickBot="1" x14ac:dyDescent="0.65">
      <c r="A2856" s="5">
        <v>2854</v>
      </c>
      <c r="B2856" s="46" t="str">
        <f>HYPERLINK("https://search.naver.com/search.naver?query=콜로니아 영화", "콜로니아")</f>
        <v>콜로니아</v>
      </c>
      <c r="C2856" s="47">
        <v>9.11</v>
      </c>
      <c r="D2856" s="6" t="s">
        <v>2904</v>
      </c>
      <c r="E2856" s="5" t="s">
        <v>101</v>
      </c>
      <c r="F2856" s="5">
        <v>2015</v>
      </c>
      <c r="G2856" s="5" t="s">
        <v>12</v>
      </c>
      <c r="H2856" s="5" t="s">
        <v>17</v>
      </c>
      <c r="I2856" s="5" t="s">
        <v>96</v>
      </c>
      <c r="J2856" s="98" t="s">
        <v>3440</v>
      </c>
    </row>
    <row r="2857" spans="1:10" ht="28.9" customHeight="1" thickTop="1" thickBot="1" x14ac:dyDescent="0.65">
      <c r="A2857" s="3">
        <v>2855</v>
      </c>
      <c r="B2857" s="44" t="str">
        <f>HYPERLINK("https://search.naver.com/search.naver?query=콜롬비아나 영화", "콜롬비아나")</f>
        <v>콜롬비아나</v>
      </c>
      <c r="C2857" s="45">
        <v>7.54</v>
      </c>
      <c r="D2857" s="4" t="s">
        <v>2905</v>
      </c>
      <c r="E2857" s="3" t="s">
        <v>210</v>
      </c>
      <c r="F2857" s="3">
        <v>2011</v>
      </c>
      <c r="G2857" s="3" t="s">
        <v>12</v>
      </c>
      <c r="H2857" s="3" t="s">
        <v>92</v>
      </c>
      <c r="I2857" s="3" t="s">
        <v>31</v>
      </c>
      <c r="J2857" s="97" t="s">
        <v>3454</v>
      </c>
    </row>
    <row r="2858" spans="1:10" ht="28.9" customHeight="1" thickTop="1" thickBot="1" x14ac:dyDescent="0.65">
      <c r="A2858" s="5">
        <v>2856</v>
      </c>
      <c r="B2858" s="46" t="str">
        <f>HYPERLINK("https://search.naver.com/search.naver?query=콜리니 케이스 영화", "콜리니 케이스")</f>
        <v>콜리니 케이스</v>
      </c>
      <c r="C2858" s="47">
        <v>9.26</v>
      </c>
      <c r="D2858" s="6" t="s">
        <v>2906</v>
      </c>
      <c r="E2858" s="5" t="s">
        <v>101</v>
      </c>
      <c r="F2858" s="5">
        <v>2019</v>
      </c>
      <c r="G2858" s="5" t="s">
        <v>12</v>
      </c>
      <c r="H2858" s="5" t="s">
        <v>17</v>
      </c>
      <c r="I2858" s="5" t="s">
        <v>58</v>
      </c>
      <c r="J2858" s="98" t="s">
        <v>3444</v>
      </c>
    </row>
    <row r="2859" spans="1:10" ht="28.9" customHeight="1" thickTop="1" thickBot="1" x14ac:dyDescent="0.65">
      <c r="A2859" s="3">
        <v>2857</v>
      </c>
      <c r="B2859" s="44" t="str">
        <f>HYPERLINK("https://search.naver.com/search.naver?query=콜보이 영화", "콜보이")</f>
        <v>콜보이</v>
      </c>
      <c r="C2859" s="45">
        <v>6.88</v>
      </c>
      <c r="D2859" s="4" t="s">
        <v>2907</v>
      </c>
      <c r="E2859" s="3" t="s">
        <v>16</v>
      </c>
      <c r="F2859" s="3">
        <v>2018</v>
      </c>
      <c r="G2859" s="3" t="s">
        <v>12</v>
      </c>
      <c r="H2859" s="3" t="s">
        <v>17</v>
      </c>
      <c r="I2859" s="3" t="s">
        <v>53</v>
      </c>
      <c r="J2859" s="97" t="s">
        <v>3442</v>
      </c>
    </row>
    <row r="2860" spans="1:10" ht="28.9" customHeight="1" thickTop="1" thickBot="1" x14ac:dyDescent="0.65">
      <c r="A2860" s="5">
        <v>2858</v>
      </c>
      <c r="B2860" s="46" t="str">
        <f>HYPERLINK("https://search.naver.com/search.naver?query=콜 사라진 여자들 영화", "콜-사라진 여자들")</f>
        <v>콜-사라진 여자들</v>
      </c>
      <c r="C2860" s="47">
        <v>3.32</v>
      </c>
      <c r="D2860" s="6" t="s">
        <v>2908</v>
      </c>
      <c r="E2860" s="5" t="s">
        <v>20</v>
      </c>
      <c r="F2860" s="5">
        <v>2020</v>
      </c>
      <c r="G2860" s="5" t="s">
        <v>12</v>
      </c>
      <c r="H2860" s="5" t="s">
        <v>43</v>
      </c>
      <c r="I2860" s="5" t="s">
        <v>952</v>
      </c>
      <c r="J2860" s="98" t="s">
        <v>3436</v>
      </c>
    </row>
    <row r="2861" spans="1:10" ht="28.9" customHeight="1" thickTop="1" thickBot="1" x14ac:dyDescent="0.65">
      <c r="A2861" s="3">
        <v>2859</v>
      </c>
      <c r="B2861" s="44" t="str">
        <f>HYPERLINK("https://search.naver.com/search.naver?query=콩 스컬 아일랜드 영화", "콩 - 스컬 아일랜드")</f>
        <v>콩 - 스컬 아일랜드</v>
      </c>
      <c r="C2861" s="45">
        <v>8.1300000000000008</v>
      </c>
      <c r="D2861" s="4" t="s">
        <v>2909</v>
      </c>
      <c r="E2861" s="3" t="s">
        <v>20</v>
      </c>
      <c r="F2861" s="3">
        <v>2017</v>
      </c>
      <c r="G2861" s="3" t="s">
        <v>12</v>
      </c>
      <c r="H2861" s="3" t="s">
        <v>92</v>
      </c>
      <c r="I2861" s="3" t="s">
        <v>221</v>
      </c>
      <c r="J2861" s="97" t="s">
        <v>3443</v>
      </c>
    </row>
    <row r="2862" spans="1:10" ht="28.9" customHeight="1" thickTop="1" thickBot="1" x14ac:dyDescent="0.65">
      <c r="A2862" s="5">
        <v>2860</v>
      </c>
      <c r="B2862" s="46" t="str">
        <f>HYPERLINK("https://search.naver.com/search.naver?query=콰이어트 플레이스 영화", "콰이어트 플레이스")</f>
        <v>콰이어트 플레이스</v>
      </c>
      <c r="C2862" s="47">
        <v>6.55</v>
      </c>
      <c r="D2862" s="6" t="s">
        <v>2910</v>
      </c>
      <c r="E2862" s="5" t="s">
        <v>20</v>
      </c>
      <c r="F2862" s="5">
        <v>2018</v>
      </c>
      <c r="G2862" s="5" t="s">
        <v>12</v>
      </c>
      <c r="H2862" s="5" t="s">
        <v>252</v>
      </c>
      <c r="I2862" s="5" t="s">
        <v>115</v>
      </c>
      <c r="J2862" s="98" t="s">
        <v>3442</v>
      </c>
    </row>
    <row r="2863" spans="1:10" ht="28.9" customHeight="1" thickTop="1" thickBot="1" x14ac:dyDescent="0.65">
      <c r="A2863" s="3">
        <v>2861</v>
      </c>
      <c r="B2863" s="44" t="str">
        <f>HYPERLINK("https://search.naver.com/search.naver?query=콰이어트 플레이스 2 영화", "콰이어트 플레이스 2")</f>
        <v>콰이어트 플레이스 2</v>
      </c>
      <c r="C2863" s="45">
        <v>8.6300000000000008</v>
      </c>
      <c r="D2863" s="4" t="s">
        <v>2910</v>
      </c>
      <c r="E2863" s="3" t="s">
        <v>20</v>
      </c>
      <c r="F2863" s="3">
        <v>2020</v>
      </c>
      <c r="G2863" s="3" t="s">
        <v>12</v>
      </c>
      <c r="H2863" s="3" t="s">
        <v>252</v>
      </c>
      <c r="I2863" s="3" t="s">
        <v>124</v>
      </c>
      <c r="J2863" s="97" t="s">
        <v>3436</v>
      </c>
    </row>
    <row r="2864" spans="1:10" ht="28.9" customHeight="1" thickTop="1" thickBot="1" x14ac:dyDescent="0.65">
      <c r="A2864" s="5">
        <v>2862</v>
      </c>
      <c r="B2864" s="46" t="str">
        <f>HYPERLINK("https://search.naver.com/search.naver?query=콰이어트맨 영화", "콰이어트맨")</f>
        <v>콰이어트맨</v>
      </c>
      <c r="C2864" s="47">
        <v>8.2200000000000006</v>
      </c>
      <c r="D2864" s="6" t="s">
        <v>3499</v>
      </c>
      <c r="E2864" s="5" t="s">
        <v>3488</v>
      </c>
      <c r="F2864" s="5">
        <v>2008</v>
      </c>
      <c r="G2864" s="5" t="s">
        <v>12</v>
      </c>
      <c r="H2864" s="5" t="s">
        <v>3490</v>
      </c>
      <c r="I2864" s="5" t="s">
        <v>3498</v>
      </c>
      <c r="J2864" s="98">
        <v>39813</v>
      </c>
    </row>
    <row r="2865" spans="1:10" ht="28.9" customHeight="1" thickTop="1" thickBot="1" x14ac:dyDescent="0.65">
      <c r="A2865" s="3">
        <v>2863</v>
      </c>
      <c r="B2865" s="44" t="str">
        <f>HYPERLINK("https://search.naver.com/search.naver?query=쿠르스크 영화", "쿠르스크")</f>
        <v>쿠르스크</v>
      </c>
      <c r="C2865" s="45">
        <v>9.06</v>
      </c>
      <c r="D2865" s="4" t="s">
        <v>993</v>
      </c>
      <c r="E2865" s="3" t="s">
        <v>509</v>
      </c>
      <c r="F2865" s="3">
        <v>2018</v>
      </c>
      <c r="G2865" s="3" t="s">
        <v>12</v>
      </c>
      <c r="H2865" s="3" t="s">
        <v>17</v>
      </c>
      <c r="I2865" s="3" t="s">
        <v>89</v>
      </c>
      <c r="J2865" s="97" t="s">
        <v>3442</v>
      </c>
    </row>
    <row r="2866" spans="1:10" ht="28.9" customHeight="1" thickTop="1" thickBot="1" x14ac:dyDescent="0.65">
      <c r="A2866" s="5">
        <v>2864</v>
      </c>
      <c r="B2866" s="46" t="str">
        <f>HYPERLINK("https://search.naver.com/search.naver?query=쿠폰의 여왕 영화", "쿠폰의 여왕")</f>
        <v>쿠폰의 여왕</v>
      </c>
      <c r="C2866" s="47">
        <v>7.03</v>
      </c>
      <c r="D2866" s="6" t="s">
        <v>2911</v>
      </c>
      <c r="E2866" s="5" t="s">
        <v>20</v>
      </c>
      <c r="F2866" s="5">
        <v>2021</v>
      </c>
      <c r="G2866" s="5" t="s">
        <v>12</v>
      </c>
      <c r="H2866" s="5" t="s">
        <v>68</v>
      </c>
      <c r="I2866" s="5" t="s">
        <v>96</v>
      </c>
      <c r="J2866" s="98" t="s">
        <v>3438</v>
      </c>
    </row>
    <row r="2867" spans="1:10" ht="28.9" customHeight="1" thickTop="1" thickBot="1" x14ac:dyDescent="0.65">
      <c r="A2867" s="3">
        <v>2865</v>
      </c>
      <c r="B2867" s="44" t="str">
        <f>HYPERLINK("https://search.naver.com/search.naver?query=퀵 영화", "퀵")</f>
        <v>퀵</v>
      </c>
      <c r="C2867" s="45">
        <v>7.85</v>
      </c>
      <c r="D2867" s="4" t="s">
        <v>2912</v>
      </c>
      <c r="E2867" s="3" t="s">
        <v>11</v>
      </c>
      <c r="F2867" s="3">
        <v>2011</v>
      </c>
      <c r="G2867" s="3" t="s">
        <v>12</v>
      </c>
      <c r="H2867" s="3" t="s">
        <v>92</v>
      </c>
      <c r="I2867" s="3" t="s">
        <v>47</v>
      </c>
      <c r="J2867" s="97" t="s">
        <v>3454</v>
      </c>
    </row>
    <row r="2868" spans="1:10" ht="28.9" customHeight="1" thickTop="1" thickBot="1" x14ac:dyDescent="0.65">
      <c r="A2868" s="5">
        <v>2866</v>
      </c>
      <c r="B2868" s="46" t="str">
        <f>HYPERLINK("https://search.naver.com/search.naver?query=퀸 오브 데저트 영화", "퀸 오브 데저트")</f>
        <v>퀸 오브 데저트</v>
      </c>
      <c r="C2868" s="47">
        <v>7.9</v>
      </c>
      <c r="D2868" s="6" t="s">
        <v>2913</v>
      </c>
      <c r="E2868" s="5" t="s">
        <v>20</v>
      </c>
      <c r="F2868" s="5">
        <v>2015</v>
      </c>
      <c r="G2868" s="5" t="s">
        <v>12</v>
      </c>
      <c r="H2868" s="5" t="s">
        <v>17</v>
      </c>
      <c r="I2868" s="5" t="s">
        <v>108</v>
      </c>
      <c r="J2868" s="98" t="s">
        <v>3440</v>
      </c>
    </row>
    <row r="2869" spans="1:10" ht="28.9" customHeight="1" thickTop="1" thickBot="1" x14ac:dyDescent="0.65">
      <c r="A2869" s="7">
        <v>2867</v>
      </c>
      <c r="B2869" s="48" t="str">
        <f>HYPERLINK("https://search.naver.com/search.naver?query=퀸스겜빗 시즌1", "퀸스겜빗 시즌1")</f>
        <v>퀸스겜빗 시즌1</v>
      </c>
      <c r="C2869" s="49"/>
      <c r="D2869" s="8" t="s">
        <v>2914</v>
      </c>
      <c r="E2869" s="7" t="s">
        <v>20</v>
      </c>
      <c r="F2869" s="7">
        <v>2020</v>
      </c>
      <c r="G2869" s="7" t="s">
        <v>17</v>
      </c>
      <c r="H2869" s="7" t="s">
        <v>17</v>
      </c>
      <c r="I2869" s="7" t="s">
        <v>324</v>
      </c>
      <c r="J2869" s="99" t="s">
        <v>3436</v>
      </c>
    </row>
    <row r="2870" spans="1:10" ht="28.9" customHeight="1" thickTop="1" thickBot="1" x14ac:dyDescent="0.65">
      <c r="A2870" s="5">
        <v>2868</v>
      </c>
      <c r="B2870" s="46" t="str">
        <f>HYPERLINK("https://search.naver.com/search.naver?query=크게 될 놈 영화", "크게 될 놈")</f>
        <v>크게 될 놈</v>
      </c>
      <c r="C2870" s="47">
        <v>9.11</v>
      </c>
      <c r="D2870" s="6" t="s">
        <v>2915</v>
      </c>
      <c r="E2870" s="5" t="s">
        <v>11</v>
      </c>
      <c r="F2870" s="5">
        <v>2019</v>
      </c>
      <c r="G2870" s="5" t="s">
        <v>12</v>
      </c>
      <c r="H2870" s="5" t="s">
        <v>68</v>
      </c>
      <c r="I2870" s="5" t="s">
        <v>111</v>
      </c>
      <c r="J2870" s="98" t="s">
        <v>3444</v>
      </c>
    </row>
    <row r="2871" spans="1:10" ht="28.9" customHeight="1" thickTop="1" thickBot="1" x14ac:dyDescent="0.65">
      <c r="A2871" s="3">
        <v>2869</v>
      </c>
      <c r="B2871" s="44" t="str">
        <f>HYPERLINK("https://search.naver.com/search.naver?query=크라이 마초 영화", "크라이 마초")</f>
        <v>크라이 마초</v>
      </c>
      <c r="C2871" s="45">
        <v>7.86</v>
      </c>
      <c r="D2871" s="4" t="s">
        <v>2916</v>
      </c>
      <c r="E2871" s="3" t="s">
        <v>20</v>
      </c>
      <c r="F2871" s="3">
        <v>2021</v>
      </c>
      <c r="G2871" s="3" t="s">
        <v>12</v>
      </c>
      <c r="H2871" s="3" t="s">
        <v>17</v>
      </c>
      <c r="I2871" s="3" t="s">
        <v>170</v>
      </c>
      <c r="J2871" s="97" t="s">
        <v>3438</v>
      </c>
    </row>
    <row r="2872" spans="1:10" ht="28.9" customHeight="1" thickTop="1" thickBot="1" x14ac:dyDescent="0.65">
      <c r="A2872" s="5">
        <v>2870</v>
      </c>
      <c r="B2872" s="46" t="str">
        <f>HYPERLINK("https://search.naver.com/search.naver?query=크라이시스 영화", "크라이시스")</f>
        <v>크라이시스</v>
      </c>
      <c r="C2872" s="47">
        <v>7.62</v>
      </c>
      <c r="D2872" s="6" t="s">
        <v>2917</v>
      </c>
      <c r="E2872" s="5" t="s">
        <v>20</v>
      </c>
      <c r="F2872" s="5">
        <v>2021</v>
      </c>
      <c r="G2872" s="5" t="s">
        <v>12</v>
      </c>
      <c r="H2872" s="5" t="s">
        <v>92</v>
      </c>
      <c r="I2872" s="5" t="s">
        <v>221</v>
      </c>
      <c r="J2872" s="98" t="s">
        <v>3438</v>
      </c>
    </row>
    <row r="2873" spans="1:10" ht="28.9" customHeight="1" thickTop="1" thickBot="1" x14ac:dyDescent="0.65">
      <c r="A2873" s="5">
        <v>2871</v>
      </c>
      <c r="B2873" s="46" t="str">
        <f>HYPERLINK("https://search.naver.com/search.naver?query=크라임 101 영화", "크라임 101")</f>
        <v>크라임 101</v>
      </c>
      <c r="C2873" s="47">
        <v>7.46</v>
      </c>
      <c r="D2873" s="6" t="s">
        <v>2918</v>
      </c>
      <c r="E2873" s="5" t="s">
        <v>20</v>
      </c>
      <c r="F2873" s="5">
        <v>2026</v>
      </c>
      <c r="G2873" s="5" t="s">
        <v>12</v>
      </c>
      <c r="H2873" s="5" t="s">
        <v>277</v>
      </c>
      <c r="I2873" s="5" t="s">
        <v>550</v>
      </c>
      <c r="J2873" s="98" t="s">
        <v>2919</v>
      </c>
    </row>
    <row r="2874" spans="1:10" ht="28.9" customHeight="1" thickTop="1" thickBot="1" x14ac:dyDescent="0.65">
      <c r="A2874" s="7">
        <v>2872</v>
      </c>
      <c r="B2874" s="48" t="str">
        <f>HYPERLINK("https://search.naver.com/search.naver?query=크라임 퍼즐 드라마", "크라임 퍼즐")</f>
        <v>크라임 퍼즐</v>
      </c>
      <c r="C2874" s="49"/>
      <c r="D2874" s="8" t="s">
        <v>2920</v>
      </c>
      <c r="E2874" s="7" t="s">
        <v>11</v>
      </c>
      <c r="F2874" s="7">
        <v>2021</v>
      </c>
      <c r="G2874" s="7" t="s">
        <v>17</v>
      </c>
      <c r="H2874" s="7" t="s">
        <v>85</v>
      </c>
      <c r="I2874" s="7" t="s">
        <v>50</v>
      </c>
      <c r="J2874" s="99" t="s">
        <v>3438</v>
      </c>
    </row>
    <row r="2875" spans="1:10" ht="28.9" customHeight="1" thickTop="1" thickBot="1" x14ac:dyDescent="0.65">
      <c r="A2875" s="5">
        <v>2873</v>
      </c>
      <c r="B2875" s="46" t="str">
        <f>HYPERLINK("https://search.naver.com/search.naver?query=크래쉬 영화", "크래쉬")</f>
        <v>크래쉬</v>
      </c>
      <c r="C2875" s="47">
        <v>6.75</v>
      </c>
      <c r="D2875" s="6" t="s">
        <v>2921</v>
      </c>
      <c r="E2875" s="5" t="s">
        <v>20</v>
      </c>
      <c r="F2875" s="5">
        <v>2004</v>
      </c>
      <c r="G2875" s="5" t="s">
        <v>12</v>
      </c>
      <c r="H2875" s="5" t="s">
        <v>17</v>
      </c>
      <c r="I2875" s="5" t="s">
        <v>278</v>
      </c>
      <c r="J2875" s="98" t="s">
        <v>3462</v>
      </c>
    </row>
    <row r="2876" spans="1:10" ht="28.9" customHeight="1" thickTop="1" thickBot="1" x14ac:dyDescent="0.65">
      <c r="A2876" s="3">
        <v>2874</v>
      </c>
      <c r="B2876" s="44" t="str">
        <f>HYPERLINK("https://search.naver.com/search.naver?query=크래쉬 포인트 영화", "크래쉬 포인트")</f>
        <v>크래쉬 포인트</v>
      </c>
      <c r="C2876" s="45"/>
      <c r="D2876" s="4" t="s">
        <v>2922</v>
      </c>
      <c r="E2876" s="3" t="s">
        <v>20</v>
      </c>
      <c r="F2876" s="3">
        <v>2016</v>
      </c>
      <c r="G2876" s="3" t="s">
        <v>12</v>
      </c>
      <c r="H2876" s="3" t="s">
        <v>92</v>
      </c>
      <c r="I2876" s="3" t="s">
        <v>111</v>
      </c>
      <c r="J2876" s="97" t="s">
        <v>3441</v>
      </c>
    </row>
    <row r="2877" spans="1:10" ht="28.9" customHeight="1" thickTop="1" thickBot="1" x14ac:dyDescent="0.65">
      <c r="A2877" s="5">
        <v>2875</v>
      </c>
      <c r="B2877" s="46" t="str">
        <f>HYPERLINK("https://search.naver.com/search.naver?query=크레이지 리치 아시안 영화", "크레이지 리치 아시안")</f>
        <v>크레이지 리치 아시안</v>
      </c>
      <c r="C2877" s="47">
        <v>7.97</v>
      </c>
      <c r="D2877" s="6" t="s">
        <v>2923</v>
      </c>
      <c r="E2877" s="5" t="s">
        <v>20</v>
      </c>
      <c r="F2877" s="5">
        <v>2018</v>
      </c>
      <c r="G2877" s="5" t="s">
        <v>12</v>
      </c>
      <c r="H2877" s="5" t="s">
        <v>68</v>
      </c>
      <c r="I2877" s="5" t="s">
        <v>86</v>
      </c>
      <c r="J2877" s="98" t="s">
        <v>3442</v>
      </c>
    </row>
    <row r="2878" spans="1:10" ht="28.9" customHeight="1" thickTop="1" thickBot="1" x14ac:dyDescent="0.65">
      <c r="A2878" s="3">
        <v>2876</v>
      </c>
      <c r="B2878" s="44" t="str">
        <f>HYPERLINK("https://search.naver.com/search.naver?query=크로니클 영화", "크로니클")</f>
        <v>크로니클</v>
      </c>
      <c r="C2878" s="45">
        <v>7.62</v>
      </c>
      <c r="D2878" s="4" t="s">
        <v>2924</v>
      </c>
      <c r="E2878" s="3" t="s">
        <v>20</v>
      </c>
      <c r="F2878" s="3">
        <v>2012</v>
      </c>
      <c r="G2878" s="3" t="s">
        <v>12</v>
      </c>
      <c r="H2878" s="3" t="s">
        <v>520</v>
      </c>
      <c r="I2878" s="3" t="s">
        <v>952</v>
      </c>
      <c r="J2878" s="97" t="s">
        <v>3439</v>
      </c>
    </row>
    <row r="2879" spans="1:10" ht="28.9" customHeight="1" thickTop="1" thickBot="1" x14ac:dyDescent="0.65">
      <c r="A2879" s="5">
        <v>2877</v>
      </c>
      <c r="B2879" s="46" t="str">
        <f>HYPERLINK("https://search.naver.com/search.naver?query=크로스 영화", "크로스")</f>
        <v>크로스</v>
      </c>
      <c r="C2879" s="47">
        <v>6.33</v>
      </c>
      <c r="D2879" s="6" t="s">
        <v>2925</v>
      </c>
      <c r="E2879" s="5" t="s">
        <v>11</v>
      </c>
      <c r="F2879" s="5">
        <v>2024</v>
      </c>
      <c r="G2879" s="5" t="s">
        <v>12</v>
      </c>
      <c r="H2879" s="5" t="s">
        <v>92</v>
      </c>
      <c r="I2879" s="5" t="s">
        <v>128</v>
      </c>
      <c r="J2879" s="98" t="s">
        <v>3448</v>
      </c>
    </row>
    <row r="2880" spans="1:10" ht="28.9" customHeight="1" thickTop="1" thickBot="1" x14ac:dyDescent="0.65">
      <c r="A2880" s="3">
        <v>2878</v>
      </c>
      <c r="B2880" s="44" t="str">
        <f>HYPERLINK("https://search.naver.com/search.naver?query=크로싱 오버 영화", "크로싱 오버")</f>
        <v>크로싱 오버</v>
      </c>
      <c r="C2880" s="45">
        <v>7.54</v>
      </c>
      <c r="D2880" s="4" t="s">
        <v>2926</v>
      </c>
      <c r="E2880" s="3" t="s">
        <v>20</v>
      </c>
      <c r="F2880" s="3">
        <v>2009</v>
      </c>
      <c r="G2880" s="3" t="s">
        <v>12</v>
      </c>
      <c r="H2880" s="3" t="s">
        <v>17</v>
      </c>
      <c r="I2880" s="3" t="s">
        <v>73</v>
      </c>
      <c r="J2880" s="97" t="s">
        <v>3453</v>
      </c>
    </row>
    <row r="2881" spans="1:10" ht="28.9" customHeight="1" thickTop="1" thickBot="1" x14ac:dyDescent="0.65">
      <c r="A2881" s="5">
        <v>2879</v>
      </c>
      <c r="B2881" s="46" t="str">
        <f>HYPERLINK("https://search.naver.com/search.naver?query=크로즈 썸 영화", "크로즈 썸")</f>
        <v>크로즈 썸</v>
      </c>
      <c r="C2881" s="47">
        <v>6.4</v>
      </c>
      <c r="D2881" s="6" t="s">
        <v>2927</v>
      </c>
      <c r="E2881" s="5" t="s">
        <v>20</v>
      </c>
      <c r="F2881" s="5">
        <v>2012</v>
      </c>
      <c r="G2881" s="5" t="s">
        <v>12</v>
      </c>
      <c r="H2881" s="5" t="s">
        <v>17</v>
      </c>
      <c r="I2881" s="5" t="s">
        <v>111</v>
      </c>
      <c r="J2881" s="98" t="s">
        <v>3439</v>
      </c>
    </row>
    <row r="2882" spans="1:10" ht="28.9" customHeight="1" thickTop="1" thickBot="1" x14ac:dyDescent="0.65">
      <c r="A2882" s="3">
        <v>2880</v>
      </c>
      <c r="B2882" s="44" t="str">
        <f>HYPERLINK("https://search.naver.com/search.naver?query=크롤 영화", "크롤")</f>
        <v>크롤</v>
      </c>
      <c r="C2882" s="45">
        <v>6.4</v>
      </c>
      <c r="D2882" s="4" t="s">
        <v>2928</v>
      </c>
      <c r="E2882" s="3" t="s">
        <v>20</v>
      </c>
      <c r="F2882" s="3">
        <v>2019</v>
      </c>
      <c r="G2882" s="3" t="s">
        <v>12</v>
      </c>
      <c r="H2882" s="3" t="s">
        <v>252</v>
      </c>
      <c r="I2882" s="3" t="s">
        <v>625</v>
      </c>
      <c r="J2882" s="97" t="s">
        <v>3444</v>
      </c>
    </row>
    <row r="2883" spans="1:10" ht="28.9" customHeight="1" thickTop="1" thickBot="1" x14ac:dyDescent="0.65">
      <c r="A2883" s="5">
        <v>2881</v>
      </c>
      <c r="B2883" s="46" t="str">
        <f>HYPERLINK("https://search.naver.com/search.naver?query=크루엘라 영화", "크루엘라")</f>
        <v>크루엘라</v>
      </c>
      <c r="C2883" s="47">
        <v>9.19</v>
      </c>
      <c r="D2883" s="6" t="s">
        <v>2929</v>
      </c>
      <c r="E2883" s="5" t="s">
        <v>20</v>
      </c>
      <c r="F2883" s="5">
        <v>2021</v>
      </c>
      <c r="G2883" s="5" t="s">
        <v>12</v>
      </c>
      <c r="H2883" s="5" t="s">
        <v>68</v>
      </c>
      <c r="I2883" s="5" t="s">
        <v>543</v>
      </c>
      <c r="J2883" s="98" t="s">
        <v>3438</v>
      </c>
    </row>
    <row r="2884" spans="1:10" ht="28.9" customHeight="1" thickTop="1" thickBot="1" x14ac:dyDescent="0.65">
      <c r="A2884" s="3">
        <v>2882</v>
      </c>
      <c r="B2884" s="44" t="str">
        <f>HYPERLINK("https://search.naver.com/search.naver?query=크리드 영화", "크리드")</f>
        <v>크리드</v>
      </c>
      <c r="C2884" s="45">
        <v>7.61</v>
      </c>
      <c r="D2884" s="4" t="s">
        <v>2930</v>
      </c>
      <c r="E2884" s="3" t="s">
        <v>20</v>
      </c>
      <c r="F2884" s="3">
        <v>2015</v>
      </c>
      <c r="G2884" s="3" t="s">
        <v>12</v>
      </c>
      <c r="H2884" s="3" t="s">
        <v>17</v>
      </c>
      <c r="I2884" s="3" t="s">
        <v>83</v>
      </c>
      <c r="J2884" s="97" t="s">
        <v>3440</v>
      </c>
    </row>
    <row r="2885" spans="1:10" ht="28.9" customHeight="1" thickTop="1" thickBot="1" x14ac:dyDescent="0.65">
      <c r="A2885" s="5">
        <v>2883</v>
      </c>
      <c r="B2885" s="46" t="str">
        <f>HYPERLINK("https://search.naver.com/search.naver?query=크리드2 영화", "크리드2")</f>
        <v>크리드2</v>
      </c>
      <c r="C2885" s="47">
        <v>9.3000000000000007</v>
      </c>
      <c r="D2885" s="6" t="s">
        <v>2931</v>
      </c>
      <c r="E2885" s="5" t="s">
        <v>20</v>
      </c>
      <c r="F2885" s="5">
        <v>2018</v>
      </c>
      <c r="G2885" s="5" t="s">
        <v>12</v>
      </c>
      <c r="H2885" s="5" t="s">
        <v>17</v>
      </c>
      <c r="I2885" s="5" t="s">
        <v>34</v>
      </c>
      <c r="J2885" s="98" t="s">
        <v>3442</v>
      </c>
    </row>
    <row r="2886" spans="1:10" ht="28.9" customHeight="1" thickTop="1" thickBot="1" x14ac:dyDescent="0.65">
      <c r="A2886" s="3">
        <v>2884</v>
      </c>
      <c r="B2886" s="44" t="str">
        <f>HYPERLINK("https://search.naver.com/search.naver?query=크리마스에 날아갑니다", "크리마스에 날아갑니다")</f>
        <v>크리마스에 날아갑니다</v>
      </c>
      <c r="C2886" s="45">
        <v>7</v>
      </c>
      <c r="D2886" s="4" t="s">
        <v>2932</v>
      </c>
      <c r="E2886" s="3" t="s">
        <v>20</v>
      </c>
      <c r="F2886" s="3">
        <v>2020</v>
      </c>
      <c r="G2886" s="3" t="s">
        <v>12</v>
      </c>
      <c r="H2886" s="3" t="s">
        <v>17</v>
      </c>
      <c r="I2886" s="3" t="s">
        <v>111</v>
      </c>
      <c r="J2886" s="97" t="s">
        <v>3436</v>
      </c>
    </row>
    <row r="2887" spans="1:10" ht="28.9" customHeight="1" thickTop="1" thickBot="1" x14ac:dyDescent="0.65">
      <c r="A2887" s="5">
        <v>2885</v>
      </c>
      <c r="B2887" s="46" t="str">
        <f>HYPERLINK("https://search.naver.com/search.naver?query=크리미널 영화", "크리미널")</f>
        <v>크리미널</v>
      </c>
      <c r="C2887" s="47">
        <v>8.14</v>
      </c>
      <c r="D2887" s="6" t="s">
        <v>2933</v>
      </c>
      <c r="E2887" s="5" t="s">
        <v>20</v>
      </c>
      <c r="F2887" s="5">
        <v>2016</v>
      </c>
      <c r="G2887" s="5" t="s">
        <v>12</v>
      </c>
      <c r="H2887" s="5" t="s">
        <v>92</v>
      </c>
      <c r="I2887" s="5" t="s">
        <v>73</v>
      </c>
      <c r="J2887" s="98" t="s">
        <v>3441</v>
      </c>
    </row>
    <row r="2888" spans="1:10" ht="28.9" customHeight="1" thickTop="1" thickBot="1" x14ac:dyDescent="0.65">
      <c r="A2888" s="3">
        <v>2886</v>
      </c>
      <c r="B2888" s="44" t="str">
        <f>HYPERLINK("https://search.naver.com/search.naver?query=크리미널 스쿼드 영화", "크리미널 스쿼드")</f>
        <v>크리미널 스쿼드</v>
      </c>
      <c r="C2888" s="45">
        <v>5.92</v>
      </c>
      <c r="D2888" s="4" t="s">
        <v>2934</v>
      </c>
      <c r="E2888" s="3" t="s">
        <v>20</v>
      </c>
      <c r="F2888" s="3">
        <v>2018</v>
      </c>
      <c r="G2888" s="3" t="s">
        <v>12</v>
      </c>
      <c r="H2888" s="3" t="s">
        <v>92</v>
      </c>
      <c r="I2888" s="3" t="s">
        <v>111</v>
      </c>
      <c r="J2888" s="97" t="s">
        <v>3442</v>
      </c>
    </row>
    <row r="2889" spans="1:10" ht="28.9" customHeight="1" thickTop="1" thickBot="1" x14ac:dyDescent="0.65">
      <c r="A2889" s="5">
        <v>2887</v>
      </c>
      <c r="B2889" s="46" t="str">
        <f>HYPERLINK("https://search.naver.com/search.naver?query=크리미널 액티비티즈 영화", "크리미널 액티비티즈")</f>
        <v>크리미널 액티비티즈</v>
      </c>
      <c r="C2889" s="47">
        <v>6.4</v>
      </c>
      <c r="D2889" s="6" t="s">
        <v>2935</v>
      </c>
      <c r="E2889" s="5" t="s">
        <v>20</v>
      </c>
      <c r="F2889" s="5">
        <v>2015</v>
      </c>
      <c r="G2889" s="5" t="s">
        <v>12</v>
      </c>
      <c r="H2889" s="5" t="s">
        <v>277</v>
      </c>
      <c r="I2889" s="5" t="s">
        <v>300</v>
      </c>
      <c r="J2889" s="98" t="s">
        <v>3440</v>
      </c>
    </row>
    <row r="2890" spans="1:10" ht="28.9" customHeight="1" thickTop="1" thickBot="1" x14ac:dyDescent="0.65">
      <c r="A2890" s="3">
        <v>2888</v>
      </c>
      <c r="B2890" s="44" t="str">
        <f>HYPERLINK("https://search.naver.com/search.naver?query=크리스마스 스위치 한 번 더 바꿔 영화", "크리스마스 스위치-한 번 더 바꿔")</f>
        <v>크리스마스 스위치-한 번 더 바꿔</v>
      </c>
      <c r="C2890" s="45">
        <v>5.67</v>
      </c>
      <c r="D2890" s="4" t="s">
        <v>2936</v>
      </c>
      <c r="E2890" s="3" t="s">
        <v>20</v>
      </c>
      <c r="F2890" s="3">
        <v>2020</v>
      </c>
      <c r="G2890" s="3" t="s">
        <v>12</v>
      </c>
      <c r="H2890" s="3" t="s">
        <v>68</v>
      </c>
      <c r="I2890" s="3" t="s">
        <v>111</v>
      </c>
      <c r="J2890" s="97" t="s">
        <v>3436</v>
      </c>
    </row>
    <row r="2891" spans="1:10" ht="28.9" customHeight="1" thickTop="1" thickBot="1" x14ac:dyDescent="0.65">
      <c r="A2891" s="5">
        <v>2889</v>
      </c>
      <c r="B2891" s="46" t="str">
        <f>HYPERLINK("https://search.naver.com/search.naver?query=크리스마스 인 아프리카 영화", "크리스마스 인 아프리카")</f>
        <v>크리스마스 인 아프리카</v>
      </c>
      <c r="C2891" s="47">
        <v>8</v>
      </c>
      <c r="D2891" s="6" t="s">
        <v>2937</v>
      </c>
      <c r="E2891" s="5" t="s">
        <v>1316</v>
      </c>
      <c r="F2891" s="5">
        <v>2019</v>
      </c>
      <c r="G2891" s="5" t="s">
        <v>12</v>
      </c>
      <c r="H2891" s="5" t="s">
        <v>68</v>
      </c>
      <c r="I2891" s="5" t="s">
        <v>111</v>
      </c>
      <c r="J2891" s="98" t="s">
        <v>3444</v>
      </c>
    </row>
    <row r="2892" spans="1:10" ht="28.9" customHeight="1" thickTop="1" thickBot="1" x14ac:dyDescent="0.65">
      <c r="A2892" s="3">
        <v>2890</v>
      </c>
      <c r="B2892" s="44" t="str">
        <f>HYPERLINK("https://search.naver.com/search.naver?query=크리스마스에 기사가 올까요 영화", "크리스마스에 기사가 올까요")</f>
        <v>크리스마스에 기사가 올까요</v>
      </c>
      <c r="C2892" s="45">
        <v>6.4</v>
      </c>
      <c r="D2892" s="4" t="s">
        <v>2938</v>
      </c>
      <c r="E2892" s="3" t="s">
        <v>189</v>
      </c>
      <c r="F2892" s="3">
        <v>2019</v>
      </c>
      <c r="G2892" s="3" t="s">
        <v>12</v>
      </c>
      <c r="H2892" s="3" t="s">
        <v>68</v>
      </c>
      <c r="I2892" s="3" t="s">
        <v>115</v>
      </c>
      <c r="J2892" s="97" t="s">
        <v>3444</v>
      </c>
    </row>
    <row r="2893" spans="1:10" ht="28.9" customHeight="1" thickTop="1" thickBot="1" x14ac:dyDescent="0.65">
      <c r="A2893" s="5">
        <v>2891</v>
      </c>
      <c r="B2893" s="46" t="str">
        <f>HYPERLINK("https://search.naver.com/search.naver?query=크리피 일가족 연쇄 실종 사건 영화", "크리피 - 일가족 연쇄 실종 사건")</f>
        <v>크리피 - 일가족 연쇄 실종 사건</v>
      </c>
      <c r="C2893" s="47">
        <v>6.48</v>
      </c>
      <c r="D2893" s="6" t="s">
        <v>2939</v>
      </c>
      <c r="E2893" s="5" t="s">
        <v>16</v>
      </c>
      <c r="F2893" s="5">
        <v>2016</v>
      </c>
      <c r="G2893" s="5" t="s">
        <v>12</v>
      </c>
      <c r="H2893" s="5" t="s">
        <v>252</v>
      </c>
      <c r="I2893" s="5" t="s">
        <v>34</v>
      </c>
      <c r="J2893" s="98" t="s">
        <v>3441</v>
      </c>
    </row>
    <row r="2894" spans="1:10" ht="28.9" customHeight="1" thickTop="1" thickBot="1" x14ac:dyDescent="0.65">
      <c r="A2894" s="3">
        <v>2892</v>
      </c>
      <c r="B2894" s="44" t="str">
        <f>HYPERLINK("https://search.naver.com/search.naver?query=클라우드 아틀라스 영화", "클라우드 아틀라스")</f>
        <v>클라우드 아틀라스</v>
      </c>
      <c r="C2894" s="45">
        <v>8.25</v>
      </c>
      <c r="D2894" s="4" t="s">
        <v>2940</v>
      </c>
      <c r="E2894" s="3" t="s">
        <v>101</v>
      </c>
      <c r="F2894" s="3">
        <v>2012</v>
      </c>
      <c r="G2894" s="3" t="s">
        <v>12</v>
      </c>
      <c r="H2894" s="3" t="s">
        <v>520</v>
      </c>
      <c r="I2894" s="3" t="s">
        <v>2941</v>
      </c>
      <c r="J2894" s="97" t="s">
        <v>3439</v>
      </c>
    </row>
    <row r="2895" spans="1:10" ht="28.9" customHeight="1" thickTop="1" thickBot="1" x14ac:dyDescent="0.65">
      <c r="A2895" s="5">
        <v>2893</v>
      </c>
      <c r="B2895" s="46" t="str">
        <f>HYPERLINK("https://search.naver.com/search.naver?query=클라우즈 오브 실스마리아 영화", "클라우즈 오브 실스마리아")</f>
        <v>클라우즈 오브 실스마리아</v>
      </c>
      <c r="C2895" s="47">
        <v>8.32</v>
      </c>
      <c r="D2895" s="6" t="s">
        <v>2942</v>
      </c>
      <c r="E2895" s="5" t="s">
        <v>210</v>
      </c>
      <c r="F2895" s="5">
        <v>2014</v>
      </c>
      <c r="G2895" s="5" t="s">
        <v>12</v>
      </c>
      <c r="H2895" s="5" t="s">
        <v>17</v>
      </c>
      <c r="I2895" s="5" t="s">
        <v>134</v>
      </c>
      <c r="J2895" s="98" t="s">
        <v>3437</v>
      </c>
    </row>
    <row r="2896" spans="1:10" ht="28.9" customHeight="1" thickTop="1" thickBot="1" x14ac:dyDescent="0.65">
      <c r="A2896" s="3">
        <v>2894</v>
      </c>
      <c r="B2896" s="44" t="str">
        <f>HYPERLINK("https://search.naver.com/search.naver?query=클라이머즈 하이 영화", "클라이머즈 하이")</f>
        <v>클라이머즈 하이</v>
      </c>
      <c r="C2896" s="45">
        <v>6.4</v>
      </c>
      <c r="D2896" s="4" t="s">
        <v>2943</v>
      </c>
      <c r="E2896" s="3" t="s">
        <v>16</v>
      </c>
      <c r="F2896" s="3">
        <v>2008</v>
      </c>
      <c r="G2896" s="3" t="s">
        <v>12</v>
      </c>
      <c r="H2896" s="3" t="s">
        <v>17</v>
      </c>
      <c r="I2896" s="3" t="s">
        <v>111</v>
      </c>
      <c r="J2896" s="97" t="s">
        <v>3450</v>
      </c>
    </row>
    <row r="2897" spans="1:10" ht="28.9" customHeight="1" thickTop="1" thickBot="1" x14ac:dyDescent="0.65">
      <c r="A2897" s="5">
        <v>2895</v>
      </c>
      <c r="B2897" s="46" t="str">
        <f>HYPERLINK("https://search.naver.com/search.naver?query=클래식 영화", "클래식")</f>
        <v>클래식</v>
      </c>
      <c r="C2897" s="47">
        <v>4.95</v>
      </c>
      <c r="D2897" s="6" t="s">
        <v>2944</v>
      </c>
      <c r="E2897" s="5" t="s">
        <v>11</v>
      </c>
      <c r="F2897" s="5">
        <v>2003</v>
      </c>
      <c r="G2897" s="5" t="s">
        <v>12</v>
      </c>
      <c r="H2897" s="5" t="s">
        <v>121</v>
      </c>
      <c r="I2897" s="5" t="s">
        <v>150</v>
      </c>
      <c r="J2897" s="98" t="s">
        <v>3449</v>
      </c>
    </row>
    <row r="2898" spans="1:10" ht="28.9" customHeight="1" thickTop="1" thickBot="1" x14ac:dyDescent="0.65">
      <c r="A2898" s="3">
        <v>2896</v>
      </c>
      <c r="B2898" s="44" t="str">
        <f>HYPERLINK("https://search.naver.com/search.naver?query=클랜 영화", "클랜")</f>
        <v>클랜</v>
      </c>
      <c r="C2898" s="45">
        <v>8.3699999999999992</v>
      </c>
      <c r="D2898" s="4" t="s">
        <v>2945</v>
      </c>
      <c r="E2898" s="3" t="s">
        <v>2285</v>
      </c>
      <c r="F2898" s="3">
        <v>2015</v>
      </c>
      <c r="G2898" s="3" t="s">
        <v>12</v>
      </c>
      <c r="H2898" s="3" t="s">
        <v>277</v>
      </c>
      <c r="I2898" s="3" t="s">
        <v>96</v>
      </c>
      <c r="J2898" s="97" t="s">
        <v>3440</v>
      </c>
    </row>
    <row r="2899" spans="1:10" ht="28.9" customHeight="1" thickTop="1" thickBot="1" x14ac:dyDescent="0.65">
      <c r="A2899" s="5">
        <v>2897</v>
      </c>
      <c r="B2899" s="46" t="str">
        <f>HYPERLINK("https://search.naver.com/search.naver?query=클레멘시 영화", "클레멘시")</f>
        <v>클레멘시</v>
      </c>
      <c r="C2899" s="47"/>
      <c r="D2899" s="6" t="s">
        <v>2946</v>
      </c>
      <c r="E2899" s="5" t="s">
        <v>20</v>
      </c>
      <c r="F2899" s="5">
        <v>2019</v>
      </c>
      <c r="G2899" s="5" t="s">
        <v>12</v>
      </c>
      <c r="H2899" s="5" t="s">
        <v>17</v>
      </c>
      <c r="I2899" s="5" t="s">
        <v>73</v>
      </c>
      <c r="J2899" s="98" t="s">
        <v>3444</v>
      </c>
    </row>
    <row r="2900" spans="1:10" ht="28.9" customHeight="1" thickTop="1" thickBot="1" x14ac:dyDescent="0.65">
      <c r="A2900" s="3">
        <v>2898</v>
      </c>
      <c r="B2900" s="44" t="str">
        <f>HYPERLINK("https://search.naver.com/search.naver?query=클로버필드 패러독스", "클로버필드 패러독스")</f>
        <v>클로버필드 패러독스</v>
      </c>
      <c r="C2900" s="45">
        <v>4.01</v>
      </c>
      <c r="D2900" s="4" t="s">
        <v>2947</v>
      </c>
      <c r="E2900" s="3" t="s">
        <v>20</v>
      </c>
      <c r="F2900" s="3">
        <v>2018</v>
      </c>
      <c r="G2900" s="3" t="s">
        <v>12</v>
      </c>
      <c r="H2900" s="3" t="s">
        <v>252</v>
      </c>
      <c r="I2900" s="3" t="s">
        <v>99</v>
      </c>
      <c r="J2900" s="97" t="s">
        <v>3442</v>
      </c>
    </row>
    <row r="2901" spans="1:10" ht="28.9" customHeight="1" thickTop="1" thickBot="1" x14ac:dyDescent="0.65">
      <c r="A2901" s="5">
        <v>2899</v>
      </c>
      <c r="B2901" s="46" t="str">
        <f>HYPERLINK("https://search.naver.com/search.naver?query=클로이 영화", "클로이")</f>
        <v>클로이</v>
      </c>
      <c r="C2901" s="47">
        <v>7.85</v>
      </c>
      <c r="D2901" s="6" t="s">
        <v>2948</v>
      </c>
      <c r="E2901" s="5" t="s">
        <v>189</v>
      </c>
      <c r="F2901" s="5">
        <v>2009</v>
      </c>
      <c r="G2901" s="5" t="s">
        <v>12</v>
      </c>
      <c r="H2901" s="5" t="s">
        <v>17</v>
      </c>
      <c r="I2901" s="5" t="s">
        <v>61</v>
      </c>
      <c r="J2901" s="98" t="s">
        <v>3453</v>
      </c>
    </row>
    <row r="2902" spans="1:10" ht="28.9" customHeight="1" thickTop="1" thickBot="1" x14ac:dyDescent="0.65">
      <c r="A2902" s="3">
        <v>2900</v>
      </c>
      <c r="B2902" s="44" t="str">
        <f>HYPERLINK("https://search.naver.com/search.naver?query=클로저 영화", "클로저")</f>
        <v>클로저</v>
      </c>
      <c r="C2902" s="45">
        <v>8.18</v>
      </c>
      <c r="D2902" s="4" t="s">
        <v>2949</v>
      </c>
      <c r="E2902" s="3" t="s">
        <v>20</v>
      </c>
      <c r="F2902" s="3">
        <v>2004</v>
      </c>
      <c r="G2902" s="3" t="s">
        <v>12</v>
      </c>
      <c r="H2902" s="3" t="s">
        <v>17</v>
      </c>
      <c r="I2902" s="3" t="s">
        <v>170</v>
      </c>
      <c r="J2902" s="97" t="s">
        <v>3462</v>
      </c>
    </row>
    <row r="2903" spans="1:10" ht="28.9" customHeight="1" thickTop="1" thickBot="1" x14ac:dyDescent="0.65">
      <c r="A2903" s="5">
        <v>2901</v>
      </c>
      <c r="B2903" s="46" t="str">
        <f>HYPERLINK("https://search.naver.com/search.naver?query=클로젯 영화", "클로젯")</f>
        <v>클로젯</v>
      </c>
      <c r="C2903" s="47">
        <v>8.14</v>
      </c>
      <c r="D2903" s="6" t="s">
        <v>2950</v>
      </c>
      <c r="E2903" s="5" t="s">
        <v>11</v>
      </c>
      <c r="F2903" s="5">
        <v>2020</v>
      </c>
      <c r="G2903" s="5" t="s">
        <v>12</v>
      </c>
      <c r="H2903" s="5" t="s">
        <v>252</v>
      </c>
      <c r="I2903" s="5" t="s">
        <v>124</v>
      </c>
      <c r="J2903" s="98" t="s">
        <v>3436</v>
      </c>
    </row>
    <row r="2904" spans="1:10" ht="28.9" customHeight="1" thickTop="1" thickBot="1" x14ac:dyDescent="0.65">
      <c r="A2904" s="3">
        <v>2902</v>
      </c>
      <c r="B2904" s="44" t="str">
        <f>HYPERLINK("https://search.naver.com/search.naver?query=클로즈 영화", "클로즈")</f>
        <v>클로즈</v>
      </c>
      <c r="C2904" s="45">
        <v>7.88</v>
      </c>
      <c r="D2904" s="4" t="s">
        <v>2951</v>
      </c>
      <c r="E2904" s="3" t="s">
        <v>853</v>
      </c>
      <c r="F2904" s="3">
        <v>2019</v>
      </c>
      <c r="G2904" s="3" t="s">
        <v>12</v>
      </c>
      <c r="H2904" s="3" t="s">
        <v>92</v>
      </c>
      <c r="I2904" s="3" t="s">
        <v>111</v>
      </c>
      <c r="J2904" s="97" t="s">
        <v>3444</v>
      </c>
    </row>
    <row r="2905" spans="1:10" ht="28.9" customHeight="1" thickTop="1" thickBot="1" x14ac:dyDescent="0.65">
      <c r="A2905" s="5">
        <v>2903</v>
      </c>
      <c r="B2905" s="46" t="str">
        <f>HYPERLINK("https://search.naver.com/search.naver?query=클로즈드 노트 영화", "클로즈드 노트")</f>
        <v>클로즈드 노트</v>
      </c>
      <c r="C2905" s="47">
        <v>7.8</v>
      </c>
      <c r="D2905" s="6" t="s">
        <v>2952</v>
      </c>
      <c r="E2905" s="5" t="s">
        <v>16</v>
      </c>
      <c r="F2905" s="5">
        <v>2007</v>
      </c>
      <c r="G2905" s="5" t="s">
        <v>12</v>
      </c>
      <c r="H2905" s="5" t="s">
        <v>17</v>
      </c>
      <c r="I2905" s="5" t="s">
        <v>305</v>
      </c>
      <c r="J2905" s="98" t="s">
        <v>3447</v>
      </c>
    </row>
    <row r="2906" spans="1:10" ht="28.9" customHeight="1" thickTop="1" thickBot="1" x14ac:dyDescent="0.65">
      <c r="A2906" s="3">
        <v>2904</v>
      </c>
      <c r="B2906" s="44" t="str">
        <f>HYPERLINK("https://search.naver.com/search.naver?query=클리너 영화", "클리너")</f>
        <v>클리너</v>
      </c>
      <c r="C2906" s="45">
        <v>4.17</v>
      </c>
      <c r="D2906" s="4" t="s">
        <v>2953</v>
      </c>
      <c r="E2906" s="3" t="s">
        <v>20</v>
      </c>
      <c r="F2906" s="3">
        <v>2007</v>
      </c>
      <c r="G2906" s="3" t="s">
        <v>12</v>
      </c>
      <c r="H2906" s="3" t="s">
        <v>92</v>
      </c>
      <c r="I2906" s="3" t="s">
        <v>231</v>
      </c>
      <c r="J2906" s="97" t="s">
        <v>3447</v>
      </c>
    </row>
    <row r="2907" spans="1:10" ht="28.9" customHeight="1" thickTop="1" thickBot="1" x14ac:dyDescent="0.65">
      <c r="A2907" s="5">
        <v>2905</v>
      </c>
      <c r="B2907" s="46" t="str">
        <f>HYPERLINK("https://search.naver.com/search.naver?query=클릭 영화", "클릭")</f>
        <v>클릭</v>
      </c>
      <c r="C2907" s="47">
        <v>9.14</v>
      </c>
      <c r="D2907" s="6" t="s">
        <v>2954</v>
      </c>
      <c r="E2907" s="5" t="s">
        <v>20</v>
      </c>
      <c r="F2907" s="5">
        <v>2006</v>
      </c>
      <c r="G2907" s="5" t="s">
        <v>12</v>
      </c>
      <c r="H2907" s="5" t="s">
        <v>68</v>
      </c>
      <c r="I2907" s="5" t="s">
        <v>75</v>
      </c>
      <c r="J2907" s="98" t="s">
        <v>3460</v>
      </c>
    </row>
    <row r="2908" spans="1:10" ht="28.9" customHeight="1" thickTop="1" thickBot="1" x14ac:dyDescent="0.65">
      <c r="A2908" s="3">
        <v>2906</v>
      </c>
      <c r="B2908" s="44" t="str">
        <f>HYPERLINK("https://search.naver.com/search.naver?query=키드내핑 프레디 하이네켄", "키드내핑 프레디 하이네켄")</f>
        <v>키드내핑 프레디 하이네켄</v>
      </c>
      <c r="C2908" s="45">
        <v>6.47</v>
      </c>
      <c r="D2908" s="4" t="s">
        <v>2955</v>
      </c>
      <c r="E2908" s="3" t="s">
        <v>853</v>
      </c>
      <c r="F2908" s="3">
        <v>2015</v>
      </c>
      <c r="G2908" s="3" t="s">
        <v>12</v>
      </c>
      <c r="H2908" s="3" t="s">
        <v>277</v>
      </c>
      <c r="I2908" s="3" t="s">
        <v>111</v>
      </c>
      <c r="J2908" s="97" t="s">
        <v>3440</v>
      </c>
    </row>
    <row r="2909" spans="1:10" ht="28.9" customHeight="1" thickTop="1" thickBot="1" x14ac:dyDescent="0.65">
      <c r="A2909" s="5">
        <v>2907</v>
      </c>
      <c r="B2909" s="46" t="str">
        <f>HYPERLINK("https://search.naver.com/search.naver?query=키드냅 영화", "키드냅")</f>
        <v>키드냅</v>
      </c>
      <c r="C2909" s="47">
        <v>6.51</v>
      </c>
      <c r="D2909" s="6" t="s">
        <v>2956</v>
      </c>
      <c r="E2909" s="5" t="s">
        <v>20</v>
      </c>
      <c r="F2909" s="5">
        <v>2017</v>
      </c>
      <c r="G2909" s="5" t="s">
        <v>12</v>
      </c>
      <c r="H2909" s="5" t="s">
        <v>92</v>
      </c>
      <c r="I2909" s="5" t="s">
        <v>300</v>
      </c>
      <c r="J2909" s="98" t="s">
        <v>3443</v>
      </c>
    </row>
    <row r="2910" spans="1:10" ht="28.9" customHeight="1" thickTop="1" thickBot="1" x14ac:dyDescent="0.65">
      <c r="A2910" s="3">
        <v>2908</v>
      </c>
      <c r="B2910" s="44" t="str">
        <f>HYPERLINK("https://search.naver.com/search.naver?query=키사라기 미키짱 영화", "키사라기 미키짱")</f>
        <v>키사라기 미키짱</v>
      </c>
      <c r="C2910" s="45">
        <v>8.57</v>
      </c>
      <c r="D2910" s="4" t="s">
        <v>2957</v>
      </c>
      <c r="E2910" s="3" t="s">
        <v>16</v>
      </c>
      <c r="F2910" s="3">
        <v>2007</v>
      </c>
      <c r="G2910" s="3" t="s">
        <v>12</v>
      </c>
      <c r="H2910" s="3" t="s">
        <v>68</v>
      </c>
      <c r="I2910" s="3" t="s">
        <v>31</v>
      </c>
      <c r="J2910" s="97" t="s">
        <v>3447</v>
      </c>
    </row>
    <row r="2911" spans="1:10" ht="28.9" customHeight="1" thickTop="1" thickBot="1" x14ac:dyDescent="0.65">
      <c r="A2911" s="5">
        <v>2909</v>
      </c>
      <c r="B2911" s="46" t="str">
        <f>HYPERLINK("https://search.naver.com/search.naver?query=키퍼스 영화", "키퍼스")</f>
        <v>키퍼스</v>
      </c>
      <c r="C2911" s="47">
        <v>6.55</v>
      </c>
      <c r="D2911" s="6" t="s">
        <v>2958</v>
      </c>
      <c r="E2911" s="5" t="s">
        <v>20</v>
      </c>
      <c r="F2911" s="5">
        <v>2018</v>
      </c>
      <c r="G2911" s="5" t="s">
        <v>12</v>
      </c>
      <c r="H2911" s="5" t="s">
        <v>17</v>
      </c>
      <c r="I2911" s="5" t="s">
        <v>111</v>
      </c>
      <c r="J2911" s="98" t="s">
        <v>3442</v>
      </c>
    </row>
    <row r="2912" spans="1:10" ht="28.9" customHeight="1" thickTop="1" thickBot="1" x14ac:dyDescent="0.65">
      <c r="A2912" s="3">
        <v>2910</v>
      </c>
      <c r="B2912" s="44" t="str">
        <f>HYPERLINK("https://search.naver.com/search.naver?query=킬 유어 달링스 영화", "킬 유어 달링스")</f>
        <v>킬 유어 달링스</v>
      </c>
      <c r="C2912" s="45">
        <v>6.4</v>
      </c>
      <c r="D2912" s="4" t="s">
        <v>2959</v>
      </c>
      <c r="E2912" s="3" t="s">
        <v>20</v>
      </c>
      <c r="F2912" s="3">
        <v>2013</v>
      </c>
      <c r="G2912" s="3" t="s">
        <v>12</v>
      </c>
      <c r="H2912" s="3" t="s">
        <v>17</v>
      </c>
      <c r="I2912" s="3" t="s">
        <v>170</v>
      </c>
      <c r="J2912" s="97" t="s">
        <v>3451</v>
      </c>
    </row>
    <row r="2913" spans="1:10" ht="28.9" customHeight="1" thickTop="1" thickBot="1" x14ac:dyDescent="0.65">
      <c r="A2913" s="5">
        <v>2911</v>
      </c>
      <c r="B2913" s="46" t="str">
        <f>HYPERLINK("https://search.naver.com/search.naver?query=킬러의 보디가드 영화", "킬러의 보디가드")</f>
        <v>킬러의 보디가드</v>
      </c>
      <c r="C2913" s="47">
        <v>7.43</v>
      </c>
      <c r="D2913" s="6" t="s">
        <v>2960</v>
      </c>
      <c r="E2913" s="5" t="s">
        <v>20</v>
      </c>
      <c r="F2913" s="5">
        <v>2017</v>
      </c>
      <c r="G2913" s="5" t="s">
        <v>12</v>
      </c>
      <c r="H2913" s="5" t="s">
        <v>92</v>
      </c>
      <c r="I2913" s="5" t="s">
        <v>221</v>
      </c>
      <c r="J2913" s="98" t="s">
        <v>3443</v>
      </c>
    </row>
    <row r="2914" spans="1:10" ht="28.9" customHeight="1" thickTop="1" thickBot="1" x14ac:dyDescent="0.65">
      <c r="A2914" s="3">
        <v>2912</v>
      </c>
      <c r="B2914" s="44" t="str">
        <f>HYPERLINK("https://search.naver.com/search.naver?query=킬러의 보디가드 2 영화", "킬러의 보디가드 2")</f>
        <v>킬러의 보디가드 2</v>
      </c>
      <c r="C2914" s="45">
        <v>7.28</v>
      </c>
      <c r="D2914" s="4" t="s">
        <v>2961</v>
      </c>
      <c r="E2914" s="3" t="s">
        <v>20</v>
      </c>
      <c r="F2914" s="3">
        <v>2021</v>
      </c>
      <c r="G2914" s="3" t="s">
        <v>12</v>
      </c>
      <c r="H2914" s="3" t="s">
        <v>92</v>
      </c>
      <c r="I2914" s="3" t="s">
        <v>131</v>
      </c>
      <c r="J2914" s="97" t="s">
        <v>3438</v>
      </c>
    </row>
    <row r="2915" spans="1:10" ht="28.9" customHeight="1" thickTop="1" thickBot="1" x14ac:dyDescent="0.65">
      <c r="A2915" s="5">
        <v>2913</v>
      </c>
      <c r="B2915" s="46" t="str">
        <f>HYPERLINK("https://search.naver.com/search.naver?query=킬로 투 브라보 영화", "킬로 투 브라보")</f>
        <v>킬로 투 브라보</v>
      </c>
      <c r="C2915" s="47">
        <v>6.4</v>
      </c>
      <c r="D2915" s="6" t="s">
        <v>2962</v>
      </c>
      <c r="E2915" s="5" t="s">
        <v>24</v>
      </c>
      <c r="F2915" s="5">
        <v>2014</v>
      </c>
      <c r="G2915" s="5" t="s">
        <v>12</v>
      </c>
      <c r="H2915" s="5" t="s">
        <v>721</v>
      </c>
      <c r="I2915" s="5" t="s">
        <v>31</v>
      </c>
      <c r="J2915" s="98" t="s">
        <v>3437</v>
      </c>
    </row>
    <row r="2916" spans="1:10" ht="28.9" customHeight="1" thickTop="1" thickBot="1" x14ac:dyDescent="0.65">
      <c r="A2916" s="7">
        <v>2914</v>
      </c>
      <c r="B2916" s="48" t="str">
        <f>HYPERLINK("https://search.naver.com/search.naver?query=킬링 이브 시즌1", "킬링 이브 시즌1")</f>
        <v>킬링 이브 시즌1</v>
      </c>
      <c r="C2916" s="49"/>
      <c r="D2916" s="8" t="s">
        <v>2963</v>
      </c>
      <c r="E2916" s="7" t="s">
        <v>24</v>
      </c>
      <c r="F2916" s="7">
        <v>2018</v>
      </c>
      <c r="G2916" s="7" t="s">
        <v>17</v>
      </c>
      <c r="H2916" s="7" t="s">
        <v>13</v>
      </c>
      <c r="I2916" s="7" t="s">
        <v>55</v>
      </c>
      <c r="J2916" s="99" t="s">
        <v>3442</v>
      </c>
    </row>
    <row r="2917" spans="1:10" ht="28.9" customHeight="1" thickTop="1" thickBot="1" x14ac:dyDescent="0.65">
      <c r="A2917" s="7">
        <v>2915</v>
      </c>
      <c r="B2917" s="48" t="str">
        <f>HYPERLINK("https://search.naver.com/search.naver?query=킬링 이브 시즌2", "킬링 이브 시즌2")</f>
        <v>킬링 이브 시즌2</v>
      </c>
      <c r="C2917" s="49"/>
      <c r="D2917" s="8" t="s">
        <v>2963</v>
      </c>
      <c r="E2917" s="7" t="s">
        <v>24</v>
      </c>
      <c r="F2917" s="7">
        <v>2019</v>
      </c>
      <c r="G2917" s="7" t="s">
        <v>17</v>
      </c>
      <c r="H2917" s="7" t="s">
        <v>13</v>
      </c>
      <c r="I2917" s="7" t="s">
        <v>55</v>
      </c>
      <c r="J2917" s="99" t="s">
        <v>3444</v>
      </c>
    </row>
    <row r="2918" spans="1:10" ht="28.9" customHeight="1" thickTop="1" thickBot="1" x14ac:dyDescent="0.65">
      <c r="A2918" s="7">
        <v>2916</v>
      </c>
      <c r="B2918" s="48" t="str">
        <f>HYPERLINK("https://search.naver.com/search.naver?query=킬링 이브 시즌3", "킬링 이브 시즌3")</f>
        <v>킬링 이브 시즌3</v>
      </c>
      <c r="C2918" s="49"/>
      <c r="D2918" s="8" t="s">
        <v>2963</v>
      </c>
      <c r="E2918" s="7" t="s">
        <v>24</v>
      </c>
      <c r="F2918" s="7">
        <v>2020</v>
      </c>
      <c r="G2918" s="7" t="s">
        <v>17</v>
      </c>
      <c r="H2918" s="7" t="s">
        <v>13</v>
      </c>
      <c r="I2918" s="7" t="s">
        <v>55</v>
      </c>
      <c r="J2918" s="99" t="s">
        <v>3436</v>
      </c>
    </row>
    <row r="2919" spans="1:10" ht="28.9" customHeight="1" thickTop="1" thickBot="1" x14ac:dyDescent="0.65">
      <c r="A2919" s="7">
        <v>2917</v>
      </c>
      <c r="B2919" s="48" t="str">
        <f>HYPERLINK("https://search.naver.com/search.naver?query=킬링 이브 시즌4", "킬링 이브 시즌4")</f>
        <v>킬링 이브 시즌4</v>
      </c>
      <c r="C2919" s="49"/>
      <c r="D2919" s="8" t="s">
        <v>2963</v>
      </c>
      <c r="E2919" s="7" t="s">
        <v>24</v>
      </c>
      <c r="F2919" s="7">
        <v>2022</v>
      </c>
      <c r="G2919" s="7" t="s">
        <v>17</v>
      </c>
      <c r="H2919" s="7" t="s">
        <v>13</v>
      </c>
      <c r="I2919" s="7" t="s">
        <v>55</v>
      </c>
      <c r="J2919" s="99" t="s">
        <v>3445</v>
      </c>
    </row>
    <row r="2920" spans="1:10" ht="28.9" customHeight="1" thickTop="1" thickBot="1" x14ac:dyDescent="0.65">
      <c r="A2920" s="3">
        <v>2918</v>
      </c>
      <c r="B2920" s="44" t="str">
        <f>HYPERLINK("https://search.naver.com/search.naver?query=킬링시즌 영화", "킬링시즌")</f>
        <v>킬링시즌</v>
      </c>
      <c r="C2920" s="45">
        <v>6.86</v>
      </c>
      <c r="D2920" s="4" t="s">
        <v>2964</v>
      </c>
      <c r="E2920" s="3" t="s">
        <v>20</v>
      </c>
      <c r="F2920" s="3">
        <v>2013</v>
      </c>
      <c r="G2920" s="3" t="s">
        <v>12</v>
      </c>
      <c r="H2920" s="3" t="s">
        <v>92</v>
      </c>
      <c r="I2920" s="3" t="s">
        <v>240</v>
      </c>
      <c r="J2920" s="97" t="s">
        <v>3451</v>
      </c>
    </row>
    <row r="2921" spans="1:10" ht="28.9" customHeight="1" thickTop="1" thickBot="1" x14ac:dyDescent="0.65">
      <c r="A2921" s="5">
        <v>2919</v>
      </c>
      <c r="B2921" s="46" t="str">
        <f>HYPERLINK("https://search.naver.com/search.naver?query=킹 리차드 영화", "킹 리차드")</f>
        <v>킹 리차드</v>
      </c>
      <c r="C2921" s="47">
        <v>7.7</v>
      </c>
      <c r="D2921" s="6" t="s">
        <v>2965</v>
      </c>
      <c r="E2921" s="5" t="s">
        <v>20</v>
      </c>
      <c r="F2921" s="5">
        <v>2021</v>
      </c>
      <c r="G2921" s="5" t="s">
        <v>12</v>
      </c>
      <c r="H2921" s="5" t="s">
        <v>17</v>
      </c>
      <c r="I2921" s="5" t="s">
        <v>45</v>
      </c>
      <c r="J2921" s="98" t="s">
        <v>3438</v>
      </c>
    </row>
    <row r="2922" spans="1:10" ht="28.9" customHeight="1" thickTop="1" thickBot="1" x14ac:dyDescent="0.65">
      <c r="A2922" s="7">
        <v>2920</v>
      </c>
      <c r="B2922" s="48" t="str">
        <f>HYPERLINK("https://search.naver.com/search.naver?query=킹덤 시즌1 2019", "킹덤 시즌1")</f>
        <v>킹덤 시즌1</v>
      </c>
      <c r="C2922" s="49"/>
      <c r="D2922" s="8" t="s">
        <v>2966</v>
      </c>
      <c r="E2922" s="7" t="s">
        <v>11</v>
      </c>
      <c r="F2922" s="7">
        <v>2019</v>
      </c>
      <c r="G2922" s="7" t="s">
        <v>17</v>
      </c>
      <c r="H2922" s="7" t="s">
        <v>17</v>
      </c>
      <c r="I2922" s="7" t="s">
        <v>173</v>
      </c>
      <c r="J2922" s="99" t="s">
        <v>3444</v>
      </c>
    </row>
    <row r="2923" spans="1:10" ht="28.9" customHeight="1" thickTop="1" thickBot="1" x14ac:dyDescent="0.65">
      <c r="A2923" s="7">
        <v>2921</v>
      </c>
      <c r="B2923" s="48" t="str">
        <f>HYPERLINK("https://search.naver.com/search.naver?query=킹덤 시즌2", "킹덤 시즌2")</f>
        <v>킹덤 시즌2</v>
      </c>
      <c r="C2923" s="49"/>
      <c r="D2923" s="8" t="s">
        <v>2967</v>
      </c>
      <c r="E2923" s="7" t="s">
        <v>11</v>
      </c>
      <c r="F2923" s="7">
        <v>2020</v>
      </c>
      <c r="G2923" s="7" t="s">
        <v>17</v>
      </c>
      <c r="H2923" s="7" t="s">
        <v>17</v>
      </c>
      <c r="I2923" s="7" t="s">
        <v>173</v>
      </c>
      <c r="J2923" s="99" t="s">
        <v>3436</v>
      </c>
    </row>
    <row r="2924" spans="1:10" ht="28.9" customHeight="1" thickTop="1" thickBot="1" x14ac:dyDescent="0.65">
      <c r="A2924" s="3">
        <v>2922</v>
      </c>
      <c r="B2924" s="44" t="str">
        <f>HYPERLINK("https://search.naver.com/search.naver?query=킹메이커2011", "킹메이커")</f>
        <v>킹메이커</v>
      </c>
      <c r="C2924" s="45">
        <v>8.1</v>
      </c>
      <c r="D2924" s="4" t="s">
        <v>2968</v>
      </c>
      <c r="E2924" s="3" t="s">
        <v>11</v>
      </c>
      <c r="F2924" s="3">
        <v>2022</v>
      </c>
      <c r="G2924" s="3" t="s">
        <v>12</v>
      </c>
      <c r="H2924" s="3" t="s">
        <v>17</v>
      </c>
      <c r="I2924" s="3" t="s">
        <v>58</v>
      </c>
      <c r="J2924" s="97" t="s">
        <v>3445</v>
      </c>
    </row>
    <row r="2925" spans="1:10" ht="28.9" customHeight="1" thickTop="1" thickBot="1" x14ac:dyDescent="0.65">
      <c r="A2925" s="5">
        <v>2923</v>
      </c>
      <c r="B2925" s="46" t="str">
        <f>HYPERLINK("https://search.naver.com/search.naver?query=킹메이커 영화", "킹메이커")</f>
        <v>킹메이커</v>
      </c>
      <c r="C2925" s="47">
        <v>8.06</v>
      </c>
      <c r="D2925" s="6" t="s">
        <v>2969</v>
      </c>
      <c r="E2925" s="5" t="s">
        <v>20</v>
      </c>
      <c r="F2925" s="5">
        <v>2012</v>
      </c>
      <c r="G2925" s="5" t="s">
        <v>12</v>
      </c>
      <c r="H2925" s="5" t="s">
        <v>17</v>
      </c>
      <c r="I2925" s="5" t="s">
        <v>70</v>
      </c>
      <c r="J2925" s="98" t="s">
        <v>3439</v>
      </c>
    </row>
    <row r="2926" spans="1:10" ht="28.9" customHeight="1" thickTop="1" thickBot="1" x14ac:dyDescent="0.65">
      <c r="A2926" s="3">
        <v>2924</v>
      </c>
      <c r="B2926" s="44" t="str">
        <f>HYPERLINK("https://search.naver.com/search.naver?query=킹스 스피치 영화", "킹스 스피치")</f>
        <v>킹스 스피치</v>
      </c>
      <c r="C2926" s="45">
        <v>8.33</v>
      </c>
      <c r="D2926" s="4" t="s">
        <v>2970</v>
      </c>
      <c r="E2926" s="3" t="s">
        <v>24</v>
      </c>
      <c r="F2926" s="3">
        <v>2010</v>
      </c>
      <c r="G2926" s="3" t="s">
        <v>12</v>
      </c>
      <c r="H2926" s="3" t="s">
        <v>17</v>
      </c>
      <c r="I2926" s="3" t="s">
        <v>221</v>
      </c>
      <c r="J2926" s="97" t="s">
        <v>3455</v>
      </c>
    </row>
    <row r="2927" spans="1:10" ht="28.9" customHeight="1" thickTop="1" thickBot="1" x14ac:dyDescent="0.65">
      <c r="A2927" s="5">
        <v>2925</v>
      </c>
      <c r="B2927" s="46" t="str">
        <f>HYPERLINK("https://search.naver.com/search.naver?query=킹스맨 골든 서클 영화", "킹스맨 - 골든 서클")</f>
        <v>킹스맨 - 골든 서클</v>
      </c>
      <c r="C2927" s="47">
        <v>8.61</v>
      </c>
      <c r="D2927" s="6" t="s">
        <v>2971</v>
      </c>
      <c r="E2927" s="5" t="s">
        <v>24</v>
      </c>
      <c r="F2927" s="5">
        <v>2017</v>
      </c>
      <c r="G2927" s="5" t="s">
        <v>12</v>
      </c>
      <c r="H2927" s="5" t="s">
        <v>92</v>
      </c>
      <c r="I2927" s="5" t="s">
        <v>455</v>
      </c>
      <c r="J2927" s="98" t="s">
        <v>3443</v>
      </c>
    </row>
    <row r="2928" spans="1:10" ht="28.9" customHeight="1" thickTop="1" thickBot="1" x14ac:dyDescent="0.65">
      <c r="A2928" s="3">
        <v>2926</v>
      </c>
      <c r="B2928" s="44" t="str">
        <f>HYPERLINK("https://search.naver.com/search.naver?query=킹스맨 퍼스트 에이전트 영화", "킹스맨-퍼스트 에이전트")</f>
        <v>킹스맨-퍼스트 에이전트</v>
      </c>
      <c r="C2928" s="45">
        <v>7.46</v>
      </c>
      <c r="D2928" s="4" t="s">
        <v>2972</v>
      </c>
      <c r="E2928" s="3" t="s">
        <v>24</v>
      </c>
      <c r="F2928" s="3">
        <v>2021</v>
      </c>
      <c r="G2928" s="3" t="s">
        <v>12</v>
      </c>
      <c r="H2928" s="3" t="s">
        <v>92</v>
      </c>
      <c r="I2928" s="3" t="s">
        <v>280</v>
      </c>
      <c r="J2928" s="97" t="s">
        <v>3438</v>
      </c>
    </row>
    <row r="2929" spans="1:10" ht="28.9" customHeight="1" thickTop="1" thickBot="1" x14ac:dyDescent="0.65">
      <c r="A2929" s="5">
        <v>2927</v>
      </c>
      <c r="B2929" s="46" t="str">
        <f>HYPERLINK("https://search.naver.com/search.naver?query=킹콩을 들다 영화", "킹콩을 들다")</f>
        <v>킹콩을 들다</v>
      </c>
      <c r="C2929" s="47">
        <v>9.23</v>
      </c>
      <c r="D2929" s="6" t="s">
        <v>2973</v>
      </c>
      <c r="E2929" s="5" t="s">
        <v>11</v>
      </c>
      <c r="F2929" s="5">
        <v>2009</v>
      </c>
      <c r="G2929" s="5" t="s">
        <v>12</v>
      </c>
      <c r="H2929" s="5" t="s">
        <v>17</v>
      </c>
      <c r="I2929" s="5" t="s">
        <v>53</v>
      </c>
      <c r="J2929" s="98" t="s">
        <v>3453</v>
      </c>
    </row>
    <row r="2930" spans="1:10" ht="28.9" customHeight="1" thickTop="1" thickBot="1" x14ac:dyDescent="0.65">
      <c r="A2930" s="3">
        <v>2928</v>
      </c>
      <c r="B2930" s="44" t="str">
        <f>HYPERLINK("https://search.naver.com/search.naver?query=타겟 넘버 원 영화", "타겟 넘버 원")</f>
        <v>타겟 넘버 원</v>
      </c>
      <c r="C2930" s="45">
        <v>6.4</v>
      </c>
      <c r="D2930" s="4" t="s">
        <v>2974</v>
      </c>
      <c r="E2930" s="3" t="s">
        <v>189</v>
      </c>
      <c r="F2930" s="3">
        <v>2020</v>
      </c>
      <c r="G2930" s="3" t="s">
        <v>12</v>
      </c>
      <c r="H2930" s="3" t="s">
        <v>277</v>
      </c>
      <c r="I2930" s="3" t="s">
        <v>214</v>
      </c>
      <c r="J2930" s="97" t="s">
        <v>3436</v>
      </c>
    </row>
    <row r="2931" spans="1:10" ht="28.9" customHeight="1" thickTop="1" thickBot="1" x14ac:dyDescent="0.65">
      <c r="A2931" s="5">
        <v>2929</v>
      </c>
      <c r="B2931" s="46" t="str">
        <f>HYPERLINK("https://search.naver.com/search.naver?query=타르 영화", "타르")</f>
        <v>타르</v>
      </c>
      <c r="C2931" s="47">
        <v>7.8</v>
      </c>
      <c r="D2931" s="6" t="s">
        <v>2975</v>
      </c>
      <c r="E2931" s="5" t="s">
        <v>20</v>
      </c>
      <c r="F2931" s="5">
        <v>2022</v>
      </c>
      <c r="G2931" s="5" t="s">
        <v>12</v>
      </c>
      <c r="H2931" s="5" t="s">
        <v>17</v>
      </c>
      <c r="I2931" s="5" t="s">
        <v>533</v>
      </c>
      <c r="J2931" s="98" t="s">
        <v>3445</v>
      </c>
    </row>
    <row r="2932" spans="1:10" ht="28.9" customHeight="1" thickTop="1" thickBot="1" x14ac:dyDescent="0.65">
      <c r="A2932" s="3">
        <v>2930</v>
      </c>
      <c r="B2932" s="44" t="str">
        <f>HYPERLINK("https://search.naver.com/search.naver?query=타오르는 여인의 초상 영화", "타오르는 여인의 초상")</f>
        <v>타오르는 여인의 초상</v>
      </c>
      <c r="C2932" s="45">
        <v>9.1</v>
      </c>
      <c r="D2932" s="4" t="s">
        <v>2976</v>
      </c>
      <c r="E2932" s="3" t="s">
        <v>210</v>
      </c>
      <c r="F2932" s="3">
        <v>2019</v>
      </c>
      <c r="G2932" s="3" t="s">
        <v>12</v>
      </c>
      <c r="H2932" s="3" t="s">
        <v>17</v>
      </c>
      <c r="I2932" s="3" t="s">
        <v>86</v>
      </c>
      <c r="J2932" s="97" t="s">
        <v>3444</v>
      </c>
    </row>
    <row r="2933" spans="1:10" ht="28.9" customHeight="1" thickTop="1" thickBot="1" x14ac:dyDescent="0.65">
      <c r="A2933" s="5">
        <v>2931</v>
      </c>
      <c r="B2933" s="46" t="str">
        <f>HYPERLINK("https://search.naver.com/search.naver?query=타워 영화", "타워")</f>
        <v>타워</v>
      </c>
      <c r="C2933" s="47">
        <v>8.02</v>
      </c>
      <c r="D2933" s="6" t="s">
        <v>2977</v>
      </c>
      <c r="E2933" s="5" t="s">
        <v>11</v>
      </c>
      <c r="F2933" s="5">
        <v>2012</v>
      </c>
      <c r="G2933" s="5" t="s">
        <v>12</v>
      </c>
      <c r="H2933" s="5" t="s">
        <v>92</v>
      </c>
      <c r="I2933" s="5" t="s">
        <v>142</v>
      </c>
      <c r="J2933" s="98" t="s">
        <v>3439</v>
      </c>
    </row>
    <row r="2934" spans="1:10" ht="28.9" customHeight="1" thickTop="1" thickBot="1" x14ac:dyDescent="0.65">
      <c r="A2934" s="3">
        <v>2932</v>
      </c>
      <c r="B2934" s="44" t="str">
        <f>HYPERLINK("https://search.naver.com/search.naver?query=타워 하이스트 영화", "타워 하이스트")</f>
        <v>타워 하이스트</v>
      </c>
      <c r="C2934" s="45">
        <v>7.54</v>
      </c>
      <c r="D2934" s="4" t="s">
        <v>2978</v>
      </c>
      <c r="E2934" s="3" t="s">
        <v>20</v>
      </c>
      <c r="F2934" s="3">
        <v>2011</v>
      </c>
      <c r="G2934" s="3" t="s">
        <v>12</v>
      </c>
      <c r="H2934" s="3" t="s">
        <v>68</v>
      </c>
      <c r="I2934" s="3" t="s">
        <v>170</v>
      </c>
      <c r="J2934" s="97" t="s">
        <v>3454</v>
      </c>
    </row>
    <row r="2935" spans="1:10" ht="28.9" customHeight="1" thickTop="1" thickBot="1" x14ac:dyDescent="0.65">
      <c r="A2935" s="5">
        <v>2933</v>
      </c>
      <c r="B2935" s="46" t="str">
        <f>HYPERLINK("https://search.naver.com/search.naver?query=타이타닉 영화", "타이타닉")</f>
        <v>타이타닉</v>
      </c>
      <c r="C2935" s="47">
        <v>9.68</v>
      </c>
      <c r="D2935" s="6" t="s">
        <v>2979</v>
      </c>
      <c r="E2935" s="5" t="s">
        <v>20</v>
      </c>
      <c r="F2935" s="5">
        <v>1997</v>
      </c>
      <c r="G2935" s="5" t="s">
        <v>12</v>
      </c>
      <c r="H2935" s="5" t="s">
        <v>17</v>
      </c>
      <c r="I2935" s="5" t="s">
        <v>2980</v>
      </c>
      <c r="J2935" s="98" t="s">
        <v>3470</v>
      </c>
    </row>
    <row r="2936" spans="1:10" ht="28.9" customHeight="1" thickTop="1" thickBot="1" x14ac:dyDescent="0.65">
      <c r="A2936" s="3">
        <v>2934</v>
      </c>
      <c r="B2936" s="44" t="str">
        <f>HYPERLINK("https://search.naver.com/search.naver?query=타이페이 카페 스토리 영화", "타이페이 카페 스토리")</f>
        <v>타이페이 카페 스토리</v>
      </c>
      <c r="C2936" s="45">
        <v>8.0399999999999991</v>
      </c>
      <c r="D2936" s="4" t="s">
        <v>2981</v>
      </c>
      <c r="E2936" s="3" t="s">
        <v>375</v>
      </c>
      <c r="F2936" s="3">
        <v>2010</v>
      </c>
      <c r="G2936" s="3" t="s">
        <v>12</v>
      </c>
      <c r="H2936" s="3" t="s">
        <v>17</v>
      </c>
      <c r="I2936" s="3" t="s">
        <v>111</v>
      </c>
      <c r="J2936" s="97" t="s">
        <v>3455</v>
      </c>
    </row>
    <row r="2937" spans="1:10" ht="28.9" customHeight="1" thickTop="1" thickBot="1" x14ac:dyDescent="0.65">
      <c r="A2937" s="5">
        <v>2935</v>
      </c>
      <c r="B2937" s="46" t="str">
        <f>HYPERLINK("https://search.naver.com/search.naver?query=타인의 삶 영화", "타인의 삶")</f>
        <v>타인의 삶</v>
      </c>
      <c r="C2937" s="47">
        <v>8.69</v>
      </c>
      <c r="D2937" s="6" t="s">
        <v>2982</v>
      </c>
      <c r="E2937" s="5" t="s">
        <v>101</v>
      </c>
      <c r="F2937" s="5">
        <v>2006</v>
      </c>
      <c r="G2937" s="5" t="s">
        <v>12</v>
      </c>
      <c r="H2937" s="5" t="s">
        <v>17</v>
      </c>
      <c r="I2937" s="5" t="s">
        <v>186</v>
      </c>
      <c r="J2937" s="98" t="s">
        <v>3460</v>
      </c>
    </row>
    <row r="2938" spans="1:10" ht="28.9" customHeight="1" thickTop="1" thickBot="1" x14ac:dyDescent="0.65">
      <c r="A2938" s="3">
        <v>2936</v>
      </c>
      <c r="B2938" s="44" t="str">
        <f>HYPERLINK("https://search.naver.com/search.naver?query=타인의 친절 영화", "타인의 친절")</f>
        <v>타인의 친절</v>
      </c>
      <c r="C2938" s="45">
        <v>7.3</v>
      </c>
      <c r="D2938" s="4" t="s">
        <v>2983</v>
      </c>
      <c r="E2938" s="3" t="s">
        <v>118</v>
      </c>
      <c r="F2938" s="3">
        <v>2019</v>
      </c>
      <c r="G2938" s="3" t="s">
        <v>12</v>
      </c>
      <c r="H2938" s="3" t="s">
        <v>17</v>
      </c>
      <c r="I2938" s="3" t="s">
        <v>278</v>
      </c>
      <c r="J2938" s="97" t="s">
        <v>3444</v>
      </c>
    </row>
    <row r="2939" spans="1:10" ht="28.9" customHeight="1" thickTop="1" thickBot="1" x14ac:dyDescent="0.65">
      <c r="A2939" s="7">
        <v>2937</v>
      </c>
      <c r="B2939" s="48" t="str">
        <f>HYPERLINK("https://search.naver.com/search.naver?query=타임2021 영국드라마", "타임")</f>
        <v>타임</v>
      </c>
      <c r="C2939" s="49"/>
      <c r="D2939" s="8" t="s">
        <v>2984</v>
      </c>
      <c r="E2939" s="7" t="s">
        <v>24</v>
      </c>
      <c r="F2939" s="7">
        <v>2021</v>
      </c>
      <c r="G2939" s="7" t="s">
        <v>17</v>
      </c>
      <c r="H2939" s="7" t="s">
        <v>17</v>
      </c>
      <c r="I2939" s="7" t="s">
        <v>1625</v>
      </c>
      <c r="J2939" s="99" t="s">
        <v>3438</v>
      </c>
    </row>
    <row r="2940" spans="1:10" ht="28.9" customHeight="1" thickTop="1" thickBot="1" x14ac:dyDescent="0.65">
      <c r="A2940" s="3">
        <v>2938</v>
      </c>
      <c r="B2940" s="44" t="str">
        <f>HYPERLINK("https://search.naver.com/search.naver?query=타임 투 러브 영화", "타임 투 러브")</f>
        <v>타임 투 러브</v>
      </c>
      <c r="C2940" s="45">
        <v>7.39</v>
      </c>
      <c r="D2940" s="4" t="s">
        <v>2985</v>
      </c>
      <c r="E2940" s="3" t="s">
        <v>16</v>
      </c>
      <c r="F2940" s="3">
        <v>2014</v>
      </c>
      <c r="G2940" s="3" t="s">
        <v>12</v>
      </c>
      <c r="H2940" s="3" t="s">
        <v>121</v>
      </c>
      <c r="I2940" s="3" t="s">
        <v>111</v>
      </c>
      <c r="J2940" s="97" t="s">
        <v>3437</v>
      </c>
    </row>
    <row r="2941" spans="1:10" ht="28.9" customHeight="1" thickTop="1" thickBot="1" x14ac:dyDescent="0.65">
      <c r="A2941" s="5">
        <v>2939</v>
      </c>
      <c r="B2941" s="46" t="str">
        <f>HYPERLINK("https://search.naver.com/search.naver?query=타임 투게더 영화", "타임 투게더")</f>
        <v>타임 투게더</v>
      </c>
      <c r="C2941" s="47">
        <v>9</v>
      </c>
      <c r="D2941" s="6" t="s">
        <v>2986</v>
      </c>
      <c r="E2941" s="5" t="s">
        <v>189</v>
      </c>
      <c r="F2941" s="5">
        <v>2017</v>
      </c>
      <c r="G2941" s="5" t="s">
        <v>12</v>
      </c>
      <c r="H2941" s="5" t="s">
        <v>121</v>
      </c>
      <c r="I2941" s="5" t="s">
        <v>102</v>
      </c>
      <c r="J2941" s="98" t="s">
        <v>3443</v>
      </c>
    </row>
    <row r="2942" spans="1:10" ht="28.9" customHeight="1" thickTop="1" thickBot="1" x14ac:dyDescent="0.65">
      <c r="A2942" s="3">
        <v>2940</v>
      </c>
      <c r="B2942" s="44" t="str">
        <f>HYPERLINK("https://search.naver.com/search.naver?query=타임 패러독스 영화", "타임 패러독스")</f>
        <v>타임 패러독스</v>
      </c>
      <c r="C2942" s="45">
        <v>7.94</v>
      </c>
      <c r="D2942" s="4" t="s">
        <v>2987</v>
      </c>
      <c r="E2942" s="3" t="s">
        <v>16</v>
      </c>
      <c r="F2942" s="3">
        <v>2014</v>
      </c>
      <c r="G2942" s="3" t="s">
        <v>12</v>
      </c>
      <c r="H2942" s="3" t="s">
        <v>520</v>
      </c>
      <c r="I2942" s="3" t="s">
        <v>111</v>
      </c>
      <c r="J2942" s="97" t="s">
        <v>3437</v>
      </c>
    </row>
    <row r="2943" spans="1:10" ht="28.9" customHeight="1" thickTop="1" thickBot="1" x14ac:dyDescent="0.65">
      <c r="A2943" s="5">
        <v>2941</v>
      </c>
      <c r="B2943" s="46" t="str">
        <f>HYPERLINK("https://search.naver.com/search.naver?query=타짜 신의 손 영화", "타짜-신의 손")</f>
        <v>타짜-신의 손</v>
      </c>
      <c r="C2943" s="47">
        <v>7.77</v>
      </c>
      <c r="D2943" s="6" t="s">
        <v>2988</v>
      </c>
      <c r="E2943" s="5" t="s">
        <v>11</v>
      </c>
      <c r="F2943" s="5">
        <v>2014</v>
      </c>
      <c r="G2943" s="5" t="s">
        <v>12</v>
      </c>
      <c r="H2943" s="5" t="s">
        <v>277</v>
      </c>
      <c r="I2943" s="5" t="s">
        <v>157</v>
      </c>
      <c r="J2943" s="98" t="s">
        <v>3437</v>
      </c>
    </row>
    <row r="2944" spans="1:10" ht="28.9" customHeight="1" thickTop="1" thickBot="1" x14ac:dyDescent="0.65">
      <c r="A2944" s="3">
        <v>2942</v>
      </c>
      <c r="B2944" s="44" t="str">
        <f>HYPERLINK("https://search.naver.com/search.naver?query=탄생 영화", "탄생")</f>
        <v>탄생</v>
      </c>
      <c r="C2944" s="45">
        <v>8.1300000000000008</v>
      </c>
      <c r="D2944" s="4" t="s">
        <v>2989</v>
      </c>
      <c r="E2944" s="3" t="s">
        <v>11</v>
      </c>
      <c r="F2944" s="3">
        <v>2004</v>
      </c>
      <c r="G2944" s="3" t="s">
        <v>12</v>
      </c>
      <c r="H2944" s="3" t="s">
        <v>17</v>
      </c>
      <c r="I2944" s="3" t="s">
        <v>111</v>
      </c>
      <c r="J2944" s="97" t="s">
        <v>3462</v>
      </c>
    </row>
    <row r="2945" spans="1:10" ht="28.9" customHeight="1" thickTop="1" thickBot="1" x14ac:dyDescent="0.65">
      <c r="A2945" s="5">
        <v>2943</v>
      </c>
      <c r="B2945" s="46" t="str">
        <f>HYPERLINK("https://search.naver.com/search.naver?query=탈주 영화", "탈주")</f>
        <v>탈주</v>
      </c>
      <c r="C2945" s="47">
        <v>7.83</v>
      </c>
      <c r="D2945" s="6" t="s">
        <v>2990</v>
      </c>
      <c r="E2945" s="5" t="s">
        <v>11</v>
      </c>
      <c r="F2945" s="5">
        <v>2024</v>
      </c>
      <c r="G2945" s="5" t="s">
        <v>12</v>
      </c>
      <c r="H2945" s="5" t="s">
        <v>92</v>
      </c>
      <c r="I2945" s="5" t="s">
        <v>128</v>
      </c>
      <c r="J2945" s="98" t="s">
        <v>3448</v>
      </c>
    </row>
    <row r="2946" spans="1:10" s="61" customFormat="1" ht="28.9" customHeight="1" thickTop="1" thickBot="1" x14ac:dyDescent="0.65">
      <c r="A2946" s="11">
        <v>2944</v>
      </c>
      <c r="B2946" s="59" t="str">
        <f>HYPERLINK("https://search.naver.com/search.naver?query=탐엣더팜 영화", "탐엣더팜")</f>
        <v>탐엣더팜</v>
      </c>
      <c r="C2946" s="60">
        <v>8.06</v>
      </c>
      <c r="D2946" s="10" t="s">
        <v>2991</v>
      </c>
      <c r="E2946" s="11" t="s">
        <v>189</v>
      </c>
      <c r="F2946" s="13">
        <v>2013</v>
      </c>
      <c r="G2946" s="13" t="s">
        <v>12</v>
      </c>
      <c r="H2946" s="13" t="s">
        <v>43</v>
      </c>
      <c r="I2946" s="14" t="s">
        <v>99</v>
      </c>
      <c r="J2946" s="105" t="s">
        <v>3451</v>
      </c>
    </row>
    <row r="2947" spans="1:10" ht="28.9" customHeight="1" thickTop="1" thickBot="1" x14ac:dyDescent="0.65">
      <c r="A2947" s="5">
        <v>2945</v>
      </c>
      <c r="B2947" s="46" t="str">
        <f>HYPERLINK("https://search.naver.com/search.naver?query=탐욕의 제국 영화", "탐욕의 제국")</f>
        <v>탐욕의 제국</v>
      </c>
      <c r="C2947" s="47">
        <v>9.4499999999999993</v>
      </c>
      <c r="D2947" s="6" t="s">
        <v>2992</v>
      </c>
      <c r="E2947" s="5" t="s">
        <v>11</v>
      </c>
      <c r="F2947" s="5">
        <v>2012</v>
      </c>
      <c r="G2947" s="5" t="s">
        <v>12</v>
      </c>
      <c r="H2947" s="5" t="s">
        <v>17</v>
      </c>
      <c r="I2947" s="5" t="s">
        <v>111</v>
      </c>
      <c r="J2947" s="98" t="s">
        <v>3439</v>
      </c>
    </row>
    <row r="2948" spans="1:10" ht="28.9" customHeight="1" thickTop="1" thickBot="1" x14ac:dyDescent="0.65">
      <c r="A2948" s="3">
        <v>2946</v>
      </c>
      <c r="B2948" s="44" t="str">
        <f>HYPERLINK("https://search.naver.com/search.naver?query=탐정 더 비기닝 영화", "탐정 - 더 비기닝")</f>
        <v>탐정 - 더 비기닝</v>
      </c>
      <c r="C2948" s="45">
        <v>8.6199999999999992</v>
      </c>
      <c r="D2948" s="4" t="s">
        <v>2993</v>
      </c>
      <c r="E2948" s="3" t="s">
        <v>11</v>
      </c>
      <c r="F2948" s="3">
        <v>2015</v>
      </c>
      <c r="G2948" s="3" t="s">
        <v>12</v>
      </c>
      <c r="H2948" s="3" t="s">
        <v>277</v>
      </c>
      <c r="I2948" s="3" t="s">
        <v>86</v>
      </c>
      <c r="J2948" s="97" t="s">
        <v>3440</v>
      </c>
    </row>
    <row r="2949" spans="1:10" ht="28.9" customHeight="1" thickTop="1" thickBot="1" x14ac:dyDescent="0.65">
      <c r="A2949" s="5">
        <v>2947</v>
      </c>
      <c r="B2949" s="46" t="str">
        <f>HYPERLINK("https://search.naver.com/search.naver?query=탐정 리턴즈 영화", "탐정-리턴즈")</f>
        <v>탐정-리턴즈</v>
      </c>
      <c r="C2949" s="47">
        <v>8.99</v>
      </c>
      <c r="D2949" s="6" t="s">
        <v>2994</v>
      </c>
      <c r="E2949" s="5" t="s">
        <v>11</v>
      </c>
      <c r="F2949" s="5">
        <v>2018</v>
      </c>
      <c r="G2949" s="5" t="s">
        <v>12</v>
      </c>
      <c r="H2949" s="5" t="s">
        <v>277</v>
      </c>
      <c r="I2949" s="5" t="s">
        <v>366</v>
      </c>
      <c r="J2949" s="98" t="s">
        <v>3442</v>
      </c>
    </row>
    <row r="2950" spans="1:10" ht="28.9" customHeight="1" thickTop="1" thickBot="1" x14ac:dyDescent="0.65">
      <c r="A2950" s="3">
        <v>2948</v>
      </c>
      <c r="B2950" s="44" t="str">
        <f>HYPERLINK("https://search.naver.com/search.naver?query=탑건 매버릭 영화", "탑건")</f>
        <v>탑건</v>
      </c>
      <c r="C2950" s="45">
        <v>8.8000000000000007</v>
      </c>
      <c r="D2950" s="4" t="s">
        <v>3487</v>
      </c>
      <c r="E2950" s="3" t="s">
        <v>3488</v>
      </c>
      <c r="F2950" s="3">
        <v>1987</v>
      </c>
      <c r="G2950" s="3" t="s">
        <v>3489</v>
      </c>
      <c r="H2950" s="3" t="s">
        <v>3490</v>
      </c>
      <c r="I2950" s="3" t="s">
        <v>3491</v>
      </c>
      <c r="J2950" s="97">
        <v>32142</v>
      </c>
    </row>
    <row r="2951" spans="1:10" ht="28.9" customHeight="1" thickTop="1" thickBot="1" x14ac:dyDescent="0.65">
      <c r="A2951" s="3">
        <v>2949</v>
      </c>
      <c r="B2951" s="44" t="str">
        <f>HYPERLINK("https://search.naver.com/search.naver?query=탑건 매버릭 영화", "탑건-매버릭")</f>
        <v>탑건-매버릭</v>
      </c>
      <c r="C2951" s="45">
        <v>9.57</v>
      </c>
      <c r="D2951" s="4" t="s">
        <v>2995</v>
      </c>
      <c r="E2951" s="3" t="s">
        <v>20</v>
      </c>
      <c r="F2951" s="3">
        <v>2022</v>
      </c>
      <c r="G2951" s="3" t="s">
        <v>12</v>
      </c>
      <c r="H2951" s="3" t="s">
        <v>92</v>
      </c>
      <c r="I2951" s="3" t="s">
        <v>34</v>
      </c>
      <c r="J2951" s="97" t="s">
        <v>3445</v>
      </c>
    </row>
    <row r="2952" spans="1:10" ht="28.9" customHeight="1" thickTop="1" thickBot="1" x14ac:dyDescent="0.65">
      <c r="A2952" s="5">
        <v>2950</v>
      </c>
      <c r="B2952" s="46" t="str">
        <f>HYPERLINK("https://search.naver.com/search.naver?query=태극기 휘날리며 영화", "태극기 휘날리며")</f>
        <v>태극기 휘날리며</v>
      </c>
      <c r="C2952" s="47">
        <v>8.76</v>
      </c>
      <c r="D2952" s="6" t="s">
        <v>2996</v>
      </c>
      <c r="E2952" s="5" t="s">
        <v>11</v>
      </c>
      <c r="F2952" s="5">
        <v>2004</v>
      </c>
      <c r="G2952" s="5" t="s">
        <v>12</v>
      </c>
      <c r="H2952" s="5" t="s">
        <v>721</v>
      </c>
      <c r="I2952" s="5" t="s">
        <v>28</v>
      </c>
      <c r="J2952" s="98" t="s">
        <v>3462</v>
      </c>
    </row>
    <row r="2953" spans="1:10" ht="28.9" customHeight="1" thickTop="1" thickBot="1" x14ac:dyDescent="0.65">
      <c r="A2953" s="3">
        <v>2951</v>
      </c>
      <c r="B2953" s="44" t="str">
        <f>HYPERLINK("https://search.naver.com/search.naver?query=태양은 움직이지 않는다 영화", "태양은 움직이지 않는다")</f>
        <v>태양은 움직이지 않는다</v>
      </c>
      <c r="C2953" s="45">
        <v>4</v>
      </c>
      <c r="D2953" s="4" t="s">
        <v>2997</v>
      </c>
      <c r="E2953" s="3" t="s">
        <v>16</v>
      </c>
      <c r="F2953" s="3">
        <v>2020</v>
      </c>
      <c r="G2953" s="3" t="s">
        <v>12</v>
      </c>
      <c r="H2953" s="3" t="s">
        <v>43</v>
      </c>
      <c r="I2953" s="3" t="s">
        <v>111</v>
      </c>
      <c r="J2953" s="97" t="s">
        <v>3436</v>
      </c>
    </row>
    <row r="2954" spans="1:10" ht="28.9" customHeight="1" thickTop="1" thickBot="1" x14ac:dyDescent="0.65">
      <c r="A2954" s="5">
        <v>2952</v>
      </c>
      <c r="B2954" s="46" t="str">
        <f>HYPERLINK("https://search.naver.com/search.naver?query=태양의 노래 영화", "태양의 노래")</f>
        <v>태양의 노래</v>
      </c>
      <c r="C2954" s="47">
        <v>6.57</v>
      </c>
      <c r="D2954" s="6" t="s">
        <v>2998</v>
      </c>
      <c r="E2954" s="5" t="s">
        <v>16</v>
      </c>
      <c r="F2954" s="5">
        <v>2006</v>
      </c>
      <c r="G2954" s="5" t="s">
        <v>12</v>
      </c>
      <c r="H2954" s="5" t="s">
        <v>121</v>
      </c>
      <c r="I2954" s="5" t="s">
        <v>53</v>
      </c>
      <c r="J2954" s="98" t="s">
        <v>3460</v>
      </c>
    </row>
    <row r="2955" spans="1:10" ht="28.9" customHeight="1" thickTop="1" thickBot="1" x14ac:dyDescent="0.65">
      <c r="A2955" s="3">
        <v>2953</v>
      </c>
      <c r="B2955" s="44" t="str">
        <f>HYPERLINK("https://search.naver.com/search.naver?query=태양의 제국 영화", "태양의 제국")</f>
        <v>태양의 제국</v>
      </c>
      <c r="C2955" s="45">
        <v>8.41</v>
      </c>
      <c r="D2955" s="4" t="s">
        <v>2999</v>
      </c>
      <c r="E2955" s="3" t="s">
        <v>20</v>
      </c>
      <c r="F2955" s="3">
        <v>1987</v>
      </c>
      <c r="G2955" s="3" t="s">
        <v>12</v>
      </c>
      <c r="H2955" s="3" t="s">
        <v>17</v>
      </c>
      <c r="I2955" s="3" t="s">
        <v>685</v>
      </c>
      <c r="J2955" s="97" t="s">
        <v>3481</v>
      </c>
    </row>
    <row r="2956" spans="1:10" ht="28.9" customHeight="1" thickTop="1" thickBot="1" x14ac:dyDescent="0.65">
      <c r="A2956" s="5">
        <v>2954</v>
      </c>
      <c r="B2956" s="46" t="str">
        <f>HYPERLINK("https://search.naver.com/search.naver?query=태평륜 피안 영화", "태평륜 피안")</f>
        <v>태평륜 피안</v>
      </c>
      <c r="C2956" s="47">
        <v>7.21</v>
      </c>
      <c r="D2956" s="6" t="s">
        <v>3000</v>
      </c>
      <c r="E2956" s="5" t="s">
        <v>136</v>
      </c>
      <c r="F2956" s="5">
        <v>2015</v>
      </c>
      <c r="G2956" s="5" t="s">
        <v>12</v>
      </c>
      <c r="H2956" s="5" t="s">
        <v>17</v>
      </c>
      <c r="I2956" s="5" t="s">
        <v>280</v>
      </c>
      <c r="J2956" s="98" t="s">
        <v>3440</v>
      </c>
    </row>
    <row r="2957" spans="1:10" ht="28.9" customHeight="1" thickTop="1" thickBot="1" x14ac:dyDescent="0.65">
      <c r="A2957" s="3">
        <v>2955</v>
      </c>
      <c r="B2957" s="44" t="str">
        <f>HYPERLINK("https://search.naver.com/search.naver?query=태풍이 지나가고 영화", "태풍이 지나가고")</f>
        <v>태풍이 지나가고</v>
      </c>
      <c r="C2957" s="45">
        <v>8.65</v>
      </c>
      <c r="D2957" s="4" t="s">
        <v>3001</v>
      </c>
      <c r="E2957" s="3" t="s">
        <v>16</v>
      </c>
      <c r="F2957" s="3">
        <v>2016</v>
      </c>
      <c r="G2957" s="3" t="s">
        <v>12</v>
      </c>
      <c r="H2957" s="3" t="s">
        <v>17</v>
      </c>
      <c r="I2957" s="3" t="s">
        <v>89</v>
      </c>
      <c r="J2957" s="97" t="s">
        <v>3441</v>
      </c>
    </row>
    <row r="2958" spans="1:10" ht="28.9" customHeight="1" thickTop="1" thickBot="1" x14ac:dyDescent="0.65">
      <c r="A2958" s="5">
        <v>2956</v>
      </c>
      <c r="B2958" s="46" t="str">
        <f>HYPERLINK("https://search.naver.com/search.naver?query=택시운전사 영화", "택시운전사")</f>
        <v>택시운전사</v>
      </c>
      <c r="C2958" s="47">
        <v>9.2799999999999994</v>
      </c>
      <c r="D2958" s="6" t="s">
        <v>3002</v>
      </c>
      <c r="E2958" s="5" t="s">
        <v>11</v>
      </c>
      <c r="F2958" s="5">
        <v>2017</v>
      </c>
      <c r="G2958" s="5" t="s">
        <v>12</v>
      </c>
      <c r="H2958" s="5" t="s">
        <v>17</v>
      </c>
      <c r="I2958" s="5" t="s">
        <v>186</v>
      </c>
      <c r="J2958" s="98" t="s">
        <v>3443</v>
      </c>
    </row>
    <row r="2959" spans="1:10" ht="28.9" customHeight="1" thickTop="1" thickBot="1" x14ac:dyDescent="0.65">
      <c r="A2959" s="3">
        <v>2957</v>
      </c>
      <c r="B2959" s="44" t="str">
        <f>HYPERLINK("https://search.naver.com/search.naver?query=터널 영화", "터널")</f>
        <v>터널</v>
      </c>
      <c r="C2959" s="45"/>
      <c r="D2959" s="4" t="s">
        <v>3003</v>
      </c>
      <c r="E2959" s="3" t="s">
        <v>11</v>
      </c>
      <c r="F2959" s="3">
        <v>2016</v>
      </c>
      <c r="G2959" s="3" t="s">
        <v>12</v>
      </c>
      <c r="H2959" s="3" t="s">
        <v>726</v>
      </c>
      <c r="I2959" s="3" t="s">
        <v>78</v>
      </c>
      <c r="J2959" s="97" t="s">
        <v>3441</v>
      </c>
    </row>
    <row r="2960" spans="1:10" ht="28.9" customHeight="1" thickTop="1" thickBot="1" x14ac:dyDescent="0.65">
      <c r="A2960" s="5">
        <v>2958</v>
      </c>
      <c r="B2960" s="46" t="str">
        <f>HYPERLINK("https://search.naver.com/search.naver?query=터미널 영화", "터미널")</f>
        <v>터미널</v>
      </c>
      <c r="C2960" s="47">
        <v>9</v>
      </c>
      <c r="D2960" s="6" t="s">
        <v>3004</v>
      </c>
      <c r="E2960" s="5" t="s">
        <v>20</v>
      </c>
      <c r="F2960" s="5">
        <v>2004</v>
      </c>
      <c r="G2960" s="5" t="s">
        <v>12</v>
      </c>
      <c r="H2960" s="5" t="s">
        <v>17</v>
      </c>
      <c r="I2960" s="5" t="s">
        <v>108</v>
      </c>
      <c r="J2960" s="98" t="s">
        <v>3462</v>
      </c>
    </row>
    <row r="2961" spans="1:10" ht="28.9" customHeight="1" thickTop="1" thickBot="1" x14ac:dyDescent="0.65">
      <c r="A2961" s="7">
        <v>2959</v>
      </c>
      <c r="B2961" s="48" t="str">
        <f>HYPERLINK("https://search.naver.com/search.naver?query=터미널 리스트: 다크 울프 시즌1", "터미널 리스트 다크 울프 시즌1")</f>
        <v>터미널 리스트 다크 울프 시즌1</v>
      </c>
      <c r="C2961" s="49"/>
      <c r="D2961" s="8" t="s">
        <v>3005</v>
      </c>
      <c r="E2961" s="7" t="s">
        <v>20</v>
      </c>
      <c r="F2961" s="7">
        <v>2025</v>
      </c>
      <c r="G2961" s="7" t="s">
        <v>17</v>
      </c>
      <c r="H2961" s="7" t="s">
        <v>162</v>
      </c>
      <c r="I2961" s="7" t="s">
        <v>324</v>
      </c>
      <c r="J2961" s="99" t="s">
        <v>3459</v>
      </c>
    </row>
    <row r="2962" spans="1:10" ht="28.9" customHeight="1" thickTop="1" thickBot="1" x14ac:dyDescent="0.65">
      <c r="A2962" s="5">
        <v>2960</v>
      </c>
      <c r="B2962" s="46" t="str">
        <f>HYPERLINK("https://search.naver.com/search.naver?query=터미네이터 제니시스 영화", "터미네이터 - 제니시스")</f>
        <v>터미네이터 - 제니시스</v>
      </c>
      <c r="C2962" s="47">
        <v>8.1300000000000008</v>
      </c>
      <c r="D2962" s="6" t="s">
        <v>3006</v>
      </c>
      <c r="E2962" s="5" t="s">
        <v>20</v>
      </c>
      <c r="F2962" s="5">
        <v>2015</v>
      </c>
      <c r="G2962" s="5" t="s">
        <v>12</v>
      </c>
      <c r="H2962" s="5" t="s">
        <v>92</v>
      </c>
      <c r="I2962" s="5" t="s">
        <v>78</v>
      </c>
      <c r="J2962" s="98" t="s">
        <v>3440</v>
      </c>
    </row>
    <row r="2963" spans="1:10" ht="28.9" customHeight="1" thickTop="1" thickBot="1" x14ac:dyDescent="0.65">
      <c r="A2963" s="3">
        <v>2961</v>
      </c>
      <c r="B2963" s="44" t="str">
        <f>HYPERLINK("https://search.naver.com/search.naver?query=터미네이터 다크 페이트 영화", "터미네이터-다크 페이트")</f>
        <v>터미네이터-다크 페이트</v>
      </c>
      <c r="C2963" s="45">
        <v>8.56</v>
      </c>
      <c r="D2963" s="4" t="s">
        <v>3007</v>
      </c>
      <c r="E2963" s="3" t="s">
        <v>20</v>
      </c>
      <c r="F2963" s="3">
        <v>2019</v>
      </c>
      <c r="G2963" s="3" t="s">
        <v>12</v>
      </c>
      <c r="H2963" s="3" t="s">
        <v>92</v>
      </c>
      <c r="I2963" s="3" t="s">
        <v>108</v>
      </c>
      <c r="J2963" s="97" t="s">
        <v>3444</v>
      </c>
    </row>
    <row r="2964" spans="1:10" ht="28.9" customHeight="1" thickTop="1" thickBot="1" x14ac:dyDescent="0.65">
      <c r="A2964" s="5">
        <v>2962</v>
      </c>
      <c r="B2964" s="46" t="str">
        <f>HYPERLINK("https://search.naver.com/search.naver?query=터치 영화", "터치")</f>
        <v>터치</v>
      </c>
      <c r="C2964" s="47">
        <v>6.83</v>
      </c>
      <c r="D2964" s="6" t="s">
        <v>3008</v>
      </c>
      <c r="E2964" s="5" t="s">
        <v>16</v>
      </c>
      <c r="F2964" s="5">
        <v>2005</v>
      </c>
      <c r="G2964" s="5" t="s">
        <v>12</v>
      </c>
      <c r="H2964" s="5" t="s">
        <v>17</v>
      </c>
      <c r="I2964" s="5" t="s">
        <v>366</v>
      </c>
      <c r="J2964" s="98" t="s">
        <v>3461</v>
      </c>
    </row>
    <row r="2965" spans="1:10" ht="28.9" customHeight="1" thickTop="1" thickBot="1" x14ac:dyDescent="0.65">
      <c r="A2965" s="3">
        <v>2963</v>
      </c>
      <c r="B2965" s="44" t="str">
        <f>HYPERLINK("https://search.naver.com/search.naver?query=테넷 영화", "테넷")</f>
        <v>테넷</v>
      </c>
      <c r="C2965" s="45">
        <v>8.73</v>
      </c>
      <c r="D2965" s="4" t="s">
        <v>3009</v>
      </c>
      <c r="E2965" s="3" t="s">
        <v>24</v>
      </c>
      <c r="F2965" s="3">
        <v>2020</v>
      </c>
      <c r="G2965" s="3" t="s">
        <v>12</v>
      </c>
      <c r="H2965" s="3" t="s">
        <v>92</v>
      </c>
      <c r="I2965" s="3" t="s">
        <v>523</v>
      </c>
      <c r="J2965" s="97" t="s">
        <v>3436</v>
      </c>
    </row>
    <row r="2966" spans="1:10" ht="28.9" customHeight="1" thickTop="1" thickBot="1" x14ac:dyDescent="0.65">
      <c r="A2966" s="7">
        <v>2964</v>
      </c>
      <c r="B2966" s="48" t="str">
        <f>HYPERLINK("https://search.naver.com/search.naver?query=테드 래소 시즌1", "테드 래소 시즌1")</f>
        <v>테드 래소 시즌1</v>
      </c>
      <c r="C2966" s="49"/>
      <c r="D2966" s="8" t="s">
        <v>3010</v>
      </c>
      <c r="E2966" s="7" t="s">
        <v>20</v>
      </c>
      <c r="F2966" s="7">
        <v>2020</v>
      </c>
      <c r="G2966" s="7" t="s">
        <v>17</v>
      </c>
      <c r="H2966" s="7" t="s">
        <v>17</v>
      </c>
      <c r="I2966" s="7" t="s">
        <v>50</v>
      </c>
      <c r="J2966" s="99" t="s">
        <v>3436</v>
      </c>
    </row>
    <row r="2967" spans="1:10" ht="28.9" customHeight="1" thickTop="1" thickBot="1" x14ac:dyDescent="0.65">
      <c r="A2967" s="7">
        <v>2965</v>
      </c>
      <c r="B2967" s="48" t="str">
        <f>HYPERLINK("https://search.naver.com/search.naver?query=테드 래소 시즌2", "테드 래소 시즌2")</f>
        <v>테드 래소 시즌2</v>
      </c>
      <c r="C2967" s="49"/>
      <c r="D2967" s="8" t="s">
        <v>3010</v>
      </c>
      <c r="E2967" s="7" t="s">
        <v>20</v>
      </c>
      <c r="F2967" s="7">
        <v>2021</v>
      </c>
      <c r="G2967" s="7" t="s">
        <v>17</v>
      </c>
      <c r="H2967" s="7" t="s">
        <v>17</v>
      </c>
      <c r="I2967" s="7" t="s">
        <v>893</v>
      </c>
      <c r="J2967" s="99" t="s">
        <v>3438</v>
      </c>
    </row>
    <row r="2968" spans="1:10" ht="28.9" customHeight="1" thickTop="1" thickBot="1" x14ac:dyDescent="0.65">
      <c r="A2968" s="5">
        <v>2966</v>
      </c>
      <c r="B2968" s="46" t="str">
        <f>HYPERLINK("https://search.naver.com/search.naver?query=테레즈 라캥 영화", "테레즈 라캥")</f>
        <v>테레즈 라캥</v>
      </c>
      <c r="C2968" s="47">
        <v>7.69</v>
      </c>
      <c r="D2968" s="6" t="s">
        <v>3011</v>
      </c>
      <c r="E2968" s="5" t="s">
        <v>210</v>
      </c>
      <c r="F2968" s="5">
        <v>2013</v>
      </c>
      <c r="G2968" s="5" t="s">
        <v>12</v>
      </c>
      <c r="H2968" s="5" t="s">
        <v>17</v>
      </c>
      <c r="I2968" s="5" t="s">
        <v>286</v>
      </c>
      <c r="J2968" s="98" t="s">
        <v>3451</v>
      </c>
    </row>
    <row r="2969" spans="1:10" ht="28.9" customHeight="1" thickTop="1" thickBot="1" x14ac:dyDescent="0.65">
      <c r="A2969" s="3">
        <v>2967</v>
      </c>
      <c r="B2969" s="44" t="str">
        <f>HYPERLINK("https://search.naver.com/search.naver?query=테이크 쉘터 영화", "테이크 쉘터")</f>
        <v>테이크 쉘터</v>
      </c>
      <c r="C2969" s="45">
        <v>7.51</v>
      </c>
      <c r="D2969" s="4" t="s">
        <v>3012</v>
      </c>
      <c r="E2969" s="3" t="s">
        <v>20</v>
      </c>
      <c r="F2969" s="3">
        <v>2011</v>
      </c>
      <c r="G2969" s="3" t="s">
        <v>12</v>
      </c>
      <c r="H2969" s="3" t="s">
        <v>17</v>
      </c>
      <c r="I2969" s="3" t="s">
        <v>86</v>
      </c>
      <c r="J2969" s="97" t="s">
        <v>3454</v>
      </c>
    </row>
    <row r="2970" spans="1:10" ht="28.9" customHeight="1" thickTop="1" thickBot="1" x14ac:dyDescent="0.65">
      <c r="A2970" s="5">
        <v>2968</v>
      </c>
      <c r="B2970" s="46" t="str">
        <f>HYPERLINK("https://search.naver.com/search.naver?query=테이큰 2 영화", "테이큰 2")</f>
        <v>테이큰 2</v>
      </c>
      <c r="C2970" s="47">
        <v>7</v>
      </c>
      <c r="D2970" s="6" t="s">
        <v>3013</v>
      </c>
      <c r="E2970" s="5" t="s">
        <v>210</v>
      </c>
      <c r="F2970" s="5">
        <v>2012</v>
      </c>
      <c r="G2970" s="5" t="s">
        <v>12</v>
      </c>
      <c r="H2970" s="5" t="s">
        <v>92</v>
      </c>
      <c r="I2970" s="5" t="s">
        <v>147</v>
      </c>
      <c r="J2970" s="98" t="s">
        <v>3439</v>
      </c>
    </row>
    <row r="2971" spans="1:10" ht="28.9" customHeight="1" thickTop="1" thickBot="1" x14ac:dyDescent="0.65">
      <c r="A2971" s="3">
        <v>2969</v>
      </c>
      <c r="B2971" s="44" t="str">
        <f>HYPERLINK("https://search.naver.com/search.naver?query=테이큰 3 영화", "테이큰 3")</f>
        <v>테이큰 3</v>
      </c>
      <c r="C2971" s="45">
        <v>8.06</v>
      </c>
      <c r="D2971" s="4" t="s">
        <v>3014</v>
      </c>
      <c r="E2971" s="3" t="s">
        <v>210</v>
      </c>
      <c r="F2971" s="3">
        <v>2014</v>
      </c>
      <c r="G2971" s="3" t="s">
        <v>12</v>
      </c>
      <c r="H2971" s="3" t="s">
        <v>92</v>
      </c>
      <c r="I2971" s="3" t="s">
        <v>137</v>
      </c>
      <c r="J2971" s="97" t="s">
        <v>3437</v>
      </c>
    </row>
    <row r="2972" spans="1:10" ht="28.9" customHeight="1" thickTop="1" thickBot="1" x14ac:dyDescent="0.65">
      <c r="A2972" s="5">
        <v>2970</v>
      </c>
      <c r="B2972" s="46" t="str">
        <f>HYPERLINK("https://search.naver.com/search.naver?query=테일러 오브 파나마 영화", "테일러 오브 파나마")</f>
        <v>테일러 오브 파나마</v>
      </c>
      <c r="C2972" s="47">
        <v>6.04</v>
      </c>
      <c r="D2972" s="6" t="s">
        <v>3015</v>
      </c>
      <c r="E2972" s="5" t="s">
        <v>558</v>
      </c>
      <c r="F2972" s="5">
        <v>2001</v>
      </c>
      <c r="G2972" s="5" t="s">
        <v>12</v>
      </c>
      <c r="H2972" s="5" t="s">
        <v>43</v>
      </c>
      <c r="I2972" s="5" t="s">
        <v>137</v>
      </c>
      <c r="J2972" s="98" t="s">
        <v>3457</v>
      </c>
    </row>
    <row r="2973" spans="1:10" ht="28.9" customHeight="1" thickTop="1" thickBot="1" x14ac:dyDescent="0.65">
      <c r="A2973" s="7">
        <v>2971</v>
      </c>
      <c r="B2973" s="48" t="str">
        <f>HYPERLINK("https://search.naver.com/search.naver?query=테헤란 시즌1", "테헤란 시즌1")</f>
        <v>테헤란 시즌1</v>
      </c>
      <c r="C2973" s="49"/>
      <c r="D2973" s="8" t="s">
        <v>3016</v>
      </c>
      <c r="E2973" s="7" t="s">
        <v>637</v>
      </c>
      <c r="F2973" s="7">
        <v>2020</v>
      </c>
      <c r="G2973" s="7" t="s">
        <v>17</v>
      </c>
      <c r="H2973" s="7" t="s">
        <v>13</v>
      </c>
      <c r="I2973" s="7" t="s">
        <v>55</v>
      </c>
      <c r="J2973" s="99" t="s">
        <v>3436</v>
      </c>
    </row>
    <row r="2974" spans="1:10" ht="28.9" customHeight="1" thickTop="1" thickBot="1" x14ac:dyDescent="0.65">
      <c r="A2974" s="7">
        <v>2972</v>
      </c>
      <c r="B2974" s="48" t="str">
        <f>HYPERLINK("https://search.naver.com/search.naver?query=테헤란 시즌2", "테헤란 시즌2")</f>
        <v>테헤란 시즌2</v>
      </c>
      <c r="C2974" s="49"/>
      <c r="D2974" s="8" t="s">
        <v>3016</v>
      </c>
      <c r="E2974" s="7" t="s">
        <v>637</v>
      </c>
      <c r="F2974" s="7">
        <v>2022</v>
      </c>
      <c r="G2974" s="7" t="s">
        <v>17</v>
      </c>
      <c r="H2974" s="7" t="s">
        <v>13</v>
      </c>
      <c r="I2974" s="7" t="s">
        <v>55</v>
      </c>
      <c r="J2974" s="99" t="s">
        <v>3445</v>
      </c>
    </row>
    <row r="2975" spans="1:10" ht="28.9" customHeight="1" thickTop="1" thickBot="1" x14ac:dyDescent="0.65">
      <c r="A2975" s="7">
        <v>2973</v>
      </c>
      <c r="B2975" s="48" t="str">
        <f>HYPERLINK("https://search.naver.com/search.naver?query=테헤란 시즌3", "테헤란 시즌3")</f>
        <v>테헤란 시즌3</v>
      </c>
      <c r="C2975" s="49"/>
      <c r="D2975" s="8" t="s">
        <v>3016</v>
      </c>
      <c r="E2975" s="7" t="s">
        <v>637</v>
      </c>
      <c r="F2975" s="7">
        <v>2026</v>
      </c>
      <c r="G2975" s="7" t="s">
        <v>17</v>
      </c>
      <c r="H2975" s="7" t="s">
        <v>13</v>
      </c>
      <c r="I2975" s="7" t="s">
        <v>55</v>
      </c>
      <c r="J2975" s="99">
        <v>46081</v>
      </c>
    </row>
    <row r="2976" spans="1:10" ht="28.9" customHeight="1" thickTop="1" thickBot="1" x14ac:dyDescent="0.65">
      <c r="A2976" s="5">
        <v>2974</v>
      </c>
      <c r="B2976" s="46" t="str">
        <f>HYPERLINK("https://search.naver.com/search.naver?query=텔 잇 투 더 비즈 영화", "텔 잇 투 더 비즈")</f>
        <v>텔 잇 투 더 비즈</v>
      </c>
      <c r="C2976" s="47">
        <v>8.15</v>
      </c>
      <c r="D2976" s="6" t="s">
        <v>3017</v>
      </c>
      <c r="E2976" s="5" t="s">
        <v>24</v>
      </c>
      <c r="F2976" s="5">
        <v>2018</v>
      </c>
      <c r="G2976" s="5" t="s">
        <v>12</v>
      </c>
      <c r="H2976" s="5" t="s">
        <v>17</v>
      </c>
      <c r="I2976" s="5" t="s">
        <v>286</v>
      </c>
      <c r="J2976" s="98" t="s">
        <v>3442</v>
      </c>
    </row>
    <row r="2977" spans="1:10" ht="28.9" customHeight="1" thickTop="1" thickBot="1" x14ac:dyDescent="0.65">
      <c r="A2977" s="3">
        <v>2975</v>
      </c>
      <c r="B2977" s="44" t="str">
        <f>HYPERLINK("https://search.naver.com/search.naver?query=토고 영화", "토고")</f>
        <v>토고</v>
      </c>
      <c r="C2977" s="45">
        <v>6.4</v>
      </c>
      <c r="D2977" s="4" t="s">
        <v>3018</v>
      </c>
      <c r="E2977" s="3" t="s">
        <v>20</v>
      </c>
      <c r="F2977" s="3">
        <v>2019</v>
      </c>
      <c r="G2977" s="3" t="s">
        <v>12</v>
      </c>
      <c r="H2977" s="3" t="s">
        <v>824</v>
      </c>
      <c r="I2977" s="3" t="s">
        <v>73</v>
      </c>
      <c r="J2977" s="97" t="s">
        <v>3444</v>
      </c>
    </row>
    <row r="2978" spans="1:10" ht="28.9" customHeight="1" thickTop="1" thickBot="1" x14ac:dyDescent="0.65">
      <c r="A2978" s="5">
        <v>2976</v>
      </c>
      <c r="B2978" s="46" t="str">
        <f>HYPERLINK("https://search.naver.com/search.naver?query=토끼 드롭 영화", "토끼 드롭")</f>
        <v>토끼 드롭</v>
      </c>
      <c r="C2978" s="47">
        <v>3.83</v>
      </c>
      <c r="D2978" s="6" t="s">
        <v>3019</v>
      </c>
      <c r="E2978" s="5" t="s">
        <v>16</v>
      </c>
      <c r="F2978" s="5">
        <v>2011</v>
      </c>
      <c r="G2978" s="5" t="s">
        <v>12</v>
      </c>
      <c r="H2978" s="5" t="s">
        <v>17</v>
      </c>
      <c r="I2978" s="5" t="s">
        <v>73</v>
      </c>
      <c r="J2978" s="98" t="s">
        <v>3454</v>
      </c>
    </row>
    <row r="2979" spans="1:10" ht="28.9" customHeight="1" thickTop="1" thickBot="1" x14ac:dyDescent="0.65">
      <c r="A2979" s="3">
        <v>2977</v>
      </c>
      <c r="B2979" s="44" t="str">
        <f>HYPERLINK("https://search.naver.com/search.naver?query=토니 에드만 영화", "토니 에드만")</f>
        <v>토니 에드만</v>
      </c>
      <c r="C2979" s="45">
        <v>8.35</v>
      </c>
      <c r="D2979" s="4" t="s">
        <v>3020</v>
      </c>
      <c r="E2979" s="3" t="s">
        <v>101</v>
      </c>
      <c r="F2979" s="3">
        <v>2016</v>
      </c>
      <c r="G2979" s="3" t="s">
        <v>12</v>
      </c>
      <c r="H2979" s="3" t="s">
        <v>68</v>
      </c>
      <c r="I2979" s="3" t="s">
        <v>714</v>
      </c>
      <c r="J2979" s="97" t="s">
        <v>3441</v>
      </c>
    </row>
    <row r="2980" spans="1:10" ht="28.9" customHeight="1" thickTop="1" thickBot="1" x14ac:dyDescent="0.65">
      <c r="A2980" s="5">
        <v>2978</v>
      </c>
      <c r="B2980" s="46" t="str">
        <f>HYPERLINK("https://search.naver.com/search.naver?query=토카레브 영화", "토카레브")</f>
        <v>토카레브</v>
      </c>
      <c r="C2980" s="47">
        <v>4.7</v>
      </c>
      <c r="D2980" s="6" t="s">
        <v>3021</v>
      </c>
      <c r="E2980" s="5" t="s">
        <v>210</v>
      </c>
      <c r="F2980" s="5">
        <v>2014</v>
      </c>
      <c r="G2980" s="5" t="s">
        <v>12</v>
      </c>
      <c r="H2980" s="5" t="s">
        <v>92</v>
      </c>
      <c r="I2980" s="5" t="s">
        <v>14</v>
      </c>
      <c r="J2980" s="98" t="s">
        <v>3437</v>
      </c>
    </row>
    <row r="2981" spans="1:10" ht="28.9" customHeight="1" thickTop="1" thickBot="1" x14ac:dyDescent="0.65">
      <c r="A2981" s="3">
        <v>2979</v>
      </c>
      <c r="B2981" s="44" t="str">
        <f>HYPERLINK("https://search.naver.com/search.naver?query=톰 클랜시의 복수 영화", "톰 클랜시의 복수")</f>
        <v>톰 클랜시의 복수</v>
      </c>
      <c r="C2981" s="45">
        <v>6.4</v>
      </c>
      <c r="D2981" s="4" t="s">
        <v>3022</v>
      </c>
      <c r="E2981" s="3" t="s">
        <v>20</v>
      </c>
      <c r="F2981" s="3">
        <v>2021</v>
      </c>
      <c r="G2981" s="3" t="s">
        <v>12</v>
      </c>
      <c r="H2981" s="3" t="s">
        <v>92</v>
      </c>
      <c r="I2981" s="3" t="s">
        <v>137</v>
      </c>
      <c r="J2981" s="97" t="s">
        <v>3438</v>
      </c>
    </row>
    <row r="2982" spans="1:10" ht="28.9" customHeight="1" thickTop="1" thickBot="1" x14ac:dyDescent="0.65">
      <c r="A2982" s="7">
        <v>2980</v>
      </c>
      <c r="B2982" s="48" t="str">
        <f>HYPERLINK("https://search.naver.com/search.naver?query=톰 클랜시의 잭 라이언 시즌1", "톰 클랜시의 잭 라이언 시즌1")</f>
        <v>톰 클랜시의 잭 라이언 시즌1</v>
      </c>
      <c r="C2982" s="49"/>
      <c r="D2982" s="8" t="s">
        <v>3023</v>
      </c>
      <c r="E2982" s="7" t="s">
        <v>20</v>
      </c>
      <c r="F2982" s="7">
        <v>2018</v>
      </c>
      <c r="G2982" s="7" t="s">
        <v>17</v>
      </c>
      <c r="H2982" s="7" t="s">
        <v>516</v>
      </c>
      <c r="I2982" s="7" t="s">
        <v>55</v>
      </c>
      <c r="J2982" s="99" t="s">
        <v>3442</v>
      </c>
    </row>
    <row r="2983" spans="1:10" ht="28.9" customHeight="1" thickTop="1" thickBot="1" x14ac:dyDescent="0.65">
      <c r="A2983" s="7">
        <v>2981</v>
      </c>
      <c r="B2983" s="48" t="str">
        <f>HYPERLINK("https://search.naver.com/search.naver?query=톰 클랜시의 잭 라이언 시즌2", "톰 클랜시의 잭 라이언 시즌2")</f>
        <v>톰 클랜시의 잭 라이언 시즌2</v>
      </c>
      <c r="C2983" s="49"/>
      <c r="D2983" s="8" t="s">
        <v>3023</v>
      </c>
      <c r="E2983" s="7" t="s">
        <v>20</v>
      </c>
      <c r="F2983" s="7">
        <v>2019</v>
      </c>
      <c r="G2983" s="7" t="s">
        <v>17</v>
      </c>
      <c r="H2983" s="7" t="s">
        <v>516</v>
      </c>
      <c r="I2983" s="7" t="s">
        <v>55</v>
      </c>
      <c r="J2983" s="99" t="s">
        <v>3444</v>
      </c>
    </row>
    <row r="2984" spans="1:10" ht="28.9" customHeight="1" thickTop="1" thickBot="1" x14ac:dyDescent="0.65">
      <c r="A2984" s="7">
        <v>2982</v>
      </c>
      <c r="B2984" s="48" t="str">
        <f>HYPERLINK("https://search.naver.com/search.naver?query=톰 클랜시의 잭 라이언 시즌3", "톰 클랜시의 잭 라이언 시즌3")</f>
        <v>톰 클랜시의 잭 라이언 시즌3</v>
      </c>
      <c r="C2984" s="49"/>
      <c r="D2984" s="8" t="s">
        <v>3023</v>
      </c>
      <c r="E2984" s="7" t="s">
        <v>20</v>
      </c>
      <c r="F2984" s="7">
        <v>2022</v>
      </c>
      <c r="G2984" s="7" t="s">
        <v>17</v>
      </c>
      <c r="H2984" s="7" t="s">
        <v>516</v>
      </c>
      <c r="I2984" s="7" t="s">
        <v>55</v>
      </c>
      <c r="J2984" s="99" t="s">
        <v>3445</v>
      </c>
    </row>
    <row r="2985" spans="1:10" ht="28.9" customHeight="1" thickTop="1" thickBot="1" x14ac:dyDescent="0.65">
      <c r="A2985" s="7">
        <v>2983</v>
      </c>
      <c r="B2985" s="48" t="str">
        <f>HYPERLINK("https://search.naver.com/search.naver?query=톰 클랜시의 잭 라이언 시즌4", "톰 클랜시의 잭 라이언 시즌4")</f>
        <v>톰 클랜시의 잭 라이언 시즌4</v>
      </c>
      <c r="C2985" s="49"/>
      <c r="D2985" s="8" t="s">
        <v>3023</v>
      </c>
      <c r="E2985" s="7" t="s">
        <v>20</v>
      </c>
      <c r="F2985" s="7">
        <v>2023</v>
      </c>
      <c r="G2985" s="7" t="s">
        <v>17</v>
      </c>
      <c r="H2985" s="7" t="s">
        <v>516</v>
      </c>
      <c r="I2985" s="7" t="s">
        <v>173</v>
      </c>
      <c r="J2985" s="99" t="s">
        <v>3446</v>
      </c>
    </row>
    <row r="2986" spans="1:10" ht="28.9" customHeight="1" thickTop="1" thickBot="1" x14ac:dyDescent="0.65">
      <c r="A2986" s="5">
        <v>2984</v>
      </c>
      <c r="B2986" s="46" t="str">
        <f>HYPERLINK("https://search.naver.com/search.naver?query=톱스타 영화", "톱스타")</f>
        <v>톱스타</v>
      </c>
      <c r="C2986" s="47">
        <v>7.38</v>
      </c>
      <c r="D2986" s="6" t="s">
        <v>3024</v>
      </c>
      <c r="E2986" s="5" t="s">
        <v>11</v>
      </c>
      <c r="F2986" s="5">
        <v>2013</v>
      </c>
      <c r="G2986" s="5" t="s">
        <v>12</v>
      </c>
      <c r="H2986" s="5" t="s">
        <v>17</v>
      </c>
      <c r="I2986" s="5" t="s">
        <v>128</v>
      </c>
      <c r="J2986" s="98" t="s">
        <v>3451</v>
      </c>
    </row>
    <row r="2987" spans="1:10" ht="28.9" customHeight="1" thickTop="1" thickBot="1" x14ac:dyDescent="0.65">
      <c r="A2987" s="3">
        <v>2985</v>
      </c>
      <c r="B2987" s="44" t="str">
        <f>HYPERLINK("https://search.naver.com/search.naver?query=투 더 원더 영화", "투 더 원더")</f>
        <v>투 더 원더</v>
      </c>
      <c r="C2987" s="45">
        <v>7.64</v>
      </c>
      <c r="D2987" s="4" t="s">
        <v>3025</v>
      </c>
      <c r="E2987" s="3" t="s">
        <v>20</v>
      </c>
      <c r="F2987" s="3">
        <v>2012</v>
      </c>
      <c r="G2987" s="3" t="s">
        <v>12</v>
      </c>
      <c r="H2987" s="3" t="s">
        <v>17</v>
      </c>
      <c r="I2987" s="3" t="s">
        <v>278</v>
      </c>
      <c r="J2987" s="97" t="s">
        <v>3439</v>
      </c>
    </row>
    <row r="2988" spans="1:10" ht="28.9" customHeight="1" thickTop="1" thickBot="1" x14ac:dyDescent="0.65">
      <c r="A2988" s="5">
        <v>2986</v>
      </c>
      <c r="B2988" s="46" t="str">
        <f>HYPERLINK("https://search.naver.com/search.naver?query=투 러버스 영화", "투 러버스")</f>
        <v>투 러버스</v>
      </c>
      <c r="C2988" s="47">
        <v>7.88</v>
      </c>
      <c r="D2988" s="6" t="s">
        <v>3026</v>
      </c>
      <c r="E2988" s="5" t="s">
        <v>20</v>
      </c>
      <c r="F2988" s="5">
        <v>2008</v>
      </c>
      <c r="G2988" s="5" t="s">
        <v>12</v>
      </c>
      <c r="H2988" s="5" t="s">
        <v>17</v>
      </c>
      <c r="I2988" s="5" t="s">
        <v>96</v>
      </c>
      <c r="J2988" s="98" t="s">
        <v>3450</v>
      </c>
    </row>
    <row r="2989" spans="1:10" ht="28.9" customHeight="1" thickTop="1" thickBot="1" x14ac:dyDescent="0.65">
      <c r="A2989" s="3">
        <v>2987</v>
      </c>
      <c r="B2989" s="44" t="str">
        <f>HYPERLINK("https://search.naver.com/search.naver?query=투 로마 위드 러브 영화", "투 로마 위드 러브")</f>
        <v>투 로마 위드 러브</v>
      </c>
      <c r="C2989" s="45">
        <v>6.4</v>
      </c>
      <c r="D2989" s="4" t="s">
        <v>3027</v>
      </c>
      <c r="E2989" s="3" t="s">
        <v>20</v>
      </c>
      <c r="F2989" s="3">
        <v>2012</v>
      </c>
      <c r="G2989" s="3" t="s">
        <v>12</v>
      </c>
      <c r="H2989" s="3" t="s">
        <v>68</v>
      </c>
      <c r="I2989" s="3" t="s">
        <v>278</v>
      </c>
      <c r="J2989" s="97" t="s">
        <v>3439</v>
      </c>
    </row>
    <row r="2990" spans="1:10" ht="28.9" customHeight="1" thickTop="1" thickBot="1" x14ac:dyDescent="0.65">
      <c r="A2990" s="5">
        <v>2988</v>
      </c>
      <c r="B2990" s="46" t="str">
        <f>HYPERLINK("https://search.naver.com/search.naver?query=투 마더스 영화", "투 마더스")</f>
        <v>투 마더스</v>
      </c>
      <c r="C2990" s="47">
        <v>7.09</v>
      </c>
      <c r="D2990" s="6" t="s">
        <v>3028</v>
      </c>
      <c r="E2990" s="5" t="s">
        <v>210</v>
      </c>
      <c r="F2990" s="5">
        <v>2013</v>
      </c>
      <c r="G2990" s="5" t="s">
        <v>12</v>
      </c>
      <c r="H2990" s="5" t="s">
        <v>17</v>
      </c>
      <c r="I2990" s="5" t="s">
        <v>96</v>
      </c>
      <c r="J2990" s="98" t="s">
        <v>3451</v>
      </c>
    </row>
    <row r="2991" spans="1:10" ht="28.9" customHeight="1" thickTop="1" thickBot="1" x14ac:dyDescent="0.65">
      <c r="A2991" s="3">
        <v>2989</v>
      </c>
      <c r="B2991" s="44" t="str">
        <f>HYPERLINK("https://search.naver.com/search.naver?query=투 빅 투 페일 영화", "투 빅 투 페일")</f>
        <v>투 빅 투 페일</v>
      </c>
      <c r="C2991" s="45">
        <v>6.4</v>
      </c>
      <c r="D2991" s="4" t="s">
        <v>3029</v>
      </c>
      <c r="E2991" s="3" t="s">
        <v>20</v>
      </c>
      <c r="F2991" s="3">
        <v>2011</v>
      </c>
      <c r="G2991" s="3" t="s">
        <v>12</v>
      </c>
      <c r="H2991" s="3" t="s">
        <v>17</v>
      </c>
      <c r="I2991" s="3" t="s">
        <v>81</v>
      </c>
      <c r="J2991" s="97" t="s">
        <v>3454</v>
      </c>
    </row>
    <row r="2992" spans="1:10" ht="28.9" customHeight="1" thickTop="1" thickBot="1" x14ac:dyDescent="0.65">
      <c r="A2992" s="5">
        <v>2990</v>
      </c>
      <c r="B2992" s="46" t="str">
        <f>HYPERLINK("https://search.naver.com/search.naver?query=투 이즈 어 패밀리 영화", "투 이즈 어 패밀리")</f>
        <v>투 이즈 어 패밀리</v>
      </c>
      <c r="C2992" s="47">
        <v>8</v>
      </c>
      <c r="D2992" s="6" t="s">
        <v>3030</v>
      </c>
      <c r="E2992" s="5" t="s">
        <v>210</v>
      </c>
      <c r="F2992" s="5">
        <v>2016</v>
      </c>
      <c r="G2992" s="5" t="s">
        <v>12</v>
      </c>
      <c r="H2992" s="5" t="s">
        <v>68</v>
      </c>
      <c r="I2992" s="5" t="s">
        <v>221</v>
      </c>
      <c r="J2992" s="98" t="s">
        <v>3441</v>
      </c>
    </row>
    <row r="2993" spans="1:10" ht="28.9" customHeight="1" thickTop="1" thickBot="1" x14ac:dyDescent="0.65">
      <c r="A2993" s="3">
        <v>2991</v>
      </c>
      <c r="B2993" s="44" t="str">
        <f>HYPERLINK("https://search.naver.com/search.naver?query=투가이즈 영화", "투가이즈")</f>
        <v>투가이즈</v>
      </c>
      <c r="C2993" s="45">
        <v>7.82</v>
      </c>
      <c r="D2993" s="4" t="s">
        <v>3031</v>
      </c>
      <c r="E2993" s="3" t="s">
        <v>11</v>
      </c>
      <c r="F2993" s="3">
        <v>2004</v>
      </c>
      <c r="G2993" s="3" t="s">
        <v>12</v>
      </c>
      <c r="H2993" s="3" t="s">
        <v>68</v>
      </c>
      <c r="I2993" s="3" t="s">
        <v>111</v>
      </c>
      <c r="J2993" s="97" t="s">
        <v>3462</v>
      </c>
    </row>
    <row r="2994" spans="1:10" ht="28.9" customHeight="1" thickTop="1" thickBot="1" x14ac:dyDescent="0.65">
      <c r="A2994" s="5">
        <v>2992</v>
      </c>
      <c r="B2994" s="46" t="str">
        <f>HYPERLINK("https://search.naver.com/search.naver?query=투건스 영화", "투건스")</f>
        <v>투건스</v>
      </c>
      <c r="C2994" s="47">
        <v>7.2</v>
      </c>
      <c r="D2994" s="6" t="s">
        <v>3032</v>
      </c>
      <c r="E2994" s="5" t="s">
        <v>20</v>
      </c>
      <c r="F2994" s="5">
        <v>2013</v>
      </c>
      <c r="G2994" s="5" t="s">
        <v>12</v>
      </c>
      <c r="H2994" s="5" t="s">
        <v>92</v>
      </c>
      <c r="I2994" s="5" t="s">
        <v>137</v>
      </c>
      <c r="J2994" s="98" t="s">
        <v>3451</v>
      </c>
    </row>
    <row r="2995" spans="1:10" ht="28.9" customHeight="1" thickTop="1" thickBot="1" x14ac:dyDescent="0.65">
      <c r="A2995" s="3">
        <v>2993</v>
      </c>
      <c r="B2995" s="44" t="str">
        <f>HYPERLINK("https://search.naver.com/search.naver?query=투모로우 워 영화", "투모로우 워")</f>
        <v>투모로우 워</v>
      </c>
      <c r="C2995" s="45">
        <v>7.79</v>
      </c>
      <c r="D2995" s="4" t="s">
        <v>3033</v>
      </c>
      <c r="E2995" s="3" t="s">
        <v>20</v>
      </c>
      <c r="F2995" s="3">
        <v>2021</v>
      </c>
      <c r="G2995" s="3" t="s">
        <v>12</v>
      </c>
      <c r="H2995" s="3" t="s">
        <v>92</v>
      </c>
      <c r="I2995" s="3" t="s">
        <v>619</v>
      </c>
      <c r="J2995" s="97" t="s">
        <v>3438</v>
      </c>
    </row>
    <row r="2996" spans="1:10" ht="28.9" customHeight="1" thickTop="1" thickBot="1" x14ac:dyDescent="0.65">
      <c r="A2996" s="5">
        <v>2994</v>
      </c>
      <c r="B2996" s="46" t="str">
        <f>HYPERLINK("https://search.naver.com/search.naver?query=투스카니의 태양 영화", "투스카니의 태양")</f>
        <v>투스카니의 태양</v>
      </c>
      <c r="C2996" s="47">
        <v>8.6300000000000008</v>
      </c>
      <c r="D2996" s="6" t="s">
        <v>3034</v>
      </c>
      <c r="E2996" s="5" t="s">
        <v>20</v>
      </c>
      <c r="F2996" s="5">
        <v>2003</v>
      </c>
      <c r="G2996" s="5" t="s">
        <v>12</v>
      </c>
      <c r="H2996" s="5" t="s">
        <v>17</v>
      </c>
      <c r="I2996" s="5" t="s">
        <v>73</v>
      </c>
      <c r="J2996" s="98" t="s">
        <v>3449</v>
      </c>
    </row>
    <row r="2997" spans="1:10" ht="28.9" customHeight="1" thickTop="1" thickBot="1" x14ac:dyDescent="0.65">
      <c r="A2997" s="3">
        <v>2995</v>
      </c>
      <c r="B2997" s="44" t="str">
        <f>HYPERLINK("https://search.naver.com/search.naver?query=투어드포스 기적의여정 영화", "투어드포스-기적의여정")</f>
        <v>투어드포스-기적의여정</v>
      </c>
      <c r="C2997" s="45">
        <v>6.4</v>
      </c>
      <c r="D2997" s="4" t="s">
        <v>3035</v>
      </c>
      <c r="E2997" s="3" t="s">
        <v>101</v>
      </c>
      <c r="F2997" s="3">
        <v>2014</v>
      </c>
      <c r="G2997" s="3" t="s">
        <v>12</v>
      </c>
      <c r="H2997" s="3" t="s">
        <v>17</v>
      </c>
      <c r="I2997" s="3" t="s">
        <v>111</v>
      </c>
      <c r="J2997" s="97" t="s">
        <v>3437</v>
      </c>
    </row>
    <row r="2998" spans="1:10" ht="28.9" customHeight="1" thickTop="1" thickBot="1" x14ac:dyDescent="0.65">
      <c r="A2998" s="5">
        <v>2996</v>
      </c>
      <c r="B2998" s="46" t="str">
        <f>HYPERLINK("https://search.naver.com/search.naver?query=툴리 영화", "툴리")</f>
        <v>툴리</v>
      </c>
      <c r="C2998" s="47">
        <v>8.91</v>
      </c>
      <c r="D2998" s="6" t="s">
        <v>3036</v>
      </c>
      <c r="E2998" s="5" t="s">
        <v>20</v>
      </c>
      <c r="F2998" s="5">
        <v>2018</v>
      </c>
      <c r="G2998" s="5" t="s">
        <v>12</v>
      </c>
      <c r="H2998" s="5" t="s">
        <v>17</v>
      </c>
      <c r="I2998" s="5" t="s">
        <v>61</v>
      </c>
      <c r="J2998" s="98" t="s">
        <v>3442</v>
      </c>
    </row>
    <row r="2999" spans="1:10" ht="28.9" customHeight="1" thickTop="1" thickBot="1" x14ac:dyDescent="0.65">
      <c r="A2999" s="3">
        <v>2997</v>
      </c>
      <c r="B2999" s="44" t="str">
        <f>HYPERLINK("https://search.naver.com/search.naver?query=툼레이더 영화", "툼레이더")</f>
        <v>툼레이더</v>
      </c>
      <c r="C2999" s="45">
        <v>7.58</v>
      </c>
      <c r="D2999" s="4" t="s">
        <v>3037</v>
      </c>
      <c r="E2999" s="3" t="s">
        <v>20</v>
      </c>
      <c r="F2999" s="3">
        <v>2018</v>
      </c>
      <c r="G2999" s="3" t="s">
        <v>12</v>
      </c>
      <c r="H2999" s="3" t="s">
        <v>92</v>
      </c>
      <c r="I2999" s="3" t="s">
        <v>221</v>
      </c>
      <c r="J2999" s="97" t="s">
        <v>3442</v>
      </c>
    </row>
    <row r="3000" spans="1:10" ht="28.9" customHeight="1" thickTop="1" thickBot="1" x14ac:dyDescent="0.65">
      <c r="A3000" s="5">
        <v>2998</v>
      </c>
      <c r="B3000" s="46" t="str">
        <f>HYPERLINK("https://search.naver.com/search.naver?query=툼스톤 영화", "툼스톤")</f>
        <v>툼스톤</v>
      </c>
      <c r="C3000" s="47">
        <v>7.1</v>
      </c>
      <c r="D3000" s="6" t="s">
        <v>3038</v>
      </c>
      <c r="E3000" s="5" t="s">
        <v>20</v>
      </c>
      <c r="F3000" s="5">
        <v>1993</v>
      </c>
      <c r="G3000" s="5" t="s">
        <v>12</v>
      </c>
      <c r="H3000" s="5" t="s">
        <v>864</v>
      </c>
      <c r="I3000" s="5" t="s">
        <v>34</v>
      </c>
      <c r="J3000" s="98" t="s">
        <v>3469</v>
      </c>
    </row>
    <row r="3001" spans="1:10" ht="28.9" customHeight="1" thickTop="1" thickBot="1" x14ac:dyDescent="0.65">
      <c r="A3001" s="3">
        <v>2999</v>
      </c>
      <c r="B3001" s="44" t="str">
        <f>HYPERLINK("https://search.naver.com/search.naver?query=튤립 피버 영화", "튤립 피버")</f>
        <v>튤립 피버</v>
      </c>
      <c r="C3001" s="45">
        <v>7.72</v>
      </c>
      <c r="D3001" s="4" t="s">
        <v>3039</v>
      </c>
      <c r="E3001" s="3" t="s">
        <v>24</v>
      </c>
      <c r="F3001" s="3">
        <v>2017</v>
      </c>
      <c r="G3001" s="3" t="s">
        <v>12</v>
      </c>
      <c r="H3001" s="3" t="s">
        <v>17</v>
      </c>
      <c r="I3001" s="3" t="s">
        <v>128</v>
      </c>
      <c r="J3001" s="97" t="s">
        <v>3443</v>
      </c>
    </row>
    <row r="3002" spans="1:10" ht="28.9" customHeight="1" thickTop="1" thickBot="1" x14ac:dyDescent="0.65">
      <c r="A3002" s="5">
        <v>3000</v>
      </c>
      <c r="B3002" s="46" t="str">
        <f>HYPERLINK("https://search.naver.com/search.naver?query=트라우마 센터 영화", "트라우마 센터")</f>
        <v>트라우마 센터</v>
      </c>
      <c r="C3002" s="47">
        <v>2.8</v>
      </c>
      <c r="D3002" s="6" t="s">
        <v>3040</v>
      </c>
      <c r="E3002" s="5" t="s">
        <v>20</v>
      </c>
      <c r="F3002" s="5">
        <v>2019</v>
      </c>
      <c r="G3002" s="5" t="s">
        <v>12</v>
      </c>
      <c r="H3002" s="5" t="s">
        <v>92</v>
      </c>
      <c r="I3002" s="5" t="s">
        <v>625</v>
      </c>
      <c r="J3002" s="98" t="s">
        <v>3444</v>
      </c>
    </row>
    <row r="3003" spans="1:10" ht="28.9" customHeight="1" thickTop="1" thickBot="1" x14ac:dyDescent="0.65">
      <c r="A3003" s="3">
        <v>3001</v>
      </c>
      <c r="B3003" s="44" t="str">
        <f>HYPERLINK("https://search.naver.com/search.naver?query=트라이앵글 영화", "트라이앵글")</f>
        <v>트라이앵글</v>
      </c>
      <c r="C3003" s="45">
        <v>6.4</v>
      </c>
      <c r="D3003" s="4" t="s">
        <v>3041</v>
      </c>
      <c r="E3003" s="3" t="s">
        <v>24</v>
      </c>
      <c r="F3003" s="3">
        <v>2009</v>
      </c>
      <c r="G3003" s="3" t="s">
        <v>12</v>
      </c>
      <c r="H3003" s="3" t="s">
        <v>43</v>
      </c>
      <c r="I3003" s="3" t="s">
        <v>81</v>
      </c>
      <c r="J3003" s="97" t="s">
        <v>3453</v>
      </c>
    </row>
    <row r="3004" spans="1:10" ht="28.9" customHeight="1" thickTop="1" thickBot="1" x14ac:dyDescent="0.65">
      <c r="A3004" s="5">
        <v>3002</v>
      </c>
      <c r="B3004" s="46" t="str">
        <f>HYPERLINK("https://search.naver.com/search.naver?query=트라이얼 오브 더 시카고 7 영화", "트라이얼 오브 더 시카고 7")</f>
        <v>트라이얼 오브 더 시카고 7</v>
      </c>
      <c r="C3004" s="47">
        <v>8.25</v>
      </c>
      <c r="D3004" s="6" t="s">
        <v>3042</v>
      </c>
      <c r="E3004" s="5" t="s">
        <v>20</v>
      </c>
      <c r="F3004" s="5">
        <v>2020</v>
      </c>
      <c r="G3004" s="5" t="s">
        <v>12</v>
      </c>
      <c r="H3004" s="5" t="s">
        <v>17</v>
      </c>
      <c r="I3004" s="5" t="s">
        <v>64</v>
      </c>
      <c r="J3004" s="98" t="s">
        <v>3436</v>
      </c>
    </row>
    <row r="3005" spans="1:10" ht="28.9" customHeight="1" thickTop="1" thickBot="1" x14ac:dyDescent="0.65">
      <c r="A3005" s="3">
        <v>3003</v>
      </c>
      <c r="B3005" s="44" t="str">
        <f>HYPERLINK("https://search.naver.com/search.naver?query=트래쉬 영화", "트래쉬")</f>
        <v>트래쉬</v>
      </c>
      <c r="C3005" s="45">
        <v>8.8800000000000008</v>
      </c>
      <c r="D3005" s="4" t="s">
        <v>3043</v>
      </c>
      <c r="E3005" s="3" t="s">
        <v>502</v>
      </c>
      <c r="F3005" s="3">
        <v>2014</v>
      </c>
      <c r="G3005" s="3" t="s">
        <v>12</v>
      </c>
      <c r="H3005" s="3" t="s">
        <v>277</v>
      </c>
      <c r="I3005" s="3" t="s">
        <v>207</v>
      </c>
      <c r="J3005" s="97" t="s">
        <v>3437</v>
      </c>
    </row>
    <row r="3006" spans="1:10" ht="28.9" customHeight="1" thickTop="1" thickBot="1" x14ac:dyDescent="0.65">
      <c r="A3006" s="5">
        <v>3004</v>
      </c>
      <c r="B3006" s="46" t="str">
        <f>HYPERLINK("https://search.naver.com/search.naver?query=트래픽 영화", "트래픽")</f>
        <v>트래픽</v>
      </c>
      <c r="C3006" s="47">
        <v>8.17</v>
      </c>
      <c r="D3006" s="6" t="s">
        <v>3044</v>
      </c>
      <c r="E3006" s="5" t="s">
        <v>20</v>
      </c>
      <c r="F3006" s="5">
        <v>2000</v>
      </c>
      <c r="G3006" s="5" t="s">
        <v>12</v>
      </c>
      <c r="H3006" s="5" t="s">
        <v>277</v>
      </c>
      <c r="I3006" s="5" t="s">
        <v>157</v>
      </c>
      <c r="J3006" s="98" t="s">
        <v>3458</v>
      </c>
    </row>
    <row r="3007" spans="1:10" ht="28.9" customHeight="1" thickTop="1" thickBot="1" x14ac:dyDescent="0.65">
      <c r="A3007" s="3">
        <v>3005</v>
      </c>
      <c r="B3007" s="44" t="str">
        <f>HYPERLINK("https://search.naver.com/search.naver?query=트래픽 영화", "트래픽")</f>
        <v>트래픽</v>
      </c>
      <c r="C3007" s="45">
        <v>8.17</v>
      </c>
      <c r="D3007" s="4" t="s">
        <v>3045</v>
      </c>
      <c r="E3007" s="3" t="s">
        <v>20</v>
      </c>
      <c r="F3007" s="3">
        <v>2018</v>
      </c>
      <c r="G3007" s="3" t="s">
        <v>12</v>
      </c>
      <c r="H3007" s="3" t="s">
        <v>17</v>
      </c>
      <c r="I3007" s="3" t="s">
        <v>111</v>
      </c>
      <c r="J3007" s="97" t="s">
        <v>3442</v>
      </c>
    </row>
    <row r="3008" spans="1:10" ht="28.9" customHeight="1" thickTop="1" thickBot="1" x14ac:dyDescent="0.65">
      <c r="A3008" s="5">
        <v>3006</v>
      </c>
      <c r="B3008" s="46" t="str">
        <f>HYPERLINK("https://search.naver.com/search.naver?query=트랜센던스 영화", "트랜센던스")</f>
        <v>트랜센던스</v>
      </c>
      <c r="C3008" s="47">
        <v>7.61</v>
      </c>
      <c r="D3008" s="6" t="s">
        <v>3046</v>
      </c>
      <c r="E3008" s="5" t="s">
        <v>20</v>
      </c>
      <c r="F3008" s="5">
        <v>2014</v>
      </c>
      <c r="G3008" s="5" t="s">
        <v>12</v>
      </c>
      <c r="H3008" s="5" t="s">
        <v>520</v>
      </c>
      <c r="I3008" s="5" t="s">
        <v>53</v>
      </c>
      <c r="J3008" s="98" t="s">
        <v>3437</v>
      </c>
    </row>
    <row r="3009" spans="1:10" ht="28.9" customHeight="1" thickTop="1" thickBot="1" x14ac:dyDescent="0.65">
      <c r="A3009" s="3">
        <v>3007</v>
      </c>
      <c r="B3009" s="44" t="str">
        <f>HYPERLINK("https://search.naver.com/search.naver?query=트랜스 시베리아 영화", "트랜스 시베리아")</f>
        <v>트랜스 시베리아</v>
      </c>
      <c r="C3009" s="45">
        <v>6.48</v>
      </c>
      <c r="D3009" s="4" t="s">
        <v>3047</v>
      </c>
      <c r="E3009" s="3" t="s">
        <v>30</v>
      </c>
      <c r="F3009" s="3">
        <v>2008</v>
      </c>
      <c r="G3009" s="3" t="s">
        <v>12</v>
      </c>
      <c r="H3009" s="3" t="s">
        <v>43</v>
      </c>
      <c r="I3009" s="3" t="s">
        <v>102</v>
      </c>
      <c r="J3009" s="97" t="s">
        <v>3450</v>
      </c>
    </row>
    <row r="3010" spans="1:10" ht="28.9" customHeight="1" thickTop="1" thickBot="1" x14ac:dyDescent="0.65">
      <c r="A3010" s="7">
        <v>3008</v>
      </c>
      <c r="B3010" s="48" t="str">
        <f>HYPERLINK("https://search.naver.com/search.naver?query=트랜스플랜트 시즌1", "트랜스플랜트 시즌1")</f>
        <v>트랜스플랜트 시즌1</v>
      </c>
      <c r="C3010" s="49"/>
      <c r="D3010" s="8" t="s">
        <v>3048</v>
      </c>
      <c r="E3010" s="7" t="s">
        <v>189</v>
      </c>
      <c r="F3010" s="7">
        <v>2020</v>
      </c>
      <c r="G3010" s="7" t="s">
        <v>17</v>
      </c>
      <c r="H3010" s="7" t="s">
        <v>17</v>
      </c>
      <c r="I3010" s="7" t="s">
        <v>645</v>
      </c>
      <c r="J3010" s="99" t="s">
        <v>3436</v>
      </c>
    </row>
    <row r="3011" spans="1:10" ht="28.9" customHeight="1" thickTop="1" thickBot="1" x14ac:dyDescent="0.65">
      <c r="A3011" s="3">
        <v>3009</v>
      </c>
      <c r="B3011" s="44" t="str">
        <f>HYPERLINK("https://search.naver.com/search.naver?query=트랜짓 영화", "트랜짓")</f>
        <v>트랜짓</v>
      </c>
      <c r="C3011" s="45">
        <v>3.32</v>
      </c>
      <c r="D3011" s="4" t="s">
        <v>3049</v>
      </c>
      <c r="E3011" s="3" t="s">
        <v>101</v>
      </c>
      <c r="F3011" s="3">
        <v>2018</v>
      </c>
      <c r="G3011" s="3" t="s">
        <v>12</v>
      </c>
      <c r="H3011" s="3" t="s">
        <v>17</v>
      </c>
      <c r="I3011" s="3" t="s">
        <v>70</v>
      </c>
      <c r="J3011" s="97" t="s">
        <v>3442</v>
      </c>
    </row>
    <row r="3012" spans="1:10" ht="28.9" customHeight="1" thickTop="1" thickBot="1" x14ac:dyDescent="0.65">
      <c r="A3012" s="5">
        <v>3010</v>
      </c>
      <c r="B3012" s="46" t="str">
        <f>HYPERLINK("https://search.naver.com/search.naver?query=트랩 영화", "트랩")</f>
        <v>트랩</v>
      </c>
      <c r="C3012" s="47">
        <v>6.23</v>
      </c>
      <c r="D3012" s="6" t="s">
        <v>3050</v>
      </c>
      <c r="E3012" s="5" t="s">
        <v>20</v>
      </c>
      <c r="F3012" s="5">
        <v>2024</v>
      </c>
      <c r="G3012" s="5" t="s">
        <v>12</v>
      </c>
      <c r="H3012" s="5" t="s">
        <v>43</v>
      </c>
      <c r="I3012" s="5" t="s">
        <v>128</v>
      </c>
      <c r="J3012" s="98" t="s">
        <v>3448</v>
      </c>
    </row>
    <row r="3013" spans="1:10" ht="28.9" customHeight="1" thickTop="1" thickBot="1" x14ac:dyDescent="0.65">
      <c r="A3013" s="3">
        <v>3011</v>
      </c>
      <c r="B3013" s="44" t="str">
        <f>HYPERLINK("https://search.naver.com/search.naver?query=트럼보 영화", "트럼보")</f>
        <v>트럼보</v>
      </c>
      <c r="C3013" s="45">
        <v>8.76</v>
      </c>
      <c r="D3013" s="4" t="s">
        <v>3051</v>
      </c>
      <c r="E3013" s="3" t="s">
        <v>20</v>
      </c>
      <c r="F3013" s="3">
        <v>2015</v>
      </c>
      <c r="G3013" s="3" t="s">
        <v>12</v>
      </c>
      <c r="H3013" s="3" t="s">
        <v>17</v>
      </c>
      <c r="I3013" s="3" t="s">
        <v>134</v>
      </c>
      <c r="J3013" s="97" t="s">
        <v>3440</v>
      </c>
    </row>
    <row r="3014" spans="1:10" ht="28.9" customHeight="1" thickTop="1" thickBot="1" x14ac:dyDescent="0.65">
      <c r="A3014" s="7">
        <v>3012</v>
      </c>
      <c r="B3014" s="48" t="str">
        <f>HYPERLINK("https://search.naver.com/search.naver?query=트레드스톤 드라마", "트레드스톤")</f>
        <v>트레드스톤</v>
      </c>
      <c r="C3014" s="49"/>
      <c r="D3014" s="8" t="s">
        <v>3052</v>
      </c>
      <c r="E3014" s="7" t="s">
        <v>20</v>
      </c>
      <c r="F3014" s="7">
        <v>2019</v>
      </c>
      <c r="G3014" s="7" t="s">
        <v>17</v>
      </c>
      <c r="H3014" s="7" t="s">
        <v>162</v>
      </c>
      <c r="I3014" s="7" t="s">
        <v>50</v>
      </c>
      <c r="J3014" s="99" t="s">
        <v>3444</v>
      </c>
    </row>
    <row r="3015" spans="1:10" ht="28.9" customHeight="1" thickTop="1" thickBot="1" x14ac:dyDescent="0.65">
      <c r="A3015" s="3">
        <v>3013</v>
      </c>
      <c r="B3015" s="44" t="str">
        <f>HYPERLINK("https://search.naver.com/search.naver?query=트레이닝 데이 영화", "트레이닝 데이")</f>
        <v>트레이닝 데이</v>
      </c>
      <c r="C3015" s="45">
        <v>8.58</v>
      </c>
      <c r="D3015" s="4" t="s">
        <v>3053</v>
      </c>
      <c r="E3015" s="3" t="s">
        <v>20</v>
      </c>
      <c r="F3015" s="3">
        <v>2001</v>
      </c>
      <c r="G3015" s="3" t="s">
        <v>12</v>
      </c>
      <c r="H3015" s="3" t="s">
        <v>277</v>
      </c>
      <c r="I3015" s="3" t="s">
        <v>105</v>
      </c>
      <c r="J3015" s="97" t="s">
        <v>3457</v>
      </c>
    </row>
    <row r="3016" spans="1:10" ht="28.9" customHeight="1" thickTop="1" thickBot="1" x14ac:dyDescent="0.65">
      <c r="A3016" s="5">
        <v>3014</v>
      </c>
      <c r="B3016" s="46" t="str">
        <f>HYPERLINK("https://search.naver.com/search.naver?query=트레이터 영화", "트레이터")</f>
        <v>트레이터</v>
      </c>
      <c r="C3016" s="47">
        <v>7.12</v>
      </c>
      <c r="D3016" s="6" t="s">
        <v>3054</v>
      </c>
      <c r="E3016" s="5" t="s">
        <v>20</v>
      </c>
      <c r="F3016" s="5">
        <v>2008</v>
      </c>
      <c r="G3016" s="5" t="s">
        <v>12</v>
      </c>
      <c r="H3016" s="5" t="s">
        <v>92</v>
      </c>
      <c r="I3016" s="5" t="s">
        <v>207</v>
      </c>
      <c r="J3016" s="98" t="s">
        <v>3450</v>
      </c>
    </row>
    <row r="3017" spans="1:10" ht="28.9" customHeight="1" thickTop="1" thickBot="1" x14ac:dyDescent="0.65">
      <c r="A3017" s="3">
        <v>3015</v>
      </c>
      <c r="B3017" s="44" t="str">
        <f>HYPERLINK("https://search.naver.com/search.naver?query=트레이터 영화", "트레이터")</f>
        <v>트레이터</v>
      </c>
      <c r="C3017" s="45">
        <v>7.12</v>
      </c>
      <c r="D3017" s="4" t="s">
        <v>3055</v>
      </c>
      <c r="E3017" s="3" t="s">
        <v>20</v>
      </c>
      <c r="F3017" s="3">
        <v>2016</v>
      </c>
      <c r="G3017" s="3" t="s">
        <v>12</v>
      </c>
      <c r="H3017" s="3" t="s">
        <v>92</v>
      </c>
      <c r="I3017" s="3" t="s">
        <v>111</v>
      </c>
      <c r="J3017" s="97" t="s">
        <v>3441</v>
      </c>
    </row>
    <row r="3018" spans="1:10" ht="28.9" customHeight="1" thickTop="1" thickBot="1" x14ac:dyDescent="0.65">
      <c r="A3018" s="5">
        <v>3016</v>
      </c>
      <c r="B3018" s="46" t="str">
        <f>HYPERLINK("https://search.naver.com/search.naver?query=트로이 영화", "트로이")</f>
        <v>트로이</v>
      </c>
      <c r="C3018" s="47">
        <v>9.33</v>
      </c>
      <c r="D3018" s="6" t="s">
        <v>3056</v>
      </c>
      <c r="E3018" s="5" t="s">
        <v>20</v>
      </c>
      <c r="F3018" s="5">
        <v>2004</v>
      </c>
      <c r="G3018" s="5" t="s">
        <v>12</v>
      </c>
      <c r="H3018" s="5" t="s">
        <v>92</v>
      </c>
      <c r="I3018" s="5" t="s">
        <v>22</v>
      </c>
      <c r="J3018" s="98" t="s">
        <v>3462</v>
      </c>
    </row>
    <row r="3019" spans="1:10" ht="28.9" customHeight="1" thickTop="1" thickBot="1" x14ac:dyDescent="0.65">
      <c r="A3019" s="3">
        <v>3017</v>
      </c>
      <c r="B3019" s="44" t="str">
        <f>HYPERLINK("https://search.naver.com/search.naver?query=트루 스토리 영화", "트루 스토리")</f>
        <v>트루 스토리</v>
      </c>
      <c r="C3019" s="45">
        <v>8</v>
      </c>
      <c r="D3019" s="4" t="s">
        <v>3057</v>
      </c>
      <c r="E3019" s="3" t="s">
        <v>20</v>
      </c>
      <c r="F3019" s="3">
        <v>2015</v>
      </c>
      <c r="G3019" s="3" t="s">
        <v>12</v>
      </c>
      <c r="H3019" s="3" t="s">
        <v>17</v>
      </c>
      <c r="I3019" s="3" t="s">
        <v>81</v>
      </c>
      <c r="J3019" s="97" t="s">
        <v>3440</v>
      </c>
    </row>
    <row r="3020" spans="1:10" ht="28.9" customHeight="1" thickTop="1" thickBot="1" x14ac:dyDescent="0.65">
      <c r="A3020" s="5">
        <v>3018</v>
      </c>
      <c r="B3020" s="46" t="str">
        <f>HYPERLINK("https://search.naver.com/search.naver?query=트루스 영화", "트루스")</f>
        <v>트루스</v>
      </c>
      <c r="C3020" s="47">
        <v>8.5399999999999991</v>
      </c>
      <c r="D3020" s="6" t="s">
        <v>3058</v>
      </c>
      <c r="E3020" s="5" t="s">
        <v>20</v>
      </c>
      <c r="F3020" s="5">
        <v>2015</v>
      </c>
      <c r="G3020" s="5" t="s">
        <v>12</v>
      </c>
      <c r="H3020" s="5" t="s">
        <v>17</v>
      </c>
      <c r="I3020" s="5" t="s">
        <v>142</v>
      </c>
      <c r="J3020" s="98" t="s">
        <v>3440</v>
      </c>
    </row>
    <row r="3021" spans="1:10" ht="28.9" customHeight="1" thickTop="1" thickBot="1" x14ac:dyDescent="0.65">
      <c r="A3021" s="3">
        <v>3019</v>
      </c>
      <c r="B3021" s="44" t="str">
        <f>HYPERLINK("https://search.naver.com/search.naver?query=트루스 어바웃 엠마누엘 영화", "트루스 어바웃 엠마누엘")</f>
        <v>트루스 어바웃 엠마누엘</v>
      </c>
      <c r="C3021" s="45">
        <v>7.24</v>
      </c>
      <c r="D3021" s="4" t="s">
        <v>3059</v>
      </c>
      <c r="E3021" s="3" t="s">
        <v>20</v>
      </c>
      <c r="F3021" s="3">
        <v>2013</v>
      </c>
      <c r="G3021" s="3" t="s">
        <v>12</v>
      </c>
      <c r="H3021" s="3" t="s">
        <v>17</v>
      </c>
      <c r="I3021" s="3" t="s">
        <v>111</v>
      </c>
      <c r="J3021" s="97" t="s">
        <v>3451</v>
      </c>
    </row>
    <row r="3022" spans="1:10" ht="28.9" customHeight="1" thickTop="1" thickBot="1" x14ac:dyDescent="0.65">
      <c r="A3022" s="5">
        <v>3020</v>
      </c>
      <c r="B3022" s="46" t="str">
        <f>HYPERLINK("https://search.naver.com/search.naver?query=트리 오브 라이프 영화", "트리 오브 라이프")</f>
        <v>트리 오브 라이프</v>
      </c>
      <c r="C3022" s="47">
        <v>7.03</v>
      </c>
      <c r="D3022" s="6" t="s">
        <v>3060</v>
      </c>
      <c r="E3022" s="5" t="s">
        <v>20</v>
      </c>
      <c r="F3022" s="5">
        <v>2011</v>
      </c>
      <c r="G3022" s="5" t="s">
        <v>12</v>
      </c>
      <c r="H3022" s="5" t="s">
        <v>17</v>
      </c>
      <c r="I3022" s="5" t="s">
        <v>305</v>
      </c>
      <c r="J3022" s="98" t="s">
        <v>3454</v>
      </c>
    </row>
    <row r="3023" spans="1:10" ht="28.9" customHeight="1" thickTop="1" thickBot="1" x14ac:dyDescent="0.65">
      <c r="A3023" s="7">
        <v>3021</v>
      </c>
      <c r="B3023" s="48" t="str">
        <f>HYPERLINK("https://search.naver.com/search.naver?query=트리거 드라마", "트리거")</f>
        <v>트리거</v>
      </c>
      <c r="C3023" s="49"/>
      <c r="D3023" s="8" t="s">
        <v>3061</v>
      </c>
      <c r="E3023" s="7" t="s">
        <v>11</v>
      </c>
      <c r="F3023" s="7">
        <v>2025</v>
      </c>
      <c r="G3023" s="7" t="s">
        <v>17</v>
      </c>
      <c r="H3023" s="7" t="s">
        <v>17</v>
      </c>
      <c r="I3023" s="7" t="s">
        <v>893</v>
      </c>
      <c r="J3023" s="99" t="s">
        <v>3459</v>
      </c>
    </row>
    <row r="3024" spans="1:10" ht="28.9" customHeight="1" thickTop="1" thickBot="1" x14ac:dyDescent="0.65">
      <c r="A3024" s="5">
        <v>3022</v>
      </c>
      <c r="B3024" s="46" t="str">
        <f>HYPERLINK("https://search.naver.com/search.naver?query=트리거 워닝 영화", "트리거 워닝")</f>
        <v>트리거 워닝</v>
      </c>
      <c r="C3024" s="47">
        <v>2.93</v>
      </c>
      <c r="D3024" s="6" t="s">
        <v>3062</v>
      </c>
      <c r="E3024" s="5" t="s">
        <v>20</v>
      </c>
      <c r="F3024" s="5">
        <v>2024</v>
      </c>
      <c r="G3024" s="5" t="s">
        <v>12</v>
      </c>
      <c r="H3024" s="5" t="s">
        <v>92</v>
      </c>
      <c r="I3024" s="5" t="s">
        <v>286</v>
      </c>
      <c r="J3024" s="98" t="s">
        <v>3448</v>
      </c>
    </row>
    <row r="3025" spans="1:10" ht="28.9" customHeight="1" thickTop="1" thickBot="1" x14ac:dyDescent="0.65">
      <c r="A3025" s="3">
        <v>3023</v>
      </c>
      <c r="B3025" s="44" t="str">
        <f>HYPERLINK("https://search.naver.com/search.naver?query=트리거 포인트 영화", "트리거 포인트")</f>
        <v>트리거 포인트</v>
      </c>
      <c r="C3025" s="45">
        <v>6.23</v>
      </c>
      <c r="D3025" s="4" t="s">
        <v>3063</v>
      </c>
      <c r="E3025" s="3" t="s">
        <v>189</v>
      </c>
      <c r="F3025" s="3">
        <v>2021</v>
      </c>
      <c r="G3025" s="3" t="s">
        <v>12</v>
      </c>
      <c r="H3025" s="3" t="s">
        <v>92</v>
      </c>
      <c r="I3025" s="3" t="s">
        <v>37</v>
      </c>
      <c r="J3025" s="97" t="s">
        <v>3438</v>
      </c>
    </row>
    <row r="3026" spans="1:10" ht="28.9" customHeight="1" thickTop="1" thickBot="1" x14ac:dyDescent="0.65">
      <c r="A3026" s="7">
        <v>3024</v>
      </c>
      <c r="B3026" s="48" t="str">
        <f>HYPERLINK("https://search.naver.com/search.naver?query=트리즌 드라마", "트리즌")</f>
        <v>트리즌</v>
      </c>
      <c r="C3026" s="49"/>
      <c r="D3026" s="8" t="s">
        <v>3064</v>
      </c>
      <c r="E3026" s="7" t="s">
        <v>24</v>
      </c>
      <c r="F3026" s="7">
        <v>2022</v>
      </c>
      <c r="G3026" s="7" t="s">
        <v>17</v>
      </c>
      <c r="H3026" s="7" t="s">
        <v>13</v>
      </c>
      <c r="I3026" s="7" t="s">
        <v>687</v>
      </c>
      <c r="J3026" s="99" t="s">
        <v>3445</v>
      </c>
    </row>
    <row r="3027" spans="1:10" ht="28.9" customHeight="1" thickTop="1" thickBot="1" x14ac:dyDescent="0.65">
      <c r="A3027" s="3">
        <v>3025</v>
      </c>
      <c r="B3027" s="44" t="str">
        <f>HYPERLINK("https://search.naver.com/search.naver?query=트리플 9 영화", "트리플 9")</f>
        <v>트리플 9</v>
      </c>
      <c r="C3027" s="45">
        <v>6.21</v>
      </c>
      <c r="D3027" s="4" t="s">
        <v>3065</v>
      </c>
      <c r="E3027" s="3" t="s">
        <v>20</v>
      </c>
      <c r="F3027" s="3">
        <v>2016</v>
      </c>
      <c r="G3027" s="3" t="s">
        <v>12</v>
      </c>
      <c r="H3027" s="3" t="s">
        <v>277</v>
      </c>
      <c r="I3027" s="3" t="s">
        <v>47</v>
      </c>
      <c r="J3027" s="97" t="s">
        <v>3441</v>
      </c>
    </row>
    <row r="3028" spans="1:10" ht="28.9" customHeight="1" thickTop="1" thickBot="1" x14ac:dyDescent="0.65">
      <c r="A3028" s="5">
        <v>3026</v>
      </c>
      <c r="B3028" s="46" t="str">
        <f>HYPERLINK("https://search.naver.com/search.naver?query=트리플 프론티어 영화", "트리플 프론티어")</f>
        <v>트리플 프론티어</v>
      </c>
      <c r="C3028" s="47">
        <v>8.08</v>
      </c>
      <c r="D3028" s="6" t="s">
        <v>3066</v>
      </c>
      <c r="E3028" s="5" t="s">
        <v>20</v>
      </c>
      <c r="F3028" s="5">
        <v>2019</v>
      </c>
      <c r="G3028" s="5" t="s">
        <v>12</v>
      </c>
      <c r="H3028" s="5" t="s">
        <v>92</v>
      </c>
      <c r="I3028" s="5" t="s">
        <v>214</v>
      </c>
      <c r="J3028" s="98" t="s">
        <v>3444</v>
      </c>
    </row>
    <row r="3029" spans="1:10" ht="28.9" customHeight="1" thickTop="1" thickBot="1" x14ac:dyDescent="0.65">
      <c r="A3029" s="3">
        <v>3027</v>
      </c>
      <c r="B3029" s="44" t="str">
        <f>HYPERLINK("https://search.naver.com/search.naver?query=트립 투 이탈리아 영화", "트립 투 이탈리아")</f>
        <v>트립 투 이탈리아</v>
      </c>
      <c r="C3029" s="45">
        <v>6.63</v>
      </c>
      <c r="D3029" s="4" t="s">
        <v>3067</v>
      </c>
      <c r="E3029" s="3" t="s">
        <v>24</v>
      </c>
      <c r="F3029" s="3">
        <v>2014</v>
      </c>
      <c r="G3029" s="3" t="s">
        <v>12</v>
      </c>
      <c r="H3029" s="3" t="s">
        <v>68</v>
      </c>
      <c r="I3029" s="3" t="s">
        <v>31</v>
      </c>
      <c r="J3029" s="97" t="s">
        <v>3437</v>
      </c>
    </row>
    <row r="3030" spans="1:10" ht="28.9" customHeight="1" thickTop="1" thickBot="1" x14ac:dyDescent="0.65">
      <c r="A3030" s="5">
        <v>3028</v>
      </c>
      <c r="B3030" s="46" t="str">
        <f>HYPERLINK("https://search.naver.com/search.naver?query=트위스터스 영화", "트위스터스")</f>
        <v>트위스터스</v>
      </c>
      <c r="C3030" s="47">
        <v>8.1199999999999992</v>
      </c>
      <c r="D3030" s="6" t="s">
        <v>3068</v>
      </c>
      <c r="E3030" s="5" t="s">
        <v>20</v>
      </c>
      <c r="F3030" s="5">
        <v>2024</v>
      </c>
      <c r="G3030" s="5" t="s">
        <v>12</v>
      </c>
      <c r="H3030" s="5" t="s">
        <v>92</v>
      </c>
      <c r="I3030" s="5" t="s">
        <v>105</v>
      </c>
      <c r="J3030" s="98" t="s">
        <v>3448</v>
      </c>
    </row>
    <row r="3031" spans="1:10" ht="28.9" customHeight="1" thickTop="1" thickBot="1" x14ac:dyDescent="0.65">
      <c r="A3031" s="3">
        <v>3029</v>
      </c>
      <c r="B3031" s="44" t="str">
        <f>HYPERLINK("https://search.naver.com/search.naver?query=특별수사 사형수의 편지 영화", "특별수사 - 사형수의 편지")</f>
        <v>특별수사 - 사형수의 편지</v>
      </c>
      <c r="C3031" s="45">
        <v>8.5500000000000007</v>
      </c>
      <c r="D3031" s="4" t="s">
        <v>3069</v>
      </c>
      <c r="E3031" s="3" t="s">
        <v>11</v>
      </c>
      <c r="F3031" s="3">
        <v>2015</v>
      </c>
      <c r="G3031" s="3" t="s">
        <v>12</v>
      </c>
      <c r="H3031" s="3" t="s">
        <v>277</v>
      </c>
      <c r="I3031" s="3" t="s">
        <v>31</v>
      </c>
      <c r="J3031" s="97" t="s">
        <v>3440</v>
      </c>
    </row>
    <row r="3032" spans="1:10" ht="28.9" customHeight="1" thickTop="1" thickBot="1" x14ac:dyDescent="0.65">
      <c r="A3032" s="5">
        <v>3030</v>
      </c>
      <c r="B3032" s="46" t="str">
        <f>HYPERLINK("https://search.naver.com/search.naver?query=특별시민 영화", "특별시민")</f>
        <v>특별시민</v>
      </c>
      <c r="C3032" s="47">
        <v>7.75</v>
      </c>
      <c r="D3032" s="6" t="s">
        <v>3070</v>
      </c>
      <c r="E3032" s="5" t="s">
        <v>11</v>
      </c>
      <c r="F3032" s="5">
        <v>2017</v>
      </c>
      <c r="G3032" s="5" t="s">
        <v>12</v>
      </c>
      <c r="H3032" s="5" t="s">
        <v>17</v>
      </c>
      <c r="I3032" s="5" t="s">
        <v>47</v>
      </c>
      <c r="J3032" s="98" t="s">
        <v>3443</v>
      </c>
    </row>
    <row r="3033" spans="1:10" ht="28.9" customHeight="1" thickTop="1" thickBot="1" x14ac:dyDescent="0.65">
      <c r="A3033" s="3">
        <v>3031</v>
      </c>
      <c r="B3033" s="44" t="str">
        <f>HYPERLINK("https://search.naver.com/search.naver?query=특별조치 영화", "특별조치")</f>
        <v>특별조치</v>
      </c>
      <c r="C3033" s="45">
        <v>8.67</v>
      </c>
      <c r="D3033" s="4" t="s">
        <v>3071</v>
      </c>
      <c r="E3033" s="3" t="s">
        <v>20</v>
      </c>
      <c r="F3033" s="3">
        <v>2010</v>
      </c>
      <c r="G3033" s="3" t="s">
        <v>12</v>
      </c>
      <c r="H3033" s="3" t="s">
        <v>17</v>
      </c>
      <c r="I3033" s="3" t="s">
        <v>128</v>
      </c>
      <c r="J3033" s="97" t="s">
        <v>3455</v>
      </c>
    </row>
    <row r="3034" spans="1:10" ht="28.9" customHeight="1" thickTop="1" thickBot="1" x14ac:dyDescent="0.65">
      <c r="A3034" s="5">
        <v>3032</v>
      </c>
      <c r="B3034" s="46" t="str">
        <f>HYPERLINK("https://search.naver.com/search.naver?query=특송 영화", "특송")</f>
        <v>특송</v>
      </c>
      <c r="C3034" s="47">
        <v>7.42</v>
      </c>
      <c r="D3034" s="6" t="s">
        <v>3072</v>
      </c>
      <c r="E3034" s="5" t="s">
        <v>11</v>
      </c>
      <c r="F3034" s="5">
        <v>2022</v>
      </c>
      <c r="G3034" s="5" t="s">
        <v>12</v>
      </c>
      <c r="H3034" s="5" t="s">
        <v>92</v>
      </c>
      <c r="I3034" s="5" t="s">
        <v>31</v>
      </c>
      <c r="J3034" s="98" t="s">
        <v>3445</v>
      </c>
    </row>
    <row r="3035" spans="1:10" ht="28.9" customHeight="1" thickTop="1" thickBot="1" x14ac:dyDescent="0.65">
      <c r="A3035" s="3">
        <v>3033</v>
      </c>
      <c r="B3035" s="44" t="str">
        <f>HYPERLINK("https://search.naver.com/search.naver?query=한국영화특수요원", "특수요원")</f>
        <v>특수요원</v>
      </c>
      <c r="C3035" s="45">
        <v>6.4</v>
      </c>
      <c r="D3035" s="4" t="s">
        <v>3073</v>
      </c>
      <c r="E3035" s="3" t="s">
        <v>11</v>
      </c>
      <c r="F3035" s="3">
        <v>2020</v>
      </c>
      <c r="G3035" s="3" t="s">
        <v>12</v>
      </c>
      <c r="H3035" s="3" t="s">
        <v>92</v>
      </c>
      <c r="I3035" s="3" t="s">
        <v>111</v>
      </c>
      <c r="J3035" s="97" t="s">
        <v>3436</v>
      </c>
    </row>
    <row r="3036" spans="1:10" ht="28.9" customHeight="1" thickTop="1" thickBot="1" x14ac:dyDescent="0.65">
      <c r="A3036" s="5">
        <v>3034</v>
      </c>
      <c r="B3036" s="46" t="str">
        <f>HYPERLINK("https://search.naver.com/search.naver?query=특종 량첸살인기 영화", "특종 - 량첸살인기")</f>
        <v>특종 - 량첸살인기</v>
      </c>
      <c r="C3036" s="47">
        <v>7.97</v>
      </c>
      <c r="D3036" s="6" t="s">
        <v>3074</v>
      </c>
      <c r="E3036" s="5" t="s">
        <v>11</v>
      </c>
      <c r="F3036" s="5">
        <v>2015</v>
      </c>
      <c r="G3036" s="5" t="s">
        <v>12</v>
      </c>
      <c r="H3036" s="5" t="s">
        <v>17</v>
      </c>
      <c r="I3036" s="5" t="s">
        <v>96</v>
      </c>
      <c r="J3036" s="98" t="s">
        <v>3440</v>
      </c>
    </row>
    <row r="3037" spans="1:10" ht="28.9" customHeight="1" thickTop="1" thickBot="1" x14ac:dyDescent="0.65">
      <c r="A3037" s="3">
        <v>3035</v>
      </c>
      <c r="B3037" s="44" t="str">
        <f>HYPERLINK("https://search.naver.com/search.naver?query=특종의 탄생 영화", "특종의 탄생")</f>
        <v>특종의 탄생</v>
      </c>
      <c r="C3037" s="45">
        <v>7.5</v>
      </c>
      <c r="D3037" s="4" t="s">
        <v>3075</v>
      </c>
      <c r="E3037" s="3" t="s">
        <v>24</v>
      </c>
      <c r="F3037" s="3">
        <v>2024</v>
      </c>
      <c r="G3037" s="3" t="s">
        <v>12</v>
      </c>
      <c r="H3037" s="3" t="s">
        <v>17</v>
      </c>
      <c r="I3037" s="3" t="s">
        <v>131</v>
      </c>
      <c r="J3037" s="97" t="s">
        <v>3448</v>
      </c>
    </row>
    <row r="3038" spans="1:10" ht="28.9" customHeight="1" thickTop="1" thickBot="1" x14ac:dyDescent="0.65">
      <c r="A3038" s="5">
        <v>3036</v>
      </c>
      <c r="B3038" s="46" t="str">
        <f>HYPERLINK("https://search.naver.com/search.naver?query=티모시 그린의 이상한 삶 영화", "티모시 그린의 이상한 삶")</f>
        <v>티모시 그린의 이상한 삶</v>
      </c>
      <c r="C3038" s="47">
        <v>6.4</v>
      </c>
      <c r="D3038" s="6" t="s">
        <v>3076</v>
      </c>
      <c r="E3038" s="5" t="s">
        <v>20</v>
      </c>
      <c r="F3038" s="5">
        <v>2012</v>
      </c>
      <c r="G3038" s="5" t="s">
        <v>12</v>
      </c>
      <c r="H3038" s="5" t="s">
        <v>17</v>
      </c>
      <c r="I3038" s="5" t="s">
        <v>170</v>
      </c>
      <c r="J3038" s="98" t="s">
        <v>3439</v>
      </c>
    </row>
    <row r="3039" spans="1:10" ht="28.9" customHeight="1" thickTop="1" thickBot="1" x14ac:dyDescent="0.65">
      <c r="A3039" s="3">
        <v>3037</v>
      </c>
      <c r="B3039" s="44" t="str">
        <f>HYPERLINK("https://search.naver.com/search.naver?query=티켓 투 파라다이스 영화", "티켓 투 파라다이스")</f>
        <v>티켓 투 파라다이스</v>
      </c>
      <c r="C3039" s="45">
        <v>7.76</v>
      </c>
      <c r="D3039" s="4" t="s">
        <v>3077</v>
      </c>
      <c r="E3039" s="3" t="s">
        <v>20</v>
      </c>
      <c r="F3039" s="3">
        <v>2022</v>
      </c>
      <c r="G3039" s="3" t="s">
        <v>12</v>
      </c>
      <c r="H3039" s="3" t="s">
        <v>68</v>
      </c>
      <c r="I3039" s="3" t="s">
        <v>170</v>
      </c>
      <c r="J3039" s="97" t="s">
        <v>3445</v>
      </c>
    </row>
    <row r="3040" spans="1:10" ht="28.9" customHeight="1" thickTop="1" thickBot="1" x14ac:dyDescent="0.65">
      <c r="A3040" s="5">
        <v>3038</v>
      </c>
      <c r="B3040" s="46" t="str">
        <f>HYPERLINK("https://search.naver.com/search.naver?query=티파니에서 아침을 영화", "티파니에서 아침을")</f>
        <v>티파니에서 아침을</v>
      </c>
      <c r="C3040" s="47">
        <v>9.4</v>
      </c>
      <c r="D3040" s="6" t="s">
        <v>3078</v>
      </c>
      <c r="E3040" s="5" t="s">
        <v>20</v>
      </c>
      <c r="F3040" s="5">
        <v>1961</v>
      </c>
      <c r="G3040" s="5" t="s">
        <v>12</v>
      </c>
      <c r="H3040" s="5" t="s">
        <v>17</v>
      </c>
      <c r="I3040" s="5" t="s">
        <v>47</v>
      </c>
      <c r="J3040" s="98" t="s">
        <v>3485</v>
      </c>
    </row>
    <row r="3041" spans="1:10" ht="28.9" customHeight="1" thickTop="1" thickBot="1" x14ac:dyDescent="0.65">
      <c r="A3041" s="3">
        <v>3039</v>
      </c>
      <c r="B3041" s="44" t="str">
        <f>HYPERLINK("https://search.naver.com/search.naver?query=팅커 테일러 솔저 스파이 영화", "팅커 테일러 솔저 스파이")</f>
        <v>팅커 테일러 솔저 스파이</v>
      </c>
      <c r="C3041" s="45">
        <v>8.17</v>
      </c>
      <c r="D3041" s="4" t="s">
        <v>3079</v>
      </c>
      <c r="E3041" s="3" t="s">
        <v>24</v>
      </c>
      <c r="F3041" s="3">
        <v>2011</v>
      </c>
      <c r="G3041" s="3" t="s">
        <v>12</v>
      </c>
      <c r="H3041" s="3" t="s">
        <v>43</v>
      </c>
      <c r="I3041" s="3" t="s">
        <v>150</v>
      </c>
      <c r="J3041" s="97" t="s">
        <v>3454</v>
      </c>
    </row>
    <row r="3042" spans="1:10" ht="28.9" customHeight="1" thickTop="1" thickBot="1" x14ac:dyDescent="0.65">
      <c r="A3042" s="5">
        <v>3040</v>
      </c>
      <c r="B3042" s="46" t="str">
        <f>HYPERLINK("https://search.naver.com/search.naver?query=파 앤드 어웨이 영화", "파 앤드 어웨이")</f>
        <v>파 앤드 어웨이</v>
      </c>
      <c r="C3042" s="47">
        <v>9.2200000000000006</v>
      </c>
      <c r="D3042" s="6" t="s">
        <v>3080</v>
      </c>
      <c r="E3042" s="5" t="s">
        <v>20</v>
      </c>
      <c r="F3042" s="5">
        <v>1992</v>
      </c>
      <c r="G3042" s="5" t="s">
        <v>12</v>
      </c>
      <c r="H3042" s="5" t="s">
        <v>17</v>
      </c>
      <c r="I3042" s="5" t="s">
        <v>550</v>
      </c>
      <c r="J3042" s="98" t="s">
        <v>3473</v>
      </c>
    </row>
    <row r="3043" spans="1:10" ht="28.9" customHeight="1" thickTop="1" thickBot="1" x14ac:dyDescent="0.65">
      <c r="A3043" s="3">
        <v>3041</v>
      </c>
      <c r="B3043" s="44" t="str">
        <f>HYPERLINK("https://search.naver.com/search.naver?query=파가니니 악마의 바이올리니스트 영화", "파가니니 - 악마의 바이올리니스트")</f>
        <v>파가니니 - 악마의 바이올리니스트</v>
      </c>
      <c r="C3043" s="45">
        <v>8.3000000000000007</v>
      </c>
      <c r="D3043" s="4" t="s">
        <v>3081</v>
      </c>
      <c r="E3043" s="3" t="s">
        <v>101</v>
      </c>
      <c r="F3043" s="3">
        <v>2013</v>
      </c>
      <c r="G3043" s="3" t="s">
        <v>12</v>
      </c>
      <c r="H3043" s="3" t="s">
        <v>17</v>
      </c>
      <c r="I3043" s="3" t="s">
        <v>105</v>
      </c>
      <c r="J3043" s="97" t="s">
        <v>3451</v>
      </c>
    </row>
    <row r="3044" spans="1:10" ht="28.9" customHeight="1" thickTop="1" thickBot="1" x14ac:dyDescent="0.65">
      <c r="A3044" s="5">
        <v>3042</v>
      </c>
      <c r="B3044" s="46" t="str">
        <f>HYPERLINK("https://search.naver.com/search.naver?query=파고 영화", "파고")</f>
        <v>파고</v>
      </c>
      <c r="C3044" s="47">
        <v>8.17</v>
      </c>
      <c r="D3044" s="6" t="s">
        <v>3082</v>
      </c>
      <c r="E3044" s="5" t="s">
        <v>20</v>
      </c>
      <c r="F3044" s="5">
        <v>1996</v>
      </c>
      <c r="G3044" s="5" t="s">
        <v>12</v>
      </c>
      <c r="H3044" s="5" t="s">
        <v>277</v>
      </c>
      <c r="I3044" s="5" t="s">
        <v>14</v>
      </c>
      <c r="J3044" s="98" t="s">
        <v>3463</v>
      </c>
    </row>
    <row r="3045" spans="1:10" ht="28.9" customHeight="1" thickTop="1" thickBot="1" x14ac:dyDescent="0.65">
      <c r="A3045" s="7">
        <v>3043</v>
      </c>
      <c r="B3045" s="48" t="str">
        <f>HYPERLINK("https://search.naver.com/search.naver?query=파고 시즌1", "파고 시즌1")</f>
        <v>파고 시즌1</v>
      </c>
      <c r="C3045" s="49"/>
      <c r="D3045" s="8" t="s">
        <v>3083</v>
      </c>
      <c r="E3045" s="7" t="s">
        <v>20</v>
      </c>
      <c r="F3045" s="7">
        <v>2014</v>
      </c>
      <c r="G3045" s="7" t="s">
        <v>17</v>
      </c>
      <c r="H3045" s="7" t="s">
        <v>85</v>
      </c>
      <c r="I3045" s="7" t="s">
        <v>50</v>
      </c>
      <c r="J3045" s="99" t="s">
        <v>3437</v>
      </c>
    </row>
    <row r="3046" spans="1:10" ht="28.9" customHeight="1" thickTop="1" thickBot="1" x14ac:dyDescent="0.65">
      <c r="A3046" s="7">
        <v>3044</v>
      </c>
      <c r="B3046" s="48" t="str">
        <f>HYPERLINK("https://search.naver.com/search.naver?query=파고 시즌2", "파고 시즌2")</f>
        <v>파고 시즌2</v>
      </c>
      <c r="C3046" s="49"/>
      <c r="D3046" s="8" t="s">
        <v>3083</v>
      </c>
      <c r="E3046" s="7" t="s">
        <v>20</v>
      </c>
      <c r="F3046" s="7">
        <v>2015</v>
      </c>
      <c r="G3046" s="7" t="s">
        <v>17</v>
      </c>
      <c r="H3046" s="7" t="s">
        <v>85</v>
      </c>
      <c r="I3046" s="7" t="s">
        <v>50</v>
      </c>
      <c r="J3046" s="99" t="s">
        <v>3440</v>
      </c>
    </row>
    <row r="3047" spans="1:10" ht="28.9" customHeight="1" thickTop="1" thickBot="1" x14ac:dyDescent="0.65">
      <c r="A3047" s="7">
        <v>3045</v>
      </c>
      <c r="B3047" s="48" t="str">
        <f>HYPERLINK("https://search.naver.com/search.naver?query=파고 시즌3", "파고 시즌3")</f>
        <v>파고 시즌3</v>
      </c>
      <c r="C3047" s="49"/>
      <c r="D3047" s="8" t="s">
        <v>3083</v>
      </c>
      <c r="E3047" s="7" t="s">
        <v>20</v>
      </c>
      <c r="F3047" s="7">
        <v>2017</v>
      </c>
      <c r="G3047" s="7" t="s">
        <v>17</v>
      </c>
      <c r="H3047" s="7" t="s">
        <v>85</v>
      </c>
      <c r="I3047" s="7" t="s">
        <v>50</v>
      </c>
      <c r="J3047" s="99" t="s">
        <v>3443</v>
      </c>
    </row>
    <row r="3048" spans="1:10" ht="28.9" customHeight="1" thickTop="1" thickBot="1" x14ac:dyDescent="0.65">
      <c r="A3048" s="7">
        <v>3046</v>
      </c>
      <c r="B3048" s="48" t="str">
        <f>HYPERLINK("https://search.naver.com/search.naver?query=파고 시즌4", "파고 시즌4")</f>
        <v>파고 시즌4</v>
      </c>
      <c r="C3048" s="49"/>
      <c r="D3048" s="8" t="s">
        <v>3083</v>
      </c>
      <c r="E3048" s="7" t="s">
        <v>20</v>
      </c>
      <c r="F3048" s="7">
        <v>2020</v>
      </c>
      <c r="G3048" s="7" t="s">
        <v>17</v>
      </c>
      <c r="H3048" s="7" t="s">
        <v>85</v>
      </c>
      <c r="I3048" s="7" t="s">
        <v>527</v>
      </c>
      <c r="J3048" s="99" t="s">
        <v>3436</v>
      </c>
    </row>
    <row r="3049" spans="1:10" ht="28.9" customHeight="1" thickTop="1" thickBot="1" x14ac:dyDescent="0.65">
      <c r="A3049" s="3">
        <v>3047</v>
      </c>
      <c r="B3049" s="44" t="str">
        <f>HYPERLINK("https://search.naver.com/search.naver?query=파과 영화", "파과")</f>
        <v>파과</v>
      </c>
      <c r="C3049" s="45">
        <v>8.93</v>
      </c>
      <c r="D3049" s="4" t="s">
        <v>3084</v>
      </c>
      <c r="E3049" s="3" t="s">
        <v>11</v>
      </c>
      <c r="F3049" s="3">
        <v>2025</v>
      </c>
      <c r="G3049" s="3" t="s">
        <v>12</v>
      </c>
      <c r="H3049" s="3" t="s">
        <v>17</v>
      </c>
      <c r="I3049" s="3" t="s">
        <v>96</v>
      </c>
      <c r="J3049" s="97" t="s">
        <v>3459</v>
      </c>
    </row>
    <row r="3050" spans="1:10" ht="28.9" customHeight="1" thickTop="1" thickBot="1" x14ac:dyDescent="0.65">
      <c r="A3050" s="5">
        <v>3048</v>
      </c>
      <c r="B3050" s="46" t="str">
        <f>HYPERLINK("https://search.naver.com/search.naver?query=파괴된사나이 영화", "파괴된사나이")</f>
        <v>파괴된사나이</v>
      </c>
      <c r="C3050" s="47">
        <v>7.71</v>
      </c>
      <c r="D3050" s="6"/>
      <c r="E3050" s="5" t="s">
        <v>11</v>
      </c>
      <c r="F3050" s="5">
        <v>2010</v>
      </c>
      <c r="G3050" s="5" t="s">
        <v>12</v>
      </c>
      <c r="H3050" s="5" t="s">
        <v>17</v>
      </c>
      <c r="I3050" s="5" t="s">
        <v>111</v>
      </c>
      <c r="J3050" s="98" t="s">
        <v>3455</v>
      </c>
    </row>
    <row r="3051" spans="1:10" ht="28.9" customHeight="1" thickTop="1" thickBot="1" x14ac:dyDescent="0.65">
      <c r="A3051" s="3">
        <v>3049</v>
      </c>
      <c r="B3051" s="44" t="str">
        <f>HYPERLINK("https://search.naver.com/search.naver?query=파괴자들 영화", "파괴자들")</f>
        <v>파괴자들</v>
      </c>
      <c r="C3051" s="45">
        <v>3.94</v>
      </c>
      <c r="D3051" s="4" t="s">
        <v>3085</v>
      </c>
      <c r="E3051" s="3" t="s">
        <v>20</v>
      </c>
      <c r="F3051" s="3">
        <v>2012</v>
      </c>
      <c r="G3051" s="3" t="s">
        <v>12</v>
      </c>
      <c r="H3051" s="3" t="s">
        <v>92</v>
      </c>
      <c r="I3051" s="3" t="s">
        <v>111</v>
      </c>
      <c r="J3051" s="97" t="s">
        <v>3439</v>
      </c>
    </row>
    <row r="3052" spans="1:10" ht="28.9" customHeight="1" thickTop="1" thickBot="1" x14ac:dyDescent="0.65">
      <c r="A3052" s="5">
        <v>3050</v>
      </c>
      <c r="B3052" s="46" t="str">
        <f>HYPERLINK("https://search.naver.com/search.naver?query=파더 앤 도터 영화", "파더 앤 도터")</f>
        <v>파더 앤 도터</v>
      </c>
      <c r="C3052" s="47">
        <v>8.52</v>
      </c>
      <c r="D3052" s="6" t="s">
        <v>3086</v>
      </c>
      <c r="E3052" s="5" t="s">
        <v>20</v>
      </c>
      <c r="F3052" s="5">
        <v>2015</v>
      </c>
      <c r="G3052" s="5" t="s">
        <v>12</v>
      </c>
      <c r="H3052" s="5" t="s">
        <v>17</v>
      </c>
      <c r="I3052" s="5" t="s">
        <v>240</v>
      </c>
      <c r="J3052" s="98" t="s">
        <v>3440</v>
      </c>
    </row>
    <row r="3053" spans="1:10" ht="28.9" customHeight="1" thickTop="1" thickBot="1" x14ac:dyDescent="0.65">
      <c r="A3053" s="3">
        <v>3051</v>
      </c>
      <c r="B3053" s="44" t="str">
        <f>HYPERLINK("https://search.naver.com/search.naver?query=파도가 지나간 자리 영화", "파도가 지나간 자리")</f>
        <v>파도가 지나간 자리</v>
      </c>
      <c r="C3053" s="45">
        <v>8.94</v>
      </c>
      <c r="D3053" s="4" t="s">
        <v>3087</v>
      </c>
      <c r="E3053" s="3" t="s">
        <v>20</v>
      </c>
      <c r="F3053" s="3">
        <v>2017</v>
      </c>
      <c r="G3053" s="3" t="s">
        <v>12</v>
      </c>
      <c r="H3053" s="3" t="s">
        <v>17</v>
      </c>
      <c r="I3053" s="3" t="s">
        <v>350</v>
      </c>
      <c r="J3053" s="97" t="s">
        <v>3443</v>
      </c>
    </row>
    <row r="3054" spans="1:10" ht="28.9" customHeight="1" thickTop="1" thickBot="1" x14ac:dyDescent="0.65">
      <c r="A3054" s="5">
        <v>3052</v>
      </c>
      <c r="B3054" s="46" t="str">
        <f>HYPERLINK("https://search.naver.com/search.naver?query=파라노이아 영화", "파라노이아")</f>
        <v>파라노이아</v>
      </c>
      <c r="C3054" s="47">
        <v>5.88</v>
      </c>
      <c r="D3054" s="6" t="s">
        <v>3088</v>
      </c>
      <c r="E3054" s="5" t="s">
        <v>20</v>
      </c>
      <c r="F3054" s="5">
        <v>2013</v>
      </c>
      <c r="G3054" s="5" t="s">
        <v>12</v>
      </c>
      <c r="H3054" s="5" t="s">
        <v>43</v>
      </c>
      <c r="I3054" s="5" t="s">
        <v>286</v>
      </c>
      <c r="J3054" s="98" t="s">
        <v>3451</v>
      </c>
    </row>
    <row r="3055" spans="1:10" ht="28.9" customHeight="1" thickTop="1" thickBot="1" x14ac:dyDescent="0.65">
      <c r="A3055" s="3">
        <v>3053</v>
      </c>
      <c r="B3055" s="44" t="str">
        <f>HYPERLINK("https://search.naver.com/search.naver?query=파라다이스 로스트 마약 카르텔의 왕 영화", "파라다이스 로스트-마약 카르텔의 왕")</f>
        <v>파라다이스 로스트-마약 카르텔의 왕</v>
      </c>
      <c r="C3055" s="45"/>
      <c r="D3055" s="4" t="s">
        <v>3089</v>
      </c>
      <c r="E3055" s="3" t="s">
        <v>3090</v>
      </c>
      <c r="F3055" s="3">
        <v>2014</v>
      </c>
      <c r="G3055" s="3" t="s">
        <v>12</v>
      </c>
      <c r="H3055" s="3" t="s">
        <v>277</v>
      </c>
      <c r="I3055" s="3" t="s">
        <v>111</v>
      </c>
      <c r="J3055" s="97" t="s">
        <v>3437</v>
      </c>
    </row>
    <row r="3056" spans="1:10" ht="28.9" customHeight="1" thickTop="1" thickBot="1" x14ac:dyDescent="0.65">
      <c r="A3056" s="5">
        <v>3054</v>
      </c>
      <c r="B3056" s="46" t="str">
        <f>HYPERLINK("https://search.naver.com/search.naver?query=파라다이스 하이웨이 영화", "파라다이스 하이웨이")</f>
        <v>파라다이스 하이웨이</v>
      </c>
      <c r="C3056" s="47">
        <v>7.78</v>
      </c>
      <c r="D3056" s="6" t="s">
        <v>3091</v>
      </c>
      <c r="E3056" s="5" t="s">
        <v>20</v>
      </c>
      <c r="F3056" s="5">
        <v>2022</v>
      </c>
      <c r="G3056" s="5" t="s">
        <v>12</v>
      </c>
      <c r="H3056" s="5" t="s">
        <v>92</v>
      </c>
      <c r="I3056" s="5" t="s">
        <v>47</v>
      </c>
      <c r="J3056" s="98" t="s">
        <v>3445</v>
      </c>
    </row>
    <row r="3057" spans="1:10" ht="28.9" customHeight="1" thickTop="1" thickBot="1" x14ac:dyDescent="0.65">
      <c r="A3057" s="3">
        <v>3055</v>
      </c>
      <c r="B3057" s="44" t="str">
        <f>HYPERLINK("https://search.naver.com/search.naver?query=파리 폴리 영화", "파리 폴리")</f>
        <v>파리 폴리</v>
      </c>
      <c r="C3057" s="45">
        <v>8.52</v>
      </c>
      <c r="D3057" s="4" t="s">
        <v>3092</v>
      </c>
      <c r="E3057" s="3" t="s">
        <v>210</v>
      </c>
      <c r="F3057" s="3">
        <v>2014</v>
      </c>
      <c r="G3057" s="3" t="s">
        <v>12</v>
      </c>
      <c r="H3057" s="3" t="s">
        <v>68</v>
      </c>
      <c r="I3057" s="3" t="s">
        <v>111</v>
      </c>
      <c r="J3057" s="97" t="s">
        <v>3437</v>
      </c>
    </row>
    <row r="3058" spans="1:10" ht="28.9" customHeight="1" thickTop="1" thickBot="1" x14ac:dyDescent="0.65">
      <c r="A3058" s="5">
        <v>3056</v>
      </c>
      <c r="B3058" s="46" t="str">
        <f>HYPERLINK("https://search.naver.com/search.naver?query=파리로 가는 길 영화", "파리로 가는 길")</f>
        <v>파리로 가는 길</v>
      </c>
      <c r="C3058" s="47">
        <v>8.1300000000000008</v>
      </c>
      <c r="D3058" s="6" t="s">
        <v>3093</v>
      </c>
      <c r="E3058" s="5" t="s">
        <v>20</v>
      </c>
      <c r="F3058" s="5">
        <v>2016</v>
      </c>
      <c r="G3058" s="5" t="s">
        <v>12</v>
      </c>
      <c r="H3058" s="5" t="s">
        <v>17</v>
      </c>
      <c r="I3058" s="5" t="s">
        <v>111</v>
      </c>
      <c r="J3058" s="98" t="s">
        <v>3441</v>
      </c>
    </row>
    <row r="3059" spans="1:10" ht="28.9" customHeight="1" thickTop="1" thickBot="1" x14ac:dyDescent="0.65">
      <c r="A3059" s="3">
        <v>3057</v>
      </c>
      <c r="B3059" s="44" t="str">
        <f>HYPERLINK("https://search.naver.com/search.naver?query=파묘 영화", "파묘")</f>
        <v>파묘</v>
      </c>
      <c r="C3059" s="45">
        <v>8.23</v>
      </c>
      <c r="D3059" s="4" t="s">
        <v>3094</v>
      </c>
      <c r="E3059" s="3" t="s">
        <v>11</v>
      </c>
      <c r="F3059" s="3">
        <v>2024</v>
      </c>
      <c r="G3059" s="3" t="s">
        <v>12</v>
      </c>
      <c r="H3059" s="3" t="s">
        <v>141</v>
      </c>
      <c r="I3059" s="3" t="s">
        <v>543</v>
      </c>
      <c r="J3059" s="97" t="s">
        <v>3448</v>
      </c>
    </row>
    <row r="3060" spans="1:10" ht="28.9" customHeight="1" thickTop="1" thickBot="1" x14ac:dyDescent="0.65">
      <c r="A3060" s="5">
        <v>3058</v>
      </c>
      <c r="B3060" s="46" t="str">
        <f>HYPERLINK("https://search.naver.com/search.naver?query=파벨만스 영화", "파벨만스")</f>
        <v>파벨만스</v>
      </c>
      <c r="C3060" s="47">
        <v>8.76</v>
      </c>
      <c r="D3060" s="6" t="s">
        <v>3095</v>
      </c>
      <c r="E3060" s="5" t="s">
        <v>20</v>
      </c>
      <c r="F3060" s="5">
        <v>2022</v>
      </c>
      <c r="G3060" s="5" t="s">
        <v>12</v>
      </c>
      <c r="H3060" s="5" t="s">
        <v>17</v>
      </c>
      <c r="I3060" s="5" t="s">
        <v>967</v>
      </c>
      <c r="J3060" s="98" t="s">
        <v>3445</v>
      </c>
    </row>
    <row r="3061" spans="1:10" ht="28.9" customHeight="1" thickTop="1" thickBot="1" x14ac:dyDescent="0.65">
      <c r="A3061" s="3">
        <v>3059</v>
      </c>
      <c r="B3061" s="44" t="str">
        <f>HYPERLINK("https://search.naver.com/search.naver?query=파수꾼 영화", "파수꾼")</f>
        <v>파수꾼</v>
      </c>
      <c r="C3061" s="45">
        <v>8.8699999999999992</v>
      </c>
      <c r="D3061" s="4" t="s">
        <v>3096</v>
      </c>
      <c r="E3061" s="3" t="s">
        <v>11</v>
      </c>
      <c r="F3061" s="3">
        <v>2011</v>
      </c>
      <c r="G3061" s="3" t="s">
        <v>12</v>
      </c>
      <c r="H3061" s="3" t="s">
        <v>17</v>
      </c>
      <c r="I3061" s="3" t="s">
        <v>111</v>
      </c>
      <c r="J3061" s="97" t="s">
        <v>3454</v>
      </c>
    </row>
    <row r="3062" spans="1:10" ht="28.9" customHeight="1" thickTop="1" thickBot="1" x14ac:dyDescent="0.65">
      <c r="A3062" s="5">
        <v>3060</v>
      </c>
      <c r="B3062" s="46" t="str">
        <f>HYPERLINK("https://search.naver.com/search.naver?query=파우더(1995)", "파우더")</f>
        <v>파우더</v>
      </c>
      <c r="C3062" s="47"/>
      <c r="D3062" s="6" t="s">
        <v>3097</v>
      </c>
      <c r="E3062" s="5" t="s">
        <v>20</v>
      </c>
      <c r="F3062" s="5">
        <v>1995</v>
      </c>
      <c r="G3062" s="5" t="s">
        <v>12</v>
      </c>
      <c r="H3062" s="5" t="s">
        <v>17</v>
      </c>
      <c r="I3062" s="5" t="s">
        <v>102</v>
      </c>
      <c r="J3062" s="98" t="s">
        <v>3475</v>
      </c>
    </row>
    <row r="3063" spans="1:10" ht="28.9" customHeight="1" thickTop="1" thickBot="1" x14ac:dyDescent="0.65">
      <c r="A3063" s="3">
        <v>3061</v>
      </c>
      <c r="B3063" s="44" t="str">
        <f>HYPERLINK("https://search.naver.com/search.naver?query=파운더 영화", "파운더")</f>
        <v>파운더</v>
      </c>
      <c r="C3063" s="45">
        <v>8.23</v>
      </c>
      <c r="D3063" s="4" t="s">
        <v>3098</v>
      </c>
      <c r="E3063" s="3" t="s">
        <v>20</v>
      </c>
      <c r="F3063" s="3">
        <v>2016</v>
      </c>
      <c r="G3063" s="3" t="s">
        <v>12</v>
      </c>
      <c r="H3063" s="3" t="s">
        <v>17</v>
      </c>
      <c r="I3063" s="3" t="s">
        <v>47</v>
      </c>
      <c r="J3063" s="97" t="s">
        <v>3441</v>
      </c>
    </row>
    <row r="3064" spans="1:10" ht="28.9" customHeight="1" thickTop="1" thickBot="1" x14ac:dyDescent="0.65">
      <c r="A3064" s="5">
        <v>3062</v>
      </c>
      <c r="B3064" s="46" t="str">
        <f>HYPERLINK("https://search.naver.com/search.naver?query=파이널 스코어 영화", "파이널 스코어")</f>
        <v>파이널 스코어</v>
      </c>
      <c r="C3064" s="47">
        <v>5.5</v>
      </c>
      <c r="D3064" s="6" t="s">
        <v>3099</v>
      </c>
      <c r="E3064" s="5" t="s">
        <v>24</v>
      </c>
      <c r="F3064" s="5">
        <v>2018</v>
      </c>
      <c r="G3064" s="5" t="s">
        <v>12</v>
      </c>
      <c r="H3064" s="5" t="s">
        <v>92</v>
      </c>
      <c r="I3064" s="5" t="s">
        <v>170</v>
      </c>
      <c r="J3064" s="98" t="s">
        <v>3442</v>
      </c>
    </row>
    <row r="3065" spans="1:10" ht="28.9" customHeight="1" thickTop="1" thickBot="1" x14ac:dyDescent="0.65">
      <c r="A3065" s="3">
        <v>3063</v>
      </c>
      <c r="B3065" s="44" t="str">
        <f>HYPERLINK("https://search.naver.com/search.naver?query=파이널 크루 칸우 탈출작전 영화", "파이널 크루 - 칸우 탈출작전")</f>
        <v>파이널 크루 - 칸우 탈출작전</v>
      </c>
      <c r="C3065" s="45">
        <v>8.7899999999999991</v>
      </c>
      <c r="D3065" s="4" t="s">
        <v>3100</v>
      </c>
      <c r="E3065" s="3" t="s">
        <v>16</v>
      </c>
      <c r="F3065" s="3">
        <v>2016</v>
      </c>
      <c r="G3065" s="3" t="s">
        <v>12</v>
      </c>
      <c r="H3065" s="3" t="s">
        <v>92</v>
      </c>
      <c r="I3065" s="3" t="s">
        <v>111</v>
      </c>
      <c r="J3065" s="97" t="s">
        <v>3441</v>
      </c>
    </row>
    <row r="3066" spans="1:10" ht="28.9" customHeight="1" thickTop="1" thickBot="1" x14ac:dyDescent="0.65">
      <c r="A3066" s="5">
        <v>3064</v>
      </c>
      <c r="B3066" s="46" t="str">
        <f>HYPERLINK("https://search.naver.com/search.naver?query=파이란 영화", "파이란")</f>
        <v>파이란</v>
      </c>
      <c r="C3066" s="47">
        <v>8.25</v>
      </c>
      <c r="D3066" s="6" t="s">
        <v>3101</v>
      </c>
      <c r="E3066" s="5" t="s">
        <v>11</v>
      </c>
      <c r="F3066" s="5">
        <v>2001</v>
      </c>
      <c r="G3066" s="5" t="s">
        <v>12</v>
      </c>
      <c r="H3066" s="5" t="s">
        <v>488</v>
      </c>
      <c r="I3066" s="5" t="s">
        <v>366</v>
      </c>
      <c r="J3066" s="98" t="s">
        <v>3457</v>
      </c>
    </row>
    <row r="3067" spans="1:10" ht="28.9" customHeight="1" thickTop="1" thickBot="1" x14ac:dyDescent="0.65">
      <c r="A3067" s="3">
        <v>3065</v>
      </c>
      <c r="B3067" s="44" t="str">
        <f>HYPERLINK("https://search.naver.com/search.naver?query=파이로매니악 연쇄 방화사건 영화", "파이로매니악-연쇄 방화사건")</f>
        <v>파이로매니악-연쇄 방화사건</v>
      </c>
      <c r="C3067" s="45"/>
      <c r="D3067" s="4" t="s">
        <v>3102</v>
      </c>
      <c r="E3067" s="3" t="s">
        <v>39</v>
      </c>
      <c r="F3067" s="3">
        <v>2016</v>
      </c>
      <c r="G3067" s="3" t="s">
        <v>12</v>
      </c>
      <c r="H3067" s="3" t="s">
        <v>17</v>
      </c>
      <c r="I3067" s="3" t="s">
        <v>14</v>
      </c>
      <c r="J3067" s="97" t="s">
        <v>3441</v>
      </c>
    </row>
    <row r="3068" spans="1:10" ht="28.9" customHeight="1" thickTop="1" thickBot="1" x14ac:dyDescent="0.65">
      <c r="A3068" s="5">
        <v>3066</v>
      </c>
      <c r="B3068" s="46" t="str">
        <f>HYPERLINK("https://search.naver.com/search.naver?query=파이브 피트 영화", "파이브 피트")</f>
        <v>파이브 피트</v>
      </c>
      <c r="C3068" s="47">
        <v>9.02</v>
      </c>
      <c r="D3068" s="6" t="s">
        <v>3103</v>
      </c>
      <c r="E3068" s="5" t="s">
        <v>20</v>
      </c>
      <c r="F3068" s="5">
        <v>2019</v>
      </c>
      <c r="G3068" s="5" t="s">
        <v>12</v>
      </c>
      <c r="H3068" s="5" t="s">
        <v>17</v>
      </c>
      <c r="I3068" s="5" t="s">
        <v>366</v>
      </c>
      <c r="J3068" s="98" t="s">
        <v>3444</v>
      </c>
    </row>
    <row r="3069" spans="1:10" ht="28.9" customHeight="1" thickTop="1" thickBot="1" x14ac:dyDescent="0.65">
      <c r="A3069" s="3">
        <v>3067</v>
      </c>
      <c r="B3069" s="44" t="str">
        <f>HYPERLINK("https://search.naver.com/search.naver?query=파이어 위드 파이어 영화", "파이어 위드 파이어")</f>
        <v>파이어 위드 파이어</v>
      </c>
      <c r="C3069" s="45">
        <v>4.7300000000000004</v>
      </c>
      <c r="D3069" s="4" t="s">
        <v>3104</v>
      </c>
      <c r="E3069" s="3" t="s">
        <v>20</v>
      </c>
      <c r="F3069" s="3">
        <v>2012</v>
      </c>
      <c r="G3069" s="3" t="s">
        <v>12</v>
      </c>
      <c r="H3069" s="3" t="s">
        <v>92</v>
      </c>
      <c r="I3069" s="3" t="s">
        <v>124</v>
      </c>
      <c r="J3069" s="97" t="s">
        <v>3439</v>
      </c>
    </row>
    <row r="3070" spans="1:10" ht="28.9" customHeight="1" thickTop="1" thickBot="1" x14ac:dyDescent="0.65">
      <c r="A3070" s="5">
        <v>3068</v>
      </c>
      <c r="B3070" s="46" t="str">
        <f>HYPERLINK("https://search.naver.com/search.naver?query=파이어프루프-사랑의 도전 영화", "파이어프루프-사랑의 도전")</f>
        <v>파이어프루프-사랑의 도전</v>
      </c>
      <c r="C3070" s="47">
        <v>8.59</v>
      </c>
      <c r="D3070" s="6" t="s">
        <v>3105</v>
      </c>
      <c r="E3070" s="5" t="s">
        <v>20</v>
      </c>
      <c r="F3070" s="5">
        <v>2008</v>
      </c>
      <c r="G3070" s="5" t="s">
        <v>12</v>
      </c>
      <c r="H3070" s="5" t="s">
        <v>17</v>
      </c>
      <c r="I3070" s="5" t="s">
        <v>221</v>
      </c>
      <c r="J3070" s="98" t="s">
        <v>3450</v>
      </c>
    </row>
    <row r="3071" spans="1:10" ht="28.9" customHeight="1" thickTop="1" thickBot="1" x14ac:dyDescent="0.65">
      <c r="A3071" s="3">
        <v>3069</v>
      </c>
      <c r="B3071" s="44" t="str">
        <f>HYPERLINK("https://search.naver.com/search.naver?query=파이트 오어 플라이트 영화", "파이트 오어 플라이트")</f>
        <v>파이트 오어 플라이트</v>
      </c>
      <c r="C3071" s="45">
        <v>6.4</v>
      </c>
      <c r="D3071" s="4" t="s">
        <v>3106</v>
      </c>
      <c r="E3071" s="3" t="s">
        <v>20</v>
      </c>
      <c r="F3071" s="3">
        <v>2025</v>
      </c>
      <c r="G3071" s="3" t="s">
        <v>12</v>
      </c>
      <c r="H3071" s="3" t="s">
        <v>92</v>
      </c>
      <c r="I3071" s="3" t="s">
        <v>131</v>
      </c>
      <c r="J3071" s="97" t="s">
        <v>3459</v>
      </c>
    </row>
    <row r="3072" spans="1:10" ht="28.9" customHeight="1" thickTop="1" thickBot="1" x14ac:dyDescent="0.65">
      <c r="A3072" s="5">
        <v>3070</v>
      </c>
      <c r="B3072" s="46" t="str">
        <f>HYPERLINK("https://search.naver.com/search.naver?query=파이프라인 영화", "파이프라인")</f>
        <v>파이프라인</v>
      </c>
      <c r="C3072" s="47">
        <v>7.52</v>
      </c>
      <c r="D3072" s="6" t="s">
        <v>3107</v>
      </c>
      <c r="E3072" s="5" t="s">
        <v>11</v>
      </c>
      <c r="F3072" s="5">
        <v>2021</v>
      </c>
      <c r="G3072" s="5" t="s">
        <v>12</v>
      </c>
      <c r="H3072" s="5" t="s">
        <v>277</v>
      </c>
      <c r="I3072" s="5" t="s">
        <v>61</v>
      </c>
      <c r="J3072" s="98" t="s">
        <v>3438</v>
      </c>
    </row>
    <row r="3073" spans="1:10" ht="28.9" customHeight="1" thickTop="1" thickBot="1" x14ac:dyDescent="0.65">
      <c r="A3073" s="7">
        <v>3071</v>
      </c>
      <c r="B3073" s="48" t="str">
        <f>HYPERLINK("https://search.naver.com/search.naver?query=파인: 촌뜨기들 드라마", "파인: 촌뜨기들")</f>
        <v>파인: 촌뜨기들</v>
      </c>
      <c r="C3073" s="49"/>
      <c r="D3073" s="8" t="s">
        <v>3108</v>
      </c>
      <c r="E3073" s="7" t="s">
        <v>11</v>
      </c>
      <c r="F3073" s="7">
        <v>2025</v>
      </c>
      <c r="G3073" s="7" t="s">
        <v>17</v>
      </c>
      <c r="H3073" s="7" t="s">
        <v>17</v>
      </c>
      <c r="I3073" s="7" t="s">
        <v>527</v>
      </c>
      <c r="J3073" s="99" t="s">
        <v>3459</v>
      </c>
    </row>
    <row r="3074" spans="1:10" ht="28.9" customHeight="1" thickTop="1" thickBot="1" x14ac:dyDescent="0.65">
      <c r="A3074" s="5">
        <v>3072</v>
      </c>
      <c r="B3074" s="46" t="str">
        <f>HYPERLINK("https://search.naver.com/search.naver?query=파인딩 스티브 맥퀸 영화", "파인딩 스티브 맥퀸")</f>
        <v>파인딩 스티브 맥퀸</v>
      </c>
      <c r="C3074" s="47">
        <v>6</v>
      </c>
      <c r="D3074" s="6" t="s">
        <v>3109</v>
      </c>
      <c r="E3074" s="5" t="s">
        <v>20</v>
      </c>
      <c r="F3074" s="5">
        <v>2019</v>
      </c>
      <c r="G3074" s="5" t="s">
        <v>12</v>
      </c>
      <c r="H3074" s="5" t="s">
        <v>277</v>
      </c>
      <c r="I3074" s="5" t="s">
        <v>240</v>
      </c>
      <c r="J3074" s="98" t="s">
        <v>3444</v>
      </c>
    </row>
    <row r="3075" spans="1:10" ht="28.9" customHeight="1" thickTop="1" thickBot="1" x14ac:dyDescent="0.65">
      <c r="A3075" s="3">
        <v>3073</v>
      </c>
      <c r="B3075" s="44" t="str">
        <f>HYPERLINK("https://search.naver.com/search.naver?query=파일럿 영화", "파일럿")</f>
        <v>파일럿</v>
      </c>
      <c r="C3075" s="45">
        <v>7.42</v>
      </c>
      <c r="D3075" s="4" t="s">
        <v>3110</v>
      </c>
      <c r="E3075" s="3" t="s">
        <v>11</v>
      </c>
      <c r="F3075" s="3">
        <v>2024</v>
      </c>
      <c r="G3075" s="3" t="s">
        <v>12</v>
      </c>
      <c r="H3075" s="3" t="s">
        <v>68</v>
      </c>
      <c r="I3075" s="3" t="s">
        <v>96</v>
      </c>
      <c r="J3075" s="97" t="s">
        <v>3448</v>
      </c>
    </row>
    <row r="3076" spans="1:10" ht="28.9" customHeight="1" thickTop="1" thickBot="1" x14ac:dyDescent="0.65">
      <c r="A3076" s="7">
        <v>3074</v>
      </c>
      <c r="B3076" s="48" t="str">
        <f>HYPERLINK("https://search.naver.com/search.naver?query=파친코 시즌1", "파친코 시즌1")</f>
        <v>파친코 시즌1</v>
      </c>
      <c r="C3076" s="49"/>
      <c r="D3076" s="8" t="s">
        <v>3111</v>
      </c>
      <c r="E3076" s="7" t="s">
        <v>11</v>
      </c>
      <c r="F3076" s="7">
        <v>2023</v>
      </c>
      <c r="G3076" s="7" t="s">
        <v>17</v>
      </c>
      <c r="H3076" s="7" t="s">
        <v>17</v>
      </c>
      <c r="I3076" s="7" t="s">
        <v>324</v>
      </c>
      <c r="J3076" s="99" t="s">
        <v>3446</v>
      </c>
    </row>
    <row r="3077" spans="1:10" ht="28.9" customHeight="1" thickTop="1" thickBot="1" x14ac:dyDescent="0.65">
      <c r="A3077" s="7">
        <v>3075</v>
      </c>
      <c r="B3077" s="48" t="str">
        <f>HYPERLINK("https://search.naver.com/search.naver?query=파친코 시즌2", "파친코 시즌2")</f>
        <v>파친코 시즌2</v>
      </c>
      <c r="C3077" s="49"/>
      <c r="D3077" s="8" t="s">
        <v>3111</v>
      </c>
      <c r="E3077" s="7" t="s">
        <v>11</v>
      </c>
      <c r="F3077" s="7">
        <v>2024</v>
      </c>
      <c r="G3077" s="7" t="s">
        <v>17</v>
      </c>
      <c r="H3077" s="7" t="s">
        <v>17</v>
      </c>
      <c r="I3077" s="7" t="s">
        <v>55</v>
      </c>
      <c r="J3077" s="99" t="s">
        <v>3448</v>
      </c>
    </row>
    <row r="3078" spans="1:10" ht="28.9" customHeight="1" thickTop="1" thickBot="1" x14ac:dyDescent="0.65">
      <c r="A3078" s="5">
        <v>3076</v>
      </c>
      <c r="B3078" s="46" t="str">
        <f>HYPERLINK("https://search.naver.com/search.naver?query=파커 영화", "파커")</f>
        <v>파커</v>
      </c>
      <c r="C3078" s="47">
        <v>7.83</v>
      </c>
      <c r="D3078" s="6" t="s">
        <v>3112</v>
      </c>
      <c r="E3078" s="5" t="s">
        <v>20</v>
      </c>
      <c r="F3078" s="5">
        <v>2013</v>
      </c>
      <c r="G3078" s="5" t="s">
        <v>12</v>
      </c>
      <c r="H3078" s="5" t="s">
        <v>92</v>
      </c>
      <c r="I3078" s="5" t="s">
        <v>221</v>
      </c>
      <c r="J3078" s="98" t="s">
        <v>3451</v>
      </c>
    </row>
    <row r="3079" spans="1:10" ht="28.9" customHeight="1" thickTop="1" thickBot="1" x14ac:dyDescent="0.65">
      <c r="A3079" s="3">
        <v>3077</v>
      </c>
      <c r="B3079" s="44" t="str">
        <f>HYPERLINK("https://search.naver.com/search.naver?query=파탈 영화", "파탈")</f>
        <v>파탈</v>
      </c>
      <c r="C3079" s="45">
        <v>6.4</v>
      </c>
      <c r="D3079" s="4" t="s">
        <v>3113</v>
      </c>
      <c r="E3079" s="3" t="s">
        <v>20</v>
      </c>
      <c r="F3079" s="3">
        <v>2020</v>
      </c>
      <c r="G3079" s="3" t="s">
        <v>12</v>
      </c>
      <c r="H3079" s="3" t="s">
        <v>43</v>
      </c>
      <c r="I3079" s="3" t="s">
        <v>99</v>
      </c>
      <c r="J3079" s="97" t="s">
        <v>3436</v>
      </c>
    </row>
    <row r="3080" spans="1:10" ht="28.9" customHeight="1" thickTop="1" thickBot="1" x14ac:dyDescent="0.65">
      <c r="A3080" s="5">
        <v>3078</v>
      </c>
      <c r="B3080" s="46" t="str">
        <f>HYPERLINK("https://search.naver.com/search.naver?query=파티마의 기적 영화", "파티마의 기적")</f>
        <v>파티마의 기적</v>
      </c>
      <c r="C3080" s="47">
        <v>9.19</v>
      </c>
      <c r="D3080" s="6" t="s">
        <v>3114</v>
      </c>
      <c r="E3080" s="5" t="s">
        <v>3115</v>
      </c>
      <c r="F3080" s="5">
        <v>2020</v>
      </c>
      <c r="G3080" s="5" t="s">
        <v>12</v>
      </c>
      <c r="H3080" s="5" t="s">
        <v>17</v>
      </c>
      <c r="I3080" s="5" t="s">
        <v>73</v>
      </c>
      <c r="J3080" s="98" t="s">
        <v>3436</v>
      </c>
    </row>
    <row r="3081" spans="1:10" ht="28.9" customHeight="1" thickTop="1" thickBot="1" x14ac:dyDescent="0.65">
      <c r="A3081" s="3">
        <v>3079</v>
      </c>
      <c r="B3081" s="44" t="str">
        <f>HYPERLINK("https://search.naver.com/search.naver?query=파파로티 영화", "파파로티")</f>
        <v>파파로티</v>
      </c>
      <c r="C3081" s="45">
        <v>8.27</v>
      </c>
      <c r="D3081" s="4" t="s">
        <v>3116</v>
      </c>
      <c r="E3081" s="3" t="s">
        <v>11</v>
      </c>
      <c r="F3081" s="3">
        <v>2012</v>
      </c>
      <c r="G3081" s="3" t="s">
        <v>12</v>
      </c>
      <c r="H3081" s="3" t="s">
        <v>17</v>
      </c>
      <c r="I3081" s="3" t="s">
        <v>207</v>
      </c>
      <c r="J3081" s="97" t="s">
        <v>3439</v>
      </c>
    </row>
    <row r="3082" spans="1:10" ht="28.9" customHeight="1" thickTop="1" thickBot="1" x14ac:dyDescent="0.65">
      <c r="A3082" s="5">
        <v>3080</v>
      </c>
      <c r="B3082" s="46" t="str">
        <f>HYPERLINK("https://search.naver.com/search.naver?query=파편 (2009) 일본영화", "파편")</f>
        <v>파편</v>
      </c>
      <c r="C3082" s="47"/>
      <c r="D3082" s="6" t="s">
        <v>3117</v>
      </c>
      <c r="E3082" s="5" t="s">
        <v>16</v>
      </c>
      <c r="F3082" s="5">
        <v>2010</v>
      </c>
      <c r="G3082" s="5" t="s">
        <v>12</v>
      </c>
      <c r="H3082" s="5" t="s">
        <v>17</v>
      </c>
      <c r="I3082" s="5" t="s">
        <v>75</v>
      </c>
      <c r="J3082" s="98" t="s">
        <v>3455</v>
      </c>
    </row>
    <row r="3083" spans="1:10" ht="28.9" customHeight="1" thickTop="1" thickBot="1" x14ac:dyDescent="0.65">
      <c r="A3083" s="3">
        <v>3081</v>
      </c>
      <c r="B3083" s="44" t="str">
        <f>HYPERLINK("https://search.naver.com/search.naver?query=판도라 영화", "판도라")</f>
        <v>판도라</v>
      </c>
      <c r="C3083" s="45">
        <v>8.7799999999999994</v>
      </c>
      <c r="D3083" s="4" t="s">
        <v>3118</v>
      </c>
      <c r="E3083" s="3" t="s">
        <v>11</v>
      </c>
      <c r="F3083" s="3">
        <v>2016</v>
      </c>
      <c r="G3083" s="3" t="s">
        <v>12</v>
      </c>
      <c r="H3083" s="3" t="s">
        <v>726</v>
      </c>
      <c r="I3083" s="3" t="s">
        <v>359</v>
      </c>
      <c r="J3083" s="97" t="s">
        <v>3441</v>
      </c>
    </row>
    <row r="3084" spans="1:10" ht="28.9" customHeight="1" thickTop="1" thickBot="1" x14ac:dyDescent="0.65">
      <c r="A3084" s="5">
        <v>3082</v>
      </c>
      <c r="B3084" s="46" t="str">
        <f>HYPERLINK("https://search.daum.net/search?nil_suggest=btn&amp;w=tot&amp;DA=SBC&amp;q=%ED%8C%94%EB%A1%9C%EC%9A%B0+%EB%AF%B8+%EC%98%81%ED%99%94=팔로우 미 영화", "팔로우 미")</f>
        <v>팔로우 미</v>
      </c>
      <c r="C3084" s="47">
        <v>5</v>
      </c>
      <c r="D3084" s="6" t="s">
        <v>3119</v>
      </c>
      <c r="E3084" s="5" t="s">
        <v>20</v>
      </c>
      <c r="F3084" s="5">
        <v>2020</v>
      </c>
      <c r="G3084" s="5" t="s">
        <v>12</v>
      </c>
      <c r="H3084" s="5" t="s">
        <v>252</v>
      </c>
      <c r="I3084" s="5" t="s">
        <v>231</v>
      </c>
      <c r="J3084" s="98" t="s">
        <v>3436</v>
      </c>
    </row>
    <row r="3085" spans="1:10" ht="28.9" customHeight="1" thickTop="1" thickBot="1" x14ac:dyDescent="0.65">
      <c r="A3085" s="3">
        <v>3083</v>
      </c>
      <c r="B3085" s="44" t="str">
        <f>HYPERLINK("https://search.naver.com/search.naver?query=팟 제너레이션 영화", "팟 제너레이션")</f>
        <v>팟 제너레이션</v>
      </c>
      <c r="C3085" s="45">
        <v>6.23</v>
      </c>
      <c r="D3085" s="4" t="s">
        <v>3120</v>
      </c>
      <c r="E3085" s="3" t="s">
        <v>509</v>
      </c>
      <c r="F3085" s="3">
        <v>2023</v>
      </c>
      <c r="G3085" s="3" t="s">
        <v>12</v>
      </c>
      <c r="H3085" s="3" t="s">
        <v>520</v>
      </c>
      <c r="I3085" s="3" t="s">
        <v>96</v>
      </c>
      <c r="J3085" s="97" t="s">
        <v>3446</v>
      </c>
    </row>
    <row r="3086" spans="1:10" ht="28.9" customHeight="1" thickTop="1" thickBot="1" x14ac:dyDescent="0.65">
      <c r="A3086" s="5">
        <v>3084</v>
      </c>
      <c r="B3086" s="46" t="str">
        <f>HYPERLINK("https://search.naver.com/search.naver?query=패닉 런 영화", "패닉 런")</f>
        <v>패닉 런</v>
      </c>
      <c r="C3086" s="47">
        <v>6.6</v>
      </c>
      <c r="D3086" s="6" t="s">
        <v>3121</v>
      </c>
      <c r="E3086" s="5" t="s">
        <v>189</v>
      </c>
      <c r="F3086" s="5">
        <v>2021</v>
      </c>
      <c r="G3086" s="5" t="s">
        <v>12</v>
      </c>
      <c r="H3086" s="5" t="s">
        <v>43</v>
      </c>
      <c r="I3086" s="5" t="s">
        <v>952</v>
      </c>
      <c r="J3086" s="98" t="s">
        <v>3438</v>
      </c>
    </row>
    <row r="3087" spans="1:10" ht="28.9" customHeight="1" thickTop="1" thickBot="1" x14ac:dyDescent="0.65">
      <c r="A3087" s="3">
        <v>3085</v>
      </c>
      <c r="B3087" s="44" t="str">
        <f>HYPERLINK("https://search.naver.com/search.naver?query=패럴렐 월드 러브 스토리 영화", "패럴렐 월드 러브 스토리")</f>
        <v>패럴렐 월드 러브 스토리</v>
      </c>
      <c r="C3087" s="45">
        <v>6.4</v>
      </c>
      <c r="D3087" s="4" t="s">
        <v>3122</v>
      </c>
      <c r="E3087" s="3" t="s">
        <v>16</v>
      </c>
      <c r="F3087" s="3">
        <v>2019</v>
      </c>
      <c r="G3087" s="3" t="s">
        <v>12</v>
      </c>
      <c r="H3087" s="3" t="s">
        <v>520</v>
      </c>
      <c r="I3087" s="3" t="s">
        <v>111</v>
      </c>
      <c r="J3087" s="97" t="s">
        <v>3444</v>
      </c>
    </row>
    <row r="3088" spans="1:10" ht="28.9" customHeight="1" thickTop="1" thickBot="1" x14ac:dyDescent="0.65">
      <c r="A3088" s="5">
        <v>3086</v>
      </c>
      <c r="B3088" s="46" t="str">
        <f>HYPERLINK("https://search.naver.com/search.naver?query=패밀리 플랜 영화", "패밀리 플랜")</f>
        <v>패밀리 플랜</v>
      </c>
      <c r="C3088" s="47">
        <v>5</v>
      </c>
      <c r="D3088" s="6" t="s">
        <v>3123</v>
      </c>
      <c r="E3088" s="5" t="s">
        <v>20</v>
      </c>
      <c r="F3088" s="5">
        <v>2023</v>
      </c>
      <c r="G3088" s="5" t="s">
        <v>12</v>
      </c>
      <c r="H3088" s="5" t="s">
        <v>92</v>
      </c>
      <c r="I3088" s="5" t="s">
        <v>221</v>
      </c>
      <c r="J3088" s="98" t="s">
        <v>3446</v>
      </c>
    </row>
    <row r="3089" spans="1:10" ht="28.9" customHeight="1" thickTop="1" thickBot="1" x14ac:dyDescent="0.65">
      <c r="A3089" s="3">
        <v>3087</v>
      </c>
      <c r="B3089" s="44" t="str">
        <f>HYPERLINK("https://search.naver.com/search.naver?query=패션, 위험한 열정 영화", "패션, 위험한 열정")</f>
        <v>패션, 위험한 열정</v>
      </c>
      <c r="C3089" s="45">
        <v>7.04</v>
      </c>
      <c r="D3089" s="4" t="s">
        <v>3124</v>
      </c>
      <c r="E3089" s="3" t="s">
        <v>361</v>
      </c>
      <c r="F3089" s="3">
        <v>2008</v>
      </c>
      <c r="G3089" s="3" t="s">
        <v>12</v>
      </c>
      <c r="H3089" s="3" t="s">
        <v>17</v>
      </c>
      <c r="I3089" s="3" t="s">
        <v>1377</v>
      </c>
      <c r="J3089" s="97" t="s">
        <v>3450</v>
      </c>
    </row>
    <row r="3090" spans="1:10" ht="28.9" customHeight="1" thickTop="1" thickBot="1" x14ac:dyDescent="0.65">
      <c r="A3090" s="5">
        <v>3088</v>
      </c>
      <c r="B3090" s="46" t="str">
        <f>HYPERLINK("https://search.naver.com/search.naver?query=패신저스 영화", "패신저스")</f>
        <v>패신저스</v>
      </c>
      <c r="C3090" s="47">
        <v>8.0299999999999994</v>
      </c>
      <c r="D3090" s="6" t="s">
        <v>3125</v>
      </c>
      <c r="E3090" s="5" t="s">
        <v>20</v>
      </c>
      <c r="F3090" s="5">
        <v>2016</v>
      </c>
      <c r="G3090" s="5" t="s">
        <v>12</v>
      </c>
      <c r="H3090" s="5" t="s">
        <v>520</v>
      </c>
      <c r="I3090" s="5" t="s">
        <v>366</v>
      </c>
      <c r="J3090" s="98" t="s">
        <v>3441</v>
      </c>
    </row>
    <row r="3091" spans="1:10" ht="28.9" customHeight="1" thickTop="1" thickBot="1" x14ac:dyDescent="0.65">
      <c r="A3091" s="3">
        <v>3089</v>
      </c>
      <c r="B3091" s="44" t="str">
        <f>HYPERLINK("https://search.naver.com/search.naver?query=패트리어트 데이 영화", "패트리어트 데이")</f>
        <v>패트리어트 데이</v>
      </c>
      <c r="C3091" s="45">
        <v>8.8800000000000008</v>
      </c>
      <c r="D3091" s="4" t="s">
        <v>3126</v>
      </c>
      <c r="E3091" s="3" t="s">
        <v>20</v>
      </c>
      <c r="F3091" s="3">
        <v>2016</v>
      </c>
      <c r="G3091" s="3" t="s">
        <v>12</v>
      </c>
      <c r="H3091" s="3" t="s">
        <v>17</v>
      </c>
      <c r="I3091" s="3" t="s">
        <v>83</v>
      </c>
      <c r="J3091" s="97" t="s">
        <v>3441</v>
      </c>
    </row>
    <row r="3092" spans="1:10" ht="28.9" customHeight="1" thickTop="1" thickBot="1" x14ac:dyDescent="0.65">
      <c r="A3092" s="5">
        <v>3090</v>
      </c>
      <c r="B3092" s="46" t="str">
        <f>HYPERLINK("https://search.naver.com/search.naver?query=팬텀 라스트 커맨더 영화", "팬텀 - 라스트 커맨더")</f>
        <v>팬텀 - 라스트 커맨더</v>
      </c>
      <c r="C3092" s="47">
        <v>7.04</v>
      </c>
      <c r="D3092" s="6" t="s">
        <v>3127</v>
      </c>
      <c r="E3092" s="5" t="s">
        <v>57</v>
      </c>
      <c r="F3092" s="5">
        <v>2013</v>
      </c>
      <c r="G3092" s="5" t="s">
        <v>12</v>
      </c>
      <c r="H3092" s="5" t="s">
        <v>92</v>
      </c>
      <c r="I3092" s="5" t="s">
        <v>111</v>
      </c>
      <c r="J3092" s="98" t="s">
        <v>3451</v>
      </c>
    </row>
    <row r="3093" spans="1:10" ht="28.9" customHeight="1" thickTop="1" thickBot="1" x14ac:dyDescent="0.65">
      <c r="A3093" s="3">
        <v>3091</v>
      </c>
      <c r="B3093" s="44" t="str">
        <f>HYPERLINK("https://search.naver.com/search.naver?query=팬텀 스레드 영화", "팬텀 스레드")</f>
        <v>팬텀 스레드</v>
      </c>
      <c r="C3093" s="45">
        <v>8.65</v>
      </c>
      <c r="D3093" s="4" t="s">
        <v>3128</v>
      </c>
      <c r="E3093" s="3" t="s">
        <v>20</v>
      </c>
      <c r="F3093" s="3">
        <v>2017</v>
      </c>
      <c r="G3093" s="3" t="s">
        <v>12</v>
      </c>
      <c r="H3093" s="3" t="s">
        <v>17</v>
      </c>
      <c r="I3093" s="3" t="s">
        <v>34</v>
      </c>
      <c r="J3093" s="97" t="s">
        <v>3443</v>
      </c>
    </row>
    <row r="3094" spans="1:10" ht="28.9" customHeight="1" thickTop="1" thickBot="1" x14ac:dyDescent="0.65">
      <c r="A3094" s="5">
        <v>3092</v>
      </c>
      <c r="B3094" s="46" t="str">
        <f>HYPERLINK("https://search.naver.com/search.naver?query=퍼스널 쇼퍼 영화", "퍼스널 쇼퍼")</f>
        <v>퍼스널 쇼퍼</v>
      </c>
      <c r="C3094" s="47">
        <v>7.49</v>
      </c>
      <c r="D3094" s="6" t="s">
        <v>3129</v>
      </c>
      <c r="E3094" s="5" t="s">
        <v>210</v>
      </c>
      <c r="F3094" s="5">
        <v>2016</v>
      </c>
      <c r="G3094" s="5" t="s">
        <v>12</v>
      </c>
      <c r="H3094" s="5" t="s">
        <v>17</v>
      </c>
      <c r="I3094" s="5" t="s">
        <v>128</v>
      </c>
      <c r="J3094" s="98" t="s">
        <v>3441</v>
      </c>
    </row>
    <row r="3095" spans="1:10" ht="28.9" customHeight="1" thickTop="1" thickBot="1" x14ac:dyDescent="0.65">
      <c r="A3095" s="3">
        <v>3093</v>
      </c>
      <c r="B3095" s="44" t="str">
        <f>HYPERLINK("https://www.kmdb.or.kr/db/kor/detail/movie/F/51526", "퍼스트 러브")</f>
        <v>퍼스트 러브</v>
      </c>
      <c r="C3095" s="45"/>
      <c r="D3095" s="4" t="s">
        <v>3130</v>
      </c>
      <c r="E3095" s="3" t="s">
        <v>16</v>
      </c>
      <c r="F3095" s="3">
        <v>2020</v>
      </c>
      <c r="G3095" s="3" t="s">
        <v>12</v>
      </c>
      <c r="H3095" s="3" t="s">
        <v>17</v>
      </c>
      <c r="I3095" s="3" t="s">
        <v>111</v>
      </c>
      <c r="J3095" s="97" t="s">
        <v>3436</v>
      </c>
    </row>
    <row r="3096" spans="1:10" ht="28.9" customHeight="1" thickTop="1" thickBot="1" x14ac:dyDescent="0.65">
      <c r="A3096" s="7">
        <v>3094</v>
      </c>
      <c r="B3096" s="48" t="str">
        <f>HYPERLINK("https://search.naver.com/search.naver?query=퍼스트 러브 하츠코이 드라마", "퍼스트 러브 하츠코이")</f>
        <v>퍼스트 러브 하츠코이</v>
      </c>
      <c r="C3096" s="49"/>
      <c r="D3096" s="8" t="s">
        <v>3131</v>
      </c>
      <c r="E3096" s="7" t="s">
        <v>16</v>
      </c>
      <c r="F3096" s="7">
        <v>2022</v>
      </c>
      <c r="G3096" s="7" t="s">
        <v>17</v>
      </c>
      <c r="H3096" s="7" t="s">
        <v>110</v>
      </c>
      <c r="I3096" s="7" t="s">
        <v>242</v>
      </c>
      <c r="J3096" s="99" t="s">
        <v>3445</v>
      </c>
    </row>
    <row r="3097" spans="1:10" ht="28.9" customHeight="1" thickTop="1" thickBot="1" x14ac:dyDescent="0.65">
      <c r="A3097" s="3">
        <v>3095</v>
      </c>
      <c r="B3097" s="44" t="str">
        <f>HYPERLINK("https://search.naver.com/search.naver?query=퍼스트 리폼드 영화", "퍼스트 리폼드")</f>
        <v>퍼스트 리폼드</v>
      </c>
      <c r="C3097" s="45">
        <v>8.1300000000000008</v>
      </c>
      <c r="D3097" s="4" t="s">
        <v>3132</v>
      </c>
      <c r="E3097" s="3" t="s">
        <v>20</v>
      </c>
      <c r="F3097" s="3">
        <v>2017</v>
      </c>
      <c r="G3097" s="3" t="s">
        <v>12</v>
      </c>
      <c r="H3097" s="3" t="s">
        <v>17</v>
      </c>
      <c r="I3097" s="3" t="s">
        <v>31</v>
      </c>
      <c r="J3097" s="97" t="s">
        <v>3443</v>
      </c>
    </row>
    <row r="3098" spans="1:10" ht="28.9" customHeight="1" thickTop="1" thickBot="1" x14ac:dyDescent="0.65">
      <c r="A3098" s="5">
        <v>3096</v>
      </c>
      <c r="B3098" s="46" t="str">
        <f>HYPERLINK("https://search.naver.com/search.naver?query=퍼스트 킬 영화", "퍼스트 킬")</f>
        <v>퍼스트 킬</v>
      </c>
      <c r="C3098" s="47"/>
      <c r="D3098" s="6" t="s">
        <v>3133</v>
      </c>
      <c r="E3098" s="5" t="s">
        <v>20</v>
      </c>
      <c r="F3098" s="5">
        <v>2017</v>
      </c>
      <c r="G3098" s="5" t="s">
        <v>12</v>
      </c>
      <c r="H3098" s="5" t="s">
        <v>92</v>
      </c>
      <c r="I3098" s="5" t="s">
        <v>70</v>
      </c>
      <c r="J3098" s="98" t="s">
        <v>3443</v>
      </c>
    </row>
    <row r="3099" spans="1:10" ht="28.9" customHeight="1" thickTop="1" thickBot="1" x14ac:dyDescent="0.65">
      <c r="A3099" s="3">
        <v>3097</v>
      </c>
      <c r="B3099" s="44" t="str">
        <f>HYPERLINK("https://search.naver.com/search.naver?query=퍼스트맨 (2018)", "퍼스트맨")</f>
        <v>퍼스트맨</v>
      </c>
      <c r="C3099" s="45">
        <v>7.85</v>
      </c>
      <c r="D3099" s="4" t="s">
        <v>3134</v>
      </c>
      <c r="E3099" s="3" t="s">
        <v>20</v>
      </c>
      <c r="F3099" s="3">
        <v>2018</v>
      </c>
      <c r="G3099" s="3" t="s">
        <v>12</v>
      </c>
      <c r="H3099" s="3" t="s">
        <v>520</v>
      </c>
      <c r="I3099" s="3" t="s">
        <v>455</v>
      </c>
      <c r="J3099" s="97" t="s">
        <v>3442</v>
      </c>
    </row>
    <row r="3100" spans="1:10" ht="28.9" customHeight="1" thickTop="1" thickBot="1" x14ac:dyDescent="0.65">
      <c r="A3100" s="7">
        <v>3098</v>
      </c>
      <c r="B3100" s="48" t="str">
        <f>HYPERLINK("https://search.naver.com/search.naver?query=퍼슨 오브 인터레스트 시즌1", "퍼슨 오브 인터레스트 시즌1")</f>
        <v>퍼슨 오브 인터레스트 시즌1</v>
      </c>
      <c r="C3100" s="49"/>
      <c r="D3100" s="8" t="s">
        <v>3135</v>
      </c>
      <c r="E3100" s="7" t="s">
        <v>20</v>
      </c>
      <c r="F3100" s="7">
        <v>2011</v>
      </c>
      <c r="G3100" s="7" t="s">
        <v>17</v>
      </c>
      <c r="H3100" s="7" t="s">
        <v>162</v>
      </c>
      <c r="I3100" s="7" t="s">
        <v>355</v>
      </c>
      <c r="J3100" s="99" t="s">
        <v>3454</v>
      </c>
    </row>
    <row r="3101" spans="1:10" ht="28.9" customHeight="1" thickTop="1" thickBot="1" x14ac:dyDescent="0.65">
      <c r="A3101" s="7">
        <v>3099</v>
      </c>
      <c r="B3101" s="48" t="str">
        <f>HYPERLINK("https://search.naver.com/search.naver?query=퍼슨 오브 인터레스트 시즌2", "퍼슨 오브 인터레스트 시즌2")</f>
        <v>퍼슨 오브 인터레스트 시즌2</v>
      </c>
      <c r="C3101" s="49"/>
      <c r="D3101" s="8" t="s">
        <v>3135</v>
      </c>
      <c r="E3101" s="7" t="s">
        <v>20</v>
      </c>
      <c r="F3101" s="7">
        <v>2012</v>
      </c>
      <c r="G3101" s="7" t="s">
        <v>17</v>
      </c>
      <c r="H3101" s="7" t="s">
        <v>162</v>
      </c>
      <c r="I3101" s="7" t="s">
        <v>356</v>
      </c>
      <c r="J3101" s="99" t="s">
        <v>3439</v>
      </c>
    </row>
    <row r="3102" spans="1:10" ht="28.9" customHeight="1" thickTop="1" thickBot="1" x14ac:dyDescent="0.65">
      <c r="A3102" s="7">
        <v>3100</v>
      </c>
      <c r="B3102" s="48" t="str">
        <f>HYPERLINK("https://search.naver.com/search.naver?query=퍼슨 오브 인터레스트 시즌3", "퍼슨 오브 인터레스트 시즌3")</f>
        <v>퍼슨 오브 인터레스트 시즌3</v>
      </c>
      <c r="C3102" s="49"/>
      <c r="D3102" s="8" t="s">
        <v>3135</v>
      </c>
      <c r="E3102" s="7" t="s">
        <v>20</v>
      </c>
      <c r="F3102" s="7">
        <v>2013</v>
      </c>
      <c r="G3102" s="7" t="s">
        <v>17</v>
      </c>
      <c r="H3102" s="7" t="s">
        <v>162</v>
      </c>
      <c r="I3102" s="7" t="s">
        <v>355</v>
      </c>
      <c r="J3102" s="99" t="s">
        <v>3451</v>
      </c>
    </row>
    <row r="3103" spans="1:10" ht="28.9" customHeight="1" thickTop="1" thickBot="1" x14ac:dyDescent="0.65">
      <c r="A3103" s="7">
        <v>3101</v>
      </c>
      <c r="B3103" s="48" t="str">
        <f>HYPERLINK("https://search.naver.com/search.naver?query=퍼슨 오브 인터레스트 시즌4", "퍼슨 오브 인터레스트 시즌4")</f>
        <v>퍼슨 오브 인터레스트 시즌4</v>
      </c>
      <c r="C3103" s="49"/>
      <c r="D3103" s="8" t="s">
        <v>3135</v>
      </c>
      <c r="E3103" s="7" t="s">
        <v>20</v>
      </c>
      <c r="F3103" s="7">
        <v>2014</v>
      </c>
      <c r="G3103" s="7" t="s">
        <v>17</v>
      </c>
      <c r="H3103" s="7" t="s">
        <v>162</v>
      </c>
      <c r="I3103" s="7" t="s">
        <v>356</v>
      </c>
      <c r="J3103" s="99" t="s">
        <v>3437</v>
      </c>
    </row>
    <row r="3104" spans="1:10" ht="28.9" customHeight="1" thickTop="1" thickBot="1" x14ac:dyDescent="0.65">
      <c r="A3104" s="7">
        <v>3102</v>
      </c>
      <c r="B3104" s="48" t="str">
        <f>HYPERLINK("https://search.naver.com/search.naver?query=퍼슨 오브 인터레스트 시즌5", "퍼슨 오브 인터레스트 시즌5")</f>
        <v>퍼슨 오브 인터레스트 시즌5</v>
      </c>
      <c r="C3104" s="49"/>
      <c r="D3104" s="8" t="s">
        <v>3135</v>
      </c>
      <c r="E3104" s="7" t="s">
        <v>20</v>
      </c>
      <c r="F3104" s="7">
        <v>2016</v>
      </c>
      <c r="G3104" s="7" t="s">
        <v>17</v>
      </c>
      <c r="H3104" s="7" t="s">
        <v>162</v>
      </c>
      <c r="I3104" s="7" t="s">
        <v>645</v>
      </c>
      <c r="J3104" s="99" t="s">
        <v>3441</v>
      </c>
    </row>
    <row r="3105" spans="1:10" ht="28.9" customHeight="1" thickTop="1" thickBot="1" x14ac:dyDescent="0.65">
      <c r="A3105" s="3">
        <v>3103</v>
      </c>
      <c r="B3105" s="44" t="str">
        <f>HYPERLINK("https://search.naver.com/search.naver?query=퍼즐 (2018) 미국 영화", "퍼즐")</f>
        <v>퍼즐</v>
      </c>
      <c r="C3105" s="45"/>
      <c r="D3105" s="4" t="s">
        <v>3136</v>
      </c>
      <c r="E3105" s="3" t="s">
        <v>20</v>
      </c>
      <c r="F3105" s="3">
        <v>2018</v>
      </c>
      <c r="G3105" s="3" t="s">
        <v>12</v>
      </c>
      <c r="H3105" s="3" t="s">
        <v>17</v>
      </c>
      <c r="I3105" s="3" t="s">
        <v>190</v>
      </c>
      <c r="J3105" s="97" t="s">
        <v>3442</v>
      </c>
    </row>
    <row r="3106" spans="1:10" ht="28.9" customHeight="1" thickTop="1" thickBot="1" x14ac:dyDescent="0.65">
      <c r="A3106" s="5">
        <v>3104</v>
      </c>
      <c r="B3106" s="46" t="str">
        <f>HYPERLINK("https://search.naver.com/search.naver?query=퍼펙트 영화", "퍼펙트")</f>
        <v>퍼펙트</v>
      </c>
      <c r="C3106" s="47">
        <v>7</v>
      </c>
      <c r="D3106" s="6" t="s">
        <v>3137</v>
      </c>
      <c r="E3106" s="5" t="s">
        <v>20</v>
      </c>
      <c r="F3106" s="5">
        <v>2013</v>
      </c>
      <c r="G3106" s="5" t="s">
        <v>12</v>
      </c>
      <c r="H3106" s="5" t="s">
        <v>17</v>
      </c>
      <c r="I3106" s="5" t="s">
        <v>111</v>
      </c>
      <c r="J3106" s="98" t="s">
        <v>3451</v>
      </c>
    </row>
    <row r="3107" spans="1:10" ht="28.9" customHeight="1" thickTop="1" thickBot="1" x14ac:dyDescent="0.65">
      <c r="A3107" s="3">
        <v>3105</v>
      </c>
      <c r="B3107" s="44" t="str">
        <f>HYPERLINK("https://search.naver.com/search.naver?query=퍼펙트 게임 영화", "퍼펙트 게임")</f>
        <v>퍼펙트 게임</v>
      </c>
      <c r="C3107" s="45">
        <v>8.9499999999999993</v>
      </c>
      <c r="D3107" s="4" t="s">
        <v>3138</v>
      </c>
      <c r="E3107" s="3" t="s">
        <v>11</v>
      </c>
      <c r="F3107" s="3">
        <v>2011</v>
      </c>
      <c r="G3107" s="3" t="s">
        <v>12</v>
      </c>
      <c r="H3107" s="3" t="s">
        <v>17</v>
      </c>
      <c r="I3107" s="3" t="s">
        <v>221</v>
      </c>
      <c r="J3107" s="97" t="s">
        <v>3454</v>
      </c>
    </row>
    <row r="3108" spans="1:10" ht="28.9" customHeight="1" thickTop="1" thickBot="1" x14ac:dyDescent="0.65">
      <c r="A3108" s="5">
        <v>3106</v>
      </c>
      <c r="B3108" s="46" t="str">
        <f>HYPERLINK("https://search.naver.com/search.naver?query=퍼펙트 겟어웨이 영화", "퍼펙트 겟어웨이")</f>
        <v>퍼펙트 겟어웨이</v>
      </c>
      <c r="C3108" s="47">
        <v>7.27</v>
      </c>
      <c r="D3108" s="6" t="s">
        <v>3139</v>
      </c>
      <c r="E3108" s="5" t="s">
        <v>20</v>
      </c>
      <c r="F3108" s="5">
        <v>2009</v>
      </c>
      <c r="G3108" s="5" t="s">
        <v>12</v>
      </c>
      <c r="H3108" s="5" t="s">
        <v>43</v>
      </c>
      <c r="I3108" s="5" t="s">
        <v>14</v>
      </c>
      <c r="J3108" s="98" t="s">
        <v>3453</v>
      </c>
    </row>
    <row r="3109" spans="1:10" ht="28.9" customHeight="1" thickTop="1" thickBot="1" x14ac:dyDescent="0.65">
      <c r="A3109" s="3">
        <v>3107</v>
      </c>
      <c r="B3109" s="44" t="str">
        <f>HYPERLINK("https://search.naver.com/search.naver?query=퍼펙트 데이즈 영화", "퍼펙트 데이즈")</f>
        <v>퍼펙트 데이즈</v>
      </c>
      <c r="C3109" s="45">
        <v>8.5399999999999991</v>
      </c>
      <c r="D3109" s="4" t="s">
        <v>3140</v>
      </c>
      <c r="E3109" s="3" t="s">
        <v>16</v>
      </c>
      <c r="F3109" s="3">
        <v>2023</v>
      </c>
      <c r="G3109" s="3" t="s">
        <v>12</v>
      </c>
      <c r="H3109" s="3" t="s">
        <v>17</v>
      </c>
      <c r="I3109" s="3" t="s">
        <v>58</v>
      </c>
      <c r="J3109" s="97" t="s">
        <v>3446</v>
      </c>
    </row>
    <row r="3110" spans="1:10" ht="28.9" customHeight="1" thickTop="1" thickBot="1" x14ac:dyDescent="0.65">
      <c r="A3110" s="5">
        <v>3108</v>
      </c>
      <c r="B3110" s="46" t="str">
        <f>HYPERLINK("https://search.naver.com/search.naver?query=퍼펙트 센스 영화", "퍼펙트 센스")</f>
        <v>퍼펙트 센스</v>
      </c>
      <c r="C3110" s="47">
        <v>7.93</v>
      </c>
      <c r="D3110" s="6" t="s">
        <v>3141</v>
      </c>
      <c r="E3110" s="5" t="s">
        <v>24</v>
      </c>
      <c r="F3110" s="5">
        <v>2011</v>
      </c>
      <c r="G3110" s="5" t="s">
        <v>12</v>
      </c>
      <c r="H3110" s="5" t="s">
        <v>17</v>
      </c>
      <c r="I3110" s="5" t="s">
        <v>147</v>
      </c>
      <c r="J3110" s="98" t="s">
        <v>3454</v>
      </c>
    </row>
    <row r="3111" spans="1:10" ht="28.9" customHeight="1" thickTop="1" thickBot="1" x14ac:dyDescent="0.65">
      <c r="A3111" s="3">
        <v>3109</v>
      </c>
      <c r="B3111" s="44" t="str">
        <f>HYPERLINK("https://search.naver.com/search.naver?query=퍼펙트 스틸 영화", "퍼펙트 스틸")</f>
        <v>퍼펙트 스틸</v>
      </c>
      <c r="C3111" s="45">
        <v>6.14</v>
      </c>
      <c r="D3111" s="4" t="s">
        <v>3142</v>
      </c>
      <c r="E3111" s="3" t="s">
        <v>20</v>
      </c>
      <c r="F3111" s="3">
        <v>2021</v>
      </c>
      <c r="G3111" s="3" t="s">
        <v>12</v>
      </c>
      <c r="H3111" s="3" t="s">
        <v>277</v>
      </c>
      <c r="I3111" s="3" t="s">
        <v>93</v>
      </c>
      <c r="J3111" s="97" t="s">
        <v>3438</v>
      </c>
    </row>
    <row r="3112" spans="1:10" ht="28.9" customHeight="1" thickTop="1" thickBot="1" x14ac:dyDescent="0.65">
      <c r="A3112" s="5">
        <v>3110</v>
      </c>
      <c r="B3112" s="46" t="str">
        <f>HYPERLINK("https://search.naver.com/search.naver?query=퍼펙트 케어 영화", "퍼펙트 케어")</f>
        <v>퍼펙트 케어</v>
      </c>
      <c r="C3112" s="47">
        <v>9.06</v>
      </c>
      <c r="D3112" s="6" t="s">
        <v>3143</v>
      </c>
      <c r="E3112" s="5" t="s">
        <v>20</v>
      </c>
      <c r="F3112" s="5">
        <v>2020</v>
      </c>
      <c r="G3112" s="5" t="s">
        <v>12</v>
      </c>
      <c r="H3112" s="5" t="s">
        <v>68</v>
      </c>
      <c r="I3112" s="5" t="s">
        <v>221</v>
      </c>
      <c r="J3112" s="98" t="s">
        <v>3436</v>
      </c>
    </row>
    <row r="3113" spans="1:10" ht="28.9" customHeight="1" thickTop="1" thickBot="1" x14ac:dyDescent="0.65">
      <c r="A3113" s="3">
        <v>3111</v>
      </c>
      <c r="B3113" s="44" t="str">
        <f>HYPERLINK("https://search.naver.com/search.naver?query=퍼펙트 타겟 영화", "퍼펙트 타겟")</f>
        <v>퍼펙트 타겟</v>
      </c>
      <c r="C3113" s="45">
        <v>7.16</v>
      </c>
      <c r="D3113" s="4" t="s">
        <v>3144</v>
      </c>
      <c r="E3113" s="3" t="s">
        <v>20</v>
      </c>
      <c r="F3113" s="3">
        <v>2019</v>
      </c>
      <c r="G3113" s="3" t="s">
        <v>12</v>
      </c>
      <c r="H3113" s="3" t="s">
        <v>92</v>
      </c>
      <c r="I3113" s="3" t="s">
        <v>111</v>
      </c>
      <c r="J3113" s="97" t="s">
        <v>3444</v>
      </c>
    </row>
    <row r="3114" spans="1:10" ht="28.9" customHeight="1" thickTop="1" thickBot="1" x14ac:dyDescent="0.65">
      <c r="A3114" s="5">
        <v>3112</v>
      </c>
      <c r="B3114" s="46" t="str">
        <f>HYPERLINK("https://search.naver.com/search.naver?query=퍼펙트맨 영화", "퍼펙트맨")</f>
        <v>퍼펙트맨</v>
      </c>
      <c r="C3114" s="47">
        <v>8.5</v>
      </c>
      <c r="D3114" s="6" t="s">
        <v>3145</v>
      </c>
      <c r="E3114" s="5" t="s">
        <v>11</v>
      </c>
      <c r="F3114" s="5">
        <v>2019</v>
      </c>
      <c r="G3114" s="5" t="s">
        <v>12</v>
      </c>
      <c r="H3114" s="5" t="s">
        <v>68</v>
      </c>
      <c r="I3114" s="5" t="s">
        <v>128</v>
      </c>
      <c r="J3114" s="98" t="s">
        <v>3444</v>
      </c>
    </row>
    <row r="3115" spans="1:10" ht="28.9" customHeight="1" thickTop="1" thickBot="1" x14ac:dyDescent="0.65">
      <c r="A3115" s="3">
        <v>3113</v>
      </c>
      <c r="B3115" s="44" t="str">
        <f>HYPERLINK("https://search.naver.com/search.naver?query=페어 게임 영화", "페어 게임")</f>
        <v>페어 게임</v>
      </c>
      <c r="C3115" s="45">
        <v>6.34</v>
      </c>
      <c r="D3115" s="4" t="s">
        <v>3146</v>
      </c>
      <c r="E3115" s="3" t="s">
        <v>20</v>
      </c>
      <c r="F3115" s="3">
        <v>2010</v>
      </c>
      <c r="G3115" s="3" t="s">
        <v>12</v>
      </c>
      <c r="H3115" s="3" t="s">
        <v>17</v>
      </c>
      <c r="I3115" s="3" t="s">
        <v>31</v>
      </c>
      <c r="J3115" s="97" t="s">
        <v>3455</v>
      </c>
    </row>
    <row r="3116" spans="1:10" ht="28.9" customHeight="1" thickTop="1" thickBot="1" x14ac:dyDescent="0.65">
      <c r="A3116" s="5">
        <v>3114</v>
      </c>
      <c r="B3116" s="46" t="str">
        <f>HYPERLINK("https://search.naver.com/search.naver?query=페어러브 영화", "페어러브")</f>
        <v>페어러브</v>
      </c>
      <c r="C3116" s="47">
        <v>8.35</v>
      </c>
      <c r="D3116" s="6" t="s">
        <v>3147</v>
      </c>
      <c r="E3116" s="5" t="s">
        <v>11</v>
      </c>
      <c r="F3116" s="5">
        <v>2009</v>
      </c>
      <c r="G3116" s="5" t="s">
        <v>12</v>
      </c>
      <c r="H3116" s="5" t="s">
        <v>121</v>
      </c>
      <c r="I3116" s="5" t="s">
        <v>111</v>
      </c>
      <c r="J3116" s="98" t="s">
        <v>3453</v>
      </c>
    </row>
    <row r="3117" spans="1:10" ht="28.9" customHeight="1" thickTop="1" thickBot="1" x14ac:dyDescent="0.65">
      <c r="A3117" s="3">
        <v>3115</v>
      </c>
      <c r="B3117" s="44" t="str">
        <f>HYPERLINK("https://search.naver.com/search.naver?query=페어런트 트랩 영화", "페어런트 트랩")</f>
        <v>페어런트 트랩</v>
      </c>
      <c r="C3117" s="45">
        <v>9.85</v>
      </c>
      <c r="D3117" s="4" t="s">
        <v>3148</v>
      </c>
      <c r="E3117" s="3" t="s">
        <v>20</v>
      </c>
      <c r="F3117" s="3">
        <v>1998</v>
      </c>
      <c r="G3117" s="3" t="s">
        <v>12</v>
      </c>
      <c r="H3117" s="3" t="s">
        <v>525</v>
      </c>
      <c r="I3117" s="3" t="s">
        <v>108</v>
      </c>
      <c r="J3117" s="97" t="s">
        <v>3452</v>
      </c>
    </row>
    <row r="3118" spans="1:10" ht="28.9" customHeight="1" thickTop="1" thickBot="1" x14ac:dyDescent="0.65">
      <c r="A3118" s="5">
        <v>3116</v>
      </c>
      <c r="B3118" s="46" t="str">
        <f>HYPERLINK("https://search.naver.com/search.naver?query=페이블 영화", "페이블")</f>
        <v>페이블</v>
      </c>
      <c r="C3118" s="47">
        <v>6.73</v>
      </c>
      <c r="D3118" s="6" t="s">
        <v>3149</v>
      </c>
      <c r="E3118" s="5" t="s">
        <v>16</v>
      </c>
      <c r="F3118" s="5">
        <v>2019</v>
      </c>
      <c r="G3118" s="5" t="s">
        <v>12</v>
      </c>
      <c r="H3118" s="5" t="s">
        <v>92</v>
      </c>
      <c r="I3118" s="5" t="s">
        <v>134</v>
      </c>
      <c r="J3118" s="98" t="s">
        <v>3444</v>
      </c>
    </row>
    <row r="3119" spans="1:10" ht="28.9" customHeight="1" thickTop="1" thickBot="1" x14ac:dyDescent="0.65">
      <c r="A3119" s="3">
        <v>3117</v>
      </c>
      <c r="B3119" s="44" t="str">
        <f>HYPERLINK("https://search.naver.com/search.naver?query=페이스 메이커 영화", "페이스 메이커")</f>
        <v>페이스 메이커</v>
      </c>
      <c r="C3119" s="45">
        <v>8.85</v>
      </c>
      <c r="D3119" s="4" t="s">
        <v>3150</v>
      </c>
      <c r="E3119" s="3" t="s">
        <v>11</v>
      </c>
      <c r="F3119" s="3">
        <v>2012</v>
      </c>
      <c r="G3119" s="3" t="s">
        <v>12</v>
      </c>
      <c r="H3119" s="3" t="s">
        <v>17</v>
      </c>
      <c r="I3119" s="3" t="s">
        <v>111</v>
      </c>
      <c r="J3119" s="97" t="s">
        <v>3439</v>
      </c>
    </row>
    <row r="3120" spans="1:10" ht="28.9" customHeight="1" thickTop="1" thickBot="1" x14ac:dyDescent="0.65">
      <c r="A3120" s="5">
        <v>3118</v>
      </c>
      <c r="B3120" s="46" t="str">
        <f>HYPERLINK("https://search.naver.com/search.naver?query=페이스 블라인드 영화", "페이스 블라인드")</f>
        <v>페이스 블라인드</v>
      </c>
      <c r="C3120" s="47">
        <v>7.33</v>
      </c>
      <c r="D3120" s="6" t="s">
        <v>3151</v>
      </c>
      <c r="E3120" s="5" t="s">
        <v>20</v>
      </c>
      <c r="F3120" s="5">
        <v>2011</v>
      </c>
      <c r="G3120" s="5" t="s">
        <v>12</v>
      </c>
      <c r="H3120" s="5" t="s">
        <v>17</v>
      </c>
      <c r="I3120" s="5" t="s">
        <v>111</v>
      </c>
      <c r="J3120" s="98" t="s">
        <v>3454</v>
      </c>
    </row>
    <row r="3121" spans="1:10" ht="28.9" customHeight="1" thickTop="1" thickBot="1" x14ac:dyDescent="0.65">
      <c r="A3121" s="3">
        <v>3119</v>
      </c>
      <c r="B3121" s="44" t="str">
        <f>HYPERLINK("https://search.naver.com/search.naver?query=페이스 오브 러브 영화", "페이스 오브 러브")</f>
        <v>페이스 오브 러브</v>
      </c>
      <c r="C3121" s="45">
        <v>7.97</v>
      </c>
      <c r="D3121" s="4" t="s">
        <v>3152</v>
      </c>
      <c r="E3121" s="3" t="s">
        <v>20</v>
      </c>
      <c r="F3121" s="3">
        <v>2013</v>
      </c>
      <c r="G3121" s="3" t="s">
        <v>12</v>
      </c>
      <c r="H3121" s="3" t="s">
        <v>17</v>
      </c>
      <c r="I3121" s="3" t="s">
        <v>147</v>
      </c>
      <c r="J3121" s="97" t="s">
        <v>3451</v>
      </c>
    </row>
    <row r="3122" spans="1:10" ht="28.9" customHeight="1" thickTop="1" thickBot="1" x14ac:dyDescent="0.65">
      <c r="A3122" s="5">
        <v>3120</v>
      </c>
      <c r="B3122" s="46" t="str">
        <f>HYPERLINK("https://search.naver.com/search.naver?query=페인 앤 글로리 영화", "페인 앤 글로리")</f>
        <v>페인 앤 글로리</v>
      </c>
      <c r="C3122" s="47">
        <v>8.64</v>
      </c>
      <c r="D3122" s="6" t="s">
        <v>3153</v>
      </c>
      <c r="E3122" s="5" t="s">
        <v>30</v>
      </c>
      <c r="F3122" s="5">
        <v>2019</v>
      </c>
      <c r="G3122" s="5" t="s">
        <v>12</v>
      </c>
      <c r="H3122" s="5" t="s">
        <v>17</v>
      </c>
      <c r="I3122" s="5" t="s">
        <v>73</v>
      </c>
      <c r="J3122" s="98" t="s">
        <v>3444</v>
      </c>
    </row>
    <row r="3123" spans="1:10" ht="28.9" customHeight="1" thickTop="1" thickBot="1" x14ac:dyDescent="0.65">
      <c r="A3123" s="3">
        <v>3121</v>
      </c>
      <c r="B3123" s="44" t="str">
        <f>HYPERLINK("https://search.naver.com/search.naver?query=페인티드 베일 영화", "페인티드 베일")</f>
        <v>페인티드 베일</v>
      </c>
      <c r="C3123" s="45">
        <v>8.6999999999999993</v>
      </c>
      <c r="D3123" s="4" t="s">
        <v>3154</v>
      </c>
      <c r="E3123" s="3" t="s">
        <v>20</v>
      </c>
      <c r="F3123" s="3">
        <v>2006</v>
      </c>
      <c r="G3123" s="3" t="s">
        <v>12</v>
      </c>
      <c r="H3123" s="3" t="s">
        <v>17</v>
      </c>
      <c r="I3123" s="3" t="s">
        <v>214</v>
      </c>
      <c r="J3123" s="97" t="s">
        <v>3460</v>
      </c>
    </row>
    <row r="3124" spans="1:10" ht="28.9" customHeight="1" thickTop="1" thickBot="1" x14ac:dyDescent="0.65">
      <c r="A3124" s="5">
        <v>3122</v>
      </c>
      <c r="B3124" s="46" t="str">
        <f>HYPERLINK("https://search.naver.com/search.naver?query=펠로니 영화", "펠로니")</f>
        <v>펠로니</v>
      </c>
      <c r="C3124" s="47">
        <v>6.69</v>
      </c>
      <c r="D3124" s="6" t="s">
        <v>3155</v>
      </c>
      <c r="E3124" s="5" t="s">
        <v>36</v>
      </c>
      <c r="F3124" s="5">
        <v>2013</v>
      </c>
      <c r="G3124" s="5" t="s">
        <v>12</v>
      </c>
      <c r="H3124" s="5" t="s">
        <v>277</v>
      </c>
      <c r="I3124" s="5" t="s">
        <v>128</v>
      </c>
      <c r="J3124" s="98" t="s">
        <v>3451</v>
      </c>
    </row>
    <row r="3125" spans="1:10" ht="28.9" customHeight="1" thickTop="1" thickBot="1" x14ac:dyDescent="0.65">
      <c r="A3125" s="3">
        <v>3123</v>
      </c>
      <c r="B3125" s="44" t="str">
        <f>HYPERLINK("https://search.naver.com/search.naver?query=펠론 영화", "펠론")</f>
        <v>펠론</v>
      </c>
      <c r="C3125" s="45">
        <v>8.5399999999999991</v>
      </c>
      <c r="D3125" s="4" t="s">
        <v>3156</v>
      </c>
      <c r="E3125" s="3" t="s">
        <v>20</v>
      </c>
      <c r="F3125" s="3">
        <v>2008</v>
      </c>
      <c r="G3125" s="3" t="s">
        <v>12</v>
      </c>
      <c r="H3125" s="3" t="s">
        <v>277</v>
      </c>
      <c r="I3125" s="3" t="s">
        <v>170</v>
      </c>
      <c r="J3125" s="97" t="s">
        <v>3450</v>
      </c>
    </row>
    <row r="3126" spans="1:10" ht="28.9" customHeight="1" thickTop="1" thickBot="1" x14ac:dyDescent="0.65">
      <c r="A3126" s="5">
        <v>3124</v>
      </c>
      <c r="B3126" s="46" t="str">
        <f>HYPERLINK("https://search.naver.com/search.naver?query=펠리니를 찾아서 영화", "펠리니를 찾아서")</f>
        <v>펠리니를 찾아서</v>
      </c>
      <c r="C3126" s="47">
        <v>7.07</v>
      </c>
      <c r="D3126" s="6" t="s">
        <v>3157</v>
      </c>
      <c r="E3126" s="5" t="s">
        <v>20</v>
      </c>
      <c r="F3126" s="5">
        <v>2017</v>
      </c>
      <c r="G3126" s="5" t="s">
        <v>12</v>
      </c>
      <c r="H3126" s="5" t="s">
        <v>17</v>
      </c>
      <c r="I3126" s="5" t="s">
        <v>240</v>
      </c>
      <c r="J3126" s="98" t="s">
        <v>3443</v>
      </c>
    </row>
    <row r="3127" spans="1:10" ht="28.9" customHeight="1" thickTop="1" thickBot="1" x14ac:dyDescent="0.65">
      <c r="A3127" s="3">
        <v>3125</v>
      </c>
      <c r="B3127" s="44" t="str">
        <f>HYPERLINK("https://search.naver.com/search.naver?query=펭귄 블룸 영화", "펭귄 블룸")</f>
        <v>펭귄 블룸</v>
      </c>
      <c r="C3127" s="45">
        <v>9.17</v>
      </c>
      <c r="D3127" s="4" t="s">
        <v>3158</v>
      </c>
      <c r="E3127" s="3" t="s">
        <v>36</v>
      </c>
      <c r="F3127" s="3">
        <v>2020</v>
      </c>
      <c r="G3127" s="3" t="s">
        <v>12</v>
      </c>
      <c r="H3127" s="3" t="s">
        <v>17</v>
      </c>
      <c r="I3127" s="3" t="s">
        <v>111</v>
      </c>
      <c r="J3127" s="97" t="s">
        <v>3436</v>
      </c>
    </row>
    <row r="3128" spans="1:10" ht="28.9" customHeight="1" thickTop="1" thickBot="1" x14ac:dyDescent="0.65">
      <c r="A3128" s="5">
        <v>3126</v>
      </c>
      <c r="B3128" s="46" t="str">
        <f>HYPERLINK("https://search.naver.com/search.naver?query=편지 영화", "편지")</f>
        <v>편지</v>
      </c>
      <c r="C3128" s="47">
        <v>8.5299999999999994</v>
      </c>
      <c r="D3128" s="6" t="s">
        <v>3159</v>
      </c>
      <c r="E3128" s="5" t="s">
        <v>11</v>
      </c>
      <c r="F3128" s="5">
        <v>1997</v>
      </c>
      <c r="G3128" s="5" t="s">
        <v>12</v>
      </c>
      <c r="H3128" s="5" t="s">
        <v>17</v>
      </c>
      <c r="I3128" s="5" t="s">
        <v>99</v>
      </c>
      <c r="J3128" s="98" t="s">
        <v>3470</v>
      </c>
    </row>
    <row r="3129" spans="1:10" ht="28.9" customHeight="1" thickTop="1" thickBot="1" x14ac:dyDescent="0.65">
      <c r="A3129" s="3">
        <v>3127</v>
      </c>
      <c r="B3129" s="44" t="str">
        <f>HYPERLINK("https://search.naver.com/search.naver?query=평범한 천사들 영화", "평범한 천사들")</f>
        <v>평범한 천사들</v>
      </c>
      <c r="C3129" s="45">
        <v>8.1999999999999993</v>
      </c>
      <c r="D3129" s="4" t="s">
        <v>3160</v>
      </c>
      <c r="E3129" s="3" t="s">
        <v>20</v>
      </c>
      <c r="F3129" s="3">
        <v>2024</v>
      </c>
      <c r="G3129" s="3" t="s">
        <v>12</v>
      </c>
      <c r="H3129" s="3" t="s">
        <v>17</v>
      </c>
      <c r="I3129" s="3" t="s">
        <v>366</v>
      </c>
      <c r="J3129" s="97" t="s">
        <v>3448</v>
      </c>
    </row>
    <row r="3130" spans="1:10" ht="28.9" customHeight="1" thickTop="1" thickBot="1" x14ac:dyDescent="0.65">
      <c r="A3130" s="5">
        <v>3128</v>
      </c>
      <c r="B3130" s="46" t="str">
        <f>HYPERLINK("https://search.naver.com/search.naver?query=평양성 영화", "평양성")</f>
        <v>평양성</v>
      </c>
      <c r="C3130" s="47">
        <v>7.78</v>
      </c>
      <c r="D3130" s="6" t="s">
        <v>3161</v>
      </c>
      <c r="E3130" s="5" t="s">
        <v>11</v>
      </c>
      <c r="F3130" s="5">
        <v>2010</v>
      </c>
      <c r="G3130" s="5" t="s">
        <v>12</v>
      </c>
      <c r="H3130" s="5" t="s">
        <v>68</v>
      </c>
      <c r="I3130" s="5" t="s">
        <v>111</v>
      </c>
      <c r="J3130" s="98" t="s">
        <v>3455</v>
      </c>
    </row>
    <row r="3131" spans="1:10" ht="28.9" customHeight="1" thickTop="1" thickBot="1" x14ac:dyDescent="0.65">
      <c r="A3131" s="3">
        <v>3129</v>
      </c>
      <c r="B3131" s="44" t="str">
        <f>HYPERLINK("https://search.naver.com/search.naver?query=평일 오후 3시의 연인 영화", "평일 오후 3시의 연인")</f>
        <v>평일 오후 3시의 연인</v>
      </c>
      <c r="C3131" s="45">
        <v>8.09</v>
      </c>
      <c r="D3131" s="4" t="s">
        <v>3162</v>
      </c>
      <c r="E3131" s="3" t="s">
        <v>16</v>
      </c>
      <c r="F3131" s="3">
        <v>2019</v>
      </c>
      <c r="G3131" s="3" t="s">
        <v>12</v>
      </c>
      <c r="H3131" s="3" t="s">
        <v>121</v>
      </c>
      <c r="I3131" s="3" t="s">
        <v>214</v>
      </c>
      <c r="J3131" s="97" t="s">
        <v>3444</v>
      </c>
    </row>
    <row r="3132" spans="1:10" ht="28.9" customHeight="1" thickTop="1" thickBot="1" x14ac:dyDescent="0.65">
      <c r="A3132" s="5">
        <v>3130</v>
      </c>
      <c r="B3132" s="46" t="str">
        <f>HYPERLINK("https://search.naver.com/search.naver?query=평화로운 전사 영화", "평화로운 전사")</f>
        <v>평화로운 전사</v>
      </c>
      <c r="C3132" s="47">
        <v>6.4</v>
      </c>
      <c r="D3132" s="6" t="s">
        <v>3163</v>
      </c>
      <c r="E3132" s="5" t="s">
        <v>101</v>
      </c>
      <c r="F3132" s="5">
        <v>2006</v>
      </c>
      <c r="G3132" s="5" t="s">
        <v>12</v>
      </c>
      <c r="H3132" s="5" t="s">
        <v>17</v>
      </c>
      <c r="I3132" s="5" t="s">
        <v>86</v>
      </c>
      <c r="J3132" s="98" t="s">
        <v>3460</v>
      </c>
    </row>
    <row r="3133" spans="1:10" ht="28.9" customHeight="1" thickTop="1" thickBot="1" x14ac:dyDescent="0.65">
      <c r="A3133" s="7">
        <v>3131</v>
      </c>
      <c r="B3133" s="48" t="str">
        <f>HYPERLINK("https://search.naver.com/search.naver?query=포 라이프 시즌1", "포 라이프 시즌1")</f>
        <v>포 라이프 시즌1</v>
      </c>
      <c r="C3133" s="49"/>
      <c r="D3133" s="8" t="s">
        <v>3164</v>
      </c>
      <c r="E3133" s="7" t="s">
        <v>20</v>
      </c>
      <c r="F3133" s="7">
        <v>2020</v>
      </c>
      <c r="G3133" s="7" t="s">
        <v>17</v>
      </c>
      <c r="H3133" s="7" t="s">
        <v>17</v>
      </c>
      <c r="I3133" s="7" t="s">
        <v>645</v>
      </c>
      <c r="J3133" s="99" t="s">
        <v>3436</v>
      </c>
    </row>
    <row r="3134" spans="1:10" ht="28.9" customHeight="1" thickTop="1" thickBot="1" x14ac:dyDescent="0.65">
      <c r="A3134" s="7">
        <v>3132</v>
      </c>
      <c r="B3134" s="48" t="str">
        <f>HYPERLINK("https://search.naver.com/search.naver?query=포 라이프 시즌2", "포 라이프 시즌2")</f>
        <v>포 라이프 시즌2</v>
      </c>
      <c r="C3134" s="49"/>
      <c r="D3134" s="8" t="s">
        <v>3165</v>
      </c>
      <c r="E3134" s="7" t="s">
        <v>20</v>
      </c>
      <c r="F3134" s="7">
        <v>2021</v>
      </c>
      <c r="G3134" s="7" t="s">
        <v>17</v>
      </c>
      <c r="H3134" s="7" t="s">
        <v>17</v>
      </c>
      <c r="I3134" s="7" t="s">
        <v>50</v>
      </c>
      <c r="J3134" s="99" t="s">
        <v>3438</v>
      </c>
    </row>
    <row r="3135" spans="1:10" ht="28.9" customHeight="1" thickTop="1" thickBot="1" x14ac:dyDescent="0.65">
      <c r="A3135" s="3">
        <v>3133</v>
      </c>
      <c r="B3135" s="44" t="str">
        <f>HYPERLINK("https://search.naver.com/search.naver?query=포 러버즈 영화", "포 러버즈")</f>
        <v>포 러버즈</v>
      </c>
      <c r="C3135" s="45">
        <v>6.09</v>
      </c>
      <c r="D3135" s="4" t="s">
        <v>3166</v>
      </c>
      <c r="E3135" s="3" t="s">
        <v>16</v>
      </c>
      <c r="F3135" s="3">
        <v>2010</v>
      </c>
      <c r="G3135" s="3" t="s">
        <v>12</v>
      </c>
      <c r="H3135" s="3" t="s">
        <v>121</v>
      </c>
      <c r="I3135" s="3" t="s">
        <v>111</v>
      </c>
      <c r="J3135" s="97" t="s">
        <v>3455</v>
      </c>
    </row>
    <row r="3136" spans="1:10" ht="28.9" customHeight="1" thickTop="1" thickBot="1" x14ac:dyDescent="0.65">
      <c r="A3136" s="7">
        <v>3134</v>
      </c>
      <c r="B3136" s="48" t="str">
        <f>HYPERLINK("https://search.naver.com/search.naver?query=포 올 맨카인드 시즌1", "포 올 맨카인드 시즌1")</f>
        <v>포 올 맨카인드 시즌1</v>
      </c>
      <c r="C3136" s="49"/>
      <c r="D3136" s="8" t="s">
        <v>3167</v>
      </c>
      <c r="E3136" s="7" t="s">
        <v>20</v>
      </c>
      <c r="F3136" s="7">
        <v>2019</v>
      </c>
      <c r="G3136" s="7" t="s">
        <v>17</v>
      </c>
      <c r="H3136" s="7" t="s">
        <v>328</v>
      </c>
      <c r="I3136" s="7" t="s">
        <v>50</v>
      </c>
      <c r="J3136" s="99" t="s">
        <v>3444</v>
      </c>
    </row>
    <row r="3137" spans="1:10" ht="28.9" customHeight="1" thickTop="1" thickBot="1" x14ac:dyDescent="0.65">
      <c r="A3137" s="3">
        <v>3135</v>
      </c>
      <c r="B3137" s="44" t="str">
        <f>HYPERLINK("https://search.naver.com/search.naver?query=포가튼 러브 영화", "포가튼 러브")</f>
        <v>포가튼 러브</v>
      </c>
      <c r="C3137" s="45">
        <v>9.4</v>
      </c>
      <c r="D3137" s="4" t="s">
        <v>3168</v>
      </c>
      <c r="E3137" s="3" t="s">
        <v>1199</v>
      </c>
      <c r="F3137" s="3">
        <v>2023</v>
      </c>
      <c r="G3137" s="3" t="s">
        <v>12</v>
      </c>
      <c r="H3137" s="3" t="s">
        <v>17</v>
      </c>
      <c r="I3137" s="3" t="s">
        <v>550</v>
      </c>
      <c r="J3137" s="97" t="s">
        <v>3446</v>
      </c>
    </row>
    <row r="3138" spans="1:10" ht="28.9" customHeight="1" thickTop="1" thickBot="1" x14ac:dyDescent="0.65">
      <c r="A3138" s="5">
        <v>3136</v>
      </c>
      <c r="B3138" s="46" t="str">
        <f>HYPERLINK("https://search.naver.com/search.naver?query=포드 V 페라리 영화", "포드 V 페라리")</f>
        <v>포드 V 페라리</v>
      </c>
      <c r="C3138" s="47">
        <v>9.31</v>
      </c>
      <c r="D3138" s="6" t="s">
        <v>3169</v>
      </c>
      <c r="E3138" s="5" t="s">
        <v>20</v>
      </c>
      <c r="F3138" s="5">
        <v>2019</v>
      </c>
      <c r="G3138" s="5" t="s">
        <v>12</v>
      </c>
      <c r="H3138" s="5" t="s">
        <v>92</v>
      </c>
      <c r="I3138" s="5" t="s">
        <v>685</v>
      </c>
      <c r="J3138" s="98" t="s">
        <v>3444</v>
      </c>
    </row>
    <row r="3139" spans="1:10" ht="28.9" customHeight="1" thickTop="1" thickBot="1" x14ac:dyDescent="0.65">
      <c r="A3139" s="3">
        <v>3137</v>
      </c>
      <c r="B3139" s="44" t="str">
        <f>HYPERLINK("https://search.naver.com/search.naver?query=포레스트 죽음의 숲 영화", "포레스트 - 죽음의 숲")</f>
        <v>포레스트 - 죽음의 숲</v>
      </c>
      <c r="C3139" s="45">
        <v>7.61</v>
      </c>
      <c r="D3139" s="4" t="s">
        <v>3170</v>
      </c>
      <c r="E3139" s="3" t="s">
        <v>20</v>
      </c>
      <c r="F3139" s="3">
        <v>2016</v>
      </c>
      <c r="G3139" s="3" t="s">
        <v>12</v>
      </c>
      <c r="H3139" s="3" t="s">
        <v>252</v>
      </c>
      <c r="I3139" s="3" t="s">
        <v>93</v>
      </c>
      <c r="J3139" s="97" t="s">
        <v>3441</v>
      </c>
    </row>
    <row r="3140" spans="1:10" ht="28.9" customHeight="1" thickTop="1" thickBot="1" x14ac:dyDescent="0.65">
      <c r="A3140" s="5">
        <v>3138</v>
      </c>
      <c r="B3140" s="46" t="str">
        <f>HYPERLINK("https://search.naver.com/search.naver?query=포레스트 검프 영화", "포레스트 검프")</f>
        <v>포레스트 검프</v>
      </c>
      <c r="C3140" s="47">
        <v>9.16</v>
      </c>
      <c r="D3140" s="6" t="s">
        <v>3171</v>
      </c>
      <c r="E3140" s="5" t="s">
        <v>20</v>
      </c>
      <c r="F3140" s="5">
        <v>1994</v>
      </c>
      <c r="G3140" s="5" t="s">
        <v>12</v>
      </c>
      <c r="H3140" s="5" t="s">
        <v>17</v>
      </c>
      <c r="I3140" s="5" t="s">
        <v>237</v>
      </c>
      <c r="J3140" s="98" t="s">
        <v>3467</v>
      </c>
    </row>
    <row r="3141" spans="1:10" ht="28.9" customHeight="1" thickTop="1" thickBot="1" x14ac:dyDescent="0.65">
      <c r="A3141" s="3">
        <v>3139</v>
      </c>
      <c r="B3141" s="44" t="str">
        <f>HYPERLINK("https://search.naver.com/search.naver?query=포세이돈 영화", "포세이돈")</f>
        <v>포세이돈</v>
      </c>
      <c r="C3141" s="45">
        <v>7.29</v>
      </c>
      <c r="D3141" s="4" t="s">
        <v>3172</v>
      </c>
      <c r="E3141" s="3" t="s">
        <v>20</v>
      </c>
      <c r="F3141" s="3">
        <v>2006</v>
      </c>
      <c r="G3141" s="3" t="s">
        <v>12</v>
      </c>
      <c r="H3141" s="3" t="s">
        <v>92</v>
      </c>
      <c r="I3141" s="3" t="s">
        <v>14</v>
      </c>
      <c r="J3141" s="97" t="s">
        <v>3460</v>
      </c>
    </row>
    <row r="3142" spans="1:10" ht="28.9" customHeight="1" thickTop="1" thickBot="1" x14ac:dyDescent="0.65">
      <c r="A3142" s="5">
        <v>3140</v>
      </c>
      <c r="B3142" s="46" t="str">
        <f>HYPERLINK("https://search.naver.com/search.naver?query=포세이큰 영화", "포세이큰")</f>
        <v>포세이큰</v>
      </c>
      <c r="C3142" s="47"/>
      <c r="D3142" s="6" t="s">
        <v>3173</v>
      </c>
      <c r="E3142" s="5" t="s">
        <v>189</v>
      </c>
      <c r="F3142" s="5">
        <v>2015</v>
      </c>
      <c r="G3142" s="5" t="s">
        <v>12</v>
      </c>
      <c r="H3142" s="5" t="s">
        <v>864</v>
      </c>
      <c r="I3142" s="5" t="s">
        <v>115</v>
      </c>
      <c r="J3142" s="98" t="s">
        <v>3440</v>
      </c>
    </row>
    <row r="3143" spans="1:10" ht="28.9" customHeight="1" thickTop="1" thickBot="1" x14ac:dyDescent="0.65">
      <c r="A3143" s="3">
        <v>3141</v>
      </c>
      <c r="B3143" s="44" t="str">
        <f>HYPERLINK("https://search.naver.com/search.naver?query=포스 마쥬어 화이트 베케이션 영화", "포스 마쥬어 - 화이트 베케이션")</f>
        <v>포스 마쥬어 - 화이트 베케이션</v>
      </c>
      <c r="C3143" s="45">
        <v>8.18</v>
      </c>
      <c r="D3143" s="4" t="s">
        <v>3174</v>
      </c>
      <c r="E3143" s="3" t="s">
        <v>611</v>
      </c>
      <c r="F3143" s="3">
        <v>2014</v>
      </c>
      <c r="G3143" s="3" t="s">
        <v>12</v>
      </c>
      <c r="H3143" s="3" t="s">
        <v>17</v>
      </c>
      <c r="I3143" s="3" t="s">
        <v>86</v>
      </c>
      <c r="J3143" s="97" t="s">
        <v>3437</v>
      </c>
    </row>
    <row r="3144" spans="1:10" ht="28.9" customHeight="1" thickTop="1" thickBot="1" x14ac:dyDescent="0.65">
      <c r="A3144" s="5">
        <v>3142</v>
      </c>
      <c r="B3144" s="46" t="str">
        <f>HYPERLINK("https://search.naver.com/search.naver?query=포스 오브 네이쳐 영화", "포스 오브 네이쳐")</f>
        <v>포스 오브 네이쳐</v>
      </c>
      <c r="C3144" s="47">
        <v>5.09</v>
      </c>
      <c r="D3144" s="6" t="s">
        <v>3175</v>
      </c>
      <c r="E3144" s="5" t="s">
        <v>20</v>
      </c>
      <c r="F3144" s="5">
        <v>2020</v>
      </c>
      <c r="G3144" s="5" t="s">
        <v>12</v>
      </c>
      <c r="H3144" s="5" t="s">
        <v>92</v>
      </c>
      <c r="I3144" s="5" t="s">
        <v>240</v>
      </c>
      <c r="J3144" s="98" t="s">
        <v>3436</v>
      </c>
    </row>
    <row r="3145" spans="1:10" ht="28.9" customHeight="1" thickTop="1" thickBot="1" x14ac:dyDescent="0.65">
      <c r="A3145" s="3">
        <v>3143</v>
      </c>
      <c r="B3145" s="44" t="str">
        <f>HYPERLINK("https://search.naver.com/search.naver?query=포이즌 로즈 영화", "포이즌 로즈")</f>
        <v>포이즌 로즈</v>
      </c>
      <c r="C3145" s="45">
        <v>5</v>
      </c>
      <c r="D3145" s="4" t="s">
        <v>3176</v>
      </c>
      <c r="E3145" s="3" t="s">
        <v>20</v>
      </c>
      <c r="F3145" s="3">
        <v>2019</v>
      </c>
      <c r="G3145" s="3" t="s">
        <v>12</v>
      </c>
      <c r="H3145" s="3" t="s">
        <v>277</v>
      </c>
      <c r="I3145" s="3" t="s">
        <v>14</v>
      </c>
      <c r="J3145" s="97" t="s">
        <v>3444</v>
      </c>
    </row>
    <row r="3146" spans="1:10" ht="28.9" customHeight="1" thickTop="1" thickBot="1" x14ac:dyDescent="0.65">
      <c r="A3146" s="5">
        <v>3144</v>
      </c>
      <c r="B3146" s="46" t="str">
        <f>HYPERLINK("https://search.naver.com/search.naver?query=포인트 브레이크 영화", "포인트 브레이크")</f>
        <v>포인트 브레이크</v>
      </c>
      <c r="C3146" s="47">
        <v>7.97</v>
      </c>
      <c r="D3146" s="6" t="s">
        <v>3177</v>
      </c>
      <c r="E3146" s="5" t="s">
        <v>20</v>
      </c>
      <c r="F3146" s="5">
        <v>2015</v>
      </c>
      <c r="G3146" s="5" t="s">
        <v>12</v>
      </c>
      <c r="H3146" s="5" t="s">
        <v>92</v>
      </c>
      <c r="I3146" s="5" t="s">
        <v>207</v>
      </c>
      <c r="J3146" s="98" t="s">
        <v>3440</v>
      </c>
    </row>
    <row r="3147" spans="1:10" ht="28.9" customHeight="1" thickTop="1" thickBot="1" x14ac:dyDescent="0.65">
      <c r="A3147" s="3">
        <v>3145</v>
      </c>
      <c r="B3147" s="44" t="str">
        <f>HYPERLINK("https://search.naver.com/search.naver?query=포인트 블랭크 영화", "포인트 블랭크")</f>
        <v>포인트 블랭크</v>
      </c>
      <c r="C3147" s="45">
        <v>1</v>
      </c>
      <c r="D3147" s="4" t="s">
        <v>3178</v>
      </c>
      <c r="E3147" s="3" t="s">
        <v>20</v>
      </c>
      <c r="F3147" s="3">
        <v>2019</v>
      </c>
      <c r="G3147" s="3" t="s">
        <v>12</v>
      </c>
      <c r="H3147" s="3" t="s">
        <v>92</v>
      </c>
      <c r="I3147" s="3" t="s">
        <v>661</v>
      </c>
      <c r="J3147" s="97" t="s">
        <v>3444</v>
      </c>
    </row>
    <row r="3148" spans="1:10" ht="28.9" customHeight="1" thickTop="1" thickBot="1" x14ac:dyDescent="0.65">
      <c r="A3148" s="5">
        <v>3146</v>
      </c>
      <c r="B3148" s="46" t="str">
        <f>HYPERLINK("https://search.naver.com/search.naver?query=포제서 영화", "포제서")</f>
        <v>포제서</v>
      </c>
      <c r="C3148" s="47">
        <v>7.4</v>
      </c>
      <c r="D3148" s="6" t="s">
        <v>3179</v>
      </c>
      <c r="E3148" s="5" t="s">
        <v>20</v>
      </c>
      <c r="F3148" s="5">
        <v>2020</v>
      </c>
      <c r="G3148" s="5" t="s">
        <v>12</v>
      </c>
      <c r="H3148" s="5" t="s">
        <v>92</v>
      </c>
      <c r="I3148" s="5" t="s">
        <v>111</v>
      </c>
      <c r="J3148" s="98" t="s">
        <v>3436</v>
      </c>
    </row>
    <row r="3149" spans="1:10" ht="28.9" customHeight="1" thickTop="1" thickBot="1" x14ac:dyDescent="0.65">
      <c r="A3149" s="3">
        <v>3147</v>
      </c>
      <c r="B3149" s="44" t="str">
        <f>HYPERLINK("https://search.naver.com/search.naver?query=포커 나이트 영화", "포커 나이트")</f>
        <v>포커 나이트</v>
      </c>
      <c r="C3149" s="45">
        <v>6.95</v>
      </c>
      <c r="D3149" s="4" t="s">
        <v>3180</v>
      </c>
      <c r="E3149" s="3" t="s">
        <v>20</v>
      </c>
      <c r="F3149" s="3">
        <v>2014</v>
      </c>
      <c r="G3149" s="3" t="s">
        <v>12</v>
      </c>
      <c r="H3149" s="3" t="s">
        <v>92</v>
      </c>
      <c r="I3149" s="3" t="s">
        <v>170</v>
      </c>
      <c r="J3149" s="97" t="s">
        <v>3437</v>
      </c>
    </row>
    <row r="3150" spans="1:10" ht="28.9" customHeight="1" thickTop="1" thickBot="1" x14ac:dyDescent="0.65">
      <c r="A3150" s="5">
        <v>3148</v>
      </c>
      <c r="B3150" s="46" t="str">
        <f>HYPERLINK("https://search.naver.com/search.naver?query=포커스 영화", "포커스")</f>
        <v>포커스</v>
      </c>
      <c r="C3150" s="47">
        <v>7.94</v>
      </c>
      <c r="D3150" s="6" t="s">
        <v>3181</v>
      </c>
      <c r="E3150" s="5" t="s">
        <v>20</v>
      </c>
      <c r="F3150" s="5">
        <v>2015</v>
      </c>
      <c r="G3150" s="5" t="s">
        <v>12</v>
      </c>
      <c r="H3150" s="5" t="s">
        <v>68</v>
      </c>
      <c r="I3150" s="5" t="s">
        <v>170</v>
      </c>
      <c r="J3150" s="98" t="s">
        <v>3440</v>
      </c>
    </row>
    <row r="3151" spans="1:10" ht="28.9" customHeight="1" thickTop="1" thickBot="1" x14ac:dyDescent="0.65">
      <c r="A3151" s="3">
        <v>3149</v>
      </c>
      <c r="B3151" s="44" t="str">
        <f>HYPERLINK("https://search.naver.com/search.naver?query=포트 블리스 영화", "포트 블리스")</f>
        <v>포트 블리스</v>
      </c>
      <c r="C3151" s="45">
        <v>6.4</v>
      </c>
      <c r="D3151" s="4" t="s">
        <v>3182</v>
      </c>
      <c r="E3151" s="3" t="s">
        <v>20</v>
      </c>
      <c r="F3151" s="3">
        <v>2014</v>
      </c>
      <c r="G3151" s="3" t="s">
        <v>12</v>
      </c>
      <c r="H3151" s="3" t="s">
        <v>17</v>
      </c>
      <c r="I3151" s="3" t="s">
        <v>366</v>
      </c>
      <c r="J3151" s="97" t="s">
        <v>3437</v>
      </c>
    </row>
    <row r="3152" spans="1:10" ht="28.9" customHeight="1" thickTop="1" thickBot="1" x14ac:dyDescent="0.65">
      <c r="A3152" s="5">
        <v>3150</v>
      </c>
      <c r="B3152" s="46" t="str">
        <f>HYPERLINK("https://search.naver.com/search.naver?query=포화속의 우정 영화", "포화속의 우정")</f>
        <v>포화속의 우정</v>
      </c>
      <c r="C3152" s="47">
        <v>9.26</v>
      </c>
      <c r="D3152" s="6" t="s">
        <v>3183</v>
      </c>
      <c r="E3152" s="5" t="s">
        <v>101</v>
      </c>
      <c r="F3152" s="5">
        <v>2014</v>
      </c>
      <c r="G3152" s="5" t="s">
        <v>12</v>
      </c>
      <c r="H3152" s="5" t="s">
        <v>721</v>
      </c>
      <c r="I3152" s="5" t="s">
        <v>58</v>
      </c>
      <c r="J3152" s="98" t="s">
        <v>3437</v>
      </c>
    </row>
    <row r="3153" spans="1:10" ht="28.9" customHeight="1" thickTop="1" thickBot="1" x14ac:dyDescent="0.65">
      <c r="A3153" s="3">
        <v>3151</v>
      </c>
      <c r="B3153" s="44" t="str">
        <f>HYPERLINK("https://search.naver.com/search.naver?query=폭격 영화", "폭격")</f>
        <v>폭격</v>
      </c>
      <c r="C3153" s="45">
        <v>9.31</v>
      </c>
      <c r="D3153" s="4" t="s">
        <v>3184</v>
      </c>
      <c r="E3153" s="3" t="s">
        <v>118</v>
      </c>
      <c r="F3153" s="3">
        <v>2021</v>
      </c>
      <c r="G3153" s="3" t="s">
        <v>12</v>
      </c>
      <c r="H3153" s="3" t="s">
        <v>17</v>
      </c>
      <c r="I3153" s="3" t="s">
        <v>625</v>
      </c>
      <c r="J3153" s="97" t="s">
        <v>3438</v>
      </c>
    </row>
    <row r="3154" spans="1:10" ht="28.9" customHeight="1" thickTop="1" thickBot="1" x14ac:dyDescent="0.65">
      <c r="A3154" s="5">
        <v>3152</v>
      </c>
      <c r="B3154" s="46" t="str">
        <f>HYPERLINK("https://search.naver.com/search.naver?query=폭스캐처 영화", "폭스캐처")</f>
        <v>폭스캐처</v>
      </c>
      <c r="C3154" s="47">
        <v>8.41</v>
      </c>
      <c r="D3154" s="6" t="s">
        <v>3185</v>
      </c>
      <c r="E3154" s="5" t="s">
        <v>20</v>
      </c>
      <c r="F3154" s="5">
        <v>2014</v>
      </c>
      <c r="G3154" s="5" t="s">
        <v>12</v>
      </c>
      <c r="H3154" s="5" t="s">
        <v>17</v>
      </c>
      <c r="I3154" s="5" t="s">
        <v>543</v>
      </c>
      <c r="J3154" s="98" t="s">
        <v>3437</v>
      </c>
    </row>
    <row r="3155" spans="1:10" ht="28.9" customHeight="1" thickTop="1" thickBot="1" x14ac:dyDescent="0.65">
      <c r="A3155" s="7">
        <v>3153</v>
      </c>
      <c r="B3155" s="48" t="str">
        <f>HYPERLINK("https://search.naver.com/search.naver?query=폭싹 속았수다 드라마", "폭싹 속았수다")</f>
        <v>폭싹 속았수다</v>
      </c>
      <c r="C3155" s="49"/>
      <c r="D3155" s="8" t="s">
        <v>3186</v>
      </c>
      <c r="E3155" s="7" t="s">
        <v>11</v>
      </c>
      <c r="F3155" s="7">
        <v>2025</v>
      </c>
      <c r="G3155" s="7" t="s">
        <v>17</v>
      </c>
      <c r="H3155" s="7" t="s">
        <v>17</v>
      </c>
      <c r="I3155" s="7" t="s">
        <v>491</v>
      </c>
      <c r="J3155" s="99" t="s">
        <v>3459</v>
      </c>
    </row>
    <row r="3156" spans="1:10" ht="28.9" customHeight="1" thickTop="1" thickBot="1" x14ac:dyDescent="0.65">
      <c r="A3156" s="5">
        <v>3154</v>
      </c>
      <c r="B3156" s="46" t="str">
        <f>HYPERLINK("https://search.naver.com/search.naver?query=폭풍의 시간 영화", "폭풍의 시간")</f>
        <v>폭풍의 시간</v>
      </c>
      <c r="C3156" s="47">
        <v>8.65</v>
      </c>
      <c r="D3156" s="6" t="s">
        <v>3187</v>
      </c>
      <c r="E3156" s="5" t="s">
        <v>30</v>
      </c>
      <c r="F3156" s="5">
        <v>2018</v>
      </c>
      <c r="G3156" s="5" t="s">
        <v>12</v>
      </c>
      <c r="H3156" s="5" t="s">
        <v>17</v>
      </c>
      <c r="I3156" s="5" t="s">
        <v>108</v>
      </c>
      <c r="J3156" s="98" t="s">
        <v>3442</v>
      </c>
    </row>
    <row r="3157" spans="1:10" ht="28.9" customHeight="1" thickTop="1" thickBot="1" x14ac:dyDescent="0.65">
      <c r="A3157" s="3">
        <v>3155</v>
      </c>
      <c r="B3157" s="44" t="str">
        <f>HYPERLINK("https://search.naver.com/search.naver?query=폭풍의 질주 영화", "폭풍의 질주")</f>
        <v>폭풍의 질주</v>
      </c>
      <c r="C3157" s="45">
        <v>8.25</v>
      </c>
      <c r="D3157" s="4" t="s">
        <v>3188</v>
      </c>
      <c r="E3157" s="3" t="s">
        <v>20</v>
      </c>
      <c r="F3157" s="3">
        <v>1990</v>
      </c>
      <c r="G3157" s="3" t="s">
        <v>12</v>
      </c>
      <c r="H3157" s="3" t="s">
        <v>92</v>
      </c>
      <c r="I3157" s="3" t="s">
        <v>75</v>
      </c>
      <c r="J3157" s="97" t="s">
        <v>3464</v>
      </c>
    </row>
    <row r="3158" spans="1:10" ht="28.9" customHeight="1" thickTop="1" thickBot="1" x14ac:dyDescent="0.65">
      <c r="A3158" s="5">
        <v>3156</v>
      </c>
      <c r="B3158" s="46" t="str">
        <f>HYPERLINK("https://search.naver.com/search.naver?query=폰조 영화", "폰조")</f>
        <v>폰조</v>
      </c>
      <c r="C3158" s="47">
        <v>7.71</v>
      </c>
      <c r="D3158" s="6" t="s">
        <v>3189</v>
      </c>
      <c r="E3158" s="5" t="s">
        <v>20</v>
      </c>
      <c r="F3158" s="5">
        <v>2020</v>
      </c>
      <c r="G3158" s="5" t="s">
        <v>12</v>
      </c>
      <c r="H3158" s="5" t="s">
        <v>17</v>
      </c>
      <c r="I3158" s="5" t="s">
        <v>111</v>
      </c>
      <c r="J3158" s="98" t="s">
        <v>3436</v>
      </c>
    </row>
    <row r="3159" spans="1:10" ht="28.9" customHeight="1" thickTop="1" thickBot="1" x14ac:dyDescent="0.65">
      <c r="A3159" s="3">
        <v>3157</v>
      </c>
      <c r="B3159" s="44" t="str">
        <f>HYPERLINK("https://search.naver.com/search.naver?query=폴 600미터 영화", "폴-600미터")</f>
        <v>폴-600미터</v>
      </c>
      <c r="C3159" s="45">
        <v>7.94</v>
      </c>
      <c r="D3159" s="4" t="s">
        <v>3190</v>
      </c>
      <c r="E3159" s="3" t="s">
        <v>24</v>
      </c>
      <c r="F3159" s="3">
        <v>2022</v>
      </c>
      <c r="G3159" s="3" t="s">
        <v>12</v>
      </c>
      <c r="H3159" s="3" t="s">
        <v>43</v>
      </c>
      <c r="I3159" s="3" t="s">
        <v>75</v>
      </c>
      <c r="J3159" s="97" t="s">
        <v>3445</v>
      </c>
    </row>
    <row r="3160" spans="1:10" ht="28.9" customHeight="1" thickTop="1" thickBot="1" x14ac:dyDescent="0.65">
      <c r="A3160" s="5">
        <v>3158</v>
      </c>
      <c r="B3160" s="46" t="str">
        <f>HYPERLINK("https://search.naver.com/search.naver?query=폴리스 영화", "폴리스")</f>
        <v>폴리스</v>
      </c>
      <c r="C3160" s="47">
        <v>3.75</v>
      </c>
      <c r="D3160" s="6" t="s">
        <v>3191</v>
      </c>
      <c r="E3160" s="5" t="s">
        <v>210</v>
      </c>
      <c r="F3160" s="5">
        <v>2021</v>
      </c>
      <c r="G3160" s="5" t="s">
        <v>12</v>
      </c>
      <c r="H3160" s="5" t="s">
        <v>277</v>
      </c>
      <c r="I3160" s="5" t="s">
        <v>111</v>
      </c>
      <c r="J3160" s="98" t="s">
        <v>3438</v>
      </c>
    </row>
    <row r="3161" spans="1:10" ht="28.9" customHeight="1" thickTop="1" thickBot="1" x14ac:dyDescent="0.65">
      <c r="A3161" s="3">
        <v>3159</v>
      </c>
      <c r="B3161" s="44" t="str">
        <f>HYPERLINK("https://search.naver.com/search.naver?query=폴리스 스토리 1985", "폴리스 스토리")</f>
        <v>폴리스 스토리</v>
      </c>
      <c r="C3161" s="45">
        <v>9.33</v>
      </c>
      <c r="D3161" s="4" t="s">
        <v>3192</v>
      </c>
      <c r="E3161" s="3" t="s">
        <v>91</v>
      </c>
      <c r="F3161" s="3">
        <v>1985</v>
      </c>
      <c r="G3161" s="3" t="s">
        <v>12</v>
      </c>
      <c r="H3161" s="3" t="s">
        <v>92</v>
      </c>
      <c r="I3161" s="3" t="s">
        <v>3517</v>
      </c>
      <c r="J3161" s="97" t="s">
        <v>3479</v>
      </c>
    </row>
    <row r="3162" spans="1:10" ht="28.9" customHeight="1" thickTop="1" thickBot="1" x14ac:dyDescent="0.65">
      <c r="A3162" s="5">
        <v>3160</v>
      </c>
      <c r="B3162" s="46" t="str">
        <f>HYPERLINK("https://search.naver.com/search.naver?query=폴링 스노우 영화", "폴링 스노우")</f>
        <v>폴링 스노우</v>
      </c>
      <c r="C3162" s="47">
        <v>8</v>
      </c>
      <c r="D3162" s="6" t="s">
        <v>3193</v>
      </c>
      <c r="E3162" s="5" t="s">
        <v>189</v>
      </c>
      <c r="F3162" s="5">
        <v>2016</v>
      </c>
      <c r="G3162" s="5" t="s">
        <v>12</v>
      </c>
      <c r="H3162" s="5" t="s">
        <v>17</v>
      </c>
      <c r="I3162" s="5" t="s">
        <v>111</v>
      </c>
      <c r="J3162" s="98" t="s">
        <v>3441</v>
      </c>
    </row>
    <row r="3163" spans="1:10" ht="28.9" customHeight="1" thickTop="1" thickBot="1" x14ac:dyDescent="0.65">
      <c r="A3163" s="3">
        <v>3161</v>
      </c>
      <c r="B3163" s="44" t="str">
        <f>HYPERLINK("https://search.naver.com/search.naver?query=폴링 인 러브 영화", "폴링 인 러브")</f>
        <v>폴링 인 러브</v>
      </c>
      <c r="C3163" s="45">
        <v>8.16</v>
      </c>
      <c r="D3163" s="4" t="s">
        <v>3194</v>
      </c>
      <c r="E3163" s="3" t="s">
        <v>20</v>
      </c>
      <c r="F3163" s="3">
        <v>1987</v>
      </c>
      <c r="G3163" s="3" t="s">
        <v>12</v>
      </c>
      <c r="H3163" s="3" t="s">
        <v>17</v>
      </c>
      <c r="I3163" s="3" t="s">
        <v>286</v>
      </c>
      <c r="J3163" s="97">
        <v>32142</v>
      </c>
    </row>
    <row r="3164" spans="1:10" ht="28.9" customHeight="1" thickTop="1" thickBot="1" x14ac:dyDescent="0.65">
      <c r="A3164" s="5">
        <v>3162</v>
      </c>
      <c r="B3164" s="46" t="str">
        <f>HYPERLINK("https://search.naver.com/search.naver?query=표적 영화", "표적")</f>
        <v>표적</v>
      </c>
      <c r="C3164" s="47">
        <v>8.06</v>
      </c>
      <c r="D3164" s="6" t="s">
        <v>3195</v>
      </c>
      <c r="E3164" s="5" t="s">
        <v>11</v>
      </c>
      <c r="F3164" s="5">
        <v>2014</v>
      </c>
      <c r="G3164" s="5" t="s">
        <v>12</v>
      </c>
      <c r="H3164" s="5" t="s">
        <v>92</v>
      </c>
      <c r="I3164" s="5" t="s">
        <v>14</v>
      </c>
      <c r="J3164" s="98" t="s">
        <v>3437</v>
      </c>
    </row>
    <row r="3165" spans="1:10" ht="28.9" customHeight="1" thickTop="1" thickBot="1" x14ac:dyDescent="0.65">
      <c r="A3165" s="3">
        <v>3163</v>
      </c>
      <c r="B3165" s="44" t="str">
        <f>HYPERLINK("https://search.naver.com/search.naver?query=푸른 호수 영화", "푸른 호수")</f>
        <v>푸른 호수</v>
      </c>
      <c r="C3165" s="45">
        <v>7.56</v>
      </c>
      <c r="D3165" s="4" t="s">
        <v>3196</v>
      </c>
      <c r="E3165" s="3" t="s">
        <v>20</v>
      </c>
      <c r="F3165" s="3">
        <v>2021</v>
      </c>
      <c r="G3165" s="3" t="s">
        <v>12</v>
      </c>
      <c r="H3165" s="3" t="s">
        <v>17</v>
      </c>
      <c r="I3165" s="3" t="s">
        <v>89</v>
      </c>
      <c r="J3165" s="97" t="s">
        <v>3438</v>
      </c>
    </row>
    <row r="3166" spans="1:10" ht="28.9" customHeight="1" thickTop="1" thickBot="1" x14ac:dyDescent="0.65">
      <c r="A3166" s="5">
        <v>3164</v>
      </c>
      <c r="B3166" s="46" t="str">
        <f>HYPERLINK("https://search.naver.com/search.naver?query=푸른소금 영화", "푸른소금")</f>
        <v>푸른소금</v>
      </c>
      <c r="C3166" s="47">
        <v>7.06</v>
      </c>
      <c r="D3166" s="6" t="s">
        <v>3197</v>
      </c>
      <c r="E3166" s="5" t="s">
        <v>11</v>
      </c>
      <c r="F3166" s="5">
        <v>2011</v>
      </c>
      <c r="G3166" s="5" t="s">
        <v>12</v>
      </c>
      <c r="H3166" s="5" t="s">
        <v>92</v>
      </c>
      <c r="I3166" s="5" t="s">
        <v>111</v>
      </c>
      <c r="J3166" s="98" t="s">
        <v>3454</v>
      </c>
    </row>
    <row r="3167" spans="1:10" ht="28.9" customHeight="1" thickTop="1" thickBot="1" x14ac:dyDescent="0.65">
      <c r="A3167" s="3">
        <v>3165</v>
      </c>
      <c r="B3167" s="44" t="str">
        <f>HYPERLINK("https://search.naver.com/search.naver?query=퓨리 영화", "퓨리")</f>
        <v>퓨리</v>
      </c>
      <c r="C3167" s="45">
        <v>8.5500000000000007</v>
      </c>
      <c r="D3167" s="4" t="s">
        <v>3198</v>
      </c>
      <c r="E3167" s="3" t="s">
        <v>20</v>
      </c>
      <c r="F3167" s="3">
        <v>2014</v>
      </c>
      <c r="G3167" s="3" t="s">
        <v>12</v>
      </c>
      <c r="H3167" s="3" t="s">
        <v>721</v>
      </c>
      <c r="I3167" s="3" t="s">
        <v>543</v>
      </c>
      <c r="J3167" s="97" t="s">
        <v>3437</v>
      </c>
    </row>
    <row r="3168" spans="1:10" ht="28.9" customHeight="1" thickTop="1" thickBot="1" x14ac:dyDescent="0.65">
      <c r="A3168" s="5">
        <v>3166</v>
      </c>
      <c r="B3168" s="46" t="str">
        <f>HYPERLINK("https://search.naver.com/search.naver?query=프라미스드 랜드 영화", "프라미스드 랜드")</f>
        <v>프라미스드 랜드</v>
      </c>
      <c r="C3168" s="47">
        <v>7.84</v>
      </c>
      <c r="D3168" s="6" t="s">
        <v>3199</v>
      </c>
      <c r="E3168" s="5" t="s">
        <v>20</v>
      </c>
      <c r="F3168" s="5">
        <v>2012</v>
      </c>
      <c r="G3168" s="5" t="s">
        <v>12</v>
      </c>
      <c r="H3168" s="5" t="s">
        <v>17</v>
      </c>
      <c r="I3168" s="5" t="s">
        <v>286</v>
      </c>
      <c r="J3168" s="98" t="s">
        <v>3439</v>
      </c>
    </row>
    <row r="3169" spans="1:10" ht="28.9" customHeight="1" thickTop="1" thickBot="1" x14ac:dyDescent="0.65">
      <c r="A3169" s="3">
        <v>3167</v>
      </c>
      <c r="B3169" s="44" t="str">
        <f>HYPERLINK("https://search.naver.com/search.naver?query=프라미싱 영 우먼 영화", "프라미싱 영 우먼")</f>
        <v>프라미싱 영 우먼</v>
      </c>
      <c r="C3169" s="45">
        <v>7.83</v>
      </c>
      <c r="D3169" s="4" t="s">
        <v>3200</v>
      </c>
      <c r="E3169" s="3" t="s">
        <v>24</v>
      </c>
      <c r="F3169" s="3">
        <v>2020</v>
      </c>
      <c r="G3169" s="3" t="s">
        <v>12</v>
      </c>
      <c r="H3169" s="3" t="s">
        <v>43</v>
      </c>
      <c r="I3169" s="3" t="s">
        <v>73</v>
      </c>
      <c r="J3169" s="97" t="s">
        <v>3436</v>
      </c>
    </row>
    <row r="3170" spans="1:10" ht="28.9" customHeight="1" thickTop="1" thickBot="1" x14ac:dyDescent="0.65">
      <c r="A3170" s="5">
        <v>3168</v>
      </c>
      <c r="B3170" s="46" t="str">
        <f>HYPERLINK("https://search.naver.com/search.naver?query=프라이멀 영화", "프라이멀")</f>
        <v>프라이멀</v>
      </c>
      <c r="C3170" s="47">
        <v>6</v>
      </c>
      <c r="D3170" s="6" t="s">
        <v>3201</v>
      </c>
      <c r="E3170" s="5" t="s">
        <v>20</v>
      </c>
      <c r="F3170" s="5">
        <v>2019</v>
      </c>
      <c r="G3170" s="5" t="s">
        <v>12</v>
      </c>
      <c r="H3170" s="5" t="s">
        <v>92</v>
      </c>
      <c r="I3170" s="5" t="s">
        <v>124</v>
      </c>
      <c r="J3170" s="98" t="s">
        <v>3444</v>
      </c>
    </row>
    <row r="3171" spans="1:10" ht="28.9" customHeight="1" thickTop="1" thickBot="1" x14ac:dyDescent="0.65">
      <c r="A3171" s="3">
        <v>3169</v>
      </c>
      <c r="B3171" s="44" t="str">
        <f>HYPERLINK("https://search.naver.com/search.naver?query=프라이멀 피어 영화", "프라이멀 피어")</f>
        <v>프라이멀 피어</v>
      </c>
      <c r="C3171" s="45">
        <v>8.8699999999999992</v>
      </c>
      <c r="D3171" s="4" t="s">
        <v>3202</v>
      </c>
      <c r="E3171" s="3" t="s">
        <v>20</v>
      </c>
      <c r="F3171" s="3">
        <v>1996</v>
      </c>
      <c r="G3171" s="3" t="s">
        <v>12</v>
      </c>
      <c r="H3171" s="3" t="s">
        <v>277</v>
      </c>
      <c r="I3171" s="3" t="s">
        <v>64</v>
      </c>
      <c r="J3171" s="97" t="s">
        <v>3463</v>
      </c>
    </row>
    <row r="3172" spans="1:10" ht="28.9" customHeight="1" thickTop="1" thickBot="1" x14ac:dyDescent="0.65">
      <c r="A3172" s="7">
        <v>3170</v>
      </c>
      <c r="B3172" s="48" t="str">
        <f>HYPERLINK("https://search.naver.com/search.naver?query=프라임 타겟 드라마", "프라임 타겟")</f>
        <v>프라임 타겟</v>
      </c>
      <c r="C3172" s="49"/>
      <c r="D3172" s="8" t="s">
        <v>3203</v>
      </c>
      <c r="E3172" s="7" t="s">
        <v>20</v>
      </c>
      <c r="F3172" s="7">
        <v>2024</v>
      </c>
      <c r="G3172" s="7" t="s">
        <v>17</v>
      </c>
      <c r="H3172" s="7" t="s">
        <v>13</v>
      </c>
      <c r="I3172" s="7" t="s">
        <v>55</v>
      </c>
      <c r="J3172" s="99" t="s">
        <v>3448</v>
      </c>
    </row>
    <row r="3173" spans="1:10" ht="28.9" customHeight="1" thickTop="1" thickBot="1" x14ac:dyDescent="0.65">
      <c r="A3173" s="3">
        <v>3171</v>
      </c>
      <c r="B3173" s="44" t="str">
        <f>HYPERLINK("https://search.naver.com/search.naver?query=프라하의 봄 영화", "프라하의 봄")</f>
        <v>프라하의 봄</v>
      </c>
      <c r="C3173" s="45">
        <v>8.27</v>
      </c>
      <c r="D3173" s="4" t="s">
        <v>3204</v>
      </c>
      <c r="E3173" s="3" t="s">
        <v>3205</v>
      </c>
      <c r="F3173" s="3">
        <v>1988</v>
      </c>
      <c r="G3173" s="3" t="s">
        <v>12</v>
      </c>
      <c r="H3173" s="3" t="s">
        <v>17</v>
      </c>
      <c r="I3173" s="3" t="s">
        <v>111</v>
      </c>
      <c r="J3173" s="97" t="s">
        <v>3483</v>
      </c>
    </row>
    <row r="3174" spans="1:10" ht="28.9" customHeight="1" thickTop="1" thickBot="1" x14ac:dyDescent="0.65">
      <c r="A3174" s="5">
        <v>3172</v>
      </c>
      <c r="B3174" s="46" t="str">
        <f>HYPERLINK("https://search.naver.com/search.naver?query=프란치스코 영화", "프란치스코")</f>
        <v>프란치스코</v>
      </c>
      <c r="C3174" s="47">
        <v>8.6999999999999993</v>
      </c>
      <c r="D3174" s="6" t="s">
        <v>3206</v>
      </c>
      <c r="E3174" s="5" t="s">
        <v>832</v>
      </c>
      <c r="F3174" s="5">
        <v>2016</v>
      </c>
      <c r="G3174" s="5" t="s">
        <v>12</v>
      </c>
      <c r="H3174" s="5" t="s">
        <v>17</v>
      </c>
      <c r="I3174" s="5" t="s">
        <v>111</v>
      </c>
      <c r="J3174" s="98" t="s">
        <v>3441</v>
      </c>
    </row>
    <row r="3175" spans="1:10" ht="28.9" customHeight="1" thickTop="1" thickBot="1" x14ac:dyDescent="0.65">
      <c r="A3175" s="3">
        <v>3173</v>
      </c>
      <c r="B3175" s="44" t="str">
        <f>HYPERLINK("https://search.naver.com/search.naver?query=프랙처 영화", "프랙처")</f>
        <v>프랙처</v>
      </c>
      <c r="C3175" s="45">
        <v>6.4</v>
      </c>
      <c r="D3175" s="4" t="s">
        <v>3207</v>
      </c>
      <c r="E3175" s="3" t="s">
        <v>20</v>
      </c>
      <c r="F3175" s="3">
        <v>2007</v>
      </c>
      <c r="G3175" s="3" t="s">
        <v>12</v>
      </c>
      <c r="H3175" s="3" t="s">
        <v>43</v>
      </c>
      <c r="I3175" s="3" t="s">
        <v>73</v>
      </c>
      <c r="J3175" s="97" t="s">
        <v>3447</v>
      </c>
    </row>
    <row r="3176" spans="1:10" ht="28.9" customHeight="1" thickTop="1" thickBot="1" x14ac:dyDescent="0.65">
      <c r="A3176" s="5">
        <v>3174</v>
      </c>
      <c r="B3176" s="46" t="str">
        <f>HYPERLINK("https://search.naver.com/search.naver?query=프랙처드 영화", "프랙처드")</f>
        <v>프랙처드</v>
      </c>
      <c r="C3176" s="47">
        <v>7.62</v>
      </c>
      <c r="D3176" s="6" t="s">
        <v>3208</v>
      </c>
      <c r="E3176" s="5" t="s">
        <v>20</v>
      </c>
      <c r="F3176" s="5">
        <v>2019</v>
      </c>
      <c r="G3176" s="5" t="s">
        <v>12</v>
      </c>
      <c r="H3176" s="5" t="s">
        <v>43</v>
      </c>
      <c r="I3176" s="5" t="s">
        <v>131</v>
      </c>
      <c r="J3176" s="98" t="s">
        <v>3444</v>
      </c>
    </row>
    <row r="3177" spans="1:10" ht="28.9" customHeight="1" thickTop="1" thickBot="1" x14ac:dyDescent="0.65">
      <c r="A3177" s="3">
        <v>3175</v>
      </c>
      <c r="B3177" s="44" t="str">
        <f>HYPERLINK("https://search.naver.com/search.naver?query=프레스티지 영화", "프레스티지")</f>
        <v>프레스티지</v>
      </c>
      <c r="C3177" s="45">
        <v>8.58</v>
      </c>
      <c r="D3177" s="4" t="s">
        <v>3209</v>
      </c>
      <c r="E3177" s="3" t="s">
        <v>20</v>
      </c>
      <c r="F3177" s="3">
        <v>2006</v>
      </c>
      <c r="G3177" s="3" t="s">
        <v>12</v>
      </c>
      <c r="H3177" s="3" t="s">
        <v>17</v>
      </c>
      <c r="I3177" s="3" t="s">
        <v>34</v>
      </c>
      <c r="J3177" s="97" t="s">
        <v>3460</v>
      </c>
    </row>
    <row r="3178" spans="1:10" ht="28.9" customHeight="1" thickTop="1" thickBot="1" x14ac:dyDescent="0.65">
      <c r="A3178" s="5">
        <v>3176</v>
      </c>
      <c r="B3178" s="46" t="str">
        <f>HYPERLINK("https://search.naver.com/search.naver?query=프레지던트 메이커 영화", "프레지던트 메이커")</f>
        <v>프레지던트 메이커</v>
      </c>
      <c r="C3178" s="47">
        <v>9</v>
      </c>
      <c r="D3178" s="6" t="s">
        <v>3210</v>
      </c>
      <c r="E3178" s="5" t="s">
        <v>20</v>
      </c>
      <c r="F3178" s="5">
        <v>2015</v>
      </c>
      <c r="G3178" s="5" t="s">
        <v>12</v>
      </c>
      <c r="H3178" s="5" t="s">
        <v>68</v>
      </c>
      <c r="I3178" s="5" t="s">
        <v>78</v>
      </c>
      <c r="J3178" s="98" t="s">
        <v>3440</v>
      </c>
    </row>
    <row r="3179" spans="1:10" ht="28.9" customHeight="1" thickTop="1" thickBot="1" x14ac:dyDescent="0.65">
      <c r="A3179" s="3">
        <v>3177</v>
      </c>
      <c r="B3179" s="44" t="str">
        <f>HYPERLINK("https://search.naver.com/search.naver?query=프렌즈 하얀 거짓말 영화", "프렌즈-하얀 거짓말")</f>
        <v>프렌즈-하얀 거짓말</v>
      </c>
      <c r="C3179" s="45">
        <v>8.7100000000000009</v>
      </c>
      <c r="D3179" s="4" t="s">
        <v>3211</v>
      </c>
      <c r="E3179" s="3" t="s">
        <v>210</v>
      </c>
      <c r="F3179" s="3">
        <v>2014</v>
      </c>
      <c r="G3179" s="3" t="s">
        <v>12</v>
      </c>
      <c r="H3179" s="3" t="s">
        <v>17</v>
      </c>
      <c r="I3179" s="3" t="s">
        <v>543</v>
      </c>
      <c r="J3179" s="97" t="s">
        <v>3437</v>
      </c>
    </row>
    <row r="3180" spans="1:10" ht="28.9" customHeight="1" thickTop="1" thickBot="1" x14ac:dyDescent="0.65">
      <c r="A3180" s="5">
        <v>3178</v>
      </c>
      <c r="B3180" s="46" t="str">
        <f>HYPERLINK("https://search.naver.com/search.naver?query=프렌치 수프 영화", "프렌치 수프")</f>
        <v>프렌치 수프</v>
      </c>
      <c r="C3180" s="47">
        <v>7.88</v>
      </c>
      <c r="D3180" s="6" t="s">
        <v>3212</v>
      </c>
      <c r="E3180" s="5" t="s">
        <v>210</v>
      </c>
      <c r="F3180" s="5">
        <v>2023</v>
      </c>
      <c r="G3180" s="5" t="s">
        <v>12</v>
      </c>
      <c r="H3180" s="5" t="s">
        <v>17</v>
      </c>
      <c r="I3180" s="5" t="s">
        <v>41</v>
      </c>
      <c r="J3180" s="98" t="s">
        <v>3446</v>
      </c>
    </row>
    <row r="3181" spans="1:10" ht="28.9" customHeight="1" thickTop="1" thickBot="1" x14ac:dyDescent="0.65">
      <c r="A3181" s="3">
        <v>3179</v>
      </c>
      <c r="B3181" s="44" t="str">
        <f>HYPERLINK("https://search.naver.com/search.naver?query=프로디지 영화", "프로디지")</f>
        <v>프로디지</v>
      </c>
      <c r="C3181" s="45">
        <v>7.21</v>
      </c>
      <c r="D3181" s="4" t="s">
        <v>3213</v>
      </c>
      <c r="E3181" s="3" t="s">
        <v>20</v>
      </c>
      <c r="F3181" s="3">
        <v>2019</v>
      </c>
      <c r="G3181" s="3" t="s">
        <v>12</v>
      </c>
      <c r="H3181" s="3" t="s">
        <v>252</v>
      </c>
      <c r="I3181" s="3" t="s">
        <v>147</v>
      </c>
      <c r="J3181" s="97" t="s">
        <v>3444</v>
      </c>
    </row>
    <row r="3182" spans="1:10" ht="28.9" customHeight="1" thickTop="1" thickBot="1" x14ac:dyDescent="0.65">
      <c r="A3182" s="5">
        <v>3180</v>
      </c>
      <c r="B3182" s="46" t="str">
        <f>HYPERLINK("https://search.naver.com/search.naver?query=프로스트 VS 닉슨 영화", "프로스트 VS 닉슨")</f>
        <v>프로스트 VS 닉슨</v>
      </c>
      <c r="C3182" s="47">
        <v>8.31</v>
      </c>
      <c r="D3182" s="6" t="s">
        <v>3214</v>
      </c>
      <c r="E3182" s="5" t="s">
        <v>20</v>
      </c>
      <c r="F3182" s="5">
        <v>2008</v>
      </c>
      <c r="G3182" s="5" t="s">
        <v>12</v>
      </c>
      <c r="H3182" s="5" t="s">
        <v>17</v>
      </c>
      <c r="I3182" s="5" t="s">
        <v>86</v>
      </c>
      <c r="J3182" s="98" t="s">
        <v>3450</v>
      </c>
    </row>
    <row r="3183" spans="1:10" ht="28.9" customHeight="1" thickTop="1" thickBot="1" x14ac:dyDescent="0.65">
      <c r="A3183" s="3">
        <v>3181</v>
      </c>
      <c r="B3183" s="44" t="str">
        <f>HYPERLINK("https://search.naver.com/search.naver?query=프로포즈 데이 영화", "프로포즈 데이")</f>
        <v>프로포즈 데이</v>
      </c>
      <c r="C3183" s="45">
        <v>8.3800000000000008</v>
      </c>
      <c r="D3183" s="4" t="s">
        <v>3215</v>
      </c>
      <c r="E3183" s="3" t="s">
        <v>16</v>
      </c>
      <c r="F3183" s="3">
        <v>2010</v>
      </c>
      <c r="G3183" s="3" t="s">
        <v>12</v>
      </c>
      <c r="H3183" s="3" t="s">
        <v>121</v>
      </c>
      <c r="I3183" s="3" t="s">
        <v>111</v>
      </c>
      <c r="J3183" s="97" t="s">
        <v>3455</v>
      </c>
    </row>
    <row r="3184" spans="1:10" ht="28.9" customHeight="1" thickTop="1" thickBot="1" x14ac:dyDescent="0.65">
      <c r="A3184" s="5">
        <v>3182</v>
      </c>
      <c r="B3184" s="46" t="str">
        <f>HYPERLINK("https://search.naver.com/search.naver?query=프록시마 프로젝트 영화", "프록시마 프로젝트")</f>
        <v>프록시마 프로젝트</v>
      </c>
      <c r="C3184" s="47">
        <v>9</v>
      </c>
      <c r="D3184" s="6" t="s">
        <v>3216</v>
      </c>
      <c r="E3184" s="5" t="s">
        <v>210</v>
      </c>
      <c r="F3184" s="5">
        <v>2019</v>
      </c>
      <c r="G3184" s="5" t="s">
        <v>12</v>
      </c>
      <c r="H3184" s="5" t="s">
        <v>17</v>
      </c>
      <c r="I3184" s="5" t="s">
        <v>75</v>
      </c>
      <c r="J3184" s="98" t="s">
        <v>3444</v>
      </c>
    </row>
    <row r="3185" spans="1:10" ht="28.9" customHeight="1" thickTop="1" thickBot="1" x14ac:dyDescent="0.65">
      <c r="A3185" s="3">
        <v>3183</v>
      </c>
      <c r="B3185" s="44" t="str">
        <f>HYPERLINK("https://search.naver.com/search.naver?query=프루프 영화", "프루프")</f>
        <v>프루프</v>
      </c>
      <c r="C3185" s="45">
        <v>8.75</v>
      </c>
      <c r="D3185" s="4" t="s">
        <v>3217</v>
      </c>
      <c r="E3185" s="3" t="s">
        <v>20</v>
      </c>
      <c r="F3185" s="3">
        <v>2005</v>
      </c>
      <c r="G3185" s="3" t="s">
        <v>12</v>
      </c>
      <c r="H3185" s="3" t="s">
        <v>17</v>
      </c>
      <c r="I3185" s="3" t="s">
        <v>131</v>
      </c>
      <c r="J3185" s="97" t="s">
        <v>3461</v>
      </c>
    </row>
    <row r="3186" spans="1:10" ht="28.9" customHeight="1" thickTop="1" thickBot="1" x14ac:dyDescent="0.65">
      <c r="A3186" s="5">
        <v>3184</v>
      </c>
      <c r="B3186" s="46" t="str">
        <f>HYPERLINK("https://search.naver.com/search.naver?query=프리 가이 영화", "프리 가이")</f>
        <v>프리 가이</v>
      </c>
      <c r="C3186" s="47">
        <v>8.42</v>
      </c>
      <c r="D3186" s="6" t="s">
        <v>3218</v>
      </c>
      <c r="E3186" s="5" t="s">
        <v>20</v>
      </c>
      <c r="F3186" s="5">
        <v>2021</v>
      </c>
      <c r="G3186" s="5" t="s">
        <v>12</v>
      </c>
      <c r="H3186" s="5" t="s">
        <v>92</v>
      </c>
      <c r="I3186" s="5" t="s">
        <v>47</v>
      </c>
      <c r="J3186" s="98" t="s">
        <v>3438</v>
      </c>
    </row>
    <row r="3187" spans="1:10" ht="28.9" customHeight="1" thickTop="1" thickBot="1" x14ac:dyDescent="0.65">
      <c r="A3187" s="3">
        <v>3185</v>
      </c>
      <c r="B3187" s="44" t="str">
        <f>HYPERLINK("https://search.naver.com/search.naver?query=프리 스테이트 오브 존스", "프리 스테이트 오브 존스")</f>
        <v>프리 스테이트 오브 존스</v>
      </c>
      <c r="C3187" s="45">
        <v>8.48</v>
      </c>
      <c r="D3187" s="4" t="s">
        <v>3219</v>
      </c>
      <c r="E3187" s="3" t="s">
        <v>20</v>
      </c>
      <c r="F3187" s="3">
        <v>2016</v>
      </c>
      <c r="G3187" s="3" t="s">
        <v>12</v>
      </c>
      <c r="H3187" s="3" t="s">
        <v>92</v>
      </c>
      <c r="I3187" s="3" t="s">
        <v>73</v>
      </c>
      <c r="J3187" s="97" t="s">
        <v>3441</v>
      </c>
    </row>
    <row r="3188" spans="1:10" ht="28.9" customHeight="1" thickTop="1" thickBot="1" x14ac:dyDescent="0.65">
      <c r="A3188" s="5">
        <v>3186</v>
      </c>
      <c r="B3188" s="46" t="str">
        <f>HYPERLINK("https://search.naver.com/search.naver?query=프리다의 그해 여름 영화", "프리다의 그해 여름")</f>
        <v>프리다의 그해 여름</v>
      </c>
      <c r="C3188" s="47">
        <v>6.4</v>
      </c>
      <c r="D3188" s="6" t="s">
        <v>3220</v>
      </c>
      <c r="E3188" s="5" t="s">
        <v>30</v>
      </c>
      <c r="F3188" s="5">
        <v>2017</v>
      </c>
      <c r="G3188" s="5" t="s">
        <v>12</v>
      </c>
      <c r="H3188" s="5" t="s">
        <v>17</v>
      </c>
      <c r="I3188" s="5" t="s">
        <v>111</v>
      </c>
      <c r="J3188" s="98" t="s">
        <v>3443</v>
      </c>
    </row>
    <row r="3189" spans="1:10" ht="28.9" customHeight="1" thickTop="1" thickBot="1" x14ac:dyDescent="0.65">
      <c r="A3189" s="3">
        <v>3187</v>
      </c>
      <c r="B3189" s="44" t="str">
        <f>HYPERLINK("https://search.naver.com/search.naver?query=프리덤 라이터스", "프리덤 라이터스")</f>
        <v>프리덤 라이터스</v>
      </c>
      <c r="C3189" s="45">
        <v>9</v>
      </c>
      <c r="D3189" s="4" t="s">
        <v>3221</v>
      </c>
      <c r="E3189" s="3" t="s">
        <v>20</v>
      </c>
      <c r="F3189" s="3">
        <v>2007</v>
      </c>
      <c r="G3189" s="3" t="s">
        <v>12</v>
      </c>
      <c r="H3189" s="3" t="s">
        <v>17</v>
      </c>
      <c r="I3189" s="3" t="s">
        <v>58</v>
      </c>
      <c r="J3189" s="97" t="s">
        <v>3447</v>
      </c>
    </row>
    <row r="3190" spans="1:10" ht="28.9" customHeight="1" thickTop="1" thickBot="1" x14ac:dyDescent="0.65">
      <c r="A3190" s="5">
        <v>3188</v>
      </c>
      <c r="B3190" s="46" t="str">
        <f>HYPERLINK("https://search.naver.com/search.naver?query=프리미엄 러쉬 영화", "프리미엄 러쉬")</f>
        <v>프리미엄 러쉬</v>
      </c>
      <c r="C3190" s="47">
        <v>7.32</v>
      </c>
      <c r="D3190" s="6" t="s">
        <v>3222</v>
      </c>
      <c r="E3190" s="5" t="s">
        <v>20</v>
      </c>
      <c r="F3190" s="5">
        <v>2012</v>
      </c>
      <c r="G3190" s="5" t="s">
        <v>12</v>
      </c>
      <c r="H3190" s="5" t="s">
        <v>92</v>
      </c>
      <c r="I3190" s="5" t="s">
        <v>240</v>
      </c>
      <c r="J3190" s="98" t="s">
        <v>3439</v>
      </c>
    </row>
    <row r="3191" spans="1:10" ht="28.9" customHeight="1" thickTop="1" thickBot="1" x14ac:dyDescent="0.65">
      <c r="A3191" s="3">
        <v>3189</v>
      </c>
      <c r="B3191" s="44" t="str">
        <f>HYPERLINK("https://search.naver.com/search.naver?query=프리즈너스 영화", "프리즈너스")</f>
        <v>프리즈너스</v>
      </c>
      <c r="C3191" s="45">
        <v>8.14</v>
      </c>
      <c r="D3191" s="4" t="s">
        <v>3223</v>
      </c>
      <c r="E3191" s="3" t="s">
        <v>20</v>
      </c>
      <c r="F3191" s="3">
        <v>2013</v>
      </c>
      <c r="G3191" s="3" t="s">
        <v>12</v>
      </c>
      <c r="H3191" s="3" t="s">
        <v>277</v>
      </c>
      <c r="I3191" s="3" t="s">
        <v>606</v>
      </c>
      <c r="J3191" s="97" t="s">
        <v>3451</v>
      </c>
    </row>
    <row r="3192" spans="1:10" ht="28.9" customHeight="1" thickTop="1" thickBot="1" x14ac:dyDescent="0.65">
      <c r="A3192" s="5">
        <v>3190</v>
      </c>
      <c r="B3192" s="46" t="str">
        <f>HYPERLINK("https://search.naver.com/search.naver?query=프리즌 영화", "프리즌")</f>
        <v>프리즌</v>
      </c>
      <c r="C3192" s="47">
        <v>8.25</v>
      </c>
      <c r="D3192" s="6" t="s">
        <v>3224</v>
      </c>
      <c r="E3192" s="5" t="s">
        <v>11</v>
      </c>
      <c r="F3192" s="5">
        <v>2016</v>
      </c>
      <c r="G3192" s="5" t="s">
        <v>12</v>
      </c>
      <c r="H3192" s="5" t="s">
        <v>277</v>
      </c>
      <c r="I3192" s="5" t="s">
        <v>214</v>
      </c>
      <c r="J3192" s="98" t="s">
        <v>3441</v>
      </c>
    </row>
    <row r="3193" spans="1:10" ht="28.9" customHeight="1" thickTop="1" thickBot="1" x14ac:dyDescent="0.65">
      <c r="A3193" s="3">
        <v>3191</v>
      </c>
      <c r="B3193" s="44" t="str">
        <f>HYPERLINK("https://search.naver.com/search.naver?query=프리퀀시 영화", "프리퀀시")</f>
        <v>프리퀀시</v>
      </c>
      <c r="C3193" s="45">
        <v>9.33</v>
      </c>
      <c r="D3193" s="4" t="s">
        <v>3225</v>
      </c>
      <c r="E3193" s="3" t="s">
        <v>20</v>
      </c>
      <c r="F3193" s="3">
        <v>2000</v>
      </c>
      <c r="G3193" s="3" t="s">
        <v>12</v>
      </c>
      <c r="H3193" s="3" t="s">
        <v>520</v>
      </c>
      <c r="I3193" s="3" t="s">
        <v>221</v>
      </c>
      <c r="J3193" s="97" t="s">
        <v>3458</v>
      </c>
    </row>
    <row r="3194" spans="1:10" ht="28.9" customHeight="1" thickTop="1" thickBot="1" x14ac:dyDescent="0.65">
      <c r="A3194" s="7">
        <v>3192</v>
      </c>
      <c r="B3194" s="48" t="str">
        <f>HYPERLINK("https://search.naver.com/search.naver?query=프린지 시즌1", "프린지 시즌1")</f>
        <v>프린지 시즌1</v>
      </c>
      <c r="C3194" s="49"/>
      <c r="D3194" s="8" t="s">
        <v>3226</v>
      </c>
      <c r="E3194" s="7" t="s">
        <v>20</v>
      </c>
      <c r="F3194" s="7">
        <v>2008</v>
      </c>
      <c r="G3194" s="7" t="s">
        <v>17</v>
      </c>
      <c r="H3194" s="7" t="s">
        <v>328</v>
      </c>
      <c r="I3194" s="7" t="s">
        <v>1619</v>
      </c>
      <c r="J3194" s="99" t="s">
        <v>3450</v>
      </c>
    </row>
    <row r="3195" spans="1:10" ht="28.9" customHeight="1" thickTop="1" thickBot="1" x14ac:dyDescent="0.65">
      <c r="A3195" s="7">
        <v>3193</v>
      </c>
      <c r="B3195" s="48" t="str">
        <f>HYPERLINK("https://search.naver.com/search.naver?query=프린지 시즌2", "프린지 시즌2")</f>
        <v>프린지 시즌2</v>
      </c>
      <c r="C3195" s="49"/>
      <c r="D3195" s="8" t="s">
        <v>3226</v>
      </c>
      <c r="E3195" s="7" t="s">
        <v>20</v>
      </c>
      <c r="F3195" s="7">
        <v>2010</v>
      </c>
      <c r="G3195" s="7" t="s">
        <v>17</v>
      </c>
      <c r="H3195" s="7" t="s">
        <v>328</v>
      </c>
      <c r="I3195" s="7" t="s">
        <v>356</v>
      </c>
      <c r="J3195" s="99" t="s">
        <v>3455</v>
      </c>
    </row>
    <row r="3196" spans="1:10" ht="28.9" customHeight="1" thickTop="1" thickBot="1" x14ac:dyDescent="0.65">
      <c r="A3196" s="7">
        <v>3194</v>
      </c>
      <c r="B3196" s="48" t="str">
        <f>HYPERLINK("https://search.naver.com/search.naver?query=프린지 시즌3", "프린지 시즌3")</f>
        <v>프린지 시즌3</v>
      </c>
      <c r="C3196" s="49"/>
      <c r="D3196" s="8" t="s">
        <v>3226</v>
      </c>
      <c r="E3196" s="7" t="s">
        <v>20</v>
      </c>
      <c r="F3196" s="7">
        <v>2011</v>
      </c>
      <c r="G3196" s="7" t="s">
        <v>17</v>
      </c>
      <c r="H3196" s="7" t="s">
        <v>328</v>
      </c>
      <c r="I3196" s="7" t="s">
        <v>356</v>
      </c>
      <c r="J3196" s="99" t="s">
        <v>3454</v>
      </c>
    </row>
    <row r="3197" spans="1:10" ht="28.9" customHeight="1" thickTop="1" thickBot="1" x14ac:dyDescent="0.65">
      <c r="A3197" s="7">
        <v>3195</v>
      </c>
      <c r="B3197" s="48" t="str">
        <f>HYPERLINK("https://search.naver.com/search.naver?query=프린지 시즌4", "프린지 시즌4")</f>
        <v>프린지 시즌4</v>
      </c>
      <c r="C3197" s="49"/>
      <c r="D3197" s="8"/>
      <c r="E3197" s="7" t="s">
        <v>20</v>
      </c>
      <c r="F3197" s="7">
        <v>2012</v>
      </c>
      <c r="G3197" s="7" t="s">
        <v>17</v>
      </c>
      <c r="H3197" s="7" t="s">
        <v>328</v>
      </c>
      <c r="I3197" s="7" t="s">
        <v>356</v>
      </c>
      <c r="J3197" s="99" t="s">
        <v>3439</v>
      </c>
    </row>
    <row r="3198" spans="1:10" ht="28.9" customHeight="1" thickTop="1" thickBot="1" x14ac:dyDescent="0.65">
      <c r="A3198" s="7">
        <v>3196</v>
      </c>
      <c r="B3198" s="48" t="str">
        <f>HYPERLINK("https://search.naver.com/search.naver?query=프린지 시즌5", "프린지 시즌5")</f>
        <v>프린지 시즌5</v>
      </c>
      <c r="C3198" s="49"/>
      <c r="D3198" s="8" t="s">
        <v>3226</v>
      </c>
      <c r="E3198" s="7" t="s">
        <v>20</v>
      </c>
      <c r="F3198" s="7">
        <v>2013</v>
      </c>
      <c r="G3198" s="7" t="s">
        <v>17</v>
      </c>
      <c r="H3198" s="7" t="s">
        <v>328</v>
      </c>
      <c r="I3198" s="7" t="s">
        <v>645</v>
      </c>
      <c r="J3198" s="99" t="s">
        <v>3451</v>
      </c>
    </row>
    <row r="3199" spans="1:10" ht="28.9" customHeight="1" thickTop="1" thickBot="1" x14ac:dyDescent="0.65">
      <c r="A3199" s="3">
        <v>3197</v>
      </c>
      <c r="B3199" s="44" t="str">
        <f>HYPERLINK("https://search.naver.com/search.naver?query=플라워 킬링 문 영화", "플라워 킬링 문")</f>
        <v>플라워 킬링 문</v>
      </c>
      <c r="C3199" s="45">
        <v>8.33</v>
      </c>
      <c r="D3199" s="4" t="s">
        <v>3227</v>
      </c>
      <c r="E3199" s="3" t="s">
        <v>20</v>
      </c>
      <c r="F3199" s="3">
        <v>2023</v>
      </c>
      <c r="G3199" s="3" t="s">
        <v>12</v>
      </c>
      <c r="H3199" s="3" t="s">
        <v>277</v>
      </c>
      <c r="I3199" s="3" t="s">
        <v>3228</v>
      </c>
      <c r="J3199" s="97" t="s">
        <v>3446</v>
      </c>
    </row>
    <row r="3200" spans="1:10" ht="28.9" customHeight="1" thickTop="1" thickBot="1" x14ac:dyDescent="0.65">
      <c r="A3200" s="5">
        <v>3198</v>
      </c>
      <c r="B3200" s="46" t="str">
        <f>HYPERLINK("https://search.naver.com/search.naver?query=플라이 미 투 더 문 영화", "플라이 미 투 더 문")</f>
        <v>플라이 미 투 더 문</v>
      </c>
      <c r="C3200" s="47">
        <v>7.83</v>
      </c>
      <c r="D3200" s="6" t="s">
        <v>3229</v>
      </c>
      <c r="E3200" s="5" t="s">
        <v>20</v>
      </c>
      <c r="F3200" s="5">
        <v>2024</v>
      </c>
      <c r="G3200" s="5" t="s">
        <v>12</v>
      </c>
      <c r="H3200" s="5" t="s">
        <v>68</v>
      </c>
      <c r="I3200" s="5" t="s">
        <v>350</v>
      </c>
      <c r="J3200" s="98" t="s">
        <v>3448</v>
      </c>
    </row>
    <row r="3201" spans="1:10" ht="28.9" customHeight="1" thickTop="1" thickBot="1" x14ac:dyDescent="0.65">
      <c r="A3201" s="3">
        <v>3199</v>
      </c>
      <c r="B3201" s="44" t="str">
        <f>HYPERLINK("https://search.naver.com/search.naver?query=플라이트 영화", "플라이트")</f>
        <v>플라이트</v>
      </c>
      <c r="C3201" s="45">
        <v>8.16</v>
      </c>
      <c r="D3201" s="4" t="s">
        <v>3230</v>
      </c>
      <c r="E3201" s="3" t="s">
        <v>20</v>
      </c>
      <c r="F3201" s="3">
        <v>2012</v>
      </c>
      <c r="G3201" s="3" t="s">
        <v>12</v>
      </c>
      <c r="H3201" s="3" t="s">
        <v>17</v>
      </c>
      <c r="I3201" s="3" t="s">
        <v>619</v>
      </c>
      <c r="J3201" s="97" t="s">
        <v>3439</v>
      </c>
    </row>
    <row r="3202" spans="1:10" ht="28.9" customHeight="1" thickTop="1" thickBot="1" x14ac:dyDescent="0.65">
      <c r="A3202" s="5">
        <v>3200</v>
      </c>
      <c r="B3202" s="46" t="str">
        <f>HYPERLINK("https://search.naver.com/search.naver?query=플라이트 리스크 영화", "플라이트 리스크")</f>
        <v>플라이트 리스크</v>
      </c>
      <c r="C3202" s="47">
        <v>6.4</v>
      </c>
      <c r="D3202" s="6" t="s">
        <v>3231</v>
      </c>
      <c r="E3202" s="5" t="s">
        <v>20</v>
      </c>
      <c r="F3202" s="5">
        <v>2025</v>
      </c>
      <c r="G3202" s="5" t="s">
        <v>12</v>
      </c>
      <c r="H3202" s="5" t="s">
        <v>92</v>
      </c>
      <c r="I3202" s="5" t="s">
        <v>240</v>
      </c>
      <c r="J3202" s="98" t="s">
        <v>3459</v>
      </c>
    </row>
    <row r="3203" spans="1:10" ht="28.9" customHeight="1" thickTop="1" thickBot="1" x14ac:dyDescent="0.65">
      <c r="A3203" s="3">
        <v>3201</v>
      </c>
      <c r="B3203" s="44" t="str">
        <f>HYPERLINK("https://search.naver.com/search.naver?query=플래닛 바이러스 영화", "플래닛 바이러스")</f>
        <v>플래닛 바이러스</v>
      </c>
      <c r="C3203" s="45">
        <v>6.61</v>
      </c>
      <c r="D3203" s="4" t="s">
        <v>3232</v>
      </c>
      <c r="E3203" s="3" t="s">
        <v>20</v>
      </c>
      <c r="F3203" s="3">
        <v>2013</v>
      </c>
      <c r="G3203" s="3" t="s">
        <v>12</v>
      </c>
      <c r="H3203" s="3" t="s">
        <v>520</v>
      </c>
      <c r="I3203" s="3" t="s">
        <v>111</v>
      </c>
      <c r="J3203" s="97" t="s">
        <v>3451</v>
      </c>
    </row>
    <row r="3204" spans="1:10" ht="28.9" customHeight="1" thickTop="1" thickBot="1" x14ac:dyDescent="0.65">
      <c r="A3204" s="5">
        <v>3202</v>
      </c>
      <c r="B3204" s="46" t="str">
        <f>HYPERLINK("https://search.naver.com/search.naver?query=플래툰 영화", "플래툰")</f>
        <v>플래툰</v>
      </c>
      <c r="C3204" s="47">
        <v>9.33</v>
      </c>
      <c r="D3204" s="6" t="s">
        <v>3233</v>
      </c>
      <c r="E3204" s="5" t="s">
        <v>20</v>
      </c>
      <c r="F3204" s="5">
        <v>1987</v>
      </c>
      <c r="G3204" s="5" t="s">
        <v>12</v>
      </c>
      <c r="H3204" s="5" t="s">
        <v>721</v>
      </c>
      <c r="I3204" s="5" t="s">
        <v>86</v>
      </c>
      <c r="J3204" s="98" t="s">
        <v>3481</v>
      </c>
    </row>
    <row r="3205" spans="1:10" ht="28.9" customHeight="1" thickTop="1" thickBot="1" x14ac:dyDescent="0.65">
      <c r="A3205" s="3">
        <v>3203</v>
      </c>
      <c r="B3205" s="44" t="str">
        <f>HYPERLINK("https://search.naver.com/search.naver?query=플래티나 데이터 영화", "플래티나 데이터")</f>
        <v>플래티나 데이터</v>
      </c>
      <c r="C3205" s="45">
        <v>7.26</v>
      </c>
      <c r="D3205" s="4" t="s">
        <v>3234</v>
      </c>
      <c r="E3205" s="3" t="s">
        <v>16</v>
      </c>
      <c r="F3205" s="3">
        <v>2013</v>
      </c>
      <c r="G3205" s="3" t="s">
        <v>12</v>
      </c>
      <c r="H3205" s="3" t="s">
        <v>520</v>
      </c>
      <c r="I3205" s="3" t="s">
        <v>111</v>
      </c>
      <c r="J3205" s="97" t="s">
        <v>3451</v>
      </c>
    </row>
    <row r="3206" spans="1:10" ht="28.9" customHeight="1" thickTop="1" thickBot="1" x14ac:dyDescent="0.65">
      <c r="A3206" s="5">
        <v>3204</v>
      </c>
      <c r="B3206" s="46" t="str">
        <f>HYPERLINK("https://search.naver.com/search.naver?query=플랜75 영화", "플랜75")</f>
        <v>플랜75</v>
      </c>
      <c r="C3206" s="47">
        <v>7.49</v>
      </c>
      <c r="D3206" s="6" t="s">
        <v>3235</v>
      </c>
      <c r="E3206" s="5" t="s">
        <v>16</v>
      </c>
      <c r="F3206" s="5">
        <v>2022</v>
      </c>
      <c r="G3206" s="5" t="s">
        <v>12</v>
      </c>
      <c r="H3206" s="5" t="s">
        <v>17</v>
      </c>
      <c r="I3206" s="5" t="s">
        <v>278</v>
      </c>
      <c r="J3206" s="98" t="s">
        <v>3445</v>
      </c>
    </row>
    <row r="3207" spans="1:10" ht="28.9" customHeight="1" thickTop="1" thickBot="1" x14ac:dyDescent="0.65">
      <c r="A3207" s="3">
        <v>3205</v>
      </c>
      <c r="B3207" s="44" t="str">
        <f>HYPERLINK("https://search.naver.com/search.naver?query=플랜맨 영화", "플랜맨")</f>
        <v>플랜맨</v>
      </c>
      <c r="C3207" s="45">
        <v>8.67</v>
      </c>
      <c r="D3207" s="4" t="s">
        <v>3236</v>
      </c>
      <c r="E3207" s="3" t="s">
        <v>11</v>
      </c>
      <c r="F3207" s="3">
        <v>2013</v>
      </c>
      <c r="G3207" s="3" t="s">
        <v>12</v>
      </c>
      <c r="H3207" s="3" t="s">
        <v>68</v>
      </c>
      <c r="I3207" s="3" t="s">
        <v>111</v>
      </c>
      <c r="J3207" s="97" t="s">
        <v>3451</v>
      </c>
    </row>
    <row r="3208" spans="1:10" ht="28.9" customHeight="1" thickTop="1" thickBot="1" x14ac:dyDescent="0.65">
      <c r="A3208" s="5">
        <v>3206</v>
      </c>
      <c r="B3208" s="46" t="str">
        <f>HYPERLINK("https://search.naver.com/search.naver?query=플랫라이너 영화", "플랫라이너")</f>
        <v>플랫라이너</v>
      </c>
      <c r="C3208" s="47">
        <v>6.5</v>
      </c>
      <c r="D3208" s="6" t="s">
        <v>3237</v>
      </c>
      <c r="E3208" s="5" t="s">
        <v>20</v>
      </c>
      <c r="F3208" s="5">
        <v>2017</v>
      </c>
      <c r="G3208" s="5" t="s">
        <v>12</v>
      </c>
      <c r="H3208" s="5" t="s">
        <v>252</v>
      </c>
      <c r="I3208" s="5" t="s">
        <v>96</v>
      </c>
      <c r="J3208" s="98" t="s">
        <v>3443</v>
      </c>
    </row>
    <row r="3209" spans="1:10" ht="28.9" customHeight="1" thickTop="1" thickBot="1" x14ac:dyDescent="0.65">
      <c r="A3209" s="3">
        <v>3207</v>
      </c>
      <c r="B3209" s="44" t="str">
        <f>HYPERLINK("https://search.naver.com/search.naver?query=플레이스 비욘드 더 파인즈 영화", "플레이스 비욘드 더 파인즈")</f>
        <v>플레이스 비욘드 더 파인즈</v>
      </c>
      <c r="C3209" s="45">
        <v>8.49</v>
      </c>
      <c r="D3209" s="4" t="s">
        <v>3238</v>
      </c>
      <c r="E3209" s="3" t="s">
        <v>20</v>
      </c>
      <c r="F3209" s="3">
        <v>2012</v>
      </c>
      <c r="G3209" s="3" t="s">
        <v>12</v>
      </c>
      <c r="H3209" s="3" t="s">
        <v>277</v>
      </c>
      <c r="I3209" s="3" t="s">
        <v>550</v>
      </c>
      <c r="J3209" s="97" t="s">
        <v>3439</v>
      </c>
    </row>
    <row r="3210" spans="1:10" ht="28.9" customHeight="1" thickTop="1" thickBot="1" x14ac:dyDescent="0.65">
      <c r="A3210" s="5">
        <v>3208</v>
      </c>
      <c r="B3210" s="46" t="str">
        <f>HYPERLINK("https://search.naver.com/search.naver?query=플레인 영화", "플레인")</f>
        <v>플레인</v>
      </c>
      <c r="C3210" s="47">
        <v>7.65</v>
      </c>
      <c r="D3210" s="6" t="s">
        <v>3239</v>
      </c>
      <c r="E3210" s="5" t="s">
        <v>20</v>
      </c>
      <c r="F3210" s="5">
        <v>2023</v>
      </c>
      <c r="G3210" s="5" t="s">
        <v>12</v>
      </c>
      <c r="H3210" s="5" t="s">
        <v>92</v>
      </c>
      <c r="I3210" s="5" t="s">
        <v>75</v>
      </c>
      <c r="J3210" s="98" t="s">
        <v>3446</v>
      </c>
    </row>
    <row r="3211" spans="1:10" ht="28.9" customHeight="1" thickTop="1" thickBot="1" x14ac:dyDescent="0.65">
      <c r="A3211" s="3">
        <v>3209</v>
      </c>
      <c r="B3211" s="44" t="str">
        <f>HYPERLINK("https://search.naver.com/search.naver?query=플로라 앤 썬 영화", "플로라 앤 썬")</f>
        <v>플로라 앤 썬</v>
      </c>
      <c r="C3211" s="45">
        <v>7.73</v>
      </c>
      <c r="D3211" s="4" t="s">
        <v>3240</v>
      </c>
      <c r="E3211" s="3" t="s">
        <v>558</v>
      </c>
      <c r="F3211" s="3">
        <v>2023</v>
      </c>
      <c r="G3211" s="3" t="s">
        <v>12</v>
      </c>
      <c r="H3211" s="3" t="s">
        <v>68</v>
      </c>
      <c r="I3211" s="3" t="s">
        <v>124</v>
      </c>
      <c r="J3211" s="97" t="s">
        <v>3446</v>
      </c>
    </row>
    <row r="3212" spans="1:10" ht="28.9" customHeight="1" thickTop="1" thickBot="1" x14ac:dyDescent="0.65">
      <c r="A3212" s="5">
        <v>3210</v>
      </c>
      <c r="B3212" s="46" t="str">
        <f>HYPERLINK("https://search.naver.com/search.naver?query=플로렌스 영화", "플로렌스")</f>
        <v>플로렌스</v>
      </c>
      <c r="C3212" s="47">
        <v>8.59</v>
      </c>
      <c r="D3212" s="6" t="s">
        <v>3241</v>
      </c>
      <c r="E3212" s="5" t="s">
        <v>24</v>
      </c>
      <c r="F3212" s="5">
        <v>2016</v>
      </c>
      <c r="G3212" s="5" t="s">
        <v>12</v>
      </c>
      <c r="H3212" s="5" t="s">
        <v>17</v>
      </c>
      <c r="I3212" s="5" t="s">
        <v>96</v>
      </c>
      <c r="J3212" s="98" t="s">
        <v>3441</v>
      </c>
    </row>
    <row r="3213" spans="1:10" ht="28.9" customHeight="1" thickTop="1" thickBot="1" x14ac:dyDescent="0.65">
      <c r="A3213" s="3">
        <v>3211</v>
      </c>
      <c r="B3213" s="44" t="str">
        <f>HYPERLINK("https://search.naver.com/search.naver?query=플로리스 영화", "플로리스")</f>
        <v>플로리스</v>
      </c>
      <c r="C3213" s="45">
        <v>7.41</v>
      </c>
      <c r="D3213" s="4" t="s">
        <v>3242</v>
      </c>
      <c r="E3213" s="3" t="s">
        <v>24</v>
      </c>
      <c r="F3213" s="3">
        <v>2007</v>
      </c>
      <c r="G3213" s="3" t="s">
        <v>12</v>
      </c>
      <c r="H3213" s="3" t="s">
        <v>277</v>
      </c>
      <c r="I3213" s="3" t="s">
        <v>31</v>
      </c>
      <c r="J3213" s="97" t="s">
        <v>3447</v>
      </c>
    </row>
    <row r="3214" spans="1:10" ht="28.9" customHeight="1" thickTop="1" thickBot="1" x14ac:dyDescent="0.65">
      <c r="A3214" s="5">
        <v>3212</v>
      </c>
      <c r="B3214" s="46" t="str">
        <f>HYPERLINK("https://search.naver.com/search.naver?query=플립 영화", "플립")</f>
        <v>플립</v>
      </c>
      <c r="C3214" s="47">
        <v>9.07</v>
      </c>
      <c r="D3214" s="6" t="s">
        <v>3243</v>
      </c>
      <c r="E3214" s="5" t="s">
        <v>20</v>
      </c>
      <c r="F3214" s="5">
        <v>2010</v>
      </c>
      <c r="G3214" s="5" t="s">
        <v>12</v>
      </c>
      <c r="H3214" s="5" t="s">
        <v>68</v>
      </c>
      <c r="I3214" s="5" t="s">
        <v>115</v>
      </c>
      <c r="J3214" s="98" t="s">
        <v>3455</v>
      </c>
    </row>
    <row r="3215" spans="1:10" ht="28.9" customHeight="1" thickTop="1" thickBot="1" x14ac:dyDescent="0.65">
      <c r="A3215" s="3">
        <v>3213</v>
      </c>
      <c r="B3215" s="44" t="str">
        <f>HYPERLINK("https://search.naver.com/search.naver?query=피그 영화", "피그")</f>
        <v>피그</v>
      </c>
      <c r="C3215" s="45">
        <v>7.89</v>
      </c>
      <c r="D3215" s="4" t="s">
        <v>3244</v>
      </c>
      <c r="E3215" s="3" t="s">
        <v>20</v>
      </c>
      <c r="F3215" s="3">
        <v>2021</v>
      </c>
      <c r="G3215" s="3" t="s">
        <v>12</v>
      </c>
      <c r="H3215" s="3" t="s">
        <v>17</v>
      </c>
      <c r="I3215" s="3" t="s">
        <v>147</v>
      </c>
      <c r="J3215" s="97" t="s">
        <v>3438</v>
      </c>
    </row>
    <row r="3216" spans="1:10" ht="28.9" customHeight="1" thickTop="1" thickBot="1" x14ac:dyDescent="0.65">
      <c r="A3216" s="5">
        <v>3214</v>
      </c>
      <c r="B3216" s="46" t="str">
        <f>HYPERLINK("https://search.naver.com/search.naver?query=피끓는 청춘 영화", "피끓는 청춘")</f>
        <v>피끓는 청춘</v>
      </c>
      <c r="C3216" s="47">
        <v>7.54</v>
      </c>
      <c r="D3216" s="6" t="s">
        <v>3245</v>
      </c>
      <c r="E3216" s="5" t="s">
        <v>11</v>
      </c>
      <c r="F3216" s="5">
        <v>2014</v>
      </c>
      <c r="G3216" s="5" t="s">
        <v>12</v>
      </c>
      <c r="H3216" s="5" t="s">
        <v>68</v>
      </c>
      <c r="I3216" s="5" t="s">
        <v>142</v>
      </c>
      <c r="J3216" s="98" t="s">
        <v>3437</v>
      </c>
    </row>
    <row r="3217" spans="1:10" ht="28.9" customHeight="1" thickTop="1" thickBot="1" x14ac:dyDescent="0.65">
      <c r="A3217" s="3">
        <v>3215</v>
      </c>
      <c r="B3217" s="44" t="str">
        <f>HYPERLINK("https://search.naver.com/search.naver?query=피넛 버터 팔콘 영화", "피넛 버터 팔콘")</f>
        <v>피넛 버터 팔콘</v>
      </c>
      <c r="C3217" s="45">
        <v>7.2</v>
      </c>
      <c r="D3217" s="4" t="s">
        <v>3246</v>
      </c>
      <c r="E3217" s="3" t="s">
        <v>20</v>
      </c>
      <c r="F3217" s="3">
        <v>2019</v>
      </c>
      <c r="G3217" s="3" t="s">
        <v>12</v>
      </c>
      <c r="H3217" s="3" t="s">
        <v>17</v>
      </c>
      <c r="I3217" s="3" t="s">
        <v>124</v>
      </c>
      <c r="J3217" s="97" t="s">
        <v>3444</v>
      </c>
    </row>
    <row r="3218" spans="1:10" ht="28.9" customHeight="1" thickTop="1" thickBot="1" x14ac:dyDescent="0.65">
      <c r="A3218" s="5">
        <v>3216</v>
      </c>
      <c r="B3218" s="46" t="str">
        <f>HYPERLINK("https://search.naver.com/search.naver?query=피메일 에이전트 영화", "피메일 에이전트")</f>
        <v>피메일 에이전트</v>
      </c>
      <c r="C3218" s="47">
        <v>8.16</v>
      </c>
      <c r="D3218" s="6" t="s">
        <v>3247</v>
      </c>
      <c r="E3218" s="5" t="s">
        <v>210</v>
      </c>
      <c r="F3218" s="5">
        <v>2008</v>
      </c>
      <c r="G3218" s="5" t="s">
        <v>12</v>
      </c>
      <c r="H3218" s="5" t="s">
        <v>92</v>
      </c>
      <c r="I3218" s="5" t="s">
        <v>111</v>
      </c>
      <c r="J3218" s="98" t="s">
        <v>3450</v>
      </c>
    </row>
    <row r="3219" spans="1:10" ht="28.9" customHeight="1" thickTop="1" thickBot="1" x14ac:dyDescent="0.65">
      <c r="A3219" s="3">
        <v>3217</v>
      </c>
      <c r="B3219" s="44" t="str">
        <f>HYPERLINK("https://search.naver.com/search.naver?query=피스트 오브 러브 영화", "피스트 오브 러브")</f>
        <v>피스트 오브 러브</v>
      </c>
      <c r="C3219" s="45">
        <v>7.69</v>
      </c>
      <c r="D3219" s="4" t="s">
        <v>3248</v>
      </c>
      <c r="E3219" s="3" t="s">
        <v>20</v>
      </c>
      <c r="F3219" s="3">
        <v>2007</v>
      </c>
      <c r="G3219" s="3" t="s">
        <v>12</v>
      </c>
      <c r="H3219" s="3" t="s">
        <v>17</v>
      </c>
      <c r="I3219" s="3" t="s">
        <v>124</v>
      </c>
      <c r="J3219" s="97" t="s">
        <v>3447</v>
      </c>
    </row>
    <row r="3220" spans="1:10" ht="28.9" customHeight="1" thickTop="1" thickBot="1" x14ac:dyDescent="0.65">
      <c r="A3220" s="5">
        <v>3218</v>
      </c>
      <c r="B3220" s="46" t="str">
        <f>HYPERLINK("https://search.naver.com/search.naver?query=피아니스트의 전설 영화", "피아니스트의 전설")</f>
        <v>피아니스트의 전설</v>
      </c>
      <c r="C3220" s="47">
        <v>8.8800000000000008</v>
      </c>
      <c r="D3220" s="6" t="s">
        <v>3249</v>
      </c>
      <c r="E3220" s="5" t="s">
        <v>1099</v>
      </c>
      <c r="F3220" s="5">
        <v>1998</v>
      </c>
      <c r="G3220" s="5" t="s">
        <v>12</v>
      </c>
      <c r="H3220" s="5" t="s">
        <v>17</v>
      </c>
      <c r="I3220" s="5" t="s">
        <v>1377</v>
      </c>
      <c r="J3220" s="98" t="s">
        <v>3452</v>
      </c>
    </row>
    <row r="3221" spans="1:10" ht="28.9" customHeight="1" thickTop="1" thickBot="1" x14ac:dyDescent="0.65">
      <c r="A3221" s="3">
        <v>3219</v>
      </c>
      <c r="B3221" s="44" t="str">
        <f>HYPERLINK("https://search.naver.com/search.naver?query=피어 오브 레인 영화", "피어 오브 레인")</f>
        <v>피어 오브 레인</v>
      </c>
      <c r="C3221" s="45">
        <v>6.31</v>
      </c>
      <c r="D3221" s="4" t="s">
        <v>3250</v>
      </c>
      <c r="E3221" s="3" t="s">
        <v>20</v>
      </c>
      <c r="F3221" s="3">
        <v>2021</v>
      </c>
      <c r="G3221" s="3" t="s">
        <v>12</v>
      </c>
      <c r="H3221" s="3" t="s">
        <v>43</v>
      </c>
      <c r="I3221" s="3" t="s">
        <v>137</v>
      </c>
      <c r="J3221" s="97" t="s">
        <v>3438</v>
      </c>
    </row>
    <row r="3222" spans="1:10" ht="28.9" customHeight="1" thickTop="1" thickBot="1" x14ac:dyDescent="0.65">
      <c r="A3222" s="5">
        <v>3220</v>
      </c>
      <c r="B3222" s="46" t="str">
        <f>HYPERLINK("https://search.naver.com/search.naver?query=피에타 영화", "피에타")</f>
        <v>피에타</v>
      </c>
      <c r="C3222" s="47">
        <v>7.79</v>
      </c>
      <c r="D3222" s="6" t="s">
        <v>3251</v>
      </c>
      <c r="E3222" s="5" t="s">
        <v>11</v>
      </c>
      <c r="F3222" s="5">
        <v>2012</v>
      </c>
      <c r="G3222" s="5" t="s">
        <v>12</v>
      </c>
      <c r="H3222" s="5" t="s">
        <v>17</v>
      </c>
      <c r="I3222" s="5" t="s">
        <v>170</v>
      </c>
      <c r="J3222" s="98" t="s">
        <v>3439</v>
      </c>
    </row>
    <row r="3223" spans="1:10" ht="28.9" customHeight="1" thickTop="1" thickBot="1" x14ac:dyDescent="0.65">
      <c r="A3223" s="3">
        <v>3221</v>
      </c>
      <c r="B3223" s="44" t="str">
        <f>HYPERLINK("https://search.naver.com/search.naver?query=피의자 사라진 증거 영화", "피의자 - 사라진 증거")</f>
        <v>피의자 - 사라진 증거</v>
      </c>
      <c r="C3223" s="45"/>
      <c r="D3223" s="4" t="s">
        <v>3252</v>
      </c>
      <c r="E3223" s="3" t="s">
        <v>853</v>
      </c>
      <c r="F3223" s="3">
        <v>2014</v>
      </c>
      <c r="G3223" s="3" t="s">
        <v>12</v>
      </c>
      <c r="H3223" s="3" t="s">
        <v>277</v>
      </c>
      <c r="I3223" s="3" t="s">
        <v>111</v>
      </c>
      <c r="J3223" s="97" t="s">
        <v>3437</v>
      </c>
    </row>
    <row r="3224" spans="1:10" ht="28.9" customHeight="1" thickTop="1" thickBot="1" x14ac:dyDescent="0.65">
      <c r="A3224" s="5">
        <v>3222</v>
      </c>
      <c r="B3224" s="46" t="str">
        <f>HYPERLINK("https://search.naver.com/search.naver?query=피치 퍼팩트 영화", "피치 퍼팩트")</f>
        <v>피치 퍼팩트</v>
      </c>
      <c r="C3224" s="47">
        <v>8.58</v>
      </c>
      <c r="D3224" s="6" t="s">
        <v>3253</v>
      </c>
      <c r="E3224" s="5" t="s">
        <v>20</v>
      </c>
      <c r="F3224" s="5">
        <v>2012</v>
      </c>
      <c r="G3224" s="5" t="s">
        <v>12</v>
      </c>
      <c r="H3224" s="5" t="s">
        <v>68</v>
      </c>
      <c r="I3224" s="5" t="s">
        <v>278</v>
      </c>
      <c r="J3224" s="98" t="s">
        <v>3439</v>
      </c>
    </row>
    <row r="3225" spans="1:10" ht="28.9" customHeight="1" thickTop="1" thickBot="1" x14ac:dyDescent="0.65">
      <c r="A3225" s="7">
        <v>3223</v>
      </c>
      <c r="B3225" s="48" t="str">
        <f>HYPERLINK("https://search.naver.com/search.naver?query=피키 블라인더스 시즌1", "피키 블라인더스 시즌1")</f>
        <v>피키 블라인더스 시즌1</v>
      </c>
      <c r="C3225" s="49"/>
      <c r="D3225" s="8" t="s">
        <v>3254</v>
      </c>
      <c r="E3225" s="7" t="s">
        <v>24</v>
      </c>
      <c r="F3225" s="7">
        <v>2013</v>
      </c>
      <c r="G3225" s="7" t="s">
        <v>17</v>
      </c>
      <c r="H3225" s="7" t="s">
        <v>85</v>
      </c>
      <c r="I3225" s="7" t="s">
        <v>173</v>
      </c>
      <c r="J3225" s="99" t="s">
        <v>3451</v>
      </c>
    </row>
    <row r="3226" spans="1:10" ht="28.9" customHeight="1" thickTop="1" thickBot="1" x14ac:dyDescent="0.65">
      <c r="A3226" s="7">
        <v>3224</v>
      </c>
      <c r="B3226" s="48" t="str">
        <f>HYPERLINK("https://search.naver.com/search.naver?query=피키 블라인더스 시즌2", "피키 블라인더스 시즌2")</f>
        <v>피키 블라인더스 시즌2</v>
      </c>
      <c r="C3226" s="49"/>
      <c r="D3226" s="8" t="s">
        <v>3254</v>
      </c>
      <c r="E3226" s="7" t="s">
        <v>24</v>
      </c>
      <c r="F3226" s="7">
        <v>2014</v>
      </c>
      <c r="G3226" s="7" t="s">
        <v>17</v>
      </c>
      <c r="H3226" s="7" t="s">
        <v>85</v>
      </c>
      <c r="I3226" s="7" t="s">
        <v>173</v>
      </c>
      <c r="J3226" s="99" t="s">
        <v>3437</v>
      </c>
    </row>
    <row r="3227" spans="1:10" ht="28.9" customHeight="1" thickTop="1" thickBot="1" x14ac:dyDescent="0.65">
      <c r="A3227" s="7">
        <v>3225</v>
      </c>
      <c r="B3227" s="48" t="str">
        <f>HYPERLINK("https://search.naver.com/search.naver?query=피키 블라인더스 시즌3", "피키 블라인더스 시즌3")</f>
        <v>피키 블라인더스 시즌3</v>
      </c>
      <c r="C3227" s="49"/>
      <c r="D3227" s="8" t="s">
        <v>3254</v>
      </c>
      <c r="E3227" s="7" t="s">
        <v>24</v>
      </c>
      <c r="F3227" s="7">
        <v>2016</v>
      </c>
      <c r="G3227" s="7" t="s">
        <v>17</v>
      </c>
      <c r="H3227" s="7" t="s">
        <v>85</v>
      </c>
      <c r="I3227" s="7" t="s">
        <v>173</v>
      </c>
      <c r="J3227" s="99" t="s">
        <v>3441</v>
      </c>
    </row>
    <row r="3228" spans="1:10" ht="28.9" customHeight="1" thickTop="1" thickBot="1" x14ac:dyDescent="0.65">
      <c r="A3228" s="7">
        <v>3226</v>
      </c>
      <c r="B3228" s="48" t="str">
        <f>HYPERLINK("https://search.naver.com/search.naver?query=피키 블라인더스 시즌4", "피키 블라인더스 시즌4")</f>
        <v>피키 블라인더스 시즌4</v>
      </c>
      <c r="C3228" s="49"/>
      <c r="D3228" s="8" t="s">
        <v>3254</v>
      </c>
      <c r="E3228" s="7" t="s">
        <v>24</v>
      </c>
      <c r="F3228" s="7">
        <v>2017</v>
      </c>
      <c r="G3228" s="7" t="s">
        <v>17</v>
      </c>
      <c r="H3228" s="7" t="s">
        <v>85</v>
      </c>
      <c r="I3228" s="7" t="s">
        <v>173</v>
      </c>
      <c r="J3228" s="99" t="s">
        <v>3443</v>
      </c>
    </row>
    <row r="3229" spans="1:10" ht="28.9" customHeight="1" thickTop="1" thickBot="1" x14ac:dyDescent="0.65">
      <c r="A3229" s="7">
        <v>3227</v>
      </c>
      <c r="B3229" s="48" t="str">
        <f>HYPERLINK("https://search.naver.com/search.naver?query=피키 블라인더스 시즌5", "피키 블라인더스 시즌5")</f>
        <v>피키 블라인더스 시즌5</v>
      </c>
      <c r="C3229" s="49"/>
      <c r="D3229" s="8" t="s">
        <v>3254</v>
      </c>
      <c r="E3229" s="7" t="s">
        <v>24</v>
      </c>
      <c r="F3229" s="7">
        <v>2019</v>
      </c>
      <c r="G3229" s="7" t="s">
        <v>17</v>
      </c>
      <c r="H3229" s="7" t="s">
        <v>85</v>
      </c>
      <c r="I3229" s="7" t="s">
        <v>173</v>
      </c>
      <c r="J3229" s="99" t="s">
        <v>3444</v>
      </c>
    </row>
    <row r="3230" spans="1:10" ht="28.9" customHeight="1" thickTop="1" thickBot="1" x14ac:dyDescent="0.65">
      <c r="A3230" s="7">
        <v>3228</v>
      </c>
      <c r="B3230" s="48" t="str">
        <f>HYPERLINK("https://search.naver.com/search.naver?query=피키 블라인더스 시즌6", "피키 블라인더스 시즌6")</f>
        <v>피키 블라인더스 시즌6</v>
      </c>
      <c r="C3230" s="49"/>
      <c r="D3230" s="8" t="s">
        <v>3255</v>
      </c>
      <c r="E3230" s="7" t="s">
        <v>24</v>
      </c>
      <c r="F3230" s="7">
        <v>2022</v>
      </c>
      <c r="G3230" s="7" t="s">
        <v>17</v>
      </c>
      <c r="H3230" s="7" t="s">
        <v>85</v>
      </c>
      <c r="I3230" s="7" t="s">
        <v>173</v>
      </c>
      <c r="J3230" s="99" t="s">
        <v>3445</v>
      </c>
    </row>
    <row r="3231" spans="1:10" ht="28.9" customHeight="1" thickTop="1" thickBot="1" x14ac:dyDescent="0.65">
      <c r="A3231" s="3">
        <v>3229</v>
      </c>
      <c r="B3231" s="44" t="str">
        <f>HYPERLINK("https://search.naver.com/search.naver?query=피플 라이크 어스 영화", "피플 라이크 어스")</f>
        <v>피플 라이크 어스</v>
      </c>
      <c r="C3231" s="45">
        <v>6.4</v>
      </c>
      <c r="D3231" s="4" t="s">
        <v>3256</v>
      </c>
      <c r="E3231" s="3" t="s">
        <v>20</v>
      </c>
      <c r="F3231" s="3">
        <v>2012</v>
      </c>
      <c r="G3231" s="3" t="s">
        <v>12</v>
      </c>
      <c r="H3231" s="3" t="s">
        <v>17</v>
      </c>
      <c r="I3231" s="3" t="s">
        <v>207</v>
      </c>
      <c r="J3231" s="97" t="s">
        <v>3439</v>
      </c>
    </row>
    <row r="3232" spans="1:10" ht="28.9" customHeight="1" thickTop="1" thickBot="1" x14ac:dyDescent="0.65">
      <c r="A3232" s="5">
        <v>3230</v>
      </c>
      <c r="B3232" s="46" t="str">
        <f>HYPERLINK("https://search.naver.com/search.naver?query=픽포켓 영화", "픽포켓")</f>
        <v>픽포켓</v>
      </c>
      <c r="C3232" s="47">
        <v>7.94</v>
      </c>
      <c r="D3232" s="6" t="s">
        <v>3513</v>
      </c>
      <c r="E3232" s="5" t="s">
        <v>3488</v>
      </c>
      <c r="F3232" s="5">
        <v>2013</v>
      </c>
      <c r="G3232" s="5" t="s">
        <v>12</v>
      </c>
      <c r="H3232" s="5" t="s">
        <v>3511</v>
      </c>
      <c r="I3232" s="5" t="s">
        <v>3512</v>
      </c>
      <c r="J3232" s="98">
        <v>41639</v>
      </c>
    </row>
    <row r="3233" spans="1:10" ht="28.9" customHeight="1" thickTop="1" thickBot="1" x14ac:dyDescent="0.65">
      <c r="A3233" s="3">
        <v>3231</v>
      </c>
      <c r="B3233" s="44" t="str">
        <f>HYPERLINK("https://search.naver.com/search.naver?query=핀치 영화", "핀치")</f>
        <v>핀치</v>
      </c>
      <c r="C3233" s="45">
        <v>9.01</v>
      </c>
      <c r="D3233" s="4" t="s">
        <v>3257</v>
      </c>
      <c r="E3233" s="3" t="s">
        <v>20</v>
      </c>
      <c r="F3233" s="3">
        <v>2021</v>
      </c>
      <c r="G3233" s="3" t="s">
        <v>12</v>
      </c>
      <c r="H3233" s="3" t="s">
        <v>520</v>
      </c>
      <c r="I3233" s="3" t="s">
        <v>47</v>
      </c>
      <c r="J3233" s="97" t="s">
        <v>3438</v>
      </c>
    </row>
    <row r="3234" spans="1:10" ht="28.9" customHeight="1" thickTop="1" thickBot="1" x14ac:dyDescent="0.65">
      <c r="A3234" s="5">
        <v>3232</v>
      </c>
      <c r="B3234" s="46" t="str">
        <f>HYPERLINK("https://search.naver.com/search.naver?query=필라델피아 영화", "필라델피아")</f>
        <v>필라델피아</v>
      </c>
      <c r="C3234" s="47">
        <v>8.43</v>
      </c>
      <c r="D3234" s="6" t="s">
        <v>3258</v>
      </c>
      <c r="E3234" s="5" t="s">
        <v>20</v>
      </c>
      <c r="F3234" s="5">
        <v>1993</v>
      </c>
      <c r="G3234" s="5" t="s">
        <v>12</v>
      </c>
      <c r="H3234" s="5" t="s">
        <v>17</v>
      </c>
      <c r="I3234" s="5" t="s">
        <v>214</v>
      </c>
      <c r="J3234" s="98" t="s">
        <v>3469</v>
      </c>
    </row>
    <row r="3235" spans="1:10" ht="28.9" customHeight="1" thickTop="1" thickBot="1" x14ac:dyDescent="0.65">
      <c r="A3235" s="3">
        <v>3233</v>
      </c>
      <c r="B3235" s="44" t="str">
        <f>HYPERLINK("https://search.naver.com/search.naver?query=필로미나의 기적 영화", "필로미나의 기적")</f>
        <v>필로미나의 기적</v>
      </c>
      <c r="C3235" s="45">
        <v>8.6300000000000008</v>
      </c>
      <c r="D3235" s="4" t="s">
        <v>3259</v>
      </c>
      <c r="E3235" s="3" t="s">
        <v>24</v>
      </c>
      <c r="F3235" s="3">
        <v>2013</v>
      </c>
      <c r="G3235" s="3" t="s">
        <v>12</v>
      </c>
      <c r="H3235" s="3" t="s">
        <v>17</v>
      </c>
      <c r="I3235" s="3" t="s">
        <v>14</v>
      </c>
      <c r="J3235" s="97" t="s">
        <v>3451</v>
      </c>
    </row>
    <row r="3236" spans="1:10" ht="28.9" customHeight="1" thickTop="1" thickBot="1" x14ac:dyDescent="0.65">
      <c r="A3236" s="5">
        <v>3234</v>
      </c>
      <c r="B3236" s="46" t="str">
        <f>HYPERLINK("https://search.naver.com/search.naver?query=필름스타 인 리버풀 영화", "필름스타 인 리버풀")</f>
        <v>필름스타 인 리버풀</v>
      </c>
      <c r="C3236" s="47">
        <v>8.09</v>
      </c>
      <c r="D3236" s="6" t="s">
        <v>3260</v>
      </c>
      <c r="E3236" s="5" t="s">
        <v>24</v>
      </c>
      <c r="F3236" s="5">
        <v>2017</v>
      </c>
      <c r="G3236" s="5" t="s">
        <v>12</v>
      </c>
      <c r="H3236" s="5" t="s">
        <v>17</v>
      </c>
      <c r="I3236" s="5" t="s">
        <v>128</v>
      </c>
      <c r="J3236" s="98" t="s">
        <v>3443</v>
      </c>
    </row>
    <row r="3237" spans="1:10" ht="28.9" customHeight="1" thickTop="1" thickBot="1" x14ac:dyDescent="0.65">
      <c r="A3237" s="3">
        <v>3235</v>
      </c>
      <c r="B3237" s="44" t="str">
        <f>HYPERLINK("https://search.naver.com/search.naver?query=핑크와 그레이 영화", "핑크와 그레이")</f>
        <v>핑크와 그레이</v>
      </c>
      <c r="C3237" s="45"/>
      <c r="D3237" s="4" t="s">
        <v>3261</v>
      </c>
      <c r="E3237" s="3" t="s">
        <v>16</v>
      </c>
      <c r="F3237" s="3">
        <v>2015</v>
      </c>
      <c r="G3237" s="3" t="s">
        <v>12</v>
      </c>
      <c r="H3237" s="3" t="s">
        <v>17</v>
      </c>
      <c r="I3237" s="3" t="s">
        <v>111</v>
      </c>
      <c r="J3237" s="97" t="s">
        <v>3440</v>
      </c>
    </row>
    <row r="3238" spans="1:10" ht="28.9" customHeight="1" thickTop="1" thickBot="1" x14ac:dyDescent="0.65">
      <c r="A3238" s="5">
        <v>3236</v>
      </c>
      <c r="B3238" s="46" t="str">
        <f>HYPERLINK("https://search.naver.com/search.naver?query=하나레이 베이 영화", "하나레이 베이")</f>
        <v>하나레이 베이</v>
      </c>
      <c r="C3238" s="47">
        <v>7.89</v>
      </c>
      <c r="D3238" s="6" t="s">
        <v>3262</v>
      </c>
      <c r="E3238" s="5" t="s">
        <v>16</v>
      </c>
      <c r="F3238" s="5">
        <v>2018</v>
      </c>
      <c r="G3238" s="5" t="s">
        <v>12</v>
      </c>
      <c r="H3238" s="5" t="s">
        <v>17</v>
      </c>
      <c r="I3238" s="5" t="s">
        <v>111</v>
      </c>
      <c r="J3238" s="98" t="s">
        <v>3442</v>
      </c>
    </row>
    <row r="3239" spans="1:10" ht="28.9" customHeight="1" thickTop="1" thickBot="1" x14ac:dyDescent="0.65">
      <c r="A3239" s="3">
        <v>3237</v>
      </c>
      <c r="B3239" s="44" t="str">
        <f>HYPERLINK("https://search.naver.com/search.naver?query=하나와 미소시루 영화", "하나와 미소시루")</f>
        <v>하나와 미소시루</v>
      </c>
      <c r="C3239" s="45">
        <v>8.8000000000000007</v>
      </c>
      <c r="D3239" s="4" t="s">
        <v>3263</v>
      </c>
      <c r="E3239" s="3" t="s">
        <v>16</v>
      </c>
      <c r="F3239" s="3">
        <v>2015</v>
      </c>
      <c r="G3239" s="3" t="s">
        <v>12</v>
      </c>
      <c r="H3239" s="3" t="s">
        <v>17</v>
      </c>
      <c r="I3239" s="3" t="s">
        <v>111</v>
      </c>
      <c r="J3239" s="97" t="s">
        <v>3440</v>
      </c>
    </row>
    <row r="3240" spans="1:10" ht="28.9" customHeight="1" thickTop="1" thickBot="1" x14ac:dyDescent="0.65">
      <c r="A3240" s="5">
        <v>3238</v>
      </c>
      <c r="B3240" s="46" t="str">
        <f>HYPERLINK("https://search.naver.com/search.naver?query=하나와 앨리스 영화", "하나와 앨리스")</f>
        <v>하나와 앨리스</v>
      </c>
      <c r="C3240" s="47">
        <v>9.17</v>
      </c>
      <c r="D3240" s="6" t="s">
        <v>3264</v>
      </c>
      <c r="E3240" s="5" t="s">
        <v>16</v>
      </c>
      <c r="F3240" s="5">
        <v>2004</v>
      </c>
      <c r="G3240" s="5" t="s">
        <v>12</v>
      </c>
      <c r="H3240" s="5" t="s">
        <v>17</v>
      </c>
      <c r="I3240" s="5" t="s">
        <v>41</v>
      </c>
      <c r="J3240" s="98" t="s">
        <v>3462</v>
      </c>
    </row>
    <row r="3241" spans="1:10" ht="28.9" customHeight="1" thickTop="1" thickBot="1" x14ac:dyDescent="0.65">
      <c r="A3241" s="3">
        <v>3239</v>
      </c>
      <c r="B3241" s="44" t="str">
        <f>HYPERLINK("https://search.naver.com/search.naver?query=하늘 높이 영화", "하늘 높이")</f>
        <v>하늘 높이</v>
      </c>
      <c r="C3241" s="45">
        <v>6.4</v>
      </c>
      <c r="D3241" s="4" t="s">
        <v>3265</v>
      </c>
      <c r="E3241" s="3" t="s">
        <v>30</v>
      </c>
      <c r="F3241" s="3">
        <v>2014</v>
      </c>
      <c r="G3241" s="3" t="s">
        <v>12</v>
      </c>
      <c r="H3241" s="3" t="s">
        <v>17</v>
      </c>
      <c r="I3241" s="3" t="s">
        <v>124</v>
      </c>
      <c r="J3241" s="97" t="s">
        <v>3437</v>
      </c>
    </row>
    <row r="3242" spans="1:10" ht="28.9" customHeight="1" thickTop="1" thickBot="1" x14ac:dyDescent="0.65">
      <c r="A3242" s="5">
        <v>3240</v>
      </c>
      <c r="B3242" s="46" t="str">
        <f>HYPERLINK("https://search.naver.com/search.naver?query=하늘과 땅 영화", "하늘과 땅")</f>
        <v>하늘과 땅</v>
      </c>
      <c r="C3242" s="47">
        <v>8.9</v>
      </c>
      <c r="D3242" s="6" t="s">
        <v>3266</v>
      </c>
      <c r="E3242" s="5" t="s">
        <v>210</v>
      </c>
      <c r="F3242" s="5">
        <v>1993</v>
      </c>
      <c r="G3242" s="5" t="s">
        <v>12</v>
      </c>
      <c r="H3242" s="5" t="s">
        <v>17</v>
      </c>
      <c r="I3242" s="5" t="s">
        <v>550</v>
      </c>
      <c r="J3242" s="98" t="s">
        <v>3469</v>
      </c>
    </row>
    <row r="3243" spans="1:10" ht="28.9" customHeight="1" thickTop="1" thickBot="1" x14ac:dyDescent="0.65">
      <c r="A3243" s="3">
        <v>3241</v>
      </c>
      <c r="B3243" s="44" t="str">
        <f>HYPERLINK("https://search.naver.com/search.naver?query=하늘에서 온 엽서 영화", "하늘에서 온 엽서")</f>
        <v>하늘에서 온 엽서</v>
      </c>
      <c r="C3243" s="45">
        <v>6.4</v>
      </c>
      <c r="D3243" s="4" t="s">
        <v>3267</v>
      </c>
      <c r="E3243" s="3" t="s">
        <v>20</v>
      </c>
      <c r="F3243" s="3">
        <v>1992</v>
      </c>
      <c r="G3243" s="3" t="s">
        <v>12</v>
      </c>
      <c r="H3243" s="3" t="s">
        <v>17</v>
      </c>
      <c r="I3243" s="3" t="s">
        <v>207</v>
      </c>
      <c r="J3243" s="97" t="s">
        <v>3473</v>
      </c>
    </row>
    <row r="3244" spans="1:10" ht="28.9" customHeight="1" thickTop="1" thickBot="1" x14ac:dyDescent="0.65">
      <c r="A3244" s="5">
        <v>3242</v>
      </c>
      <c r="B3244" s="46" t="str">
        <f>HYPERLINK("https://search.naver.com/search.naver?query=하늘을 걷는 남자 영화", "하늘을 걷는 남자")</f>
        <v>하늘을 걷는 남자</v>
      </c>
      <c r="C3244" s="47">
        <v>8.5</v>
      </c>
      <c r="D3244" s="6" t="s">
        <v>3268</v>
      </c>
      <c r="E3244" s="5" t="s">
        <v>16</v>
      </c>
      <c r="F3244" s="5">
        <v>2015</v>
      </c>
      <c r="G3244" s="5" t="s">
        <v>12</v>
      </c>
      <c r="H3244" s="5" t="s">
        <v>17</v>
      </c>
      <c r="I3244" s="5" t="s">
        <v>111</v>
      </c>
      <c r="J3244" s="98" t="s">
        <v>3440</v>
      </c>
    </row>
    <row r="3245" spans="1:10" ht="28.9" customHeight="1" thickTop="1" thickBot="1" x14ac:dyDescent="0.65">
      <c r="A3245" s="3">
        <v>3243</v>
      </c>
      <c r="B3245" s="44" t="str">
        <f>HYPERLINK("https://search.naver.com/search.naver?query=하늘이 보내준 딸 영화", "하늘이 보내준 딸")</f>
        <v>하늘이 보내준 딸</v>
      </c>
      <c r="C3245" s="45">
        <v>8.65</v>
      </c>
      <c r="D3245" s="4" t="s">
        <v>3269</v>
      </c>
      <c r="E3245" s="3" t="s">
        <v>361</v>
      </c>
      <c r="F3245" s="3">
        <v>2012</v>
      </c>
      <c r="G3245" s="3" t="s">
        <v>12</v>
      </c>
      <c r="H3245" s="3" t="s">
        <v>525</v>
      </c>
      <c r="I3245" s="3" t="s">
        <v>47</v>
      </c>
      <c r="J3245" s="97" t="s">
        <v>3439</v>
      </c>
    </row>
    <row r="3246" spans="1:10" ht="28.9" customHeight="1" thickTop="1" thickBot="1" x14ac:dyDescent="0.65">
      <c r="A3246" s="5">
        <v>3244</v>
      </c>
      <c r="B3246" s="46" t="str">
        <f>HYPERLINK("https://search.naver.com/search.naver?query=하드 레인 영화", "하드 레인")</f>
        <v>하드 레인</v>
      </c>
      <c r="C3246" s="47">
        <v>7.95</v>
      </c>
      <c r="D3246" s="6" t="s">
        <v>3270</v>
      </c>
      <c r="E3246" s="5" t="s">
        <v>20</v>
      </c>
      <c r="F3246" s="5">
        <v>1998</v>
      </c>
      <c r="G3246" s="5" t="s">
        <v>12</v>
      </c>
      <c r="H3246" s="5" t="s">
        <v>92</v>
      </c>
      <c r="I3246" s="5" t="s">
        <v>124</v>
      </c>
      <c r="J3246" s="98" t="s">
        <v>3452</v>
      </c>
    </row>
    <row r="3247" spans="1:10" ht="28.9" customHeight="1" thickTop="1" thickBot="1" x14ac:dyDescent="0.65">
      <c r="A3247" s="3">
        <v>3245</v>
      </c>
      <c r="B3247" s="44" t="str">
        <f>HYPERLINK("https://search.naver.com/search.naver?query=하드데이 영화", "하드데이")</f>
        <v>하드데이</v>
      </c>
      <c r="C3247" s="45">
        <v>6.3</v>
      </c>
      <c r="D3247" s="4" t="s">
        <v>3271</v>
      </c>
      <c r="E3247" s="3" t="s">
        <v>20</v>
      </c>
      <c r="F3247" s="3">
        <v>2014</v>
      </c>
      <c r="G3247" s="3" t="s">
        <v>12</v>
      </c>
      <c r="H3247" s="3" t="s">
        <v>92</v>
      </c>
      <c r="I3247" s="3" t="s">
        <v>131</v>
      </c>
      <c r="J3247" s="97" t="s">
        <v>3437</v>
      </c>
    </row>
    <row r="3248" spans="1:10" ht="28.9" customHeight="1" thickTop="1" thickBot="1" x14ac:dyDescent="0.65">
      <c r="A3248" s="5">
        <v>3246</v>
      </c>
      <c r="B3248" s="46" t="str">
        <f>HYPERLINK("https://search.naver.com/search.naver?query=하모니움 영화", "하모니움")</f>
        <v>하모니움</v>
      </c>
      <c r="C3248" s="47">
        <v>6.4</v>
      </c>
      <c r="D3248" s="6" t="s">
        <v>3272</v>
      </c>
      <c r="E3248" s="5" t="s">
        <v>16</v>
      </c>
      <c r="F3248" s="5">
        <v>2016</v>
      </c>
      <c r="G3248" s="5" t="s">
        <v>12</v>
      </c>
      <c r="H3248" s="5" t="s">
        <v>17</v>
      </c>
      <c r="I3248" s="5" t="s">
        <v>53</v>
      </c>
      <c r="J3248" s="98" t="s">
        <v>3441</v>
      </c>
    </row>
    <row r="3249" spans="1:10" ht="28.9" customHeight="1" thickTop="1" thickBot="1" x14ac:dyDescent="0.65">
      <c r="A3249" s="3">
        <v>3247</v>
      </c>
      <c r="B3249" s="44" t="str">
        <f>HYPERLINK("https://search.naver.com/search.naver?query=하비의 마지막 로맨스 영화", "하비의 마지막 로맨스")</f>
        <v>하비의 마지막 로맨스</v>
      </c>
      <c r="C3249" s="45">
        <v>8.7899999999999991</v>
      </c>
      <c r="D3249" s="4" t="s">
        <v>3273</v>
      </c>
      <c r="E3249" s="3" t="s">
        <v>20</v>
      </c>
      <c r="F3249" s="3">
        <v>2008</v>
      </c>
      <c r="G3249" s="3" t="s">
        <v>12</v>
      </c>
      <c r="H3249" s="3" t="s">
        <v>68</v>
      </c>
      <c r="I3249" s="3" t="s">
        <v>111</v>
      </c>
      <c r="J3249" s="97" t="s">
        <v>3450</v>
      </c>
    </row>
    <row r="3250" spans="1:10" ht="28.9" customHeight="1" thickTop="1" thickBot="1" x14ac:dyDescent="0.65">
      <c r="A3250" s="5">
        <v>3248</v>
      </c>
      <c r="B3250" s="46" t="str">
        <f>HYPERLINK("https://search.naver.com/search.naver?query=하와이언 레시피 영화", "하와이언 레시피")</f>
        <v>하와이언 레시피</v>
      </c>
      <c r="C3250" s="47">
        <v>8.1</v>
      </c>
      <c r="D3250" s="6" t="s">
        <v>3274</v>
      </c>
      <c r="E3250" s="5" t="s">
        <v>16</v>
      </c>
      <c r="F3250" s="5">
        <v>2009</v>
      </c>
      <c r="G3250" s="5" t="s">
        <v>12</v>
      </c>
      <c r="H3250" s="5" t="s">
        <v>17</v>
      </c>
      <c r="I3250" s="5" t="s">
        <v>111</v>
      </c>
      <c r="J3250" s="98" t="s">
        <v>3453</v>
      </c>
    </row>
    <row r="3251" spans="1:10" ht="28.9" customHeight="1" thickTop="1" thickBot="1" x14ac:dyDescent="0.65">
      <c r="A3251" s="3">
        <v>3249</v>
      </c>
      <c r="B3251" s="44" t="str">
        <f>HYPERLINK("https://search.naver.com/search.naver?query=하우 투 비 싱글 영화", "하우 투 비 싱글")</f>
        <v>하우 투 비 싱글</v>
      </c>
      <c r="C3251" s="45">
        <v>9.1999999999999993</v>
      </c>
      <c r="D3251" s="4" t="s">
        <v>3275</v>
      </c>
      <c r="E3251" s="3" t="s">
        <v>20</v>
      </c>
      <c r="F3251" s="3">
        <v>2016</v>
      </c>
      <c r="G3251" s="3" t="s">
        <v>12</v>
      </c>
      <c r="H3251" s="3" t="s">
        <v>68</v>
      </c>
      <c r="I3251" s="3" t="s">
        <v>96</v>
      </c>
      <c r="J3251" s="97" t="s">
        <v>3441</v>
      </c>
    </row>
    <row r="3252" spans="1:10" ht="28.9" customHeight="1" thickTop="1" thickBot="1" x14ac:dyDescent="0.65">
      <c r="A3252" s="5">
        <v>3250</v>
      </c>
      <c r="B3252" s="46" t="str">
        <f>HYPERLINK("https://search.naver.com/search.naver?query=하우스 오브 구찌 영화", "하우스 오브 구찌")</f>
        <v>하우스 오브 구찌</v>
      </c>
      <c r="C3252" s="47">
        <v>7.7</v>
      </c>
      <c r="D3252" s="6" t="s">
        <v>3276</v>
      </c>
      <c r="E3252" s="5" t="s">
        <v>20</v>
      </c>
      <c r="F3252" s="5">
        <v>2021</v>
      </c>
      <c r="G3252" s="5" t="s">
        <v>12</v>
      </c>
      <c r="H3252" s="5" t="s">
        <v>17</v>
      </c>
      <c r="I3252" s="5" t="s">
        <v>533</v>
      </c>
      <c r="J3252" s="98" t="s">
        <v>3438</v>
      </c>
    </row>
    <row r="3253" spans="1:10" ht="28.9" customHeight="1" thickTop="1" thickBot="1" x14ac:dyDescent="0.65">
      <c r="A3253" s="3">
        <v>3251</v>
      </c>
      <c r="B3253" s="44" t="str">
        <f>HYPERLINK("https://search.naver.com/search.naver?query=하우스 오브 다이너마이트 영화", "하우스 오브 다이너마이트")</f>
        <v>하우스 오브 다이너마이트</v>
      </c>
      <c r="C3253" s="45">
        <v>7.36</v>
      </c>
      <c r="D3253" s="4" t="s">
        <v>3277</v>
      </c>
      <c r="E3253" s="3" t="s">
        <v>20</v>
      </c>
      <c r="F3253" s="3">
        <v>2025</v>
      </c>
      <c r="G3253" s="3" t="s">
        <v>12</v>
      </c>
      <c r="H3253" s="3" t="s">
        <v>92</v>
      </c>
      <c r="I3253" s="3" t="s">
        <v>131</v>
      </c>
      <c r="J3253" s="97" t="s">
        <v>3459</v>
      </c>
    </row>
    <row r="3254" spans="1:10" ht="28.9" customHeight="1" thickTop="1" thickBot="1" x14ac:dyDescent="0.65">
      <c r="A3254" s="7">
        <v>3252</v>
      </c>
      <c r="B3254" s="48" t="str">
        <f>HYPERLINK("https://search.naver.com/search.naver?query=하우스 오브 드래곤 시즌1", "하우스 오브 드래곤 시즌1")</f>
        <v>하우스 오브 드래곤 시즌1</v>
      </c>
      <c r="C3254" s="49"/>
      <c r="D3254" s="8" t="s">
        <v>3278</v>
      </c>
      <c r="E3254" s="7" t="s">
        <v>20</v>
      </c>
      <c r="F3254" s="7">
        <v>2022</v>
      </c>
      <c r="G3254" s="7" t="s">
        <v>17</v>
      </c>
      <c r="H3254" s="7" t="s">
        <v>414</v>
      </c>
      <c r="I3254" s="7" t="s">
        <v>50</v>
      </c>
      <c r="J3254" s="99" t="s">
        <v>3445</v>
      </c>
    </row>
    <row r="3255" spans="1:10" ht="28.9" customHeight="1" thickTop="1" thickBot="1" x14ac:dyDescent="0.65">
      <c r="A3255" s="7">
        <v>3253</v>
      </c>
      <c r="B3255" s="48" t="str">
        <f>HYPERLINK("https://search.naver.com/search.naver?query=하우스 오브 아울 드라마", "하우스 오브 아울")</f>
        <v>하우스 오브 아울</v>
      </c>
      <c r="C3255" s="49"/>
      <c r="D3255" s="8" t="s">
        <v>3279</v>
      </c>
      <c r="E3255" s="7" t="s">
        <v>16</v>
      </c>
      <c r="F3255" s="7">
        <v>2024</v>
      </c>
      <c r="G3255" s="7" t="s">
        <v>17</v>
      </c>
      <c r="H3255" s="7" t="s">
        <v>17</v>
      </c>
      <c r="I3255" s="7" t="s">
        <v>50</v>
      </c>
      <c r="J3255" s="99" t="s">
        <v>3448</v>
      </c>
    </row>
    <row r="3256" spans="1:10" ht="28.9" customHeight="1" thickTop="1" thickBot="1" x14ac:dyDescent="0.65">
      <c r="A3256" s="7">
        <v>3254</v>
      </c>
      <c r="B3256" s="48" t="str">
        <f>HYPERLINK("https://search.naver.com/search.naver?query=하우스 오브 카드 시즌1", "하우스 오브 카드 시즌1")</f>
        <v>하우스 오브 카드 시즌1</v>
      </c>
      <c r="C3256" s="49"/>
      <c r="D3256" s="8" t="s">
        <v>3280</v>
      </c>
      <c r="E3256" s="7" t="s">
        <v>20</v>
      </c>
      <c r="F3256" s="7">
        <v>2013</v>
      </c>
      <c r="G3256" s="7" t="s">
        <v>17</v>
      </c>
      <c r="H3256" s="7" t="s">
        <v>17</v>
      </c>
      <c r="I3256" s="7" t="s">
        <v>645</v>
      </c>
      <c r="J3256" s="99" t="s">
        <v>3451</v>
      </c>
    </row>
    <row r="3257" spans="1:10" ht="28.9" customHeight="1" thickTop="1" thickBot="1" x14ac:dyDescent="0.65">
      <c r="A3257" s="7">
        <v>3255</v>
      </c>
      <c r="B3257" s="48" t="str">
        <f>HYPERLINK("https://search.naver.com/search.naver?query=하우스 오브 카드 시즌2", "하우스 오브 카드 시즌2")</f>
        <v>하우스 오브 카드 시즌2</v>
      </c>
      <c r="C3257" s="49"/>
      <c r="D3257" s="8" t="s">
        <v>3280</v>
      </c>
      <c r="E3257" s="7" t="s">
        <v>20</v>
      </c>
      <c r="F3257" s="7">
        <v>2014</v>
      </c>
      <c r="G3257" s="7" t="s">
        <v>17</v>
      </c>
      <c r="H3257" s="7" t="s">
        <v>17</v>
      </c>
      <c r="I3257" s="7" t="s">
        <v>645</v>
      </c>
      <c r="J3257" s="99" t="s">
        <v>3437</v>
      </c>
    </row>
    <row r="3258" spans="1:10" ht="28.9" customHeight="1" thickTop="1" thickBot="1" x14ac:dyDescent="0.65">
      <c r="A3258" s="7">
        <v>3256</v>
      </c>
      <c r="B3258" s="48" t="str">
        <f>HYPERLINK("https://search.naver.com/search.naver?query=하우스 오브 카드 시즌3", "하우스 오브 카드 시즌3")</f>
        <v>하우스 오브 카드 시즌3</v>
      </c>
      <c r="C3258" s="49"/>
      <c r="D3258" s="8" t="s">
        <v>3280</v>
      </c>
      <c r="E3258" s="7" t="s">
        <v>20</v>
      </c>
      <c r="F3258" s="7">
        <v>2015</v>
      </c>
      <c r="G3258" s="7" t="s">
        <v>17</v>
      </c>
      <c r="H3258" s="7" t="s">
        <v>17</v>
      </c>
      <c r="I3258" s="7" t="s">
        <v>645</v>
      </c>
      <c r="J3258" s="99" t="s">
        <v>3440</v>
      </c>
    </row>
    <row r="3259" spans="1:10" ht="28.9" customHeight="1" thickTop="1" thickBot="1" x14ac:dyDescent="0.65">
      <c r="A3259" s="7">
        <v>3257</v>
      </c>
      <c r="B3259" s="48" t="str">
        <f>HYPERLINK("https://search.naver.com/search.naver?query=하우스 오브 카드 시즌4", "하우스 오브 카드 시즌4")</f>
        <v>하우스 오브 카드 시즌4</v>
      </c>
      <c r="C3259" s="49"/>
      <c r="D3259" s="8" t="s">
        <v>3280</v>
      </c>
      <c r="E3259" s="7" t="s">
        <v>20</v>
      </c>
      <c r="F3259" s="7">
        <v>2016</v>
      </c>
      <c r="G3259" s="7" t="s">
        <v>17</v>
      </c>
      <c r="H3259" s="7" t="s">
        <v>17</v>
      </c>
      <c r="I3259" s="7" t="s">
        <v>645</v>
      </c>
      <c r="J3259" s="99" t="s">
        <v>3441</v>
      </c>
    </row>
    <row r="3260" spans="1:10" ht="28.9" customHeight="1" thickTop="1" thickBot="1" x14ac:dyDescent="0.65">
      <c r="A3260" s="7">
        <v>3258</v>
      </c>
      <c r="B3260" s="48" t="str">
        <f>HYPERLINK("https://search.naver.com/search.naver?query=하우스 오브 카드 시즌5", "하우스 오브 카드 시즌5")</f>
        <v>하우스 오브 카드 시즌5</v>
      </c>
      <c r="C3260" s="49"/>
      <c r="D3260" s="8" t="s">
        <v>3280</v>
      </c>
      <c r="E3260" s="7" t="s">
        <v>20</v>
      </c>
      <c r="F3260" s="7">
        <v>2017</v>
      </c>
      <c r="G3260" s="7" t="s">
        <v>17</v>
      </c>
      <c r="H3260" s="7" t="s">
        <v>17</v>
      </c>
      <c r="I3260" s="7" t="s">
        <v>645</v>
      </c>
      <c r="J3260" s="99" t="s">
        <v>3443</v>
      </c>
    </row>
    <row r="3261" spans="1:10" ht="28.9" customHeight="1" thickTop="1" thickBot="1" x14ac:dyDescent="0.65">
      <c r="A3261" s="7">
        <v>3259</v>
      </c>
      <c r="B3261" s="48" t="str">
        <f>HYPERLINK("https://search.naver.com/search.naver?query=하우스 오브 카드 시즌6", "하우스 오브 카드 시즌6")</f>
        <v>하우스 오브 카드 시즌6</v>
      </c>
      <c r="C3261" s="49"/>
      <c r="D3261" s="8" t="s">
        <v>3280</v>
      </c>
      <c r="E3261" s="7" t="s">
        <v>20</v>
      </c>
      <c r="F3261" s="7">
        <v>2018</v>
      </c>
      <c r="G3261" s="7" t="s">
        <v>17</v>
      </c>
      <c r="H3261" s="7" t="s">
        <v>17</v>
      </c>
      <c r="I3261" s="7" t="s">
        <v>55</v>
      </c>
      <c r="J3261" s="99" t="s">
        <v>3442</v>
      </c>
    </row>
    <row r="3262" spans="1:10" ht="28.9" customHeight="1" thickTop="1" thickBot="1" x14ac:dyDescent="0.65">
      <c r="A3262" s="5">
        <v>3260</v>
      </c>
      <c r="B3262" s="46" t="str">
        <f>HYPERLINK("https://search.naver.com/search.naver?query=하우스 오브 투모로우 영화", "하우스 오브 투모로우")</f>
        <v>하우스 오브 투모로우</v>
      </c>
      <c r="C3262" s="47">
        <v>7.5</v>
      </c>
      <c r="D3262" s="6" t="s">
        <v>3281</v>
      </c>
      <c r="E3262" s="5" t="s">
        <v>20</v>
      </c>
      <c r="F3262" s="5">
        <v>2017</v>
      </c>
      <c r="G3262" s="5" t="s">
        <v>12</v>
      </c>
      <c r="H3262" s="5" t="s">
        <v>17</v>
      </c>
      <c r="I3262" s="5" t="s">
        <v>37</v>
      </c>
      <c r="J3262" s="98" t="s">
        <v>3443</v>
      </c>
    </row>
    <row r="3263" spans="1:10" ht="28.9" customHeight="1" thickTop="1" thickBot="1" x14ac:dyDescent="0.65">
      <c r="A3263" s="5">
        <v>3261</v>
      </c>
      <c r="B3263" s="46" t="str">
        <f>HYPERLINK("https://search.naver.com/search.naver?query=하우스메이드 영화", "하우스메이드")</f>
        <v>하우스메이드</v>
      </c>
      <c r="C3263" s="47">
        <v>7.94</v>
      </c>
      <c r="D3263" s="6" t="s">
        <v>3282</v>
      </c>
      <c r="E3263" s="5" t="s">
        <v>20</v>
      </c>
      <c r="F3263" s="5">
        <v>2026</v>
      </c>
      <c r="G3263" s="5" t="s">
        <v>12</v>
      </c>
      <c r="H3263" s="5" t="s">
        <v>43</v>
      </c>
      <c r="I3263" s="5" t="s">
        <v>280</v>
      </c>
      <c r="J3263" s="98">
        <v>46096</v>
      </c>
    </row>
    <row r="3264" spans="1:10" ht="28.9" customHeight="1" thickTop="1" thickBot="1" x14ac:dyDescent="0.65">
      <c r="A3264" s="3">
        <v>3262</v>
      </c>
      <c r="B3264" s="44" t="str">
        <f>HYPERLINK("https://search.naver.com/search.naver?query=하울링 영화", "하울링")</f>
        <v>하울링</v>
      </c>
      <c r="C3264" s="45">
        <v>6.75</v>
      </c>
      <c r="D3264" s="4" t="s">
        <v>3283</v>
      </c>
      <c r="E3264" s="3" t="s">
        <v>11</v>
      </c>
      <c r="F3264" s="3">
        <v>2012</v>
      </c>
      <c r="G3264" s="3" t="s">
        <v>12</v>
      </c>
      <c r="H3264" s="3" t="s">
        <v>43</v>
      </c>
      <c r="I3264" s="3" t="s">
        <v>128</v>
      </c>
      <c r="J3264" s="97" t="s">
        <v>3439</v>
      </c>
    </row>
    <row r="3265" spans="1:10" ht="28.9" customHeight="1" thickTop="1" thickBot="1" x14ac:dyDescent="0.65">
      <c r="A3265" s="5">
        <v>3263</v>
      </c>
      <c r="B3265" s="46" t="str">
        <f>HYPERLINK("https://search.naver.com/search.naver?query=하이 스트렁 영화", "하이 스트렁")</f>
        <v>하이 스트렁</v>
      </c>
      <c r="C3265" s="47">
        <v>7.17</v>
      </c>
      <c r="D3265" s="6" t="s">
        <v>3284</v>
      </c>
      <c r="E3265" s="5" t="s">
        <v>20</v>
      </c>
      <c r="F3265" s="5">
        <v>2016</v>
      </c>
      <c r="G3265" s="5" t="s">
        <v>12</v>
      </c>
      <c r="H3265" s="5" t="s">
        <v>17</v>
      </c>
      <c r="I3265" s="5" t="s">
        <v>61</v>
      </c>
      <c r="J3265" s="98" t="s">
        <v>3441</v>
      </c>
    </row>
    <row r="3266" spans="1:10" ht="28.9" customHeight="1" thickTop="1" thickBot="1" x14ac:dyDescent="0.65">
      <c r="A3266" s="3">
        <v>3264</v>
      </c>
      <c r="B3266" s="44" t="str">
        <f>HYPERLINK("https://search.naver.com/search.naver?query=하이 크라임 영화", "하이 크라임")</f>
        <v>하이 크라임</v>
      </c>
      <c r="C3266" s="45">
        <v>7.17</v>
      </c>
      <c r="D3266" s="4" t="s">
        <v>3285</v>
      </c>
      <c r="E3266" s="3" t="s">
        <v>20</v>
      </c>
      <c r="F3266" s="3">
        <v>2002</v>
      </c>
      <c r="G3266" s="3" t="s">
        <v>12</v>
      </c>
      <c r="H3266" s="3" t="s">
        <v>43</v>
      </c>
      <c r="I3266" s="3" t="s">
        <v>47</v>
      </c>
      <c r="J3266" s="97" t="s">
        <v>3466</v>
      </c>
    </row>
    <row r="3267" spans="1:10" ht="28.9" customHeight="1" thickTop="1" thickBot="1" x14ac:dyDescent="0.65">
      <c r="A3267" s="5">
        <v>3265</v>
      </c>
      <c r="B3267" s="46" t="str">
        <f>HYPERLINK("https://search.naver.com/search.naver?query=하이, 젝시 영화", "하이, 젝시")</f>
        <v>하이, 젝시</v>
      </c>
      <c r="C3267" s="47">
        <v>6.7</v>
      </c>
      <c r="D3267" s="6" t="s">
        <v>3286</v>
      </c>
      <c r="E3267" s="5" t="s">
        <v>20</v>
      </c>
      <c r="F3267" s="5">
        <v>2020</v>
      </c>
      <c r="G3267" s="5" t="s">
        <v>12</v>
      </c>
      <c r="H3267" s="5" t="s">
        <v>68</v>
      </c>
      <c r="I3267" s="5" t="s">
        <v>952</v>
      </c>
      <c r="J3267" s="98" t="s">
        <v>3436</v>
      </c>
    </row>
    <row r="3268" spans="1:10" ht="28.9" customHeight="1" thickTop="1" thickBot="1" x14ac:dyDescent="0.65">
      <c r="A3268" s="3">
        <v>3266</v>
      </c>
      <c r="B3268" s="44" t="str">
        <f>HYPERLINK("https://search.naver.com/search.naver?query=하이웨이맨 2019 영화", "하이웨이맨")</f>
        <v>하이웨이맨</v>
      </c>
      <c r="C3268" s="45"/>
      <c r="D3268" s="4" t="s">
        <v>3287</v>
      </c>
      <c r="E3268" s="3" t="s">
        <v>20</v>
      </c>
      <c r="F3268" s="3">
        <v>2019</v>
      </c>
      <c r="G3268" s="3" t="s">
        <v>12</v>
      </c>
      <c r="H3268" s="3" t="s">
        <v>277</v>
      </c>
      <c r="I3268" s="3" t="s">
        <v>280</v>
      </c>
      <c r="J3268" s="97" t="s">
        <v>3444</v>
      </c>
    </row>
    <row r="3269" spans="1:10" ht="28.9" customHeight="1" thickTop="1" thickBot="1" x14ac:dyDescent="0.65">
      <c r="A3269" s="5">
        <v>3267</v>
      </c>
      <c r="B3269" s="46" t="str">
        <f>HYPERLINK("https://search.naver.com/search.naver?query=한국영화 하이재킹", "하이재킹")</f>
        <v>하이재킹</v>
      </c>
      <c r="C3269" s="47">
        <v>7.82</v>
      </c>
      <c r="D3269" s="6" t="s">
        <v>3288</v>
      </c>
      <c r="E3269" s="5" t="s">
        <v>3495</v>
      </c>
      <c r="F3269" s="5">
        <v>2024</v>
      </c>
      <c r="G3269" s="5" t="s">
        <v>12</v>
      </c>
      <c r="H3269" s="5" t="s">
        <v>3514</v>
      </c>
      <c r="I3269" s="5" t="s">
        <v>3515</v>
      </c>
      <c r="J3269" s="98">
        <v>45657</v>
      </c>
    </row>
    <row r="3270" spans="1:10" ht="28.9" customHeight="1" thickTop="1" thickBot="1" x14ac:dyDescent="0.65">
      <c r="A3270" s="7">
        <v>3268</v>
      </c>
      <c r="B3270" s="48" t="str">
        <f>HYPERLINK("https://search.naver.com/search.naver?query=하이재킹 시즌1", "하이재킹 시즌1")</f>
        <v>하이재킹 시즌1</v>
      </c>
      <c r="C3270" s="49"/>
      <c r="D3270" s="8" t="s">
        <v>3289</v>
      </c>
      <c r="E3270" s="7" t="s">
        <v>24</v>
      </c>
      <c r="F3270" s="7">
        <v>2023</v>
      </c>
      <c r="G3270" s="7" t="s">
        <v>17</v>
      </c>
      <c r="H3270" s="7" t="s">
        <v>13</v>
      </c>
      <c r="I3270" s="7" t="s">
        <v>324</v>
      </c>
      <c r="J3270" s="99" t="s">
        <v>3446</v>
      </c>
    </row>
    <row r="3271" spans="1:10" ht="28.9" customHeight="1" thickTop="1" thickBot="1" x14ac:dyDescent="0.65">
      <c r="A3271" s="5">
        <v>3269</v>
      </c>
      <c r="B3271" s="46" t="str">
        <f>HYPERLINK("https://search.naver.com/search.naver?query=하이힐 영화", "하이힐")</f>
        <v>하이힐</v>
      </c>
      <c r="C3271" s="47">
        <v>7.77</v>
      </c>
      <c r="D3271" s="6" t="s">
        <v>3290</v>
      </c>
      <c r="E3271" s="5" t="s">
        <v>11</v>
      </c>
      <c r="F3271" s="5">
        <v>2013</v>
      </c>
      <c r="G3271" s="5" t="s">
        <v>12</v>
      </c>
      <c r="H3271" s="5" t="s">
        <v>17</v>
      </c>
      <c r="I3271" s="5" t="s">
        <v>111</v>
      </c>
      <c r="J3271" s="98" t="s">
        <v>3451</v>
      </c>
    </row>
    <row r="3272" spans="1:10" ht="28.9" customHeight="1" thickTop="1" thickBot="1" x14ac:dyDescent="0.65">
      <c r="A3272" s="3">
        <v>3270</v>
      </c>
      <c r="B3272" s="44" t="str">
        <f>HYPERLINK("https://search.naver.com/search.naver?query=하이힐을 신고 달리는 여자 영화", "하이힐을 신고 달리는 여자")</f>
        <v>하이힐을 신고 달리는 여자</v>
      </c>
      <c r="C3272" s="45">
        <v>7.75</v>
      </c>
      <c r="D3272" s="4" t="s">
        <v>3291</v>
      </c>
      <c r="E3272" s="3" t="s">
        <v>20</v>
      </c>
      <c r="F3272" s="3">
        <v>2012</v>
      </c>
      <c r="G3272" s="3" t="s">
        <v>12</v>
      </c>
      <c r="H3272" s="3" t="s">
        <v>68</v>
      </c>
      <c r="I3272" s="3" t="s">
        <v>115</v>
      </c>
      <c r="J3272" s="97" t="s">
        <v>3439</v>
      </c>
    </row>
    <row r="3273" spans="1:10" ht="28.9" customHeight="1" thickTop="1" thickBot="1" x14ac:dyDescent="0.65">
      <c r="A3273" s="5">
        <v>3271</v>
      </c>
      <c r="B3273" s="46" t="str">
        <f>HYPERLINK("https://search.naver.com/search.naver?query=하치 이야기 영화", "하치 이야기")</f>
        <v>하치 이야기</v>
      </c>
      <c r="C3273" s="47">
        <v>9.07</v>
      </c>
      <c r="D3273" s="6" t="s">
        <v>3292</v>
      </c>
      <c r="E3273" s="5" t="s">
        <v>24</v>
      </c>
      <c r="F3273" s="5">
        <v>2009</v>
      </c>
      <c r="G3273" s="5" t="s">
        <v>12</v>
      </c>
      <c r="H3273" s="5" t="s">
        <v>17</v>
      </c>
      <c r="I3273" s="5" t="s">
        <v>93</v>
      </c>
      <c r="J3273" s="98" t="s">
        <v>3453</v>
      </c>
    </row>
    <row r="3274" spans="1:10" ht="28.9" customHeight="1" thickTop="1" thickBot="1" x14ac:dyDescent="0.65">
      <c r="A3274" s="3">
        <v>3272</v>
      </c>
      <c r="B3274" s="44" t="str">
        <f>HYPERLINK("https://search.naver.com/search.naver?query=하코다테 커피 영화", "하코다테 커피")</f>
        <v>하코다테 커피</v>
      </c>
      <c r="C3274" s="45">
        <v>6.4</v>
      </c>
      <c r="D3274" s="4" t="s">
        <v>3293</v>
      </c>
      <c r="E3274" s="3" t="s">
        <v>16</v>
      </c>
      <c r="F3274" s="3">
        <v>2016</v>
      </c>
      <c r="G3274" s="3" t="s">
        <v>12</v>
      </c>
      <c r="H3274" s="3" t="s">
        <v>17</v>
      </c>
      <c r="I3274" s="3" t="s">
        <v>111</v>
      </c>
      <c r="J3274" s="97" t="s">
        <v>3441</v>
      </c>
    </row>
    <row r="3275" spans="1:10" ht="28.9" customHeight="1" thickTop="1" thickBot="1" x14ac:dyDescent="0.65">
      <c r="A3275" s="5">
        <v>3273</v>
      </c>
      <c r="B3275" s="46" t="str">
        <f>HYPERLINK("https://search.naver.com/search.naver?query=하트 브레이커 영화", "하트 브레이커")</f>
        <v>하트 브레이커</v>
      </c>
      <c r="C3275" s="47">
        <v>7.57</v>
      </c>
      <c r="D3275" s="6" t="s">
        <v>3294</v>
      </c>
      <c r="E3275" s="5" t="s">
        <v>210</v>
      </c>
      <c r="F3275" s="5">
        <v>2010</v>
      </c>
      <c r="G3275" s="5" t="s">
        <v>12</v>
      </c>
      <c r="H3275" s="5" t="s">
        <v>68</v>
      </c>
      <c r="I3275" s="5" t="s">
        <v>128</v>
      </c>
      <c r="J3275" s="98" t="s">
        <v>3455</v>
      </c>
    </row>
    <row r="3276" spans="1:10" ht="28.9" customHeight="1" thickTop="1" thickBot="1" x14ac:dyDescent="0.65">
      <c r="A3276" s="3">
        <v>3274</v>
      </c>
      <c r="B3276" s="44" t="str">
        <f>HYPERLINK("https://search.naver.com/search.naver?query=하트 오브 더 씨 영화", "하트 오브 더 씨")</f>
        <v>하트 오브 더 씨</v>
      </c>
      <c r="C3276" s="45">
        <v>8.16</v>
      </c>
      <c r="D3276" s="4" t="s">
        <v>3295</v>
      </c>
      <c r="E3276" s="3" t="s">
        <v>20</v>
      </c>
      <c r="F3276" s="3">
        <v>2015</v>
      </c>
      <c r="G3276" s="3" t="s">
        <v>12</v>
      </c>
      <c r="H3276" s="3" t="s">
        <v>92</v>
      </c>
      <c r="I3276" s="3" t="s">
        <v>105</v>
      </c>
      <c r="J3276" s="97" t="s">
        <v>3440</v>
      </c>
    </row>
    <row r="3277" spans="1:10" ht="28.9" customHeight="1" thickTop="1" thickBot="1" x14ac:dyDescent="0.65">
      <c r="A3277" s="5">
        <v>3275</v>
      </c>
      <c r="B3277" s="46" t="str">
        <f>HYPERLINK("https://search.naver.com/search.naver?query=하트 오브 스톤 영화", "하트 오브 스톤")</f>
        <v>하트 오브 스톤</v>
      </c>
      <c r="C3277" s="47">
        <v>7.25</v>
      </c>
      <c r="D3277" s="6" t="s">
        <v>3296</v>
      </c>
      <c r="E3277" s="5" t="s">
        <v>20</v>
      </c>
      <c r="F3277" s="5">
        <v>2023</v>
      </c>
      <c r="G3277" s="5" t="s">
        <v>12</v>
      </c>
      <c r="H3277" s="5" t="s">
        <v>92</v>
      </c>
      <c r="I3277" s="5" t="s">
        <v>105</v>
      </c>
      <c r="J3277" s="98" t="s">
        <v>3446</v>
      </c>
    </row>
    <row r="3278" spans="1:10" ht="28.9" customHeight="1" thickTop="1" thickBot="1" x14ac:dyDescent="0.65">
      <c r="A3278" s="3">
        <v>3276</v>
      </c>
      <c r="B3278" s="44" t="str">
        <f>HYPERLINK("https://search.naver.com/search.naver?query=하트 인 아틀란티스 영화", "하트 인 아틀란티스")</f>
        <v>하트 인 아틀란티스</v>
      </c>
      <c r="C3278" s="45">
        <v>8.52</v>
      </c>
      <c r="D3278" s="4" t="s">
        <v>3297</v>
      </c>
      <c r="E3278" s="3" t="s">
        <v>20</v>
      </c>
      <c r="F3278" s="3">
        <v>2001</v>
      </c>
      <c r="G3278" s="3" t="s">
        <v>12</v>
      </c>
      <c r="H3278" s="3" t="s">
        <v>17</v>
      </c>
      <c r="I3278" s="3" t="s">
        <v>70</v>
      </c>
      <c r="J3278" s="97" t="s">
        <v>3457</v>
      </c>
    </row>
    <row r="3279" spans="1:10" ht="28.9" customHeight="1" thickTop="1" thickBot="1" x14ac:dyDescent="0.65">
      <c r="A3279" s="5">
        <v>3277</v>
      </c>
      <c r="B3279" s="46" t="str">
        <f>HYPERLINK("https://search.naver.com/search.naver?query=한 남자 영화", "한 남자")</f>
        <v>한 남자</v>
      </c>
      <c r="C3279" s="47">
        <v>8.18</v>
      </c>
      <c r="D3279" s="6" t="s">
        <v>2364</v>
      </c>
      <c r="E3279" s="5" t="s">
        <v>16</v>
      </c>
      <c r="F3279" s="5">
        <v>2022</v>
      </c>
      <c r="G3279" s="5" t="s">
        <v>12</v>
      </c>
      <c r="H3279" s="5" t="s">
        <v>17</v>
      </c>
      <c r="I3279" s="5" t="s">
        <v>142</v>
      </c>
      <c r="J3279" s="98" t="s">
        <v>3445</v>
      </c>
    </row>
    <row r="3280" spans="1:10" ht="28.9" customHeight="1" thickTop="1" thickBot="1" x14ac:dyDescent="0.65">
      <c r="A3280" s="3">
        <v>3278</v>
      </c>
      <c r="B3280" s="44" t="str">
        <f>HYPERLINK("https://search.naver.com/search.naver?query=한 번 더 해피엔딩 영화", "한 번 더 해피엔딩")</f>
        <v>한 번 더 해피엔딩</v>
      </c>
      <c r="C3280" s="45">
        <v>7.81</v>
      </c>
      <c r="D3280" s="4" t="s">
        <v>3298</v>
      </c>
      <c r="E3280" s="3" t="s">
        <v>11</v>
      </c>
      <c r="F3280" s="3">
        <v>2014</v>
      </c>
      <c r="G3280" s="3" t="s">
        <v>12</v>
      </c>
      <c r="H3280" s="3" t="s">
        <v>121</v>
      </c>
      <c r="I3280" s="3" t="s">
        <v>111</v>
      </c>
      <c r="J3280" s="97" t="s">
        <v>3437</v>
      </c>
    </row>
    <row r="3281" spans="1:10" ht="28.9" customHeight="1" thickTop="1" thickBot="1" x14ac:dyDescent="0.65">
      <c r="A3281" s="5">
        <v>3279</v>
      </c>
      <c r="B3281" s="46" t="str">
        <f>HYPERLINK("https://search.naver.com/search.naver?query=한 여름의 방정식 영화", "한 여름의 방정식")</f>
        <v>한 여름의 방정식</v>
      </c>
      <c r="C3281" s="47">
        <v>6.4</v>
      </c>
      <c r="D3281" s="6" t="s">
        <v>3299</v>
      </c>
      <c r="E3281" s="5" t="s">
        <v>16</v>
      </c>
      <c r="F3281" s="5">
        <v>2013</v>
      </c>
      <c r="G3281" s="5" t="s">
        <v>12</v>
      </c>
      <c r="H3281" s="5" t="s">
        <v>141</v>
      </c>
      <c r="I3281" s="5" t="s">
        <v>64</v>
      </c>
      <c r="J3281" s="98" t="s">
        <v>3451</v>
      </c>
    </row>
    <row r="3282" spans="1:10" ht="28.9" customHeight="1" thickTop="1" thickBot="1" x14ac:dyDescent="0.65">
      <c r="A3282" s="3">
        <v>3280</v>
      </c>
      <c r="B3282" s="44" t="str">
        <f>HYPERLINK("https://search.naver.com/search.naver?query=한공주 영화", "한공주")</f>
        <v>한공주</v>
      </c>
      <c r="C3282" s="45">
        <v>8.56</v>
      </c>
      <c r="D3282" s="4" t="s">
        <v>3300</v>
      </c>
      <c r="E3282" s="3" t="s">
        <v>11</v>
      </c>
      <c r="F3282" s="3">
        <v>2013</v>
      </c>
      <c r="G3282" s="3" t="s">
        <v>12</v>
      </c>
      <c r="H3282" s="3" t="s">
        <v>17</v>
      </c>
      <c r="I3282" s="3" t="s">
        <v>278</v>
      </c>
      <c r="J3282" s="97" t="s">
        <v>3451</v>
      </c>
    </row>
    <row r="3283" spans="1:10" ht="28.9" customHeight="1" thickTop="1" thickBot="1" x14ac:dyDescent="0.65">
      <c r="A3283" s="5">
        <v>3281</v>
      </c>
      <c r="B3283" s="46" t="str">
        <f>HYPERLINK("https://search.naver.com/search.naver?query=한나 아렌트 영화", "한나 아렌트")</f>
        <v>한나 아렌트</v>
      </c>
      <c r="C3283" s="47">
        <v>8.23</v>
      </c>
      <c r="D3283" s="6" t="s">
        <v>3301</v>
      </c>
      <c r="E3283" s="5" t="s">
        <v>101</v>
      </c>
      <c r="F3283" s="5">
        <v>2012</v>
      </c>
      <c r="G3283" s="5" t="s">
        <v>12</v>
      </c>
      <c r="H3283" s="5" t="s">
        <v>17</v>
      </c>
      <c r="I3283" s="5" t="s">
        <v>73</v>
      </c>
      <c r="J3283" s="98" t="s">
        <v>3439</v>
      </c>
    </row>
    <row r="3284" spans="1:10" ht="28.9" customHeight="1" thickTop="1" thickBot="1" x14ac:dyDescent="0.65">
      <c r="A3284" s="3">
        <v>3282</v>
      </c>
      <c r="B3284" s="44" t="str">
        <f>HYPERLINK("https://search.naver.com/search.naver?query=한산 용의 출현 영화", "한산-용의 출현")</f>
        <v>한산-용의 출현</v>
      </c>
      <c r="C3284" s="45">
        <v>8.51</v>
      </c>
      <c r="D3284" s="4" t="s">
        <v>3302</v>
      </c>
      <c r="E3284" s="3" t="s">
        <v>11</v>
      </c>
      <c r="F3284" s="3">
        <v>2022</v>
      </c>
      <c r="G3284" s="3" t="s">
        <v>12</v>
      </c>
      <c r="H3284" s="3" t="s">
        <v>721</v>
      </c>
      <c r="I3284" s="3" t="s">
        <v>78</v>
      </c>
      <c r="J3284" s="97" t="s">
        <v>3445</v>
      </c>
    </row>
    <row r="3285" spans="1:10" ht="28.9" customHeight="1" thickTop="1" thickBot="1" x14ac:dyDescent="0.65">
      <c r="A3285" s="7">
        <v>3283</v>
      </c>
      <c r="B3285" s="48" t="str">
        <f>HYPERLINK("https://search.naver.com/search.naver?query=한자와 나오키 시즌1", "한자와 나오키 시즌1")</f>
        <v>한자와 나오키 시즌1</v>
      </c>
      <c r="C3285" s="49"/>
      <c r="D3285" s="8" t="s">
        <v>3303</v>
      </c>
      <c r="E3285" s="7" t="s">
        <v>16</v>
      </c>
      <c r="F3285" s="7">
        <v>2013</v>
      </c>
      <c r="G3285" s="7" t="s">
        <v>17</v>
      </c>
      <c r="H3285" s="7" t="s">
        <v>17</v>
      </c>
      <c r="I3285" s="7" t="s">
        <v>50</v>
      </c>
      <c r="J3285" s="99" t="s">
        <v>3451</v>
      </c>
    </row>
    <row r="3286" spans="1:10" ht="28.9" customHeight="1" thickTop="1" thickBot="1" x14ac:dyDescent="0.65">
      <c r="A3286" s="7">
        <v>3284</v>
      </c>
      <c r="B3286" s="48" t="str">
        <f>HYPERLINK("https://search.naver.com/search.naver?query=한자와 나오키 시즌2", "한자와 나오키 시즌2")</f>
        <v>한자와 나오키 시즌2</v>
      </c>
      <c r="C3286" s="49"/>
      <c r="D3286" s="8" t="s">
        <v>3303</v>
      </c>
      <c r="E3286" s="7" t="s">
        <v>16</v>
      </c>
      <c r="F3286" s="7">
        <v>2020</v>
      </c>
      <c r="G3286" s="7" t="s">
        <v>17</v>
      </c>
      <c r="H3286" s="7" t="s">
        <v>17</v>
      </c>
      <c r="I3286" s="7" t="s">
        <v>50</v>
      </c>
      <c r="J3286" s="99" t="s">
        <v>3436</v>
      </c>
    </row>
    <row r="3287" spans="1:10" ht="28.9" customHeight="1" thickTop="1" thickBot="1" x14ac:dyDescent="0.65">
      <c r="A3287" s="5">
        <v>3285</v>
      </c>
      <c r="B3287" s="46" t="str">
        <f>HYPERLINK("https://search.naver.com/search.naver?query=한장의 엽서 영화", "한장의 엽서")</f>
        <v>한장의 엽서</v>
      </c>
      <c r="C3287" s="47">
        <v>6.4</v>
      </c>
      <c r="D3287" s="6" t="s">
        <v>3304</v>
      </c>
      <c r="E3287" s="5" t="s">
        <v>16</v>
      </c>
      <c r="F3287" s="5">
        <v>2010</v>
      </c>
      <c r="G3287" s="5" t="s">
        <v>12</v>
      </c>
      <c r="H3287" s="5" t="s">
        <v>17</v>
      </c>
      <c r="I3287" s="5" t="s">
        <v>111</v>
      </c>
      <c r="J3287" s="98" t="s">
        <v>3455</v>
      </c>
    </row>
    <row r="3288" spans="1:10" ht="28.9" customHeight="1" thickTop="1" thickBot="1" x14ac:dyDescent="0.65">
      <c r="A3288" s="3">
        <v>3286</v>
      </c>
      <c r="B3288" s="44" t="str">
        <f>HYPERLINK("https://search.naver.com/search.naver?query=한큐전차 편도 15분의 기적 영화", "한큐전차 편도 15분의 기적")</f>
        <v>한큐전차 편도 15분의 기적</v>
      </c>
      <c r="C3288" s="45"/>
      <c r="D3288" s="4" t="s">
        <v>3305</v>
      </c>
      <c r="E3288" s="3" t="s">
        <v>16</v>
      </c>
      <c r="F3288" s="3">
        <v>2011</v>
      </c>
      <c r="G3288" s="3" t="s">
        <v>12</v>
      </c>
      <c r="H3288" s="3" t="s">
        <v>17</v>
      </c>
      <c r="I3288" s="3" t="s">
        <v>142</v>
      </c>
      <c r="J3288" s="97" t="s">
        <v>3454</v>
      </c>
    </row>
    <row r="3289" spans="1:10" ht="28.9" customHeight="1" thickTop="1" thickBot="1" x14ac:dyDescent="0.65">
      <c r="A3289" s="5">
        <v>3287</v>
      </c>
      <c r="B3289" s="46" t="str">
        <f>HYPERLINK("https://search.naver.com/search.naver?query=할로우 맨 영화", "할로우 맨")</f>
        <v>할로우 맨</v>
      </c>
      <c r="C3289" s="47">
        <v>4.3600000000000003</v>
      </c>
      <c r="D3289" s="6" t="s">
        <v>3306</v>
      </c>
      <c r="E3289" s="5" t="s">
        <v>20</v>
      </c>
      <c r="F3289" s="5">
        <v>2000</v>
      </c>
      <c r="G3289" s="5" t="s">
        <v>12</v>
      </c>
      <c r="H3289" s="5" t="s">
        <v>520</v>
      </c>
      <c r="I3289" s="5" t="s">
        <v>278</v>
      </c>
      <c r="J3289" s="98" t="s">
        <v>3458</v>
      </c>
    </row>
    <row r="3290" spans="1:10" ht="28.9" customHeight="1" thickTop="1" thickBot="1" x14ac:dyDescent="0.65">
      <c r="A3290" s="3">
        <v>3288</v>
      </c>
      <c r="B3290" s="44" t="str">
        <f>HYPERLINK("https://search.naver.com/search.naver?query=할머니는 일학년 영화", "할머니는 일학년")</f>
        <v>할머니는 일학년</v>
      </c>
      <c r="C3290" s="45">
        <v>9.1300000000000008</v>
      </c>
      <c r="D3290" s="4" t="s">
        <v>3307</v>
      </c>
      <c r="E3290" s="3" t="s">
        <v>11</v>
      </c>
      <c r="F3290" s="3">
        <v>2012</v>
      </c>
      <c r="G3290" s="3" t="s">
        <v>12</v>
      </c>
      <c r="H3290" s="3" t="s">
        <v>17</v>
      </c>
      <c r="I3290" s="3" t="s">
        <v>111</v>
      </c>
      <c r="J3290" s="97" t="s">
        <v>3439</v>
      </c>
    </row>
    <row r="3291" spans="1:10" ht="28.9" customHeight="1" thickTop="1" thickBot="1" x14ac:dyDescent="0.65">
      <c r="A3291" s="5">
        <v>3289</v>
      </c>
      <c r="B3291" s="46" t="str">
        <f>HYPERLINK("https://search.naver.com/search.naver?query=함정 영화", "함정")</f>
        <v>함정</v>
      </c>
      <c r="C3291" s="47">
        <v>6.61</v>
      </c>
      <c r="D3291" s="6" t="s">
        <v>3308</v>
      </c>
      <c r="E3291" s="5" t="s">
        <v>11</v>
      </c>
      <c r="F3291" s="5">
        <v>2015</v>
      </c>
      <c r="G3291" s="5" t="s">
        <v>12</v>
      </c>
      <c r="H3291" s="5" t="s">
        <v>43</v>
      </c>
      <c r="I3291" s="5" t="s">
        <v>111</v>
      </c>
      <c r="J3291" s="98" t="s">
        <v>3440</v>
      </c>
    </row>
    <row r="3292" spans="1:10" ht="28.9" customHeight="1" thickTop="1" thickBot="1" x14ac:dyDescent="0.65">
      <c r="A3292" s="3">
        <v>3290</v>
      </c>
      <c r="B3292" s="44" t="str">
        <f>HYPERLINK("https://search.naver.com/search.naver?query=해결사 영화", "해결사")</f>
        <v>해결사</v>
      </c>
      <c r="C3292" s="45">
        <v>6.57</v>
      </c>
      <c r="D3292" s="4" t="s">
        <v>3309</v>
      </c>
      <c r="E3292" s="3" t="s">
        <v>11</v>
      </c>
      <c r="F3292" s="3">
        <v>2010</v>
      </c>
      <c r="G3292" s="3" t="s">
        <v>12</v>
      </c>
      <c r="H3292" s="3" t="s">
        <v>92</v>
      </c>
      <c r="I3292" s="3" t="s">
        <v>111</v>
      </c>
      <c r="J3292" s="97" t="s">
        <v>3455</v>
      </c>
    </row>
    <row r="3293" spans="1:10" ht="28.9" customHeight="1" thickTop="1" thickBot="1" x14ac:dyDescent="0.65">
      <c r="A3293" s="5">
        <v>3291</v>
      </c>
      <c r="B3293" s="46" t="str">
        <f>HYPERLINK("https://search.daum.net/search?nil_suggest=btn&amp;w=tot&amp;DA=SBC&amp;q=%ED%95%B4%EB%A6%AC+%EB%B8%8C%EB%9D%BC%EC%9A%B4+%EC%98%81%ED%99%94", "해리 브라운")</f>
        <v>해리 브라운</v>
      </c>
      <c r="C3293" s="47">
        <v>6.8</v>
      </c>
      <c r="D3293" s="6" t="s">
        <v>3310</v>
      </c>
      <c r="E3293" s="5" t="s">
        <v>24</v>
      </c>
      <c r="F3293" s="5">
        <v>2009</v>
      </c>
      <c r="G3293" s="5" t="s">
        <v>12</v>
      </c>
      <c r="H3293" s="5" t="s">
        <v>277</v>
      </c>
      <c r="I3293" s="5" t="s">
        <v>190</v>
      </c>
      <c r="J3293" s="98" t="s">
        <v>3453</v>
      </c>
    </row>
    <row r="3294" spans="1:10" ht="28.9" customHeight="1" thickTop="1" thickBot="1" x14ac:dyDescent="0.65">
      <c r="A3294" s="3">
        <v>3292</v>
      </c>
      <c r="B3294" s="44" t="str">
        <f>HYPERLINK("https://search.naver.com/search.naver?query=해무 영화", "해무")</f>
        <v>해무</v>
      </c>
      <c r="C3294" s="45">
        <v>7.25</v>
      </c>
      <c r="D3294" s="4" t="s">
        <v>3311</v>
      </c>
      <c r="E3294" s="3" t="s">
        <v>11</v>
      </c>
      <c r="F3294" s="3">
        <v>2014</v>
      </c>
      <c r="G3294" s="3" t="s">
        <v>12</v>
      </c>
      <c r="H3294" s="3" t="s">
        <v>17</v>
      </c>
      <c r="I3294" s="3" t="s">
        <v>102</v>
      </c>
      <c r="J3294" s="97" t="s">
        <v>3437</v>
      </c>
    </row>
    <row r="3295" spans="1:10" ht="28.9" customHeight="1" thickTop="1" thickBot="1" x14ac:dyDescent="0.65">
      <c r="A3295" s="5">
        <v>3293</v>
      </c>
      <c r="B3295" s="46" t="str">
        <f>HYPERLINK("https://search.naver.com/search.naver?query=해바라기 영화", "해바라기")</f>
        <v>해바라기</v>
      </c>
      <c r="C3295" s="47">
        <v>9.6</v>
      </c>
      <c r="D3295" s="6" t="s">
        <v>3312</v>
      </c>
      <c r="E3295" s="5" t="s">
        <v>11</v>
      </c>
      <c r="F3295" s="5">
        <v>2006</v>
      </c>
      <c r="G3295" s="5" t="s">
        <v>12</v>
      </c>
      <c r="H3295" s="5" t="s">
        <v>17</v>
      </c>
      <c r="I3295" s="5" t="s">
        <v>366</v>
      </c>
      <c r="J3295" s="98" t="s">
        <v>3460</v>
      </c>
    </row>
    <row r="3296" spans="1:10" ht="28.9" customHeight="1" thickTop="1" thickBot="1" x14ac:dyDescent="0.65">
      <c r="A3296" s="3">
        <v>3294</v>
      </c>
      <c r="B3296" s="44" t="str">
        <f>HYPERLINK("https://search.naver.com/search.naver?query=해방 영화", "해방")</f>
        <v>해방</v>
      </c>
      <c r="C3296" s="45">
        <v>8.4600000000000009</v>
      </c>
      <c r="D3296" s="4" t="s">
        <v>3313</v>
      </c>
      <c r="E3296" s="3" t="s">
        <v>20</v>
      </c>
      <c r="F3296" s="3">
        <v>2022</v>
      </c>
      <c r="G3296" s="3" t="s">
        <v>12</v>
      </c>
      <c r="H3296" s="3" t="s">
        <v>92</v>
      </c>
      <c r="I3296" s="3" t="s">
        <v>350</v>
      </c>
      <c r="J3296" s="97" t="s">
        <v>3445</v>
      </c>
    </row>
    <row r="3297" spans="1:10" ht="28.9" customHeight="1" thickTop="1" thickBot="1" x14ac:dyDescent="0.65">
      <c r="A3297" s="5">
        <v>3295</v>
      </c>
      <c r="B3297" s="46" t="str">
        <f>HYPERLINK("https://search.naver.com/search.naver?query=해빙 영화", "해빙")</f>
        <v>해빙</v>
      </c>
      <c r="C3297" s="47">
        <v>6.63</v>
      </c>
      <c r="D3297" s="6" t="s">
        <v>3314</v>
      </c>
      <c r="E3297" s="5" t="s">
        <v>11</v>
      </c>
      <c r="F3297" s="5">
        <v>2017</v>
      </c>
      <c r="G3297" s="5" t="s">
        <v>12</v>
      </c>
      <c r="H3297" s="5" t="s">
        <v>43</v>
      </c>
      <c r="I3297" s="5" t="s">
        <v>111</v>
      </c>
      <c r="J3297" s="98" t="s">
        <v>3443</v>
      </c>
    </row>
    <row r="3298" spans="1:10" ht="28.9" customHeight="1" thickTop="1" thickBot="1" x14ac:dyDescent="0.65">
      <c r="A3298" s="3">
        <v>3296</v>
      </c>
      <c r="B3298" s="44" t="str">
        <f>HYPERLINK("https://search.naver.com/search.naver?query=해어화 영화", "해어화")</f>
        <v>해어화</v>
      </c>
      <c r="C3298" s="45">
        <v>8.23</v>
      </c>
      <c r="D3298" s="4" t="s">
        <v>3315</v>
      </c>
      <c r="E3298" s="3" t="s">
        <v>11</v>
      </c>
      <c r="F3298" s="3">
        <v>2015</v>
      </c>
      <c r="G3298" s="3" t="s">
        <v>12</v>
      </c>
      <c r="H3298" s="3" t="s">
        <v>17</v>
      </c>
      <c r="I3298" s="3" t="s">
        <v>86</v>
      </c>
      <c r="J3298" s="97" t="s">
        <v>3440</v>
      </c>
    </row>
    <row r="3299" spans="1:10" ht="28.9" customHeight="1" thickTop="1" thickBot="1" x14ac:dyDescent="0.65">
      <c r="A3299" s="5">
        <v>3297</v>
      </c>
      <c r="B3299" s="46" t="str">
        <f>HYPERLINK("https://search.naver.com/search.naver?query=해적 바다로 간 산적 영화", "해적 - 바다로 간 산적")</f>
        <v>해적 - 바다로 간 산적</v>
      </c>
      <c r="C3299" s="47">
        <v>8.51</v>
      </c>
      <c r="D3299" s="6" t="s">
        <v>3316</v>
      </c>
      <c r="E3299" s="5" t="s">
        <v>11</v>
      </c>
      <c r="F3299" s="5">
        <v>2014</v>
      </c>
      <c r="G3299" s="5" t="s">
        <v>12</v>
      </c>
      <c r="H3299" s="5" t="s">
        <v>92</v>
      </c>
      <c r="I3299" s="5" t="s">
        <v>34</v>
      </c>
      <c r="J3299" s="98" t="s">
        <v>3437</v>
      </c>
    </row>
    <row r="3300" spans="1:10" ht="28.9" customHeight="1" thickTop="1" thickBot="1" x14ac:dyDescent="0.65">
      <c r="A3300" s="3">
        <v>3298</v>
      </c>
      <c r="B3300" s="44" t="str">
        <f>HYPERLINK("https://search.naver.com/search.naver?query=해적 도깨비 깃발 영화", "해적 도깨비 깃발")</f>
        <v>해적 도깨비 깃발</v>
      </c>
      <c r="C3300" s="45">
        <v>6.09</v>
      </c>
      <c r="D3300" s="4" t="s">
        <v>3317</v>
      </c>
      <c r="E3300" s="3" t="s">
        <v>11</v>
      </c>
      <c r="F3300" s="3">
        <v>2022</v>
      </c>
      <c r="G3300" s="3" t="s">
        <v>12</v>
      </c>
      <c r="H3300" s="3" t="s">
        <v>92</v>
      </c>
      <c r="I3300" s="3" t="s">
        <v>78</v>
      </c>
      <c r="J3300" s="97" t="s">
        <v>3445</v>
      </c>
    </row>
    <row r="3301" spans="1:10" ht="28.9" customHeight="1" thickTop="1" thickBot="1" x14ac:dyDescent="0.65">
      <c r="A3301" s="5">
        <v>3299</v>
      </c>
      <c r="B3301" s="46" t="str">
        <f>HYPERLINK("https://search.naver.com/search.naver?query=해치지않아 영화", "해치지않아")</f>
        <v>해치지않아</v>
      </c>
      <c r="C3301" s="47">
        <v>7.29</v>
      </c>
      <c r="D3301" s="6" t="s">
        <v>3318</v>
      </c>
      <c r="E3301" s="5" t="s">
        <v>11</v>
      </c>
      <c r="F3301" s="5">
        <v>2019</v>
      </c>
      <c r="G3301" s="5" t="s">
        <v>12</v>
      </c>
      <c r="H3301" s="5" t="s">
        <v>68</v>
      </c>
      <c r="I3301" s="5" t="s">
        <v>14</v>
      </c>
      <c r="J3301" s="98" t="s">
        <v>3444</v>
      </c>
    </row>
    <row r="3302" spans="1:10" ht="28.9" customHeight="1" thickTop="1" thickBot="1" x14ac:dyDescent="0.65">
      <c r="A3302" s="3">
        <v>3300</v>
      </c>
      <c r="B3302" s="44" t="str">
        <f>HYPERLINK("https://search.naver.com/search.naver?query=해피 뉴 이어 영화", "해피 뉴 이어")</f>
        <v>해피 뉴 이어</v>
      </c>
      <c r="C3302" s="45">
        <v>6.51</v>
      </c>
      <c r="D3302" s="4" t="s">
        <v>3319</v>
      </c>
      <c r="E3302" s="3" t="s">
        <v>11</v>
      </c>
      <c r="F3302" s="3">
        <v>2021</v>
      </c>
      <c r="G3302" s="3" t="s">
        <v>12</v>
      </c>
      <c r="H3302" s="3" t="s">
        <v>121</v>
      </c>
      <c r="I3302" s="3" t="s">
        <v>619</v>
      </c>
      <c r="J3302" s="97" t="s">
        <v>3438</v>
      </c>
    </row>
    <row r="3303" spans="1:10" ht="28.9" customHeight="1" thickTop="1" thickBot="1" x14ac:dyDescent="0.65">
      <c r="A3303" s="5">
        <v>3301</v>
      </c>
      <c r="B3303" s="46" t="str">
        <f>HYPERLINK("https://search.naver.com/search.naver?query=해피 데스데이1", "해피 데스데이")</f>
        <v>해피 데스데이</v>
      </c>
      <c r="C3303" s="47">
        <v>8.32</v>
      </c>
      <c r="D3303" s="6" t="s">
        <v>3320</v>
      </c>
      <c r="E3303" s="5" t="s">
        <v>20</v>
      </c>
      <c r="F3303" s="5">
        <v>2017</v>
      </c>
      <c r="G3303" s="5" t="s">
        <v>12</v>
      </c>
      <c r="H3303" s="5" t="s">
        <v>252</v>
      </c>
      <c r="I3303" s="5" t="s">
        <v>61</v>
      </c>
      <c r="J3303" s="98" t="s">
        <v>3443</v>
      </c>
    </row>
    <row r="3304" spans="1:10" ht="28.9" customHeight="1" thickTop="1" thickBot="1" x14ac:dyDescent="0.65">
      <c r="A3304" s="3">
        <v>3302</v>
      </c>
      <c r="B3304" s="44" t="str">
        <f>HYPERLINK("https://search.naver.com/search.naver?query=해피 디 데이 영화", "해피 디 데이")</f>
        <v>해피 디 데이</v>
      </c>
      <c r="C3304" s="45">
        <v>8.86</v>
      </c>
      <c r="D3304" s="4" t="s">
        <v>3321</v>
      </c>
      <c r="E3304" s="3" t="s">
        <v>20</v>
      </c>
      <c r="F3304" s="3">
        <v>2020</v>
      </c>
      <c r="G3304" s="3" t="s">
        <v>12</v>
      </c>
      <c r="H3304" s="3" t="s">
        <v>17</v>
      </c>
      <c r="I3304" s="3" t="s">
        <v>73</v>
      </c>
      <c r="J3304" s="97" t="s">
        <v>3436</v>
      </c>
    </row>
    <row r="3305" spans="1:10" ht="28.9" customHeight="1" thickTop="1" thickBot="1" x14ac:dyDescent="0.65">
      <c r="A3305" s="5">
        <v>3303</v>
      </c>
      <c r="B3305" s="46" t="str">
        <f>HYPERLINK("https://search.naver.com/search.naver?query=해피 아워 영화", "해피 아워")</f>
        <v>해피 아워</v>
      </c>
      <c r="C3305" s="47">
        <v>8.8000000000000007</v>
      </c>
      <c r="D3305" s="6" t="s">
        <v>3322</v>
      </c>
      <c r="E3305" s="5" t="s">
        <v>16</v>
      </c>
      <c r="F3305" s="5">
        <v>2015</v>
      </c>
      <c r="G3305" s="5" t="s">
        <v>12</v>
      </c>
      <c r="H3305" s="5" t="s">
        <v>17</v>
      </c>
      <c r="I3305" s="5" t="s">
        <v>3323</v>
      </c>
      <c r="J3305" s="98" t="s">
        <v>3440</v>
      </c>
    </row>
    <row r="3306" spans="1:10" ht="28.9" customHeight="1" thickTop="1" thickBot="1" x14ac:dyDescent="0.65">
      <c r="A3306" s="3">
        <v>3304</v>
      </c>
      <c r="B3306" s="44" t="str">
        <f>HYPERLINK("https://search.naver.com/search.naver?query=해피 어게인 영화", "해피 어게인")</f>
        <v>해피 어게인</v>
      </c>
      <c r="C3306" s="45">
        <v>8.83</v>
      </c>
      <c r="D3306" s="4" t="s">
        <v>3324</v>
      </c>
      <c r="E3306" s="3" t="s">
        <v>20</v>
      </c>
      <c r="F3306" s="3">
        <v>2018</v>
      </c>
      <c r="G3306" s="3" t="s">
        <v>12</v>
      </c>
      <c r="H3306" s="3" t="s">
        <v>17</v>
      </c>
      <c r="I3306" s="3" t="s">
        <v>81</v>
      </c>
      <c r="J3306" s="97" t="s">
        <v>3442</v>
      </c>
    </row>
    <row r="3307" spans="1:10" ht="28.9" customHeight="1" thickTop="1" thickBot="1" x14ac:dyDescent="0.65">
      <c r="A3307" s="5">
        <v>3305</v>
      </c>
      <c r="B3307" s="46" t="str">
        <f>HYPERLINK("https://search.naver.com/search.naver?query=해피 엔드 영화", "해피 엔드")</f>
        <v>해피 엔드</v>
      </c>
      <c r="C3307" s="47">
        <v>8.07</v>
      </c>
      <c r="D3307" s="6" t="s">
        <v>3325</v>
      </c>
      <c r="E3307" s="5" t="s">
        <v>11</v>
      </c>
      <c r="F3307" s="5">
        <v>1999</v>
      </c>
      <c r="G3307" s="5" t="s">
        <v>12</v>
      </c>
      <c r="H3307" s="5" t="s">
        <v>17</v>
      </c>
      <c r="I3307" s="5" t="s">
        <v>81</v>
      </c>
      <c r="J3307" s="98" t="s">
        <v>3456</v>
      </c>
    </row>
    <row r="3308" spans="1:10" ht="28.9" customHeight="1" thickTop="1" thickBot="1" x14ac:dyDescent="0.65">
      <c r="A3308" s="3">
        <v>3306</v>
      </c>
      <c r="B3308" s="44" t="str">
        <f>HYPERLINK("https://search.naver.com/search.naver?query=해피 플라이트 영화", "해피 플라이트")</f>
        <v>해피 플라이트</v>
      </c>
      <c r="C3308" s="45">
        <v>8.15</v>
      </c>
      <c r="D3308" s="4" t="s">
        <v>3326</v>
      </c>
      <c r="E3308" s="3" t="s">
        <v>16</v>
      </c>
      <c r="F3308" s="3">
        <v>2008</v>
      </c>
      <c r="G3308" s="3" t="s">
        <v>12</v>
      </c>
      <c r="H3308" s="3" t="s">
        <v>68</v>
      </c>
      <c r="I3308" s="3" t="s">
        <v>190</v>
      </c>
      <c r="J3308" s="97" t="s">
        <v>3450</v>
      </c>
    </row>
    <row r="3309" spans="1:10" ht="28.9" customHeight="1" thickTop="1" thickBot="1" x14ac:dyDescent="0.65">
      <c r="A3309" s="5">
        <v>3307</v>
      </c>
      <c r="B3309" s="46" t="str">
        <f>HYPERLINK("https://search.naver.com/search.naver?query=해피 해피 브레드 영화", "해피 해피 브레드")</f>
        <v>해피 해피 브레드</v>
      </c>
      <c r="C3309" s="47">
        <v>7.71</v>
      </c>
      <c r="D3309" s="6" t="s">
        <v>3327</v>
      </c>
      <c r="E3309" s="5" t="s">
        <v>16</v>
      </c>
      <c r="F3309" s="5">
        <v>2012</v>
      </c>
      <c r="G3309" s="5" t="s">
        <v>12</v>
      </c>
      <c r="H3309" s="5" t="s">
        <v>17</v>
      </c>
      <c r="I3309" s="5" t="s">
        <v>111</v>
      </c>
      <c r="J3309" s="98" t="s">
        <v>3439</v>
      </c>
    </row>
    <row r="3310" spans="1:10" ht="28.9" customHeight="1" thickTop="1" thickBot="1" x14ac:dyDescent="0.65">
      <c r="A3310" s="3">
        <v>3308</v>
      </c>
      <c r="B3310" s="44" t="str">
        <f>HYPERLINK("https://search.naver.com/search.naver?query=해피엔딩 프로젝트 영화", "해피엔딩 프로젝트")</f>
        <v>해피엔딩 프로젝트</v>
      </c>
      <c r="C3310" s="45">
        <v>8.1300000000000008</v>
      </c>
      <c r="D3310" s="4" t="s">
        <v>3328</v>
      </c>
      <c r="E3310" s="3" t="s">
        <v>16</v>
      </c>
      <c r="F3310" s="3">
        <v>2012</v>
      </c>
      <c r="G3310" s="3" t="s">
        <v>12</v>
      </c>
      <c r="H3310" s="3" t="s">
        <v>17</v>
      </c>
      <c r="I3310" s="3" t="s">
        <v>111</v>
      </c>
      <c r="J3310" s="97" t="s">
        <v>3439</v>
      </c>
    </row>
    <row r="3311" spans="1:10" ht="28.9" customHeight="1" thickTop="1" thickBot="1" x14ac:dyDescent="0.65">
      <c r="A3311" s="5">
        <v>3309</v>
      </c>
      <c r="B3311" s="46" t="str">
        <f>HYPERLINK("https://search.naver.com/search.naver?query=핵소 고지 영화", "핵소 고지")</f>
        <v>핵소 고지</v>
      </c>
      <c r="C3311" s="47">
        <v>9.1999999999999993</v>
      </c>
      <c r="D3311" s="6" t="s">
        <v>3329</v>
      </c>
      <c r="E3311" s="5" t="s">
        <v>20</v>
      </c>
      <c r="F3311" s="5">
        <v>2016</v>
      </c>
      <c r="G3311" s="5" t="s">
        <v>12</v>
      </c>
      <c r="H3311" s="5" t="s">
        <v>721</v>
      </c>
      <c r="I3311" s="5" t="s">
        <v>305</v>
      </c>
      <c r="J3311" s="98" t="s">
        <v>3441</v>
      </c>
    </row>
    <row r="3312" spans="1:10" ht="28.9" customHeight="1" thickTop="1" thickBot="1" x14ac:dyDescent="0.65">
      <c r="A3312" s="3">
        <v>3310</v>
      </c>
      <c r="B3312" s="44" t="str">
        <f>HYPERLINK("https://search.naver.com/search.naver?query=핸즈 오브 스톤 영화", "핸즈 오브 스톤")</f>
        <v>핸즈 오브 스톤</v>
      </c>
      <c r="C3312" s="45">
        <v>8.43</v>
      </c>
      <c r="D3312" s="4" t="s">
        <v>3330</v>
      </c>
      <c r="E3312" s="3" t="s">
        <v>20</v>
      </c>
      <c r="F3312" s="3">
        <v>2016</v>
      </c>
      <c r="G3312" s="3" t="s">
        <v>12</v>
      </c>
      <c r="H3312" s="3" t="s">
        <v>17</v>
      </c>
      <c r="I3312" s="3" t="s">
        <v>102</v>
      </c>
      <c r="J3312" s="97" t="s">
        <v>3441</v>
      </c>
    </row>
    <row r="3313" spans="1:10" ht="28.9" customHeight="1" thickTop="1" thickBot="1" x14ac:dyDescent="0.65">
      <c r="A3313" s="5">
        <v>3311</v>
      </c>
      <c r="B3313" s="46" t="str">
        <f>HYPERLINK("https://search.naver.com/search.naver?query=행복 영화", "행복")</f>
        <v>행복</v>
      </c>
      <c r="C3313" s="47">
        <v>7.95</v>
      </c>
      <c r="D3313" s="6" t="s">
        <v>3331</v>
      </c>
      <c r="E3313" s="5" t="s">
        <v>11</v>
      </c>
      <c r="F3313" s="5">
        <v>2007</v>
      </c>
      <c r="G3313" s="5" t="s">
        <v>12</v>
      </c>
      <c r="H3313" s="5" t="s">
        <v>17</v>
      </c>
      <c r="I3313" s="5" t="s">
        <v>134</v>
      </c>
      <c r="J3313" s="98" t="s">
        <v>3447</v>
      </c>
    </row>
    <row r="3314" spans="1:10" ht="28.9" customHeight="1" thickTop="1" thickBot="1" x14ac:dyDescent="0.65">
      <c r="A3314" s="3">
        <v>3312</v>
      </c>
      <c r="B3314" s="44" t="str">
        <f>HYPERLINK("https://search.naver.com/search.naver?query=행복 목욕탕 영화", "행복 목욕탕")</f>
        <v>행복 목욕탕</v>
      </c>
      <c r="C3314" s="45">
        <v>8.94</v>
      </c>
      <c r="D3314" s="4" t="s">
        <v>3332</v>
      </c>
      <c r="E3314" s="3" t="s">
        <v>16</v>
      </c>
      <c r="F3314" s="3">
        <v>2017</v>
      </c>
      <c r="G3314" s="3" t="s">
        <v>12</v>
      </c>
      <c r="H3314" s="3" t="s">
        <v>17</v>
      </c>
      <c r="I3314" s="3" t="s">
        <v>214</v>
      </c>
      <c r="J3314" s="97" t="s">
        <v>3443</v>
      </c>
    </row>
    <row r="3315" spans="1:10" ht="28.9" customHeight="1" thickTop="1" thickBot="1" x14ac:dyDescent="0.65">
      <c r="A3315" s="5">
        <v>3313</v>
      </c>
      <c r="B3315" s="46" t="str">
        <f>HYPERLINK("https://search.naver.com/search.naver?query=행복까지 30일 영화", "행복까지 30일")</f>
        <v>행복까지 30일</v>
      </c>
      <c r="C3315" s="47">
        <v>9.57</v>
      </c>
      <c r="D3315" s="6" t="s">
        <v>3333</v>
      </c>
      <c r="E3315" s="5" t="s">
        <v>101</v>
      </c>
      <c r="F3315" s="5">
        <v>2015</v>
      </c>
      <c r="G3315" s="5" t="s">
        <v>12</v>
      </c>
      <c r="H3315" s="5" t="s">
        <v>17</v>
      </c>
      <c r="I3315" s="5" t="s">
        <v>111</v>
      </c>
      <c r="J3315" s="98" t="s">
        <v>3440</v>
      </c>
    </row>
    <row r="3316" spans="1:10" ht="28.9" customHeight="1" thickTop="1" thickBot="1" x14ac:dyDescent="0.65">
      <c r="A3316" s="3">
        <v>3314</v>
      </c>
      <c r="B3316" s="44" t="str">
        <f>HYPERLINK("https://search.naver.com/search.naver?query=행복의 나라 영화", "행복의 나라")</f>
        <v>행복의 나라</v>
      </c>
      <c r="C3316" s="45">
        <v>7.37</v>
      </c>
      <c r="D3316" s="4" t="s">
        <v>3334</v>
      </c>
      <c r="E3316" s="3" t="s">
        <v>11</v>
      </c>
      <c r="F3316" s="3">
        <v>2024</v>
      </c>
      <c r="G3316" s="3" t="s">
        <v>12</v>
      </c>
      <c r="H3316" s="3" t="s">
        <v>17</v>
      </c>
      <c r="I3316" s="3" t="s">
        <v>96</v>
      </c>
      <c r="J3316" s="97" t="s">
        <v>3448</v>
      </c>
    </row>
    <row r="3317" spans="1:10" ht="28.9" customHeight="1" thickTop="1" thickBot="1" x14ac:dyDescent="0.65">
      <c r="A3317" s="5">
        <v>3315</v>
      </c>
      <c r="B3317" s="46" t="str">
        <f>HYPERLINK("https://search.daum.net/search?nil_suggest=btn&amp;w=tot&amp;DA=SBC&amp;q=%ED%96%89%EB%B3%B5%EC%9D%98+%ED%96%A5%EA%B8%B0+%EC%98%81%ED%99%94", "행복의 향기")</f>
        <v>행복의 향기</v>
      </c>
      <c r="C3317" s="47">
        <v>7</v>
      </c>
      <c r="D3317" s="6" t="s">
        <v>3335</v>
      </c>
      <c r="E3317" s="5" t="s">
        <v>16</v>
      </c>
      <c r="F3317" s="5">
        <v>2008</v>
      </c>
      <c r="G3317" s="5" t="s">
        <v>12</v>
      </c>
      <c r="H3317" s="5" t="s">
        <v>17</v>
      </c>
      <c r="I3317" s="5" t="s">
        <v>128</v>
      </c>
      <c r="J3317" s="98" t="s">
        <v>3450</v>
      </c>
    </row>
    <row r="3318" spans="1:10" ht="28.9" customHeight="1" thickTop="1" thickBot="1" x14ac:dyDescent="0.65">
      <c r="A3318" s="3">
        <v>3316</v>
      </c>
      <c r="B3318" s="44" t="str">
        <f>HYPERLINK("https://search.naver.com/search.naver?query=행복한 사전 영화", "행복한 사전")</f>
        <v>행복한 사전</v>
      </c>
      <c r="C3318" s="45">
        <v>8.67</v>
      </c>
      <c r="D3318" s="4" t="s">
        <v>3336</v>
      </c>
      <c r="E3318" s="3" t="s">
        <v>16</v>
      </c>
      <c r="F3318" s="3">
        <v>2014</v>
      </c>
      <c r="G3318" s="3" t="s">
        <v>12</v>
      </c>
      <c r="H3318" s="3" t="s">
        <v>17</v>
      </c>
      <c r="I3318" s="3" t="s">
        <v>83</v>
      </c>
      <c r="J3318" s="97" t="s">
        <v>3437</v>
      </c>
    </row>
    <row r="3319" spans="1:10" ht="28.9" customHeight="1" thickTop="1" thickBot="1" x14ac:dyDescent="0.65">
      <c r="A3319" s="5">
        <v>3317</v>
      </c>
      <c r="B3319" s="46" t="str">
        <f>HYPERLINK("https://search.naver.com/search.naver?query=행복한 장의사 영화", "행복한 장의사")</f>
        <v>행복한 장의사</v>
      </c>
      <c r="C3319" s="47">
        <v>8.8000000000000007</v>
      </c>
      <c r="D3319" s="6" t="s">
        <v>3337</v>
      </c>
      <c r="E3319" s="5" t="s">
        <v>11</v>
      </c>
      <c r="F3319" s="5">
        <v>1999</v>
      </c>
      <c r="G3319" s="5" t="s">
        <v>12</v>
      </c>
      <c r="H3319" s="5" t="s">
        <v>17</v>
      </c>
      <c r="I3319" s="5" t="s">
        <v>111</v>
      </c>
      <c r="J3319" s="98" t="s">
        <v>3456</v>
      </c>
    </row>
    <row r="3320" spans="1:10" ht="28.9" customHeight="1" thickTop="1" thickBot="1" x14ac:dyDescent="0.65">
      <c r="A3320" s="3">
        <v>3318</v>
      </c>
      <c r="B3320" s="44" t="str">
        <f>HYPERLINK("https://search.naver.com/search.naver?query=허리케인 하이스트 영화", "허리케인 하이스트")</f>
        <v>허리케인 하이스트</v>
      </c>
      <c r="C3320" s="45">
        <v>8.48</v>
      </c>
      <c r="D3320" s="4" t="s">
        <v>3338</v>
      </c>
      <c r="E3320" s="3" t="s">
        <v>20</v>
      </c>
      <c r="F3320" s="3">
        <v>2018</v>
      </c>
      <c r="G3320" s="3" t="s">
        <v>12</v>
      </c>
      <c r="H3320" s="3" t="s">
        <v>92</v>
      </c>
      <c r="I3320" s="3" t="s">
        <v>190</v>
      </c>
      <c r="J3320" s="97" t="s">
        <v>3442</v>
      </c>
    </row>
    <row r="3321" spans="1:10" ht="28.9" customHeight="1" thickTop="1" thickBot="1" x14ac:dyDescent="0.65">
      <c r="A3321" s="5">
        <v>3319</v>
      </c>
      <c r="B3321" s="46" t="str">
        <f>HYPERLINK("https://search.naver.com/search.naver?query=허삼관 영화", "허삼관")</f>
        <v>허삼관</v>
      </c>
      <c r="C3321" s="47">
        <v>7.61</v>
      </c>
      <c r="D3321" s="6" t="s">
        <v>3339</v>
      </c>
      <c r="E3321" s="5" t="s">
        <v>11</v>
      </c>
      <c r="F3321" s="5">
        <v>2014</v>
      </c>
      <c r="G3321" s="5" t="s">
        <v>12</v>
      </c>
      <c r="H3321" s="5" t="s">
        <v>17</v>
      </c>
      <c r="I3321" s="5" t="s">
        <v>78</v>
      </c>
      <c r="J3321" s="98" t="s">
        <v>3437</v>
      </c>
    </row>
    <row r="3322" spans="1:10" ht="28.9" customHeight="1" thickTop="1" thickBot="1" x14ac:dyDescent="0.65">
      <c r="A3322" s="3">
        <v>3320</v>
      </c>
      <c r="B3322" s="44" t="str">
        <f>HYPERLINK("https://search.naver.com/search.naver?query=허슬러 영화", "허슬러")</f>
        <v>허슬러</v>
      </c>
      <c r="C3322" s="45">
        <v>7.41</v>
      </c>
      <c r="D3322" s="4" t="s">
        <v>862</v>
      </c>
      <c r="E3322" s="3" t="s">
        <v>20</v>
      </c>
      <c r="F3322" s="3">
        <v>2019</v>
      </c>
      <c r="G3322" s="3" t="s">
        <v>12</v>
      </c>
      <c r="H3322" s="3" t="s">
        <v>68</v>
      </c>
      <c r="I3322" s="3" t="s">
        <v>93</v>
      </c>
      <c r="J3322" s="97" t="s">
        <v>3444</v>
      </c>
    </row>
    <row r="3323" spans="1:10" ht="28.9" customHeight="1" thickTop="1" thickBot="1" x14ac:dyDescent="0.65">
      <c r="A3323" s="5">
        <v>3321</v>
      </c>
      <c r="B3323" s="46" t="str">
        <f>HYPERLINK("https://search.naver.com/search.naver?query=허큘리스 영화", "허큘리스")</f>
        <v>허큘리스</v>
      </c>
      <c r="C3323" s="47">
        <v>7.2</v>
      </c>
      <c r="D3323" s="6" t="s">
        <v>3340</v>
      </c>
      <c r="E3323" s="5" t="s">
        <v>20</v>
      </c>
      <c r="F3323" s="5">
        <v>2014</v>
      </c>
      <c r="G3323" s="5" t="s">
        <v>12</v>
      </c>
      <c r="H3323" s="5" t="s">
        <v>92</v>
      </c>
      <c r="I3323" s="5" t="s">
        <v>14</v>
      </c>
      <c r="J3323" s="98" t="s">
        <v>3437</v>
      </c>
    </row>
    <row r="3324" spans="1:10" ht="28.9" customHeight="1" thickTop="1" thickBot="1" x14ac:dyDescent="0.65">
      <c r="A3324" s="3">
        <v>3322</v>
      </c>
      <c r="B3324" s="44" t="str">
        <f>HYPERLINK("https://search.naver.com/search.naver?query=헌터 영화", "헌터")</f>
        <v>헌터</v>
      </c>
      <c r="C3324" s="45"/>
      <c r="D3324" s="4" t="s">
        <v>3341</v>
      </c>
      <c r="E3324" s="3" t="s">
        <v>36</v>
      </c>
      <c r="F3324" s="3">
        <v>2011</v>
      </c>
      <c r="G3324" s="3" t="s">
        <v>12</v>
      </c>
      <c r="H3324" s="3" t="s">
        <v>43</v>
      </c>
      <c r="I3324" s="3" t="s">
        <v>99</v>
      </c>
      <c r="J3324" s="97" t="s">
        <v>3454</v>
      </c>
    </row>
    <row r="3325" spans="1:10" ht="28.9" customHeight="1" thickTop="1" thickBot="1" x14ac:dyDescent="0.65">
      <c r="A3325" s="5">
        <v>3323</v>
      </c>
      <c r="B3325" s="46" t="str">
        <f>HYPERLINK("https://search.naver.com/search.naver?query=헌터 킬러 영화", "헌터 킬러")</f>
        <v>헌터 킬러</v>
      </c>
      <c r="C3325" s="47">
        <v>9</v>
      </c>
      <c r="D3325" s="6" t="s">
        <v>3342</v>
      </c>
      <c r="E3325" s="5" t="s">
        <v>20</v>
      </c>
      <c r="F3325" s="5">
        <v>2018</v>
      </c>
      <c r="G3325" s="5" t="s">
        <v>12</v>
      </c>
      <c r="H3325" s="5" t="s">
        <v>92</v>
      </c>
      <c r="I3325" s="5" t="s">
        <v>142</v>
      </c>
      <c r="J3325" s="98" t="s">
        <v>3442</v>
      </c>
    </row>
    <row r="3326" spans="1:10" ht="28.9" customHeight="1" thickTop="1" thickBot="1" x14ac:dyDescent="0.65">
      <c r="A3326" s="3">
        <v>3324</v>
      </c>
      <c r="B3326" s="44" t="str">
        <f>HYPERLINK("https://search.naver.com/search.naver?query=헌터 헌터 영화", "헌터 헌터")</f>
        <v>헌터 헌터</v>
      </c>
      <c r="C3326" s="45">
        <v>3.32</v>
      </c>
      <c r="D3326" s="4" t="s">
        <v>3343</v>
      </c>
      <c r="E3326" s="3" t="s">
        <v>20</v>
      </c>
      <c r="F3326" s="3">
        <v>2020</v>
      </c>
      <c r="G3326" s="3" t="s">
        <v>12</v>
      </c>
      <c r="H3326" s="3" t="s">
        <v>43</v>
      </c>
      <c r="I3326" s="3" t="s">
        <v>93</v>
      </c>
      <c r="J3326" s="97" t="s">
        <v>3436</v>
      </c>
    </row>
    <row r="3327" spans="1:10" ht="28.9" customHeight="1" thickTop="1" thickBot="1" x14ac:dyDescent="0.65">
      <c r="A3327" s="5">
        <v>3325</v>
      </c>
      <c r="B3327" s="46" t="str">
        <f>HYPERLINK("https://search.naver.com/search.naver?query=헌트 영화", "헌트")</f>
        <v>헌트</v>
      </c>
      <c r="C3327" s="47">
        <v>8.39</v>
      </c>
      <c r="D3327" s="6" t="s">
        <v>3344</v>
      </c>
      <c r="E3327" s="5" t="s">
        <v>11</v>
      </c>
      <c r="F3327" s="5">
        <v>2022</v>
      </c>
      <c r="G3327" s="5" t="s">
        <v>12</v>
      </c>
      <c r="H3327" s="5" t="s">
        <v>92</v>
      </c>
      <c r="I3327" s="5" t="s">
        <v>214</v>
      </c>
      <c r="J3327" s="98" t="s">
        <v>3445</v>
      </c>
    </row>
    <row r="3328" spans="1:10" ht="28.9" customHeight="1" thickTop="1" thickBot="1" x14ac:dyDescent="0.65">
      <c r="A3328" s="3">
        <v>3326</v>
      </c>
      <c r="B3328" s="44" t="str">
        <f>HYPERLINK("https://search.naver.com/search.naver?query=헤드헌터 영화", "헤드헌터")</f>
        <v>헤드헌터</v>
      </c>
      <c r="C3328" s="45">
        <v>9</v>
      </c>
      <c r="D3328" s="4" t="s">
        <v>3345</v>
      </c>
      <c r="E3328" s="3" t="s">
        <v>39</v>
      </c>
      <c r="F3328" s="3">
        <v>2011</v>
      </c>
      <c r="G3328" s="3" t="s">
        <v>12</v>
      </c>
      <c r="H3328" s="3" t="s">
        <v>277</v>
      </c>
      <c r="I3328" s="3" t="s">
        <v>131</v>
      </c>
      <c r="J3328" s="97" t="s">
        <v>3454</v>
      </c>
    </row>
    <row r="3329" spans="1:10" ht="28.9" customHeight="1" thickTop="1" thickBot="1" x14ac:dyDescent="0.65">
      <c r="A3329" s="5">
        <v>3327</v>
      </c>
      <c r="B3329" s="46" t="str">
        <f>HYPERLINK("https://search.naver.com/search.naver?query=헤라클레스 레전드 비긴즈 영화", "헤라클레스-레전드 비긴즈")</f>
        <v>헤라클레스-레전드 비긴즈</v>
      </c>
      <c r="C3329" s="47">
        <v>6.11</v>
      </c>
      <c r="D3329" s="6" t="s">
        <v>3346</v>
      </c>
      <c r="E3329" s="5" t="s">
        <v>20</v>
      </c>
      <c r="F3329" s="5">
        <v>2014</v>
      </c>
      <c r="G3329" s="5" t="s">
        <v>12</v>
      </c>
      <c r="H3329" s="5" t="s">
        <v>92</v>
      </c>
      <c r="I3329" s="5" t="s">
        <v>81</v>
      </c>
      <c r="J3329" s="98" t="s">
        <v>3437</v>
      </c>
    </row>
    <row r="3330" spans="1:10" ht="28.9" customHeight="1" thickTop="1" thickBot="1" x14ac:dyDescent="0.65">
      <c r="A3330" s="3">
        <v>3328</v>
      </c>
      <c r="B3330" s="44" t="str">
        <f>HYPERLINK("https://search.naver.com/search.naver?query=헤밍웨이 &amp; 겔혼 영화", "헤밍웨이 &amp; 겔혼")</f>
        <v>헤밍웨이 &amp; 겔혼</v>
      </c>
      <c r="C3330" s="45">
        <v>6.94</v>
      </c>
      <c r="D3330" s="4" t="s">
        <v>3347</v>
      </c>
      <c r="E3330" s="3" t="s">
        <v>20</v>
      </c>
      <c r="F3330" s="3">
        <v>2012</v>
      </c>
      <c r="G3330" s="3" t="s">
        <v>12</v>
      </c>
      <c r="H3330" s="3" t="s">
        <v>17</v>
      </c>
      <c r="I3330" s="3" t="s">
        <v>214</v>
      </c>
      <c r="J3330" s="97" t="s">
        <v>3439</v>
      </c>
    </row>
    <row r="3331" spans="1:10" ht="28.9" customHeight="1" thickTop="1" thickBot="1" x14ac:dyDescent="0.65">
      <c r="A3331" s="5">
        <v>3329</v>
      </c>
      <c r="B3331" s="46" t="str">
        <f>HYPERLINK("https://search.naver.com/search.naver?query=헤밍웨이 인 하바나 영화", "헤밍웨이 인 하바나")</f>
        <v>헤밍웨이 인 하바나</v>
      </c>
      <c r="C3331" s="47">
        <v>8.73</v>
      </c>
      <c r="D3331" s="6" t="s">
        <v>3348</v>
      </c>
      <c r="E3331" s="5" t="s">
        <v>20</v>
      </c>
      <c r="F3331" s="5">
        <v>2015</v>
      </c>
      <c r="G3331" s="5" t="s">
        <v>12</v>
      </c>
      <c r="H3331" s="5" t="s">
        <v>17</v>
      </c>
      <c r="I3331" s="5" t="s">
        <v>111</v>
      </c>
      <c r="J3331" s="98" t="s">
        <v>3440</v>
      </c>
    </row>
    <row r="3332" spans="1:10" ht="28.9" customHeight="1" thickTop="1" thickBot="1" x14ac:dyDescent="0.65">
      <c r="A3332" s="3">
        <v>3330</v>
      </c>
      <c r="B3332" s="44" t="str">
        <f>HYPERLINK("https://search.naver.com/search.naver?query=헤어질 결심 영화", "헤어질 결심")</f>
        <v>헤어질 결심</v>
      </c>
      <c r="C3332" s="45">
        <v>8.9700000000000006</v>
      </c>
      <c r="D3332" s="4" t="s">
        <v>3349</v>
      </c>
      <c r="E3332" s="3" t="s">
        <v>11</v>
      </c>
      <c r="F3332" s="3">
        <v>2022</v>
      </c>
      <c r="G3332" s="3" t="s">
        <v>12</v>
      </c>
      <c r="H3332" s="3" t="s">
        <v>43</v>
      </c>
      <c r="I3332" s="3" t="s">
        <v>619</v>
      </c>
      <c r="J3332" s="97" t="s">
        <v>3445</v>
      </c>
    </row>
    <row r="3333" spans="1:10" ht="28.9" customHeight="1" thickTop="1" thickBot="1" x14ac:dyDescent="0.65">
      <c r="A3333" s="5">
        <v>3331</v>
      </c>
      <c r="B3333" s="46" t="str">
        <f>HYPERLINK("https://search.naver.com/search.naver?query=헤이와이어 영화", "헤이와이어")</f>
        <v>헤이와이어</v>
      </c>
      <c r="C3333" s="47">
        <v>6.74</v>
      </c>
      <c r="D3333" s="6" t="s">
        <v>3350</v>
      </c>
      <c r="E3333" s="5" t="s">
        <v>20</v>
      </c>
      <c r="F3333" s="5">
        <v>2011</v>
      </c>
      <c r="G3333" s="5" t="s">
        <v>12</v>
      </c>
      <c r="H3333" s="5" t="s">
        <v>92</v>
      </c>
      <c r="I3333" s="5" t="s">
        <v>93</v>
      </c>
      <c r="J3333" s="98" t="s">
        <v>3454</v>
      </c>
    </row>
    <row r="3334" spans="1:10" ht="28.9" customHeight="1" thickTop="1" thickBot="1" x14ac:dyDescent="0.65">
      <c r="A3334" s="3">
        <v>3332</v>
      </c>
      <c r="B3334" s="44" t="str">
        <f>HYPERLINK("https://search.naver.com/search.naver?query=헨리스 크라임 영화", "헨리스 크라임")</f>
        <v>헨리스 크라임</v>
      </c>
      <c r="C3334" s="45">
        <v>6.9</v>
      </c>
      <c r="D3334" s="4" t="s">
        <v>3351</v>
      </c>
      <c r="E3334" s="3" t="s">
        <v>20</v>
      </c>
      <c r="F3334" s="3">
        <v>2010</v>
      </c>
      <c r="G3334" s="3" t="s">
        <v>12</v>
      </c>
      <c r="H3334" s="3" t="s">
        <v>68</v>
      </c>
      <c r="I3334" s="3" t="s">
        <v>31</v>
      </c>
      <c r="J3334" s="97" t="s">
        <v>3455</v>
      </c>
    </row>
    <row r="3335" spans="1:10" ht="28.9" customHeight="1" thickTop="1" thickBot="1" x14ac:dyDescent="0.65">
      <c r="A3335" s="5">
        <v>3333</v>
      </c>
      <c r="B3335" s="46" t="str">
        <f>HYPERLINK("https://search.naver.com/search.naver?query=헬머니 영화", "헬머니")</f>
        <v>헬머니</v>
      </c>
      <c r="C3335" s="47">
        <v>7.51</v>
      </c>
      <c r="D3335" s="6" t="s">
        <v>3352</v>
      </c>
      <c r="E3335" s="5" t="s">
        <v>11</v>
      </c>
      <c r="F3335" s="5">
        <v>2014</v>
      </c>
      <c r="G3335" s="5" t="s">
        <v>12</v>
      </c>
      <c r="H3335" s="5" t="s">
        <v>68</v>
      </c>
      <c r="I3335" s="5" t="s">
        <v>111</v>
      </c>
      <c r="J3335" s="98" t="s">
        <v>3437</v>
      </c>
    </row>
    <row r="3336" spans="1:10" ht="28.9" customHeight="1" thickTop="1" thickBot="1" x14ac:dyDescent="0.65">
      <c r="A3336" s="3">
        <v>3334</v>
      </c>
      <c r="B3336" s="44" t="str">
        <f>HYPERLINK("https://search.naver.com/search.naver?query=헬프 영화", "헬프")</f>
        <v>헬프</v>
      </c>
      <c r="C3336" s="45">
        <v>9.43</v>
      </c>
      <c r="D3336" s="4" t="s">
        <v>3353</v>
      </c>
      <c r="E3336" s="3" t="s">
        <v>20</v>
      </c>
      <c r="F3336" s="3">
        <v>2011</v>
      </c>
      <c r="G3336" s="3" t="s">
        <v>12</v>
      </c>
      <c r="H3336" s="3" t="s">
        <v>17</v>
      </c>
      <c r="I3336" s="3" t="s">
        <v>923</v>
      </c>
      <c r="J3336" s="97" t="s">
        <v>3454</v>
      </c>
    </row>
    <row r="3337" spans="1:10" ht="28.9" customHeight="1" thickTop="1" thickBot="1" x14ac:dyDescent="0.65">
      <c r="A3337" s="5">
        <v>3335</v>
      </c>
      <c r="B3337" s="46" t="str">
        <f>HYPERLINK("https://search.naver.com/search.naver?query=협상 영화", "협상")</f>
        <v>협상</v>
      </c>
      <c r="C3337" s="47">
        <v>8.16</v>
      </c>
      <c r="D3337" s="6" t="s">
        <v>3354</v>
      </c>
      <c r="E3337" s="5" t="s">
        <v>11</v>
      </c>
      <c r="F3337" s="5">
        <v>2018</v>
      </c>
      <c r="G3337" s="5" t="s">
        <v>12</v>
      </c>
      <c r="H3337" s="5" t="s">
        <v>92</v>
      </c>
      <c r="I3337" s="5" t="s">
        <v>207</v>
      </c>
      <c r="J3337" s="98" t="s">
        <v>3442</v>
      </c>
    </row>
    <row r="3338" spans="1:10" ht="28.9" customHeight="1" thickTop="1" thickBot="1" x14ac:dyDescent="0.65">
      <c r="A3338" s="3">
        <v>3336</v>
      </c>
      <c r="B3338" s="44" t="str">
        <f>HYPERLINK("https://search.naver.com/search.naver?query=형 영화", "형")</f>
        <v>형</v>
      </c>
      <c r="C3338" s="45">
        <v>8.92</v>
      </c>
      <c r="D3338" s="4" t="s">
        <v>3355</v>
      </c>
      <c r="E3338" s="3" t="s">
        <v>11</v>
      </c>
      <c r="F3338" s="3">
        <v>2016</v>
      </c>
      <c r="G3338" s="3" t="s">
        <v>12</v>
      </c>
      <c r="H3338" s="3" t="s">
        <v>17</v>
      </c>
      <c r="I3338" s="3" t="s">
        <v>96</v>
      </c>
      <c r="J3338" s="97" t="s">
        <v>3441</v>
      </c>
    </row>
    <row r="3339" spans="1:10" ht="28.9" customHeight="1" thickTop="1" thickBot="1" x14ac:dyDescent="0.65">
      <c r="A3339" s="7">
        <v>3337</v>
      </c>
      <c r="B3339" s="48" t="str">
        <f>HYPERLINK("https://search.naver.com/search.naver?query=형사록 시즌1", "형사록 시즌1")</f>
        <v>형사록 시즌1</v>
      </c>
      <c r="C3339" s="49"/>
      <c r="D3339" s="8" t="s">
        <v>3356</v>
      </c>
      <c r="E3339" s="7" t="s">
        <v>11</v>
      </c>
      <c r="F3339" s="7">
        <v>2022</v>
      </c>
      <c r="G3339" s="7" t="s">
        <v>17</v>
      </c>
      <c r="H3339" s="7" t="s">
        <v>17</v>
      </c>
      <c r="I3339" s="7" t="s">
        <v>55</v>
      </c>
      <c r="J3339" s="99" t="s">
        <v>3445</v>
      </c>
    </row>
    <row r="3340" spans="1:10" ht="28.9" customHeight="1" thickTop="1" thickBot="1" x14ac:dyDescent="0.65">
      <c r="A3340" s="7">
        <v>3338</v>
      </c>
      <c r="B3340" s="48" t="str">
        <f>HYPERLINK("https://search.naver.com/search.naver?query=형사록 시즌2", "형사록 시즌2")</f>
        <v>형사록 시즌2</v>
      </c>
      <c r="C3340" s="49"/>
      <c r="D3340" s="8" t="s">
        <v>3356</v>
      </c>
      <c r="E3340" s="7" t="s">
        <v>11</v>
      </c>
      <c r="F3340" s="7">
        <v>2023</v>
      </c>
      <c r="G3340" s="7" t="s">
        <v>17</v>
      </c>
      <c r="H3340" s="7" t="s">
        <v>17</v>
      </c>
      <c r="I3340" s="7" t="s">
        <v>55</v>
      </c>
      <c r="J3340" s="99" t="s">
        <v>3446</v>
      </c>
    </row>
    <row r="3341" spans="1:10" ht="28.9" customHeight="1" thickTop="1" thickBot="1" x14ac:dyDescent="0.65">
      <c r="A3341" s="5">
        <v>3339</v>
      </c>
      <c r="B3341" s="46" t="str">
        <f>HYPERLINK("https://search.naver.com/search.naver?query=호라이즌 라인 영화", "호라이즌 라인")</f>
        <v>호라이즌 라인</v>
      </c>
      <c r="C3341" s="47">
        <v>5.35</v>
      </c>
      <c r="D3341" s="6" t="s">
        <v>3357</v>
      </c>
      <c r="E3341" s="5" t="s">
        <v>611</v>
      </c>
      <c r="F3341" s="5">
        <v>2020</v>
      </c>
      <c r="G3341" s="5" t="s">
        <v>12</v>
      </c>
      <c r="H3341" s="5" t="s">
        <v>43</v>
      </c>
      <c r="I3341" s="5" t="s">
        <v>147</v>
      </c>
      <c r="J3341" s="98" t="s">
        <v>3436</v>
      </c>
    </row>
    <row r="3342" spans="1:10" ht="28.9" customHeight="1" thickTop="1" thickBot="1" x14ac:dyDescent="0.65">
      <c r="A3342" s="3">
        <v>3340</v>
      </c>
      <c r="B3342" s="44" t="str">
        <f>HYPERLINK("https://search.naver.com/search.naver?query=호로비츠를 위하여 영화", "호로비츠를 위하여")</f>
        <v>호로비츠를 위하여</v>
      </c>
      <c r="C3342" s="45">
        <v>9.1199999999999992</v>
      </c>
      <c r="D3342" s="4" t="s">
        <v>3358</v>
      </c>
      <c r="E3342" s="3" t="s">
        <v>11</v>
      </c>
      <c r="F3342" s="3">
        <v>2006</v>
      </c>
      <c r="G3342" s="3" t="s">
        <v>12</v>
      </c>
      <c r="H3342" s="3" t="s">
        <v>17</v>
      </c>
      <c r="I3342" s="3" t="s">
        <v>128</v>
      </c>
      <c r="J3342" s="97" t="s">
        <v>3460</v>
      </c>
    </row>
    <row r="3343" spans="1:10" ht="28.9" customHeight="1" thickTop="1" thickBot="1" x14ac:dyDescent="0.65">
      <c r="A3343" s="5">
        <v>3341</v>
      </c>
      <c r="B3343" s="46" t="str">
        <f>HYPERLINK("https://search.naver.com/search.naver?query=호미사이드 영화", "호미사이드")</f>
        <v>호미사이드</v>
      </c>
      <c r="C3343" s="47">
        <v>6.52</v>
      </c>
      <c r="D3343" s="6" t="s">
        <v>3359</v>
      </c>
      <c r="E3343" s="5" t="s">
        <v>20</v>
      </c>
      <c r="F3343" s="5">
        <v>1991</v>
      </c>
      <c r="G3343" s="5" t="s">
        <v>12</v>
      </c>
      <c r="H3343" s="5" t="s">
        <v>277</v>
      </c>
      <c r="I3343" s="5" t="s">
        <v>99</v>
      </c>
      <c r="J3343" s="98" t="s">
        <v>3465</v>
      </c>
    </row>
    <row r="3344" spans="1:10" ht="28.9" customHeight="1" thickTop="1" thickBot="1" x14ac:dyDescent="0.65">
      <c r="A3344" s="3">
        <v>3342</v>
      </c>
      <c r="B3344" s="44" t="str">
        <f>HYPERLINK("https://search.naver.com/search.naver?query=호박과 마요네즈 영화", "호박과 마요네즈")</f>
        <v>호박과 마요네즈</v>
      </c>
      <c r="C3344" s="45">
        <v>7.33</v>
      </c>
      <c r="D3344" s="4" t="s">
        <v>3360</v>
      </c>
      <c r="E3344" s="3" t="s">
        <v>16</v>
      </c>
      <c r="F3344" s="3">
        <v>2017</v>
      </c>
      <c r="G3344" s="3" t="s">
        <v>12</v>
      </c>
      <c r="H3344" s="3" t="s">
        <v>17</v>
      </c>
      <c r="I3344" s="3" t="s">
        <v>111</v>
      </c>
      <c r="J3344" s="97" t="s">
        <v>3443</v>
      </c>
    </row>
    <row r="3345" spans="1:10" ht="28.9" customHeight="1" thickTop="1" thickBot="1" x14ac:dyDescent="0.65">
      <c r="A3345" s="5">
        <v>3343</v>
      </c>
      <c r="B3345" s="46" t="str">
        <f>HYPERLINK("https://search.naver.com/search.naver?query=호스걸 영화", "호스걸")</f>
        <v>호스걸</v>
      </c>
      <c r="C3345" s="47">
        <v>6.4</v>
      </c>
      <c r="D3345" s="6" t="s">
        <v>3361</v>
      </c>
      <c r="E3345" s="5" t="s">
        <v>20</v>
      </c>
      <c r="F3345" s="5">
        <v>2020</v>
      </c>
      <c r="G3345" s="5" t="s">
        <v>12</v>
      </c>
      <c r="H3345" s="5" t="s">
        <v>17</v>
      </c>
      <c r="I3345" s="5" t="s">
        <v>190</v>
      </c>
      <c r="J3345" s="98" t="s">
        <v>3436</v>
      </c>
    </row>
    <row r="3346" spans="1:10" ht="28.9" customHeight="1" thickTop="1" thickBot="1" x14ac:dyDescent="0.65">
      <c r="A3346" s="7">
        <v>3344</v>
      </c>
      <c r="B3346" s="48" t="str">
        <f>HYPERLINK("https://search.naver.com/search.naver?query=호스티지 시즌1", "호스티지 시즌1")</f>
        <v>호스티지 시즌1</v>
      </c>
      <c r="C3346" s="49"/>
      <c r="D3346" s="8" t="s">
        <v>3362</v>
      </c>
      <c r="E3346" s="7" t="s">
        <v>210</v>
      </c>
      <c r="F3346" s="7">
        <v>2025</v>
      </c>
      <c r="G3346" s="7" t="s">
        <v>17</v>
      </c>
      <c r="H3346" s="7" t="s">
        <v>13</v>
      </c>
      <c r="I3346" s="7" t="s">
        <v>687</v>
      </c>
      <c r="J3346" s="99" t="s">
        <v>3459</v>
      </c>
    </row>
    <row r="3347" spans="1:10" ht="28.9" customHeight="1" thickTop="1" thickBot="1" x14ac:dyDescent="0.65">
      <c r="A3347" s="5">
        <v>3345</v>
      </c>
      <c r="B3347" s="46" t="str">
        <f>HYPERLINK("https://search.naver.com/search.naver?query=호우시절 영화", "호우시절")</f>
        <v>호우시절</v>
      </c>
      <c r="C3347" s="47">
        <v>7.48</v>
      </c>
      <c r="D3347" s="6" t="s">
        <v>1412</v>
      </c>
      <c r="E3347" s="5" t="s">
        <v>136</v>
      </c>
      <c r="F3347" s="5">
        <v>2009</v>
      </c>
      <c r="G3347" s="5" t="s">
        <v>12</v>
      </c>
      <c r="H3347" s="5" t="s">
        <v>17</v>
      </c>
      <c r="I3347" s="5" t="s">
        <v>111</v>
      </c>
      <c r="J3347" s="98" t="s">
        <v>3453</v>
      </c>
    </row>
    <row r="3348" spans="1:10" ht="28.9" customHeight="1" thickTop="1" thickBot="1" x14ac:dyDescent="0.65">
      <c r="A3348" s="3">
        <v>3346</v>
      </c>
      <c r="B3348" s="44" t="str">
        <f>HYPERLINK("https://search.naver.com/search.naver?query=호텔 르완다 영화", "호텔 르완다")</f>
        <v>호텔 르완다</v>
      </c>
      <c r="C3348" s="45">
        <v>9.09</v>
      </c>
      <c r="D3348" s="4" t="s">
        <v>3363</v>
      </c>
      <c r="E3348" s="3" t="s">
        <v>24</v>
      </c>
      <c r="F3348" s="3">
        <v>2004</v>
      </c>
      <c r="G3348" s="3" t="s">
        <v>12</v>
      </c>
      <c r="H3348" s="3" t="s">
        <v>17</v>
      </c>
      <c r="I3348" s="3" t="s">
        <v>142</v>
      </c>
      <c r="J3348" s="97" t="s">
        <v>3462</v>
      </c>
    </row>
    <row r="3349" spans="1:10" ht="28.9" customHeight="1" thickTop="1" thickBot="1" x14ac:dyDescent="0.65">
      <c r="A3349" s="5">
        <v>3347</v>
      </c>
      <c r="B3349" s="46" t="str">
        <f>HYPERLINK("https://search.naver.com/search.naver?query=호텔 뭄바이 영화", "호텔 뭄바이")</f>
        <v>호텔 뭄바이</v>
      </c>
      <c r="C3349" s="47">
        <v>9.11</v>
      </c>
      <c r="D3349" s="6" t="s">
        <v>3364</v>
      </c>
      <c r="E3349" s="5" t="s">
        <v>36</v>
      </c>
      <c r="F3349" s="5">
        <v>2018</v>
      </c>
      <c r="G3349" s="5" t="s">
        <v>12</v>
      </c>
      <c r="H3349" s="5" t="s">
        <v>17</v>
      </c>
      <c r="I3349" s="5" t="s">
        <v>214</v>
      </c>
      <c r="J3349" s="98" t="s">
        <v>3442</v>
      </c>
    </row>
    <row r="3350" spans="1:10" ht="28.9" customHeight="1" thickTop="1" thickBot="1" x14ac:dyDescent="0.65">
      <c r="A3350" s="3">
        <v>3348</v>
      </c>
      <c r="B3350" s="44" t="str">
        <f>HYPERLINK("https://search.naver.com/search.naver?query=호프 스프링즈 영화", "호프 스프링즈")</f>
        <v>호프 스프링즈</v>
      </c>
      <c r="C3350" s="45">
        <v>8.57</v>
      </c>
      <c r="D3350" s="4" t="s">
        <v>3365</v>
      </c>
      <c r="E3350" s="3" t="s">
        <v>20</v>
      </c>
      <c r="F3350" s="3">
        <v>2012</v>
      </c>
      <c r="G3350" s="3" t="s">
        <v>12</v>
      </c>
      <c r="H3350" s="3" t="s">
        <v>68</v>
      </c>
      <c r="I3350" s="3" t="s">
        <v>131</v>
      </c>
      <c r="J3350" s="97" t="s">
        <v>3439</v>
      </c>
    </row>
    <row r="3351" spans="1:10" ht="28.9" customHeight="1" thickTop="1" thickBot="1" x14ac:dyDescent="0.65">
      <c r="A3351" s="5">
        <v>3349</v>
      </c>
      <c r="B3351" s="46" t="str">
        <f>HYPERLINK("https://search.naver.com/search.naver?query=혹성탈출 반격의 서막 영화", "혹성탈출 - 반격의 서막")</f>
        <v>혹성탈출 - 반격의 서막</v>
      </c>
      <c r="C3351" s="47">
        <v>8.43</v>
      </c>
      <c r="D3351" s="6" t="s">
        <v>3366</v>
      </c>
      <c r="E3351" s="5" t="s">
        <v>20</v>
      </c>
      <c r="F3351" s="5">
        <v>2014</v>
      </c>
      <c r="G3351" s="5" t="s">
        <v>12</v>
      </c>
      <c r="H3351" s="5" t="s">
        <v>520</v>
      </c>
      <c r="I3351" s="5" t="s">
        <v>34</v>
      </c>
      <c r="J3351" s="98" t="s">
        <v>3437</v>
      </c>
    </row>
    <row r="3352" spans="1:10" ht="28.9" customHeight="1" thickTop="1" thickBot="1" x14ac:dyDescent="0.65">
      <c r="A3352" s="3">
        <v>3350</v>
      </c>
      <c r="B3352" s="44" t="str">
        <f>HYPERLINK("https://search.naver.com/search.naver?query=혹성탈출 종의 전쟁 영화", "혹성탈출 - 종의 전쟁")</f>
        <v>혹성탈출 - 종의 전쟁</v>
      </c>
      <c r="C3352" s="45">
        <v>8.15</v>
      </c>
      <c r="D3352" s="4" t="s">
        <v>3367</v>
      </c>
      <c r="E3352" s="3" t="s">
        <v>20</v>
      </c>
      <c r="F3352" s="3">
        <v>2017</v>
      </c>
      <c r="G3352" s="3" t="s">
        <v>12</v>
      </c>
      <c r="H3352" s="3" t="s">
        <v>520</v>
      </c>
      <c r="I3352" s="3" t="s">
        <v>550</v>
      </c>
      <c r="J3352" s="97" t="s">
        <v>3443</v>
      </c>
    </row>
    <row r="3353" spans="1:10" ht="28.9" customHeight="1" thickTop="1" thickBot="1" x14ac:dyDescent="0.65">
      <c r="A3353" s="5">
        <v>3351</v>
      </c>
      <c r="B3353" s="46" t="str">
        <f>HYPERLINK("https://search.naver.com/search.naver?query=혹성탈출 진화의 시작 영화", "혹성탈출 진화의 시작")</f>
        <v>혹성탈출 진화의 시작</v>
      </c>
      <c r="C3353" s="47">
        <v>8.77</v>
      </c>
      <c r="D3353" s="6" t="s">
        <v>3368</v>
      </c>
      <c r="E3353" s="5" t="s">
        <v>20</v>
      </c>
      <c r="F3353" s="5">
        <v>2011</v>
      </c>
      <c r="G3353" s="5" t="s">
        <v>12</v>
      </c>
      <c r="H3353" s="5" t="s">
        <v>520</v>
      </c>
      <c r="I3353" s="5" t="s">
        <v>128</v>
      </c>
      <c r="J3353" s="98" t="s">
        <v>3454</v>
      </c>
    </row>
    <row r="3354" spans="1:10" ht="28.9" customHeight="1" thickTop="1" thickBot="1" x14ac:dyDescent="0.65">
      <c r="A3354" s="7">
        <v>3352</v>
      </c>
      <c r="B3354" s="48" t="str">
        <f>HYPERLINK("https://search.naver.com/search.naver?query=혼돈의 세상에서 드라마", "혼돈의 세상에서")</f>
        <v>혼돈의 세상에서</v>
      </c>
      <c r="C3354" s="49"/>
      <c r="D3354" s="8" t="s">
        <v>3369</v>
      </c>
      <c r="E3354" s="7" t="s">
        <v>20</v>
      </c>
      <c r="F3354" s="7">
        <v>2024</v>
      </c>
      <c r="G3354" s="7" t="s">
        <v>17</v>
      </c>
      <c r="H3354" s="7" t="s">
        <v>17</v>
      </c>
      <c r="I3354" s="7" t="s">
        <v>55</v>
      </c>
      <c r="J3354" s="99" t="s">
        <v>3448</v>
      </c>
    </row>
    <row r="3355" spans="1:10" ht="28.9" customHeight="1" thickTop="1" thickBot="1" x14ac:dyDescent="0.65">
      <c r="A3355" s="5">
        <v>3353</v>
      </c>
      <c r="B3355" s="46" t="str">
        <f>HYPERLINK("https://search.naver.com/search.naver?query=홀랜드 오퍼스 영화", "홀랜드 오퍼스")</f>
        <v>홀랜드 오퍼스</v>
      </c>
      <c r="C3355" s="47">
        <v>9.11</v>
      </c>
      <c r="D3355" s="6" t="s">
        <v>3370</v>
      </c>
      <c r="E3355" s="5" t="s">
        <v>20</v>
      </c>
      <c r="F3355" s="5">
        <v>1995</v>
      </c>
      <c r="G3355" s="5" t="s">
        <v>12</v>
      </c>
      <c r="H3355" s="5" t="s">
        <v>17</v>
      </c>
      <c r="I3355" s="5" t="s">
        <v>25</v>
      </c>
      <c r="J3355" s="98" t="s">
        <v>3475</v>
      </c>
    </row>
    <row r="3356" spans="1:10" ht="28.9" customHeight="1" thickTop="1" thickBot="1" x14ac:dyDescent="0.65">
      <c r="A3356" s="3">
        <v>3354</v>
      </c>
      <c r="B3356" s="44" t="str">
        <f>HYPERLINK("https://search.naver.com/search.naver?query=홀리데이2018", "홀리데이")</f>
        <v>홀리데이</v>
      </c>
      <c r="C3356" s="45">
        <v>8.66</v>
      </c>
      <c r="D3356" s="4" t="s">
        <v>1118</v>
      </c>
      <c r="E3356" s="3" t="s">
        <v>11</v>
      </c>
      <c r="F3356" s="3">
        <v>2006</v>
      </c>
      <c r="G3356" s="3" t="s">
        <v>12</v>
      </c>
      <c r="H3356" s="3" t="s">
        <v>277</v>
      </c>
      <c r="I3356" s="3" t="s">
        <v>86</v>
      </c>
      <c r="J3356" s="97" t="s">
        <v>3460</v>
      </c>
    </row>
    <row r="3357" spans="1:10" ht="28.9" customHeight="1" thickTop="1" thickBot="1" x14ac:dyDescent="0.65">
      <c r="A3357" s="5">
        <v>3355</v>
      </c>
      <c r="B3357" s="46" t="str">
        <f>HYPERLINK("https://search.naver.com/search.naver?query=홈 팀 영화", "홈 팀")</f>
        <v>홈 팀</v>
      </c>
      <c r="C3357" s="47">
        <v>6.4</v>
      </c>
      <c r="D3357" s="6" t="s">
        <v>3371</v>
      </c>
      <c r="E3357" s="5" t="s">
        <v>20</v>
      </c>
      <c r="F3357" s="5">
        <v>2022</v>
      </c>
      <c r="G3357" s="5" t="s">
        <v>12</v>
      </c>
      <c r="H3357" s="5" t="s">
        <v>68</v>
      </c>
      <c r="I3357" s="5" t="s">
        <v>81</v>
      </c>
      <c r="J3357" s="98" t="s">
        <v>3445</v>
      </c>
    </row>
    <row r="3358" spans="1:10" ht="28.9" customHeight="1" thickTop="1" thickBot="1" x14ac:dyDescent="0.65">
      <c r="A3358" s="7">
        <v>3356</v>
      </c>
      <c r="B3358" s="48" t="str">
        <f>HYPERLINK("https://search.naver.com/search.naver?query=홈랜드 시즌1", "홈랜드 시즌1")</f>
        <v>홈랜드 시즌1</v>
      </c>
      <c r="C3358" s="49"/>
      <c r="D3358" s="8" t="s">
        <v>3372</v>
      </c>
      <c r="E3358" s="7" t="s">
        <v>20</v>
      </c>
      <c r="F3358" s="7">
        <v>2011</v>
      </c>
      <c r="G3358" s="7" t="s">
        <v>17</v>
      </c>
      <c r="H3358" s="7" t="s">
        <v>13</v>
      </c>
      <c r="I3358" s="7" t="s">
        <v>893</v>
      </c>
      <c r="J3358" s="99" t="s">
        <v>3454</v>
      </c>
    </row>
    <row r="3359" spans="1:10" ht="28.9" customHeight="1" thickTop="1" thickBot="1" x14ac:dyDescent="0.65">
      <c r="A3359" s="7">
        <v>3357</v>
      </c>
      <c r="B3359" s="48" t="str">
        <f>HYPERLINK("https://search.naver.com/search.naver?query=홈랜드 시즌2", "홈랜드 시즌2")</f>
        <v>홈랜드 시즌2</v>
      </c>
      <c r="C3359" s="49"/>
      <c r="D3359" s="8" t="s">
        <v>3372</v>
      </c>
      <c r="E3359" s="7" t="s">
        <v>20</v>
      </c>
      <c r="F3359" s="7">
        <v>2012</v>
      </c>
      <c r="G3359" s="7" t="s">
        <v>17</v>
      </c>
      <c r="H3359" s="7" t="s">
        <v>13</v>
      </c>
      <c r="I3359" s="7" t="s">
        <v>893</v>
      </c>
      <c r="J3359" s="99" t="s">
        <v>3439</v>
      </c>
    </row>
    <row r="3360" spans="1:10" ht="28.9" customHeight="1" thickTop="1" thickBot="1" x14ac:dyDescent="0.65">
      <c r="A3360" s="7">
        <v>3358</v>
      </c>
      <c r="B3360" s="48" t="str">
        <f>HYPERLINK("https://search.naver.com/search.naver?query=홈랜드 시즌3", "홈랜드 시즌3")</f>
        <v>홈랜드 시즌3</v>
      </c>
      <c r="C3360" s="49"/>
      <c r="D3360" s="8" t="s">
        <v>3373</v>
      </c>
      <c r="E3360" s="7" t="s">
        <v>20</v>
      </c>
      <c r="F3360" s="7">
        <v>2013</v>
      </c>
      <c r="G3360" s="7" t="s">
        <v>17</v>
      </c>
      <c r="H3360" s="7" t="s">
        <v>13</v>
      </c>
      <c r="I3360" s="7" t="s">
        <v>893</v>
      </c>
      <c r="J3360" s="99" t="s">
        <v>3451</v>
      </c>
    </row>
    <row r="3361" spans="1:10" ht="28.9" customHeight="1" thickTop="1" thickBot="1" x14ac:dyDescent="0.65">
      <c r="A3361" s="7">
        <v>3359</v>
      </c>
      <c r="B3361" s="48" t="str">
        <f>HYPERLINK("https://search.naver.com/search.naver?query=홈랜드 시즌4", "홈랜드 시즌4")</f>
        <v>홈랜드 시즌4</v>
      </c>
      <c r="C3361" s="49"/>
      <c r="D3361" s="8" t="s">
        <v>3374</v>
      </c>
      <c r="E3361" s="7" t="s">
        <v>20</v>
      </c>
      <c r="F3361" s="7">
        <v>2014</v>
      </c>
      <c r="G3361" s="7" t="s">
        <v>17</v>
      </c>
      <c r="H3361" s="7" t="s">
        <v>13</v>
      </c>
      <c r="I3361" s="7" t="s">
        <v>893</v>
      </c>
      <c r="J3361" s="99" t="s">
        <v>3437</v>
      </c>
    </row>
    <row r="3362" spans="1:10" ht="28.9" customHeight="1" thickTop="1" thickBot="1" x14ac:dyDescent="0.65">
      <c r="A3362" s="7">
        <v>3360</v>
      </c>
      <c r="B3362" s="48" t="str">
        <f>HYPERLINK("https://search.naver.com/search.naver?query=홈랜드 시즌5", "홈랜드 시즌5")</f>
        <v>홈랜드 시즌5</v>
      </c>
      <c r="C3362" s="49"/>
      <c r="D3362" s="8" t="s">
        <v>3375</v>
      </c>
      <c r="E3362" s="7" t="s">
        <v>20</v>
      </c>
      <c r="F3362" s="7">
        <v>2015</v>
      </c>
      <c r="G3362" s="7" t="s">
        <v>17</v>
      </c>
      <c r="H3362" s="7" t="s">
        <v>13</v>
      </c>
      <c r="I3362" s="7" t="s">
        <v>893</v>
      </c>
      <c r="J3362" s="99" t="s">
        <v>3440</v>
      </c>
    </row>
    <row r="3363" spans="1:10" ht="28.9" customHeight="1" thickTop="1" thickBot="1" x14ac:dyDescent="0.65">
      <c r="A3363" s="7">
        <v>3361</v>
      </c>
      <c r="B3363" s="48" t="str">
        <f>HYPERLINK("https://search.naver.com/search.naver?query=홈랜드 시즌6", "홈랜드 시즌6")</f>
        <v>홈랜드 시즌6</v>
      </c>
      <c r="C3363" s="49"/>
      <c r="D3363" s="8" t="s">
        <v>3372</v>
      </c>
      <c r="E3363" s="7" t="s">
        <v>20</v>
      </c>
      <c r="F3363" s="7">
        <v>2017</v>
      </c>
      <c r="G3363" s="7" t="s">
        <v>17</v>
      </c>
      <c r="H3363" s="7" t="s">
        <v>13</v>
      </c>
      <c r="I3363" s="7" t="s">
        <v>893</v>
      </c>
      <c r="J3363" s="99" t="s">
        <v>3443</v>
      </c>
    </row>
    <row r="3364" spans="1:10" ht="28.9" customHeight="1" thickTop="1" thickBot="1" x14ac:dyDescent="0.65">
      <c r="A3364" s="7">
        <v>3362</v>
      </c>
      <c r="B3364" s="48" t="str">
        <f>HYPERLINK("https://search.naver.com/search.naver?query=홈랜드 시즌7", "홈랜드 시즌7")</f>
        <v>홈랜드 시즌7</v>
      </c>
      <c r="C3364" s="49"/>
      <c r="D3364" s="8" t="s">
        <v>3372</v>
      </c>
      <c r="E3364" s="7" t="s">
        <v>20</v>
      </c>
      <c r="F3364" s="7">
        <v>2018</v>
      </c>
      <c r="G3364" s="7" t="s">
        <v>17</v>
      </c>
      <c r="H3364" s="7" t="s">
        <v>13</v>
      </c>
      <c r="I3364" s="7" t="s">
        <v>893</v>
      </c>
      <c r="J3364" s="99" t="s">
        <v>3442</v>
      </c>
    </row>
    <row r="3365" spans="1:10" ht="28.9" customHeight="1" thickTop="1" thickBot="1" x14ac:dyDescent="0.65">
      <c r="A3365" s="7">
        <v>3363</v>
      </c>
      <c r="B3365" s="48" t="str">
        <f>HYPERLINK("https://search.naver.com/search.naver?query=홈랜드 시즌8", "홈랜드 시즌8")</f>
        <v>홈랜드 시즌8</v>
      </c>
      <c r="C3365" s="49"/>
      <c r="D3365" s="8" t="s">
        <v>3376</v>
      </c>
      <c r="E3365" s="7" t="s">
        <v>20</v>
      </c>
      <c r="F3365" s="7">
        <v>2020</v>
      </c>
      <c r="G3365" s="7" t="s">
        <v>17</v>
      </c>
      <c r="H3365" s="7" t="s">
        <v>13</v>
      </c>
      <c r="I3365" s="7" t="s">
        <v>893</v>
      </c>
      <c r="J3365" s="99" t="s">
        <v>3436</v>
      </c>
    </row>
    <row r="3366" spans="1:10" ht="28.9" customHeight="1" thickTop="1" thickBot="1" x14ac:dyDescent="0.65">
      <c r="A3366" s="3">
        <v>3364</v>
      </c>
      <c r="B3366" s="44" t="str">
        <f>HYPERLINK("https://search.naver.com/search.naver?query=홈프론트 영화", "홈프론트")</f>
        <v>홈프론트</v>
      </c>
      <c r="C3366" s="45">
        <v>7.15</v>
      </c>
      <c r="D3366" s="4" t="s">
        <v>3377</v>
      </c>
      <c r="E3366" s="3" t="s">
        <v>20</v>
      </c>
      <c r="F3366" s="3">
        <v>2013</v>
      </c>
      <c r="G3366" s="3" t="s">
        <v>12</v>
      </c>
      <c r="H3366" s="3" t="s">
        <v>92</v>
      </c>
      <c r="I3366" s="3" t="s">
        <v>131</v>
      </c>
      <c r="J3366" s="97" t="s">
        <v>3451</v>
      </c>
    </row>
    <row r="3367" spans="1:10" ht="28.9" customHeight="1" thickTop="1" thickBot="1" x14ac:dyDescent="0.65">
      <c r="A3367" s="5">
        <v>3365</v>
      </c>
      <c r="B3367" s="46" t="str">
        <f>HYPERLINK("https://search.daum.net/search?nil_suggest=btn&amp;w=tot&amp;DA=SBC&amp;q=%ED%99%94%EC%94%A8+11%2F9+%ED%8A%B8%EB%9F%BC%ED%94%84%EC%9D%98+%EC%8B%9C%EB%8C%80", "화씨 11.9-트럼프의 시대")</f>
        <v>화씨 11.9-트럼프의 시대</v>
      </c>
      <c r="C3367" s="47">
        <v>7</v>
      </c>
      <c r="D3367" s="6" t="s">
        <v>159</v>
      </c>
      <c r="E3367" s="5" t="s">
        <v>20</v>
      </c>
      <c r="F3367" s="5">
        <v>2018</v>
      </c>
      <c r="G3367" s="5" t="s">
        <v>12</v>
      </c>
      <c r="H3367" s="5" t="s">
        <v>160</v>
      </c>
      <c r="I3367" s="5" t="s">
        <v>108</v>
      </c>
      <c r="J3367" s="98" t="s">
        <v>3442</v>
      </c>
    </row>
    <row r="3368" spans="1:10" ht="28.9" customHeight="1" thickTop="1" thickBot="1" x14ac:dyDescent="0.65">
      <c r="A3368" s="3">
        <v>3366</v>
      </c>
      <c r="B3368" s="44" t="str">
        <f>HYPERLINK("https://search.naver.com/search.naver?query=화양연화 영화", "화양연화")</f>
        <v>화양연화</v>
      </c>
      <c r="C3368" s="45">
        <v>8.9700000000000006</v>
      </c>
      <c r="D3368" s="4" t="s">
        <v>3378</v>
      </c>
      <c r="E3368" s="3" t="s">
        <v>91</v>
      </c>
      <c r="F3368" s="3">
        <v>2000</v>
      </c>
      <c r="G3368" s="3" t="s">
        <v>12</v>
      </c>
      <c r="H3368" s="3" t="s">
        <v>17</v>
      </c>
      <c r="I3368" s="3" t="s">
        <v>14</v>
      </c>
      <c r="J3368" s="97" t="s">
        <v>3458</v>
      </c>
    </row>
    <row r="3369" spans="1:10" ht="28.9" customHeight="1" thickTop="1" thickBot="1" x14ac:dyDescent="0.65">
      <c r="A3369" s="5">
        <v>3367</v>
      </c>
      <c r="B3369" s="46" t="str">
        <f>HYPERLINK("https://search.naver.com/search.naver?query=화이:괴물을 삼킨 아이 영화", "화이 - 괴물을 삼킨 아이")</f>
        <v>화이 - 괴물을 삼킨 아이</v>
      </c>
      <c r="C3369" s="47">
        <v>7.85</v>
      </c>
      <c r="D3369" s="6" t="s">
        <v>3379</v>
      </c>
      <c r="E3369" s="5" t="s">
        <v>11</v>
      </c>
      <c r="F3369" s="5">
        <v>2013</v>
      </c>
      <c r="G3369" s="5" t="s">
        <v>12</v>
      </c>
      <c r="H3369" s="5" t="s">
        <v>92</v>
      </c>
      <c r="I3369" s="5" t="s">
        <v>78</v>
      </c>
      <c r="J3369" s="98" t="s">
        <v>3451</v>
      </c>
    </row>
    <row r="3370" spans="1:10" ht="28.9" customHeight="1" thickTop="1" thickBot="1" x14ac:dyDescent="0.65">
      <c r="A3370" s="3">
        <v>3368</v>
      </c>
      <c r="B3370" s="44" t="str">
        <f>HYPERLINK("https://search.naver.com/search.naver?query=화이트 갓 영화", "화이트 갓")</f>
        <v>화이트 갓</v>
      </c>
      <c r="C3370" s="45">
        <v>8.91</v>
      </c>
      <c r="D3370" s="4" t="s">
        <v>3380</v>
      </c>
      <c r="E3370" s="3" t="s">
        <v>639</v>
      </c>
      <c r="F3370" s="3">
        <v>2014</v>
      </c>
      <c r="G3370" s="3" t="s">
        <v>12</v>
      </c>
      <c r="H3370" s="3" t="s">
        <v>17</v>
      </c>
      <c r="I3370" s="3" t="s">
        <v>142</v>
      </c>
      <c r="J3370" s="97" t="s">
        <v>3437</v>
      </c>
    </row>
    <row r="3371" spans="1:10" ht="28.9" customHeight="1" thickTop="1" thickBot="1" x14ac:dyDescent="0.65">
      <c r="A3371" s="5">
        <v>3369</v>
      </c>
      <c r="B3371" s="46" t="str">
        <f>HYPERLINK("https://search.naver.com/search.naver?query=화이트 라이언 찰리 영화", "화이트 라이언 찰리")</f>
        <v>화이트 라이언 찰리</v>
      </c>
      <c r="C3371" s="47">
        <v>8.2200000000000006</v>
      </c>
      <c r="D3371" s="6" t="s">
        <v>3381</v>
      </c>
      <c r="E3371" s="5" t="s">
        <v>210</v>
      </c>
      <c r="F3371" s="5">
        <v>2018</v>
      </c>
      <c r="G3371" s="5" t="s">
        <v>12</v>
      </c>
      <c r="H3371" s="5" t="s">
        <v>17</v>
      </c>
      <c r="I3371" s="5" t="s">
        <v>14</v>
      </c>
      <c r="J3371" s="98" t="s">
        <v>3442</v>
      </c>
    </row>
    <row r="3372" spans="1:10" ht="28.9" customHeight="1" thickTop="1" thickBot="1" x14ac:dyDescent="0.65">
      <c r="A3372" s="3">
        <v>3370</v>
      </c>
      <c r="B3372" s="44" t="str">
        <f>HYPERLINK("https://search.naver.com/search.naver?query=화이트 릴리 영화", "화이트 릴리")</f>
        <v>화이트 릴리</v>
      </c>
      <c r="C3372" s="45">
        <v>6.17</v>
      </c>
      <c r="D3372" s="4" t="s">
        <v>3382</v>
      </c>
      <c r="E3372" s="3" t="s">
        <v>16</v>
      </c>
      <c r="F3372" s="3">
        <v>2016</v>
      </c>
      <c r="G3372" s="3" t="s">
        <v>12</v>
      </c>
      <c r="H3372" s="3" t="s">
        <v>17</v>
      </c>
      <c r="I3372" s="3" t="s">
        <v>111</v>
      </c>
      <c r="J3372" s="97" t="s">
        <v>3441</v>
      </c>
    </row>
    <row r="3373" spans="1:10" ht="28.9" customHeight="1" thickTop="1" thickBot="1" x14ac:dyDescent="0.65">
      <c r="A3373" s="5">
        <v>3371</v>
      </c>
      <c r="B3373" s="46" t="str">
        <f>HYPERLINK("https://search.naver.com/search.naver?query=화이트 스완 영화", "화이트 스완")</f>
        <v>화이트 스완</v>
      </c>
      <c r="C3373" s="47">
        <v>7.02</v>
      </c>
      <c r="D3373" s="6" t="s">
        <v>3383</v>
      </c>
      <c r="E3373" s="5" t="s">
        <v>16</v>
      </c>
      <c r="F3373" s="5">
        <v>2013</v>
      </c>
      <c r="G3373" s="5" t="s">
        <v>12</v>
      </c>
      <c r="H3373" s="5" t="s">
        <v>17</v>
      </c>
      <c r="I3373" s="5" t="s">
        <v>111</v>
      </c>
      <c r="J3373" s="98" t="s">
        <v>3451</v>
      </c>
    </row>
    <row r="3374" spans="1:10" ht="28.9" customHeight="1" thickTop="1" thickBot="1" x14ac:dyDescent="0.65">
      <c r="A3374" s="3">
        <v>3372</v>
      </c>
      <c r="B3374" s="44" t="str">
        <f>HYPERLINK("https://search.naver.com/search.naver?query=화이트 스콜 영화", "화이트 스콜")</f>
        <v>화이트 스콜</v>
      </c>
      <c r="C3374" s="45">
        <v>8.8000000000000007</v>
      </c>
      <c r="D3374" s="4" t="s">
        <v>3384</v>
      </c>
      <c r="E3374" s="3" t="s">
        <v>20</v>
      </c>
      <c r="F3374" s="3">
        <v>1996</v>
      </c>
      <c r="G3374" s="3" t="s">
        <v>12</v>
      </c>
      <c r="H3374" s="3" t="s">
        <v>824</v>
      </c>
      <c r="I3374" s="3" t="s">
        <v>64</v>
      </c>
      <c r="J3374" s="97" t="s">
        <v>3463</v>
      </c>
    </row>
    <row r="3375" spans="1:10" ht="28.9" customHeight="1" thickTop="1" thickBot="1" x14ac:dyDescent="0.65">
      <c r="A3375" s="5">
        <v>3373</v>
      </c>
      <c r="B3375" s="46" t="str">
        <f>HYPERLINK("https://search.naver.com/search.naver?query=화이트 크로우 영화", "화이트 크로우")</f>
        <v>화이트 크로우</v>
      </c>
      <c r="C3375" s="47">
        <v>6.4</v>
      </c>
      <c r="D3375" s="6" t="s">
        <v>3385</v>
      </c>
      <c r="E3375" s="5" t="s">
        <v>24</v>
      </c>
      <c r="F3375" s="5">
        <v>2018</v>
      </c>
      <c r="G3375" s="5" t="s">
        <v>12</v>
      </c>
      <c r="H3375" s="5" t="s">
        <v>17</v>
      </c>
      <c r="I3375" s="5" t="s">
        <v>150</v>
      </c>
      <c r="J3375" s="98" t="s">
        <v>3442</v>
      </c>
    </row>
    <row r="3376" spans="1:10" ht="28.9" customHeight="1" thickTop="1" thickBot="1" x14ac:dyDescent="0.65">
      <c r="A3376" s="3">
        <v>3374</v>
      </c>
      <c r="B3376" s="44" t="str">
        <f>HYPERLINK("https://search.naver.com/search.naver?query=화이트 하우스 다운 영화", "화이트 하우스 다운")</f>
        <v>화이트 하우스 다운</v>
      </c>
      <c r="C3376" s="45">
        <v>7.41</v>
      </c>
      <c r="D3376" s="4" t="s">
        <v>1472</v>
      </c>
      <c r="E3376" s="3" t="s">
        <v>20</v>
      </c>
      <c r="F3376" s="3">
        <v>2013</v>
      </c>
      <c r="G3376" s="3" t="s">
        <v>12</v>
      </c>
      <c r="H3376" s="3" t="s">
        <v>92</v>
      </c>
      <c r="I3376" s="3" t="s">
        <v>280</v>
      </c>
      <c r="J3376" s="97" t="s">
        <v>3451</v>
      </c>
    </row>
    <row r="3377" spans="1:10" ht="28.9" customHeight="1" thickTop="1" thickBot="1" x14ac:dyDescent="0.65">
      <c r="A3377" s="5">
        <v>3375</v>
      </c>
      <c r="B3377" s="46" t="str">
        <f>HYPERLINK("https://search.naver.com/search.naver?query=화장 영화", "화장")</f>
        <v>화장</v>
      </c>
      <c r="C3377" s="47">
        <v>7.35</v>
      </c>
      <c r="D3377" s="6" t="s">
        <v>3386</v>
      </c>
      <c r="E3377" s="5" t="s">
        <v>11</v>
      </c>
      <c r="F3377" s="5">
        <v>2014</v>
      </c>
      <c r="G3377" s="5" t="s">
        <v>12</v>
      </c>
      <c r="H3377" s="5" t="s">
        <v>17</v>
      </c>
      <c r="I3377" s="5" t="s">
        <v>111</v>
      </c>
      <c r="J3377" s="98" t="s">
        <v>3437</v>
      </c>
    </row>
    <row r="3378" spans="1:10" ht="28.9" customHeight="1" thickTop="1" thickBot="1" x14ac:dyDescent="0.65">
      <c r="A3378" s="3">
        <v>3376</v>
      </c>
      <c r="B3378" s="44" t="str">
        <f>HYPERLINK("https://search.naver.com/search.naver?query=화장실의 피에타 영화", "화장실의 피에타")</f>
        <v>화장실의 피에타</v>
      </c>
      <c r="C3378" s="45">
        <v>9</v>
      </c>
      <c r="D3378" s="4" t="s">
        <v>3387</v>
      </c>
      <c r="E3378" s="3" t="s">
        <v>16</v>
      </c>
      <c r="F3378" s="3">
        <v>2015</v>
      </c>
      <c r="G3378" s="3" t="s">
        <v>12</v>
      </c>
      <c r="H3378" s="3" t="s">
        <v>17</v>
      </c>
      <c r="I3378" s="3" t="s">
        <v>53</v>
      </c>
      <c r="J3378" s="97" t="s">
        <v>3440</v>
      </c>
    </row>
    <row r="3379" spans="1:10" ht="28.9" customHeight="1" thickTop="1" thickBot="1" x14ac:dyDescent="0.65">
      <c r="A3379" s="5">
        <v>3377</v>
      </c>
      <c r="B3379" s="46" t="str">
        <f>HYPERLINK("https://search.naver.com/search.naver?query=화차 영화", "화차")</f>
        <v>화차</v>
      </c>
      <c r="C3379" s="47">
        <v>8.1</v>
      </c>
      <c r="D3379" s="6" t="s">
        <v>3388</v>
      </c>
      <c r="E3379" s="5" t="s">
        <v>11</v>
      </c>
      <c r="F3379" s="5">
        <v>2012</v>
      </c>
      <c r="G3379" s="5" t="s">
        <v>12</v>
      </c>
      <c r="H3379" s="5" t="s">
        <v>43</v>
      </c>
      <c r="I3379" s="5" t="s">
        <v>89</v>
      </c>
      <c r="J3379" s="98" t="s">
        <v>3439</v>
      </c>
    </row>
    <row r="3380" spans="1:10" ht="28.9" customHeight="1" thickTop="1" thickBot="1" x14ac:dyDescent="0.65">
      <c r="A3380" s="3">
        <v>3378</v>
      </c>
      <c r="B3380" s="44" t="str">
        <f>HYPERLINK("https://search.naver.com/search.naver?query=환상의 그대 영화", "환상의 그대")</f>
        <v>환상의 그대</v>
      </c>
      <c r="C3380" s="45">
        <v>7.6</v>
      </c>
      <c r="D3380" s="4" t="s">
        <v>3389</v>
      </c>
      <c r="E3380" s="3" t="s">
        <v>20</v>
      </c>
      <c r="F3380" s="3">
        <v>2011</v>
      </c>
      <c r="G3380" s="3" t="s">
        <v>12</v>
      </c>
      <c r="H3380" s="3" t="s">
        <v>68</v>
      </c>
      <c r="I3380" s="3" t="s">
        <v>14</v>
      </c>
      <c r="J3380" s="97" t="s">
        <v>3454</v>
      </c>
    </row>
    <row r="3381" spans="1:10" ht="28.9" customHeight="1" thickTop="1" thickBot="1" x14ac:dyDescent="0.65">
      <c r="A3381" s="5">
        <v>3379</v>
      </c>
      <c r="B3381" s="46" t="str">
        <f>HYPERLINK("https://search.naver.com/search.naver?query=일본영화환생", "환생")</f>
        <v>환생</v>
      </c>
      <c r="C3381" s="47">
        <v>5.45</v>
      </c>
      <c r="D3381" s="6" t="s">
        <v>3390</v>
      </c>
      <c r="E3381" s="5" t="s">
        <v>16</v>
      </c>
      <c r="F3381" s="5">
        <v>2006</v>
      </c>
      <c r="G3381" s="5" t="s">
        <v>12</v>
      </c>
      <c r="H3381" s="5" t="s">
        <v>252</v>
      </c>
      <c r="I3381" s="5" t="s">
        <v>111</v>
      </c>
      <c r="J3381" s="98" t="s">
        <v>3460</v>
      </c>
    </row>
    <row r="3382" spans="1:10" ht="28.9" customHeight="1" thickTop="1" thickBot="1" x14ac:dyDescent="0.65">
      <c r="A3382" s="3">
        <v>3380</v>
      </c>
      <c r="B3382" s="44" t="str">
        <f>HYPERLINK("https://search.daum.net/search?nil_suggest=btn&amp;w=tot&amp;DA=SBC&amp;q=%ED%99%A9%EA%B8%88+%EC%97%B0%EB%AA%BB+%EC%98%81%ED%99%94", "황금 연못")</f>
        <v>황금 연못</v>
      </c>
      <c r="C3382" s="45">
        <v>7.4</v>
      </c>
      <c r="D3382" s="4" t="s">
        <v>3391</v>
      </c>
      <c r="E3382" s="3" t="s">
        <v>20</v>
      </c>
      <c r="F3382" s="3">
        <v>1981</v>
      </c>
      <c r="G3382" s="3" t="s">
        <v>12</v>
      </c>
      <c r="H3382" s="3" t="s">
        <v>17</v>
      </c>
      <c r="I3382" s="3" t="s">
        <v>137</v>
      </c>
      <c r="J3382" s="97" t="s">
        <v>3486</v>
      </c>
    </row>
    <row r="3383" spans="1:10" ht="28.9" customHeight="1" thickTop="1" thickBot="1" x14ac:dyDescent="0.65">
      <c r="A3383" s="5">
        <v>3381</v>
      </c>
      <c r="B3383" s="46" t="str">
        <f>HYPERLINK("https://search.naver.com/search.naver?query=황금시대 영화", "황금시대")</f>
        <v>황금시대</v>
      </c>
      <c r="C3383" s="47">
        <v>7.86</v>
      </c>
      <c r="D3383" s="6" t="s">
        <v>3392</v>
      </c>
      <c r="E3383" s="5" t="s">
        <v>136</v>
      </c>
      <c r="F3383" s="5">
        <v>2014</v>
      </c>
      <c r="G3383" s="5" t="s">
        <v>12</v>
      </c>
      <c r="H3383" s="5" t="s">
        <v>17</v>
      </c>
      <c r="I3383" s="5" t="s">
        <v>3393</v>
      </c>
      <c r="J3383" s="98" t="s">
        <v>3437</v>
      </c>
    </row>
    <row r="3384" spans="1:10" ht="28.9" customHeight="1" thickTop="1" thickBot="1" x14ac:dyDescent="0.65">
      <c r="A3384" s="3">
        <v>3382</v>
      </c>
      <c r="B3384" s="44" t="str">
        <f>HYPERLINK("https://search.naver.com/search.naver?query=황제를 위하여 영화", "황제를 위하여")</f>
        <v>황제를 위하여</v>
      </c>
      <c r="C3384" s="45">
        <v>6.25</v>
      </c>
      <c r="D3384" s="4" t="s">
        <v>3394</v>
      </c>
      <c r="E3384" s="3" t="s">
        <v>11</v>
      </c>
      <c r="F3384" s="3">
        <v>2014</v>
      </c>
      <c r="G3384" s="3" t="s">
        <v>12</v>
      </c>
      <c r="H3384" s="3" t="s">
        <v>277</v>
      </c>
      <c r="I3384" s="3" t="s">
        <v>170</v>
      </c>
      <c r="J3384" s="97" t="s">
        <v>3437</v>
      </c>
    </row>
    <row r="3385" spans="1:10" ht="28.9" customHeight="1" thickTop="1" thickBot="1" x14ac:dyDescent="0.65">
      <c r="A3385" s="5">
        <v>3383</v>
      </c>
      <c r="B3385" s="46" t="str">
        <f>HYPERLINK("https://search.naver.com/search.naver?query=황해 영화", "황해")</f>
        <v>황해</v>
      </c>
      <c r="C3385" s="47">
        <v>7.99</v>
      </c>
      <c r="D3385" s="6" t="s">
        <v>3395</v>
      </c>
      <c r="E3385" s="5" t="s">
        <v>11</v>
      </c>
      <c r="F3385" s="5">
        <v>2010</v>
      </c>
      <c r="G3385" s="5" t="s">
        <v>12</v>
      </c>
      <c r="H3385" s="5" t="s">
        <v>92</v>
      </c>
      <c r="I3385" s="5" t="s">
        <v>1782</v>
      </c>
      <c r="J3385" s="98" t="s">
        <v>3455</v>
      </c>
    </row>
    <row r="3386" spans="1:10" ht="28.9" customHeight="1" thickTop="1" thickBot="1" x14ac:dyDescent="0.65">
      <c r="A3386" s="3">
        <v>3384</v>
      </c>
      <c r="B3386" s="44" t="str">
        <f>HYPERLINK("https://search.naver.com/search.naver?query=회사원 영화", "회사원")</f>
        <v>회사원</v>
      </c>
      <c r="C3386" s="45">
        <v>6.56</v>
      </c>
      <c r="D3386" s="4" t="s">
        <v>3396</v>
      </c>
      <c r="E3386" s="3" t="s">
        <v>11</v>
      </c>
      <c r="F3386" s="3">
        <v>2012</v>
      </c>
      <c r="G3386" s="3" t="s">
        <v>12</v>
      </c>
      <c r="H3386" s="3" t="s">
        <v>92</v>
      </c>
      <c r="I3386" s="3" t="s">
        <v>111</v>
      </c>
      <c r="J3386" s="97" t="s">
        <v>3439</v>
      </c>
    </row>
    <row r="3387" spans="1:10" ht="28.9" customHeight="1" thickTop="1" thickBot="1" x14ac:dyDescent="0.65">
      <c r="A3387" s="5">
        <v>3385</v>
      </c>
      <c r="B3387" s="46" t="str">
        <f>HYPERLINK("https://search.naver.com/search.naver?query=후궁 제왕의 첩 영화", "후궁-제왕의 첩")</f>
        <v>후궁-제왕의 첩</v>
      </c>
      <c r="C3387" s="47">
        <v>6.96</v>
      </c>
      <c r="D3387" s="6" t="s">
        <v>3397</v>
      </c>
      <c r="E3387" s="5" t="s">
        <v>11</v>
      </c>
      <c r="F3387" s="5">
        <v>2012</v>
      </c>
      <c r="G3387" s="5" t="s">
        <v>12</v>
      </c>
      <c r="H3387" s="5" t="s">
        <v>17</v>
      </c>
      <c r="I3387" s="5" t="s">
        <v>105</v>
      </c>
      <c r="J3387" s="98" t="s">
        <v>3439</v>
      </c>
    </row>
    <row r="3388" spans="1:10" ht="28.9" customHeight="1" thickTop="1" thickBot="1" x14ac:dyDescent="0.65">
      <c r="A3388" s="3">
        <v>3386</v>
      </c>
      <c r="B3388" s="44" t="str">
        <f>HYPERLINK("https://search.naver.com/search.naver?query=후처업의 여자 영화", "후처업의 여자")</f>
        <v>후처업의 여자</v>
      </c>
      <c r="C3388" s="45">
        <v>6.4</v>
      </c>
      <c r="D3388" s="4" t="s">
        <v>3398</v>
      </c>
      <c r="E3388" s="3" t="s">
        <v>16</v>
      </c>
      <c r="F3388" s="3">
        <v>2016</v>
      </c>
      <c r="G3388" s="3" t="s">
        <v>12</v>
      </c>
      <c r="H3388" s="3" t="s">
        <v>17</v>
      </c>
      <c r="I3388" s="3" t="s">
        <v>108</v>
      </c>
      <c r="J3388" s="97" t="s">
        <v>3441</v>
      </c>
    </row>
    <row r="3389" spans="1:10" ht="28.9" customHeight="1" thickTop="1" thickBot="1" x14ac:dyDescent="0.65">
      <c r="A3389" s="5">
        <v>3387</v>
      </c>
      <c r="B3389" s="46" t="str">
        <f>HYPERLINK("https://search.naver.com/search.naver?query=영화후쿠오카", "후쿠오카")</f>
        <v>후쿠오카</v>
      </c>
      <c r="C3389" s="47">
        <v>8</v>
      </c>
      <c r="D3389" s="6" t="s">
        <v>3399</v>
      </c>
      <c r="E3389" s="5" t="s">
        <v>11</v>
      </c>
      <c r="F3389" s="5">
        <v>2020</v>
      </c>
      <c r="G3389" s="5" t="s">
        <v>12</v>
      </c>
      <c r="H3389" s="5" t="s">
        <v>17</v>
      </c>
      <c r="I3389" s="5" t="s">
        <v>37</v>
      </c>
      <c r="J3389" s="98" t="s">
        <v>3436</v>
      </c>
    </row>
    <row r="3390" spans="1:10" ht="28.9" customHeight="1" thickTop="1" thickBot="1" x14ac:dyDescent="0.65">
      <c r="A3390" s="3">
        <v>3388</v>
      </c>
      <c r="B3390" s="44" t="str">
        <f>HYPERLINK("https://search.naver.com/search.naver?query=휴가 영화", "휴가")</f>
        <v>휴가</v>
      </c>
      <c r="C3390" s="45">
        <v>6.24</v>
      </c>
      <c r="D3390" s="4" t="s">
        <v>1006</v>
      </c>
      <c r="E3390" s="3" t="s">
        <v>20</v>
      </c>
      <c r="F3390" s="3">
        <v>2008</v>
      </c>
      <c r="G3390" s="3" t="s">
        <v>12</v>
      </c>
      <c r="H3390" s="3" t="s">
        <v>68</v>
      </c>
      <c r="I3390" s="3" t="s">
        <v>111</v>
      </c>
      <c r="J3390" s="97" t="s">
        <v>3450</v>
      </c>
    </row>
    <row r="3391" spans="1:10" ht="28.9" customHeight="1" thickTop="1" thickBot="1" x14ac:dyDescent="0.65">
      <c r="A3391" s="5">
        <v>3389</v>
      </c>
      <c r="B3391" s="46" t="str">
        <f>HYPERLINK("https://search.naver.com/search.naver?query=휴고 영화", "휴고")</f>
        <v>휴고</v>
      </c>
      <c r="C3391" s="47">
        <v>7.78</v>
      </c>
      <c r="D3391" s="6" t="s">
        <v>3400</v>
      </c>
      <c r="E3391" s="5" t="s">
        <v>20</v>
      </c>
      <c r="F3391" s="5">
        <v>2011</v>
      </c>
      <c r="G3391" s="5" t="s">
        <v>12</v>
      </c>
      <c r="H3391" s="5" t="s">
        <v>824</v>
      </c>
      <c r="I3391" s="5" t="s">
        <v>78</v>
      </c>
      <c r="J3391" s="98" t="s">
        <v>3454</v>
      </c>
    </row>
    <row r="3392" spans="1:10" ht="28.9" customHeight="1" thickTop="1" thickBot="1" x14ac:dyDescent="0.65">
      <c r="A3392" s="3">
        <v>3390</v>
      </c>
      <c r="B3392" s="44" t="str">
        <f>HYPERLINK("https://search.naver.com/search.naver?query=휴먼 스테인 영화", "휴먼 스테인")</f>
        <v>휴먼 스테인</v>
      </c>
      <c r="C3392" s="45">
        <v>7.27</v>
      </c>
      <c r="D3392" s="4" t="s">
        <v>3401</v>
      </c>
      <c r="E3392" s="3" t="s">
        <v>20</v>
      </c>
      <c r="F3392" s="3">
        <v>2003</v>
      </c>
      <c r="G3392" s="3" t="s">
        <v>12</v>
      </c>
      <c r="H3392" s="3" t="s">
        <v>17</v>
      </c>
      <c r="I3392" s="3" t="s">
        <v>286</v>
      </c>
      <c r="J3392" s="97" t="s">
        <v>3449</v>
      </c>
    </row>
    <row r="3393" spans="1:10" ht="28.9" customHeight="1" thickTop="1" thickBot="1" x14ac:dyDescent="0.65">
      <c r="A3393" s="7">
        <v>3391</v>
      </c>
      <c r="B3393" s="48" t="str">
        <f>HYPERLINK("https://search.naver.com/search.naver?query=휴먼스 시즌1", "휴먼스 시즌1")</f>
        <v>휴먼스 시즌1</v>
      </c>
      <c r="C3393" s="49"/>
      <c r="D3393" s="8" t="s">
        <v>3402</v>
      </c>
      <c r="E3393" s="7" t="s">
        <v>24</v>
      </c>
      <c r="F3393" s="7">
        <v>2015</v>
      </c>
      <c r="G3393" s="7" t="s">
        <v>17</v>
      </c>
      <c r="H3393" s="7" t="s">
        <v>328</v>
      </c>
      <c r="I3393" s="7" t="s">
        <v>55</v>
      </c>
      <c r="J3393" s="99" t="s">
        <v>3440</v>
      </c>
    </row>
    <row r="3394" spans="1:10" ht="28.9" customHeight="1" thickTop="1" thickBot="1" x14ac:dyDescent="0.65">
      <c r="A3394" s="7">
        <v>3392</v>
      </c>
      <c r="B3394" s="48" t="str">
        <f>HYPERLINK("https://search.naver.com/search.naver?query=휴먼스 시즌2", "휴먼스 시즌2")</f>
        <v>휴먼스 시즌2</v>
      </c>
      <c r="C3394" s="49"/>
      <c r="D3394" s="8" t="s">
        <v>3402</v>
      </c>
      <c r="E3394" s="7" t="s">
        <v>24</v>
      </c>
      <c r="F3394" s="7">
        <v>2016</v>
      </c>
      <c r="G3394" s="7" t="s">
        <v>17</v>
      </c>
      <c r="H3394" s="7" t="s">
        <v>328</v>
      </c>
      <c r="I3394" s="7" t="s">
        <v>55</v>
      </c>
      <c r="J3394" s="99" t="s">
        <v>3441</v>
      </c>
    </row>
    <row r="3395" spans="1:10" ht="28.9" customHeight="1" thickTop="1" thickBot="1" x14ac:dyDescent="0.65">
      <c r="A3395" s="7">
        <v>3393</v>
      </c>
      <c r="B3395" s="48" t="str">
        <f>HYPERLINK("https://search.naver.com/search.naver?query=휴먼스 시즌3", "휴먼스 시즌3")</f>
        <v>휴먼스 시즌3</v>
      </c>
      <c r="C3395" s="49"/>
      <c r="D3395" s="8" t="s">
        <v>3403</v>
      </c>
      <c r="E3395" s="7" t="s">
        <v>24</v>
      </c>
      <c r="F3395" s="7">
        <v>2018</v>
      </c>
      <c r="G3395" s="7" t="s">
        <v>17</v>
      </c>
      <c r="H3395" s="7" t="s">
        <v>328</v>
      </c>
      <c r="I3395" s="7" t="s">
        <v>55</v>
      </c>
      <c r="J3395" s="99" t="s">
        <v>3442</v>
      </c>
    </row>
    <row r="3396" spans="1:10" ht="28.9" customHeight="1" thickTop="1" thickBot="1" x14ac:dyDescent="0.65">
      <c r="A3396" s="5">
        <v>3394</v>
      </c>
      <c r="B3396" s="46" t="str">
        <f>HYPERLINK("https://search.naver.com/search.naver?query=휴민트 영화", "휴민트")</f>
        <v>휴민트</v>
      </c>
      <c r="C3396" s="47">
        <v>7.65</v>
      </c>
      <c r="D3396" s="6" t="s">
        <v>3404</v>
      </c>
      <c r="E3396" s="5" t="s">
        <v>2897</v>
      </c>
      <c r="F3396" s="5">
        <v>2026</v>
      </c>
      <c r="G3396" s="5" t="s">
        <v>12</v>
      </c>
      <c r="H3396" s="5" t="s">
        <v>92</v>
      </c>
      <c r="I3396" s="5" t="s">
        <v>53</v>
      </c>
      <c r="J3396" s="98" t="s">
        <v>3405</v>
      </c>
    </row>
    <row r="3397" spans="1:10" ht="28.9" customHeight="1" thickTop="1" thickBot="1" x14ac:dyDescent="0.65">
      <c r="A3397" s="3">
        <v>3395</v>
      </c>
      <c r="B3397" s="44" t="str">
        <f>HYPERLINK("https://search.naver.com/search.naver?query=흉악 어느 사형수의 고발 영화", "흉악-어느 사형수의 고발")</f>
        <v>흉악-어느 사형수의 고발</v>
      </c>
      <c r="C3397" s="45">
        <v>7.1</v>
      </c>
      <c r="D3397" s="4" t="s">
        <v>3406</v>
      </c>
      <c r="E3397" s="3" t="s">
        <v>16</v>
      </c>
      <c r="F3397" s="3">
        <v>2014</v>
      </c>
      <c r="G3397" s="3" t="s">
        <v>12</v>
      </c>
      <c r="H3397" s="3" t="s">
        <v>277</v>
      </c>
      <c r="I3397" s="3" t="s">
        <v>108</v>
      </c>
      <c r="J3397" s="97" t="s">
        <v>3437</v>
      </c>
    </row>
    <row r="3398" spans="1:10" ht="28.9" customHeight="1" thickTop="1" thickBot="1" x14ac:dyDescent="0.65">
      <c r="A3398" s="5">
        <v>3396</v>
      </c>
      <c r="B3398" s="46" t="str">
        <f>HYPERLINK("https://search.naver.com/search.naver?query=흔적 없는 삶 영화", "흔적 없는 삶")</f>
        <v>흔적 없는 삶</v>
      </c>
      <c r="C3398" s="47">
        <v>9.1999999999999993</v>
      </c>
      <c r="D3398" s="6" t="s">
        <v>3407</v>
      </c>
      <c r="E3398" s="5" t="s">
        <v>20</v>
      </c>
      <c r="F3398" s="5">
        <v>2018</v>
      </c>
      <c r="G3398" s="5" t="s">
        <v>12</v>
      </c>
      <c r="H3398" s="5" t="s">
        <v>17</v>
      </c>
      <c r="I3398" s="5" t="s">
        <v>137</v>
      </c>
      <c r="J3398" s="98" t="s">
        <v>3442</v>
      </c>
    </row>
    <row r="3399" spans="1:10" ht="28.9" customHeight="1" thickTop="1" thickBot="1" x14ac:dyDescent="0.65">
      <c r="A3399" s="3">
        <v>3397</v>
      </c>
      <c r="B3399" s="44" t="str">
        <f>HYPERLINK("https://search.naver.com/search.naver?query=흥부 글로 세상을 바꾼 자 영화", "흥부 - 글로 세상을 바꾼 자")</f>
        <v>흥부 - 글로 세상을 바꾼 자</v>
      </c>
      <c r="C3399" s="45">
        <v>6.88</v>
      </c>
      <c r="D3399" s="4" t="s">
        <v>3408</v>
      </c>
      <c r="E3399" s="3" t="s">
        <v>11</v>
      </c>
      <c r="F3399" s="3">
        <v>2017</v>
      </c>
      <c r="G3399" s="3" t="s">
        <v>12</v>
      </c>
      <c r="H3399" s="3" t="s">
        <v>17</v>
      </c>
      <c r="I3399" s="3" t="s">
        <v>31</v>
      </c>
      <c r="J3399" s="97" t="s">
        <v>3443</v>
      </c>
    </row>
    <row r="3400" spans="1:10" ht="28.9" customHeight="1" thickTop="1" thickBot="1" x14ac:dyDescent="0.65">
      <c r="A3400" s="5">
        <v>3398</v>
      </c>
      <c r="B3400" s="46" t="str">
        <f>HYPERLINK("https://search.naver.com/search.naver?query=희생부활자 영화", "희생부활자")</f>
        <v>희생부활자</v>
      </c>
      <c r="C3400" s="47">
        <v>6.6</v>
      </c>
      <c r="D3400" s="6" t="s">
        <v>3409</v>
      </c>
      <c r="E3400" s="5" t="s">
        <v>11</v>
      </c>
      <c r="F3400" s="5">
        <v>2017</v>
      </c>
      <c r="G3400" s="5" t="s">
        <v>12</v>
      </c>
      <c r="H3400" s="5" t="s">
        <v>43</v>
      </c>
      <c r="I3400" s="5" t="s">
        <v>111</v>
      </c>
      <c r="J3400" s="98" t="s">
        <v>3443</v>
      </c>
    </row>
    <row r="3401" spans="1:10" ht="28.9" customHeight="1" thickTop="1" thickBot="1" x14ac:dyDescent="0.65">
      <c r="A3401" s="3">
        <v>3399</v>
      </c>
      <c r="B3401" s="44" t="str">
        <f>HYPERLINK("https://search.naver.com/search.naver?query=히든 서스펙트 영화", "히든 서스펙트")</f>
        <v>히든 서스펙트</v>
      </c>
      <c r="C3401" s="45">
        <v>6.64</v>
      </c>
      <c r="D3401" s="4" t="s">
        <v>3410</v>
      </c>
      <c r="E3401" s="3" t="s">
        <v>20</v>
      </c>
      <c r="F3401" s="3">
        <v>2013</v>
      </c>
      <c r="G3401" s="3" t="s">
        <v>12</v>
      </c>
      <c r="H3401" s="3" t="s">
        <v>43</v>
      </c>
      <c r="I3401" s="3" t="s">
        <v>111</v>
      </c>
      <c r="J3401" s="97" t="s">
        <v>3451</v>
      </c>
    </row>
    <row r="3402" spans="1:10" ht="28.9" customHeight="1" thickTop="1" thickBot="1" x14ac:dyDescent="0.65">
      <c r="A3402" s="5">
        <v>3400</v>
      </c>
      <c r="B3402" s="46" t="str">
        <f>HYPERLINK("https://search.naver.com/search.naver?query=히든 아이덴티티 영화", "히든 아이덴티티")</f>
        <v>히든 아이덴티티</v>
      </c>
      <c r="C3402" s="47">
        <v>7.7</v>
      </c>
      <c r="D3402" s="6" t="s">
        <v>3411</v>
      </c>
      <c r="E3402" s="5" t="s">
        <v>20</v>
      </c>
      <c r="F3402" s="5">
        <v>2017</v>
      </c>
      <c r="G3402" s="5" t="s">
        <v>12</v>
      </c>
      <c r="H3402" s="5" t="s">
        <v>141</v>
      </c>
      <c r="I3402" s="5" t="s">
        <v>278</v>
      </c>
      <c r="J3402" s="98" t="s">
        <v>3443</v>
      </c>
    </row>
    <row r="3403" spans="1:10" ht="28.9" customHeight="1" thickTop="1" thickBot="1" x14ac:dyDescent="0.65">
      <c r="A3403" s="3">
        <v>3401</v>
      </c>
      <c r="B3403" s="44" t="str">
        <f>HYPERLINK("https://search.naver.com/search.naver?query=영화히든페이스", "히든 페이스")</f>
        <v>히든 페이스</v>
      </c>
      <c r="C3403" s="45">
        <v>7.83</v>
      </c>
      <c r="D3403" s="4" t="s">
        <v>3412</v>
      </c>
      <c r="E3403" s="3" t="s">
        <v>11</v>
      </c>
      <c r="F3403" s="3">
        <v>2024</v>
      </c>
      <c r="G3403" s="3" t="s">
        <v>12</v>
      </c>
      <c r="H3403" s="3" t="s">
        <v>43</v>
      </c>
      <c r="I3403" s="3" t="s">
        <v>47</v>
      </c>
      <c r="J3403" s="97" t="s">
        <v>3448</v>
      </c>
    </row>
    <row r="3404" spans="1:10" ht="28.9" customHeight="1" thickTop="1" thickBot="1" x14ac:dyDescent="0.65">
      <c r="A3404" s="5">
        <v>3402</v>
      </c>
      <c r="B3404" s="46" t="str">
        <f>HYPERLINK("https://search.naver.com/search.naver?query=히든페이스 2011", "히든 페이스")</f>
        <v>히든 페이스</v>
      </c>
      <c r="C3404" s="47">
        <v>8.1</v>
      </c>
      <c r="D3404" s="6" t="s">
        <v>3413</v>
      </c>
      <c r="E3404" s="5" t="s">
        <v>30</v>
      </c>
      <c r="F3404" s="5">
        <v>2011</v>
      </c>
      <c r="G3404" s="5" t="s">
        <v>12</v>
      </c>
      <c r="H3404" s="5" t="s">
        <v>43</v>
      </c>
      <c r="I3404" s="5" t="s">
        <v>111</v>
      </c>
      <c r="J3404" s="98" t="s">
        <v>3454</v>
      </c>
    </row>
    <row r="3405" spans="1:10" ht="28.9" customHeight="1" thickTop="1" thickBot="1" x14ac:dyDescent="0.65">
      <c r="A3405" s="3">
        <v>3403</v>
      </c>
      <c r="B3405" s="44" t="str">
        <f>HYPERLINK("https://search.naver.com/search.naver?query=히든 피겨스 영화", "히든 피겨스")</f>
        <v>히든 피겨스</v>
      </c>
      <c r="C3405" s="45">
        <v>9.3699999999999992</v>
      </c>
      <c r="D3405" s="4" t="s">
        <v>3414</v>
      </c>
      <c r="E3405" s="3" t="s">
        <v>20</v>
      </c>
      <c r="F3405" s="3">
        <v>2016</v>
      </c>
      <c r="G3405" s="3" t="s">
        <v>12</v>
      </c>
      <c r="H3405" s="3" t="s">
        <v>17</v>
      </c>
      <c r="I3405" s="3" t="s">
        <v>150</v>
      </c>
      <c r="J3405" s="97" t="s">
        <v>3441</v>
      </c>
    </row>
    <row r="3406" spans="1:10" ht="28.9" customHeight="1" thickTop="1" thickBot="1" x14ac:dyDescent="0.65">
      <c r="A3406" s="5">
        <v>3404</v>
      </c>
      <c r="B3406" s="46" t="str">
        <f>HYPERLINK("https://search.naver.com/search.naver?query=히든카드 영화", "히든카드")</f>
        <v>히든카드</v>
      </c>
      <c r="C3406" s="47">
        <v>6.09</v>
      </c>
      <c r="D3406" s="6" t="s">
        <v>3415</v>
      </c>
      <c r="E3406" s="5" t="s">
        <v>20</v>
      </c>
      <c r="F3406" s="5">
        <v>2013</v>
      </c>
      <c r="G3406" s="5" t="s">
        <v>12</v>
      </c>
      <c r="H3406" s="5" t="s">
        <v>277</v>
      </c>
      <c r="I3406" s="5" t="s">
        <v>231</v>
      </c>
      <c r="J3406" s="98" t="s">
        <v>3451</v>
      </c>
    </row>
    <row r="3407" spans="1:10" ht="28.9" customHeight="1" thickTop="1" thickBot="1" x14ac:dyDescent="0.65">
      <c r="A3407" s="3">
        <v>3405</v>
      </c>
      <c r="B3407" s="44" t="str">
        <f>HYPERLINK("https://search.naver.com/search.naver?query=히마와리와 나의 7일 영화", "히마와리와 나의 7일")</f>
        <v>히마와리와 나의 7일</v>
      </c>
      <c r="C3407" s="45">
        <v>8.25</v>
      </c>
      <c r="D3407" s="4" t="s">
        <v>3416</v>
      </c>
      <c r="E3407" s="3" t="s">
        <v>16</v>
      </c>
      <c r="F3407" s="3">
        <v>2013</v>
      </c>
      <c r="G3407" s="3" t="s">
        <v>12</v>
      </c>
      <c r="H3407" s="3" t="s">
        <v>17</v>
      </c>
      <c r="I3407" s="3" t="s">
        <v>111</v>
      </c>
      <c r="J3407" s="97" t="s">
        <v>3451</v>
      </c>
    </row>
    <row r="3408" spans="1:10" ht="28.9" customHeight="1" thickTop="1" thickBot="1" x14ac:dyDescent="0.65">
      <c r="A3408" s="5">
        <v>3406</v>
      </c>
      <c r="B3408" s="46" t="str">
        <f>HYPERLINK("https://search.naver.com/search.naver?query=히말라야 영화", "히말라야")</f>
        <v>히말라야</v>
      </c>
      <c r="C3408" s="47">
        <v>8.68</v>
      </c>
      <c r="D3408" s="6" t="s">
        <v>3417</v>
      </c>
      <c r="E3408" s="5" t="s">
        <v>11</v>
      </c>
      <c r="F3408" s="5">
        <v>2015</v>
      </c>
      <c r="G3408" s="5" t="s">
        <v>12</v>
      </c>
      <c r="H3408" s="5" t="s">
        <v>17</v>
      </c>
      <c r="I3408" s="5" t="s">
        <v>134</v>
      </c>
      <c r="J3408" s="98" t="s">
        <v>3440</v>
      </c>
    </row>
    <row r="3409" spans="1:10" ht="28.9" customHeight="1" thickTop="1" thickBot="1" x14ac:dyDescent="0.65">
      <c r="A3409" s="3">
        <v>3407</v>
      </c>
      <c r="B3409" s="44" t="str">
        <f>HYPERLINK("https://search.naver.com/search.naver?query=히셔 영화", "히셔")</f>
        <v>히셔</v>
      </c>
      <c r="C3409" s="45">
        <v>6.4</v>
      </c>
      <c r="D3409" s="4" t="s">
        <v>3418</v>
      </c>
      <c r="E3409" s="3" t="s">
        <v>20</v>
      </c>
      <c r="F3409" s="3">
        <v>2010</v>
      </c>
      <c r="G3409" s="3" t="s">
        <v>12</v>
      </c>
      <c r="H3409" s="3" t="s">
        <v>252</v>
      </c>
      <c r="I3409" s="3" t="s">
        <v>111</v>
      </c>
      <c r="J3409" s="97" t="s">
        <v>3455</v>
      </c>
    </row>
    <row r="3410" spans="1:10" ht="28.9" customHeight="1" thickTop="1" thickBot="1" x14ac:dyDescent="0.65">
      <c r="A3410" s="5">
        <v>3408</v>
      </c>
      <c r="B3410" s="46" t="str">
        <f>HYPERLINK("https://search.naver.com/search.naver?query=히스테리아 영화", "히스테리아")</f>
        <v>히스테리아</v>
      </c>
      <c r="C3410" s="47">
        <v>7.93</v>
      </c>
      <c r="D3410" s="6" t="s">
        <v>3419</v>
      </c>
      <c r="E3410" s="5" t="s">
        <v>24</v>
      </c>
      <c r="F3410" s="5">
        <v>2011</v>
      </c>
      <c r="G3410" s="5" t="s">
        <v>12</v>
      </c>
      <c r="H3410" s="5" t="s">
        <v>68</v>
      </c>
      <c r="I3410" s="5" t="s">
        <v>131</v>
      </c>
      <c r="J3410" s="98" t="s">
        <v>3454</v>
      </c>
    </row>
    <row r="3411" spans="1:10" ht="28.9" customHeight="1" thickTop="1" thickBot="1" x14ac:dyDescent="0.65">
      <c r="A3411" s="3">
        <v>3409</v>
      </c>
      <c r="B3411" s="44" t="str">
        <f>HYPERLINK("https://search.naver.com/search.naver?query=히어 컴스 더 붐 영화", "히어 컴스 더 붐")</f>
        <v>히어 컴스 더 붐</v>
      </c>
      <c r="C3411" s="45">
        <v>10</v>
      </c>
      <c r="D3411" s="4" t="s">
        <v>3420</v>
      </c>
      <c r="E3411" s="3" t="s">
        <v>20</v>
      </c>
      <c r="F3411" s="3">
        <v>2012</v>
      </c>
      <c r="G3411" s="3" t="s">
        <v>12</v>
      </c>
      <c r="H3411" s="3" t="s">
        <v>68</v>
      </c>
      <c r="I3411" s="3" t="s">
        <v>128</v>
      </c>
      <c r="J3411" s="97" t="s">
        <v>3439</v>
      </c>
    </row>
    <row r="3412" spans="1:10" ht="28.9" customHeight="1" thickTop="1" thickBot="1" x14ac:dyDescent="0.65">
      <c r="A3412" s="5">
        <v>3410</v>
      </c>
      <c r="B3412" s="46" t="str">
        <f>HYPERLINK("https://search.naver.com/search.naver?query=히어애프터 영화", "히어애프터")</f>
        <v>히어애프터</v>
      </c>
      <c r="C3412" s="47">
        <v>7.83</v>
      </c>
      <c r="D3412" s="6" t="s">
        <v>3421</v>
      </c>
      <c r="E3412" s="5" t="s">
        <v>20</v>
      </c>
      <c r="F3412" s="5">
        <v>2010</v>
      </c>
      <c r="G3412" s="5" t="s">
        <v>12</v>
      </c>
      <c r="H3412" s="5" t="s">
        <v>17</v>
      </c>
      <c r="I3412" s="5" t="s">
        <v>64</v>
      </c>
      <c r="J3412" s="98" t="s">
        <v>3455</v>
      </c>
    </row>
    <row r="3413" spans="1:10" ht="28.9" customHeight="1" thickTop="1" thickBot="1" x14ac:dyDescent="0.65">
      <c r="A3413" s="3">
        <v>3411</v>
      </c>
      <c r="B3413" s="44" t="str">
        <f>HYPERLINK("https://search.naver.com/search.naver?query=히트 영화", "히트")</f>
        <v>히트</v>
      </c>
      <c r="C3413" s="45">
        <v>9.3000000000000007</v>
      </c>
      <c r="D3413" s="4" t="s">
        <v>3422</v>
      </c>
      <c r="E3413" s="3" t="s">
        <v>20</v>
      </c>
      <c r="F3413" s="3">
        <v>1995</v>
      </c>
      <c r="G3413" s="3" t="s">
        <v>12</v>
      </c>
      <c r="H3413" s="3" t="s">
        <v>277</v>
      </c>
      <c r="I3413" s="3" t="s">
        <v>1570</v>
      </c>
      <c r="J3413" s="97" t="s">
        <v>3475</v>
      </c>
    </row>
    <row r="3414" spans="1:10" ht="28.9" customHeight="1" thickTop="1" thickBot="1" x14ac:dyDescent="0.65">
      <c r="A3414" s="5">
        <v>3412</v>
      </c>
      <c r="B3414" s="46" t="str">
        <f>HYPERLINK("https://search.naver.com/search.naver?query=히트맨 영화", "히트맨")</f>
        <v>히트맨</v>
      </c>
      <c r="C3414" s="63">
        <v>7.16</v>
      </c>
      <c r="D3414" s="6" t="s">
        <v>3423</v>
      </c>
      <c r="E3414" s="5" t="s">
        <v>11</v>
      </c>
      <c r="F3414" s="5">
        <v>2020</v>
      </c>
      <c r="G3414" s="5" t="s">
        <v>12</v>
      </c>
      <c r="H3414" s="5" t="s">
        <v>68</v>
      </c>
      <c r="I3414" s="5" t="s">
        <v>75</v>
      </c>
      <c r="J3414" s="98" t="s">
        <v>3436</v>
      </c>
    </row>
    <row r="3415" spans="1:10" ht="28.9" customHeight="1" thickTop="1" thickBot="1" x14ac:dyDescent="0.65">
      <c r="A3415" s="3">
        <v>3413</v>
      </c>
      <c r="B3415" s="59" t="str">
        <f>HYPERLINK("https://search.naver.com/search.naver?query=히트맨2007", "히트맨")</f>
        <v>히트맨</v>
      </c>
      <c r="C3415" s="64">
        <v>8.1</v>
      </c>
      <c r="D3415" s="35" t="s">
        <v>3423</v>
      </c>
      <c r="E3415" s="3" t="s">
        <v>210</v>
      </c>
      <c r="F3415" s="3">
        <v>2007</v>
      </c>
      <c r="G3415" s="3" t="s">
        <v>12</v>
      </c>
      <c r="H3415" s="3" t="s">
        <v>92</v>
      </c>
      <c r="I3415" s="3" t="s">
        <v>147</v>
      </c>
      <c r="J3415" s="97" t="s">
        <v>3447</v>
      </c>
    </row>
    <row r="3416" spans="1:10" ht="28.9" customHeight="1" thickTop="1" thickBot="1" x14ac:dyDescent="0.65">
      <c r="A3416" s="5">
        <v>3414</v>
      </c>
      <c r="B3416" s="46" t="str">
        <f>HYPERLINK("https://search.naver.com/search.naver?query=히트스트로크 영화", "히트스트로크")</f>
        <v>히트스트로크</v>
      </c>
      <c r="C3416" s="65">
        <v>6.4</v>
      </c>
      <c r="D3416" s="6" t="s">
        <v>3424</v>
      </c>
      <c r="E3416" s="5" t="s">
        <v>20</v>
      </c>
      <c r="F3416" s="5">
        <v>2013</v>
      </c>
      <c r="G3416" s="5" t="s">
        <v>12</v>
      </c>
      <c r="H3416" s="5" t="s">
        <v>43</v>
      </c>
      <c r="I3416" s="5" t="s">
        <v>111</v>
      </c>
      <c r="J3416" s="98" t="s">
        <v>3451</v>
      </c>
    </row>
    <row r="3417" spans="1:10" ht="28.9" customHeight="1" thickTop="1" thickBot="1" x14ac:dyDescent="0.65">
      <c r="A3417" s="39">
        <v>3415</v>
      </c>
      <c r="B3417" s="66" t="str">
        <f>HYPERLINK("https://search.naver.com/search.naver?query=히틀러와 제3제국의 종말.", "히틀러와 제3제국의 종말")</f>
        <v>히틀러와 제3제국의 종말</v>
      </c>
      <c r="C3417" s="67">
        <v>8.14</v>
      </c>
      <c r="D3417" s="34" t="s">
        <v>3425</v>
      </c>
      <c r="E3417" s="39" t="s">
        <v>101</v>
      </c>
      <c r="F3417" s="39">
        <v>2004</v>
      </c>
      <c r="G3417" s="39" t="s">
        <v>12</v>
      </c>
      <c r="H3417" s="39" t="s">
        <v>17</v>
      </c>
      <c r="I3417" s="39" t="s">
        <v>298</v>
      </c>
      <c r="J3417" s="106" t="s">
        <v>3462</v>
      </c>
    </row>
    <row r="3418" spans="1:10" ht="28.9" customHeight="1" thickTop="1" x14ac:dyDescent="0.6">
      <c r="A3418" s="15">
        <v>3416</v>
      </c>
      <c r="B3418" s="68" t="str">
        <f>HYPERLINK("https://search.naver.com/search.naver?query=힐빌리의 노래 영화", "힐빌리의 노래")</f>
        <v>힐빌리의 노래</v>
      </c>
      <c r="C3418" s="63">
        <v>9.33</v>
      </c>
      <c r="D3418" s="28" t="s">
        <v>3426</v>
      </c>
      <c r="E3418" s="15" t="s">
        <v>20</v>
      </c>
      <c r="F3418" s="15">
        <v>2020</v>
      </c>
      <c r="G3418" s="15" t="s">
        <v>12</v>
      </c>
      <c r="H3418" s="15" t="s">
        <v>17</v>
      </c>
      <c r="I3418" s="15" t="s">
        <v>366</v>
      </c>
      <c r="J3418" s="107" t="s">
        <v>3436</v>
      </c>
    </row>
    <row r="3419" spans="1:10" ht="28.9" customHeight="1" x14ac:dyDescent="0.6">
      <c r="A3419" s="16">
        <v>3417</v>
      </c>
      <c r="B3419" s="69" t="str">
        <f>HYPERLINK("https://search.naver.com/search.naver?query=힙노틱 영화", "힙노틱")</f>
        <v>힙노틱</v>
      </c>
      <c r="C3419" s="70">
        <v>6.44</v>
      </c>
      <c r="D3419" s="17" t="s">
        <v>3427</v>
      </c>
      <c r="E3419" s="16" t="s">
        <v>20</v>
      </c>
      <c r="F3419" s="16">
        <v>2023</v>
      </c>
      <c r="G3419" s="16" t="s">
        <v>12</v>
      </c>
      <c r="H3419" s="16" t="s">
        <v>92</v>
      </c>
      <c r="I3419" s="16" t="s">
        <v>93</v>
      </c>
      <c r="J3419" s="108" t="s">
        <v>3446</v>
      </c>
    </row>
    <row r="3420" spans="1:10" ht="31.8" customHeight="1" x14ac:dyDescent="0.6">
      <c r="A3420" s="27">
        <v>3418</v>
      </c>
      <c r="B3420" s="89" t="str">
        <f>HYPERLINK("https://search.naver.com/search.naver?query=포 올 맨카인드 시즌2", "포 올 맨카인드 시즌2")</f>
        <v>포 올 맨카인드 시즌2</v>
      </c>
      <c r="C3420" s="71"/>
      <c r="D3420" s="33" t="s">
        <v>2514</v>
      </c>
      <c r="E3420" s="27" t="s">
        <v>20</v>
      </c>
      <c r="F3420" s="27">
        <v>2021</v>
      </c>
      <c r="G3420" s="27" t="s">
        <v>17</v>
      </c>
      <c r="H3420" s="27" t="s">
        <v>520</v>
      </c>
      <c r="I3420" s="27" t="s">
        <v>2515</v>
      </c>
      <c r="J3420" s="109" t="s">
        <v>3438</v>
      </c>
    </row>
    <row r="3421" spans="1:10" ht="27.3" customHeight="1" x14ac:dyDescent="0.6">
      <c r="A3421" s="26">
        <v>3419</v>
      </c>
      <c r="B3421" s="90" t="str">
        <f>HYPERLINK("https://search.naver.com/search.naver?query=KBS대기획 인간, 신세계로 부터 다큐", "KBS대기획 인간, 신세계로 부터")</f>
        <v>KBS대기획 인간, 신세계로 부터</v>
      </c>
      <c r="C3421" s="57"/>
      <c r="D3421" s="37" t="s">
        <v>3521</v>
      </c>
      <c r="E3421" s="26" t="s">
        <v>2897</v>
      </c>
      <c r="F3421" s="26">
        <v>2023</v>
      </c>
      <c r="G3421" s="26" t="s">
        <v>2576</v>
      </c>
      <c r="H3421" s="26" t="s">
        <v>2576</v>
      </c>
      <c r="I3421" s="26" t="s">
        <v>3522</v>
      </c>
      <c r="J3421" s="104" t="s">
        <v>3446</v>
      </c>
    </row>
    <row r="3422" spans="1:10" s="58" customFormat="1" ht="27.6" customHeight="1" x14ac:dyDescent="0.6">
      <c r="A3422" s="25">
        <v>3420</v>
      </c>
      <c r="B3422" s="91" t="str">
        <f>HYPERLINK("https://search.naver.com/search.naver?query=남편의 그것이 들어가지 않아 드라마", "남편의 그것이 들어가지 않아")</f>
        <v>남편의 그것이 들어가지 않아</v>
      </c>
      <c r="C3422" s="72"/>
      <c r="D3422" s="32" t="s">
        <v>3524</v>
      </c>
      <c r="E3422" s="25" t="s">
        <v>16</v>
      </c>
      <c r="F3422" s="25">
        <v>2019</v>
      </c>
      <c r="G3422" s="25" t="s">
        <v>17</v>
      </c>
      <c r="H3422" s="25" t="s">
        <v>3428</v>
      </c>
      <c r="I3422" s="25" t="s">
        <v>2515</v>
      </c>
      <c r="J3422" s="110" t="s">
        <v>3444</v>
      </c>
    </row>
    <row r="3423" spans="1:10" ht="34.35" customHeight="1" thickBot="1" x14ac:dyDescent="0.65">
      <c r="A3423" s="25">
        <v>3421</v>
      </c>
      <c r="B3423" s="92" t="str">
        <f>HYPERLINK("https://search.naver.com/search.naver?query=라팔마 드라마", "라팔마")</f>
        <v>라팔마</v>
      </c>
      <c r="C3423" s="72"/>
      <c r="D3423" s="29" t="s">
        <v>3429</v>
      </c>
      <c r="E3423" s="25" t="s">
        <v>3430</v>
      </c>
      <c r="F3423" s="25">
        <v>2024</v>
      </c>
      <c r="G3423" s="25" t="s">
        <v>17</v>
      </c>
      <c r="H3423" s="25" t="s">
        <v>3431</v>
      </c>
      <c r="I3423" s="25" t="s">
        <v>2577</v>
      </c>
      <c r="J3423" s="110" t="s">
        <v>3448</v>
      </c>
    </row>
    <row r="3424" spans="1:10" ht="28.9" customHeight="1" thickTop="1" x14ac:dyDescent="0.6">
      <c r="A3424" s="15">
        <v>3422</v>
      </c>
      <c r="B3424" s="93" t="str">
        <f>HYPERLINK("https://search.naver.com/search.naver?query=프로젝트+헤일메리+영화", "프로젝트 헤일메리")</f>
        <v>프로젝트 헤일메리</v>
      </c>
      <c r="C3424" s="63">
        <v>9.2100000000000009</v>
      </c>
      <c r="D3424" s="28" t="s">
        <v>3432</v>
      </c>
      <c r="E3424" s="15" t="s">
        <v>20</v>
      </c>
      <c r="F3424" s="15">
        <v>2026</v>
      </c>
      <c r="G3424" s="15" t="s">
        <v>12</v>
      </c>
      <c r="H3424" s="15" t="s">
        <v>520</v>
      </c>
      <c r="I3424" s="15" t="s">
        <v>298</v>
      </c>
      <c r="J3424" s="107" t="s">
        <v>3433</v>
      </c>
    </row>
    <row r="3425" spans="1:14" s="58" customFormat="1" ht="34.35" customHeight="1" x14ac:dyDescent="0.6">
      <c r="A3425" s="73">
        <v>3423</v>
      </c>
      <c r="B3425" s="94" t="str">
        <f>HYPERLINK("https://search.naver.com/search.naver?query=여행과+나날+영화", "여행과 나날")</f>
        <v>여행과 나날</v>
      </c>
      <c r="C3425" s="74">
        <v>7.84</v>
      </c>
      <c r="D3425" s="75" t="s">
        <v>3434</v>
      </c>
      <c r="E3425" s="73" t="s">
        <v>16</v>
      </c>
      <c r="F3425" s="73">
        <v>2025</v>
      </c>
      <c r="G3425" s="73" t="s">
        <v>12</v>
      </c>
      <c r="H3425" s="73" t="s">
        <v>17</v>
      </c>
      <c r="I3425" s="73" t="s">
        <v>119</v>
      </c>
      <c r="J3425" s="111" t="s">
        <v>3435</v>
      </c>
      <c r="K3425" s="76"/>
      <c r="L3425" s="76"/>
      <c r="M3425" s="76"/>
      <c r="N3425" s="76"/>
    </row>
    <row r="3426" spans="1:14" ht="27.3" customHeight="1" x14ac:dyDescent="0.6">
      <c r="A3426" s="26">
        <v>3424</v>
      </c>
      <c r="B3426" s="90" t="str">
        <f>HYPERLINK("https://search.naver.com/search.naver?query=KBS 대기획 트랜스휴먼+다큐", "KBS 대기획 트랜스휴먼")</f>
        <v>KBS 대기획 트랜스휴먼</v>
      </c>
      <c r="C3426" s="57"/>
      <c r="D3426" s="37" t="s">
        <v>3520</v>
      </c>
      <c r="E3426" s="26" t="s">
        <v>3495</v>
      </c>
      <c r="F3426" s="26">
        <v>2025</v>
      </c>
      <c r="G3426" s="26" t="s">
        <v>3518</v>
      </c>
      <c r="H3426" s="26" t="s">
        <v>3518</v>
      </c>
      <c r="I3426" s="26" t="s">
        <v>3519</v>
      </c>
      <c r="J3426" s="104">
        <v>45991</v>
      </c>
    </row>
    <row r="3427" spans="1:14" ht="34.35" customHeight="1" x14ac:dyDescent="0.6">
      <c r="A3427" s="25">
        <v>3425</v>
      </c>
      <c r="B3427" s="92" t="str">
        <f>HYPERLINK("https://search.naver.com/search.naver?query=버진리버 시즌7", "버진 리버 시즌7")</f>
        <v>버진 리버 시즌7</v>
      </c>
      <c r="C3427" s="72"/>
      <c r="D3427" s="32" t="s">
        <v>3535</v>
      </c>
      <c r="E3427" s="25" t="s">
        <v>3531</v>
      </c>
      <c r="F3427" s="25">
        <v>2026</v>
      </c>
      <c r="G3427" s="25" t="s">
        <v>3532</v>
      </c>
      <c r="H3427" s="25" t="s">
        <v>3533</v>
      </c>
      <c r="I3427" s="25" t="s">
        <v>3534</v>
      </c>
      <c r="J3427" s="110">
        <v>46139</v>
      </c>
    </row>
    <row r="3428" spans="1:14" s="58" customFormat="1" ht="34.35" customHeight="1" x14ac:dyDescent="0.6">
      <c r="A3428" s="73">
        <v>3426</v>
      </c>
      <c r="B3428" s="94" t="str">
        <f>HYPERLINK("https://search.naver.com/search.naver?query=왕과 사는 남자 영화", "왕과 사는 남자")</f>
        <v>왕과 사는 남자</v>
      </c>
      <c r="C3428" s="74">
        <v>8.8699999999999992</v>
      </c>
      <c r="D3428" s="75" t="s">
        <v>3537</v>
      </c>
      <c r="E3428" s="73" t="s">
        <v>3536</v>
      </c>
      <c r="F3428" s="73">
        <v>2026</v>
      </c>
      <c r="G3428" s="73" t="s">
        <v>3489</v>
      </c>
      <c r="H3428" s="73" t="s">
        <v>3490</v>
      </c>
      <c r="I3428" s="73" t="s">
        <v>3538</v>
      </c>
      <c r="J3428" s="111">
        <v>46144</v>
      </c>
      <c r="K3428" s="76"/>
      <c r="L3428" s="76"/>
      <c r="M3428" s="76"/>
      <c r="N3428" s="76"/>
    </row>
    <row r="3429" spans="1:14" ht="34.35" customHeight="1" x14ac:dyDescent="0.6">
      <c r="A3429" s="25">
        <v>3427</v>
      </c>
      <c r="B3429" s="92" t="str">
        <f>HYPERLINK("https://search.naver.com/search.naver?query=더 매디슨 시즌1", "더 매디슨 시즌1")</f>
        <v>더 매디슨 시즌1</v>
      </c>
      <c r="C3429" s="72"/>
      <c r="D3429" s="32" t="s">
        <v>3540</v>
      </c>
      <c r="E3429" s="25" t="s">
        <v>3488</v>
      </c>
      <c r="F3429" s="25">
        <v>2026</v>
      </c>
      <c r="G3429" s="25" t="s">
        <v>3490</v>
      </c>
      <c r="H3429" s="25" t="s">
        <v>3490</v>
      </c>
      <c r="I3429" s="25" t="s">
        <v>3539</v>
      </c>
      <c r="J3429" s="110">
        <v>46160</v>
      </c>
    </row>
    <row r="3430" spans="1:14" ht="34.35" customHeight="1" x14ac:dyDescent="0.6">
      <c r="A3430" s="25">
        <v>3428</v>
      </c>
      <c r="B3430" s="92" t="str">
        <f>HYPERLINK("https://www.themoviedb.org/tv/289560-cia?language=ko-KR=CIA 시즌1", "CIA 시즌1")</f>
        <v>CIA 시즌1</v>
      </c>
      <c r="C3430" s="72"/>
      <c r="D3430" s="32" t="s">
        <v>3543</v>
      </c>
      <c r="E3430" s="25" t="s">
        <v>3488</v>
      </c>
      <c r="F3430" s="25">
        <v>2026</v>
      </c>
      <c r="G3430" s="25" t="s">
        <v>3490</v>
      </c>
      <c r="H3430" s="25" t="s">
        <v>3542</v>
      </c>
      <c r="I3430" s="25" t="s">
        <v>3541</v>
      </c>
      <c r="J3430" s="110">
        <v>46192</v>
      </c>
    </row>
    <row r="3431" spans="1:14" ht="34.35" customHeight="1" x14ac:dyDescent="0.6">
      <c r="A3431" s="25">
        <v>3429</v>
      </c>
      <c r="B3431" s="92" t="str">
        <f>HYPERLINK("https://www.themoviedb.org/tv/120911-the-terminal-list=터미널 리스트 시즌 1", "터미널 리스트 시즌 1")</f>
        <v>터미널 리스트 시즌 1</v>
      </c>
      <c r="C3431" s="72"/>
      <c r="D3431" s="32" t="s">
        <v>3544</v>
      </c>
      <c r="E3431" s="25" t="s">
        <v>3488</v>
      </c>
      <c r="F3431" s="25">
        <v>2022</v>
      </c>
      <c r="G3431" s="25" t="s">
        <v>3490</v>
      </c>
      <c r="H3431" s="25" t="s">
        <v>3542</v>
      </c>
      <c r="I3431" s="25" t="s">
        <v>3545</v>
      </c>
      <c r="J3431" s="110">
        <v>46195</v>
      </c>
    </row>
    <row r="3432" spans="1:14" ht="34.35" customHeight="1" x14ac:dyDescent="0.6">
      <c r="A3432" s="25">
        <v>3430</v>
      </c>
      <c r="B3432" s="92" t="str">
        <f>HYPERLINK("https://search.naver.com/search.naver?query=나이트 에이전트 시즌2", "나이트 에이전트 시즌 2")</f>
        <v>나이트 에이전트 시즌 2</v>
      </c>
      <c r="C3432" s="72"/>
      <c r="D3432" s="32" t="s">
        <v>3547</v>
      </c>
      <c r="E3432" s="25" t="s">
        <v>3488</v>
      </c>
      <c r="F3432" s="25">
        <v>2025</v>
      </c>
      <c r="G3432" s="25" t="s">
        <v>3490</v>
      </c>
      <c r="H3432" s="25" t="s">
        <v>3546</v>
      </c>
      <c r="I3432" s="25" t="s">
        <v>3534</v>
      </c>
      <c r="J3432" s="110">
        <v>46198</v>
      </c>
    </row>
    <row r="3433" spans="1:14" ht="34.35" customHeight="1" x14ac:dyDescent="0.6">
      <c r="A3433" s="25">
        <v>3431</v>
      </c>
      <c r="B3433" s="92" t="str">
        <f>HYPERLINK("https://search.naver.com/search.naver?query=나이트 에이전트 시즌3", "나이트 에이전트 시즌 3")</f>
        <v>나이트 에이전트 시즌 3</v>
      </c>
      <c r="C3433" s="72"/>
      <c r="D3433" s="32" t="s">
        <v>3547</v>
      </c>
      <c r="E3433" s="25" t="s">
        <v>3488</v>
      </c>
      <c r="F3433" s="25">
        <v>2026</v>
      </c>
      <c r="G3433" s="25" t="s">
        <v>3490</v>
      </c>
      <c r="H3433" s="25" t="s">
        <v>3546</v>
      </c>
      <c r="I3433" s="25" t="s">
        <v>3534</v>
      </c>
      <c r="J3433" s="110">
        <v>46200</v>
      </c>
    </row>
    <row r="3434" spans="1:14" ht="34.35" customHeight="1" x14ac:dyDescent="0.6">
      <c r="A3434" s="25">
        <v>3432</v>
      </c>
      <c r="B3434" s="92" t="str">
        <f>HYPERLINK("https://search.naver.com/search.naver?query=마셜스 시즌1", "마셜스 시즌1")</f>
        <v>마셜스 시즌1</v>
      </c>
      <c r="C3434" s="72"/>
      <c r="D3434" s="32" t="s">
        <v>3549</v>
      </c>
      <c r="E3434" s="25" t="s">
        <v>3488</v>
      </c>
      <c r="F3434" s="25">
        <v>2026</v>
      </c>
      <c r="G3434" s="25" t="s">
        <v>3490</v>
      </c>
      <c r="H3434" s="25" t="s">
        <v>3546</v>
      </c>
      <c r="I3434" s="25" t="s">
        <v>3548</v>
      </c>
      <c r="J3434" s="110">
        <v>46211</v>
      </c>
    </row>
    <row r="3435" spans="1:14" ht="34.35" customHeight="1" x14ac:dyDescent="0.6">
      <c r="A3435" s="25">
        <v>3433</v>
      </c>
      <c r="B3435" s="92" t="str">
        <f>HYPERLINK("https://www.themoviedb.org/tv/302074-r-j-decker", "R.J. 데커 시즌1")</f>
        <v>R.J. 데커 시즌1</v>
      </c>
      <c r="C3435" s="72"/>
      <c r="D3435" s="32" t="s">
        <v>3551</v>
      </c>
      <c r="E3435" s="25" t="s">
        <v>3488</v>
      </c>
      <c r="F3435" s="25">
        <v>2026</v>
      </c>
      <c r="G3435" s="25" t="s">
        <v>3490</v>
      </c>
      <c r="H3435" s="25" t="s">
        <v>3552</v>
      </c>
      <c r="I3435" s="25" t="s">
        <v>3550</v>
      </c>
      <c r="J3435" s="110">
        <v>46212</v>
      </c>
    </row>
    <row r="3436" spans="1:14" ht="34.35" customHeight="1" x14ac:dyDescent="0.6">
      <c r="A3436" s="25">
        <v>3434</v>
      </c>
      <c r="B3436" s="92" t="str">
        <f>HYPERLINK("https://search.naver.com/search.naver?query=더 피트 시즌1", "더 피트 시즌1")</f>
        <v>더 피트 시즌1</v>
      </c>
      <c r="C3436" s="72"/>
      <c r="D3436" s="32" t="s">
        <v>3554</v>
      </c>
      <c r="E3436" s="25" t="s">
        <v>3488</v>
      </c>
      <c r="F3436" s="25">
        <v>2025</v>
      </c>
      <c r="G3436" s="25" t="s">
        <v>3490</v>
      </c>
      <c r="H3436" s="25" t="s">
        <v>3555</v>
      </c>
      <c r="I3436" s="25" t="s">
        <v>3553</v>
      </c>
      <c r="J3436" s="110">
        <v>46215</v>
      </c>
    </row>
    <row r="3437" spans="1:14" ht="34.200000000000003" customHeight="1" x14ac:dyDescent="0.6">
      <c r="A3437" s="25">
        <v>3435</v>
      </c>
      <c r="B3437" s="92" t="str">
        <f>HYPERLINK("https://search.naver.com/search.naver?query=더 피트 시즌2", "더 피트 시즌2")</f>
        <v>더 피트 시즌2</v>
      </c>
      <c r="C3437" s="72"/>
      <c r="D3437" s="32" t="s">
        <v>3554</v>
      </c>
      <c r="E3437" s="25" t="s">
        <v>3488</v>
      </c>
      <c r="F3437" s="25">
        <v>2026</v>
      </c>
      <c r="G3437" s="25" t="s">
        <v>3490</v>
      </c>
      <c r="H3437" s="25" t="s">
        <v>3555</v>
      </c>
      <c r="I3437" s="25" t="s">
        <v>3556</v>
      </c>
      <c r="J3437" s="110">
        <v>46217</v>
      </c>
    </row>
    <row r="3438" spans="1:14" ht="34.200000000000003" customHeight="1" x14ac:dyDescent="0.6">
      <c r="A3438" s="25">
        <v>3436</v>
      </c>
      <c r="B3438" s="92" t="str">
        <f>HYPERLINK("https://www.themoviedb.org/tv/240740-scarpetta2", "스카페타 시즌1")</f>
        <v>스카페타 시즌1</v>
      </c>
      <c r="C3438" s="72"/>
      <c r="D3438" s="32" t="s">
        <v>3557</v>
      </c>
      <c r="E3438" s="25" t="s">
        <v>3488</v>
      </c>
      <c r="F3438" s="25">
        <v>2026</v>
      </c>
      <c r="G3438" s="25" t="s">
        <v>3490</v>
      </c>
      <c r="H3438" s="25" t="s">
        <v>3558</v>
      </c>
      <c r="I3438" s="25" t="s">
        <v>3545</v>
      </c>
      <c r="J3438" s="110">
        <v>46219</v>
      </c>
    </row>
    <row r="3439" spans="1:14" s="58" customFormat="1" ht="34.35" customHeight="1" x14ac:dyDescent="0.6">
      <c r="A3439" s="73">
        <v>3437</v>
      </c>
      <c r="B3439" s="94" t="str">
        <f>HYPERLINK("https://search.naver.com/search.naver?query=악마는 프라다를 입는다 2", "악마는 프라다를 입는다 2")</f>
        <v>악마는 프라다를 입는다 2</v>
      </c>
      <c r="C3439" s="74">
        <v>8.9700000000000006</v>
      </c>
      <c r="D3439" s="75" t="s">
        <v>3559</v>
      </c>
      <c r="E3439" s="73" t="s">
        <v>3488</v>
      </c>
      <c r="F3439" s="73">
        <v>2026</v>
      </c>
      <c r="G3439" s="73" t="s">
        <v>12</v>
      </c>
      <c r="H3439" s="73" t="s">
        <v>17</v>
      </c>
      <c r="I3439" s="73" t="s">
        <v>3560</v>
      </c>
      <c r="J3439" s="111">
        <v>46220</v>
      </c>
      <c r="K3439" s="76"/>
      <c r="L3439" s="76"/>
      <c r="M3439" s="76"/>
      <c r="N3439" s="76"/>
    </row>
    <row r="3440" spans="1:14" ht="34.200000000000003" customHeight="1" x14ac:dyDescent="0.6">
      <c r="A3440" s="25">
        <v>3438</v>
      </c>
      <c r="B3440" s="92" t="str">
        <f>HYPERLINK("https://www.themoviedb.org/tv/285404-maximum-pleasure-guaranteed", "도파민 최대 보장 시즌1")</f>
        <v>도파민 최대 보장 시즌1</v>
      </c>
      <c r="C3440" s="72"/>
      <c r="D3440" s="32" t="s">
        <v>3561</v>
      </c>
      <c r="E3440" s="25" t="s">
        <v>3488</v>
      </c>
      <c r="F3440" s="25">
        <v>2026</v>
      </c>
      <c r="G3440" s="25" t="s">
        <v>3490</v>
      </c>
      <c r="H3440" s="25" t="s">
        <v>3562</v>
      </c>
      <c r="I3440" s="25" t="s">
        <v>3534</v>
      </c>
      <c r="J3440" s="110">
        <v>46221</v>
      </c>
    </row>
    <row r="3441" spans="1:10" ht="34.200000000000003" customHeight="1" x14ac:dyDescent="0.6">
      <c r="A3441" s="25">
        <v>3439</v>
      </c>
      <c r="B3441" s="92" t="str">
        <f>HYPERLINK("https://search.naver.com/search.naver?query=도쿄바이스 시즌1", "도쿄바이스 시즌1")</f>
        <v>도쿄바이스 시즌1</v>
      </c>
      <c r="C3441" s="72"/>
      <c r="D3441" s="32" t="s">
        <v>3564</v>
      </c>
      <c r="E3441" s="25" t="s">
        <v>3488</v>
      </c>
      <c r="F3441" s="25">
        <v>2022</v>
      </c>
      <c r="G3441" s="25" t="s">
        <v>3490</v>
      </c>
      <c r="H3441" s="25" t="s">
        <v>3563</v>
      </c>
      <c r="I3441" s="25" t="s">
        <v>3545</v>
      </c>
      <c r="J3441" s="110">
        <v>46222</v>
      </c>
    </row>
    <row r="3442" spans="1:10" ht="34.200000000000003" customHeight="1" x14ac:dyDescent="0.6">
      <c r="A3442" s="25">
        <v>3440</v>
      </c>
      <c r="B3442" s="92" t="str">
        <f>HYPERLINK("https://search.naver.com/search.naver?query=도쿄바이스 시즌2", "도쿄바이스 시즌2")</f>
        <v>도쿄바이스 시즌2</v>
      </c>
      <c r="C3442" s="72"/>
      <c r="D3442" s="32" t="s">
        <v>3564</v>
      </c>
      <c r="E3442" s="25" t="s">
        <v>3488</v>
      </c>
      <c r="F3442" s="25">
        <v>2024</v>
      </c>
      <c r="G3442" s="25" t="s">
        <v>3490</v>
      </c>
      <c r="H3442" s="25" t="s">
        <v>3563</v>
      </c>
      <c r="I3442" s="25" t="s">
        <v>3534</v>
      </c>
      <c r="J3442" s="110">
        <v>46224</v>
      </c>
    </row>
    <row r="3443" spans="1:10" ht="34.200000000000003" customHeight="1" x14ac:dyDescent="0.6">
      <c r="A3443" s="25">
        <v>3441</v>
      </c>
      <c r="B3443" s="92" t="str">
        <f>HYPERLINK("https://www.themoviedb.org/tv/299167-dutton-ranch=더턴 랜치 시즌1", "더턴 랜치 시즌1")</f>
        <v>더턴 랜치 시즌1</v>
      </c>
      <c r="C3443" s="72"/>
      <c r="D3443" s="32" t="s">
        <v>3566</v>
      </c>
      <c r="E3443" s="25" t="s">
        <v>3488</v>
      </c>
      <c r="F3443" s="25">
        <v>2026</v>
      </c>
      <c r="G3443" s="25" t="s">
        <v>3490</v>
      </c>
      <c r="H3443" s="25" t="s">
        <v>3565</v>
      </c>
      <c r="I3443" s="25" t="s">
        <v>3550</v>
      </c>
      <c r="J3443" s="110">
        <v>46228</v>
      </c>
    </row>
    <row r="3444" spans="1:10" ht="34.200000000000003" customHeight="1" x14ac:dyDescent="0.6">
      <c r="A3444" s="25">
        <v>3442</v>
      </c>
      <c r="B3444" s="92" t="str">
        <f>HYPERLINK("https://search.naver.com/search.naver?query=김부장", "김부장")</f>
        <v>김부장</v>
      </c>
      <c r="C3444" s="72"/>
      <c r="D3444" s="32" t="s">
        <v>3571</v>
      </c>
      <c r="E3444" s="25" t="s">
        <v>3495</v>
      </c>
      <c r="F3444" s="25">
        <v>2026</v>
      </c>
      <c r="G3444" s="25" t="s">
        <v>3490</v>
      </c>
      <c r="H3444" s="25" t="s">
        <v>3570</v>
      </c>
      <c r="I3444" s="25" t="s">
        <v>3534</v>
      </c>
      <c r="J3444" s="110">
        <v>46230</v>
      </c>
    </row>
    <row r="3445" spans="1:10" ht="34.200000000000003" customHeight="1" x14ac:dyDescent="0.6">
      <c r="A3445" s="25">
        <v>3443</v>
      </c>
      <c r="B3445" s="92" t="str">
        <f>HYPERLINK("https://search.naver.com/search.naver?query=나이트 매니저 시즌2", "나이트 매니저 시즌2")</f>
        <v>나이트 매니저 시즌2</v>
      </c>
      <c r="C3445" s="72"/>
      <c r="D3445" s="32" t="s">
        <v>3572</v>
      </c>
      <c r="E3445" s="25" t="s">
        <v>3525</v>
      </c>
      <c r="F3445" s="25">
        <v>2026</v>
      </c>
      <c r="G3445" s="25" t="s">
        <v>3490</v>
      </c>
      <c r="H3445" s="25" t="s">
        <v>3573</v>
      </c>
      <c r="I3445" s="25" t="s">
        <v>3539</v>
      </c>
      <c r="J3445" s="110">
        <v>46232</v>
      </c>
    </row>
    <row r="3446" spans="1:10" ht="34.200000000000003" customHeight="1" x14ac:dyDescent="0.6">
      <c r="A3446" s="25">
        <v>3444</v>
      </c>
      <c r="B3446" s="92" t="str">
        <f>HYPERLINK("https://search.naver.com/search.naver?query=트래커 시즌1", "트래커 시즌1")</f>
        <v>트래커 시즌1</v>
      </c>
      <c r="C3446" s="72"/>
      <c r="D3446" s="32" t="s">
        <v>3576</v>
      </c>
      <c r="E3446" s="25" t="s">
        <v>3488</v>
      </c>
      <c r="F3446" s="25">
        <v>2024</v>
      </c>
      <c r="G3446" s="25" t="s">
        <v>3490</v>
      </c>
      <c r="H3446" s="25" t="s">
        <v>3575</v>
      </c>
      <c r="I3446" s="25" t="s">
        <v>3548</v>
      </c>
      <c r="J3446" s="110">
        <v>46234</v>
      </c>
    </row>
    <row r="3447" spans="1:10" ht="34.200000000000003" customHeight="1" x14ac:dyDescent="0.6">
      <c r="A3447" s="25">
        <v>3445</v>
      </c>
      <c r="B3447" s="92" t="str">
        <f>HYPERLINK("https://search.naver.com/search.naver?query=케이프 피어", "케이프 피어 시즌1")</f>
        <v>케이프 피어 시즌1</v>
      </c>
      <c r="C3447" s="72"/>
      <c r="D3447" s="32" t="s">
        <v>3578</v>
      </c>
      <c r="E3447" s="25" t="s">
        <v>3488</v>
      </c>
      <c r="F3447" s="25">
        <v>2026</v>
      </c>
      <c r="G3447" s="25" t="s">
        <v>3490</v>
      </c>
      <c r="H3447" s="25" t="s">
        <v>3579</v>
      </c>
      <c r="I3447" s="25" t="s">
        <v>3534</v>
      </c>
      <c r="J3447" s="110">
        <v>46234</v>
      </c>
    </row>
    <row r="3448" spans="1:10" ht="34.200000000000003" customHeight="1" x14ac:dyDescent="0.6">
      <c r="A3448" s="25">
        <v>3446</v>
      </c>
      <c r="B3448" s="92" t="str">
        <f>HYPERLINK("https://search.naver.com/search.naver?query=트래커 시즌2", "트래커 시즌2")</f>
        <v>트래커 시즌2</v>
      </c>
      <c r="C3448" s="72"/>
      <c r="D3448" s="32" t="s">
        <v>3577</v>
      </c>
      <c r="E3448" s="25" t="s">
        <v>3488</v>
      </c>
      <c r="F3448" s="25">
        <v>2025</v>
      </c>
      <c r="G3448" s="25" t="s">
        <v>3490</v>
      </c>
      <c r="H3448" s="25" t="s">
        <v>3575</v>
      </c>
      <c r="I3448" s="25" t="s">
        <v>3574</v>
      </c>
      <c r="J3448" s="110">
        <v>46236</v>
      </c>
    </row>
    <row r="3449" spans="1:10" ht="34.200000000000003" customHeight="1" x14ac:dyDescent="0.6">
      <c r="A3449" s="25">
        <v>3447</v>
      </c>
      <c r="B3449" s="92" t="str">
        <f>HYPERLINK("https://search.naver.com/search.naver?query=트래커 시즌3", "트래커 시즌3")</f>
        <v>트래커 시즌3</v>
      </c>
      <c r="C3449" s="72"/>
      <c r="D3449" s="32" t="s">
        <v>3577</v>
      </c>
      <c r="E3449" s="25" t="s">
        <v>3488</v>
      </c>
      <c r="F3449" s="25">
        <v>2025</v>
      </c>
      <c r="G3449" s="25" t="s">
        <v>3490</v>
      </c>
      <c r="H3449" s="25" t="s">
        <v>3575</v>
      </c>
      <c r="I3449" s="25" t="s">
        <v>3580</v>
      </c>
      <c r="J3449" s="110">
        <v>46237</v>
      </c>
    </row>
    <row r="3450" spans="1:10" ht="34.200000000000003" customHeight="1" x14ac:dyDescent="0.6">
      <c r="A3450" s="25">
        <v>3448</v>
      </c>
      <c r="B3450" s="92" t="str">
        <f>HYPERLINK("https://search.naver.com/search.naver?query=화이트 칼라 시즌1", "화이트 칼라 시즌1")</f>
        <v>화이트 칼라 시즌1</v>
      </c>
      <c r="C3450" s="72"/>
      <c r="D3450" s="32" t="s">
        <v>3583</v>
      </c>
      <c r="E3450" s="25" t="s">
        <v>3488</v>
      </c>
      <c r="F3450" s="25">
        <v>2010</v>
      </c>
      <c r="G3450" s="25" t="s">
        <v>3490</v>
      </c>
      <c r="H3450" s="25" t="s">
        <v>3581</v>
      </c>
      <c r="I3450" s="25" t="s">
        <v>3582</v>
      </c>
      <c r="J3450" s="110">
        <v>46239</v>
      </c>
    </row>
    <row r="3451" spans="1:10" ht="34.200000000000003" customHeight="1" x14ac:dyDescent="0.6">
      <c r="A3451" s="25">
        <v>3449</v>
      </c>
      <c r="B3451" s="92" t="str">
        <f>HYPERLINK("https://search.naver.com/search.naver?query=화이트 칼라 시즌2", "화이트 칼라 시즌2")</f>
        <v>화이트 칼라 시즌2</v>
      </c>
      <c r="C3451" s="72"/>
      <c r="D3451" s="32" t="s">
        <v>3583</v>
      </c>
      <c r="E3451" s="25" t="s">
        <v>3488</v>
      </c>
      <c r="F3451" s="25">
        <v>2011</v>
      </c>
      <c r="G3451" s="25" t="s">
        <v>3490</v>
      </c>
      <c r="H3451" s="25" t="s">
        <v>3581</v>
      </c>
      <c r="I3451" s="25" t="s">
        <v>3556</v>
      </c>
      <c r="J3451" s="110">
        <v>46240</v>
      </c>
    </row>
    <row r="3452" spans="1:10" ht="34.200000000000003" customHeight="1" x14ac:dyDescent="0.6">
      <c r="A3452" s="25">
        <v>3450</v>
      </c>
      <c r="B3452" s="92" t="str">
        <f>HYPERLINK("https://search.naver.com/search.naver?query=화이트 칼라 시즌3", "화이트 칼라 시즌3")</f>
        <v>화이트 칼라 시즌3</v>
      </c>
      <c r="C3452" s="72"/>
      <c r="D3452" s="32" t="s">
        <v>3583</v>
      </c>
      <c r="E3452" s="25" t="s">
        <v>3488</v>
      </c>
      <c r="F3452" s="25">
        <v>2012</v>
      </c>
      <c r="G3452" s="25" t="s">
        <v>3490</v>
      </c>
      <c r="H3452" s="25" t="s">
        <v>3581</v>
      </c>
      <c r="I3452" s="25" t="s">
        <v>3556</v>
      </c>
      <c r="J3452" s="110">
        <v>46242</v>
      </c>
    </row>
    <row r="3453" spans="1:10" ht="34.200000000000003" customHeight="1" x14ac:dyDescent="0.6">
      <c r="A3453" s="25">
        <v>3451</v>
      </c>
      <c r="B3453" s="92" t="str">
        <f>HYPERLINK("https://search.naver.com/search.naver?query=화이트 칼라 시즌4", "화이트 칼라 시즌4")</f>
        <v>화이트 칼라 시즌4</v>
      </c>
      <c r="C3453" s="72"/>
      <c r="D3453" s="32" t="s">
        <v>3583</v>
      </c>
      <c r="E3453" s="25" t="s">
        <v>3488</v>
      </c>
      <c r="F3453" s="25">
        <v>2013</v>
      </c>
      <c r="G3453" s="25" t="s">
        <v>3490</v>
      </c>
      <c r="H3453" s="25" t="s">
        <v>3581</v>
      </c>
      <c r="I3453" s="25" t="s">
        <v>3556</v>
      </c>
      <c r="J3453" s="110">
        <v>46243</v>
      </c>
    </row>
    <row r="3454" spans="1:10" ht="34.200000000000003" customHeight="1" x14ac:dyDescent="0.6">
      <c r="A3454" s="25">
        <v>3452</v>
      </c>
      <c r="B3454" s="92" t="str">
        <f>HYPERLINK("https://search.naver.com/search.naver?query=화이트 칼라 시즌5", "화이트 칼라 시즌5")</f>
        <v>화이트 칼라 시즌5</v>
      </c>
      <c r="C3454" s="72"/>
      <c r="D3454" s="32" t="s">
        <v>3583</v>
      </c>
      <c r="E3454" s="25" t="s">
        <v>3488</v>
      </c>
      <c r="F3454" s="25">
        <v>2014</v>
      </c>
      <c r="G3454" s="25" t="s">
        <v>3490</v>
      </c>
      <c r="H3454" s="25" t="s">
        <v>3581</v>
      </c>
      <c r="I3454" s="25" t="s">
        <v>3548</v>
      </c>
      <c r="J3454" s="110">
        <v>46244</v>
      </c>
    </row>
    <row r="3455" spans="1:10" ht="34.200000000000003" customHeight="1" x14ac:dyDescent="0.6">
      <c r="A3455" s="25">
        <v>3453</v>
      </c>
      <c r="B3455" s="92" t="str">
        <f>HYPERLINK("https://search.naver.com/search.naver?query=화이트 칼라 시즌6", "화이트 칼라 시즌6")</f>
        <v>화이트 칼라 시즌6</v>
      </c>
      <c r="C3455" s="72"/>
      <c r="D3455" s="32" t="s">
        <v>3583</v>
      </c>
      <c r="E3455" s="25" t="s">
        <v>3488</v>
      </c>
      <c r="F3455" s="25">
        <v>2014</v>
      </c>
      <c r="G3455" s="25" t="s">
        <v>3490</v>
      </c>
      <c r="H3455" s="25" t="s">
        <v>3581</v>
      </c>
      <c r="I3455" s="25" t="s">
        <v>3584</v>
      </c>
      <c r="J3455" s="110">
        <v>46245</v>
      </c>
    </row>
    <row r="3456" spans="1:10" ht="34.200000000000003" customHeight="1" x14ac:dyDescent="0.6">
      <c r="A3456" s="25">
        <v>3454</v>
      </c>
      <c r="B3456" s="92" t="str">
        <f>HYPERLINK("https://search.naver.com/search.naver?query=아이 윌 파인드 유", "아이 윌 파인드 유")</f>
        <v>아이 윌 파인드 유</v>
      </c>
      <c r="C3456" s="72"/>
      <c r="D3456" s="32" t="s">
        <v>3586</v>
      </c>
      <c r="E3456" s="25" t="s">
        <v>3488</v>
      </c>
      <c r="F3456" s="25">
        <v>2026</v>
      </c>
      <c r="G3456" s="25" t="s">
        <v>3490</v>
      </c>
      <c r="H3456" s="25" t="s">
        <v>3585</v>
      </c>
      <c r="I3456" s="25" t="s">
        <v>3545</v>
      </c>
      <c r="J3456" s="110">
        <v>46246</v>
      </c>
    </row>
    <row r="3457" spans="1:14" ht="34.200000000000003" customHeight="1" x14ac:dyDescent="0.6">
      <c r="A3457" s="25">
        <v>3455</v>
      </c>
      <c r="B3457" s="92" t="str">
        <f>HYPERLINK("https://search.naver.com/search.naver?query=디 아메리칸즈 시즌1", "디 아메리칸즈 시즌1")</f>
        <v>디 아메리칸즈 시즌1</v>
      </c>
      <c r="C3457" s="72"/>
      <c r="D3457" s="32" t="s">
        <v>3587</v>
      </c>
      <c r="E3457" s="25" t="s">
        <v>3488</v>
      </c>
      <c r="F3457" s="25">
        <v>2013</v>
      </c>
      <c r="G3457" s="25" t="s">
        <v>3490</v>
      </c>
      <c r="H3457" s="25" t="s">
        <v>3588</v>
      </c>
      <c r="I3457" s="25" t="s">
        <v>3548</v>
      </c>
      <c r="J3457" s="110">
        <v>46249</v>
      </c>
    </row>
    <row r="3458" spans="1:14" ht="34.200000000000003" customHeight="1" x14ac:dyDescent="0.6">
      <c r="A3458" s="25">
        <v>3456</v>
      </c>
      <c r="B3458" s="92" t="str">
        <f>HYPERLINK("https://search.naver.com/search.naver?query=디 아메리칸즈 시즌2", "디 아메리칸즈 시즌2")</f>
        <v>디 아메리칸즈 시즌2</v>
      </c>
      <c r="C3458" s="72"/>
      <c r="D3458" s="32" t="s">
        <v>3587</v>
      </c>
      <c r="E3458" s="25" t="s">
        <v>3488</v>
      </c>
      <c r="F3458" s="25">
        <v>2014</v>
      </c>
      <c r="G3458" s="25" t="s">
        <v>3490</v>
      </c>
      <c r="H3458" s="25" t="s">
        <v>3588</v>
      </c>
      <c r="I3458" s="25" t="s">
        <v>3548</v>
      </c>
      <c r="J3458" s="110">
        <v>46250</v>
      </c>
    </row>
    <row r="3459" spans="1:14" ht="34.200000000000003" customHeight="1" x14ac:dyDescent="0.6">
      <c r="A3459" s="25">
        <v>3457</v>
      </c>
      <c r="B3459" s="92" t="str">
        <f>HYPERLINK("https://search.naver.com/search.naver?query=디 아메리칸즈 시즌3", "디 아메리칸즈 시즌3")</f>
        <v>디 아메리칸즈 시즌3</v>
      </c>
      <c r="C3459" s="72"/>
      <c r="D3459" s="32" t="s">
        <v>3587</v>
      </c>
      <c r="E3459" s="25" t="s">
        <v>3488</v>
      </c>
      <c r="F3459" s="25">
        <v>2015</v>
      </c>
      <c r="G3459" s="25" t="s">
        <v>3490</v>
      </c>
      <c r="H3459" s="25" t="s">
        <v>3588</v>
      </c>
      <c r="I3459" s="25" t="s">
        <v>3548</v>
      </c>
      <c r="J3459" s="110">
        <v>46251</v>
      </c>
    </row>
    <row r="3460" spans="1:14" ht="34.200000000000003" customHeight="1" x14ac:dyDescent="0.6">
      <c r="A3460" s="25">
        <v>3458</v>
      </c>
      <c r="B3460" s="92" t="str">
        <f>HYPERLINK("https://search.naver.com/search.naver?query=디 아메리칸즈 시즌4", "디 아메리칸즈 시즌4")</f>
        <v>디 아메리칸즈 시즌4</v>
      </c>
      <c r="C3460" s="72"/>
      <c r="D3460" s="32" t="s">
        <v>3587</v>
      </c>
      <c r="E3460" s="25" t="s">
        <v>3488</v>
      </c>
      <c r="F3460" s="25">
        <v>2016</v>
      </c>
      <c r="G3460" s="25" t="s">
        <v>3490</v>
      </c>
      <c r="H3460" s="25" t="s">
        <v>3588</v>
      </c>
      <c r="I3460" s="25" t="s">
        <v>3548</v>
      </c>
      <c r="J3460" s="110">
        <v>46252</v>
      </c>
    </row>
    <row r="3461" spans="1:14" ht="34.200000000000003" customHeight="1" x14ac:dyDescent="0.6">
      <c r="A3461" s="25">
        <v>3459</v>
      </c>
      <c r="B3461" s="92" t="str">
        <f>HYPERLINK("https://search.naver.com/search.naver?query=디 아메리칸즈 시즌5", "디 아메리칸즈 시즌5")</f>
        <v>디 아메리칸즈 시즌5</v>
      </c>
      <c r="C3461" s="72"/>
      <c r="D3461" s="32" t="s">
        <v>3587</v>
      </c>
      <c r="E3461" s="25" t="s">
        <v>3488</v>
      </c>
      <c r="F3461" s="25">
        <v>2017</v>
      </c>
      <c r="G3461" s="25" t="s">
        <v>3490</v>
      </c>
      <c r="H3461" s="25" t="s">
        <v>3588</v>
      </c>
      <c r="I3461" s="25" t="s">
        <v>3548</v>
      </c>
      <c r="J3461" s="110">
        <v>46253</v>
      </c>
    </row>
    <row r="3462" spans="1:14" ht="34.200000000000003" customHeight="1" x14ac:dyDescent="0.6">
      <c r="A3462" s="25">
        <v>3460</v>
      </c>
      <c r="B3462" s="92" t="str">
        <f>HYPERLINK("https://search.naver.com/search.naver?query=디 아메리칸즈 시즌6", "디 아메리칸즈 시즌6")</f>
        <v>디 아메리칸즈 시즌6</v>
      </c>
      <c r="C3462" s="72"/>
      <c r="D3462" s="32" t="s">
        <v>3587</v>
      </c>
      <c r="E3462" s="25" t="s">
        <v>3488</v>
      </c>
      <c r="F3462" s="25">
        <v>2018</v>
      </c>
      <c r="G3462" s="25" t="s">
        <v>3490</v>
      </c>
      <c r="H3462" s="25" t="s">
        <v>3588</v>
      </c>
      <c r="I3462" s="25" t="s">
        <v>3534</v>
      </c>
      <c r="J3462" s="110">
        <v>46254</v>
      </c>
    </row>
    <row r="3463" spans="1:14" ht="34.200000000000003" customHeight="1" x14ac:dyDescent="0.6">
      <c r="A3463" s="25">
        <v>3461</v>
      </c>
      <c r="B3463" s="92" t="str">
        <f>HYPERLINK("https://search.naver.com/search.naver?query=안야 테일러 럭키 시즌1", "럭키 시즌1")</f>
        <v>럭키 시즌1</v>
      </c>
      <c r="C3463" s="72"/>
      <c r="D3463" s="32" t="s">
        <v>3590</v>
      </c>
      <c r="E3463" s="25" t="s">
        <v>3488</v>
      </c>
      <c r="F3463" s="25">
        <v>2026</v>
      </c>
      <c r="G3463" s="25" t="s">
        <v>3490</v>
      </c>
      <c r="H3463" s="25" t="s">
        <v>3490</v>
      </c>
      <c r="I3463" s="25" t="s">
        <v>3589</v>
      </c>
      <c r="J3463" s="110">
        <v>46254</v>
      </c>
    </row>
    <row r="3464" spans="1:14" s="58" customFormat="1" ht="34.35" customHeight="1" x14ac:dyDescent="0.6">
      <c r="A3464" s="73">
        <v>3462</v>
      </c>
      <c r="B3464" s="94" t="str">
        <f>HYPERLINK("https://search.naver.com/search.naver?query=영화 뮤티니", "뮤티니")</f>
        <v>뮤티니</v>
      </c>
      <c r="C3464" s="74"/>
      <c r="D3464" s="75" t="s">
        <v>3591</v>
      </c>
      <c r="E3464" s="73" t="s">
        <v>3488</v>
      </c>
      <c r="F3464" s="73">
        <v>2026</v>
      </c>
      <c r="G3464" s="73" t="s">
        <v>12</v>
      </c>
      <c r="H3464" s="73" t="s">
        <v>3592</v>
      </c>
      <c r="I3464" s="73" t="s">
        <v>3498</v>
      </c>
      <c r="J3464" s="111">
        <v>46255</v>
      </c>
      <c r="K3464" s="76"/>
      <c r="L3464" s="76"/>
      <c r="M3464" s="76"/>
      <c r="N3464" s="76"/>
    </row>
    <row r="3465" spans="1:14" s="58" customFormat="1" ht="34.35" customHeight="1" x14ac:dyDescent="0.6">
      <c r="A3465" s="73">
        <v>3463</v>
      </c>
      <c r="B3465" s="94" t="str">
        <f>HYPERLINK("https://search.naver.com/search.naver?query=딥 워터", "딥 워터")</f>
        <v>딥 워터</v>
      </c>
      <c r="C3465" s="74">
        <v>6.6</v>
      </c>
      <c r="D3465" s="75" t="s">
        <v>3594</v>
      </c>
      <c r="E3465" s="73" t="s">
        <v>3488</v>
      </c>
      <c r="F3465" s="73">
        <v>2026</v>
      </c>
      <c r="G3465" s="73" t="s">
        <v>12</v>
      </c>
      <c r="H3465" s="73" t="s">
        <v>3546</v>
      </c>
      <c r="I3465" s="73" t="s">
        <v>3593</v>
      </c>
      <c r="J3465" s="111">
        <v>46258</v>
      </c>
      <c r="K3465" s="76"/>
      <c r="L3465" s="76"/>
      <c r="M3465" s="76"/>
      <c r="N3465" s="76"/>
    </row>
    <row r="3466" spans="1:14" ht="34.200000000000003" customHeight="1" x14ac:dyDescent="0.6">
      <c r="A3466" s="25">
        <v>3464</v>
      </c>
      <c r="B3466" s="92" t="str">
        <f>HYPERLINK("https://search.naver.com/search.naver?query=하이포텐셜 시즌1", "하이포텐셜 시즌1")</f>
        <v>하이포텐셜 시즌1</v>
      </c>
      <c r="C3466" s="72"/>
      <c r="D3466" s="32" t="s">
        <v>3595</v>
      </c>
      <c r="E3466" s="25" t="s">
        <v>3488</v>
      </c>
      <c r="F3466" s="25">
        <v>2024</v>
      </c>
      <c r="G3466" s="25" t="s">
        <v>3490</v>
      </c>
      <c r="H3466" s="25" t="s">
        <v>3596</v>
      </c>
      <c r="I3466" s="25" t="s">
        <v>3548</v>
      </c>
      <c r="J3466" s="110">
        <v>46259</v>
      </c>
    </row>
    <row r="3467" spans="1:14" s="58" customFormat="1" ht="34.35" customHeight="1" x14ac:dyDescent="0.6">
      <c r="A3467" s="73">
        <v>3465</v>
      </c>
      <c r="B3467" s="94" t="str">
        <f>HYPERLINK("https://search.naver.com/search.naver?query=파이널 피스 영화", "파이널 피스")</f>
        <v>파이널 피스</v>
      </c>
      <c r="C3467" s="74">
        <v>7.89</v>
      </c>
      <c r="D3467" s="75" t="s">
        <v>3598</v>
      </c>
      <c r="E3467" s="73" t="s">
        <v>3500</v>
      </c>
      <c r="F3467" s="73">
        <v>2026</v>
      </c>
      <c r="G3467" s="73" t="s">
        <v>3489</v>
      </c>
      <c r="H3467" s="73" t="s">
        <v>3599</v>
      </c>
      <c r="I3467" s="73" t="s">
        <v>3597</v>
      </c>
      <c r="J3467" s="111">
        <v>46261</v>
      </c>
      <c r="K3467" s="76"/>
      <c r="L3467" s="76"/>
      <c r="M3467" s="76"/>
      <c r="N3467" s="76"/>
    </row>
    <row r="3468" spans="1:14" ht="34.200000000000003" customHeight="1" x14ac:dyDescent="0.6">
      <c r="A3468" s="25">
        <v>3466</v>
      </c>
      <c r="B3468" s="92" t="str">
        <f>HYPERLINK("https://search.naver.com/search.naver?query=하이포텐셜 시즌2", "하이포텐셜 시즌2")</f>
        <v>하이포텐셜 시즌2</v>
      </c>
      <c r="C3468" s="72"/>
      <c r="D3468" s="32" t="s">
        <v>3595</v>
      </c>
      <c r="E3468" s="25" t="s">
        <v>3488</v>
      </c>
      <c r="F3468" s="25">
        <v>2025</v>
      </c>
      <c r="G3468" s="25" t="s">
        <v>3490</v>
      </c>
      <c r="H3468" s="25" t="s">
        <v>3596</v>
      </c>
      <c r="I3468" s="25" t="s">
        <v>3600</v>
      </c>
      <c r="J3468" s="110">
        <v>46262</v>
      </c>
    </row>
    <row r="3469" spans="1:14" s="58" customFormat="1" ht="34.35" customHeight="1" x14ac:dyDescent="0.6">
      <c r="A3469" s="73">
        <v>3467</v>
      </c>
      <c r="B3469" s="94" t="str">
        <f>HYPERLINK("https://search.naver.com/search.naver?query=위스퍼맨 영화", "위스퍼맨")</f>
        <v>위스퍼맨</v>
      </c>
      <c r="C3469" s="74">
        <v>5.47</v>
      </c>
      <c r="D3469" s="75" t="s">
        <v>3601</v>
      </c>
      <c r="E3469" s="73" t="s">
        <v>3488</v>
      </c>
      <c r="F3469" s="73">
        <v>2026</v>
      </c>
      <c r="G3469" s="73" t="s">
        <v>3489</v>
      </c>
      <c r="H3469" s="73" t="s">
        <v>3546</v>
      </c>
      <c r="I3469" s="73" t="s">
        <v>3602</v>
      </c>
      <c r="J3469" s="111">
        <v>46263</v>
      </c>
      <c r="K3469" s="76"/>
      <c r="L3469" s="76"/>
      <c r="M3469" s="76"/>
      <c r="N3469" s="76"/>
    </row>
    <row r="3470" spans="1:14" ht="34.200000000000003" customHeight="1" x14ac:dyDescent="0.6">
      <c r="A3470" s="25">
        <v>3468</v>
      </c>
      <c r="B3470" s="92" t="str">
        <f>HYPERLINK("https://search.naver.com/search.naver?query=스틸 영드", "스틸")</f>
        <v>스틸</v>
      </c>
      <c r="C3470" s="72">
        <v>7.4</v>
      </c>
      <c r="D3470" s="32" t="s">
        <v>3603</v>
      </c>
      <c r="E3470" s="25" t="s">
        <v>3525</v>
      </c>
      <c r="F3470" s="25">
        <v>2026</v>
      </c>
      <c r="G3470" s="25" t="s">
        <v>3490</v>
      </c>
      <c r="H3470" s="25" t="s">
        <v>3558</v>
      </c>
      <c r="I3470" s="25" t="s">
        <v>3539</v>
      </c>
      <c r="J3470" s="110">
        <v>46263</v>
      </c>
    </row>
    <row r="3471" spans="1:14" ht="34.200000000000003" customHeight="1" x14ac:dyDescent="0.6">
      <c r="A3471" s="25">
        <v>3469</v>
      </c>
      <c r="B3471" s="92" t="str">
        <f>HYPERLINK("https://search.naver.com/search.naver?query=넷플릭스 내 안의 괴물", "내 안의 괴물")</f>
        <v>내 안의 괴물</v>
      </c>
      <c r="C3471" s="72"/>
      <c r="D3471" s="32" t="s">
        <v>3604</v>
      </c>
      <c r="E3471" s="25" t="s">
        <v>3488</v>
      </c>
      <c r="F3471" s="25">
        <v>2025</v>
      </c>
      <c r="G3471" s="25" t="s">
        <v>3490</v>
      </c>
      <c r="H3471" s="25" t="s">
        <v>3546</v>
      </c>
      <c r="I3471" s="25" t="s">
        <v>3545</v>
      </c>
      <c r="J3471" s="110">
        <v>46264</v>
      </c>
    </row>
    <row r="3472" spans="1:14" s="58" customFormat="1" ht="34.35" customHeight="1" x14ac:dyDescent="0.6">
      <c r="A3472" s="73">
        <v>3470</v>
      </c>
      <c r="B3472" s="94" t="str">
        <f>HYPERLINK("https://search.naver.com/search.naver?query=영화 인 더 그레이", "인 더 그레이 ")</f>
        <v xml:space="preserve">인 더 그레이 </v>
      </c>
      <c r="C3472" s="74">
        <v>7.14</v>
      </c>
      <c r="D3472" s="75" t="s">
        <v>3605</v>
      </c>
      <c r="E3472" s="73" t="s">
        <v>3488</v>
      </c>
      <c r="F3472" s="73">
        <v>2026</v>
      </c>
      <c r="G3472" s="73" t="s">
        <v>3489</v>
      </c>
      <c r="H3472" s="73" t="s">
        <v>3606</v>
      </c>
      <c r="I3472" s="73" t="s">
        <v>3607</v>
      </c>
      <c r="J3472" s="111">
        <v>46265</v>
      </c>
      <c r="K3472" s="76"/>
      <c r="L3472" s="76"/>
      <c r="M3472" s="76"/>
      <c r="N3472" s="76"/>
    </row>
    <row r="3473" spans="1:14" ht="34.200000000000003" customHeight="1" x14ac:dyDescent="0.6">
      <c r="A3473" s="25">
        <v>3471</v>
      </c>
      <c r="B3473" s="92" t="str">
        <f>HYPERLINK("https://search.naver.com/search.naver?query=레드 아이  드라마", "레드 아이 시즌1")</f>
        <v>레드 아이 시즌1</v>
      </c>
      <c r="C3473" s="72"/>
      <c r="D3473" s="32" t="s">
        <v>3609</v>
      </c>
      <c r="E3473" s="25" t="s">
        <v>3525</v>
      </c>
      <c r="F3473" s="25">
        <v>2024</v>
      </c>
      <c r="G3473" s="25" t="s">
        <v>3490</v>
      </c>
      <c r="H3473" s="25" t="s">
        <v>3608</v>
      </c>
      <c r="I3473" s="25" t="s">
        <v>3539</v>
      </c>
      <c r="J3473" s="110">
        <v>46266</v>
      </c>
    </row>
    <row r="3474" spans="1:14" ht="34.200000000000003" customHeight="1" x14ac:dyDescent="0.6">
      <c r="A3474" s="25">
        <v>3472</v>
      </c>
      <c r="B3474" s="92" t="str">
        <f>HYPERLINK("https://search.naver.com/search.naver?query=그가 나에게 말하지 않은 것 시즌1", "그가 나에게 말하지 않은 것 시즌1")</f>
        <v>그가 나에게 말하지 않은 것 시즌1</v>
      </c>
      <c r="C3474" s="72"/>
      <c r="D3474" s="32" t="s">
        <v>3612</v>
      </c>
      <c r="E3474" s="25" t="s">
        <v>3488</v>
      </c>
      <c r="F3474" s="25">
        <v>2023</v>
      </c>
      <c r="G3474" s="25" t="s">
        <v>3490</v>
      </c>
      <c r="H3474" s="25" t="s">
        <v>3610</v>
      </c>
      <c r="I3474" s="25" t="s">
        <v>3611</v>
      </c>
      <c r="J3474" s="110">
        <v>46268</v>
      </c>
    </row>
    <row r="3475" spans="1:14" ht="34.200000000000003" customHeight="1" x14ac:dyDescent="0.6">
      <c r="A3475" s="25">
        <v>3473</v>
      </c>
      <c r="B3475" s="92" t="str">
        <f>HYPERLINK("https://search.naver.com/search.naver?query=그가 나에게 말하지 않은 것 시즌2", "그가 나에게 말하지 않은 것 시즌2")</f>
        <v>그가 나에게 말하지 않은 것 시즌2</v>
      </c>
      <c r="C3475" s="72"/>
      <c r="D3475" s="32" t="s">
        <v>3612</v>
      </c>
      <c r="E3475" s="25" t="s">
        <v>3488</v>
      </c>
      <c r="F3475" s="25">
        <v>2026</v>
      </c>
      <c r="G3475" s="25" t="s">
        <v>3490</v>
      </c>
      <c r="H3475" s="25" t="s">
        <v>3610</v>
      </c>
      <c r="I3475" s="25" t="s">
        <v>3545</v>
      </c>
      <c r="J3475" s="110">
        <v>46268</v>
      </c>
    </row>
    <row r="3476" spans="1:14" s="58" customFormat="1" ht="34.35" customHeight="1" x14ac:dyDescent="0.6">
      <c r="A3476" s="73">
        <v>3474</v>
      </c>
      <c r="B3476" s="94" t="str">
        <f>HYPERLINK("https://www.themoviedb.org/movie/1386315", "더 러너")</f>
        <v>더 러너</v>
      </c>
      <c r="C3476" s="74"/>
      <c r="D3476" s="75" t="s">
        <v>3615</v>
      </c>
      <c r="E3476" s="73" t="s">
        <v>3525</v>
      </c>
      <c r="F3476" s="73">
        <v>2026</v>
      </c>
      <c r="G3476" s="73" t="s">
        <v>3489</v>
      </c>
      <c r="H3476" s="73" t="s">
        <v>3546</v>
      </c>
      <c r="I3476" s="73" t="s">
        <v>3569</v>
      </c>
      <c r="J3476" s="111">
        <v>46268</v>
      </c>
      <c r="K3476" s="76"/>
      <c r="L3476" s="76"/>
      <c r="M3476" s="76"/>
      <c r="N3476" s="76"/>
    </row>
    <row r="3477" spans="1:14" s="58" customFormat="1" ht="34.35" customHeight="1" x14ac:dyDescent="0.6">
      <c r="A3477" s="73">
        <v>3475</v>
      </c>
      <c r="B3477" s="94" t="str">
        <f>HYPERLINK("https://search.naver.com/search.naver?query=언피니시드", "언피니시드 ")</f>
        <v xml:space="preserve">언피니시드 </v>
      </c>
      <c r="C3477" s="74">
        <v>7.23</v>
      </c>
      <c r="D3477" s="75" t="s">
        <v>3616</v>
      </c>
      <c r="E3477" s="73" t="s">
        <v>3488</v>
      </c>
      <c r="F3477" s="73">
        <v>2010</v>
      </c>
      <c r="G3477" s="73" t="s">
        <v>3489</v>
      </c>
      <c r="H3477" s="73" t="s">
        <v>3490</v>
      </c>
      <c r="I3477" s="73" t="s">
        <v>3496</v>
      </c>
      <c r="J3477" s="111">
        <v>46269</v>
      </c>
      <c r="K3477" s="76"/>
      <c r="L3477" s="76"/>
      <c r="M3477" s="76"/>
      <c r="N3477" s="76"/>
    </row>
    <row r="3478" spans="1:14" s="58" customFormat="1" ht="34.35" customHeight="1" x14ac:dyDescent="0.6">
      <c r="A3478" s="73">
        <v>3476</v>
      </c>
      <c r="B3478" s="94" t="str">
        <f>HYPERLINK("https://search.naver.com/search.naver?query=메이데이 애플 ", "메이데이 ")</f>
        <v xml:space="preserve">메이데이 </v>
      </c>
      <c r="C3478" s="74"/>
      <c r="D3478" s="75" t="s">
        <v>3617</v>
      </c>
      <c r="E3478" s="73" t="s">
        <v>3488</v>
      </c>
      <c r="F3478" s="73">
        <v>2026</v>
      </c>
      <c r="G3478" s="73" t="s">
        <v>3489</v>
      </c>
      <c r="H3478" s="73" t="s">
        <v>3618</v>
      </c>
      <c r="I3478" s="73" t="s">
        <v>3527</v>
      </c>
      <c r="J3478" s="111">
        <v>46269</v>
      </c>
      <c r="K3478" s="76"/>
      <c r="L3478" s="76"/>
      <c r="M3478" s="76"/>
      <c r="N3478" s="76"/>
    </row>
    <row r="3479" spans="1:14" ht="34.200000000000003" customHeight="1" x14ac:dyDescent="0.6">
      <c r="A3479" s="25">
        <v>3477</v>
      </c>
      <c r="B3479" s="92" t="str">
        <f>HYPERLINK("https://search.naver.com/search.naver?query=젠틀맨: 더 시리즈 시즌2", "젠틀맨: 더 시리즈 시즌2")</f>
        <v>젠틀맨: 더 시리즈 시즌2</v>
      </c>
      <c r="C3479" s="72"/>
      <c r="D3479" s="32" t="s">
        <v>3620</v>
      </c>
      <c r="E3479" s="25" t="s">
        <v>3525</v>
      </c>
      <c r="F3479" s="25">
        <v>2026</v>
      </c>
      <c r="G3479" s="25" t="s">
        <v>3490</v>
      </c>
      <c r="H3479" s="25" t="s">
        <v>3619</v>
      </c>
      <c r="I3479" s="25" t="s">
        <v>3545</v>
      </c>
      <c r="J3479" s="110">
        <v>46270</v>
      </c>
    </row>
    <row r="3480" spans="1:14" s="58" customFormat="1" ht="34.35" customHeight="1" x14ac:dyDescent="0.6">
      <c r="A3480" s="73">
        <v>3478</v>
      </c>
      <c r="B3480" s="94" t="str">
        <f>HYPERLINK("https://search.naver.com/search.naver?query=디스클로저데이 영화", "디스클로저데이")</f>
        <v>디스클로저데이</v>
      </c>
      <c r="C3480" s="74">
        <v>5.7</v>
      </c>
      <c r="D3480" s="75" t="s">
        <v>3621</v>
      </c>
      <c r="E3480" s="73" t="s">
        <v>3488</v>
      </c>
      <c r="F3480" s="73">
        <v>2026</v>
      </c>
      <c r="G3480" s="73" t="s">
        <v>3489</v>
      </c>
      <c r="H3480" s="73" t="s">
        <v>3622</v>
      </c>
      <c r="I3480" s="73" t="s">
        <v>3623</v>
      </c>
      <c r="J3480" s="111">
        <v>46271</v>
      </c>
      <c r="K3480" s="76"/>
      <c r="L3480" s="76"/>
      <c r="M3480" s="76"/>
      <c r="N3480" s="76"/>
    </row>
    <row r="3481" spans="1:14" ht="34.200000000000003" customHeight="1" x14ac:dyDescent="0.6">
      <c r="A3481" s="25">
        <v>3479</v>
      </c>
      <c r="B3481" s="92" t="str">
        <f>HYPERLINK("https://search.naver.com/search.naver?query=메이어 오브 킹스타운 시즌3", "메이어 오브 킹스타운 시즌3")</f>
        <v>메이어 오브 킹스타운 시즌3</v>
      </c>
      <c r="C3481" s="72"/>
      <c r="D3481" s="32" t="s">
        <v>3625</v>
      </c>
      <c r="E3481" s="25" t="s">
        <v>3488</v>
      </c>
      <c r="F3481" s="25">
        <v>2024</v>
      </c>
      <c r="G3481" s="25" t="s">
        <v>3490</v>
      </c>
      <c r="H3481" s="25" t="s">
        <v>3624</v>
      </c>
      <c r="I3481" s="25" t="s">
        <v>3534</v>
      </c>
      <c r="J3481" s="110">
        <v>46272</v>
      </c>
    </row>
    <row r="3482" spans="1:14" ht="34.200000000000003" customHeight="1" x14ac:dyDescent="0.6">
      <c r="A3482" s="25">
        <v>3480</v>
      </c>
      <c r="B3482" s="92" t="str">
        <f>HYPERLINK("https://search.naver.com/search.naver?query=메이어 오브 킹스타운 시즌4", "메이어 오브 킹스타운 시즌4")</f>
        <v>메이어 오브 킹스타운 시즌4</v>
      </c>
      <c r="C3482" s="72"/>
      <c r="D3482" s="32" t="s">
        <v>3625</v>
      </c>
      <c r="E3482" s="25" t="s">
        <v>3488</v>
      </c>
      <c r="F3482" s="25">
        <v>2025</v>
      </c>
      <c r="G3482" s="25" t="s">
        <v>3490</v>
      </c>
      <c r="H3482" s="25" t="s">
        <v>3624</v>
      </c>
      <c r="I3482" s="25" t="s">
        <v>3534</v>
      </c>
      <c r="J3482" s="110">
        <v>46274</v>
      </c>
    </row>
    <row r="3483" spans="1:14" s="58" customFormat="1" ht="34.35" customHeight="1" x14ac:dyDescent="0.6">
      <c r="A3483" s="73">
        <v>3481</v>
      </c>
      <c r="B3483" s="94" t="str">
        <f>HYPERLINK("https://search.naver.com/search.naver?query=버티칼 리미트 영화", "버티칼 리미트")</f>
        <v>버티칼 리미트</v>
      </c>
      <c r="C3483" s="74">
        <v>7.96</v>
      </c>
      <c r="D3483" s="75" t="s">
        <v>3626</v>
      </c>
      <c r="E3483" s="73" t="s">
        <v>3628</v>
      </c>
      <c r="F3483" s="73">
        <v>2000</v>
      </c>
      <c r="G3483" s="73" t="s">
        <v>3489</v>
      </c>
      <c r="H3483" s="73" t="s">
        <v>3627</v>
      </c>
      <c r="I3483" s="73" t="s">
        <v>3597</v>
      </c>
      <c r="J3483" s="111">
        <v>46275</v>
      </c>
      <c r="K3483" s="76"/>
      <c r="L3483" s="76"/>
      <c r="M3483" s="76"/>
      <c r="N3483" s="76"/>
    </row>
    <row r="3484" spans="1:14" ht="34.200000000000003" customHeight="1" x14ac:dyDescent="0.6">
      <c r="A3484" s="25">
        <v>3482</v>
      </c>
      <c r="B3484" s="92" t="str">
        <f>HYPERLINK("https://search.naver.com/search.naver?query=스트레인저 넷플릭스", "스트레인저")</f>
        <v>스트레인저</v>
      </c>
      <c r="C3484" s="72"/>
      <c r="D3484" s="32" t="s">
        <v>3630</v>
      </c>
      <c r="E3484" s="25" t="s">
        <v>3525</v>
      </c>
      <c r="F3484" s="25">
        <v>2020</v>
      </c>
      <c r="G3484" s="25" t="s">
        <v>3490</v>
      </c>
      <c r="H3484" s="25" t="s">
        <v>3629</v>
      </c>
      <c r="I3484" s="25" t="s">
        <v>3545</v>
      </c>
      <c r="J3484" s="110">
        <v>46276</v>
      </c>
    </row>
    <row r="3485" spans="1:14" s="58" customFormat="1" ht="34.35" customHeight="1" x14ac:dyDescent="0.6">
      <c r="A3485" s="73">
        <v>3483</v>
      </c>
      <c r="B3485" s="94" t="str">
        <f>HYPERLINK("https://search.naver.com/search.naver?query=기차의 꿈 영화", "기차의 꿈")</f>
        <v>기차의 꿈</v>
      </c>
      <c r="C3485" s="74">
        <v>9.2899999999999991</v>
      </c>
      <c r="D3485" s="75" t="s">
        <v>3632</v>
      </c>
      <c r="E3485" s="73" t="s">
        <v>3488</v>
      </c>
      <c r="F3485" s="73">
        <v>2025</v>
      </c>
      <c r="G3485" s="73" t="s">
        <v>3489</v>
      </c>
      <c r="H3485" s="73" t="s">
        <v>3490</v>
      </c>
      <c r="I3485" s="73" t="s">
        <v>3631</v>
      </c>
      <c r="J3485" s="111">
        <v>46277</v>
      </c>
      <c r="K3485" s="76"/>
      <c r="L3485" s="76"/>
      <c r="M3485" s="76"/>
      <c r="N3485" s="76"/>
    </row>
    <row r="3486" spans="1:14" s="58" customFormat="1" ht="34.35" customHeight="1" x14ac:dyDescent="0.6">
      <c r="A3486" s="73">
        <v>3484</v>
      </c>
      <c r="B3486" s="94" t="str">
        <f>HYPERLINK("https://search.naver.com/search.naver?query=워페어 영화", "워페어")</f>
        <v>워페어</v>
      </c>
      <c r="C3486" s="74">
        <v>8.9</v>
      </c>
      <c r="D3486" s="75" t="s">
        <v>3634</v>
      </c>
      <c r="E3486" s="73" t="s">
        <v>3488</v>
      </c>
      <c r="F3486" s="73">
        <v>2026</v>
      </c>
      <c r="G3486" s="73" t="s">
        <v>3489</v>
      </c>
      <c r="H3486" s="73" t="s">
        <v>3637</v>
      </c>
      <c r="I3486" s="73" t="s">
        <v>3633</v>
      </c>
      <c r="J3486" s="111">
        <v>46277</v>
      </c>
      <c r="K3486" s="76"/>
      <c r="L3486" s="76"/>
      <c r="M3486" s="76"/>
      <c r="N3486" s="76"/>
    </row>
    <row r="3487" spans="1:14" s="58" customFormat="1" ht="34.35" customHeight="1" x14ac:dyDescent="0.6">
      <c r="A3487" s="73">
        <v>3485</v>
      </c>
      <c r="B3487" s="94" t="str">
        <f>HYPERLINK("https://search.naver.com/search.naver?query=질투의 남자 영화", "질투의 남자")</f>
        <v>질투의 남자</v>
      </c>
      <c r="C3487" s="74"/>
      <c r="D3487" s="75" t="s">
        <v>3635</v>
      </c>
      <c r="E3487" s="73" t="s">
        <v>3488</v>
      </c>
      <c r="F3487" s="73">
        <v>2024</v>
      </c>
      <c r="G3487" s="73" t="s">
        <v>3489</v>
      </c>
      <c r="H3487" s="73" t="s">
        <v>3636</v>
      </c>
      <c r="I3487" s="73" t="s">
        <v>3633</v>
      </c>
      <c r="J3487" s="111">
        <v>46278</v>
      </c>
      <c r="K3487" s="76"/>
      <c r="L3487" s="76"/>
      <c r="M3487" s="76"/>
      <c r="N3487" s="76"/>
    </row>
    <row r="3488" spans="1:14" s="58" customFormat="1" ht="34.35" customHeight="1" x14ac:dyDescent="0.6">
      <c r="A3488" s="73">
        <v>3486</v>
      </c>
      <c r="B3488" s="94" t="str">
        <f>HYPERLINK("https://search.naver.com/search.naver?query=노웨어 영화", "노웨어")</f>
        <v>노웨어</v>
      </c>
      <c r="C3488" s="74">
        <v>8.6</v>
      </c>
      <c r="D3488" s="75" t="s">
        <v>3639</v>
      </c>
      <c r="E3488" s="73" t="s">
        <v>3638</v>
      </c>
      <c r="F3488" s="73">
        <v>2023</v>
      </c>
      <c r="G3488" s="73" t="s">
        <v>3489</v>
      </c>
      <c r="H3488" s="73" t="s">
        <v>3546</v>
      </c>
      <c r="I3488" s="73" t="s">
        <v>3491</v>
      </c>
      <c r="J3488" s="111">
        <v>46278</v>
      </c>
      <c r="K3488" s="76"/>
      <c r="L3488" s="76"/>
      <c r="M3488" s="76"/>
      <c r="N3488" s="76"/>
    </row>
    <row r="3489" spans="1:14" s="58" customFormat="1" ht="34.35" customHeight="1" x14ac:dyDescent="0.6">
      <c r="A3489" s="73">
        <v>3487</v>
      </c>
      <c r="B3489" s="94" t="str">
        <f>HYPERLINK("https://search.naver.com/search.naver?query=퓨즈 2025", "퓨즈")</f>
        <v>퓨즈</v>
      </c>
      <c r="C3489" s="74"/>
      <c r="D3489" s="75" t="s">
        <v>3640</v>
      </c>
      <c r="E3489" s="73" t="s">
        <v>3525</v>
      </c>
      <c r="F3489" s="73">
        <v>2025</v>
      </c>
      <c r="G3489" s="73" t="s">
        <v>3489</v>
      </c>
      <c r="H3489" s="73" t="s">
        <v>3592</v>
      </c>
      <c r="I3489" s="73" t="s">
        <v>3641</v>
      </c>
      <c r="J3489" s="111">
        <v>46278</v>
      </c>
      <c r="K3489" s="76"/>
      <c r="L3489" s="76"/>
      <c r="M3489" s="76"/>
      <c r="N3489" s="76"/>
    </row>
    <row r="3490" spans="1:14" ht="34.200000000000003" customHeight="1" x14ac:dyDescent="0.6">
      <c r="A3490" s="25">
        <v>3488</v>
      </c>
      <c r="B3490" s="92" t="str">
        <f>HYPERLINK("https://search.naver.com/search.naver?query=죄인 시즌1", "죄인 (The Sinner) 시즌1")</f>
        <v>죄인 (The Sinner) 시즌1</v>
      </c>
      <c r="C3490" s="72"/>
      <c r="D3490" s="32" t="s">
        <v>3642</v>
      </c>
      <c r="E3490" s="25" t="s">
        <v>3488</v>
      </c>
      <c r="F3490" s="25">
        <v>2017</v>
      </c>
      <c r="G3490" s="25" t="s">
        <v>3490</v>
      </c>
      <c r="H3490" s="25" t="s">
        <v>3643</v>
      </c>
      <c r="I3490" s="25" t="s">
        <v>3545</v>
      </c>
      <c r="J3490" s="110">
        <v>46279.541666666664</v>
      </c>
    </row>
    <row r="3491" spans="1:14" ht="34.200000000000003" customHeight="1" x14ac:dyDescent="0.6">
      <c r="A3491" s="25">
        <v>3489</v>
      </c>
      <c r="B3491" s="92" t="str">
        <f>HYPERLINK("https://search.naver.com/search.naver?query=죄인 시즌2", "죄인 (The Sinner) 시즌2")</f>
        <v>죄인 (The Sinner) 시즌2</v>
      </c>
      <c r="C3491" s="72"/>
      <c r="D3491" s="32" t="s">
        <v>3644</v>
      </c>
      <c r="E3491" s="25" t="s">
        <v>3488</v>
      </c>
      <c r="F3491" s="25">
        <v>2018</v>
      </c>
      <c r="G3491" s="25" t="s">
        <v>3490</v>
      </c>
      <c r="H3491" s="25" t="s">
        <v>3643</v>
      </c>
      <c r="I3491" s="25" t="s">
        <v>3545</v>
      </c>
      <c r="J3491" s="110">
        <v>46279.958333333336</v>
      </c>
    </row>
    <row r="3492" spans="1:14" ht="34.200000000000003" customHeight="1" x14ac:dyDescent="0.6">
      <c r="A3492" s="25">
        <v>3490</v>
      </c>
      <c r="B3492" s="92" t="str">
        <f>HYPERLINK("https://search.naver.com/search.naver?query=죄인 시즌4", "죄인 (The Sinner) 시즌4")</f>
        <v>죄인 (The Sinner) 시즌4</v>
      </c>
      <c r="C3492" s="72"/>
      <c r="D3492" s="32" t="s">
        <v>3645</v>
      </c>
      <c r="E3492" s="25" t="s">
        <v>3488</v>
      </c>
      <c r="F3492" s="25">
        <v>2021</v>
      </c>
      <c r="G3492" s="25" t="s">
        <v>3490</v>
      </c>
      <c r="H3492" s="25" t="s">
        <v>3643</v>
      </c>
      <c r="I3492" s="25" t="s">
        <v>3545</v>
      </c>
      <c r="J3492" s="110">
        <v>46280</v>
      </c>
    </row>
    <row r="3493" spans="1:14" s="58" customFormat="1" ht="34.35" customHeight="1" x14ac:dyDescent="0.6">
      <c r="A3493" s="113">
        <v>3491</v>
      </c>
      <c r="B3493" s="94" t="str">
        <f>HYPERLINK("https://search.naver.com/search.naver?query=데드 오브 윈터 영화", "데드 오브 윈터 (Dead of Winter) ")</f>
        <v xml:space="preserve">데드 오브 윈터 (Dead of Winter) </v>
      </c>
      <c r="C3493" s="74">
        <v>8.44</v>
      </c>
      <c r="D3493" s="75" t="s">
        <v>3646</v>
      </c>
      <c r="E3493" s="73" t="s">
        <v>3488</v>
      </c>
      <c r="F3493" s="73">
        <v>2025</v>
      </c>
      <c r="G3493" s="73" t="s">
        <v>3489</v>
      </c>
      <c r="H3493" s="73" t="s">
        <v>3592</v>
      </c>
      <c r="I3493" s="73" t="s">
        <v>3641</v>
      </c>
      <c r="J3493" s="111">
        <v>46281</v>
      </c>
      <c r="K3493" s="76"/>
      <c r="L3493" s="76"/>
      <c r="M3493" s="76"/>
      <c r="N3493" s="76"/>
    </row>
    <row r="3494" spans="1:14" ht="34.200000000000003" customHeight="1" x14ac:dyDescent="0.6">
      <c r="A3494" s="25">
        <v>3492</v>
      </c>
      <c r="B3494" s="92" t="str">
        <f>HYPERLINK("https://search.naver.com/search.naver?query=리처 시즌4", "리처 시즌4")</f>
        <v>리처 시즌4</v>
      </c>
      <c r="C3494" s="72"/>
      <c r="D3494" s="32" t="s">
        <v>3648</v>
      </c>
      <c r="E3494" s="25" t="s">
        <v>3488</v>
      </c>
      <c r="F3494" s="25">
        <v>2026</v>
      </c>
      <c r="G3494" s="25" t="s">
        <v>3490</v>
      </c>
      <c r="H3494" s="25" t="s">
        <v>3647</v>
      </c>
      <c r="I3494" s="25" t="s">
        <v>3545</v>
      </c>
      <c r="J3494" s="110">
        <v>46282</v>
      </c>
    </row>
    <row r="3495" spans="1:14" ht="34.200000000000003" customHeight="1" x14ac:dyDescent="0.6">
      <c r="A3495" s="25">
        <v>3493</v>
      </c>
      <c r="B3495" s="92" t="str">
        <f>HYPERLINK("https://search.naver.com/search.naver?where=m&amp;sm=mtb_etc&amp;mra=bjkw&amp;x_csa=%7B%22pkid%22%3A%2257%22%2C%22os%22%3A%226045562%22%7D&amp;pkid=57&amp;os=6045562&amp;query=%EB%8D%94%20%EB%B8%8C%EB%A0%88%EC%9D%B4%EB%B8%8C", "더 브레이브 (The Brave) 시즌1")</f>
        <v>더 브레이브 (The Brave) 시즌1</v>
      </c>
      <c r="C3495" s="72"/>
      <c r="D3495" s="32" t="s">
        <v>3649</v>
      </c>
      <c r="E3495" s="25" t="s">
        <v>3488</v>
      </c>
      <c r="F3495" s="25">
        <v>2017</v>
      </c>
      <c r="G3495" s="25" t="s">
        <v>3490</v>
      </c>
      <c r="H3495" s="25" t="s">
        <v>3650</v>
      </c>
      <c r="I3495" s="25" t="s">
        <v>3548</v>
      </c>
      <c r="J3495" s="110">
        <v>46287</v>
      </c>
    </row>
    <row r="3496" spans="1:14" ht="34.200000000000003" customHeight="1" x14ac:dyDescent="0.6">
      <c r="A3496" s="25">
        <v>3494</v>
      </c>
      <c r="B3496" s="92" t="str">
        <f>HYPERLINK("https://search.naver.com/search.naver?query=라이어니스 특수 작전팀 시즌3", "라이어니스 특수 작전팀 시즌3")</f>
        <v>라이어니스 특수 작전팀 시즌3</v>
      </c>
      <c r="C3496" s="72"/>
      <c r="D3496" s="32" t="s">
        <v>3652</v>
      </c>
      <c r="E3496" s="25" t="s">
        <v>3488</v>
      </c>
      <c r="F3496" s="25">
        <v>2026</v>
      </c>
      <c r="G3496" s="25" t="s">
        <v>3490</v>
      </c>
      <c r="H3496" s="25" t="s">
        <v>3651</v>
      </c>
      <c r="I3496" s="25" t="s">
        <v>3545</v>
      </c>
      <c r="J3496" s="110">
        <v>46288</v>
      </c>
    </row>
    <row r="3497" spans="1:14" ht="34.200000000000003" customHeight="1" x14ac:dyDescent="0.6">
      <c r="A3497" s="25">
        <v>3495</v>
      </c>
      <c r="B3497" s="92" t="str">
        <f>HYPERLINK("https://search.naver.com/search.naver?query=메이드 인 코리아 시즌2", "메이드 인 코리아 시즌2")</f>
        <v>메이드 인 코리아 시즌2</v>
      </c>
      <c r="C3497" s="72"/>
      <c r="D3497" s="32" t="s">
        <v>3653</v>
      </c>
      <c r="E3497" s="25" t="s">
        <v>3495</v>
      </c>
      <c r="F3497" s="25">
        <v>2026</v>
      </c>
      <c r="G3497" s="25" t="s">
        <v>3490</v>
      </c>
      <c r="H3497" s="25" t="s">
        <v>3654</v>
      </c>
      <c r="I3497" s="25" t="s">
        <v>3539</v>
      </c>
      <c r="J3497" s="110">
        <v>46290</v>
      </c>
    </row>
    <row r="3498" spans="1:14" s="58" customFormat="1" ht="34.35" customHeight="1" x14ac:dyDescent="0.6">
      <c r="A3498" s="113">
        <v>3496</v>
      </c>
      <c r="B3498" s="94" t="str">
        <f>HYPERLINK("https://search.naver.com/search.naver?query=더 길티", "더 길티 (The Guilty)")</f>
        <v>더 길티 (The Guilty)</v>
      </c>
      <c r="C3498" s="74"/>
      <c r="D3498" s="75" t="s">
        <v>3655</v>
      </c>
      <c r="E3498" s="73" t="s">
        <v>3488</v>
      </c>
      <c r="F3498" s="73">
        <v>2021</v>
      </c>
      <c r="G3498" s="73" t="s">
        <v>3489</v>
      </c>
      <c r="H3498" s="73" t="s">
        <v>3546</v>
      </c>
      <c r="I3498" s="73" t="s">
        <v>3656</v>
      </c>
      <c r="J3498" s="111">
        <v>46296</v>
      </c>
      <c r="K3498" s="76"/>
      <c r="L3498" s="76"/>
      <c r="M3498" s="76"/>
      <c r="N3498" s="76"/>
    </row>
    <row r="3499" spans="1:14" s="58" customFormat="1" ht="34.35" customHeight="1" x14ac:dyDescent="0.6">
      <c r="A3499" s="113">
        <v>3497</v>
      </c>
      <c r="B3499" s="94" t="str">
        <f>HYPERLINK("https://search.naver.com/search.naver?query=투 캐치 어 킬러", "투 캐치 어 킬러 (To Catch a Killer)")</f>
        <v>투 캐치 어 킬러 (To Catch a Killer)</v>
      </c>
      <c r="C3499" s="74"/>
      <c r="D3499" s="75" t="s">
        <v>3658</v>
      </c>
      <c r="E3499" s="73" t="s">
        <v>3488</v>
      </c>
      <c r="F3499" s="73">
        <v>2023</v>
      </c>
      <c r="G3499" s="73" t="s">
        <v>3489</v>
      </c>
      <c r="H3499" s="73" t="s">
        <v>3657</v>
      </c>
      <c r="I3499" s="73" t="s">
        <v>3560</v>
      </c>
      <c r="J3499" s="111">
        <v>46296</v>
      </c>
      <c r="K3499" s="76"/>
      <c r="L3499" s="76"/>
      <c r="M3499" s="76"/>
      <c r="N3499" s="76"/>
    </row>
    <row r="3500" spans="1:14" s="58" customFormat="1" ht="34.200000000000003" customHeight="1" x14ac:dyDescent="0.6">
      <c r="A3500" s="113">
        <v>3498</v>
      </c>
      <c r="B3500" s="94" t="str">
        <f>HYPERLINK("https://search.naver.com/search.naver?query=상자 속의 양", "상자 속의 양 (heep in the Box)")</f>
        <v>상자 속의 양 (heep in the Box)</v>
      </c>
      <c r="C3500" s="74"/>
      <c r="D3500" s="75" t="s">
        <v>3661</v>
      </c>
      <c r="E3500" s="73" t="s">
        <v>3500</v>
      </c>
      <c r="F3500" s="73">
        <v>2026</v>
      </c>
      <c r="G3500" s="73" t="s">
        <v>3489</v>
      </c>
      <c r="H3500" s="73" t="s">
        <v>3660</v>
      </c>
      <c r="I3500" s="73" t="s">
        <v>3659</v>
      </c>
      <c r="J3500" s="111">
        <v>46296</v>
      </c>
      <c r="K3500" s="76"/>
      <c r="L3500" s="76"/>
      <c r="M3500" s="76"/>
      <c r="N3500" s="76"/>
    </row>
    <row r="3501" spans="1:14" ht="34.200000000000003" customHeight="1" x14ac:dyDescent="0.6">
      <c r="A3501" s="25">
        <v>3499</v>
      </c>
      <c r="B3501" s="92" t="str">
        <f>HYPERLINK("https://search.naver.com/search.naver?query=퓨리어스 시즌1", "퓨리어스 (Furious) 시즌1")</f>
        <v>퓨리어스 (Furious) 시즌1</v>
      </c>
      <c r="C3501" s="72"/>
      <c r="D3501" s="32" t="s">
        <v>3663</v>
      </c>
      <c r="E3501" s="25" t="s">
        <v>3488</v>
      </c>
      <c r="F3501" s="25">
        <v>2026</v>
      </c>
      <c r="G3501" s="25" t="s">
        <v>3490</v>
      </c>
      <c r="H3501" s="25" t="s">
        <v>3662</v>
      </c>
      <c r="I3501" s="25" t="s">
        <v>3545</v>
      </c>
      <c r="J3501" s="110">
        <v>46299</v>
      </c>
    </row>
    <row r="3502" spans="1:14" s="58" customFormat="1" ht="34.200000000000003" customHeight="1" x14ac:dyDescent="0.6">
      <c r="A3502" s="113">
        <v>3500</v>
      </c>
      <c r="B3502" s="94" t="str">
        <f>HYPERLINK("https://search.naver.com/search.naver?query=위크엔드어웨이", "위크엔드어웨이 (The Weekend Away)")</f>
        <v>위크엔드어웨이 (The Weekend Away)</v>
      </c>
      <c r="C3502" s="74"/>
      <c r="D3502" s="75" t="s">
        <v>3664</v>
      </c>
      <c r="E3502" s="73" t="s">
        <v>3488</v>
      </c>
      <c r="F3502" s="73">
        <v>2022</v>
      </c>
      <c r="G3502" s="73" t="s">
        <v>3489</v>
      </c>
      <c r="H3502" s="73" t="s">
        <v>3665</v>
      </c>
      <c r="I3502" s="73" t="s">
        <v>3656</v>
      </c>
      <c r="J3502" s="111">
        <v>46300</v>
      </c>
      <c r="K3502" s="76"/>
      <c r="L3502" s="76"/>
      <c r="M3502" s="76"/>
      <c r="N3502" s="76"/>
    </row>
    <row r="3503" spans="1:14" s="58" customFormat="1" ht="33.9" customHeight="1" x14ac:dyDescent="0.6">
      <c r="A3503" s="113">
        <v>3501</v>
      </c>
      <c r="B3503" s="94" t="str">
        <f>HYPERLINK("https://search.naver.com/search.naver?query=영화 사랑의 가설", "사랑의 가설 (The Love Hypothesis) ")</f>
        <v xml:space="preserve">사랑의 가설 (The Love Hypothesis) </v>
      </c>
      <c r="C3503" s="74"/>
      <c r="D3503" s="75" t="s">
        <v>3666</v>
      </c>
      <c r="E3503" s="73" t="s">
        <v>3488</v>
      </c>
      <c r="F3503" s="73">
        <v>2026</v>
      </c>
      <c r="G3503" s="73" t="s">
        <v>3489</v>
      </c>
      <c r="H3503" s="73" t="s">
        <v>3667</v>
      </c>
      <c r="I3503" s="73" t="s">
        <v>3527</v>
      </c>
      <c r="J3503" s="111">
        <v>46301</v>
      </c>
      <c r="K3503" s="76"/>
      <c r="L3503" s="76"/>
      <c r="M3503" s="76"/>
      <c r="N3503" s="76"/>
    </row>
    <row r="3504" spans="1:14" ht="34.200000000000003" customHeight="1" x14ac:dyDescent="0.6">
      <c r="A3504" s="25">
        <v>3502</v>
      </c>
      <c r="B3504" s="92" t="str">
        <f>HYPERLINK("https://search.naver.com/search.naver?query=니글리 시즌1", "니글리 (Neagley) 시즌1 ")</f>
        <v xml:space="preserve">니글리 (Neagley) 시즌1 </v>
      </c>
      <c r="C3504" s="72"/>
      <c r="D3504" s="32" t="s">
        <v>3669</v>
      </c>
      <c r="E3504" s="25" t="s">
        <v>3488</v>
      </c>
      <c r="F3504" s="25">
        <v>2026</v>
      </c>
      <c r="G3504" s="25" t="s">
        <v>3490</v>
      </c>
      <c r="H3504" s="25" t="s">
        <v>3668</v>
      </c>
      <c r="I3504" s="25" t="s">
        <v>3545</v>
      </c>
      <c r="J3504" s="110">
        <v>46303</v>
      </c>
    </row>
    <row r="3505" spans="1:14" s="58" customFormat="1" ht="33.9" customHeight="1" x14ac:dyDescent="0.6">
      <c r="A3505" s="113">
        <v>3503</v>
      </c>
      <c r="B3505" s="94" t="str">
        <f>HYPERLINK("https://search.naver.com/search.naver?query=폴2: 데드포인트", "폴2: 데드포인트 ")</f>
        <v xml:space="preserve">폴2: 데드포인트 </v>
      </c>
      <c r="C3505" s="74"/>
      <c r="D3505" s="75" t="s">
        <v>3670</v>
      </c>
      <c r="E3505" s="73" t="s">
        <v>3488</v>
      </c>
      <c r="F3505" s="73">
        <v>2026</v>
      </c>
      <c r="G3505" s="73" t="s">
        <v>3489</v>
      </c>
      <c r="H3505" s="114" t="s">
        <v>3671</v>
      </c>
      <c r="I3505" s="73" t="s">
        <v>3607</v>
      </c>
      <c r="J3505" s="111">
        <v>46304</v>
      </c>
      <c r="K3505" s="76"/>
      <c r="L3505" s="76"/>
      <c r="M3505" s="76"/>
      <c r="N3505" s="76"/>
    </row>
    <row r="3506" spans="1:14" ht="34.200000000000003" customHeight="1" x14ac:dyDescent="0.6">
      <c r="A3506" s="25">
        <v>3504</v>
      </c>
      <c r="B3506" s="92" t="str">
        <f>HYPERLINK("https://search.naver.com/search.naver?query=몹랜드 시즌1", "몹랜드(Mobland) 시즌1")</f>
        <v>몹랜드(Mobland) 시즌1</v>
      </c>
      <c r="C3506" s="72"/>
      <c r="D3506" s="32" t="s">
        <v>3673</v>
      </c>
      <c r="E3506" s="25" t="s">
        <v>3525</v>
      </c>
      <c r="F3506" s="25">
        <v>2025</v>
      </c>
      <c r="G3506" s="25" t="s">
        <v>3490</v>
      </c>
      <c r="H3506" s="25" t="s">
        <v>3672</v>
      </c>
      <c r="I3506" s="25" t="s">
        <v>3534</v>
      </c>
      <c r="J3506" s="110">
        <v>46305</v>
      </c>
    </row>
    <row r="3507" spans="1:14" ht="34.200000000000003" customHeight="1" x14ac:dyDescent="0.6">
      <c r="A3507" s="25">
        <v>3505</v>
      </c>
      <c r="B3507" s="92" t="str">
        <f>HYPERLINK("https://search.naver.com/search.naver?query=30일의 밤 시즌1", "30일의 밤 (Dark Matter) 시즌1")</f>
        <v>30일의 밤 (Dark Matter) 시즌1</v>
      </c>
      <c r="C3507" s="72"/>
      <c r="D3507" s="32" t="s">
        <v>3676</v>
      </c>
      <c r="E3507" s="25" t="s">
        <v>3488</v>
      </c>
      <c r="F3507" s="25">
        <v>2024</v>
      </c>
      <c r="G3507" s="25" t="s">
        <v>3490</v>
      </c>
      <c r="H3507" s="25" t="s">
        <v>3674</v>
      </c>
      <c r="I3507" s="25" t="s">
        <v>3675</v>
      </c>
      <c r="J3507" s="110">
        <v>46307</v>
      </c>
    </row>
    <row r="3508" spans="1:14" s="58" customFormat="1" ht="33.9" customHeight="1" x14ac:dyDescent="0.6">
      <c r="A3508" s="113">
        <v>3506</v>
      </c>
      <c r="B3508" s="94" t="str">
        <f>HYPERLINK("https://search.naver.com/search.naver?query=호프 영화", "호프 (Hope)")</f>
        <v>호프 (Hope)</v>
      </c>
      <c r="C3508" s="74"/>
      <c r="D3508" s="75" t="s">
        <v>3678</v>
      </c>
      <c r="E3508" s="73" t="s">
        <v>3495</v>
      </c>
      <c r="F3508" s="73">
        <v>2026</v>
      </c>
      <c r="G3508" s="73" t="s">
        <v>3489</v>
      </c>
      <c r="H3508" s="114" t="s">
        <v>3677</v>
      </c>
      <c r="I3508" s="73" t="s">
        <v>3679</v>
      </c>
      <c r="J3508" s="111">
        <v>46308</v>
      </c>
      <c r="K3508" s="76"/>
      <c r="L3508" s="76"/>
      <c r="M3508" s="76"/>
      <c r="N3508" s="76"/>
    </row>
    <row r="3509" spans="1:14" ht="34.200000000000003" customHeight="1" x14ac:dyDescent="0.6">
      <c r="A3509" s="25">
        <v>3507</v>
      </c>
      <c r="B3509" s="92" t="str">
        <f>HYPERLINK("https://search.naver.com/search.naver?query=외교관 시즌4", "외교관(The Diplomat) 시즌4")</f>
        <v>외교관(The Diplomat) 시즌4</v>
      </c>
      <c r="C3509" s="72"/>
      <c r="D3509" s="32" t="s">
        <v>3681</v>
      </c>
      <c r="E3509" s="25" t="s">
        <v>3488</v>
      </c>
      <c r="F3509" s="25">
        <v>2026</v>
      </c>
      <c r="G3509" s="25" t="s">
        <v>3490</v>
      </c>
      <c r="H3509" s="25" t="s">
        <v>3680</v>
      </c>
      <c r="I3509" s="25" t="s">
        <v>3545</v>
      </c>
      <c r="J3509" s="110">
        <v>46312</v>
      </c>
    </row>
    <row r="3510" spans="1:14" s="58" customFormat="1" ht="33.9" customHeight="1" x14ac:dyDescent="0.6">
      <c r="A3510" s="113">
        <v>3508</v>
      </c>
      <c r="B3510" s="94" t="str">
        <f>HYPERLINK("https://search.naver.com/search.naver?query=국보 영화", "국보(国宝)")</f>
        <v>국보(国宝)</v>
      </c>
      <c r="C3510" s="74">
        <v>8.6999999999999993</v>
      </c>
      <c r="D3510" s="75" t="s">
        <v>3683</v>
      </c>
      <c r="E3510" s="73" t="s">
        <v>3500</v>
      </c>
      <c r="F3510" s="73">
        <v>2025</v>
      </c>
      <c r="G3510" s="73" t="s">
        <v>3489</v>
      </c>
      <c r="H3510" s="114" t="s">
        <v>3682</v>
      </c>
      <c r="I3510" s="73" t="s">
        <v>3684</v>
      </c>
      <c r="J3510" s="111">
        <v>46313</v>
      </c>
      <c r="K3510" s="76"/>
      <c r="L3510" s="76"/>
      <c r="M3510" s="76"/>
      <c r="N3510" s="76"/>
    </row>
    <row r="3511" spans="1:14" s="58" customFormat="1" ht="33.9" customHeight="1" x14ac:dyDescent="0.6">
      <c r="A3511" s="113">
        <v>3509</v>
      </c>
      <c r="B3511" s="94" t="str">
        <f>HYPERLINK("https://search.naver.com/search.naver?query=두잉 라이프 영화", "두잉 라이프 (Doing Life)")</f>
        <v>두잉 라이프 (Doing Life)</v>
      </c>
      <c r="C3511" s="74"/>
      <c r="D3511" s="75" t="s">
        <v>3685</v>
      </c>
      <c r="E3511" s="73" t="s">
        <v>3488</v>
      </c>
      <c r="F3511" s="73">
        <v>2026</v>
      </c>
      <c r="G3511" s="73" t="s">
        <v>3489</v>
      </c>
      <c r="H3511" s="114" t="s">
        <v>3686</v>
      </c>
      <c r="I3511" s="73" t="s">
        <v>3687</v>
      </c>
      <c r="J3511" s="111">
        <v>46314</v>
      </c>
      <c r="K3511" s="76"/>
      <c r="L3511" s="76"/>
      <c r="M3511" s="76"/>
      <c r="N3511" s="76"/>
    </row>
    <row r="3512" spans="1:14" s="58" customFormat="1" ht="33.9" customHeight="1" x14ac:dyDescent="0.6">
      <c r="A3512" s="113">
        <v>3510</v>
      </c>
      <c r="B3512" s="94" t="str">
        <f>HYPERLINK("https://search.naver.com/search.naver?query=인턴 영화", "인턴")</f>
        <v>인턴</v>
      </c>
      <c r="C3512" s="74">
        <v>7.9</v>
      </c>
      <c r="D3512" s="75" t="s">
        <v>3688</v>
      </c>
      <c r="E3512" s="73" t="s">
        <v>3495</v>
      </c>
      <c r="F3512" s="73">
        <v>2026</v>
      </c>
      <c r="G3512" s="73" t="s">
        <v>3489</v>
      </c>
      <c r="H3512" s="114" t="s">
        <v>3689</v>
      </c>
      <c r="I3512" s="73" t="s">
        <v>3690</v>
      </c>
      <c r="J3512" s="111">
        <v>46318</v>
      </c>
      <c r="K3512" s="76"/>
      <c r="L3512" s="76"/>
      <c r="M3512" s="76"/>
      <c r="N3512" s="76"/>
    </row>
    <row r="3513" spans="1:14" ht="34.200000000000003" customHeight="1" x14ac:dyDescent="0.6">
      <c r="A3513" s="25">
        <v>3511</v>
      </c>
      <c r="B3513" s="92" t="str">
        <f>HYPERLINK("https://search.naver.com/search.naver?query=터미널리스트 시즌2", "터미널리스트(The Terminal List) 시즌2")</f>
        <v>터미널리스트(The Terminal List) 시즌2</v>
      </c>
      <c r="C3513" s="72"/>
      <c r="D3513" s="32" t="s">
        <v>3692</v>
      </c>
      <c r="E3513" s="25" t="s">
        <v>3488</v>
      </c>
      <c r="F3513" s="25">
        <v>2026</v>
      </c>
      <c r="G3513" s="25" t="s">
        <v>3490</v>
      </c>
      <c r="H3513" s="25" t="s">
        <v>3691</v>
      </c>
      <c r="I3513" s="25" t="s">
        <v>3545</v>
      </c>
      <c r="J3513" s="110">
        <v>46321</v>
      </c>
    </row>
  </sheetData>
  <mergeCells count="1">
    <mergeCell ref="A1:G1"/>
  </mergeCells>
  <phoneticPr fontId="2" type="noConversion"/>
  <hyperlinks>
    <hyperlink ref="B566" r:id="rId1" display="https://blog.naver.com/PostView.naver?blogId=zzzasd2&amp;logNo=220646557277&amp;redirect=Dlog&amp;widgetTypeCall=true&amp;topReferer=https%3A%2F%2Fsearch.naver.com%2Fsearch.naver%3Fquery%3D%25EB%258D%2594%2520%25EB%25A1%25B1%25EA%25B8%25B0%25EC%258A%25A4%25ED%258A%25B8%2520%25EB%259D%25BC%25EC%259D%25B4%25EB%2593%259C%2520%25EC%2598%2581%25ED%2599%2594&amp;trackingCode=nx&amp;directAccess=false" xr:uid="{5888F64F-CE4D-4266-91EE-3E4F9D7707EB}"/>
    <hyperlink ref="B2803" r:id="rId2" display="https://blog.naver.com/PostView.naver?blogId=cine212722&amp;logNo=223992909905&amp;redirect=Dlog&amp;widgetTypeCall=true&amp;topReferer=https%3A%2F%2Fsearch.daum.net%2Fsearch%3Fw%3Dtot%26DA%3DJU5%26q%3D%25EC%25BA%2598%25EB%25B2%2584%25EB%25A6%25AC%2B2014%2B%25EC%2598%2581%25ED%2599%2594&amp;trackingCode=external&amp;directAccess=false" xr:uid="{F704A8EA-59AE-4316-AEA3-DC217EAFF8C2}"/>
  </hyperlinks>
  <pageMargins left="0.75" right="0.75" top="1" bottom="1" header="0.5" footer="0.5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영화DB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liberalnopen@gmail.com</cp:lastModifiedBy>
  <dcterms:created xsi:type="dcterms:W3CDTF">2026-03-10T23:46:46Z</dcterms:created>
  <dcterms:modified xsi:type="dcterms:W3CDTF">2026-10-26T05:50:40Z</dcterms:modified>
</cp:coreProperties>
</file>